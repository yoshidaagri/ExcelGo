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C:\hokuren\会計再構築\20_外部設計\01_成果物\F4190_外部設計書_補足説明\99.機能階層番号外\17.機能・業務共通処理マトリクス\"/>
    </mc:Choice>
  </mc:AlternateContent>
  <bookViews>
    <workbookView xWindow="28680" yWindow="-120" windowWidth="29040" windowHeight="15720"/>
  </bookViews>
  <sheets>
    <sheet name="変更履歴" sheetId="16" r:id="rId1"/>
    <sheet name="機能・業務共通処理マトリクス" sheetId="14" r:id="rId2"/>
    <sheet name="機能・システム共通処理マトリクス" sheetId="15" r:id="rId3"/>
    <sheet name="業務共通処理設計書" sheetId="17" r:id="rId4"/>
  </sheets>
  <externalReferences>
    <externalReference r:id="rId5"/>
    <externalReference r:id="rId6"/>
    <externalReference r:id="rId7"/>
    <externalReference r:id="rId8"/>
    <externalReference r:id="rId9"/>
  </externalReferences>
  <definedNames>
    <definedName hidden="true" localSheetId="2" name="_xlnm._FilterDatabase">機能・システム共通処理マトリクス!$A$6:$CB$443</definedName>
    <definedName hidden="true" localSheetId="1" name="_xlnm._FilterDatabase">機能・業務共通処理マトリクス!$G$6:$G$348</definedName>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0" name="_xlnm.Print_Area">変更履歴!$A$1:$BJ$61</definedName>
    <definedName localSheetId="2" name="_xlnm.Print_Titles">機能・システム共通処理マトリクス!$B:$G,機能・システム共通処理マトリクス!$1:$6</definedName>
    <definedName localSheetId="1" name="_xlnm.Print_Titles">機能・業務共通処理マトリクス!$B:$G,機能・業務共通処理マトリクス!$1:$5</definedName>
    <definedName localSheetId="3" name="_xlnm.Print_Titles">業務共通処理設計書!$1:$1</definedName>
    <definedName localSheetId="0" name="_xlnm.Print_Titles">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17" l="true"/>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3" i="17"/>
  <c r="B2" i="17"/>
  <c r="F443" i="15"/>
  <c r="B443" i="15"/>
  <c r="F442" i="15"/>
  <c r="B442" i="15"/>
  <c r="F441" i="15"/>
  <c r="B441" i="15"/>
  <c r="F440" i="15"/>
  <c r="B440" i="15"/>
  <c r="F439" i="15"/>
  <c r="B439" i="15"/>
  <c r="F438" i="15"/>
  <c r="B438" i="15"/>
  <c r="F437" i="15"/>
  <c r="B437" i="15"/>
  <c r="F436" i="15"/>
  <c r="B436" i="15"/>
  <c r="F435" i="15"/>
  <c r="B435" i="15"/>
  <c r="F434" i="15"/>
  <c r="B434" i="15"/>
  <c r="F433" i="15"/>
  <c r="B433" i="15"/>
  <c r="F432" i="15"/>
  <c r="B432" i="15"/>
  <c r="F431" i="15"/>
  <c r="B431" i="15"/>
  <c r="F430" i="15"/>
  <c r="B430" i="15"/>
  <c r="F429" i="15"/>
  <c r="B429" i="15"/>
  <c r="F428" i="15"/>
  <c r="B428" i="15"/>
  <c r="F427" i="15"/>
  <c r="B427" i="15"/>
  <c r="F426" i="15"/>
  <c r="B426" i="15"/>
  <c r="F425" i="15"/>
  <c r="B425" i="15"/>
  <c r="F424" i="15"/>
  <c r="B424" i="15"/>
  <c r="F423" i="15"/>
  <c r="B423" i="15"/>
  <c r="F422" i="15"/>
  <c r="B422" i="15"/>
  <c r="F421" i="15"/>
  <c r="B421" i="15"/>
  <c r="F420" i="15"/>
  <c r="B420" i="15"/>
  <c r="F419" i="15"/>
  <c r="B419" i="15"/>
  <c r="F418" i="15"/>
  <c r="B418" i="15"/>
  <c r="F417" i="15"/>
  <c r="B417" i="15"/>
  <c r="F416" i="15"/>
  <c r="B416" i="15"/>
  <c r="F415" i="15"/>
  <c r="B415" i="15"/>
  <c r="F414" i="15"/>
  <c r="B414" i="15"/>
  <c r="F413" i="15"/>
  <c r="B413" i="15"/>
  <c r="F412" i="15"/>
  <c r="B412" i="15"/>
  <c r="F411" i="15"/>
  <c r="B411" i="15"/>
  <c r="F410" i="15"/>
  <c r="B410" i="15"/>
  <c r="F409" i="15"/>
  <c r="B409" i="15"/>
  <c r="F408" i="15"/>
  <c r="B408" i="15"/>
  <c r="F407" i="15"/>
  <c r="B407" i="15"/>
  <c r="F406" i="15"/>
  <c r="B406" i="15"/>
  <c r="F405" i="15"/>
  <c r="B405" i="15"/>
  <c r="F404" i="15"/>
  <c r="B404" i="15"/>
  <c r="F403" i="15"/>
  <c r="B403" i="15"/>
  <c r="F402" i="15"/>
  <c r="B402" i="15"/>
  <c r="F401" i="15"/>
  <c r="B401" i="15"/>
  <c r="F400" i="15"/>
  <c r="B400" i="15"/>
  <c r="F399" i="15"/>
  <c r="B399" i="15"/>
  <c r="F398" i="15"/>
  <c r="B398" i="15"/>
  <c r="F397" i="15"/>
  <c r="B397" i="15"/>
  <c r="F396" i="15"/>
  <c r="B396" i="15"/>
  <c r="F395" i="15"/>
  <c r="B395" i="15"/>
  <c r="F394" i="15"/>
  <c r="B394" i="15"/>
  <c r="F393" i="15"/>
  <c r="B393" i="15"/>
  <c r="F392" i="15"/>
  <c r="B392" i="15"/>
  <c r="F391" i="15"/>
  <c r="B391" i="15"/>
  <c r="F390" i="15"/>
  <c r="B390" i="15"/>
  <c r="F389" i="15"/>
  <c r="B389" i="15"/>
  <c r="F388" i="15"/>
  <c r="B388" i="15"/>
  <c r="F387" i="15"/>
  <c r="B387" i="15"/>
  <c r="F386" i="15"/>
  <c r="B386" i="15"/>
  <c r="F385" i="15"/>
  <c r="B385" i="15"/>
  <c r="F384" i="15"/>
  <c r="B384" i="15"/>
  <c r="F383" i="15"/>
  <c r="B383" i="15"/>
  <c r="F382" i="15"/>
  <c r="B382" i="15"/>
  <c r="F381" i="15"/>
  <c r="B381" i="15"/>
  <c r="F380" i="15"/>
  <c r="B380" i="15"/>
  <c r="F379" i="15"/>
  <c r="B379" i="15"/>
  <c r="F378" i="15"/>
  <c r="B378" i="15"/>
  <c r="F377" i="15"/>
  <c r="B377" i="15"/>
  <c r="F376" i="15"/>
  <c r="B376" i="15"/>
  <c r="F375" i="15"/>
  <c r="B375" i="15"/>
  <c r="F374" i="15"/>
  <c r="B374" i="15"/>
  <c r="F373" i="15"/>
  <c r="B373" i="15"/>
  <c r="F372" i="15"/>
  <c r="B372" i="15"/>
  <c r="F371" i="15"/>
  <c r="B371" i="15"/>
  <c r="F370" i="15"/>
  <c r="B370" i="15"/>
  <c r="F369" i="15"/>
  <c r="B369" i="15"/>
  <c r="F368" i="15"/>
  <c r="B368" i="15"/>
  <c r="F367" i="15"/>
  <c r="B367" i="15"/>
  <c r="F366" i="15"/>
  <c r="B366" i="15"/>
  <c r="F365" i="15"/>
  <c r="B365" i="15"/>
  <c r="F364" i="15"/>
  <c r="B364" i="15"/>
  <c r="F363" i="15"/>
  <c r="B363" i="15"/>
  <c r="F362" i="15"/>
  <c r="B362" i="15"/>
  <c r="F361" i="15"/>
  <c r="B361" i="15"/>
  <c r="F360" i="15"/>
  <c r="B360" i="15"/>
  <c r="F359" i="15"/>
  <c r="B359" i="15"/>
  <c r="F358" i="15"/>
  <c r="B358" i="15"/>
  <c r="F357" i="15"/>
  <c r="B357" i="15"/>
  <c r="F356" i="15"/>
  <c r="B356" i="15"/>
  <c r="F355" i="15"/>
  <c r="B355" i="15"/>
  <c r="F354" i="15"/>
  <c r="B354" i="15"/>
  <c r="F353" i="15"/>
  <c r="B353" i="15"/>
  <c r="F352" i="15"/>
  <c r="B352" i="15"/>
  <c r="F351" i="15"/>
  <c r="B351" i="15"/>
  <c r="F350" i="15"/>
  <c r="B350" i="15"/>
  <c r="F349" i="15"/>
  <c r="B349" i="15"/>
  <c r="F348" i="15"/>
  <c r="B348" i="15"/>
  <c r="F347" i="15"/>
  <c r="B347" i="15"/>
  <c r="F346" i="15"/>
  <c r="B346" i="15"/>
  <c r="F345" i="15"/>
  <c r="B345" i="15"/>
  <c r="F344" i="15"/>
  <c r="B344" i="15"/>
  <c r="F343" i="15"/>
  <c r="B343" i="15"/>
  <c r="F342" i="15"/>
  <c r="B342" i="15"/>
  <c r="F341" i="15"/>
  <c r="B341" i="15"/>
  <c r="F340" i="15"/>
  <c r="B340" i="15"/>
  <c r="F339" i="15"/>
  <c r="B339" i="15"/>
  <c r="F338" i="15"/>
  <c r="B338" i="15"/>
  <c r="F337" i="15"/>
  <c r="B337" i="15"/>
  <c r="F336" i="15"/>
  <c r="B336" i="15"/>
  <c r="F335" i="15"/>
  <c r="B335" i="15"/>
  <c r="F334" i="15"/>
  <c r="B334" i="15"/>
  <c r="F333" i="15"/>
  <c r="B333" i="15"/>
  <c r="F332" i="15"/>
  <c r="B332" i="15"/>
  <c r="F331" i="15"/>
  <c r="B331" i="15"/>
  <c r="F330" i="15"/>
  <c r="B330" i="15"/>
  <c r="F329" i="15"/>
  <c r="B329" i="15"/>
  <c r="F328" i="15"/>
  <c r="B328" i="15"/>
  <c r="F327" i="15"/>
  <c r="B327" i="15"/>
  <c r="F326" i="15"/>
  <c r="B326" i="15"/>
  <c r="F325" i="15"/>
  <c r="B325" i="15"/>
  <c r="F324" i="15"/>
  <c r="B324" i="15"/>
  <c r="F323" i="15"/>
  <c r="B323" i="15"/>
  <c r="F322" i="15"/>
  <c r="B322" i="15"/>
  <c r="F321" i="15"/>
  <c r="B321" i="15"/>
  <c r="F320" i="15"/>
  <c r="B320" i="15"/>
  <c r="F319" i="15"/>
  <c r="B319" i="15"/>
  <c r="F318" i="15"/>
  <c r="B318" i="15"/>
  <c r="F317" i="15"/>
  <c r="B317" i="15"/>
  <c r="F316" i="15"/>
  <c r="B316" i="15"/>
  <c r="F315" i="15"/>
  <c r="B315" i="15"/>
  <c r="F314" i="15"/>
  <c r="B314" i="15"/>
  <c r="F313" i="15"/>
  <c r="B313" i="15"/>
  <c r="F312" i="15"/>
  <c r="B312" i="15"/>
  <c r="F311" i="15"/>
  <c r="B311" i="15"/>
  <c r="F310" i="15"/>
  <c r="B310" i="15"/>
  <c r="F309" i="15"/>
  <c r="B309" i="15"/>
  <c r="F308" i="15"/>
  <c r="B308" i="15"/>
  <c r="F307" i="15"/>
  <c r="B307" i="15"/>
  <c r="F306" i="15"/>
  <c r="B306" i="15"/>
  <c r="F305" i="15"/>
  <c r="B305" i="15"/>
  <c r="F304" i="15"/>
  <c r="B304" i="15"/>
  <c r="F303" i="15"/>
  <c r="B303" i="15"/>
  <c r="F302" i="15"/>
  <c r="B302" i="15"/>
  <c r="F301" i="15"/>
  <c r="B301" i="15"/>
  <c r="F300" i="15"/>
  <c r="B300" i="15"/>
  <c r="F299" i="15"/>
  <c r="B299" i="15"/>
  <c r="F298" i="15"/>
  <c r="B298" i="15"/>
  <c r="F297" i="15"/>
  <c r="B297" i="15"/>
  <c r="F296" i="15"/>
  <c r="B296" i="15"/>
  <c r="F295" i="15"/>
  <c r="B295" i="15"/>
  <c r="F294" i="15"/>
  <c r="B294" i="15"/>
  <c r="F293" i="15"/>
  <c r="B293" i="15"/>
  <c r="F292" i="15"/>
  <c r="B292" i="15"/>
  <c r="F291" i="15"/>
  <c r="B291" i="15"/>
  <c r="F290" i="15"/>
  <c r="B290" i="15"/>
  <c r="F289" i="15"/>
  <c r="B289" i="15"/>
  <c r="F288" i="15"/>
  <c r="B288" i="15"/>
  <c r="F287" i="15"/>
  <c r="B287" i="15"/>
  <c r="F286" i="15"/>
  <c r="B286" i="15"/>
  <c r="F285" i="15"/>
  <c r="B285" i="15"/>
  <c r="F284" i="15"/>
  <c r="B284" i="15"/>
  <c r="F283" i="15"/>
  <c r="B283" i="15"/>
  <c r="F282" i="15"/>
  <c r="B282" i="15"/>
  <c r="F281" i="15"/>
  <c r="B281" i="15"/>
  <c r="F280" i="15"/>
  <c r="B280" i="15"/>
  <c r="F279" i="15"/>
  <c r="B279" i="15"/>
  <c r="F278" i="15"/>
  <c r="B278" i="15"/>
  <c r="F277" i="15"/>
  <c r="B277" i="15"/>
  <c r="F276" i="15"/>
  <c r="B276" i="15"/>
  <c r="F275" i="15"/>
  <c r="B275" i="15"/>
  <c r="F274" i="15"/>
  <c r="B274" i="15"/>
  <c r="F273" i="15"/>
  <c r="B273" i="15"/>
  <c r="F272" i="15"/>
  <c r="B272" i="15"/>
  <c r="F271" i="15"/>
  <c r="B271" i="15"/>
  <c r="F270" i="15"/>
  <c r="B270" i="15"/>
  <c r="F269" i="15"/>
  <c r="B269" i="15"/>
  <c r="F268" i="15"/>
  <c r="B268" i="15"/>
  <c r="F267" i="15"/>
  <c r="B267" i="15"/>
  <c r="F266" i="15"/>
  <c r="B266" i="15"/>
  <c r="F265" i="15"/>
  <c r="B265" i="15"/>
  <c r="F264" i="15"/>
  <c r="B264" i="15"/>
  <c r="F263" i="15"/>
  <c r="B263" i="15"/>
  <c r="F262" i="15"/>
  <c r="B262" i="15"/>
  <c r="F261" i="15"/>
  <c r="B261" i="15"/>
  <c r="F260" i="15"/>
  <c r="B260" i="15"/>
  <c r="F259" i="15"/>
  <c r="B259" i="15"/>
  <c r="F258" i="15"/>
  <c r="B258" i="15"/>
  <c r="F257" i="15"/>
  <c r="B257" i="15"/>
  <c r="F256" i="15"/>
  <c r="B256" i="15"/>
  <c r="F255" i="15"/>
  <c r="B255" i="15"/>
  <c r="F254" i="15"/>
  <c r="B254" i="15"/>
  <c r="F253" i="15"/>
  <c r="B253" i="15"/>
  <c r="F252" i="15"/>
  <c r="B252" i="15"/>
  <c r="F251" i="15"/>
  <c r="B251" i="15"/>
  <c r="F250" i="15"/>
  <c r="B250" i="15"/>
  <c r="F249" i="15"/>
  <c r="B249" i="15"/>
  <c r="F248" i="15"/>
  <c r="B248" i="15"/>
  <c r="F247" i="15"/>
  <c r="B247" i="15"/>
  <c r="F246" i="15"/>
  <c r="B246" i="15"/>
  <c r="F245" i="15"/>
  <c r="B245" i="15"/>
  <c r="F244" i="15"/>
  <c r="B244" i="15"/>
  <c r="F243" i="15"/>
  <c r="B243" i="15"/>
  <c r="F242" i="15"/>
  <c r="B242" i="15"/>
  <c r="F241" i="15"/>
  <c r="B241" i="15"/>
  <c r="F240" i="15"/>
  <c r="B240" i="15"/>
  <c r="F239" i="15"/>
  <c r="B239" i="15"/>
  <c r="F238" i="15"/>
  <c r="B238" i="15"/>
  <c r="F237" i="15"/>
  <c r="B237" i="15"/>
  <c r="F236" i="15"/>
  <c r="B236" i="15"/>
  <c r="F235" i="15"/>
  <c r="B235" i="15"/>
  <c r="F234" i="15"/>
  <c r="B234" i="15"/>
  <c r="F233" i="15"/>
  <c r="B233" i="15"/>
  <c r="F232" i="15"/>
  <c r="B232" i="15"/>
  <c r="F231" i="15"/>
  <c r="B231" i="15"/>
  <c r="F230" i="15"/>
  <c r="B230" i="15"/>
  <c r="F229" i="15"/>
  <c r="B229" i="15"/>
  <c r="F228" i="15"/>
  <c r="B228" i="15"/>
  <c r="F227" i="15"/>
  <c r="B227" i="15"/>
  <c r="F226" i="15"/>
  <c r="B226" i="15"/>
  <c r="F225" i="15"/>
  <c r="B225" i="15"/>
  <c r="F224" i="15"/>
  <c r="B224" i="15"/>
  <c r="F223" i="15"/>
  <c r="B223" i="15"/>
  <c r="F222" i="15"/>
  <c r="B222" i="15"/>
  <c r="F221" i="15"/>
  <c r="B221" i="15"/>
  <c r="F220" i="15"/>
  <c r="B220" i="15"/>
  <c r="F219" i="15"/>
  <c r="B219" i="15"/>
  <c r="F218" i="15"/>
  <c r="B218" i="15"/>
  <c r="F217" i="15"/>
  <c r="B217" i="15"/>
  <c r="F216" i="15"/>
  <c r="B216" i="15"/>
  <c r="F215" i="15"/>
  <c r="B215" i="15"/>
  <c r="F214" i="15"/>
  <c r="B214" i="15"/>
  <c r="F213" i="15"/>
  <c r="B213" i="15"/>
  <c r="F212" i="15"/>
  <c r="B212" i="15"/>
  <c r="F211" i="15"/>
  <c r="B211" i="15"/>
  <c r="F210" i="15"/>
  <c r="B210" i="15"/>
  <c r="F209" i="15"/>
  <c r="B209" i="15"/>
  <c r="F208" i="15"/>
  <c r="B208" i="15"/>
  <c r="F207" i="15"/>
  <c r="B207" i="15"/>
  <c r="F206" i="15"/>
  <c r="B206" i="15"/>
  <c r="F205" i="15"/>
  <c r="B205" i="15"/>
  <c r="F204" i="15"/>
  <c r="B204" i="15"/>
  <c r="F203" i="15"/>
  <c r="B203" i="15"/>
  <c r="F202" i="15"/>
  <c r="B202" i="15"/>
  <c r="F201" i="15"/>
  <c r="B201" i="15"/>
  <c r="F200" i="15"/>
  <c r="B200" i="15"/>
  <c r="F199" i="15"/>
  <c r="B199" i="15"/>
  <c r="F198" i="15"/>
  <c r="B198" i="15"/>
  <c r="F197" i="15"/>
  <c r="B197" i="15"/>
  <c r="F196" i="15"/>
  <c r="B196" i="15"/>
  <c r="F195" i="15"/>
  <c r="B195" i="15"/>
  <c r="F194" i="15"/>
  <c r="B194" i="15"/>
  <c r="F193" i="15"/>
  <c r="B193" i="15"/>
  <c r="F192" i="15"/>
  <c r="B192" i="15"/>
  <c r="F191" i="15"/>
  <c r="B191" i="15"/>
  <c r="F190" i="15"/>
  <c r="B190" i="15"/>
  <c r="F189" i="15"/>
  <c r="B189" i="15"/>
  <c r="F188" i="15"/>
  <c r="B188" i="15"/>
  <c r="F187" i="15"/>
  <c r="B187" i="15"/>
  <c r="F186" i="15"/>
  <c r="B186" i="15"/>
  <c r="F185" i="15"/>
  <c r="B185" i="15"/>
  <c r="F184" i="15"/>
  <c r="B184" i="15"/>
  <c r="F183" i="15"/>
  <c r="B183" i="15"/>
  <c r="F182" i="15"/>
  <c r="B182" i="15"/>
  <c r="F181" i="15"/>
  <c r="B181" i="15"/>
  <c r="F180" i="15"/>
  <c r="B180" i="15"/>
  <c r="F179" i="15"/>
  <c r="B179" i="15"/>
  <c r="F178" i="15"/>
  <c r="B178" i="15"/>
  <c r="F177" i="15"/>
  <c r="B177" i="15"/>
  <c r="F176" i="15"/>
  <c r="B176" i="15"/>
  <c r="F175" i="15"/>
  <c r="B175" i="15"/>
  <c r="F174" i="15"/>
  <c r="B174" i="15"/>
  <c r="F173" i="15"/>
  <c r="B173" i="15"/>
  <c r="F172" i="15"/>
  <c r="B172" i="15"/>
  <c r="F171" i="15"/>
  <c r="B171" i="15"/>
  <c r="F170" i="15"/>
  <c r="B170" i="15"/>
  <c r="F169" i="15"/>
  <c r="B169" i="15"/>
  <c r="F168" i="15"/>
  <c r="B168" i="15"/>
  <c r="F167" i="15"/>
  <c r="B167" i="15"/>
  <c r="F166" i="15"/>
  <c r="B166" i="15"/>
  <c r="F165" i="15"/>
  <c r="B165" i="15"/>
  <c r="F164" i="15"/>
  <c r="B164" i="15"/>
  <c r="F163" i="15"/>
  <c r="B163" i="15"/>
  <c r="F162" i="15"/>
  <c r="B162" i="15"/>
  <c r="F161" i="15"/>
  <c r="B161" i="15"/>
  <c r="F160" i="15"/>
  <c r="B160" i="15"/>
  <c r="F159" i="15"/>
  <c r="B159" i="15"/>
  <c r="F158" i="15"/>
  <c r="B158" i="15"/>
  <c r="F157" i="15"/>
  <c r="B157" i="15"/>
  <c r="F156" i="15"/>
  <c r="B156" i="15"/>
  <c r="F155" i="15"/>
  <c r="B155" i="15"/>
  <c r="F154" i="15"/>
  <c r="B154" i="15"/>
  <c r="F153" i="15"/>
  <c r="B153" i="15"/>
  <c r="F152" i="15"/>
  <c r="B152" i="15"/>
  <c r="F151" i="15"/>
  <c r="B151" i="15"/>
  <c r="F150" i="15"/>
  <c r="B150" i="15"/>
  <c r="F149" i="15"/>
  <c r="B149" i="15"/>
  <c r="F148" i="15"/>
  <c r="B148" i="15"/>
  <c r="F147" i="15"/>
  <c r="B147" i="15"/>
  <c r="F146" i="15"/>
  <c r="B146" i="15"/>
  <c r="F145" i="15"/>
  <c r="B145" i="15"/>
  <c r="F144" i="15"/>
  <c r="B144" i="15"/>
  <c r="F143" i="15"/>
  <c r="B143" i="15"/>
  <c r="F142" i="15"/>
  <c r="B142" i="15"/>
  <c r="F141" i="15"/>
  <c r="B141" i="15"/>
  <c r="F140" i="15"/>
  <c r="B140" i="15"/>
  <c r="F139" i="15"/>
  <c r="B139" i="15"/>
  <c r="F138" i="15"/>
  <c r="B138" i="15"/>
  <c r="F137" i="15"/>
  <c r="B137" i="15"/>
  <c r="F136" i="15"/>
  <c r="B136" i="15"/>
  <c r="F135" i="15"/>
  <c r="B135" i="15"/>
  <c r="F134" i="15"/>
  <c r="B134" i="15"/>
  <c r="F133" i="15"/>
  <c r="B133" i="15"/>
  <c r="F132" i="15"/>
  <c r="B132" i="15"/>
  <c r="F131" i="15"/>
  <c r="B131" i="15"/>
  <c r="F130" i="15"/>
  <c r="B130" i="15"/>
  <c r="F129" i="15"/>
  <c r="B129" i="15"/>
  <c r="F128" i="15"/>
  <c r="B128" i="15"/>
  <c r="F127" i="15"/>
  <c r="B127" i="15"/>
  <c r="F126" i="15"/>
  <c r="B126" i="15"/>
  <c r="F125" i="15"/>
  <c r="B125" i="15"/>
  <c r="F124" i="15"/>
  <c r="B124" i="15"/>
  <c r="F123" i="15"/>
  <c r="B123" i="15"/>
  <c r="F122" i="15"/>
  <c r="B122" i="15"/>
  <c r="F121" i="15"/>
  <c r="B121" i="15"/>
  <c r="F120" i="15"/>
  <c r="B120" i="15"/>
  <c r="F119" i="15"/>
  <c r="B119" i="15"/>
  <c r="F118" i="15"/>
  <c r="B118" i="15"/>
  <c r="F117" i="15"/>
  <c r="B117" i="15"/>
  <c r="F116" i="15"/>
  <c r="B116" i="15"/>
  <c r="F115" i="15"/>
  <c r="B115" i="15"/>
  <c r="F114" i="15"/>
  <c r="B114" i="15"/>
  <c r="F113" i="15"/>
  <c r="B113" i="15"/>
  <c r="F112" i="15"/>
  <c r="B112" i="15"/>
  <c r="F111" i="15"/>
  <c r="B111" i="15"/>
  <c r="F110" i="15"/>
  <c r="B110" i="15"/>
  <c r="F109" i="15"/>
  <c r="B109" i="15"/>
  <c r="F108" i="15"/>
  <c r="B108" i="15"/>
  <c r="F107" i="15"/>
  <c r="B107" i="15"/>
  <c r="F106" i="15"/>
  <c r="B106" i="15"/>
  <c r="F105" i="15"/>
  <c r="B105" i="15"/>
  <c r="F104" i="15"/>
  <c r="B104" i="15"/>
  <c r="F103" i="15"/>
  <c r="B103" i="15"/>
  <c r="F102" i="15"/>
  <c r="B102" i="15"/>
  <c r="F101" i="15"/>
  <c r="B101" i="15"/>
  <c r="F100" i="15"/>
  <c r="B100" i="15"/>
  <c r="F99" i="15"/>
  <c r="B99" i="15"/>
  <c r="F98" i="15"/>
  <c r="B98" i="15"/>
  <c r="F97" i="15"/>
  <c r="B97" i="15"/>
  <c r="F96" i="15"/>
  <c r="B96" i="15"/>
  <c r="F95" i="15"/>
  <c r="B95" i="15"/>
  <c r="F94" i="15"/>
  <c r="B94" i="15"/>
  <c r="F93" i="15"/>
  <c r="B93" i="15"/>
  <c r="F92" i="15"/>
  <c r="B92" i="15"/>
  <c r="F91" i="15"/>
  <c r="B91" i="15"/>
  <c r="F90" i="15"/>
  <c r="B90" i="15"/>
  <c r="F89" i="15"/>
  <c r="B89" i="15"/>
  <c r="F88" i="15"/>
  <c r="B88" i="15"/>
  <c r="F87" i="15"/>
  <c r="B87" i="15"/>
  <c r="F86" i="15"/>
  <c r="B86" i="15"/>
  <c r="F85" i="15"/>
  <c r="B85" i="15"/>
  <c r="F84" i="15"/>
  <c r="B84" i="15"/>
  <c r="F83" i="15"/>
  <c r="B83" i="15"/>
  <c r="F82" i="15"/>
  <c r="B82" i="15"/>
  <c r="F81" i="15"/>
  <c r="B81" i="15"/>
  <c r="F80" i="15"/>
  <c r="B80" i="15"/>
  <c r="F79" i="15"/>
  <c r="B79" i="15"/>
  <c r="F78" i="15"/>
  <c r="B78" i="15"/>
  <c r="F77" i="15"/>
  <c r="B77" i="15"/>
  <c r="F76" i="15"/>
  <c r="B76" i="15"/>
  <c r="F75" i="15"/>
  <c r="B75" i="15"/>
  <c r="F74" i="15"/>
  <c r="B74" i="15"/>
  <c r="F73" i="15"/>
  <c r="B73" i="15"/>
  <c r="F72" i="15"/>
  <c r="B72" i="15"/>
  <c r="F71" i="15"/>
  <c r="B71" i="15"/>
  <c r="F70" i="15"/>
  <c r="B70" i="15"/>
  <c r="F69" i="15"/>
  <c r="B69" i="15"/>
  <c r="F68" i="15"/>
  <c r="B68" i="15"/>
  <c r="F67" i="15"/>
  <c r="B67" i="15"/>
  <c r="F66" i="15"/>
  <c r="B66" i="15"/>
  <c r="F65" i="15"/>
  <c r="B65" i="15"/>
  <c r="F64" i="15"/>
  <c r="B64" i="15"/>
  <c r="F63" i="15"/>
  <c r="B63" i="15"/>
  <c r="F62" i="15"/>
  <c r="B62" i="15"/>
  <c r="F61" i="15"/>
  <c r="B61" i="15"/>
  <c r="F60" i="15"/>
  <c r="B60" i="15"/>
  <c r="F59" i="15"/>
  <c r="B59" i="15"/>
  <c r="F58" i="15"/>
  <c r="B58" i="15"/>
  <c r="F57" i="15"/>
  <c r="B57" i="15"/>
  <c r="F56" i="15"/>
  <c r="B56" i="15"/>
  <c r="F55" i="15"/>
  <c r="B55" i="15"/>
  <c r="F54" i="15"/>
  <c r="B54" i="15"/>
  <c r="F53" i="15"/>
  <c r="B53" i="15"/>
  <c r="F52" i="15"/>
  <c r="B52" i="15"/>
  <c r="F51" i="15"/>
  <c r="B51" i="15"/>
  <c r="F50" i="15"/>
  <c r="B50" i="15"/>
  <c r="F49" i="15"/>
  <c r="B49" i="15"/>
  <c r="F48" i="15"/>
  <c r="B48" i="15"/>
  <c r="F47" i="15"/>
  <c r="B47" i="15"/>
  <c r="F46" i="15"/>
  <c r="B46" i="15"/>
  <c r="F45" i="15"/>
  <c r="B45" i="15"/>
  <c r="F44" i="15"/>
  <c r="B44" i="15"/>
  <c r="F43" i="15"/>
  <c r="B43" i="15"/>
  <c r="F42" i="15"/>
  <c r="B42" i="15"/>
  <c r="F41" i="15"/>
  <c r="B41" i="15"/>
  <c r="F40" i="15"/>
  <c r="B40" i="15"/>
  <c r="F39" i="15"/>
  <c r="B39" i="15"/>
  <c r="F38" i="15"/>
  <c r="B38" i="15"/>
  <c r="F37" i="15"/>
  <c r="B37" i="15"/>
  <c r="F36" i="15"/>
  <c r="B36" i="15"/>
  <c r="F35" i="15"/>
  <c r="B35" i="15"/>
  <c r="F34" i="15"/>
  <c r="B34" i="15"/>
  <c r="F33" i="15"/>
  <c r="B33" i="15"/>
  <c r="F32" i="15"/>
  <c r="B32" i="15"/>
  <c r="F31" i="15"/>
  <c r="B31" i="15"/>
  <c r="F30" i="15"/>
  <c r="B30" i="15"/>
  <c r="F29" i="15"/>
  <c r="B29" i="15"/>
  <c r="F28" i="15"/>
  <c r="B28" i="15"/>
  <c r="F27" i="15"/>
  <c r="B27" i="15"/>
  <c r="F26" i="15"/>
  <c r="B26" i="15"/>
  <c r="F25" i="15"/>
  <c r="B25" i="15"/>
  <c r="F24" i="15"/>
  <c r="B24" i="15"/>
  <c r="F23" i="15"/>
  <c r="B23" i="15"/>
  <c r="F22" i="15"/>
  <c r="B22" i="15"/>
  <c r="F21" i="15"/>
  <c r="B21" i="15"/>
  <c r="F20" i="15"/>
  <c r="B20" i="15"/>
  <c r="F19" i="15"/>
  <c r="B19" i="15"/>
  <c r="F18" i="15"/>
  <c r="B18" i="15"/>
  <c r="F17" i="15"/>
  <c r="B17" i="15"/>
  <c r="F16" i="15"/>
  <c r="B16" i="15"/>
  <c r="F15" i="15"/>
  <c r="B15" i="15"/>
  <c r="F14" i="15"/>
  <c r="B14" i="15"/>
  <c r="F13" i="15"/>
  <c r="B13" i="15"/>
  <c r="F12" i="15"/>
  <c r="B12" i="15"/>
  <c r="F11" i="15"/>
  <c r="B11" i="15"/>
  <c r="F10" i="15"/>
  <c r="B10" i="15"/>
  <c r="F9" i="15"/>
  <c r="B9" i="15"/>
  <c r="F8" i="15"/>
  <c r="B8" i="15"/>
  <c r="F7" i="15"/>
  <c r="B7" i="15"/>
  <c r="CA5" i="15"/>
  <c r="BZ5" i="15"/>
  <c r="BY5" i="15"/>
  <c r="BX5" i="15"/>
  <c r="BW5" i="15"/>
  <c r="BV5" i="15"/>
  <c r="BU5" i="15"/>
  <c r="BT5" i="15"/>
  <c r="BS5" i="15"/>
  <c r="BR5" i="15"/>
  <c r="BQ5" i="15"/>
  <c r="BP5" i="15"/>
  <c r="BO5" i="15"/>
  <c r="BN5" i="15"/>
  <c r="BM5" i="15"/>
  <c r="BL5" i="15"/>
  <c r="BK5" i="15"/>
  <c r="BJ5" i="15"/>
  <c r="BI5" i="15"/>
  <c r="BH5" i="15"/>
  <c r="BG5" i="15"/>
  <c r="BF5" i="15"/>
  <c r="BE5" i="15"/>
  <c r="BD5" i="15"/>
  <c r="BC5" i="15"/>
  <c r="BB5" i="15"/>
  <c r="BA5" i="15"/>
  <c r="AZ5" i="15"/>
  <c r="AY5" i="15"/>
  <c r="AX5" i="15"/>
  <c r="AW5" i="15"/>
  <c r="AV5" i="15"/>
  <c r="AU5" i="15"/>
  <c r="AT5" i="15"/>
  <c r="AS5" i="15"/>
  <c r="AR5" i="15"/>
  <c r="AQ5" i="15"/>
  <c r="AP5" i="15"/>
  <c r="AO5" i="15"/>
  <c r="AN5" i="15"/>
  <c r="AM5" i="15"/>
  <c r="AL5" i="15"/>
  <c r="AK5" i="15"/>
  <c r="AJ5" i="15"/>
  <c r="AI5" i="15"/>
  <c r="AH5" i="15"/>
  <c r="AG5" i="15"/>
  <c r="AF5" i="15"/>
  <c r="AE5" i="15"/>
  <c r="AD5" i="15"/>
  <c r="AC5" i="15"/>
  <c r="AB5" i="15"/>
  <c r="AA5" i="15"/>
  <c r="Z5" i="15"/>
  <c r="Y5" i="15"/>
  <c r="X5" i="15"/>
  <c r="W5" i="15"/>
  <c r="V5" i="15"/>
  <c r="U5" i="15"/>
  <c r="T5" i="15"/>
  <c r="S5" i="15"/>
  <c r="R5" i="15"/>
  <c r="Q5" i="15"/>
  <c r="P5" i="15"/>
  <c r="O5" i="15"/>
  <c r="N5" i="15"/>
  <c r="M5" i="15"/>
  <c r="L5" i="15"/>
  <c r="K5" i="15"/>
  <c r="J5" i="15"/>
  <c r="I5" i="15"/>
  <c r="H5" i="15"/>
  <c r="CA2" i="15"/>
  <c r="BZ2" i="15"/>
  <c r="BY2" i="15"/>
  <c r="BX2" i="15"/>
  <c r="BW2" i="15"/>
  <c r="BV2" i="15"/>
  <c r="BU2" i="15"/>
  <c r="BT2" i="15"/>
  <c r="BS2" i="15"/>
  <c r="BR2" i="15"/>
  <c r="BQ2" i="15"/>
  <c r="BP2" i="15"/>
  <c r="BO2" i="15"/>
  <c r="BN2" i="15"/>
  <c r="BM2" i="15"/>
  <c r="BL2" i="15"/>
  <c r="BK2" i="15"/>
  <c r="BJ2" i="15"/>
  <c r="BI2" i="15"/>
  <c r="BH2" i="15"/>
  <c r="BG2" i="15"/>
  <c r="BF2" i="15"/>
  <c r="BE2" i="15"/>
  <c r="BD2" i="15"/>
  <c r="BC2" i="15"/>
  <c r="BB2" i="15"/>
  <c r="BA2" i="15"/>
  <c r="AZ2" i="15"/>
  <c r="AY2" i="15"/>
  <c r="AX2" i="15"/>
  <c r="AW2" i="15"/>
  <c r="AV2" i="15"/>
  <c r="AU2" i="15"/>
  <c r="AT2" i="15"/>
  <c r="AS2" i="15"/>
  <c r="AR2" i="15"/>
  <c r="AQ2" i="15"/>
  <c r="AP2"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AQ5" i="14" l="true"/>
  <c r="AP5" i="14"/>
  <c r="AO5" i="14"/>
  <c r="AN5" i="14"/>
  <c r="AM5" i="14"/>
  <c r="AL5" i="14"/>
  <c r="AQ2" i="14"/>
  <c r="AP2" i="14"/>
  <c r="AO2" i="14"/>
  <c r="AN2" i="14"/>
  <c r="AM2" i="14"/>
  <c r="AL2" i="14"/>
  <c r="AI5" i="14"/>
  <c r="AH5" i="14"/>
  <c r="AG5" i="14"/>
  <c r="AF5" i="14"/>
  <c r="AE5" i="14"/>
  <c r="AD5" i="14"/>
  <c r="AC5" i="14"/>
  <c r="AI2" i="14"/>
  <c r="AH2" i="14"/>
  <c r="AG2" i="14"/>
  <c r="AF2" i="14"/>
  <c r="AE2" i="14"/>
  <c r="AD2" i="14"/>
  <c r="AC2" i="14"/>
  <c r="AK5" i="14"/>
  <c r="AJ5" i="14"/>
  <c r="AK2" i="14"/>
  <c r="AJ2" i="14"/>
  <c r="AS5" i="14"/>
  <c r="AR5" i="14"/>
  <c r="AS2" i="14"/>
  <c r="AR2" i="14"/>
  <c r="AU5" i="14"/>
  <c r="AT5" i="14"/>
  <c r="AU2" i="14"/>
  <c r="AT2" i="14"/>
  <c r="AV5" i="14"/>
  <c r="AV2" i="14"/>
  <c r="F145" i="14"/>
  <c r="B145" i="14"/>
  <c r="F347" i="14" l="true"/>
  <c r="F346" i="14"/>
  <c r="F345" i="14"/>
  <c r="F344" i="14"/>
  <c r="F343" i="14"/>
  <c r="F342" i="14"/>
  <c r="F341" i="14"/>
  <c r="F340" i="14"/>
  <c r="F339" i="14"/>
  <c r="F338" i="14"/>
  <c r="F337" i="14"/>
  <c r="F336" i="14"/>
  <c r="F335" i="14"/>
  <c r="F334" i="14"/>
  <c r="F333" i="14"/>
  <c r="F332" i="14"/>
  <c r="F331" i="14"/>
  <c r="F330" i="14"/>
  <c r="F329" i="14"/>
  <c r="F328" i="14"/>
  <c r="F327" i="14"/>
  <c r="F326" i="14"/>
  <c r="F325" i="14"/>
  <c r="F324" i="14"/>
  <c r="F323" i="14"/>
  <c r="F322" i="14"/>
  <c r="F321" i="14"/>
  <c r="F320" i="14"/>
  <c r="F319" i="14"/>
  <c r="F318" i="14"/>
  <c r="F317" i="14"/>
  <c r="F316" i="14"/>
  <c r="F315" i="14"/>
  <c r="F314" i="14"/>
  <c r="F313" i="14"/>
  <c r="F312" i="14"/>
  <c r="F311" i="14"/>
  <c r="F310" i="14"/>
  <c r="F309" i="14"/>
  <c r="F308" i="14"/>
  <c r="F307" i="14"/>
  <c r="F306" i="14"/>
  <c r="F305" i="14"/>
  <c r="F304" i="14"/>
  <c r="F303" i="14"/>
  <c r="F302" i="14"/>
  <c r="F301" i="14"/>
  <c r="F300" i="14"/>
  <c r="F299" i="14"/>
  <c r="F298" i="14"/>
  <c r="F297" i="14"/>
  <c r="F296" i="14"/>
  <c r="F295" i="14"/>
  <c r="F294" i="14"/>
  <c r="F293" i="14"/>
  <c r="F292" i="14"/>
  <c r="F291" i="14"/>
  <c r="F290" i="14"/>
  <c r="F289" i="14"/>
  <c r="F288" i="14"/>
  <c r="F287" i="14"/>
  <c r="F286" i="14"/>
  <c r="F285" i="14"/>
  <c r="F284" i="14"/>
  <c r="F283" i="14"/>
  <c r="F282" i="14"/>
  <c r="F281" i="14"/>
  <c r="F280" i="14"/>
  <c r="F279" i="14"/>
  <c r="F278" i="14"/>
  <c r="F277" i="14"/>
  <c r="F276" i="14"/>
  <c r="F275" i="14"/>
  <c r="F274" i="14"/>
  <c r="F273" i="14"/>
  <c r="F272" i="14"/>
  <c r="F271" i="14"/>
  <c r="F270" i="14"/>
  <c r="F269" i="14"/>
  <c r="F268" i="14"/>
  <c r="F267" i="14"/>
  <c r="F266" i="14"/>
  <c r="F265" i="14"/>
  <c r="F264" i="14"/>
  <c r="F263" i="14"/>
  <c r="F262" i="14"/>
  <c r="F261" i="14"/>
  <c r="F260" i="14"/>
  <c r="F259" i="14"/>
  <c r="F258" i="14"/>
  <c r="F257" i="14"/>
  <c r="F256" i="14"/>
  <c r="F255" i="14"/>
  <c r="F254" i="14"/>
  <c r="F253" i="14"/>
  <c r="F252" i="14"/>
  <c r="F251" i="14"/>
  <c r="F250" i="14"/>
  <c r="F249" i="14"/>
  <c r="F248" i="14"/>
  <c r="F247" i="14"/>
  <c r="F246" i="14"/>
  <c r="F245" i="14"/>
  <c r="F244" i="14"/>
  <c r="F243" i="14"/>
  <c r="F242" i="14"/>
  <c r="F241" i="14"/>
  <c r="F240" i="14"/>
  <c r="F239" i="14"/>
  <c r="F238" i="14"/>
  <c r="F237" i="14"/>
  <c r="F236" i="14"/>
  <c r="F235" i="14"/>
  <c r="F234" i="14"/>
  <c r="F233" i="14"/>
  <c r="F232" i="14"/>
  <c r="F231" i="14"/>
  <c r="F230" i="14"/>
  <c r="F229" i="14"/>
  <c r="F228" i="14"/>
  <c r="F227" i="14"/>
  <c r="F226" i="14"/>
  <c r="F225" i="14"/>
  <c r="F224" i="14"/>
  <c r="F223" i="14"/>
  <c r="F222" i="14"/>
  <c r="F221" i="14"/>
  <c r="F220" i="14"/>
  <c r="F219" i="14"/>
  <c r="F218" i="14"/>
  <c r="F217" i="14"/>
  <c r="F216" i="14"/>
  <c r="F215" i="14"/>
  <c r="F214" i="14"/>
  <c r="F213" i="14"/>
  <c r="F212" i="14"/>
  <c r="F211" i="14"/>
  <c r="F210" i="14"/>
  <c r="F209" i="14"/>
  <c r="F208" i="14"/>
  <c r="F207" i="14"/>
  <c r="F206" i="14"/>
  <c r="F205" i="14"/>
  <c r="F204" i="14"/>
  <c r="F203" i="14"/>
  <c r="F202" i="14"/>
  <c r="F201" i="14"/>
  <c r="F200" i="14"/>
  <c r="F199" i="14"/>
  <c r="F198" i="14"/>
  <c r="F197" i="14"/>
  <c r="F196" i="14"/>
  <c r="F195" i="14"/>
  <c r="F194" i="14"/>
  <c r="F193" i="14"/>
  <c r="F192" i="14"/>
  <c r="F191" i="14"/>
  <c r="F190" i="14"/>
  <c r="F189" i="14"/>
  <c r="F188" i="14"/>
  <c r="F187" i="14"/>
  <c r="F186" i="14"/>
  <c r="F185" i="14"/>
  <c r="F184" i="14"/>
  <c r="F183" i="14"/>
  <c r="F182" i="14"/>
  <c r="F181" i="14"/>
  <c r="F180" i="14"/>
  <c r="F179" i="14"/>
  <c r="F178" i="14"/>
  <c r="F177" i="14"/>
  <c r="F176" i="14"/>
  <c r="F175" i="14"/>
  <c r="F174" i="14"/>
  <c r="F173" i="14"/>
  <c r="F172" i="14"/>
  <c r="F171" i="14"/>
  <c r="F170" i="14"/>
  <c r="F169" i="14"/>
  <c r="F168" i="14"/>
  <c r="F167" i="14"/>
  <c r="F166" i="14"/>
  <c r="F165" i="14"/>
  <c r="F164" i="14"/>
  <c r="F163" i="14"/>
  <c r="F162" i="14"/>
  <c r="F161" i="14"/>
  <c r="F160" i="14"/>
  <c r="F159" i="14"/>
  <c r="F158" i="14"/>
  <c r="F157" i="14"/>
  <c r="F156" i="14"/>
  <c r="F155" i="14"/>
  <c r="F154" i="14"/>
  <c r="F153" i="14"/>
  <c r="F152" i="14"/>
  <c r="F151" i="14"/>
  <c r="F150" i="14"/>
  <c r="F149" i="14"/>
  <c r="F148" i="14"/>
  <c r="F147" i="14"/>
  <c r="F146" i="14"/>
  <c r="F144" i="14"/>
  <c r="F143" i="14"/>
  <c r="F142" i="14"/>
  <c r="F141" i="14"/>
  <c r="F140" i="14"/>
  <c r="F139" i="14"/>
  <c r="F138" i="14"/>
  <c r="F137" i="14"/>
  <c r="F136" i="14"/>
  <c r="F135" i="14"/>
  <c r="F134" i="14"/>
  <c r="F133" i="14"/>
  <c r="F132" i="14"/>
  <c r="F131" i="14"/>
  <c r="F130" i="14"/>
  <c r="F129" i="14"/>
  <c r="F128" i="14"/>
  <c r="F127" i="14"/>
  <c r="F126" i="14"/>
  <c r="F125" i="14"/>
  <c r="F124" i="14"/>
  <c r="F123" i="14"/>
  <c r="F122" i="14"/>
  <c r="F121" i="14"/>
  <c r="F120" i="14"/>
  <c r="F119" i="14"/>
  <c r="F118" i="14"/>
  <c r="F117" i="14"/>
  <c r="F116" i="14"/>
  <c r="F115" i="14"/>
  <c r="F114" i="14"/>
  <c r="F113" i="14"/>
  <c r="F112" i="14"/>
  <c r="F111" i="14"/>
  <c r="F110" i="14"/>
  <c r="F109" i="14"/>
  <c r="F108" i="14"/>
  <c r="F107" i="14"/>
  <c r="F106" i="14"/>
  <c r="F105" i="14"/>
  <c r="F104" i="14"/>
  <c r="F103" i="14"/>
  <c r="F102" i="14"/>
  <c r="F101" i="14"/>
  <c r="F100" i="14"/>
  <c r="F99" i="14"/>
  <c r="F98" i="14"/>
  <c r="F97" i="14"/>
  <c r="F96" i="14"/>
  <c r="F95" i="14"/>
  <c r="F94" i="14"/>
  <c r="F93" i="14"/>
  <c r="F92" i="14"/>
  <c r="F91" i="14"/>
  <c r="F90" i="14"/>
  <c r="F89" i="14"/>
  <c r="F88" i="14"/>
  <c r="F87" i="14"/>
  <c r="F86" i="14"/>
  <c r="F85" i="14"/>
  <c r="F84" i="14"/>
  <c r="F83" i="14"/>
  <c r="F82" i="14"/>
  <c r="F81" i="14"/>
  <c r="F80" i="14"/>
  <c r="F79" i="14"/>
  <c r="F78" i="14"/>
  <c r="F77" i="14"/>
  <c r="F76" i="14"/>
  <c r="F75" i="14"/>
  <c r="F74" i="14"/>
  <c r="F73" i="14"/>
  <c r="F72" i="14"/>
  <c r="F71" i="14"/>
  <c r="F70" i="14"/>
  <c r="F69" i="14"/>
  <c r="F68" i="14"/>
  <c r="F67" i="14"/>
  <c r="F66" i="14"/>
  <c r="F65" i="14"/>
  <c r="F64" i="14"/>
  <c r="F63" i="14"/>
  <c r="F62" i="14"/>
  <c r="F61" i="14"/>
  <c r="F60" i="14"/>
  <c r="F59" i="14"/>
  <c r="F58" i="14"/>
  <c r="F57" i="14"/>
  <c r="F56" i="14"/>
  <c r="F55" i="14"/>
  <c r="F54" i="14"/>
  <c r="F53" i="14"/>
  <c r="F52" i="14"/>
  <c r="F51" i="14"/>
  <c r="F50" i="14"/>
  <c r="F49" i="14"/>
  <c r="F48" i="14"/>
  <c r="F47" i="14"/>
  <c r="F46" i="14"/>
  <c r="F45" i="14"/>
  <c r="F44" i="14"/>
  <c r="F43" i="14"/>
  <c r="F42" i="14"/>
  <c r="F41" i="14"/>
  <c r="F40" i="14"/>
  <c r="F39" i="14"/>
  <c r="F38" i="14"/>
  <c r="F37" i="14"/>
  <c r="F36" i="14"/>
  <c r="F35" i="14"/>
  <c r="F34" i="14"/>
  <c r="F33" i="14"/>
  <c r="F32" i="14"/>
  <c r="F31" i="14"/>
  <c r="F30" i="14"/>
  <c r="F29" i="14"/>
  <c r="F28" i="14"/>
  <c r="F27" i="14"/>
  <c r="F26" i="14"/>
  <c r="F25" i="14"/>
  <c r="F24" i="14"/>
  <c r="F23" i="14"/>
  <c r="F22" i="14"/>
  <c r="F21" i="14"/>
  <c r="F20" i="14"/>
  <c r="F19" i="14"/>
  <c r="F18" i="14"/>
  <c r="F17" i="14"/>
  <c r="F16" i="14"/>
  <c r="F15" i="14"/>
  <c r="F14" i="14"/>
  <c r="F13" i="14"/>
  <c r="F12" i="14"/>
  <c r="F11" i="14"/>
  <c r="F10" i="14"/>
  <c r="F9" i="14"/>
  <c r="F8" i="14"/>
  <c r="F7" i="14"/>
  <c r="F6" i="14"/>
  <c r="B347" i="14"/>
  <c r="B346" i="14"/>
  <c r="B345" i="14"/>
  <c r="B344" i="14"/>
  <c r="B343" i="14"/>
  <c r="B342" i="14"/>
  <c r="B341" i="14"/>
  <c r="B340" i="14"/>
  <c r="B339" i="14"/>
  <c r="B338" i="14"/>
  <c r="B337" i="14"/>
  <c r="B336" i="14"/>
  <c r="B335" i="14"/>
  <c r="B334" i="14"/>
  <c r="B333" i="14"/>
  <c r="B332" i="14"/>
  <c r="B331" i="14"/>
  <c r="B330" i="14"/>
  <c r="B329" i="14"/>
  <c r="B328" i="14"/>
  <c r="B327" i="14"/>
  <c r="B326" i="14"/>
  <c r="B325" i="14"/>
  <c r="B324" i="14"/>
  <c r="B323" i="14"/>
  <c r="B322" i="14"/>
  <c r="B321" i="14"/>
  <c r="B320" i="14"/>
  <c r="B319" i="14"/>
  <c r="B318" i="14"/>
  <c r="B317" i="14"/>
  <c r="B316" i="14"/>
  <c r="B315" i="14"/>
  <c r="B314" i="14"/>
  <c r="B313" i="14"/>
  <c r="B312" i="14"/>
  <c r="B311" i="14"/>
  <c r="B310" i="14"/>
  <c r="B309" i="14"/>
  <c r="B308" i="14"/>
  <c r="B307" i="14"/>
  <c r="B306" i="14"/>
  <c r="B305" i="14"/>
  <c r="B304" i="14"/>
  <c r="B303" i="14"/>
  <c r="B302" i="14"/>
  <c r="B301" i="14"/>
  <c r="B300" i="14"/>
  <c r="B299" i="14"/>
  <c r="B298" i="14"/>
  <c r="B297" i="14"/>
  <c r="B296" i="14"/>
  <c r="B295" i="14"/>
  <c r="B294" i="14"/>
  <c r="B293" i="14"/>
  <c r="B292" i="14"/>
  <c r="B291" i="14"/>
  <c r="B290" i="14"/>
  <c r="B289" i="14"/>
  <c r="B288" i="14"/>
  <c r="B287" i="14"/>
  <c r="B286" i="14"/>
  <c r="B285" i="14"/>
  <c r="B284" i="14"/>
  <c r="B283" i="14"/>
  <c r="B282" i="14"/>
  <c r="B281" i="14"/>
  <c r="B280" i="14"/>
  <c r="B279" i="14"/>
  <c r="B278" i="14"/>
  <c r="B277" i="14"/>
  <c r="B276" i="14"/>
  <c r="B275" i="14"/>
  <c r="B274" i="14"/>
  <c r="B273" i="14"/>
  <c r="B272" i="14"/>
  <c r="B271" i="14"/>
  <c r="B270" i="14"/>
  <c r="B269" i="14"/>
  <c r="B268" i="14"/>
  <c r="B267" i="14"/>
  <c r="B266" i="14"/>
  <c r="B265" i="14"/>
  <c r="B264" i="14"/>
  <c r="B263" i="14"/>
  <c r="B262" i="14"/>
  <c r="B261" i="14"/>
  <c r="B260" i="14"/>
  <c r="B259" i="14"/>
  <c r="B258" i="14"/>
  <c r="B257" i="14"/>
  <c r="B256" i="14"/>
  <c r="B255" i="14"/>
  <c r="B254" i="14"/>
  <c r="B253" i="14"/>
  <c r="B252" i="14"/>
  <c r="B251" i="14"/>
  <c r="B250" i="14"/>
  <c r="B249" i="14"/>
  <c r="B248" i="14"/>
  <c r="B247" i="14"/>
  <c r="B246" i="14"/>
  <c r="B245" i="14"/>
  <c r="B244" i="14"/>
  <c r="B243" i="14"/>
  <c r="B242" i="14"/>
  <c r="B241" i="14"/>
  <c r="B240" i="14"/>
  <c r="B239" i="14"/>
  <c r="B238" i="14"/>
  <c r="B237" i="14"/>
  <c r="B236" i="14"/>
  <c r="B235" i="14"/>
  <c r="B234" i="14"/>
  <c r="B233" i="14"/>
  <c r="B232" i="14"/>
  <c r="B231" i="14"/>
  <c r="B230" i="14"/>
  <c r="B229" i="14"/>
  <c r="B228" i="14"/>
  <c r="B227" i="14"/>
  <c r="B226" i="14"/>
  <c r="B225" i="14"/>
  <c r="B224" i="14"/>
  <c r="B223" i="14"/>
  <c r="B222" i="14"/>
  <c r="B221" i="14"/>
  <c r="B220" i="14"/>
  <c r="B219" i="14"/>
  <c r="B218" i="14"/>
  <c r="B217" i="14"/>
  <c r="B216" i="14"/>
  <c r="B215" i="14"/>
  <c r="B214" i="14"/>
  <c r="B213" i="14"/>
  <c r="B212" i="14"/>
  <c r="B211" i="14"/>
  <c r="B210" i="14"/>
  <c r="B209" i="14"/>
  <c r="B208" i="14"/>
  <c r="B207" i="14"/>
  <c r="B206" i="14"/>
  <c r="B205" i="14"/>
  <c r="B204" i="14"/>
  <c r="B203" i="14"/>
  <c r="B202" i="14"/>
  <c r="B201" i="14"/>
  <c r="B200" i="14"/>
  <c r="B199" i="14"/>
  <c r="B198" i="14"/>
  <c r="B197" i="14"/>
  <c r="B196" i="14"/>
  <c r="B195" i="14"/>
  <c r="B194" i="14"/>
  <c r="B193" i="14"/>
  <c r="B192" i="14"/>
  <c r="B191" i="14"/>
  <c r="B190" i="14"/>
  <c r="B189" i="14"/>
  <c r="B188" i="14"/>
  <c r="B187" i="14"/>
  <c r="B186" i="14"/>
  <c r="B185" i="14"/>
  <c r="B184" i="14"/>
  <c r="B183" i="14"/>
  <c r="B182" i="14"/>
  <c r="B181" i="14"/>
  <c r="B180" i="14"/>
  <c r="B179" i="14"/>
  <c r="B178" i="14"/>
  <c r="B177" i="14"/>
  <c r="B176" i="14"/>
  <c r="B175" i="14"/>
  <c r="B174" i="14"/>
  <c r="B173" i="14"/>
  <c r="B172" i="14"/>
  <c r="B171" i="14"/>
  <c r="B170" i="14"/>
  <c r="B169" i="14"/>
  <c r="B168" i="14"/>
  <c r="B167" i="14"/>
  <c r="B166" i="14"/>
  <c r="B165" i="14"/>
  <c r="B164" i="14"/>
  <c r="B163" i="14"/>
  <c r="B162" i="14"/>
  <c r="B161" i="14"/>
  <c r="B160" i="14"/>
  <c r="B159" i="14"/>
  <c r="B158" i="14"/>
  <c r="B157" i="14"/>
  <c r="B156" i="14"/>
  <c r="B155" i="14"/>
  <c r="B154" i="14"/>
  <c r="B153" i="14"/>
  <c r="B152" i="14"/>
  <c r="B151" i="14"/>
  <c r="B150" i="14"/>
  <c r="B149" i="14"/>
  <c r="B148" i="14"/>
  <c r="B147" i="14"/>
  <c r="B146" i="14"/>
  <c r="B144" i="14"/>
  <c r="B143" i="14"/>
  <c r="B142" i="14"/>
  <c r="B141" i="14"/>
  <c r="B140" i="14"/>
  <c r="B139" i="14"/>
  <c r="B138" i="14"/>
  <c r="B137" i="14"/>
  <c r="B136" i="14"/>
  <c r="B135" i="14"/>
  <c r="B134" i="14"/>
  <c r="B133" i="14"/>
  <c r="B132" i="14"/>
  <c r="B131" i="14"/>
  <c r="B130" i="14"/>
  <c r="B129" i="14"/>
  <c r="B128" i="14"/>
  <c r="B127" i="14"/>
  <c r="B126" i="14"/>
  <c r="B125" i="14"/>
  <c r="B124" i="14"/>
  <c r="B123" i="14"/>
  <c r="B122" i="14"/>
  <c r="B121" i="14"/>
  <c r="B120" i="14"/>
  <c r="B119" i="14"/>
  <c r="B118" i="14"/>
  <c r="B117" i="14"/>
  <c r="B116" i="14"/>
  <c r="B115" i="14"/>
  <c r="B114" i="14"/>
  <c r="B113" i="14"/>
  <c r="B112" i="14"/>
  <c r="B111" i="14"/>
  <c r="B110" i="14"/>
  <c r="B109" i="14"/>
  <c r="B108" i="14"/>
  <c r="B107" i="14"/>
  <c r="B106" i="14"/>
  <c r="B105" i="14"/>
  <c r="B104" i="14"/>
  <c r="B103" i="14"/>
  <c r="B102" i="14"/>
  <c r="B101" i="14"/>
  <c r="B100" i="14"/>
  <c r="B99" i="14"/>
  <c r="B98" i="14"/>
  <c r="B97" i="14"/>
  <c r="B96" i="14"/>
  <c r="B95" i="14"/>
  <c r="B94" i="14"/>
  <c r="B93" i="14"/>
  <c r="B92" i="14"/>
  <c r="B91" i="14"/>
  <c r="B90" i="14"/>
  <c r="B89" i="14"/>
  <c r="B88" i="14"/>
  <c r="B87" i="14"/>
  <c r="B86" i="14"/>
  <c r="B85" i="14"/>
  <c r="B84" i="14"/>
  <c r="B83" i="14"/>
  <c r="B82" i="14"/>
  <c r="B81" i="14"/>
  <c r="B80" i="14"/>
  <c r="B79" i="14"/>
  <c r="B78" i="14"/>
  <c r="B77" i="14"/>
  <c r="B76" i="14"/>
  <c r="B75" i="14"/>
  <c r="B74" i="14"/>
  <c r="B73" i="14"/>
  <c r="B72" i="14"/>
  <c r="B71" i="14"/>
  <c r="B70" i="14"/>
  <c r="B69" i="14"/>
  <c r="B68" i="14"/>
  <c r="B67" i="14"/>
  <c r="B66" i="14"/>
  <c r="B65" i="14"/>
  <c r="B64" i="14"/>
  <c r="B63" i="14"/>
  <c r="B62" i="14"/>
  <c r="B61" i="14"/>
  <c r="B60" i="14"/>
  <c r="B59" i="14"/>
  <c r="B58" i="14"/>
  <c r="B57" i="14"/>
  <c r="B56" i="14"/>
  <c r="B55" i="14"/>
  <c r="B54" i="14"/>
  <c r="B53" i="14"/>
  <c r="B52" i="14"/>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10" i="14"/>
  <c r="B9" i="14"/>
  <c r="B8" i="14"/>
  <c r="B7" i="14"/>
  <c r="H5" i="14"/>
  <c r="F348" i="14" l="true"/>
  <c r="B348" i="14"/>
  <c r="B6" i="14"/>
  <c r="AW5" i="14"/>
  <c r="AB5" i="14"/>
  <c r="AA5" i="14"/>
  <c r="Z5" i="14"/>
  <c r="Y5" i="14"/>
  <c r="X5" i="14"/>
  <c r="W5" i="14"/>
  <c r="V5" i="14"/>
  <c r="U5" i="14"/>
  <c r="T5" i="14"/>
  <c r="S5" i="14"/>
  <c r="R5" i="14"/>
  <c r="Q5" i="14"/>
  <c r="P5" i="14"/>
  <c r="O5" i="14"/>
  <c r="N5" i="14"/>
  <c r="M5" i="14"/>
  <c r="L5" i="14"/>
  <c r="K5" i="14"/>
  <c r="J5" i="14"/>
  <c r="I5" i="14"/>
  <c r="AW2" i="14"/>
  <c r="AB2" i="14"/>
  <c r="AA2" i="14"/>
  <c r="Z2" i="14"/>
  <c r="Y2" i="14"/>
  <c r="X2" i="14"/>
  <c r="W2" i="14"/>
  <c r="V2" i="14"/>
  <c r="U2" i="14"/>
  <c r="T2" i="14"/>
  <c r="S2" i="14"/>
  <c r="R2" i="14"/>
  <c r="Q2" i="14"/>
  <c r="P2" i="14"/>
  <c r="O2" i="14"/>
  <c r="N2" i="14"/>
  <c r="M2" i="14"/>
  <c r="L2" i="14"/>
  <c r="K2" i="14"/>
  <c r="J2" i="14"/>
  <c r="I2" i="14"/>
  <c r="H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D7F8F503-0D2E-45E4-A57E-9F451A7D725C}">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k-suzuki</author>
  </authors>
  <commentList>
    <comment ref="C3" authorId="0" shapeId="0" xr:uid="{23A754DD-9BB1-4058-AAC1-509BD4ECB52C}">
      <text>
        <r>
          <rPr>
            <b/>
            <sz val="9"/>
            <color indexed="81"/>
            <rFont val="MS P ゴシック"/>
            <family val="3"/>
            <charset val="128"/>
          </rPr>
          <t>k-suzuki:</t>
        </r>
        <r>
          <rPr>
            <sz val="9"/>
            <color indexed="81"/>
            <rFont val="MS P ゴシック"/>
            <family val="3"/>
            <charset val="128"/>
          </rPr>
          <t xml:space="preserve">
凡例
背景赤：処理機に記載があるが設計書がない
背景オレンジ：APIが必要か不明
太文字：設計書名変更</t>
        </r>
      </text>
    </comment>
  </commentList>
</comments>
</file>

<file path=xl/sharedStrings.xml><?xml version="1.0" encoding="utf-8"?>
<sst xmlns="http://schemas.openxmlformats.org/spreadsheetml/2006/main" count="6073" uniqueCount="1235">
  <si>
    <t>画＝画面　バ＝バッチ</t>
    <rPh sb="0" eb="1">
      <t>ガ</t>
    </rPh>
    <rPh sb="2" eb="4">
      <t>ガメン</t>
    </rPh>
    <phoneticPr fontId="36"/>
  </si>
  <si>
    <t>No</t>
    <phoneticPr fontId="36"/>
  </si>
  <si>
    <t>画</t>
  </si>
  <si>
    <t>●</t>
  </si>
  <si>
    <t>※内部設計工程で定義</t>
    <rPh sb="1" eb="3">
      <t>ナイブ</t>
    </rPh>
    <rPh sb="3" eb="7">
      <t>セッケイコウテイ</t>
    </rPh>
    <rPh sb="8" eb="10">
      <t>テイギ</t>
    </rPh>
    <phoneticPr fontId="3"/>
  </si>
  <si>
    <t>単位検索</t>
  </si>
  <si>
    <t>業種検索</t>
  </si>
  <si>
    <t>会計情報品目検索</t>
  </si>
  <si>
    <t>収支管理品目大分類検索</t>
  </si>
  <si>
    <t>ホクレン口座検索</t>
    <phoneticPr fontId="36"/>
  </si>
  <si>
    <t>業種検索</t>
    <rPh sb="0" eb="2">
      <t>ギョウシュ</t>
    </rPh>
    <rPh sb="2" eb="4">
      <t>ケンサク</t>
    </rPh>
    <phoneticPr fontId="36"/>
  </si>
  <si>
    <t>職員検索</t>
    <phoneticPr fontId="36"/>
  </si>
  <si>
    <t>振替伝票検索</t>
    <phoneticPr fontId="36"/>
  </si>
  <si>
    <t>事業所検索</t>
    <phoneticPr fontId="36"/>
  </si>
  <si>
    <t>組織検索</t>
    <phoneticPr fontId="36"/>
  </si>
  <si>
    <t>相手先検索</t>
    <phoneticPr fontId="36"/>
  </si>
  <si>
    <t>収支管理品目検索</t>
    <phoneticPr fontId="36"/>
  </si>
  <si>
    <t>施設検索</t>
    <phoneticPr fontId="36"/>
  </si>
  <si>
    <t>取引パターン検索</t>
    <phoneticPr fontId="36"/>
  </si>
  <si>
    <t>支所農協検索</t>
    <phoneticPr fontId="3"/>
  </si>
  <si>
    <t>共計精算パターン検索</t>
    <phoneticPr fontId="36"/>
  </si>
  <si>
    <t>勘定科目検索</t>
    <phoneticPr fontId="36"/>
  </si>
  <si>
    <t>科目摘要検索</t>
    <phoneticPr fontId="36"/>
  </si>
  <si>
    <t>金融機関検索</t>
    <phoneticPr fontId="36"/>
  </si>
  <si>
    <t>決済条件適用品目検索</t>
    <phoneticPr fontId="36"/>
  </si>
  <si>
    <t>会計情報品目検索</t>
    <phoneticPr fontId="36"/>
  </si>
  <si>
    <t>サイト条件検索</t>
    <phoneticPr fontId="36"/>
  </si>
  <si>
    <t>金利連番検索</t>
    <phoneticPr fontId="36"/>
  </si>
  <si>
    <t>会計コード検索</t>
    <phoneticPr fontId="36"/>
  </si>
  <si>
    <t>収支管理品目大分類検索</t>
    <phoneticPr fontId="36"/>
  </si>
  <si>
    <t>ホクレン口座検索</t>
  </si>
  <si>
    <t>職員検索</t>
  </si>
  <si>
    <t>振替伝票検索</t>
  </si>
  <si>
    <t>事業所検索</t>
  </si>
  <si>
    <t>相手先検索</t>
  </si>
  <si>
    <t>収支管理品目検索</t>
  </si>
  <si>
    <t>施設検索</t>
  </si>
  <si>
    <t>取引パターン検索</t>
  </si>
  <si>
    <t>支所農協検索</t>
  </si>
  <si>
    <t>共計精算パターン検索</t>
  </si>
  <si>
    <t>勘定科目検索</t>
  </si>
  <si>
    <t>科目摘要検索</t>
  </si>
  <si>
    <t>金融機関検索</t>
  </si>
  <si>
    <t>サイト条件検索</t>
  </si>
  <si>
    <t>金利連番検索</t>
  </si>
  <si>
    <t>2.財務会計</t>
    <rPh sb="2" eb="4">
      <t>ザイム</t>
    </rPh>
    <rPh sb="4" eb="6">
      <t>カイケイ</t>
    </rPh>
    <phoneticPr fontId="3"/>
  </si>
  <si>
    <t>仕訳入力</t>
  </si>
  <si>
    <t>仕訳明細入力</t>
  </si>
  <si>
    <t>仕訳入力確認</t>
  </si>
  <si>
    <t>仕訳CSV取込</t>
  </si>
  <si>
    <t>仕訳一覧</t>
  </si>
  <si>
    <t>仕訳入力照会</t>
  </si>
  <si>
    <t>決算仕訳入力</t>
  </si>
  <si>
    <t>決算明細入力</t>
  </si>
  <si>
    <t>決算入力確認</t>
  </si>
  <si>
    <t>決算仕訳CSV取込</t>
  </si>
  <si>
    <t>決算仕訳一覧</t>
  </si>
  <si>
    <t>決算仕訳入力照会</t>
  </si>
  <si>
    <t>仕訳伝票照会</t>
  </si>
  <si>
    <t>月次確定処理</t>
  </si>
  <si>
    <t>月次確定処理（主計課）</t>
  </si>
  <si>
    <t>入力確認画面</t>
  </si>
  <si>
    <t>計画データCSV取込</t>
  </si>
  <si>
    <t>当初計画データ確定</t>
  </si>
  <si>
    <t>取扱高収支見込CSV取込</t>
  </si>
  <si>
    <t>内部資金利息管理帳票作成</t>
  </si>
  <si>
    <t>資金残高計画CSV取込</t>
  </si>
  <si>
    <t>資金残高計画確定</t>
  </si>
  <si>
    <t>科目別相手先別残高表（目／節）（摘要）作成</t>
  </si>
  <si>
    <t>部門別実績比較損益計算書作成</t>
  </si>
  <si>
    <t>品目別取扱高計画実績対比表作成</t>
  </si>
  <si>
    <t>事業管理費業種配分付表作成</t>
  </si>
  <si>
    <t>会員別・系統利用高関連調書作成</t>
  </si>
  <si>
    <t>3.管理会計</t>
    <phoneticPr fontId="3"/>
  </si>
  <si>
    <t>4.税務</t>
  </si>
  <si>
    <t>税務関連帳票作成</t>
    <phoneticPr fontId="3"/>
  </si>
  <si>
    <t>汎用請求書入力（CSV取込）</t>
  </si>
  <si>
    <t>汎用請求書入力（手入力）</t>
  </si>
  <si>
    <t>取引先区分CSV取込</t>
  </si>
  <si>
    <t>未収金残高管理表照会</t>
  </si>
  <si>
    <t>債権確認対象取引先CSV取込</t>
  </si>
  <si>
    <t>債権確認書作成指示</t>
  </si>
  <si>
    <t>債権確認書出力</t>
  </si>
  <si>
    <t>債権確認書回答入力</t>
  </si>
  <si>
    <t>債権確認書照会</t>
  </si>
  <si>
    <t>回収条件変更入力</t>
  </si>
  <si>
    <t>子会社入出金データ取込</t>
  </si>
  <si>
    <t>子会社入出金データ取込承認依頼</t>
  </si>
  <si>
    <t>汎用請求書CSV取込</t>
  </si>
  <si>
    <t>汎用請求書入力（手入力） 一覧照会</t>
  </si>
  <si>
    <t>汎用請求書入力（手入力） 総括情報入力１</t>
  </si>
  <si>
    <t>汎用請求書入力（手入力） 総括情報入力２</t>
  </si>
  <si>
    <t>汎用請求書入力（手入力） 総括情報入力３</t>
  </si>
  <si>
    <t>汎用請求書入力（手入力） 明細情報入力</t>
  </si>
  <si>
    <t>汎用請求書入力（手入力） 確認</t>
  </si>
  <si>
    <t>未収金残高管理表照会一覧照会</t>
  </si>
  <si>
    <t>債権確認対象取引先CSV取込一覧照会</t>
  </si>
  <si>
    <t>債権確認書作成指示一覧照会</t>
  </si>
  <si>
    <t>債権確認書出力 債権確認書出力</t>
  </si>
  <si>
    <t>債権確認書回答入力 回答入力</t>
  </si>
  <si>
    <t>債権確認書回答入力 回答入力確認</t>
  </si>
  <si>
    <t>債権確認書照会 一覧照会</t>
  </si>
  <si>
    <t>債権確認書照会 個別照会</t>
  </si>
  <si>
    <t>回収条件変更入力 一覧照会</t>
  </si>
  <si>
    <t>回収条件変更入力 入力</t>
  </si>
  <si>
    <t>子会社入出金データ取込　取込</t>
  </si>
  <si>
    <t>子会社入出金データ取込承認依頼　一覧照会</t>
  </si>
  <si>
    <t>子会社入出金データ取込承認依頼　確認</t>
  </si>
  <si>
    <t>5.債権管理</t>
    <phoneticPr fontId="3"/>
  </si>
  <si>
    <t>6.債務管理</t>
    <phoneticPr fontId="3"/>
  </si>
  <si>
    <t>概算金振込データ出力</t>
  </si>
  <si>
    <t>支払案内書照会</t>
  </si>
  <si>
    <t>全農照合結果照会</t>
  </si>
  <si>
    <t>全農未払金振替入力（手動照合）</t>
  </si>
  <si>
    <t>全農債務データ送信対象外情報入力</t>
  </si>
  <si>
    <t>内部未収金・未払金残高CSV出力</t>
  </si>
  <si>
    <t>内部振替</t>
  </si>
  <si>
    <t>相殺予約</t>
  </si>
  <si>
    <t>全農未払金振替一覧</t>
  </si>
  <si>
    <t>全農未払金振替入力</t>
  </si>
  <si>
    <t>全農未払金振替入力（確認）</t>
  </si>
  <si>
    <t>全農未払金振替照会</t>
  </si>
  <si>
    <t>全農債務データ送信対象外情報入力一覧</t>
  </si>
  <si>
    <t xml:space="preserve">全農債務データ送信対象外情報入力（確認） </t>
  </si>
  <si>
    <t xml:space="preserve">内部未収金・未払金残高CSV出力 </t>
  </si>
  <si>
    <t>内部振替一覧</t>
  </si>
  <si>
    <t>内部振替入力</t>
  </si>
  <si>
    <t>内部振替入力確認</t>
  </si>
  <si>
    <t>内部振替照会</t>
  </si>
  <si>
    <t>相殺予約一覧</t>
  </si>
  <si>
    <t>相殺予約入力</t>
  </si>
  <si>
    <t>相殺予約確認</t>
  </si>
  <si>
    <t>相殺予約照会</t>
  </si>
  <si>
    <t>7.棚卸資産管理</t>
  </si>
  <si>
    <t>在庫品棚卸表登録</t>
  </si>
  <si>
    <t>実地棚卸結果入力(CSV取込)</t>
  </si>
  <si>
    <t>保管品・輸送品の回答依頼送信</t>
  </si>
  <si>
    <t>保管品・輸送品の回答入力</t>
  </si>
  <si>
    <t>棚卸資産振替入力</t>
  </si>
  <si>
    <t>棚卸資産振替入力(CSV取込)</t>
  </si>
  <si>
    <t>評価損計算結果・基礎情報作成</t>
  </si>
  <si>
    <t>在庫品棚卸表照会</t>
  </si>
  <si>
    <t>実地棚卸結果照会</t>
  </si>
  <si>
    <t>実地棚卸結果入力</t>
  </si>
  <si>
    <t>在庫品棚卸表入力</t>
  </si>
  <si>
    <t>在庫品棚卸表確認</t>
  </si>
  <si>
    <t>実地棚卸結果CSV取込</t>
  </si>
  <si>
    <t>保管品・輸送品の回答依頼検索</t>
  </si>
  <si>
    <t>保管品・輸送品の回答依頼</t>
  </si>
  <si>
    <t>保管品・輸送品の回答依頼確認</t>
  </si>
  <si>
    <t>保管在庫証明・輸送証明依頼書作成</t>
  </si>
  <si>
    <t>保管在庫証明書回答入力確認</t>
  </si>
  <si>
    <t>保管品・輸送品の回答入力確認</t>
  </si>
  <si>
    <t>棚卸資産振替入力一覧</t>
  </si>
  <si>
    <t>棚卸資産振替入力確認</t>
  </si>
  <si>
    <t>棚卸資産振替入力CSV取込</t>
  </si>
  <si>
    <t>8.部門提供</t>
    <phoneticPr fontId="3"/>
  </si>
  <si>
    <t>定例取引入力</t>
  </si>
  <si>
    <t>定例取引入力ＣＳＶ取込</t>
  </si>
  <si>
    <t>費用入力</t>
  </si>
  <si>
    <t>費用入力(CSV取込)</t>
  </si>
  <si>
    <t>消費税差額入力</t>
  </si>
  <si>
    <t>収益入力</t>
  </si>
  <si>
    <t>収益入力(CSV取込)</t>
  </si>
  <si>
    <t>付替仕向入力</t>
  </si>
  <si>
    <t>付替受入入力</t>
  </si>
  <si>
    <t>人件費情報入力</t>
  </si>
  <si>
    <t>人件費情報入力(CSV取込)</t>
  </si>
  <si>
    <t>人件費特別入力</t>
  </si>
  <si>
    <t>人件費特別入力(CSV取込)</t>
  </si>
  <si>
    <t>施設採算表出力</t>
  </si>
  <si>
    <t>勘定整理帳情報照会</t>
  </si>
  <si>
    <t>手数料配分計算書出力</t>
  </si>
  <si>
    <t>定例取引入力照会</t>
  </si>
  <si>
    <t>定例取引基本入力</t>
  </si>
  <si>
    <t>定例取引詳細入力</t>
  </si>
  <si>
    <t>定例取引入力確認</t>
  </si>
  <si>
    <t>費用入力照会</t>
  </si>
  <si>
    <t>費用入力確認</t>
  </si>
  <si>
    <t>消費税差額入力 基本入力</t>
  </si>
  <si>
    <t>消費税差額入力 項目入力</t>
  </si>
  <si>
    <t>消費税差額入力 確認</t>
  </si>
  <si>
    <t>収益入力照会</t>
  </si>
  <si>
    <t>収益入力確認</t>
  </si>
  <si>
    <t>付替仕向入力 検索</t>
  </si>
  <si>
    <t>付替仕向入力 登録</t>
  </si>
  <si>
    <t>付替仕向入力 修正</t>
  </si>
  <si>
    <t>付替仕向入力 確認</t>
  </si>
  <si>
    <t>付替受入 受入入力</t>
  </si>
  <si>
    <t>付替受入入力 確認</t>
  </si>
  <si>
    <t>人件費情報基本入力</t>
  </si>
  <si>
    <t>人件費情報明細入力</t>
  </si>
  <si>
    <t>人件費情報確認</t>
  </si>
  <si>
    <t>人件費情報個別確認</t>
  </si>
  <si>
    <t>人件費特別明細入力</t>
  </si>
  <si>
    <t>人件費特別確認</t>
  </si>
  <si>
    <t>勘定整理帳情報照会　一覧照会</t>
  </si>
  <si>
    <t>9.共計</t>
    <phoneticPr fontId="3"/>
  </si>
  <si>
    <t>共計精算入力</t>
  </si>
  <si>
    <t>共計精算入力CSV取込</t>
  </si>
  <si>
    <t>滞留立替金利計算書作成</t>
  </si>
  <si>
    <t>滞留立替金利補正入力</t>
  </si>
  <si>
    <t>滞留立替金利経理計上</t>
  </si>
  <si>
    <t>購買共計年度繰越入力</t>
  </si>
  <si>
    <t>販売共計年産繰越入力</t>
  </si>
  <si>
    <t>購買共計勘定振替作成</t>
  </si>
  <si>
    <t>販売共計勘定振替作成</t>
  </si>
  <si>
    <t>販売共計勘定整理帳作成</t>
  </si>
  <si>
    <t>購買共計勘定整理帳作成</t>
  </si>
  <si>
    <t>共計精算入力一覧確認</t>
  </si>
  <si>
    <t>共計精算情報入力</t>
  </si>
  <si>
    <t>共計精算入力確認</t>
  </si>
  <si>
    <t>共計精算入力CSV取込結果確認</t>
  </si>
  <si>
    <t>滞留立替金利補正情報検索</t>
  </si>
  <si>
    <t>滞留立替金利補正情報入力</t>
  </si>
  <si>
    <t>滞留立替金利補正情報確認</t>
  </si>
  <si>
    <t>滞留立替金利経理計上確認</t>
  </si>
  <si>
    <t>販売共計年産繰越情報確認</t>
  </si>
  <si>
    <t>購買共計勘定振替情報作成</t>
  </si>
  <si>
    <t>購買共計勘定振替情報確認</t>
  </si>
  <si>
    <t>販売共計勘定振替情報作成　収支管理品目選択</t>
  </si>
  <si>
    <t>販売共計勘定振替情報作成</t>
  </si>
  <si>
    <t>11.マスタ管理</t>
    <phoneticPr fontId="3"/>
  </si>
  <si>
    <t>勘定科目マスタ入力</t>
  </si>
  <si>
    <t>科目摘要マスタ入力</t>
  </si>
  <si>
    <t>ホクレン口座マスタ入力</t>
  </si>
  <si>
    <t>仕訳パターンマスタ入力</t>
  </si>
  <si>
    <t>定例取引パターンマスタ入力</t>
  </si>
  <si>
    <t>共計精算パターンマスタ入力</t>
  </si>
  <si>
    <t>共計適用金利マスタ入力</t>
  </si>
  <si>
    <t>人員配置マスタCSV取込</t>
  </si>
  <si>
    <t>取扱高手数料配分率マスタ入力</t>
  </si>
  <si>
    <t>購買手数料配分率マスタ入力</t>
  </si>
  <si>
    <t>決済条件マスタ入力</t>
  </si>
  <si>
    <t>職員決済条件マスタ入力</t>
  </si>
  <si>
    <t>共通決済条件マスタ入力</t>
  </si>
  <si>
    <t>決済条件適用品目マスタ入力</t>
  </si>
  <si>
    <t>サイト条件マスタ入力</t>
  </si>
  <si>
    <t>請求書制御マスタ入力</t>
  </si>
  <si>
    <t>請求書様式マスタ入力</t>
  </si>
  <si>
    <t>支払案内書作成マスタ入力</t>
  </si>
  <si>
    <t>預金摘要科目マスタ入力</t>
  </si>
  <si>
    <t>決済条件入力申請ＣＳＶ取込</t>
  </si>
  <si>
    <t>部門マスタ入力</t>
  </si>
  <si>
    <t>業種マスタ入力</t>
  </si>
  <si>
    <t>組織／業種マスタ入力</t>
  </si>
  <si>
    <t>金融機関データ取込</t>
  </si>
  <si>
    <t>消費税マスタ入力</t>
  </si>
  <si>
    <t>会計情報品目マスタ入力</t>
  </si>
  <si>
    <t>収支管理品目大分類マスタ入力</t>
  </si>
  <si>
    <t>収支管理品目マスタ入力</t>
  </si>
  <si>
    <t>収支管理品目マスタCSV取込</t>
  </si>
  <si>
    <t>勘定科目マスタ（項）一覧</t>
  </si>
  <si>
    <t>勘定科目マスタ（項）入力</t>
  </si>
  <si>
    <t>勘定科目マスタ（項）照会</t>
  </si>
  <si>
    <t>勘定科目マスタ（項）確認</t>
  </si>
  <si>
    <t>勘定科目マスタ（目節）一覧</t>
  </si>
  <si>
    <t>勘定科目マスタ（目節）入力</t>
  </si>
  <si>
    <t>勘定科目マスタ（目節）照会</t>
  </si>
  <si>
    <t>勘定科目マスタ（目節）確認</t>
  </si>
  <si>
    <t>科目摘要マスタ一覧</t>
  </si>
  <si>
    <t>科目摘要マスタ照会</t>
  </si>
  <si>
    <t>科目摘要マスタ確認</t>
  </si>
  <si>
    <t>ホクレン口座マスタ一覧</t>
  </si>
  <si>
    <t>ホクレン口座マスタ照会</t>
  </si>
  <si>
    <t>ホクレン口座マスタ確認</t>
  </si>
  <si>
    <t>仕訳パターンマスタ一覧</t>
  </si>
  <si>
    <t>仕訳パターンマスタ明細入力</t>
  </si>
  <si>
    <t>仕訳パターンマスタ照会</t>
  </si>
  <si>
    <t>仕訳パターンマスタ明細照会</t>
  </si>
  <si>
    <t>仕訳パターンマスタ確認</t>
  </si>
  <si>
    <t>仕訳パターンマスタ明細確認</t>
  </si>
  <si>
    <t>定例取引パターンマスタ一覧</t>
  </si>
  <si>
    <t>定例取引パターンマスタ照会</t>
  </si>
  <si>
    <t>定例取引パターンマスタ確認</t>
  </si>
  <si>
    <t>共計精算パターンマスタ一覧</t>
  </si>
  <si>
    <t>共計精算パターンマスタ照会</t>
  </si>
  <si>
    <t>共計精算パターンマスタ確認</t>
  </si>
  <si>
    <t>共計適用金利マスタ一覧</t>
  </si>
  <si>
    <t>共計適用金利マスタ照会</t>
  </si>
  <si>
    <t>共計適用金利マスタ確認</t>
  </si>
  <si>
    <t>人員配置マスタ一覧</t>
  </si>
  <si>
    <t>人員配置マスタ照会</t>
  </si>
  <si>
    <t>人員配置マスタ確認</t>
  </si>
  <si>
    <t>取扱高手数料配分率マスタ一覧</t>
  </si>
  <si>
    <t>取扱高手数料配分率マスタ照会</t>
  </si>
  <si>
    <t>取扱高手数料配分率マスタ確認</t>
  </si>
  <si>
    <t>購買手数料配分率マスタ一覧</t>
  </si>
  <si>
    <t>購買手数料配分率マスタ照会</t>
  </si>
  <si>
    <t>購買手数料配分率マスタ確認</t>
  </si>
  <si>
    <t>決済条件マスタ一覧</t>
  </si>
  <si>
    <t>決済条件マスタ照会</t>
  </si>
  <si>
    <t>決済条件マスタ確認</t>
  </si>
  <si>
    <t>職員決済条件マスタ一覧</t>
  </si>
  <si>
    <t>職員決済条件マスタ照会</t>
  </si>
  <si>
    <t>職員決済条件マスタ確認</t>
  </si>
  <si>
    <t>共通決済条件マスタ一覧</t>
  </si>
  <si>
    <t>共通決済条件マスタ照会</t>
  </si>
  <si>
    <t>共通決済条件マスタ確認</t>
  </si>
  <si>
    <t>決済条件適用品目マスタ一覧</t>
  </si>
  <si>
    <t>決済条件適用品目マスタ照会</t>
  </si>
  <si>
    <t>決済条件適用品目マスタ確認</t>
  </si>
  <si>
    <t>サイト条件マスタ一覧</t>
  </si>
  <si>
    <t>サイト条件マスタ照会</t>
  </si>
  <si>
    <t>サイト条件マスタ確認</t>
  </si>
  <si>
    <t>請求書制御マスタ一覧</t>
  </si>
  <si>
    <t>請求書制御マスタ基本情報入力</t>
  </si>
  <si>
    <t>請求書制御マスタ明細情報入力</t>
  </si>
  <si>
    <t>請求書制御マスタ照会</t>
  </si>
  <si>
    <t>請求書制御マスタ確認</t>
  </si>
  <si>
    <t>請求書様式マスタ一覧</t>
  </si>
  <si>
    <t>請求書様式マスタ照会</t>
  </si>
  <si>
    <t>請求書様式マスタ確認</t>
  </si>
  <si>
    <t>支払案内書作成マスタ一覧</t>
  </si>
  <si>
    <t>支払案内書作成マスタ照会</t>
  </si>
  <si>
    <t>支払案内書作成マスタ確認</t>
  </si>
  <si>
    <t>預金摘要科目マスタ一覧</t>
  </si>
  <si>
    <t>預金摘要科目マスタ照会</t>
  </si>
  <si>
    <t>預金摘要科目マスタ確認</t>
  </si>
  <si>
    <t>部門マスタ一覧</t>
  </si>
  <si>
    <t>部門マスタ確認</t>
  </si>
  <si>
    <t>業種マスタ一覧</t>
  </si>
  <si>
    <t>業種マスタ確認</t>
  </si>
  <si>
    <t>組織／業種マスタ一覧</t>
  </si>
  <si>
    <t>組織／業種マスタ確認</t>
  </si>
  <si>
    <t>消費税マスタ一覧</t>
  </si>
  <si>
    <t>消費税マスタ確認</t>
  </si>
  <si>
    <t>会計情報品目マスタ一覧</t>
  </si>
  <si>
    <t>会計情報品目マスタ確認</t>
  </si>
  <si>
    <t>収支管理品目大分類マスタ一覧</t>
  </si>
  <si>
    <t>収支管理品目大分類マスタ確認</t>
  </si>
  <si>
    <t>収支管理品目マスタ一覧</t>
  </si>
  <si>
    <t>収支管理品目マスタ照会</t>
  </si>
  <si>
    <t>収支管理品目マスタ確認</t>
  </si>
  <si>
    <t>収支管理品目入力申請CSV取込</t>
  </si>
  <si>
    <t>12.共通</t>
    <phoneticPr fontId="3"/>
  </si>
  <si>
    <t>債権債務承認一覧</t>
  </si>
  <si>
    <t>仕訳承認一覧</t>
  </si>
  <si>
    <t>発生源ＷＥＢシステム承認一覧</t>
  </si>
  <si>
    <t>マスタ承認一覧</t>
  </si>
  <si>
    <t>処理結果照会</t>
  </si>
  <si>
    <t>未収未払組織検索</t>
  </si>
  <si>
    <t>受払組織検索</t>
  </si>
  <si>
    <t>実績組織検索</t>
  </si>
  <si>
    <t>所属検索</t>
  </si>
  <si>
    <t>決済条件摘要品目検索</t>
  </si>
  <si>
    <t>共計組織検索</t>
  </si>
  <si>
    <t>金額摘要検索</t>
  </si>
  <si>
    <t>添付ファイル</t>
  </si>
  <si>
    <t>汎用請求書承認</t>
  </si>
  <si>
    <t>債権確認書作成指示承認</t>
  </si>
  <si>
    <t>回収条件変更入力承認</t>
  </si>
  <si>
    <t>子会社入出金データ取込承認確認</t>
  </si>
  <si>
    <t>全農未払金振替入力承認</t>
  </si>
  <si>
    <t>全農債務データ送信対象外情報承認</t>
  </si>
  <si>
    <t>内部振替承認</t>
  </si>
  <si>
    <t>相殺予約承認</t>
  </si>
  <si>
    <t>仕訳入力承認</t>
  </si>
  <si>
    <t>決算仕訳入力承認</t>
  </si>
  <si>
    <t>定例取引計上承認 個別照会</t>
  </si>
  <si>
    <t>費用計上承認 個別確認</t>
  </si>
  <si>
    <t>収益承認 個別確認</t>
  </si>
  <si>
    <t>付替仕向承認 個別確認</t>
  </si>
  <si>
    <t>付替受入承認 個別確認</t>
  </si>
  <si>
    <t>消費税差額承認 個別選択</t>
  </si>
  <si>
    <t>人件費情報個別照会</t>
  </si>
  <si>
    <t>人件費特別入力個別照会</t>
  </si>
  <si>
    <t>棚卸資産振替承認（承認確認）</t>
  </si>
  <si>
    <t>在庫品棚卸表承認（承認確認）</t>
  </si>
  <si>
    <t>勘定科目マスタ承認</t>
  </si>
  <si>
    <t>ホクレン口座マスタ承認</t>
  </si>
  <si>
    <t>仕訳パターンマスタ承認</t>
  </si>
  <si>
    <t>定例取引パターンマスタ承認</t>
  </si>
  <si>
    <t>共計精算パターンマスタ承認</t>
  </si>
  <si>
    <t>共計適用金利マスタ承認</t>
  </si>
  <si>
    <t>人員配置マスタ承認</t>
  </si>
  <si>
    <t>取扱高手数料配分率マスタ承認</t>
  </si>
  <si>
    <t>購買手数料配分率マスタ承認</t>
  </si>
  <si>
    <t>決済条件マスタ承認</t>
  </si>
  <si>
    <t>職員決済条件マスタ承認</t>
  </si>
  <si>
    <t>共通決済条件マスタ承認</t>
  </si>
  <si>
    <t>決済条件適用品目マスタ承認</t>
  </si>
  <si>
    <t>サイト条件マスタ承認</t>
  </si>
  <si>
    <t>請求書制御マスタ承認</t>
  </si>
  <si>
    <t>請求書様式マスタ承認</t>
  </si>
  <si>
    <t>預金摘要科目マスタ承認</t>
  </si>
  <si>
    <t>部門マスタ承認</t>
  </si>
  <si>
    <t>業種マスタ承認</t>
  </si>
  <si>
    <t>組織／業種マスタ承認</t>
  </si>
  <si>
    <t>会計情報品目マスタ承認</t>
  </si>
  <si>
    <t>収支管理品目大分類マスタ承認</t>
  </si>
  <si>
    <t>収支管理品目マスタ承認</t>
  </si>
  <si>
    <t>●</t>
    <phoneticPr fontId="3"/>
  </si>
  <si>
    <t>仕訳伝票照会</t>
    <phoneticPr fontId="3"/>
  </si>
  <si>
    <t>仕訳伝票詳細</t>
    <phoneticPr fontId="3"/>
  </si>
  <si>
    <t>滞留立替金利経理計上一覧表示</t>
    <rPh sb="12" eb="14">
      <t>ヒョウジ</t>
    </rPh>
    <phoneticPr fontId="3"/>
  </si>
  <si>
    <t>滞留立替金利経理計上作成</t>
    <rPh sb="10" eb="12">
      <t>サクセイ</t>
    </rPh>
    <phoneticPr fontId="3"/>
  </si>
  <si>
    <t>購買共計年度繰越情報確認</t>
    <phoneticPr fontId="3"/>
  </si>
  <si>
    <t>購買共計年度繰越情報入力</t>
    <phoneticPr fontId="3"/>
  </si>
  <si>
    <t>購買共計年度繰越情報条件入力</t>
    <phoneticPr fontId="3"/>
  </si>
  <si>
    <t>販売共計年産繰越情報条件入力</t>
    <phoneticPr fontId="3"/>
  </si>
  <si>
    <t>販売共計年産繰越情報入力</t>
    <phoneticPr fontId="3"/>
  </si>
  <si>
    <t>購買共計勘定振替情報条件入力</t>
    <phoneticPr fontId="3"/>
  </si>
  <si>
    <t>販売共計勘定振替情報条件入力</t>
    <phoneticPr fontId="3"/>
  </si>
  <si>
    <t>(公開インタフェース)
業種情報取得</t>
    <phoneticPr fontId="3"/>
  </si>
  <si>
    <t>(公開インタフェース)
金融機関情報取得</t>
    <phoneticPr fontId="3"/>
  </si>
  <si>
    <t>(公開インタフェース)
消費税率取得</t>
    <phoneticPr fontId="3"/>
  </si>
  <si>
    <t>(公開インタフェース)
収支管理品目取得</t>
    <phoneticPr fontId="3"/>
  </si>
  <si>
    <t>(公開インタフェース)
収支管理品目情報登録</t>
    <phoneticPr fontId="3"/>
  </si>
  <si>
    <t>(公開インタフェース)
勘定日付取得処理</t>
    <phoneticPr fontId="3"/>
  </si>
  <si>
    <t>(公開インタフェース)
会計年度算出</t>
    <phoneticPr fontId="3"/>
  </si>
  <si>
    <t>(公開インタフェース)
債権債務共通項目取得</t>
    <phoneticPr fontId="3"/>
  </si>
  <si>
    <t>(公開インタフェース)
サイト条件文字情報変換</t>
    <phoneticPr fontId="3"/>
  </si>
  <si>
    <t>(公開インタフェース)
処理支払予定日取得</t>
    <phoneticPr fontId="3"/>
  </si>
  <si>
    <t>(公開インタフェース)
金融機関情報抽出</t>
    <phoneticPr fontId="3"/>
  </si>
  <si>
    <t>(公開インタフェース)
債権残高提供</t>
    <phoneticPr fontId="3"/>
  </si>
  <si>
    <t>(公開インタフェース)
回収支払名称取得</t>
    <phoneticPr fontId="3"/>
  </si>
  <si>
    <t>(公開インタフェース)
決済情報抽出</t>
    <phoneticPr fontId="3"/>
  </si>
  <si>
    <t>(公開インタフェース)
決済情報抽出処理（農協用）</t>
    <phoneticPr fontId="3"/>
  </si>
  <si>
    <t>(公開インタフェース)
取引先情報取得</t>
    <phoneticPr fontId="3"/>
  </si>
  <si>
    <t>(公開インタフェース)
数量正規化</t>
    <phoneticPr fontId="3"/>
  </si>
  <si>
    <t>(公開インタフェース)
品目分類マスタ取得</t>
    <phoneticPr fontId="3"/>
  </si>
  <si>
    <t>(公開インタフェース)
棚卸受払残高評価額計算</t>
    <phoneticPr fontId="3"/>
  </si>
  <si>
    <t>(公開インタフェース)
サイト算出</t>
    <phoneticPr fontId="3"/>
  </si>
  <si>
    <t>職員名称取得</t>
    <phoneticPr fontId="40"/>
  </si>
  <si>
    <t>事業所名称取得</t>
    <rPh sb="3" eb="5">
      <t>メイショウ</t>
    </rPh>
    <rPh sb="5" eb="7">
      <t>シュトク</t>
    </rPh>
    <phoneticPr fontId="40"/>
  </si>
  <si>
    <t>統括本部名称取得</t>
    <phoneticPr fontId="40"/>
  </si>
  <si>
    <t>部名称取得</t>
    <phoneticPr fontId="40"/>
  </si>
  <si>
    <t>課名称取得</t>
    <phoneticPr fontId="40"/>
  </si>
  <si>
    <t>施設名称取得</t>
    <phoneticPr fontId="40"/>
  </si>
  <si>
    <t>所属（組織）名称取得</t>
    <rPh sb="3" eb="5">
      <t>ソシキ</t>
    </rPh>
    <phoneticPr fontId="40"/>
  </si>
  <si>
    <t>取引先(店舗)名称取得</t>
    <rPh sb="4" eb="6">
      <t>テンポ</t>
    </rPh>
    <phoneticPr fontId="40"/>
  </si>
  <si>
    <t>業種名称取得</t>
    <phoneticPr fontId="40"/>
  </si>
  <si>
    <t>部門名称取得</t>
    <rPh sb="0" eb="2">
      <t>ブモン</t>
    </rPh>
    <phoneticPr fontId="40"/>
  </si>
  <si>
    <t>会計情報品目名称取得</t>
    <phoneticPr fontId="40"/>
  </si>
  <si>
    <t>収支管理品目名取得</t>
    <phoneticPr fontId="40"/>
  </si>
  <si>
    <t>収支管理品目大分類名称取得</t>
    <rPh sb="6" eb="9">
      <t>ダイブンルイ</t>
    </rPh>
    <phoneticPr fontId="40"/>
  </si>
  <si>
    <t>金融機関名称取得</t>
    <phoneticPr fontId="40"/>
  </si>
  <si>
    <t>金融機関店舗名称取得</t>
    <phoneticPr fontId="40"/>
  </si>
  <si>
    <t>勘定科目名称取得</t>
    <phoneticPr fontId="40"/>
  </si>
  <si>
    <t>勘定科目名称（目節）取得</t>
    <phoneticPr fontId="40"/>
  </si>
  <si>
    <t>科目摘要名取得</t>
    <phoneticPr fontId="40"/>
  </si>
  <si>
    <t>会計コードマスタ コード名称取得</t>
    <phoneticPr fontId="40"/>
  </si>
  <si>
    <t>ホクレン口座情報取得</t>
    <rPh sb="6" eb="8">
      <t>ジョウホウ</t>
    </rPh>
    <phoneticPr fontId="40"/>
  </si>
  <si>
    <t>仕訳パターン名称取得</t>
    <phoneticPr fontId="40"/>
  </si>
  <si>
    <t>定例取引パターン名称取得</t>
    <phoneticPr fontId="40"/>
  </si>
  <si>
    <t>共計精算パターン名称取得</t>
    <phoneticPr fontId="40"/>
  </si>
  <si>
    <t>CF勘定科目内訳名称取得</t>
    <phoneticPr fontId="40"/>
  </si>
  <si>
    <t>決済条件名称取得</t>
    <phoneticPr fontId="3"/>
  </si>
  <si>
    <t>決済条件適用品目名称取得</t>
    <phoneticPr fontId="40"/>
  </si>
  <si>
    <t>サイト条件取得</t>
    <phoneticPr fontId="40"/>
  </si>
  <si>
    <t>預金摘要科目名称取得</t>
    <phoneticPr fontId="40"/>
  </si>
  <si>
    <t>事業所ドロップダウン作成</t>
    <phoneticPr fontId="36"/>
  </si>
  <si>
    <t>消費税コードに対応した消費税率を取得</t>
    <phoneticPr fontId="2"/>
  </si>
  <si>
    <t>事業本部ドロップダウン作成</t>
    <phoneticPr fontId="36"/>
  </si>
  <si>
    <t>業種ドロップダウン作成</t>
    <phoneticPr fontId="36"/>
  </si>
  <si>
    <t>会計コードドロップダウン作成</t>
    <phoneticPr fontId="36"/>
  </si>
  <si>
    <t>CF勘定科目内訳ドロップダウン作成</t>
  </si>
  <si>
    <t>部門ドロップダウン作成</t>
    <rPh sb="0" eb="2">
      <t>ブモン</t>
    </rPh>
    <phoneticPr fontId="2"/>
  </si>
  <si>
    <t>消費税ドロップダウン作成</t>
    <phoneticPr fontId="3"/>
  </si>
  <si>
    <t>相手先コード（９桁コード）から相手先（取引先・職員権限）情報取得（存在チェック）</t>
    <phoneticPr fontId="2"/>
  </si>
  <si>
    <t>相手先コード（９桁コード）から相手先種別判定</t>
    <phoneticPr fontId="2"/>
  </si>
  <si>
    <t>会計年度取得</t>
    <rPh sb="0" eb="2">
      <t>カイケイ</t>
    </rPh>
    <rPh sb="2" eb="6">
      <t>ネンドシュトク</t>
    </rPh>
    <phoneticPr fontId="2"/>
  </si>
  <si>
    <t>経理日(基準日)取得</t>
    <phoneticPr fontId="2"/>
  </si>
  <si>
    <t>伝票番号採番(ANY410CL)</t>
    <phoneticPr fontId="2"/>
  </si>
  <si>
    <t>伝票番号フォーマット</t>
    <phoneticPr fontId="2"/>
  </si>
  <si>
    <t>取消伝票番号フォーマット</t>
    <phoneticPr fontId="2"/>
  </si>
  <si>
    <t>参照可能事業所リスト作成処理</t>
    <phoneticPr fontId="2"/>
  </si>
  <si>
    <t>PDFファイル名生成</t>
    <phoneticPr fontId="2"/>
  </si>
  <si>
    <t>PDFヘッダー行作成　（ページ・出力時間等）</t>
    <rPh sb="16" eb="18">
      <t>シュツリョク</t>
    </rPh>
    <rPh sb="18" eb="20">
      <t>ジカン</t>
    </rPh>
    <rPh sb="20" eb="21">
      <t>ナド</t>
    </rPh>
    <phoneticPr fontId="2"/>
  </si>
  <si>
    <t>PDF明細行作成</t>
    <phoneticPr fontId="2"/>
  </si>
  <si>
    <t>PDFフッダー行作成</t>
    <phoneticPr fontId="2"/>
  </si>
  <si>
    <t>PDF保存処理</t>
    <rPh sb="3" eb="7">
      <t>ホゾンショリ</t>
    </rPh>
    <phoneticPr fontId="2"/>
  </si>
  <si>
    <t>CSVファイル名生成</t>
    <phoneticPr fontId="2"/>
  </si>
  <si>
    <t>CSV保存処理(エンコード)</t>
    <rPh sb="3" eb="7">
      <t>ホゾンショリ</t>
    </rPh>
    <phoneticPr fontId="2"/>
  </si>
  <si>
    <t>添付ファイル格納パス取得</t>
    <phoneticPr fontId="2"/>
  </si>
  <si>
    <t>アップロード処理（テンポラリ保存）</t>
    <rPh sb="14" eb="16">
      <t>ホゾン</t>
    </rPh>
    <phoneticPr fontId="2"/>
  </si>
  <si>
    <t>複数のCSVをダウンロードするためにZip圧縮する</t>
    <rPh sb="0" eb="2">
      <t>フクスウ</t>
    </rPh>
    <rPh sb="21" eb="23">
      <t>アッシュク</t>
    </rPh>
    <phoneticPr fontId="2"/>
  </si>
  <si>
    <t>WFから申請番号取得（申請内容登録処理）</t>
    <rPh sb="4" eb="8">
      <t>シンセイバンゴウ</t>
    </rPh>
    <rPh sb="8" eb="10">
      <t>シュトク</t>
    </rPh>
    <rPh sb="11" eb="15">
      <t>シンセイナイヨウ</t>
    </rPh>
    <rPh sb="15" eb="17">
      <t>トウロク</t>
    </rPh>
    <rPh sb="17" eb="19">
      <t>ショリ</t>
    </rPh>
    <phoneticPr fontId="2"/>
  </si>
  <si>
    <t>申請承認API(申請)</t>
  </si>
  <si>
    <t>申請承認API(承認)</t>
  </si>
  <si>
    <t>申請承認API(差戻)</t>
    <phoneticPr fontId="36"/>
  </si>
  <si>
    <t>申請承認API(合議)</t>
    <phoneticPr fontId="36"/>
  </si>
  <si>
    <t>申請承認API(決裁)</t>
    <phoneticPr fontId="36"/>
  </si>
  <si>
    <t>申請承認API(取消)</t>
    <phoneticPr fontId="36"/>
  </si>
  <si>
    <t>申請承認API(取下げ)</t>
    <phoneticPr fontId="36"/>
  </si>
  <si>
    <t>申請承認API(確認)</t>
    <phoneticPr fontId="36"/>
  </si>
  <si>
    <t>承認状態情報取得API</t>
    <rPh sb="0" eb="2">
      <t>ショウニン</t>
    </rPh>
    <rPh sb="2" eb="4">
      <t>ジョウタイ</t>
    </rPh>
    <rPh sb="4" eb="6">
      <t>シュトク</t>
    </rPh>
    <phoneticPr fontId="36"/>
  </si>
  <si>
    <t>申請履歴情報取得API</t>
    <rPh sb="0" eb="6">
      <t>シンセイリレキジョウホウ</t>
    </rPh>
    <rPh sb="6" eb="8">
      <t>シュトク</t>
    </rPh>
    <phoneticPr fontId="36"/>
  </si>
  <si>
    <t>ログ出力・メッセージ取得処理</t>
    <rPh sb="10" eb="12">
      <t>シュトク</t>
    </rPh>
    <rPh sb="12" eb="14">
      <t>ショリ</t>
    </rPh>
    <phoneticPr fontId="2"/>
  </si>
  <si>
    <t>インフォメーションメッセージ格納</t>
    <phoneticPr fontId="2"/>
  </si>
  <si>
    <t>エラーメッセージ格納</t>
    <phoneticPr fontId="2"/>
  </si>
  <si>
    <t>各マスタの検索画面起動処理</t>
    <rPh sb="0" eb="1">
      <t>カク</t>
    </rPh>
    <rPh sb="5" eb="7">
      <t>ケンサク</t>
    </rPh>
    <rPh sb="7" eb="9">
      <t>ガメン</t>
    </rPh>
    <rPh sb="9" eb="11">
      <t>キドウ</t>
    </rPh>
    <rPh sb="11" eb="13">
      <t>ショリ</t>
    </rPh>
    <phoneticPr fontId="2"/>
  </si>
  <si>
    <t>ファイル選択ダイアログ起動処理</t>
    <phoneticPr fontId="2"/>
  </si>
  <si>
    <t>確認(選択)ダイアログ起動処理</t>
    <rPh sb="0" eb="2">
      <t>カクニン</t>
    </rPh>
    <rPh sb="3" eb="5">
      <t>センタク</t>
    </rPh>
    <rPh sb="11" eb="13">
      <t>キドウ</t>
    </rPh>
    <rPh sb="13" eb="15">
      <t>ショリ</t>
    </rPh>
    <phoneticPr fontId="2"/>
  </si>
  <si>
    <t>処理結果照会表示用テーブルに結果（エラー・完了・警告）を保存する</t>
    <rPh sb="6" eb="9">
      <t>ヒョウジヨウ</t>
    </rPh>
    <rPh sb="14" eb="16">
      <t>ケッカ</t>
    </rPh>
    <rPh sb="21" eb="23">
      <t>カンリョウ</t>
    </rPh>
    <rPh sb="24" eb="26">
      <t>ケイコク</t>
    </rPh>
    <rPh sb="28" eb="30">
      <t>ホゾン</t>
    </rPh>
    <phoneticPr fontId="2"/>
  </si>
  <si>
    <t>1.内部受付</t>
  </si>
  <si>
    <t>1.1.内部受付</t>
  </si>
  <si>
    <t>1.1.1_内部受付処理</t>
  </si>
  <si>
    <t>バ</t>
  </si>
  <si>
    <t>1.1.2_仕訳データ生成処理</t>
  </si>
  <si>
    <t>1.1.3_債権データ生成処理</t>
  </si>
  <si>
    <t>1.1.4_債務データ生成処理</t>
  </si>
  <si>
    <t>1.1.5_棚卸データ生成処理</t>
  </si>
  <si>
    <t>1.1.6_共計データ生成処理</t>
  </si>
  <si>
    <t>2.財務会計</t>
  </si>
  <si>
    <t>2.1.財務会計
（ProActiveC4）</t>
  </si>
  <si>
    <t>2.1.1_振替伝票入力</t>
  </si>
  <si>
    <t>対象外</t>
  </si>
  <si>
    <t>2.1.2_振替伝票修正・削除</t>
  </si>
  <si>
    <t>2.1.3_洗替仕訳作成</t>
  </si>
  <si>
    <t>2.1.4_仕訳データ自動取込</t>
  </si>
  <si>
    <t>2.1.5_取込仕訳更新</t>
  </si>
  <si>
    <t>2.1.6_仕訳日記帳</t>
  </si>
  <si>
    <t>2.1.7_仕訳伝票明細データ(アドオン)</t>
  </si>
  <si>
    <t>2.1.8_総勘定元帳</t>
  </si>
  <si>
    <t>2.1.9_B/S・P/L</t>
  </si>
  <si>
    <t>2.1.10_合計残高試算表</t>
  </si>
  <si>
    <t>2.1.11_内訳別集計表</t>
  </si>
  <si>
    <t>2.1.12_月次更新</t>
  </si>
  <si>
    <t>2.1.13_月次更新取消</t>
  </si>
  <si>
    <t>2.1.14_年次更新</t>
  </si>
  <si>
    <t>2.1.15_C/F勘定科目内訳修正</t>
  </si>
  <si>
    <t>2.1.16_C/F勘定科目内訳修正リスト</t>
  </si>
  <si>
    <t>2.1.17_C/F振替入力</t>
  </si>
  <si>
    <t>2.1.18_C/F振替チェックリスト</t>
  </si>
  <si>
    <t>2.1.19_C/F勘定科目残高表</t>
  </si>
  <si>
    <t>2.1.20_C/F計算書</t>
  </si>
  <si>
    <t>2.1.21_消費税データ集計</t>
  </si>
  <si>
    <t>2.1.22_消費税額等変更明細表</t>
  </si>
  <si>
    <t>2.1.23_消費税区分修正</t>
  </si>
  <si>
    <t>2.1.24_消費税区分修正チェックリスト</t>
  </si>
  <si>
    <t>2.1.25_勘定科目別消費税区分明細表</t>
  </si>
  <si>
    <t>2.1.26_勘定科目別消費税区分集計表</t>
  </si>
  <si>
    <t>2.1.27_部門振替残高入力</t>
  </si>
  <si>
    <t>2.1.28_組織変更自動仕訳作成</t>
  </si>
  <si>
    <t>2.1.29_仕訳明細情報</t>
  </si>
  <si>
    <t>2.1.30_期間別合計残高試算表</t>
  </si>
  <si>
    <t>2.2.仕訳管理</t>
  </si>
  <si>
    <t>2.2.1_仕訳入力</t>
  </si>
  <si>
    <t>2.2.2_仕訳CSV取込</t>
  </si>
  <si>
    <t>2.2.3_仕訳入力照会</t>
  </si>
  <si>
    <t>2.2.4_決算仕訳入力</t>
    <phoneticPr fontId="3"/>
  </si>
  <si>
    <t>2.2.5_決算仕訳CSV取込</t>
  </si>
  <si>
    <t>2.2.6_決算仕訳入力照会</t>
  </si>
  <si>
    <t>2.2.7_仕訳データ計上</t>
  </si>
  <si>
    <t>2.2.8_仕訳伝票照会</t>
    <phoneticPr fontId="3"/>
  </si>
  <si>
    <t>2.2.9_月次取消仕訳生成処理</t>
  </si>
  <si>
    <t>2.2.10_PA連動仕訳データ作成処理</t>
    <phoneticPr fontId="3"/>
  </si>
  <si>
    <t>2.2.11_取扱高・売上高売上原価仕訳生成処理</t>
    <phoneticPr fontId="3"/>
  </si>
  <si>
    <t>2.3_残高更新</t>
  </si>
  <si>
    <t>2.3.1_日次残高更新1</t>
  </si>
  <si>
    <t>2.3.3_日次残高更新3</t>
  </si>
  <si>
    <t>2.3.4_日次残高更新4</t>
  </si>
  <si>
    <t>2.3.6_日次残高更6</t>
  </si>
  <si>
    <t>2.3.7_日次残高更7</t>
  </si>
  <si>
    <t>2.3.8_日次残高更8</t>
  </si>
  <si>
    <t>2.3.9_月次残高更新１</t>
  </si>
  <si>
    <t>2.3.11_月次残高更新3</t>
  </si>
  <si>
    <t>2.3.12_月次残高更新4</t>
  </si>
  <si>
    <t>2.3.14_月次残高更新6</t>
  </si>
  <si>
    <t>2.3.15_月次残高更新7</t>
  </si>
  <si>
    <t>2.3.16_月次残高更新８</t>
  </si>
  <si>
    <t>2.3.17_年次繰越処理１</t>
  </si>
  <si>
    <t>2.3.19_年次繰越処理３</t>
  </si>
  <si>
    <t>2.3.20_年次繰越処理４</t>
  </si>
  <si>
    <t>2.3.22_年次繰越処理６</t>
  </si>
  <si>
    <t>2.3.23_年次繰越処理７</t>
  </si>
  <si>
    <t>2.3.24_当期首繰越剰余金作成処理１</t>
  </si>
  <si>
    <t>2.3.26_当期首繰越剰余金作成処理３</t>
  </si>
  <si>
    <t>2.3.27_当期首繰越剰余金作成処理４</t>
  </si>
  <si>
    <t>2.3.29_当期首繰越剰余金作成処理６</t>
  </si>
  <si>
    <t>2.3.30_当期首繰越剰余金作成処理７</t>
  </si>
  <si>
    <t>2.3.31_残高未反映仕訳データ抽出</t>
  </si>
  <si>
    <t>2.4.会計監査</t>
  </si>
  <si>
    <t>2.4.1_仕訳データ連動処理（会計監査用）</t>
  </si>
  <si>
    <t>2.5.締処理</t>
  </si>
  <si>
    <t>2.5.1_月次確定処理</t>
  </si>
  <si>
    <t>2.5.2_残高更新履歴管理</t>
  </si>
  <si>
    <t>2.5.3_確定状態管理</t>
  </si>
  <si>
    <t>3.管理会計</t>
  </si>
  <si>
    <t>3.1.予算計画管理</t>
  </si>
  <si>
    <t>3.1.1_計画データCSV取込</t>
    <phoneticPr fontId="3"/>
  </si>
  <si>
    <t>3.1.2_当初計画データ確定</t>
  </si>
  <si>
    <t>3.1.3_取扱高収支見込CSV取込</t>
  </si>
  <si>
    <t>3.1.4_取扱高収支見込EUCデータ作成処理</t>
  </si>
  <si>
    <t>3.1.5_計画EUCデータ作成処理</t>
  </si>
  <si>
    <t>3.1.6_実績EUCデータ作成処理</t>
  </si>
  <si>
    <t>3.2.内部資金利息管理</t>
  </si>
  <si>
    <t>3.2.1_内部資金利息仕訳計上</t>
  </si>
  <si>
    <t>3.2.2_内部資金利息管理帳票作成</t>
  </si>
  <si>
    <t>3.2.3_資金残高計画CSV取込</t>
  </si>
  <si>
    <t>3.2.4_資金残高計画確定</t>
  </si>
  <si>
    <t>3.3.管理会計データ出力</t>
  </si>
  <si>
    <t>3.3.1_科目別相手先別残高表（目／節）（摘要）作成</t>
  </si>
  <si>
    <t>3.3.2_部門別実績比較損益計算書作成</t>
  </si>
  <si>
    <t>3.3.3_品目別取扱高計画実績対比表作成</t>
  </si>
  <si>
    <t>3.3.4_事業管理費業種配分付表作成</t>
  </si>
  <si>
    <t>3.3.5_会員別・系統利用高関連調書作成</t>
  </si>
  <si>
    <t>4.1.税務データ出力</t>
  </si>
  <si>
    <t>4.1.1_売上繰延調書データ作成処理</t>
  </si>
  <si>
    <t>4.1.2_消費税繰延調書データ作成処理</t>
  </si>
  <si>
    <t>4.1.3_税務関連帳票作成</t>
  </si>
  <si>
    <t>5.債権管理</t>
  </si>
  <si>
    <t>5.1.消込管理</t>
  </si>
  <si>
    <t>5.1.1_債権明細、回収予定データ作成</t>
    <phoneticPr fontId="3"/>
  </si>
  <si>
    <t>5.1.2_債権データ連携処理</t>
    <phoneticPr fontId="3"/>
  </si>
  <si>
    <t>5.1.3_入金仕訳データ作成処理</t>
    <phoneticPr fontId="3"/>
  </si>
  <si>
    <t>5.1.4_債権消込仕訳データ作成処理</t>
    <phoneticPr fontId="3"/>
  </si>
  <si>
    <t>5.2.請求</t>
  </si>
  <si>
    <t>5.2.1_共通請求書作成処理</t>
    <phoneticPr fontId="3"/>
  </si>
  <si>
    <t>5.2.2_消費税差額計上処理</t>
    <phoneticPr fontId="3"/>
  </si>
  <si>
    <t>5.2.3_汎用請求書入力（CSV取込）</t>
    <phoneticPr fontId="3"/>
  </si>
  <si>
    <t>5.2.4_汎用請求書入力（手入力）</t>
    <phoneticPr fontId="3"/>
  </si>
  <si>
    <t>5.2.5_汎用請求書作成処理</t>
    <phoneticPr fontId="3"/>
  </si>
  <si>
    <t>5.2.6_請求書配信処理（自動配信）</t>
    <phoneticPr fontId="3"/>
  </si>
  <si>
    <t>5.3.債権管理</t>
  </si>
  <si>
    <t>5.3.1_取引先区分CSV取込</t>
    <phoneticPr fontId="3"/>
  </si>
  <si>
    <t>5.3.2_未収金残高管理表照会</t>
    <phoneticPr fontId="3"/>
  </si>
  <si>
    <t>5.3.3_未収金残高管理表データ集計処理（日次）</t>
    <phoneticPr fontId="3"/>
  </si>
  <si>
    <t>5.3.4_未収金残高管理表データ集計処理（月次）</t>
    <phoneticPr fontId="3"/>
  </si>
  <si>
    <t>5.3.5_債権確認書発送先対象CSV取込</t>
    <phoneticPr fontId="3"/>
  </si>
  <si>
    <t>5.3.6債権確認書作成指示</t>
    <phoneticPr fontId="3"/>
  </si>
  <si>
    <t>5.3.7_回収条件変更入力
→5.3.11_回収条件変更入力</t>
    <phoneticPr fontId="3"/>
  </si>
  <si>
    <t>5.3.8_受入保証金データ作成処理</t>
    <phoneticPr fontId="3"/>
  </si>
  <si>
    <t>5.3.9_請求データ検索</t>
  </si>
  <si>
    <t>画(廃)</t>
  </si>
  <si>
    <t>5.3.10_市場データ取込</t>
  </si>
  <si>
    <t>5.3.11_市場データ検索</t>
  </si>
  <si>
    <t>5.3.12_事業前受金振分</t>
    <phoneticPr fontId="3"/>
  </si>
  <si>
    <t>5.4.入金管理</t>
  </si>
  <si>
    <t>5.4.1_子会社入出金データ取込</t>
    <phoneticPr fontId="3"/>
  </si>
  <si>
    <t>5.4.2_子会社入出金データ取込承認依頼</t>
    <phoneticPr fontId="3"/>
  </si>
  <si>
    <t>5.4.3_ＣＭＳ入出金仕訳計上処理</t>
    <phoneticPr fontId="3"/>
  </si>
  <si>
    <t>5.4.4_ＣＭＳ入出金連動データ作成処理</t>
    <phoneticPr fontId="3"/>
  </si>
  <si>
    <t>5.4.5_ＣＭＳ入出金連動データ取込処理</t>
    <phoneticPr fontId="3"/>
  </si>
  <si>
    <t>5.5.入金照合（V-ONE）</t>
  </si>
  <si>
    <t>5.5.1_EBデータ取込</t>
  </si>
  <si>
    <t>5.5.2_EBデータ振分</t>
  </si>
  <si>
    <t>5.5.3_入金データ入力</t>
  </si>
  <si>
    <t>5.5.4_入金仕訳出力</t>
  </si>
  <si>
    <t>5.5.5_請求フリーインポーター取込</t>
  </si>
  <si>
    <t>5.5.6_入金予定フリーインポーター更新</t>
  </si>
  <si>
    <t>5.5.7_入金予定手動更新</t>
  </si>
  <si>
    <t>5.5.8_入金データ消込対象外一括処理</t>
  </si>
  <si>
    <t>5.5.9_入金データ消込対象外分割処理</t>
  </si>
  <si>
    <t>5.5.10_前受金計上処理</t>
  </si>
  <si>
    <t>5.5.11_前受金分割処理</t>
  </si>
  <si>
    <t>5.5.12_一括消込処理</t>
  </si>
  <si>
    <t>5.5.13_個別消込処理（手動消込）</t>
  </si>
  <si>
    <t>5.5.14_消込履歴データ検索</t>
  </si>
  <si>
    <t>5.5.15_消込解除</t>
  </si>
  <si>
    <t>5.5.16_前受計上解除</t>
  </si>
  <si>
    <t>5.5.17_入金対象外処理解除</t>
  </si>
  <si>
    <t>5.5.18_消込仕訳出力</t>
  </si>
  <si>
    <t>5.5.19_消込仕訳出力取消</t>
  </si>
  <si>
    <t>5.5.20_入金データ検索</t>
  </si>
  <si>
    <t>5.5.21_請求データ検索</t>
  </si>
  <si>
    <t>5.5.22_市場データ取込</t>
  </si>
  <si>
    <t>5.5.23_市場データ検索</t>
  </si>
  <si>
    <t>5.5.24_事業前受金振分</t>
  </si>
  <si>
    <t>5.5.25_手動予約消込実行</t>
  </si>
  <si>
    <t>5.5.26_事業前受金振分解除</t>
  </si>
  <si>
    <t>5.5.27_照合予約番号登録</t>
  </si>
  <si>
    <t>6.債務管理</t>
  </si>
  <si>
    <t>6.1.支払</t>
  </si>
  <si>
    <t>6.1.1_債務明細、支払予定データ作成</t>
  </si>
  <si>
    <t>6.1.2_債務EUCデータ生成</t>
  </si>
  <si>
    <t>6.1.3_支払予定変更連携処理</t>
  </si>
  <si>
    <t>6.1.4_支払確定データ受信</t>
  </si>
  <si>
    <t>6.1.5_概算金振込データ作成</t>
  </si>
  <si>
    <t>6.1.6_概算金振込データ出力</t>
  </si>
  <si>
    <t>6.1.7_支払外部データ取込（ProActiveC4）</t>
  </si>
  <si>
    <t>6.1.8_支払外部取込履歴一覧照会（ProActiveC4）</t>
  </si>
  <si>
    <t>6.1.9_部門別支払予定Excel（ProActiveC4）</t>
  </si>
  <si>
    <t>6.1.10_支払予定修正（ProActiveC4）</t>
  </si>
  <si>
    <t>6.1.11_一括支払予定修正（ProActiveC4アドオン）</t>
  </si>
  <si>
    <t>6.1.12_支払予定確認票（ProActiveC4）</t>
  </si>
  <si>
    <t>6.1.13_支払予定Excel（ProActiveC4）</t>
  </si>
  <si>
    <t>6.1.支払</t>
    <phoneticPr fontId="46"/>
  </si>
  <si>
    <t>6.1.14_支払決済確定（ProActiveC4）</t>
  </si>
  <si>
    <t>6.1.15_支払決済確定バッチ（ProActiveC4アドオン）</t>
  </si>
  <si>
    <t>6.1.16_支払決済確定取消（ProActiveC4）</t>
  </si>
  <si>
    <t>6.1.17_支払決済確定一覧表（ProActiveC4）</t>
  </si>
  <si>
    <t>6.1.18_銀行振込依頼データ（ProActiveC4）</t>
  </si>
  <si>
    <t>6.1.19_支払状況照会（ProActiveC4）</t>
  </si>
  <si>
    <t>6.1.20_支払決済情報（ProActiveC4）</t>
  </si>
  <si>
    <t>6.1.21_支払依頼明細情報（ProActiveC4）</t>
  </si>
  <si>
    <t>c</t>
    <phoneticPr fontId="3"/>
  </si>
  <si>
    <t>6.2.支払案内</t>
  </si>
  <si>
    <t>6.2.1_支払案内書作成</t>
  </si>
  <si>
    <t>6.2.2_支払案内書照会</t>
  </si>
  <si>
    <t>6.3.全農照合</t>
  </si>
  <si>
    <t>6.3.1_全農債務データ作成</t>
  </si>
  <si>
    <t>6.3.2_全農照合結果データ振分</t>
  </si>
  <si>
    <t>6.3.3_全農未払金照合処理</t>
  </si>
  <si>
    <t>6.3.4_全農未払金振替処理（自動）</t>
  </si>
  <si>
    <t>6.3.5_全農照合結果照会</t>
  </si>
  <si>
    <t>6.3.6_全農未払金振替入力（手動照合）</t>
  </si>
  <si>
    <t>6.3.7_全農未払金振替処理（手動照合）</t>
  </si>
  <si>
    <t>6.3.8_全農債務データ送信対象外情報入力</t>
  </si>
  <si>
    <t>6.4.債務管理（ProActiveC4）</t>
  </si>
  <si>
    <t>6.4.1_債務残高Excel</t>
  </si>
  <si>
    <t>6.4.2_債務残高集計Excel</t>
  </si>
  <si>
    <t>6.4.3_債務振替入力</t>
  </si>
  <si>
    <t>6.4.4_債務振替取消</t>
  </si>
  <si>
    <t>6.4.5_債務部門一括移管</t>
  </si>
  <si>
    <t>6.4.6_債務部門一括移管更新</t>
  </si>
  <si>
    <t>6.4.7_債務月次更新</t>
  </si>
  <si>
    <t>6.4.8_債務月次更新取消</t>
  </si>
  <si>
    <t>6.4.9_債務システムデータ削除</t>
  </si>
  <si>
    <t>6.5.内部振替</t>
  </si>
  <si>
    <t>6.5.1_内部振替処理（自動照合）</t>
  </si>
  <si>
    <t>6.5.2_内部未収金・内部未払金残高CSV出力</t>
  </si>
  <si>
    <t>6.5.3_内部振替</t>
  </si>
  <si>
    <t>6.5.4_内部振替処理（手動照合）</t>
  </si>
  <si>
    <t>6.6.相殺</t>
  </si>
  <si>
    <t>6.6.1_相殺予約</t>
  </si>
  <si>
    <t>6.6.2_相殺処理</t>
  </si>
  <si>
    <t>7.1.金額受払</t>
  </si>
  <si>
    <t>7.1.1_金額受払手数料計上処理</t>
  </si>
  <si>
    <t>7.1.2_金額受払手数料計上データ仕訳連動情報作成</t>
  </si>
  <si>
    <t>7.2.仮仕入</t>
  </si>
  <si>
    <t>7.2.1_仮仕入対象リスト送付処理</t>
  </si>
  <si>
    <t>7.3.棚卸資産評価</t>
  </si>
  <si>
    <t>7.3.1_棚卸資産データ生成API</t>
  </si>
  <si>
    <t>7.3.2_棚卸資産評価額更新処理</t>
  </si>
  <si>
    <t>7.3.3_製品売上原価・売上高受払データ更新処理</t>
  </si>
  <si>
    <t>7.3.4_原価振替計上処理</t>
  </si>
  <si>
    <t>7.3.5_棚卸資産月次繰越処理</t>
  </si>
  <si>
    <t>7.3.6_棚卸資産年次繰越処理</t>
  </si>
  <si>
    <t>7.4.棚卸</t>
  </si>
  <si>
    <t>7.4.1_在庫品棚卸表登録</t>
  </si>
  <si>
    <t>7.4.2_実地棚卸結果入力(CSV取込)</t>
  </si>
  <si>
    <t>7.4.3_保管品・輸送品の回答依頼送信</t>
  </si>
  <si>
    <t>7.4.4_保管品・輸送品の回答入力</t>
  </si>
  <si>
    <t>7.5.棚卸資産振替</t>
  </si>
  <si>
    <t>7.5.1_棚卸資産振替入力</t>
  </si>
  <si>
    <t>7.5.2_棚卸資産振替入力(CSV取込)</t>
  </si>
  <si>
    <t>7.5.3_棚卸資産振替計上データ仕訳連動情報作成</t>
  </si>
  <si>
    <t>7.6.低価法計算</t>
  </si>
  <si>
    <t>7.6.1_卸米穀月次データ登録</t>
  </si>
  <si>
    <t>7.6.2_購買品販売品評価損算出処理</t>
  </si>
  <si>
    <t>7.6.3_原材料評価損算出処理</t>
  </si>
  <si>
    <t>7.6.4_評価損計算結果・基礎情報作成</t>
  </si>
  <si>
    <t>7.7.手数料配分（棚卸</t>
  </si>
  <si>
    <t>7.7.1_購買手数料（棚卸）配分計算処理</t>
  </si>
  <si>
    <t>7.7.2_手数料配分（棚卸）データ計上処理</t>
  </si>
  <si>
    <t>7.8.勘定整理帳情報作成</t>
  </si>
  <si>
    <t>7.8.1_勘定整理帳情報作成バッチ</t>
  </si>
  <si>
    <t>8.部門提供</t>
  </si>
  <si>
    <t>8.1.定例取引入力</t>
  </si>
  <si>
    <t>8.1.1_定例取引入力</t>
  </si>
  <si>
    <t>8.1.2_定例取引入力(CSV取込)</t>
  </si>
  <si>
    <t>8.1.3_取引入力計上データ仕訳連動情報作成処理</t>
  </si>
  <si>
    <t>8.2.費用入力</t>
  </si>
  <si>
    <t>8.2.1_費用/費用戻入入力</t>
  </si>
  <si>
    <t>8.2.2_費用/費用戻入入力(CSV取込)</t>
  </si>
  <si>
    <t>8.2.3_費用/費用戻入入力計上データ仕訳連動情報作成処理</t>
  </si>
  <si>
    <t>8.2.4_消費税差額入力</t>
  </si>
  <si>
    <t>8.2.5_消費税差額計上データ仕訳連動情報作成処理</t>
  </si>
  <si>
    <t>8.3.収益入力</t>
  </si>
  <si>
    <t>8.3.1_収益入力</t>
  </si>
  <si>
    <t>8.3.2_収益入力(CSV取込)</t>
  </si>
  <si>
    <t>8.3.3_収益入力計上データ仕訳連動情報作成処理</t>
  </si>
  <si>
    <t>8.4.付替入力</t>
  </si>
  <si>
    <t>8.4.1_付替仕向入力</t>
  </si>
  <si>
    <t>8.4.2_付替受入入力</t>
    <phoneticPr fontId="3"/>
  </si>
  <si>
    <t>8.4.3_付替入力計上データ仕訳連動情報作成処理</t>
  </si>
  <si>
    <t>8.5.人件費入力</t>
  </si>
  <si>
    <t>8.5.1_人件費情報入力</t>
  </si>
  <si>
    <t>8.5.2_人件費情報入力
(CSV取込)</t>
  </si>
  <si>
    <t>8.5.3_人件費入力計上データ仕訳連動情報作成処理</t>
  </si>
  <si>
    <t>8.5.4_人件費特別入力</t>
  </si>
  <si>
    <t>8.5.5_人件費特別入力
(CSV取込)</t>
  </si>
  <si>
    <t>8.5.6_人件費特別入力計上データ仕訳連動情報作成処理</t>
  </si>
  <si>
    <t>8.6.取引情報提供</t>
  </si>
  <si>
    <t>8.6.1_施設実績作成処理</t>
  </si>
  <si>
    <t>8.6.2_施設採算表出力</t>
  </si>
  <si>
    <t>8.6.3_勘定整理帳情報照会</t>
  </si>
  <si>
    <t>8.6.4_手数料配分計算書出力</t>
  </si>
  <si>
    <t>8.7.部門締め</t>
  </si>
  <si>
    <t>8.7.1_部門締処理</t>
  </si>
  <si>
    <t>9.共計</t>
  </si>
  <si>
    <t>9.1.共計精算入力</t>
  </si>
  <si>
    <t>9.1.1_共計精算入力</t>
  </si>
  <si>
    <t>9.1.2_共計精算入力(CSV取込)</t>
  </si>
  <si>
    <t>9.1.3_共計精算計上データ仕訳連動情報作成</t>
  </si>
  <si>
    <t>9.1.4_共計勘定受払情報作成処理</t>
  </si>
  <si>
    <t>9.2.金利計算</t>
  </si>
  <si>
    <t>9.2.1_滞留立替金利計算処理</t>
  </si>
  <si>
    <t>9.2.2_滞留立替金利計算書作成</t>
  </si>
  <si>
    <t>9.2.3_滞留立替金利補正入力</t>
  </si>
  <si>
    <t>9.2.4_滞留立替金利経理計上</t>
  </si>
  <si>
    <t>9.2.5_滞留立替金利情報計上データ仕訳連動情報作成</t>
  </si>
  <si>
    <t>バ</t>
    <phoneticPr fontId="3"/>
  </si>
  <si>
    <t>9.3.繰越</t>
  </si>
  <si>
    <t>9.3.1_購買共計年度繰越入力</t>
  </si>
  <si>
    <t>9.3.2_購買共計年度繰越計上データ仕訳連動情報作成</t>
  </si>
  <si>
    <t>9.3.3_販売共計年産繰越入力</t>
  </si>
  <si>
    <t>9.3.4_販売共計年産繰越計上データ仕訳連動情報作成</t>
  </si>
  <si>
    <t>9.3.5_購買共計勘定振替作成</t>
  </si>
  <si>
    <t>9.3.6_販売共計勘定振替作成</t>
  </si>
  <si>
    <t>9.3.7_共計勘定振替計上データ仕訳連動情報作成</t>
  </si>
  <si>
    <t>9.4.共計情報提供</t>
  </si>
  <si>
    <t>9.4.1_販売共計勘定整理帳作成</t>
  </si>
  <si>
    <t>9.4.2_購買共計勘定整理帳作成</t>
  </si>
  <si>
    <t>9.5.共計勘定整理帳データ作成</t>
  </si>
  <si>
    <t>9.5.1_販売共計勘定整理帳データ作成</t>
  </si>
  <si>
    <t>9.5.2_購買共計勘定整理帳データ作成</t>
  </si>
  <si>
    <t>9.6.手数料配分（共計）</t>
  </si>
  <si>
    <t>9.6.1_取扱高手数料配分計算処理</t>
  </si>
  <si>
    <t>9.6.2_購買手数料（共計）配分計算処理</t>
  </si>
  <si>
    <t>9.6.3_手数料配分（共計）データ計上処理</t>
  </si>
  <si>
    <t>10.他システム連動</t>
  </si>
  <si>
    <t>10.1.仕訳データ連動（IN）</t>
  </si>
  <si>
    <t>10.1.1_取引データ受信処理</t>
  </si>
  <si>
    <t>10.1.2_経費仕訳データ受信処理</t>
  </si>
  <si>
    <t>10.1.3_会計情報仕訳データ受信処理</t>
  </si>
  <si>
    <t>10.1.4_ＣＭＳ仕訳データ受信処理</t>
  </si>
  <si>
    <t>10.1.5_人件費連動データ受信処理</t>
  </si>
  <si>
    <t>10.1.6_減価償却費データ受信処理</t>
  </si>
  <si>
    <t>10.1.7_V-ONE入金仕訳IFデータ受信処理</t>
  </si>
  <si>
    <t>10.1.8_V-ONE消込仕訳IFデータ受信処理</t>
  </si>
  <si>
    <t>10.1.10_PA仕訳データ受信処理</t>
  </si>
  <si>
    <t>10.2.仕訳データ連動（OUT）</t>
  </si>
  <si>
    <t>10.2.1_PA連動仕訳データ送信処理</t>
  </si>
  <si>
    <t>10.2.2_相手先元帳データ送信処理</t>
  </si>
  <si>
    <t>10.3.債権債務データ連動（IN）</t>
  </si>
  <si>
    <t>10.3.1_債権データ受信処理</t>
  </si>
  <si>
    <t>10.3.2_園芸市場仕切データ受信処理</t>
  </si>
  <si>
    <t>10.3.3_米穀システム信連持込用ファイル受信処理</t>
  </si>
  <si>
    <t>10.3.4_経費債務データ受信処理</t>
  </si>
  <si>
    <t>10.3.5_債務データ受信処理</t>
  </si>
  <si>
    <t>10.3.6_PA連動支払予定変更データ受信処理</t>
  </si>
  <si>
    <t>10.3.7_PA連動支払確定データ受信処理</t>
  </si>
  <si>
    <t>10.3.8_非インボイス対象取引先受信処理</t>
  </si>
  <si>
    <t>10.3.9_全農照合債務データ受信処理</t>
  </si>
  <si>
    <t>10.4.債権債務データ連動（OUT）</t>
  </si>
  <si>
    <t>10.4.1_V-ONE債権データ送信処理</t>
  </si>
  <si>
    <t>10.4.2_V-ONE園芸仕切データ送信処理</t>
  </si>
  <si>
    <t>10.4.3_与信管理未収金残高データ送信処理</t>
  </si>
  <si>
    <t>10.4.4_与信管理現況データ送信処理</t>
  </si>
  <si>
    <t>10.4.5_与信管理月別動態データ送信処理</t>
  </si>
  <si>
    <t>10.4.6_受入保証金データ送信処理</t>
  </si>
  <si>
    <t>10.4.7_PA連動債務データ送信処理</t>
  </si>
  <si>
    <t>10.4.8_下取車用仕入精算明細データ送信処理</t>
  </si>
  <si>
    <t>10.4.9_債権回収予定データ送信処理</t>
  </si>
  <si>
    <t>10.4.10_債権債務勘定残高データ送信処理</t>
  </si>
  <si>
    <t>10.4.11_債権債務対外連動債権明細データ送信処理</t>
  </si>
  <si>
    <t>10.4.12_債権明細データ送信処理</t>
  </si>
  <si>
    <t>10.5.棚卸データ連動（IN）</t>
  </si>
  <si>
    <t>10.5.1_受払データ受信処理</t>
  </si>
  <si>
    <t>10.5.2_共計データ受信処理</t>
  </si>
  <si>
    <t>10.5.3_月末残高金額情報受信処理</t>
  </si>
  <si>
    <t>10.5.4_EL001棚卸資産受払残高送信処理</t>
  </si>
  <si>
    <t>10.5.5_EL002棚卸資産評価額送信処理</t>
  </si>
  <si>
    <t>10.6.棚卸データ連動（OUT）</t>
  </si>
  <si>
    <t>10.6.1_棚卸表データ送信処理</t>
  </si>
  <si>
    <t>10.6.2_手数料配分累積データ送信処理</t>
  </si>
  <si>
    <t>10.6.3_米穀共計勘定内訳表データ送信処理</t>
  </si>
  <si>
    <t>10.6.4_雑穀棚卸受払残高抽出データ送信処理</t>
  </si>
  <si>
    <t>10.6.5_加工食品棚卸表データ送信処理</t>
  </si>
  <si>
    <t>10.7.低価法関連データ連動（IN）</t>
  </si>
  <si>
    <t>10.7.1_パールライス製品在庫月次データ受信処理</t>
  </si>
  <si>
    <t>10.7.2_パールライス玄米在庫月次データ受信処理</t>
  </si>
  <si>
    <t>10.7.3_パールライス副産物在庫月次データ受信処理</t>
  </si>
  <si>
    <t>10.8.低価法関連データ連動（OUT）</t>
  </si>
  <si>
    <t>10.8.1_評価単価データ送信処理</t>
  </si>
  <si>
    <t>10.8.2_パールライス棚卸資産評価額データ送信処理</t>
  </si>
  <si>
    <t>10.9.マスタデータ連動（OUT）</t>
  </si>
  <si>
    <t>10.9.1_PA取引先マスタデータ送信処理</t>
  </si>
  <si>
    <t>10.9.2_PA勘定科目マスタデータ送信処理</t>
  </si>
  <si>
    <t>10.9.3_PA補助科目マスタデータ送信処理</t>
  </si>
  <si>
    <t>10.9.4_PA金融機関マスタデータ送信処理</t>
  </si>
  <si>
    <t>10.9.5_職員権限マスタデータ送信処理</t>
  </si>
  <si>
    <t>10.9.6_職員アドレス管理マスタデータ送信処理</t>
  </si>
  <si>
    <t>10.9.7_支払先名称住所マスタデータ送信処理</t>
  </si>
  <si>
    <t>10.9.8_支払先決済条件マスタデータ送信処理</t>
  </si>
  <si>
    <t>10.9.9_適格請求書発行事業者マスタデータ送信処理</t>
  </si>
  <si>
    <t>10.9.10_V-ONE得意先マスタ送信処理</t>
  </si>
  <si>
    <t>10.9.11_職員決済条件マスタデータ送信処理</t>
  </si>
  <si>
    <t>10.9.12_金融機関情報
送信処理</t>
  </si>
  <si>
    <t>10.9.13_収支管理品目情報送信処理</t>
  </si>
  <si>
    <t>10.10.EUCデータ連動（OUT）</t>
  </si>
  <si>
    <t>10.10.1_取扱高収支見込EUCデータ送信処理</t>
  </si>
  <si>
    <t>10.10.2_計画EUCデータ送信処理</t>
  </si>
  <si>
    <t>10.10.3_実績EUCデータ送信処理</t>
  </si>
  <si>
    <t>10.10.4_債務EUCデータ送信処理</t>
  </si>
  <si>
    <t>10.10.5_購買品勘定整理帳EUCデータ送信処理</t>
  </si>
  <si>
    <t>10.10.6_販売品勘定整理帳EUCデータ送信処理</t>
  </si>
  <si>
    <t>10.10.7_製品売上原価・製品売上高EUCデータ送信処理</t>
  </si>
  <si>
    <t>10.10.8_販売共計勘定整理帳EUCデータ送信処理</t>
  </si>
  <si>
    <t>10.10.9_購買共計勘定整理帳EUCデータ送信処理</t>
  </si>
  <si>
    <t>10.11.入出金データ連動（IN）</t>
  </si>
  <si>
    <t>10.11.1_CMS入出金連動データ受信処理</t>
  </si>
  <si>
    <t>10.12.入出金データ連動（OUT）</t>
  </si>
  <si>
    <t>10.12.1_CMS入出金連動データ送信処理</t>
  </si>
  <si>
    <t>10.13.外部システム連動</t>
  </si>
  <si>
    <t>10.13.1_全農債権債務照合依頼ファイル送信処理</t>
  </si>
  <si>
    <t>10.13.2_全農債権債務照合結果ファイル受信処理</t>
  </si>
  <si>
    <t>10.13.3_全農請求データファイル受信処理</t>
  </si>
  <si>
    <t>10.14.マスタデータ連動（IN）</t>
  </si>
  <si>
    <t>10.14.1_収支管理品目情報受信処理</t>
  </si>
  <si>
    <t>11.マスタ管理</t>
  </si>
  <si>
    <t>11.1.会計関連</t>
  </si>
  <si>
    <t>11.1.1_勘定科目マスタ入力</t>
  </si>
  <si>
    <t>11.1.2_科目摘要マスタ入力</t>
    <phoneticPr fontId="3"/>
  </si>
  <si>
    <t>11.1.2_勘定科目マスタ承認</t>
    <phoneticPr fontId="3"/>
  </si>
  <si>
    <t>11.1.3_ホクレン口座マスタ入力</t>
  </si>
  <si>
    <t>11.1.4_仕訳パターンマスタ入力</t>
  </si>
  <si>
    <t>11.1.5_定例取引パターンマスタ入力</t>
  </si>
  <si>
    <t>11.1.6_共計精算パターンマスタ入力</t>
  </si>
  <si>
    <t>11.1.7_共計適用金利マスタ入力</t>
  </si>
  <si>
    <t>11.1.8_人員配置マスタCSV取込</t>
  </si>
  <si>
    <t>11.1.9_取扱高手数料配分率マスタ入力</t>
  </si>
  <si>
    <t>11.1.10_購買手数料配分率マスタ入力</t>
    <phoneticPr fontId="3"/>
  </si>
  <si>
    <t>11.1.10_人員配置マスタ承認</t>
  </si>
  <si>
    <t>11.1.11_購買手数料配分率マスタ承認</t>
    <phoneticPr fontId="3"/>
  </si>
  <si>
    <t>11.1.12_取扱高手数料配分率マスタ承認</t>
  </si>
  <si>
    <t>11.1.14_仕訳パターンマスタ承認</t>
  </si>
  <si>
    <t>11.1.24_共計精算パターンマスタ承認</t>
  </si>
  <si>
    <t>11.1.26_共計適用金利マスタ承認</t>
  </si>
  <si>
    <t>11.1.28_定例取引パターンマスタ承認</t>
  </si>
  <si>
    <t>11.1.30_ホクレン口座マスタ承認</t>
  </si>
  <si>
    <t>11.2.取引先関連</t>
  </si>
  <si>
    <t>11.2.1_決済条件マスタ入力</t>
  </si>
  <si>
    <t>11.2.2_決済条件マスタ承認</t>
    <phoneticPr fontId="3"/>
  </si>
  <si>
    <t>　</t>
    <phoneticPr fontId="3"/>
  </si>
  <si>
    <t>11.2.2_職員決済条件マスタ入力</t>
    <phoneticPr fontId="3"/>
  </si>
  <si>
    <t>11.2.3_共通決済条件マスタ入力</t>
  </si>
  <si>
    <t>11.2.4_サイト条件マスタ承認</t>
    <phoneticPr fontId="3"/>
  </si>
  <si>
    <t>11.2.4_決済条件適用品目マスタ入力</t>
  </si>
  <si>
    <t>11.2.5_サイト条件マスタ入力</t>
  </si>
  <si>
    <t>11.2.6_職員決済条件マスタ承認</t>
    <phoneticPr fontId="3"/>
  </si>
  <si>
    <t>11.2.6_請求書制御マスタ入力</t>
  </si>
  <si>
    <t>11.2.7_請求書様式マスタ入力</t>
  </si>
  <si>
    <t>11.2.8_支払案内書作成マスタ入力</t>
  </si>
  <si>
    <t>11.2.9_預金摘要科目マスタ入力</t>
  </si>
  <si>
    <t>11.2.10_決済条件入力申請CSV取込</t>
    <phoneticPr fontId="3"/>
  </si>
  <si>
    <t>11.2.10_預金摘要科目マスタ承認</t>
    <phoneticPr fontId="3"/>
  </si>
  <si>
    <t>11.2.12_請求書制御マスタ承認</t>
    <phoneticPr fontId="3"/>
  </si>
  <si>
    <t>11.2.16_決済条件適用品目マスタ承認</t>
    <phoneticPr fontId="3"/>
  </si>
  <si>
    <t>11.2.18_請求書様式マスタ承認</t>
    <phoneticPr fontId="3"/>
  </si>
  <si>
    <t>11.2.20_共通決済条件マスタ承認</t>
    <phoneticPr fontId="3"/>
  </si>
  <si>
    <t>11.3.連動データ作成</t>
  </si>
  <si>
    <t>11.3.1_PA取引先マスタデータ作成処理</t>
  </si>
  <si>
    <t>11.3.2_PA勘定科目マスタデータ作成処理</t>
  </si>
  <si>
    <t>11.3.3_PA補助科目マスタデータ作成処理</t>
  </si>
  <si>
    <t>11.3.4_PA金融機関マスタデータ作成処理</t>
  </si>
  <si>
    <t>11.3.5_職員権限マスタデータ作成処理</t>
  </si>
  <si>
    <t>11.3.6_職員アドレス管理マスタデータ作成処理</t>
  </si>
  <si>
    <t>11.3.7_支払先名称住所マスタデータ作成処理</t>
  </si>
  <si>
    <t>11.3.8_支払先決済条件マスタデータ作成処理</t>
  </si>
  <si>
    <t>11.3.9_適格請求書発行事業者マスタデータ作成処理</t>
  </si>
  <si>
    <t>11.3.10_V-ONE得意先マスタ作成処理</t>
  </si>
  <si>
    <t>11.3.11_職員決済条件マスタデータ作成処理</t>
  </si>
  <si>
    <t>11.3.12_収支管理品目マスタデータ作成処理</t>
  </si>
  <si>
    <t>11.4.会計共通マスタ関連</t>
  </si>
  <si>
    <t>11.4.1_部門マスタ入力</t>
  </si>
  <si>
    <t>11.4.2_部門情報取得</t>
  </si>
  <si>
    <t>11.4.3_業種マスタ入力</t>
  </si>
  <si>
    <t>11.4.4_業種情報取得</t>
  </si>
  <si>
    <t>11.4.5_組織／業種マスタ入力</t>
  </si>
  <si>
    <t>11.4.6_金融機関データ取込</t>
  </si>
  <si>
    <t>11.4.7_金融機関更新処理</t>
  </si>
  <si>
    <t>11.4.8_金融機関情報取得</t>
  </si>
  <si>
    <t>11.4.9_消費税マスタ入力</t>
  </si>
  <si>
    <t>11.4.10_消費税率取得</t>
  </si>
  <si>
    <t>11.4.11_会計情報品目マスタ入力</t>
  </si>
  <si>
    <t>11.4.12_収支管理品目大分類マスタ入力</t>
  </si>
  <si>
    <t>11.4.13_収支管理品目マスタ入力</t>
  </si>
  <si>
    <t>11.4.14_収支管理品目マスタCSV取込</t>
  </si>
  <si>
    <t>11.4.15_収支管理品目情報登録処理</t>
  </si>
  <si>
    <t>11.4.16_収支管理品目情報取得</t>
  </si>
  <si>
    <t>12.共通</t>
  </si>
  <si>
    <t>12.1.承認一覧</t>
  </si>
  <si>
    <t>12.1.1_債権債務承認一覧</t>
  </si>
  <si>
    <t>12.1.2_仕訳承認一覧</t>
  </si>
  <si>
    <t>12.1.3_発生源ＷＥＢシステム承認一覧</t>
  </si>
  <si>
    <t>12.1.4_マスタ承認一覧</t>
  </si>
  <si>
    <t>12.2.データ再編成処理</t>
  </si>
  <si>
    <t>12.2.1_データ再編成処理</t>
  </si>
  <si>
    <t>12.3.処理結果照会</t>
  </si>
  <si>
    <t>12.3.1_処理結果照会</t>
  </si>
  <si>
    <t>12.4.検索共通子画面</t>
  </si>
  <si>
    <t>12.4.1_ホクレン口座検索</t>
  </si>
  <si>
    <t>12.4.2_業種検索</t>
  </si>
  <si>
    <t>12.4.3_職員検索</t>
  </si>
  <si>
    <t>12.4.4_振替伝票検索</t>
  </si>
  <si>
    <t>12.4.5_事業所検索</t>
  </si>
  <si>
    <t>12.4.6_未収未払組織検索</t>
  </si>
  <si>
    <t>12.4.7_相手先検索</t>
  </si>
  <si>
    <t>12.4.8_収支管理品目検索</t>
  </si>
  <si>
    <t>12.4.9_施設検索</t>
  </si>
  <si>
    <t>12.4.10_取引パターン検索</t>
  </si>
  <si>
    <t>12.4.11_受払組織検索</t>
  </si>
  <si>
    <t>12.4.12_実績組織検索</t>
  </si>
  <si>
    <t>12.4.13_支所農協検索</t>
  </si>
  <si>
    <t>12.4.14_共計精算パターン検索</t>
  </si>
  <si>
    <t>12.4.15_勘定科目件検索</t>
  </si>
  <si>
    <t>12.4.16_科目摘要検索</t>
  </si>
  <si>
    <t>12.4.17_金融機関検索</t>
  </si>
  <si>
    <t>12.4.18_所属検索</t>
  </si>
  <si>
    <t>12.4.19_決済条件摘要品目検索</t>
  </si>
  <si>
    <t>12.4.20_会計情報品目検索</t>
  </si>
  <si>
    <t>12.4.21_共計組織検索</t>
  </si>
  <si>
    <t>12.4.22_サイト条件検索</t>
  </si>
  <si>
    <t>12.4.23_金利連番検索</t>
  </si>
  <si>
    <t>12.4.24_金額摘要検索</t>
  </si>
  <si>
    <t>12.4.25_単位検索</t>
  </si>
  <si>
    <t>12.4.26_収支管理品目大分類検索</t>
  </si>
  <si>
    <t>12.5.業務共通処理</t>
  </si>
  <si>
    <t>12.5.1_業務共通提供処理</t>
  </si>
  <si>
    <t>12.6.添付ファイル画面</t>
  </si>
  <si>
    <t>12.6.1_添付ファイル</t>
    <phoneticPr fontId="3"/>
  </si>
  <si>
    <t>Ｐｈａｓｅ　外部設計工程</t>
    <phoneticPr fontId="36"/>
  </si>
  <si>
    <t>HOKUREN INTERNAL USE ONLY</t>
  </si>
  <si>
    <t>様式No.</t>
    <rPh sb="0" eb="2">
      <t>ヨウシキ</t>
    </rPh>
    <phoneticPr fontId="36"/>
  </si>
  <si>
    <t>F4190-0</t>
    <phoneticPr fontId="36"/>
  </si>
  <si>
    <t>PAGE</t>
    <phoneticPr fontId="36"/>
  </si>
  <si>
    <t>システム名</t>
    <rPh sb="4" eb="5">
      <t>メイ</t>
    </rPh>
    <phoneticPr fontId="36"/>
  </si>
  <si>
    <t>統合会計システム</t>
    <phoneticPr fontId="36"/>
  </si>
  <si>
    <t>作成日</t>
    <rPh sb="0" eb="2">
      <t>サクセイ</t>
    </rPh>
    <rPh sb="2" eb="3">
      <t>ヒ</t>
    </rPh>
    <phoneticPr fontId="36"/>
  </si>
  <si>
    <t>2025/8/29</t>
    <phoneticPr fontId="36"/>
  </si>
  <si>
    <t>更新日</t>
    <rPh sb="0" eb="3">
      <t>コウシンビ</t>
    </rPh>
    <phoneticPr fontId="36"/>
  </si>
  <si>
    <t>管理番号</t>
    <rPh sb="0" eb="2">
      <t>カンリ</t>
    </rPh>
    <rPh sb="2" eb="4">
      <t>バンゴウ</t>
    </rPh>
    <phoneticPr fontId="36"/>
  </si>
  <si>
    <t>案件名 / 障害・問合せ件名</t>
    <rPh sb="0" eb="3">
      <t>アンケンメイ</t>
    </rPh>
    <rPh sb="12" eb="14">
      <t>ケンメイ</t>
    </rPh>
    <phoneticPr fontId="52"/>
  </si>
  <si>
    <t>24058</t>
    <phoneticPr fontId="52"/>
  </si>
  <si>
    <t>基幹システム再構築　会計システム外部設計</t>
    <phoneticPr fontId="52"/>
  </si>
  <si>
    <t>外部設計書　補足説明　変更履歴</t>
    <phoneticPr fontId="36"/>
  </si>
  <si>
    <t>No.</t>
    <phoneticPr fontId="36"/>
  </si>
  <si>
    <t>業務共通処理クラスＩＤ</t>
    <phoneticPr fontId="36"/>
  </si>
  <si>
    <t>業務共通処理クラス名</t>
    <rPh sb="9" eb="10">
      <t>メイ</t>
    </rPh>
    <phoneticPr fontId="36"/>
  </si>
  <si>
    <t>業務共通処理ID</t>
    <phoneticPr fontId="36"/>
  </si>
  <si>
    <t>業務共通処理名</t>
    <rPh sb="0" eb="2">
      <t>ギョウム</t>
    </rPh>
    <rPh sb="2" eb="4">
      <t>キョウツウ</t>
    </rPh>
    <rPh sb="4" eb="6">
      <t>ショリ</t>
    </rPh>
    <rPh sb="6" eb="7">
      <t>メイ</t>
    </rPh>
    <phoneticPr fontId="36"/>
  </si>
  <si>
    <t>目的、役割</t>
    <rPh sb="0" eb="2">
      <t>モクテキ</t>
    </rPh>
    <rPh sb="3" eb="5">
      <t>ヤクワリ</t>
    </rPh>
    <phoneticPr fontId="36"/>
  </si>
  <si>
    <t>処理概要</t>
    <rPh sb="0" eb="2">
      <t>ショリ</t>
    </rPh>
    <rPh sb="2" eb="4">
      <t>ガイヨウ</t>
    </rPh>
    <phoneticPr fontId="36"/>
  </si>
  <si>
    <t>INPUT</t>
    <phoneticPr fontId="36"/>
  </si>
  <si>
    <t>OUTPUT</t>
    <phoneticPr fontId="36"/>
  </si>
  <si>
    <t>備考</t>
    <rPh sb="0" eb="2">
      <t>ビコウ</t>
    </rPh>
    <phoneticPr fontId="36"/>
  </si>
  <si>
    <t>関連業務TRN</t>
    <rPh sb="0" eb="2">
      <t>カンレン</t>
    </rPh>
    <rPh sb="2" eb="4">
      <t>ギョウム</t>
    </rPh>
    <phoneticPr fontId="36"/>
  </si>
  <si>
    <t>※内部設計工程で定義</t>
    <rPh sb="1" eb="3">
      <t>ナイブ</t>
    </rPh>
    <rPh sb="3" eb="5">
      <t>セッケイ</t>
    </rPh>
    <rPh sb="5" eb="7">
      <t>コウテイ</t>
    </rPh>
    <rPh sb="8" eb="10">
      <t>テイギ</t>
    </rPh>
    <phoneticPr fontId="3"/>
  </si>
  <si>
    <t>システムで利用できるホクレン口座を検索し利用者が必要な情報を返却する</t>
    <rPh sb="5" eb="7">
      <t>リヨウ</t>
    </rPh>
    <rPh sb="14" eb="16">
      <t>コウザ</t>
    </rPh>
    <rPh sb="17" eb="19">
      <t>ケンサク</t>
    </rPh>
    <rPh sb="20" eb="23">
      <t>リヨウシャ</t>
    </rPh>
    <rPh sb="24" eb="26">
      <t>ヒツヨウ</t>
    </rPh>
    <rPh sb="27" eb="29">
      <t>ジョウホウ</t>
    </rPh>
    <rPh sb="30" eb="32">
      <t>ヘンキャク</t>
    </rPh>
    <phoneticPr fontId="3"/>
  </si>
  <si>
    <t>ホクレン口座マスタを一覧表示し、一覧から任意のホクレン口座を選択し、呼び出し元に情報を返却する。
検索の条件は
ホクレン口座コードによる完全一致検索、
請求書利用区分による完全一致検索、
事業所による完全一致検索、
銀行コードによる完全一致検索、
銀行名称（漢字）による部分一致検索、
銀行名称（ｶﾅ））による部分一致検索、
本支店コードによる完全一致検索、
本支店名称（漢字））による部分一致検索、
本支店名称（ｶﾅ））による部分一致検索、
口座番号による完全一致検索、
口座名義人（漢字））による部分一致検索、
口座名義人（ｶﾅ））による部分一致検索、
基準日の絞り込み表示する機能を設ける。</t>
    <rPh sb="10" eb="12">
      <t>イチラン</t>
    </rPh>
    <rPh sb="12" eb="14">
      <t>ヒョウジ</t>
    </rPh>
    <rPh sb="23" eb="25">
      <t>コウザ</t>
    </rPh>
    <rPh sb="26" eb="28">
      <t>センタク</t>
    </rPh>
    <rPh sb="34" eb="35">
      <t>ヨ</t>
    </rPh>
    <rPh sb="36" eb="37">
      <t>ダ</t>
    </rPh>
    <rPh sb="38" eb="39">
      <t>モト</t>
    </rPh>
    <rPh sb="40" eb="42">
      <t>ジョウホウ</t>
    </rPh>
    <rPh sb="43" eb="45">
      <t>ヘンキャク</t>
    </rPh>
    <rPh sb="49" eb="51">
      <t>ケンサク</t>
    </rPh>
    <rPh sb="52" eb="54">
      <t>ジョウケン</t>
    </rPh>
    <rPh sb="56" eb="58">
      <t>コウザ</t>
    </rPh>
    <rPh sb="64" eb="66">
      <t>カンゼン</t>
    </rPh>
    <rPh sb="66" eb="68">
      <t>イッチ</t>
    </rPh>
    <rPh sb="68" eb="70">
      <t>ケンサク</t>
    </rPh>
    <rPh sb="131" eb="133">
      <t>ブブン</t>
    </rPh>
    <rPh sb="133" eb="135">
      <t>イッチ</t>
    </rPh>
    <rPh sb="135" eb="137">
      <t>ケンサク</t>
    </rPh>
    <rPh sb="275" eb="278">
      <t>キジュンビ</t>
    </rPh>
    <rPh sb="279" eb="280">
      <t>シボ</t>
    </rPh>
    <rPh sb="281" eb="282">
      <t>コ</t>
    </rPh>
    <rPh sb="283" eb="285">
      <t>ヒョウジ</t>
    </rPh>
    <rPh sb="287" eb="289">
      <t>キノウ</t>
    </rPh>
    <rPh sb="290" eb="291">
      <t>モウ</t>
    </rPh>
    <phoneticPr fontId="3"/>
  </si>
  <si>
    <t>ホクレン口座コード
請求書利用区分 (利用あり.全て)</t>
    <phoneticPr fontId="3"/>
  </si>
  <si>
    <t>結果
ホクレン口座コード
銀行コード
銀行名称
本支店コード
本支店名称
口座種別
口座番号
口座名義人（漢字）
口座名義人（ｶﾅ）</t>
    <phoneticPr fontId="3"/>
  </si>
  <si>
    <t>選択ボタンで画面を閉じた場合、結果 0:選択 を返す。それ以外は 1:キャンセル</t>
    <phoneticPr fontId="3"/>
  </si>
  <si>
    <t>システムで利用できる業種を検索し利用者が必要な情報を返却する</t>
    <rPh sb="5" eb="7">
      <t>リヨウ</t>
    </rPh>
    <rPh sb="10" eb="12">
      <t>ギョウシュ</t>
    </rPh>
    <rPh sb="13" eb="15">
      <t>ケンサク</t>
    </rPh>
    <rPh sb="16" eb="19">
      <t>リヨウシャ</t>
    </rPh>
    <rPh sb="20" eb="22">
      <t>ヒツヨウ</t>
    </rPh>
    <rPh sb="23" eb="25">
      <t>ジョウホウ</t>
    </rPh>
    <rPh sb="26" eb="28">
      <t>ヘンキャク</t>
    </rPh>
    <phoneticPr fontId="3"/>
  </si>
  <si>
    <t>業種マスタを一覧表示し、一覧から任意の業種を選択し、呼び出し元に情報を返却する。
検索の条件は
業種名称による部分一致検索、
事業本部による完全一致検索、
部門による完全一致検索、
基準日の絞り込み表示する機能を設ける。
また、対象所属コードにより検索できる所属コードに制限を設ける。</t>
    <rPh sb="6" eb="8">
      <t>イチラン</t>
    </rPh>
    <rPh sb="8" eb="10">
      <t>ヒョウジ</t>
    </rPh>
    <rPh sb="12" eb="14">
      <t>イチラン</t>
    </rPh>
    <rPh sb="22" eb="24">
      <t>センタク</t>
    </rPh>
    <rPh sb="91" eb="94">
      <t>キジュンビ</t>
    </rPh>
    <rPh sb="95" eb="96">
      <t>シボ</t>
    </rPh>
    <rPh sb="97" eb="98">
      <t>コ</t>
    </rPh>
    <rPh sb="99" eb="101">
      <t>ヒョウジ</t>
    </rPh>
    <rPh sb="103" eb="105">
      <t>キノウ</t>
    </rPh>
    <rPh sb="106" eb="107">
      <t>モウ</t>
    </rPh>
    <phoneticPr fontId="3"/>
  </si>
  <si>
    <t>業種コード
対象業種コード</t>
    <phoneticPr fontId="3"/>
  </si>
  <si>
    <t>結果
業種コード
業種名称
事業本部コード
事業本部名称
部門コード
部門名称</t>
    <phoneticPr fontId="3"/>
  </si>
  <si>
    <t>対象業種コードが未設定の場合、すべての業種を対象とする。
選択ボタンで画面を閉じた場合、結果 0:選択 を返す。それ以外は 1:キャンセル</t>
    <phoneticPr fontId="3"/>
  </si>
  <si>
    <t>システムで利用できる職員を検索し利用者が必要な情報を返却する</t>
    <rPh sb="5" eb="7">
      <t>リヨウ</t>
    </rPh>
    <rPh sb="10" eb="12">
      <t>ショクイン</t>
    </rPh>
    <rPh sb="13" eb="15">
      <t>ケンサク</t>
    </rPh>
    <rPh sb="16" eb="19">
      <t>リヨウシャ</t>
    </rPh>
    <rPh sb="20" eb="22">
      <t>ヒツヨウ</t>
    </rPh>
    <rPh sb="23" eb="25">
      <t>ジョウホウ</t>
    </rPh>
    <rPh sb="26" eb="28">
      <t>ヘンキャク</t>
    </rPh>
    <phoneticPr fontId="3"/>
  </si>
  <si>
    <t>ユーザー情報（会内）を一覧表示し、一覧から任意の職員を選択し、呼び出し元に情報を返却する。
検索の条件は
職員コードによる前方一致検索
職員名称（漢字）による部分一致検索、
職員名称（ｶﾅ）による部分一致検索、
基準日の絞り込み表示する機能を設ける。</t>
    <rPh sb="11" eb="13">
      <t>イチラン</t>
    </rPh>
    <rPh sb="13" eb="15">
      <t>ヒョウジ</t>
    </rPh>
    <rPh sb="17" eb="19">
      <t>イチラン</t>
    </rPh>
    <rPh sb="27" eb="29">
      <t>センタク</t>
    </rPh>
    <rPh sb="106" eb="109">
      <t>キジュンビ</t>
    </rPh>
    <rPh sb="110" eb="111">
      <t>シボ</t>
    </rPh>
    <rPh sb="112" eb="113">
      <t>コ</t>
    </rPh>
    <rPh sb="114" eb="116">
      <t>ヒョウジ</t>
    </rPh>
    <rPh sb="118" eb="120">
      <t>キノウ</t>
    </rPh>
    <rPh sb="121" eb="122">
      <t>モウ</t>
    </rPh>
    <phoneticPr fontId="3"/>
  </si>
  <si>
    <t>職員コード</t>
    <phoneticPr fontId="3"/>
  </si>
  <si>
    <t>結果
職員コード
職員名称（漢字）
職員名称（ｶﾅ）</t>
    <phoneticPr fontId="3"/>
  </si>
  <si>
    <t>システムで利用できる振替伝票を検索し利用者が必要な情報を返却する</t>
    <rPh sb="5" eb="7">
      <t>リヨウ</t>
    </rPh>
    <rPh sb="10" eb="12">
      <t>フリカエ</t>
    </rPh>
    <rPh sb="12" eb="14">
      <t>デンピョウ</t>
    </rPh>
    <rPh sb="15" eb="17">
      <t>ケンサク</t>
    </rPh>
    <rPh sb="18" eb="21">
      <t>リヨウシャ</t>
    </rPh>
    <rPh sb="22" eb="24">
      <t>ヒツヨウ</t>
    </rPh>
    <rPh sb="25" eb="27">
      <t>ジョウホウ</t>
    </rPh>
    <rPh sb="28" eb="30">
      <t>ヘンキャク</t>
    </rPh>
    <phoneticPr fontId="3"/>
  </si>
  <si>
    <t>仕訳ヘッダ・仕訳明細を一覧表示し、一覧から任意の振替伝票を選択し、呼び出し元に情報を返却する。
検索の条件は
取引日による範囲検索、
回収支払予定日による範囲検索、
発生元システムによる完全一致検索、
の絞り込み表示する機能を設ける。</t>
    <rPh sb="11" eb="13">
      <t>イチラン</t>
    </rPh>
    <rPh sb="13" eb="15">
      <t>ヒョウジ</t>
    </rPh>
    <rPh sb="17" eb="19">
      <t>イチラン</t>
    </rPh>
    <rPh sb="29" eb="31">
      <t>センタク</t>
    </rPh>
    <rPh sb="61" eb="63">
      <t>ハンイ</t>
    </rPh>
    <rPh sb="102" eb="103">
      <t>シボ</t>
    </rPh>
    <rPh sb="104" eb="105">
      <t>コ</t>
    </rPh>
    <rPh sb="106" eb="108">
      <t>ヒョウジ</t>
    </rPh>
    <rPh sb="110" eb="112">
      <t>キノウ</t>
    </rPh>
    <rPh sb="113" eb="114">
      <t>モウ</t>
    </rPh>
    <phoneticPr fontId="3"/>
  </si>
  <si>
    <t>相手先コード
相手先名
勘定科目コード
勘定科目名称
債権債務管理組織コード
債権債務管理組織名称</t>
    <phoneticPr fontId="3"/>
  </si>
  <si>
    <t>結果
債権債務受付番号
発生元システム取引番号
残高
業種コード
業種名称
取引日
回収支払予定日
回収支払方法
支払／回収先コード
支払／回収先名称
勘定科目コード
勘定科目名称
科目摘要コード
科目摘要名称
未収未払組織コード
未収未払組織名称
更新者</t>
    <phoneticPr fontId="3"/>
  </si>
  <si>
    <t>システムで利用できる事業所を検索し利用者が必要な情報を返却する</t>
    <rPh sb="5" eb="7">
      <t>リヨウ</t>
    </rPh>
    <rPh sb="10" eb="13">
      <t>ジギョウショ</t>
    </rPh>
    <rPh sb="14" eb="16">
      <t>ケンサク</t>
    </rPh>
    <rPh sb="17" eb="20">
      <t>リヨウシャ</t>
    </rPh>
    <rPh sb="21" eb="23">
      <t>ヒツヨウ</t>
    </rPh>
    <rPh sb="24" eb="26">
      <t>ジョウホウ</t>
    </rPh>
    <rPh sb="27" eb="29">
      <t>ヘンキャク</t>
    </rPh>
    <phoneticPr fontId="3"/>
  </si>
  <si>
    <t>事業所マスタを一覧表示し、一覧から任意の事業所を選択し、呼び出し元に情報を返却する。
検索の条件は
事業所コードによる前方一致検索
事業所名称（漢字）による部分一致検索、
基準日の絞り込み表示する機能を設ける。</t>
    <rPh sb="7" eb="9">
      <t>イチラン</t>
    </rPh>
    <rPh sb="9" eb="11">
      <t>ヒョウジ</t>
    </rPh>
    <rPh sb="13" eb="15">
      <t>イチラン</t>
    </rPh>
    <rPh sb="17" eb="19">
      <t>ニンイ</t>
    </rPh>
    <rPh sb="24" eb="26">
      <t>センタク</t>
    </rPh>
    <rPh sb="86" eb="89">
      <t>キジュンビ</t>
    </rPh>
    <rPh sb="90" eb="91">
      <t>シボ</t>
    </rPh>
    <rPh sb="92" eb="93">
      <t>コ</t>
    </rPh>
    <rPh sb="94" eb="96">
      <t>ヒョウジ</t>
    </rPh>
    <rPh sb="98" eb="100">
      <t>キノウ</t>
    </rPh>
    <rPh sb="101" eb="102">
      <t>モウ</t>
    </rPh>
    <phoneticPr fontId="3"/>
  </si>
  <si>
    <t>事業所コード</t>
    <phoneticPr fontId="3"/>
  </si>
  <si>
    <t>結果
事業所コード
事業所名称</t>
    <phoneticPr fontId="3"/>
  </si>
  <si>
    <t>システムで利用できる組織を検索し利用者が必要な情報を返却する</t>
    <rPh sb="5" eb="7">
      <t>リヨウ</t>
    </rPh>
    <rPh sb="10" eb="12">
      <t>ソシキ</t>
    </rPh>
    <rPh sb="13" eb="15">
      <t>ケンサク</t>
    </rPh>
    <rPh sb="16" eb="19">
      <t>リヨウシャ</t>
    </rPh>
    <rPh sb="20" eb="22">
      <t>ヒツヨウ</t>
    </rPh>
    <rPh sb="23" eb="25">
      <t>ジョウホウ</t>
    </rPh>
    <rPh sb="26" eb="28">
      <t>ヘンキャク</t>
    </rPh>
    <phoneticPr fontId="3"/>
  </si>
  <si>
    <t>事業所マスタ・統括本部マスタ・部マスタ・課マスタ・施設マスタを一覧表示し、一覧から任意の組織を選択し、呼び出し元に情報を返却する。
検索の条件は
組織コードによる前方一致検索
組織名称（漢字）による部分一致検索、
事業所コードによる完全一致検索、
基準日の絞り込み表示する機能を設ける。
起動時の組織区分パラメータで複数種類の組織検索に対応する。
また、対象所属コードにより検索できる所属コードに制限を設ける。</t>
    <rPh sb="31" eb="33">
      <t>イチラン</t>
    </rPh>
    <rPh sb="33" eb="35">
      <t>ヒョウジ</t>
    </rPh>
    <rPh sb="37" eb="39">
      <t>イチラン</t>
    </rPh>
    <rPh sb="41" eb="43">
      <t>ニンイ</t>
    </rPh>
    <rPh sb="47" eb="49">
      <t>センタク</t>
    </rPh>
    <rPh sb="124" eb="127">
      <t>キジュンビ</t>
    </rPh>
    <rPh sb="128" eb="129">
      <t>シボ</t>
    </rPh>
    <rPh sb="130" eb="131">
      <t>コ</t>
    </rPh>
    <rPh sb="132" eb="134">
      <t>ヒョウジ</t>
    </rPh>
    <rPh sb="136" eb="138">
      <t>キノウ</t>
    </rPh>
    <rPh sb="139" eb="140">
      <t>モウ</t>
    </rPh>
    <rPh sb="145" eb="148">
      <t>キドウジ</t>
    </rPh>
    <rPh sb="159" eb="163">
      <t>フクスウシュルイ</t>
    </rPh>
    <rPh sb="169" eb="171">
      <t>タイオウ</t>
    </rPh>
    <rPh sb="188" eb="190">
      <t>ケンサク</t>
    </rPh>
    <rPh sb="199" eb="201">
      <t>セイゲン</t>
    </rPh>
    <rPh sb="202" eb="203">
      <t>モウ</t>
    </rPh>
    <phoneticPr fontId="3"/>
  </si>
  <si>
    <t>所属コード
組織区分
対象所属コード</t>
    <phoneticPr fontId="3"/>
  </si>
  <si>
    <t>結果
所属コード
所属名称
事業所コード
事業所名称</t>
    <phoneticPr fontId="3"/>
  </si>
  <si>
    <t>対象所属コードが未設定の場合、すべての所属を対象とする。
選択ボタンで画面を閉じた場合、結果 0:選択 を返す。それ以外は 1:キャンセル</t>
    <phoneticPr fontId="3"/>
  </si>
  <si>
    <t>システムで利用できる相手先を検索し利用者が必要な情報を返却する</t>
    <rPh sb="5" eb="7">
      <t>リヨウ</t>
    </rPh>
    <rPh sb="10" eb="12">
      <t>アイテ</t>
    </rPh>
    <rPh sb="12" eb="13">
      <t>サキ</t>
    </rPh>
    <rPh sb="14" eb="16">
      <t>ケンサク</t>
    </rPh>
    <rPh sb="17" eb="20">
      <t>リヨウシャ</t>
    </rPh>
    <rPh sb="21" eb="23">
      <t>ヒツヨウ</t>
    </rPh>
    <rPh sb="24" eb="26">
      <t>ジョウホウ</t>
    </rPh>
    <rPh sb="27" eb="29">
      <t>ヘンキャク</t>
    </rPh>
    <phoneticPr fontId="3"/>
  </si>
  <si>
    <t>名称住所マスタ・名称住所（農協）マスタ・決済条件マスタ・ユーザー情報（会内）を一覧表示し、一覧から任意の相手先を選択し、呼び出し元に情報を返却する。
検索の条件は
取引先種別による完全一致検索、
相手先コードによる前方一致検索、
相手先名称（漢字）による部分一致検索、
相手先名称（ｶﾅ）による部分一致検索、
住所（漢字）による部分一致検索、
基準日の絞り込み表示する機能を設ける。
また、対象取引先種別により検索できる取引先種別に制限を設ける。</t>
    <rPh sb="39" eb="41">
      <t>イチラン</t>
    </rPh>
    <rPh sb="41" eb="43">
      <t>ヒョウジ</t>
    </rPh>
    <rPh sb="45" eb="47">
      <t>イチラン</t>
    </rPh>
    <rPh sb="49" eb="51">
      <t>ニンイ</t>
    </rPh>
    <rPh sb="56" eb="58">
      <t>センタク</t>
    </rPh>
    <rPh sb="172" eb="175">
      <t>キジュンビ</t>
    </rPh>
    <rPh sb="176" eb="177">
      <t>シボ</t>
    </rPh>
    <rPh sb="178" eb="179">
      <t>コ</t>
    </rPh>
    <rPh sb="180" eb="182">
      <t>ヒョウジ</t>
    </rPh>
    <rPh sb="184" eb="186">
      <t>キノウ</t>
    </rPh>
    <rPh sb="187" eb="188">
      <t>モウ</t>
    </rPh>
    <phoneticPr fontId="3"/>
  </si>
  <si>
    <t>取引先種別
対象取引先種別
相手先コード
決算モード</t>
    <phoneticPr fontId="3"/>
  </si>
  <si>
    <t>結果
相手先コード
相手先名称（漢字）
相手先名称（ｶﾅ）
住所（漢字）
口座名義人（漢字）
口座名義人（ｶﾅ）
口座種別
口座番号
銀行コード
銀行名称
本支店コード
本支店名称
口座適用開始日
口座適用終了日
事業者登録番号</t>
    <phoneticPr fontId="3"/>
  </si>
  <si>
    <t>対象取引先種別が未設定の場合、すべての取引先種別を対象とする。
選択ボタンで画面を閉じた場合、結果 0:選択 を返す。それ以外は 1:キャンセル</t>
    <phoneticPr fontId="3"/>
  </si>
  <si>
    <t>システムで利用できる収支管理品目を検索し利用者が必要な情報を返却する</t>
    <rPh sb="5" eb="7">
      <t>リヨウ</t>
    </rPh>
    <rPh sb="17" eb="19">
      <t>ケンサク</t>
    </rPh>
    <rPh sb="20" eb="23">
      <t>リヨウシャ</t>
    </rPh>
    <rPh sb="24" eb="26">
      <t>ヒツヨウ</t>
    </rPh>
    <rPh sb="27" eb="29">
      <t>ジョウホウ</t>
    </rPh>
    <rPh sb="30" eb="32">
      <t>ヘンキャク</t>
    </rPh>
    <phoneticPr fontId="3"/>
  </si>
  <si>
    <t>収支管理品目マスタを一覧表示し、一覧から任意の収支管理品目を選択し、呼び出し元に情報を返却する。
検索の条件は
収支管理品目コードによる前方一致検索
収支管理品目名称（漢字）による部分一致検索、
収支管理品目大分類コードによる前方一致検索
収支管理品目大分類名称（漢字）による部分一致検索、
会計情報品目コードによる前方一致検索
会計情報品目名称（漢字）による部分一致検索、
基準日の絞り込み表示する機能を設ける。</t>
    <rPh sb="10" eb="12">
      <t>イチラン</t>
    </rPh>
    <rPh sb="12" eb="14">
      <t>ヒョウジ</t>
    </rPh>
    <rPh sb="16" eb="18">
      <t>イチラン</t>
    </rPh>
    <rPh sb="20" eb="22">
      <t>ニンイ</t>
    </rPh>
    <rPh sb="30" eb="32">
      <t>センタク</t>
    </rPh>
    <rPh sb="188" eb="191">
      <t>キジュンビ</t>
    </rPh>
    <rPh sb="192" eb="193">
      <t>シボ</t>
    </rPh>
    <rPh sb="194" eb="195">
      <t>コ</t>
    </rPh>
    <rPh sb="196" eb="198">
      <t>ヒョウジ</t>
    </rPh>
    <rPh sb="200" eb="202">
      <t>キノウ</t>
    </rPh>
    <rPh sb="203" eb="204">
      <t>モウ</t>
    </rPh>
    <phoneticPr fontId="3"/>
  </si>
  <si>
    <t>業種コード
収支管理品目コード</t>
    <phoneticPr fontId="3"/>
  </si>
  <si>
    <t>結果
業種コード
業種名称
収支管理品目コード
収支管理品目名称（漢字）
収支管理品目大分類コード
収支管理品目大分類名称（漢字）
会計情報品目コード
会計情報品目名称</t>
    <phoneticPr fontId="3"/>
  </si>
  <si>
    <t>システムで利用できる施設を検索し利用者が必要な情報を返却する</t>
    <rPh sb="5" eb="7">
      <t>リヨウ</t>
    </rPh>
    <rPh sb="10" eb="12">
      <t>シセツ</t>
    </rPh>
    <rPh sb="13" eb="15">
      <t>ケンサク</t>
    </rPh>
    <rPh sb="16" eb="19">
      <t>リヨウシャ</t>
    </rPh>
    <rPh sb="20" eb="22">
      <t>ヒツヨウ</t>
    </rPh>
    <rPh sb="23" eb="25">
      <t>ジョウホウ</t>
    </rPh>
    <rPh sb="26" eb="28">
      <t>ヘンキャク</t>
    </rPh>
    <phoneticPr fontId="3"/>
  </si>
  <si>
    <t>施設マスタを一覧表示し、一覧から任意の施設を選択し、呼び出し元に情報を返却する。
検索の条件は
施設コードによる前方一致検索
施設名による部分一致検索、
施設形態区分による完全一致検索、
基準日の絞り込み表示する機能を設ける。</t>
    <rPh sb="6" eb="8">
      <t>イチラン</t>
    </rPh>
    <rPh sb="8" eb="10">
      <t>ヒョウジ</t>
    </rPh>
    <rPh sb="12" eb="14">
      <t>イチラン</t>
    </rPh>
    <rPh sb="16" eb="18">
      <t>ニンイ</t>
    </rPh>
    <rPh sb="22" eb="24">
      <t>センタク</t>
    </rPh>
    <rPh sb="94" eb="97">
      <t>キジュンビ</t>
    </rPh>
    <rPh sb="98" eb="99">
      <t>シボ</t>
    </rPh>
    <rPh sb="100" eb="101">
      <t>コ</t>
    </rPh>
    <rPh sb="102" eb="104">
      <t>ヒョウジ</t>
    </rPh>
    <rPh sb="106" eb="108">
      <t>キノウ</t>
    </rPh>
    <rPh sb="109" eb="110">
      <t>モウ</t>
    </rPh>
    <phoneticPr fontId="3"/>
  </si>
  <si>
    <t xml:space="preserve">業種コード
施設コード
</t>
    <phoneticPr fontId="3"/>
  </si>
  <si>
    <t>結果
業種コード
業種名称
施設コード
施設名称（漢字）</t>
    <phoneticPr fontId="3"/>
  </si>
  <si>
    <t>システムで利用できる取引パターンを検索し利用者が必要な情報を返却する</t>
    <rPh sb="5" eb="7">
      <t>リヨウ</t>
    </rPh>
    <rPh sb="17" eb="19">
      <t>ケンサク</t>
    </rPh>
    <rPh sb="20" eb="23">
      <t>リヨウシャ</t>
    </rPh>
    <rPh sb="24" eb="26">
      <t>ヒツヨウ</t>
    </rPh>
    <rPh sb="27" eb="29">
      <t>ジョウホウ</t>
    </rPh>
    <rPh sb="30" eb="32">
      <t>ヘンキャク</t>
    </rPh>
    <phoneticPr fontId="3"/>
  </si>
  <si>
    <t>定例取引パターンマスタを一覧表示し、一覧から任意の取引パターンを選択し、呼び出し元に情報を返却する。
検索の条件は
取引パターンコードによる前方一致検索
取引パターン名による部分一致検索、
基準日の絞り込み表示する機能を設ける。</t>
    <rPh sb="12" eb="14">
      <t>イチラン</t>
    </rPh>
    <rPh sb="14" eb="16">
      <t>ヒョウジ</t>
    </rPh>
    <rPh sb="18" eb="20">
      <t>イチラン</t>
    </rPh>
    <rPh sb="22" eb="24">
      <t>ニンイ</t>
    </rPh>
    <rPh sb="32" eb="34">
      <t>センタク</t>
    </rPh>
    <rPh sb="96" eb="97">
      <t>シボ</t>
    </rPh>
    <rPh sb="98" eb="99">
      <t>コ</t>
    </rPh>
    <rPh sb="100" eb="102">
      <t>ヒョウジ</t>
    </rPh>
    <rPh sb="104" eb="106">
      <t>キノウ</t>
    </rPh>
    <rPh sb="107" eb="108">
      <t>モウ</t>
    </rPh>
    <phoneticPr fontId="3"/>
  </si>
  <si>
    <t xml:space="preserve">業種コード
取引パターンコード
</t>
    <phoneticPr fontId="3"/>
  </si>
  <si>
    <t>結果
業種コード
業種名称
取引パターンコード
取引パターン名称
科目摘要名
回収支払区分
入力パターン
取扱区分
棚卸科目区分
共計区分
費用収益発生</t>
    <phoneticPr fontId="3"/>
  </si>
  <si>
    <t>システムで利用できる支所農協を検索し利用者が必要な情報を返却する</t>
    <rPh sb="5" eb="7">
      <t>リヨウ</t>
    </rPh>
    <rPh sb="10" eb="12">
      <t>シショ</t>
    </rPh>
    <rPh sb="12" eb="14">
      <t>ノウキョウ</t>
    </rPh>
    <rPh sb="15" eb="17">
      <t>ケンサク</t>
    </rPh>
    <rPh sb="18" eb="21">
      <t>リヨウシャ</t>
    </rPh>
    <rPh sb="22" eb="24">
      <t>ヒツヨウ</t>
    </rPh>
    <rPh sb="25" eb="27">
      <t>ジョウホウ</t>
    </rPh>
    <rPh sb="28" eb="30">
      <t>ヘンキャク</t>
    </rPh>
    <phoneticPr fontId="3"/>
  </si>
  <si>
    <t>名称住所（農協）マスタを一覧表示し、一覧から任意の支所農協を選択し、呼び出し元に情報を返却する。
検索の条件は
支所コード／支所名称による前方一致検索
農協コードによる前方一致検索
農協名称による部分一致検索、
基準日の絞り込み表示する機能を設ける。</t>
    <rPh sb="12" eb="14">
      <t>イチラン</t>
    </rPh>
    <rPh sb="14" eb="16">
      <t>ヒョウジ</t>
    </rPh>
    <rPh sb="18" eb="20">
      <t>イチラン</t>
    </rPh>
    <rPh sb="22" eb="24">
      <t>ニンイ</t>
    </rPh>
    <rPh sb="30" eb="32">
      <t>センタク</t>
    </rPh>
    <rPh sb="107" eb="108">
      <t>シボ</t>
    </rPh>
    <rPh sb="109" eb="110">
      <t>コ</t>
    </rPh>
    <rPh sb="111" eb="113">
      <t>ヒョウジ</t>
    </rPh>
    <rPh sb="115" eb="117">
      <t>キノウ</t>
    </rPh>
    <rPh sb="118" eb="119">
      <t>モウ</t>
    </rPh>
    <phoneticPr fontId="3"/>
  </si>
  <si>
    <t>農協コード
農協枝番コード</t>
    <phoneticPr fontId="3"/>
  </si>
  <si>
    <t>結果
支所コード
支所名称
農協コード
農協枝番コード
農協名称</t>
    <phoneticPr fontId="3"/>
  </si>
  <si>
    <t>システムで利用できる共計精算パターンを検索し利用者が必要な情報を返却する</t>
    <rPh sb="5" eb="7">
      <t>リヨウ</t>
    </rPh>
    <rPh sb="10" eb="12">
      <t>キョウケイ</t>
    </rPh>
    <rPh sb="12" eb="14">
      <t>セイサン</t>
    </rPh>
    <rPh sb="19" eb="21">
      <t>ケンサク</t>
    </rPh>
    <rPh sb="22" eb="25">
      <t>リヨウシャ</t>
    </rPh>
    <rPh sb="26" eb="28">
      <t>ヒツヨウ</t>
    </rPh>
    <rPh sb="29" eb="31">
      <t>ジョウホウ</t>
    </rPh>
    <rPh sb="32" eb="34">
      <t>ヘンキャク</t>
    </rPh>
    <phoneticPr fontId="3"/>
  </si>
  <si>
    <t>共計精算パターンマスタを一覧表示し、一覧から任意の共計精算パターンを選択し、呼び出し元に情報を返却する。
検索の条件は
業種コードによる前方一致検索
共計組織コードによる前方一致検索
共計精算パターンコードによる前方一致検索
共計精算パターン名称による部分一致検索、
基準日の絞り込み表示する機能を設ける。
また、対象業種コード・対象所属コードにより検索できる業種コード・所属コードに制限を設ける。</t>
    <rPh sb="12" eb="14">
      <t>イチラン</t>
    </rPh>
    <rPh sb="14" eb="16">
      <t>ヒョウジ</t>
    </rPh>
    <rPh sb="18" eb="20">
      <t>イチラン</t>
    </rPh>
    <rPh sb="22" eb="24">
      <t>ニンイ</t>
    </rPh>
    <rPh sb="34" eb="36">
      <t>センタク</t>
    </rPh>
    <rPh sb="135" eb="136">
      <t>シボ</t>
    </rPh>
    <rPh sb="137" eb="138">
      <t>コ</t>
    </rPh>
    <rPh sb="139" eb="141">
      <t>ヒョウジ</t>
    </rPh>
    <rPh sb="143" eb="145">
      <t>キノウ</t>
    </rPh>
    <rPh sb="146" eb="147">
      <t>モウ</t>
    </rPh>
    <phoneticPr fontId="3"/>
  </si>
  <si>
    <t>業種コード
対象業種コード
対象組織コード
共計精算パターンコード</t>
    <rPh sb="16" eb="18">
      <t>ソシキ</t>
    </rPh>
    <phoneticPr fontId="3"/>
  </si>
  <si>
    <t>結果
業種コード
業種名称
共計組織名称
共計精算パターンコード
共計精算パターン名称
共計区分
収支管理品目コード
収支管理品目名称</t>
    <phoneticPr fontId="3"/>
  </si>
  <si>
    <t>対象業種コードが未設定の場合、すべての業種を対象とする。
対象組織コードが未設定の場合、すべての組織を対象とする。
選択ボタンで画面を閉じた場合、結果 0:選択 を返す。それ以外は 1:キャンセル</t>
    <phoneticPr fontId="3"/>
  </si>
  <si>
    <t>システムで利用できる勘定科目を検索し利用者が必要な情報を返却する</t>
    <rPh sb="5" eb="7">
      <t>リヨウ</t>
    </rPh>
    <rPh sb="10" eb="12">
      <t>カンジョウ</t>
    </rPh>
    <rPh sb="12" eb="14">
      <t>カモク</t>
    </rPh>
    <rPh sb="15" eb="17">
      <t>ケンサク</t>
    </rPh>
    <rPh sb="18" eb="21">
      <t>リヨウシャ</t>
    </rPh>
    <rPh sb="22" eb="24">
      <t>ヒツヨウ</t>
    </rPh>
    <rPh sb="25" eb="27">
      <t>ジョウホウ</t>
    </rPh>
    <rPh sb="28" eb="30">
      <t>ヘンキャク</t>
    </rPh>
    <phoneticPr fontId="3"/>
  </si>
  <si>
    <t>目節科目マスタ・勘定科目マスタを一覧表示し、一覧から任意の勘定科目を選択し、呼び出し元に情報を返却する。
検索の条件は
勘定科目コードによる前方一致検索
目節科目コードによる前方一致検索
目節科目名称による部分一致検索、
年度の絞り込み表示する機能を設ける。</t>
    <rPh sb="16" eb="18">
      <t>イチラン</t>
    </rPh>
    <rPh sb="18" eb="20">
      <t>ヒョウジ</t>
    </rPh>
    <rPh sb="22" eb="24">
      <t>イチラン</t>
    </rPh>
    <rPh sb="26" eb="28">
      <t>ニンイ</t>
    </rPh>
    <rPh sb="34" eb="36">
      <t>センタク</t>
    </rPh>
    <rPh sb="111" eb="113">
      <t>ネンド</t>
    </rPh>
    <rPh sb="113" eb="114">
      <t>コ</t>
    </rPh>
    <rPh sb="115" eb="117">
      <t>ヒョウジ</t>
    </rPh>
    <rPh sb="119" eb="121">
      <t>キノウ</t>
    </rPh>
    <rPh sb="122" eb="123">
      <t>モウ</t>
    </rPh>
    <phoneticPr fontId="3"/>
  </si>
  <si>
    <t>項科目コード
目節科目コード</t>
    <phoneticPr fontId="3"/>
  </si>
  <si>
    <t>結果
項科目コード
目節科目コード
目節科目名称
画面表示名称
科目分類
科目タイプ
所属管理区分</t>
    <phoneticPr fontId="3"/>
  </si>
  <si>
    <t>システムで利用できる科目摘要を検索し利用者が必要な情報を返却する</t>
    <rPh sb="5" eb="7">
      <t>リヨウ</t>
    </rPh>
    <rPh sb="10" eb="12">
      <t>カモク</t>
    </rPh>
    <rPh sb="12" eb="14">
      <t>テキヨウ</t>
    </rPh>
    <rPh sb="15" eb="17">
      <t>ケンサク</t>
    </rPh>
    <rPh sb="18" eb="21">
      <t>リヨウシャ</t>
    </rPh>
    <rPh sb="22" eb="24">
      <t>ヒツヨウ</t>
    </rPh>
    <rPh sb="25" eb="27">
      <t>ジョウホウ</t>
    </rPh>
    <rPh sb="28" eb="30">
      <t>ヘンキャク</t>
    </rPh>
    <phoneticPr fontId="3"/>
  </si>
  <si>
    <t>科目摘要マスタ・目節科目マスタを一覧表示し、一覧から任意の科目摘要を選択し、呼び出し元に情報を返却する。
検索の条件は
科目摘要コードによる前方一致検索
科目摘要名称による部分一致検索、
勘定科目コードによる前方一致検索
年度の絞り込み表示する機能を設ける。
また、対象科目摘要コードにより検索できる科目摘要コードに制限を設ける。</t>
    <rPh sb="16" eb="18">
      <t>イチラン</t>
    </rPh>
    <rPh sb="18" eb="20">
      <t>ヒョウジ</t>
    </rPh>
    <rPh sb="22" eb="24">
      <t>イチラン</t>
    </rPh>
    <rPh sb="26" eb="28">
      <t>ニンイ</t>
    </rPh>
    <rPh sb="34" eb="36">
      <t>センタク</t>
    </rPh>
    <rPh sb="111" eb="113">
      <t>ネンド</t>
    </rPh>
    <rPh sb="113" eb="114">
      <t>コ</t>
    </rPh>
    <rPh sb="115" eb="117">
      <t>ヒョウジ</t>
    </rPh>
    <rPh sb="119" eb="121">
      <t>キノウ</t>
    </rPh>
    <rPh sb="122" eb="123">
      <t>モウ</t>
    </rPh>
    <phoneticPr fontId="3"/>
  </si>
  <si>
    <t>業種コード
科目摘要コード
対象科目摘要コード</t>
    <phoneticPr fontId="3"/>
  </si>
  <si>
    <t>結果
業種コード
業種名称
科目摘要コード
科目摘要名称
項科目コード
目節科目コード
勘定科目名称</t>
    <phoneticPr fontId="3"/>
  </si>
  <si>
    <t>対象科目摘要コードが未設定の場合、すべての科目摘要を対象とする。
選択ボタンで画面を閉じた場合、結果 0:選択 を返す。それ以外は 1:キャンセル</t>
    <phoneticPr fontId="3"/>
  </si>
  <si>
    <t>システムで利用できる金融機関を検索し利用者が必要な情報を返却する</t>
    <rPh sb="5" eb="7">
      <t>リヨウ</t>
    </rPh>
    <rPh sb="10" eb="12">
      <t>キンユウ</t>
    </rPh>
    <rPh sb="12" eb="14">
      <t>キカン</t>
    </rPh>
    <rPh sb="15" eb="17">
      <t>ケンサク</t>
    </rPh>
    <rPh sb="18" eb="21">
      <t>リヨウシャ</t>
    </rPh>
    <rPh sb="22" eb="24">
      <t>ヒツヨウ</t>
    </rPh>
    <rPh sb="25" eb="27">
      <t>ジョウホウ</t>
    </rPh>
    <rPh sb="28" eb="30">
      <t>ヘンキャク</t>
    </rPh>
    <phoneticPr fontId="3"/>
  </si>
  <si>
    <t>金融機関マスタを一覧表示し、一覧から任意の金融機関を選択し、呼び出し元に情報を返却する。
検索の条件は
銀行コードによる完全一致検索、
銀行名称（漢字）による部分一致検索、
銀行名称（ｶﾅ））による部分一致検索、
本支店コードによる完全一致検索、
本支店名称（漢字））による部分一致検索、
本支店名称（ｶﾅ））による部分一致検索、
の絞り込み表示する機能を設ける。</t>
    <rPh sb="8" eb="10">
      <t>イチラン</t>
    </rPh>
    <rPh sb="10" eb="12">
      <t>ヒョウジ</t>
    </rPh>
    <rPh sb="30" eb="31">
      <t>ヨ</t>
    </rPh>
    <rPh sb="32" eb="33">
      <t>ダ</t>
    </rPh>
    <rPh sb="34" eb="35">
      <t>モト</t>
    </rPh>
    <rPh sb="36" eb="38">
      <t>ジョウホウ</t>
    </rPh>
    <rPh sb="39" eb="41">
      <t>ヘンキャク</t>
    </rPh>
    <rPh sb="45" eb="47">
      <t>ケンサク</t>
    </rPh>
    <rPh sb="48" eb="50">
      <t>ジョウケン</t>
    </rPh>
    <rPh sb="75" eb="77">
      <t>ブブン</t>
    </rPh>
    <rPh sb="77" eb="79">
      <t>イッチ</t>
    </rPh>
    <rPh sb="79" eb="81">
      <t>ケンサク</t>
    </rPh>
    <rPh sb="167" eb="169">
      <t>ヒョウジ</t>
    </rPh>
    <rPh sb="171" eb="173">
      <t>キノウ</t>
    </rPh>
    <rPh sb="174" eb="175">
      <t>モウ</t>
    </rPh>
    <phoneticPr fontId="3"/>
  </si>
  <si>
    <t>金融機関コード
店舗コード</t>
    <phoneticPr fontId="3"/>
  </si>
  <si>
    <t>結果
金融機関コード
金融機関名称漢字
金融機関名称カナ
店舗コード
店舗名称漢字
店舗名称カナ</t>
    <phoneticPr fontId="3"/>
  </si>
  <si>
    <t>システムで利用できる決済条件適用品目を検索し利用者が必要な情報を返却する</t>
    <rPh sb="5" eb="7">
      <t>リヨウ</t>
    </rPh>
    <rPh sb="10" eb="12">
      <t>ケッサイ</t>
    </rPh>
    <rPh sb="12" eb="14">
      <t>ジョウケン</t>
    </rPh>
    <rPh sb="14" eb="16">
      <t>テキヨウ</t>
    </rPh>
    <rPh sb="16" eb="18">
      <t>ヒンモク</t>
    </rPh>
    <rPh sb="19" eb="21">
      <t>ケンサク</t>
    </rPh>
    <rPh sb="22" eb="25">
      <t>リヨウシャ</t>
    </rPh>
    <rPh sb="26" eb="28">
      <t>ヒツヨウ</t>
    </rPh>
    <rPh sb="29" eb="31">
      <t>ジョウホウ</t>
    </rPh>
    <rPh sb="32" eb="34">
      <t>ヘンキャク</t>
    </rPh>
    <phoneticPr fontId="3"/>
  </si>
  <si>
    <t>決済条件適用品目マスタを一覧表示し、一覧から任意の決済条件適用品目を選択し、呼び出し元に情報を返却する。
検索の条件は
決済条件適用品目コードによる前方一致検索
決済条件適用品目名（漢字）による部分一致検索、
基準日の絞り込み表示する機能を設ける。</t>
    <rPh sb="12" eb="14">
      <t>イチラン</t>
    </rPh>
    <rPh sb="14" eb="16">
      <t>ヒョウジ</t>
    </rPh>
    <rPh sb="18" eb="20">
      <t>イチラン</t>
    </rPh>
    <rPh sb="22" eb="24">
      <t>ニンイ</t>
    </rPh>
    <rPh sb="34" eb="36">
      <t>センタク</t>
    </rPh>
    <phoneticPr fontId="3"/>
  </si>
  <si>
    <t>業種コード
決済条件適用品目コード</t>
    <phoneticPr fontId="3"/>
  </si>
  <si>
    <t>結果
業種コード
業種名称
決済条件適用品目コード
決済条件適用品目名称</t>
    <phoneticPr fontId="3"/>
  </si>
  <si>
    <t>システムで利用できる会計情報品目を検索し利用者が必要な情報を返却する</t>
    <rPh sb="5" eb="7">
      <t>リヨウ</t>
    </rPh>
    <rPh sb="17" eb="19">
      <t>ケンサク</t>
    </rPh>
    <rPh sb="20" eb="23">
      <t>リヨウシャ</t>
    </rPh>
    <rPh sb="24" eb="26">
      <t>ヒツヨウ</t>
    </rPh>
    <rPh sb="27" eb="29">
      <t>ジョウホウ</t>
    </rPh>
    <rPh sb="30" eb="32">
      <t>ヘンキャク</t>
    </rPh>
    <phoneticPr fontId="3"/>
  </si>
  <si>
    <t>会計情報品目マスタを一覧表示し、一覧から任意の科目摘要を選択し、呼び出し元に情報を返却する。
検索の条件は
会計情報品目コードによる前方一致検索
会計情報品目名（漢字）による部分一致検索、
基準日の絞り込み表示する機能を設ける。</t>
    <rPh sb="10" eb="12">
      <t>イチラン</t>
    </rPh>
    <rPh sb="12" eb="14">
      <t>ヒョウジ</t>
    </rPh>
    <rPh sb="16" eb="18">
      <t>イチラン</t>
    </rPh>
    <rPh sb="20" eb="22">
      <t>ニンイ</t>
    </rPh>
    <rPh sb="28" eb="30">
      <t>センタク</t>
    </rPh>
    <phoneticPr fontId="3"/>
  </si>
  <si>
    <t>業種コード
会計情報品目コード</t>
    <phoneticPr fontId="3"/>
  </si>
  <si>
    <t>結果
業種コード
業種名称
会計情報品目コード
会計情報品目名称</t>
    <phoneticPr fontId="3"/>
  </si>
  <si>
    <t>システムで利用できるサイト条件を検索し利用者が必要な情報を返却する</t>
    <rPh sb="5" eb="7">
      <t>リヨウ</t>
    </rPh>
    <rPh sb="13" eb="15">
      <t>ジョウケン</t>
    </rPh>
    <rPh sb="16" eb="18">
      <t>ケンサク</t>
    </rPh>
    <rPh sb="19" eb="22">
      <t>リヨウシャ</t>
    </rPh>
    <rPh sb="23" eb="25">
      <t>ヒツヨウ</t>
    </rPh>
    <rPh sb="26" eb="28">
      <t>ジョウホウ</t>
    </rPh>
    <rPh sb="29" eb="31">
      <t>ヘンキャク</t>
    </rPh>
    <phoneticPr fontId="3"/>
  </si>
  <si>
    <t>サイト条件マスタを一覧表示し、一覧から任意のサイト条件を選択し、呼び出し元に情報を返却する。
検索の条件は
サイト条件番号による前方一致検索
サイト区分による完全一致検索、
サイト日数による完全一致検索、
サイト月による完全一致検索、
サイト日による完全一致検索、
基準日の絞り込み表示する機能を設ける。</t>
    <rPh sb="9" eb="11">
      <t>イチラン</t>
    </rPh>
    <rPh sb="11" eb="13">
      <t>ヒョウジ</t>
    </rPh>
    <rPh sb="15" eb="17">
      <t>イチラン</t>
    </rPh>
    <rPh sb="19" eb="21">
      <t>ニンイ</t>
    </rPh>
    <rPh sb="28" eb="30">
      <t>センタク</t>
    </rPh>
    <phoneticPr fontId="3"/>
  </si>
  <si>
    <t>サイト条件番号
サイト条件番号枝番</t>
    <phoneticPr fontId="3"/>
  </si>
  <si>
    <t>結果
サイト条件番号
サイト条件番号枝番
サイト区分
サイト日数
サイト月
サイト日</t>
    <phoneticPr fontId="3"/>
  </si>
  <si>
    <t>システムで利用できる金利連番を検索し利用者が必要な情報を返却する</t>
    <rPh sb="5" eb="7">
      <t>リヨウ</t>
    </rPh>
    <rPh sb="10" eb="12">
      <t>キンリ</t>
    </rPh>
    <rPh sb="12" eb="14">
      <t>レンバン</t>
    </rPh>
    <rPh sb="15" eb="17">
      <t>ケンサク</t>
    </rPh>
    <rPh sb="18" eb="21">
      <t>リヨウシャ</t>
    </rPh>
    <rPh sb="22" eb="24">
      <t>ヒツヨウ</t>
    </rPh>
    <rPh sb="25" eb="27">
      <t>ジョウホウ</t>
    </rPh>
    <rPh sb="28" eb="30">
      <t>ヘンキャク</t>
    </rPh>
    <phoneticPr fontId="3"/>
  </si>
  <si>
    <t>金利マスタを一覧表示し、一覧から任意の金利連番を選択し、呼び出し元に情報を返却する。
検索の条件は
金利管理コードによる前方一致検索
金利分類コードによる前方一致検索
金利連番コードによる前方一致検索
金利名称（漢字）による部分一致検索、
基準日の絞り込み表示する機能を設ける。</t>
    <rPh sb="6" eb="8">
      <t>イチラン</t>
    </rPh>
    <rPh sb="8" eb="10">
      <t>ヒョウジ</t>
    </rPh>
    <rPh sb="12" eb="14">
      <t>イチラン</t>
    </rPh>
    <rPh sb="16" eb="18">
      <t>ニンイ</t>
    </rPh>
    <rPh sb="24" eb="26">
      <t>センタク</t>
    </rPh>
    <phoneticPr fontId="3"/>
  </si>
  <si>
    <t>金利管理コード
金利分類コード
金利連番コード</t>
    <phoneticPr fontId="3"/>
  </si>
  <si>
    <t>結果
金利管理コード
金利分類コード
金利連番
金利率
金利名称</t>
    <phoneticPr fontId="3"/>
  </si>
  <si>
    <t>システムで利用できる会計コードを検索し利用者が必要な情報を返却する</t>
    <rPh sb="5" eb="7">
      <t>リヨウ</t>
    </rPh>
    <rPh sb="10" eb="12">
      <t>カイケイ</t>
    </rPh>
    <rPh sb="16" eb="18">
      <t>ケンサク</t>
    </rPh>
    <rPh sb="19" eb="22">
      <t>リヨウシャ</t>
    </rPh>
    <rPh sb="23" eb="25">
      <t>ヒツヨウ</t>
    </rPh>
    <rPh sb="26" eb="28">
      <t>ジョウホウ</t>
    </rPh>
    <rPh sb="29" eb="31">
      <t>ヘンキャク</t>
    </rPh>
    <phoneticPr fontId="3"/>
  </si>
  <si>
    <t xml:space="preserve">会計コードマスタを一覧表示し、利用者が一覧から会計コードを選択する。
会計コードによる前方一致検索
会計名称による部分一致検索、
基準日の絞り込み表示する機能を設ける。
起動時の分類コードパラメータで複数種類の区分検索（金額摘要、単位検）に対応する。
</t>
    <rPh sb="9" eb="11">
      <t>イチラン</t>
    </rPh>
    <rPh sb="11" eb="13">
      <t>ヒョウジ</t>
    </rPh>
    <rPh sb="15" eb="18">
      <t>リヨウシャ</t>
    </rPh>
    <rPh sb="19" eb="21">
      <t>イチラン</t>
    </rPh>
    <rPh sb="23" eb="25">
      <t>カイケイ</t>
    </rPh>
    <rPh sb="29" eb="31">
      <t>センタク</t>
    </rPh>
    <rPh sb="35" eb="37">
      <t>カイケイ</t>
    </rPh>
    <rPh sb="50" eb="52">
      <t>カイケイ</t>
    </rPh>
    <rPh sb="52" eb="54">
      <t>メイショウ</t>
    </rPh>
    <rPh sb="57" eb="59">
      <t>ブブン</t>
    </rPh>
    <rPh sb="59" eb="61">
      <t>イッチ</t>
    </rPh>
    <rPh sb="61" eb="63">
      <t>ケンサク</t>
    </rPh>
    <rPh sb="65" eb="68">
      <t>キジュンビ</t>
    </rPh>
    <rPh sb="69" eb="70">
      <t>シボ</t>
    </rPh>
    <rPh sb="71" eb="72">
      <t>コ</t>
    </rPh>
    <rPh sb="73" eb="75">
      <t>ヒョウジ</t>
    </rPh>
    <rPh sb="77" eb="79">
      <t>キノウ</t>
    </rPh>
    <rPh sb="80" eb="81">
      <t>モウ</t>
    </rPh>
    <rPh sb="106" eb="108">
      <t>クブン</t>
    </rPh>
    <phoneticPr fontId="3"/>
  </si>
  <si>
    <t>分類コード
会計コード</t>
    <phoneticPr fontId="3"/>
  </si>
  <si>
    <t>結果
分類コード
会計コード</t>
    <phoneticPr fontId="3"/>
  </si>
  <si>
    <t>システムで利用できる収支管理品目大分類を検索し利用者が必要な情報を返却する</t>
    <rPh sb="5" eb="7">
      <t>リヨウ</t>
    </rPh>
    <rPh sb="10" eb="12">
      <t>シュウシ</t>
    </rPh>
    <rPh sb="12" eb="14">
      <t>カンリ</t>
    </rPh>
    <rPh sb="14" eb="16">
      <t>ヒンモク</t>
    </rPh>
    <rPh sb="16" eb="17">
      <t>ダイ</t>
    </rPh>
    <rPh sb="17" eb="19">
      <t>ブンルイ</t>
    </rPh>
    <rPh sb="20" eb="22">
      <t>ケンサク</t>
    </rPh>
    <rPh sb="23" eb="26">
      <t>リヨウシャ</t>
    </rPh>
    <rPh sb="27" eb="29">
      <t>ヒツヨウ</t>
    </rPh>
    <rPh sb="30" eb="32">
      <t>ジョウホウ</t>
    </rPh>
    <rPh sb="33" eb="35">
      <t>ヘンキャク</t>
    </rPh>
    <phoneticPr fontId="3"/>
  </si>
  <si>
    <t>収支管理品目大分類マスタを一覧表示し、一覧から任意の収支管理品目大分類を選択し、呼び出し元に情報を返却する。
検索の条件は
収支管理品目大分類コードによる前方一致検索
収支管理品目大分類名による部分一致検索、
会計情報品目コードによる前方一致検索
会計情報品目名による部分一致検索、
業種による完全一致検索、
基準日の絞り込み表示する機能を設ける。
また、対象所属コードにより検索できる所属コードに制限を設ける。</t>
    <rPh sb="13" eb="15">
      <t>イチラン</t>
    </rPh>
    <rPh sb="15" eb="17">
      <t>ヒョウジ</t>
    </rPh>
    <rPh sb="19" eb="21">
      <t>イチラン</t>
    </rPh>
    <rPh sb="23" eb="25">
      <t>ニンイ</t>
    </rPh>
    <rPh sb="36" eb="38">
      <t>センタク</t>
    </rPh>
    <phoneticPr fontId="3"/>
  </si>
  <si>
    <t>業種コード
収支管理品目大分類コード
対象業種コード</t>
    <phoneticPr fontId="3"/>
  </si>
  <si>
    <t>結果
業種コード
業種名称
収支管理品目大分類コード
収支管理品目大分類名称
会計情報品目コード
会計情報品目名称</t>
    <phoneticPr fontId="3"/>
  </si>
  <si>
    <t>業種情報取得</t>
  </si>
  <si>
    <t>システムで利用できる業種情報を他システムに公開する</t>
    <rPh sb="5" eb="7">
      <t>リヨウ</t>
    </rPh>
    <rPh sb="10" eb="12">
      <t>ギョウシュ</t>
    </rPh>
    <rPh sb="12" eb="14">
      <t>ジョウホウ</t>
    </rPh>
    <rPh sb="15" eb="16">
      <t>タ</t>
    </rPh>
    <rPh sb="21" eb="23">
      <t>コウカイ</t>
    </rPh>
    <phoneticPr fontId="3"/>
  </si>
  <si>
    <t>業種情報を取得し、その結果を提供するWebAPI。</t>
    <phoneticPr fontId="3"/>
  </si>
  <si>
    <t>業種コード
検索基準日</t>
    <rPh sb="0" eb="2">
      <t>ギョウシュ</t>
    </rPh>
    <rPh sb="6" eb="8">
      <t>ケンサク</t>
    </rPh>
    <rPh sb="8" eb="11">
      <t>キジュンビ</t>
    </rPh>
    <phoneticPr fontId="3"/>
  </si>
  <si>
    <t>結果
業種コード
業種名称</t>
    <rPh sb="0" eb="2">
      <t>ケッカ</t>
    </rPh>
    <rPh sb="3" eb="5">
      <t>ギョウシュ</t>
    </rPh>
    <rPh sb="9" eb="11">
      <t>ギョウシュ</t>
    </rPh>
    <rPh sb="11" eb="13">
      <t>メイショウ</t>
    </rPh>
    <phoneticPr fontId="3"/>
  </si>
  <si>
    <t>他システム向け</t>
    <rPh sb="0" eb="1">
      <t>タ</t>
    </rPh>
    <rPh sb="5" eb="6">
      <t>ム</t>
    </rPh>
    <phoneticPr fontId="3"/>
  </si>
  <si>
    <t>金融機関情報取得</t>
  </si>
  <si>
    <t>システムで利用できる金融機関情報を他システムに公開する</t>
    <rPh sb="14" eb="16">
      <t>ジョウホウ</t>
    </rPh>
    <rPh sb="17" eb="18">
      <t>タ</t>
    </rPh>
    <rPh sb="23" eb="25">
      <t>コウカイ</t>
    </rPh>
    <phoneticPr fontId="3"/>
  </si>
  <si>
    <t>金融機関情報を取得し、その結果を提供するWebAPI。</t>
    <phoneticPr fontId="3"/>
  </si>
  <si>
    <t>結果
金融機関情報</t>
    <rPh sb="0" eb="2">
      <t>ケッカ</t>
    </rPh>
    <rPh sb="3" eb="7">
      <t>キンユウキカン</t>
    </rPh>
    <rPh sb="7" eb="9">
      <t>ジョウホウ</t>
    </rPh>
    <phoneticPr fontId="3"/>
  </si>
  <si>
    <t>消費税率取得</t>
  </si>
  <si>
    <t>システムで利用できる消費税率情報を他システムに公開する</t>
    <rPh sb="14" eb="16">
      <t>ジョウホウ</t>
    </rPh>
    <rPh sb="17" eb="18">
      <t>タ</t>
    </rPh>
    <rPh sb="23" eb="25">
      <t>コウカイ</t>
    </rPh>
    <phoneticPr fontId="3"/>
  </si>
  <si>
    <t>消費税率を取得し、その結果を提供するWebAPI。</t>
    <phoneticPr fontId="3"/>
  </si>
  <si>
    <t>消費税コード
検索基準日</t>
    <rPh sb="0" eb="3">
      <t>ショウヒゼイ</t>
    </rPh>
    <rPh sb="7" eb="9">
      <t>ケンサク</t>
    </rPh>
    <rPh sb="9" eb="12">
      <t>キジュンビ</t>
    </rPh>
    <phoneticPr fontId="3"/>
  </si>
  <si>
    <t>結果
消費税情報</t>
    <rPh sb="0" eb="2">
      <t>ケッカ</t>
    </rPh>
    <rPh sb="3" eb="6">
      <t>ショウヒゼイ</t>
    </rPh>
    <rPh sb="6" eb="8">
      <t>ジョウホウ</t>
    </rPh>
    <phoneticPr fontId="3"/>
  </si>
  <si>
    <t>収支管理品目取得</t>
  </si>
  <si>
    <t>システムで利用できる収支管理品目情報を他システムに公開する</t>
    <rPh sb="10" eb="16">
      <t>シュウシカンリヒンモク</t>
    </rPh>
    <rPh sb="16" eb="18">
      <t>ジョウホウ</t>
    </rPh>
    <rPh sb="19" eb="20">
      <t>タ</t>
    </rPh>
    <rPh sb="25" eb="27">
      <t>コウカイ</t>
    </rPh>
    <phoneticPr fontId="3"/>
  </si>
  <si>
    <t>収支管理品目情報とその品目に紐付く会計情報品目情報、収支管理品目大分類情報を取得し、その結果を提供するWebAPI。</t>
    <phoneticPr fontId="3"/>
  </si>
  <si>
    <t>収支管理品目コード
検索基準日</t>
    <rPh sb="0" eb="4">
      <t>シュウシカンリ</t>
    </rPh>
    <rPh sb="4" eb="6">
      <t>ヒンモク</t>
    </rPh>
    <rPh sb="10" eb="12">
      <t>ケンサク</t>
    </rPh>
    <rPh sb="12" eb="15">
      <t>キジュンビ</t>
    </rPh>
    <phoneticPr fontId="3"/>
  </si>
  <si>
    <t>結果
収支管理品目情報</t>
    <rPh sb="0" eb="2">
      <t>ケッカ</t>
    </rPh>
    <rPh sb="3" eb="7">
      <t>シュウシカンリ</t>
    </rPh>
    <rPh sb="7" eb="9">
      <t>ヒンモク</t>
    </rPh>
    <rPh sb="9" eb="11">
      <t>ジョウホウ</t>
    </rPh>
    <phoneticPr fontId="3"/>
  </si>
  <si>
    <t>他システム向け
※詳細はF4190_DA_12.5.業務共通処理.xlsx参照</t>
    <rPh sb="0" eb="1">
      <t>タ</t>
    </rPh>
    <rPh sb="5" eb="6">
      <t>ム</t>
    </rPh>
    <phoneticPr fontId="3"/>
  </si>
  <si>
    <t>収支管理品目情報登録</t>
  </si>
  <si>
    <t>システムで利用できる収支管理品目情報の登録手段を他システムに公開する</t>
    <rPh sb="5" eb="7">
      <t>リヨウ</t>
    </rPh>
    <rPh sb="10" eb="14">
      <t>シュウシカンリ</t>
    </rPh>
    <rPh sb="14" eb="16">
      <t>ヒンモク</t>
    </rPh>
    <rPh sb="16" eb="18">
      <t>ジョウホウ</t>
    </rPh>
    <rPh sb="19" eb="21">
      <t>トウロク</t>
    </rPh>
    <rPh sb="21" eb="23">
      <t>シュダン</t>
    </rPh>
    <rPh sb="24" eb="25">
      <t>タ</t>
    </rPh>
    <rPh sb="30" eb="32">
      <t>コウカイ</t>
    </rPh>
    <phoneticPr fontId="3"/>
  </si>
  <si>
    <t>リクエストパラメータで渡された収支管理品目情報について、処理区分により単項目、関連項目チェック、収支管理品目マスタへの登録を行い結果を返却する。
※マスタ登録については、承認行為を呼び元で実施した際の承認時登録で使用されることを前提とする。
※本機能ではデータの登録のみを行い、修正、削除は行わない。</t>
    <phoneticPr fontId="3"/>
  </si>
  <si>
    <t>収支管理品目情報
登録元システム情報
入力者情報
承認者情報</t>
    <rPh sb="0" eb="4">
      <t>シュウシカンリ</t>
    </rPh>
    <rPh sb="4" eb="6">
      <t>ヒンモク</t>
    </rPh>
    <rPh sb="6" eb="8">
      <t>ジョウホウ</t>
    </rPh>
    <rPh sb="9" eb="11">
      <t>トウロク</t>
    </rPh>
    <rPh sb="11" eb="12">
      <t>モト</t>
    </rPh>
    <rPh sb="16" eb="18">
      <t>ジョウホウ</t>
    </rPh>
    <rPh sb="19" eb="21">
      <t>ニュウリョク</t>
    </rPh>
    <rPh sb="21" eb="22">
      <t>シャ</t>
    </rPh>
    <rPh sb="22" eb="24">
      <t>ジョウホウ</t>
    </rPh>
    <rPh sb="25" eb="28">
      <t>ショウニンシャ</t>
    </rPh>
    <rPh sb="28" eb="30">
      <t>ジョウホウ</t>
    </rPh>
    <phoneticPr fontId="3"/>
  </si>
  <si>
    <t>結果</t>
    <rPh sb="0" eb="2">
      <t>ケッカ</t>
    </rPh>
    <phoneticPr fontId="3"/>
  </si>
  <si>
    <t>勘定日付取得処理</t>
  </si>
  <si>
    <t>システム共通の勘定日付計算ロジックを他システムに公開する</t>
    <rPh sb="4" eb="6">
      <t>キョウツウ</t>
    </rPh>
    <rPh sb="7" eb="9">
      <t>カンジョウ</t>
    </rPh>
    <rPh sb="9" eb="11">
      <t>ヒヅケ</t>
    </rPh>
    <rPh sb="11" eb="13">
      <t>ケイサン</t>
    </rPh>
    <rPh sb="18" eb="19">
      <t>タ</t>
    </rPh>
    <rPh sb="24" eb="26">
      <t>コウカイ</t>
    </rPh>
    <phoneticPr fontId="3"/>
  </si>
  <si>
    <t>取引年月日をもとに、バリューバックを考慮した勘定年月日を、会計カレンダーより取得し、その結果を提供するWebAPI</t>
    <rPh sb="44" eb="46">
      <t>ケッカ</t>
    </rPh>
    <rPh sb="47" eb="49">
      <t>テイキョウ</t>
    </rPh>
    <phoneticPr fontId="3"/>
  </si>
  <si>
    <t>バリューバック区分
取引年月日</t>
    <rPh sb="7" eb="9">
      <t>クブン</t>
    </rPh>
    <rPh sb="10" eb="12">
      <t>トリヒキ</t>
    </rPh>
    <rPh sb="12" eb="15">
      <t>ネンガッピ</t>
    </rPh>
    <phoneticPr fontId="3"/>
  </si>
  <si>
    <t>結果
勘定年月日</t>
    <rPh sb="0" eb="2">
      <t>ケッカ</t>
    </rPh>
    <rPh sb="3" eb="8">
      <t>カンジョウネンガッピ</t>
    </rPh>
    <phoneticPr fontId="3"/>
  </si>
  <si>
    <t>会計年度算出</t>
  </si>
  <si>
    <t>システム共通の会計年度計算ロジックを他システムに公開する</t>
    <phoneticPr fontId="3"/>
  </si>
  <si>
    <t>会計年度・会計年月から、補正した会計年度・会計年月を算出し、その結果を提供するWebAPI</t>
    <rPh sb="32" eb="34">
      <t>ケッカ</t>
    </rPh>
    <rPh sb="35" eb="37">
      <t>テイキョウ</t>
    </rPh>
    <phoneticPr fontId="3"/>
  </si>
  <si>
    <t>会計年月</t>
    <rPh sb="0" eb="2">
      <t>カイケイ</t>
    </rPh>
    <rPh sb="2" eb="4">
      <t>ネンゲツ</t>
    </rPh>
    <phoneticPr fontId="3"/>
  </si>
  <si>
    <t>結果
会計年度</t>
    <rPh sb="0" eb="2">
      <t>ケッカ</t>
    </rPh>
    <rPh sb="3" eb="5">
      <t>カイケイ</t>
    </rPh>
    <rPh sb="5" eb="7">
      <t>ネンド</t>
    </rPh>
    <phoneticPr fontId="3"/>
  </si>
  <si>
    <t>債権債務共通項目取得</t>
  </si>
  <si>
    <t>システム共通の債権債務共通項目情報を他システムに公開する</t>
    <rPh sb="4" eb="6">
      <t>キョウツウ</t>
    </rPh>
    <rPh sb="7" eb="9">
      <t>サイケン</t>
    </rPh>
    <rPh sb="9" eb="11">
      <t>サイム</t>
    </rPh>
    <rPh sb="11" eb="13">
      <t>キョウツウ</t>
    </rPh>
    <rPh sb="13" eb="15">
      <t>コウモク</t>
    </rPh>
    <rPh sb="15" eb="17">
      <t>ジョウホウ</t>
    </rPh>
    <rPh sb="18" eb="19">
      <t>タ</t>
    </rPh>
    <rPh sb="24" eb="26">
      <t>コウカイ</t>
    </rPh>
    <phoneticPr fontId="3"/>
  </si>
  <si>
    <t>組織情報、決済条件適用品目情報、統括本部情報、取引先情報を取得し、その結果を提供するWebAPI</t>
    <rPh sb="35" eb="37">
      <t>ケッカ</t>
    </rPh>
    <rPh sb="38" eb="40">
      <t>テイキョウ</t>
    </rPh>
    <phoneticPr fontId="3"/>
  </si>
  <si>
    <t>組織情報
品目情報
区分情報</t>
    <rPh sb="0" eb="2">
      <t>ソシキ</t>
    </rPh>
    <rPh sb="2" eb="4">
      <t>ジョウホウ</t>
    </rPh>
    <rPh sb="5" eb="7">
      <t>ヒンモク</t>
    </rPh>
    <rPh sb="7" eb="9">
      <t>ジョウホウ</t>
    </rPh>
    <rPh sb="10" eb="12">
      <t>クブン</t>
    </rPh>
    <rPh sb="12" eb="14">
      <t>ジョウホウ</t>
    </rPh>
    <phoneticPr fontId="3"/>
  </si>
  <si>
    <t>結果
債権債務共通項目情報</t>
    <rPh sb="0" eb="2">
      <t>ケッカ</t>
    </rPh>
    <rPh sb="3" eb="7">
      <t>サイケンサイム</t>
    </rPh>
    <rPh sb="7" eb="9">
      <t>キョウツウ</t>
    </rPh>
    <rPh sb="9" eb="11">
      <t>コウモク</t>
    </rPh>
    <rPh sb="11" eb="13">
      <t>ジョウホウ</t>
    </rPh>
    <phoneticPr fontId="3"/>
  </si>
  <si>
    <t>サイト条件文字情報変換</t>
  </si>
  <si>
    <t>システム共通のサイト条件文字情報変換ロジックを他システムに公開する</t>
    <rPh sb="14" eb="16">
      <t>ジョウホウ</t>
    </rPh>
    <rPh sb="16" eb="18">
      <t>ヘンカン</t>
    </rPh>
    <rPh sb="23" eb="24">
      <t>タ</t>
    </rPh>
    <rPh sb="29" eb="31">
      <t>コウカイ</t>
    </rPh>
    <phoneticPr fontId="3"/>
  </si>
  <si>
    <t>インターフェースのサイト条件情報を文字変換し、その結果を提供するWebAPI</t>
    <rPh sb="25" eb="27">
      <t>ケッカ</t>
    </rPh>
    <rPh sb="28" eb="30">
      <t>テイキョウ</t>
    </rPh>
    <phoneticPr fontId="3"/>
  </si>
  <si>
    <t>算出年月日情報</t>
    <rPh sb="0" eb="2">
      <t>サンシュツ</t>
    </rPh>
    <rPh sb="2" eb="5">
      <t>ネンガッピ</t>
    </rPh>
    <rPh sb="5" eb="7">
      <t>ジョウホウ</t>
    </rPh>
    <phoneticPr fontId="3"/>
  </si>
  <si>
    <t>結果
サイト情報文字情報</t>
    <rPh sb="0" eb="2">
      <t>ケッカ</t>
    </rPh>
    <rPh sb="6" eb="8">
      <t>ジョウホウ</t>
    </rPh>
    <rPh sb="8" eb="10">
      <t>モジ</t>
    </rPh>
    <rPh sb="10" eb="12">
      <t>ジョウホウ</t>
    </rPh>
    <phoneticPr fontId="3"/>
  </si>
  <si>
    <t>処理支払予定日取得</t>
  </si>
  <si>
    <t>システム共通の支払予定日算出ロジックを他システムに公開する</t>
    <rPh sb="4" eb="6">
      <t>キョウツウ</t>
    </rPh>
    <rPh sb="7" eb="9">
      <t>シハライ</t>
    </rPh>
    <rPh sb="9" eb="11">
      <t>ヨテイ</t>
    </rPh>
    <rPh sb="11" eb="12">
      <t>ビ</t>
    </rPh>
    <rPh sb="12" eb="14">
      <t>サンシュツ</t>
    </rPh>
    <rPh sb="19" eb="20">
      <t>タ</t>
    </rPh>
    <rPh sb="25" eb="27">
      <t>コウカイ</t>
    </rPh>
    <phoneticPr fontId="3"/>
  </si>
  <si>
    <t>準備日数、基準年月日を基に支払予定日を取得し、その結果を提供するWebAPI</t>
    <rPh sb="19" eb="21">
      <t>シュトク</t>
    </rPh>
    <rPh sb="25" eb="27">
      <t>ケッカ</t>
    </rPh>
    <rPh sb="28" eb="30">
      <t>テイキョウ</t>
    </rPh>
    <phoneticPr fontId="3"/>
  </si>
  <si>
    <t>基準年月日</t>
    <rPh sb="0" eb="2">
      <t>キジュン</t>
    </rPh>
    <rPh sb="2" eb="5">
      <t>ネンガッピ</t>
    </rPh>
    <phoneticPr fontId="3"/>
  </si>
  <si>
    <t>結果
支払予定日</t>
    <rPh sb="0" eb="2">
      <t>ケッカ</t>
    </rPh>
    <rPh sb="3" eb="8">
      <t>シハライヨテイビ</t>
    </rPh>
    <phoneticPr fontId="3"/>
  </si>
  <si>
    <t>金融機関情報抽出</t>
  </si>
  <si>
    <t>システム共通の金融機関情報抽出ロジックを他システムに公開する</t>
    <rPh sb="4" eb="6">
      <t>キョウツウ</t>
    </rPh>
    <rPh sb="7" eb="11">
      <t>キンユウキカン</t>
    </rPh>
    <rPh sb="11" eb="13">
      <t>ジョウホウ</t>
    </rPh>
    <rPh sb="13" eb="15">
      <t>チュウシュツ</t>
    </rPh>
    <rPh sb="20" eb="21">
      <t>タ</t>
    </rPh>
    <rPh sb="26" eb="28">
      <t>コウカイ</t>
    </rPh>
    <phoneticPr fontId="3"/>
  </si>
  <si>
    <t>指定された取引先コード、金融機関口座通番により、金融機関口座マスターから金融機関情報を取得し、その結果を提供するWebAPI</t>
    <rPh sb="49" eb="51">
      <t>ケッカ</t>
    </rPh>
    <rPh sb="52" eb="54">
      <t>テイキョウ</t>
    </rPh>
    <phoneticPr fontId="3"/>
  </si>
  <si>
    <t>取引先コード
金融機関口座連番
検索基準日</t>
    <rPh sb="7" eb="11">
      <t>キンユウキカン</t>
    </rPh>
    <rPh sb="11" eb="13">
      <t>コウザ</t>
    </rPh>
    <rPh sb="13" eb="15">
      <t>レンバン</t>
    </rPh>
    <rPh sb="16" eb="18">
      <t>ケンサク</t>
    </rPh>
    <rPh sb="18" eb="21">
      <t>キジュンビ</t>
    </rPh>
    <phoneticPr fontId="3"/>
  </si>
  <si>
    <t>結果
金融機関口座数
金融機関口座情報リスト</t>
    <rPh sb="0" eb="2">
      <t>ケッカ</t>
    </rPh>
    <rPh sb="3" eb="7">
      <t>キンユウキカン</t>
    </rPh>
    <rPh sb="7" eb="10">
      <t>コウザスウ</t>
    </rPh>
    <rPh sb="11" eb="15">
      <t>キンユウキカン</t>
    </rPh>
    <rPh sb="15" eb="17">
      <t>コウザ</t>
    </rPh>
    <rPh sb="17" eb="19">
      <t>ジョウホウ</t>
    </rPh>
    <phoneticPr fontId="3"/>
  </si>
  <si>
    <t>債権残高提供</t>
  </si>
  <si>
    <t>システム共通の債権残高抽出ロジックを他システムに公開する</t>
    <rPh sb="4" eb="6">
      <t>キョウツウ</t>
    </rPh>
    <rPh sb="7" eb="9">
      <t>サイケン</t>
    </rPh>
    <rPh sb="9" eb="11">
      <t>ザンダカ</t>
    </rPh>
    <rPh sb="11" eb="13">
      <t>チュウシュツ</t>
    </rPh>
    <rPh sb="18" eb="19">
      <t>タ</t>
    </rPh>
    <rPh sb="24" eb="26">
      <t>コウカイ</t>
    </rPh>
    <phoneticPr fontId="3"/>
  </si>
  <si>
    <t>指定された取引先，所属，業種別に債権残高及び取引限度枠を取得し、その結果を提供するWebAPI</t>
    <rPh sb="28" eb="30">
      <t>シュトク</t>
    </rPh>
    <rPh sb="34" eb="36">
      <t>ケッカ</t>
    </rPh>
    <rPh sb="37" eb="39">
      <t>テイキョウ</t>
    </rPh>
    <phoneticPr fontId="3"/>
  </si>
  <si>
    <t>取引先コード
所属コード
業種コード
検索基準日</t>
    <rPh sb="0" eb="3">
      <t>トリヒキサキ</t>
    </rPh>
    <rPh sb="7" eb="9">
      <t>ショゾク</t>
    </rPh>
    <rPh sb="13" eb="15">
      <t>ギョウシュ</t>
    </rPh>
    <rPh sb="19" eb="21">
      <t>ケンサク</t>
    </rPh>
    <rPh sb="21" eb="24">
      <t>キジュンビ</t>
    </rPh>
    <phoneticPr fontId="3"/>
  </si>
  <si>
    <t>結果
債権残高情報</t>
    <rPh sb="0" eb="2">
      <t>ケッカ</t>
    </rPh>
    <rPh sb="3" eb="7">
      <t>サイケンザンダカ</t>
    </rPh>
    <rPh sb="7" eb="9">
      <t>ジョウホウ</t>
    </rPh>
    <phoneticPr fontId="3"/>
  </si>
  <si>
    <t>回収支払名称取得</t>
  </si>
  <si>
    <t>システム共通の回収支払名称情報を他システムに公開する</t>
    <rPh sb="4" eb="6">
      <t>キョウツウ</t>
    </rPh>
    <rPh sb="7" eb="9">
      <t>カイシュウ</t>
    </rPh>
    <rPh sb="9" eb="11">
      <t>シハライ</t>
    </rPh>
    <rPh sb="11" eb="13">
      <t>メイショウ</t>
    </rPh>
    <rPh sb="13" eb="15">
      <t>ジョウホウ</t>
    </rPh>
    <rPh sb="16" eb="17">
      <t>タ</t>
    </rPh>
    <rPh sb="22" eb="24">
      <t>コウカイ</t>
    </rPh>
    <phoneticPr fontId="3"/>
  </si>
  <si>
    <t>パラメータに従い、回収支払名称情報を取得し、その結果を提供するWebAPI</t>
    <rPh sb="6" eb="7">
      <t>シタガ</t>
    </rPh>
    <rPh sb="9" eb="11">
      <t>カイシュウ</t>
    </rPh>
    <rPh sb="11" eb="13">
      <t>シハライ</t>
    </rPh>
    <rPh sb="13" eb="15">
      <t>メイショウ</t>
    </rPh>
    <rPh sb="15" eb="17">
      <t>ジョウホウ</t>
    </rPh>
    <rPh sb="18" eb="20">
      <t>シュトク</t>
    </rPh>
    <rPh sb="24" eb="26">
      <t>ケッカ</t>
    </rPh>
    <rPh sb="27" eb="29">
      <t>テイキョウ</t>
    </rPh>
    <phoneticPr fontId="3"/>
  </si>
  <si>
    <t>債権債務区分
回収支払方法区分</t>
    <rPh sb="0" eb="2">
      <t>サイケン</t>
    </rPh>
    <rPh sb="2" eb="4">
      <t>サイム</t>
    </rPh>
    <rPh sb="4" eb="6">
      <t>クブン</t>
    </rPh>
    <rPh sb="7" eb="9">
      <t>カイシュウ</t>
    </rPh>
    <rPh sb="9" eb="11">
      <t>シハライ</t>
    </rPh>
    <rPh sb="11" eb="13">
      <t>ホウホウ</t>
    </rPh>
    <rPh sb="13" eb="15">
      <t>クブン</t>
    </rPh>
    <phoneticPr fontId="3"/>
  </si>
  <si>
    <t>結果
回収支払名称情報</t>
    <rPh sb="0" eb="2">
      <t>ケッカ</t>
    </rPh>
    <rPh sb="3" eb="5">
      <t>カイシュウ</t>
    </rPh>
    <rPh sb="5" eb="7">
      <t>シハライ</t>
    </rPh>
    <rPh sb="7" eb="11">
      <t>メイショウジョウホウ</t>
    </rPh>
    <phoneticPr fontId="3"/>
  </si>
  <si>
    <t>決済情報抽出</t>
  </si>
  <si>
    <t>システム共通の決済情報抽出ロジックを他システムに公開する</t>
    <rPh sb="4" eb="6">
      <t>キョウツウ</t>
    </rPh>
    <rPh sb="7" eb="9">
      <t>ケッサイ</t>
    </rPh>
    <rPh sb="9" eb="11">
      <t>ジョウホウ</t>
    </rPh>
    <rPh sb="11" eb="13">
      <t>チュウシュツ</t>
    </rPh>
    <rPh sb="18" eb="19">
      <t>タ</t>
    </rPh>
    <rPh sb="24" eb="26">
      <t>コウカイ</t>
    </rPh>
    <phoneticPr fontId="3"/>
  </si>
  <si>
    <t>決済条件マスタ、サイト条件マスタから決済条件情報を取得し、その結果を提供するWebAPI</t>
    <rPh sb="31" eb="33">
      <t>ケッカ</t>
    </rPh>
    <rPh sb="34" eb="36">
      <t>テイキョウ</t>
    </rPh>
    <phoneticPr fontId="3"/>
  </si>
  <si>
    <t>取引先情報
決済相手情報</t>
    <rPh sb="0" eb="5">
      <t>トリヒキサキジョウホウ</t>
    </rPh>
    <rPh sb="6" eb="8">
      <t>ケッサイ</t>
    </rPh>
    <rPh sb="8" eb="10">
      <t>アイテ</t>
    </rPh>
    <rPh sb="10" eb="12">
      <t>ジョウホウ</t>
    </rPh>
    <phoneticPr fontId="3"/>
  </si>
  <si>
    <t>結果
決済条件情報</t>
    <rPh sb="0" eb="2">
      <t>ケッカ</t>
    </rPh>
    <rPh sb="3" eb="5">
      <t>ケッサイ</t>
    </rPh>
    <rPh sb="5" eb="7">
      <t>ジョウケン</t>
    </rPh>
    <rPh sb="7" eb="9">
      <t>ジョウホウ</t>
    </rPh>
    <phoneticPr fontId="3"/>
  </si>
  <si>
    <t>決済情報抽出処理（農協用）</t>
  </si>
  <si>
    <t>システム共通の決済情報（農協用）抽出ロジックを他システムに公開する</t>
    <rPh sb="4" eb="6">
      <t>キョウツウ</t>
    </rPh>
    <rPh sb="7" eb="9">
      <t>ケッサイ</t>
    </rPh>
    <rPh sb="9" eb="11">
      <t>ジョウホウ</t>
    </rPh>
    <rPh sb="12" eb="14">
      <t>ノウキョウ</t>
    </rPh>
    <rPh sb="14" eb="15">
      <t>ヨウ</t>
    </rPh>
    <rPh sb="16" eb="18">
      <t>チュウシュツ</t>
    </rPh>
    <rPh sb="23" eb="24">
      <t>タ</t>
    </rPh>
    <rPh sb="29" eb="31">
      <t>コウカイ</t>
    </rPh>
    <phoneticPr fontId="3"/>
  </si>
  <si>
    <t>決済条件マスタ、サイト条件マスタから決済条件情報を取得し、その結果を提供するWebAPI（農協用）</t>
    <rPh sb="31" eb="33">
      <t>ケッカ</t>
    </rPh>
    <rPh sb="34" eb="36">
      <t>テイキョウ</t>
    </rPh>
    <rPh sb="45" eb="48">
      <t>ノウキョウヨウ</t>
    </rPh>
    <phoneticPr fontId="3"/>
  </si>
  <si>
    <t>結果
決済条件情報（農協）</t>
    <rPh sb="0" eb="2">
      <t>ケッカ</t>
    </rPh>
    <rPh sb="3" eb="5">
      <t>ケッサイ</t>
    </rPh>
    <rPh sb="5" eb="7">
      <t>ジョウケン</t>
    </rPh>
    <rPh sb="7" eb="9">
      <t>ジョウホウ</t>
    </rPh>
    <rPh sb="10" eb="12">
      <t>ノウキョウ</t>
    </rPh>
    <phoneticPr fontId="3"/>
  </si>
  <si>
    <t>取引先情報取得</t>
  </si>
  <si>
    <t>システムで利用できる取引先情報を他システムに公開する</t>
    <rPh sb="5" eb="7">
      <t>リヨウ</t>
    </rPh>
    <rPh sb="10" eb="13">
      <t>トリヒキサキ</t>
    </rPh>
    <rPh sb="13" eb="15">
      <t>ジョウホウ</t>
    </rPh>
    <rPh sb="16" eb="17">
      <t>タ</t>
    </rPh>
    <rPh sb="22" eb="24">
      <t>コウカイ</t>
    </rPh>
    <phoneticPr fontId="3"/>
  </si>
  <si>
    <t>取引先コードから対象の取引先情報を取得し、その結果を提供するWebAPI</t>
    <rPh sb="23" eb="25">
      <t>ケッカ</t>
    </rPh>
    <rPh sb="26" eb="28">
      <t>テイキョウ</t>
    </rPh>
    <phoneticPr fontId="3"/>
  </si>
  <si>
    <t>取引先コード
検索基準日</t>
    <rPh sb="0" eb="3">
      <t>トリヒキサキ</t>
    </rPh>
    <rPh sb="7" eb="9">
      <t>ケンサク</t>
    </rPh>
    <rPh sb="9" eb="12">
      <t>キジュンビ</t>
    </rPh>
    <phoneticPr fontId="3"/>
  </si>
  <si>
    <t>結果
取引先詳細情報</t>
    <rPh sb="0" eb="2">
      <t>ケッカ</t>
    </rPh>
    <rPh sb="3" eb="5">
      <t>トリヒキ</t>
    </rPh>
    <rPh sb="5" eb="6">
      <t>サキ</t>
    </rPh>
    <rPh sb="6" eb="8">
      <t>ショウサイ</t>
    </rPh>
    <rPh sb="8" eb="10">
      <t>ジョウホウ</t>
    </rPh>
    <phoneticPr fontId="3"/>
  </si>
  <si>
    <t>数量正規化</t>
  </si>
  <si>
    <t>システム共通の数量正規化ロジックを他システムに公開する</t>
    <rPh sb="4" eb="6">
      <t>キョウツウ</t>
    </rPh>
    <rPh sb="7" eb="9">
      <t>スウリョウ</t>
    </rPh>
    <rPh sb="9" eb="12">
      <t>セイキカ</t>
    </rPh>
    <rPh sb="17" eb="18">
      <t>タ</t>
    </rPh>
    <rPh sb="23" eb="25">
      <t>コウカイ</t>
    </rPh>
    <phoneticPr fontId="3"/>
  </si>
  <si>
    <t>換算数量など分数形式で表現されている数量をファイル形式または帳票形式に正規化し、その結果を提供するWebAPI</t>
    <rPh sb="35" eb="38">
      <t>セイキカ</t>
    </rPh>
    <rPh sb="42" eb="44">
      <t>ケッカ</t>
    </rPh>
    <rPh sb="45" eb="47">
      <t>テイキョウ</t>
    </rPh>
    <phoneticPr fontId="3"/>
  </si>
  <si>
    <t>取扱区分
仮数
分子
分母</t>
    <rPh sb="0" eb="2">
      <t>トリアツカ</t>
    </rPh>
    <rPh sb="2" eb="4">
      <t>クブン</t>
    </rPh>
    <rPh sb="5" eb="7">
      <t>カスウ</t>
    </rPh>
    <rPh sb="8" eb="10">
      <t>ブンシ</t>
    </rPh>
    <rPh sb="11" eb="13">
      <t>ブンボ</t>
    </rPh>
    <phoneticPr fontId="3"/>
  </si>
  <si>
    <t>結果
仮数
分子
分母</t>
    <rPh sb="0" eb="2">
      <t>ケッカ</t>
    </rPh>
    <rPh sb="3" eb="5">
      <t>カスウ</t>
    </rPh>
    <rPh sb="6" eb="8">
      <t>ブンシ</t>
    </rPh>
    <rPh sb="9" eb="11">
      <t>ブンボ</t>
    </rPh>
    <phoneticPr fontId="3"/>
  </si>
  <si>
    <t>品目分類マスタ取得</t>
  </si>
  <si>
    <t>システムで利用できる品目分類マスタ情報を他システムに公開する</t>
    <rPh sb="5" eb="7">
      <t>リヨウ</t>
    </rPh>
    <rPh sb="10" eb="12">
      <t>ヒンモク</t>
    </rPh>
    <rPh sb="12" eb="14">
      <t>ブンルイ</t>
    </rPh>
    <rPh sb="17" eb="19">
      <t>ジョウホウ</t>
    </rPh>
    <rPh sb="20" eb="21">
      <t>タ</t>
    </rPh>
    <rPh sb="26" eb="28">
      <t>コウカイ</t>
    </rPh>
    <phoneticPr fontId="3"/>
  </si>
  <si>
    <t>品目分類マスタから品目分類マスタ情報を取得し、その結果を提供するWebAPI</t>
    <rPh sb="9" eb="11">
      <t>ヒンモク</t>
    </rPh>
    <rPh sb="11" eb="13">
      <t>ブンルイ</t>
    </rPh>
    <rPh sb="16" eb="18">
      <t>ジョウホウ</t>
    </rPh>
    <rPh sb="19" eb="21">
      <t>シュトク</t>
    </rPh>
    <rPh sb="25" eb="27">
      <t>ケッカ</t>
    </rPh>
    <rPh sb="28" eb="30">
      <t>テイキョウ</t>
    </rPh>
    <phoneticPr fontId="3"/>
  </si>
  <si>
    <t>処理区分
データ区分
品目区分</t>
    <rPh sb="0" eb="4">
      <t>ショリクブン</t>
    </rPh>
    <rPh sb="8" eb="10">
      <t>クブン</t>
    </rPh>
    <rPh sb="11" eb="13">
      <t>ヒンモク</t>
    </rPh>
    <rPh sb="13" eb="15">
      <t>クブン</t>
    </rPh>
    <phoneticPr fontId="3"/>
  </si>
  <si>
    <t>結果
品目分類マスタ情報</t>
    <rPh sb="0" eb="2">
      <t>ケッカ</t>
    </rPh>
    <rPh sb="3" eb="5">
      <t>ヒンモク</t>
    </rPh>
    <rPh sb="5" eb="7">
      <t>ブンルイ</t>
    </rPh>
    <rPh sb="10" eb="12">
      <t>ジョウホウ</t>
    </rPh>
    <phoneticPr fontId="3"/>
  </si>
  <si>
    <t>棚卸受払残高評価額計算</t>
  </si>
  <si>
    <t>システム共通の棚卸受払残高評価額計算ロジックを他システムに公開する</t>
    <rPh sb="4" eb="6">
      <t>キョウツウ</t>
    </rPh>
    <rPh sb="7" eb="9">
      <t>タナオロシ</t>
    </rPh>
    <rPh sb="9" eb="11">
      <t>ウケハライ</t>
    </rPh>
    <rPh sb="11" eb="13">
      <t>ザンダカ</t>
    </rPh>
    <rPh sb="13" eb="16">
      <t>ヒョウカガク</t>
    </rPh>
    <rPh sb="16" eb="18">
      <t>ケイサン</t>
    </rPh>
    <rPh sb="23" eb="24">
      <t>タ</t>
    </rPh>
    <rPh sb="29" eb="31">
      <t>コウカイ</t>
    </rPh>
    <phoneticPr fontId="3"/>
  </si>
  <si>
    <t>棚卸資産受払残高・DBの項目を入力とし棚卸資産の資産額、残高、評価単価を算出し、その結果を提供するWebAPI</t>
    <rPh sb="31" eb="33">
      <t>ヒョウカ</t>
    </rPh>
    <rPh sb="33" eb="35">
      <t>タンカ</t>
    </rPh>
    <rPh sb="36" eb="38">
      <t>サンシュツ</t>
    </rPh>
    <rPh sb="42" eb="44">
      <t>ケッカ</t>
    </rPh>
    <rPh sb="45" eb="47">
      <t>テイキョウ</t>
    </rPh>
    <phoneticPr fontId="3"/>
  </si>
  <si>
    <t>算出月</t>
    <rPh sb="0" eb="2">
      <t>サンシュツ</t>
    </rPh>
    <rPh sb="2" eb="3">
      <t>ツキ</t>
    </rPh>
    <phoneticPr fontId="3"/>
  </si>
  <si>
    <t>結果
棚卸受払残高評価額計算結果情報</t>
    <rPh sb="0" eb="2">
      <t>ケッカ</t>
    </rPh>
    <rPh sb="3" eb="5">
      <t>タナオロシ</t>
    </rPh>
    <rPh sb="5" eb="7">
      <t>ウケハライ</t>
    </rPh>
    <rPh sb="7" eb="9">
      <t>ザンダカ</t>
    </rPh>
    <rPh sb="9" eb="12">
      <t>ヒョウカガク</t>
    </rPh>
    <rPh sb="12" eb="14">
      <t>ケイサン</t>
    </rPh>
    <rPh sb="14" eb="16">
      <t>ケッカ</t>
    </rPh>
    <rPh sb="16" eb="18">
      <t>ジョウホウ</t>
    </rPh>
    <phoneticPr fontId="3"/>
  </si>
  <si>
    <t>サイト算出</t>
  </si>
  <si>
    <t>システム共通のサイト算出ロジックを他システムに公開する</t>
    <rPh sb="4" eb="6">
      <t>キョウツウ</t>
    </rPh>
    <rPh sb="10" eb="12">
      <t>サンシュツ</t>
    </rPh>
    <rPh sb="17" eb="18">
      <t>タ</t>
    </rPh>
    <rPh sb="23" eb="25">
      <t>コウカイ</t>
    </rPh>
    <phoneticPr fontId="3"/>
  </si>
  <si>
    <t>決済条件マスタをはじめとする各マスタを参照し、サイト日・手形満期日を算出し、その結果を提供するWebAPI</t>
    <rPh sb="34" eb="36">
      <t>サンシュツ</t>
    </rPh>
    <rPh sb="40" eb="42">
      <t>ケッカ</t>
    </rPh>
    <rPh sb="43" eb="45">
      <t>テイキョウ</t>
    </rPh>
    <phoneticPr fontId="3"/>
  </si>
  <si>
    <t>結果
サイト日情報
手形満期日情報</t>
    <rPh sb="0" eb="2">
      <t>ケッカ</t>
    </rPh>
    <rPh sb="6" eb="7">
      <t>ビ</t>
    </rPh>
    <rPh sb="7" eb="9">
      <t>ジョウホウ</t>
    </rPh>
    <rPh sb="10" eb="15">
      <t>テガタマンキビ</t>
    </rPh>
    <rPh sb="15" eb="17">
      <t>ジョウホウ</t>
    </rPh>
    <phoneticPr fontId="3"/>
  </si>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</sst>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43" formatCode="_ * #,##0.00_ ;_ * \-#,##0.00_ ;_ * &quot;-&quot;??_ ;_ @_ "/>
    <numFmt numFmtId="176" formatCode="0.0000000000"/>
    <numFmt numFmtId="177" formatCode="#,##0;\-#,##0;&quot;-&quot;"/>
    <numFmt numFmtId="178" formatCode="&quot;$&quot;#,##0_);\(&quot;$&quot;#,##0\)"/>
    <numFmt numFmtId="179" formatCode="&quot;$&quot;#,##0;[Red]\-&quot;$&quot;#,##0"/>
    <numFmt numFmtId="180" formatCode="&quot;$&quot;#,##0.00;[Red]\-&quot;$&quot;#,##0.00"/>
    <numFmt numFmtId="181" formatCode="0_ "/>
  </numFmts>
  <fonts count="55">
    <font>
      <sz val="11"/>
      <name val="ＭＳ ゴシック"/>
      <family val="3"/>
      <charset val="128"/>
    </font>
    <font>
      <sz val="11"/>
      <color indexed="8"/>
      <name val="ＭＳ Ｐゴシック"/>
      <family val="3"/>
      <charset val="128"/>
    </font>
    <font>
      <sz val="9"/>
      <name val="ＭＳ 明朝"/>
      <family val="1"/>
      <charset val="128"/>
    </font>
    <font>
      <sz val="6"/>
      <name val="ＭＳ ゴシック"/>
      <family val="3"/>
      <charset val="128"/>
    </font>
    <font>
      <sz val="10"/>
      <name val="ＭＳ Ｐゴシック"/>
      <family val="3"/>
      <charset val="128"/>
    </font>
    <font>
      <sz val="11"/>
      <color indexed="8"/>
      <name val="ＭＳ Ｐゴシック"/>
      <family val="3"/>
      <charset val="128"/>
    </font>
    <font>
      <sz val="11"/>
      <color indexed="9"/>
      <name val="ＭＳ Ｐゴシック"/>
      <family val="3"/>
      <charset val="128"/>
    </font>
    <font>
      <b val="1"/>
      <sz val="18"/>
      <color indexed="56"/>
      <name val="ＭＳ Ｐゴシック"/>
      <family val="3"/>
      <charset val="128"/>
    </font>
    <font>
      <b val="1"/>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val="1"/>
      <sz val="11"/>
      <color indexed="52"/>
      <name val="ＭＳ Ｐゴシック"/>
      <family val="3"/>
      <charset val="128"/>
    </font>
    <font>
      <sz val="11"/>
      <color indexed="10"/>
      <name val="ＭＳ Ｐゴシック"/>
      <family val="3"/>
      <charset val="128"/>
    </font>
    <font>
      <b val="1"/>
      <sz val="15"/>
      <color indexed="56"/>
      <name val="ＭＳ Ｐゴシック"/>
      <family val="3"/>
      <charset val="128"/>
    </font>
    <font>
      <b val="1"/>
      <sz val="13"/>
      <color indexed="56"/>
      <name val="ＭＳ Ｐゴシック"/>
      <family val="3"/>
      <charset val="128"/>
    </font>
    <font>
      <b val="1"/>
      <sz val="11"/>
      <color indexed="56"/>
      <name val="ＭＳ Ｐゴシック"/>
      <family val="3"/>
      <charset val="128"/>
    </font>
    <font>
      <b val="1"/>
      <sz val="11"/>
      <color indexed="8"/>
      <name val="ＭＳ Ｐゴシック"/>
      <family val="3"/>
      <charset val="128"/>
    </font>
    <font>
      <b val="1"/>
      <sz val="11"/>
      <color indexed="63"/>
      <name val="ＭＳ Ｐゴシック"/>
      <family val="3"/>
      <charset val="128"/>
    </font>
    <font>
      <i val="1"/>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name val="ＭＳ Ｐ明朝"/>
      <family val="1"/>
      <charset val="128"/>
    </font>
    <font>
      <b val="1"/>
      <sz val="10"/>
      <name val="MS Sans Serif"/>
      <family val="2"/>
    </font>
    <font>
      <sz val="10"/>
      <color indexed="8"/>
      <name val="Arial"/>
      <family val="2"/>
    </font>
    <font>
      <b val="1"/>
      <sz val="10"/>
      <name val="Helv"/>
      <family val="2"/>
    </font>
    <font>
      <sz val="10"/>
      <name val="MS Sans Serif"/>
      <family val="2"/>
    </font>
    <font>
      <sz val="10"/>
      <name val="Arial"/>
      <family val="2"/>
    </font>
    <font>
      <sz val="8"/>
      <name val="Arial"/>
      <family val="2"/>
    </font>
    <font>
      <b val="1"/>
      <sz val="12"/>
      <name val="Helv"/>
      <family val="2"/>
    </font>
    <font>
      <b val="1"/>
      <sz val="12"/>
      <name val="Arial"/>
      <family val="2"/>
    </font>
    <font>
      <b val="1"/>
      <sz val="11"/>
      <name val="Helv"/>
      <family val="2"/>
    </font>
    <font>
      <sz val="11"/>
      <name val="ＭＳ Ｐゴシック"/>
      <family val="3"/>
      <charset val="128"/>
    </font>
    <font>
      <sz val="10"/>
      <name val="ＭＳ 明朝"/>
      <family val="1"/>
      <charset val="128"/>
    </font>
    <font>
      <sz val="11"/>
      <name val="ＭＳ 明朝"/>
      <family val="1"/>
      <charset val="128"/>
    </font>
    <font>
      <sz val="14"/>
      <name val="ＭＳ 明朝"/>
      <family val="1"/>
      <charset val="128"/>
    </font>
    <font>
      <sz val="6"/>
      <name val="ＭＳ Ｐゴシック"/>
      <family val="3"/>
      <charset val="128"/>
    </font>
    <font>
      <sz val="9"/>
      <name val="ＭＳ Ｐゴシック"/>
      <family val="3"/>
      <charset val="128"/>
    </font>
    <font>
      <sz val="8"/>
      <name val="ＭＳ Ｐゴシック"/>
      <family val="3"/>
      <charset val="128"/>
    </font>
    <font>
      <b val="1"/>
      <sz val="10"/>
      <name val="ＭＳ Ｐゴシック"/>
      <family val="3"/>
      <charset val="128"/>
    </font>
    <font>
      <sz val="6"/>
      <name val="ＭＳ Ｐゴシック"/>
      <family val="3"/>
      <charset val="128"/>
      <scheme val="minor"/>
    </font>
    <font>
      <sz val="10"/>
      <color theme="1"/>
      <name val="ＭＳ Ｐゴシック"/>
      <family val="3"/>
      <charset val="128"/>
    </font>
    <font>
      <sz val="10"/>
      <color theme="0" tint="-0.3499862666707358"/>
      <name val="ＭＳ Ｐゴシック"/>
      <family val="3"/>
      <charset val="128"/>
    </font>
    <font>
      <sz val="10"/>
      <color theme="0" tint="-0.1499984740745262"/>
      <name val="ＭＳ Ｐゴシック"/>
      <family val="3"/>
      <charset val="128"/>
    </font>
    <font>
      <b val="1"/>
      <sz val="10"/>
      <color theme="1"/>
      <name val="ＭＳ Ｐゴシック"/>
      <family val="3"/>
      <charset val="128"/>
    </font>
    <font>
      <sz val="10"/>
      <color rgb="FF00B0F0"/>
      <name val="ＭＳ Ｐゴシック"/>
      <family val="3"/>
      <charset val="128"/>
    </font>
    <font>
      <sz val="6"/>
      <name val="ＭＳ Ｐゴシック"/>
      <family val="2"/>
      <charset val="128"/>
      <scheme val="minor"/>
    </font>
    <font>
      <sz val="10"/>
      <color rgb="FFFF0000"/>
      <name val="ＭＳ Ｐゴシック"/>
      <family val="3"/>
      <charset val="128"/>
    </font>
    <font>
      <b val="1"/>
      <sz val="9"/>
      <color indexed="81"/>
      <name val="MS P ゴシック"/>
      <family val="3"/>
      <charset val="128"/>
    </font>
    <font>
      <sz val="9"/>
      <color indexed="81"/>
      <name val="MS P ゴシック"/>
      <family val="3"/>
      <charset val="128"/>
    </font>
    <font>
      <sz val="12"/>
      <name val="ＭＳ 明朝"/>
      <family val="1"/>
      <charset val="128"/>
    </font>
    <font>
      <b val="1"/>
      <sz val="14"/>
      <name val="ＭＳ 明朝"/>
      <family val="1"/>
      <charset val="128"/>
    </font>
    <font>
      <sz val="6"/>
      <name val="ＭＳ Ｐ明朝"/>
      <family val="1"/>
      <charset val="128"/>
    </font>
    <font>
      <b val="1"/>
      <sz val="11"/>
      <color rgb="FF2980C4"/>
      <name val="ＭＳ ゴシック"/>
      <family val="2"/>
    </font>
    <font>
      <b val="1"/>
      <sz val="11"/>
      <color rgb="FF4180C4"/>
      <name val="ＭＳ ゴシック"/>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7"/>
        <bgColor indexed="64"/>
      </patternFill>
    </fill>
    <fill>
      <patternFill patternType="solid">
        <fgColor theme="8" tint="0.7999816888943144"/>
        <bgColor indexed="64"/>
      </patternFill>
    </fill>
    <fill>
      <patternFill patternType="solid">
        <fgColor theme="0" tint="-0.1499984740745262"/>
        <bgColor indexed="64"/>
      </patternFill>
    </fill>
    <fill>
      <patternFill patternType="solid">
        <fgColor rgb="FFEE0000"/>
        <bgColor indexed="64"/>
      </patternFill>
    </fill>
    <fill>
      <patternFill patternType="solid">
        <fgColor rgb="FFFFC000"/>
        <bgColor indexed="64"/>
      </patternFill>
    </fill>
  </fills>
  <borders count="53">
    <border>
      <left/>
      <right/>
      <top/>
      <bottom/>
      <diagonal/>
    </border>
    <border>
      <left/>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hair">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thin">
        <color indexed="64"/>
      </left>
      <right style="hair">
        <color indexed="64"/>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diagonalDown="true">
      <left style="hair">
        <color indexed="64"/>
      </left>
      <right/>
      <top style="hair">
        <color indexed="64"/>
      </top>
      <bottom/>
      <diagonal style="hair">
        <color indexed="64"/>
      </diagonal>
    </border>
    <border diagonalDown="true">
      <left/>
      <right style="hair">
        <color indexed="64"/>
      </right>
      <top style="hair">
        <color indexed="64"/>
      </top>
      <bottom/>
      <diagonal style="hair">
        <color indexed="64"/>
      </diagonal>
    </border>
    <border diagonalDown="true">
      <left style="hair">
        <color indexed="64"/>
      </left>
      <right/>
      <top/>
      <bottom/>
      <diagonal style="hair">
        <color indexed="64"/>
      </diagonal>
    </border>
    <border diagonalDown="true">
      <left/>
      <right style="hair">
        <color indexed="64"/>
      </right>
      <top/>
      <bottom/>
      <diagonal style="hair">
        <color indexed="64"/>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hair">
        <color indexed="64"/>
      </top>
      <bottom/>
      <diagonal/>
    </border>
    <border>
      <left style="hair">
        <color indexed="64"/>
      </left>
      <right style="thin">
        <color indexed="64"/>
      </right>
      <top/>
      <bottom style="thin">
        <color indexed="64"/>
      </bottom>
      <diagonal/>
    </border>
    <border>
      <left/>
      <right style="hair">
        <color indexed="64"/>
      </right>
      <top style="thin">
        <color indexed="64"/>
      </top>
      <bottom style="hair">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diagonalDown="true">
      <left style="hair">
        <color indexed="64"/>
      </left>
      <right/>
      <top style="hair">
        <color indexed="64"/>
      </top>
      <bottom style="hair">
        <color indexed="64"/>
      </bottom>
      <diagonal style="hair">
        <color indexed="64"/>
      </diagonal>
    </border>
    <border diagonalDown="true">
      <left/>
      <right style="hair">
        <color indexed="64"/>
      </right>
      <top style="hair">
        <color indexed="64"/>
      </top>
      <bottom style="hair">
        <color indexed="64"/>
      </bottom>
      <diagonal style="hair">
        <color indexed="64"/>
      </diagonal>
    </border>
    <border>
      <left style="hair">
        <color indexed="64"/>
      </left>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127">
    <xf numFmtId="0" fontId="0" fillId="0" borderId="0">
      <alignment vertical="center"/>
    </xf>
    <xf numFmtId="0" fontId="5" fillId="2" borderId="0" applyNumberFormat="false" applyBorder="false" applyAlignment="false" applyProtection="false">
      <alignment vertical="center"/>
    </xf>
    <xf numFmtId="0" fontId="5" fillId="2" borderId="0" applyNumberFormat="false" applyBorder="false" applyAlignment="false" applyProtection="false">
      <alignment vertical="center"/>
    </xf>
    <xf numFmtId="0" fontId="5" fillId="3" borderId="0" applyNumberFormat="false" applyBorder="false" applyAlignment="false" applyProtection="false">
      <alignment vertical="center"/>
    </xf>
    <xf numFmtId="0" fontId="5" fillId="3" borderId="0" applyNumberFormat="false" applyBorder="false" applyAlignment="false" applyProtection="false">
      <alignment vertical="center"/>
    </xf>
    <xf numFmtId="0" fontId="5" fillId="4" borderId="0" applyNumberFormat="false" applyBorder="false" applyAlignment="false" applyProtection="false">
      <alignment vertical="center"/>
    </xf>
    <xf numFmtId="0" fontId="5" fillId="4" borderId="0" applyNumberFormat="false" applyBorder="false" applyAlignment="false" applyProtection="false">
      <alignment vertical="center"/>
    </xf>
    <xf numFmtId="0" fontId="5" fillId="5" borderId="0" applyNumberFormat="false" applyBorder="false" applyAlignment="false" applyProtection="false">
      <alignment vertical="center"/>
    </xf>
    <xf numFmtId="0" fontId="5" fillId="5" borderId="0" applyNumberFormat="false" applyBorder="false" applyAlignment="false" applyProtection="false">
      <alignment vertical="center"/>
    </xf>
    <xf numFmtId="0" fontId="5" fillId="6" borderId="0" applyNumberFormat="false" applyBorder="false" applyAlignment="false" applyProtection="false">
      <alignment vertical="center"/>
    </xf>
    <xf numFmtId="0" fontId="5" fillId="6" borderId="0" applyNumberFormat="false" applyBorder="false" applyAlignment="false" applyProtection="false">
      <alignment vertical="center"/>
    </xf>
    <xf numFmtId="0" fontId="5" fillId="7" borderId="0" applyNumberFormat="false" applyBorder="false" applyAlignment="false" applyProtection="false">
      <alignment vertical="center"/>
    </xf>
    <xf numFmtId="0" fontId="5" fillId="7" borderId="0" applyNumberFormat="false" applyBorder="false" applyAlignment="false" applyProtection="false">
      <alignment vertical="center"/>
    </xf>
    <xf numFmtId="0" fontId="5" fillId="8" borderId="0" applyNumberFormat="false" applyBorder="false" applyAlignment="false" applyProtection="false">
      <alignment vertical="center"/>
    </xf>
    <xf numFmtId="0" fontId="5" fillId="8" borderId="0" applyNumberFormat="false" applyBorder="false" applyAlignment="false" applyProtection="false">
      <alignment vertical="center"/>
    </xf>
    <xf numFmtId="0" fontId="5" fillId="9" borderId="0" applyNumberFormat="false" applyBorder="false" applyAlignment="false" applyProtection="false">
      <alignment vertical="center"/>
    </xf>
    <xf numFmtId="0" fontId="5" fillId="9" borderId="0" applyNumberFormat="false" applyBorder="false" applyAlignment="false" applyProtection="false">
      <alignment vertical="center"/>
    </xf>
    <xf numFmtId="0" fontId="5" fillId="10" borderId="0" applyNumberFormat="false" applyBorder="false" applyAlignment="false" applyProtection="false">
      <alignment vertical="center"/>
    </xf>
    <xf numFmtId="0" fontId="5" fillId="10" borderId="0" applyNumberFormat="false" applyBorder="false" applyAlignment="false" applyProtection="false">
      <alignment vertical="center"/>
    </xf>
    <xf numFmtId="0" fontId="5" fillId="5" borderId="0" applyNumberFormat="false" applyBorder="false" applyAlignment="false" applyProtection="false">
      <alignment vertical="center"/>
    </xf>
    <xf numFmtId="0" fontId="5" fillId="5" borderId="0" applyNumberFormat="false" applyBorder="false" applyAlignment="false" applyProtection="false">
      <alignment vertical="center"/>
    </xf>
    <xf numFmtId="0" fontId="5" fillId="8" borderId="0" applyNumberFormat="false" applyBorder="false" applyAlignment="false" applyProtection="false">
      <alignment vertical="center"/>
    </xf>
    <xf numFmtId="0" fontId="5" fillId="8" borderId="0" applyNumberFormat="false" applyBorder="false" applyAlignment="false" applyProtection="false">
      <alignment vertical="center"/>
    </xf>
    <xf numFmtId="0" fontId="5" fillId="11" borderId="0" applyNumberFormat="false" applyBorder="false" applyAlignment="false" applyProtection="false">
      <alignment vertical="center"/>
    </xf>
    <xf numFmtId="0" fontId="5" fillId="11" borderId="0" applyNumberFormat="false" applyBorder="false" applyAlignment="false" applyProtection="false">
      <alignment vertical="center"/>
    </xf>
    <xf numFmtId="0" fontId="6" fillId="12" borderId="0" applyNumberFormat="false" applyBorder="false" applyAlignment="false" applyProtection="false">
      <alignment vertical="center"/>
    </xf>
    <xf numFmtId="0" fontId="6" fillId="12" borderId="0" applyNumberFormat="false" applyBorder="false" applyAlignment="false" applyProtection="false">
      <alignment vertical="center"/>
    </xf>
    <xf numFmtId="0" fontId="6" fillId="9" borderId="0" applyNumberFormat="false" applyBorder="false" applyAlignment="false" applyProtection="false">
      <alignment vertical="center"/>
    </xf>
    <xf numFmtId="0" fontId="6" fillId="9" borderId="0" applyNumberFormat="false" applyBorder="false" applyAlignment="false" applyProtection="false">
      <alignment vertical="center"/>
    </xf>
    <xf numFmtId="0" fontId="6" fillId="10" borderId="0" applyNumberFormat="false" applyBorder="false" applyAlignment="false" applyProtection="false">
      <alignment vertical="center"/>
    </xf>
    <xf numFmtId="0" fontId="6" fillId="10"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6" fillId="14" borderId="0" applyNumberFormat="false" applyBorder="false" applyAlignment="false" applyProtection="false">
      <alignment vertical="center"/>
    </xf>
    <xf numFmtId="0" fontId="6" fillId="14" borderId="0" applyNumberFormat="false" applyBorder="false" applyAlignment="false" applyProtection="false">
      <alignment vertical="center"/>
    </xf>
    <xf numFmtId="0" fontId="6" fillId="15" borderId="0" applyNumberFormat="false" applyBorder="false" applyAlignment="false" applyProtection="false">
      <alignment vertical="center"/>
    </xf>
    <xf numFmtId="0" fontId="6" fillId="15" borderId="0" applyNumberFormat="false" applyBorder="false" applyAlignment="false" applyProtection="false">
      <alignment vertical="center"/>
    </xf>
    <xf numFmtId="0" fontId="22" fillId="0" borderId="0">
      <alignment vertical="center" wrapText="true"/>
    </xf>
    <xf numFmtId="178" fontId="23" fillId="0" borderId="1" applyAlignment="false" applyProtection="false"/>
    <xf numFmtId="177" fontId="24" fillId="0" borderId="0" applyFill="false" applyBorder="false" applyAlignment="false"/>
    <xf numFmtId="0" fontId="25" fillId="0" borderId="0"/>
    <xf numFmtId="38" fontId="26" fillId="0" borderId="0" applyFont="false" applyFill="false" applyBorder="false" applyAlignment="false" applyProtection="false"/>
    <xf numFmtId="43" fontId="27" fillId="0" borderId="0" applyFont="false" applyFill="false" applyBorder="false" applyAlignment="false" applyProtection="false"/>
    <xf numFmtId="179" fontId="26" fillId="0" borderId="0" applyFont="false" applyFill="false" applyBorder="false" applyAlignment="false" applyProtection="false"/>
    <xf numFmtId="180" fontId="26" fillId="0" borderId="0" applyFont="false" applyFill="false" applyBorder="false" applyAlignment="false" applyProtection="false"/>
    <xf numFmtId="38" fontId="28" fillId="16" borderId="0" applyNumberFormat="false" applyBorder="false" applyAlignment="false" applyProtection="false"/>
    <xf numFmtId="0" fontId="29" fillId="0" borderId="0">
      <alignment horizontal="left"/>
    </xf>
    <xf numFmtId="0" fontId="30" fillId="0" borderId="2" applyNumberFormat="false" applyAlignment="false" applyProtection="false">
      <alignment horizontal="left" vertical="center"/>
    </xf>
    <xf numFmtId="0" fontId="30" fillId="0" borderId="3">
      <alignment horizontal="left" vertical="center"/>
    </xf>
    <xf numFmtId="10" fontId="28" fillId="16" borderId="4" applyNumberFormat="false" applyBorder="false" applyAlignment="false" applyProtection="false"/>
    <xf numFmtId="0" fontId="31" fillId="0" borderId="5"/>
    <xf numFmtId="176" fontId="32" fillId="0" borderId="0"/>
    <xf numFmtId="176" fontId="32" fillId="0" borderId="0"/>
    <xf numFmtId="176" fontId="32" fillId="0" borderId="0"/>
    <xf numFmtId="0" fontId="27" fillId="0" borderId="0"/>
    <xf numFmtId="10" fontId="27" fillId="0" borderId="0" applyFont="false" applyFill="false" applyBorder="false" applyAlignment="false" applyProtection="false"/>
    <xf numFmtId="0" fontId="26" fillId="0" borderId="0" applyNumberFormat="false" applyFont="false" applyFill="false" applyBorder="false" applyAlignment="false" applyProtection="false">
      <alignment horizontal="left"/>
    </xf>
    <xf numFmtId="0" fontId="23" fillId="0" borderId="5">
      <alignment horizontal="center"/>
    </xf>
    <xf numFmtId="0" fontId="33" fillId="0" borderId="6"/>
    <xf numFmtId="0" fontId="31" fillId="0" borderId="0"/>
    <xf numFmtId="0" fontId="33" fillId="0" borderId="0"/>
    <xf numFmtId="0" fontId="6" fillId="17" borderId="0" applyNumberFormat="false" applyBorder="false" applyAlignment="false" applyProtection="false">
      <alignment vertical="center"/>
    </xf>
    <xf numFmtId="0" fontId="6" fillId="17" borderId="0" applyNumberFormat="false" applyBorder="false" applyAlignment="false" applyProtection="false">
      <alignment vertical="center"/>
    </xf>
    <xf numFmtId="0" fontId="6" fillId="18" borderId="0" applyNumberFormat="false" applyBorder="false" applyAlignment="false" applyProtection="false">
      <alignment vertical="center"/>
    </xf>
    <xf numFmtId="0" fontId="6" fillId="18" borderId="0" applyNumberFormat="false" applyBorder="false" applyAlignment="false" applyProtection="false">
      <alignment vertical="center"/>
    </xf>
    <xf numFmtId="0" fontId="6" fillId="19" borderId="0" applyNumberFormat="false" applyBorder="false" applyAlignment="false" applyProtection="false">
      <alignment vertical="center"/>
    </xf>
    <xf numFmtId="0" fontId="6" fillId="19"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6" fillId="14" borderId="0" applyNumberFormat="false" applyBorder="false" applyAlignment="false" applyProtection="false">
      <alignment vertical="center"/>
    </xf>
    <xf numFmtId="0" fontId="6" fillId="14" borderId="0" applyNumberFormat="false" applyBorder="false" applyAlignment="false" applyProtection="false">
      <alignment vertical="center"/>
    </xf>
    <xf numFmtId="0" fontId="6" fillId="20" borderId="0" applyNumberFormat="false" applyBorder="false" applyAlignment="false" applyProtection="false">
      <alignment vertical="center"/>
    </xf>
    <xf numFmtId="0" fontId="6" fillId="20" borderId="0" applyNumberFormat="false" applyBorder="false" applyAlignment="false" applyProtection="false">
      <alignment vertical="center"/>
    </xf>
    <xf numFmtId="0" fontId="7" fillId="0" borderId="0" applyNumberForma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21" borderId="7" applyNumberFormat="false" applyAlignment="false" applyProtection="false">
      <alignment vertical="center"/>
    </xf>
    <xf numFmtId="0" fontId="8" fillId="21" borderId="7" applyNumberFormat="false" applyAlignment="false" applyProtection="false">
      <alignment vertical="center"/>
    </xf>
    <xf numFmtId="0" fontId="9" fillId="22" borderId="0" applyNumberFormat="false" applyBorder="false" applyAlignment="false" applyProtection="false">
      <alignment vertical="center"/>
    </xf>
    <xf numFmtId="0" fontId="9" fillId="22" borderId="0" applyNumberFormat="false" applyBorder="false" applyAlignment="false" applyProtection="false">
      <alignment vertical="center"/>
    </xf>
    <xf numFmtId="0" fontId="5" fillId="23" borderId="8" applyNumberFormat="false" applyFont="false" applyAlignment="false" applyProtection="false">
      <alignment vertical="center"/>
    </xf>
    <xf numFmtId="0" fontId="4" fillId="23" borderId="8" applyNumberFormat="false" applyFont="false" applyAlignment="false" applyProtection="false">
      <alignment vertical="center"/>
    </xf>
    <xf numFmtId="0" fontId="10" fillId="0" borderId="9" applyNumberFormat="false" applyFill="false" applyAlignment="false" applyProtection="false">
      <alignment vertical="center"/>
    </xf>
    <xf numFmtId="0" fontId="10" fillId="0" borderId="9" applyNumberFormat="false" applyFill="false" applyAlignment="false" applyProtection="false">
      <alignment vertical="center"/>
    </xf>
    <xf numFmtId="0" fontId="11" fillId="3" borderId="0" applyNumberFormat="false" applyBorder="false" applyAlignment="false" applyProtection="false">
      <alignment vertical="center"/>
    </xf>
    <xf numFmtId="0" fontId="11" fillId="3" borderId="0" applyNumberFormat="false" applyBorder="false" applyAlignment="false" applyProtection="false">
      <alignment vertical="center"/>
    </xf>
    <xf numFmtId="0" fontId="12" fillId="24" borderId="10" applyNumberFormat="false" applyAlignment="false" applyProtection="false">
      <alignment vertical="center"/>
    </xf>
    <xf numFmtId="0" fontId="12" fillId="24" borderId="10" applyNumberFormat="false" applyAlignment="false" applyProtection="false">
      <alignment vertical="center"/>
    </xf>
    <xf numFmtId="0" fontId="13" fillId="0" borderId="0" applyNumberFormat="false" applyFill="false" applyBorder="false" applyAlignment="false" applyProtection="false">
      <alignment vertical="center"/>
    </xf>
    <xf numFmtId="0" fontId="13" fillId="0" borderId="0" applyNumberFormat="false" applyFill="false" applyBorder="false" applyAlignment="false" applyProtection="false">
      <alignment vertical="center"/>
    </xf>
    <xf numFmtId="0" fontId="14" fillId="0" borderId="11" applyNumberFormat="false" applyFill="false" applyAlignment="false" applyProtection="false">
      <alignment vertical="center"/>
    </xf>
    <xf numFmtId="0" fontId="14" fillId="0" borderId="11" applyNumberFormat="false" applyFill="false" applyAlignment="false" applyProtection="false">
      <alignment vertical="center"/>
    </xf>
    <xf numFmtId="0" fontId="15" fillId="0" borderId="12" applyNumberFormat="false" applyFill="false" applyAlignment="false" applyProtection="false">
      <alignment vertical="center"/>
    </xf>
    <xf numFmtId="0" fontId="15" fillId="0" borderId="12" applyNumberFormat="false" applyFill="false" applyAlignment="false" applyProtection="false">
      <alignment vertical="center"/>
    </xf>
    <xf numFmtId="0" fontId="16" fillId="0" borderId="13" applyNumberFormat="false" applyFill="false" applyAlignment="false" applyProtection="false">
      <alignment vertical="center"/>
    </xf>
    <xf numFmtId="0" fontId="16" fillId="0" borderId="13" applyNumberFormat="false" applyFill="false" applyAlignment="false" applyProtection="false">
      <alignment vertical="center"/>
    </xf>
    <xf numFmtId="0" fontId="16"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7" fillId="0" borderId="14" applyNumberFormat="false" applyFill="false" applyAlignment="false" applyProtection="false">
      <alignment vertical="center"/>
    </xf>
    <xf numFmtId="0" fontId="17" fillId="0" borderId="14" applyNumberFormat="false" applyFill="false" applyAlignment="false" applyProtection="false">
      <alignment vertical="center"/>
    </xf>
    <xf numFmtId="0" fontId="18" fillId="24" borderId="15" applyNumberFormat="false" applyAlignment="false" applyProtection="false">
      <alignment vertical="center"/>
    </xf>
    <xf numFmtId="0" fontId="18" fillId="24" borderId="15" applyNumberFormat="false" applyAlignment="false" applyProtection="false">
      <alignment vertical="center"/>
    </xf>
    <xf numFmtId="0" fontId="19"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2" fillId="0" borderId="0">
      <alignment horizontal="center" vertical="center"/>
    </xf>
    <xf numFmtId="0" fontId="20" fillId="7" borderId="10" applyNumberFormat="false" applyAlignment="false" applyProtection="false">
      <alignment vertical="center"/>
    </xf>
    <xf numFmtId="0" fontId="20" fillId="7" borderId="10" applyNumberFormat="false" applyAlignment="false" applyProtection="false">
      <alignment vertical="center"/>
    </xf>
    <xf numFmtId="0" fontId="5" fillId="0" borderId="0">
      <alignment vertical="center"/>
    </xf>
    <xf numFmtId="0" fontId="32" fillId="0" borderId="0">
      <alignment vertical="center"/>
    </xf>
    <xf numFmtId="0" fontId="32" fillId="0" borderId="0"/>
    <xf numFmtId="0" fontId="1" fillId="0" borderId="0"/>
    <xf numFmtId="0" fontId="34" fillId="0" borderId="0"/>
    <xf numFmtId="0" fontId="35" fillId="0" borderId="0"/>
    <xf numFmtId="0" fontId="21" fillId="4" borderId="0" applyNumberFormat="false" applyBorder="false" applyAlignment="false" applyProtection="false">
      <alignment vertical="center"/>
    </xf>
    <xf numFmtId="0" fontId="21" fillId="4" borderId="0" applyNumberFormat="false" applyBorder="false" applyAlignment="false" applyProtection="false">
      <alignment vertical="center"/>
    </xf>
    <xf numFmtId="0" fontId="20" fillId="7" borderId="10" applyNumberFormat="false" applyAlignment="false" applyProtection="false">
      <alignment vertical="center"/>
    </xf>
    <xf numFmtId="0" fontId="19" fillId="0" borderId="0" applyNumberFormat="false" applyFill="false" applyBorder="false" applyAlignment="false" applyProtection="false">
      <alignment vertical="center"/>
    </xf>
    <xf numFmtId="0" fontId="18" fillId="24" borderId="15" applyNumberFormat="false" applyAlignment="false" applyProtection="false">
      <alignment vertical="center"/>
    </xf>
    <xf numFmtId="0" fontId="15" fillId="0" borderId="12" applyNumberFormat="false" applyFill="false" applyAlignment="false" applyProtection="false">
      <alignment vertical="center"/>
    </xf>
    <xf numFmtId="0" fontId="10" fillId="0" borderId="9" applyNumberFormat="false" applyFill="false" applyAlignment="false" applyProtection="false">
      <alignment vertical="center"/>
    </xf>
    <xf numFmtId="0" fontId="16" fillId="0" borderId="0" applyNumberFormat="false" applyFill="false" applyBorder="false" applyAlignment="false" applyProtection="false">
      <alignment vertical="center"/>
    </xf>
    <xf numFmtId="0" fontId="10" fillId="0" borderId="9" applyNumberFormat="false" applyFill="false" applyAlignment="false" applyProtection="false">
      <alignment vertical="center"/>
    </xf>
    <xf numFmtId="0" fontId="6" fillId="14" borderId="0" applyNumberFormat="false" applyBorder="false" applyAlignment="false" applyProtection="false">
      <alignment vertical="center"/>
    </xf>
    <xf numFmtId="0" fontId="5" fillId="3" borderId="0" applyNumberFormat="false" applyBorder="false" applyAlignment="false" applyProtection="false">
      <alignment vertical="center"/>
    </xf>
    <xf numFmtId="0" fontId="5" fillId="3" borderId="0" applyNumberFormat="false" applyBorder="false" applyAlignment="false" applyProtection="false">
      <alignment vertical="center"/>
    </xf>
    <xf numFmtId="0" fontId="32" fillId="0" borderId="0"/>
    <xf numFmtId="0" fontId="32" fillId="0" borderId="0"/>
    <xf numFmtId="0" fontId="2" fillId="0" borderId="0"/>
  </cellStyleXfs>
  <cellXfs count="112">
    <xf numFmtId="0" fontId="0" fillId="0" borderId="0" xfId="0">
      <alignment vertical="center"/>
    </xf>
    <xf numFmtId="0" fontId="4" fillId="0" borderId="0" xfId="108" applyFont="true" applyAlignment="true">
      <alignment vertical="top" wrapText="true"/>
    </xf>
    <xf numFmtId="0" fontId="4" fillId="0" borderId="0" xfId="108" applyFont="true" applyAlignment="true">
      <alignment horizontal="center" vertical="top" wrapText="true"/>
    </xf>
    <xf numFmtId="0" fontId="4" fillId="0" borderId="4" xfId="108" applyFont="true" applyBorder="true" applyAlignment="true">
      <alignment horizontal="center" vertical="center" wrapText="true"/>
    </xf>
    <xf numFmtId="0" fontId="4" fillId="0" borderId="0" xfId="108" applyFont="true" applyAlignment="true">
      <alignment vertical="center" wrapText="true"/>
    </xf>
    <xf numFmtId="0" fontId="37" fillId="16" borderId="4" xfId="108" applyFont="true" applyFill="true" applyBorder="true" applyAlignment="true">
      <alignment horizontal="right" vertical="center" wrapText="true"/>
    </xf>
    <xf numFmtId="0" fontId="38" fillId="0" borderId="16" xfId="108" applyFont="true" applyBorder="true" applyAlignment="true">
      <alignment horizontal="center" textRotation="255" wrapText="true"/>
    </xf>
    <xf numFmtId="0" fontId="4" fillId="25" borderId="19" xfId="108" applyFont="true" applyFill="true" applyBorder="true" applyAlignment="true">
      <alignment horizontal="center" vertical="center" wrapText="true"/>
    </xf>
    <xf numFmtId="0" fontId="4" fillId="16" borderId="4" xfId="108" applyFont="true" applyFill="true" applyBorder="true" applyAlignment="true">
      <alignment horizontal="center" vertical="center" wrapText="true"/>
    </xf>
    <xf numFmtId="0" fontId="4" fillId="25" borderId="21" xfId="108" applyFont="true" applyFill="true" applyBorder="true" applyAlignment="true">
      <alignment horizontal="center" vertical="center" wrapText="true"/>
    </xf>
    <xf numFmtId="0" fontId="4" fillId="25" borderId="22" xfId="108" applyFont="true" applyFill="true" applyBorder="true" applyAlignment="true">
      <alignment horizontal="center" vertical="center" wrapText="true"/>
    </xf>
    <xf numFmtId="181" fontId="4" fillId="0" borderId="29" xfId="108" applyNumberFormat="true" applyFont="true" applyBorder="true" applyAlignment="true">
      <alignment horizontal="right" vertical="top" wrapText="true"/>
    </xf>
    <xf numFmtId="49" fontId="4" fillId="0" borderId="30" xfId="108" applyNumberFormat="true" applyFont="true" applyBorder="true" applyAlignment="true">
      <alignment horizontal="left" vertical="top" wrapText="true"/>
    </xf>
    <xf numFmtId="49" fontId="4" fillId="0" borderId="4" xfId="108" applyNumberFormat="true" applyFont="true" applyBorder="true" applyAlignment="true">
      <alignment horizontal="center" vertical="center" wrapText="true"/>
    </xf>
    <xf numFmtId="0" fontId="4" fillId="0" borderId="30" xfId="0" applyFont="true" applyBorder="true" applyAlignment="true">
      <alignment vertical="top"/>
    </xf>
    <xf numFmtId="0" fontId="4" fillId="0" borderId="31" xfId="0" applyFont="true" applyBorder="true" applyAlignment="true">
      <alignment horizontal="center" vertical="top" wrapText="true"/>
    </xf>
    <xf numFmtId="0" fontId="4" fillId="16" borderId="4" xfId="108" applyFont="true" applyFill="true" applyBorder="true" applyAlignment="true">
      <alignment horizontal="centerContinuous" vertical="center" wrapText="true"/>
    </xf>
    <xf numFmtId="0" fontId="4" fillId="0" borderId="4" xfId="108" applyFont="true" applyBorder="true" applyAlignment="true">
      <alignment horizontal="center" textRotation="255" vertical="top" wrapText="true"/>
    </xf>
    <xf numFmtId="49" fontId="4" fillId="0" borderId="30" xfId="109" applyNumberFormat="true" applyFont="true" applyBorder="true" applyAlignment="true">
      <alignment horizontal="left" vertical="top" wrapText="true"/>
    </xf>
    <xf numFmtId="0" fontId="32" fillId="16" borderId="4" xfId="108" applyFill="true" applyBorder="true" applyAlignment="true">
      <alignment horizontal="right" vertical="center" wrapText="true"/>
    </xf>
    <xf numFmtId="181" fontId="32" fillId="16" borderId="4" xfId="108" applyNumberFormat="true" applyFill="true" applyBorder="true" applyAlignment="true">
      <alignment horizontal="right" vertical="center" wrapText="true"/>
    </xf>
    <xf numFmtId="0" fontId="4" fillId="0" borderId="16" xfId="108" applyFont="true" applyBorder="true" applyAlignment="true">
      <alignment horizontal="center" vertical="center" wrapText="true"/>
    </xf>
    <xf numFmtId="0" fontId="4" fillId="0" borderId="39" xfId="108" applyFont="true" applyBorder="true" applyAlignment="true">
      <alignment horizontal="center" vertical="center" wrapText="true"/>
    </xf>
    <xf numFmtId="0" fontId="39" fillId="25" borderId="20" xfId="108" applyFont="true" applyFill="true" applyBorder="true" applyAlignment="true">
      <alignment horizontal="center" vertical="center" wrapText="true"/>
    </xf>
    <xf numFmtId="49" fontId="4" fillId="16" borderId="4" xfId="108" applyNumberFormat="true" applyFont="true" applyFill="true" applyBorder="true" applyAlignment="true">
      <alignment horizontal="center" textRotation="255" vertical="center" wrapText="true"/>
    </xf>
    <xf numFmtId="0" fontId="4" fillId="0" borderId="4" xfId="124" applyFont="true" applyBorder="true" applyAlignment="true">
      <alignment horizontal="center" textRotation="255" vertical="top" wrapText="true"/>
    </xf>
    <xf numFmtId="0" fontId="4" fillId="0" borderId="4" xfId="0" applyFont="true" applyBorder="true" applyAlignment="true">
      <alignment horizontal="center" textRotation="255" vertical="top" wrapText="true"/>
    </xf>
    <xf numFmtId="49" fontId="4" fillId="26" borderId="4" xfId="108" applyNumberFormat="true" applyFont="true" applyFill="true" applyBorder="true" applyAlignment="true">
      <alignment horizontal="center" textRotation="255" vertical="center" wrapText="true"/>
    </xf>
    <xf numFmtId="0" fontId="4" fillId="27" borderId="4" xfId="108" applyFont="true" applyFill="true" applyBorder="true" applyAlignment="true">
      <alignment horizontal="center" vertical="center" wrapText="true"/>
    </xf>
    <xf numFmtId="0" fontId="4" fillId="0" borderId="4" xfId="108" applyFont="true" applyBorder="true" applyAlignment="true">
      <alignment horizontal="centerContinuous" vertical="center" wrapText="true"/>
    </xf>
    <xf numFmtId="0" fontId="4" fillId="27" borderId="4" xfId="108" applyFont="true" applyFill="true" applyBorder="true" applyAlignment="true">
      <alignment horizontal="centerContinuous" vertical="center" wrapText="true"/>
    </xf>
    <xf numFmtId="49" fontId="4" fillId="0" borderId="4" xfId="0" applyNumberFormat="true" applyFont="true" applyBorder="true" applyAlignment="true">
      <alignment horizontal="left" vertical="top" wrapText="true"/>
    </xf>
    <xf numFmtId="49" fontId="4" fillId="27" borderId="4" xfId="0" applyNumberFormat="true" applyFont="true" applyFill="true" applyBorder="true" applyAlignment="true">
      <alignment horizontal="left" vertical="top" wrapText="true"/>
    </xf>
    <xf numFmtId="181" fontId="32" fillId="0" borderId="4" xfId="108" applyNumberFormat="true" applyBorder="true" applyAlignment="true">
      <alignment horizontal="right" vertical="center" wrapText="true"/>
    </xf>
    <xf numFmtId="181" fontId="32" fillId="27" borderId="4" xfId="108" applyNumberFormat="true" applyFill="true" applyBorder="true" applyAlignment="true">
      <alignment horizontal="right" vertical="center" wrapText="true"/>
    </xf>
    <xf numFmtId="0" fontId="41" fillId="0" borderId="30" xfId="0" applyFont="true" applyBorder="true" applyAlignment="true">
      <alignment vertical="top" wrapText="true"/>
    </xf>
    <xf numFmtId="49" fontId="4" fillId="27" borderId="4" xfId="108" applyNumberFormat="true" applyFont="true" applyFill="true" applyBorder="true" applyAlignment="true">
      <alignment horizontal="center" vertical="center" wrapText="true"/>
    </xf>
    <xf numFmtId="0" fontId="42" fillId="0" borderId="30" xfId="0" applyFont="true" applyBorder="true" applyAlignment="true">
      <alignment vertical="top" wrapText="true"/>
    </xf>
    <xf numFmtId="0" fontId="43" fillId="0" borderId="30" xfId="0" applyFont="true" applyBorder="true" applyAlignment="true">
      <alignment vertical="top" wrapText="true"/>
    </xf>
    <xf numFmtId="0" fontId="41" fillId="28" borderId="30" xfId="0" applyFont="true" applyFill="true" applyBorder="true" applyAlignment="true">
      <alignment vertical="top" wrapText="true"/>
    </xf>
    <xf numFmtId="0" fontId="44" fillId="0" borderId="30" xfId="0" applyFont="true" applyBorder="true" applyAlignment="true">
      <alignment vertical="top" wrapText="true"/>
    </xf>
    <xf numFmtId="0" fontId="45" fillId="0" borderId="30" xfId="0" applyFont="true" applyBorder="true" applyAlignment="true">
      <alignment vertical="top" wrapText="true"/>
    </xf>
    <xf numFmtId="0" fontId="4" fillId="0" borderId="30" xfId="0" applyFont="true" applyBorder="true" applyAlignment="true">
      <alignment vertical="top" wrapText="true"/>
    </xf>
    <xf numFmtId="0" fontId="4" fillId="29" borderId="4" xfId="108" applyFont="true" applyFill="true" applyBorder="true" applyAlignment="true">
      <alignment horizontal="center" vertical="center" wrapText="true"/>
    </xf>
    <xf numFmtId="0" fontId="47" fillId="0" borderId="30" xfId="0" applyFont="true" applyBorder="true" applyAlignment="true">
      <alignment vertical="top" wrapText="true"/>
    </xf>
    <xf numFmtId="0" fontId="4" fillId="27" borderId="0" xfId="108" applyFont="true" applyFill="true" applyAlignment="true">
      <alignment horizontal="center" vertical="top" wrapText="true"/>
    </xf>
    <xf numFmtId="49" fontId="50" fillId="0" borderId="0" xfId="108" applyNumberFormat="true" applyFont="true" applyAlignment="true">
      <alignment vertical="center"/>
    </xf>
    <xf numFmtId="49" fontId="50" fillId="0" borderId="0" xfId="108" applyNumberFormat="true" applyFont="true" applyAlignment="true">
      <alignment horizontal="right" vertical="center"/>
    </xf>
    <xf numFmtId="49" fontId="35" fillId="0" borderId="0" xfId="108" applyNumberFormat="true" applyFont="true" applyAlignment="true">
      <alignment vertical="center"/>
    </xf>
    <xf numFmtId="49" fontId="33" fillId="0" borderId="0" xfId="125" applyNumberFormat="true" applyFont="true" applyAlignment="true">
      <alignment vertical="center"/>
    </xf>
    <xf numFmtId="49" fontId="50" fillId="0" borderId="44" xfId="125" applyNumberFormat="true" applyFont="true" applyBorder="true"/>
    <xf numFmtId="49" fontId="50" fillId="0" borderId="3" xfId="125" applyNumberFormat="true" applyFont="true" applyBorder="true"/>
    <xf numFmtId="49" fontId="50" fillId="0" borderId="43" xfId="125" applyNumberFormat="true" applyFont="true" applyBorder="true"/>
    <xf numFmtId="49" fontId="50" fillId="0" borderId="0" xfId="125" applyNumberFormat="true" applyFont="true"/>
    <xf numFmtId="49" fontId="50" fillId="0" borderId="50" xfId="125" applyNumberFormat="true" applyFont="true" applyBorder="true"/>
    <xf numFmtId="49" fontId="50" fillId="0" borderId="0" xfId="125" applyNumberFormat="true" applyFont="true" applyAlignment="true">
      <alignment vertical="center"/>
    </xf>
    <xf numFmtId="49" fontId="50" fillId="0" borderId="50" xfId="125" applyNumberFormat="true" applyFont="true" applyBorder="true" applyAlignment="true">
      <alignment vertical="center"/>
    </xf>
    <xf numFmtId="49" fontId="50" fillId="0" borderId="0" xfId="125" applyNumberFormat="true" applyFont="true" applyAlignment="true">
      <alignment vertical="center" wrapText="true"/>
    </xf>
    <xf numFmtId="49" fontId="50" fillId="0" borderId="51" xfId="125" applyNumberFormat="true" applyFont="true" applyBorder="true"/>
    <xf numFmtId="49" fontId="50" fillId="0" borderId="47" xfId="125" applyNumberFormat="true" applyFont="true" applyBorder="true"/>
    <xf numFmtId="49" fontId="50" fillId="0" borderId="48" xfId="125" applyNumberFormat="true" applyFont="true" applyBorder="true"/>
    <xf numFmtId="49" fontId="50" fillId="0" borderId="49" xfId="125" applyNumberFormat="true" applyFont="true" applyBorder="true"/>
    <xf numFmtId="49" fontId="33" fillId="0" borderId="0" xfId="125" applyNumberFormat="true" applyFont="true"/>
    <xf numFmtId="0" fontId="4" fillId="25" borderId="52" xfId="0" applyFont="true" applyFill="true" applyBorder="true" applyAlignment="true">
      <alignment horizontal="center" vertical="center" wrapText="true"/>
    </xf>
    <xf numFmtId="0" fontId="39" fillId="25" borderId="52" xfId="0" applyFont="true" applyFill="true" applyBorder="true" applyAlignment="true">
      <alignment horizontal="center" vertical="center" wrapText="true"/>
    </xf>
    <xf numFmtId="0" fontId="4" fillId="0" borderId="0" xfId="126" applyFont="true" applyAlignment="true">
      <alignment vertical="center"/>
    </xf>
    <xf numFmtId="181" fontId="4" fillId="0" borderId="4" xfId="0" applyNumberFormat="true" applyFont="true" applyBorder="true" applyAlignment="true">
      <alignment horizontal="right" vertical="top" wrapText="true"/>
    </xf>
    <xf numFmtId="0" fontId="4" fillId="0" borderId="4" xfId="124" applyFont="true" applyBorder="true" applyAlignment="true">
      <alignment horizontal="left" vertical="top" wrapText="true"/>
    </xf>
    <xf numFmtId="0" fontId="4" fillId="0" borderId="0" xfId="0" applyFont="true" applyAlignment="true">
      <alignment vertical="top" wrapText="true"/>
    </xf>
    <xf numFmtId="0" fontId="4" fillId="0" borderId="4" xfId="0" applyFont="true" applyBorder="true" applyAlignment="true">
      <alignment horizontal="left" vertical="top" wrapText="true"/>
    </xf>
    <xf numFmtId="49" fontId="50" fillId="0" borderId="44" xfId="108" applyNumberFormat="true" applyFont="true" applyBorder="true" applyAlignment="true">
      <alignment horizontal="center" vertical="center"/>
    </xf>
    <xf numFmtId="49" fontId="50" fillId="0" borderId="3" xfId="108" applyNumberFormat="true" applyFont="true" applyBorder="true" applyAlignment="true">
      <alignment horizontal="center" vertical="center"/>
    </xf>
    <xf numFmtId="49" fontId="50" fillId="0" borderId="43" xfId="108" applyNumberFormat="true" applyFont="true" applyBorder="true" applyAlignment="true">
      <alignment horizontal="center" vertical="center"/>
    </xf>
    <xf numFmtId="49" fontId="50" fillId="0" borderId="44" xfId="125" applyNumberFormat="true" applyFont="true" applyBorder="true" applyAlignment="true">
      <alignment horizontal="center"/>
    </xf>
    <xf numFmtId="49" fontId="50" fillId="0" borderId="3" xfId="125" applyNumberFormat="true" applyFont="true" applyBorder="true" applyAlignment="true">
      <alignment horizontal="center"/>
    </xf>
    <xf numFmtId="49" fontId="50" fillId="0" borderId="43" xfId="125" applyNumberFormat="true" applyFont="true" applyBorder="true" applyAlignment="true">
      <alignment horizontal="center"/>
    </xf>
    <xf numFmtId="49" fontId="51" fillId="0" borderId="3" xfId="108" applyNumberFormat="true" applyFont="true" applyBorder="true" applyAlignment="true">
      <alignment horizontal="center" vertical="center"/>
    </xf>
    <xf numFmtId="49" fontId="51" fillId="0" borderId="43" xfId="108" applyNumberFormat="true" applyFont="true" applyBorder="true" applyAlignment="true">
      <alignment horizontal="center" vertical="center"/>
    </xf>
    <xf numFmtId="49" fontId="50" fillId="0" borderId="45" xfId="108" applyNumberFormat="true" applyFont="true" applyBorder="true" applyAlignment="true">
      <alignment horizontal="center" vertical="center"/>
    </xf>
    <xf numFmtId="49" fontId="50" fillId="0" borderId="1" xfId="108" applyNumberFormat="true" applyFont="true" applyBorder="true" applyAlignment="true">
      <alignment horizontal="center" vertical="center"/>
    </xf>
    <xf numFmtId="49" fontId="50" fillId="0" borderId="46" xfId="108" applyNumberFormat="true" applyFont="true" applyBorder="true" applyAlignment="true">
      <alignment horizontal="center" vertical="center"/>
    </xf>
    <xf numFmtId="49" fontId="50" fillId="0" borderId="47" xfId="108" applyNumberFormat="true" applyFont="true" applyBorder="true" applyAlignment="true">
      <alignment horizontal="center" vertical="center"/>
    </xf>
    <xf numFmtId="49" fontId="50" fillId="0" borderId="48" xfId="108" applyNumberFormat="true" applyFont="true" applyBorder="true" applyAlignment="true">
      <alignment horizontal="center" vertical="center"/>
    </xf>
    <xf numFmtId="49" fontId="50" fillId="0" borderId="49" xfId="108" applyNumberFormat="true" applyFont="true" applyBorder="true" applyAlignment="true">
      <alignment horizontal="center" vertical="center"/>
    </xf>
    <xf numFmtId="49" fontId="50" fillId="0" borderId="45" xfId="108" applyNumberFormat="true" applyFont="true" applyBorder="true" applyAlignment="true">
      <alignment horizontal="left" vertical="center"/>
    </xf>
    <xf numFmtId="49" fontId="50" fillId="0" borderId="1" xfId="108" applyNumberFormat="true" applyFont="true" applyBorder="true" applyAlignment="true">
      <alignment horizontal="left" vertical="center"/>
    </xf>
    <xf numFmtId="49" fontId="50" fillId="0" borderId="46" xfId="108" applyNumberFormat="true" applyFont="true" applyBorder="true" applyAlignment="true">
      <alignment horizontal="left" vertical="center"/>
    </xf>
    <xf numFmtId="49" fontId="50" fillId="0" borderId="47" xfId="108" applyNumberFormat="true" applyFont="true" applyBorder="true" applyAlignment="true">
      <alignment horizontal="left" vertical="center"/>
    </xf>
    <xf numFmtId="49" fontId="50" fillId="0" borderId="48" xfId="108" applyNumberFormat="true" applyFont="true" applyBorder="true" applyAlignment="true">
      <alignment horizontal="left" vertical="center"/>
    </xf>
    <xf numFmtId="49" fontId="50" fillId="0" borderId="49" xfId="108" applyNumberFormat="true" applyFont="true" applyBorder="true" applyAlignment="true">
      <alignment horizontal="left" vertical="center"/>
    </xf>
    <xf numFmtId="0" fontId="4" fillId="0" borderId="32" xfId="108" applyFont="true" applyBorder="true" applyAlignment="true">
      <alignment horizontal="center" textRotation="255" vertical="center" wrapText="true"/>
    </xf>
    <xf numFmtId="0" fontId="4" fillId="0" borderId="33" xfId="108" applyFont="true" applyBorder="true" applyAlignment="true">
      <alignment horizontal="center" textRotation="255" vertical="center" wrapText="true"/>
    </xf>
    <xf numFmtId="0" fontId="39" fillId="25" borderId="20" xfId="108" applyFont="true" applyFill="true" applyBorder="true" applyAlignment="true">
      <alignment horizontal="center" vertical="center" wrapText="true"/>
    </xf>
    <xf numFmtId="0" fontId="39" fillId="25" borderId="34" xfId="108" applyFont="true" applyFill="true" applyBorder="true" applyAlignment="true">
      <alignment horizontal="center" vertical="center" wrapText="true"/>
    </xf>
    <xf numFmtId="0" fontId="4" fillId="0" borderId="37" xfId="108" applyFont="true" applyBorder="true" applyAlignment="true">
      <alignment horizontal="center" vertical="center" wrapText="true"/>
    </xf>
    <xf numFmtId="0" fontId="4" fillId="0" borderId="38" xfId="108" applyFont="true" applyBorder="true" applyAlignment="true">
      <alignment horizontal="center" vertical="center" wrapText="true"/>
    </xf>
    <xf numFmtId="0" fontId="4" fillId="0" borderId="27" xfId="108" applyFont="true" applyBorder="true" applyAlignment="true">
      <alignment vertical="center" wrapText="true"/>
    </xf>
    <xf numFmtId="0" fontId="32" fillId="0" borderId="28" xfId="108" applyBorder="true" applyAlignment="true">
      <alignment wrapText="true"/>
    </xf>
    <xf numFmtId="0" fontId="39" fillId="25" borderId="18" xfId="108" applyFont="true" applyFill="true" applyBorder="true" applyAlignment="true">
      <alignment horizontal="center" vertical="center" wrapText="true"/>
    </xf>
    <xf numFmtId="0" fontId="39" fillId="25" borderId="35" xfId="108" applyFont="true" applyFill="true" applyBorder="true" applyAlignment="true">
      <alignment horizontal="center" vertical="center" wrapText="true"/>
    </xf>
    <xf numFmtId="0" fontId="4" fillId="0" borderId="17" xfId="108" applyFont="true" applyBorder="true" applyAlignment="true">
      <alignment horizontal="center" vertical="center" wrapText="true"/>
    </xf>
    <xf numFmtId="0" fontId="4" fillId="0" borderId="36" xfId="108" applyFont="true" applyBorder="true" applyAlignment="true">
      <alignment horizontal="center" vertical="center" wrapText="true"/>
    </xf>
    <xf numFmtId="0" fontId="4" fillId="0" borderId="23" xfId="108" applyFont="true" applyBorder="true" applyAlignment="true">
      <alignment vertical="center" wrapText="true"/>
    </xf>
    <xf numFmtId="0" fontId="32" fillId="0" borderId="24" xfId="108" applyBorder="true" applyAlignment="true">
      <alignment wrapText="true"/>
    </xf>
    <xf numFmtId="0" fontId="32" fillId="0" borderId="25" xfId="108" applyBorder="true" applyAlignment="true">
      <alignment wrapText="true"/>
    </xf>
    <xf numFmtId="0" fontId="32" fillId="0" borderId="26" xfId="108" applyBorder="true" applyAlignment="true">
      <alignment wrapText="true"/>
    </xf>
    <xf numFmtId="0" fontId="4" fillId="0" borderId="42" xfId="108" applyFont="true" applyBorder="true" applyAlignment="true">
      <alignment horizontal="center" textRotation="255" vertical="center" wrapText="true"/>
    </xf>
    <xf numFmtId="0" fontId="39" fillId="25" borderId="40" xfId="108" applyFont="true" applyFill="true" applyBorder="true" applyAlignment="true">
      <alignment horizontal="center" vertical="center" wrapText="true"/>
    </xf>
    <xf numFmtId="0" fontId="4" fillId="0" borderId="41" xfId="108" applyFont="true" applyBorder="true" applyAlignment="true">
      <alignment horizontal="center" vertical="center" wrapText="true"/>
    </xf>
    <xf numFmtId="0" fontId="4" fillId="0" borderId="25" xfId="108" applyFont="true" applyBorder="true" applyAlignment="true">
      <alignment vertical="center" wrapText="true"/>
    </xf>
    <xf numFmtId="0" fontId="53" fillId="0" borderId="0" xfId="0" applyFont="true" applyAlignment="false">
      <alignment/>
    </xf>
    <xf numFmtId="0" fontId="54" fillId="0" borderId="0" xfId="0" applyFont="true" applyAlignment="false">
      <alignment/>
    </xf>
  </cellXfs>
  <cellStyles count="127">
    <cellStyle name="20% - アクセント 1 2" xfId="1"/>
    <cellStyle name="20% - アクセント 1 3" xfId="2"/>
    <cellStyle name="20% - アクセント 2 2" xfId="3"/>
    <cellStyle name="20% - アクセント 2 3" xfId="4"/>
    <cellStyle name="20% - アクセント 3 2" xfId="5"/>
    <cellStyle name="20% - アクセント 3 3" xfId="6"/>
    <cellStyle name="20% - アクセント 4 2" xfId="7"/>
    <cellStyle name="20% - アクセント 4 3" xfId="8"/>
    <cellStyle name="20% - アクセント 5 2" xfId="9"/>
    <cellStyle name="20% - アクセント 5 3" xfId="10"/>
    <cellStyle name="20% - アクセント 6 2" xfId="11"/>
    <cellStyle name="20% - アクセント 6 3" xfId="12"/>
    <cellStyle name="40% - アクセント 1 2" xfId="13"/>
    <cellStyle name="40% - アクセント 1 3" xfId="14"/>
    <cellStyle name="40% - アクセント 2 2" xfId="15"/>
    <cellStyle name="40% - アクセント 2 3" xfId="16"/>
    <cellStyle name="40% - アクセント 3 2" xfId="17"/>
    <cellStyle name="40% - アクセント 3 3" xfId="18"/>
    <cellStyle name="40% - アクセント 4 2" xfId="19"/>
    <cellStyle name="40% - アクセント 4 3" xfId="20"/>
    <cellStyle name="40% - アクセント 5 2" xfId="21"/>
    <cellStyle name="40% - アクセント 5 3" xfId="22"/>
    <cellStyle name="40% - アクセント 6 2" xfId="23"/>
    <cellStyle name="40% - アクセント 6 3" xfId="24"/>
    <cellStyle name="60% - アクセント 1 2" xfId="25"/>
    <cellStyle name="60% - アクセント 1 3" xfId="26"/>
    <cellStyle name="60% - アクセント 2 2" xfId="27"/>
    <cellStyle name="60% - アクセント 2 3" xfId="28"/>
    <cellStyle name="60% - アクセント 3 2" xfId="29"/>
    <cellStyle name="60% - アクセント 3 3" xfId="30"/>
    <cellStyle name="60% - アクセント 4 2" xfId="31"/>
    <cellStyle name="60% - アクセント 4 3" xfId="32"/>
    <cellStyle name="60% - アクセント 5 2" xfId="33"/>
    <cellStyle name="60% - アクセント 5 3" xfId="34"/>
    <cellStyle name="60% - アクセント 6 2" xfId="35"/>
    <cellStyle name="60% - アクセント 6 3" xfId="36"/>
    <cellStyle name="BD標準" xfId="37"/>
    <cellStyle name="Border" xfId="38"/>
    <cellStyle name="Calc Currency (0)" xfId="39"/>
    <cellStyle name="category" xfId="40"/>
    <cellStyle name="Comma [0]_CCOCPX" xfId="41"/>
    <cellStyle name="Comma_Capex" xfId="42"/>
    <cellStyle name="Currency [0]_CCOCPX" xfId="43"/>
    <cellStyle name="Currency_CCOCPX" xfId="44"/>
    <cellStyle name="Grey" xfId="45"/>
    <cellStyle name="HEADER" xfId="46"/>
    <cellStyle name="Header1" xfId="47"/>
    <cellStyle name="Header2" xfId="48"/>
    <cellStyle name="Input [yellow]" xfId="49"/>
    <cellStyle name="Model" xfId="50"/>
    <cellStyle name="Normal - Style1" xfId="51"/>
    <cellStyle name="Normal - Style1 2" xfId="52"/>
    <cellStyle name="Normal - Style1_001_【画面レイアウト】受発注・受注登録画面（ユーザ提示用）" xfId="53"/>
    <cellStyle name="Normal_#18-Internet" xfId="54"/>
    <cellStyle name="Percent [2]" xfId="55"/>
    <cellStyle name="PSChar" xfId="56"/>
    <cellStyle name="PSHeading" xfId="57"/>
    <cellStyle name="quest" xfId="58"/>
    <cellStyle name="subhead" xfId="59"/>
    <cellStyle name="umeda" xfId="60"/>
    <cellStyle name="アクセント 1 2" xfId="61"/>
    <cellStyle name="アクセント 1 3" xfId="62"/>
    <cellStyle name="アクセント 2 2" xfId="63"/>
    <cellStyle name="アクセント 2 3" xfId="64"/>
    <cellStyle name="アクセント 3 2" xfId="65"/>
    <cellStyle name="アクセント 3 3" xfId="66"/>
    <cellStyle name="アクセント 4 2" xfId="67"/>
    <cellStyle name="アクセント 4 3" xfId="68"/>
    <cellStyle name="アクセント 5 2" xfId="69"/>
    <cellStyle name="アクセント 5 3" xfId="70"/>
    <cellStyle name="アクセント 6 2" xfId="71"/>
    <cellStyle name="アクセント 6 3" xfId="72"/>
    <cellStyle name="タイトル 2" xfId="73"/>
    <cellStyle name="タイトル 3" xfId="74"/>
    <cellStyle name="チェック セル 2" xfId="75"/>
    <cellStyle name="チェック セル 3" xfId="76"/>
    <cellStyle name="どちらでもない 2" xfId="77"/>
    <cellStyle name="どちらでもない 3" xfId="78"/>
    <cellStyle name="メモ 2" xfId="79"/>
    <cellStyle name="メモ 3" xfId="80"/>
    <cellStyle name="リンク セル 2" xfId="81"/>
    <cellStyle name="リンク セル 3" xfId="82"/>
    <cellStyle name="悪い 2" xfId="83"/>
    <cellStyle name="悪い 3" xfId="84"/>
    <cellStyle name="計算 2" xfId="85"/>
    <cellStyle name="計算 3" xfId="86"/>
    <cellStyle name="警告文 2" xfId="87"/>
    <cellStyle name="警告文 3" xfId="88"/>
    <cellStyle name="見出し 1 2" xfId="89"/>
    <cellStyle name="見出し 1 3" xfId="90"/>
    <cellStyle name="見出し 2 2" xfId="91"/>
    <cellStyle name="見出し 2 3" xfId="92"/>
    <cellStyle name="見出し 3 2" xfId="93"/>
    <cellStyle name="見出し 3 3" xfId="94"/>
    <cellStyle name="見出し 4 2" xfId="95"/>
    <cellStyle name="見出し 4 3" xfId="96"/>
    <cellStyle name="集計 2" xfId="97"/>
    <cellStyle name="集計 3" xfId="98"/>
    <cellStyle name="出力 2" xfId="99"/>
    <cellStyle name="出力 3" xfId="100"/>
    <cellStyle name="説明文 2" xfId="101"/>
    <cellStyle name="説明文 3" xfId="102"/>
    <cellStyle name="追加スタイル（梅田）" xfId="103"/>
    <cellStyle name="入力 2" xfId="104"/>
    <cellStyle name="入力 3" xfId="105"/>
    <cellStyle name="標準" xfId="0" builtinId="0"/>
    <cellStyle name="標準 2" xfId="106"/>
    <cellStyle name="標準 2 2" xfId="125"/>
    <cellStyle name="標準 3" xfId="107"/>
    <cellStyle name="標準 4" xfId="108"/>
    <cellStyle name="標準_0050_060_BLサービス(BS、BM)vsBLサービス(BM)マトリクス_SAA_受発注管理" xfId="124"/>
    <cellStyle name="標準_Sheet1" xfId="109"/>
    <cellStyle name="標準_値リスト" xfId="126"/>
    <cellStyle name="標準仕様書" xfId="110"/>
    <cellStyle name="未定義" xfId="111"/>
    <cellStyle name="良い 2" xfId="112"/>
    <cellStyle name="良い 3" xfId="113"/>
    <cellStyle name="㼿" xfId="114"/>
    <cellStyle name="㼿?" xfId="115"/>
    <cellStyle name="㼿㼿" xfId="116"/>
    <cellStyle name="㼿㼿?" xfId="117"/>
    <cellStyle name="㼿㼿㼿" xfId="118"/>
    <cellStyle name="㼿㼿㼿?" xfId="119"/>
    <cellStyle name="㼿㼿㼿㼿" xfId="120"/>
    <cellStyle name="㼿㼿㼿㼿?" xfId="121"/>
    <cellStyle name="㼿㼿㼿㼿㼿㼿?" xfId="122"/>
    <cellStyle name="㼿㼿㼿㼿㼿㼿㼿?" xfId="123"/>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externalLinks/externalLink4.xml" Type="http://schemas.openxmlformats.org/officeDocument/2006/relationships/externalLink"></Relationship><Relationship Id="rId13" Target="calcChain.xml" Type="http://schemas.openxmlformats.org/officeDocument/2006/relationships/calcChain"></Relationship><Relationship Id="rId3" Target="worksheets/sheet3.xml" Type="http://schemas.openxmlformats.org/officeDocument/2006/relationships/worksheet"></Relationship><Relationship Id="rId7" Target="externalLinks/externalLink3.xml" Type="http://schemas.openxmlformats.org/officeDocument/2006/relationships/externalLink"></Relationship><Relationship Id="rId12" Target="/xl/sharedStrings.xml" Type="http://schemas.openxmlformats.org/officeDocument/2006/relationships/sharedStrings"></Relationship><Relationship Id="rId2" Target="worksheets/sheet2.xml" Type="http://schemas.openxmlformats.org/officeDocument/2006/relationships/worksheet"></Relationship><Relationship Id="rId16" Target="../customXml/item3.xml" Type="http://schemas.openxmlformats.org/officeDocument/2006/relationships/customXml"></Relationship><Relationship Id="rId1" Target="worksheets/sheet1.xml" Type="http://schemas.openxmlformats.org/officeDocument/2006/relationships/worksheet"></Relationship><Relationship Id="rId6" Target="externalLinks/externalLink2.xml" Type="http://schemas.openxmlformats.org/officeDocument/2006/relationships/externalLink"></Relationship><Relationship Id="rId11" Target="styles.xml" Type="http://schemas.openxmlformats.org/officeDocument/2006/relationships/styles"></Relationship><Relationship Id="rId5" Target="externalLinks/externalLink1.xml" Type="http://schemas.openxmlformats.org/officeDocument/2006/relationships/externalLink"></Relationship><Relationship Id="rId15" Target="../customXml/item2.xml" Type="http://schemas.openxmlformats.org/officeDocument/2006/relationships/customXml"></Relationship><Relationship Id="rId10" Target="theme/theme1.xml" Type="http://schemas.openxmlformats.org/officeDocument/2006/relationships/theme"></Relationship><Relationship Id="rId4" Target="worksheets/sheet4.xml" Type="http://schemas.openxmlformats.org/officeDocument/2006/relationships/worksheet"></Relationship><Relationship Id="rId9" Target="externalLinks/externalLink5.xml" Type="http://schemas.openxmlformats.org/officeDocument/2006/relationships/externalLink"></Relationship><Relationship Id="rId14" Target="../customXml/item1.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oneCellAnchor>
    <xdr:from>
      <xdr:col>4</xdr:col>
      <xdr:colOff>1238246</xdr:colOff>
      <xdr:row>3</xdr:row>
      <xdr:rowOff>163287</xdr:rowOff>
    </xdr:from>
    <xdr:ext cx="1205593" cy="246596"/>
    <xdr:sp macro="" textlink="">
      <xdr:nvSpPr>
        <xdr:cNvPr id="2" name="Text Box 3">
          <a:extLst>
            <a:ext uri="{FF2B5EF4-FFF2-40B4-BE49-F238E27FC236}">
              <a16:creationId xmlns:a16="http://schemas.microsoft.com/office/drawing/2014/main" id="{429EC0A0-C6E5-4B07-80AA-85A5678D7DB1}"/>
            </a:ext>
          </a:extLst>
        </xdr:cNvPr>
        <xdr:cNvSpPr txBox="1">
          <a:spLocks noChangeArrowheads="1"/>
        </xdr:cNvSpPr>
      </xdr:nvSpPr>
      <xdr:spPr bwMode="auto">
        <a:xfrm>
          <a:off x="3442331" y="1974942"/>
          <a:ext cx="1205593" cy="246596"/>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業務共通処理</a:t>
          </a:r>
          <a:endParaRPr lang="en-US" altLang="ja-JP" sz="1050" b="0" i="0" u="none" strike="noStrike" baseline="0">
            <a:solidFill>
              <a:srgbClr val="000000"/>
            </a:solidFill>
            <a:latin typeface="ＭＳ Ｐゴシック"/>
            <a:ea typeface="ＭＳ Ｐゴシック"/>
          </a:endParaRPr>
        </a:p>
      </xdr:txBody>
    </xdr:sp>
    <xdr:clientData/>
  </xdr:oneCellAnchor>
  <xdr:oneCellAnchor>
    <xdr:from>
      <xdr:col>4</xdr:col>
      <xdr:colOff>1538366</xdr:colOff>
      <xdr:row>2</xdr:row>
      <xdr:rowOff>522053</xdr:rowOff>
    </xdr:from>
    <xdr:ext cx="568339" cy="262359"/>
    <xdr:sp macro="" textlink="">
      <xdr:nvSpPr>
        <xdr:cNvPr id="3" name="Text Box 33">
          <a:extLst>
            <a:ext uri="{FF2B5EF4-FFF2-40B4-BE49-F238E27FC236}">
              <a16:creationId xmlns:a16="http://schemas.microsoft.com/office/drawing/2014/main" id="{8F339459-1ABA-494E-B14E-C50EB4E77BDE}"/>
            </a:ext>
          </a:extLst>
        </xdr:cNvPr>
        <xdr:cNvSpPr txBox="1">
          <a:spLocks noChangeArrowheads="1"/>
        </xdr:cNvSpPr>
      </xdr:nvSpPr>
      <xdr:spPr bwMode="auto">
        <a:xfrm>
          <a:off x="3742451" y="863048"/>
          <a:ext cx="568339" cy="262359"/>
        </a:xfrm>
        <a:prstGeom prst="rect">
          <a:avLst/>
        </a:prstGeom>
        <a:noFill/>
        <a:ln w="9525">
          <a:noFill/>
          <a:miter lim="800000"/>
          <a:headEnd/>
          <a:tailEnd/>
        </a:ln>
      </xdr:spPr>
      <xdr:txBody>
        <a:bodyPr wrap="square" lIns="18288" tIns="18288" rIns="18288" bIns="0" anchor="t" upright="1">
          <a:noAutofit/>
        </a:bodyPr>
        <a:lstStyle/>
        <a:p>
          <a:pPr algn="ctr" rtl="0">
            <a:defRPr sz="1000"/>
          </a:pPr>
          <a:r>
            <a:rPr lang="ja-JP" altLang="en-US" sz="1050" b="0" i="0" u="none" strike="noStrike" baseline="0">
              <a:solidFill>
                <a:srgbClr val="000000"/>
              </a:solidFill>
              <a:latin typeface="ＭＳ Ｐゴシック"/>
              <a:ea typeface="ＭＳ Ｐゴシック"/>
            </a:rPr>
            <a:t>クラス</a:t>
          </a:r>
        </a:p>
      </xdr:txBody>
    </xdr:sp>
    <xdr:clientData/>
  </xdr:oneCellAnchor>
  <xdr:oneCellAnchor>
    <xdr:from>
      <xdr:col>4</xdr:col>
      <xdr:colOff>95250</xdr:colOff>
      <xdr:row>3</xdr:row>
      <xdr:rowOff>1119189</xdr:rowOff>
    </xdr:from>
    <xdr:ext cx="619125" cy="228907"/>
    <xdr:sp macro="" textlink="">
      <xdr:nvSpPr>
        <xdr:cNvPr id="4" name="Text Box 3">
          <a:extLst>
            <a:ext uri="{FF2B5EF4-FFF2-40B4-BE49-F238E27FC236}">
              <a16:creationId xmlns:a16="http://schemas.microsoft.com/office/drawing/2014/main" id="{6DEE77C0-1E19-4614-AC9A-D7FCFBDFFA81}"/>
            </a:ext>
          </a:extLst>
        </xdr:cNvPr>
        <xdr:cNvSpPr txBox="1">
          <a:spLocks noChangeArrowheads="1"/>
        </xdr:cNvSpPr>
      </xdr:nvSpPr>
      <xdr:spPr bwMode="auto">
        <a:xfrm>
          <a:off x="2291715" y="2932749"/>
          <a:ext cx="619125" cy="228907"/>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機能</a:t>
          </a:r>
          <a:endParaRPr lang="en-US" altLang="ja-JP" sz="1050" b="0" i="0" u="none" strike="noStrike" baseline="0">
            <a:solidFill>
              <a:srgbClr val="000000"/>
            </a:solidFill>
            <a:latin typeface="ＭＳ Ｐゴシック"/>
            <a:ea typeface="ＭＳ Ｐゴシック"/>
          </a:endParaRPr>
        </a:p>
      </xdr:txBody>
    </xdr:sp>
    <xdr:clientData/>
  </xdr:oneCellAnchor>
  <xdr:oneCellAnchor>
    <xdr:from>
      <xdr:col>2</xdr:col>
      <xdr:colOff>19050</xdr:colOff>
      <xdr:row>3</xdr:row>
      <xdr:rowOff>1128715</xdr:rowOff>
    </xdr:from>
    <xdr:ext cx="1019175" cy="185736"/>
    <xdr:sp macro="" textlink="">
      <xdr:nvSpPr>
        <xdr:cNvPr id="5" name="Text Box 3">
          <a:extLst>
            <a:ext uri="{FF2B5EF4-FFF2-40B4-BE49-F238E27FC236}">
              <a16:creationId xmlns:a16="http://schemas.microsoft.com/office/drawing/2014/main" id="{0A6F3E42-01F4-4375-BAA8-39FF5DFBFA0B}"/>
            </a:ext>
          </a:extLst>
        </xdr:cNvPr>
        <xdr:cNvSpPr txBox="1">
          <a:spLocks noChangeArrowheads="1"/>
        </xdr:cNvSpPr>
      </xdr:nvSpPr>
      <xdr:spPr bwMode="auto">
        <a:xfrm>
          <a:off x="377190" y="2934655"/>
          <a:ext cx="1019175" cy="185736"/>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サブシステム</a:t>
          </a:r>
          <a:endParaRPr lang="en-US" altLang="ja-JP" sz="1050" b="0" i="0" u="none" strike="noStrike" baseline="0">
            <a:solidFill>
              <a:srgbClr val="000000"/>
            </a:solidFill>
            <a:latin typeface="ＭＳ Ｐゴシック"/>
            <a:ea typeface="ＭＳ Ｐゴシック"/>
          </a:endParaRPr>
        </a:p>
      </xdr:txBody>
    </xdr:sp>
    <xdr:clientData/>
  </xdr:oneCellAnchor>
  <xdr:oneCellAnchor>
    <xdr:from>
      <xdr:col>3</xdr:col>
      <xdr:colOff>161925</xdr:colOff>
      <xdr:row>3</xdr:row>
      <xdr:rowOff>1128714</xdr:rowOff>
    </xdr:from>
    <xdr:ext cx="619125" cy="228907"/>
    <xdr:sp macro="" textlink="">
      <xdr:nvSpPr>
        <xdr:cNvPr id="6" name="Text Box 3">
          <a:extLst>
            <a:ext uri="{FF2B5EF4-FFF2-40B4-BE49-F238E27FC236}">
              <a16:creationId xmlns:a16="http://schemas.microsoft.com/office/drawing/2014/main" id="{D3A48A68-3DBE-47A4-A497-A747717B8DF1}"/>
            </a:ext>
          </a:extLst>
        </xdr:cNvPr>
        <xdr:cNvSpPr txBox="1">
          <a:spLocks noChangeArrowheads="1"/>
        </xdr:cNvSpPr>
      </xdr:nvSpPr>
      <xdr:spPr bwMode="auto">
        <a:xfrm>
          <a:off x="1487805" y="2934654"/>
          <a:ext cx="619125" cy="228907"/>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業務機能</a:t>
          </a:r>
          <a:endParaRPr lang="en-US" altLang="ja-JP" sz="1050" b="0" i="0" u="none" strike="noStrike" baseline="0">
            <a:solidFill>
              <a:srgbClr val="000000"/>
            </a:solidFill>
            <a:latin typeface="ＭＳ Ｐゴシック"/>
            <a:ea typeface="ＭＳ Ｐゴシック"/>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1238246</xdr:colOff>
      <xdr:row>3</xdr:row>
      <xdr:rowOff>163287</xdr:rowOff>
    </xdr:from>
    <xdr:ext cx="1205593" cy="246596"/>
    <xdr:sp macro="" textlink="">
      <xdr:nvSpPr>
        <xdr:cNvPr id="2" name="Text Box 3">
          <a:extLst>
            <a:ext uri="{FF2B5EF4-FFF2-40B4-BE49-F238E27FC236}">
              <a16:creationId xmlns:a16="http://schemas.microsoft.com/office/drawing/2014/main" id="{6AF31960-3C01-43B9-B697-47FA55D1C730}"/>
            </a:ext>
          </a:extLst>
        </xdr:cNvPr>
        <xdr:cNvSpPr txBox="1">
          <a:spLocks noChangeArrowheads="1"/>
        </xdr:cNvSpPr>
      </xdr:nvSpPr>
      <xdr:spPr bwMode="auto">
        <a:xfrm>
          <a:off x="3575046" y="937987"/>
          <a:ext cx="1205593" cy="246596"/>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業務共通処理</a:t>
          </a:r>
          <a:endParaRPr lang="en-US" altLang="ja-JP" sz="1050" b="0" i="0" u="none" strike="noStrike" baseline="0">
            <a:solidFill>
              <a:srgbClr val="000000"/>
            </a:solidFill>
            <a:latin typeface="ＭＳ Ｐゴシック"/>
            <a:ea typeface="ＭＳ Ｐゴシック"/>
          </a:endParaRPr>
        </a:p>
      </xdr:txBody>
    </xdr:sp>
    <xdr:clientData/>
  </xdr:oneCellAnchor>
  <xdr:oneCellAnchor>
    <xdr:from>
      <xdr:col>4</xdr:col>
      <xdr:colOff>1538366</xdr:colOff>
      <xdr:row>2</xdr:row>
      <xdr:rowOff>522053</xdr:rowOff>
    </xdr:from>
    <xdr:ext cx="568339" cy="262359"/>
    <xdr:sp macro="" textlink="">
      <xdr:nvSpPr>
        <xdr:cNvPr id="3" name="Text Box 33">
          <a:extLst>
            <a:ext uri="{FF2B5EF4-FFF2-40B4-BE49-F238E27FC236}">
              <a16:creationId xmlns:a16="http://schemas.microsoft.com/office/drawing/2014/main" id="{8EB2EA52-AAFA-4DA7-941D-E19929F66E61}"/>
            </a:ext>
          </a:extLst>
        </xdr:cNvPr>
        <xdr:cNvSpPr txBox="1">
          <a:spLocks noChangeArrowheads="1"/>
        </xdr:cNvSpPr>
      </xdr:nvSpPr>
      <xdr:spPr bwMode="auto">
        <a:xfrm>
          <a:off x="3875166" y="776053"/>
          <a:ext cx="568339" cy="262359"/>
        </a:xfrm>
        <a:prstGeom prst="rect">
          <a:avLst/>
        </a:prstGeom>
        <a:noFill/>
        <a:ln w="9525">
          <a:noFill/>
          <a:miter lim="800000"/>
          <a:headEnd/>
          <a:tailEnd/>
        </a:ln>
      </xdr:spPr>
      <xdr:txBody>
        <a:bodyPr wrap="square" lIns="18288" tIns="18288" rIns="18288" bIns="0" anchor="t" upright="1">
          <a:noAutofit/>
        </a:bodyPr>
        <a:lstStyle/>
        <a:p>
          <a:pPr algn="ctr" rtl="0">
            <a:defRPr sz="1000"/>
          </a:pPr>
          <a:r>
            <a:rPr lang="ja-JP" altLang="en-US" sz="1050" b="0" i="0" u="none" strike="noStrike" baseline="0">
              <a:solidFill>
                <a:srgbClr val="000000"/>
              </a:solidFill>
              <a:latin typeface="ＭＳ Ｐゴシック"/>
              <a:ea typeface="ＭＳ Ｐゴシック"/>
            </a:rPr>
            <a:t>クラス</a:t>
          </a:r>
        </a:p>
      </xdr:txBody>
    </xdr:sp>
    <xdr:clientData/>
  </xdr:oneCellAnchor>
  <xdr:oneCellAnchor>
    <xdr:from>
      <xdr:col>4</xdr:col>
      <xdr:colOff>95250</xdr:colOff>
      <xdr:row>3</xdr:row>
      <xdr:rowOff>1119189</xdr:rowOff>
    </xdr:from>
    <xdr:ext cx="619125" cy="228907"/>
    <xdr:sp macro="" textlink="">
      <xdr:nvSpPr>
        <xdr:cNvPr id="4" name="Text Box 3">
          <a:extLst>
            <a:ext uri="{FF2B5EF4-FFF2-40B4-BE49-F238E27FC236}">
              <a16:creationId xmlns:a16="http://schemas.microsoft.com/office/drawing/2014/main" id="{657DD74C-56C3-4ECD-8712-3528B6AA6393}"/>
            </a:ext>
          </a:extLst>
        </xdr:cNvPr>
        <xdr:cNvSpPr txBox="1">
          <a:spLocks noChangeArrowheads="1"/>
        </xdr:cNvSpPr>
      </xdr:nvSpPr>
      <xdr:spPr bwMode="auto">
        <a:xfrm>
          <a:off x="2432050" y="1843089"/>
          <a:ext cx="619125" cy="228907"/>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機能</a:t>
          </a:r>
          <a:endParaRPr lang="en-US" altLang="ja-JP" sz="1050" b="0" i="0" u="none" strike="noStrike" baseline="0">
            <a:solidFill>
              <a:srgbClr val="000000"/>
            </a:solidFill>
            <a:latin typeface="ＭＳ Ｐゴシック"/>
            <a:ea typeface="ＭＳ Ｐゴシック"/>
          </a:endParaRPr>
        </a:p>
      </xdr:txBody>
    </xdr:sp>
    <xdr:clientData/>
  </xdr:oneCellAnchor>
  <xdr:oneCellAnchor>
    <xdr:from>
      <xdr:col>2</xdr:col>
      <xdr:colOff>19050</xdr:colOff>
      <xdr:row>3</xdr:row>
      <xdr:rowOff>1128715</xdr:rowOff>
    </xdr:from>
    <xdr:ext cx="1019175" cy="185736"/>
    <xdr:sp macro="" textlink="">
      <xdr:nvSpPr>
        <xdr:cNvPr id="5" name="Text Box 3">
          <a:extLst>
            <a:ext uri="{FF2B5EF4-FFF2-40B4-BE49-F238E27FC236}">
              <a16:creationId xmlns:a16="http://schemas.microsoft.com/office/drawing/2014/main" id="{D51484EC-CA36-44F8-98E8-194414C3A9A3}"/>
            </a:ext>
          </a:extLst>
        </xdr:cNvPr>
        <xdr:cNvSpPr txBox="1">
          <a:spLocks noChangeArrowheads="1"/>
        </xdr:cNvSpPr>
      </xdr:nvSpPr>
      <xdr:spPr bwMode="auto">
        <a:xfrm>
          <a:off x="488950" y="1839915"/>
          <a:ext cx="1019175" cy="185736"/>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サブシステム</a:t>
          </a:r>
          <a:endParaRPr lang="en-US" altLang="ja-JP" sz="1050" b="0" i="0" u="none" strike="noStrike" baseline="0">
            <a:solidFill>
              <a:srgbClr val="000000"/>
            </a:solidFill>
            <a:latin typeface="ＭＳ Ｐゴシック"/>
            <a:ea typeface="ＭＳ Ｐゴシック"/>
          </a:endParaRPr>
        </a:p>
      </xdr:txBody>
    </xdr:sp>
    <xdr:clientData/>
  </xdr:oneCellAnchor>
  <xdr:oneCellAnchor>
    <xdr:from>
      <xdr:col>3</xdr:col>
      <xdr:colOff>161925</xdr:colOff>
      <xdr:row>3</xdr:row>
      <xdr:rowOff>1128714</xdr:rowOff>
    </xdr:from>
    <xdr:ext cx="619125" cy="228907"/>
    <xdr:sp macro="" textlink="">
      <xdr:nvSpPr>
        <xdr:cNvPr id="6" name="Text Box 3">
          <a:extLst>
            <a:ext uri="{FF2B5EF4-FFF2-40B4-BE49-F238E27FC236}">
              <a16:creationId xmlns:a16="http://schemas.microsoft.com/office/drawing/2014/main" id="{2BE3F7D4-A927-4C09-BA78-8950166AB3D4}"/>
            </a:ext>
          </a:extLst>
        </xdr:cNvPr>
        <xdr:cNvSpPr txBox="1">
          <a:spLocks noChangeArrowheads="1"/>
        </xdr:cNvSpPr>
      </xdr:nvSpPr>
      <xdr:spPr bwMode="auto">
        <a:xfrm>
          <a:off x="1609725" y="1839914"/>
          <a:ext cx="619125" cy="228907"/>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1050" b="0" i="0" u="none" strike="noStrike" baseline="0">
              <a:solidFill>
                <a:srgbClr val="000000"/>
              </a:solidFill>
              <a:latin typeface="ＭＳ Ｐゴシック"/>
              <a:ea typeface="ＭＳ Ｐゴシック"/>
            </a:rPr>
            <a:t>業務機能</a:t>
          </a:r>
          <a:endParaRPr lang="en-US" altLang="ja-JP" sz="1050" b="0" i="0" u="none" strike="noStrike" baseline="0">
            <a:solidFill>
              <a:srgbClr val="000000"/>
            </a:solidFill>
            <a:latin typeface="ＭＳ Ｐゴシック"/>
            <a:ea typeface="ＭＳ Ｐゴシック"/>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Theme 2007 - 2010">
  <themeElements>
    <clrScheme name="Office 2007 - 2010">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2007 - 2010">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2007 - 2010">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extraClrScheme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D5095-33BC-4ECC-8737-9218AD31DF88}">
  <sheetPr codeName="Sheet1"/>
  <dimension ref="A1:BJ509"/>
  <sheetViews>
    <sheetView tabSelected="true" view="pageBreakPreview" zoomScaleNormal="100" zoomScaleSheetLayoutView="100" workbookViewId="0"/>
  </sheetViews>
  <sheetFormatPr defaultColWidth="9" defaultRowHeight="12"/>
  <cols>
    <col customWidth="true" max="62" min="1" style="62" width="2.125"/>
    <col customWidth="true" max="159" min="63" style="62" width="1.625"/>
    <col max="16384" min="160" style="62" width="9"/>
  </cols>
  <sheetData>
    <row r="1" spans="1:62" s="46" customFormat="true" ht="18" customHeight="true">
      <c r="A1" s="46" t="s">
        <v>1016</v>
      </c>
      <c r="BJ1" s="47" t="s">
        <v>1017</v>
      </c>
    </row>
    <row r="2" spans="1:62" s="48" customFormat="true" ht="18" customHeight="true">
      <c r="A2" s="111" t="s">
        <v>1234</v>
      </c>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7"/>
      <c r="AS2" s="70" t="s">
        <v>1018</v>
      </c>
      <c r="AT2" s="71"/>
      <c r="AU2" s="71"/>
      <c r="AV2" s="71"/>
      <c r="AW2" s="71"/>
      <c r="AX2" s="72"/>
      <c r="AY2" s="70" t="s">
        <v>1019</v>
      </c>
      <c r="AZ2" s="71"/>
      <c r="BA2" s="71"/>
      <c r="BB2" s="71"/>
      <c r="BC2" s="72"/>
      <c r="BD2" s="70" t="s">
        <v>1020</v>
      </c>
      <c r="BE2" s="71"/>
      <c r="BF2" s="72"/>
      <c r="BG2" s="70"/>
      <c r="BH2" s="71"/>
      <c r="BI2" s="71"/>
      <c r="BJ2" s="72"/>
    </row>
    <row r="3" spans="1:62" s="46" customFormat="true" ht="18" customHeight="true">
      <c r="A3" s="78" t="s">
        <v>1021</v>
      </c>
      <c r="B3" s="79"/>
      <c r="C3" s="79"/>
      <c r="D3" s="79"/>
      <c r="E3" s="79"/>
      <c r="F3" s="79"/>
      <c r="G3" s="79"/>
      <c r="H3" s="79"/>
      <c r="I3" s="79"/>
      <c r="J3" s="79"/>
      <c r="K3" s="80"/>
      <c r="L3" s="84" t="s">
        <v>1022</v>
      </c>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6"/>
      <c r="AS3" s="70" t="s">
        <v>1023</v>
      </c>
      <c r="AT3" s="71"/>
      <c r="AU3" s="71"/>
      <c r="AV3" s="71"/>
      <c r="AW3" s="71"/>
      <c r="AX3" s="72"/>
      <c r="AY3" s="70" t="s">
        <v>1024</v>
      </c>
      <c r="AZ3" s="71"/>
      <c r="BA3" s="71"/>
      <c r="BB3" s="71"/>
      <c r="BC3" s="71"/>
      <c r="BD3" s="71"/>
      <c r="BE3" s="71"/>
      <c r="BF3" s="71"/>
      <c r="BG3" s="71"/>
      <c r="BH3" s="71"/>
      <c r="BI3" s="71"/>
      <c r="BJ3" s="72"/>
    </row>
    <row r="4" spans="1:62" s="46" customFormat="true" ht="18" customHeight="true">
      <c r="A4" s="81"/>
      <c r="B4" s="82"/>
      <c r="C4" s="82"/>
      <c r="D4" s="82"/>
      <c r="E4" s="82"/>
      <c r="F4" s="82"/>
      <c r="G4" s="82"/>
      <c r="H4" s="82"/>
      <c r="I4" s="82"/>
      <c r="J4" s="82"/>
      <c r="K4" s="83"/>
      <c r="L4" s="87"/>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9"/>
      <c r="AS4" s="70" t="s">
        <v>1025</v>
      </c>
      <c r="AT4" s="71"/>
      <c r="AU4" s="71"/>
      <c r="AV4" s="71"/>
      <c r="AW4" s="71"/>
      <c r="AX4" s="72"/>
      <c r="AY4" s="70"/>
      <c r="AZ4" s="71"/>
      <c r="BA4" s="71"/>
      <c r="BB4" s="71"/>
      <c r="BC4" s="71"/>
      <c r="BD4" s="71"/>
      <c r="BE4" s="71"/>
      <c r="BF4" s="71"/>
      <c r="BG4" s="71"/>
      <c r="BH4" s="71"/>
      <c r="BI4" s="71"/>
      <c r="BJ4" s="72"/>
    </row>
    <row r="5" spans="1:62" s="49" customFormat="true" ht="9" customHeight="true"/>
    <row r="6" spans="1:62" s="53" customFormat="true" ht="15.75" customHeight="true">
      <c r="A6" s="73" t="s">
        <v>1026</v>
      </c>
      <c r="B6" s="74"/>
      <c r="C6" s="74"/>
      <c r="D6" s="74"/>
      <c r="E6" s="74"/>
      <c r="F6" s="74"/>
      <c r="G6" s="75"/>
      <c r="H6" s="50"/>
      <c r="I6" s="51" t="s">
        <v>1027</v>
      </c>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2"/>
    </row>
    <row r="7" spans="1:62" s="53" customFormat="true" ht="20.25" customHeight="true">
      <c r="A7" s="54"/>
      <c r="C7" s="55"/>
      <c r="D7" s="55"/>
      <c r="E7" s="55"/>
      <c r="F7" s="55"/>
      <c r="G7" s="55"/>
      <c r="H7" s="56"/>
      <c r="O7" s="57"/>
      <c r="P7" s="57"/>
      <c r="Q7" s="57"/>
      <c r="R7" s="57"/>
      <c r="S7" s="57"/>
      <c r="T7" s="57"/>
      <c r="U7" s="57"/>
      <c r="V7" s="57"/>
      <c r="W7" s="57"/>
      <c r="X7" s="57"/>
      <c r="AC7" s="57"/>
      <c r="AD7" s="57"/>
      <c r="AE7" s="57"/>
      <c r="AF7" s="57"/>
      <c r="AG7" s="57"/>
      <c r="AH7" s="57"/>
      <c r="AI7" s="57"/>
      <c r="AJ7" s="57"/>
      <c r="AK7" s="57"/>
      <c r="AL7" s="57"/>
      <c r="AM7" s="57"/>
      <c r="AN7" s="57"/>
      <c r="AO7" s="57"/>
      <c r="AP7" s="57"/>
      <c r="AQ7" s="57"/>
      <c r="AR7" s="57"/>
      <c r="AS7" s="57"/>
      <c r="AT7" s="57"/>
      <c r="AU7" s="57"/>
      <c r="AV7" s="57"/>
      <c r="AW7" s="57"/>
      <c r="BJ7" s="58"/>
    </row>
    <row r="8" spans="1:62" s="53" customFormat="true" ht="20.25" customHeight="true">
      <c r="A8" s="54"/>
      <c r="B8" s="53" t="s">
        <v>1028</v>
      </c>
      <c r="C8" s="55"/>
      <c r="D8" s="55"/>
      <c r="E8" s="55"/>
      <c r="F8" s="55"/>
      <c r="G8" s="55"/>
      <c r="H8" s="56"/>
      <c r="I8" s="53" t="s">
        <v>1029</v>
      </c>
      <c r="O8" s="57"/>
      <c r="P8" s="57"/>
      <c r="Q8" s="57"/>
      <c r="R8" s="57"/>
      <c r="S8" s="57"/>
      <c r="T8" s="57"/>
      <c r="U8" s="57"/>
      <c r="V8" s="57"/>
      <c r="W8" s="57"/>
      <c r="X8" s="57"/>
      <c r="AC8" s="57"/>
      <c r="AD8" s="57"/>
      <c r="AE8" s="57"/>
      <c r="AF8" s="57"/>
      <c r="AG8" s="57"/>
      <c r="AH8" s="57"/>
      <c r="AI8" s="57"/>
      <c r="AJ8" s="57"/>
      <c r="AK8" s="57"/>
      <c r="AL8" s="57"/>
      <c r="AM8" s="57"/>
      <c r="AN8" s="57"/>
      <c r="AO8" s="57"/>
      <c r="AP8" s="57"/>
      <c r="AQ8" s="57"/>
      <c r="AR8" s="57"/>
      <c r="AS8" s="57"/>
      <c r="AT8" s="57"/>
      <c r="AU8" s="57"/>
      <c r="AV8" s="57"/>
      <c r="AW8" s="57"/>
      <c r="BJ8" s="58"/>
    </row>
    <row r="9" spans="1:62" s="53" customFormat="true" ht="20.25" customHeight="true">
      <c r="A9" s="54"/>
      <c r="H9" s="54"/>
      <c r="BJ9" s="58"/>
    </row>
    <row r="10" spans="1:62" s="53" customFormat="true" ht="20.25" customHeight="true">
      <c r="A10" s="54"/>
      <c r="H10" s="54"/>
      <c r="AC10" s="57"/>
      <c r="AD10" s="57"/>
      <c r="AE10" s="57"/>
      <c r="AF10" s="57"/>
      <c r="AG10" s="57"/>
      <c r="AH10" s="57"/>
      <c r="AI10" s="57"/>
      <c r="AJ10" s="57"/>
      <c r="AK10" s="57"/>
      <c r="AL10" s="57"/>
      <c r="AM10" s="57"/>
      <c r="AN10" s="57"/>
      <c r="AO10" s="57"/>
      <c r="AP10" s="57"/>
      <c r="AQ10" s="57"/>
      <c r="AR10" s="57"/>
      <c r="AS10" s="57"/>
      <c r="AT10" s="57"/>
      <c r="AU10" s="57"/>
      <c r="AV10" s="57"/>
      <c r="AW10" s="57"/>
      <c r="BJ10" s="58"/>
    </row>
    <row r="11" spans="1:62" s="53" customFormat="true" ht="20.25" customHeight="true">
      <c r="A11" s="54"/>
      <c r="H11" s="54"/>
      <c r="AC11" s="57"/>
      <c r="AD11" s="57"/>
      <c r="AE11" s="57"/>
      <c r="AF11" s="57"/>
      <c r="AG11" s="57"/>
      <c r="AH11" s="57"/>
      <c r="AI11" s="57"/>
      <c r="AJ11" s="57"/>
      <c r="AK11" s="57"/>
      <c r="AL11" s="57"/>
      <c r="AM11" s="57"/>
      <c r="AN11" s="57"/>
      <c r="AO11" s="57"/>
      <c r="AP11" s="57"/>
      <c r="AQ11" s="57"/>
      <c r="AR11" s="57"/>
      <c r="AS11" s="57"/>
      <c r="AT11" s="57"/>
      <c r="AU11" s="57"/>
      <c r="AV11" s="57"/>
      <c r="AW11" s="57"/>
      <c r="BJ11" s="58"/>
    </row>
    <row r="12" spans="1:62" s="53" customFormat="true" ht="20.25" customHeight="true">
      <c r="A12" s="54"/>
      <c r="H12" s="54"/>
      <c r="BJ12" s="58"/>
    </row>
    <row r="13" spans="1:62" s="53" customFormat="true" ht="20.25" customHeight="true">
      <c r="A13" s="54"/>
      <c r="H13" s="54"/>
      <c r="AC13" s="57"/>
      <c r="AD13" s="57"/>
      <c r="AE13" s="57"/>
      <c r="AF13" s="57"/>
      <c r="AG13" s="57"/>
      <c r="AH13" s="57"/>
      <c r="AI13" s="57"/>
      <c r="AJ13" s="57"/>
      <c r="AK13" s="57"/>
      <c r="AL13" s="57"/>
      <c r="AM13" s="57"/>
      <c r="AN13" s="57"/>
      <c r="AO13" s="57"/>
      <c r="AP13" s="57"/>
      <c r="AQ13" s="57"/>
      <c r="AR13" s="57"/>
      <c r="AS13" s="57"/>
      <c r="AT13" s="57"/>
      <c r="AU13" s="57"/>
      <c r="AV13" s="57"/>
      <c r="AW13" s="57"/>
      <c r="BJ13" s="58"/>
    </row>
    <row r="14" spans="1:62" s="53" customFormat="true" ht="20.25" customHeight="true">
      <c r="A14" s="54"/>
      <c r="H14" s="54"/>
      <c r="AC14" s="57"/>
      <c r="AD14" s="57"/>
      <c r="AE14" s="57"/>
      <c r="AF14" s="57"/>
      <c r="AG14" s="57"/>
      <c r="AH14" s="57"/>
      <c r="AI14" s="57"/>
      <c r="AJ14" s="57"/>
      <c r="AK14" s="57"/>
      <c r="AL14" s="57"/>
      <c r="AM14" s="57"/>
      <c r="AN14" s="57"/>
      <c r="AO14" s="57"/>
      <c r="AP14" s="57"/>
      <c r="AQ14" s="57"/>
      <c r="AR14" s="57"/>
      <c r="AS14" s="57"/>
      <c r="AT14" s="57"/>
      <c r="AU14" s="57"/>
      <c r="AV14" s="57"/>
      <c r="AW14" s="57"/>
      <c r="BJ14" s="58"/>
    </row>
    <row r="15" spans="1:62" s="53" customFormat="true" ht="20.25" customHeight="true">
      <c r="A15" s="54"/>
      <c r="H15" s="54"/>
      <c r="BJ15" s="58"/>
    </row>
    <row r="16" spans="1:62" s="53" customFormat="true" ht="20.25" customHeight="true">
      <c r="A16" s="54"/>
      <c r="H16" s="54"/>
      <c r="AC16" s="57"/>
      <c r="AD16" s="57"/>
      <c r="AE16" s="57"/>
      <c r="AF16" s="57"/>
      <c r="AG16" s="57"/>
      <c r="AH16" s="57"/>
      <c r="AI16" s="57"/>
      <c r="AJ16" s="57"/>
      <c r="AK16" s="57"/>
      <c r="AL16" s="57"/>
      <c r="AM16" s="57"/>
      <c r="AN16" s="57"/>
      <c r="AO16" s="57"/>
      <c r="AP16" s="57"/>
      <c r="AQ16" s="57"/>
      <c r="AR16" s="57"/>
      <c r="AS16" s="57"/>
      <c r="AT16" s="57"/>
      <c r="AU16" s="57"/>
      <c r="AV16" s="57"/>
      <c r="AW16" s="57"/>
      <c r="BJ16" s="58"/>
    </row>
    <row r="17" spans="1:62" s="53" customFormat="true" ht="20.25" customHeight="true">
      <c r="A17" s="54"/>
      <c r="H17" s="54"/>
      <c r="AC17" s="57"/>
      <c r="AD17" s="57"/>
      <c r="AE17" s="57"/>
      <c r="AF17" s="57"/>
      <c r="AG17" s="57"/>
      <c r="AH17" s="57"/>
      <c r="AI17" s="57"/>
      <c r="AJ17" s="57"/>
      <c r="AK17" s="57"/>
      <c r="AL17" s="57"/>
      <c r="AM17" s="57"/>
      <c r="AN17" s="57"/>
      <c r="AO17" s="57"/>
      <c r="AP17" s="57"/>
      <c r="AQ17" s="57"/>
      <c r="AR17" s="57"/>
      <c r="AS17" s="57"/>
      <c r="AT17" s="57"/>
      <c r="AU17" s="57"/>
      <c r="AV17" s="57"/>
      <c r="AW17" s="57"/>
      <c r="BJ17" s="58"/>
    </row>
    <row r="18" spans="1:62" s="53" customFormat="true" ht="20.25" customHeight="true">
      <c r="A18" s="54"/>
      <c r="H18" s="54"/>
      <c r="BJ18" s="58"/>
    </row>
    <row r="19" spans="1:62" s="53" customFormat="true" ht="20.25" customHeight="true">
      <c r="A19" s="54"/>
      <c r="H19" s="54"/>
      <c r="AC19" s="57"/>
      <c r="AD19" s="57"/>
      <c r="AE19" s="57"/>
      <c r="AF19" s="57"/>
      <c r="AG19" s="57"/>
      <c r="AH19" s="57"/>
      <c r="AI19" s="57"/>
      <c r="AJ19" s="57"/>
      <c r="AK19" s="57"/>
      <c r="AL19" s="57"/>
      <c r="AM19" s="57"/>
      <c r="AN19" s="57"/>
      <c r="AO19" s="57"/>
      <c r="AP19" s="57"/>
      <c r="AQ19" s="57"/>
      <c r="AR19" s="57"/>
      <c r="AS19" s="57"/>
      <c r="AT19" s="57"/>
      <c r="AU19" s="57"/>
      <c r="AV19" s="57"/>
      <c r="AW19" s="57"/>
      <c r="BJ19" s="58"/>
    </row>
    <row r="20" spans="1:62" s="53" customFormat="true" ht="20.25" customHeight="true">
      <c r="A20" s="54"/>
      <c r="H20" s="54"/>
      <c r="AC20" s="57"/>
      <c r="AD20" s="57"/>
      <c r="AE20" s="57"/>
      <c r="AF20" s="57"/>
      <c r="AG20" s="57"/>
      <c r="AH20" s="57"/>
      <c r="AI20" s="57"/>
      <c r="AJ20" s="57"/>
      <c r="AK20" s="57"/>
      <c r="AL20" s="57"/>
      <c r="AM20" s="57"/>
      <c r="AN20" s="57"/>
      <c r="AO20" s="57"/>
      <c r="AP20" s="57"/>
      <c r="AQ20" s="57"/>
      <c r="AR20" s="57"/>
      <c r="AS20" s="57"/>
      <c r="AT20" s="57"/>
      <c r="AU20" s="57"/>
      <c r="AV20" s="57"/>
      <c r="AW20" s="57"/>
      <c r="BJ20" s="58"/>
    </row>
    <row r="21" spans="1:62" s="53" customFormat="true" ht="20.25" customHeight="true">
      <c r="A21" s="54"/>
      <c r="H21" s="54"/>
      <c r="BJ21" s="58"/>
    </row>
    <row r="22" spans="1:62" s="53" customFormat="true" ht="20.25" customHeight="true">
      <c r="A22" s="54"/>
      <c r="H22" s="54"/>
      <c r="AC22" s="57"/>
      <c r="AD22" s="57"/>
      <c r="AE22" s="57"/>
      <c r="AF22" s="57"/>
      <c r="AG22" s="57"/>
      <c r="AH22" s="57"/>
      <c r="AI22" s="57"/>
      <c r="AJ22" s="57"/>
      <c r="AK22" s="57"/>
      <c r="AL22" s="57"/>
      <c r="AM22" s="57"/>
      <c r="AN22" s="57"/>
      <c r="AO22" s="57"/>
      <c r="AP22" s="57"/>
      <c r="AQ22" s="57"/>
      <c r="AR22" s="57"/>
      <c r="AS22" s="57"/>
      <c r="AT22" s="57"/>
      <c r="AU22" s="57"/>
      <c r="AV22" s="57"/>
      <c r="AW22" s="57"/>
      <c r="BJ22" s="58"/>
    </row>
    <row r="23" spans="1:62" s="53" customFormat="true" ht="20.25" customHeight="true">
      <c r="A23" s="54"/>
      <c r="H23" s="54"/>
      <c r="AC23" s="57"/>
      <c r="AD23" s="57"/>
      <c r="AE23" s="57"/>
      <c r="AF23" s="57"/>
      <c r="AG23" s="57"/>
      <c r="AH23" s="57"/>
      <c r="AI23" s="57"/>
      <c r="AJ23" s="57"/>
      <c r="AK23" s="57"/>
      <c r="AL23" s="57"/>
      <c r="AM23" s="57"/>
      <c r="AN23" s="57"/>
      <c r="AO23" s="57"/>
      <c r="AP23" s="57"/>
      <c r="AQ23" s="57"/>
      <c r="AR23" s="57"/>
      <c r="AS23" s="57"/>
      <c r="AT23" s="57"/>
      <c r="AU23" s="57"/>
      <c r="AV23" s="57"/>
      <c r="AW23" s="57"/>
      <c r="BJ23" s="58"/>
    </row>
    <row r="24" spans="1:62" s="53" customFormat="true" ht="20.25" customHeight="true">
      <c r="A24" s="54"/>
      <c r="H24" s="54"/>
      <c r="BJ24" s="58"/>
    </row>
    <row r="25" spans="1:62" s="53" customFormat="true" ht="20.25" customHeight="true">
      <c r="A25" s="54"/>
      <c r="H25" s="54"/>
      <c r="O25" s="57"/>
      <c r="P25" s="57"/>
      <c r="Q25" s="57"/>
      <c r="R25" s="57"/>
      <c r="S25" s="57"/>
      <c r="T25" s="57"/>
      <c r="U25" s="57"/>
      <c r="V25" s="57"/>
      <c r="W25" s="57"/>
      <c r="X25" s="57"/>
      <c r="AC25" s="57"/>
      <c r="AD25" s="57"/>
      <c r="AE25" s="57"/>
      <c r="AF25" s="57"/>
      <c r="AG25" s="57"/>
      <c r="AH25" s="57"/>
      <c r="AI25" s="57"/>
      <c r="AJ25" s="57"/>
      <c r="AK25" s="57"/>
      <c r="AL25" s="57"/>
      <c r="AM25" s="57"/>
      <c r="AN25" s="57"/>
      <c r="AO25" s="57"/>
      <c r="AP25" s="57"/>
      <c r="AQ25" s="57"/>
      <c r="AR25" s="57"/>
      <c r="AS25" s="57"/>
      <c r="AT25" s="57"/>
      <c r="AU25" s="57"/>
      <c r="AV25" s="57"/>
      <c r="AW25" s="57"/>
      <c r="BJ25" s="58"/>
    </row>
    <row r="26" spans="1:62" s="53" customFormat="true" ht="20.25" customHeight="true">
      <c r="A26" s="54"/>
      <c r="H26" s="54"/>
      <c r="O26" s="57"/>
      <c r="P26" s="57"/>
      <c r="Q26" s="57"/>
      <c r="R26" s="57"/>
      <c r="S26" s="57"/>
      <c r="T26" s="57"/>
      <c r="U26" s="57"/>
      <c r="V26" s="57"/>
      <c r="W26" s="57"/>
      <c r="X26" s="57"/>
      <c r="AC26" s="57"/>
      <c r="AD26" s="57"/>
      <c r="AE26" s="57"/>
      <c r="AF26" s="57"/>
      <c r="AG26" s="57"/>
      <c r="AH26" s="57"/>
      <c r="AI26" s="57"/>
      <c r="AJ26" s="57"/>
      <c r="AK26" s="57"/>
      <c r="AL26" s="57"/>
      <c r="AM26" s="57"/>
      <c r="AN26" s="57"/>
      <c r="AO26" s="57"/>
      <c r="AP26" s="57"/>
      <c r="AQ26" s="57"/>
      <c r="AR26" s="57"/>
      <c r="AS26" s="57"/>
      <c r="AT26" s="57"/>
      <c r="AU26" s="57"/>
      <c r="AV26" s="57"/>
      <c r="AW26" s="57"/>
      <c r="BJ26" s="58"/>
    </row>
    <row r="27" spans="1:62" s="53" customFormat="true" ht="20.25" customHeight="true">
      <c r="A27" s="54"/>
      <c r="H27" s="54"/>
      <c r="BJ27" s="58"/>
    </row>
    <row r="28" spans="1:62" s="53" customFormat="true" ht="20.25" customHeight="true">
      <c r="A28" s="54"/>
      <c r="H28" s="54"/>
      <c r="AC28" s="57"/>
      <c r="AD28" s="57"/>
      <c r="AE28" s="57"/>
      <c r="AF28" s="57"/>
      <c r="AG28" s="57"/>
      <c r="AH28" s="57"/>
      <c r="AI28" s="57"/>
      <c r="AJ28" s="57"/>
      <c r="AK28" s="57"/>
      <c r="AL28" s="57"/>
      <c r="AM28" s="57"/>
      <c r="AN28" s="57"/>
      <c r="AO28" s="57"/>
      <c r="AP28" s="57"/>
      <c r="AQ28" s="57"/>
      <c r="AR28" s="57"/>
      <c r="AS28" s="57"/>
      <c r="AT28" s="57"/>
      <c r="AU28" s="57"/>
      <c r="AV28" s="57"/>
      <c r="AW28" s="57"/>
      <c r="BJ28" s="58"/>
    </row>
    <row r="29" spans="1:62" s="53" customFormat="true" ht="20.25" customHeight="true">
      <c r="A29" s="54"/>
      <c r="H29" s="54"/>
      <c r="AC29" s="57"/>
      <c r="AD29" s="57"/>
      <c r="AE29" s="57"/>
      <c r="AF29" s="57"/>
      <c r="AG29" s="57"/>
      <c r="AH29" s="57"/>
      <c r="AI29" s="57"/>
      <c r="AJ29" s="57"/>
      <c r="AK29" s="57"/>
      <c r="AL29" s="57"/>
      <c r="AM29" s="57"/>
      <c r="AN29" s="57"/>
      <c r="AO29" s="57"/>
      <c r="AP29" s="57"/>
      <c r="AQ29" s="57"/>
      <c r="AR29" s="57"/>
      <c r="AS29" s="57"/>
      <c r="AT29" s="57"/>
      <c r="AU29" s="57"/>
      <c r="AV29" s="57"/>
      <c r="AW29" s="57"/>
      <c r="BJ29" s="58"/>
    </row>
    <row r="30" spans="1:62" s="53" customFormat="true" ht="20.25" customHeight="true">
      <c r="A30" s="54"/>
      <c r="H30" s="54"/>
      <c r="BJ30" s="58"/>
    </row>
    <row r="31" spans="1:62" s="53" customFormat="true" ht="20.25" customHeight="true">
      <c r="A31" s="54"/>
      <c r="H31" s="54"/>
      <c r="BJ31" s="58"/>
    </row>
    <row r="32" spans="1:62" s="53" customFormat="true" ht="20.25" customHeight="true">
      <c r="A32" s="54"/>
      <c r="H32" s="54"/>
      <c r="BJ32" s="58"/>
    </row>
    <row r="33" spans="1:62" s="53" customFormat="true" ht="20.25" customHeight="true">
      <c r="A33" s="54"/>
      <c r="H33" s="54"/>
      <c r="BJ33" s="58"/>
    </row>
    <row r="34" spans="1:62" s="53" customFormat="true" ht="20.25" customHeight="true">
      <c r="A34" s="54"/>
      <c r="H34" s="54"/>
      <c r="BJ34" s="58"/>
    </row>
    <row r="35" spans="1:62" s="53" customFormat="true" ht="20.25" customHeight="true">
      <c r="A35" s="54"/>
      <c r="H35" s="54"/>
      <c r="BJ35" s="58"/>
    </row>
    <row r="36" spans="1:62" s="53" customFormat="true" ht="20.25" customHeight="true">
      <c r="A36" s="54"/>
      <c r="H36" s="54"/>
      <c r="BJ36" s="58"/>
    </row>
    <row r="37" spans="1:62" s="53" customFormat="true" ht="20.25" customHeight="true">
      <c r="A37" s="54"/>
      <c r="H37" s="54"/>
      <c r="BJ37" s="58"/>
    </row>
    <row r="38" spans="1:62" s="53" customFormat="true" ht="20.25" customHeight="true">
      <c r="A38" s="54"/>
      <c r="H38" s="54"/>
      <c r="BJ38" s="58"/>
    </row>
    <row r="39" spans="1:62" s="53" customFormat="true" ht="20.25" customHeight="true">
      <c r="A39" s="54"/>
      <c r="H39" s="54"/>
      <c r="BJ39" s="58"/>
    </row>
    <row r="40" spans="1:62" s="53" customFormat="true" ht="20.25" customHeight="true">
      <c r="A40" s="54"/>
      <c r="H40" s="54"/>
      <c r="BJ40" s="58"/>
    </row>
    <row r="41" spans="1:62" s="53" customFormat="true" ht="20.25" customHeight="true">
      <c r="A41" s="54"/>
      <c r="H41" s="54"/>
      <c r="BJ41" s="58"/>
    </row>
    <row r="42" spans="1:62" s="53" customFormat="true" ht="20.25" customHeight="true">
      <c r="A42" s="54"/>
      <c r="H42" s="54"/>
      <c r="BJ42" s="58"/>
    </row>
    <row r="43" spans="1:62" s="53" customFormat="true" ht="20.25" customHeight="true">
      <c r="A43" s="54"/>
      <c r="H43" s="54"/>
      <c r="BJ43" s="58"/>
    </row>
    <row r="44" spans="1:62" s="53" customFormat="true" ht="20.25" customHeight="true">
      <c r="A44" s="54"/>
      <c r="H44" s="54"/>
      <c r="BJ44" s="58"/>
    </row>
    <row r="45" spans="1:62" s="53" customFormat="true" ht="20.25" customHeight="true">
      <c r="A45" s="54"/>
      <c r="H45" s="54"/>
      <c r="BJ45" s="58"/>
    </row>
    <row r="46" spans="1:62" s="53" customFormat="true" ht="20.25" customHeight="true">
      <c r="A46" s="54"/>
      <c r="H46" s="54"/>
      <c r="BJ46" s="58"/>
    </row>
    <row r="47" spans="1:62" s="53" customFormat="true" ht="20.25" customHeight="true">
      <c r="A47" s="54"/>
      <c r="H47" s="54"/>
      <c r="BJ47" s="58"/>
    </row>
    <row r="48" spans="1:62" s="53" customFormat="true" ht="20.25" customHeight="true">
      <c r="A48" s="54"/>
      <c r="H48" s="54"/>
      <c r="BJ48" s="58"/>
    </row>
    <row r="49" spans="1:62" s="53" customFormat="true" ht="20.25" customHeight="true">
      <c r="A49" s="54"/>
      <c r="H49" s="54"/>
      <c r="BJ49" s="58"/>
    </row>
    <row r="50" spans="1:62" s="53" customFormat="true" ht="20.25" customHeight="true">
      <c r="A50" s="54"/>
      <c r="H50" s="54"/>
      <c r="BJ50" s="58"/>
    </row>
    <row r="51" spans="1:62" s="53" customFormat="true" ht="20.25" customHeight="true">
      <c r="A51" s="54"/>
      <c r="H51" s="54"/>
      <c r="BJ51" s="58"/>
    </row>
    <row r="52" spans="1:62" s="53" customFormat="true" ht="20.25" customHeight="true">
      <c r="A52" s="54"/>
      <c r="H52" s="54"/>
      <c r="BJ52" s="58"/>
    </row>
    <row r="53" spans="1:62" s="53" customFormat="true" ht="20.25" customHeight="true">
      <c r="A53" s="54"/>
      <c r="H53" s="54"/>
      <c r="BJ53" s="58"/>
    </row>
    <row r="54" spans="1:62" s="53" customFormat="true" ht="20.25" customHeight="true">
      <c r="A54" s="54"/>
      <c r="H54" s="54"/>
      <c r="BJ54" s="58"/>
    </row>
    <row r="55" spans="1:62" s="53" customFormat="true" ht="20.25" customHeight="true">
      <c r="A55" s="54"/>
      <c r="H55" s="54"/>
      <c r="BJ55" s="58"/>
    </row>
    <row r="56" spans="1:62" s="53" customFormat="true" ht="20.25" customHeight="true">
      <c r="A56" s="54"/>
      <c r="H56" s="54"/>
      <c r="BJ56" s="58"/>
    </row>
    <row r="57" spans="1:62" s="53" customFormat="true" ht="20.25" customHeight="true">
      <c r="A57" s="54"/>
      <c r="H57" s="54"/>
      <c r="BJ57" s="58"/>
    </row>
    <row r="58" spans="1:62" s="53" customFormat="true" ht="20.25" customHeight="true">
      <c r="A58" s="54"/>
      <c r="H58" s="54"/>
      <c r="BJ58" s="58"/>
    </row>
    <row r="59" spans="1:62" s="53" customFormat="true" ht="20.25" customHeight="true">
      <c r="A59" s="54"/>
      <c r="H59" s="54"/>
      <c r="BJ59" s="58"/>
    </row>
    <row r="60" spans="1:62" s="53" customFormat="true" ht="20.25" customHeight="true">
      <c r="A60" s="59"/>
      <c r="B60" s="60"/>
      <c r="C60" s="60"/>
      <c r="D60" s="60"/>
      <c r="E60" s="60"/>
      <c r="F60" s="60"/>
      <c r="G60" s="60"/>
      <c r="H60" s="59"/>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1"/>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Y4:BJ4"/>
    <mergeCell ref="A6:G6"/>
    <mergeCell ref="A2:AR2"/>
    <mergeCell ref="AS2:AX2"/>
    <mergeCell ref="AY2:BC2"/>
    <mergeCell ref="BD2:BF2"/>
    <mergeCell ref="BG2:BJ2"/>
    <mergeCell ref="A3:K4"/>
    <mergeCell ref="L3:AR4"/>
    <mergeCell ref="AS3:AX3"/>
    <mergeCell ref="AY3:BJ3"/>
    <mergeCell ref="AS4:AX4"/>
  </mergeCells>
  <phoneticPr fontId="3"/>
  <pageMargins left="0.8661417322834646" right="0.1968503937007874" top="0.3937007874015748" bottom="0.7480314960629921" header="0.5511811023622047" footer="0.5118110236220472"/>
  <pageSetup horizontalDpi="360" r:id="rId1" orientation="portrait" paperSize="9" scale="70" verticalDpi="360"/>
  <headerFooter>
    <oddHeader>&amp;R&amp;P     </oddHeader>
    <oddFooter>&amp;L20250301版</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D6F0B-9319-4269-8018-F3EE1D9D1A1A}">
  <sheetPr codeName="Sheet2">
    <pageSetUpPr fitToPage="1"/>
  </sheetPr>
  <dimension ref="B2:AY348"/>
  <sheetViews>
    <sheetView view="pageBreakPreview" zoomScaleNormal="55" zoomScaleSheetLayoutView="100" workbookViewId="0">
      <pane xSplit="7" ySplit="5" topLeftCell="H6" activePane="bottomRight" state="frozen"/>
      <selection activeCell="A2" sqref="A2"/>
      <selection pane="topRight" activeCell="A2" sqref="A2"/>
      <selection pane="bottomLeft" activeCell="A2" sqref="A2"/>
      <selection pane="bottomRight"/>
    </sheetView>
  </sheetViews>
  <sheetFormatPr defaultColWidth="9" defaultRowHeight="12"/>
  <cols>
    <col min="1" max="1" width="1.625" style="1" customWidth="1"/>
    <col min="2" max="2" width="5.5" style="2" customWidth="1"/>
    <col min="3" max="3" width="14" style="2" customWidth="1"/>
    <col min="4" max="4" width="12.75" style="2" customWidth="1"/>
    <col min="5" max="5" width="30.625" style="1" customWidth="1"/>
    <col min="6" max="6" width="3.625" style="1" customWidth="1"/>
    <col min="7" max="7" width="3.625" style="2" customWidth="1"/>
    <col min="8" max="49" width="10.625" style="2" customWidth="1"/>
    <col min="50" max="50" width="4.625" style="2" customWidth="1"/>
    <col min="51" max="16384" width="9" style="1"/>
  </cols>
  <sheetData>
    <row r="2" spans="2:51" s="4" customFormat="1" ht="15" customHeight="1">
      <c r="B2" s="10" t="s">
        <v>1</v>
      </c>
      <c r="C2" s="9"/>
      <c r="D2" s="9"/>
      <c r="E2" s="92"/>
      <c r="F2" s="93"/>
      <c r="G2" s="23"/>
      <c r="H2" s="8">
        <f>COLUMN()-7</f>
        <v>1</v>
      </c>
      <c r="I2" s="8">
        <f>COLUMN()-7</f>
        <v>2</v>
      </c>
      <c r="J2" s="8">
        <f t="shared" ref="J2:AW2" si="0">COLUMN()-7</f>
        <v>3</v>
      </c>
      <c r="K2" s="8">
        <f t="shared" si="0"/>
        <v>4</v>
      </c>
      <c r="L2" s="8">
        <f t="shared" si="0"/>
        <v>5</v>
      </c>
      <c r="M2" s="8">
        <f t="shared" si="0"/>
        <v>6</v>
      </c>
      <c r="N2" s="8">
        <f t="shared" si="0"/>
        <v>7</v>
      </c>
      <c r="O2" s="8">
        <f t="shared" si="0"/>
        <v>8</v>
      </c>
      <c r="P2" s="8">
        <f t="shared" si="0"/>
        <v>9</v>
      </c>
      <c r="Q2" s="8">
        <f t="shared" si="0"/>
        <v>10</v>
      </c>
      <c r="R2" s="8">
        <f t="shared" si="0"/>
        <v>11</v>
      </c>
      <c r="S2" s="8">
        <f t="shared" si="0"/>
        <v>12</v>
      </c>
      <c r="T2" s="8">
        <f t="shared" si="0"/>
        <v>13</v>
      </c>
      <c r="U2" s="8">
        <f t="shared" si="0"/>
        <v>14</v>
      </c>
      <c r="V2" s="8">
        <f t="shared" si="0"/>
        <v>15</v>
      </c>
      <c r="W2" s="8">
        <f t="shared" si="0"/>
        <v>16</v>
      </c>
      <c r="X2" s="8">
        <f t="shared" si="0"/>
        <v>17</v>
      </c>
      <c r="Y2" s="8">
        <f t="shared" si="0"/>
        <v>18</v>
      </c>
      <c r="Z2" s="8">
        <f t="shared" si="0"/>
        <v>19</v>
      </c>
      <c r="AA2" s="8">
        <f t="shared" si="0"/>
        <v>20</v>
      </c>
      <c r="AB2" s="8">
        <f t="shared" si="0"/>
        <v>21</v>
      </c>
      <c r="AC2" s="8">
        <f t="shared" si="0"/>
        <v>22</v>
      </c>
      <c r="AD2" s="8">
        <f t="shared" si="0"/>
        <v>23</v>
      </c>
      <c r="AE2" s="8">
        <f t="shared" si="0"/>
        <v>24</v>
      </c>
      <c r="AF2" s="8">
        <f t="shared" si="0"/>
        <v>25</v>
      </c>
      <c r="AG2" s="8">
        <f t="shared" si="0"/>
        <v>26</v>
      </c>
      <c r="AH2" s="8">
        <f t="shared" si="0"/>
        <v>27</v>
      </c>
      <c r="AI2" s="8">
        <f t="shared" si="0"/>
        <v>28</v>
      </c>
      <c r="AJ2" s="8">
        <f t="shared" si="0"/>
        <v>29</v>
      </c>
      <c r="AK2" s="8">
        <f t="shared" si="0"/>
        <v>30</v>
      </c>
      <c r="AL2" s="8">
        <f t="shared" si="0"/>
        <v>31</v>
      </c>
      <c r="AM2" s="8">
        <f t="shared" si="0"/>
        <v>32</v>
      </c>
      <c r="AN2" s="8">
        <f t="shared" si="0"/>
        <v>33</v>
      </c>
      <c r="AO2" s="8">
        <f t="shared" si="0"/>
        <v>34</v>
      </c>
      <c r="AP2" s="8">
        <f t="shared" si="0"/>
        <v>35</v>
      </c>
      <c r="AQ2" s="8">
        <f t="shared" si="0"/>
        <v>36</v>
      </c>
      <c r="AR2" s="8">
        <f t="shared" si="0"/>
        <v>37</v>
      </c>
      <c r="AS2" s="8">
        <f t="shared" si="0"/>
        <v>38</v>
      </c>
      <c r="AT2" s="8">
        <f t="shared" si="0"/>
        <v>39</v>
      </c>
      <c r="AU2" s="8">
        <f t="shared" si="0"/>
        <v>40</v>
      </c>
      <c r="AV2" s="8">
        <f t="shared" si="0"/>
        <v>41</v>
      </c>
      <c r="AW2" s="8">
        <f t="shared" si="0"/>
        <v>42</v>
      </c>
      <c r="AX2" s="8"/>
      <c r="AY2" s="1"/>
    </row>
    <row r="3" spans="2:51" s="4" customFormat="1" ht="116.25" customHeight="1">
      <c r="B3" s="7"/>
      <c r="C3" s="94"/>
      <c r="D3" s="95"/>
      <c r="E3" s="96"/>
      <c r="F3" s="97"/>
      <c r="G3" s="6"/>
      <c r="H3" s="16" t="s">
        <v>4</v>
      </c>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7"/>
    </row>
    <row r="4" spans="2:51" s="4" customFormat="1" ht="159.75" customHeight="1">
      <c r="B4" s="98"/>
      <c r="C4" s="100"/>
      <c r="D4" s="21"/>
      <c r="E4" s="102"/>
      <c r="F4" s="103"/>
      <c r="G4" s="90" t="s">
        <v>0</v>
      </c>
      <c r="H4" s="25" t="s">
        <v>9</v>
      </c>
      <c r="I4" s="25" t="s">
        <v>10</v>
      </c>
      <c r="J4" s="25" t="s">
        <v>11</v>
      </c>
      <c r="K4" s="25" t="s">
        <v>12</v>
      </c>
      <c r="L4" s="25" t="s">
        <v>13</v>
      </c>
      <c r="M4" s="25" t="s">
        <v>14</v>
      </c>
      <c r="N4" s="25" t="s">
        <v>15</v>
      </c>
      <c r="O4" s="25" t="s">
        <v>16</v>
      </c>
      <c r="P4" s="25" t="s">
        <v>17</v>
      </c>
      <c r="Q4" s="25" t="s">
        <v>18</v>
      </c>
      <c r="R4" s="25" t="s">
        <v>19</v>
      </c>
      <c r="S4" s="25" t="s">
        <v>20</v>
      </c>
      <c r="T4" s="25" t="s">
        <v>21</v>
      </c>
      <c r="U4" s="26" t="s">
        <v>22</v>
      </c>
      <c r="V4" s="26" t="s">
        <v>23</v>
      </c>
      <c r="W4" s="26" t="s">
        <v>24</v>
      </c>
      <c r="X4" s="26" t="s">
        <v>25</v>
      </c>
      <c r="Y4" s="26" t="s">
        <v>26</v>
      </c>
      <c r="Z4" s="26" t="s">
        <v>27</v>
      </c>
      <c r="AA4" s="26" t="s">
        <v>28</v>
      </c>
      <c r="AB4" s="26" t="s">
        <v>29</v>
      </c>
      <c r="AC4" s="27" t="s">
        <v>404</v>
      </c>
      <c r="AD4" s="27" t="s">
        <v>405</v>
      </c>
      <c r="AE4" s="27" t="s">
        <v>406</v>
      </c>
      <c r="AF4" s="27" t="s">
        <v>407</v>
      </c>
      <c r="AG4" s="27" t="s">
        <v>408</v>
      </c>
      <c r="AH4" s="27" t="s">
        <v>409</v>
      </c>
      <c r="AI4" s="27" t="s">
        <v>410</v>
      </c>
      <c r="AJ4" s="27" t="s">
        <v>411</v>
      </c>
      <c r="AK4" s="27" t="s">
        <v>412</v>
      </c>
      <c r="AL4" s="27" t="s">
        <v>413</v>
      </c>
      <c r="AM4" s="27" t="s">
        <v>414</v>
      </c>
      <c r="AN4" s="27" t="s">
        <v>415</v>
      </c>
      <c r="AO4" s="27" t="s">
        <v>416</v>
      </c>
      <c r="AP4" s="27" t="s">
        <v>417</v>
      </c>
      <c r="AQ4" s="27" t="s">
        <v>418</v>
      </c>
      <c r="AR4" s="27" t="s">
        <v>419</v>
      </c>
      <c r="AS4" s="27" t="s">
        <v>420</v>
      </c>
      <c r="AT4" s="27" t="s">
        <v>421</v>
      </c>
      <c r="AU4" s="27" t="s">
        <v>422</v>
      </c>
      <c r="AV4" s="27" t="s">
        <v>423</v>
      </c>
      <c r="AW4" s="24"/>
      <c r="AX4" s="17"/>
    </row>
    <row r="5" spans="2:51" s="4" customFormat="1" ht="13.5">
      <c r="B5" s="99"/>
      <c r="C5" s="101"/>
      <c r="D5" s="22"/>
      <c r="E5" s="104"/>
      <c r="F5" s="105"/>
      <c r="G5" s="91"/>
      <c r="H5" s="19">
        <f t="shared" ref="H5:AW5" si="1">COUNTA(H6:H348)</f>
        <v>3</v>
      </c>
      <c r="I5" s="20">
        <f t="shared" si="1"/>
        <v>70</v>
      </c>
      <c r="J5" s="20">
        <f t="shared" si="1"/>
        <v>26</v>
      </c>
      <c r="K5" s="20">
        <f t="shared" si="1"/>
        <v>1</v>
      </c>
      <c r="L5" s="20">
        <f t="shared" si="1"/>
        <v>21</v>
      </c>
      <c r="M5" s="20">
        <f t="shared" si="1"/>
        <v>59</v>
      </c>
      <c r="N5" s="20">
        <f t="shared" si="1"/>
        <v>36</v>
      </c>
      <c r="O5" s="20">
        <f t="shared" si="1"/>
        <v>16</v>
      </c>
      <c r="P5" s="20">
        <f t="shared" si="1"/>
        <v>2</v>
      </c>
      <c r="Q5" s="20">
        <f t="shared" si="1"/>
        <v>2</v>
      </c>
      <c r="R5" s="20">
        <f t="shared" si="1"/>
        <v>1</v>
      </c>
      <c r="S5" s="20">
        <f t="shared" si="1"/>
        <v>2</v>
      </c>
      <c r="T5" s="20">
        <f t="shared" si="1"/>
        <v>24</v>
      </c>
      <c r="U5" s="20">
        <f t="shared" si="1"/>
        <v>13</v>
      </c>
      <c r="V5" s="20">
        <f t="shared" si="1"/>
        <v>6</v>
      </c>
      <c r="W5" s="20">
        <f t="shared" si="1"/>
        <v>5</v>
      </c>
      <c r="X5" s="20">
        <f t="shared" si="1"/>
        <v>4</v>
      </c>
      <c r="Y5" s="20">
        <f t="shared" si="1"/>
        <v>2</v>
      </c>
      <c r="Z5" s="20">
        <f t="shared" si="1"/>
        <v>1</v>
      </c>
      <c r="AA5" s="20">
        <f t="shared" si="1"/>
        <v>5</v>
      </c>
      <c r="AB5" s="20">
        <f t="shared" si="1"/>
        <v>3</v>
      </c>
      <c r="AC5" s="20">
        <f t="shared" si="1"/>
        <v>0</v>
      </c>
      <c r="AD5" s="20">
        <f t="shared" ref="AD5:AI5" si="2">COUNTA(AD6:AD348)</f>
        <v>0</v>
      </c>
      <c r="AE5" s="20">
        <f t="shared" si="2"/>
        <v>0</v>
      </c>
      <c r="AF5" s="20">
        <f t="shared" si="2"/>
        <v>0</v>
      </c>
      <c r="AG5" s="20">
        <f t="shared" si="2"/>
        <v>0</v>
      </c>
      <c r="AH5" s="20">
        <f t="shared" si="2"/>
        <v>0</v>
      </c>
      <c r="AI5" s="20">
        <f t="shared" si="2"/>
        <v>0</v>
      </c>
      <c r="AJ5" s="20">
        <f t="shared" ref="AJ5:AQ5" si="3">COUNTA(AJ6:AJ348)</f>
        <v>0</v>
      </c>
      <c r="AK5" s="20">
        <f t="shared" si="3"/>
        <v>0</v>
      </c>
      <c r="AL5" s="20">
        <f t="shared" si="3"/>
        <v>0</v>
      </c>
      <c r="AM5" s="20">
        <f t="shared" si="3"/>
        <v>0</v>
      </c>
      <c r="AN5" s="20">
        <f t="shared" si="3"/>
        <v>0</v>
      </c>
      <c r="AO5" s="20">
        <f t="shared" si="3"/>
        <v>0</v>
      </c>
      <c r="AP5" s="20">
        <f t="shared" si="3"/>
        <v>0</v>
      </c>
      <c r="AQ5" s="20">
        <f t="shared" si="3"/>
        <v>0</v>
      </c>
      <c r="AR5" s="20">
        <f t="shared" si="1"/>
        <v>0</v>
      </c>
      <c r="AS5" s="20">
        <f t="shared" si="1"/>
        <v>0</v>
      </c>
      <c r="AT5" s="20">
        <f t="shared" ref="AT5:AV5" si="4">COUNTA(AT6:AT348)</f>
        <v>0</v>
      </c>
      <c r="AU5" s="20">
        <f t="shared" si="4"/>
        <v>0</v>
      </c>
      <c r="AV5" s="20">
        <f t="shared" si="4"/>
        <v>0</v>
      </c>
      <c r="AW5" s="20">
        <f t="shared" si="1"/>
        <v>0</v>
      </c>
      <c r="AX5" s="5"/>
    </row>
    <row r="6" spans="2:51" ht="30" customHeight="1">
      <c r="B6" s="11">
        <f>ROW()-5</f>
        <v>1</v>
      </c>
      <c r="C6" s="18" t="s">
        <v>45</v>
      </c>
      <c r="D6" s="18" t="s">
        <v>46</v>
      </c>
      <c r="E6" s="12" t="s">
        <v>46</v>
      </c>
      <c r="F6" s="14">
        <f t="shared" ref="F6:F69" si="5">COUNTA(H6:AW6)</f>
        <v>6</v>
      </c>
      <c r="G6" s="15" t="s">
        <v>2</v>
      </c>
      <c r="H6" s="3"/>
      <c r="I6" s="3" t="s">
        <v>3</v>
      </c>
      <c r="J6" s="3"/>
      <c r="K6" s="13" t="s">
        <v>3</v>
      </c>
      <c r="L6" s="13"/>
      <c r="M6" s="3" t="s">
        <v>3</v>
      </c>
      <c r="N6" s="3" t="s">
        <v>3</v>
      </c>
      <c r="O6" s="13"/>
      <c r="P6" s="13"/>
      <c r="Q6" s="13"/>
      <c r="R6" s="13"/>
      <c r="S6" s="13"/>
      <c r="T6" s="3" t="s">
        <v>3</v>
      </c>
      <c r="U6" s="3" t="s">
        <v>3</v>
      </c>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3"/>
    </row>
    <row r="7" spans="2:51" ht="30" customHeight="1">
      <c r="B7" s="11">
        <f>ROW()-5</f>
        <v>2</v>
      </c>
      <c r="C7" s="18" t="s">
        <v>45</v>
      </c>
      <c r="D7" s="18" t="s">
        <v>46</v>
      </c>
      <c r="E7" s="12" t="s">
        <v>47</v>
      </c>
      <c r="F7" s="14">
        <f t="shared" si="5"/>
        <v>3</v>
      </c>
      <c r="G7" s="15" t="s">
        <v>2</v>
      </c>
      <c r="H7" s="3" t="s">
        <v>3</v>
      </c>
      <c r="I7" s="3"/>
      <c r="J7" s="3"/>
      <c r="K7" s="13"/>
      <c r="L7" s="13"/>
      <c r="M7" s="13"/>
      <c r="N7" s="3" t="s">
        <v>3</v>
      </c>
      <c r="O7" s="13"/>
      <c r="P7" s="13"/>
      <c r="Q7" s="13"/>
      <c r="R7" s="13"/>
      <c r="S7" s="13"/>
      <c r="T7" s="3" t="s">
        <v>3</v>
      </c>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3"/>
    </row>
    <row r="8" spans="2:51" ht="30" customHeight="1">
      <c r="B8" s="11">
        <f t="shared" ref="B8:B71" si="6">ROW()-5</f>
        <v>3</v>
      </c>
      <c r="C8" s="18" t="s">
        <v>45</v>
      </c>
      <c r="D8" s="18" t="s">
        <v>46</v>
      </c>
      <c r="E8" s="12" t="s">
        <v>48</v>
      </c>
      <c r="F8" s="14">
        <f t="shared" si="5"/>
        <v>0</v>
      </c>
      <c r="G8" s="15" t="s">
        <v>2</v>
      </c>
      <c r="H8" s="3"/>
      <c r="I8" s="3"/>
      <c r="J8" s="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3"/>
    </row>
    <row r="9" spans="2:51" ht="30" customHeight="1">
      <c r="B9" s="11">
        <f t="shared" si="6"/>
        <v>4</v>
      </c>
      <c r="C9" s="18" t="s">
        <v>45</v>
      </c>
      <c r="D9" s="18" t="s">
        <v>49</v>
      </c>
      <c r="E9" s="12" t="s">
        <v>49</v>
      </c>
      <c r="F9" s="14">
        <f t="shared" si="5"/>
        <v>0</v>
      </c>
      <c r="G9" s="15" t="s">
        <v>2</v>
      </c>
      <c r="H9" s="3"/>
      <c r="I9" s="3"/>
      <c r="J9" s="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3"/>
    </row>
    <row r="10" spans="2:51" ht="30" customHeight="1">
      <c r="B10" s="11">
        <f t="shared" si="6"/>
        <v>5</v>
      </c>
      <c r="C10" s="18" t="s">
        <v>45</v>
      </c>
      <c r="D10" s="18" t="s">
        <v>51</v>
      </c>
      <c r="E10" s="12" t="s">
        <v>50</v>
      </c>
      <c r="F10" s="14">
        <f t="shared" si="5"/>
        <v>3</v>
      </c>
      <c r="G10" s="15" t="s">
        <v>2</v>
      </c>
      <c r="H10" s="3"/>
      <c r="I10" s="3" t="s">
        <v>3</v>
      </c>
      <c r="J10" s="3" t="s">
        <v>3</v>
      </c>
      <c r="K10" s="13"/>
      <c r="L10" s="13"/>
      <c r="M10" s="13"/>
      <c r="N10" s="13"/>
      <c r="O10" s="13"/>
      <c r="P10" s="13"/>
      <c r="Q10" s="13"/>
      <c r="R10" s="13"/>
      <c r="S10" s="13"/>
      <c r="T10" s="3" t="s">
        <v>3</v>
      </c>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3"/>
    </row>
    <row r="11" spans="2:51" ht="30" customHeight="1">
      <c r="B11" s="11">
        <f t="shared" si="6"/>
        <v>6</v>
      </c>
      <c r="C11" s="18" t="s">
        <v>45</v>
      </c>
      <c r="D11" s="18" t="s">
        <v>51</v>
      </c>
      <c r="E11" s="12" t="s">
        <v>51</v>
      </c>
      <c r="F11" s="14">
        <f t="shared" si="5"/>
        <v>0</v>
      </c>
      <c r="G11" s="15" t="s">
        <v>2</v>
      </c>
      <c r="H11" s="3"/>
      <c r="I11" s="3"/>
      <c r="J11" s="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3"/>
    </row>
    <row r="12" spans="2:51" ht="30" customHeight="1">
      <c r="B12" s="11">
        <f t="shared" si="6"/>
        <v>7</v>
      </c>
      <c r="C12" s="18" t="s">
        <v>45</v>
      </c>
      <c r="D12" s="18" t="s">
        <v>52</v>
      </c>
      <c r="E12" s="12" t="s">
        <v>52</v>
      </c>
      <c r="F12" s="14">
        <f t="shared" si="5"/>
        <v>5</v>
      </c>
      <c r="G12" s="15" t="s">
        <v>2</v>
      </c>
      <c r="H12" s="3"/>
      <c r="I12" s="3" t="s">
        <v>3</v>
      </c>
      <c r="J12" s="3"/>
      <c r="K12" s="13"/>
      <c r="L12" s="13"/>
      <c r="M12" s="3" t="s">
        <v>3</v>
      </c>
      <c r="N12" s="3" t="s">
        <v>3</v>
      </c>
      <c r="O12" s="13"/>
      <c r="P12" s="13"/>
      <c r="Q12" s="13"/>
      <c r="R12" s="13"/>
      <c r="S12" s="13"/>
      <c r="T12" s="3" t="s">
        <v>3</v>
      </c>
      <c r="U12" s="3" t="s">
        <v>3</v>
      </c>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3"/>
    </row>
    <row r="13" spans="2:51" ht="30" customHeight="1">
      <c r="B13" s="11">
        <f t="shared" si="6"/>
        <v>8</v>
      </c>
      <c r="C13" s="18" t="s">
        <v>45</v>
      </c>
      <c r="D13" s="18" t="s">
        <v>52</v>
      </c>
      <c r="E13" s="12" t="s">
        <v>53</v>
      </c>
      <c r="F13" s="14">
        <f t="shared" si="5"/>
        <v>3</v>
      </c>
      <c r="G13" s="15" t="s">
        <v>2</v>
      </c>
      <c r="H13" s="3"/>
      <c r="I13" s="3"/>
      <c r="J13" s="3"/>
      <c r="K13" s="13"/>
      <c r="L13" s="13"/>
      <c r="M13" s="13"/>
      <c r="N13" s="3" t="s">
        <v>3</v>
      </c>
      <c r="O13" s="13"/>
      <c r="P13" s="13"/>
      <c r="Q13" s="13"/>
      <c r="R13" s="13"/>
      <c r="S13" s="13"/>
      <c r="T13" s="3" t="s">
        <v>3</v>
      </c>
      <c r="U13" s="13"/>
      <c r="V13" s="13"/>
      <c r="W13" s="13"/>
      <c r="X13" s="3" t="s">
        <v>3</v>
      </c>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3"/>
    </row>
    <row r="14" spans="2:51" ht="30" customHeight="1">
      <c r="B14" s="11">
        <f t="shared" si="6"/>
        <v>9</v>
      </c>
      <c r="C14" s="18" t="s">
        <v>45</v>
      </c>
      <c r="D14" s="18" t="s">
        <v>52</v>
      </c>
      <c r="E14" s="12" t="s">
        <v>54</v>
      </c>
      <c r="F14" s="14">
        <f t="shared" si="5"/>
        <v>0</v>
      </c>
      <c r="G14" s="15" t="s">
        <v>2</v>
      </c>
      <c r="H14" s="3"/>
      <c r="I14" s="3"/>
      <c r="J14" s="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3"/>
    </row>
    <row r="15" spans="2:51" ht="30" customHeight="1">
      <c r="B15" s="11">
        <f t="shared" si="6"/>
        <v>10</v>
      </c>
      <c r="C15" s="18" t="s">
        <v>45</v>
      </c>
      <c r="D15" s="18" t="s">
        <v>55</v>
      </c>
      <c r="E15" s="12" t="s">
        <v>55</v>
      </c>
      <c r="F15" s="14">
        <f t="shared" si="5"/>
        <v>0</v>
      </c>
      <c r="G15" s="15" t="s">
        <v>2</v>
      </c>
      <c r="H15" s="3"/>
      <c r="I15" s="3"/>
      <c r="J15" s="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3"/>
    </row>
    <row r="16" spans="2:51" ht="30" customHeight="1">
      <c r="B16" s="11">
        <f t="shared" si="6"/>
        <v>11</v>
      </c>
      <c r="C16" s="18" t="s">
        <v>45</v>
      </c>
      <c r="D16" s="18" t="s">
        <v>57</v>
      </c>
      <c r="E16" s="12" t="s">
        <v>56</v>
      </c>
      <c r="F16" s="14">
        <f t="shared" si="5"/>
        <v>3</v>
      </c>
      <c r="G16" s="15" t="s">
        <v>2</v>
      </c>
      <c r="H16" s="3"/>
      <c r="I16" s="3" t="s">
        <v>3</v>
      </c>
      <c r="J16" s="3" t="s">
        <v>3</v>
      </c>
      <c r="K16" s="13"/>
      <c r="L16" s="13"/>
      <c r="M16" s="13"/>
      <c r="N16" s="13"/>
      <c r="O16" s="13"/>
      <c r="P16" s="13"/>
      <c r="Q16" s="13"/>
      <c r="R16" s="13"/>
      <c r="S16" s="13"/>
      <c r="T16" s="3" t="s">
        <v>3</v>
      </c>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3"/>
    </row>
    <row r="17" spans="2:50" ht="30" customHeight="1">
      <c r="B17" s="11">
        <f t="shared" si="6"/>
        <v>12</v>
      </c>
      <c r="C17" s="18" t="s">
        <v>45</v>
      </c>
      <c r="D17" s="18" t="s">
        <v>57</v>
      </c>
      <c r="E17" s="12" t="s">
        <v>57</v>
      </c>
      <c r="F17" s="14">
        <f t="shared" si="5"/>
        <v>0</v>
      </c>
      <c r="G17" s="15" t="s">
        <v>2</v>
      </c>
      <c r="H17" s="3"/>
      <c r="I17" s="3"/>
      <c r="J17" s="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3"/>
    </row>
    <row r="18" spans="2:50" ht="30" customHeight="1">
      <c r="B18" s="11">
        <f t="shared" si="6"/>
        <v>13</v>
      </c>
      <c r="C18" s="18" t="s">
        <v>45</v>
      </c>
      <c r="D18" s="18" t="s">
        <v>58</v>
      </c>
      <c r="E18" s="12" t="s">
        <v>393</v>
      </c>
      <c r="F18" s="14">
        <f t="shared" si="5"/>
        <v>6</v>
      </c>
      <c r="G18" s="15" t="s">
        <v>2</v>
      </c>
      <c r="H18" s="3"/>
      <c r="I18" s="3" t="s">
        <v>3</v>
      </c>
      <c r="J18" s="3" t="s">
        <v>3</v>
      </c>
      <c r="K18" s="13"/>
      <c r="L18" s="13"/>
      <c r="M18" s="3" t="s">
        <v>3</v>
      </c>
      <c r="N18" s="3" t="s">
        <v>3</v>
      </c>
      <c r="O18" s="13"/>
      <c r="P18" s="13"/>
      <c r="Q18" s="13"/>
      <c r="R18" s="13"/>
      <c r="S18" s="13"/>
      <c r="T18" s="3" t="s">
        <v>3</v>
      </c>
      <c r="U18" s="3" t="s">
        <v>3</v>
      </c>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3"/>
    </row>
    <row r="19" spans="2:50" ht="30" customHeight="1">
      <c r="B19" s="11">
        <f t="shared" si="6"/>
        <v>14</v>
      </c>
      <c r="C19" s="18" t="s">
        <v>45</v>
      </c>
      <c r="D19" s="18" t="s">
        <v>58</v>
      </c>
      <c r="E19" s="12" t="s">
        <v>394</v>
      </c>
      <c r="F19" s="14">
        <f t="shared" si="5"/>
        <v>0</v>
      </c>
      <c r="G19" s="15" t="s">
        <v>2</v>
      </c>
      <c r="H19" s="3"/>
      <c r="I19" s="3"/>
      <c r="J19" s="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3"/>
    </row>
    <row r="20" spans="2:50" ht="30" customHeight="1">
      <c r="B20" s="11">
        <f t="shared" si="6"/>
        <v>15</v>
      </c>
      <c r="C20" s="18" t="s">
        <v>45</v>
      </c>
      <c r="D20" s="18" t="s">
        <v>59</v>
      </c>
      <c r="E20" s="12" t="s">
        <v>59</v>
      </c>
      <c r="F20" s="14">
        <f t="shared" si="5"/>
        <v>0</v>
      </c>
      <c r="G20" s="15" t="s">
        <v>2</v>
      </c>
      <c r="H20" s="3"/>
      <c r="I20" s="3"/>
      <c r="J20" s="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3"/>
    </row>
    <row r="21" spans="2:50" ht="30" customHeight="1">
      <c r="B21" s="11">
        <f t="shared" si="6"/>
        <v>16</v>
      </c>
      <c r="C21" s="18" t="s">
        <v>45</v>
      </c>
      <c r="D21" s="18" t="s">
        <v>59</v>
      </c>
      <c r="E21" s="12" t="s">
        <v>60</v>
      </c>
      <c r="F21" s="14">
        <f t="shared" si="5"/>
        <v>0</v>
      </c>
      <c r="G21" s="15" t="s">
        <v>2</v>
      </c>
      <c r="H21" s="3"/>
      <c r="I21" s="3"/>
      <c r="J21" s="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3"/>
    </row>
    <row r="22" spans="2:50" ht="30" customHeight="1">
      <c r="B22" s="11">
        <f t="shared" si="6"/>
        <v>17</v>
      </c>
      <c r="C22" s="18" t="s">
        <v>45</v>
      </c>
      <c r="D22" s="18" t="s">
        <v>59</v>
      </c>
      <c r="E22" s="12" t="s">
        <v>61</v>
      </c>
      <c r="F22" s="14">
        <f t="shared" si="5"/>
        <v>0</v>
      </c>
      <c r="G22" s="15" t="s">
        <v>2</v>
      </c>
      <c r="H22" s="3"/>
      <c r="I22" s="3"/>
      <c r="J22" s="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3"/>
    </row>
    <row r="23" spans="2:50" ht="30" customHeight="1">
      <c r="B23" s="11">
        <f t="shared" si="6"/>
        <v>18</v>
      </c>
      <c r="C23" s="18" t="s">
        <v>73</v>
      </c>
      <c r="D23" s="18" t="s">
        <v>62</v>
      </c>
      <c r="E23" s="12" t="s">
        <v>62</v>
      </c>
      <c r="F23" s="14">
        <f t="shared" si="5"/>
        <v>0</v>
      </c>
      <c r="G23" s="15" t="s">
        <v>2</v>
      </c>
      <c r="H23" s="3"/>
      <c r="I23" s="3"/>
      <c r="J23" s="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3"/>
    </row>
    <row r="24" spans="2:50" ht="30" customHeight="1">
      <c r="B24" s="11">
        <f t="shared" si="6"/>
        <v>19</v>
      </c>
      <c r="C24" s="18" t="s">
        <v>73</v>
      </c>
      <c r="D24" s="18" t="s">
        <v>63</v>
      </c>
      <c r="E24" s="12" t="s">
        <v>63</v>
      </c>
      <c r="F24" s="14">
        <f t="shared" si="5"/>
        <v>0</v>
      </c>
      <c r="G24" s="15" t="s">
        <v>2</v>
      </c>
      <c r="H24" s="3"/>
      <c r="I24" s="3"/>
      <c r="J24" s="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3"/>
    </row>
    <row r="25" spans="2:50" ht="30" customHeight="1">
      <c r="B25" s="11">
        <f t="shared" si="6"/>
        <v>20</v>
      </c>
      <c r="C25" s="18" t="s">
        <v>73</v>
      </c>
      <c r="D25" s="18" t="s">
        <v>64</v>
      </c>
      <c r="E25" s="12" t="s">
        <v>64</v>
      </c>
      <c r="F25" s="14">
        <f t="shared" si="5"/>
        <v>0</v>
      </c>
      <c r="G25" s="15" t="s">
        <v>2</v>
      </c>
      <c r="H25" s="3"/>
      <c r="I25" s="3"/>
      <c r="J25" s="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3"/>
    </row>
    <row r="26" spans="2:50" ht="30" customHeight="1">
      <c r="B26" s="11">
        <f t="shared" si="6"/>
        <v>21</v>
      </c>
      <c r="C26" s="18" t="s">
        <v>73</v>
      </c>
      <c r="D26" s="18" t="s">
        <v>65</v>
      </c>
      <c r="E26" s="12" t="s">
        <v>65</v>
      </c>
      <c r="F26" s="14">
        <f t="shared" si="5"/>
        <v>0</v>
      </c>
      <c r="G26" s="15" t="s">
        <v>2</v>
      </c>
      <c r="H26" s="3"/>
      <c r="I26" s="3"/>
      <c r="J26" s="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3"/>
    </row>
    <row r="27" spans="2:50" ht="30" customHeight="1">
      <c r="B27" s="11">
        <f t="shared" si="6"/>
        <v>22</v>
      </c>
      <c r="C27" s="18" t="s">
        <v>73</v>
      </c>
      <c r="D27" s="18" t="s">
        <v>66</v>
      </c>
      <c r="E27" s="12" t="s">
        <v>66</v>
      </c>
      <c r="F27" s="14">
        <f t="shared" si="5"/>
        <v>0</v>
      </c>
      <c r="G27" s="15" t="s">
        <v>2</v>
      </c>
      <c r="H27" s="3"/>
      <c r="I27" s="3"/>
      <c r="J27" s="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3"/>
    </row>
    <row r="28" spans="2:50" ht="30" customHeight="1">
      <c r="B28" s="11">
        <f t="shared" si="6"/>
        <v>23</v>
      </c>
      <c r="C28" s="18" t="s">
        <v>73</v>
      </c>
      <c r="D28" s="18" t="s">
        <v>67</v>
      </c>
      <c r="E28" s="12" t="s">
        <v>67</v>
      </c>
      <c r="F28" s="14">
        <f t="shared" si="5"/>
        <v>0</v>
      </c>
      <c r="G28" s="15" t="s">
        <v>2</v>
      </c>
      <c r="H28" s="3"/>
      <c r="I28" s="3"/>
      <c r="J28" s="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3"/>
    </row>
    <row r="29" spans="2:50" ht="30" customHeight="1">
      <c r="B29" s="11">
        <f t="shared" si="6"/>
        <v>24</v>
      </c>
      <c r="C29" s="18" t="s">
        <v>73</v>
      </c>
      <c r="D29" s="18" t="s">
        <v>68</v>
      </c>
      <c r="E29" s="12" t="s">
        <v>68</v>
      </c>
      <c r="F29" s="14">
        <f t="shared" si="5"/>
        <v>5</v>
      </c>
      <c r="G29" s="15" t="s">
        <v>2</v>
      </c>
      <c r="H29" s="3"/>
      <c r="I29" s="3" t="s">
        <v>3</v>
      </c>
      <c r="J29" s="3"/>
      <c r="K29" s="13"/>
      <c r="L29" s="13"/>
      <c r="M29" s="3" t="s">
        <v>3</v>
      </c>
      <c r="N29" s="3" t="s">
        <v>3</v>
      </c>
      <c r="O29" s="13"/>
      <c r="P29" s="13"/>
      <c r="Q29" s="13"/>
      <c r="R29" s="13"/>
      <c r="S29" s="13"/>
      <c r="T29" s="3" t="s">
        <v>3</v>
      </c>
      <c r="U29" s="3" t="s">
        <v>3</v>
      </c>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3"/>
    </row>
    <row r="30" spans="2:50" ht="30" customHeight="1">
      <c r="B30" s="11">
        <f t="shared" si="6"/>
        <v>25</v>
      </c>
      <c r="C30" s="18" t="s">
        <v>73</v>
      </c>
      <c r="D30" s="18" t="s">
        <v>69</v>
      </c>
      <c r="E30" s="12" t="s">
        <v>69</v>
      </c>
      <c r="F30" s="14">
        <f t="shared" si="5"/>
        <v>2</v>
      </c>
      <c r="G30" s="15" t="s">
        <v>2</v>
      </c>
      <c r="H30" s="3"/>
      <c r="I30" s="3" t="s">
        <v>3</v>
      </c>
      <c r="J30" s="3"/>
      <c r="K30" s="13"/>
      <c r="L30" s="13"/>
      <c r="M30" s="3" t="s">
        <v>3</v>
      </c>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3"/>
    </row>
    <row r="31" spans="2:50" ht="30" customHeight="1">
      <c r="B31" s="11">
        <f t="shared" si="6"/>
        <v>26</v>
      </c>
      <c r="C31" s="18" t="s">
        <v>73</v>
      </c>
      <c r="D31" s="18" t="s">
        <v>70</v>
      </c>
      <c r="E31" s="12" t="s">
        <v>70</v>
      </c>
      <c r="F31" s="14">
        <f t="shared" si="5"/>
        <v>3</v>
      </c>
      <c r="G31" s="15" t="s">
        <v>2</v>
      </c>
      <c r="H31" s="3"/>
      <c r="I31" s="3" t="s">
        <v>3</v>
      </c>
      <c r="J31" s="3"/>
      <c r="K31" s="13"/>
      <c r="L31" s="13"/>
      <c r="M31" s="3" t="s">
        <v>3</v>
      </c>
      <c r="N31" s="13"/>
      <c r="O31" s="13"/>
      <c r="P31" s="13"/>
      <c r="Q31" s="13"/>
      <c r="R31" s="13"/>
      <c r="S31" s="13"/>
      <c r="T31" s="13"/>
      <c r="U31" s="13"/>
      <c r="V31" s="13"/>
      <c r="W31" s="13"/>
      <c r="X31" s="3" t="s">
        <v>3</v>
      </c>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3"/>
    </row>
    <row r="32" spans="2:50" ht="30" customHeight="1">
      <c r="B32" s="11">
        <f t="shared" si="6"/>
        <v>27</v>
      </c>
      <c r="C32" s="18" t="s">
        <v>73</v>
      </c>
      <c r="D32" s="18" t="s">
        <v>71</v>
      </c>
      <c r="E32" s="12" t="s">
        <v>71</v>
      </c>
      <c r="F32" s="14">
        <f t="shared" si="5"/>
        <v>0</v>
      </c>
      <c r="G32" s="15" t="s">
        <v>2</v>
      </c>
      <c r="H32" s="3"/>
      <c r="I32" s="3"/>
      <c r="J32" s="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3"/>
    </row>
    <row r="33" spans="2:50" ht="30" customHeight="1">
      <c r="B33" s="11">
        <f t="shared" si="6"/>
        <v>28</v>
      </c>
      <c r="C33" s="18" t="s">
        <v>73</v>
      </c>
      <c r="D33" s="18" t="s">
        <v>72</v>
      </c>
      <c r="E33" s="12" t="s">
        <v>72</v>
      </c>
      <c r="F33" s="14">
        <f t="shared" si="5"/>
        <v>0</v>
      </c>
      <c r="G33" s="15" t="s">
        <v>2</v>
      </c>
      <c r="H33" s="3"/>
      <c r="I33" s="3"/>
      <c r="J33" s="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3"/>
    </row>
    <row r="34" spans="2:50" ht="30" customHeight="1">
      <c r="B34" s="11">
        <f t="shared" si="6"/>
        <v>29</v>
      </c>
      <c r="C34" s="18" t="s">
        <v>74</v>
      </c>
      <c r="D34" s="18" t="s">
        <v>75</v>
      </c>
      <c r="E34" s="12" t="s">
        <v>75</v>
      </c>
      <c r="F34" s="14">
        <f t="shared" si="5"/>
        <v>0</v>
      </c>
      <c r="G34" s="15" t="s">
        <v>2</v>
      </c>
      <c r="H34" s="3"/>
      <c r="I34" s="3"/>
      <c r="J34" s="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3"/>
    </row>
    <row r="35" spans="2:50" ht="30" customHeight="1">
      <c r="B35" s="11">
        <f t="shared" si="6"/>
        <v>30</v>
      </c>
      <c r="C35" s="18" t="s">
        <v>108</v>
      </c>
      <c r="D35" s="18" t="s">
        <v>76</v>
      </c>
      <c r="E35" s="12" t="s">
        <v>88</v>
      </c>
      <c r="F35" s="14">
        <f t="shared" si="5"/>
        <v>0</v>
      </c>
      <c r="G35" s="15" t="s">
        <v>2</v>
      </c>
      <c r="H35" s="3"/>
      <c r="I35" s="3"/>
      <c r="J35" s="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3"/>
    </row>
    <row r="36" spans="2:50" ht="30" customHeight="1">
      <c r="B36" s="11">
        <f t="shared" si="6"/>
        <v>31</v>
      </c>
      <c r="C36" s="18" t="s">
        <v>108</v>
      </c>
      <c r="D36" s="18" t="s">
        <v>77</v>
      </c>
      <c r="E36" s="12" t="s">
        <v>89</v>
      </c>
      <c r="F36" s="14">
        <f t="shared" si="5"/>
        <v>5</v>
      </c>
      <c r="G36" s="15" t="s">
        <v>2</v>
      </c>
      <c r="H36" s="3"/>
      <c r="I36" s="3" t="s">
        <v>3</v>
      </c>
      <c r="J36" s="3" t="s">
        <v>3</v>
      </c>
      <c r="K36" s="13"/>
      <c r="L36" s="3" t="s">
        <v>3</v>
      </c>
      <c r="M36" s="3" t="s">
        <v>3</v>
      </c>
      <c r="N36" s="3" t="s">
        <v>3</v>
      </c>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3"/>
    </row>
    <row r="37" spans="2:50" ht="30" customHeight="1">
      <c r="B37" s="11">
        <f t="shared" si="6"/>
        <v>32</v>
      </c>
      <c r="C37" s="18" t="s">
        <v>108</v>
      </c>
      <c r="D37" s="18" t="s">
        <v>77</v>
      </c>
      <c r="E37" s="12" t="s">
        <v>90</v>
      </c>
      <c r="F37" s="14">
        <f t="shared" si="5"/>
        <v>2</v>
      </c>
      <c r="G37" s="15" t="s">
        <v>2</v>
      </c>
      <c r="H37" s="3"/>
      <c r="I37" s="3" t="s">
        <v>3</v>
      </c>
      <c r="J37" s="3"/>
      <c r="K37" s="13"/>
      <c r="L37" s="13"/>
      <c r="M37" s="13"/>
      <c r="N37" s="3" t="s">
        <v>3</v>
      </c>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3"/>
    </row>
    <row r="38" spans="2:50" ht="30" customHeight="1">
      <c r="B38" s="11">
        <f t="shared" si="6"/>
        <v>33</v>
      </c>
      <c r="C38" s="18" t="s">
        <v>108</v>
      </c>
      <c r="D38" s="18" t="s">
        <v>77</v>
      </c>
      <c r="E38" s="12" t="s">
        <v>91</v>
      </c>
      <c r="F38" s="14">
        <f t="shared" si="5"/>
        <v>0</v>
      </c>
      <c r="G38" s="15" t="s">
        <v>2</v>
      </c>
      <c r="H38" s="3"/>
      <c r="I38" s="3"/>
      <c r="J38" s="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3"/>
    </row>
    <row r="39" spans="2:50" ht="30" customHeight="1">
      <c r="B39" s="11">
        <f t="shared" si="6"/>
        <v>34</v>
      </c>
      <c r="C39" s="18" t="s">
        <v>108</v>
      </c>
      <c r="D39" s="18" t="s">
        <v>77</v>
      </c>
      <c r="E39" s="12" t="s">
        <v>92</v>
      </c>
      <c r="F39" s="14">
        <f t="shared" si="5"/>
        <v>0</v>
      </c>
      <c r="G39" s="15" t="s">
        <v>2</v>
      </c>
      <c r="H39" s="3"/>
      <c r="I39" s="3"/>
      <c r="J39" s="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3"/>
    </row>
    <row r="40" spans="2:50" ht="30" customHeight="1">
      <c r="B40" s="11">
        <f t="shared" si="6"/>
        <v>35</v>
      </c>
      <c r="C40" s="18" t="s">
        <v>108</v>
      </c>
      <c r="D40" s="18" t="s">
        <v>77</v>
      </c>
      <c r="E40" s="12" t="s">
        <v>93</v>
      </c>
      <c r="F40" s="14">
        <f t="shared" si="5"/>
        <v>0</v>
      </c>
      <c r="G40" s="15" t="s">
        <v>2</v>
      </c>
      <c r="H40" s="3"/>
      <c r="I40" s="3"/>
      <c r="J40" s="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3"/>
    </row>
    <row r="41" spans="2:50" ht="30" customHeight="1">
      <c r="B41" s="11">
        <f t="shared" si="6"/>
        <v>36</v>
      </c>
      <c r="C41" s="18" t="s">
        <v>108</v>
      </c>
      <c r="D41" s="18" t="s">
        <v>77</v>
      </c>
      <c r="E41" s="12" t="s">
        <v>94</v>
      </c>
      <c r="F41" s="14">
        <f t="shared" si="5"/>
        <v>0</v>
      </c>
      <c r="G41" s="15" t="s">
        <v>2</v>
      </c>
      <c r="H41" s="3"/>
      <c r="I41" s="3"/>
      <c r="J41" s="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3"/>
    </row>
    <row r="42" spans="2:50" ht="30" customHeight="1">
      <c r="B42" s="11">
        <f t="shared" si="6"/>
        <v>37</v>
      </c>
      <c r="C42" s="18" t="s">
        <v>108</v>
      </c>
      <c r="D42" s="18" t="s">
        <v>78</v>
      </c>
      <c r="E42" s="12" t="s">
        <v>78</v>
      </c>
      <c r="F42" s="14">
        <f t="shared" si="5"/>
        <v>0</v>
      </c>
      <c r="G42" s="15" t="s">
        <v>2</v>
      </c>
      <c r="H42" s="3"/>
      <c r="I42" s="3"/>
      <c r="J42" s="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3"/>
    </row>
    <row r="43" spans="2:50" ht="30" customHeight="1">
      <c r="B43" s="11">
        <f t="shared" si="6"/>
        <v>38</v>
      </c>
      <c r="C43" s="18" t="s">
        <v>108</v>
      </c>
      <c r="D43" s="18" t="s">
        <v>79</v>
      </c>
      <c r="E43" s="12" t="s">
        <v>95</v>
      </c>
      <c r="F43" s="14">
        <f t="shared" si="5"/>
        <v>5</v>
      </c>
      <c r="G43" s="15" t="s">
        <v>2</v>
      </c>
      <c r="H43" s="3"/>
      <c r="I43" s="3" t="s">
        <v>3</v>
      </c>
      <c r="J43" s="3"/>
      <c r="K43" s="13"/>
      <c r="L43" s="3" t="s">
        <v>3</v>
      </c>
      <c r="M43" s="3" t="s">
        <v>3</v>
      </c>
      <c r="N43" s="3" t="s">
        <v>3</v>
      </c>
      <c r="O43" s="13"/>
      <c r="P43" s="13"/>
      <c r="Q43" s="13"/>
      <c r="R43" s="13"/>
      <c r="S43" s="13"/>
      <c r="T43" s="3" t="s">
        <v>3</v>
      </c>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3"/>
    </row>
    <row r="44" spans="2:50" ht="30" customHeight="1">
      <c r="B44" s="11">
        <f t="shared" si="6"/>
        <v>39</v>
      </c>
      <c r="C44" s="18" t="s">
        <v>108</v>
      </c>
      <c r="D44" s="18" t="s">
        <v>80</v>
      </c>
      <c r="E44" s="12" t="s">
        <v>96</v>
      </c>
      <c r="F44" s="14">
        <f t="shared" si="5"/>
        <v>0</v>
      </c>
      <c r="G44" s="15" t="s">
        <v>2</v>
      </c>
      <c r="H44" s="3"/>
      <c r="I44" s="3"/>
      <c r="J44" s="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3"/>
    </row>
    <row r="45" spans="2:50" ht="30" customHeight="1">
      <c r="B45" s="11">
        <f t="shared" si="6"/>
        <v>40</v>
      </c>
      <c r="C45" s="18" t="s">
        <v>108</v>
      </c>
      <c r="D45" s="18" t="s">
        <v>81</v>
      </c>
      <c r="E45" s="12" t="s">
        <v>97</v>
      </c>
      <c r="F45" s="14">
        <f t="shared" si="5"/>
        <v>0</v>
      </c>
      <c r="G45" s="15" t="s">
        <v>2</v>
      </c>
      <c r="H45" s="3"/>
      <c r="I45" s="3"/>
      <c r="J45" s="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3"/>
    </row>
    <row r="46" spans="2:50" ht="30" customHeight="1">
      <c r="B46" s="11">
        <f t="shared" si="6"/>
        <v>41</v>
      </c>
      <c r="C46" s="18" t="s">
        <v>108</v>
      </c>
      <c r="D46" s="18" t="s">
        <v>82</v>
      </c>
      <c r="E46" s="12" t="s">
        <v>98</v>
      </c>
      <c r="F46" s="14">
        <f t="shared" si="5"/>
        <v>1</v>
      </c>
      <c r="G46" s="15" t="s">
        <v>2</v>
      </c>
      <c r="H46" s="3"/>
      <c r="I46" s="3"/>
      <c r="J46" s="3"/>
      <c r="K46" s="13"/>
      <c r="L46" s="13"/>
      <c r="M46" s="13"/>
      <c r="N46" s="3" t="s">
        <v>3</v>
      </c>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3"/>
    </row>
    <row r="47" spans="2:50" ht="30" customHeight="1">
      <c r="B47" s="11">
        <f t="shared" si="6"/>
        <v>42</v>
      </c>
      <c r="C47" s="18" t="s">
        <v>108</v>
      </c>
      <c r="D47" s="18" t="s">
        <v>83</v>
      </c>
      <c r="E47" s="12" t="s">
        <v>99</v>
      </c>
      <c r="F47" s="14">
        <f t="shared" si="5"/>
        <v>0</v>
      </c>
      <c r="G47" s="15" t="s">
        <v>2</v>
      </c>
      <c r="H47" s="3"/>
      <c r="I47" s="3"/>
      <c r="J47" s="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3"/>
    </row>
    <row r="48" spans="2:50" ht="30" customHeight="1">
      <c r="B48" s="11">
        <f t="shared" si="6"/>
        <v>43</v>
      </c>
      <c r="C48" s="18" t="s">
        <v>108</v>
      </c>
      <c r="D48" s="18" t="s">
        <v>83</v>
      </c>
      <c r="E48" s="12" t="s">
        <v>100</v>
      </c>
      <c r="F48" s="14">
        <f t="shared" si="5"/>
        <v>0</v>
      </c>
      <c r="G48" s="15" t="s">
        <v>2</v>
      </c>
      <c r="H48" s="3"/>
      <c r="I48" s="3"/>
      <c r="J48" s="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3"/>
    </row>
    <row r="49" spans="2:50" ht="30" customHeight="1">
      <c r="B49" s="11">
        <f t="shared" si="6"/>
        <v>44</v>
      </c>
      <c r="C49" s="18" t="s">
        <v>108</v>
      </c>
      <c r="D49" s="18" t="s">
        <v>84</v>
      </c>
      <c r="E49" s="12" t="s">
        <v>101</v>
      </c>
      <c r="F49" s="14">
        <f t="shared" si="5"/>
        <v>1</v>
      </c>
      <c r="G49" s="15" t="s">
        <v>2</v>
      </c>
      <c r="H49" s="3"/>
      <c r="I49" s="3"/>
      <c r="J49" s="3"/>
      <c r="K49" s="13"/>
      <c r="L49" s="13"/>
      <c r="M49" s="13"/>
      <c r="N49" s="3" t="s">
        <v>3</v>
      </c>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3"/>
    </row>
    <row r="50" spans="2:50" ht="30" customHeight="1">
      <c r="B50" s="11">
        <f t="shared" si="6"/>
        <v>45</v>
      </c>
      <c r="C50" s="18" t="s">
        <v>108</v>
      </c>
      <c r="D50" s="18" t="s">
        <v>84</v>
      </c>
      <c r="E50" s="12" t="s">
        <v>102</v>
      </c>
      <c r="F50" s="14">
        <f t="shared" si="5"/>
        <v>0</v>
      </c>
      <c r="G50" s="15" t="s">
        <v>2</v>
      </c>
      <c r="H50" s="3"/>
      <c r="I50" s="3"/>
      <c r="J50" s="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3"/>
    </row>
    <row r="51" spans="2:50" ht="30" customHeight="1">
      <c r="B51" s="11">
        <f t="shared" si="6"/>
        <v>46</v>
      </c>
      <c r="C51" s="18" t="s">
        <v>108</v>
      </c>
      <c r="D51" s="18" t="s">
        <v>85</v>
      </c>
      <c r="E51" s="12" t="s">
        <v>103</v>
      </c>
      <c r="F51" s="14">
        <f t="shared" si="5"/>
        <v>3</v>
      </c>
      <c r="G51" s="15" t="s">
        <v>2</v>
      </c>
      <c r="H51" s="3"/>
      <c r="I51" s="3" t="s">
        <v>3</v>
      </c>
      <c r="J51" s="3"/>
      <c r="K51" s="13"/>
      <c r="L51" s="13"/>
      <c r="M51" s="3" t="s">
        <v>3</v>
      </c>
      <c r="N51" s="3" t="s">
        <v>3</v>
      </c>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3"/>
    </row>
    <row r="52" spans="2:50" ht="30" customHeight="1">
      <c r="B52" s="11">
        <f t="shared" si="6"/>
        <v>47</v>
      </c>
      <c r="C52" s="18" t="s">
        <v>108</v>
      </c>
      <c r="D52" s="18" t="s">
        <v>85</v>
      </c>
      <c r="E52" s="12" t="s">
        <v>104</v>
      </c>
      <c r="F52" s="14">
        <f t="shared" si="5"/>
        <v>0</v>
      </c>
      <c r="G52" s="15" t="s">
        <v>2</v>
      </c>
      <c r="H52" s="3"/>
      <c r="I52" s="3"/>
      <c r="J52" s="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3"/>
    </row>
    <row r="53" spans="2:50" ht="30" customHeight="1">
      <c r="B53" s="11">
        <f t="shared" si="6"/>
        <v>48</v>
      </c>
      <c r="C53" s="18" t="s">
        <v>108</v>
      </c>
      <c r="D53" s="18" t="s">
        <v>86</v>
      </c>
      <c r="E53" s="12" t="s">
        <v>105</v>
      </c>
      <c r="F53" s="14">
        <f t="shared" si="5"/>
        <v>0</v>
      </c>
      <c r="G53" s="15" t="s">
        <v>2</v>
      </c>
      <c r="H53" s="3"/>
      <c r="I53" s="3"/>
      <c r="J53" s="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3"/>
    </row>
    <row r="54" spans="2:50" ht="30" customHeight="1">
      <c r="B54" s="11">
        <f t="shared" si="6"/>
        <v>49</v>
      </c>
      <c r="C54" s="18" t="s">
        <v>108</v>
      </c>
      <c r="D54" s="18" t="s">
        <v>87</v>
      </c>
      <c r="E54" s="12" t="s">
        <v>106</v>
      </c>
      <c r="F54" s="14">
        <f t="shared" si="5"/>
        <v>0</v>
      </c>
      <c r="G54" s="15" t="s">
        <v>2</v>
      </c>
      <c r="H54" s="3"/>
      <c r="I54" s="3"/>
      <c r="J54" s="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3"/>
    </row>
    <row r="55" spans="2:50" ht="30" customHeight="1">
      <c r="B55" s="11">
        <f t="shared" si="6"/>
        <v>50</v>
      </c>
      <c r="C55" s="18" t="s">
        <v>108</v>
      </c>
      <c r="D55" s="18" t="s">
        <v>87</v>
      </c>
      <c r="E55" s="12" t="s">
        <v>107</v>
      </c>
      <c r="F55" s="14">
        <f t="shared" si="5"/>
        <v>0</v>
      </c>
      <c r="G55" s="15" t="s">
        <v>2</v>
      </c>
      <c r="H55" s="3"/>
      <c r="I55" s="3"/>
      <c r="J55" s="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3"/>
    </row>
    <row r="56" spans="2:50" ht="30" customHeight="1">
      <c r="B56" s="11">
        <f t="shared" si="6"/>
        <v>51</v>
      </c>
      <c r="C56" s="18" t="s">
        <v>109</v>
      </c>
      <c r="D56" s="18" t="s">
        <v>110</v>
      </c>
      <c r="E56" s="12" t="s">
        <v>110</v>
      </c>
      <c r="F56" s="14">
        <f t="shared" si="5"/>
        <v>0</v>
      </c>
      <c r="G56" s="15" t="s">
        <v>2</v>
      </c>
      <c r="H56" s="3"/>
      <c r="I56" s="3"/>
      <c r="J56" s="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3"/>
    </row>
    <row r="57" spans="2:50" ht="30" customHeight="1">
      <c r="B57" s="11">
        <f t="shared" si="6"/>
        <v>52</v>
      </c>
      <c r="C57" s="18" t="s">
        <v>109</v>
      </c>
      <c r="D57" s="18" t="s">
        <v>111</v>
      </c>
      <c r="E57" s="12" t="s">
        <v>111</v>
      </c>
      <c r="F57" s="14">
        <f t="shared" si="5"/>
        <v>1</v>
      </c>
      <c r="G57" s="15" t="s">
        <v>2</v>
      </c>
      <c r="H57" s="3"/>
      <c r="I57" s="3"/>
      <c r="J57" s="3"/>
      <c r="K57" s="13"/>
      <c r="L57" s="13"/>
      <c r="M57" s="13"/>
      <c r="N57" s="3" t="s">
        <v>3</v>
      </c>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3"/>
    </row>
    <row r="58" spans="2:50" ht="30" customHeight="1">
      <c r="B58" s="11">
        <f t="shared" si="6"/>
        <v>53</v>
      </c>
      <c r="C58" s="18" t="s">
        <v>109</v>
      </c>
      <c r="D58" s="18" t="s">
        <v>112</v>
      </c>
      <c r="E58" s="12" t="s">
        <v>112</v>
      </c>
      <c r="F58" s="14">
        <f t="shared" si="5"/>
        <v>0</v>
      </c>
      <c r="G58" s="15" t="s">
        <v>2</v>
      </c>
      <c r="H58" s="3"/>
      <c r="I58" s="3"/>
      <c r="J58" s="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3"/>
    </row>
    <row r="59" spans="2:50" ht="30" customHeight="1">
      <c r="B59" s="11">
        <f t="shared" si="6"/>
        <v>54</v>
      </c>
      <c r="C59" s="18" t="s">
        <v>109</v>
      </c>
      <c r="D59" s="18" t="s">
        <v>113</v>
      </c>
      <c r="E59" s="12" t="s">
        <v>118</v>
      </c>
      <c r="F59" s="14">
        <f t="shared" si="5"/>
        <v>5</v>
      </c>
      <c r="G59" s="15" t="s">
        <v>2</v>
      </c>
      <c r="H59" s="3"/>
      <c r="I59" s="3" t="s">
        <v>3</v>
      </c>
      <c r="J59" s="3" t="s">
        <v>3</v>
      </c>
      <c r="K59" s="13"/>
      <c r="L59" s="3" t="s">
        <v>3</v>
      </c>
      <c r="M59" s="3" t="s">
        <v>3</v>
      </c>
      <c r="N59" s="3" t="s">
        <v>3</v>
      </c>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3"/>
    </row>
    <row r="60" spans="2:50" ht="30" customHeight="1">
      <c r="B60" s="11">
        <f t="shared" si="6"/>
        <v>55</v>
      </c>
      <c r="C60" s="18" t="s">
        <v>109</v>
      </c>
      <c r="D60" s="18" t="s">
        <v>113</v>
      </c>
      <c r="E60" s="12" t="s">
        <v>119</v>
      </c>
      <c r="F60" s="14">
        <f t="shared" si="5"/>
        <v>5</v>
      </c>
      <c r="G60" s="15" t="s">
        <v>2</v>
      </c>
      <c r="H60" s="3"/>
      <c r="I60" s="3" t="s">
        <v>3</v>
      </c>
      <c r="J60" s="3" t="s">
        <v>3</v>
      </c>
      <c r="K60" s="13"/>
      <c r="L60" s="3" t="s">
        <v>3</v>
      </c>
      <c r="M60" s="3" t="s">
        <v>3</v>
      </c>
      <c r="N60" s="3" t="s">
        <v>3</v>
      </c>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3"/>
    </row>
    <row r="61" spans="2:50" ht="30" customHeight="1">
      <c r="B61" s="11">
        <f t="shared" si="6"/>
        <v>56</v>
      </c>
      <c r="C61" s="18" t="s">
        <v>109</v>
      </c>
      <c r="D61" s="18" t="s">
        <v>113</v>
      </c>
      <c r="E61" s="12" t="s">
        <v>120</v>
      </c>
      <c r="F61" s="14">
        <f t="shared" si="5"/>
        <v>0</v>
      </c>
      <c r="G61" s="15" t="s">
        <v>2</v>
      </c>
      <c r="H61" s="3"/>
      <c r="I61" s="3"/>
      <c r="J61" s="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3"/>
    </row>
    <row r="62" spans="2:50" ht="30" customHeight="1">
      <c r="B62" s="11">
        <f t="shared" si="6"/>
        <v>57</v>
      </c>
      <c r="C62" s="18" t="s">
        <v>109</v>
      </c>
      <c r="D62" s="18" t="s">
        <v>113</v>
      </c>
      <c r="E62" s="12" t="s">
        <v>121</v>
      </c>
      <c r="F62" s="14">
        <f t="shared" si="5"/>
        <v>0</v>
      </c>
      <c r="G62" s="15" t="s">
        <v>2</v>
      </c>
      <c r="H62" s="3"/>
      <c r="I62" s="3"/>
      <c r="J62" s="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3"/>
    </row>
    <row r="63" spans="2:50" ht="30" customHeight="1">
      <c r="B63" s="11">
        <f t="shared" si="6"/>
        <v>58</v>
      </c>
      <c r="C63" s="18" t="s">
        <v>109</v>
      </c>
      <c r="D63" s="18" t="s">
        <v>114</v>
      </c>
      <c r="E63" s="12" t="s">
        <v>122</v>
      </c>
      <c r="F63" s="14">
        <f t="shared" si="5"/>
        <v>2</v>
      </c>
      <c r="G63" s="15" t="s">
        <v>2</v>
      </c>
      <c r="H63" s="3"/>
      <c r="I63" s="3" t="s">
        <v>3</v>
      </c>
      <c r="J63" s="3"/>
      <c r="K63" s="13"/>
      <c r="L63" s="13"/>
      <c r="M63" s="13"/>
      <c r="N63" s="3" t="s">
        <v>3</v>
      </c>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3"/>
    </row>
    <row r="64" spans="2:50" ht="30" customHeight="1">
      <c r="B64" s="11">
        <f t="shared" si="6"/>
        <v>59</v>
      </c>
      <c r="C64" s="18" t="s">
        <v>109</v>
      </c>
      <c r="D64" s="18" t="s">
        <v>114</v>
      </c>
      <c r="E64" s="12" t="s">
        <v>114</v>
      </c>
      <c r="F64" s="14">
        <f t="shared" si="5"/>
        <v>2</v>
      </c>
      <c r="G64" s="15" t="s">
        <v>2</v>
      </c>
      <c r="H64" s="3"/>
      <c r="I64" s="3" t="s">
        <v>3</v>
      </c>
      <c r="J64" s="3"/>
      <c r="K64" s="13"/>
      <c r="L64" s="13"/>
      <c r="M64" s="13"/>
      <c r="N64" s="3" t="s">
        <v>3</v>
      </c>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3"/>
    </row>
    <row r="65" spans="2:50" ht="30" customHeight="1">
      <c r="B65" s="11">
        <f t="shared" si="6"/>
        <v>60</v>
      </c>
      <c r="C65" s="18" t="s">
        <v>109</v>
      </c>
      <c r="D65" s="18" t="s">
        <v>114</v>
      </c>
      <c r="E65" s="12" t="s">
        <v>123</v>
      </c>
      <c r="F65" s="14">
        <f t="shared" si="5"/>
        <v>0</v>
      </c>
      <c r="G65" s="15" t="s">
        <v>2</v>
      </c>
      <c r="H65" s="3"/>
      <c r="I65" s="3"/>
      <c r="J65" s="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3"/>
    </row>
    <row r="66" spans="2:50" ht="30" customHeight="1">
      <c r="B66" s="11">
        <f t="shared" si="6"/>
        <v>61</v>
      </c>
      <c r="C66" s="18" t="s">
        <v>109</v>
      </c>
      <c r="D66" s="18" t="s">
        <v>115</v>
      </c>
      <c r="E66" s="12" t="s">
        <v>124</v>
      </c>
      <c r="F66" s="14">
        <f t="shared" si="5"/>
        <v>4</v>
      </c>
      <c r="G66" s="15" t="s">
        <v>2</v>
      </c>
      <c r="H66" s="3"/>
      <c r="I66" s="3" t="s">
        <v>3</v>
      </c>
      <c r="J66" s="3"/>
      <c r="K66" s="13"/>
      <c r="L66" s="3" t="s">
        <v>3</v>
      </c>
      <c r="M66" s="3" t="s">
        <v>3</v>
      </c>
      <c r="N66" s="3" t="s">
        <v>3</v>
      </c>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3"/>
    </row>
    <row r="67" spans="2:50" ht="30" customHeight="1">
      <c r="B67" s="11">
        <f t="shared" si="6"/>
        <v>62</v>
      </c>
      <c r="C67" s="18" t="s">
        <v>109</v>
      </c>
      <c r="D67" s="18" t="s">
        <v>116</v>
      </c>
      <c r="E67" s="12" t="s">
        <v>125</v>
      </c>
      <c r="F67" s="14">
        <f t="shared" si="5"/>
        <v>5</v>
      </c>
      <c r="G67" s="15" t="s">
        <v>2</v>
      </c>
      <c r="H67" s="3"/>
      <c r="I67" s="3" t="s">
        <v>3</v>
      </c>
      <c r="J67" s="3" t="s">
        <v>3</v>
      </c>
      <c r="K67" s="13"/>
      <c r="L67" s="3" t="s">
        <v>3</v>
      </c>
      <c r="M67" s="3" t="s">
        <v>3</v>
      </c>
      <c r="N67" s="3" t="s">
        <v>3</v>
      </c>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3"/>
    </row>
    <row r="68" spans="2:50" ht="30" customHeight="1">
      <c r="B68" s="11">
        <f t="shared" si="6"/>
        <v>63</v>
      </c>
      <c r="C68" s="18" t="s">
        <v>109</v>
      </c>
      <c r="D68" s="18" t="s">
        <v>116</v>
      </c>
      <c r="E68" s="12" t="s">
        <v>126</v>
      </c>
      <c r="F68" s="14">
        <f t="shared" si="5"/>
        <v>4</v>
      </c>
      <c r="G68" s="15" t="s">
        <v>2</v>
      </c>
      <c r="H68" s="3"/>
      <c r="I68" s="3" t="s">
        <v>3</v>
      </c>
      <c r="J68" s="3"/>
      <c r="K68" s="13"/>
      <c r="L68" s="3" t="s">
        <v>3</v>
      </c>
      <c r="M68" s="3" t="s">
        <v>3</v>
      </c>
      <c r="N68" s="3" t="s">
        <v>3</v>
      </c>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3"/>
    </row>
    <row r="69" spans="2:50" ht="30" customHeight="1">
      <c r="B69" s="11">
        <f t="shared" si="6"/>
        <v>64</v>
      </c>
      <c r="C69" s="18" t="s">
        <v>109</v>
      </c>
      <c r="D69" s="18" t="s">
        <v>116</v>
      </c>
      <c r="E69" s="12" t="s">
        <v>127</v>
      </c>
      <c r="F69" s="14">
        <f t="shared" si="5"/>
        <v>0</v>
      </c>
      <c r="G69" s="15" t="s">
        <v>2</v>
      </c>
      <c r="H69" s="3"/>
      <c r="I69" s="3"/>
      <c r="J69" s="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3"/>
    </row>
    <row r="70" spans="2:50" ht="30" customHeight="1">
      <c r="B70" s="11">
        <f t="shared" si="6"/>
        <v>65</v>
      </c>
      <c r="C70" s="18" t="s">
        <v>109</v>
      </c>
      <c r="D70" s="18" t="s">
        <v>116</v>
      </c>
      <c r="E70" s="12" t="s">
        <v>128</v>
      </c>
      <c r="F70" s="14">
        <f t="shared" ref="F70:F133" si="7">COUNTA(H70:AW70)</f>
        <v>0</v>
      </c>
      <c r="G70" s="15" t="s">
        <v>2</v>
      </c>
      <c r="H70" s="3"/>
      <c r="I70" s="3"/>
      <c r="J70" s="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3"/>
    </row>
    <row r="71" spans="2:50" ht="30" customHeight="1">
      <c r="B71" s="11">
        <f t="shared" si="6"/>
        <v>66</v>
      </c>
      <c r="C71" s="18" t="s">
        <v>109</v>
      </c>
      <c r="D71" s="18" t="s">
        <v>117</v>
      </c>
      <c r="E71" s="12" t="s">
        <v>129</v>
      </c>
      <c r="F71" s="14">
        <f t="shared" si="7"/>
        <v>5</v>
      </c>
      <c r="G71" s="15" t="s">
        <v>2</v>
      </c>
      <c r="H71" s="3"/>
      <c r="I71" s="3" t="s">
        <v>3</v>
      </c>
      <c r="J71" s="3" t="s">
        <v>3</v>
      </c>
      <c r="K71" s="13"/>
      <c r="L71" s="3" t="s">
        <v>3</v>
      </c>
      <c r="M71" s="3" t="s">
        <v>3</v>
      </c>
      <c r="N71" s="3" t="s">
        <v>3</v>
      </c>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3"/>
    </row>
    <row r="72" spans="2:50" ht="30" customHeight="1">
      <c r="B72" s="11">
        <f t="shared" ref="B72:B135" si="8">ROW()-5</f>
        <v>67</v>
      </c>
      <c r="C72" s="18" t="s">
        <v>109</v>
      </c>
      <c r="D72" s="18" t="s">
        <v>117</v>
      </c>
      <c r="E72" s="12" t="s">
        <v>130</v>
      </c>
      <c r="F72" s="14">
        <f t="shared" si="7"/>
        <v>4</v>
      </c>
      <c r="G72" s="15" t="s">
        <v>2</v>
      </c>
      <c r="H72" s="3"/>
      <c r="I72" s="3" t="s">
        <v>3</v>
      </c>
      <c r="J72" s="3"/>
      <c r="K72" s="13"/>
      <c r="L72" s="3" t="s">
        <v>3</v>
      </c>
      <c r="M72" s="3" t="s">
        <v>3</v>
      </c>
      <c r="N72" s="3" t="s">
        <v>3</v>
      </c>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3"/>
    </row>
    <row r="73" spans="2:50" ht="30" customHeight="1">
      <c r="B73" s="11">
        <f t="shared" si="8"/>
        <v>68</v>
      </c>
      <c r="C73" s="18" t="s">
        <v>109</v>
      </c>
      <c r="D73" s="18" t="s">
        <v>117</v>
      </c>
      <c r="E73" s="12" t="s">
        <v>131</v>
      </c>
      <c r="F73" s="14">
        <f t="shared" si="7"/>
        <v>0</v>
      </c>
      <c r="G73" s="15" t="s">
        <v>2</v>
      </c>
      <c r="H73" s="3"/>
      <c r="I73" s="3"/>
      <c r="J73" s="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3"/>
    </row>
    <row r="74" spans="2:50" ht="30" customHeight="1">
      <c r="B74" s="11">
        <f t="shared" si="8"/>
        <v>69</v>
      </c>
      <c r="C74" s="18" t="s">
        <v>109</v>
      </c>
      <c r="D74" s="18" t="s">
        <v>117</v>
      </c>
      <c r="E74" s="12" t="s">
        <v>132</v>
      </c>
      <c r="F74" s="14">
        <f t="shared" si="7"/>
        <v>0</v>
      </c>
      <c r="G74" s="15" t="s">
        <v>2</v>
      </c>
      <c r="H74" s="3"/>
      <c r="I74" s="3"/>
      <c r="J74" s="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3"/>
    </row>
    <row r="75" spans="2:50" ht="30" customHeight="1">
      <c r="B75" s="11">
        <f t="shared" si="8"/>
        <v>70</v>
      </c>
      <c r="C75" s="18" t="s">
        <v>133</v>
      </c>
      <c r="D75" s="18" t="s">
        <v>134</v>
      </c>
      <c r="E75" s="12" t="s">
        <v>141</v>
      </c>
      <c r="F75" s="14">
        <f t="shared" si="7"/>
        <v>3</v>
      </c>
      <c r="G75" s="15" t="s">
        <v>2</v>
      </c>
      <c r="H75" s="3"/>
      <c r="I75" s="3" t="s">
        <v>3</v>
      </c>
      <c r="J75" s="3"/>
      <c r="K75" s="13"/>
      <c r="L75" s="3" t="s">
        <v>3</v>
      </c>
      <c r="M75" s="3" t="s">
        <v>3</v>
      </c>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3"/>
    </row>
    <row r="76" spans="2:50" ht="30" customHeight="1">
      <c r="B76" s="11">
        <f t="shared" si="8"/>
        <v>71</v>
      </c>
      <c r="C76" s="18" t="s">
        <v>133</v>
      </c>
      <c r="D76" s="18" t="s">
        <v>134</v>
      </c>
      <c r="E76" s="12" t="s">
        <v>142</v>
      </c>
      <c r="F76" s="14">
        <f t="shared" si="7"/>
        <v>0</v>
      </c>
      <c r="G76" s="15" t="s">
        <v>2</v>
      </c>
      <c r="H76" s="3"/>
      <c r="I76" s="3"/>
      <c r="J76" s="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3"/>
    </row>
    <row r="77" spans="2:50" ht="30" customHeight="1">
      <c r="B77" s="11">
        <f t="shared" si="8"/>
        <v>72</v>
      </c>
      <c r="C77" s="18" t="s">
        <v>133</v>
      </c>
      <c r="D77" s="18" t="s">
        <v>134</v>
      </c>
      <c r="E77" s="12" t="s">
        <v>143</v>
      </c>
      <c r="F77" s="14">
        <f t="shared" si="7"/>
        <v>2</v>
      </c>
      <c r="G77" s="15" t="s">
        <v>2</v>
      </c>
      <c r="H77" s="3"/>
      <c r="I77" s="3"/>
      <c r="J77" s="3"/>
      <c r="K77" s="13"/>
      <c r="L77" s="13"/>
      <c r="M77" s="13"/>
      <c r="N77" s="3" t="s">
        <v>3</v>
      </c>
      <c r="O77" s="13"/>
      <c r="P77" s="3" t="s">
        <v>3</v>
      </c>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3"/>
    </row>
    <row r="78" spans="2:50" ht="30" customHeight="1">
      <c r="B78" s="11">
        <f t="shared" si="8"/>
        <v>73</v>
      </c>
      <c r="C78" s="18" t="s">
        <v>133</v>
      </c>
      <c r="D78" s="18" t="s">
        <v>134</v>
      </c>
      <c r="E78" s="12" t="s">
        <v>144</v>
      </c>
      <c r="F78" s="14">
        <f t="shared" si="7"/>
        <v>0</v>
      </c>
      <c r="G78" s="15" t="s">
        <v>2</v>
      </c>
      <c r="H78" s="3"/>
      <c r="I78" s="3"/>
      <c r="J78" s="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3"/>
    </row>
    <row r="79" spans="2:50" ht="30" customHeight="1">
      <c r="B79" s="11">
        <f t="shared" si="8"/>
        <v>74</v>
      </c>
      <c r="C79" s="18" t="s">
        <v>133</v>
      </c>
      <c r="D79" s="18" t="s">
        <v>134</v>
      </c>
      <c r="E79" s="12" t="s">
        <v>145</v>
      </c>
      <c r="F79" s="14">
        <f t="shared" si="7"/>
        <v>0</v>
      </c>
      <c r="G79" s="15" t="s">
        <v>2</v>
      </c>
      <c r="H79" s="3"/>
      <c r="I79" s="3"/>
      <c r="J79" s="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3"/>
    </row>
    <row r="80" spans="2:50" ht="30" customHeight="1">
      <c r="B80" s="11">
        <f t="shared" si="8"/>
        <v>75</v>
      </c>
      <c r="C80" s="18" t="s">
        <v>133</v>
      </c>
      <c r="D80" s="18" t="s">
        <v>135</v>
      </c>
      <c r="E80" s="12" t="s">
        <v>146</v>
      </c>
      <c r="F80" s="14">
        <f t="shared" si="7"/>
        <v>0</v>
      </c>
      <c r="G80" s="15" t="s">
        <v>2</v>
      </c>
      <c r="H80" s="3"/>
      <c r="I80" s="3"/>
      <c r="J80" s="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3"/>
    </row>
    <row r="81" spans="2:50" ht="30" customHeight="1">
      <c r="B81" s="11">
        <f t="shared" si="8"/>
        <v>76</v>
      </c>
      <c r="C81" s="18" t="s">
        <v>133</v>
      </c>
      <c r="D81" s="18" t="s">
        <v>136</v>
      </c>
      <c r="E81" s="12" t="s">
        <v>147</v>
      </c>
      <c r="F81" s="14">
        <f t="shared" si="7"/>
        <v>4</v>
      </c>
      <c r="G81" s="15" t="s">
        <v>2</v>
      </c>
      <c r="H81" s="3"/>
      <c r="I81" s="3" t="s">
        <v>3</v>
      </c>
      <c r="J81" s="3"/>
      <c r="K81" s="13"/>
      <c r="L81" s="3" t="s">
        <v>3</v>
      </c>
      <c r="M81" s="3" t="s">
        <v>3</v>
      </c>
      <c r="N81" s="3" t="s">
        <v>3</v>
      </c>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3"/>
    </row>
    <row r="82" spans="2:50" ht="30" customHeight="1">
      <c r="B82" s="11">
        <f t="shared" si="8"/>
        <v>77</v>
      </c>
      <c r="C82" s="18" t="s">
        <v>133</v>
      </c>
      <c r="D82" s="18" t="s">
        <v>136</v>
      </c>
      <c r="E82" s="12" t="s">
        <v>148</v>
      </c>
      <c r="F82" s="14">
        <f t="shared" si="7"/>
        <v>0</v>
      </c>
      <c r="G82" s="15" t="s">
        <v>2</v>
      </c>
      <c r="H82" s="3"/>
      <c r="I82" s="3"/>
      <c r="J82" s="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3"/>
    </row>
    <row r="83" spans="2:50" ht="30" customHeight="1">
      <c r="B83" s="11">
        <f t="shared" si="8"/>
        <v>78</v>
      </c>
      <c r="C83" s="18" t="s">
        <v>133</v>
      </c>
      <c r="D83" s="18" t="s">
        <v>136</v>
      </c>
      <c r="E83" s="12" t="s">
        <v>149</v>
      </c>
      <c r="F83" s="14">
        <f t="shared" si="7"/>
        <v>0</v>
      </c>
      <c r="G83" s="15" t="s">
        <v>2</v>
      </c>
      <c r="H83" s="3"/>
      <c r="I83" s="3"/>
      <c r="J83" s="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3"/>
    </row>
    <row r="84" spans="2:50" ht="30" customHeight="1">
      <c r="B84" s="11">
        <f t="shared" si="8"/>
        <v>79</v>
      </c>
      <c r="C84" s="18" t="s">
        <v>133</v>
      </c>
      <c r="D84" s="18" t="s">
        <v>136</v>
      </c>
      <c r="E84" s="12" t="s">
        <v>150</v>
      </c>
      <c r="F84" s="14">
        <f t="shared" si="7"/>
        <v>0</v>
      </c>
      <c r="G84" s="15" t="s">
        <v>2</v>
      </c>
      <c r="H84" s="3"/>
      <c r="I84" s="3"/>
      <c r="J84" s="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3"/>
    </row>
    <row r="85" spans="2:50" ht="30" customHeight="1">
      <c r="B85" s="11">
        <f t="shared" si="8"/>
        <v>80</v>
      </c>
      <c r="C85" s="18" t="s">
        <v>133</v>
      </c>
      <c r="D85" s="18" t="s">
        <v>137</v>
      </c>
      <c r="E85" s="12" t="s">
        <v>147</v>
      </c>
      <c r="F85" s="14">
        <f t="shared" si="7"/>
        <v>4</v>
      </c>
      <c r="G85" s="15" t="s">
        <v>2</v>
      </c>
      <c r="H85" s="3"/>
      <c r="I85" s="3" t="s">
        <v>3</v>
      </c>
      <c r="J85" s="3"/>
      <c r="K85" s="13"/>
      <c r="L85" s="3" t="s">
        <v>3</v>
      </c>
      <c r="M85" s="3" t="s">
        <v>3</v>
      </c>
      <c r="N85" s="3" t="s">
        <v>3</v>
      </c>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3"/>
    </row>
    <row r="86" spans="2:50" ht="30" customHeight="1">
      <c r="B86" s="11">
        <f t="shared" si="8"/>
        <v>81</v>
      </c>
      <c r="C86" s="18" t="s">
        <v>133</v>
      </c>
      <c r="D86" s="18" t="s">
        <v>137</v>
      </c>
      <c r="E86" s="12" t="s">
        <v>137</v>
      </c>
      <c r="F86" s="14">
        <f t="shared" si="7"/>
        <v>0</v>
      </c>
      <c r="G86" s="15" t="s">
        <v>2</v>
      </c>
      <c r="H86" s="3"/>
      <c r="I86" s="3"/>
      <c r="J86" s="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3"/>
    </row>
    <row r="87" spans="2:50" ht="30" customHeight="1">
      <c r="B87" s="11">
        <f t="shared" si="8"/>
        <v>82</v>
      </c>
      <c r="C87" s="18" t="s">
        <v>133</v>
      </c>
      <c r="D87" s="18" t="s">
        <v>137</v>
      </c>
      <c r="E87" s="12" t="s">
        <v>151</v>
      </c>
      <c r="F87" s="14">
        <f t="shared" si="7"/>
        <v>0</v>
      </c>
      <c r="G87" s="15" t="s">
        <v>2</v>
      </c>
      <c r="H87" s="3"/>
      <c r="I87" s="3"/>
      <c r="J87" s="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3"/>
    </row>
    <row r="88" spans="2:50" ht="30" customHeight="1">
      <c r="B88" s="11">
        <f t="shared" si="8"/>
        <v>83</v>
      </c>
      <c r="C88" s="18" t="s">
        <v>133</v>
      </c>
      <c r="D88" s="18" t="s">
        <v>137</v>
      </c>
      <c r="E88" s="12" t="s">
        <v>152</v>
      </c>
      <c r="F88" s="14">
        <f t="shared" si="7"/>
        <v>0</v>
      </c>
      <c r="G88" s="15" t="s">
        <v>2</v>
      </c>
      <c r="H88" s="3"/>
      <c r="I88" s="3"/>
      <c r="J88" s="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3"/>
    </row>
    <row r="89" spans="2:50" ht="30" customHeight="1">
      <c r="B89" s="11">
        <f t="shared" si="8"/>
        <v>84</v>
      </c>
      <c r="C89" s="18" t="s">
        <v>133</v>
      </c>
      <c r="D89" s="18" t="s">
        <v>138</v>
      </c>
      <c r="E89" s="12" t="s">
        <v>153</v>
      </c>
      <c r="F89" s="14">
        <f t="shared" si="7"/>
        <v>3</v>
      </c>
      <c r="G89" s="15" t="s">
        <v>2</v>
      </c>
      <c r="H89" s="3"/>
      <c r="I89" s="3" t="s">
        <v>3</v>
      </c>
      <c r="J89" s="3"/>
      <c r="K89" s="13"/>
      <c r="L89" s="3" t="s">
        <v>3</v>
      </c>
      <c r="M89" s="3" t="s">
        <v>3</v>
      </c>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3"/>
    </row>
    <row r="90" spans="2:50" ht="30" customHeight="1">
      <c r="B90" s="11">
        <f t="shared" si="8"/>
        <v>85</v>
      </c>
      <c r="C90" s="18" t="s">
        <v>133</v>
      </c>
      <c r="D90" s="18" t="s">
        <v>138</v>
      </c>
      <c r="E90" s="12" t="s">
        <v>138</v>
      </c>
      <c r="F90" s="14">
        <f t="shared" si="7"/>
        <v>4</v>
      </c>
      <c r="G90" s="15" t="s">
        <v>2</v>
      </c>
      <c r="H90" s="3"/>
      <c r="I90" s="3" t="s">
        <v>3</v>
      </c>
      <c r="J90" s="3"/>
      <c r="K90" s="13"/>
      <c r="L90" s="3" t="s">
        <v>3</v>
      </c>
      <c r="M90" s="3" t="s">
        <v>3</v>
      </c>
      <c r="N90" s="13"/>
      <c r="O90" s="13"/>
      <c r="P90" s="13"/>
      <c r="Q90" s="13"/>
      <c r="R90" s="13"/>
      <c r="S90" s="13"/>
      <c r="T90" s="3" t="s">
        <v>3</v>
      </c>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3"/>
    </row>
    <row r="91" spans="2:50" ht="30" customHeight="1">
      <c r="B91" s="11">
        <f t="shared" si="8"/>
        <v>86</v>
      </c>
      <c r="C91" s="18" t="s">
        <v>133</v>
      </c>
      <c r="D91" s="18" t="s">
        <v>138</v>
      </c>
      <c r="E91" s="12" t="s">
        <v>154</v>
      </c>
      <c r="F91" s="14">
        <f t="shared" si="7"/>
        <v>0</v>
      </c>
      <c r="G91" s="15" t="s">
        <v>2</v>
      </c>
      <c r="H91" s="3"/>
      <c r="I91" s="3"/>
      <c r="J91" s="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3"/>
    </row>
    <row r="92" spans="2:50" ht="30" customHeight="1">
      <c r="B92" s="11">
        <f t="shared" si="8"/>
        <v>87</v>
      </c>
      <c r="C92" s="18" t="s">
        <v>133</v>
      </c>
      <c r="D92" s="18" t="s">
        <v>139</v>
      </c>
      <c r="E92" s="12" t="s">
        <v>155</v>
      </c>
      <c r="F92" s="14">
        <f t="shared" si="7"/>
        <v>0</v>
      </c>
      <c r="G92" s="15" t="s">
        <v>2</v>
      </c>
      <c r="H92" s="3"/>
      <c r="I92" s="3"/>
      <c r="J92" s="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3"/>
    </row>
    <row r="93" spans="2:50" ht="30" customHeight="1">
      <c r="B93" s="11">
        <f t="shared" si="8"/>
        <v>88</v>
      </c>
      <c r="C93" s="18" t="s">
        <v>133</v>
      </c>
      <c r="D93" s="18" t="s">
        <v>140</v>
      </c>
      <c r="E93" s="12" t="s">
        <v>140</v>
      </c>
      <c r="F93" s="14">
        <f t="shared" si="7"/>
        <v>3</v>
      </c>
      <c r="G93" s="15" t="s">
        <v>2</v>
      </c>
      <c r="H93" s="3"/>
      <c r="I93" s="3" t="s">
        <v>3</v>
      </c>
      <c r="J93" s="3"/>
      <c r="K93" s="13"/>
      <c r="L93" s="3" t="s">
        <v>3</v>
      </c>
      <c r="M93" s="3" t="s">
        <v>3</v>
      </c>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3"/>
    </row>
    <row r="94" spans="2:50" ht="30" customHeight="1">
      <c r="B94" s="11">
        <f t="shared" si="8"/>
        <v>89</v>
      </c>
      <c r="C94" s="18" t="s">
        <v>156</v>
      </c>
      <c r="D94" s="18" t="s">
        <v>157</v>
      </c>
      <c r="E94" s="12" t="s">
        <v>173</v>
      </c>
      <c r="F94" s="14">
        <f t="shared" si="7"/>
        <v>3</v>
      </c>
      <c r="G94" s="15" t="s">
        <v>2</v>
      </c>
      <c r="H94" s="3"/>
      <c r="I94" s="3" t="s">
        <v>3</v>
      </c>
      <c r="J94" s="3"/>
      <c r="K94" s="13"/>
      <c r="L94" s="3" t="s">
        <v>3</v>
      </c>
      <c r="M94" s="13"/>
      <c r="N94" s="13"/>
      <c r="O94" s="13"/>
      <c r="P94" s="13"/>
      <c r="Q94" s="3" t="s">
        <v>3</v>
      </c>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3"/>
    </row>
    <row r="95" spans="2:50" ht="30" customHeight="1">
      <c r="B95" s="11">
        <f t="shared" si="8"/>
        <v>90</v>
      </c>
      <c r="C95" s="18" t="s">
        <v>156</v>
      </c>
      <c r="D95" s="18" t="s">
        <v>157</v>
      </c>
      <c r="E95" s="12" t="s">
        <v>174</v>
      </c>
      <c r="F95" s="14">
        <f t="shared" si="7"/>
        <v>2</v>
      </c>
      <c r="G95" s="15" t="s">
        <v>2</v>
      </c>
      <c r="H95" s="3"/>
      <c r="I95" s="3" t="s">
        <v>3</v>
      </c>
      <c r="J95" s="3"/>
      <c r="K95" s="13"/>
      <c r="L95" s="13"/>
      <c r="M95" s="13"/>
      <c r="N95" s="13"/>
      <c r="O95" s="13"/>
      <c r="P95" s="13"/>
      <c r="Q95" s="3" t="s">
        <v>3</v>
      </c>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3"/>
    </row>
    <row r="96" spans="2:50" ht="30" customHeight="1">
      <c r="B96" s="11">
        <f t="shared" si="8"/>
        <v>91</v>
      </c>
      <c r="C96" s="18" t="s">
        <v>156</v>
      </c>
      <c r="D96" s="18" t="s">
        <v>157</v>
      </c>
      <c r="E96" s="12" t="s">
        <v>175</v>
      </c>
      <c r="F96" s="14">
        <f t="shared" si="7"/>
        <v>5</v>
      </c>
      <c r="G96" s="15" t="s">
        <v>2</v>
      </c>
      <c r="H96" s="3"/>
      <c r="I96" s="3"/>
      <c r="J96" s="3"/>
      <c r="K96" s="13"/>
      <c r="L96" s="3" t="s">
        <v>3</v>
      </c>
      <c r="M96" s="3" t="s">
        <v>3</v>
      </c>
      <c r="N96" s="13"/>
      <c r="O96" s="3" t="s">
        <v>392</v>
      </c>
      <c r="P96" s="13"/>
      <c r="Q96" s="13"/>
      <c r="R96" s="13"/>
      <c r="S96" s="13"/>
      <c r="T96" s="13"/>
      <c r="U96" s="13" t="s">
        <v>3</v>
      </c>
      <c r="V96" s="13"/>
      <c r="W96" s="13"/>
      <c r="X96" s="13"/>
      <c r="Y96" s="13"/>
      <c r="Z96" s="13"/>
      <c r="AA96" s="13" t="s">
        <v>3</v>
      </c>
      <c r="AB96" s="13"/>
      <c r="AC96" s="13"/>
      <c r="AD96" s="13"/>
      <c r="AE96" s="13"/>
      <c r="AF96" s="13"/>
      <c r="AG96" s="13"/>
      <c r="AH96" s="13"/>
      <c r="AI96" s="13"/>
      <c r="AJ96" s="13"/>
      <c r="AK96" s="13"/>
      <c r="AL96" s="13"/>
      <c r="AM96" s="13"/>
      <c r="AN96" s="13"/>
      <c r="AO96" s="13"/>
      <c r="AP96" s="13"/>
      <c r="AQ96" s="13"/>
      <c r="AR96" s="13"/>
      <c r="AS96" s="13"/>
      <c r="AT96" s="13"/>
      <c r="AU96" s="13"/>
      <c r="AV96" s="13"/>
      <c r="AW96" s="13"/>
      <c r="AX96" s="3"/>
    </row>
    <row r="97" spans="2:50" ht="30" customHeight="1">
      <c r="B97" s="11">
        <f t="shared" si="8"/>
        <v>92</v>
      </c>
      <c r="C97" s="18" t="s">
        <v>156</v>
      </c>
      <c r="D97" s="18" t="s">
        <v>157</v>
      </c>
      <c r="E97" s="12" t="s">
        <v>176</v>
      </c>
      <c r="F97" s="14">
        <f t="shared" si="7"/>
        <v>0</v>
      </c>
      <c r="G97" s="15" t="s">
        <v>2</v>
      </c>
      <c r="H97" s="3"/>
      <c r="I97" s="3"/>
      <c r="J97" s="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3"/>
    </row>
    <row r="98" spans="2:50" ht="30" customHeight="1">
      <c r="B98" s="11">
        <f t="shared" si="8"/>
        <v>93</v>
      </c>
      <c r="C98" s="18" t="s">
        <v>156</v>
      </c>
      <c r="D98" s="18" t="s">
        <v>158</v>
      </c>
      <c r="E98" s="12" t="s">
        <v>158</v>
      </c>
      <c r="F98" s="14">
        <f t="shared" si="7"/>
        <v>0</v>
      </c>
      <c r="G98" s="15" t="s">
        <v>2</v>
      </c>
      <c r="H98" s="3"/>
      <c r="I98" s="3"/>
      <c r="J98" s="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3"/>
    </row>
    <row r="99" spans="2:50" ht="30" customHeight="1">
      <c r="B99" s="11">
        <f t="shared" si="8"/>
        <v>94</v>
      </c>
      <c r="C99" s="18" t="s">
        <v>156</v>
      </c>
      <c r="D99" s="18" t="s">
        <v>159</v>
      </c>
      <c r="E99" s="12" t="s">
        <v>177</v>
      </c>
      <c r="F99" s="14">
        <f t="shared" si="7"/>
        <v>4</v>
      </c>
      <c r="G99" s="15" t="s">
        <v>2</v>
      </c>
      <c r="H99" s="3"/>
      <c r="I99" s="3" t="s">
        <v>3</v>
      </c>
      <c r="J99" s="3" t="s">
        <v>3</v>
      </c>
      <c r="K99" s="13"/>
      <c r="L99" s="13"/>
      <c r="M99" s="3" t="s">
        <v>3</v>
      </c>
      <c r="N99" s="13"/>
      <c r="O99" s="13"/>
      <c r="P99" s="13"/>
      <c r="Q99" s="13"/>
      <c r="R99" s="13"/>
      <c r="S99" s="13"/>
      <c r="T99" s="3" t="s">
        <v>3</v>
      </c>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3"/>
    </row>
    <row r="100" spans="2:50" ht="30" customHeight="1">
      <c r="B100" s="11">
        <f t="shared" si="8"/>
        <v>95</v>
      </c>
      <c r="C100" s="18" t="s">
        <v>156</v>
      </c>
      <c r="D100" s="18" t="s">
        <v>159</v>
      </c>
      <c r="E100" s="12" t="s">
        <v>159</v>
      </c>
      <c r="F100" s="14">
        <f t="shared" si="7"/>
        <v>5</v>
      </c>
      <c r="G100" s="15" t="s">
        <v>2</v>
      </c>
      <c r="H100" s="3"/>
      <c r="I100" s="3" t="s">
        <v>3</v>
      </c>
      <c r="J100" s="3"/>
      <c r="K100" s="13"/>
      <c r="L100" s="13"/>
      <c r="M100" s="3" t="s">
        <v>3</v>
      </c>
      <c r="N100" s="3" t="s">
        <v>3</v>
      </c>
      <c r="O100" s="13"/>
      <c r="P100" s="13"/>
      <c r="Q100" s="13"/>
      <c r="R100" s="13"/>
      <c r="S100" s="13"/>
      <c r="T100" s="3" t="s">
        <v>3</v>
      </c>
      <c r="U100" s="3" t="s">
        <v>3</v>
      </c>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3"/>
    </row>
    <row r="101" spans="2:50" ht="30" customHeight="1">
      <c r="B101" s="11">
        <f t="shared" si="8"/>
        <v>96</v>
      </c>
      <c r="C101" s="18" t="s">
        <v>156</v>
      </c>
      <c r="D101" s="18" t="s">
        <v>159</v>
      </c>
      <c r="E101" s="12" t="s">
        <v>178</v>
      </c>
      <c r="F101" s="14">
        <f t="shared" si="7"/>
        <v>0</v>
      </c>
      <c r="G101" s="15" t="s">
        <v>2</v>
      </c>
      <c r="H101" s="3"/>
      <c r="I101" s="3"/>
      <c r="J101" s="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3"/>
    </row>
    <row r="102" spans="2:50" ht="30" customHeight="1">
      <c r="B102" s="11">
        <f t="shared" si="8"/>
        <v>97</v>
      </c>
      <c r="C102" s="18" t="s">
        <v>156</v>
      </c>
      <c r="D102" s="18" t="s">
        <v>160</v>
      </c>
      <c r="E102" s="12" t="s">
        <v>160</v>
      </c>
      <c r="F102" s="14">
        <f t="shared" si="7"/>
        <v>0</v>
      </c>
      <c r="G102" s="15" t="s">
        <v>2</v>
      </c>
      <c r="H102" s="3"/>
      <c r="I102" s="3"/>
      <c r="J102" s="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3"/>
    </row>
    <row r="103" spans="2:50" ht="30" customHeight="1">
      <c r="B103" s="11">
        <f t="shared" si="8"/>
        <v>98</v>
      </c>
      <c r="C103" s="18" t="s">
        <v>156</v>
      </c>
      <c r="D103" s="18" t="s">
        <v>161</v>
      </c>
      <c r="E103" s="12" t="s">
        <v>161</v>
      </c>
      <c r="F103" s="14">
        <f t="shared" si="7"/>
        <v>4</v>
      </c>
      <c r="G103" s="15" t="s">
        <v>2</v>
      </c>
      <c r="H103" s="3"/>
      <c r="I103" s="3" t="s">
        <v>3</v>
      </c>
      <c r="J103" s="3" t="s">
        <v>3</v>
      </c>
      <c r="K103" s="13"/>
      <c r="L103" s="13"/>
      <c r="M103" s="3" t="s">
        <v>3</v>
      </c>
      <c r="N103" s="3" t="s">
        <v>3</v>
      </c>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3"/>
    </row>
    <row r="104" spans="2:50" ht="30" customHeight="1">
      <c r="B104" s="11">
        <f t="shared" si="8"/>
        <v>99</v>
      </c>
      <c r="C104" s="18" t="s">
        <v>156</v>
      </c>
      <c r="D104" s="18" t="s">
        <v>161</v>
      </c>
      <c r="E104" s="12" t="s">
        <v>179</v>
      </c>
      <c r="F104" s="14">
        <f t="shared" si="7"/>
        <v>3</v>
      </c>
      <c r="G104" s="15" t="s">
        <v>2</v>
      </c>
      <c r="H104" s="3"/>
      <c r="I104" s="3" t="s">
        <v>3</v>
      </c>
      <c r="J104" s="3"/>
      <c r="K104" s="13"/>
      <c r="L104" s="13"/>
      <c r="M104" s="3" t="s">
        <v>3</v>
      </c>
      <c r="N104" s="3" t="s">
        <v>3</v>
      </c>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3"/>
    </row>
    <row r="105" spans="2:50" ht="30" customHeight="1">
      <c r="B105" s="11">
        <f t="shared" si="8"/>
        <v>100</v>
      </c>
      <c r="C105" s="18" t="s">
        <v>156</v>
      </c>
      <c r="D105" s="18" t="s">
        <v>161</v>
      </c>
      <c r="E105" s="12" t="s">
        <v>180</v>
      </c>
      <c r="F105" s="14">
        <f t="shared" si="7"/>
        <v>0</v>
      </c>
      <c r="G105" s="15" t="s">
        <v>2</v>
      </c>
      <c r="H105" s="3"/>
      <c r="I105" s="3"/>
      <c r="J105" s="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3"/>
    </row>
    <row r="106" spans="2:50" ht="30" customHeight="1">
      <c r="B106" s="11">
        <f t="shared" si="8"/>
        <v>101</v>
      </c>
      <c r="C106" s="18" t="s">
        <v>156</v>
      </c>
      <c r="D106" s="18" t="s">
        <v>161</v>
      </c>
      <c r="E106" s="12" t="s">
        <v>181</v>
      </c>
      <c r="F106" s="14">
        <f t="shared" si="7"/>
        <v>0</v>
      </c>
      <c r="G106" s="15" t="s">
        <v>2</v>
      </c>
      <c r="H106" s="3"/>
      <c r="I106" s="3"/>
      <c r="J106" s="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3"/>
    </row>
    <row r="107" spans="2:50" ht="30" customHeight="1">
      <c r="B107" s="11">
        <f t="shared" si="8"/>
        <v>102</v>
      </c>
      <c r="C107" s="18" t="s">
        <v>156</v>
      </c>
      <c r="D107" s="18" t="s">
        <v>162</v>
      </c>
      <c r="E107" s="12" t="s">
        <v>182</v>
      </c>
      <c r="F107" s="14">
        <f t="shared" si="7"/>
        <v>4</v>
      </c>
      <c r="G107" s="15" t="s">
        <v>2</v>
      </c>
      <c r="H107" s="3"/>
      <c r="I107" s="3" t="s">
        <v>3</v>
      </c>
      <c r="J107" s="3" t="s">
        <v>3</v>
      </c>
      <c r="K107" s="13"/>
      <c r="L107" s="13"/>
      <c r="M107" s="3" t="s">
        <v>3</v>
      </c>
      <c r="N107" s="13"/>
      <c r="O107" s="13"/>
      <c r="P107" s="13"/>
      <c r="Q107" s="13"/>
      <c r="R107" s="13"/>
      <c r="S107" s="13"/>
      <c r="T107" s="3" t="s">
        <v>3</v>
      </c>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3"/>
    </row>
    <row r="108" spans="2:50" ht="30" customHeight="1">
      <c r="B108" s="11">
        <f t="shared" si="8"/>
        <v>103</v>
      </c>
      <c r="C108" s="18" t="s">
        <v>156</v>
      </c>
      <c r="D108" s="18" t="s">
        <v>162</v>
      </c>
      <c r="E108" s="12" t="s">
        <v>162</v>
      </c>
      <c r="F108" s="14">
        <f t="shared" si="7"/>
        <v>3</v>
      </c>
      <c r="G108" s="15" t="s">
        <v>2</v>
      </c>
      <c r="H108" s="3"/>
      <c r="I108" s="3" t="s">
        <v>3</v>
      </c>
      <c r="J108" s="3"/>
      <c r="K108" s="13"/>
      <c r="L108" s="13"/>
      <c r="M108" s="3" t="s">
        <v>392</v>
      </c>
      <c r="N108" s="13"/>
      <c r="O108" s="13"/>
      <c r="P108" s="13"/>
      <c r="Q108" s="13"/>
      <c r="R108" s="13"/>
      <c r="S108" s="13"/>
      <c r="T108" s="3" t="s">
        <v>3</v>
      </c>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3"/>
    </row>
    <row r="109" spans="2:50" ht="30" customHeight="1">
      <c r="B109" s="11">
        <f t="shared" si="8"/>
        <v>104</v>
      </c>
      <c r="C109" s="18" t="s">
        <v>156</v>
      </c>
      <c r="D109" s="18" t="s">
        <v>162</v>
      </c>
      <c r="E109" s="12" t="s">
        <v>183</v>
      </c>
      <c r="F109" s="14">
        <f t="shared" si="7"/>
        <v>0</v>
      </c>
      <c r="G109" s="15" t="s">
        <v>2</v>
      </c>
      <c r="H109" s="3"/>
      <c r="I109" s="3"/>
      <c r="J109" s="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3"/>
    </row>
    <row r="110" spans="2:50" ht="30" customHeight="1">
      <c r="B110" s="11">
        <f t="shared" si="8"/>
        <v>105</v>
      </c>
      <c r="C110" s="18" t="s">
        <v>156</v>
      </c>
      <c r="D110" s="18" t="s">
        <v>163</v>
      </c>
      <c r="E110" s="12" t="s">
        <v>163</v>
      </c>
      <c r="F110" s="14">
        <f t="shared" si="7"/>
        <v>0</v>
      </c>
      <c r="G110" s="15" t="s">
        <v>2</v>
      </c>
      <c r="H110" s="3"/>
      <c r="I110" s="3"/>
      <c r="J110" s="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3"/>
    </row>
    <row r="111" spans="2:50" ht="30" customHeight="1">
      <c r="B111" s="11">
        <f t="shared" si="8"/>
        <v>106</v>
      </c>
      <c r="C111" s="18" t="s">
        <v>156</v>
      </c>
      <c r="D111" s="18" t="s">
        <v>164</v>
      </c>
      <c r="E111" s="12" t="s">
        <v>184</v>
      </c>
      <c r="F111" s="14">
        <f t="shared" si="7"/>
        <v>4</v>
      </c>
      <c r="G111" s="15" t="s">
        <v>2</v>
      </c>
      <c r="H111" s="3"/>
      <c r="I111" s="3" t="s">
        <v>3</v>
      </c>
      <c r="J111" s="3" t="s">
        <v>3</v>
      </c>
      <c r="K111" s="13"/>
      <c r="L111" s="13"/>
      <c r="M111" s="3" t="s">
        <v>3</v>
      </c>
      <c r="N111" s="13"/>
      <c r="O111" s="13"/>
      <c r="P111" s="13"/>
      <c r="Q111" s="13"/>
      <c r="R111" s="13"/>
      <c r="S111" s="13"/>
      <c r="T111" s="3" t="s">
        <v>3</v>
      </c>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3"/>
    </row>
    <row r="112" spans="2:50" ht="30" customHeight="1">
      <c r="B112" s="11">
        <f t="shared" si="8"/>
        <v>107</v>
      </c>
      <c r="C112" s="18" t="s">
        <v>156</v>
      </c>
      <c r="D112" s="18" t="s">
        <v>164</v>
      </c>
      <c r="E112" s="12" t="s">
        <v>185</v>
      </c>
      <c r="F112" s="14">
        <f t="shared" si="7"/>
        <v>4</v>
      </c>
      <c r="G112" s="15" t="s">
        <v>2</v>
      </c>
      <c r="H112" s="3"/>
      <c r="I112" s="3" t="s">
        <v>3</v>
      </c>
      <c r="J112" s="3"/>
      <c r="K112" s="13"/>
      <c r="L112" s="13"/>
      <c r="M112" s="3" t="s">
        <v>3</v>
      </c>
      <c r="N112" s="13"/>
      <c r="O112" s="13"/>
      <c r="P112" s="13"/>
      <c r="Q112" s="13"/>
      <c r="R112" s="13"/>
      <c r="S112" s="13"/>
      <c r="T112" s="3" t="s">
        <v>3</v>
      </c>
      <c r="U112" s="3" t="s">
        <v>3</v>
      </c>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3"/>
    </row>
    <row r="113" spans="2:50" ht="30" customHeight="1">
      <c r="B113" s="11">
        <f t="shared" si="8"/>
        <v>108</v>
      </c>
      <c r="C113" s="18" t="s">
        <v>156</v>
      </c>
      <c r="D113" s="18" t="s">
        <v>164</v>
      </c>
      <c r="E113" s="12" t="s">
        <v>186</v>
      </c>
      <c r="F113" s="14">
        <f t="shared" si="7"/>
        <v>4</v>
      </c>
      <c r="G113" s="15" t="s">
        <v>2</v>
      </c>
      <c r="H113" s="3"/>
      <c r="I113" s="3" t="s">
        <v>3</v>
      </c>
      <c r="J113" s="3"/>
      <c r="K113" s="13"/>
      <c r="L113" s="13"/>
      <c r="M113" s="3" t="s">
        <v>3</v>
      </c>
      <c r="N113" s="13"/>
      <c r="O113" s="13"/>
      <c r="P113" s="13"/>
      <c r="Q113" s="13"/>
      <c r="R113" s="13"/>
      <c r="S113" s="13"/>
      <c r="T113" s="3" t="s">
        <v>3</v>
      </c>
      <c r="U113" s="3" t="s">
        <v>3</v>
      </c>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3"/>
    </row>
    <row r="114" spans="2:50" ht="30" customHeight="1">
      <c r="B114" s="11">
        <f t="shared" si="8"/>
        <v>109</v>
      </c>
      <c r="C114" s="18" t="s">
        <v>156</v>
      </c>
      <c r="D114" s="18" t="s">
        <v>164</v>
      </c>
      <c r="E114" s="12" t="s">
        <v>187</v>
      </c>
      <c r="F114" s="14">
        <f t="shared" si="7"/>
        <v>0</v>
      </c>
      <c r="G114" s="15" t="s">
        <v>2</v>
      </c>
      <c r="H114" s="3"/>
      <c r="I114" s="3"/>
      <c r="J114" s="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3"/>
    </row>
    <row r="115" spans="2:50" ht="30" customHeight="1">
      <c r="B115" s="11">
        <f t="shared" si="8"/>
        <v>110</v>
      </c>
      <c r="C115" s="18" t="s">
        <v>156</v>
      </c>
      <c r="D115" s="18" t="s">
        <v>165</v>
      </c>
      <c r="E115" s="12" t="s">
        <v>165</v>
      </c>
      <c r="F115" s="14">
        <f t="shared" si="7"/>
        <v>4</v>
      </c>
      <c r="G115" s="15" t="s">
        <v>2</v>
      </c>
      <c r="H115" s="3"/>
      <c r="I115" s="3" t="s">
        <v>3</v>
      </c>
      <c r="J115" s="3" t="s">
        <v>3</v>
      </c>
      <c r="K115" s="13"/>
      <c r="L115" s="13"/>
      <c r="M115" s="3" t="s">
        <v>3</v>
      </c>
      <c r="N115" s="13"/>
      <c r="O115" s="13"/>
      <c r="P115" s="13"/>
      <c r="Q115" s="13"/>
      <c r="R115" s="13"/>
      <c r="S115" s="13"/>
      <c r="T115" s="3" t="s">
        <v>3</v>
      </c>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3"/>
    </row>
    <row r="116" spans="2:50" ht="30" customHeight="1">
      <c r="B116" s="11">
        <f t="shared" si="8"/>
        <v>111</v>
      </c>
      <c r="C116" s="18" t="s">
        <v>156</v>
      </c>
      <c r="D116" s="18" t="s">
        <v>165</v>
      </c>
      <c r="E116" s="12" t="s">
        <v>188</v>
      </c>
      <c r="F116" s="14">
        <f t="shared" si="7"/>
        <v>4</v>
      </c>
      <c r="G116" s="15" t="s">
        <v>2</v>
      </c>
      <c r="H116" s="3"/>
      <c r="I116" s="3" t="s">
        <v>3</v>
      </c>
      <c r="J116" s="3"/>
      <c r="K116" s="13"/>
      <c r="L116" s="13"/>
      <c r="M116" s="3" t="s">
        <v>3</v>
      </c>
      <c r="N116" s="13"/>
      <c r="O116" s="13"/>
      <c r="P116" s="13"/>
      <c r="Q116" s="13"/>
      <c r="R116" s="13"/>
      <c r="S116" s="13"/>
      <c r="T116" s="3" t="s">
        <v>3</v>
      </c>
      <c r="U116" s="3" t="s">
        <v>3</v>
      </c>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3"/>
    </row>
    <row r="117" spans="2:50" ht="30" customHeight="1">
      <c r="B117" s="11">
        <f t="shared" si="8"/>
        <v>112</v>
      </c>
      <c r="C117" s="18" t="s">
        <v>156</v>
      </c>
      <c r="D117" s="18" t="s">
        <v>165</v>
      </c>
      <c r="E117" s="12" t="s">
        <v>189</v>
      </c>
      <c r="F117" s="14">
        <f t="shared" si="7"/>
        <v>0</v>
      </c>
      <c r="G117" s="15" t="s">
        <v>2</v>
      </c>
      <c r="H117" s="3"/>
      <c r="I117" s="3"/>
      <c r="J117" s="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3"/>
    </row>
    <row r="118" spans="2:50" ht="30" customHeight="1">
      <c r="B118" s="11">
        <f t="shared" si="8"/>
        <v>113</v>
      </c>
      <c r="C118" s="18" t="s">
        <v>156</v>
      </c>
      <c r="D118" s="18" t="s">
        <v>166</v>
      </c>
      <c r="E118" s="12" t="s">
        <v>166</v>
      </c>
      <c r="F118" s="14">
        <f t="shared" si="7"/>
        <v>3</v>
      </c>
      <c r="G118" s="15" t="s">
        <v>2</v>
      </c>
      <c r="H118" s="3"/>
      <c r="I118" s="3" t="s">
        <v>3</v>
      </c>
      <c r="J118" s="3"/>
      <c r="K118" s="13"/>
      <c r="L118" s="13"/>
      <c r="M118" s="3" t="s">
        <v>3</v>
      </c>
      <c r="N118" s="13"/>
      <c r="O118" s="13"/>
      <c r="P118" s="13"/>
      <c r="Q118" s="13"/>
      <c r="R118" s="13"/>
      <c r="S118" s="13"/>
      <c r="T118" s="13"/>
      <c r="U118" s="13"/>
      <c r="V118" s="13"/>
      <c r="W118" s="13"/>
      <c r="X118" s="13"/>
      <c r="Y118" s="13"/>
      <c r="Z118" s="13"/>
      <c r="AA118" s="3" t="s">
        <v>3</v>
      </c>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3"/>
    </row>
    <row r="119" spans="2:50" ht="30" customHeight="1">
      <c r="B119" s="11">
        <f t="shared" si="8"/>
        <v>114</v>
      </c>
      <c r="C119" s="18" t="s">
        <v>156</v>
      </c>
      <c r="D119" s="18" t="s">
        <v>166</v>
      </c>
      <c r="E119" s="12" t="s">
        <v>190</v>
      </c>
      <c r="F119" s="14">
        <f t="shared" si="7"/>
        <v>0</v>
      </c>
      <c r="G119" s="15" t="s">
        <v>2</v>
      </c>
      <c r="H119" s="3"/>
      <c r="I119" s="3"/>
      <c r="J119" s="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3"/>
    </row>
    <row r="120" spans="2:50" ht="30" customHeight="1">
      <c r="B120" s="11">
        <f t="shared" si="8"/>
        <v>115</v>
      </c>
      <c r="C120" s="18" t="s">
        <v>156</v>
      </c>
      <c r="D120" s="18" t="s">
        <v>166</v>
      </c>
      <c r="E120" s="12" t="s">
        <v>191</v>
      </c>
      <c r="F120" s="14">
        <f t="shared" si="7"/>
        <v>0</v>
      </c>
      <c r="G120" s="15" t="s">
        <v>2</v>
      </c>
      <c r="H120" s="3"/>
      <c r="I120" s="3"/>
      <c r="J120" s="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3"/>
    </row>
    <row r="121" spans="2:50" ht="30" customHeight="1">
      <c r="B121" s="11">
        <f t="shared" si="8"/>
        <v>116</v>
      </c>
      <c r="C121" s="18" t="s">
        <v>156</v>
      </c>
      <c r="D121" s="18" t="s">
        <v>166</v>
      </c>
      <c r="E121" s="12" t="s">
        <v>192</v>
      </c>
      <c r="F121" s="14">
        <f t="shared" si="7"/>
        <v>0</v>
      </c>
      <c r="G121" s="15" t="s">
        <v>2</v>
      </c>
      <c r="H121" s="3"/>
      <c r="I121" s="3"/>
      <c r="J121" s="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3"/>
    </row>
    <row r="122" spans="2:50" ht="30" customHeight="1">
      <c r="B122" s="11">
        <f t="shared" si="8"/>
        <v>117</v>
      </c>
      <c r="C122" s="18" t="s">
        <v>156</v>
      </c>
      <c r="D122" s="18" t="s">
        <v>166</v>
      </c>
      <c r="E122" s="12" t="s">
        <v>193</v>
      </c>
      <c r="F122" s="14">
        <f t="shared" si="7"/>
        <v>0</v>
      </c>
      <c r="G122" s="15" t="s">
        <v>2</v>
      </c>
      <c r="H122" s="3"/>
      <c r="I122" s="3"/>
      <c r="J122" s="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3"/>
    </row>
    <row r="123" spans="2:50" ht="30" customHeight="1">
      <c r="B123" s="11">
        <f t="shared" si="8"/>
        <v>118</v>
      </c>
      <c r="C123" s="18" t="s">
        <v>156</v>
      </c>
      <c r="D123" s="18" t="s">
        <v>167</v>
      </c>
      <c r="E123" s="12" t="s">
        <v>167</v>
      </c>
      <c r="F123" s="14">
        <f t="shared" si="7"/>
        <v>0</v>
      </c>
      <c r="G123" s="15" t="s">
        <v>2</v>
      </c>
      <c r="H123" s="3"/>
      <c r="I123" s="3"/>
      <c r="J123" s="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3"/>
    </row>
    <row r="124" spans="2:50" ht="30" customHeight="1">
      <c r="B124" s="11">
        <f t="shared" si="8"/>
        <v>119</v>
      </c>
      <c r="C124" s="18" t="s">
        <v>156</v>
      </c>
      <c r="D124" s="18" t="s">
        <v>168</v>
      </c>
      <c r="E124" s="12" t="s">
        <v>168</v>
      </c>
      <c r="F124" s="14">
        <f t="shared" si="7"/>
        <v>2</v>
      </c>
      <c r="G124" s="15" t="s">
        <v>2</v>
      </c>
      <c r="H124" s="3"/>
      <c r="I124" s="3"/>
      <c r="J124" s="3" t="s">
        <v>3</v>
      </c>
      <c r="K124" s="13"/>
      <c r="L124" s="13"/>
      <c r="M124" s="3" t="s">
        <v>3</v>
      </c>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3"/>
    </row>
    <row r="125" spans="2:50" ht="30" customHeight="1">
      <c r="B125" s="11">
        <f t="shared" si="8"/>
        <v>120</v>
      </c>
      <c r="C125" s="18" t="s">
        <v>156</v>
      </c>
      <c r="D125" s="18" t="s">
        <v>168</v>
      </c>
      <c r="E125" s="12" t="s">
        <v>194</v>
      </c>
      <c r="F125" s="14">
        <f t="shared" si="7"/>
        <v>3</v>
      </c>
      <c r="G125" s="15" t="s">
        <v>2</v>
      </c>
      <c r="H125" s="3"/>
      <c r="I125" s="3" t="s">
        <v>3</v>
      </c>
      <c r="J125" s="3"/>
      <c r="K125" s="13"/>
      <c r="L125" s="13"/>
      <c r="M125" s="3" t="s">
        <v>3</v>
      </c>
      <c r="N125" s="13"/>
      <c r="O125" s="13"/>
      <c r="P125" s="13"/>
      <c r="Q125" s="13"/>
      <c r="R125" s="13"/>
      <c r="S125" s="13"/>
      <c r="T125" s="13"/>
      <c r="U125" s="3" t="s">
        <v>3</v>
      </c>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3"/>
    </row>
    <row r="126" spans="2:50" ht="30" customHeight="1">
      <c r="B126" s="11">
        <f t="shared" si="8"/>
        <v>121</v>
      </c>
      <c r="C126" s="18" t="s">
        <v>156</v>
      </c>
      <c r="D126" s="18" t="s">
        <v>168</v>
      </c>
      <c r="E126" s="12" t="s">
        <v>195</v>
      </c>
      <c r="F126" s="14">
        <f t="shared" si="7"/>
        <v>0</v>
      </c>
      <c r="G126" s="15" t="s">
        <v>2</v>
      </c>
      <c r="H126" s="3"/>
      <c r="I126" s="3"/>
      <c r="J126" s="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3"/>
    </row>
    <row r="127" spans="2:50" ht="30" customHeight="1">
      <c r="B127" s="11">
        <f t="shared" si="8"/>
        <v>122</v>
      </c>
      <c r="C127" s="18" t="s">
        <v>156</v>
      </c>
      <c r="D127" s="18" t="s">
        <v>169</v>
      </c>
      <c r="E127" s="12" t="s">
        <v>169</v>
      </c>
      <c r="F127" s="14">
        <f t="shared" si="7"/>
        <v>0</v>
      </c>
      <c r="G127" s="15" t="s">
        <v>2</v>
      </c>
      <c r="H127" s="3"/>
      <c r="I127" s="3"/>
      <c r="J127" s="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3"/>
    </row>
    <row r="128" spans="2:50" ht="30" customHeight="1">
      <c r="B128" s="11">
        <f t="shared" si="8"/>
        <v>123</v>
      </c>
      <c r="C128" s="18" t="s">
        <v>156</v>
      </c>
      <c r="D128" s="18" t="s">
        <v>170</v>
      </c>
      <c r="E128" s="12" t="s">
        <v>170</v>
      </c>
      <c r="F128" s="14">
        <f t="shared" si="7"/>
        <v>3</v>
      </c>
      <c r="G128" s="15" t="s">
        <v>2</v>
      </c>
      <c r="H128" s="3"/>
      <c r="I128" s="3" t="s">
        <v>3</v>
      </c>
      <c r="J128" s="3"/>
      <c r="K128" s="13"/>
      <c r="L128" s="3" t="s">
        <v>3</v>
      </c>
      <c r="M128" s="13"/>
      <c r="N128" s="13"/>
      <c r="O128" s="13"/>
      <c r="P128" s="3" t="s">
        <v>3</v>
      </c>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3"/>
    </row>
    <row r="129" spans="2:50" ht="30" customHeight="1">
      <c r="B129" s="11">
        <f t="shared" si="8"/>
        <v>124</v>
      </c>
      <c r="C129" s="18" t="s">
        <v>156</v>
      </c>
      <c r="D129" s="18" t="s">
        <v>171</v>
      </c>
      <c r="E129" s="12" t="s">
        <v>196</v>
      </c>
      <c r="F129" s="14">
        <f t="shared" si="7"/>
        <v>3</v>
      </c>
      <c r="G129" s="15" t="s">
        <v>2</v>
      </c>
      <c r="H129" s="3"/>
      <c r="I129" s="3" t="s">
        <v>3</v>
      </c>
      <c r="J129" s="3"/>
      <c r="K129" s="13"/>
      <c r="L129" s="3" t="s">
        <v>3</v>
      </c>
      <c r="M129" s="3" t="s">
        <v>3</v>
      </c>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3"/>
    </row>
    <row r="130" spans="2:50" ht="30" customHeight="1">
      <c r="B130" s="11">
        <f t="shared" si="8"/>
        <v>125</v>
      </c>
      <c r="C130" s="18" t="s">
        <v>156</v>
      </c>
      <c r="D130" s="18" t="s">
        <v>172</v>
      </c>
      <c r="E130" s="12" t="s">
        <v>172</v>
      </c>
      <c r="F130" s="14">
        <f t="shared" si="7"/>
        <v>1</v>
      </c>
      <c r="G130" s="15" t="s">
        <v>2</v>
      </c>
      <c r="H130" s="3"/>
      <c r="I130" s="3" t="s">
        <v>3</v>
      </c>
      <c r="J130" s="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3"/>
    </row>
    <row r="131" spans="2:50" ht="30" customHeight="1">
      <c r="B131" s="11">
        <f t="shared" si="8"/>
        <v>126</v>
      </c>
      <c r="C131" s="18" t="s">
        <v>197</v>
      </c>
      <c r="D131" s="18" t="s">
        <v>198</v>
      </c>
      <c r="E131" s="12" t="s">
        <v>209</v>
      </c>
      <c r="F131" s="14">
        <f t="shared" si="7"/>
        <v>5</v>
      </c>
      <c r="G131" s="15" t="s">
        <v>2</v>
      </c>
      <c r="H131" s="3"/>
      <c r="I131" s="3" t="s">
        <v>3</v>
      </c>
      <c r="J131" s="3" t="s">
        <v>3</v>
      </c>
      <c r="K131" s="13"/>
      <c r="L131" s="3" t="s">
        <v>3</v>
      </c>
      <c r="M131" s="3" t="s">
        <v>3</v>
      </c>
      <c r="N131" s="13"/>
      <c r="O131" s="13"/>
      <c r="P131" s="13"/>
      <c r="Q131" s="13"/>
      <c r="S131" s="3" t="s">
        <v>3</v>
      </c>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3"/>
    </row>
    <row r="132" spans="2:50" ht="30" customHeight="1">
      <c r="B132" s="11">
        <f t="shared" si="8"/>
        <v>127</v>
      </c>
      <c r="C132" s="18" t="s">
        <v>197</v>
      </c>
      <c r="D132" s="18" t="s">
        <v>198</v>
      </c>
      <c r="E132" s="12" t="s">
        <v>210</v>
      </c>
      <c r="F132" s="14">
        <f t="shared" si="7"/>
        <v>2</v>
      </c>
      <c r="G132" s="15" t="s">
        <v>2</v>
      </c>
      <c r="H132" s="3"/>
      <c r="I132" s="3"/>
      <c r="J132" s="3"/>
      <c r="K132" s="13"/>
      <c r="L132" s="13"/>
      <c r="M132" s="13"/>
      <c r="N132" s="13"/>
      <c r="O132" s="13"/>
      <c r="P132" s="13"/>
      <c r="Q132" s="13"/>
      <c r="R132" s="3" t="s">
        <v>3</v>
      </c>
      <c r="S132" s="3" t="s">
        <v>3</v>
      </c>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3"/>
    </row>
    <row r="133" spans="2:50" ht="30" customHeight="1">
      <c r="B133" s="11">
        <f t="shared" si="8"/>
        <v>128</v>
      </c>
      <c r="C133" s="18" t="s">
        <v>197</v>
      </c>
      <c r="D133" s="18" t="s">
        <v>198</v>
      </c>
      <c r="E133" s="12" t="s">
        <v>211</v>
      </c>
      <c r="F133" s="14">
        <f t="shared" si="7"/>
        <v>0</v>
      </c>
      <c r="G133" s="15" t="s">
        <v>2</v>
      </c>
      <c r="H133" s="3"/>
      <c r="I133" s="3"/>
      <c r="J133" s="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3"/>
    </row>
    <row r="134" spans="2:50" ht="30" customHeight="1">
      <c r="B134" s="11">
        <f t="shared" si="8"/>
        <v>129</v>
      </c>
      <c r="C134" s="18" t="s">
        <v>197</v>
      </c>
      <c r="D134" s="18" t="s">
        <v>199</v>
      </c>
      <c r="E134" s="12" t="s">
        <v>199</v>
      </c>
      <c r="F134" s="14">
        <f t="shared" ref="F134:F197" si="9">COUNTA(H134:AW134)</f>
        <v>0</v>
      </c>
      <c r="G134" s="15" t="s">
        <v>2</v>
      </c>
      <c r="H134" s="3"/>
      <c r="I134" s="3"/>
      <c r="J134" s="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3"/>
    </row>
    <row r="135" spans="2:50" ht="30" customHeight="1">
      <c r="B135" s="11">
        <f t="shared" si="8"/>
        <v>130</v>
      </c>
      <c r="C135" s="18" t="s">
        <v>197</v>
      </c>
      <c r="D135" s="18" t="s">
        <v>199</v>
      </c>
      <c r="E135" s="12" t="s">
        <v>212</v>
      </c>
      <c r="F135" s="14">
        <f t="shared" si="9"/>
        <v>0</v>
      </c>
      <c r="G135" s="15" t="s">
        <v>2</v>
      </c>
      <c r="H135" s="3"/>
      <c r="I135" s="3"/>
      <c r="J135" s="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3"/>
    </row>
    <row r="136" spans="2:50" ht="30" customHeight="1">
      <c r="B136" s="11">
        <f t="shared" ref="B136:B200" si="10">ROW()-5</f>
        <v>131</v>
      </c>
      <c r="C136" s="18" t="s">
        <v>197</v>
      </c>
      <c r="D136" s="18" t="s">
        <v>200</v>
      </c>
      <c r="E136" s="12" t="s">
        <v>200</v>
      </c>
      <c r="F136" s="14">
        <f t="shared" si="9"/>
        <v>3</v>
      </c>
      <c r="G136" s="15" t="s">
        <v>2</v>
      </c>
      <c r="H136" s="3"/>
      <c r="I136" s="3" t="s">
        <v>3</v>
      </c>
      <c r="J136" s="3"/>
      <c r="K136" s="13"/>
      <c r="L136" s="13"/>
      <c r="M136" s="3" t="s">
        <v>3</v>
      </c>
      <c r="N136" s="13"/>
      <c r="O136" s="3" t="s">
        <v>3</v>
      </c>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3"/>
    </row>
    <row r="137" spans="2:50" ht="30" customHeight="1">
      <c r="B137" s="11">
        <f t="shared" si="10"/>
        <v>132</v>
      </c>
      <c r="C137" s="18" t="s">
        <v>197</v>
      </c>
      <c r="D137" s="18" t="s">
        <v>201</v>
      </c>
      <c r="E137" s="12" t="s">
        <v>213</v>
      </c>
      <c r="F137" s="14">
        <f t="shared" si="9"/>
        <v>4</v>
      </c>
      <c r="G137" s="15" t="s">
        <v>2</v>
      </c>
      <c r="H137" s="3"/>
      <c r="I137" s="3" t="s">
        <v>3</v>
      </c>
      <c r="J137" s="3" t="s">
        <v>3</v>
      </c>
      <c r="K137" s="13"/>
      <c r="L137" s="13"/>
      <c r="M137" s="3" t="s">
        <v>3</v>
      </c>
      <c r="N137" s="13"/>
      <c r="O137" s="3" t="s">
        <v>3</v>
      </c>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3"/>
    </row>
    <row r="138" spans="2:50" ht="30" customHeight="1">
      <c r="B138" s="11">
        <f t="shared" si="10"/>
        <v>133</v>
      </c>
      <c r="C138" s="18" t="s">
        <v>197</v>
      </c>
      <c r="D138" s="18" t="s">
        <v>201</v>
      </c>
      <c r="E138" s="12" t="s">
        <v>214</v>
      </c>
      <c r="F138" s="14">
        <f t="shared" si="9"/>
        <v>3</v>
      </c>
      <c r="G138" s="15" t="s">
        <v>2</v>
      </c>
      <c r="H138" s="3"/>
      <c r="I138" s="3" t="s">
        <v>3</v>
      </c>
      <c r="J138" s="3"/>
      <c r="K138" s="13"/>
      <c r="L138" s="13"/>
      <c r="M138" s="3" t="s">
        <v>3</v>
      </c>
      <c r="N138" s="13"/>
      <c r="O138" s="3" t="s">
        <v>3</v>
      </c>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3"/>
    </row>
    <row r="139" spans="2:50" ht="30" customHeight="1">
      <c r="B139" s="11">
        <f t="shared" si="10"/>
        <v>134</v>
      </c>
      <c r="C139" s="18" t="s">
        <v>197</v>
      </c>
      <c r="D139" s="18" t="s">
        <v>201</v>
      </c>
      <c r="E139" s="12" t="s">
        <v>215</v>
      </c>
      <c r="F139" s="14">
        <f t="shared" si="9"/>
        <v>0</v>
      </c>
      <c r="G139" s="15" t="s">
        <v>2</v>
      </c>
      <c r="H139" s="3"/>
      <c r="I139" s="3"/>
      <c r="J139" s="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3"/>
    </row>
    <row r="140" spans="2:50" ht="30" customHeight="1">
      <c r="B140" s="11">
        <f t="shared" si="10"/>
        <v>135</v>
      </c>
      <c r="C140" s="18" t="s">
        <v>197</v>
      </c>
      <c r="D140" s="18" t="s">
        <v>202</v>
      </c>
      <c r="E140" s="12" t="s">
        <v>395</v>
      </c>
      <c r="F140" s="14">
        <f t="shared" si="9"/>
        <v>4</v>
      </c>
      <c r="G140" s="15" t="s">
        <v>2</v>
      </c>
      <c r="H140" s="3"/>
      <c r="I140" s="3" t="s">
        <v>3</v>
      </c>
      <c r="J140" s="3" t="s">
        <v>3</v>
      </c>
      <c r="K140" s="13"/>
      <c r="L140" s="13"/>
      <c r="M140" s="3" t="s">
        <v>3</v>
      </c>
      <c r="N140" s="13"/>
      <c r="O140" s="3" t="s">
        <v>3</v>
      </c>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3"/>
    </row>
    <row r="141" spans="2:50" ht="30" customHeight="1">
      <c r="B141" s="11">
        <f t="shared" si="10"/>
        <v>136</v>
      </c>
      <c r="C141" s="18" t="s">
        <v>197</v>
      </c>
      <c r="D141" s="18" t="s">
        <v>202</v>
      </c>
      <c r="E141" s="12" t="s">
        <v>396</v>
      </c>
      <c r="F141" s="14">
        <f t="shared" si="9"/>
        <v>3</v>
      </c>
      <c r="G141" s="15" t="s">
        <v>2</v>
      </c>
      <c r="H141" s="3"/>
      <c r="I141" s="3" t="s">
        <v>3</v>
      </c>
      <c r="J141" s="3"/>
      <c r="K141" s="13"/>
      <c r="L141" s="13"/>
      <c r="M141" s="3" t="s">
        <v>3</v>
      </c>
      <c r="N141" s="13"/>
      <c r="O141" s="3" t="s">
        <v>3</v>
      </c>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3"/>
    </row>
    <row r="142" spans="2:50" ht="30" customHeight="1">
      <c r="B142" s="11">
        <f t="shared" si="10"/>
        <v>137</v>
      </c>
      <c r="C142" s="18" t="s">
        <v>197</v>
      </c>
      <c r="D142" s="18" t="s">
        <v>202</v>
      </c>
      <c r="E142" s="12" t="s">
        <v>216</v>
      </c>
      <c r="F142" s="14">
        <f t="shared" si="9"/>
        <v>0</v>
      </c>
      <c r="G142" s="15" t="s">
        <v>2</v>
      </c>
      <c r="H142" s="3"/>
      <c r="I142" s="3"/>
      <c r="J142" s="3"/>
      <c r="K142" s="13"/>
      <c r="L142" s="13"/>
      <c r="M142" s="3"/>
      <c r="N142" s="13"/>
      <c r="O142" s="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3"/>
    </row>
    <row r="143" spans="2:50" ht="30" customHeight="1">
      <c r="B143" s="11">
        <f t="shared" si="10"/>
        <v>138</v>
      </c>
      <c r="C143" s="18" t="s">
        <v>197</v>
      </c>
      <c r="D143" s="18" t="s">
        <v>203</v>
      </c>
      <c r="E143" s="12" t="s">
        <v>399</v>
      </c>
      <c r="F143" s="14">
        <f t="shared" si="9"/>
        <v>2</v>
      </c>
      <c r="G143" s="15" t="s">
        <v>2</v>
      </c>
      <c r="H143" s="3"/>
      <c r="I143" s="3" t="s">
        <v>3</v>
      </c>
      <c r="J143" s="3" t="s">
        <v>3</v>
      </c>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3"/>
    </row>
    <row r="144" spans="2:50" ht="30" customHeight="1">
      <c r="B144" s="11">
        <f t="shared" si="10"/>
        <v>139</v>
      </c>
      <c r="C144" s="18" t="s">
        <v>197</v>
      </c>
      <c r="D144" s="18" t="s">
        <v>203</v>
      </c>
      <c r="E144" s="12" t="s">
        <v>398</v>
      </c>
      <c r="F144" s="14">
        <f t="shared" si="9"/>
        <v>1</v>
      </c>
      <c r="G144" s="15" t="s">
        <v>2</v>
      </c>
      <c r="H144" s="3"/>
      <c r="I144" s="3" t="s">
        <v>3</v>
      </c>
      <c r="J144" s="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3"/>
    </row>
    <row r="145" spans="2:50" ht="30" customHeight="1">
      <c r="B145" s="11">
        <f t="shared" si="10"/>
        <v>140</v>
      </c>
      <c r="C145" s="18" t="s">
        <v>197</v>
      </c>
      <c r="D145" s="18" t="s">
        <v>203</v>
      </c>
      <c r="E145" s="12" t="s">
        <v>397</v>
      </c>
      <c r="F145" s="14">
        <f t="shared" si="9"/>
        <v>0</v>
      </c>
      <c r="G145" s="15" t="s">
        <v>2</v>
      </c>
      <c r="H145" s="3"/>
      <c r="I145" s="3"/>
      <c r="J145" s="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3"/>
    </row>
    <row r="146" spans="2:50" ht="30" customHeight="1">
      <c r="B146" s="11">
        <f t="shared" si="10"/>
        <v>141</v>
      </c>
      <c r="C146" s="18" t="s">
        <v>197</v>
      </c>
      <c r="D146" s="18" t="s">
        <v>204</v>
      </c>
      <c r="E146" s="12" t="s">
        <v>400</v>
      </c>
      <c r="F146" s="14">
        <f t="shared" si="9"/>
        <v>4</v>
      </c>
      <c r="G146" s="15" t="s">
        <v>2</v>
      </c>
      <c r="H146" s="3"/>
      <c r="I146" s="3" t="s">
        <v>3</v>
      </c>
      <c r="J146" s="3" t="s">
        <v>3</v>
      </c>
      <c r="K146" s="13"/>
      <c r="L146" s="13"/>
      <c r="M146" s="3" t="s">
        <v>3</v>
      </c>
      <c r="N146" s="13"/>
      <c r="O146" s="3" t="s">
        <v>3</v>
      </c>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3"/>
    </row>
    <row r="147" spans="2:50" ht="30" customHeight="1">
      <c r="B147" s="11">
        <f t="shared" si="10"/>
        <v>142</v>
      </c>
      <c r="C147" s="18" t="s">
        <v>197</v>
      </c>
      <c r="D147" s="18" t="s">
        <v>204</v>
      </c>
      <c r="E147" s="12" t="s">
        <v>401</v>
      </c>
      <c r="F147" s="14">
        <f t="shared" si="9"/>
        <v>3</v>
      </c>
      <c r="G147" s="15" t="s">
        <v>2</v>
      </c>
      <c r="H147" s="3"/>
      <c r="I147" s="3" t="s">
        <v>3</v>
      </c>
      <c r="J147" s="3"/>
      <c r="K147" s="13"/>
      <c r="L147" s="13"/>
      <c r="M147" s="3" t="s">
        <v>3</v>
      </c>
      <c r="N147" s="13"/>
      <c r="O147" s="3" t="s">
        <v>3</v>
      </c>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3"/>
    </row>
    <row r="148" spans="2:50" ht="30" customHeight="1">
      <c r="B148" s="11">
        <f t="shared" si="10"/>
        <v>143</v>
      </c>
      <c r="C148" s="18" t="s">
        <v>197</v>
      </c>
      <c r="D148" s="18" t="s">
        <v>204</v>
      </c>
      <c r="E148" s="12" t="s">
        <v>217</v>
      </c>
      <c r="F148" s="14">
        <f t="shared" si="9"/>
        <v>0</v>
      </c>
      <c r="G148" s="15" t="s">
        <v>2</v>
      </c>
      <c r="H148" s="3"/>
      <c r="I148" s="3"/>
      <c r="J148" s="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3"/>
    </row>
    <row r="149" spans="2:50" ht="30" customHeight="1">
      <c r="B149" s="11">
        <f t="shared" si="10"/>
        <v>144</v>
      </c>
      <c r="C149" s="18" t="s">
        <v>197</v>
      </c>
      <c r="D149" s="18" t="s">
        <v>205</v>
      </c>
      <c r="E149" s="12" t="s">
        <v>402</v>
      </c>
      <c r="F149" s="14">
        <f t="shared" si="9"/>
        <v>2</v>
      </c>
      <c r="G149" s="15" t="s">
        <v>2</v>
      </c>
      <c r="H149" s="3"/>
      <c r="I149" s="3" t="s">
        <v>3</v>
      </c>
      <c r="J149" s="3" t="s">
        <v>3</v>
      </c>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3"/>
    </row>
    <row r="150" spans="2:50" ht="30" customHeight="1">
      <c r="B150" s="11">
        <f t="shared" si="10"/>
        <v>145</v>
      </c>
      <c r="C150" s="18" t="s">
        <v>197</v>
      </c>
      <c r="D150" s="18" t="s">
        <v>205</v>
      </c>
      <c r="E150" s="12" t="s">
        <v>218</v>
      </c>
      <c r="F150" s="14">
        <f t="shared" si="9"/>
        <v>2</v>
      </c>
      <c r="G150" s="15" t="s">
        <v>2</v>
      </c>
      <c r="H150" s="3"/>
      <c r="I150" s="3" t="s">
        <v>3</v>
      </c>
      <c r="J150" s="3"/>
      <c r="K150" s="13"/>
      <c r="L150" s="13"/>
      <c r="M150" s="3" t="s">
        <v>3</v>
      </c>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3"/>
    </row>
    <row r="151" spans="2:50" ht="30" customHeight="1">
      <c r="B151" s="11">
        <f t="shared" si="10"/>
        <v>146</v>
      </c>
      <c r="C151" s="18" t="s">
        <v>197</v>
      </c>
      <c r="D151" s="18" t="s">
        <v>205</v>
      </c>
      <c r="E151" s="12" t="s">
        <v>219</v>
      </c>
      <c r="F151" s="14">
        <f t="shared" si="9"/>
        <v>0</v>
      </c>
      <c r="G151" s="15" t="s">
        <v>2</v>
      </c>
      <c r="H151" s="3"/>
      <c r="I151" s="3"/>
      <c r="J151" s="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3"/>
    </row>
    <row r="152" spans="2:50" ht="30" customHeight="1">
      <c r="B152" s="11">
        <f t="shared" si="10"/>
        <v>147</v>
      </c>
      <c r="C152" s="18" t="s">
        <v>197</v>
      </c>
      <c r="D152" s="18" t="s">
        <v>206</v>
      </c>
      <c r="E152" s="12" t="s">
        <v>403</v>
      </c>
      <c r="F152" s="14">
        <f t="shared" si="9"/>
        <v>4</v>
      </c>
      <c r="G152" s="15" t="s">
        <v>2</v>
      </c>
      <c r="H152" s="3"/>
      <c r="I152" s="3" t="s">
        <v>3</v>
      </c>
      <c r="J152" s="3" t="s">
        <v>3</v>
      </c>
      <c r="K152" s="13"/>
      <c r="L152" s="13"/>
      <c r="M152" s="3" t="s">
        <v>3</v>
      </c>
      <c r="N152" s="13"/>
      <c r="O152" s="3" t="s">
        <v>3</v>
      </c>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3"/>
    </row>
    <row r="153" spans="2:50" ht="30" customHeight="1">
      <c r="B153" s="11">
        <f t="shared" si="10"/>
        <v>148</v>
      </c>
      <c r="C153" s="18" t="s">
        <v>197</v>
      </c>
      <c r="D153" s="18" t="s">
        <v>206</v>
      </c>
      <c r="E153" s="12" t="s">
        <v>220</v>
      </c>
      <c r="F153" s="14">
        <f t="shared" si="9"/>
        <v>3</v>
      </c>
      <c r="G153" s="15" t="s">
        <v>2</v>
      </c>
      <c r="H153" s="3"/>
      <c r="I153" s="3" t="s">
        <v>3</v>
      </c>
      <c r="J153" s="3"/>
      <c r="K153" s="13"/>
      <c r="L153" s="13"/>
      <c r="M153" s="3" t="s">
        <v>3</v>
      </c>
      <c r="N153" s="13"/>
      <c r="O153" s="3" t="s">
        <v>3</v>
      </c>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3"/>
    </row>
    <row r="154" spans="2:50" ht="30" customHeight="1">
      <c r="B154" s="11">
        <f t="shared" si="10"/>
        <v>149</v>
      </c>
      <c r="C154" s="18" t="s">
        <v>197</v>
      </c>
      <c r="D154" s="18" t="s">
        <v>206</v>
      </c>
      <c r="E154" s="12" t="s">
        <v>221</v>
      </c>
      <c r="F154" s="14">
        <f t="shared" si="9"/>
        <v>3</v>
      </c>
      <c r="G154" s="15" t="s">
        <v>2</v>
      </c>
      <c r="H154" s="3"/>
      <c r="I154" s="3" t="s">
        <v>3</v>
      </c>
      <c r="J154" s="3"/>
      <c r="K154" s="13"/>
      <c r="L154" s="13"/>
      <c r="M154" s="3" t="s">
        <v>3</v>
      </c>
      <c r="N154" s="13"/>
      <c r="O154" s="3" t="s">
        <v>3</v>
      </c>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3"/>
    </row>
    <row r="155" spans="2:50" ht="30" customHeight="1">
      <c r="B155" s="11">
        <f t="shared" si="10"/>
        <v>150</v>
      </c>
      <c r="C155" s="18" t="s">
        <v>197</v>
      </c>
      <c r="D155" s="18" t="s">
        <v>207</v>
      </c>
      <c r="E155" s="12" t="s">
        <v>207</v>
      </c>
      <c r="F155" s="14">
        <f t="shared" si="9"/>
        <v>2</v>
      </c>
      <c r="G155" s="15" t="s">
        <v>2</v>
      </c>
      <c r="H155" s="3"/>
      <c r="I155" s="3" t="s">
        <v>3</v>
      </c>
      <c r="J155" s="3"/>
      <c r="K155" s="13"/>
      <c r="L155" s="13"/>
      <c r="M155" s="3" t="s">
        <v>3</v>
      </c>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3"/>
    </row>
    <row r="156" spans="2:50" ht="30" customHeight="1">
      <c r="B156" s="11">
        <f t="shared" si="10"/>
        <v>151</v>
      </c>
      <c r="C156" s="18" t="s">
        <v>197</v>
      </c>
      <c r="D156" s="18" t="s">
        <v>208</v>
      </c>
      <c r="E156" s="12" t="s">
        <v>208</v>
      </c>
      <c r="F156" s="14">
        <f t="shared" si="9"/>
        <v>2</v>
      </c>
      <c r="G156" s="15" t="s">
        <v>2</v>
      </c>
      <c r="H156" s="3"/>
      <c r="I156" s="3" t="s">
        <v>3</v>
      </c>
      <c r="J156" s="3"/>
      <c r="K156" s="13"/>
      <c r="L156" s="13"/>
      <c r="M156" s="3" t="s">
        <v>3</v>
      </c>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3"/>
    </row>
    <row r="157" spans="2:50" ht="30" customHeight="1">
      <c r="B157" s="11">
        <f t="shared" si="10"/>
        <v>152</v>
      </c>
      <c r="C157" s="18" t="s">
        <v>222</v>
      </c>
      <c r="D157" s="18" t="s">
        <v>223</v>
      </c>
      <c r="E157" s="12" t="s">
        <v>252</v>
      </c>
      <c r="F157" s="14">
        <f t="shared" si="9"/>
        <v>0</v>
      </c>
      <c r="G157" s="15" t="s">
        <v>2</v>
      </c>
      <c r="H157" s="3"/>
      <c r="I157" s="3"/>
      <c r="J157" s="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3"/>
    </row>
    <row r="158" spans="2:50" ht="30" customHeight="1">
      <c r="B158" s="11">
        <f t="shared" si="10"/>
        <v>153</v>
      </c>
      <c r="C158" s="18" t="s">
        <v>222</v>
      </c>
      <c r="D158" s="18" t="s">
        <v>223</v>
      </c>
      <c r="E158" s="12" t="s">
        <v>253</v>
      </c>
      <c r="F158" s="14">
        <f t="shared" si="9"/>
        <v>0</v>
      </c>
      <c r="G158" s="15" t="s">
        <v>2</v>
      </c>
      <c r="H158" s="3"/>
      <c r="I158" s="3"/>
      <c r="J158" s="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3"/>
    </row>
    <row r="159" spans="2:50" ht="30" customHeight="1">
      <c r="B159" s="11">
        <f t="shared" si="10"/>
        <v>154</v>
      </c>
      <c r="C159" s="18" t="s">
        <v>222</v>
      </c>
      <c r="D159" s="18" t="s">
        <v>223</v>
      </c>
      <c r="E159" s="12" t="s">
        <v>254</v>
      </c>
      <c r="F159" s="14">
        <f t="shared" si="9"/>
        <v>0</v>
      </c>
      <c r="G159" s="15" t="s">
        <v>2</v>
      </c>
      <c r="H159" s="3"/>
      <c r="I159" s="3"/>
      <c r="J159" s="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3"/>
    </row>
    <row r="160" spans="2:50" ht="30" customHeight="1">
      <c r="B160" s="11">
        <f t="shared" si="10"/>
        <v>155</v>
      </c>
      <c r="C160" s="18" t="s">
        <v>222</v>
      </c>
      <c r="D160" s="18" t="s">
        <v>223</v>
      </c>
      <c r="E160" s="12" t="s">
        <v>255</v>
      </c>
      <c r="F160" s="14">
        <f t="shared" si="9"/>
        <v>0</v>
      </c>
      <c r="G160" s="15" t="s">
        <v>2</v>
      </c>
      <c r="H160" s="3"/>
      <c r="I160" s="3"/>
      <c r="J160" s="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3"/>
    </row>
    <row r="161" spans="2:50" ht="30" customHeight="1">
      <c r="B161" s="11">
        <f t="shared" si="10"/>
        <v>156</v>
      </c>
      <c r="C161" s="18" t="s">
        <v>222</v>
      </c>
      <c r="D161" s="18" t="s">
        <v>223</v>
      </c>
      <c r="E161" s="12" t="s">
        <v>256</v>
      </c>
      <c r="F161" s="14">
        <f t="shared" si="9"/>
        <v>0</v>
      </c>
      <c r="G161" s="15" t="s">
        <v>2</v>
      </c>
      <c r="H161" s="3"/>
      <c r="I161" s="3"/>
      <c r="J161" s="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3"/>
    </row>
    <row r="162" spans="2:50" ht="30" customHeight="1">
      <c r="B162" s="11">
        <f t="shared" si="10"/>
        <v>157</v>
      </c>
      <c r="C162" s="18" t="s">
        <v>222</v>
      </c>
      <c r="D162" s="18" t="s">
        <v>223</v>
      </c>
      <c r="E162" s="12" t="s">
        <v>257</v>
      </c>
      <c r="F162" s="14">
        <f t="shared" si="9"/>
        <v>1</v>
      </c>
      <c r="G162" s="15" t="s">
        <v>2</v>
      </c>
      <c r="H162" s="3"/>
      <c r="I162" s="3" t="s">
        <v>3</v>
      </c>
      <c r="J162" s="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3"/>
    </row>
    <row r="163" spans="2:50" ht="30" customHeight="1">
      <c r="B163" s="11">
        <f t="shared" si="10"/>
        <v>158</v>
      </c>
      <c r="C163" s="18" t="s">
        <v>222</v>
      </c>
      <c r="D163" s="18" t="s">
        <v>223</v>
      </c>
      <c r="E163" s="12" t="s">
        <v>258</v>
      </c>
      <c r="F163" s="14">
        <f t="shared" si="9"/>
        <v>0</v>
      </c>
      <c r="G163" s="15" t="s">
        <v>2</v>
      </c>
      <c r="H163" s="3"/>
      <c r="I163" s="3"/>
      <c r="J163" s="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3"/>
    </row>
    <row r="164" spans="2:50" ht="30" customHeight="1">
      <c r="B164" s="11">
        <f t="shared" si="10"/>
        <v>159</v>
      </c>
      <c r="C164" s="18" t="s">
        <v>222</v>
      </c>
      <c r="D164" s="18" t="s">
        <v>223</v>
      </c>
      <c r="E164" s="12" t="s">
        <v>259</v>
      </c>
      <c r="F164" s="14">
        <f t="shared" si="9"/>
        <v>0</v>
      </c>
      <c r="G164" s="15" t="s">
        <v>2</v>
      </c>
      <c r="H164" s="3"/>
      <c r="I164" s="3"/>
      <c r="J164" s="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3"/>
    </row>
    <row r="165" spans="2:50" ht="30" customHeight="1">
      <c r="B165" s="11">
        <f t="shared" si="10"/>
        <v>160</v>
      </c>
      <c r="C165" s="18" t="s">
        <v>222</v>
      </c>
      <c r="D165" s="18" t="s">
        <v>224</v>
      </c>
      <c r="E165" s="12" t="s">
        <v>260</v>
      </c>
      <c r="F165" s="14">
        <f t="shared" si="9"/>
        <v>1</v>
      </c>
      <c r="G165" s="15" t="s">
        <v>2</v>
      </c>
      <c r="H165" s="3"/>
      <c r="I165" s="3"/>
      <c r="J165" s="3"/>
      <c r="K165" s="13"/>
      <c r="L165" s="13"/>
      <c r="M165" s="13"/>
      <c r="N165" s="13"/>
      <c r="O165" s="13"/>
      <c r="P165" s="13"/>
      <c r="Q165" s="13"/>
      <c r="R165" s="13"/>
      <c r="S165" s="13"/>
      <c r="T165" s="3" t="s">
        <v>3</v>
      </c>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3"/>
    </row>
    <row r="166" spans="2:50" ht="30" customHeight="1">
      <c r="B166" s="11">
        <f t="shared" si="10"/>
        <v>161</v>
      </c>
      <c r="C166" s="18" t="s">
        <v>222</v>
      </c>
      <c r="D166" s="18" t="s">
        <v>224</v>
      </c>
      <c r="E166" s="12" t="s">
        <v>224</v>
      </c>
      <c r="F166" s="14">
        <f t="shared" si="9"/>
        <v>1</v>
      </c>
      <c r="G166" s="15" t="s">
        <v>2</v>
      </c>
      <c r="H166" s="3"/>
      <c r="I166" s="3"/>
      <c r="J166" s="3"/>
      <c r="K166" s="13"/>
      <c r="L166" s="13"/>
      <c r="M166" s="13"/>
      <c r="N166" s="13"/>
      <c r="O166" s="13"/>
      <c r="P166" s="13"/>
      <c r="Q166" s="13"/>
      <c r="R166" s="13"/>
      <c r="S166" s="13"/>
      <c r="T166" s="3" t="s">
        <v>3</v>
      </c>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3"/>
    </row>
    <row r="167" spans="2:50" ht="30" customHeight="1">
      <c r="B167" s="11">
        <f t="shared" si="10"/>
        <v>162</v>
      </c>
      <c r="C167" s="18" t="s">
        <v>222</v>
      </c>
      <c r="D167" s="18" t="s">
        <v>224</v>
      </c>
      <c r="E167" s="12" t="s">
        <v>261</v>
      </c>
      <c r="F167" s="14">
        <f t="shared" si="9"/>
        <v>0</v>
      </c>
      <c r="G167" s="15" t="s">
        <v>2</v>
      </c>
      <c r="H167" s="3"/>
      <c r="I167" s="3"/>
      <c r="J167" s="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3"/>
    </row>
    <row r="168" spans="2:50" ht="30" customHeight="1">
      <c r="B168" s="11">
        <f t="shared" si="10"/>
        <v>163</v>
      </c>
      <c r="C168" s="18" t="s">
        <v>222</v>
      </c>
      <c r="D168" s="18" t="s">
        <v>224</v>
      </c>
      <c r="E168" s="12" t="s">
        <v>262</v>
      </c>
      <c r="F168" s="14">
        <f t="shared" si="9"/>
        <v>0</v>
      </c>
      <c r="G168" s="15" t="s">
        <v>2</v>
      </c>
      <c r="H168" s="3"/>
      <c r="I168" s="3"/>
      <c r="J168" s="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3"/>
    </row>
    <row r="169" spans="2:50" ht="30" customHeight="1">
      <c r="B169" s="11">
        <f t="shared" si="10"/>
        <v>164</v>
      </c>
      <c r="C169" s="18" t="s">
        <v>222</v>
      </c>
      <c r="D169" s="18" t="s">
        <v>225</v>
      </c>
      <c r="E169" s="12" t="s">
        <v>263</v>
      </c>
      <c r="F169" s="14">
        <f t="shared" si="9"/>
        <v>1</v>
      </c>
      <c r="G169" s="15" t="s">
        <v>2</v>
      </c>
      <c r="H169" s="3"/>
      <c r="I169" s="3"/>
      <c r="J169" s="3"/>
      <c r="K169" s="13"/>
      <c r="L169" s="13"/>
      <c r="M169" s="13"/>
      <c r="N169" s="13"/>
      <c r="O169" s="13"/>
      <c r="P169" s="13"/>
      <c r="Q169" s="13"/>
      <c r="R169" s="13"/>
      <c r="S169" s="13"/>
      <c r="T169" s="13"/>
      <c r="U169" s="13"/>
      <c r="V169" s="3" t="s">
        <v>3</v>
      </c>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3"/>
    </row>
    <row r="170" spans="2:50" ht="30" customHeight="1">
      <c r="B170" s="11">
        <f t="shared" si="10"/>
        <v>165</v>
      </c>
      <c r="C170" s="18" t="s">
        <v>222</v>
      </c>
      <c r="D170" s="18" t="s">
        <v>225</v>
      </c>
      <c r="E170" s="12" t="s">
        <v>225</v>
      </c>
      <c r="F170" s="14">
        <f t="shared" si="9"/>
        <v>0</v>
      </c>
      <c r="G170" s="15" t="s">
        <v>2</v>
      </c>
      <c r="H170" s="3"/>
      <c r="I170" s="3"/>
      <c r="J170" s="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3"/>
    </row>
    <row r="171" spans="2:50" ht="30" customHeight="1">
      <c r="B171" s="11">
        <f t="shared" si="10"/>
        <v>166</v>
      </c>
      <c r="C171" s="18" t="s">
        <v>222</v>
      </c>
      <c r="D171" s="18" t="s">
        <v>225</v>
      </c>
      <c r="E171" s="12" t="s">
        <v>264</v>
      </c>
      <c r="F171" s="14">
        <f t="shared" si="9"/>
        <v>0</v>
      </c>
      <c r="G171" s="15" t="s">
        <v>2</v>
      </c>
      <c r="H171" s="3"/>
      <c r="I171" s="3"/>
      <c r="J171" s="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3"/>
    </row>
    <row r="172" spans="2:50" ht="30" customHeight="1">
      <c r="B172" s="11">
        <f t="shared" si="10"/>
        <v>167</v>
      </c>
      <c r="C172" s="18" t="s">
        <v>222</v>
      </c>
      <c r="D172" s="18" t="s">
        <v>225</v>
      </c>
      <c r="E172" s="12" t="s">
        <v>265</v>
      </c>
      <c r="F172" s="14">
        <f t="shared" si="9"/>
        <v>0</v>
      </c>
      <c r="G172" s="15" t="s">
        <v>2</v>
      </c>
      <c r="H172" s="3"/>
      <c r="I172" s="3"/>
      <c r="J172" s="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3"/>
    </row>
    <row r="173" spans="2:50" ht="30" customHeight="1">
      <c r="B173" s="11">
        <f t="shared" si="10"/>
        <v>168</v>
      </c>
      <c r="C173" s="18" t="s">
        <v>222</v>
      </c>
      <c r="D173" s="18" t="s">
        <v>226</v>
      </c>
      <c r="E173" s="12" t="s">
        <v>266</v>
      </c>
      <c r="F173" s="14">
        <f t="shared" si="9"/>
        <v>0</v>
      </c>
      <c r="G173" s="15" t="s">
        <v>2</v>
      </c>
      <c r="H173" s="3"/>
      <c r="I173" s="3"/>
      <c r="J173" s="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3"/>
    </row>
    <row r="174" spans="2:50" ht="30" customHeight="1">
      <c r="B174" s="11">
        <f t="shared" si="10"/>
        <v>169</v>
      </c>
      <c r="C174" s="18" t="s">
        <v>222</v>
      </c>
      <c r="D174" s="18" t="s">
        <v>226</v>
      </c>
      <c r="E174" s="12" t="s">
        <v>226</v>
      </c>
      <c r="F174" s="14">
        <f t="shared" si="9"/>
        <v>1</v>
      </c>
      <c r="G174" s="15" t="s">
        <v>2</v>
      </c>
      <c r="H174" s="3"/>
      <c r="I174" s="3"/>
      <c r="J174" s="3"/>
      <c r="K174" s="13"/>
      <c r="L174" s="13"/>
      <c r="M174" s="13"/>
      <c r="N174" s="13"/>
      <c r="O174" s="13"/>
      <c r="P174" s="13"/>
      <c r="Q174" s="13"/>
      <c r="R174" s="13"/>
      <c r="S174" s="13"/>
      <c r="T174" s="3" t="s">
        <v>3</v>
      </c>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3"/>
    </row>
    <row r="175" spans="2:50" ht="30" customHeight="1">
      <c r="B175" s="11">
        <f t="shared" si="10"/>
        <v>170</v>
      </c>
      <c r="C175" s="18" t="s">
        <v>222</v>
      </c>
      <c r="D175" s="18" t="s">
        <v>226</v>
      </c>
      <c r="E175" s="12" t="s">
        <v>267</v>
      </c>
      <c r="F175" s="14">
        <f t="shared" si="9"/>
        <v>0</v>
      </c>
      <c r="G175" s="15" t="s">
        <v>2</v>
      </c>
      <c r="H175" s="3"/>
      <c r="I175" s="3"/>
      <c r="J175" s="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3"/>
    </row>
    <row r="176" spans="2:50" ht="30" customHeight="1">
      <c r="B176" s="11">
        <f t="shared" si="10"/>
        <v>171</v>
      </c>
      <c r="C176" s="18" t="s">
        <v>222</v>
      </c>
      <c r="D176" s="18" t="s">
        <v>226</v>
      </c>
      <c r="E176" s="12" t="s">
        <v>268</v>
      </c>
      <c r="F176" s="14">
        <f t="shared" si="9"/>
        <v>0</v>
      </c>
      <c r="G176" s="15" t="s">
        <v>2</v>
      </c>
      <c r="H176" s="3"/>
      <c r="I176" s="3"/>
      <c r="J176" s="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3"/>
    </row>
    <row r="177" spans="2:50" ht="30" customHeight="1">
      <c r="B177" s="11">
        <f t="shared" si="10"/>
        <v>172</v>
      </c>
      <c r="C177" s="18" t="s">
        <v>222</v>
      </c>
      <c r="D177" s="18" t="s">
        <v>226</v>
      </c>
      <c r="E177" s="12" t="s">
        <v>269</v>
      </c>
      <c r="F177" s="14">
        <f t="shared" si="9"/>
        <v>0</v>
      </c>
      <c r="G177" s="15" t="s">
        <v>2</v>
      </c>
      <c r="H177" s="3"/>
      <c r="I177" s="3"/>
      <c r="J177" s="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3"/>
    </row>
    <row r="178" spans="2:50" ht="30" customHeight="1">
      <c r="B178" s="11">
        <f t="shared" si="10"/>
        <v>173</v>
      </c>
      <c r="C178" s="18" t="s">
        <v>222</v>
      </c>
      <c r="D178" s="18" t="s">
        <v>226</v>
      </c>
      <c r="E178" s="12" t="s">
        <v>270</v>
      </c>
      <c r="F178" s="14">
        <f t="shared" si="9"/>
        <v>0</v>
      </c>
      <c r="G178" s="15" t="s">
        <v>2</v>
      </c>
      <c r="H178" s="3"/>
      <c r="I178" s="3"/>
      <c r="J178" s="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3"/>
    </row>
    <row r="179" spans="2:50" ht="30" customHeight="1">
      <c r="B179" s="11">
        <f t="shared" si="10"/>
        <v>174</v>
      </c>
      <c r="C179" s="18" t="s">
        <v>222</v>
      </c>
      <c r="D179" s="18" t="s">
        <v>226</v>
      </c>
      <c r="E179" s="12" t="s">
        <v>271</v>
      </c>
      <c r="F179" s="14">
        <f t="shared" si="9"/>
        <v>0</v>
      </c>
      <c r="G179" s="15" t="s">
        <v>2</v>
      </c>
      <c r="H179" s="3"/>
      <c r="I179" s="3"/>
      <c r="J179" s="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3"/>
    </row>
    <row r="180" spans="2:50" ht="30" customHeight="1">
      <c r="B180" s="11">
        <f t="shared" si="10"/>
        <v>175</v>
      </c>
      <c r="C180" s="18" t="s">
        <v>222</v>
      </c>
      <c r="D180" s="18" t="s">
        <v>227</v>
      </c>
      <c r="E180" s="12" t="s">
        <v>272</v>
      </c>
      <c r="F180" s="14">
        <f t="shared" si="9"/>
        <v>0</v>
      </c>
      <c r="G180" s="15" t="s">
        <v>2</v>
      </c>
      <c r="H180" s="3"/>
      <c r="I180" s="3"/>
      <c r="J180" s="3"/>
      <c r="K180" s="13"/>
      <c r="L180" s="13"/>
      <c r="M180" s="13"/>
      <c r="N180" s="13"/>
      <c r="O180" s="13"/>
      <c r="P180" s="13"/>
      <c r="Q180" s="13"/>
      <c r="R180" s="13"/>
      <c r="S180" s="13"/>
      <c r="T180" s="13"/>
      <c r="U180" s="3"/>
      <c r="V180" s="13"/>
      <c r="W180" s="13"/>
      <c r="X180" s="13"/>
      <c r="Y180" s="13"/>
      <c r="Z180" s="13"/>
      <c r="AA180" s="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3"/>
    </row>
    <row r="181" spans="2:50" ht="30" customHeight="1">
      <c r="B181" s="11">
        <f t="shared" si="10"/>
        <v>176</v>
      </c>
      <c r="C181" s="18" t="s">
        <v>222</v>
      </c>
      <c r="D181" s="18" t="s">
        <v>227</v>
      </c>
      <c r="E181" s="12" t="s">
        <v>227</v>
      </c>
      <c r="F181" s="14">
        <f t="shared" si="9"/>
        <v>2</v>
      </c>
      <c r="G181" s="15" t="s">
        <v>2</v>
      </c>
      <c r="H181" s="3"/>
      <c r="I181" s="3"/>
      <c r="J181" s="3"/>
      <c r="K181" s="13"/>
      <c r="L181" s="13"/>
      <c r="M181" s="13"/>
      <c r="N181" s="13"/>
      <c r="O181" s="13"/>
      <c r="P181" s="13"/>
      <c r="Q181" s="13"/>
      <c r="R181" s="13"/>
      <c r="S181" s="13"/>
      <c r="T181" s="13"/>
      <c r="U181" s="13" t="s">
        <v>3</v>
      </c>
      <c r="V181" s="13"/>
      <c r="W181" s="13"/>
      <c r="X181" s="13"/>
      <c r="Y181" s="13"/>
      <c r="Z181" s="13"/>
      <c r="AA181" s="13" t="s">
        <v>3</v>
      </c>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3"/>
    </row>
    <row r="182" spans="2:50" ht="30" customHeight="1">
      <c r="B182" s="11">
        <f t="shared" si="10"/>
        <v>177</v>
      </c>
      <c r="C182" s="18" t="s">
        <v>222</v>
      </c>
      <c r="D182" s="18" t="s">
        <v>227</v>
      </c>
      <c r="E182" s="12" t="s">
        <v>273</v>
      </c>
      <c r="F182" s="14">
        <f t="shared" si="9"/>
        <v>0</v>
      </c>
      <c r="G182" s="15" t="s">
        <v>2</v>
      </c>
      <c r="H182" s="3"/>
      <c r="I182" s="3"/>
      <c r="J182" s="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3"/>
    </row>
    <row r="183" spans="2:50" ht="30" customHeight="1">
      <c r="B183" s="11">
        <f t="shared" si="10"/>
        <v>178</v>
      </c>
      <c r="C183" s="18" t="s">
        <v>222</v>
      </c>
      <c r="D183" s="18" t="s">
        <v>227</v>
      </c>
      <c r="E183" s="12" t="s">
        <v>274</v>
      </c>
      <c r="F183" s="14">
        <f t="shared" si="9"/>
        <v>0</v>
      </c>
      <c r="G183" s="15" t="s">
        <v>2</v>
      </c>
      <c r="H183" s="3"/>
      <c r="I183" s="3"/>
      <c r="J183" s="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3"/>
    </row>
    <row r="184" spans="2:50" ht="30" customHeight="1">
      <c r="B184" s="11">
        <f t="shared" si="10"/>
        <v>179</v>
      </c>
      <c r="C184" s="18" t="s">
        <v>222</v>
      </c>
      <c r="D184" s="18" t="s">
        <v>228</v>
      </c>
      <c r="E184" s="12" t="s">
        <v>275</v>
      </c>
      <c r="F184" s="14">
        <f t="shared" si="9"/>
        <v>2</v>
      </c>
      <c r="G184" s="15" t="s">
        <v>2</v>
      </c>
      <c r="H184" s="3"/>
      <c r="I184" s="3"/>
      <c r="J184" s="3"/>
      <c r="K184" s="13"/>
      <c r="L184" s="13" t="s">
        <v>3</v>
      </c>
      <c r="M184" s="13" t="s">
        <v>3</v>
      </c>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3"/>
    </row>
    <row r="185" spans="2:50" ht="30" customHeight="1">
      <c r="B185" s="11">
        <f t="shared" si="10"/>
        <v>180</v>
      </c>
      <c r="C185" s="18" t="s">
        <v>222</v>
      </c>
      <c r="D185" s="18" t="s">
        <v>228</v>
      </c>
      <c r="E185" s="12" t="s">
        <v>228</v>
      </c>
      <c r="F185" s="14">
        <f t="shared" si="9"/>
        <v>2</v>
      </c>
      <c r="G185" s="15" t="s">
        <v>2</v>
      </c>
      <c r="H185" s="3"/>
      <c r="I185" s="3"/>
      <c r="J185" s="3"/>
      <c r="K185" s="13"/>
      <c r="L185" s="13"/>
      <c r="M185" s="13" t="s">
        <v>3</v>
      </c>
      <c r="N185" s="13"/>
      <c r="O185" s="13" t="s">
        <v>3</v>
      </c>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3"/>
    </row>
    <row r="186" spans="2:50" ht="30" customHeight="1">
      <c r="B186" s="11">
        <f t="shared" si="10"/>
        <v>181</v>
      </c>
      <c r="C186" s="18" t="s">
        <v>222</v>
      </c>
      <c r="D186" s="18" t="s">
        <v>228</v>
      </c>
      <c r="E186" s="12" t="s">
        <v>276</v>
      </c>
      <c r="F186" s="14">
        <f t="shared" si="9"/>
        <v>0</v>
      </c>
      <c r="G186" s="15" t="s">
        <v>2</v>
      </c>
      <c r="H186" s="3"/>
      <c r="I186" s="3"/>
      <c r="J186" s="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3"/>
    </row>
    <row r="187" spans="2:50" ht="30" customHeight="1">
      <c r="B187" s="11">
        <f t="shared" si="10"/>
        <v>182</v>
      </c>
      <c r="C187" s="18" t="s">
        <v>222</v>
      </c>
      <c r="D187" s="18" t="s">
        <v>228</v>
      </c>
      <c r="E187" s="12" t="s">
        <v>277</v>
      </c>
      <c r="F187" s="14">
        <f t="shared" si="9"/>
        <v>0</v>
      </c>
      <c r="G187" s="15" t="s">
        <v>2</v>
      </c>
      <c r="H187" s="3"/>
      <c r="I187" s="3"/>
      <c r="J187" s="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3"/>
    </row>
    <row r="188" spans="2:50" ht="30" customHeight="1">
      <c r="B188" s="11">
        <f t="shared" si="10"/>
        <v>183</v>
      </c>
      <c r="C188" s="18" t="s">
        <v>222</v>
      </c>
      <c r="D188" s="18" t="s">
        <v>229</v>
      </c>
      <c r="E188" s="12" t="s">
        <v>278</v>
      </c>
      <c r="F188" s="14">
        <f t="shared" si="9"/>
        <v>1</v>
      </c>
      <c r="G188" s="15" t="s">
        <v>2</v>
      </c>
      <c r="H188" s="3"/>
      <c r="I188" s="3"/>
      <c r="J188" s="3"/>
      <c r="K188" s="13"/>
      <c r="L188" s="13"/>
      <c r="M188" s="13"/>
      <c r="N188" s="13"/>
      <c r="O188" s="13" t="s">
        <v>3</v>
      </c>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3"/>
    </row>
    <row r="189" spans="2:50" ht="30" customHeight="1">
      <c r="B189" s="11">
        <f t="shared" si="10"/>
        <v>184</v>
      </c>
      <c r="C189" s="18" t="s">
        <v>222</v>
      </c>
      <c r="D189" s="18" t="s">
        <v>229</v>
      </c>
      <c r="E189" s="12" t="s">
        <v>229</v>
      </c>
      <c r="F189" s="14">
        <f t="shared" si="9"/>
        <v>2</v>
      </c>
      <c r="G189" s="15" t="s">
        <v>2</v>
      </c>
      <c r="H189" s="3"/>
      <c r="I189" s="3"/>
      <c r="J189" s="3"/>
      <c r="K189" s="13"/>
      <c r="L189" s="13"/>
      <c r="M189" s="13"/>
      <c r="N189" s="13"/>
      <c r="O189" s="13" t="s">
        <v>3</v>
      </c>
      <c r="P189" s="13"/>
      <c r="Q189" s="13"/>
      <c r="R189" s="13"/>
      <c r="S189" s="13"/>
      <c r="T189" s="13"/>
      <c r="U189" s="13"/>
      <c r="V189" s="13"/>
      <c r="W189" s="13"/>
      <c r="X189" s="13"/>
      <c r="Y189" s="13"/>
      <c r="Z189" s="13" t="s">
        <v>3</v>
      </c>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3"/>
    </row>
    <row r="190" spans="2:50" ht="30" customHeight="1">
      <c r="B190" s="11">
        <f t="shared" si="10"/>
        <v>185</v>
      </c>
      <c r="C190" s="18" t="s">
        <v>222</v>
      </c>
      <c r="D190" s="18" t="s">
        <v>229</v>
      </c>
      <c r="E190" s="12" t="s">
        <v>279</v>
      </c>
      <c r="F190" s="14">
        <f t="shared" si="9"/>
        <v>0</v>
      </c>
      <c r="G190" s="15" t="s">
        <v>2</v>
      </c>
      <c r="H190" s="3"/>
      <c r="I190" s="3"/>
      <c r="J190" s="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3"/>
    </row>
    <row r="191" spans="2:50" ht="30" customHeight="1">
      <c r="B191" s="11">
        <f t="shared" si="10"/>
        <v>186</v>
      </c>
      <c r="C191" s="18" t="s">
        <v>222</v>
      </c>
      <c r="D191" s="18" t="s">
        <v>229</v>
      </c>
      <c r="E191" s="12" t="s">
        <v>280</v>
      </c>
      <c r="F191" s="14">
        <f t="shared" si="9"/>
        <v>0</v>
      </c>
      <c r="G191" s="15" t="s">
        <v>2</v>
      </c>
      <c r="H191" s="3"/>
      <c r="I191" s="3"/>
      <c r="J191" s="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3"/>
    </row>
    <row r="192" spans="2:50" ht="30" customHeight="1">
      <c r="B192" s="11">
        <f t="shared" si="10"/>
        <v>187</v>
      </c>
      <c r="C192" s="18" t="s">
        <v>222</v>
      </c>
      <c r="D192" s="18" t="s">
        <v>230</v>
      </c>
      <c r="E192" s="12" t="s">
        <v>281</v>
      </c>
      <c r="F192" s="14">
        <f t="shared" si="9"/>
        <v>0</v>
      </c>
      <c r="G192" s="15" t="s">
        <v>2</v>
      </c>
      <c r="H192" s="3"/>
      <c r="I192" s="3"/>
      <c r="J192" s="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3"/>
    </row>
    <row r="193" spans="2:50" ht="30" customHeight="1">
      <c r="B193" s="11">
        <f t="shared" si="10"/>
        <v>188</v>
      </c>
      <c r="C193" s="18" t="s">
        <v>222</v>
      </c>
      <c r="D193" s="18" t="s">
        <v>230</v>
      </c>
      <c r="E193" s="12" t="s">
        <v>230</v>
      </c>
      <c r="F193" s="14">
        <f t="shared" si="9"/>
        <v>0</v>
      </c>
      <c r="G193" s="15" t="s">
        <v>2</v>
      </c>
      <c r="H193" s="3"/>
      <c r="I193" s="3"/>
      <c r="J193" s="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3"/>
    </row>
    <row r="194" spans="2:50" ht="30" customHeight="1">
      <c r="B194" s="11">
        <f t="shared" si="10"/>
        <v>189</v>
      </c>
      <c r="C194" s="18" t="s">
        <v>222</v>
      </c>
      <c r="D194" s="18" t="s">
        <v>230</v>
      </c>
      <c r="E194" s="12" t="s">
        <v>282</v>
      </c>
      <c r="F194" s="14">
        <f t="shared" si="9"/>
        <v>0</v>
      </c>
      <c r="G194" s="15" t="s">
        <v>2</v>
      </c>
      <c r="H194" s="3"/>
      <c r="I194" s="3"/>
      <c r="J194" s="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3"/>
    </row>
    <row r="195" spans="2:50" ht="30" customHeight="1">
      <c r="B195" s="11">
        <f t="shared" si="10"/>
        <v>190</v>
      </c>
      <c r="C195" s="18" t="s">
        <v>222</v>
      </c>
      <c r="D195" s="18" t="s">
        <v>230</v>
      </c>
      <c r="E195" s="12" t="s">
        <v>283</v>
      </c>
      <c r="F195" s="14">
        <f t="shared" si="9"/>
        <v>0</v>
      </c>
      <c r="G195" s="15" t="s">
        <v>2</v>
      </c>
      <c r="H195" s="3"/>
      <c r="I195" s="3"/>
      <c r="J195" s="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3"/>
    </row>
    <row r="196" spans="2:50" ht="30" customHeight="1">
      <c r="B196" s="11">
        <f t="shared" si="10"/>
        <v>191</v>
      </c>
      <c r="C196" s="18" t="s">
        <v>222</v>
      </c>
      <c r="D196" s="18" t="s">
        <v>231</v>
      </c>
      <c r="E196" s="12" t="s">
        <v>284</v>
      </c>
      <c r="F196" s="14">
        <f t="shared" si="9"/>
        <v>1</v>
      </c>
      <c r="G196" s="15" t="s">
        <v>2</v>
      </c>
      <c r="H196" s="3"/>
      <c r="I196" s="3"/>
      <c r="J196" s="3"/>
      <c r="K196" s="13"/>
      <c r="L196" s="13"/>
      <c r="M196" s="13"/>
      <c r="N196" s="13"/>
      <c r="O196" s="13" t="s">
        <v>3</v>
      </c>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3"/>
    </row>
    <row r="197" spans="2:50" ht="30" customHeight="1">
      <c r="B197" s="11">
        <f t="shared" si="10"/>
        <v>192</v>
      </c>
      <c r="C197" s="18" t="s">
        <v>222</v>
      </c>
      <c r="D197" s="18" t="s">
        <v>231</v>
      </c>
      <c r="E197" s="12" t="s">
        <v>231</v>
      </c>
      <c r="F197" s="14">
        <f t="shared" si="9"/>
        <v>1</v>
      </c>
      <c r="G197" s="15" t="s">
        <v>2</v>
      </c>
      <c r="H197" s="3"/>
      <c r="I197" s="3"/>
      <c r="J197" s="3"/>
      <c r="K197" s="13"/>
      <c r="L197" s="13"/>
      <c r="M197" s="13"/>
      <c r="N197" s="13"/>
      <c r="O197" s="13" t="s">
        <v>3</v>
      </c>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3"/>
    </row>
    <row r="198" spans="2:50" ht="30" customHeight="1">
      <c r="B198" s="11">
        <f t="shared" si="10"/>
        <v>193</v>
      </c>
      <c r="C198" s="18" t="s">
        <v>222</v>
      </c>
      <c r="D198" s="18" t="s">
        <v>231</v>
      </c>
      <c r="E198" s="12" t="s">
        <v>285</v>
      </c>
      <c r="F198" s="14">
        <f t="shared" ref="F198:F261" si="11">COUNTA(H198:AW198)</f>
        <v>0</v>
      </c>
      <c r="G198" s="15" t="s">
        <v>2</v>
      </c>
      <c r="H198" s="3"/>
      <c r="I198" s="3"/>
      <c r="J198" s="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3"/>
    </row>
    <row r="199" spans="2:50" ht="30" customHeight="1">
      <c r="B199" s="11">
        <f t="shared" si="10"/>
        <v>194</v>
      </c>
      <c r="C199" s="18" t="s">
        <v>222</v>
      </c>
      <c r="D199" s="18" t="s">
        <v>231</v>
      </c>
      <c r="E199" s="12" t="s">
        <v>286</v>
      </c>
      <c r="F199" s="14">
        <f t="shared" si="11"/>
        <v>0</v>
      </c>
      <c r="G199" s="15" t="s">
        <v>2</v>
      </c>
      <c r="H199" s="3"/>
      <c r="I199" s="3"/>
      <c r="J199" s="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3"/>
    </row>
    <row r="200" spans="2:50" ht="30" customHeight="1">
      <c r="B200" s="11">
        <f t="shared" si="10"/>
        <v>195</v>
      </c>
      <c r="C200" s="18" t="s">
        <v>222</v>
      </c>
      <c r="D200" s="18" t="s">
        <v>232</v>
      </c>
      <c r="E200" s="12" t="s">
        <v>287</v>
      </c>
      <c r="F200" s="14">
        <f t="shared" si="11"/>
        <v>1</v>
      </c>
      <c r="G200" s="15" t="s">
        <v>2</v>
      </c>
      <c r="H200" s="3"/>
      <c r="I200" s="3"/>
      <c r="J200" s="3"/>
      <c r="K200" s="13"/>
      <c r="L200" s="13"/>
      <c r="M200" s="13"/>
      <c r="N200" s="13"/>
      <c r="O200" s="13"/>
      <c r="P200" s="13"/>
      <c r="Q200" s="13"/>
      <c r="R200" s="13"/>
      <c r="S200" s="13"/>
      <c r="T200" s="13"/>
      <c r="U200" s="13"/>
      <c r="V200" s="13"/>
      <c r="W200" s="13"/>
      <c r="X200" s="13"/>
      <c r="Y200" s="13"/>
      <c r="Z200" s="13"/>
      <c r="AA200" s="13"/>
      <c r="AB200" s="13" t="s">
        <v>3</v>
      </c>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3"/>
    </row>
    <row r="201" spans="2:50" ht="30" customHeight="1">
      <c r="B201" s="11">
        <f t="shared" ref="B201:B264" si="12">ROW()-5</f>
        <v>196</v>
      </c>
      <c r="C201" s="18" t="s">
        <v>222</v>
      </c>
      <c r="D201" s="18" t="s">
        <v>232</v>
      </c>
      <c r="E201" s="12" t="s">
        <v>232</v>
      </c>
      <c r="F201" s="14">
        <f t="shared" si="11"/>
        <v>1</v>
      </c>
      <c r="G201" s="15" t="s">
        <v>2</v>
      </c>
      <c r="H201" s="3"/>
      <c r="I201" s="3"/>
      <c r="J201" s="3"/>
      <c r="K201" s="13"/>
      <c r="L201" s="13"/>
      <c r="M201" s="13"/>
      <c r="N201" s="13"/>
      <c r="O201" s="13"/>
      <c r="P201" s="13"/>
      <c r="Q201" s="13"/>
      <c r="R201" s="13"/>
      <c r="S201" s="13"/>
      <c r="T201" s="13"/>
      <c r="U201" s="13"/>
      <c r="V201" s="13"/>
      <c r="W201" s="13"/>
      <c r="X201" s="13"/>
      <c r="Y201" s="13"/>
      <c r="Z201" s="13"/>
      <c r="AA201" s="13"/>
      <c r="AB201" s="13" t="s">
        <v>3</v>
      </c>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3"/>
    </row>
    <row r="202" spans="2:50" ht="30" customHeight="1">
      <c r="B202" s="11">
        <f t="shared" si="12"/>
        <v>197</v>
      </c>
      <c r="C202" s="18" t="s">
        <v>222</v>
      </c>
      <c r="D202" s="18" t="s">
        <v>232</v>
      </c>
      <c r="E202" s="12" t="s">
        <v>288</v>
      </c>
      <c r="F202" s="14">
        <f t="shared" si="11"/>
        <v>0</v>
      </c>
      <c r="G202" s="15" t="s">
        <v>2</v>
      </c>
      <c r="H202" s="3"/>
      <c r="I202" s="3"/>
      <c r="J202" s="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3"/>
    </row>
    <row r="203" spans="2:50" ht="30" customHeight="1">
      <c r="B203" s="11">
        <f t="shared" si="12"/>
        <v>198</v>
      </c>
      <c r="C203" s="18" t="s">
        <v>222</v>
      </c>
      <c r="D203" s="18" t="s">
        <v>232</v>
      </c>
      <c r="E203" s="12" t="s">
        <v>289</v>
      </c>
      <c r="F203" s="14">
        <f t="shared" si="11"/>
        <v>0</v>
      </c>
      <c r="G203" s="15" t="s">
        <v>2</v>
      </c>
      <c r="H203" s="3"/>
      <c r="I203" s="3"/>
      <c r="J203" s="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3"/>
    </row>
    <row r="204" spans="2:50" ht="30" customHeight="1">
      <c r="B204" s="11">
        <f t="shared" si="12"/>
        <v>199</v>
      </c>
      <c r="C204" s="18" t="s">
        <v>222</v>
      </c>
      <c r="D204" s="18" t="s">
        <v>233</v>
      </c>
      <c r="E204" s="12" t="s">
        <v>290</v>
      </c>
      <c r="F204" s="14">
        <f t="shared" si="11"/>
        <v>2</v>
      </c>
      <c r="G204" s="15" t="s">
        <v>2</v>
      </c>
      <c r="H204" s="3"/>
      <c r="I204" s="3"/>
      <c r="J204" s="3"/>
      <c r="K204" s="13"/>
      <c r="L204" s="13"/>
      <c r="M204" s="13"/>
      <c r="N204" s="13" t="s">
        <v>3</v>
      </c>
      <c r="O204" s="13"/>
      <c r="P204" s="13"/>
      <c r="Q204" s="13"/>
      <c r="R204" s="13"/>
      <c r="S204" s="13"/>
      <c r="T204" s="13"/>
      <c r="U204" s="13"/>
      <c r="V204" s="13" t="s">
        <v>3</v>
      </c>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3"/>
    </row>
    <row r="205" spans="2:50" ht="30" customHeight="1">
      <c r="B205" s="11">
        <f t="shared" si="12"/>
        <v>200</v>
      </c>
      <c r="C205" s="18" t="s">
        <v>222</v>
      </c>
      <c r="D205" s="18" t="s">
        <v>233</v>
      </c>
      <c r="E205" s="12" t="s">
        <v>233</v>
      </c>
      <c r="F205" s="14">
        <f t="shared" si="11"/>
        <v>6</v>
      </c>
      <c r="G205" s="15" t="s">
        <v>2</v>
      </c>
      <c r="H205" s="3"/>
      <c r="I205" s="13" t="s">
        <v>3</v>
      </c>
      <c r="J205" s="3"/>
      <c r="K205" s="13"/>
      <c r="L205" s="13"/>
      <c r="M205" s="13" t="s">
        <v>3</v>
      </c>
      <c r="N205" s="13" t="s">
        <v>3</v>
      </c>
      <c r="O205" s="13"/>
      <c r="P205" s="13"/>
      <c r="Q205" s="13"/>
      <c r="R205" s="13"/>
      <c r="S205" s="13"/>
      <c r="T205" s="13"/>
      <c r="U205" s="13"/>
      <c r="V205" s="13" t="s">
        <v>3</v>
      </c>
      <c r="W205" s="13" t="s">
        <v>3</v>
      </c>
      <c r="X205" s="13"/>
      <c r="Y205" s="13" t="s">
        <v>3</v>
      </c>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3"/>
    </row>
    <row r="206" spans="2:50" ht="30" customHeight="1">
      <c r="B206" s="11">
        <f t="shared" si="12"/>
        <v>201</v>
      </c>
      <c r="C206" s="18" t="s">
        <v>222</v>
      </c>
      <c r="D206" s="18" t="s">
        <v>233</v>
      </c>
      <c r="E206" s="12" t="s">
        <v>291</v>
      </c>
      <c r="F206" s="14">
        <f t="shared" si="11"/>
        <v>0</v>
      </c>
      <c r="G206" s="15" t="s">
        <v>2</v>
      </c>
      <c r="H206" s="3"/>
      <c r="I206" s="3"/>
      <c r="J206" s="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3"/>
    </row>
    <row r="207" spans="2:50" ht="30" customHeight="1">
      <c r="B207" s="11">
        <f t="shared" si="12"/>
        <v>202</v>
      </c>
      <c r="C207" s="18" t="s">
        <v>222</v>
      </c>
      <c r="D207" s="18" t="s">
        <v>233</v>
      </c>
      <c r="E207" s="12" t="s">
        <v>292</v>
      </c>
      <c r="F207" s="14">
        <f t="shared" si="11"/>
        <v>0</v>
      </c>
      <c r="G207" s="15" t="s">
        <v>2</v>
      </c>
      <c r="H207" s="3"/>
      <c r="I207" s="3"/>
      <c r="J207" s="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3"/>
    </row>
    <row r="208" spans="2:50" ht="30" customHeight="1">
      <c r="B208" s="11">
        <f t="shared" si="12"/>
        <v>203</v>
      </c>
      <c r="C208" s="18" t="s">
        <v>222</v>
      </c>
      <c r="D208" s="18" t="s">
        <v>234</v>
      </c>
      <c r="E208" s="12" t="s">
        <v>293</v>
      </c>
      <c r="F208" s="14">
        <f t="shared" si="11"/>
        <v>2</v>
      </c>
      <c r="G208" s="15" t="s">
        <v>2</v>
      </c>
      <c r="H208" s="3"/>
      <c r="I208" s="3"/>
      <c r="J208" s="13" t="s">
        <v>3</v>
      </c>
      <c r="K208" s="13"/>
      <c r="L208" s="13"/>
      <c r="M208" s="13"/>
      <c r="N208" s="13"/>
      <c r="O208" s="13"/>
      <c r="P208" s="13"/>
      <c r="Q208" s="13"/>
      <c r="R208" s="13"/>
      <c r="S208" s="13"/>
      <c r="T208" s="13"/>
      <c r="U208" s="13"/>
      <c r="V208" s="13" t="s">
        <v>3</v>
      </c>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3"/>
    </row>
    <row r="209" spans="2:50" ht="30" customHeight="1">
      <c r="B209" s="11">
        <f t="shared" si="12"/>
        <v>204</v>
      </c>
      <c r="C209" s="18" t="s">
        <v>222</v>
      </c>
      <c r="D209" s="18" t="s">
        <v>234</v>
      </c>
      <c r="E209" s="12" t="s">
        <v>234</v>
      </c>
      <c r="F209" s="14">
        <f t="shared" si="11"/>
        <v>2</v>
      </c>
      <c r="G209" s="15" t="s">
        <v>2</v>
      </c>
      <c r="H209" s="3"/>
      <c r="I209" s="3"/>
      <c r="J209" s="13" t="s">
        <v>3</v>
      </c>
      <c r="K209" s="13"/>
      <c r="L209" s="13"/>
      <c r="M209" s="13"/>
      <c r="N209" s="13"/>
      <c r="O209" s="13"/>
      <c r="P209" s="13"/>
      <c r="Q209" s="13"/>
      <c r="R209" s="13"/>
      <c r="S209" s="13"/>
      <c r="T209" s="13"/>
      <c r="U209" s="13"/>
      <c r="V209" s="13" t="s">
        <v>3</v>
      </c>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3"/>
    </row>
    <row r="210" spans="2:50" ht="30" customHeight="1">
      <c r="B210" s="11">
        <f t="shared" si="12"/>
        <v>205</v>
      </c>
      <c r="C210" s="18" t="s">
        <v>222</v>
      </c>
      <c r="D210" s="18" t="s">
        <v>234</v>
      </c>
      <c r="E210" s="12" t="s">
        <v>294</v>
      </c>
      <c r="F210" s="14">
        <f t="shared" si="11"/>
        <v>0</v>
      </c>
      <c r="G210" s="15" t="s">
        <v>2</v>
      </c>
      <c r="H210" s="3"/>
      <c r="I210" s="3"/>
      <c r="J210" s="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3"/>
    </row>
    <row r="211" spans="2:50" ht="30" customHeight="1">
      <c r="B211" s="11">
        <f t="shared" si="12"/>
        <v>206</v>
      </c>
      <c r="C211" s="18" t="s">
        <v>222</v>
      </c>
      <c r="D211" s="18" t="s">
        <v>234</v>
      </c>
      <c r="E211" s="12" t="s">
        <v>295</v>
      </c>
      <c r="F211" s="14">
        <f t="shared" si="11"/>
        <v>0</v>
      </c>
      <c r="G211" s="15" t="s">
        <v>2</v>
      </c>
      <c r="H211" s="3"/>
      <c r="I211" s="3"/>
      <c r="J211" s="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3"/>
    </row>
    <row r="212" spans="2:50" ht="30" customHeight="1">
      <c r="B212" s="11">
        <f t="shared" si="12"/>
        <v>207</v>
      </c>
      <c r="C212" s="18" t="s">
        <v>222</v>
      </c>
      <c r="D212" s="18" t="s">
        <v>235</v>
      </c>
      <c r="E212" s="12" t="s">
        <v>296</v>
      </c>
      <c r="F212" s="14">
        <f t="shared" si="11"/>
        <v>1</v>
      </c>
      <c r="G212" s="15" t="s">
        <v>2</v>
      </c>
      <c r="H212" s="3"/>
      <c r="I212" s="3"/>
      <c r="J212" s="3"/>
      <c r="K212" s="13"/>
      <c r="L212" s="13"/>
      <c r="M212" s="13"/>
      <c r="N212" s="13"/>
      <c r="O212" s="13"/>
      <c r="P212" s="13"/>
      <c r="Q212" s="13"/>
      <c r="R212" s="13"/>
      <c r="S212" s="13"/>
      <c r="T212" s="13"/>
      <c r="U212" s="13"/>
      <c r="V212" s="13"/>
      <c r="W212" s="13" t="s">
        <v>3</v>
      </c>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3"/>
    </row>
    <row r="213" spans="2:50" ht="30" customHeight="1">
      <c r="B213" s="11">
        <f t="shared" si="12"/>
        <v>208</v>
      </c>
      <c r="C213" s="18" t="s">
        <v>222</v>
      </c>
      <c r="D213" s="18" t="s">
        <v>235</v>
      </c>
      <c r="E213" s="12" t="s">
        <v>235</v>
      </c>
      <c r="F213" s="14">
        <f t="shared" si="11"/>
        <v>2</v>
      </c>
      <c r="G213" s="15" t="s">
        <v>2</v>
      </c>
      <c r="H213" s="3"/>
      <c r="I213" s="3"/>
      <c r="J213" s="3"/>
      <c r="K213" s="13"/>
      <c r="L213" s="13"/>
      <c r="M213" s="13"/>
      <c r="N213" s="13"/>
      <c r="O213" s="13"/>
      <c r="P213" s="13"/>
      <c r="Q213" s="13"/>
      <c r="R213" s="13"/>
      <c r="S213" s="13"/>
      <c r="T213" s="13"/>
      <c r="U213" s="13"/>
      <c r="V213" s="13"/>
      <c r="W213" s="13" t="s">
        <v>3</v>
      </c>
      <c r="X213" s="13"/>
      <c r="Y213" s="13" t="s">
        <v>3</v>
      </c>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3"/>
    </row>
    <row r="214" spans="2:50" ht="30" customHeight="1">
      <c r="B214" s="11">
        <f t="shared" si="12"/>
        <v>209</v>
      </c>
      <c r="C214" s="18" t="s">
        <v>222</v>
      </c>
      <c r="D214" s="18" t="s">
        <v>235</v>
      </c>
      <c r="E214" s="12" t="s">
        <v>297</v>
      </c>
      <c r="F214" s="14">
        <f t="shared" si="11"/>
        <v>0</v>
      </c>
      <c r="G214" s="15" t="s">
        <v>2</v>
      </c>
      <c r="H214" s="3"/>
      <c r="I214" s="3"/>
      <c r="J214" s="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3"/>
    </row>
    <row r="215" spans="2:50" ht="30" customHeight="1">
      <c r="B215" s="11">
        <f t="shared" si="12"/>
        <v>210</v>
      </c>
      <c r="C215" s="18" t="s">
        <v>222</v>
      </c>
      <c r="D215" s="18" t="s">
        <v>235</v>
      </c>
      <c r="E215" s="12" t="s">
        <v>298</v>
      </c>
      <c r="F215" s="14">
        <f t="shared" si="11"/>
        <v>0</v>
      </c>
      <c r="G215" s="15" t="s">
        <v>2</v>
      </c>
      <c r="H215" s="3"/>
      <c r="I215" s="3"/>
      <c r="J215" s="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3"/>
    </row>
    <row r="216" spans="2:50" ht="30" customHeight="1">
      <c r="B216" s="11">
        <f t="shared" si="12"/>
        <v>211</v>
      </c>
      <c r="C216" s="18" t="s">
        <v>222</v>
      </c>
      <c r="D216" s="18" t="s">
        <v>236</v>
      </c>
      <c r="E216" s="12" t="s">
        <v>299</v>
      </c>
      <c r="F216" s="14">
        <f t="shared" si="11"/>
        <v>0</v>
      </c>
      <c r="G216" s="15" t="s">
        <v>2</v>
      </c>
      <c r="H216" s="3"/>
      <c r="I216" s="3"/>
      <c r="J216" s="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3"/>
    </row>
    <row r="217" spans="2:50" ht="30" customHeight="1">
      <c r="B217" s="11">
        <f t="shared" si="12"/>
        <v>212</v>
      </c>
      <c r="C217" s="18" t="s">
        <v>222</v>
      </c>
      <c r="D217" s="18" t="s">
        <v>236</v>
      </c>
      <c r="E217" s="12" t="s">
        <v>236</v>
      </c>
      <c r="F217" s="14">
        <f t="shared" si="11"/>
        <v>0</v>
      </c>
      <c r="G217" s="15" t="s">
        <v>2</v>
      </c>
      <c r="H217" s="3"/>
      <c r="I217" s="3"/>
      <c r="J217" s="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3"/>
    </row>
    <row r="218" spans="2:50" ht="30" customHeight="1">
      <c r="B218" s="11">
        <f t="shared" si="12"/>
        <v>213</v>
      </c>
      <c r="C218" s="18" t="s">
        <v>222</v>
      </c>
      <c r="D218" s="18" t="s">
        <v>236</v>
      </c>
      <c r="E218" s="12" t="s">
        <v>300</v>
      </c>
      <c r="F218" s="14">
        <f t="shared" si="11"/>
        <v>0</v>
      </c>
      <c r="G218" s="15" t="s">
        <v>2</v>
      </c>
      <c r="H218" s="3"/>
      <c r="I218" s="3"/>
      <c r="J218" s="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3"/>
    </row>
    <row r="219" spans="2:50" ht="30" customHeight="1">
      <c r="B219" s="11">
        <f t="shared" si="12"/>
        <v>214</v>
      </c>
      <c r="C219" s="18" t="s">
        <v>222</v>
      </c>
      <c r="D219" s="18" t="s">
        <v>236</v>
      </c>
      <c r="E219" s="12" t="s">
        <v>301</v>
      </c>
      <c r="F219" s="14">
        <f t="shared" si="11"/>
        <v>0</v>
      </c>
      <c r="G219" s="15" t="s">
        <v>2</v>
      </c>
      <c r="H219" s="3"/>
      <c r="I219" s="3"/>
      <c r="J219" s="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3"/>
    </row>
    <row r="220" spans="2:50" ht="30" customHeight="1">
      <c r="B220" s="11">
        <f t="shared" si="12"/>
        <v>215</v>
      </c>
      <c r="C220" s="18" t="s">
        <v>222</v>
      </c>
      <c r="D220" s="18" t="s">
        <v>237</v>
      </c>
      <c r="E220" s="12" t="s">
        <v>302</v>
      </c>
      <c r="F220" s="14">
        <f t="shared" si="11"/>
        <v>0</v>
      </c>
      <c r="G220" s="15" t="s">
        <v>2</v>
      </c>
      <c r="H220" s="3"/>
      <c r="I220" s="3"/>
      <c r="J220" s="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3"/>
    </row>
    <row r="221" spans="2:50" ht="30" customHeight="1">
      <c r="B221" s="11">
        <f t="shared" si="12"/>
        <v>216</v>
      </c>
      <c r="C221" s="18" t="s">
        <v>222</v>
      </c>
      <c r="D221" s="18" t="s">
        <v>237</v>
      </c>
      <c r="E221" s="12" t="s">
        <v>237</v>
      </c>
      <c r="F221" s="14">
        <f t="shared" si="11"/>
        <v>0</v>
      </c>
      <c r="G221" s="15" t="s">
        <v>2</v>
      </c>
      <c r="H221" s="3"/>
      <c r="I221" s="3"/>
      <c r="J221" s="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3"/>
    </row>
    <row r="222" spans="2:50" ht="30" customHeight="1">
      <c r="B222" s="11">
        <f t="shared" si="12"/>
        <v>217</v>
      </c>
      <c r="C222" s="18" t="s">
        <v>222</v>
      </c>
      <c r="D222" s="18" t="s">
        <v>237</v>
      </c>
      <c r="E222" s="12" t="s">
        <v>303</v>
      </c>
      <c r="F222" s="14">
        <f t="shared" si="11"/>
        <v>0</v>
      </c>
      <c r="G222" s="15" t="s">
        <v>2</v>
      </c>
      <c r="H222" s="3"/>
      <c r="I222" s="3"/>
      <c r="J222" s="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3"/>
    </row>
    <row r="223" spans="2:50" ht="30" customHeight="1">
      <c r="B223" s="11">
        <f t="shared" si="12"/>
        <v>218</v>
      </c>
      <c r="C223" s="18" t="s">
        <v>222</v>
      </c>
      <c r="D223" s="18" t="s">
        <v>237</v>
      </c>
      <c r="E223" s="12" t="s">
        <v>304</v>
      </c>
      <c r="F223" s="14">
        <f t="shared" si="11"/>
        <v>0</v>
      </c>
      <c r="G223" s="15" t="s">
        <v>2</v>
      </c>
      <c r="H223" s="3"/>
      <c r="I223" s="3"/>
      <c r="J223" s="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3"/>
    </row>
    <row r="224" spans="2:50" ht="30" customHeight="1">
      <c r="B224" s="11">
        <f t="shared" si="12"/>
        <v>219</v>
      </c>
      <c r="C224" s="18" t="s">
        <v>222</v>
      </c>
      <c r="D224" s="18" t="s">
        <v>238</v>
      </c>
      <c r="E224" s="12" t="s">
        <v>305</v>
      </c>
      <c r="F224" s="14">
        <f t="shared" si="11"/>
        <v>2</v>
      </c>
      <c r="G224" s="15" t="s">
        <v>2</v>
      </c>
      <c r="H224" s="3"/>
      <c r="I224" s="3"/>
      <c r="J224" s="3"/>
      <c r="K224" s="13"/>
      <c r="L224" s="13"/>
      <c r="M224" s="13" t="s">
        <v>3</v>
      </c>
      <c r="N224" s="13" t="s">
        <v>3</v>
      </c>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3"/>
    </row>
    <row r="225" spans="2:50" ht="30" customHeight="1">
      <c r="B225" s="11">
        <f t="shared" si="12"/>
        <v>220</v>
      </c>
      <c r="C225" s="18" t="s">
        <v>222</v>
      </c>
      <c r="D225" s="18" t="s">
        <v>238</v>
      </c>
      <c r="E225" s="12" t="s">
        <v>306</v>
      </c>
      <c r="F225" s="14">
        <f t="shared" si="11"/>
        <v>2</v>
      </c>
      <c r="G225" s="15" t="s">
        <v>2</v>
      </c>
      <c r="H225" s="3"/>
      <c r="I225" s="3"/>
      <c r="J225" s="3"/>
      <c r="K225" s="13"/>
      <c r="L225" s="13"/>
      <c r="M225" s="13" t="s">
        <v>3</v>
      </c>
      <c r="N225" s="13" t="s">
        <v>3</v>
      </c>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3"/>
    </row>
    <row r="226" spans="2:50" ht="30" customHeight="1">
      <c r="B226" s="11">
        <f t="shared" si="12"/>
        <v>221</v>
      </c>
      <c r="C226" s="18" t="s">
        <v>222</v>
      </c>
      <c r="D226" s="18" t="s">
        <v>238</v>
      </c>
      <c r="E226" s="12" t="s">
        <v>307</v>
      </c>
      <c r="F226" s="14">
        <f t="shared" si="11"/>
        <v>2</v>
      </c>
      <c r="G226" s="15" t="s">
        <v>2</v>
      </c>
      <c r="H226" s="13" t="s">
        <v>3</v>
      </c>
      <c r="I226" s="3"/>
      <c r="J226" s="3"/>
      <c r="K226" s="13"/>
      <c r="L226" s="13"/>
      <c r="M226" s="13"/>
      <c r="N226" s="13" t="s">
        <v>3</v>
      </c>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3"/>
    </row>
    <row r="227" spans="2:50" ht="30" customHeight="1">
      <c r="B227" s="11">
        <f t="shared" si="12"/>
        <v>222</v>
      </c>
      <c r="C227" s="18" t="s">
        <v>222</v>
      </c>
      <c r="D227" s="18" t="s">
        <v>238</v>
      </c>
      <c r="E227" s="12" t="s">
        <v>308</v>
      </c>
      <c r="F227" s="14">
        <f t="shared" si="11"/>
        <v>0</v>
      </c>
      <c r="G227" s="15" t="s">
        <v>2</v>
      </c>
      <c r="H227" s="3"/>
      <c r="I227" s="3"/>
      <c r="J227" s="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3"/>
    </row>
    <row r="228" spans="2:50" ht="30" customHeight="1">
      <c r="B228" s="11">
        <f t="shared" si="12"/>
        <v>223</v>
      </c>
      <c r="C228" s="18" t="s">
        <v>222</v>
      </c>
      <c r="D228" s="18" t="s">
        <v>238</v>
      </c>
      <c r="E228" s="12" t="s">
        <v>309</v>
      </c>
      <c r="F228" s="14">
        <f t="shared" si="11"/>
        <v>0</v>
      </c>
      <c r="G228" s="15" t="s">
        <v>2</v>
      </c>
      <c r="H228" s="3"/>
      <c r="I228" s="3"/>
      <c r="J228" s="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3"/>
    </row>
    <row r="229" spans="2:50" ht="30" customHeight="1">
      <c r="B229" s="11">
        <f t="shared" si="12"/>
        <v>224</v>
      </c>
      <c r="C229" s="18" t="s">
        <v>222</v>
      </c>
      <c r="D229" s="18" t="s">
        <v>239</v>
      </c>
      <c r="E229" s="12" t="s">
        <v>310</v>
      </c>
      <c r="F229" s="14">
        <f t="shared" si="11"/>
        <v>1</v>
      </c>
      <c r="G229" s="15" t="s">
        <v>2</v>
      </c>
      <c r="H229" s="3"/>
      <c r="I229" s="13" t="s">
        <v>3</v>
      </c>
      <c r="J229" s="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3"/>
    </row>
    <row r="230" spans="2:50" ht="30" customHeight="1">
      <c r="B230" s="11">
        <f t="shared" si="12"/>
        <v>225</v>
      </c>
      <c r="C230" s="18" t="s">
        <v>222</v>
      </c>
      <c r="D230" s="18" t="s">
        <v>239</v>
      </c>
      <c r="E230" s="12" t="s">
        <v>239</v>
      </c>
      <c r="F230" s="14">
        <f t="shared" si="11"/>
        <v>1</v>
      </c>
      <c r="G230" s="15" t="s">
        <v>2</v>
      </c>
      <c r="H230" s="3"/>
      <c r="I230" s="13" t="s">
        <v>3</v>
      </c>
      <c r="J230" s="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3"/>
    </row>
    <row r="231" spans="2:50" ht="30" customHeight="1">
      <c r="B231" s="11">
        <f t="shared" si="12"/>
        <v>226</v>
      </c>
      <c r="C231" s="18" t="s">
        <v>222</v>
      </c>
      <c r="D231" s="18" t="s">
        <v>239</v>
      </c>
      <c r="E231" s="12" t="s">
        <v>311</v>
      </c>
      <c r="F231" s="14">
        <f t="shared" si="11"/>
        <v>0</v>
      </c>
      <c r="G231" s="15" t="s">
        <v>2</v>
      </c>
      <c r="H231" s="3"/>
      <c r="I231" s="3"/>
      <c r="J231" s="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3"/>
    </row>
    <row r="232" spans="2:50" ht="30" customHeight="1">
      <c r="B232" s="11">
        <f t="shared" si="12"/>
        <v>227</v>
      </c>
      <c r="C232" s="18" t="s">
        <v>222</v>
      </c>
      <c r="D232" s="18" t="s">
        <v>239</v>
      </c>
      <c r="E232" s="12" t="s">
        <v>312</v>
      </c>
      <c r="F232" s="14">
        <f t="shared" si="11"/>
        <v>0</v>
      </c>
      <c r="G232" s="15" t="s">
        <v>2</v>
      </c>
      <c r="H232" s="3"/>
      <c r="I232" s="3"/>
      <c r="J232" s="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3"/>
    </row>
    <row r="233" spans="2:50" ht="30" customHeight="1">
      <c r="B233" s="11">
        <f t="shared" si="12"/>
        <v>228</v>
      </c>
      <c r="C233" s="18" t="s">
        <v>222</v>
      </c>
      <c r="D233" s="18" t="s">
        <v>240</v>
      </c>
      <c r="E233" s="12" t="s">
        <v>313</v>
      </c>
      <c r="F233" s="14">
        <f t="shared" si="11"/>
        <v>1</v>
      </c>
      <c r="G233" s="15" t="s">
        <v>2</v>
      </c>
      <c r="H233" s="3"/>
      <c r="I233" s="3"/>
      <c r="J233" s="3"/>
      <c r="K233" s="13"/>
      <c r="L233" s="13"/>
      <c r="M233" s="13"/>
      <c r="N233" s="13" t="s">
        <v>3</v>
      </c>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3"/>
    </row>
    <row r="234" spans="2:50" ht="30" customHeight="1">
      <c r="B234" s="11">
        <f t="shared" si="12"/>
        <v>229</v>
      </c>
      <c r="C234" s="18" t="s">
        <v>222</v>
      </c>
      <c r="D234" s="18" t="s">
        <v>240</v>
      </c>
      <c r="E234" s="12" t="s">
        <v>240</v>
      </c>
      <c r="F234" s="14">
        <f t="shared" si="11"/>
        <v>1</v>
      </c>
      <c r="G234" s="15" t="s">
        <v>2</v>
      </c>
      <c r="H234" s="3"/>
      <c r="I234" s="3"/>
      <c r="J234" s="3"/>
      <c r="K234" s="13"/>
      <c r="L234" s="13"/>
      <c r="M234" s="13"/>
      <c r="N234" s="13" t="s">
        <v>3</v>
      </c>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3"/>
    </row>
    <row r="235" spans="2:50" ht="30" customHeight="1">
      <c r="B235" s="11">
        <f t="shared" si="12"/>
        <v>230</v>
      </c>
      <c r="C235" s="18" t="s">
        <v>222</v>
      </c>
      <c r="D235" s="18" t="s">
        <v>240</v>
      </c>
      <c r="E235" s="12" t="s">
        <v>314</v>
      </c>
      <c r="F235" s="14">
        <f t="shared" si="11"/>
        <v>0</v>
      </c>
      <c r="G235" s="15" t="s">
        <v>2</v>
      </c>
      <c r="H235" s="3"/>
      <c r="I235" s="3"/>
      <c r="J235" s="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3"/>
    </row>
    <row r="236" spans="2:50" ht="30" customHeight="1">
      <c r="B236" s="11">
        <f t="shared" si="12"/>
        <v>231</v>
      </c>
      <c r="C236" s="18" t="s">
        <v>222</v>
      </c>
      <c r="D236" s="18" t="s">
        <v>240</v>
      </c>
      <c r="E236" s="12" t="s">
        <v>315</v>
      </c>
      <c r="F236" s="14">
        <f t="shared" si="11"/>
        <v>0</v>
      </c>
      <c r="G236" s="15" t="s">
        <v>2</v>
      </c>
      <c r="H236" s="3"/>
      <c r="I236" s="3"/>
      <c r="J236" s="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3"/>
    </row>
    <row r="237" spans="2:50" ht="30" customHeight="1">
      <c r="B237" s="11">
        <f t="shared" si="12"/>
        <v>232</v>
      </c>
      <c r="C237" s="18" t="s">
        <v>222</v>
      </c>
      <c r="D237" s="18" t="s">
        <v>241</v>
      </c>
      <c r="E237" s="12" t="s">
        <v>316</v>
      </c>
      <c r="F237" s="14">
        <f t="shared" si="11"/>
        <v>4</v>
      </c>
      <c r="G237" s="15" t="s">
        <v>2</v>
      </c>
      <c r="H237" s="3"/>
      <c r="I237" s="3"/>
      <c r="J237" s="3"/>
      <c r="K237" s="13"/>
      <c r="L237" s="13"/>
      <c r="M237" s="13"/>
      <c r="N237" s="13" t="s">
        <v>3</v>
      </c>
      <c r="O237" s="13"/>
      <c r="P237" s="13"/>
      <c r="Q237" s="13"/>
      <c r="R237" s="13"/>
      <c r="S237" s="13"/>
      <c r="T237" s="13" t="s">
        <v>3</v>
      </c>
      <c r="U237" s="13" t="s">
        <v>3</v>
      </c>
      <c r="V237" s="13" t="s">
        <v>3</v>
      </c>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3"/>
    </row>
    <row r="238" spans="2:50" ht="30" customHeight="1">
      <c r="B238" s="11">
        <f t="shared" si="12"/>
        <v>233</v>
      </c>
      <c r="C238" s="18" t="s">
        <v>222</v>
      </c>
      <c r="D238" s="18" t="s">
        <v>241</v>
      </c>
      <c r="E238" s="12" t="s">
        <v>241</v>
      </c>
      <c r="F238" s="14">
        <f t="shared" si="11"/>
        <v>3</v>
      </c>
      <c r="G238" s="15" t="s">
        <v>2</v>
      </c>
      <c r="H238" s="13" t="s">
        <v>3</v>
      </c>
      <c r="I238" s="3"/>
      <c r="J238" s="3"/>
      <c r="K238" s="13"/>
      <c r="L238" s="13"/>
      <c r="M238" s="13"/>
      <c r="N238" s="13"/>
      <c r="O238" s="13"/>
      <c r="P238" s="13"/>
      <c r="Q238" s="13"/>
      <c r="R238" s="13"/>
      <c r="S238" s="13"/>
      <c r="T238" s="13" t="s">
        <v>3</v>
      </c>
      <c r="U238" s="13" t="s">
        <v>3</v>
      </c>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3"/>
    </row>
    <row r="239" spans="2:50" ht="30" customHeight="1">
      <c r="B239" s="11">
        <f t="shared" si="12"/>
        <v>234</v>
      </c>
      <c r="C239" s="18" t="s">
        <v>222</v>
      </c>
      <c r="D239" s="18" t="s">
        <v>241</v>
      </c>
      <c r="E239" s="12" t="s">
        <v>317</v>
      </c>
      <c r="F239" s="14">
        <f t="shared" si="11"/>
        <v>0</v>
      </c>
      <c r="G239" s="15" t="s">
        <v>2</v>
      </c>
      <c r="H239" s="3"/>
      <c r="I239" s="3"/>
      <c r="J239" s="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3"/>
    </row>
    <row r="240" spans="2:50" ht="30" customHeight="1">
      <c r="B240" s="11">
        <f t="shared" si="12"/>
        <v>235</v>
      </c>
      <c r="C240" s="18" t="s">
        <v>222</v>
      </c>
      <c r="D240" s="18" t="s">
        <v>241</v>
      </c>
      <c r="E240" s="12" t="s">
        <v>318</v>
      </c>
      <c r="F240" s="14">
        <f t="shared" si="11"/>
        <v>0</v>
      </c>
      <c r="G240" s="15" t="s">
        <v>2</v>
      </c>
      <c r="H240" s="3"/>
      <c r="I240" s="3"/>
      <c r="J240" s="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3"/>
    </row>
    <row r="241" spans="2:50" ht="30" customHeight="1">
      <c r="B241" s="11">
        <f t="shared" si="12"/>
        <v>236</v>
      </c>
      <c r="C241" s="18" t="s">
        <v>222</v>
      </c>
      <c r="D241" s="18" t="s">
        <v>242</v>
      </c>
      <c r="E241" s="12" t="s">
        <v>242</v>
      </c>
      <c r="F241" s="14">
        <f t="shared" si="11"/>
        <v>0</v>
      </c>
      <c r="G241" s="15" t="s">
        <v>2</v>
      </c>
      <c r="H241" s="3"/>
      <c r="I241" s="3"/>
      <c r="J241" s="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3"/>
    </row>
    <row r="242" spans="2:50" ht="30" customHeight="1">
      <c r="B242" s="11">
        <f t="shared" si="12"/>
        <v>237</v>
      </c>
      <c r="C242" s="18" t="s">
        <v>222</v>
      </c>
      <c r="D242" s="18" t="s">
        <v>243</v>
      </c>
      <c r="E242" s="12" t="s">
        <v>319</v>
      </c>
      <c r="F242" s="14">
        <f t="shared" si="11"/>
        <v>0</v>
      </c>
      <c r="G242" s="15" t="s">
        <v>2</v>
      </c>
      <c r="H242" s="3"/>
      <c r="I242" s="3"/>
      <c r="J242" s="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3"/>
    </row>
    <row r="243" spans="2:50" ht="30" customHeight="1">
      <c r="B243" s="11">
        <f t="shared" si="12"/>
        <v>238</v>
      </c>
      <c r="C243" s="18" t="s">
        <v>222</v>
      </c>
      <c r="D243" s="18" t="s">
        <v>243</v>
      </c>
      <c r="E243" s="12" t="s">
        <v>243</v>
      </c>
      <c r="F243" s="14">
        <f t="shared" si="11"/>
        <v>0</v>
      </c>
      <c r="G243" s="15" t="s">
        <v>2</v>
      </c>
      <c r="H243" s="3"/>
      <c r="I243" s="3"/>
      <c r="J243" s="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3"/>
    </row>
    <row r="244" spans="2:50" ht="30" customHeight="1">
      <c r="B244" s="11">
        <f t="shared" si="12"/>
        <v>239</v>
      </c>
      <c r="C244" s="18" t="s">
        <v>222</v>
      </c>
      <c r="D244" s="18" t="s">
        <v>243</v>
      </c>
      <c r="E244" s="12" t="s">
        <v>320</v>
      </c>
      <c r="F244" s="14">
        <f t="shared" si="11"/>
        <v>0</v>
      </c>
      <c r="G244" s="15" t="s">
        <v>2</v>
      </c>
      <c r="H244" s="3"/>
      <c r="I244" s="3"/>
      <c r="J244" s="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3"/>
    </row>
    <row r="245" spans="2:50" ht="30" customHeight="1">
      <c r="B245" s="11">
        <f t="shared" si="12"/>
        <v>240</v>
      </c>
      <c r="C245" s="18" t="s">
        <v>222</v>
      </c>
      <c r="D245" s="18" t="s">
        <v>244</v>
      </c>
      <c r="E245" s="12" t="s">
        <v>321</v>
      </c>
      <c r="F245" s="14">
        <f t="shared" si="11"/>
        <v>0</v>
      </c>
      <c r="G245" s="15" t="s">
        <v>2</v>
      </c>
      <c r="H245" s="3"/>
      <c r="I245" s="3"/>
      <c r="J245" s="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3"/>
    </row>
    <row r="246" spans="2:50" ht="30" customHeight="1">
      <c r="B246" s="11">
        <f t="shared" si="12"/>
        <v>241</v>
      </c>
      <c r="C246" s="18" t="s">
        <v>222</v>
      </c>
      <c r="D246" s="18" t="s">
        <v>244</v>
      </c>
      <c r="E246" s="12" t="s">
        <v>244</v>
      </c>
      <c r="F246" s="14">
        <f t="shared" si="11"/>
        <v>0</v>
      </c>
      <c r="G246" s="15" t="s">
        <v>2</v>
      </c>
      <c r="H246" s="3"/>
      <c r="I246" s="3"/>
      <c r="J246" s="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3"/>
    </row>
    <row r="247" spans="2:50" ht="30" customHeight="1">
      <c r="B247" s="11">
        <f t="shared" si="12"/>
        <v>242</v>
      </c>
      <c r="C247" s="18" t="s">
        <v>222</v>
      </c>
      <c r="D247" s="18" t="s">
        <v>244</v>
      </c>
      <c r="E247" s="12" t="s">
        <v>322</v>
      </c>
      <c r="F247" s="14">
        <f t="shared" si="11"/>
        <v>0</v>
      </c>
      <c r="G247" s="15" t="s">
        <v>2</v>
      </c>
      <c r="H247" s="3"/>
      <c r="I247" s="3"/>
      <c r="J247" s="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3"/>
    </row>
    <row r="248" spans="2:50" ht="30" customHeight="1">
      <c r="B248" s="11">
        <f t="shared" si="12"/>
        <v>243</v>
      </c>
      <c r="C248" s="18" t="s">
        <v>222</v>
      </c>
      <c r="D248" s="18" t="s">
        <v>245</v>
      </c>
      <c r="E248" s="12" t="s">
        <v>323</v>
      </c>
      <c r="F248" s="14">
        <f t="shared" si="11"/>
        <v>2</v>
      </c>
      <c r="G248" s="15" t="s">
        <v>2</v>
      </c>
      <c r="H248" s="3"/>
      <c r="I248" s="13" t="s">
        <v>3</v>
      </c>
      <c r="J248" s="3"/>
      <c r="K248" s="13"/>
      <c r="L248" s="13"/>
      <c r="M248" s="13" t="s">
        <v>3</v>
      </c>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3"/>
    </row>
    <row r="249" spans="2:50" ht="30" customHeight="1">
      <c r="B249" s="11">
        <f t="shared" si="12"/>
        <v>244</v>
      </c>
      <c r="C249" s="18" t="s">
        <v>222</v>
      </c>
      <c r="D249" s="18" t="s">
        <v>245</v>
      </c>
      <c r="E249" s="12" t="s">
        <v>245</v>
      </c>
      <c r="F249" s="14">
        <f t="shared" si="11"/>
        <v>2</v>
      </c>
      <c r="G249" s="15" t="s">
        <v>2</v>
      </c>
      <c r="H249" s="3"/>
      <c r="I249" s="13" t="s">
        <v>3</v>
      </c>
      <c r="J249" s="3"/>
      <c r="K249" s="13"/>
      <c r="L249" s="13"/>
      <c r="M249" s="13" t="s">
        <v>3</v>
      </c>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3"/>
    </row>
    <row r="250" spans="2:50" ht="30" customHeight="1">
      <c r="B250" s="11">
        <f t="shared" si="12"/>
        <v>245</v>
      </c>
      <c r="C250" s="18" t="s">
        <v>222</v>
      </c>
      <c r="D250" s="18" t="s">
        <v>245</v>
      </c>
      <c r="E250" s="12" t="s">
        <v>324</v>
      </c>
      <c r="F250" s="14">
        <f t="shared" si="11"/>
        <v>0</v>
      </c>
      <c r="G250" s="15" t="s">
        <v>2</v>
      </c>
      <c r="H250" s="3"/>
      <c r="I250" s="3"/>
      <c r="J250" s="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3"/>
    </row>
    <row r="251" spans="2:50" ht="30" customHeight="1">
      <c r="B251" s="11">
        <f t="shared" si="12"/>
        <v>246</v>
      </c>
      <c r="C251" s="18" t="s">
        <v>222</v>
      </c>
      <c r="D251" s="18" t="s">
        <v>246</v>
      </c>
      <c r="E251" s="12" t="s">
        <v>246</v>
      </c>
      <c r="F251" s="14">
        <f t="shared" si="11"/>
        <v>0</v>
      </c>
      <c r="G251" s="15" t="s">
        <v>2</v>
      </c>
      <c r="H251" s="3"/>
      <c r="I251" s="3"/>
      <c r="J251" s="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3"/>
    </row>
    <row r="252" spans="2:50" ht="30" customHeight="1">
      <c r="B252" s="11">
        <f t="shared" si="12"/>
        <v>247</v>
      </c>
      <c r="C252" s="18" t="s">
        <v>222</v>
      </c>
      <c r="D252" s="18" t="s">
        <v>247</v>
      </c>
      <c r="E252" s="12" t="s">
        <v>325</v>
      </c>
      <c r="F252" s="14">
        <f t="shared" si="11"/>
        <v>0</v>
      </c>
      <c r="G252" s="15" t="s">
        <v>2</v>
      </c>
      <c r="H252" s="3"/>
      <c r="I252" s="3"/>
      <c r="J252" s="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3"/>
    </row>
    <row r="253" spans="2:50" ht="30" customHeight="1">
      <c r="B253" s="11">
        <f t="shared" si="12"/>
        <v>248</v>
      </c>
      <c r="C253" s="18" t="s">
        <v>222</v>
      </c>
      <c r="D253" s="18" t="s">
        <v>247</v>
      </c>
      <c r="E253" s="12" t="s">
        <v>247</v>
      </c>
      <c r="F253" s="14">
        <f t="shared" si="11"/>
        <v>0</v>
      </c>
      <c r="G253" s="15" t="s">
        <v>2</v>
      </c>
      <c r="H253" s="3"/>
      <c r="I253" s="3"/>
      <c r="J253" s="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3"/>
    </row>
    <row r="254" spans="2:50" ht="30" customHeight="1">
      <c r="B254" s="11">
        <f t="shared" si="12"/>
        <v>249</v>
      </c>
      <c r="C254" s="18" t="s">
        <v>222</v>
      </c>
      <c r="D254" s="18" t="s">
        <v>247</v>
      </c>
      <c r="E254" s="12" t="s">
        <v>326</v>
      </c>
      <c r="F254" s="14">
        <f t="shared" si="11"/>
        <v>0</v>
      </c>
      <c r="G254" s="15" t="s">
        <v>2</v>
      </c>
      <c r="H254" s="3"/>
      <c r="I254" s="3"/>
      <c r="J254" s="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3"/>
    </row>
    <row r="255" spans="2:50" ht="30" customHeight="1">
      <c r="B255" s="11">
        <f t="shared" si="12"/>
        <v>250</v>
      </c>
      <c r="C255" s="18" t="s">
        <v>222</v>
      </c>
      <c r="D255" s="18" t="s">
        <v>248</v>
      </c>
      <c r="E255" s="12" t="s">
        <v>327</v>
      </c>
      <c r="F255" s="14">
        <f t="shared" si="11"/>
        <v>1</v>
      </c>
      <c r="G255" s="15" t="s">
        <v>2</v>
      </c>
      <c r="H255" s="3"/>
      <c r="I255" s="13" t="s">
        <v>3</v>
      </c>
      <c r="J255" s="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3"/>
    </row>
    <row r="256" spans="2:50" ht="30" customHeight="1">
      <c r="B256" s="11">
        <f t="shared" si="12"/>
        <v>251</v>
      </c>
      <c r="C256" s="18" t="s">
        <v>222</v>
      </c>
      <c r="D256" s="18" t="s">
        <v>248</v>
      </c>
      <c r="E256" s="12" t="s">
        <v>248</v>
      </c>
      <c r="F256" s="14">
        <f t="shared" si="11"/>
        <v>1</v>
      </c>
      <c r="G256" s="15" t="s">
        <v>2</v>
      </c>
      <c r="H256" s="3"/>
      <c r="I256" s="13" t="s">
        <v>3</v>
      </c>
      <c r="J256" s="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3"/>
    </row>
    <row r="257" spans="2:50" ht="30" customHeight="1">
      <c r="B257" s="11">
        <f t="shared" si="12"/>
        <v>252</v>
      </c>
      <c r="C257" s="18" t="s">
        <v>222</v>
      </c>
      <c r="D257" s="18" t="s">
        <v>248</v>
      </c>
      <c r="E257" s="12" t="s">
        <v>328</v>
      </c>
      <c r="F257" s="14">
        <f t="shared" si="11"/>
        <v>0</v>
      </c>
      <c r="G257" s="15" t="s">
        <v>2</v>
      </c>
      <c r="H257" s="3"/>
      <c r="I257" s="3"/>
      <c r="J257" s="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3"/>
    </row>
    <row r="258" spans="2:50" ht="30" customHeight="1">
      <c r="B258" s="11">
        <f t="shared" si="12"/>
        <v>253</v>
      </c>
      <c r="C258" s="18" t="s">
        <v>222</v>
      </c>
      <c r="D258" s="18" t="s">
        <v>249</v>
      </c>
      <c r="E258" s="12" t="s">
        <v>329</v>
      </c>
      <c r="F258" s="14">
        <f t="shared" si="11"/>
        <v>1</v>
      </c>
      <c r="G258" s="15" t="s">
        <v>2</v>
      </c>
      <c r="H258" s="3"/>
      <c r="I258" s="3"/>
      <c r="J258" s="3"/>
      <c r="K258" s="13"/>
      <c r="L258" s="13"/>
      <c r="M258" s="13"/>
      <c r="N258" s="13"/>
      <c r="O258" s="13"/>
      <c r="P258" s="13"/>
      <c r="Q258" s="13"/>
      <c r="R258" s="13"/>
      <c r="S258" s="13"/>
      <c r="T258" s="13"/>
      <c r="U258" s="13"/>
      <c r="V258" s="13"/>
      <c r="W258" s="13"/>
      <c r="X258" s="13" t="s">
        <v>3</v>
      </c>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3"/>
    </row>
    <row r="259" spans="2:50" ht="30" customHeight="1">
      <c r="B259" s="11">
        <f t="shared" si="12"/>
        <v>254</v>
      </c>
      <c r="C259" s="18" t="s">
        <v>222</v>
      </c>
      <c r="D259" s="18" t="s">
        <v>249</v>
      </c>
      <c r="E259" s="12" t="s">
        <v>249</v>
      </c>
      <c r="F259" s="14">
        <f t="shared" si="11"/>
        <v>1</v>
      </c>
      <c r="G259" s="15" t="s">
        <v>2</v>
      </c>
      <c r="H259" s="3"/>
      <c r="I259" s="13"/>
      <c r="J259" s="3"/>
      <c r="K259" s="13"/>
      <c r="L259" s="13"/>
      <c r="M259" s="13"/>
      <c r="N259" s="13"/>
      <c r="O259" s="13"/>
      <c r="P259" s="13"/>
      <c r="Q259" s="13"/>
      <c r="R259" s="13"/>
      <c r="S259" s="13"/>
      <c r="T259" s="13"/>
      <c r="U259" s="13"/>
      <c r="V259" s="13"/>
      <c r="W259" s="13"/>
      <c r="X259" s="13" t="s">
        <v>3</v>
      </c>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3"/>
    </row>
    <row r="260" spans="2:50" ht="30" customHeight="1">
      <c r="B260" s="11">
        <f t="shared" si="12"/>
        <v>255</v>
      </c>
      <c r="C260" s="18" t="s">
        <v>222</v>
      </c>
      <c r="D260" s="18" t="s">
        <v>249</v>
      </c>
      <c r="E260" s="12" t="s">
        <v>330</v>
      </c>
      <c r="F260" s="14">
        <f t="shared" si="11"/>
        <v>0</v>
      </c>
      <c r="G260" s="15" t="s">
        <v>2</v>
      </c>
      <c r="H260" s="3"/>
      <c r="I260" s="3"/>
      <c r="J260" s="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3"/>
    </row>
    <row r="261" spans="2:50" ht="30" customHeight="1">
      <c r="B261" s="11">
        <f t="shared" si="12"/>
        <v>256</v>
      </c>
      <c r="C261" s="18" t="s">
        <v>222</v>
      </c>
      <c r="D261" s="18" t="s">
        <v>250</v>
      </c>
      <c r="E261" s="12" t="s">
        <v>331</v>
      </c>
      <c r="F261" s="14">
        <f t="shared" si="11"/>
        <v>0</v>
      </c>
      <c r="G261" s="15" t="s">
        <v>2</v>
      </c>
      <c r="H261" s="3"/>
      <c r="I261" s="13"/>
      <c r="J261" s="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3"/>
    </row>
    <row r="262" spans="2:50" ht="30" customHeight="1">
      <c r="B262" s="11">
        <f t="shared" si="12"/>
        <v>257</v>
      </c>
      <c r="C262" s="18" t="s">
        <v>222</v>
      </c>
      <c r="D262" s="18" t="s">
        <v>250</v>
      </c>
      <c r="E262" s="12" t="s">
        <v>250</v>
      </c>
      <c r="F262" s="14">
        <f t="shared" ref="F262:F308" si="13">COUNTA(H262:AW262)</f>
        <v>3</v>
      </c>
      <c r="G262" s="15" t="s">
        <v>2</v>
      </c>
      <c r="H262" s="3"/>
      <c r="I262" s="3"/>
      <c r="J262" s="3"/>
      <c r="K262" s="13"/>
      <c r="L262" s="13"/>
      <c r="M262" s="13"/>
      <c r="N262" s="13"/>
      <c r="O262" s="13"/>
      <c r="P262" s="13"/>
      <c r="Q262" s="13"/>
      <c r="R262" s="13"/>
      <c r="S262" s="13"/>
      <c r="T262" s="13"/>
      <c r="U262" s="13"/>
      <c r="V262" s="13"/>
      <c r="W262" s="13" t="s">
        <v>3</v>
      </c>
      <c r="X262" s="13"/>
      <c r="Y262" s="13"/>
      <c r="Z262" s="13"/>
      <c r="AA262" s="13" t="s">
        <v>3</v>
      </c>
      <c r="AB262" s="13" t="s">
        <v>3</v>
      </c>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3"/>
    </row>
    <row r="263" spans="2:50" ht="30" customHeight="1">
      <c r="B263" s="11">
        <f t="shared" si="12"/>
        <v>258</v>
      </c>
      <c r="C263" s="18" t="s">
        <v>222</v>
      </c>
      <c r="D263" s="18" t="s">
        <v>250</v>
      </c>
      <c r="E263" s="12" t="s">
        <v>332</v>
      </c>
      <c r="F263" s="14">
        <f t="shared" si="13"/>
        <v>2</v>
      </c>
      <c r="G263" s="15" t="s">
        <v>2</v>
      </c>
      <c r="H263" s="3"/>
      <c r="I263" s="3"/>
      <c r="J263" s="3"/>
      <c r="K263" s="13"/>
      <c r="L263" s="13"/>
      <c r="M263" s="13"/>
      <c r="N263" s="13"/>
      <c r="O263" s="13"/>
      <c r="P263" s="13"/>
      <c r="Q263" s="13"/>
      <c r="R263" s="13"/>
      <c r="S263" s="13"/>
      <c r="T263" s="13"/>
      <c r="U263" s="13"/>
      <c r="V263" s="13"/>
      <c r="W263" s="13" t="s">
        <v>3</v>
      </c>
      <c r="X263" s="13"/>
      <c r="Y263" s="13"/>
      <c r="Z263" s="13"/>
      <c r="AA263" s="13" t="s">
        <v>3</v>
      </c>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3"/>
    </row>
    <row r="264" spans="2:50" ht="30" customHeight="1">
      <c r="B264" s="11">
        <f t="shared" si="12"/>
        <v>259</v>
      </c>
      <c r="C264" s="18" t="s">
        <v>222</v>
      </c>
      <c r="D264" s="18" t="s">
        <v>250</v>
      </c>
      <c r="E264" s="12" t="s">
        <v>333</v>
      </c>
      <c r="F264" s="14">
        <f t="shared" si="13"/>
        <v>0</v>
      </c>
      <c r="G264" s="15" t="s">
        <v>2</v>
      </c>
      <c r="H264" s="3"/>
      <c r="I264" s="3"/>
      <c r="J264" s="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3"/>
    </row>
    <row r="265" spans="2:50" ht="30" customHeight="1">
      <c r="B265" s="11">
        <f t="shared" ref="B265:B328" si="14">ROW()-5</f>
        <v>260</v>
      </c>
      <c r="C265" s="18" t="s">
        <v>222</v>
      </c>
      <c r="D265" s="18" t="s">
        <v>251</v>
      </c>
      <c r="E265" s="12" t="s">
        <v>334</v>
      </c>
      <c r="F265" s="14">
        <f t="shared" si="13"/>
        <v>0</v>
      </c>
      <c r="G265" s="15" t="s">
        <v>2</v>
      </c>
      <c r="H265" s="3"/>
      <c r="I265" s="13"/>
      <c r="J265" s="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3"/>
    </row>
    <row r="266" spans="2:50" ht="30" customHeight="1">
      <c r="B266" s="11">
        <f t="shared" si="14"/>
        <v>261</v>
      </c>
      <c r="C266" s="18" t="s">
        <v>335</v>
      </c>
      <c r="D266" s="18" t="s">
        <v>336</v>
      </c>
      <c r="E266" s="12" t="s">
        <v>336</v>
      </c>
      <c r="F266" s="14">
        <f t="shared" si="13"/>
        <v>1</v>
      </c>
      <c r="G266" s="15" t="s">
        <v>2</v>
      </c>
      <c r="H266" s="3"/>
      <c r="I266" s="3"/>
      <c r="J266" s="13" t="s">
        <v>3</v>
      </c>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3"/>
    </row>
    <row r="267" spans="2:50" ht="30" customHeight="1">
      <c r="B267" s="11">
        <f t="shared" si="14"/>
        <v>262</v>
      </c>
      <c r="C267" s="18" t="s">
        <v>335</v>
      </c>
      <c r="D267" s="18" t="s">
        <v>336</v>
      </c>
      <c r="E267" s="12" t="s">
        <v>349</v>
      </c>
      <c r="F267" s="14">
        <f t="shared" si="13"/>
        <v>0</v>
      </c>
      <c r="G267" s="15" t="s">
        <v>2</v>
      </c>
      <c r="H267" s="3"/>
      <c r="I267" s="3"/>
      <c r="J267" s="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3"/>
    </row>
    <row r="268" spans="2:50" ht="30" customHeight="1">
      <c r="B268" s="11">
        <f t="shared" si="14"/>
        <v>263</v>
      </c>
      <c r="C268" s="18" t="s">
        <v>335</v>
      </c>
      <c r="D268" s="18" t="s">
        <v>336</v>
      </c>
      <c r="E268" s="12" t="s">
        <v>350</v>
      </c>
      <c r="F268" s="14">
        <f t="shared" si="13"/>
        <v>0</v>
      </c>
      <c r="G268" s="15" t="s">
        <v>2</v>
      </c>
      <c r="H268" s="3"/>
      <c r="I268" s="3"/>
      <c r="J268" s="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3"/>
    </row>
    <row r="269" spans="2:50" ht="30" customHeight="1">
      <c r="B269" s="11">
        <f t="shared" si="14"/>
        <v>264</v>
      </c>
      <c r="C269" s="18" t="s">
        <v>335</v>
      </c>
      <c r="D269" s="18" t="s">
        <v>336</v>
      </c>
      <c r="E269" s="12" t="s">
        <v>351</v>
      </c>
      <c r="F269" s="14">
        <f t="shared" si="13"/>
        <v>0</v>
      </c>
      <c r="G269" s="15" t="s">
        <v>2</v>
      </c>
      <c r="H269" s="3"/>
      <c r="I269" s="3"/>
      <c r="J269" s="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3"/>
    </row>
    <row r="270" spans="2:50" ht="30" customHeight="1">
      <c r="B270" s="11">
        <f t="shared" si="14"/>
        <v>265</v>
      </c>
      <c r="C270" s="18" t="s">
        <v>335</v>
      </c>
      <c r="D270" s="18" t="s">
        <v>336</v>
      </c>
      <c r="E270" s="12" t="s">
        <v>352</v>
      </c>
      <c r="F270" s="14">
        <f t="shared" si="13"/>
        <v>0</v>
      </c>
      <c r="G270" s="15" t="s">
        <v>2</v>
      </c>
      <c r="H270" s="3"/>
      <c r="I270" s="3"/>
      <c r="J270" s="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3"/>
    </row>
    <row r="271" spans="2:50" ht="30" customHeight="1">
      <c r="B271" s="11">
        <f t="shared" si="14"/>
        <v>266</v>
      </c>
      <c r="C271" s="18" t="s">
        <v>335</v>
      </c>
      <c r="D271" s="18" t="s">
        <v>336</v>
      </c>
      <c r="E271" s="12" t="s">
        <v>353</v>
      </c>
      <c r="F271" s="14">
        <f t="shared" si="13"/>
        <v>0</v>
      </c>
      <c r="G271" s="15" t="s">
        <v>2</v>
      </c>
      <c r="H271" s="3"/>
      <c r="I271" s="3"/>
      <c r="J271" s="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3"/>
    </row>
    <row r="272" spans="2:50" ht="30" customHeight="1">
      <c r="B272" s="11">
        <f t="shared" si="14"/>
        <v>267</v>
      </c>
      <c r="C272" s="18" t="s">
        <v>335</v>
      </c>
      <c r="D272" s="18" t="s">
        <v>336</v>
      </c>
      <c r="E272" s="12" t="s">
        <v>354</v>
      </c>
      <c r="F272" s="14">
        <f t="shared" si="13"/>
        <v>0</v>
      </c>
      <c r="G272" s="15" t="s">
        <v>2</v>
      </c>
      <c r="H272" s="3"/>
      <c r="I272" s="3"/>
      <c r="J272" s="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3"/>
    </row>
    <row r="273" spans="2:50" ht="30" customHeight="1">
      <c r="B273" s="11">
        <f t="shared" si="14"/>
        <v>268</v>
      </c>
      <c r="C273" s="18" t="s">
        <v>335</v>
      </c>
      <c r="D273" s="18" t="s">
        <v>336</v>
      </c>
      <c r="E273" s="12" t="s">
        <v>355</v>
      </c>
      <c r="F273" s="14">
        <f t="shared" si="13"/>
        <v>0</v>
      </c>
      <c r="G273" s="15" t="s">
        <v>2</v>
      </c>
      <c r="H273" s="3"/>
      <c r="I273" s="3"/>
      <c r="J273" s="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3"/>
    </row>
    <row r="274" spans="2:50" ht="30" customHeight="1">
      <c r="B274" s="11">
        <f t="shared" si="14"/>
        <v>269</v>
      </c>
      <c r="C274" s="18" t="s">
        <v>335</v>
      </c>
      <c r="D274" s="18" t="s">
        <v>336</v>
      </c>
      <c r="E274" s="12" t="s">
        <v>356</v>
      </c>
      <c r="F274" s="14">
        <f t="shared" si="13"/>
        <v>0</v>
      </c>
      <c r="G274" s="15" t="s">
        <v>2</v>
      </c>
      <c r="H274" s="3"/>
      <c r="I274" s="3"/>
      <c r="J274" s="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3"/>
    </row>
    <row r="275" spans="2:50" ht="30" customHeight="1">
      <c r="B275" s="11">
        <f t="shared" si="14"/>
        <v>270</v>
      </c>
      <c r="C275" s="18" t="s">
        <v>335</v>
      </c>
      <c r="D275" s="18" t="s">
        <v>337</v>
      </c>
      <c r="E275" s="12" t="s">
        <v>337</v>
      </c>
      <c r="F275" s="14">
        <f t="shared" si="13"/>
        <v>1</v>
      </c>
      <c r="G275" s="15" t="s">
        <v>2</v>
      </c>
      <c r="H275" s="3"/>
      <c r="I275" s="3"/>
      <c r="J275" s="13" t="s">
        <v>3</v>
      </c>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3"/>
    </row>
    <row r="276" spans="2:50" ht="30" customHeight="1">
      <c r="B276" s="11">
        <f t="shared" si="14"/>
        <v>271</v>
      </c>
      <c r="C276" s="18" t="s">
        <v>335</v>
      </c>
      <c r="D276" s="18" t="s">
        <v>337</v>
      </c>
      <c r="E276" s="12" t="s">
        <v>357</v>
      </c>
      <c r="F276" s="14">
        <f t="shared" si="13"/>
        <v>0</v>
      </c>
      <c r="G276" s="15" t="s">
        <v>2</v>
      </c>
      <c r="H276" s="3"/>
      <c r="I276" s="3"/>
      <c r="J276" s="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3"/>
    </row>
    <row r="277" spans="2:50" ht="30" customHeight="1">
      <c r="B277" s="11">
        <f t="shared" si="14"/>
        <v>272</v>
      </c>
      <c r="C277" s="18" t="s">
        <v>335</v>
      </c>
      <c r="D277" s="18" t="s">
        <v>337</v>
      </c>
      <c r="E277" s="12" t="s">
        <v>358</v>
      </c>
      <c r="F277" s="14">
        <f t="shared" si="13"/>
        <v>0</v>
      </c>
      <c r="G277" s="15" t="s">
        <v>2</v>
      </c>
      <c r="H277" s="3"/>
      <c r="I277" s="3"/>
      <c r="J277" s="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3"/>
    </row>
    <row r="278" spans="2:50" ht="30" customHeight="1">
      <c r="B278" s="11">
        <f t="shared" si="14"/>
        <v>273</v>
      </c>
      <c r="C278" s="18" t="s">
        <v>335</v>
      </c>
      <c r="D278" s="18" t="s">
        <v>338</v>
      </c>
      <c r="E278" s="12" t="s">
        <v>338</v>
      </c>
      <c r="F278" s="14">
        <f t="shared" si="13"/>
        <v>1</v>
      </c>
      <c r="G278" s="15" t="s">
        <v>2</v>
      </c>
      <c r="H278" s="3"/>
      <c r="I278" s="3"/>
      <c r="J278" s="13" t="s">
        <v>3</v>
      </c>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3"/>
    </row>
    <row r="279" spans="2:50" ht="30" customHeight="1">
      <c r="B279" s="11">
        <f t="shared" si="14"/>
        <v>274</v>
      </c>
      <c r="C279" s="18" t="s">
        <v>335</v>
      </c>
      <c r="D279" s="18" t="s">
        <v>338</v>
      </c>
      <c r="E279" s="12" t="s">
        <v>359</v>
      </c>
      <c r="F279" s="14">
        <f t="shared" si="13"/>
        <v>0</v>
      </c>
      <c r="G279" s="15" t="s">
        <v>2</v>
      </c>
      <c r="H279" s="3"/>
      <c r="I279" s="3"/>
      <c r="J279" s="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3"/>
    </row>
    <row r="280" spans="2:50" ht="30" customHeight="1">
      <c r="B280" s="11">
        <f t="shared" si="14"/>
        <v>275</v>
      </c>
      <c r="C280" s="18" t="s">
        <v>335</v>
      </c>
      <c r="D280" s="18" t="s">
        <v>338</v>
      </c>
      <c r="E280" s="12" t="s">
        <v>360</v>
      </c>
      <c r="F280" s="14">
        <f t="shared" si="13"/>
        <v>0</v>
      </c>
      <c r="G280" s="15" t="s">
        <v>2</v>
      </c>
      <c r="H280" s="3"/>
      <c r="I280" s="3"/>
      <c r="J280" s="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3"/>
    </row>
    <row r="281" spans="2:50" ht="30" customHeight="1">
      <c r="B281" s="11">
        <f t="shared" si="14"/>
        <v>276</v>
      </c>
      <c r="C281" s="18" t="s">
        <v>335</v>
      </c>
      <c r="D281" s="18" t="s">
        <v>338</v>
      </c>
      <c r="E281" s="12" t="s">
        <v>361</v>
      </c>
      <c r="F281" s="14">
        <f t="shared" si="13"/>
        <v>0</v>
      </c>
      <c r="G281" s="15" t="s">
        <v>2</v>
      </c>
      <c r="H281" s="3"/>
      <c r="I281" s="3"/>
      <c r="J281" s="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3"/>
    </row>
    <row r="282" spans="2:50" ht="30" customHeight="1">
      <c r="B282" s="11">
        <f t="shared" si="14"/>
        <v>277</v>
      </c>
      <c r="C282" s="18" t="s">
        <v>335</v>
      </c>
      <c r="D282" s="18" t="s">
        <v>338</v>
      </c>
      <c r="E282" s="12" t="s">
        <v>362</v>
      </c>
      <c r="F282" s="14">
        <f t="shared" si="13"/>
        <v>0</v>
      </c>
      <c r="G282" s="15" t="s">
        <v>2</v>
      </c>
      <c r="H282" s="3"/>
      <c r="I282" s="3"/>
      <c r="J282" s="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3"/>
    </row>
    <row r="283" spans="2:50" ht="30" customHeight="1">
      <c r="B283" s="11">
        <f t="shared" si="14"/>
        <v>278</v>
      </c>
      <c r="C283" s="18" t="s">
        <v>335</v>
      </c>
      <c r="D283" s="18" t="s">
        <v>338</v>
      </c>
      <c r="E283" s="12" t="s">
        <v>363</v>
      </c>
      <c r="F283" s="14">
        <f t="shared" si="13"/>
        <v>0</v>
      </c>
      <c r="G283" s="15" t="s">
        <v>2</v>
      </c>
      <c r="H283" s="3"/>
      <c r="I283" s="3"/>
      <c r="J283" s="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3"/>
    </row>
    <row r="284" spans="2:50" ht="30" customHeight="1">
      <c r="B284" s="11">
        <f t="shared" si="14"/>
        <v>279</v>
      </c>
      <c r="C284" s="18" t="s">
        <v>335</v>
      </c>
      <c r="D284" s="18" t="s">
        <v>338</v>
      </c>
      <c r="E284" s="12" t="s">
        <v>364</v>
      </c>
      <c r="F284" s="14">
        <f t="shared" si="13"/>
        <v>0</v>
      </c>
      <c r="G284" s="15" t="s">
        <v>2</v>
      </c>
      <c r="H284" s="3"/>
      <c r="I284" s="3"/>
      <c r="J284" s="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3"/>
    </row>
    <row r="285" spans="2:50" ht="30" customHeight="1">
      <c r="B285" s="11">
        <f t="shared" si="14"/>
        <v>280</v>
      </c>
      <c r="C285" s="18" t="s">
        <v>335</v>
      </c>
      <c r="D285" s="18" t="s">
        <v>338</v>
      </c>
      <c r="E285" s="12" t="s">
        <v>365</v>
      </c>
      <c r="F285" s="14">
        <f t="shared" si="13"/>
        <v>0</v>
      </c>
      <c r="G285" s="15" t="s">
        <v>2</v>
      </c>
      <c r="H285" s="3"/>
      <c r="I285" s="3"/>
      <c r="J285" s="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3"/>
    </row>
    <row r="286" spans="2:50" ht="30" customHeight="1">
      <c r="B286" s="11">
        <f t="shared" si="14"/>
        <v>281</v>
      </c>
      <c r="C286" s="18" t="s">
        <v>335</v>
      </c>
      <c r="D286" s="18" t="s">
        <v>338</v>
      </c>
      <c r="E286" s="12" t="s">
        <v>366</v>
      </c>
      <c r="F286" s="14">
        <f t="shared" si="13"/>
        <v>0</v>
      </c>
      <c r="G286" s="15" t="s">
        <v>2</v>
      </c>
      <c r="H286" s="3"/>
      <c r="I286" s="3"/>
      <c r="J286" s="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3"/>
    </row>
    <row r="287" spans="2:50" ht="30" customHeight="1">
      <c r="B287" s="11">
        <f t="shared" si="14"/>
        <v>282</v>
      </c>
      <c r="C287" s="18" t="s">
        <v>335</v>
      </c>
      <c r="D287" s="18" t="s">
        <v>338</v>
      </c>
      <c r="E287" s="12" t="s">
        <v>367</v>
      </c>
      <c r="F287" s="14">
        <f t="shared" si="13"/>
        <v>0</v>
      </c>
      <c r="G287" s="15" t="s">
        <v>2</v>
      </c>
      <c r="H287" s="3"/>
      <c r="I287" s="3"/>
      <c r="J287" s="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3"/>
    </row>
    <row r="288" spans="2:50" ht="30" customHeight="1">
      <c r="B288" s="11">
        <f t="shared" si="14"/>
        <v>283</v>
      </c>
      <c r="C288" s="18" t="s">
        <v>335</v>
      </c>
      <c r="D288" s="18" t="s">
        <v>338</v>
      </c>
      <c r="E288" s="12" t="s">
        <v>368</v>
      </c>
      <c r="F288" s="14">
        <f t="shared" si="13"/>
        <v>0</v>
      </c>
      <c r="G288" s="15" t="s">
        <v>2</v>
      </c>
      <c r="H288" s="3"/>
      <c r="I288" s="3"/>
      <c r="J288" s="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3"/>
    </row>
    <row r="289" spans="2:50" ht="30" customHeight="1">
      <c r="B289" s="11">
        <f t="shared" si="14"/>
        <v>284</v>
      </c>
      <c r="C289" s="18" t="s">
        <v>335</v>
      </c>
      <c r="D289" s="18" t="s">
        <v>339</v>
      </c>
      <c r="E289" s="12" t="s">
        <v>339</v>
      </c>
      <c r="F289" s="14">
        <f t="shared" si="13"/>
        <v>0</v>
      </c>
      <c r="G289" s="15" t="s">
        <v>2</v>
      </c>
      <c r="H289" s="3"/>
      <c r="I289" s="3"/>
      <c r="J289" s="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3"/>
    </row>
    <row r="290" spans="2:50" ht="30" customHeight="1">
      <c r="B290" s="11">
        <f t="shared" si="14"/>
        <v>285</v>
      </c>
      <c r="C290" s="18" t="s">
        <v>335</v>
      </c>
      <c r="D290" s="18" t="s">
        <v>339</v>
      </c>
      <c r="E290" s="12" t="s">
        <v>369</v>
      </c>
      <c r="F290" s="14">
        <f t="shared" si="13"/>
        <v>0</v>
      </c>
      <c r="G290" s="15" t="s">
        <v>2</v>
      </c>
      <c r="H290" s="3"/>
      <c r="I290" s="3"/>
      <c r="J290" s="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3"/>
    </row>
    <row r="291" spans="2:50" ht="30" customHeight="1">
      <c r="B291" s="11">
        <f t="shared" si="14"/>
        <v>286</v>
      </c>
      <c r="C291" s="18" t="s">
        <v>335</v>
      </c>
      <c r="D291" s="18" t="s">
        <v>339</v>
      </c>
      <c r="E291" s="12" t="s">
        <v>370</v>
      </c>
      <c r="F291" s="14">
        <f t="shared" si="13"/>
        <v>0</v>
      </c>
      <c r="G291" s="15" t="s">
        <v>2</v>
      </c>
      <c r="H291" s="3"/>
      <c r="I291" s="3"/>
      <c r="J291" s="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3"/>
    </row>
    <row r="292" spans="2:50" ht="30" customHeight="1">
      <c r="B292" s="11">
        <f t="shared" si="14"/>
        <v>287</v>
      </c>
      <c r="C292" s="18" t="s">
        <v>335</v>
      </c>
      <c r="D292" s="18" t="s">
        <v>339</v>
      </c>
      <c r="E292" s="12" t="s">
        <v>371</v>
      </c>
      <c r="F292" s="14">
        <f t="shared" si="13"/>
        <v>0</v>
      </c>
      <c r="G292" s="15" t="s">
        <v>2</v>
      </c>
      <c r="H292" s="3"/>
      <c r="I292" s="3"/>
      <c r="J292" s="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3"/>
    </row>
    <row r="293" spans="2:50" ht="30" customHeight="1">
      <c r="B293" s="11">
        <f t="shared" si="14"/>
        <v>288</v>
      </c>
      <c r="C293" s="18" t="s">
        <v>335</v>
      </c>
      <c r="D293" s="18" t="s">
        <v>339</v>
      </c>
      <c r="E293" s="12" t="s">
        <v>372</v>
      </c>
      <c r="F293" s="14">
        <f t="shared" si="13"/>
        <v>0</v>
      </c>
      <c r="G293" s="15" t="s">
        <v>2</v>
      </c>
      <c r="H293" s="3"/>
      <c r="I293" s="3"/>
      <c r="J293" s="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3"/>
    </row>
    <row r="294" spans="2:50" ht="30" customHeight="1">
      <c r="B294" s="11">
        <f t="shared" si="14"/>
        <v>289</v>
      </c>
      <c r="C294" s="18" t="s">
        <v>335</v>
      </c>
      <c r="D294" s="18" t="s">
        <v>339</v>
      </c>
      <c r="E294" s="12" t="s">
        <v>373</v>
      </c>
      <c r="F294" s="14">
        <f t="shared" si="13"/>
        <v>0</v>
      </c>
      <c r="G294" s="15" t="s">
        <v>2</v>
      </c>
      <c r="H294" s="3"/>
      <c r="I294" s="3"/>
      <c r="J294" s="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3"/>
    </row>
    <row r="295" spans="2:50" ht="30" customHeight="1">
      <c r="B295" s="11">
        <f t="shared" si="14"/>
        <v>290</v>
      </c>
      <c r="C295" s="18" t="s">
        <v>335</v>
      </c>
      <c r="D295" s="18" t="s">
        <v>339</v>
      </c>
      <c r="E295" s="12" t="s">
        <v>374</v>
      </c>
      <c r="F295" s="14">
        <f t="shared" si="13"/>
        <v>0</v>
      </c>
      <c r="G295" s="15" t="s">
        <v>2</v>
      </c>
      <c r="H295" s="3"/>
      <c r="I295" s="3"/>
      <c r="J295" s="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3"/>
    </row>
    <row r="296" spans="2:50" ht="30" customHeight="1">
      <c r="B296" s="11">
        <f t="shared" si="14"/>
        <v>291</v>
      </c>
      <c r="C296" s="18" t="s">
        <v>335</v>
      </c>
      <c r="D296" s="18" t="s">
        <v>339</v>
      </c>
      <c r="E296" s="12" t="s">
        <v>375</v>
      </c>
      <c r="F296" s="14">
        <f t="shared" si="13"/>
        <v>0</v>
      </c>
      <c r="G296" s="15" t="s">
        <v>2</v>
      </c>
      <c r="H296" s="3"/>
      <c r="I296" s="3"/>
      <c r="J296" s="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3"/>
    </row>
    <row r="297" spans="2:50" ht="30" customHeight="1">
      <c r="B297" s="11">
        <f t="shared" si="14"/>
        <v>292</v>
      </c>
      <c r="C297" s="18" t="s">
        <v>335</v>
      </c>
      <c r="D297" s="18" t="s">
        <v>339</v>
      </c>
      <c r="E297" s="12" t="s">
        <v>376</v>
      </c>
      <c r="F297" s="14">
        <f t="shared" si="13"/>
        <v>0</v>
      </c>
      <c r="G297" s="15" t="s">
        <v>2</v>
      </c>
      <c r="H297" s="3"/>
      <c r="I297" s="3"/>
      <c r="J297" s="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3"/>
    </row>
    <row r="298" spans="2:50" ht="30" customHeight="1">
      <c r="B298" s="11">
        <f t="shared" si="14"/>
        <v>293</v>
      </c>
      <c r="C298" s="18" t="s">
        <v>335</v>
      </c>
      <c r="D298" s="18" t="s">
        <v>339</v>
      </c>
      <c r="E298" s="12" t="s">
        <v>377</v>
      </c>
      <c r="F298" s="14">
        <f t="shared" si="13"/>
        <v>0</v>
      </c>
      <c r="G298" s="15" t="s">
        <v>2</v>
      </c>
      <c r="H298" s="3"/>
      <c r="I298" s="3"/>
      <c r="J298" s="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3"/>
    </row>
    <row r="299" spans="2:50" ht="30" customHeight="1">
      <c r="B299" s="11">
        <f t="shared" si="14"/>
        <v>294</v>
      </c>
      <c r="C299" s="18" t="s">
        <v>335</v>
      </c>
      <c r="D299" s="18" t="s">
        <v>339</v>
      </c>
      <c r="E299" s="12" t="s">
        <v>378</v>
      </c>
      <c r="F299" s="14">
        <f t="shared" si="13"/>
        <v>0</v>
      </c>
      <c r="G299" s="15" t="s">
        <v>2</v>
      </c>
      <c r="H299" s="3"/>
      <c r="I299" s="3"/>
      <c r="J299" s="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3"/>
    </row>
    <row r="300" spans="2:50" ht="30" customHeight="1">
      <c r="B300" s="11">
        <f t="shared" si="14"/>
        <v>295</v>
      </c>
      <c r="C300" s="18" t="s">
        <v>335</v>
      </c>
      <c r="D300" s="18" t="s">
        <v>339</v>
      </c>
      <c r="E300" s="12" t="s">
        <v>379</v>
      </c>
      <c r="F300" s="14">
        <f t="shared" si="13"/>
        <v>0</v>
      </c>
      <c r="G300" s="15" t="s">
        <v>2</v>
      </c>
      <c r="H300" s="3"/>
      <c r="I300" s="3"/>
      <c r="J300" s="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3"/>
    </row>
    <row r="301" spans="2:50" ht="30" customHeight="1">
      <c r="B301" s="11">
        <f t="shared" si="14"/>
        <v>296</v>
      </c>
      <c r="C301" s="18" t="s">
        <v>335</v>
      </c>
      <c r="D301" s="18" t="s">
        <v>339</v>
      </c>
      <c r="E301" s="12" t="s">
        <v>380</v>
      </c>
      <c r="F301" s="14">
        <f t="shared" si="13"/>
        <v>0</v>
      </c>
      <c r="G301" s="15" t="s">
        <v>2</v>
      </c>
      <c r="H301" s="3"/>
      <c r="I301" s="3"/>
      <c r="J301" s="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3"/>
    </row>
    <row r="302" spans="2:50" ht="30" customHeight="1">
      <c r="B302" s="11">
        <f t="shared" si="14"/>
        <v>297</v>
      </c>
      <c r="C302" s="18" t="s">
        <v>335</v>
      </c>
      <c r="D302" s="18" t="s">
        <v>339</v>
      </c>
      <c r="E302" s="12" t="s">
        <v>381</v>
      </c>
      <c r="F302" s="14">
        <f t="shared" si="13"/>
        <v>0</v>
      </c>
      <c r="G302" s="15" t="s">
        <v>2</v>
      </c>
      <c r="H302" s="3"/>
      <c r="I302" s="3"/>
      <c r="J302" s="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3"/>
    </row>
    <row r="303" spans="2:50" ht="30" customHeight="1">
      <c r="B303" s="11">
        <f t="shared" si="14"/>
        <v>298</v>
      </c>
      <c r="C303" s="18" t="s">
        <v>335</v>
      </c>
      <c r="D303" s="18" t="s">
        <v>339</v>
      </c>
      <c r="E303" s="12" t="s">
        <v>382</v>
      </c>
      <c r="F303" s="14">
        <f t="shared" si="13"/>
        <v>0</v>
      </c>
      <c r="G303" s="15" t="s">
        <v>2</v>
      </c>
      <c r="H303" s="3"/>
      <c r="I303" s="3"/>
      <c r="J303" s="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3"/>
    </row>
    <row r="304" spans="2:50" ht="30" customHeight="1">
      <c r="B304" s="11">
        <f t="shared" si="14"/>
        <v>299</v>
      </c>
      <c r="C304" s="18" t="s">
        <v>335</v>
      </c>
      <c r="D304" s="18" t="s">
        <v>339</v>
      </c>
      <c r="E304" s="12" t="s">
        <v>383</v>
      </c>
      <c r="F304" s="14">
        <f t="shared" si="13"/>
        <v>0</v>
      </c>
      <c r="G304" s="15" t="s">
        <v>2</v>
      </c>
      <c r="H304" s="3"/>
      <c r="I304" s="3"/>
      <c r="J304" s="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3"/>
    </row>
    <row r="305" spans="2:50" ht="30" customHeight="1">
      <c r="B305" s="11">
        <f t="shared" si="14"/>
        <v>300</v>
      </c>
      <c r="C305" s="18" t="s">
        <v>335</v>
      </c>
      <c r="D305" s="18" t="s">
        <v>339</v>
      </c>
      <c r="E305" s="12" t="s">
        <v>384</v>
      </c>
      <c r="F305" s="14">
        <f t="shared" si="13"/>
        <v>0</v>
      </c>
      <c r="G305" s="15" t="s">
        <v>2</v>
      </c>
      <c r="H305" s="3"/>
      <c r="I305" s="3"/>
      <c r="J305" s="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3"/>
    </row>
    <row r="306" spans="2:50" ht="30" customHeight="1">
      <c r="B306" s="11">
        <f t="shared" si="14"/>
        <v>301</v>
      </c>
      <c r="C306" s="18" t="s">
        <v>335</v>
      </c>
      <c r="D306" s="18" t="s">
        <v>339</v>
      </c>
      <c r="E306" s="12" t="s">
        <v>385</v>
      </c>
      <c r="F306" s="14">
        <f t="shared" si="13"/>
        <v>0</v>
      </c>
      <c r="G306" s="15" t="s">
        <v>2</v>
      </c>
      <c r="H306" s="3"/>
      <c r="I306" s="3"/>
      <c r="J306" s="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3"/>
    </row>
    <row r="307" spans="2:50" ht="30" customHeight="1">
      <c r="B307" s="11">
        <f t="shared" si="14"/>
        <v>302</v>
      </c>
      <c r="C307" s="18" t="s">
        <v>335</v>
      </c>
      <c r="D307" s="18" t="s">
        <v>339</v>
      </c>
      <c r="E307" s="12" t="s">
        <v>386</v>
      </c>
      <c r="F307" s="14">
        <f t="shared" si="13"/>
        <v>0</v>
      </c>
      <c r="G307" s="15" t="s">
        <v>2</v>
      </c>
      <c r="H307" s="3"/>
      <c r="I307" s="3"/>
      <c r="J307" s="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3"/>
    </row>
    <row r="308" spans="2:50" ht="30" customHeight="1">
      <c r="B308" s="11">
        <f t="shared" si="14"/>
        <v>303</v>
      </c>
      <c r="C308" s="18" t="s">
        <v>335</v>
      </c>
      <c r="D308" s="18" t="s">
        <v>339</v>
      </c>
      <c r="E308" s="12" t="s">
        <v>387</v>
      </c>
      <c r="F308" s="14">
        <f t="shared" si="13"/>
        <v>0</v>
      </c>
      <c r="G308" s="15" t="s">
        <v>2</v>
      </c>
      <c r="H308" s="3"/>
      <c r="I308" s="3"/>
      <c r="J308" s="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3"/>
    </row>
    <row r="309" spans="2:50" ht="30" customHeight="1">
      <c r="B309" s="11">
        <f t="shared" si="14"/>
        <v>304</v>
      </c>
      <c r="C309" s="18" t="s">
        <v>335</v>
      </c>
      <c r="D309" s="18" t="s">
        <v>339</v>
      </c>
      <c r="E309" s="12" t="s">
        <v>388</v>
      </c>
      <c r="F309" s="14">
        <f t="shared" ref="F309:F347" si="15">COUNTA(H309:AW309)</f>
        <v>0</v>
      </c>
      <c r="G309" s="15" t="s">
        <v>2</v>
      </c>
      <c r="H309" s="3"/>
      <c r="I309" s="3"/>
      <c r="J309" s="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3"/>
    </row>
    <row r="310" spans="2:50" ht="30" customHeight="1">
      <c r="B310" s="11">
        <f t="shared" si="14"/>
        <v>305</v>
      </c>
      <c r="C310" s="18" t="s">
        <v>335</v>
      </c>
      <c r="D310" s="18" t="s">
        <v>339</v>
      </c>
      <c r="E310" s="12" t="s">
        <v>389</v>
      </c>
      <c r="F310" s="14">
        <f t="shared" si="15"/>
        <v>0</v>
      </c>
      <c r="G310" s="15" t="s">
        <v>2</v>
      </c>
      <c r="H310" s="3"/>
      <c r="I310" s="3"/>
      <c r="J310" s="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3"/>
    </row>
    <row r="311" spans="2:50" ht="30" customHeight="1">
      <c r="B311" s="11">
        <f t="shared" si="14"/>
        <v>306</v>
      </c>
      <c r="C311" s="18" t="s">
        <v>335</v>
      </c>
      <c r="D311" s="18" t="s">
        <v>339</v>
      </c>
      <c r="E311" s="12" t="s">
        <v>390</v>
      </c>
      <c r="F311" s="14">
        <f t="shared" si="15"/>
        <v>0</v>
      </c>
      <c r="G311" s="15" t="s">
        <v>2</v>
      </c>
      <c r="H311" s="3"/>
      <c r="I311" s="3"/>
      <c r="J311" s="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3"/>
    </row>
    <row r="312" spans="2:50" ht="30" customHeight="1">
      <c r="B312" s="11">
        <f t="shared" si="14"/>
        <v>307</v>
      </c>
      <c r="C312" s="18" t="s">
        <v>335</v>
      </c>
      <c r="D312" s="18" t="s">
        <v>339</v>
      </c>
      <c r="E312" s="12" t="s">
        <v>391</v>
      </c>
      <c r="F312" s="14">
        <f t="shared" si="15"/>
        <v>0</v>
      </c>
      <c r="G312" s="15" t="s">
        <v>2</v>
      </c>
      <c r="H312" s="3"/>
      <c r="I312" s="3"/>
      <c r="J312" s="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3"/>
    </row>
    <row r="313" spans="2:50" ht="30" customHeight="1">
      <c r="B313" s="11">
        <f t="shared" si="14"/>
        <v>308</v>
      </c>
      <c r="C313" s="18" t="s">
        <v>335</v>
      </c>
      <c r="D313" s="18" t="s">
        <v>340</v>
      </c>
      <c r="E313" s="12" t="s">
        <v>340</v>
      </c>
      <c r="F313" s="14">
        <f t="shared" si="15"/>
        <v>0</v>
      </c>
      <c r="G313" s="15" t="s">
        <v>2</v>
      </c>
      <c r="H313" s="3"/>
      <c r="I313" s="3"/>
      <c r="J313" s="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3"/>
    </row>
    <row r="314" spans="2:50" ht="30" customHeight="1">
      <c r="B314" s="11">
        <f t="shared" si="14"/>
        <v>309</v>
      </c>
      <c r="C314" s="18" t="s">
        <v>335</v>
      </c>
      <c r="D314" s="18" t="s">
        <v>30</v>
      </c>
      <c r="E314" s="12" t="s">
        <v>30</v>
      </c>
      <c r="F314" s="14">
        <f t="shared" si="15"/>
        <v>0</v>
      </c>
      <c r="G314" s="15" t="s">
        <v>2</v>
      </c>
      <c r="H314" s="3"/>
      <c r="I314" s="3"/>
      <c r="J314" s="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3"/>
    </row>
    <row r="315" spans="2:50" ht="30" customHeight="1">
      <c r="B315" s="11">
        <f t="shared" si="14"/>
        <v>310</v>
      </c>
      <c r="C315" s="18" t="s">
        <v>335</v>
      </c>
      <c r="D315" s="18" t="s">
        <v>6</v>
      </c>
      <c r="E315" s="12" t="s">
        <v>6</v>
      </c>
      <c r="F315" s="14">
        <f t="shared" si="15"/>
        <v>0</v>
      </c>
      <c r="G315" s="15" t="s">
        <v>2</v>
      </c>
      <c r="H315" s="3"/>
      <c r="I315" s="3"/>
      <c r="J315" s="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3"/>
    </row>
    <row r="316" spans="2:50" ht="30" customHeight="1">
      <c r="B316" s="11">
        <f t="shared" si="14"/>
        <v>311</v>
      </c>
      <c r="C316" s="18" t="s">
        <v>335</v>
      </c>
      <c r="D316" s="18" t="s">
        <v>31</v>
      </c>
      <c r="E316" s="12" t="s">
        <v>31</v>
      </c>
      <c r="F316" s="14">
        <f t="shared" si="15"/>
        <v>0</v>
      </c>
      <c r="G316" s="15" t="s">
        <v>2</v>
      </c>
      <c r="H316" s="3"/>
      <c r="I316" s="3"/>
      <c r="J316" s="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3"/>
    </row>
    <row r="317" spans="2:50" ht="30" customHeight="1">
      <c r="B317" s="11">
        <f t="shared" si="14"/>
        <v>312</v>
      </c>
      <c r="C317" s="18" t="s">
        <v>335</v>
      </c>
      <c r="D317" s="18" t="s">
        <v>32</v>
      </c>
      <c r="E317" s="12" t="s">
        <v>32</v>
      </c>
      <c r="F317" s="14">
        <f t="shared" si="15"/>
        <v>0</v>
      </c>
      <c r="G317" s="15" t="s">
        <v>2</v>
      </c>
      <c r="H317" s="3"/>
      <c r="I317" s="3"/>
      <c r="J317" s="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3"/>
    </row>
    <row r="318" spans="2:50" ht="30" customHeight="1">
      <c r="B318" s="11">
        <f t="shared" si="14"/>
        <v>313</v>
      </c>
      <c r="C318" s="18" t="s">
        <v>335</v>
      </c>
      <c r="D318" s="18" t="s">
        <v>33</v>
      </c>
      <c r="E318" s="12" t="s">
        <v>33</v>
      </c>
      <c r="F318" s="14">
        <f t="shared" si="15"/>
        <v>0</v>
      </c>
      <c r="G318" s="15" t="s">
        <v>2</v>
      </c>
      <c r="H318" s="3"/>
      <c r="I318" s="3"/>
      <c r="J318" s="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3"/>
    </row>
    <row r="319" spans="2:50" ht="30" customHeight="1">
      <c r="B319" s="11">
        <f t="shared" si="14"/>
        <v>314</v>
      </c>
      <c r="C319" s="18" t="s">
        <v>335</v>
      </c>
      <c r="D319" s="18" t="s">
        <v>341</v>
      </c>
      <c r="E319" s="12" t="s">
        <v>341</v>
      </c>
      <c r="F319" s="14">
        <f t="shared" si="15"/>
        <v>0</v>
      </c>
      <c r="G319" s="15" t="s">
        <v>2</v>
      </c>
      <c r="H319" s="3"/>
      <c r="I319" s="3"/>
      <c r="J319" s="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3"/>
    </row>
    <row r="320" spans="2:50" ht="30" customHeight="1">
      <c r="B320" s="11">
        <f t="shared" si="14"/>
        <v>315</v>
      </c>
      <c r="C320" s="18" t="s">
        <v>335</v>
      </c>
      <c r="D320" s="18" t="s">
        <v>34</v>
      </c>
      <c r="E320" s="12" t="s">
        <v>34</v>
      </c>
      <c r="F320" s="14">
        <f t="shared" si="15"/>
        <v>0</v>
      </c>
      <c r="G320" s="15" t="s">
        <v>2</v>
      </c>
      <c r="H320" s="3"/>
      <c r="I320" s="3"/>
      <c r="J320" s="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3"/>
    </row>
    <row r="321" spans="2:50" ht="30" customHeight="1">
      <c r="B321" s="11">
        <f t="shared" si="14"/>
        <v>316</v>
      </c>
      <c r="C321" s="18" t="s">
        <v>335</v>
      </c>
      <c r="D321" s="18" t="s">
        <v>35</v>
      </c>
      <c r="E321" s="12" t="s">
        <v>35</v>
      </c>
      <c r="F321" s="14">
        <f t="shared" si="15"/>
        <v>0</v>
      </c>
      <c r="G321" s="15" t="s">
        <v>2</v>
      </c>
      <c r="H321" s="3"/>
      <c r="I321" s="3"/>
      <c r="J321" s="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3"/>
    </row>
    <row r="322" spans="2:50" ht="30" customHeight="1">
      <c r="B322" s="11">
        <f t="shared" si="14"/>
        <v>317</v>
      </c>
      <c r="C322" s="18" t="s">
        <v>335</v>
      </c>
      <c r="D322" s="18" t="s">
        <v>36</v>
      </c>
      <c r="E322" s="12" t="s">
        <v>36</v>
      </c>
      <c r="F322" s="14">
        <f t="shared" si="15"/>
        <v>0</v>
      </c>
      <c r="G322" s="15" t="s">
        <v>2</v>
      </c>
      <c r="H322" s="3"/>
      <c r="I322" s="3"/>
      <c r="J322" s="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3"/>
    </row>
    <row r="323" spans="2:50" ht="30" customHeight="1">
      <c r="B323" s="11">
        <f t="shared" si="14"/>
        <v>318</v>
      </c>
      <c r="C323" s="18" t="s">
        <v>335</v>
      </c>
      <c r="D323" s="18" t="s">
        <v>37</v>
      </c>
      <c r="E323" s="12" t="s">
        <v>37</v>
      </c>
      <c r="F323" s="14">
        <f t="shared" si="15"/>
        <v>0</v>
      </c>
      <c r="G323" s="15" t="s">
        <v>2</v>
      </c>
      <c r="H323" s="3"/>
      <c r="I323" s="3"/>
      <c r="J323" s="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3"/>
    </row>
    <row r="324" spans="2:50" ht="30" customHeight="1">
      <c r="B324" s="11">
        <f t="shared" si="14"/>
        <v>319</v>
      </c>
      <c r="C324" s="18" t="s">
        <v>335</v>
      </c>
      <c r="D324" s="18" t="s">
        <v>342</v>
      </c>
      <c r="E324" s="12" t="s">
        <v>342</v>
      </c>
      <c r="F324" s="14">
        <f t="shared" si="15"/>
        <v>0</v>
      </c>
      <c r="G324" s="15" t="s">
        <v>2</v>
      </c>
      <c r="H324" s="3"/>
      <c r="I324" s="3"/>
      <c r="J324" s="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3"/>
    </row>
    <row r="325" spans="2:50" ht="30" customHeight="1">
      <c r="B325" s="11">
        <f t="shared" si="14"/>
        <v>320</v>
      </c>
      <c r="C325" s="18" t="s">
        <v>335</v>
      </c>
      <c r="D325" s="18" t="s">
        <v>343</v>
      </c>
      <c r="E325" s="12" t="s">
        <v>343</v>
      </c>
      <c r="F325" s="14">
        <f t="shared" si="15"/>
        <v>0</v>
      </c>
      <c r="G325" s="15" t="s">
        <v>2</v>
      </c>
      <c r="H325" s="3"/>
      <c r="I325" s="3"/>
      <c r="J325" s="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3"/>
    </row>
    <row r="326" spans="2:50" ht="30" customHeight="1">
      <c r="B326" s="11">
        <f t="shared" si="14"/>
        <v>321</v>
      </c>
      <c r="C326" s="18" t="s">
        <v>335</v>
      </c>
      <c r="D326" s="18" t="s">
        <v>38</v>
      </c>
      <c r="E326" s="12" t="s">
        <v>38</v>
      </c>
      <c r="F326" s="14">
        <f t="shared" si="15"/>
        <v>0</v>
      </c>
      <c r="G326" s="15" t="s">
        <v>2</v>
      </c>
      <c r="H326" s="3"/>
      <c r="I326" s="3"/>
      <c r="J326" s="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3"/>
    </row>
    <row r="327" spans="2:50" ht="30" customHeight="1">
      <c r="B327" s="11">
        <f t="shared" si="14"/>
        <v>322</v>
      </c>
      <c r="C327" s="18" t="s">
        <v>335</v>
      </c>
      <c r="D327" s="18" t="s">
        <v>39</v>
      </c>
      <c r="E327" s="12" t="s">
        <v>39</v>
      </c>
      <c r="F327" s="14">
        <f t="shared" si="15"/>
        <v>0</v>
      </c>
      <c r="G327" s="15" t="s">
        <v>2</v>
      </c>
      <c r="H327" s="3"/>
      <c r="I327" s="3"/>
      <c r="J327" s="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3"/>
    </row>
    <row r="328" spans="2:50" ht="30" customHeight="1">
      <c r="B328" s="11">
        <f t="shared" si="14"/>
        <v>323</v>
      </c>
      <c r="C328" s="18" t="s">
        <v>335</v>
      </c>
      <c r="D328" s="18" t="s">
        <v>40</v>
      </c>
      <c r="E328" s="12" t="s">
        <v>40</v>
      </c>
      <c r="F328" s="14">
        <f t="shared" si="15"/>
        <v>0</v>
      </c>
      <c r="G328" s="15" t="s">
        <v>2</v>
      </c>
      <c r="H328" s="3"/>
      <c r="I328" s="3"/>
      <c r="J328" s="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3"/>
    </row>
    <row r="329" spans="2:50" ht="30" customHeight="1">
      <c r="B329" s="11">
        <f t="shared" ref="B329:B347" si="16">ROW()-5</f>
        <v>324</v>
      </c>
      <c r="C329" s="18" t="s">
        <v>335</v>
      </c>
      <c r="D329" s="18" t="s">
        <v>41</v>
      </c>
      <c r="E329" s="12" t="s">
        <v>41</v>
      </c>
      <c r="F329" s="14">
        <f t="shared" si="15"/>
        <v>0</v>
      </c>
      <c r="G329" s="15" t="s">
        <v>2</v>
      </c>
      <c r="H329" s="3"/>
      <c r="I329" s="3"/>
      <c r="J329" s="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3"/>
    </row>
    <row r="330" spans="2:50" ht="30" customHeight="1">
      <c r="B330" s="11">
        <f t="shared" si="16"/>
        <v>325</v>
      </c>
      <c r="C330" s="18" t="s">
        <v>335</v>
      </c>
      <c r="D330" s="18" t="s">
        <v>42</v>
      </c>
      <c r="E330" s="12" t="s">
        <v>42</v>
      </c>
      <c r="F330" s="14">
        <f t="shared" si="15"/>
        <v>0</v>
      </c>
      <c r="G330" s="15" t="s">
        <v>2</v>
      </c>
      <c r="H330" s="3"/>
      <c r="I330" s="3"/>
      <c r="J330" s="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3"/>
    </row>
    <row r="331" spans="2:50" ht="30" customHeight="1">
      <c r="B331" s="11">
        <f t="shared" si="16"/>
        <v>326</v>
      </c>
      <c r="C331" s="18" t="s">
        <v>335</v>
      </c>
      <c r="D331" s="18" t="s">
        <v>344</v>
      </c>
      <c r="E331" s="12" t="s">
        <v>344</v>
      </c>
      <c r="F331" s="14">
        <f t="shared" si="15"/>
        <v>0</v>
      </c>
      <c r="G331" s="15" t="s">
        <v>2</v>
      </c>
      <c r="H331" s="3"/>
      <c r="I331" s="3"/>
      <c r="J331" s="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3"/>
    </row>
    <row r="332" spans="2:50" ht="30" customHeight="1">
      <c r="B332" s="11">
        <f t="shared" si="16"/>
        <v>327</v>
      </c>
      <c r="C332" s="18" t="s">
        <v>335</v>
      </c>
      <c r="D332" s="18" t="s">
        <v>345</v>
      </c>
      <c r="E332" s="12" t="s">
        <v>345</v>
      </c>
      <c r="F332" s="14">
        <f t="shared" si="15"/>
        <v>0</v>
      </c>
      <c r="G332" s="15" t="s">
        <v>2</v>
      </c>
      <c r="H332" s="3"/>
      <c r="I332" s="3"/>
      <c r="J332" s="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3"/>
    </row>
    <row r="333" spans="2:50" ht="30" customHeight="1">
      <c r="B333" s="11">
        <f t="shared" si="16"/>
        <v>328</v>
      </c>
      <c r="C333" s="18" t="s">
        <v>335</v>
      </c>
      <c r="D333" s="18" t="s">
        <v>7</v>
      </c>
      <c r="E333" s="12" t="s">
        <v>7</v>
      </c>
      <c r="F333" s="14">
        <f t="shared" si="15"/>
        <v>0</v>
      </c>
      <c r="G333" s="15" t="s">
        <v>2</v>
      </c>
      <c r="H333" s="3"/>
      <c r="I333" s="3"/>
      <c r="J333" s="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3"/>
    </row>
    <row r="334" spans="2:50" ht="30" customHeight="1">
      <c r="B334" s="11">
        <f t="shared" si="16"/>
        <v>329</v>
      </c>
      <c r="C334" s="18" t="s">
        <v>335</v>
      </c>
      <c r="D334" s="18" t="s">
        <v>346</v>
      </c>
      <c r="E334" s="12" t="s">
        <v>346</v>
      </c>
      <c r="F334" s="14">
        <f t="shared" si="15"/>
        <v>0</v>
      </c>
      <c r="G334" s="15" t="s">
        <v>2</v>
      </c>
      <c r="H334" s="3"/>
      <c r="I334" s="3"/>
      <c r="J334" s="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3"/>
    </row>
    <row r="335" spans="2:50" ht="30" customHeight="1">
      <c r="B335" s="11">
        <f t="shared" si="16"/>
        <v>330</v>
      </c>
      <c r="C335" s="18" t="s">
        <v>335</v>
      </c>
      <c r="D335" s="18" t="s">
        <v>43</v>
      </c>
      <c r="E335" s="12" t="s">
        <v>43</v>
      </c>
      <c r="F335" s="14">
        <f t="shared" si="15"/>
        <v>0</v>
      </c>
      <c r="G335" s="15" t="s">
        <v>2</v>
      </c>
      <c r="H335" s="3"/>
      <c r="I335" s="3"/>
      <c r="J335" s="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3"/>
    </row>
    <row r="336" spans="2:50" ht="30" customHeight="1">
      <c r="B336" s="11">
        <f t="shared" si="16"/>
        <v>331</v>
      </c>
      <c r="C336" s="18" t="s">
        <v>335</v>
      </c>
      <c r="D336" s="18" t="s">
        <v>44</v>
      </c>
      <c r="E336" s="12" t="s">
        <v>44</v>
      </c>
      <c r="F336" s="14">
        <f t="shared" si="15"/>
        <v>0</v>
      </c>
      <c r="G336" s="15" t="s">
        <v>2</v>
      </c>
      <c r="H336" s="3"/>
      <c r="I336" s="3"/>
      <c r="J336" s="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3"/>
    </row>
    <row r="337" spans="2:50" ht="30" customHeight="1">
      <c r="B337" s="11">
        <f t="shared" si="16"/>
        <v>332</v>
      </c>
      <c r="C337" s="18" t="s">
        <v>335</v>
      </c>
      <c r="D337" s="18" t="s">
        <v>347</v>
      </c>
      <c r="E337" s="12" t="s">
        <v>347</v>
      </c>
      <c r="F337" s="14">
        <f t="shared" si="15"/>
        <v>0</v>
      </c>
      <c r="G337" s="15" t="s">
        <v>2</v>
      </c>
      <c r="H337" s="3"/>
      <c r="I337" s="3"/>
      <c r="J337" s="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3"/>
    </row>
    <row r="338" spans="2:50" ht="30" customHeight="1">
      <c r="B338" s="11">
        <f t="shared" si="16"/>
        <v>333</v>
      </c>
      <c r="C338" s="18" t="s">
        <v>335</v>
      </c>
      <c r="D338" s="18" t="s">
        <v>5</v>
      </c>
      <c r="E338" s="12" t="s">
        <v>5</v>
      </c>
      <c r="F338" s="14">
        <f t="shared" si="15"/>
        <v>0</v>
      </c>
      <c r="G338" s="15" t="s">
        <v>2</v>
      </c>
      <c r="H338" s="3"/>
      <c r="I338" s="3"/>
      <c r="J338" s="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3"/>
    </row>
    <row r="339" spans="2:50" ht="30" customHeight="1">
      <c r="B339" s="11">
        <f t="shared" si="16"/>
        <v>334</v>
      </c>
      <c r="C339" s="18" t="s">
        <v>335</v>
      </c>
      <c r="D339" s="18" t="s">
        <v>8</v>
      </c>
      <c r="E339" s="12" t="s">
        <v>8</v>
      </c>
      <c r="F339" s="14">
        <f t="shared" si="15"/>
        <v>0</v>
      </c>
      <c r="G339" s="15" t="s">
        <v>2</v>
      </c>
      <c r="H339" s="3"/>
      <c r="I339" s="3"/>
      <c r="J339" s="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3"/>
    </row>
    <row r="340" spans="2:50" ht="30" customHeight="1">
      <c r="B340" s="11">
        <f t="shared" si="16"/>
        <v>335</v>
      </c>
      <c r="C340" s="18" t="s">
        <v>335</v>
      </c>
      <c r="D340" s="18" t="s">
        <v>348</v>
      </c>
      <c r="E340" s="12" t="s">
        <v>348</v>
      </c>
      <c r="F340" s="14">
        <f t="shared" si="15"/>
        <v>0</v>
      </c>
      <c r="G340" s="15" t="s">
        <v>2</v>
      </c>
      <c r="H340" s="3"/>
      <c r="I340" s="3"/>
      <c r="J340" s="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3"/>
    </row>
    <row r="341" spans="2:50" ht="30" customHeight="1">
      <c r="B341" s="11">
        <f t="shared" si="16"/>
        <v>336</v>
      </c>
      <c r="C341" s="18"/>
      <c r="D341" s="18"/>
      <c r="E341" s="12"/>
      <c r="F341" s="14">
        <f t="shared" si="15"/>
        <v>0</v>
      </c>
      <c r="G341" s="15"/>
      <c r="H341" s="3"/>
      <c r="I341" s="3"/>
      <c r="J341" s="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3"/>
    </row>
    <row r="342" spans="2:50" ht="30" customHeight="1">
      <c r="B342" s="11">
        <f t="shared" si="16"/>
        <v>337</v>
      </c>
      <c r="C342" s="18"/>
      <c r="D342" s="18"/>
      <c r="E342" s="12"/>
      <c r="F342" s="14">
        <f t="shared" si="15"/>
        <v>0</v>
      </c>
      <c r="G342" s="15"/>
      <c r="H342" s="3"/>
      <c r="I342" s="3"/>
      <c r="J342" s="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3"/>
    </row>
    <row r="343" spans="2:50" ht="30" customHeight="1">
      <c r="B343" s="11">
        <f t="shared" si="16"/>
        <v>338</v>
      </c>
      <c r="C343" s="18"/>
      <c r="D343" s="18"/>
      <c r="E343" s="12"/>
      <c r="F343" s="14">
        <f t="shared" si="15"/>
        <v>0</v>
      </c>
      <c r="G343" s="15"/>
      <c r="H343" s="3"/>
      <c r="I343" s="3"/>
      <c r="J343" s="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3"/>
    </row>
    <row r="344" spans="2:50" ht="30" customHeight="1">
      <c r="B344" s="11">
        <f t="shared" si="16"/>
        <v>339</v>
      </c>
      <c r="C344" s="18"/>
      <c r="D344" s="18"/>
      <c r="E344" s="12"/>
      <c r="F344" s="14">
        <f t="shared" si="15"/>
        <v>0</v>
      </c>
      <c r="G344" s="15"/>
      <c r="H344" s="3"/>
      <c r="I344" s="3"/>
      <c r="J344" s="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3"/>
    </row>
    <row r="345" spans="2:50" ht="30" customHeight="1">
      <c r="B345" s="11">
        <f t="shared" si="16"/>
        <v>340</v>
      </c>
      <c r="C345" s="18"/>
      <c r="D345" s="18"/>
      <c r="E345" s="12"/>
      <c r="F345" s="14">
        <f t="shared" si="15"/>
        <v>0</v>
      </c>
      <c r="G345" s="15"/>
      <c r="H345" s="3"/>
      <c r="I345" s="3"/>
      <c r="J345" s="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3"/>
    </row>
    <row r="346" spans="2:50" ht="30" customHeight="1">
      <c r="B346" s="11">
        <f t="shared" si="16"/>
        <v>341</v>
      </c>
      <c r="C346" s="18"/>
      <c r="D346" s="18"/>
      <c r="E346" s="12"/>
      <c r="F346" s="14">
        <f t="shared" si="15"/>
        <v>0</v>
      </c>
      <c r="G346" s="15"/>
      <c r="H346" s="3"/>
      <c r="I346" s="3"/>
      <c r="J346" s="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3"/>
    </row>
    <row r="347" spans="2:50" ht="30" customHeight="1">
      <c r="B347" s="11">
        <f t="shared" si="16"/>
        <v>342</v>
      </c>
      <c r="C347" s="18"/>
      <c r="D347" s="18"/>
      <c r="E347" s="12"/>
      <c r="F347" s="14">
        <f t="shared" si="15"/>
        <v>0</v>
      </c>
      <c r="G347" s="15"/>
      <c r="H347" s="3"/>
      <c r="I347" s="3"/>
      <c r="J347" s="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3"/>
    </row>
    <row r="348" spans="2:50" ht="30" customHeight="1">
      <c r="B348" s="11">
        <f t="shared" ref="B348" si="17">ROW()-5</f>
        <v>343</v>
      </c>
      <c r="C348" s="18"/>
      <c r="D348" s="18"/>
      <c r="E348" s="12"/>
      <c r="F348" s="14">
        <f>COUNTA(H348:AW348)</f>
        <v>0</v>
      </c>
      <c r="G348" s="15"/>
      <c r="H348" s="3"/>
      <c r="I348" s="3"/>
      <c r="J348" s="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3"/>
    </row>
  </sheetData>
  <mergeCells count="7">
    <mergeCell ref="G4:G5"/>
    <mergeCell ref="E2:F2"/>
    <mergeCell ref="C3:D3"/>
    <mergeCell ref="E3:F3"/>
    <mergeCell ref="B4:B5"/>
    <mergeCell ref="C4:C5"/>
    <mergeCell ref="E4:F5"/>
  </mergeCells>
  <phoneticPr fontId="3"/>
  <dataValidations count="2">
    <dataValidation type="list" allowBlank="1" showInputMessage="1" showErrorMessage="1" sqref="G6:G348" xr:uid="{51082D35-9670-441A-B2CA-039A704067D8}">
      <formula1>"画,バ"</formula1>
    </dataValidation>
    <dataValidation type="list" allowBlank="1" showInputMessage="1" showErrorMessage="1" sqref="H131:Q131 H132:AW348 S131:AW131 H6:AW130" xr:uid="{F1DC09DC-7B66-4A5C-A5A7-73A72464A3E6}">
      <formula1>"●"</formula1>
    </dataValidation>
  </dataValidations>
  <printOptions horizontalCentered="1"/>
  <pageMargins left="0.27559055118110237" right="0.27559055118110237" top="0.59055118110236227" bottom="0.39370078740157483" header="0.39370078740157483" footer="0.19685039370078741"/>
  <pageSetup paperSize="9" scale="24" fitToHeight="0" orientation="landscape" r:id="rId1"/>
  <headerFooter alignWithMargins="0">
    <oddHeader>&amp;L&amp;"ＭＳ ゴシック,太字"&amp;18&amp;A</oddHeader>
    <oddFooter>&amp;L(&amp;F 20150330 Ver.1.0)&amp;C&amp;P / &amp;N&amp;RCopyright(c) 2015 SCSK Corporation</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24D5-2561-499C-BDE2-5DCCBE369D03}">
  <sheetPr codeName="Sheet3">
    <pageSetUpPr fitToPage="1"/>
  </sheetPr>
  <dimension ref="A2:CB443"/>
  <sheetViews>
    <sheetView view="pageBreakPreview" zoomScaleNormal="70" zoomScaleSheetLayoutView="100" workbookViewId="0">
      <pane xSplit="7" ySplit="6" topLeftCell="H7" activePane="bottomRight" state="frozen"/>
      <selection activeCell="A2" sqref="A2"/>
      <selection pane="topRight" activeCell="A2" sqref="A2"/>
      <selection pane="bottomLeft" activeCell="A2" sqref="A2"/>
      <selection pane="bottomRight"/>
    </sheetView>
  </sheetViews>
  <sheetFormatPr defaultColWidth="9" defaultRowHeight="12"/>
  <cols>
    <col min="1" max="1" width="1.625" style="1" customWidth="1"/>
    <col min="2" max="2" width="5.125" style="2" bestFit="1" customWidth="1"/>
    <col min="3" max="3" width="14" style="2" customWidth="1"/>
    <col min="4" max="4" width="12.75" style="2" customWidth="1"/>
    <col min="5" max="5" width="30.625" style="1" customWidth="1"/>
    <col min="6" max="6" width="3.625" style="1" customWidth="1"/>
    <col min="7" max="7" width="3.625" style="2" customWidth="1"/>
    <col min="8" max="49" width="10.625" style="2" customWidth="1"/>
    <col min="50" max="50" width="10.625" style="45" customWidth="1"/>
    <col min="51" max="65" width="10.625" style="2" customWidth="1"/>
    <col min="66" max="66" width="10.625" style="45" customWidth="1"/>
    <col min="67" max="79" width="10.625" style="2" customWidth="1"/>
    <col min="80" max="80" width="4.625" style="2" customWidth="1"/>
    <col min="81" max="16384" width="9" style="1"/>
  </cols>
  <sheetData>
    <row r="2" spans="2:80" s="4" customFormat="1" ht="15" customHeight="1">
      <c r="B2" s="10" t="s">
        <v>1</v>
      </c>
      <c r="C2" s="9"/>
      <c r="D2" s="9"/>
      <c r="E2" s="92"/>
      <c r="F2" s="93"/>
      <c r="G2" s="23"/>
      <c r="H2" s="8">
        <f>COLUMN()-7</f>
        <v>1</v>
      </c>
      <c r="I2" s="8">
        <f t="shared" ref="I2:BT2" si="0">COLUMN()-7</f>
        <v>2</v>
      </c>
      <c r="J2" s="8">
        <f t="shared" si="0"/>
        <v>3</v>
      </c>
      <c r="K2" s="8">
        <f t="shared" si="0"/>
        <v>4</v>
      </c>
      <c r="L2" s="8">
        <f t="shared" si="0"/>
        <v>5</v>
      </c>
      <c r="M2" s="8">
        <f t="shared" si="0"/>
        <v>6</v>
      </c>
      <c r="N2" s="8">
        <f t="shared" si="0"/>
        <v>7</v>
      </c>
      <c r="O2" s="8">
        <f t="shared" si="0"/>
        <v>8</v>
      </c>
      <c r="P2" s="8">
        <f t="shared" si="0"/>
        <v>9</v>
      </c>
      <c r="Q2" s="8">
        <f t="shared" si="0"/>
        <v>10</v>
      </c>
      <c r="R2" s="8">
        <f t="shared" si="0"/>
        <v>11</v>
      </c>
      <c r="S2" s="8">
        <f t="shared" si="0"/>
        <v>12</v>
      </c>
      <c r="T2" s="8">
        <f t="shared" si="0"/>
        <v>13</v>
      </c>
      <c r="U2" s="8">
        <f t="shared" si="0"/>
        <v>14</v>
      </c>
      <c r="V2" s="8">
        <f t="shared" si="0"/>
        <v>15</v>
      </c>
      <c r="W2" s="8">
        <f t="shared" si="0"/>
        <v>16</v>
      </c>
      <c r="X2" s="8">
        <f t="shared" si="0"/>
        <v>17</v>
      </c>
      <c r="Y2" s="8">
        <f t="shared" si="0"/>
        <v>18</v>
      </c>
      <c r="Z2" s="8">
        <f t="shared" si="0"/>
        <v>19</v>
      </c>
      <c r="AA2" s="8">
        <f t="shared" si="0"/>
        <v>20</v>
      </c>
      <c r="AB2" s="8">
        <f t="shared" si="0"/>
        <v>21</v>
      </c>
      <c r="AC2" s="8">
        <f t="shared" si="0"/>
        <v>22</v>
      </c>
      <c r="AD2" s="8">
        <f t="shared" si="0"/>
        <v>23</v>
      </c>
      <c r="AE2" s="8">
        <f t="shared" si="0"/>
        <v>24</v>
      </c>
      <c r="AF2" s="8">
        <f t="shared" si="0"/>
        <v>25</v>
      </c>
      <c r="AG2" s="8">
        <f t="shared" si="0"/>
        <v>26</v>
      </c>
      <c r="AH2" s="8">
        <f t="shared" si="0"/>
        <v>27</v>
      </c>
      <c r="AI2" s="8">
        <f t="shared" si="0"/>
        <v>28</v>
      </c>
      <c r="AJ2" s="8">
        <f t="shared" si="0"/>
        <v>29</v>
      </c>
      <c r="AK2" s="3">
        <f t="shared" si="0"/>
        <v>30</v>
      </c>
      <c r="AL2" s="8">
        <f t="shared" si="0"/>
        <v>31</v>
      </c>
      <c r="AM2" s="8">
        <f t="shared" si="0"/>
        <v>32</v>
      </c>
      <c r="AN2" s="8">
        <f t="shared" si="0"/>
        <v>33</v>
      </c>
      <c r="AO2" s="8">
        <f t="shared" si="0"/>
        <v>34</v>
      </c>
      <c r="AP2" s="8">
        <f t="shared" si="0"/>
        <v>35</v>
      </c>
      <c r="AQ2" s="8">
        <f t="shared" si="0"/>
        <v>36</v>
      </c>
      <c r="AR2" s="8">
        <f t="shared" si="0"/>
        <v>37</v>
      </c>
      <c r="AS2" s="8">
        <f t="shared" si="0"/>
        <v>38</v>
      </c>
      <c r="AT2" s="8">
        <f t="shared" si="0"/>
        <v>39</v>
      </c>
      <c r="AU2" s="8">
        <f t="shared" si="0"/>
        <v>40</v>
      </c>
      <c r="AV2" s="8">
        <f t="shared" si="0"/>
        <v>41</v>
      </c>
      <c r="AW2" s="8">
        <f t="shared" si="0"/>
        <v>42</v>
      </c>
      <c r="AX2" s="28">
        <f t="shared" si="0"/>
        <v>43</v>
      </c>
      <c r="AY2" s="8">
        <f t="shared" si="0"/>
        <v>44</v>
      </c>
      <c r="AZ2" s="8">
        <f t="shared" si="0"/>
        <v>45</v>
      </c>
      <c r="BA2" s="8">
        <f t="shared" si="0"/>
        <v>46</v>
      </c>
      <c r="BB2" s="8">
        <f t="shared" si="0"/>
        <v>47</v>
      </c>
      <c r="BC2" s="8">
        <f t="shared" si="0"/>
        <v>48</v>
      </c>
      <c r="BD2" s="8">
        <f t="shared" si="0"/>
        <v>49</v>
      </c>
      <c r="BE2" s="8">
        <f t="shared" si="0"/>
        <v>50</v>
      </c>
      <c r="BF2" s="8">
        <f t="shared" si="0"/>
        <v>51</v>
      </c>
      <c r="BG2" s="8">
        <f t="shared" si="0"/>
        <v>52</v>
      </c>
      <c r="BH2" s="8">
        <f t="shared" si="0"/>
        <v>53</v>
      </c>
      <c r="BI2" s="8">
        <f t="shared" si="0"/>
        <v>54</v>
      </c>
      <c r="BJ2" s="8">
        <f t="shared" si="0"/>
        <v>55</v>
      </c>
      <c r="BK2" s="8">
        <f t="shared" si="0"/>
        <v>56</v>
      </c>
      <c r="BL2" s="8">
        <f t="shared" si="0"/>
        <v>57</v>
      </c>
      <c r="BM2" s="8">
        <f t="shared" si="0"/>
        <v>58</v>
      </c>
      <c r="BN2" s="28">
        <f t="shared" si="0"/>
        <v>59</v>
      </c>
      <c r="BO2" s="8">
        <f t="shared" si="0"/>
        <v>60</v>
      </c>
      <c r="BP2" s="8">
        <f t="shared" si="0"/>
        <v>61</v>
      </c>
      <c r="BQ2" s="8">
        <f t="shared" si="0"/>
        <v>62</v>
      </c>
      <c r="BR2" s="8">
        <f t="shared" si="0"/>
        <v>63</v>
      </c>
      <c r="BS2" s="8">
        <f t="shared" si="0"/>
        <v>64</v>
      </c>
      <c r="BT2" s="8">
        <f t="shared" si="0"/>
        <v>65</v>
      </c>
      <c r="BU2" s="8">
        <f t="shared" ref="BU2:CA2" si="1">COLUMN()-7</f>
        <v>66</v>
      </c>
      <c r="BV2" s="8">
        <f t="shared" si="1"/>
        <v>67</v>
      </c>
      <c r="BW2" s="8">
        <f t="shared" si="1"/>
        <v>68</v>
      </c>
      <c r="BX2" s="8">
        <f t="shared" si="1"/>
        <v>69</v>
      </c>
      <c r="BY2" s="8">
        <f t="shared" si="1"/>
        <v>70</v>
      </c>
      <c r="BZ2" s="8">
        <f t="shared" si="1"/>
        <v>71</v>
      </c>
      <c r="CA2" s="8">
        <f t="shared" si="1"/>
        <v>72</v>
      </c>
      <c r="CB2" s="8"/>
    </row>
    <row r="3" spans="2:80" s="4" customFormat="1" ht="34.15" customHeight="1">
      <c r="B3" s="7"/>
      <c r="C3" s="94"/>
      <c r="D3" s="95"/>
      <c r="E3" s="96"/>
      <c r="F3" s="97"/>
      <c r="G3" s="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29"/>
      <c r="AL3" s="16"/>
      <c r="AM3" s="16"/>
      <c r="AN3" s="16"/>
      <c r="AO3" s="16"/>
      <c r="AP3" s="16"/>
      <c r="AQ3" s="16"/>
      <c r="AR3" s="16"/>
      <c r="AS3" s="16"/>
      <c r="AT3" s="16"/>
      <c r="AU3" s="16"/>
      <c r="AV3" s="16"/>
      <c r="AW3" s="16"/>
      <c r="AX3" s="30"/>
      <c r="AY3" s="16"/>
      <c r="AZ3" s="16"/>
      <c r="BA3" s="16"/>
      <c r="BB3" s="16"/>
      <c r="BC3" s="16"/>
      <c r="BD3" s="16"/>
      <c r="BE3" s="16"/>
      <c r="BF3" s="16"/>
      <c r="BG3" s="16"/>
      <c r="BH3" s="16"/>
      <c r="BI3" s="16"/>
      <c r="BJ3" s="16"/>
      <c r="BK3" s="16"/>
      <c r="BL3" s="16"/>
      <c r="BM3" s="16"/>
      <c r="BN3" s="30"/>
      <c r="BO3" s="16"/>
      <c r="BP3" s="16"/>
      <c r="BQ3" s="16"/>
      <c r="BR3" s="16"/>
      <c r="BS3" s="16"/>
      <c r="BT3" s="16"/>
      <c r="BU3" s="16"/>
      <c r="BV3" s="16"/>
      <c r="BW3" s="16"/>
      <c r="BX3" s="16"/>
      <c r="BY3" s="16"/>
      <c r="BZ3" s="16"/>
      <c r="CA3" s="16"/>
      <c r="CB3" s="17"/>
    </row>
    <row r="4" spans="2:80" s="4" customFormat="1" ht="72">
      <c r="B4" s="98"/>
      <c r="C4" s="100"/>
      <c r="D4" s="21"/>
      <c r="E4" s="102"/>
      <c r="F4" s="103"/>
      <c r="G4" s="90" t="s">
        <v>0</v>
      </c>
      <c r="H4" s="31" t="s">
        <v>424</v>
      </c>
      <c r="I4" s="31" t="s">
        <v>425</v>
      </c>
      <c r="J4" s="31" t="s">
        <v>426</v>
      </c>
      <c r="K4" s="31" t="s">
        <v>427</v>
      </c>
      <c r="L4" s="31" t="s">
        <v>428</v>
      </c>
      <c r="M4" s="31" t="s">
        <v>429</v>
      </c>
      <c r="N4" s="31" t="s">
        <v>430</v>
      </c>
      <c r="O4" s="31" t="s">
        <v>431</v>
      </c>
      <c r="P4" s="31" t="s">
        <v>432</v>
      </c>
      <c r="Q4" s="31" t="s">
        <v>433</v>
      </c>
      <c r="R4" s="31" t="s">
        <v>434</v>
      </c>
      <c r="S4" s="31" t="s">
        <v>435</v>
      </c>
      <c r="T4" s="31" t="s">
        <v>436</v>
      </c>
      <c r="U4" s="31" t="s">
        <v>437</v>
      </c>
      <c r="V4" s="31" t="s">
        <v>438</v>
      </c>
      <c r="W4" s="31" t="s">
        <v>439</v>
      </c>
      <c r="X4" s="31" t="s">
        <v>440</v>
      </c>
      <c r="Y4" s="31" t="s">
        <v>441</v>
      </c>
      <c r="Z4" s="31" t="s">
        <v>442</v>
      </c>
      <c r="AA4" s="31" t="s">
        <v>443</v>
      </c>
      <c r="AB4" s="31" t="s">
        <v>444</v>
      </c>
      <c r="AC4" s="31" t="s">
        <v>445</v>
      </c>
      <c r="AD4" s="31" t="s">
        <v>446</v>
      </c>
      <c r="AE4" s="31" t="s">
        <v>447</v>
      </c>
      <c r="AF4" s="31" t="s">
        <v>448</v>
      </c>
      <c r="AG4" s="31" t="s">
        <v>449</v>
      </c>
      <c r="AH4" s="31" t="s">
        <v>450</v>
      </c>
      <c r="AI4" s="31" t="s">
        <v>451</v>
      </c>
      <c r="AJ4" s="31" t="s">
        <v>452</v>
      </c>
      <c r="AK4" s="31" t="s">
        <v>453</v>
      </c>
      <c r="AL4" s="31" t="s">
        <v>454</v>
      </c>
      <c r="AM4" s="31" t="s">
        <v>455</v>
      </c>
      <c r="AN4" s="31" t="s">
        <v>456</v>
      </c>
      <c r="AO4" s="31" t="s">
        <v>457</v>
      </c>
      <c r="AP4" s="31" t="s">
        <v>458</v>
      </c>
      <c r="AQ4" s="31" t="s">
        <v>459</v>
      </c>
      <c r="AR4" s="31" t="s">
        <v>460</v>
      </c>
      <c r="AS4" s="31" t="s">
        <v>461</v>
      </c>
      <c r="AT4" s="31" t="s">
        <v>462</v>
      </c>
      <c r="AU4" s="31" t="s">
        <v>463</v>
      </c>
      <c r="AV4" s="31" t="s">
        <v>464</v>
      </c>
      <c r="AW4" s="31" t="s">
        <v>465</v>
      </c>
      <c r="AX4" s="32" t="s">
        <v>466</v>
      </c>
      <c r="AY4" s="31" t="s">
        <v>467</v>
      </c>
      <c r="AZ4" s="31" t="s">
        <v>468</v>
      </c>
      <c r="BA4" s="31" t="s">
        <v>469</v>
      </c>
      <c r="BB4" s="31" t="s">
        <v>470</v>
      </c>
      <c r="BC4" s="31" t="s">
        <v>471</v>
      </c>
      <c r="BD4" s="31" t="s">
        <v>472</v>
      </c>
      <c r="BE4" s="31" t="s">
        <v>473</v>
      </c>
      <c r="BF4" s="31" t="s">
        <v>474</v>
      </c>
      <c r="BG4" s="31" t="s">
        <v>475</v>
      </c>
      <c r="BH4" s="31" t="s">
        <v>476</v>
      </c>
      <c r="BI4" s="31" t="s">
        <v>477</v>
      </c>
      <c r="BJ4" s="31" t="s">
        <v>478</v>
      </c>
      <c r="BK4" s="31" t="s">
        <v>479</v>
      </c>
      <c r="BL4" s="31" t="s">
        <v>480</v>
      </c>
      <c r="BM4" s="31" t="s">
        <v>481</v>
      </c>
      <c r="BN4" s="32" t="s">
        <v>482</v>
      </c>
      <c r="BO4" s="31" t="s">
        <v>483</v>
      </c>
      <c r="BP4" s="31" t="s">
        <v>484</v>
      </c>
      <c r="BQ4" s="31" t="s">
        <v>485</v>
      </c>
      <c r="BR4" s="31" t="s">
        <v>486</v>
      </c>
      <c r="BS4" s="31" t="s">
        <v>487</v>
      </c>
      <c r="BT4" s="31" t="s">
        <v>488</v>
      </c>
      <c r="BU4" s="31" t="s">
        <v>489</v>
      </c>
      <c r="BV4" s="31" t="s">
        <v>490</v>
      </c>
      <c r="BW4" s="31" t="s">
        <v>491</v>
      </c>
      <c r="BX4" s="31" t="s">
        <v>492</v>
      </c>
      <c r="BY4" s="31" t="s">
        <v>493</v>
      </c>
      <c r="BZ4" s="31" t="s">
        <v>494</v>
      </c>
      <c r="CA4" s="31" t="s">
        <v>495</v>
      </c>
      <c r="CB4" s="31"/>
    </row>
    <row r="5" spans="2:80" s="4" customFormat="1" ht="24" customHeight="1">
      <c r="B5" s="107"/>
      <c r="C5" s="108"/>
      <c r="D5" s="22"/>
      <c r="E5" s="109"/>
      <c r="F5" s="105"/>
      <c r="G5" s="106"/>
      <c r="H5" s="20">
        <f t="shared" ref="H5:AM5" si="2">COUNTA(H6:H444)</f>
        <v>52</v>
      </c>
      <c r="I5" s="20">
        <f t="shared" si="2"/>
        <v>25</v>
      </c>
      <c r="J5" s="20">
        <f t="shared" si="2"/>
        <v>1</v>
      </c>
      <c r="K5" s="20">
        <f t="shared" si="2"/>
        <v>1</v>
      </c>
      <c r="L5" s="20">
        <f t="shared" si="2"/>
        <v>9</v>
      </c>
      <c r="M5" s="20">
        <f t="shared" si="2"/>
        <v>7</v>
      </c>
      <c r="N5" s="20">
        <f t="shared" si="2"/>
        <v>48</v>
      </c>
      <c r="O5" s="20">
        <f t="shared" si="2"/>
        <v>26</v>
      </c>
      <c r="P5" s="20">
        <f t="shared" si="2"/>
        <v>70</v>
      </c>
      <c r="Q5" s="20">
        <f t="shared" si="2"/>
        <v>3</v>
      </c>
      <c r="R5" s="20">
        <f t="shared" si="2"/>
        <v>4</v>
      </c>
      <c r="S5" s="20">
        <f t="shared" si="2"/>
        <v>15</v>
      </c>
      <c r="T5" s="20">
        <f t="shared" si="2"/>
        <v>4</v>
      </c>
      <c r="U5" s="20">
        <f t="shared" si="2"/>
        <v>7</v>
      </c>
      <c r="V5" s="20">
        <f t="shared" si="2"/>
        <v>7</v>
      </c>
      <c r="W5" s="20">
        <f t="shared" si="2"/>
        <v>17</v>
      </c>
      <c r="X5" s="20">
        <f t="shared" si="2"/>
        <v>4</v>
      </c>
      <c r="Y5" s="20">
        <f t="shared" si="2"/>
        <v>14</v>
      </c>
      <c r="Z5" s="20">
        <f t="shared" si="2"/>
        <v>63</v>
      </c>
      <c r="AA5" s="20">
        <f t="shared" si="2"/>
        <v>3</v>
      </c>
      <c r="AB5" s="20">
        <f t="shared" si="2"/>
        <v>6</v>
      </c>
      <c r="AC5" s="20">
        <f t="shared" si="2"/>
        <v>3</v>
      </c>
      <c r="AD5" s="20">
        <f t="shared" si="2"/>
        <v>4</v>
      </c>
      <c r="AE5" s="20">
        <f t="shared" si="2"/>
        <v>4</v>
      </c>
      <c r="AF5" s="20">
        <f t="shared" si="2"/>
        <v>2</v>
      </c>
      <c r="AG5" s="20">
        <f t="shared" si="2"/>
        <v>3</v>
      </c>
      <c r="AH5" s="20">
        <f t="shared" si="2"/>
        <v>5</v>
      </c>
      <c r="AI5" s="20">
        <f t="shared" si="2"/>
        <v>2</v>
      </c>
      <c r="AJ5" s="20">
        <f t="shared" si="2"/>
        <v>8</v>
      </c>
      <c r="AK5" s="33">
        <f t="shared" si="2"/>
        <v>1</v>
      </c>
      <c r="AL5" s="20">
        <f t="shared" si="2"/>
        <v>6</v>
      </c>
      <c r="AM5" s="20">
        <f t="shared" si="2"/>
        <v>14</v>
      </c>
      <c r="AN5" s="20">
        <f t="shared" ref="AN5:BS5" si="3">COUNTA(AN6:AN444)</f>
        <v>73</v>
      </c>
      <c r="AO5" s="20">
        <f t="shared" si="3"/>
        <v>2</v>
      </c>
      <c r="AP5" s="20">
        <f t="shared" si="3"/>
        <v>6</v>
      </c>
      <c r="AQ5" s="20">
        <f t="shared" si="3"/>
        <v>3</v>
      </c>
      <c r="AR5" s="20">
        <f t="shared" si="3"/>
        <v>6</v>
      </c>
      <c r="AS5" s="20">
        <f t="shared" si="3"/>
        <v>3</v>
      </c>
      <c r="AT5" s="20">
        <f t="shared" si="3"/>
        <v>9</v>
      </c>
      <c r="AU5" s="20">
        <f t="shared" si="3"/>
        <v>55</v>
      </c>
      <c r="AV5" s="20">
        <f t="shared" si="3"/>
        <v>1</v>
      </c>
      <c r="AW5" s="20">
        <f t="shared" si="3"/>
        <v>7</v>
      </c>
      <c r="AX5" s="34">
        <f t="shared" si="3"/>
        <v>0</v>
      </c>
      <c r="AY5" s="20">
        <f t="shared" si="3"/>
        <v>5</v>
      </c>
      <c r="AZ5" s="20">
        <f t="shared" si="3"/>
        <v>9</v>
      </c>
      <c r="BA5" s="20">
        <f t="shared" si="3"/>
        <v>9</v>
      </c>
      <c r="BB5" s="20">
        <f t="shared" si="3"/>
        <v>9</v>
      </c>
      <c r="BC5" s="20">
        <f t="shared" si="3"/>
        <v>9</v>
      </c>
      <c r="BD5" s="20">
        <f t="shared" si="3"/>
        <v>9</v>
      </c>
      <c r="BE5" s="20">
        <f t="shared" si="3"/>
        <v>40</v>
      </c>
      <c r="BF5" s="20">
        <f t="shared" si="3"/>
        <v>40</v>
      </c>
      <c r="BG5" s="20">
        <f t="shared" si="3"/>
        <v>25</v>
      </c>
      <c r="BH5" s="20">
        <f t="shared" si="3"/>
        <v>25</v>
      </c>
      <c r="BI5" s="20">
        <f t="shared" si="3"/>
        <v>1</v>
      </c>
      <c r="BJ5" s="20">
        <f t="shared" si="3"/>
        <v>46</v>
      </c>
      <c r="BK5" s="20">
        <f t="shared" si="3"/>
        <v>49</v>
      </c>
      <c r="BL5" s="20">
        <f t="shared" si="3"/>
        <v>22</v>
      </c>
      <c r="BM5" s="20">
        <f t="shared" si="3"/>
        <v>23</v>
      </c>
      <c r="BN5" s="34">
        <f t="shared" si="3"/>
        <v>0</v>
      </c>
      <c r="BO5" s="20">
        <f t="shared" si="3"/>
        <v>4</v>
      </c>
      <c r="BP5" s="20">
        <f t="shared" si="3"/>
        <v>51</v>
      </c>
      <c r="BQ5" s="20">
        <f t="shared" si="3"/>
        <v>49</v>
      </c>
      <c r="BR5" s="20">
        <f t="shared" si="3"/>
        <v>6</v>
      </c>
      <c r="BS5" s="20">
        <f t="shared" si="3"/>
        <v>57</v>
      </c>
      <c r="BT5" s="20">
        <f t="shared" ref="BT5:CA5" si="4">COUNTA(BT6:BT444)</f>
        <v>1</v>
      </c>
      <c r="BU5" s="20">
        <f t="shared" si="4"/>
        <v>381</v>
      </c>
      <c r="BV5" s="20">
        <f t="shared" si="4"/>
        <v>143</v>
      </c>
      <c r="BW5" s="20">
        <f t="shared" si="4"/>
        <v>147</v>
      </c>
      <c r="BX5" s="20">
        <f t="shared" si="4"/>
        <v>80</v>
      </c>
      <c r="BY5" s="20">
        <f t="shared" si="4"/>
        <v>52</v>
      </c>
      <c r="BZ5" s="20">
        <f t="shared" si="4"/>
        <v>36</v>
      </c>
      <c r="CA5" s="20">
        <f t="shared" si="4"/>
        <v>233</v>
      </c>
      <c r="CB5" s="31"/>
    </row>
    <row r="6" spans="2:80" s="4" customFormat="1" ht="24" customHeight="1">
      <c r="B6" s="99"/>
      <c r="C6" s="101"/>
      <c r="D6" s="22"/>
      <c r="E6" s="104"/>
      <c r="F6" s="105"/>
      <c r="G6" s="91"/>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33"/>
      <c r="AL6" s="20"/>
      <c r="AM6" s="20"/>
      <c r="AN6" s="20"/>
      <c r="AO6" s="20"/>
      <c r="AP6" s="20"/>
      <c r="AQ6" s="20"/>
      <c r="AR6" s="20"/>
      <c r="AS6" s="20"/>
      <c r="AT6" s="20"/>
      <c r="AU6" s="20"/>
      <c r="AV6" s="20"/>
      <c r="AW6" s="20"/>
      <c r="AX6" s="34"/>
      <c r="AY6" s="20"/>
      <c r="AZ6" s="20"/>
      <c r="BA6" s="20"/>
      <c r="BB6" s="20"/>
      <c r="BC6" s="20"/>
      <c r="BD6" s="20"/>
      <c r="BE6" s="20"/>
      <c r="BF6" s="20"/>
      <c r="BG6" s="20"/>
      <c r="BH6" s="20"/>
      <c r="BI6" s="20"/>
      <c r="BJ6" s="20"/>
      <c r="BK6" s="20"/>
      <c r="BL6" s="20"/>
      <c r="BM6" s="20"/>
      <c r="BN6" s="34"/>
      <c r="BO6" s="20"/>
      <c r="BP6" s="20"/>
      <c r="BQ6" s="20"/>
      <c r="BR6" s="20"/>
      <c r="BS6" s="20"/>
      <c r="BT6" s="20"/>
      <c r="BU6" s="20"/>
      <c r="BV6" s="20"/>
      <c r="BW6" s="20"/>
      <c r="BX6" s="20"/>
      <c r="BY6" s="20"/>
      <c r="BZ6" s="20"/>
      <c r="CA6" s="20"/>
      <c r="CB6" s="31"/>
    </row>
    <row r="7" spans="2:80" ht="30" customHeight="1">
      <c r="B7" s="11">
        <f>ROW()-5</f>
        <v>2</v>
      </c>
      <c r="C7" s="35" t="s">
        <v>496</v>
      </c>
      <c r="D7" s="35" t="s">
        <v>497</v>
      </c>
      <c r="E7" s="35" t="s">
        <v>498</v>
      </c>
      <c r="F7" s="14">
        <f t="shared" ref="F7:F70" si="5">COUNTA(H7:CA7)</f>
        <v>2</v>
      </c>
      <c r="G7" s="15" t="s">
        <v>499</v>
      </c>
      <c r="H7" s="3"/>
      <c r="I7" s="3"/>
      <c r="J7" s="3"/>
      <c r="K7" s="13"/>
      <c r="L7" s="13"/>
      <c r="M7" s="13"/>
      <c r="N7" s="13"/>
      <c r="O7" s="13"/>
      <c r="P7" s="13"/>
      <c r="Q7" s="3"/>
      <c r="R7" s="13"/>
      <c r="S7" s="13"/>
      <c r="T7" s="13"/>
      <c r="U7" s="13"/>
      <c r="V7" s="13"/>
      <c r="W7" s="13"/>
      <c r="X7" s="13"/>
      <c r="Y7" s="3"/>
      <c r="Z7" s="3"/>
      <c r="AA7" s="13"/>
      <c r="AB7" s="13"/>
      <c r="AC7" s="13"/>
      <c r="AD7" s="13"/>
      <c r="AE7" s="13"/>
      <c r="AF7" s="13"/>
      <c r="AG7" s="13"/>
      <c r="AH7" s="3"/>
      <c r="AI7" s="3"/>
      <c r="AJ7" s="13"/>
      <c r="AK7" s="13"/>
      <c r="AL7" s="13"/>
      <c r="AM7" s="13"/>
      <c r="AN7" s="13"/>
      <c r="AO7" s="13"/>
      <c r="AP7" s="13"/>
      <c r="AQ7" s="13"/>
      <c r="AR7" s="13"/>
      <c r="AS7" s="13"/>
      <c r="AT7" s="3"/>
      <c r="AU7" s="3"/>
      <c r="AV7" s="13"/>
      <c r="AW7" s="13"/>
      <c r="AX7" s="36"/>
      <c r="AY7" s="13"/>
      <c r="AZ7" s="3"/>
      <c r="BA7" s="3"/>
      <c r="BB7" s="13"/>
      <c r="BC7" s="13"/>
      <c r="BD7" s="13"/>
      <c r="BE7" s="13"/>
      <c r="BF7" s="13"/>
      <c r="BG7" s="13"/>
      <c r="BH7" s="13"/>
      <c r="BI7" s="13"/>
      <c r="BJ7" s="13"/>
      <c r="BK7" s="13"/>
      <c r="BL7" s="13"/>
      <c r="BM7" s="13"/>
      <c r="BN7" s="36"/>
      <c r="BO7" s="13"/>
      <c r="BP7" s="13"/>
      <c r="BQ7" s="13"/>
      <c r="BR7" s="13"/>
      <c r="BS7" s="13"/>
      <c r="BT7" s="13"/>
      <c r="BU7" s="3" t="s">
        <v>3</v>
      </c>
      <c r="BV7" s="13"/>
      <c r="BW7" s="13"/>
      <c r="BX7" s="13"/>
      <c r="BY7" s="13"/>
      <c r="BZ7" s="13"/>
      <c r="CA7" s="3" t="s">
        <v>3</v>
      </c>
      <c r="CB7" s="3"/>
    </row>
    <row r="8" spans="2:80" ht="30" customHeight="1">
      <c r="B8" s="11">
        <f t="shared" ref="B8:B71" si="6">ROW()-5</f>
        <v>3</v>
      </c>
      <c r="C8" s="37" t="s">
        <v>496</v>
      </c>
      <c r="D8" s="37" t="s">
        <v>497</v>
      </c>
      <c r="E8" s="35" t="s">
        <v>500</v>
      </c>
      <c r="F8" s="14">
        <f t="shared" si="5"/>
        <v>2</v>
      </c>
      <c r="G8" s="15" t="s">
        <v>499</v>
      </c>
      <c r="H8" s="3"/>
      <c r="I8" s="3"/>
      <c r="J8" s="3"/>
      <c r="K8" s="13"/>
      <c r="L8" s="13"/>
      <c r="M8" s="13"/>
      <c r="N8" s="13"/>
      <c r="O8" s="13"/>
      <c r="P8" s="13"/>
      <c r="Q8" s="3"/>
      <c r="R8" s="13"/>
      <c r="S8" s="13"/>
      <c r="T8" s="13"/>
      <c r="U8" s="13"/>
      <c r="V8" s="13"/>
      <c r="W8" s="13"/>
      <c r="X8" s="13"/>
      <c r="Y8" s="3"/>
      <c r="Z8" s="3"/>
      <c r="AA8" s="13"/>
      <c r="AB8" s="13"/>
      <c r="AC8" s="13"/>
      <c r="AD8" s="13"/>
      <c r="AE8" s="13"/>
      <c r="AF8" s="13"/>
      <c r="AG8" s="13"/>
      <c r="AH8" s="3"/>
      <c r="AI8" s="3"/>
      <c r="AJ8" s="13"/>
      <c r="AK8" s="13"/>
      <c r="AL8" s="13"/>
      <c r="AM8" s="13"/>
      <c r="AN8" s="13"/>
      <c r="AO8" s="13"/>
      <c r="AP8" s="13"/>
      <c r="AQ8" s="13"/>
      <c r="AR8" s="13"/>
      <c r="AS8" s="13"/>
      <c r="AT8" s="3"/>
      <c r="AU8" s="3"/>
      <c r="AV8" s="13"/>
      <c r="AW8" s="13"/>
      <c r="AX8" s="36"/>
      <c r="AY8" s="13"/>
      <c r="AZ8" s="3"/>
      <c r="BA8" s="3"/>
      <c r="BB8" s="13"/>
      <c r="BC8" s="13"/>
      <c r="BD8" s="13"/>
      <c r="BE8" s="13"/>
      <c r="BF8" s="13"/>
      <c r="BG8" s="13"/>
      <c r="BH8" s="13"/>
      <c r="BI8" s="13"/>
      <c r="BJ8" s="13"/>
      <c r="BK8" s="13"/>
      <c r="BL8" s="13"/>
      <c r="BM8" s="13"/>
      <c r="BN8" s="36"/>
      <c r="BO8" s="13"/>
      <c r="BP8" s="13"/>
      <c r="BQ8" s="13"/>
      <c r="BR8" s="13"/>
      <c r="BS8" s="13"/>
      <c r="BT8" s="13"/>
      <c r="BU8" s="3" t="s">
        <v>3</v>
      </c>
      <c r="BV8" s="13"/>
      <c r="BW8" s="13"/>
      <c r="BX8" s="13"/>
      <c r="BY8" s="13"/>
      <c r="BZ8" s="13"/>
      <c r="CA8" s="13" t="s">
        <v>3</v>
      </c>
      <c r="CB8" s="3"/>
    </row>
    <row r="9" spans="2:80" ht="30" customHeight="1">
      <c r="B9" s="11">
        <f t="shared" si="6"/>
        <v>4</v>
      </c>
      <c r="C9" s="37" t="s">
        <v>496</v>
      </c>
      <c r="D9" s="37" t="s">
        <v>497</v>
      </c>
      <c r="E9" s="35" t="s">
        <v>501</v>
      </c>
      <c r="F9" s="14">
        <f t="shared" si="5"/>
        <v>2</v>
      </c>
      <c r="G9" s="15" t="s">
        <v>499</v>
      </c>
      <c r="H9" s="3"/>
      <c r="I9" s="3"/>
      <c r="J9" s="3"/>
      <c r="K9" s="13"/>
      <c r="L9" s="13"/>
      <c r="M9" s="13"/>
      <c r="N9" s="13"/>
      <c r="O9" s="13"/>
      <c r="P9" s="13"/>
      <c r="Q9" s="3"/>
      <c r="R9" s="13"/>
      <c r="S9" s="13"/>
      <c r="T9" s="13"/>
      <c r="U9" s="13"/>
      <c r="V9" s="13"/>
      <c r="W9" s="13"/>
      <c r="X9" s="13"/>
      <c r="Y9" s="3"/>
      <c r="Z9" s="3"/>
      <c r="AA9" s="13"/>
      <c r="AB9" s="13"/>
      <c r="AC9" s="13"/>
      <c r="AD9" s="13"/>
      <c r="AE9" s="13"/>
      <c r="AF9" s="13"/>
      <c r="AG9" s="13"/>
      <c r="AH9" s="3"/>
      <c r="AI9" s="3"/>
      <c r="AJ9" s="13"/>
      <c r="AK9" s="13"/>
      <c r="AL9" s="13"/>
      <c r="AM9" s="13"/>
      <c r="AN9" s="13"/>
      <c r="AO9" s="13"/>
      <c r="AP9" s="13"/>
      <c r="AQ9" s="13"/>
      <c r="AR9" s="13"/>
      <c r="AS9" s="13"/>
      <c r="AT9" s="3"/>
      <c r="AU9" s="3"/>
      <c r="AV9" s="13"/>
      <c r="AW9" s="13"/>
      <c r="AX9" s="36"/>
      <c r="AY9" s="13"/>
      <c r="AZ9" s="3"/>
      <c r="BA9" s="3"/>
      <c r="BB9" s="13"/>
      <c r="BC9" s="13"/>
      <c r="BD9" s="13"/>
      <c r="BE9" s="13"/>
      <c r="BF9" s="13"/>
      <c r="BG9" s="13"/>
      <c r="BH9" s="13"/>
      <c r="BI9" s="13"/>
      <c r="BJ9" s="13"/>
      <c r="BK9" s="13"/>
      <c r="BL9" s="13"/>
      <c r="BM9" s="13"/>
      <c r="BN9" s="36"/>
      <c r="BO9" s="13"/>
      <c r="BP9" s="13"/>
      <c r="BQ9" s="13"/>
      <c r="BR9" s="13"/>
      <c r="BS9" s="13"/>
      <c r="BT9" s="13"/>
      <c r="BU9" s="3" t="s">
        <v>3</v>
      </c>
      <c r="BV9" s="13"/>
      <c r="BW9" s="13"/>
      <c r="BX9" s="13"/>
      <c r="BY9" s="13"/>
      <c r="BZ9" s="13"/>
      <c r="CA9" s="13" t="s">
        <v>3</v>
      </c>
      <c r="CB9" s="3"/>
    </row>
    <row r="10" spans="2:80" ht="30" customHeight="1">
      <c r="B10" s="11">
        <f t="shared" si="6"/>
        <v>5</v>
      </c>
      <c r="C10" s="37" t="s">
        <v>496</v>
      </c>
      <c r="D10" s="37" t="s">
        <v>497</v>
      </c>
      <c r="E10" s="35" t="s">
        <v>502</v>
      </c>
      <c r="F10" s="14">
        <f t="shared" si="5"/>
        <v>2</v>
      </c>
      <c r="G10" s="15" t="s">
        <v>499</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28"/>
      <c r="AY10" s="3"/>
      <c r="AZ10" s="3"/>
      <c r="BA10" s="3"/>
      <c r="BB10" s="3"/>
      <c r="BC10" s="3"/>
      <c r="BD10" s="3"/>
      <c r="BE10" s="3"/>
      <c r="BF10" s="3"/>
      <c r="BG10" s="3"/>
      <c r="BH10" s="3"/>
      <c r="BI10" s="3"/>
      <c r="BJ10" s="3"/>
      <c r="BK10" s="3"/>
      <c r="BL10" s="3"/>
      <c r="BM10" s="3"/>
      <c r="BN10" s="28"/>
      <c r="BO10" s="3"/>
      <c r="BP10" s="3"/>
      <c r="BQ10" s="3"/>
      <c r="BR10" s="3"/>
      <c r="BS10" s="3"/>
      <c r="BT10" s="3"/>
      <c r="BU10" s="3" t="s">
        <v>3</v>
      </c>
      <c r="BV10" s="3"/>
      <c r="BW10" s="3"/>
      <c r="BX10" s="3"/>
      <c r="BY10" s="3"/>
      <c r="BZ10" s="3"/>
      <c r="CA10" s="13" t="s">
        <v>3</v>
      </c>
      <c r="CB10" s="3"/>
    </row>
    <row r="11" spans="2:80" ht="30" customHeight="1">
      <c r="B11" s="11">
        <f t="shared" si="6"/>
        <v>6</v>
      </c>
      <c r="C11" s="37" t="s">
        <v>496</v>
      </c>
      <c r="D11" s="37" t="s">
        <v>497</v>
      </c>
      <c r="E11" s="35" t="s">
        <v>503</v>
      </c>
      <c r="F11" s="14">
        <f t="shared" si="5"/>
        <v>2</v>
      </c>
      <c r="G11" s="15" t="s">
        <v>499</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28"/>
      <c r="AY11" s="3"/>
      <c r="AZ11" s="3"/>
      <c r="BA11" s="3"/>
      <c r="BB11" s="3"/>
      <c r="BC11" s="3"/>
      <c r="BD11" s="3"/>
      <c r="BE11" s="3"/>
      <c r="BF11" s="3"/>
      <c r="BG11" s="3"/>
      <c r="BH11" s="3"/>
      <c r="BI11" s="3"/>
      <c r="BJ11" s="3"/>
      <c r="BK11" s="3"/>
      <c r="BL11" s="3"/>
      <c r="BM11" s="3"/>
      <c r="BN11" s="28"/>
      <c r="BO11" s="3"/>
      <c r="BP11" s="3"/>
      <c r="BQ11" s="3"/>
      <c r="BR11" s="3"/>
      <c r="BS11" s="3"/>
      <c r="BT11" s="3"/>
      <c r="BU11" s="3" t="s">
        <v>3</v>
      </c>
      <c r="BV11" s="3"/>
      <c r="BW11" s="3"/>
      <c r="BX11" s="3"/>
      <c r="BY11" s="3"/>
      <c r="BZ11" s="3"/>
      <c r="CA11" s="13" t="s">
        <v>3</v>
      </c>
      <c r="CB11" s="3"/>
    </row>
    <row r="12" spans="2:80" ht="30" customHeight="1">
      <c r="B12" s="11">
        <f t="shared" si="6"/>
        <v>7</v>
      </c>
      <c r="C12" s="37" t="s">
        <v>496</v>
      </c>
      <c r="D12" s="37" t="s">
        <v>497</v>
      </c>
      <c r="E12" s="35" t="s">
        <v>504</v>
      </c>
      <c r="F12" s="14">
        <f t="shared" si="5"/>
        <v>2</v>
      </c>
      <c r="G12" s="15" t="s">
        <v>499</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28"/>
      <c r="AY12" s="3"/>
      <c r="AZ12" s="3"/>
      <c r="BA12" s="3"/>
      <c r="BB12" s="3"/>
      <c r="BC12" s="3"/>
      <c r="BD12" s="3"/>
      <c r="BE12" s="3"/>
      <c r="BF12" s="3"/>
      <c r="BG12" s="3"/>
      <c r="BH12" s="3"/>
      <c r="BI12" s="3"/>
      <c r="BJ12" s="3"/>
      <c r="BK12" s="3"/>
      <c r="BL12" s="3"/>
      <c r="BM12" s="3"/>
      <c r="BN12" s="28"/>
      <c r="BO12" s="3"/>
      <c r="BP12" s="3"/>
      <c r="BQ12" s="3"/>
      <c r="BR12" s="3"/>
      <c r="BS12" s="3"/>
      <c r="BT12" s="3"/>
      <c r="BU12" s="3" t="s">
        <v>3</v>
      </c>
      <c r="BV12" s="3"/>
      <c r="BW12" s="3"/>
      <c r="BX12" s="3"/>
      <c r="BY12" s="3"/>
      <c r="BZ12" s="3"/>
      <c r="CA12" s="13" t="s">
        <v>3</v>
      </c>
      <c r="CB12" s="3"/>
    </row>
    <row r="13" spans="2:80" ht="30" customHeight="1">
      <c r="B13" s="11">
        <f t="shared" si="6"/>
        <v>8</v>
      </c>
      <c r="C13" s="35" t="s">
        <v>505</v>
      </c>
      <c r="D13" s="35" t="s">
        <v>506</v>
      </c>
      <c r="E13" s="35" t="s">
        <v>507</v>
      </c>
      <c r="F13" s="14">
        <f t="shared" si="5"/>
        <v>0</v>
      </c>
      <c r="G13" s="15" t="s">
        <v>508</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28"/>
      <c r="AY13" s="3"/>
      <c r="AZ13" s="3"/>
      <c r="BA13" s="3"/>
      <c r="BB13" s="3"/>
      <c r="BC13" s="3"/>
      <c r="BD13" s="3"/>
      <c r="BE13" s="3"/>
      <c r="BF13" s="3"/>
      <c r="BG13" s="3"/>
      <c r="BH13" s="3"/>
      <c r="BI13" s="3"/>
      <c r="BJ13" s="3"/>
      <c r="BK13" s="3"/>
      <c r="BL13" s="3"/>
      <c r="BM13" s="3"/>
      <c r="BN13" s="28"/>
      <c r="BO13" s="3"/>
      <c r="BP13" s="3"/>
      <c r="BQ13" s="3"/>
      <c r="BR13" s="3"/>
      <c r="BS13" s="3"/>
      <c r="BT13" s="3"/>
      <c r="BU13" s="3"/>
      <c r="BV13" s="3"/>
      <c r="BW13" s="3"/>
      <c r="BX13" s="3"/>
      <c r="BY13" s="3"/>
      <c r="BZ13" s="3"/>
      <c r="CA13" s="3"/>
      <c r="CB13" s="3"/>
    </row>
    <row r="14" spans="2:80" ht="30" customHeight="1">
      <c r="B14" s="11">
        <f t="shared" si="6"/>
        <v>9</v>
      </c>
      <c r="C14" s="37" t="s">
        <v>505</v>
      </c>
      <c r="D14" s="37" t="s">
        <v>506</v>
      </c>
      <c r="E14" s="35" t="s">
        <v>509</v>
      </c>
      <c r="F14" s="14">
        <f t="shared" si="5"/>
        <v>0</v>
      </c>
      <c r="G14" s="15" t="s">
        <v>508</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28"/>
      <c r="AY14" s="3"/>
      <c r="AZ14" s="3"/>
      <c r="BA14" s="3"/>
      <c r="BB14" s="3"/>
      <c r="BC14" s="3"/>
      <c r="BD14" s="3"/>
      <c r="BE14" s="3"/>
      <c r="BF14" s="3"/>
      <c r="BG14" s="3"/>
      <c r="BH14" s="3"/>
      <c r="BI14" s="3"/>
      <c r="BJ14" s="3"/>
      <c r="BK14" s="3"/>
      <c r="BL14" s="3"/>
      <c r="BM14" s="3"/>
      <c r="BN14" s="28"/>
      <c r="BO14" s="3"/>
      <c r="BP14" s="3"/>
      <c r="BQ14" s="3"/>
      <c r="BR14" s="3"/>
      <c r="BS14" s="3"/>
      <c r="BT14" s="3"/>
      <c r="BU14" s="3"/>
      <c r="BV14" s="3"/>
      <c r="BW14" s="3"/>
      <c r="BX14" s="3"/>
      <c r="BY14" s="3"/>
      <c r="BZ14" s="3"/>
      <c r="CA14" s="3"/>
      <c r="CB14" s="3"/>
    </row>
    <row r="15" spans="2:80" ht="30" customHeight="1">
      <c r="B15" s="11">
        <f t="shared" si="6"/>
        <v>10</v>
      </c>
      <c r="C15" s="37" t="s">
        <v>505</v>
      </c>
      <c r="D15" s="37" t="s">
        <v>506</v>
      </c>
      <c r="E15" s="35" t="s">
        <v>510</v>
      </c>
      <c r="F15" s="14">
        <f t="shared" si="5"/>
        <v>0</v>
      </c>
      <c r="G15" s="15" t="s">
        <v>508</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28"/>
      <c r="AY15" s="3"/>
      <c r="AZ15" s="3"/>
      <c r="BA15" s="3"/>
      <c r="BB15" s="3"/>
      <c r="BC15" s="3"/>
      <c r="BD15" s="3"/>
      <c r="BE15" s="3"/>
      <c r="BF15" s="3"/>
      <c r="BG15" s="3"/>
      <c r="BH15" s="3"/>
      <c r="BI15" s="3"/>
      <c r="BJ15" s="3"/>
      <c r="BK15" s="3"/>
      <c r="BL15" s="3"/>
      <c r="BM15" s="3"/>
      <c r="BN15" s="28"/>
      <c r="BO15" s="3"/>
      <c r="BP15" s="3"/>
      <c r="BQ15" s="3"/>
      <c r="BR15" s="3"/>
      <c r="BS15" s="3"/>
      <c r="BT15" s="3"/>
      <c r="BU15" s="3"/>
      <c r="BV15" s="3"/>
      <c r="BW15" s="3"/>
      <c r="BX15" s="3"/>
      <c r="BY15" s="3"/>
      <c r="BZ15" s="3"/>
      <c r="CA15" s="3"/>
      <c r="CB15" s="3"/>
    </row>
    <row r="16" spans="2:80" ht="30" customHeight="1">
      <c r="B16" s="11">
        <f t="shared" si="6"/>
        <v>11</v>
      </c>
      <c r="C16" s="37" t="s">
        <v>505</v>
      </c>
      <c r="D16" s="37" t="s">
        <v>506</v>
      </c>
      <c r="E16" s="35" t="s">
        <v>511</v>
      </c>
      <c r="F16" s="14">
        <f t="shared" si="5"/>
        <v>0</v>
      </c>
      <c r="G16" s="15" t="s">
        <v>508</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28"/>
      <c r="AY16" s="3"/>
      <c r="AZ16" s="3"/>
      <c r="BA16" s="3"/>
      <c r="BB16" s="3"/>
      <c r="BC16" s="3"/>
      <c r="BD16" s="3"/>
      <c r="BE16" s="3"/>
      <c r="BF16" s="3"/>
      <c r="BG16" s="3"/>
      <c r="BH16" s="3"/>
      <c r="BI16" s="3"/>
      <c r="BJ16" s="3"/>
      <c r="BK16" s="3"/>
      <c r="BL16" s="3"/>
      <c r="BM16" s="3"/>
      <c r="BN16" s="28"/>
      <c r="BO16" s="3"/>
      <c r="BP16" s="3"/>
      <c r="BQ16" s="3"/>
      <c r="BR16" s="3"/>
      <c r="BS16" s="3"/>
      <c r="BT16" s="3"/>
      <c r="BU16" s="3"/>
      <c r="BV16" s="3"/>
      <c r="BW16" s="3"/>
      <c r="BX16" s="3"/>
      <c r="BY16" s="3"/>
      <c r="BZ16" s="3"/>
      <c r="CA16" s="3"/>
      <c r="CB16" s="3"/>
    </row>
    <row r="17" spans="2:80" ht="30" customHeight="1">
      <c r="B17" s="11">
        <f t="shared" si="6"/>
        <v>12</v>
      </c>
      <c r="C17" s="37" t="s">
        <v>505</v>
      </c>
      <c r="D17" s="37" t="s">
        <v>506</v>
      </c>
      <c r="E17" s="35" t="s">
        <v>512</v>
      </c>
      <c r="F17" s="14">
        <f t="shared" si="5"/>
        <v>0</v>
      </c>
      <c r="G17" s="15" t="s">
        <v>508</v>
      </c>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28"/>
      <c r="AY17" s="3"/>
      <c r="AZ17" s="3"/>
      <c r="BA17" s="3"/>
      <c r="BB17" s="3"/>
      <c r="BC17" s="3"/>
      <c r="BD17" s="3"/>
      <c r="BE17" s="3"/>
      <c r="BF17" s="3"/>
      <c r="BG17" s="3"/>
      <c r="BH17" s="3"/>
      <c r="BI17" s="3"/>
      <c r="BJ17" s="3"/>
      <c r="BK17" s="3"/>
      <c r="BL17" s="3"/>
      <c r="BM17" s="3"/>
      <c r="BN17" s="28"/>
      <c r="BO17" s="3"/>
      <c r="BP17" s="3"/>
      <c r="BQ17" s="3"/>
      <c r="BR17" s="3"/>
      <c r="BS17" s="3"/>
      <c r="BT17" s="3"/>
      <c r="BU17" s="3"/>
      <c r="BV17" s="3"/>
      <c r="BW17" s="3"/>
      <c r="BX17" s="3"/>
      <c r="BY17" s="3"/>
      <c r="BZ17" s="3"/>
      <c r="CA17" s="3"/>
      <c r="CB17" s="3"/>
    </row>
    <row r="18" spans="2:80" ht="30" customHeight="1">
      <c r="B18" s="11">
        <f t="shared" si="6"/>
        <v>13</v>
      </c>
      <c r="C18" s="37" t="s">
        <v>505</v>
      </c>
      <c r="D18" s="37" t="s">
        <v>506</v>
      </c>
      <c r="E18" s="35" t="s">
        <v>513</v>
      </c>
      <c r="F18" s="14">
        <f t="shared" si="5"/>
        <v>0</v>
      </c>
      <c r="G18" s="15" t="s">
        <v>508</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28"/>
      <c r="AY18" s="3"/>
      <c r="AZ18" s="3"/>
      <c r="BA18" s="3"/>
      <c r="BB18" s="3"/>
      <c r="BC18" s="3"/>
      <c r="BD18" s="3"/>
      <c r="BE18" s="3"/>
      <c r="BF18" s="3"/>
      <c r="BG18" s="3"/>
      <c r="BH18" s="3"/>
      <c r="BI18" s="3"/>
      <c r="BJ18" s="3"/>
      <c r="BK18" s="3"/>
      <c r="BL18" s="3"/>
      <c r="BM18" s="3"/>
      <c r="BN18" s="28"/>
      <c r="BO18" s="3"/>
      <c r="BP18" s="3"/>
      <c r="BQ18" s="3"/>
      <c r="BR18" s="3"/>
      <c r="BS18" s="3"/>
      <c r="BT18" s="3"/>
      <c r="BU18" s="3"/>
      <c r="BV18" s="3"/>
      <c r="BW18" s="3"/>
      <c r="BX18" s="3"/>
      <c r="BY18" s="3"/>
      <c r="BZ18" s="3"/>
      <c r="CA18" s="3"/>
      <c r="CB18" s="3"/>
    </row>
    <row r="19" spans="2:80" ht="30" customHeight="1">
      <c r="B19" s="11">
        <f t="shared" si="6"/>
        <v>14</v>
      </c>
      <c r="C19" s="37" t="s">
        <v>505</v>
      </c>
      <c r="D19" s="37" t="s">
        <v>506</v>
      </c>
      <c r="E19" s="35" t="s">
        <v>514</v>
      </c>
      <c r="F19" s="14">
        <f t="shared" si="5"/>
        <v>0</v>
      </c>
      <c r="G19" s="15" t="s">
        <v>508</v>
      </c>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28"/>
      <c r="AY19" s="3"/>
      <c r="AZ19" s="3"/>
      <c r="BA19" s="3"/>
      <c r="BB19" s="3"/>
      <c r="BC19" s="3"/>
      <c r="BD19" s="3"/>
      <c r="BE19" s="3"/>
      <c r="BF19" s="3"/>
      <c r="BG19" s="3"/>
      <c r="BH19" s="3"/>
      <c r="BI19" s="3"/>
      <c r="BJ19" s="3"/>
      <c r="BK19" s="3"/>
      <c r="BL19" s="3"/>
      <c r="BM19" s="3"/>
      <c r="BN19" s="28"/>
      <c r="BO19" s="3"/>
      <c r="BP19" s="3"/>
      <c r="BQ19" s="3"/>
      <c r="BR19" s="3"/>
      <c r="BS19" s="3"/>
      <c r="BT19" s="3"/>
      <c r="BU19" s="3"/>
      <c r="BV19" s="3"/>
      <c r="BW19" s="3"/>
      <c r="BX19" s="3"/>
      <c r="BY19" s="3"/>
      <c r="BZ19" s="3"/>
      <c r="CA19" s="3"/>
      <c r="CB19" s="3"/>
    </row>
    <row r="20" spans="2:80" ht="30" customHeight="1">
      <c r="B20" s="11">
        <f t="shared" si="6"/>
        <v>15</v>
      </c>
      <c r="C20" s="37" t="s">
        <v>505</v>
      </c>
      <c r="D20" s="37" t="s">
        <v>506</v>
      </c>
      <c r="E20" s="35" t="s">
        <v>515</v>
      </c>
      <c r="F20" s="14">
        <f t="shared" si="5"/>
        <v>0</v>
      </c>
      <c r="G20" s="15" t="s">
        <v>508</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28"/>
      <c r="AY20" s="3"/>
      <c r="AZ20" s="3"/>
      <c r="BA20" s="3"/>
      <c r="BB20" s="3"/>
      <c r="BC20" s="3"/>
      <c r="BD20" s="3"/>
      <c r="BE20" s="3"/>
      <c r="BF20" s="3"/>
      <c r="BG20" s="3"/>
      <c r="BH20" s="3"/>
      <c r="BI20" s="3"/>
      <c r="BJ20" s="3"/>
      <c r="BK20" s="3"/>
      <c r="BL20" s="3"/>
      <c r="BM20" s="3"/>
      <c r="BN20" s="28"/>
      <c r="BO20" s="3"/>
      <c r="BP20" s="3"/>
      <c r="BQ20" s="3"/>
      <c r="BR20" s="3"/>
      <c r="BS20" s="3"/>
      <c r="BT20" s="3"/>
      <c r="BU20" s="3"/>
      <c r="BV20" s="3"/>
      <c r="BW20" s="3"/>
      <c r="BX20" s="3"/>
      <c r="BY20" s="3"/>
      <c r="BZ20" s="3"/>
      <c r="CA20" s="3"/>
      <c r="CB20" s="3"/>
    </row>
    <row r="21" spans="2:80" ht="30" customHeight="1">
      <c r="B21" s="11">
        <f t="shared" si="6"/>
        <v>16</v>
      </c>
      <c r="C21" s="37" t="s">
        <v>505</v>
      </c>
      <c r="D21" s="37" t="s">
        <v>506</v>
      </c>
      <c r="E21" s="35" t="s">
        <v>516</v>
      </c>
      <c r="F21" s="14">
        <f t="shared" si="5"/>
        <v>0</v>
      </c>
      <c r="G21" s="15" t="s">
        <v>508</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28"/>
      <c r="AY21" s="3"/>
      <c r="AZ21" s="3"/>
      <c r="BA21" s="3"/>
      <c r="BB21" s="3"/>
      <c r="BC21" s="3"/>
      <c r="BD21" s="3"/>
      <c r="BE21" s="3"/>
      <c r="BF21" s="3"/>
      <c r="BG21" s="3"/>
      <c r="BH21" s="3"/>
      <c r="BI21" s="3"/>
      <c r="BJ21" s="3"/>
      <c r="BK21" s="3"/>
      <c r="BL21" s="3"/>
      <c r="BM21" s="3"/>
      <c r="BN21" s="28"/>
      <c r="BO21" s="3"/>
      <c r="BP21" s="3"/>
      <c r="BQ21" s="3"/>
      <c r="BR21" s="3"/>
      <c r="BS21" s="3"/>
      <c r="BT21" s="3"/>
      <c r="BU21" s="3"/>
      <c r="BV21" s="3"/>
      <c r="BW21" s="3"/>
      <c r="BX21" s="3"/>
      <c r="BY21" s="3"/>
      <c r="BZ21" s="3"/>
      <c r="CA21" s="3"/>
      <c r="CB21" s="3"/>
    </row>
    <row r="22" spans="2:80" ht="30" customHeight="1">
      <c r="B22" s="11">
        <f t="shared" si="6"/>
        <v>17</v>
      </c>
      <c r="C22" s="37" t="s">
        <v>505</v>
      </c>
      <c r="D22" s="37" t="s">
        <v>506</v>
      </c>
      <c r="E22" s="35" t="s">
        <v>517</v>
      </c>
      <c r="F22" s="14">
        <f t="shared" si="5"/>
        <v>0</v>
      </c>
      <c r="G22" s="15" t="s">
        <v>508</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28"/>
      <c r="AY22" s="3"/>
      <c r="AZ22" s="3"/>
      <c r="BA22" s="3"/>
      <c r="BB22" s="3"/>
      <c r="BC22" s="3"/>
      <c r="BD22" s="3"/>
      <c r="BE22" s="3"/>
      <c r="BF22" s="3"/>
      <c r="BG22" s="3"/>
      <c r="BH22" s="3"/>
      <c r="BI22" s="3"/>
      <c r="BJ22" s="3"/>
      <c r="BK22" s="3"/>
      <c r="BL22" s="3"/>
      <c r="BM22" s="3"/>
      <c r="BN22" s="28"/>
      <c r="BO22" s="3"/>
      <c r="BP22" s="3"/>
      <c r="BQ22" s="3"/>
      <c r="BR22" s="3"/>
      <c r="BS22" s="3"/>
      <c r="BT22" s="3"/>
      <c r="BU22" s="3"/>
      <c r="BV22" s="3"/>
      <c r="BW22" s="3"/>
      <c r="BX22" s="3"/>
      <c r="BY22" s="3"/>
      <c r="BZ22" s="3"/>
      <c r="CA22" s="3"/>
      <c r="CB22" s="3"/>
    </row>
    <row r="23" spans="2:80" ht="30" customHeight="1">
      <c r="B23" s="11">
        <f t="shared" si="6"/>
        <v>18</v>
      </c>
      <c r="C23" s="37" t="s">
        <v>505</v>
      </c>
      <c r="D23" s="37" t="s">
        <v>506</v>
      </c>
      <c r="E23" s="35" t="s">
        <v>518</v>
      </c>
      <c r="F23" s="14">
        <f t="shared" si="5"/>
        <v>0</v>
      </c>
      <c r="G23" s="15" t="s">
        <v>508</v>
      </c>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28"/>
      <c r="AY23" s="3"/>
      <c r="AZ23" s="3"/>
      <c r="BA23" s="3"/>
      <c r="BB23" s="3"/>
      <c r="BC23" s="3"/>
      <c r="BD23" s="3"/>
      <c r="BE23" s="3"/>
      <c r="BF23" s="3"/>
      <c r="BG23" s="3"/>
      <c r="BH23" s="3"/>
      <c r="BI23" s="3"/>
      <c r="BJ23" s="3"/>
      <c r="BK23" s="3"/>
      <c r="BL23" s="3"/>
      <c r="BM23" s="3"/>
      <c r="BN23" s="28"/>
      <c r="BO23" s="3"/>
      <c r="BP23" s="3"/>
      <c r="BQ23" s="3"/>
      <c r="BR23" s="3"/>
      <c r="BS23" s="3"/>
      <c r="BT23" s="3"/>
      <c r="BU23" s="3"/>
      <c r="BV23" s="3"/>
      <c r="BW23" s="3"/>
      <c r="BX23" s="3"/>
      <c r="BY23" s="3"/>
      <c r="BZ23" s="3"/>
      <c r="CA23" s="3"/>
      <c r="CB23" s="3"/>
    </row>
    <row r="24" spans="2:80" ht="30" customHeight="1">
      <c r="B24" s="11">
        <f t="shared" si="6"/>
        <v>19</v>
      </c>
      <c r="C24" s="37" t="s">
        <v>505</v>
      </c>
      <c r="D24" s="37" t="s">
        <v>506</v>
      </c>
      <c r="E24" s="35" t="s">
        <v>519</v>
      </c>
      <c r="F24" s="14">
        <f t="shared" si="5"/>
        <v>0</v>
      </c>
      <c r="G24" s="15" t="s">
        <v>508</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28"/>
      <c r="AY24" s="3"/>
      <c r="AZ24" s="3"/>
      <c r="BA24" s="3"/>
      <c r="BB24" s="3"/>
      <c r="BC24" s="3"/>
      <c r="BD24" s="3"/>
      <c r="BE24" s="3"/>
      <c r="BF24" s="3"/>
      <c r="BG24" s="3"/>
      <c r="BH24" s="3"/>
      <c r="BI24" s="3"/>
      <c r="BJ24" s="3"/>
      <c r="BK24" s="3"/>
      <c r="BL24" s="3"/>
      <c r="BM24" s="3"/>
      <c r="BN24" s="28"/>
      <c r="BO24" s="3"/>
      <c r="BP24" s="3"/>
      <c r="BQ24" s="3"/>
      <c r="BR24" s="3"/>
      <c r="BS24" s="3"/>
      <c r="BT24" s="3"/>
      <c r="BU24" s="3"/>
      <c r="BV24" s="3"/>
      <c r="BW24" s="3"/>
      <c r="BX24" s="3"/>
      <c r="BY24" s="3"/>
      <c r="BZ24" s="3"/>
      <c r="CA24" s="3"/>
      <c r="CB24" s="3"/>
    </row>
    <row r="25" spans="2:80" ht="30" customHeight="1">
      <c r="B25" s="11">
        <f t="shared" si="6"/>
        <v>20</v>
      </c>
      <c r="C25" s="37" t="s">
        <v>505</v>
      </c>
      <c r="D25" s="37" t="s">
        <v>506</v>
      </c>
      <c r="E25" s="35" t="s">
        <v>520</v>
      </c>
      <c r="F25" s="14">
        <f t="shared" si="5"/>
        <v>0</v>
      </c>
      <c r="G25" s="15" t="s">
        <v>508</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28"/>
      <c r="AY25" s="3"/>
      <c r="AZ25" s="3"/>
      <c r="BA25" s="3"/>
      <c r="BB25" s="3"/>
      <c r="BC25" s="3"/>
      <c r="BD25" s="3"/>
      <c r="BE25" s="3"/>
      <c r="BF25" s="3"/>
      <c r="BG25" s="3"/>
      <c r="BH25" s="3"/>
      <c r="BI25" s="3"/>
      <c r="BJ25" s="3"/>
      <c r="BK25" s="3"/>
      <c r="BL25" s="3"/>
      <c r="BM25" s="3"/>
      <c r="BN25" s="28"/>
      <c r="BO25" s="3"/>
      <c r="BP25" s="3"/>
      <c r="BQ25" s="3"/>
      <c r="BR25" s="3"/>
      <c r="BS25" s="3"/>
      <c r="BT25" s="3"/>
      <c r="BU25" s="3"/>
      <c r="BV25" s="3"/>
      <c r="BW25" s="3"/>
      <c r="BX25" s="3"/>
      <c r="BY25" s="3"/>
      <c r="BZ25" s="3"/>
      <c r="CA25" s="3"/>
      <c r="CB25" s="3"/>
    </row>
    <row r="26" spans="2:80" ht="30" customHeight="1">
      <c r="B26" s="11">
        <f t="shared" si="6"/>
        <v>21</v>
      </c>
      <c r="C26" s="37" t="s">
        <v>505</v>
      </c>
      <c r="D26" s="37" t="s">
        <v>506</v>
      </c>
      <c r="E26" s="35" t="s">
        <v>521</v>
      </c>
      <c r="F26" s="14">
        <f t="shared" si="5"/>
        <v>0</v>
      </c>
      <c r="G26" s="15" t="s">
        <v>508</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28"/>
      <c r="AY26" s="3"/>
      <c r="AZ26" s="3"/>
      <c r="BA26" s="3"/>
      <c r="BB26" s="3"/>
      <c r="BC26" s="3"/>
      <c r="BD26" s="3"/>
      <c r="BE26" s="3"/>
      <c r="BF26" s="3"/>
      <c r="BG26" s="3"/>
      <c r="BH26" s="3"/>
      <c r="BI26" s="3"/>
      <c r="BJ26" s="3"/>
      <c r="BK26" s="3"/>
      <c r="BL26" s="3"/>
      <c r="BM26" s="3"/>
      <c r="BN26" s="28"/>
      <c r="BO26" s="3"/>
      <c r="BP26" s="3"/>
      <c r="BQ26" s="3"/>
      <c r="BR26" s="3"/>
      <c r="BS26" s="3"/>
      <c r="BT26" s="3"/>
      <c r="BU26" s="3"/>
      <c r="BV26" s="3"/>
      <c r="BW26" s="3"/>
      <c r="BX26" s="3"/>
      <c r="BY26" s="3"/>
      <c r="BZ26" s="3"/>
      <c r="CA26" s="3"/>
      <c r="CB26" s="3"/>
    </row>
    <row r="27" spans="2:80" ht="30" customHeight="1">
      <c r="B27" s="11">
        <f t="shared" si="6"/>
        <v>22</v>
      </c>
      <c r="C27" s="37" t="s">
        <v>505</v>
      </c>
      <c r="D27" s="37" t="s">
        <v>506</v>
      </c>
      <c r="E27" s="35" t="s">
        <v>522</v>
      </c>
      <c r="F27" s="14">
        <f t="shared" si="5"/>
        <v>0</v>
      </c>
      <c r="G27" s="15" t="s">
        <v>508</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28"/>
      <c r="AY27" s="3"/>
      <c r="AZ27" s="3"/>
      <c r="BA27" s="3"/>
      <c r="BB27" s="3"/>
      <c r="BC27" s="3"/>
      <c r="BD27" s="3"/>
      <c r="BE27" s="3"/>
      <c r="BF27" s="3"/>
      <c r="BG27" s="3"/>
      <c r="BH27" s="3"/>
      <c r="BI27" s="3"/>
      <c r="BJ27" s="3"/>
      <c r="BK27" s="3"/>
      <c r="BL27" s="3"/>
      <c r="BM27" s="3"/>
      <c r="BN27" s="28"/>
      <c r="BO27" s="3"/>
      <c r="BP27" s="3"/>
      <c r="BQ27" s="3"/>
      <c r="BR27" s="3"/>
      <c r="BS27" s="3"/>
      <c r="BT27" s="3"/>
      <c r="BU27" s="3"/>
      <c r="BV27" s="3"/>
      <c r="BW27" s="3"/>
      <c r="BX27" s="3"/>
      <c r="BY27" s="3"/>
      <c r="BZ27" s="3"/>
      <c r="CA27" s="3"/>
      <c r="CB27" s="3"/>
    </row>
    <row r="28" spans="2:80" ht="30" customHeight="1">
      <c r="B28" s="11">
        <f t="shared" si="6"/>
        <v>23</v>
      </c>
      <c r="C28" s="37" t="s">
        <v>505</v>
      </c>
      <c r="D28" s="37" t="s">
        <v>506</v>
      </c>
      <c r="E28" s="35" t="s">
        <v>523</v>
      </c>
      <c r="F28" s="14">
        <f t="shared" si="5"/>
        <v>0</v>
      </c>
      <c r="G28" s="15" t="s">
        <v>508</v>
      </c>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28"/>
      <c r="AY28" s="3"/>
      <c r="AZ28" s="3"/>
      <c r="BA28" s="3"/>
      <c r="BB28" s="3"/>
      <c r="BC28" s="3"/>
      <c r="BD28" s="3"/>
      <c r="BE28" s="3"/>
      <c r="BF28" s="3"/>
      <c r="BG28" s="3"/>
      <c r="BH28" s="3"/>
      <c r="BI28" s="3"/>
      <c r="BJ28" s="3"/>
      <c r="BK28" s="3"/>
      <c r="BL28" s="3"/>
      <c r="BM28" s="3"/>
      <c r="BN28" s="28"/>
      <c r="BO28" s="3"/>
      <c r="BP28" s="3"/>
      <c r="BQ28" s="3"/>
      <c r="BR28" s="3"/>
      <c r="BS28" s="3"/>
      <c r="BT28" s="3"/>
      <c r="BU28" s="3"/>
      <c r="BV28" s="3"/>
      <c r="BW28" s="3"/>
      <c r="BX28" s="3"/>
      <c r="BY28" s="3"/>
      <c r="BZ28" s="3"/>
      <c r="CA28" s="3"/>
      <c r="CB28" s="3"/>
    </row>
    <row r="29" spans="2:80" ht="30" customHeight="1">
      <c r="B29" s="11">
        <f t="shared" si="6"/>
        <v>24</v>
      </c>
      <c r="C29" s="37" t="s">
        <v>505</v>
      </c>
      <c r="D29" s="37" t="s">
        <v>506</v>
      </c>
      <c r="E29" s="35" t="s">
        <v>524</v>
      </c>
      <c r="F29" s="14">
        <f t="shared" si="5"/>
        <v>0</v>
      </c>
      <c r="G29" s="15" t="s">
        <v>508</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28"/>
      <c r="AY29" s="3"/>
      <c r="AZ29" s="3"/>
      <c r="BA29" s="3"/>
      <c r="BB29" s="3"/>
      <c r="BC29" s="3"/>
      <c r="BD29" s="3"/>
      <c r="BE29" s="3"/>
      <c r="BF29" s="3"/>
      <c r="BG29" s="3"/>
      <c r="BH29" s="3"/>
      <c r="BI29" s="3"/>
      <c r="BJ29" s="3"/>
      <c r="BK29" s="3"/>
      <c r="BL29" s="3"/>
      <c r="BM29" s="3"/>
      <c r="BN29" s="28"/>
      <c r="BO29" s="3"/>
      <c r="BP29" s="3"/>
      <c r="BQ29" s="3"/>
      <c r="BR29" s="3"/>
      <c r="BS29" s="3"/>
      <c r="BT29" s="3"/>
      <c r="BU29" s="3"/>
      <c r="BV29" s="3"/>
      <c r="BW29" s="3"/>
      <c r="BX29" s="3"/>
      <c r="BY29" s="3"/>
      <c r="BZ29" s="3"/>
      <c r="CA29" s="3"/>
      <c r="CB29" s="3"/>
    </row>
    <row r="30" spans="2:80" ht="30" customHeight="1">
      <c r="B30" s="11">
        <f t="shared" si="6"/>
        <v>25</v>
      </c>
      <c r="C30" s="37" t="s">
        <v>505</v>
      </c>
      <c r="D30" s="37" t="s">
        <v>506</v>
      </c>
      <c r="E30" s="35" t="s">
        <v>525</v>
      </c>
      <c r="F30" s="14">
        <f t="shared" si="5"/>
        <v>0</v>
      </c>
      <c r="G30" s="15" t="s">
        <v>508</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28"/>
      <c r="AY30" s="3"/>
      <c r="AZ30" s="3"/>
      <c r="BA30" s="3"/>
      <c r="BB30" s="3"/>
      <c r="BC30" s="3"/>
      <c r="BD30" s="3"/>
      <c r="BE30" s="3"/>
      <c r="BF30" s="3"/>
      <c r="BG30" s="3"/>
      <c r="BH30" s="3"/>
      <c r="BI30" s="3"/>
      <c r="BJ30" s="3"/>
      <c r="BK30" s="3"/>
      <c r="BL30" s="3"/>
      <c r="BM30" s="3"/>
      <c r="BN30" s="28"/>
      <c r="BO30" s="3"/>
      <c r="BP30" s="3"/>
      <c r="BQ30" s="3"/>
      <c r="BR30" s="3"/>
      <c r="BS30" s="3"/>
      <c r="BT30" s="3"/>
      <c r="BU30" s="3"/>
      <c r="BV30" s="3"/>
      <c r="BW30" s="3"/>
      <c r="BX30" s="3"/>
      <c r="BY30" s="3"/>
      <c r="BZ30" s="3"/>
      <c r="CA30" s="3"/>
      <c r="CB30" s="3"/>
    </row>
    <row r="31" spans="2:80" ht="30" customHeight="1">
      <c r="B31" s="11">
        <f t="shared" si="6"/>
        <v>26</v>
      </c>
      <c r="C31" s="37" t="s">
        <v>505</v>
      </c>
      <c r="D31" s="37" t="s">
        <v>506</v>
      </c>
      <c r="E31" s="35" t="s">
        <v>526</v>
      </c>
      <c r="F31" s="14">
        <f t="shared" si="5"/>
        <v>0</v>
      </c>
      <c r="G31" s="15" t="s">
        <v>508</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28"/>
      <c r="AY31" s="3"/>
      <c r="AZ31" s="3"/>
      <c r="BA31" s="3"/>
      <c r="BB31" s="3"/>
      <c r="BC31" s="3"/>
      <c r="BD31" s="3"/>
      <c r="BE31" s="3"/>
      <c r="BF31" s="3"/>
      <c r="BG31" s="3"/>
      <c r="BH31" s="3"/>
      <c r="BI31" s="3"/>
      <c r="BJ31" s="3"/>
      <c r="BK31" s="3"/>
      <c r="BL31" s="3"/>
      <c r="BM31" s="3"/>
      <c r="BN31" s="28"/>
      <c r="BO31" s="3"/>
      <c r="BP31" s="3"/>
      <c r="BQ31" s="3"/>
      <c r="BR31" s="3"/>
      <c r="BS31" s="3"/>
      <c r="BT31" s="3"/>
      <c r="BU31" s="3"/>
      <c r="BV31" s="3"/>
      <c r="BW31" s="3"/>
      <c r="BX31" s="3"/>
      <c r="BY31" s="3"/>
      <c r="BZ31" s="3"/>
      <c r="CA31" s="3"/>
      <c r="CB31" s="3"/>
    </row>
    <row r="32" spans="2:80" ht="30" customHeight="1">
      <c r="B32" s="11">
        <f t="shared" si="6"/>
        <v>27</v>
      </c>
      <c r="C32" s="37" t="s">
        <v>505</v>
      </c>
      <c r="D32" s="37" t="s">
        <v>506</v>
      </c>
      <c r="E32" s="35" t="s">
        <v>527</v>
      </c>
      <c r="F32" s="14">
        <f t="shared" si="5"/>
        <v>0</v>
      </c>
      <c r="G32" s="15" t="s">
        <v>508</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28"/>
      <c r="AY32" s="3"/>
      <c r="AZ32" s="3"/>
      <c r="BA32" s="3"/>
      <c r="BB32" s="3"/>
      <c r="BC32" s="3"/>
      <c r="BD32" s="3"/>
      <c r="BE32" s="3"/>
      <c r="BF32" s="3"/>
      <c r="BG32" s="3"/>
      <c r="BH32" s="3"/>
      <c r="BI32" s="3"/>
      <c r="BJ32" s="3"/>
      <c r="BK32" s="3"/>
      <c r="BL32" s="3"/>
      <c r="BM32" s="3"/>
      <c r="BN32" s="28"/>
      <c r="BO32" s="3"/>
      <c r="BP32" s="3"/>
      <c r="BQ32" s="3"/>
      <c r="BR32" s="3"/>
      <c r="BS32" s="3"/>
      <c r="BT32" s="3"/>
      <c r="BU32" s="3"/>
      <c r="BV32" s="3"/>
      <c r="BW32" s="3"/>
      <c r="BX32" s="3"/>
      <c r="BY32" s="3"/>
      <c r="BZ32" s="3"/>
      <c r="CA32" s="3"/>
      <c r="CB32" s="3"/>
    </row>
    <row r="33" spans="2:80" ht="30" customHeight="1">
      <c r="B33" s="11">
        <f t="shared" si="6"/>
        <v>28</v>
      </c>
      <c r="C33" s="37" t="s">
        <v>505</v>
      </c>
      <c r="D33" s="37" t="s">
        <v>506</v>
      </c>
      <c r="E33" s="35" t="s">
        <v>528</v>
      </c>
      <c r="F33" s="14">
        <f t="shared" si="5"/>
        <v>0</v>
      </c>
      <c r="G33" s="15" t="s">
        <v>508</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28"/>
      <c r="AY33" s="3"/>
      <c r="AZ33" s="3"/>
      <c r="BA33" s="3"/>
      <c r="BB33" s="3"/>
      <c r="BC33" s="3"/>
      <c r="BD33" s="3"/>
      <c r="BE33" s="3"/>
      <c r="BF33" s="3"/>
      <c r="BG33" s="3"/>
      <c r="BH33" s="3"/>
      <c r="BI33" s="3"/>
      <c r="BJ33" s="3"/>
      <c r="BK33" s="3"/>
      <c r="BL33" s="3"/>
      <c r="BM33" s="3"/>
      <c r="BN33" s="28"/>
      <c r="BO33" s="3"/>
      <c r="BP33" s="3"/>
      <c r="BQ33" s="3"/>
      <c r="BR33" s="3"/>
      <c r="BS33" s="3"/>
      <c r="BT33" s="3"/>
      <c r="BU33" s="3"/>
      <c r="BV33" s="3"/>
      <c r="BW33" s="3"/>
      <c r="BX33" s="3"/>
      <c r="BY33" s="3"/>
      <c r="BZ33" s="3"/>
      <c r="CA33" s="3"/>
      <c r="CB33" s="3"/>
    </row>
    <row r="34" spans="2:80" ht="30" customHeight="1">
      <c r="B34" s="11">
        <f t="shared" si="6"/>
        <v>29</v>
      </c>
      <c r="C34" s="37" t="s">
        <v>505</v>
      </c>
      <c r="D34" s="37" t="s">
        <v>506</v>
      </c>
      <c r="E34" s="35" t="s">
        <v>529</v>
      </c>
      <c r="F34" s="14">
        <f t="shared" si="5"/>
        <v>0</v>
      </c>
      <c r="G34" s="15" t="s">
        <v>508</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28"/>
      <c r="AY34" s="3"/>
      <c r="AZ34" s="3"/>
      <c r="BA34" s="3"/>
      <c r="BB34" s="3"/>
      <c r="BC34" s="3"/>
      <c r="BD34" s="3"/>
      <c r="BE34" s="3"/>
      <c r="BF34" s="3"/>
      <c r="BG34" s="3"/>
      <c r="BH34" s="3"/>
      <c r="BI34" s="3"/>
      <c r="BJ34" s="3"/>
      <c r="BK34" s="3"/>
      <c r="BL34" s="3"/>
      <c r="BM34" s="3"/>
      <c r="BN34" s="28"/>
      <c r="BO34" s="3"/>
      <c r="BP34" s="3"/>
      <c r="BQ34" s="3"/>
      <c r="BR34" s="3"/>
      <c r="BS34" s="3"/>
      <c r="BT34" s="3"/>
      <c r="BU34" s="3"/>
      <c r="BV34" s="3"/>
      <c r="BW34" s="3"/>
      <c r="BX34" s="3"/>
      <c r="BY34" s="3"/>
      <c r="BZ34" s="3"/>
      <c r="CA34" s="3"/>
      <c r="CB34" s="3"/>
    </row>
    <row r="35" spans="2:80" ht="30" customHeight="1">
      <c r="B35" s="11">
        <f t="shared" si="6"/>
        <v>30</v>
      </c>
      <c r="C35" s="37" t="s">
        <v>505</v>
      </c>
      <c r="D35" s="37" t="s">
        <v>506</v>
      </c>
      <c r="E35" s="35" t="s">
        <v>530</v>
      </c>
      <c r="F35" s="14">
        <f t="shared" si="5"/>
        <v>0</v>
      </c>
      <c r="G35" s="15" t="s">
        <v>508</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28"/>
      <c r="AY35" s="3"/>
      <c r="AZ35" s="3"/>
      <c r="BA35" s="3"/>
      <c r="BB35" s="3"/>
      <c r="BC35" s="3"/>
      <c r="BD35" s="3"/>
      <c r="BE35" s="3"/>
      <c r="BF35" s="3"/>
      <c r="BG35" s="3"/>
      <c r="BH35" s="3"/>
      <c r="BI35" s="3"/>
      <c r="BJ35" s="3"/>
      <c r="BK35" s="3"/>
      <c r="BL35" s="3"/>
      <c r="BM35" s="3"/>
      <c r="BN35" s="28"/>
      <c r="BO35" s="3"/>
      <c r="BP35" s="3"/>
      <c r="BQ35" s="3"/>
      <c r="BR35" s="3"/>
      <c r="BS35" s="3"/>
      <c r="BT35" s="3"/>
      <c r="BU35" s="3"/>
      <c r="BV35" s="3"/>
      <c r="BW35" s="3"/>
      <c r="BX35" s="3"/>
      <c r="BY35" s="3"/>
      <c r="BZ35" s="3"/>
      <c r="CA35" s="3"/>
      <c r="CB35" s="3"/>
    </row>
    <row r="36" spans="2:80" ht="30" customHeight="1">
      <c r="B36" s="11">
        <f t="shared" si="6"/>
        <v>31</v>
      </c>
      <c r="C36" s="37" t="s">
        <v>505</v>
      </c>
      <c r="D36" s="37" t="s">
        <v>506</v>
      </c>
      <c r="E36" s="35" t="s">
        <v>531</v>
      </c>
      <c r="F36" s="14">
        <f t="shared" si="5"/>
        <v>0</v>
      </c>
      <c r="G36" s="15" t="s">
        <v>508</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28"/>
      <c r="AY36" s="3"/>
      <c r="AZ36" s="3"/>
      <c r="BA36" s="3"/>
      <c r="BB36" s="3"/>
      <c r="BC36" s="3"/>
      <c r="BD36" s="3"/>
      <c r="BE36" s="3"/>
      <c r="BF36" s="3"/>
      <c r="BG36" s="3"/>
      <c r="BH36" s="3"/>
      <c r="BI36" s="3"/>
      <c r="BJ36" s="3"/>
      <c r="BK36" s="3"/>
      <c r="BL36" s="3"/>
      <c r="BM36" s="3"/>
      <c r="BN36" s="28"/>
      <c r="BO36" s="3"/>
      <c r="BP36" s="3"/>
      <c r="BQ36" s="3"/>
      <c r="BR36" s="3"/>
      <c r="BS36" s="3"/>
      <c r="BT36" s="3"/>
      <c r="BU36" s="3"/>
      <c r="BV36" s="3"/>
      <c r="BW36" s="3"/>
      <c r="BX36" s="3"/>
      <c r="BY36" s="3"/>
      <c r="BZ36" s="3"/>
      <c r="CA36" s="3"/>
      <c r="CB36" s="3"/>
    </row>
    <row r="37" spans="2:80" ht="30" customHeight="1">
      <c r="B37" s="11">
        <f t="shared" si="6"/>
        <v>32</v>
      </c>
      <c r="C37" s="37" t="s">
        <v>505</v>
      </c>
      <c r="D37" s="37" t="s">
        <v>506</v>
      </c>
      <c r="E37" s="35" t="s">
        <v>532</v>
      </c>
      <c r="F37" s="14">
        <f t="shared" si="5"/>
        <v>0</v>
      </c>
      <c r="G37" s="15" t="s">
        <v>508</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28"/>
      <c r="AY37" s="3"/>
      <c r="AZ37" s="3"/>
      <c r="BA37" s="3"/>
      <c r="BB37" s="3"/>
      <c r="BC37" s="3"/>
      <c r="BD37" s="3"/>
      <c r="BE37" s="3"/>
      <c r="BF37" s="3"/>
      <c r="BG37" s="3"/>
      <c r="BH37" s="3"/>
      <c r="BI37" s="3"/>
      <c r="BJ37" s="3"/>
      <c r="BK37" s="3"/>
      <c r="BL37" s="3"/>
      <c r="BM37" s="3"/>
      <c r="BN37" s="28"/>
      <c r="BO37" s="3"/>
      <c r="BP37" s="3"/>
      <c r="BQ37" s="3"/>
      <c r="BR37" s="3"/>
      <c r="BS37" s="3"/>
      <c r="BT37" s="3"/>
      <c r="BU37" s="3"/>
      <c r="BV37" s="3"/>
      <c r="BW37" s="3"/>
      <c r="BX37" s="3"/>
      <c r="BY37" s="3"/>
      <c r="BZ37" s="3"/>
      <c r="CA37" s="3"/>
      <c r="CB37" s="3"/>
    </row>
    <row r="38" spans="2:80" ht="30" customHeight="1">
      <c r="B38" s="11">
        <f t="shared" si="6"/>
        <v>33</v>
      </c>
      <c r="C38" s="37" t="s">
        <v>505</v>
      </c>
      <c r="D38" s="37" t="s">
        <v>506</v>
      </c>
      <c r="E38" s="35" t="s">
        <v>533</v>
      </c>
      <c r="F38" s="14">
        <f t="shared" si="5"/>
        <v>0</v>
      </c>
      <c r="G38" s="15" t="s">
        <v>508</v>
      </c>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28"/>
      <c r="AY38" s="3"/>
      <c r="AZ38" s="3"/>
      <c r="BA38" s="3"/>
      <c r="BB38" s="3"/>
      <c r="BC38" s="3"/>
      <c r="BD38" s="3"/>
      <c r="BE38" s="3"/>
      <c r="BF38" s="3"/>
      <c r="BG38" s="3"/>
      <c r="BH38" s="3"/>
      <c r="BI38" s="3"/>
      <c r="BJ38" s="3"/>
      <c r="BK38" s="3"/>
      <c r="BL38" s="3"/>
      <c r="BM38" s="3"/>
      <c r="BN38" s="28"/>
      <c r="BO38" s="3"/>
      <c r="BP38" s="3"/>
      <c r="BQ38" s="3"/>
      <c r="BR38" s="3"/>
      <c r="BS38" s="3"/>
      <c r="BT38" s="3"/>
      <c r="BU38" s="3"/>
      <c r="BV38" s="3"/>
      <c r="BW38" s="3"/>
      <c r="BX38" s="3"/>
      <c r="BY38" s="3"/>
      <c r="BZ38" s="3"/>
      <c r="CA38" s="3"/>
      <c r="CB38" s="3"/>
    </row>
    <row r="39" spans="2:80" ht="30" customHeight="1">
      <c r="B39" s="11">
        <f t="shared" si="6"/>
        <v>34</v>
      </c>
      <c r="C39" s="37" t="s">
        <v>505</v>
      </c>
      <c r="D39" s="37" t="s">
        <v>506</v>
      </c>
      <c r="E39" s="35" t="s">
        <v>534</v>
      </c>
      <c r="F39" s="14">
        <f t="shared" si="5"/>
        <v>0</v>
      </c>
      <c r="G39" s="15" t="s">
        <v>508</v>
      </c>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28"/>
      <c r="AY39" s="3"/>
      <c r="AZ39" s="3"/>
      <c r="BA39" s="3"/>
      <c r="BB39" s="3"/>
      <c r="BC39" s="3"/>
      <c r="BD39" s="3"/>
      <c r="BE39" s="3"/>
      <c r="BF39" s="3"/>
      <c r="BG39" s="3"/>
      <c r="BH39" s="3"/>
      <c r="BI39" s="3"/>
      <c r="BJ39" s="3"/>
      <c r="BK39" s="3"/>
      <c r="BL39" s="3"/>
      <c r="BM39" s="3"/>
      <c r="BN39" s="28"/>
      <c r="BO39" s="3"/>
      <c r="BP39" s="3"/>
      <c r="BQ39" s="3"/>
      <c r="BR39" s="3"/>
      <c r="BS39" s="3"/>
      <c r="BT39" s="3"/>
      <c r="BU39" s="3"/>
      <c r="BV39" s="3"/>
      <c r="BW39" s="3"/>
      <c r="BX39" s="3"/>
      <c r="BY39" s="3"/>
      <c r="BZ39" s="3"/>
      <c r="CA39" s="3"/>
      <c r="CB39" s="3"/>
    </row>
    <row r="40" spans="2:80" ht="30" customHeight="1">
      <c r="B40" s="11">
        <f t="shared" si="6"/>
        <v>35</v>
      </c>
      <c r="C40" s="37" t="s">
        <v>505</v>
      </c>
      <c r="D40" s="37" t="s">
        <v>506</v>
      </c>
      <c r="E40" s="35" t="s">
        <v>535</v>
      </c>
      <c r="F40" s="14">
        <f t="shared" si="5"/>
        <v>0</v>
      </c>
      <c r="G40" s="15" t="s">
        <v>508</v>
      </c>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28"/>
      <c r="AY40" s="3"/>
      <c r="AZ40" s="3"/>
      <c r="BA40" s="3"/>
      <c r="BB40" s="3"/>
      <c r="BC40" s="3"/>
      <c r="BD40" s="3"/>
      <c r="BE40" s="3"/>
      <c r="BF40" s="3"/>
      <c r="BG40" s="3"/>
      <c r="BH40" s="3"/>
      <c r="BI40" s="3"/>
      <c r="BJ40" s="3"/>
      <c r="BK40" s="3"/>
      <c r="BL40" s="3"/>
      <c r="BM40" s="3"/>
      <c r="BN40" s="28"/>
      <c r="BO40" s="3"/>
      <c r="BP40" s="3"/>
      <c r="BQ40" s="3"/>
      <c r="BR40" s="3"/>
      <c r="BS40" s="3"/>
      <c r="BT40" s="3"/>
      <c r="BU40" s="3"/>
      <c r="BV40" s="3"/>
      <c r="BW40" s="3"/>
      <c r="BX40" s="3"/>
      <c r="BY40" s="3"/>
      <c r="BZ40" s="3"/>
      <c r="CA40" s="3"/>
      <c r="CB40" s="3"/>
    </row>
    <row r="41" spans="2:80" ht="30" customHeight="1">
      <c r="B41" s="11">
        <f t="shared" si="6"/>
        <v>36</v>
      </c>
      <c r="C41" s="37" t="s">
        <v>505</v>
      </c>
      <c r="D41" s="37" t="s">
        <v>506</v>
      </c>
      <c r="E41" s="35" t="s">
        <v>536</v>
      </c>
      <c r="F41" s="14">
        <f t="shared" si="5"/>
        <v>0</v>
      </c>
      <c r="G41" s="15" t="s">
        <v>508</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28"/>
      <c r="AY41" s="3"/>
      <c r="AZ41" s="3"/>
      <c r="BA41" s="3"/>
      <c r="BB41" s="3"/>
      <c r="BC41" s="3"/>
      <c r="BD41" s="3"/>
      <c r="BE41" s="3"/>
      <c r="BF41" s="3"/>
      <c r="BG41" s="3"/>
      <c r="BH41" s="3"/>
      <c r="BI41" s="3"/>
      <c r="BJ41" s="3"/>
      <c r="BK41" s="3"/>
      <c r="BL41" s="3"/>
      <c r="BM41" s="3"/>
      <c r="BN41" s="28"/>
      <c r="BO41" s="3"/>
      <c r="BP41" s="3"/>
      <c r="BQ41" s="3"/>
      <c r="BR41" s="3"/>
      <c r="BS41" s="3"/>
      <c r="BT41" s="3"/>
      <c r="BU41" s="3"/>
      <c r="BV41" s="3"/>
      <c r="BW41" s="3"/>
      <c r="BX41" s="3"/>
      <c r="BY41" s="3"/>
      <c r="BZ41" s="3"/>
      <c r="CA41" s="3"/>
      <c r="CB41" s="3"/>
    </row>
    <row r="42" spans="2:80" ht="30" customHeight="1">
      <c r="B42" s="11">
        <f t="shared" si="6"/>
        <v>37</v>
      </c>
      <c r="C42" s="37" t="s">
        <v>505</v>
      </c>
      <c r="D42" s="37" t="s">
        <v>506</v>
      </c>
      <c r="E42" s="35" t="s">
        <v>537</v>
      </c>
      <c r="F42" s="14">
        <f t="shared" si="5"/>
        <v>0</v>
      </c>
      <c r="G42" s="15" t="s">
        <v>508</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28"/>
      <c r="AY42" s="3"/>
      <c r="AZ42" s="3"/>
      <c r="BA42" s="3"/>
      <c r="BB42" s="3"/>
      <c r="BC42" s="3"/>
      <c r="BD42" s="3"/>
      <c r="BE42" s="3"/>
      <c r="BF42" s="3"/>
      <c r="BG42" s="3"/>
      <c r="BH42" s="3"/>
      <c r="BI42" s="3"/>
      <c r="BJ42" s="3"/>
      <c r="BK42" s="3"/>
      <c r="BL42" s="3"/>
      <c r="BM42" s="3"/>
      <c r="BN42" s="28"/>
      <c r="BO42" s="3"/>
      <c r="BP42" s="3"/>
      <c r="BQ42" s="3"/>
      <c r="BR42" s="3"/>
      <c r="BS42" s="3"/>
      <c r="BT42" s="3"/>
      <c r="BU42" s="3"/>
      <c r="BV42" s="3"/>
      <c r="BW42" s="3"/>
      <c r="BX42" s="3"/>
      <c r="BY42" s="3"/>
      <c r="BZ42" s="3"/>
      <c r="CA42" s="3"/>
      <c r="CB42" s="3"/>
    </row>
    <row r="43" spans="2:80" ht="30" customHeight="1">
      <c r="B43" s="11">
        <f t="shared" si="6"/>
        <v>38</v>
      </c>
      <c r="C43" s="37" t="s">
        <v>505</v>
      </c>
      <c r="D43" s="35" t="s">
        <v>538</v>
      </c>
      <c r="E43" s="35" t="s">
        <v>539</v>
      </c>
      <c r="F43" s="14">
        <f t="shared" si="5"/>
        <v>22</v>
      </c>
      <c r="G43" s="15" t="s">
        <v>2</v>
      </c>
      <c r="H43" s="3"/>
      <c r="I43" s="3"/>
      <c r="J43" s="3"/>
      <c r="K43" s="13"/>
      <c r="L43" s="13"/>
      <c r="M43" s="13"/>
      <c r="N43" s="13" t="s">
        <v>3</v>
      </c>
      <c r="O43" s="13"/>
      <c r="P43" s="13" t="s">
        <v>3</v>
      </c>
      <c r="Q43" s="3"/>
      <c r="R43" s="13"/>
      <c r="S43" s="13"/>
      <c r="T43" s="13"/>
      <c r="U43" s="13"/>
      <c r="V43" s="13"/>
      <c r="W43" s="13" t="s">
        <v>3</v>
      </c>
      <c r="X43" s="13"/>
      <c r="Y43" s="3" t="s">
        <v>3</v>
      </c>
      <c r="Z43" s="3" t="s">
        <v>3</v>
      </c>
      <c r="AA43" s="13"/>
      <c r="AB43" s="13" t="s">
        <v>3</v>
      </c>
      <c r="AC43" s="13"/>
      <c r="AD43" s="13"/>
      <c r="AE43" s="13" t="s">
        <v>3</v>
      </c>
      <c r="AF43" s="13"/>
      <c r="AG43" s="13"/>
      <c r="AH43" s="3"/>
      <c r="AI43" s="3"/>
      <c r="AJ43" s="13"/>
      <c r="AK43" s="13"/>
      <c r="AL43" s="13"/>
      <c r="AM43" s="13"/>
      <c r="AN43" s="13"/>
      <c r="AO43" s="13" t="s">
        <v>3</v>
      </c>
      <c r="AP43" s="13"/>
      <c r="AQ43" s="13" t="s">
        <v>3</v>
      </c>
      <c r="AR43" s="13" t="s">
        <v>3</v>
      </c>
      <c r="AS43" s="13"/>
      <c r="AT43" s="3"/>
      <c r="AU43" s="3"/>
      <c r="AV43" s="13"/>
      <c r="AW43" s="13"/>
      <c r="AX43" s="36"/>
      <c r="AY43" s="3" t="s">
        <v>3</v>
      </c>
      <c r="AZ43" s="3"/>
      <c r="BA43" s="3"/>
      <c r="BB43" s="13"/>
      <c r="BC43" s="13"/>
      <c r="BD43" s="13"/>
      <c r="BE43" s="13"/>
      <c r="BF43" s="13"/>
      <c r="BG43" s="13" t="s">
        <v>3</v>
      </c>
      <c r="BH43" s="13" t="s">
        <v>3</v>
      </c>
      <c r="BI43" s="13"/>
      <c r="BJ43" s="13"/>
      <c r="BK43" s="13" t="s">
        <v>3</v>
      </c>
      <c r="BL43" s="13"/>
      <c r="BM43" s="3"/>
      <c r="BN43" s="36"/>
      <c r="BO43" s="13"/>
      <c r="BP43" s="13" t="s">
        <v>3</v>
      </c>
      <c r="BQ43" s="13" t="s">
        <v>3</v>
      </c>
      <c r="BR43" s="13"/>
      <c r="BS43" s="13" t="s">
        <v>3</v>
      </c>
      <c r="BT43" s="13"/>
      <c r="BU43" s="13" t="s">
        <v>3</v>
      </c>
      <c r="BV43" s="13" t="s">
        <v>3</v>
      </c>
      <c r="BW43" s="13" t="s">
        <v>3</v>
      </c>
      <c r="BX43" s="13" t="s">
        <v>3</v>
      </c>
      <c r="BY43" s="13" t="s">
        <v>3</v>
      </c>
      <c r="BZ43" s="13"/>
      <c r="CA43" s="13"/>
      <c r="CB43" s="3"/>
    </row>
    <row r="44" spans="2:80" ht="30" customHeight="1">
      <c r="B44" s="11">
        <f t="shared" si="6"/>
        <v>39</v>
      </c>
      <c r="C44" s="38" t="s">
        <v>505</v>
      </c>
      <c r="D44" s="37" t="s">
        <v>538</v>
      </c>
      <c r="E44" s="35" t="s">
        <v>540</v>
      </c>
      <c r="F44" s="14">
        <f t="shared" si="5"/>
        <v>7</v>
      </c>
      <c r="G44" s="15" t="s">
        <v>2</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28"/>
      <c r="AY44" s="3"/>
      <c r="AZ44" s="3"/>
      <c r="BA44" s="3"/>
      <c r="BB44" s="3"/>
      <c r="BC44" s="3"/>
      <c r="BD44" s="3"/>
      <c r="BE44" s="3"/>
      <c r="BF44" s="3"/>
      <c r="BG44" s="13" t="s">
        <v>3</v>
      </c>
      <c r="BH44" s="13" t="s">
        <v>3</v>
      </c>
      <c r="BI44" s="3"/>
      <c r="BJ44" s="3"/>
      <c r="BK44" s="3"/>
      <c r="BL44" s="3"/>
      <c r="BM44" s="3"/>
      <c r="BN44" s="28"/>
      <c r="BO44" s="3"/>
      <c r="BP44" s="3"/>
      <c r="BQ44" s="3"/>
      <c r="BR44" s="3"/>
      <c r="BS44" s="3"/>
      <c r="BT44" s="3"/>
      <c r="BU44" s="13" t="s">
        <v>3</v>
      </c>
      <c r="BV44" s="13" t="s">
        <v>3</v>
      </c>
      <c r="BW44" s="13" t="s">
        <v>3</v>
      </c>
      <c r="BX44" s="3"/>
      <c r="BY44" s="13" t="s">
        <v>3</v>
      </c>
      <c r="BZ44" s="13" t="s">
        <v>3</v>
      </c>
      <c r="CA44" s="3"/>
      <c r="CB44" s="3"/>
    </row>
    <row r="45" spans="2:80" ht="30" customHeight="1">
      <c r="B45" s="11">
        <f t="shared" si="6"/>
        <v>40</v>
      </c>
      <c r="C45" s="38" t="s">
        <v>505</v>
      </c>
      <c r="D45" s="37" t="s">
        <v>538</v>
      </c>
      <c r="E45" s="35" t="s">
        <v>541</v>
      </c>
      <c r="F45" s="14">
        <f t="shared" si="5"/>
        <v>18</v>
      </c>
      <c r="G45" s="15" t="s">
        <v>2</v>
      </c>
      <c r="H45" s="3" t="s">
        <v>392</v>
      </c>
      <c r="I45" s="3"/>
      <c r="J45" s="3"/>
      <c r="K45" s="3"/>
      <c r="L45" s="3"/>
      <c r="M45" s="3"/>
      <c r="N45" s="3"/>
      <c r="O45" s="3"/>
      <c r="P45" s="3" t="s">
        <v>3</v>
      </c>
      <c r="Q45" s="3"/>
      <c r="R45" s="3"/>
      <c r="S45" s="3"/>
      <c r="T45" s="3"/>
      <c r="U45" s="3"/>
      <c r="V45" s="3"/>
      <c r="W45" s="3" t="s">
        <v>3</v>
      </c>
      <c r="X45" s="3"/>
      <c r="Y45" s="3"/>
      <c r="Z45" s="3" t="s">
        <v>3</v>
      </c>
      <c r="AA45" s="3"/>
      <c r="AB45" s="3"/>
      <c r="AC45" s="3"/>
      <c r="AD45" s="3"/>
      <c r="AE45" s="3" t="s">
        <v>3</v>
      </c>
      <c r="AF45" s="3"/>
      <c r="AG45" s="3"/>
      <c r="AH45" s="3"/>
      <c r="AI45" s="3"/>
      <c r="AJ45" s="3" t="s">
        <v>3</v>
      </c>
      <c r="AK45" s="3"/>
      <c r="AL45" s="3"/>
      <c r="AM45" s="3"/>
      <c r="AN45" s="3"/>
      <c r="AO45" s="3"/>
      <c r="AP45" s="3"/>
      <c r="AQ45" s="3"/>
      <c r="AR45" s="3"/>
      <c r="AS45" s="3"/>
      <c r="AT45" s="3"/>
      <c r="AU45" s="3"/>
      <c r="AV45" s="3"/>
      <c r="AW45" s="3"/>
      <c r="AX45" s="28"/>
      <c r="AY45" s="3" t="s">
        <v>3</v>
      </c>
      <c r="AZ45" s="3"/>
      <c r="BA45" s="3"/>
      <c r="BB45" s="3"/>
      <c r="BC45" s="3"/>
      <c r="BD45" s="3"/>
      <c r="BE45" s="3"/>
      <c r="BF45" s="3"/>
      <c r="BG45" s="13" t="s">
        <v>3</v>
      </c>
      <c r="BH45" s="13" t="s">
        <v>3</v>
      </c>
      <c r="BI45" s="3"/>
      <c r="BJ45" s="3"/>
      <c r="BK45" s="13" t="s">
        <v>3</v>
      </c>
      <c r="BL45" s="13"/>
      <c r="BM45" s="3"/>
      <c r="BN45" s="36"/>
      <c r="BO45" s="13"/>
      <c r="BP45" s="13" t="s">
        <v>3</v>
      </c>
      <c r="BQ45" s="13" t="s">
        <v>3</v>
      </c>
      <c r="BR45" s="3"/>
      <c r="BS45" s="3" t="s">
        <v>3</v>
      </c>
      <c r="BT45" s="3"/>
      <c r="BU45" s="3" t="s">
        <v>3</v>
      </c>
      <c r="BV45" s="13" t="s">
        <v>3</v>
      </c>
      <c r="BW45" s="13" t="s">
        <v>3</v>
      </c>
      <c r="BX45" s="13" t="s">
        <v>3</v>
      </c>
      <c r="BY45" s="3" t="s">
        <v>3</v>
      </c>
      <c r="BZ45" s="3"/>
      <c r="CA45" s="3"/>
      <c r="CB45" s="3"/>
    </row>
    <row r="46" spans="2:80" ht="30" customHeight="1">
      <c r="B46" s="11">
        <f t="shared" si="6"/>
        <v>41</v>
      </c>
      <c r="C46" s="38" t="s">
        <v>505</v>
      </c>
      <c r="D46" s="37" t="s">
        <v>538</v>
      </c>
      <c r="E46" s="35" t="s">
        <v>542</v>
      </c>
      <c r="F46" s="14">
        <f t="shared" si="5"/>
        <v>22</v>
      </c>
      <c r="G46" s="15" t="s">
        <v>2</v>
      </c>
      <c r="H46" s="3"/>
      <c r="I46" s="3"/>
      <c r="J46" s="3"/>
      <c r="K46" s="3"/>
      <c r="L46" s="3"/>
      <c r="M46" s="3"/>
      <c r="N46" s="13" t="s">
        <v>3</v>
      </c>
      <c r="O46" s="3"/>
      <c r="P46" s="13" t="s">
        <v>3</v>
      </c>
      <c r="Q46" s="3"/>
      <c r="R46" s="3"/>
      <c r="S46" s="3"/>
      <c r="T46" s="3"/>
      <c r="U46" s="3"/>
      <c r="V46" s="3"/>
      <c r="W46" s="13" t="s">
        <v>3</v>
      </c>
      <c r="X46" s="3"/>
      <c r="Y46" s="3" t="s">
        <v>3</v>
      </c>
      <c r="Z46" s="13" t="s">
        <v>3</v>
      </c>
      <c r="AA46" s="3"/>
      <c r="AB46" s="13" t="s">
        <v>3</v>
      </c>
      <c r="AC46" s="3"/>
      <c r="AD46" s="3"/>
      <c r="AE46" s="13" t="s">
        <v>3</v>
      </c>
      <c r="AF46" s="13"/>
      <c r="AG46" s="3"/>
      <c r="AH46" s="3"/>
      <c r="AI46" s="3"/>
      <c r="AJ46" s="3"/>
      <c r="AK46" s="3"/>
      <c r="AL46" s="3"/>
      <c r="AM46" s="3"/>
      <c r="AN46" s="3"/>
      <c r="AO46" s="13" t="s">
        <v>3</v>
      </c>
      <c r="AP46" s="3"/>
      <c r="AQ46" s="13" t="s">
        <v>3</v>
      </c>
      <c r="AR46" s="13" t="s">
        <v>3</v>
      </c>
      <c r="AS46" s="3"/>
      <c r="AT46" s="3"/>
      <c r="AU46" s="3"/>
      <c r="AV46" s="3"/>
      <c r="AW46" s="3"/>
      <c r="AX46" s="28"/>
      <c r="AY46" s="3" t="s">
        <v>3</v>
      </c>
      <c r="AZ46" s="3"/>
      <c r="BA46" s="3"/>
      <c r="BB46" s="3"/>
      <c r="BC46" s="3"/>
      <c r="BD46" s="3"/>
      <c r="BE46" s="3"/>
      <c r="BF46" s="3"/>
      <c r="BG46" s="13" t="s">
        <v>3</v>
      </c>
      <c r="BH46" s="13" t="s">
        <v>3</v>
      </c>
      <c r="BI46" s="3"/>
      <c r="BJ46" s="3"/>
      <c r="BK46" s="13" t="s">
        <v>3</v>
      </c>
      <c r="BL46" s="13"/>
      <c r="BM46" s="3"/>
      <c r="BN46" s="36"/>
      <c r="BO46" s="13"/>
      <c r="BP46" s="13" t="s">
        <v>3</v>
      </c>
      <c r="BQ46" s="13" t="s">
        <v>3</v>
      </c>
      <c r="BR46" s="3"/>
      <c r="BS46" s="3" t="s">
        <v>3</v>
      </c>
      <c r="BT46" s="3"/>
      <c r="BU46" s="3" t="s">
        <v>3</v>
      </c>
      <c r="BV46" s="13" t="s">
        <v>3</v>
      </c>
      <c r="BW46" s="13" t="s">
        <v>3</v>
      </c>
      <c r="BX46" s="13" t="s">
        <v>3</v>
      </c>
      <c r="BY46" s="3" t="s">
        <v>3</v>
      </c>
      <c r="BZ46" s="3"/>
      <c r="CA46" s="3"/>
      <c r="CB46" s="3"/>
    </row>
    <row r="47" spans="2:80" ht="30" customHeight="1">
      <c r="B47" s="11">
        <f t="shared" si="6"/>
        <v>42</v>
      </c>
      <c r="C47" s="38" t="s">
        <v>505</v>
      </c>
      <c r="D47" s="37" t="s">
        <v>538</v>
      </c>
      <c r="E47" s="35" t="s">
        <v>543</v>
      </c>
      <c r="F47" s="14">
        <f t="shared" si="5"/>
        <v>7</v>
      </c>
      <c r="G47" s="15" t="s">
        <v>2</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28"/>
      <c r="AY47" s="3"/>
      <c r="AZ47" s="3"/>
      <c r="BA47" s="3"/>
      <c r="BB47" s="3"/>
      <c r="BC47" s="3"/>
      <c r="BD47" s="3"/>
      <c r="BE47" s="3"/>
      <c r="BF47" s="3"/>
      <c r="BG47" s="13" t="s">
        <v>3</v>
      </c>
      <c r="BH47" s="13" t="s">
        <v>3</v>
      </c>
      <c r="BI47" s="3"/>
      <c r="BJ47" s="3"/>
      <c r="BK47" s="3"/>
      <c r="BL47" s="3"/>
      <c r="BM47" s="3"/>
      <c r="BN47" s="28"/>
      <c r="BO47" s="3"/>
      <c r="BP47" s="3"/>
      <c r="BQ47" s="3"/>
      <c r="BR47" s="3"/>
      <c r="BS47" s="3"/>
      <c r="BT47" s="3"/>
      <c r="BU47" s="13" t="s">
        <v>3</v>
      </c>
      <c r="BV47" s="13" t="s">
        <v>3</v>
      </c>
      <c r="BW47" s="13" t="s">
        <v>3</v>
      </c>
      <c r="BX47" s="3"/>
      <c r="BY47" s="13" t="s">
        <v>3</v>
      </c>
      <c r="BZ47" s="13" t="s">
        <v>3</v>
      </c>
      <c r="CA47" s="3"/>
      <c r="CB47" s="3"/>
    </row>
    <row r="48" spans="2:80" ht="30" customHeight="1">
      <c r="B48" s="11">
        <f t="shared" si="6"/>
        <v>43</v>
      </c>
      <c r="C48" s="38" t="s">
        <v>505</v>
      </c>
      <c r="D48" s="37" t="s">
        <v>538</v>
      </c>
      <c r="E48" s="35" t="s">
        <v>544</v>
      </c>
      <c r="F48" s="14">
        <f t="shared" si="5"/>
        <v>19</v>
      </c>
      <c r="G48" s="15" t="s">
        <v>2</v>
      </c>
      <c r="H48" s="3" t="s">
        <v>3</v>
      </c>
      <c r="I48" s="3"/>
      <c r="J48" s="3"/>
      <c r="K48" s="3"/>
      <c r="L48" s="3"/>
      <c r="M48" s="3"/>
      <c r="N48" s="3"/>
      <c r="O48" s="3"/>
      <c r="P48" s="3" t="s">
        <v>3</v>
      </c>
      <c r="Q48" s="3"/>
      <c r="R48" s="3"/>
      <c r="S48" s="3"/>
      <c r="T48" s="3"/>
      <c r="U48" s="3"/>
      <c r="V48" s="3"/>
      <c r="W48" s="3" t="s">
        <v>3</v>
      </c>
      <c r="X48" s="3"/>
      <c r="Y48" s="3"/>
      <c r="Z48" s="3" t="s">
        <v>3</v>
      </c>
      <c r="AA48" s="3"/>
      <c r="AB48" s="3"/>
      <c r="AC48" s="3"/>
      <c r="AD48" s="3"/>
      <c r="AE48" s="3" t="s">
        <v>3</v>
      </c>
      <c r="AF48" s="3"/>
      <c r="AG48" s="3"/>
      <c r="AH48" s="3"/>
      <c r="AI48" s="3"/>
      <c r="AJ48" s="3" t="s">
        <v>3</v>
      </c>
      <c r="AK48" s="3"/>
      <c r="AL48" s="3"/>
      <c r="AM48" s="3"/>
      <c r="AN48" s="3"/>
      <c r="AO48" s="3"/>
      <c r="AP48" s="3"/>
      <c r="AQ48" s="3"/>
      <c r="AR48" s="3"/>
      <c r="AS48" s="3"/>
      <c r="AT48" s="3"/>
      <c r="AU48" s="3"/>
      <c r="AV48" s="3"/>
      <c r="AW48" s="3"/>
      <c r="AX48" s="28"/>
      <c r="AY48" s="3" t="s">
        <v>3</v>
      </c>
      <c r="AZ48" s="3"/>
      <c r="BA48" s="3"/>
      <c r="BB48" s="3"/>
      <c r="BC48" s="3"/>
      <c r="BD48" s="3"/>
      <c r="BE48" s="3"/>
      <c r="BF48" s="3"/>
      <c r="BG48" s="13" t="s">
        <v>3</v>
      </c>
      <c r="BH48" s="13" t="s">
        <v>3</v>
      </c>
      <c r="BI48" s="3"/>
      <c r="BJ48" s="3"/>
      <c r="BK48" s="13" t="s">
        <v>3</v>
      </c>
      <c r="BL48" s="13"/>
      <c r="BM48" s="3"/>
      <c r="BN48" s="36"/>
      <c r="BO48" s="13"/>
      <c r="BP48" s="13" t="s">
        <v>3</v>
      </c>
      <c r="BQ48" s="13" t="s">
        <v>3</v>
      </c>
      <c r="BR48" s="3"/>
      <c r="BS48" s="3" t="s">
        <v>3</v>
      </c>
      <c r="BT48" s="3"/>
      <c r="BU48" s="3" t="s">
        <v>3</v>
      </c>
      <c r="BV48" s="13" t="s">
        <v>3</v>
      </c>
      <c r="BW48" s="13" t="s">
        <v>3</v>
      </c>
      <c r="BX48" s="13" t="s">
        <v>3</v>
      </c>
      <c r="BY48" s="3" t="s">
        <v>3</v>
      </c>
      <c r="BZ48" s="13" t="s">
        <v>3</v>
      </c>
      <c r="CA48" s="3"/>
      <c r="CB48" s="3"/>
    </row>
    <row r="49" spans="2:80" ht="30" customHeight="1">
      <c r="B49" s="11">
        <f t="shared" si="6"/>
        <v>44</v>
      </c>
      <c r="C49" s="38" t="s">
        <v>505</v>
      </c>
      <c r="D49" s="37" t="s">
        <v>538</v>
      </c>
      <c r="E49" s="35" t="s">
        <v>545</v>
      </c>
      <c r="F49" s="14">
        <f t="shared" si="5"/>
        <v>2</v>
      </c>
      <c r="G49" s="15" t="s">
        <v>499</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28"/>
      <c r="AY49" s="3"/>
      <c r="AZ49" s="3"/>
      <c r="BA49" s="3"/>
      <c r="BB49" s="3"/>
      <c r="BC49" s="3"/>
      <c r="BD49" s="3"/>
      <c r="BE49" s="3"/>
      <c r="BF49" s="3"/>
      <c r="BG49" s="3"/>
      <c r="BH49" s="3"/>
      <c r="BI49" s="3"/>
      <c r="BJ49" s="3"/>
      <c r="BK49" s="3"/>
      <c r="BL49" s="3"/>
      <c r="BM49" s="3"/>
      <c r="BN49" s="28"/>
      <c r="BO49" s="3"/>
      <c r="BP49" s="3"/>
      <c r="BQ49" s="3"/>
      <c r="BR49" s="3"/>
      <c r="BS49" s="3"/>
      <c r="BT49" s="3"/>
      <c r="BU49" s="3" t="s">
        <v>3</v>
      </c>
      <c r="BV49" s="3"/>
      <c r="BW49" s="3"/>
      <c r="BX49" s="3"/>
      <c r="BY49" s="3"/>
      <c r="BZ49" s="3"/>
      <c r="CA49" s="13" t="s">
        <v>3</v>
      </c>
      <c r="CB49" s="3"/>
    </row>
    <row r="50" spans="2:80" ht="30" customHeight="1">
      <c r="B50" s="11">
        <f t="shared" si="6"/>
        <v>45</v>
      </c>
      <c r="C50" s="38" t="s">
        <v>505</v>
      </c>
      <c r="D50" s="37" t="s">
        <v>538</v>
      </c>
      <c r="E50" s="35" t="s">
        <v>546</v>
      </c>
      <c r="F50" s="14">
        <f t="shared" si="5"/>
        <v>20</v>
      </c>
      <c r="G50" s="15" t="s">
        <v>2</v>
      </c>
      <c r="H50" s="3" t="s">
        <v>3</v>
      </c>
      <c r="I50" s="3"/>
      <c r="J50" s="3"/>
      <c r="K50" s="3"/>
      <c r="L50" s="3"/>
      <c r="M50" s="3"/>
      <c r="N50" s="3" t="s">
        <v>3</v>
      </c>
      <c r="O50" s="3" t="s">
        <v>3</v>
      </c>
      <c r="P50" s="3" t="s">
        <v>3</v>
      </c>
      <c r="Q50" s="3"/>
      <c r="R50" s="3"/>
      <c r="S50" s="3"/>
      <c r="T50" s="3"/>
      <c r="U50" s="3"/>
      <c r="V50" s="3"/>
      <c r="W50" s="3"/>
      <c r="X50" s="3"/>
      <c r="Y50" s="3" t="s">
        <v>3</v>
      </c>
      <c r="Z50" s="3"/>
      <c r="AA50" s="3"/>
      <c r="AB50" s="3"/>
      <c r="AC50" s="3"/>
      <c r="AD50" s="3"/>
      <c r="AE50" s="3"/>
      <c r="AF50" s="3"/>
      <c r="AG50" s="3"/>
      <c r="AH50" s="3"/>
      <c r="AI50" s="3"/>
      <c r="AJ50" s="3" t="s">
        <v>3</v>
      </c>
      <c r="AK50" s="3"/>
      <c r="AL50" s="3" t="s">
        <v>3</v>
      </c>
      <c r="AM50" s="3"/>
      <c r="AN50" s="3"/>
      <c r="AO50" s="3"/>
      <c r="AP50" s="3" t="s">
        <v>3</v>
      </c>
      <c r="AQ50" s="3"/>
      <c r="AR50" s="3"/>
      <c r="AS50" s="3"/>
      <c r="AT50" s="3"/>
      <c r="AU50" s="3"/>
      <c r="AV50" s="3"/>
      <c r="AW50" s="3"/>
      <c r="AX50" s="28"/>
      <c r="AY50" s="3"/>
      <c r="AZ50" s="3" t="s">
        <v>3</v>
      </c>
      <c r="BA50" s="3" t="s">
        <v>3</v>
      </c>
      <c r="BB50" s="3" t="s">
        <v>3</v>
      </c>
      <c r="BC50" s="3" t="s">
        <v>3</v>
      </c>
      <c r="BD50" s="3" t="s">
        <v>3</v>
      </c>
      <c r="BE50" s="3"/>
      <c r="BF50" s="3"/>
      <c r="BG50" s="13" t="s">
        <v>3</v>
      </c>
      <c r="BH50" s="13" t="s">
        <v>3</v>
      </c>
      <c r="BI50" s="13" t="s">
        <v>3</v>
      </c>
      <c r="BJ50" s="3"/>
      <c r="BK50" s="3"/>
      <c r="BL50" s="3"/>
      <c r="BM50" s="3"/>
      <c r="BN50" s="28"/>
      <c r="BO50" s="3"/>
      <c r="BP50" s="3"/>
      <c r="BQ50" s="3"/>
      <c r="BR50" s="3"/>
      <c r="BS50" s="3"/>
      <c r="BT50" s="3"/>
      <c r="BU50" s="3" t="s">
        <v>3</v>
      </c>
      <c r="BV50" s="13" t="s">
        <v>3</v>
      </c>
      <c r="BW50" s="3" t="s">
        <v>3</v>
      </c>
      <c r="BX50" s="3"/>
      <c r="BY50" s="3" t="s">
        <v>3</v>
      </c>
      <c r="BZ50" s="3"/>
      <c r="CA50" s="3"/>
      <c r="CB50" s="3"/>
    </row>
    <row r="51" spans="2:80" ht="30" customHeight="1">
      <c r="B51" s="11">
        <f t="shared" si="6"/>
        <v>46</v>
      </c>
      <c r="C51" s="38" t="s">
        <v>505</v>
      </c>
      <c r="D51" s="37" t="s">
        <v>538</v>
      </c>
      <c r="E51" s="35" t="s">
        <v>547</v>
      </c>
      <c r="F51" s="14">
        <f t="shared" si="5"/>
        <v>2</v>
      </c>
      <c r="G51" s="15" t="s">
        <v>499</v>
      </c>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28"/>
      <c r="AY51" s="3"/>
      <c r="AZ51" s="3"/>
      <c r="BA51" s="3"/>
      <c r="BB51" s="3"/>
      <c r="BC51" s="3"/>
      <c r="BD51" s="3"/>
      <c r="BE51" s="3"/>
      <c r="BF51" s="3"/>
      <c r="BG51" s="3"/>
      <c r="BH51" s="3"/>
      <c r="BI51" s="3"/>
      <c r="BJ51" s="3"/>
      <c r="BK51" s="3"/>
      <c r="BL51" s="3"/>
      <c r="BM51" s="3"/>
      <c r="BN51" s="28"/>
      <c r="BO51" s="3"/>
      <c r="BP51" s="3"/>
      <c r="BQ51" s="3"/>
      <c r="BR51" s="3"/>
      <c r="BS51" s="3"/>
      <c r="BT51" s="3"/>
      <c r="BU51" s="3" t="s">
        <v>3</v>
      </c>
      <c r="BV51" s="3"/>
      <c r="BW51" s="3"/>
      <c r="BX51" s="3"/>
      <c r="BY51" s="3"/>
      <c r="BZ51" s="3"/>
      <c r="CA51" s="13" t="s">
        <v>3</v>
      </c>
      <c r="CB51" s="3"/>
    </row>
    <row r="52" spans="2:80" ht="30" customHeight="1">
      <c r="B52" s="11">
        <f t="shared" si="6"/>
        <v>47</v>
      </c>
      <c r="C52" s="38" t="s">
        <v>505</v>
      </c>
      <c r="D52" s="37" t="s">
        <v>538</v>
      </c>
      <c r="E52" s="35" t="s">
        <v>548</v>
      </c>
      <c r="F52" s="14">
        <f t="shared" si="5"/>
        <v>2</v>
      </c>
      <c r="G52" s="15" t="s">
        <v>499</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28"/>
      <c r="AY52" s="3"/>
      <c r="AZ52" s="3"/>
      <c r="BA52" s="3"/>
      <c r="BB52" s="3"/>
      <c r="BC52" s="3"/>
      <c r="BD52" s="3"/>
      <c r="BE52" s="3"/>
      <c r="BF52" s="3"/>
      <c r="BG52" s="3"/>
      <c r="BH52" s="3"/>
      <c r="BI52" s="3"/>
      <c r="BJ52" s="3"/>
      <c r="BK52" s="3"/>
      <c r="BL52" s="3"/>
      <c r="BM52" s="3"/>
      <c r="BN52" s="28"/>
      <c r="BO52" s="3"/>
      <c r="BP52" s="3"/>
      <c r="BQ52" s="3"/>
      <c r="BR52" s="3"/>
      <c r="BS52" s="3"/>
      <c r="BT52" s="3"/>
      <c r="BU52" s="3" t="s">
        <v>3</v>
      </c>
      <c r="BV52" s="3"/>
      <c r="BW52" s="3"/>
      <c r="BX52" s="3"/>
      <c r="BY52" s="3"/>
      <c r="BZ52" s="3"/>
      <c r="CA52" s="13" t="s">
        <v>3</v>
      </c>
      <c r="CB52" s="3"/>
    </row>
    <row r="53" spans="2:80" ht="30" customHeight="1">
      <c r="B53" s="11">
        <f t="shared" si="6"/>
        <v>48</v>
      </c>
      <c r="C53" s="38" t="s">
        <v>505</v>
      </c>
      <c r="D53" s="37" t="s">
        <v>538</v>
      </c>
      <c r="E53" s="35" t="s">
        <v>549</v>
      </c>
      <c r="F53" s="14">
        <f t="shared" si="5"/>
        <v>2</v>
      </c>
      <c r="G53" s="15" t="s">
        <v>499</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28"/>
      <c r="AY53" s="3"/>
      <c r="AZ53" s="3"/>
      <c r="BA53" s="3"/>
      <c r="BB53" s="3"/>
      <c r="BC53" s="3"/>
      <c r="BD53" s="3"/>
      <c r="BE53" s="3"/>
      <c r="BF53" s="3"/>
      <c r="BG53" s="3"/>
      <c r="BH53" s="3"/>
      <c r="BI53" s="3"/>
      <c r="BJ53" s="3"/>
      <c r="BK53" s="3"/>
      <c r="BL53" s="3"/>
      <c r="BM53" s="3"/>
      <c r="BN53" s="28"/>
      <c r="BO53" s="3"/>
      <c r="BP53" s="3"/>
      <c r="BQ53" s="3"/>
      <c r="BR53" s="3"/>
      <c r="BS53" s="3"/>
      <c r="BT53" s="3"/>
      <c r="BU53" s="3" t="s">
        <v>3</v>
      </c>
      <c r="BV53" s="3"/>
      <c r="BW53" s="3"/>
      <c r="BX53" s="3"/>
      <c r="BY53" s="3"/>
      <c r="BZ53" s="3"/>
      <c r="CA53" s="13" t="s">
        <v>3</v>
      </c>
      <c r="CB53" s="3"/>
    </row>
    <row r="54" spans="2:80" ht="30" customHeight="1">
      <c r="B54" s="11">
        <f t="shared" si="6"/>
        <v>49</v>
      </c>
      <c r="C54" s="38" t="s">
        <v>505</v>
      </c>
      <c r="D54" s="35" t="s">
        <v>550</v>
      </c>
      <c r="E54" s="35" t="s">
        <v>551</v>
      </c>
      <c r="F54" s="14">
        <f t="shared" si="5"/>
        <v>2</v>
      </c>
      <c r="G54" s="15" t="s">
        <v>499</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28"/>
      <c r="AY54" s="3"/>
      <c r="AZ54" s="3"/>
      <c r="BA54" s="3"/>
      <c r="BB54" s="3"/>
      <c r="BC54" s="3"/>
      <c r="BD54" s="3"/>
      <c r="BE54" s="3"/>
      <c r="BF54" s="3"/>
      <c r="BG54" s="3"/>
      <c r="BH54" s="3"/>
      <c r="BI54" s="3"/>
      <c r="BJ54" s="3"/>
      <c r="BK54" s="3"/>
      <c r="BL54" s="3"/>
      <c r="BM54" s="3"/>
      <c r="BN54" s="28"/>
      <c r="BO54" s="3"/>
      <c r="BP54" s="3"/>
      <c r="BQ54" s="3"/>
      <c r="BR54" s="3"/>
      <c r="BS54" s="3"/>
      <c r="BT54" s="3"/>
      <c r="BU54" s="3" t="s">
        <v>3</v>
      </c>
      <c r="BV54" s="3"/>
      <c r="BW54" s="3"/>
      <c r="BX54" s="3"/>
      <c r="BY54" s="3"/>
      <c r="BZ54" s="3"/>
      <c r="CA54" s="13" t="s">
        <v>3</v>
      </c>
      <c r="CB54" s="3"/>
    </row>
    <row r="55" spans="2:80" ht="30" customHeight="1">
      <c r="B55" s="11">
        <f t="shared" si="6"/>
        <v>50</v>
      </c>
      <c r="C55" s="38" t="s">
        <v>505</v>
      </c>
      <c r="D55" s="37" t="s">
        <v>550</v>
      </c>
      <c r="E55" s="35" t="s">
        <v>552</v>
      </c>
      <c r="F55" s="14">
        <f t="shared" si="5"/>
        <v>2</v>
      </c>
      <c r="G55" s="15" t="s">
        <v>499</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28"/>
      <c r="AY55" s="3"/>
      <c r="AZ55" s="3"/>
      <c r="BA55" s="3"/>
      <c r="BB55" s="3"/>
      <c r="BC55" s="3"/>
      <c r="BD55" s="3"/>
      <c r="BE55" s="3"/>
      <c r="BF55" s="3"/>
      <c r="BG55" s="3"/>
      <c r="BH55" s="3"/>
      <c r="BI55" s="3"/>
      <c r="BJ55" s="3"/>
      <c r="BK55" s="3"/>
      <c r="BL55" s="3"/>
      <c r="BM55" s="3"/>
      <c r="BN55" s="28"/>
      <c r="BO55" s="3"/>
      <c r="BP55" s="3"/>
      <c r="BQ55" s="3"/>
      <c r="BR55" s="3"/>
      <c r="BS55" s="3"/>
      <c r="BT55" s="3"/>
      <c r="BU55" s="3" t="s">
        <v>3</v>
      </c>
      <c r="BV55" s="3"/>
      <c r="BW55" s="3"/>
      <c r="BX55" s="3"/>
      <c r="BY55" s="3"/>
      <c r="BZ55" s="3"/>
      <c r="CA55" s="13" t="s">
        <v>3</v>
      </c>
      <c r="CB55" s="3"/>
    </row>
    <row r="56" spans="2:80" ht="30" customHeight="1">
      <c r="B56" s="11">
        <f t="shared" si="6"/>
        <v>51</v>
      </c>
      <c r="C56" s="38" t="s">
        <v>505</v>
      </c>
      <c r="D56" s="37" t="s">
        <v>550</v>
      </c>
      <c r="E56" s="35" t="s">
        <v>553</v>
      </c>
      <c r="F56" s="14">
        <f t="shared" si="5"/>
        <v>2</v>
      </c>
      <c r="G56" s="15" t="s">
        <v>499</v>
      </c>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28"/>
      <c r="AY56" s="3"/>
      <c r="AZ56" s="3"/>
      <c r="BA56" s="3"/>
      <c r="BB56" s="3"/>
      <c r="BC56" s="3"/>
      <c r="BD56" s="3"/>
      <c r="BE56" s="3"/>
      <c r="BF56" s="3"/>
      <c r="BG56" s="3"/>
      <c r="BH56" s="3"/>
      <c r="BI56" s="3"/>
      <c r="BJ56" s="3"/>
      <c r="BK56" s="3"/>
      <c r="BL56" s="3"/>
      <c r="BM56" s="3"/>
      <c r="BN56" s="28"/>
      <c r="BO56" s="3"/>
      <c r="BP56" s="3"/>
      <c r="BQ56" s="3"/>
      <c r="BR56" s="3"/>
      <c r="BS56" s="3"/>
      <c r="BT56" s="3"/>
      <c r="BU56" s="3" t="s">
        <v>3</v>
      </c>
      <c r="BV56" s="3"/>
      <c r="BW56" s="3"/>
      <c r="BX56" s="3"/>
      <c r="BY56" s="3"/>
      <c r="BZ56" s="3"/>
      <c r="CA56" s="13" t="s">
        <v>3</v>
      </c>
      <c r="CB56" s="3"/>
    </row>
    <row r="57" spans="2:80" ht="30" customHeight="1">
      <c r="B57" s="11">
        <f t="shared" si="6"/>
        <v>52</v>
      </c>
      <c r="C57" s="38" t="s">
        <v>505</v>
      </c>
      <c r="D57" s="37" t="s">
        <v>550</v>
      </c>
      <c r="E57" s="35" t="s">
        <v>554</v>
      </c>
      <c r="F57" s="14">
        <f t="shared" si="5"/>
        <v>2</v>
      </c>
      <c r="G57" s="15" t="s">
        <v>499</v>
      </c>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28"/>
      <c r="AY57" s="3"/>
      <c r="AZ57" s="3"/>
      <c r="BA57" s="3"/>
      <c r="BB57" s="3"/>
      <c r="BC57" s="3"/>
      <c r="BD57" s="3"/>
      <c r="BE57" s="3"/>
      <c r="BF57" s="3"/>
      <c r="BG57" s="3"/>
      <c r="BH57" s="3"/>
      <c r="BI57" s="3"/>
      <c r="BJ57" s="3"/>
      <c r="BK57" s="3"/>
      <c r="BL57" s="3"/>
      <c r="BM57" s="3"/>
      <c r="BN57" s="28"/>
      <c r="BO57" s="3"/>
      <c r="BP57" s="3"/>
      <c r="BQ57" s="3"/>
      <c r="BR57" s="3"/>
      <c r="BS57" s="3"/>
      <c r="BT57" s="3"/>
      <c r="BU57" s="3" t="s">
        <v>3</v>
      </c>
      <c r="BV57" s="3"/>
      <c r="BW57" s="3"/>
      <c r="BX57" s="3"/>
      <c r="BY57" s="3"/>
      <c r="BZ57" s="3"/>
      <c r="CA57" s="13" t="s">
        <v>3</v>
      </c>
      <c r="CB57" s="3"/>
    </row>
    <row r="58" spans="2:80" ht="30" customHeight="1">
      <c r="B58" s="11">
        <f t="shared" si="6"/>
        <v>53</v>
      </c>
      <c r="C58" s="38" t="s">
        <v>505</v>
      </c>
      <c r="D58" s="37" t="s">
        <v>550</v>
      </c>
      <c r="E58" s="35" t="s">
        <v>555</v>
      </c>
      <c r="F58" s="14">
        <f t="shared" si="5"/>
        <v>2</v>
      </c>
      <c r="G58" s="15" t="s">
        <v>499</v>
      </c>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28"/>
      <c r="AY58" s="3"/>
      <c r="AZ58" s="3"/>
      <c r="BA58" s="3"/>
      <c r="BB58" s="3"/>
      <c r="BC58" s="3"/>
      <c r="BD58" s="3"/>
      <c r="BE58" s="3"/>
      <c r="BF58" s="3"/>
      <c r="BG58" s="3"/>
      <c r="BH58" s="3"/>
      <c r="BI58" s="3"/>
      <c r="BJ58" s="3"/>
      <c r="BK58" s="3"/>
      <c r="BL58" s="3"/>
      <c r="BM58" s="3"/>
      <c r="BN58" s="28"/>
      <c r="BO58" s="3"/>
      <c r="BP58" s="3"/>
      <c r="BQ58" s="3"/>
      <c r="BR58" s="3"/>
      <c r="BS58" s="3"/>
      <c r="BT58" s="3"/>
      <c r="BU58" s="3" t="s">
        <v>3</v>
      </c>
      <c r="BV58" s="3"/>
      <c r="BW58" s="3"/>
      <c r="BX58" s="3"/>
      <c r="BY58" s="3"/>
      <c r="BZ58" s="3"/>
      <c r="CA58" s="13" t="s">
        <v>3</v>
      </c>
      <c r="CB58" s="3"/>
    </row>
    <row r="59" spans="2:80" ht="30" customHeight="1">
      <c r="B59" s="11">
        <f t="shared" si="6"/>
        <v>54</v>
      </c>
      <c r="C59" s="38" t="s">
        <v>505</v>
      </c>
      <c r="D59" s="37" t="s">
        <v>550</v>
      </c>
      <c r="E59" s="35" t="s">
        <v>556</v>
      </c>
      <c r="F59" s="14">
        <f t="shared" si="5"/>
        <v>2</v>
      </c>
      <c r="G59" s="15" t="s">
        <v>499</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28"/>
      <c r="AY59" s="3"/>
      <c r="AZ59" s="3"/>
      <c r="BA59" s="3"/>
      <c r="BB59" s="3"/>
      <c r="BC59" s="3"/>
      <c r="BD59" s="3"/>
      <c r="BE59" s="3"/>
      <c r="BF59" s="3"/>
      <c r="BG59" s="3"/>
      <c r="BH59" s="3"/>
      <c r="BI59" s="3"/>
      <c r="BJ59" s="3"/>
      <c r="BK59" s="3"/>
      <c r="BL59" s="3"/>
      <c r="BM59" s="3"/>
      <c r="BN59" s="28"/>
      <c r="BO59" s="3"/>
      <c r="BP59" s="3"/>
      <c r="BQ59" s="3"/>
      <c r="BR59" s="3"/>
      <c r="BS59" s="3"/>
      <c r="BT59" s="3"/>
      <c r="BU59" s="3" t="s">
        <v>3</v>
      </c>
      <c r="BV59" s="3"/>
      <c r="BW59" s="3"/>
      <c r="BX59" s="3"/>
      <c r="BY59" s="3"/>
      <c r="BZ59" s="3"/>
      <c r="CA59" s="13" t="s">
        <v>3</v>
      </c>
      <c r="CB59" s="3"/>
    </row>
    <row r="60" spans="2:80" ht="30" customHeight="1">
      <c r="B60" s="11">
        <f t="shared" si="6"/>
        <v>55</v>
      </c>
      <c r="C60" s="38" t="s">
        <v>505</v>
      </c>
      <c r="D60" s="37" t="s">
        <v>550</v>
      </c>
      <c r="E60" s="35" t="s">
        <v>557</v>
      </c>
      <c r="F60" s="14">
        <f t="shared" si="5"/>
        <v>2</v>
      </c>
      <c r="G60" s="15" t="s">
        <v>499</v>
      </c>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28"/>
      <c r="AY60" s="3"/>
      <c r="AZ60" s="3"/>
      <c r="BA60" s="3"/>
      <c r="BB60" s="3"/>
      <c r="BC60" s="3"/>
      <c r="BD60" s="3"/>
      <c r="BE60" s="3"/>
      <c r="BF60" s="3"/>
      <c r="BG60" s="3"/>
      <c r="BH60" s="3"/>
      <c r="BI60" s="3"/>
      <c r="BJ60" s="3"/>
      <c r="BK60" s="3"/>
      <c r="BL60" s="3"/>
      <c r="BM60" s="3"/>
      <c r="BN60" s="28"/>
      <c r="BO60" s="3"/>
      <c r="BP60" s="3"/>
      <c r="BQ60" s="3"/>
      <c r="BR60" s="3"/>
      <c r="BS60" s="3"/>
      <c r="BT60" s="3"/>
      <c r="BU60" s="3" t="s">
        <v>3</v>
      </c>
      <c r="BV60" s="3"/>
      <c r="BW60" s="3"/>
      <c r="BX60" s="3"/>
      <c r="BY60" s="3"/>
      <c r="BZ60" s="3"/>
      <c r="CA60" s="13" t="s">
        <v>3</v>
      </c>
      <c r="CB60" s="3"/>
    </row>
    <row r="61" spans="2:80" ht="30" customHeight="1">
      <c r="B61" s="11">
        <f t="shared" si="6"/>
        <v>56</v>
      </c>
      <c r="C61" s="38" t="s">
        <v>505</v>
      </c>
      <c r="D61" s="37" t="s">
        <v>550</v>
      </c>
      <c r="E61" s="35" t="s">
        <v>558</v>
      </c>
      <c r="F61" s="14">
        <f t="shared" si="5"/>
        <v>2</v>
      </c>
      <c r="G61" s="15" t="s">
        <v>499</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28"/>
      <c r="AY61" s="3"/>
      <c r="AZ61" s="3"/>
      <c r="BA61" s="3"/>
      <c r="BB61" s="3"/>
      <c r="BC61" s="3"/>
      <c r="BD61" s="3"/>
      <c r="BE61" s="3"/>
      <c r="BF61" s="3"/>
      <c r="BG61" s="3"/>
      <c r="BH61" s="3"/>
      <c r="BI61" s="3"/>
      <c r="BJ61" s="3"/>
      <c r="BK61" s="3"/>
      <c r="BL61" s="3"/>
      <c r="BM61" s="3"/>
      <c r="BN61" s="28"/>
      <c r="BO61" s="3"/>
      <c r="BP61" s="3"/>
      <c r="BQ61" s="3"/>
      <c r="BR61" s="3"/>
      <c r="BS61" s="3"/>
      <c r="BT61" s="3"/>
      <c r="BU61" s="3" t="s">
        <v>3</v>
      </c>
      <c r="BV61" s="3"/>
      <c r="BW61" s="3"/>
      <c r="BX61" s="3"/>
      <c r="BY61" s="3"/>
      <c r="BZ61" s="3"/>
      <c r="CA61" s="13" t="s">
        <v>3</v>
      </c>
      <c r="CB61" s="3"/>
    </row>
    <row r="62" spans="2:80" ht="30" customHeight="1">
      <c r="B62" s="11">
        <f t="shared" si="6"/>
        <v>57</v>
      </c>
      <c r="C62" s="38" t="s">
        <v>505</v>
      </c>
      <c r="D62" s="37" t="s">
        <v>550</v>
      </c>
      <c r="E62" s="35" t="s">
        <v>559</v>
      </c>
      <c r="F62" s="14">
        <f t="shared" si="5"/>
        <v>2</v>
      </c>
      <c r="G62" s="15" t="s">
        <v>499</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28"/>
      <c r="AY62" s="3"/>
      <c r="AZ62" s="3"/>
      <c r="BA62" s="3"/>
      <c r="BB62" s="3"/>
      <c r="BC62" s="3"/>
      <c r="BD62" s="3"/>
      <c r="BE62" s="3"/>
      <c r="BF62" s="3"/>
      <c r="BG62" s="3"/>
      <c r="BH62" s="3"/>
      <c r="BI62" s="3"/>
      <c r="BJ62" s="3"/>
      <c r="BK62" s="3"/>
      <c r="BL62" s="3"/>
      <c r="BM62" s="3"/>
      <c r="BN62" s="28"/>
      <c r="BO62" s="3"/>
      <c r="BP62" s="3"/>
      <c r="BQ62" s="3"/>
      <c r="BR62" s="3"/>
      <c r="BS62" s="3"/>
      <c r="BT62" s="3"/>
      <c r="BU62" s="3" t="s">
        <v>3</v>
      </c>
      <c r="BV62" s="3"/>
      <c r="BW62" s="3"/>
      <c r="BX62" s="3"/>
      <c r="BY62" s="3"/>
      <c r="BZ62" s="3"/>
      <c r="CA62" s="13" t="s">
        <v>3</v>
      </c>
      <c r="CB62" s="3"/>
    </row>
    <row r="63" spans="2:80" ht="30" customHeight="1">
      <c r="B63" s="11">
        <f t="shared" si="6"/>
        <v>58</v>
      </c>
      <c r="C63" s="38" t="s">
        <v>505</v>
      </c>
      <c r="D63" s="37" t="s">
        <v>550</v>
      </c>
      <c r="E63" s="35" t="s">
        <v>560</v>
      </c>
      <c r="F63" s="14">
        <f t="shared" si="5"/>
        <v>2</v>
      </c>
      <c r="G63" s="15" t="s">
        <v>499</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28"/>
      <c r="AY63" s="3"/>
      <c r="AZ63" s="3"/>
      <c r="BA63" s="3"/>
      <c r="BB63" s="3"/>
      <c r="BC63" s="3"/>
      <c r="BD63" s="3"/>
      <c r="BE63" s="3"/>
      <c r="BF63" s="3"/>
      <c r="BG63" s="3"/>
      <c r="BH63" s="3"/>
      <c r="BI63" s="3"/>
      <c r="BJ63" s="3"/>
      <c r="BK63" s="3"/>
      <c r="BL63" s="3"/>
      <c r="BM63" s="3"/>
      <c r="BN63" s="28"/>
      <c r="BO63" s="3"/>
      <c r="BP63" s="3"/>
      <c r="BQ63" s="3"/>
      <c r="BR63" s="3"/>
      <c r="BS63" s="3"/>
      <c r="BT63" s="3"/>
      <c r="BU63" s="3" t="s">
        <v>3</v>
      </c>
      <c r="BV63" s="3"/>
      <c r="BW63" s="3"/>
      <c r="BX63" s="3"/>
      <c r="BY63" s="3"/>
      <c r="BZ63" s="3"/>
      <c r="CA63" s="13" t="s">
        <v>3</v>
      </c>
      <c r="CB63" s="3"/>
    </row>
    <row r="64" spans="2:80" ht="30" customHeight="1">
      <c r="B64" s="11">
        <f t="shared" si="6"/>
        <v>59</v>
      </c>
      <c r="C64" s="38" t="s">
        <v>505</v>
      </c>
      <c r="D64" s="37" t="s">
        <v>550</v>
      </c>
      <c r="E64" s="35" t="s">
        <v>561</v>
      </c>
      <c r="F64" s="14">
        <f t="shared" si="5"/>
        <v>2</v>
      </c>
      <c r="G64" s="15" t="s">
        <v>499</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28"/>
      <c r="AY64" s="3"/>
      <c r="AZ64" s="3"/>
      <c r="BA64" s="3"/>
      <c r="BB64" s="3"/>
      <c r="BC64" s="3"/>
      <c r="BD64" s="3"/>
      <c r="BE64" s="3"/>
      <c r="BF64" s="3"/>
      <c r="BG64" s="3"/>
      <c r="BH64" s="3"/>
      <c r="BI64" s="3"/>
      <c r="BJ64" s="3"/>
      <c r="BK64" s="3"/>
      <c r="BL64" s="3"/>
      <c r="BM64" s="3"/>
      <c r="BN64" s="28"/>
      <c r="BO64" s="3"/>
      <c r="BP64" s="3"/>
      <c r="BQ64" s="3"/>
      <c r="BR64" s="3"/>
      <c r="BS64" s="3"/>
      <c r="BT64" s="3"/>
      <c r="BU64" s="3" t="s">
        <v>3</v>
      </c>
      <c r="BV64" s="3"/>
      <c r="BW64" s="3"/>
      <c r="BX64" s="3"/>
      <c r="BY64" s="3"/>
      <c r="BZ64" s="3"/>
      <c r="CA64" s="13" t="s">
        <v>3</v>
      </c>
      <c r="CB64" s="3"/>
    </row>
    <row r="65" spans="2:80" ht="30" customHeight="1">
      <c r="B65" s="11">
        <f t="shared" si="6"/>
        <v>60</v>
      </c>
      <c r="C65" s="38" t="s">
        <v>505</v>
      </c>
      <c r="D65" s="37" t="s">
        <v>550</v>
      </c>
      <c r="E65" s="35" t="s">
        <v>562</v>
      </c>
      <c r="F65" s="14">
        <f t="shared" si="5"/>
        <v>2</v>
      </c>
      <c r="G65" s="15" t="s">
        <v>499</v>
      </c>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28"/>
      <c r="AY65" s="3"/>
      <c r="AZ65" s="3"/>
      <c r="BA65" s="3"/>
      <c r="BB65" s="3"/>
      <c r="BC65" s="3"/>
      <c r="BD65" s="3"/>
      <c r="BE65" s="3"/>
      <c r="BF65" s="3"/>
      <c r="BG65" s="3"/>
      <c r="BH65" s="3"/>
      <c r="BI65" s="3"/>
      <c r="BJ65" s="3"/>
      <c r="BK65" s="3"/>
      <c r="BL65" s="3"/>
      <c r="BM65" s="3"/>
      <c r="BN65" s="28"/>
      <c r="BO65" s="3"/>
      <c r="BP65" s="3"/>
      <c r="BQ65" s="3"/>
      <c r="BR65" s="3"/>
      <c r="BS65" s="3"/>
      <c r="BT65" s="3"/>
      <c r="BU65" s="3" t="s">
        <v>3</v>
      </c>
      <c r="BV65" s="3"/>
      <c r="BW65" s="3"/>
      <c r="BX65" s="3"/>
      <c r="BY65" s="3"/>
      <c r="BZ65" s="3"/>
      <c r="CA65" s="13" t="s">
        <v>3</v>
      </c>
      <c r="CB65" s="3"/>
    </row>
    <row r="66" spans="2:80" ht="30" customHeight="1">
      <c r="B66" s="11">
        <f t="shared" si="6"/>
        <v>61</v>
      </c>
      <c r="C66" s="38" t="s">
        <v>505</v>
      </c>
      <c r="D66" s="37" t="s">
        <v>550</v>
      </c>
      <c r="E66" s="35" t="s">
        <v>563</v>
      </c>
      <c r="F66" s="14">
        <f t="shared" si="5"/>
        <v>2</v>
      </c>
      <c r="G66" s="15" t="s">
        <v>499</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28"/>
      <c r="AY66" s="3"/>
      <c r="AZ66" s="3"/>
      <c r="BA66" s="3"/>
      <c r="BB66" s="3"/>
      <c r="BC66" s="3"/>
      <c r="BD66" s="3"/>
      <c r="BE66" s="3"/>
      <c r="BF66" s="3"/>
      <c r="BG66" s="3"/>
      <c r="BH66" s="3"/>
      <c r="BI66" s="3"/>
      <c r="BJ66" s="3"/>
      <c r="BK66" s="3"/>
      <c r="BL66" s="3"/>
      <c r="BM66" s="3"/>
      <c r="BN66" s="28"/>
      <c r="BO66" s="3"/>
      <c r="BP66" s="3"/>
      <c r="BQ66" s="3"/>
      <c r="BR66" s="3"/>
      <c r="BS66" s="3"/>
      <c r="BT66" s="3"/>
      <c r="BU66" s="3" t="s">
        <v>3</v>
      </c>
      <c r="BV66" s="3"/>
      <c r="BW66" s="3"/>
      <c r="BX66" s="3"/>
      <c r="BY66" s="3"/>
      <c r="BZ66" s="3"/>
      <c r="CA66" s="13" t="s">
        <v>3</v>
      </c>
      <c r="CB66" s="3"/>
    </row>
    <row r="67" spans="2:80" ht="30" customHeight="1">
      <c r="B67" s="11">
        <f t="shared" si="6"/>
        <v>62</v>
      </c>
      <c r="C67" s="38" t="s">
        <v>505</v>
      </c>
      <c r="D67" s="37" t="s">
        <v>550</v>
      </c>
      <c r="E67" s="35" t="s">
        <v>564</v>
      </c>
      <c r="F67" s="14">
        <f t="shared" si="5"/>
        <v>2</v>
      </c>
      <c r="G67" s="15" t="s">
        <v>499</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28"/>
      <c r="AY67" s="3"/>
      <c r="AZ67" s="3"/>
      <c r="BA67" s="3"/>
      <c r="BB67" s="3"/>
      <c r="BC67" s="3"/>
      <c r="BD67" s="3"/>
      <c r="BE67" s="3"/>
      <c r="BF67" s="3"/>
      <c r="BG67" s="3"/>
      <c r="BH67" s="3"/>
      <c r="BI67" s="3"/>
      <c r="BJ67" s="3"/>
      <c r="BK67" s="3"/>
      <c r="BL67" s="3"/>
      <c r="BM67" s="3"/>
      <c r="BN67" s="28"/>
      <c r="BO67" s="3"/>
      <c r="BP67" s="3"/>
      <c r="BQ67" s="3"/>
      <c r="BR67" s="3"/>
      <c r="BS67" s="3"/>
      <c r="BT67" s="3"/>
      <c r="BU67" s="3" t="s">
        <v>3</v>
      </c>
      <c r="BV67" s="3"/>
      <c r="BW67" s="3"/>
      <c r="BX67" s="3"/>
      <c r="BY67" s="3"/>
      <c r="BZ67" s="3"/>
      <c r="CA67" s="13" t="s">
        <v>3</v>
      </c>
      <c r="CB67" s="3"/>
    </row>
    <row r="68" spans="2:80" ht="30" customHeight="1">
      <c r="B68" s="11">
        <f t="shared" si="6"/>
        <v>63</v>
      </c>
      <c r="C68" s="38" t="s">
        <v>505</v>
      </c>
      <c r="D68" s="37" t="s">
        <v>550</v>
      </c>
      <c r="E68" s="35" t="s">
        <v>565</v>
      </c>
      <c r="F68" s="14">
        <f t="shared" si="5"/>
        <v>2</v>
      </c>
      <c r="G68" s="15" t="s">
        <v>499</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28"/>
      <c r="AY68" s="3"/>
      <c r="AZ68" s="3"/>
      <c r="BA68" s="3"/>
      <c r="BB68" s="3"/>
      <c r="BC68" s="3"/>
      <c r="BD68" s="3"/>
      <c r="BE68" s="3"/>
      <c r="BF68" s="3"/>
      <c r="BG68" s="3"/>
      <c r="BH68" s="3"/>
      <c r="BI68" s="3"/>
      <c r="BJ68" s="3"/>
      <c r="BK68" s="3"/>
      <c r="BL68" s="3"/>
      <c r="BM68" s="3"/>
      <c r="BN68" s="28"/>
      <c r="BO68" s="3"/>
      <c r="BP68" s="3"/>
      <c r="BQ68" s="3"/>
      <c r="BR68" s="3"/>
      <c r="BS68" s="3"/>
      <c r="BT68" s="3"/>
      <c r="BU68" s="3" t="s">
        <v>3</v>
      </c>
      <c r="BV68" s="3"/>
      <c r="BW68" s="3"/>
      <c r="BX68" s="3"/>
      <c r="BY68" s="3"/>
      <c r="BZ68" s="3"/>
      <c r="CA68" s="13" t="s">
        <v>3</v>
      </c>
      <c r="CB68" s="3"/>
    </row>
    <row r="69" spans="2:80" ht="30" customHeight="1">
      <c r="B69" s="11">
        <f t="shared" si="6"/>
        <v>64</v>
      </c>
      <c r="C69" s="38" t="s">
        <v>505</v>
      </c>
      <c r="D69" s="37" t="s">
        <v>550</v>
      </c>
      <c r="E69" s="35" t="s">
        <v>566</v>
      </c>
      <c r="F69" s="14">
        <f t="shared" si="5"/>
        <v>2</v>
      </c>
      <c r="G69" s="15" t="s">
        <v>499</v>
      </c>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28"/>
      <c r="AY69" s="3"/>
      <c r="AZ69" s="3"/>
      <c r="BA69" s="3"/>
      <c r="BB69" s="3"/>
      <c r="BC69" s="3"/>
      <c r="BD69" s="3"/>
      <c r="BE69" s="3"/>
      <c r="BF69" s="3"/>
      <c r="BG69" s="3"/>
      <c r="BH69" s="3"/>
      <c r="BI69" s="3"/>
      <c r="BJ69" s="3"/>
      <c r="BK69" s="3"/>
      <c r="BL69" s="3"/>
      <c r="BM69" s="3"/>
      <c r="BN69" s="28"/>
      <c r="BO69" s="3"/>
      <c r="BP69" s="3"/>
      <c r="BQ69" s="3"/>
      <c r="BR69" s="3"/>
      <c r="BS69" s="3"/>
      <c r="BT69" s="3"/>
      <c r="BU69" s="3" t="s">
        <v>3</v>
      </c>
      <c r="BV69" s="3"/>
      <c r="BW69" s="3"/>
      <c r="BX69" s="3"/>
      <c r="BY69" s="3"/>
      <c r="BZ69" s="3"/>
      <c r="CA69" s="13" t="s">
        <v>3</v>
      </c>
      <c r="CB69" s="3"/>
    </row>
    <row r="70" spans="2:80" ht="30" customHeight="1">
      <c r="B70" s="11">
        <f t="shared" si="6"/>
        <v>65</v>
      </c>
      <c r="C70" s="38" t="s">
        <v>505</v>
      </c>
      <c r="D70" s="37" t="s">
        <v>550</v>
      </c>
      <c r="E70" s="35" t="s">
        <v>567</v>
      </c>
      <c r="F70" s="14">
        <f t="shared" si="5"/>
        <v>2</v>
      </c>
      <c r="G70" s="15" t="s">
        <v>499</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28"/>
      <c r="AY70" s="3"/>
      <c r="AZ70" s="3"/>
      <c r="BA70" s="3"/>
      <c r="BB70" s="3"/>
      <c r="BC70" s="3"/>
      <c r="BD70" s="3"/>
      <c r="BE70" s="3"/>
      <c r="BF70" s="3"/>
      <c r="BG70" s="3"/>
      <c r="BH70" s="3"/>
      <c r="BI70" s="3"/>
      <c r="BJ70" s="3"/>
      <c r="BK70" s="3"/>
      <c r="BL70" s="3"/>
      <c r="BM70" s="3"/>
      <c r="BN70" s="28"/>
      <c r="BO70" s="3"/>
      <c r="BP70" s="3"/>
      <c r="BQ70" s="3"/>
      <c r="BR70" s="3"/>
      <c r="BS70" s="3"/>
      <c r="BT70" s="3"/>
      <c r="BU70" s="3" t="s">
        <v>3</v>
      </c>
      <c r="BV70" s="3"/>
      <c r="BW70" s="3"/>
      <c r="BX70" s="3"/>
      <c r="BY70" s="3"/>
      <c r="BZ70" s="3"/>
      <c r="CA70" s="13" t="s">
        <v>3</v>
      </c>
      <c r="CB70" s="3"/>
    </row>
    <row r="71" spans="2:80" ht="30" customHeight="1">
      <c r="B71" s="11">
        <f t="shared" si="6"/>
        <v>66</v>
      </c>
      <c r="C71" s="38" t="s">
        <v>505</v>
      </c>
      <c r="D71" s="37" t="s">
        <v>550</v>
      </c>
      <c r="E71" s="35" t="s">
        <v>568</v>
      </c>
      <c r="F71" s="14">
        <f t="shared" ref="F71:F92" si="7">COUNTA(H71:CA71)</f>
        <v>2</v>
      </c>
      <c r="G71" s="15" t="s">
        <v>499</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28"/>
      <c r="AY71" s="3"/>
      <c r="AZ71" s="3"/>
      <c r="BA71" s="3"/>
      <c r="BB71" s="3"/>
      <c r="BC71" s="3"/>
      <c r="BD71" s="3"/>
      <c r="BE71" s="3"/>
      <c r="BF71" s="3"/>
      <c r="BG71" s="3"/>
      <c r="BH71" s="3"/>
      <c r="BI71" s="3"/>
      <c r="BJ71" s="3"/>
      <c r="BK71" s="3"/>
      <c r="BL71" s="3"/>
      <c r="BM71" s="3"/>
      <c r="BN71" s="28"/>
      <c r="BO71" s="3"/>
      <c r="BP71" s="3"/>
      <c r="BQ71" s="3"/>
      <c r="BR71" s="3"/>
      <c r="BS71" s="3"/>
      <c r="BT71" s="3"/>
      <c r="BU71" s="3" t="s">
        <v>3</v>
      </c>
      <c r="BV71" s="3"/>
      <c r="BW71" s="3"/>
      <c r="BX71" s="3"/>
      <c r="BY71" s="3"/>
      <c r="BZ71" s="3"/>
      <c r="CA71" s="13" t="s">
        <v>3</v>
      </c>
      <c r="CB71" s="3"/>
    </row>
    <row r="72" spans="2:80" ht="30" customHeight="1">
      <c r="B72" s="11">
        <f t="shared" ref="B72:B133" si="8">ROW()-5</f>
        <v>67</v>
      </c>
      <c r="C72" s="38" t="s">
        <v>505</v>
      </c>
      <c r="D72" s="37" t="s">
        <v>550</v>
      </c>
      <c r="E72" s="35" t="s">
        <v>569</v>
      </c>
      <c r="F72" s="14">
        <f t="shared" si="7"/>
        <v>2</v>
      </c>
      <c r="G72" s="15" t="s">
        <v>499</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28"/>
      <c r="AY72" s="3"/>
      <c r="AZ72" s="3"/>
      <c r="BA72" s="3"/>
      <c r="BB72" s="3"/>
      <c r="BC72" s="3"/>
      <c r="BD72" s="3"/>
      <c r="BE72" s="3"/>
      <c r="BF72" s="3"/>
      <c r="BG72" s="3"/>
      <c r="BH72" s="3"/>
      <c r="BI72" s="3"/>
      <c r="BJ72" s="3"/>
      <c r="BK72" s="3"/>
      <c r="BL72" s="3"/>
      <c r="BM72" s="3"/>
      <c r="BN72" s="28"/>
      <c r="BO72" s="3"/>
      <c r="BP72" s="3"/>
      <c r="BQ72" s="3"/>
      <c r="BR72" s="3"/>
      <c r="BS72" s="3"/>
      <c r="BT72" s="3"/>
      <c r="BU72" s="3" t="s">
        <v>3</v>
      </c>
      <c r="BV72" s="3"/>
      <c r="BW72" s="3"/>
      <c r="BX72" s="3"/>
      <c r="BY72" s="3"/>
      <c r="BZ72" s="3"/>
      <c r="CA72" s="13" t="s">
        <v>3</v>
      </c>
      <c r="CB72" s="3"/>
    </row>
    <row r="73" spans="2:80" ht="30" customHeight="1">
      <c r="B73" s="11">
        <f t="shared" si="8"/>
        <v>68</v>
      </c>
      <c r="C73" s="38" t="s">
        <v>505</v>
      </c>
      <c r="D73" s="37" t="s">
        <v>550</v>
      </c>
      <c r="E73" s="35" t="s">
        <v>570</v>
      </c>
      <c r="F73" s="14">
        <f t="shared" si="7"/>
        <v>2</v>
      </c>
      <c r="G73" s="15" t="s">
        <v>499</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28"/>
      <c r="AY73" s="3"/>
      <c r="AZ73" s="3"/>
      <c r="BA73" s="3"/>
      <c r="BB73" s="3"/>
      <c r="BC73" s="3"/>
      <c r="BD73" s="3"/>
      <c r="BE73" s="3"/>
      <c r="BF73" s="3"/>
      <c r="BG73" s="3"/>
      <c r="BH73" s="3"/>
      <c r="BI73" s="3"/>
      <c r="BJ73" s="3"/>
      <c r="BK73" s="3"/>
      <c r="BL73" s="3"/>
      <c r="BM73" s="3"/>
      <c r="BN73" s="28"/>
      <c r="BO73" s="3"/>
      <c r="BP73" s="3"/>
      <c r="BQ73" s="3"/>
      <c r="BR73" s="3"/>
      <c r="BS73" s="3"/>
      <c r="BT73" s="3"/>
      <c r="BU73" s="3" t="s">
        <v>3</v>
      </c>
      <c r="BV73" s="3"/>
      <c r="BW73" s="3"/>
      <c r="BX73" s="3"/>
      <c r="BY73" s="3"/>
      <c r="BZ73" s="3"/>
      <c r="CA73" s="13" t="s">
        <v>3</v>
      </c>
      <c r="CB73" s="3"/>
    </row>
    <row r="74" spans="2:80" ht="30" customHeight="1">
      <c r="B74" s="11">
        <f t="shared" si="8"/>
        <v>69</v>
      </c>
      <c r="C74" s="38" t="s">
        <v>505</v>
      </c>
      <c r="D74" s="37" t="s">
        <v>550</v>
      </c>
      <c r="E74" s="35" t="s">
        <v>571</v>
      </c>
      <c r="F74" s="14">
        <f t="shared" si="7"/>
        <v>2</v>
      </c>
      <c r="G74" s="15" t="s">
        <v>499</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28"/>
      <c r="AY74" s="3"/>
      <c r="AZ74" s="3"/>
      <c r="BA74" s="3"/>
      <c r="BB74" s="3"/>
      <c r="BC74" s="3"/>
      <c r="BD74" s="3"/>
      <c r="BE74" s="3"/>
      <c r="BF74" s="3"/>
      <c r="BG74" s="3"/>
      <c r="BH74" s="3"/>
      <c r="BI74" s="3"/>
      <c r="BJ74" s="3"/>
      <c r="BK74" s="3"/>
      <c r="BL74" s="3"/>
      <c r="BM74" s="3"/>
      <c r="BN74" s="28"/>
      <c r="BO74" s="3"/>
      <c r="BP74" s="3"/>
      <c r="BQ74" s="3"/>
      <c r="BR74" s="3"/>
      <c r="BS74" s="3"/>
      <c r="BT74" s="3"/>
      <c r="BU74" s="3" t="s">
        <v>3</v>
      </c>
      <c r="BV74" s="3"/>
      <c r="BW74" s="3"/>
      <c r="BX74" s="3"/>
      <c r="BY74" s="3"/>
      <c r="BZ74" s="3"/>
      <c r="CA74" s="13" t="s">
        <v>3</v>
      </c>
      <c r="CB74" s="3"/>
    </row>
    <row r="75" spans="2:80" ht="30" customHeight="1">
      <c r="B75" s="11">
        <f t="shared" si="8"/>
        <v>70</v>
      </c>
      <c r="C75" s="38" t="s">
        <v>505</v>
      </c>
      <c r="D75" s="37" t="s">
        <v>550</v>
      </c>
      <c r="E75" s="35" t="s">
        <v>572</v>
      </c>
      <c r="F75" s="14">
        <f t="shared" si="7"/>
        <v>2</v>
      </c>
      <c r="G75" s="15" t="s">
        <v>499</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28"/>
      <c r="AY75" s="3"/>
      <c r="AZ75" s="3"/>
      <c r="BA75" s="3"/>
      <c r="BB75" s="3"/>
      <c r="BC75" s="3"/>
      <c r="BD75" s="3"/>
      <c r="BE75" s="3"/>
      <c r="BF75" s="3"/>
      <c r="BG75" s="3"/>
      <c r="BH75" s="3"/>
      <c r="BI75" s="3"/>
      <c r="BJ75" s="3"/>
      <c r="BK75" s="3"/>
      <c r="BL75" s="3"/>
      <c r="BM75" s="3"/>
      <c r="BN75" s="28"/>
      <c r="BO75" s="3"/>
      <c r="BP75" s="3"/>
      <c r="BQ75" s="3"/>
      <c r="BR75" s="3"/>
      <c r="BS75" s="3"/>
      <c r="BT75" s="3"/>
      <c r="BU75" s="3" t="s">
        <v>3</v>
      </c>
      <c r="BV75" s="3"/>
      <c r="BW75" s="3"/>
      <c r="BX75" s="3"/>
      <c r="BY75" s="3"/>
      <c r="BZ75" s="3"/>
      <c r="CA75" s="13" t="s">
        <v>3</v>
      </c>
      <c r="CB75" s="3"/>
    </row>
    <row r="76" spans="2:80" ht="30" customHeight="1">
      <c r="B76" s="11">
        <f t="shared" si="8"/>
        <v>71</v>
      </c>
      <c r="C76" s="38" t="s">
        <v>505</v>
      </c>
      <c r="D76" s="37" t="s">
        <v>550</v>
      </c>
      <c r="E76" s="35" t="s">
        <v>573</v>
      </c>
      <c r="F76" s="14">
        <f t="shared" si="7"/>
        <v>2</v>
      </c>
      <c r="G76" s="15" t="s">
        <v>499</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28"/>
      <c r="AY76" s="3"/>
      <c r="AZ76" s="3"/>
      <c r="BA76" s="3"/>
      <c r="BB76" s="3"/>
      <c r="BC76" s="3"/>
      <c r="BD76" s="3"/>
      <c r="BE76" s="3"/>
      <c r="BF76" s="3"/>
      <c r="BG76" s="3"/>
      <c r="BH76" s="3"/>
      <c r="BI76" s="3"/>
      <c r="BJ76" s="3"/>
      <c r="BK76" s="3"/>
      <c r="BL76" s="3"/>
      <c r="BM76" s="3"/>
      <c r="BN76" s="28"/>
      <c r="BO76" s="3"/>
      <c r="BP76" s="3"/>
      <c r="BQ76" s="3"/>
      <c r="BR76" s="3"/>
      <c r="BS76" s="3"/>
      <c r="BT76" s="3"/>
      <c r="BU76" s="3" t="s">
        <v>3</v>
      </c>
      <c r="BV76" s="3"/>
      <c r="BW76" s="3"/>
      <c r="BX76" s="3"/>
      <c r="BY76" s="3"/>
      <c r="BZ76" s="3"/>
      <c r="CA76" s="13" t="s">
        <v>3</v>
      </c>
      <c r="CB76" s="3"/>
    </row>
    <row r="77" spans="2:80" ht="30" customHeight="1">
      <c r="B77" s="11">
        <f t="shared" si="8"/>
        <v>72</v>
      </c>
      <c r="C77" s="38" t="s">
        <v>505</v>
      </c>
      <c r="D77" s="35" t="s">
        <v>574</v>
      </c>
      <c r="E77" s="35" t="s">
        <v>575</v>
      </c>
      <c r="F77" s="14">
        <f t="shared" si="7"/>
        <v>2</v>
      </c>
      <c r="G77" s="15" t="s">
        <v>499</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28"/>
      <c r="AY77" s="3"/>
      <c r="AZ77" s="3"/>
      <c r="BA77" s="3"/>
      <c r="BB77" s="3"/>
      <c r="BC77" s="3"/>
      <c r="BD77" s="3"/>
      <c r="BE77" s="3"/>
      <c r="BF77" s="3"/>
      <c r="BG77" s="3"/>
      <c r="BH77" s="3"/>
      <c r="BI77" s="3"/>
      <c r="BJ77" s="3"/>
      <c r="BK77" s="3"/>
      <c r="BL77" s="3"/>
      <c r="BM77" s="3"/>
      <c r="BN77" s="28"/>
      <c r="BO77" s="3"/>
      <c r="BP77" s="3"/>
      <c r="BQ77" s="3"/>
      <c r="BR77" s="3"/>
      <c r="BS77" s="3"/>
      <c r="BT77" s="3"/>
      <c r="BU77" s="3" t="s">
        <v>3</v>
      </c>
      <c r="BV77" s="3"/>
      <c r="BW77" s="3"/>
      <c r="BX77" s="3"/>
      <c r="BY77" s="3"/>
      <c r="BZ77" s="3"/>
      <c r="CA77" s="13" t="s">
        <v>3</v>
      </c>
      <c r="CB77" s="3"/>
    </row>
    <row r="78" spans="2:80" ht="30" customHeight="1">
      <c r="B78" s="11">
        <f t="shared" si="8"/>
        <v>73</v>
      </c>
      <c r="C78" s="38" t="s">
        <v>505</v>
      </c>
      <c r="D78" s="35" t="s">
        <v>576</v>
      </c>
      <c r="E78" s="35" t="s">
        <v>577</v>
      </c>
      <c r="F78" s="14">
        <f t="shared" si="7"/>
        <v>4</v>
      </c>
      <c r="G78" s="15" t="s">
        <v>2</v>
      </c>
      <c r="H78" s="3"/>
      <c r="I78" s="3"/>
      <c r="J78" s="3"/>
      <c r="K78" s="3"/>
      <c r="L78" s="3" t="s">
        <v>3</v>
      </c>
      <c r="M78" s="3"/>
      <c r="N78" s="3" t="s">
        <v>3</v>
      </c>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28"/>
      <c r="AY78" s="3"/>
      <c r="AZ78" s="3"/>
      <c r="BA78" s="3"/>
      <c r="BB78" s="3"/>
      <c r="BC78" s="3"/>
      <c r="BD78" s="3"/>
      <c r="BE78" s="3"/>
      <c r="BF78" s="3"/>
      <c r="BG78" s="3"/>
      <c r="BH78" s="3"/>
      <c r="BI78" s="3"/>
      <c r="BJ78" s="3"/>
      <c r="BK78" s="3"/>
      <c r="BL78" s="3"/>
      <c r="BM78" s="3"/>
      <c r="BN78" s="28"/>
      <c r="BO78" s="3"/>
      <c r="BP78" s="3"/>
      <c r="BQ78" s="3"/>
      <c r="BR78" s="3"/>
      <c r="BS78" s="3"/>
      <c r="BT78" s="3"/>
      <c r="BU78" s="3" t="s">
        <v>3</v>
      </c>
      <c r="BV78" s="13" t="s">
        <v>3</v>
      </c>
      <c r="BW78" s="3"/>
      <c r="BX78" s="3"/>
      <c r="BY78" s="3"/>
      <c r="BZ78" s="3"/>
      <c r="CA78" s="3"/>
      <c r="CB78" s="3"/>
    </row>
    <row r="79" spans="2:80" ht="30" customHeight="1">
      <c r="B79" s="11">
        <f t="shared" si="8"/>
        <v>74</v>
      </c>
      <c r="C79" s="38" t="s">
        <v>505</v>
      </c>
      <c r="D79" s="37" t="s">
        <v>576</v>
      </c>
      <c r="E79" s="35" t="s">
        <v>578</v>
      </c>
      <c r="F79" s="14">
        <f t="shared" si="7"/>
        <v>2</v>
      </c>
      <c r="G79" s="15" t="s">
        <v>499</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28"/>
      <c r="AY79" s="3"/>
      <c r="AZ79" s="3"/>
      <c r="BA79" s="3"/>
      <c r="BB79" s="3"/>
      <c r="BC79" s="3"/>
      <c r="BD79" s="3"/>
      <c r="BE79" s="3"/>
      <c r="BF79" s="3"/>
      <c r="BG79" s="3"/>
      <c r="BH79" s="3"/>
      <c r="BI79" s="3"/>
      <c r="BJ79" s="3"/>
      <c r="BK79" s="3"/>
      <c r="BL79" s="3"/>
      <c r="BM79" s="3"/>
      <c r="BN79" s="28"/>
      <c r="BO79" s="3"/>
      <c r="BP79" s="3"/>
      <c r="BQ79" s="3"/>
      <c r="BR79" s="3"/>
      <c r="BS79" s="3"/>
      <c r="BT79" s="3"/>
      <c r="BU79" s="3" t="s">
        <v>3</v>
      </c>
      <c r="BV79" s="3"/>
      <c r="BW79" s="3"/>
      <c r="BX79" s="3"/>
      <c r="BY79" s="3"/>
      <c r="BZ79" s="3"/>
      <c r="CA79" s="13" t="s">
        <v>3</v>
      </c>
      <c r="CB79" s="3"/>
    </row>
    <row r="80" spans="2:80" ht="30" customHeight="1">
      <c r="B80" s="11">
        <f t="shared" si="8"/>
        <v>75</v>
      </c>
      <c r="C80" s="38" t="s">
        <v>505</v>
      </c>
      <c r="D80" s="37" t="s">
        <v>576</v>
      </c>
      <c r="E80" s="35" t="s">
        <v>579</v>
      </c>
      <c r="F80" s="14">
        <f t="shared" si="7"/>
        <v>2</v>
      </c>
      <c r="G80" s="15" t="s">
        <v>499</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28"/>
      <c r="AY80" s="3"/>
      <c r="AZ80" s="3"/>
      <c r="BA80" s="3"/>
      <c r="BB80" s="3"/>
      <c r="BC80" s="3"/>
      <c r="BD80" s="3"/>
      <c r="BE80" s="3"/>
      <c r="BF80" s="3"/>
      <c r="BG80" s="3"/>
      <c r="BH80" s="3"/>
      <c r="BI80" s="3"/>
      <c r="BJ80" s="3"/>
      <c r="BK80" s="3"/>
      <c r="BL80" s="3"/>
      <c r="BM80" s="3"/>
      <c r="BN80" s="28"/>
      <c r="BO80" s="3"/>
      <c r="BP80" s="3"/>
      <c r="BQ80" s="3"/>
      <c r="BR80" s="3"/>
      <c r="BS80" s="3"/>
      <c r="BT80" s="3"/>
      <c r="BU80" s="3" t="s">
        <v>3</v>
      </c>
      <c r="BV80" s="3"/>
      <c r="BW80" s="3"/>
      <c r="BX80" s="3"/>
      <c r="BY80" s="3"/>
      <c r="BZ80" s="3"/>
      <c r="CA80" s="13" t="s">
        <v>3</v>
      </c>
      <c r="CB80" s="3"/>
    </row>
    <row r="81" spans="2:80" ht="30" customHeight="1">
      <c r="B81" s="11">
        <f t="shared" si="8"/>
        <v>76</v>
      </c>
      <c r="C81" s="35" t="s">
        <v>580</v>
      </c>
      <c r="D81" s="35" t="s">
        <v>581</v>
      </c>
      <c r="E81" s="35" t="s">
        <v>582</v>
      </c>
      <c r="F81" s="14">
        <f t="shared" si="7"/>
        <v>8</v>
      </c>
      <c r="G81" s="15" t="s">
        <v>2</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28"/>
      <c r="AY81" s="3"/>
      <c r="AZ81" s="3"/>
      <c r="BA81" s="3"/>
      <c r="BB81" s="3"/>
      <c r="BC81" s="3"/>
      <c r="BD81" s="3"/>
      <c r="BE81" s="3"/>
      <c r="BF81" s="3"/>
      <c r="BG81" s="3" t="s">
        <v>3</v>
      </c>
      <c r="BH81" s="3" t="s">
        <v>3</v>
      </c>
      <c r="BI81" s="3"/>
      <c r="BJ81" s="3"/>
      <c r="BK81" s="3"/>
      <c r="BL81" s="3"/>
      <c r="BM81" s="3"/>
      <c r="BN81" s="28"/>
      <c r="BO81" s="3"/>
      <c r="BP81" s="3"/>
      <c r="BQ81" s="3"/>
      <c r="BR81" s="3"/>
      <c r="BS81" s="3"/>
      <c r="BT81" s="3"/>
      <c r="BU81" s="3" t="s">
        <v>3</v>
      </c>
      <c r="BV81" s="13" t="s">
        <v>3</v>
      </c>
      <c r="BW81" s="3" t="s">
        <v>3</v>
      </c>
      <c r="BX81" s="3" t="s">
        <v>3</v>
      </c>
      <c r="BY81" s="3" t="s">
        <v>3</v>
      </c>
      <c r="BZ81" s="3" t="s">
        <v>3</v>
      </c>
      <c r="CA81" s="3"/>
      <c r="CB81" s="3"/>
    </row>
    <row r="82" spans="2:80" ht="30" customHeight="1">
      <c r="B82" s="11">
        <f t="shared" si="8"/>
        <v>77</v>
      </c>
      <c r="C82" s="38" t="s">
        <v>580</v>
      </c>
      <c r="D82" s="37" t="s">
        <v>581</v>
      </c>
      <c r="E82" s="35" t="s">
        <v>583</v>
      </c>
      <c r="F82" s="14">
        <f t="shared" si="7"/>
        <v>5</v>
      </c>
      <c r="G82" s="15" t="s">
        <v>2</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28"/>
      <c r="AY82" s="3"/>
      <c r="AZ82" s="3"/>
      <c r="BA82" s="3"/>
      <c r="BB82" s="3"/>
      <c r="BC82" s="3"/>
      <c r="BD82" s="3"/>
      <c r="BE82" s="3"/>
      <c r="BF82" s="3"/>
      <c r="BG82" s="3"/>
      <c r="BH82" s="3"/>
      <c r="BI82" s="3"/>
      <c r="BJ82" s="3"/>
      <c r="BK82" s="3"/>
      <c r="BL82" s="3"/>
      <c r="BM82" s="3"/>
      <c r="BN82" s="28"/>
      <c r="BO82" s="3"/>
      <c r="BP82" s="3"/>
      <c r="BQ82" s="3"/>
      <c r="BR82" s="3"/>
      <c r="BS82" s="3"/>
      <c r="BT82" s="3"/>
      <c r="BU82" s="3" t="s">
        <v>3</v>
      </c>
      <c r="BV82" s="13" t="s">
        <v>3</v>
      </c>
      <c r="BW82" s="3" t="s">
        <v>3</v>
      </c>
      <c r="BX82" s="3" t="s">
        <v>3</v>
      </c>
      <c r="BY82" s="3"/>
      <c r="BZ82" s="3" t="s">
        <v>3</v>
      </c>
      <c r="CA82" s="3"/>
      <c r="CB82" s="3"/>
    </row>
    <row r="83" spans="2:80" ht="30" customHeight="1">
      <c r="B83" s="11">
        <f t="shared" si="8"/>
        <v>78</v>
      </c>
      <c r="C83" s="38" t="s">
        <v>580</v>
      </c>
      <c r="D83" s="37" t="s">
        <v>581</v>
      </c>
      <c r="E83" s="35" t="s">
        <v>584</v>
      </c>
      <c r="F83" s="14">
        <f t="shared" si="7"/>
        <v>8</v>
      </c>
      <c r="G83" s="15" t="s">
        <v>2</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28"/>
      <c r="AY83" s="3"/>
      <c r="AZ83" s="3"/>
      <c r="BA83" s="3"/>
      <c r="BB83" s="3"/>
      <c r="BC83" s="3"/>
      <c r="BD83" s="3"/>
      <c r="BE83" s="3"/>
      <c r="BF83" s="3"/>
      <c r="BG83" s="3" t="s">
        <v>3</v>
      </c>
      <c r="BH83" s="3" t="s">
        <v>3</v>
      </c>
      <c r="BI83" s="3"/>
      <c r="BJ83" s="3"/>
      <c r="BK83" s="3"/>
      <c r="BL83" s="3"/>
      <c r="BM83" s="3"/>
      <c r="BN83" s="28"/>
      <c r="BO83" s="3"/>
      <c r="BP83" s="3"/>
      <c r="BQ83" s="3"/>
      <c r="BR83" s="3"/>
      <c r="BS83" s="3"/>
      <c r="BT83" s="3"/>
      <c r="BU83" s="3" t="s">
        <v>3</v>
      </c>
      <c r="BV83" s="13" t="s">
        <v>3</v>
      </c>
      <c r="BW83" s="3" t="s">
        <v>3</v>
      </c>
      <c r="BX83" s="3" t="s">
        <v>3</v>
      </c>
      <c r="BY83" s="3" t="s">
        <v>3</v>
      </c>
      <c r="BZ83" s="3" t="s">
        <v>3</v>
      </c>
      <c r="CA83" s="3"/>
      <c r="CB83" s="3"/>
    </row>
    <row r="84" spans="2:80" ht="30" customHeight="1">
      <c r="B84" s="11">
        <f t="shared" si="8"/>
        <v>79</v>
      </c>
      <c r="C84" s="38" t="s">
        <v>580</v>
      </c>
      <c r="D84" s="37" t="s">
        <v>581</v>
      </c>
      <c r="E84" s="35" t="s">
        <v>585</v>
      </c>
      <c r="F84" s="14">
        <f t="shared" si="7"/>
        <v>2</v>
      </c>
      <c r="G84" s="15" t="s">
        <v>499</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28"/>
      <c r="AY84" s="3"/>
      <c r="AZ84" s="3"/>
      <c r="BA84" s="3"/>
      <c r="BB84" s="3"/>
      <c r="BC84" s="3"/>
      <c r="BD84" s="3"/>
      <c r="BE84" s="3"/>
      <c r="BF84" s="3"/>
      <c r="BG84" s="3"/>
      <c r="BH84" s="3"/>
      <c r="BI84" s="3"/>
      <c r="BJ84" s="3"/>
      <c r="BK84" s="3"/>
      <c r="BL84" s="3"/>
      <c r="BM84" s="3"/>
      <c r="BN84" s="28"/>
      <c r="BO84" s="3"/>
      <c r="BP84" s="3"/>
      <c r="BQ84" s="3"/>
      <c r="BR84" s="3"/>
      <c r="BS84" s="3"/>
      <c r="BT84" s="3"/>
      <c r="BU84" s="3" t="s">
        <v>3</v>
      </c>
      <c r="BV84" s="3"/>
      <c r="BW84" s="3"/>
      <c r="BX84" s="3"/>
      <c r="BY84" s="3"/>
      <c r="BZ84" s="3"/>
      <c r="CA84" s="13" t="s">
        <v>3</v>
      </c>
      <c r="CB84" s="3"/>
    </row>
    <row r="85" spans="2:80" ht="30" customHeight="1">
      <c r="B85" s="11">
        <f t="shared" si="8"/>
        <v>80</v>
      </c>
      <c r="C85" s="38" t="s">
        <v>580</v>
      </c>
      <c r="D85" s="37" t="s">
        <v>581</v>
      </c>
      <c r="E85" s="35" t="s">
        <v>586</v>
      </c>
      <c r="F85" s="14">
        <f t="shared" si="7"/>
        <v>2</v>
      </c>
      <c r="G85" s="15" t="s">
        <v>499</v>
      </c>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28"/>
      <c r="AY85" s="3"/>
      <c r="AZ85" s="3"/>
      <c r="BA85" s="3"/>
      <c r="BB85" s="3"/>
      <c r="BC85" s="3"/>
      <c r="BD85" s="3"/>
      <c r="BE85" s="3"/>
      <c r="BF85" s="3"/>
      <c r="BG85" s="3"/>
      <c r="BH85" s="3"/>
      <c r="BI85" s="3"/>
      <c r="BJ85" s="3"/>
      <c r="BK85" s="3"/>
      <c r="BL85" s="3"/>
      <c r="BM85" s="3"/>
      <c r="BN85" s="28"/>
      <c r="BO85" s="3"/>
      <c r="BP85" s="3"/>
      <c r="BQ85" s="3"/>
      <c r="BR85" s="3"/>
      <c r="BS85" s="3"/>
      <c r="BT85" s="3"/>
      <c r="BU85" s="3" t="s">
        <v>3</v>
      </c>
      <c r="BV85" s="3"/>
      <c r="BW85" s="3"/>
      <c r="BX85" s="3"/>
      <c r="BY85" s="3"/>
      <c r="BZ85" s="3"/>
      <c r="CA85" s="13" t="s">
        <v>3</v>
      </c>
      <c r="CB85" s="3"/>
    </row>
    <row r="86" spans="2:80" ht="30" customHeight="1">
      <c r="B86" s="11">
        <f t="shared" si="8"/>
        <v>81</v>
      </c>
      <c r="C86" s="38" t="s">
        <v>580</v>
      </c>
      <c r="D86" s="37" t="s">
        <v>581</v>
      </c>
      <c r="E86" s="35" t="s">
        <v>587</v>
      </c>
      <c r="F86" s="14">
        <f t="shared" si="7"/>
        <v>2</v>
      </c>
      <c r="G86" s="15" t="s">
        <v>499</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28"/>
      <c r="AY86" s="3"/>
      <c r="AZ86" s="3"/>
      <c r="BA86" s="3"/>
      <c r="BB86" s="3"/>
      <c r="BC86" s="3"/>
      <c r="BD86" s="3"/>
      <c r="BE86" s="3"/>
      <c r="BF86" s="3"/>
      <c r="BG86" s="3"/>
      <c r="BH86" s="3"/>
      <c r="BI86" s="3"/>
      <c r="BJ86" s="3"/>
      <c r="BK86" s="3"/>
      <c r="BL86" s="3"/>
      <c r="BM86" s="3"/>
      <c r="BN86" s="28"/>
      <c r="BO86" s="3"/>
      <c r="BP86" s="3"/>
      <c r="BQ86" s="3"/>
      <c r="BR86" s="3"/>
      <c r="BS86" s="3"/>
      <c r="BT86" s="3"/>
      <c r="BU86" s="3" t="s">
        <v>3</v>
      </c>
      <c r="BV86" s="3"/>
      <c r="BW86" s="3"/>
      <c r="BX86" s="3"/>
      <c r="BY86" s="3"/>
      <c r="BZ86" s="3"/>
      <c r="CA86" s="13" t="s">
        <v>3</v>
      </c>
      <c r="CB86" s="3"/>
    </row>
    <row r="87" spans="2:80" ht="30" customHeight="1">
      <c r="B87" s="11">
        <f t="shared" si="8"/>
        <v>82</v>
      </c>
      <c r="C87" s="38" t="s">
        <v>580</v>
      </c>
      <c r="D87" s="35" t="s">
        <v>588</v>
      </c>
      <c r="E87" s="39" t="s">
        <v>589</v>
      </c>
      <c r="F87" s="14">
        <f t="shared" si="7"/>
        <v>0</v>
      </c>
      <c r="G87" s="15" t="s">
        <v>2</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28"/>
      <c r="AY87" s="3"/>
      <c r="AZ87" s="3"/>
      <c r="BA87" s="3"/>
      <c r="BB87" s="3"/>
      <c r="BC87" s="3"/>
      <c r="BD87" s="3"/>
      <c r="BE87" s="3"/>
      <c r="BF87" s="3"/>
      <c r="BG87" s="3"/>
      <c r="BH87" s="3"/>
      <c r="BI87" s="3"/>
      <c r="BJ87" s="3"/>
      <c r="BK87" s="3"/>
      <c r="BL87" s="3"/>
      <c r="BM87" s="3"/>
      <c r="BN87" s="28"/>
      <c r="BO87" s="3"/>
      <c r="BP87" s="3"/>
      <c r="BQ87" s="3"/>
      <c r="BR87" s="3"/>
      <c r="BS87" s="3"/>
      <c r="BT87" s="3"/>
      <c r="BU87" s="3"/>
      <c r="BV87" s="3"/>
      <c r="BW87" s="3"/>
      <c r="BX87" s="3"/>
      <c r="BY87" s="3"/>
      <c r="BZ87" s="3"/>
      <c r="CA87" s="3"/>
      <c r="CB87" s="3"/>
    </row>
    <row r="88" spans="2:80" ht="30" customHeight="1">
      <c r="B88" s="11">
        <f t="shared" si="8"/>
        <v>83</v>
      </c>
      <c r="C88" s="38" t="s">
        <v>580</v>
      </c>
      <c r="D88" s="37" t="s">
        <v>588</v>
      </c>
      <c r="E88" s="35" t="s">
        <v>590</v>
      </c>
      <c r="F88" s="14">
        <f t="shared" si="7"/>
        <v>5</v>
      </c>
      <c r="G88" s="15" t="s">
        <v>2</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28"/>
      <c r="AY88" s="3"/>
      <c r="AZ88" s="3"/>
      <c r="BA88" s="3"/>
      <c r="BB88" s="3"/>
      <c r="BC88" s="3"/>
      <c r="BD88" s="3"/>
      <c r="BE88" s="3"/>
      <c r="BF88" s="3"/>
      <c r="BG88" s="3"/>
      <c r="BH88" s="3"/>
      <c r="BI88" s="3"/>
      <c r="BJ88" s="3"/>
      <c r="BK88" s="3"/>
      <c r="BL88" s="3"/>
      <c r="BM88" s="3"/>
      <c r="BN88" s="28"/>
      <c r="BO88" s="3"/>
      <c r="BP88" s="3"/>
      <c r="BQ88" s="3"/>
      <c r="BR88" s="3"/>
      <c r="BS88" s="3"/>
      <c r="BT88" s="3"/>
      <c r="BU88" s="3" t="s">
        <v>3</v>
      </c>
      <c r="BV88" s="13" t="s">
        <v>3</v>
      </c>
      <c r="BW88" s="3" t="s">
        <v>3</v>
      </c>
      <c r="BX88" s="3"/>
      <c r="BY88" s="3" t="s">
        <v>3</v>
      </c>
      <c r="BZ88" s="3" t="s">
        <v>3</v>
      </c>
      <c r="CA88" s="3"/>
      <c r="CB88" s="3"/>
    </row>
    <row r="89" spans="2:80" ht="30" customHeight="1">
      <c r="B89" s="11">
        <f t="shared" si="8"/>
        <v>84</v>
      </c>
      <c r="C89" s="38" t="s">
        <v>580</v>
      </c>
      <c r="D89" s="37" t="s">
        <v>588</v>
      </c>
      <c r="E89" s="35" t="s">
        <v>591</v>
      </c>
      <c r="F89" s="14">
        <f t="shared" si="7"/>
        <v>7</v>
      </c>
      <c r="G89" s="15" t="s">
        <v>2</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28"/>
      <c r="AY89" s="3"/>
      <c r="AZ89" s="3"/>
      <c r="BA89" s="3"/>
      <c r="BB89" s="3"/>
      <c r="BC89" s="3"/>
      <c r="BD89" s="3"/>
      <c r="BE89" s="3"/>
      <c r="BF89" s="3"/>
      <c r="BG89" s="3" t="s">
        <v>3</v>
      </c>
      <c r="BH89" s="3" t="s">
        <v>3</v>
      </c>
      <c r="BI89" s="3"/>
      <c r="BJ89" s="3"/>
      <c r="BK89" s="3"/>
      <c r="BL89" s="3"/>
      <c r="BM89" s="3"/>
      <c r="BN89" s="28"/>
      <c r="BO89" s="3"/>
      <c r="BP89" s="3"/>
      <c r="BQ89" s="3"/>
      <c r="BR89" s="3"/>
      <c r="BS89" s="3"/>
      <c r="BT89" s="3"/>
      <c r="BU89" s="3" t="s">
        <v>3</v>
      </c>
      <c r="BV89" s="13" t="s">
        <v>3</v>
      </c>
      <c r="BW89" s="3" t="s">
        <v>3</v>
      </c>
      <c r="BX89" s="3"/>
      <c r="BY89" s="3" t="s">
        <v>3</v>
      </c>
      <c r="BZ89" s="3" t="s">
        <v>3</v>
      </c>
      <c r="CA89" s="3"/>
      <c r="CB89" s="3"/>
    </row>
    <row r="90" spans="2:80" ht="30" customHeight="1">
      <c r="B90" s="11">
        <f t="shared" si="8"/>
        <v>85</v>
      </c>
      <c r="C90" s="38" t="s">
        <v>580</v>
      </c>
      <c r="D90" s="37" t="s">
        <v>588</v>
      </c>
      <c r="E90" s="35" t="s">
        <v>592</v>
      </c>
      <c r="F90" s="14">
        <f t="shared" si="7"/>
        <v>4</v>
      </c>
      <c r="G90" s="15" t="s">
        <v>2</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28"/>
      <c r="AY90" s="3"/>
      <c r="AZ90" s="3"/>
      <c r="BA90" s="3"/>
      <c r="BB90" s="3"/>
      <c r="BC90" s="3"/>
      <c r="BD90" s="3"/>
      <c r="BE90" s="3"/>
      <c r="BF90" s="3"/>
      <c r="BG90" s="3"/>
      <c r="BH90" s="3"/>
      <c r="BI90" s="3"/>
      <c r="BJ90" s="3"/>
      <c r="BK90" s="3"/>
      <c r="BL90" s="3"/>
      <c r="BM90" s="3"/>
      <c r="BN90" s="28"/>
      <c r="BO90" s="3"/>
      <c r="BP90" s="3"/>
      <c r="BQ90" s="3"/>
      <c r="BR90" s="3"/>
      <c r="BS90" s="3"/>
      <c r="BT90" s="3"/>
      <c r="BU90" s="3" t="s">
        <v>3</v>
      </c>
      <c r="BV90" s="3" t="s">
        <v>3</v>
      </c>
      <c r="BW90" s="3" t="s">
        <v>3</v>
      </c>
      <c r="BX90" s="3"/>
      <c r="BY90" s="3"/>
      <c r="BZ90" s="3" t="s">
        <v>3</v>
      </c>
      <c r="CA90" s="3"/>
      <c r="CB90" s="3"/>
    </row>
    <row r="91" spans="2:80" ht="30" customHeight="1">
      <c r="B91" s="11">
        <f t="shared" si="8"/>
        <v>86</v>
      </c>
      <c r="C91" s="38" t="s">
        <v>580</v>
      </c>
      <c r="D91" s="35" t="s">
        <v>593</v>
      </c>
      <c r="E91" s="35" t="s">
        <v>594</v>
      </c>
      <c r="F91" s="14">
        <f t="shared" si="7"/>
        <v>21</v>
      </c>
      <c r="G91" s="15" t="s">
        <v>2</v>
      </c>
      <c r="H91" s="3"/>
      <c r="I91" s="3" t="s">
        <v>3</v>
      </c>
      <c r="J91" s="3" t="s">
        <v>3</v>
      </c>
      <c r="K91" s="3" t="s">
        <v>3</v>
      </c>
      <c r="L91" s="3" t="s">
        <v>3</v>
      </c>
      <c r="M91" s="3"/>
      <c r="N91" s="3" t="s">
        <v>3</v>
      </c>
      <c r="O91" s="3" t="s">
        <v>3</v>
      </c>
      <c r="P91" s="3" t="s">
        <v>3</v>
      </c>
      <c r="Q91" s="3"/>
      <c r="R91" s="3"/>
      <c r="S91" s="3"/>
      <c r="T91" s="3"/>
      <c r="U91" s="3"/>
      <c r="V91" s="3"/>
      <c r="W91" s="3" t="s">
        <v>3</v>
      </c>
      <c r="X91" s="3"/>
      <c r="Y91" s="3" t="s">
        <v>3</v>
      </c>
      <c r="Z91" s="3"/>
      <c r="AA91" s="3"/>
      <c r="AB91" s="3"/>
      <c r="AC91" s="3"/>
      <c r="AD91" s="3"/>
      <c r="AE91" s="3"/>
      <c r="AF91" s="3"/>
      <c r="AG91" s="3"/>
      <c r="AH91" s="3"/>
      <c r="AI91" s="3"/>
      <c r="AJ91" s="3" t="s">
        <v>3</v>
      </c>
      <c r="AK91" s="3"/>
      <c r="AL91" s="3" t="s">
        <v>3</v>
      </c>
      <c r="AM91" s="3"/>
      <c r="AN91" s="3" t="s">
        <v>3</v>
      </c>
      <c r="AO91" s="3"/>
      <c r="AP91" s="3" t="s">
        <v>3</v>
      </c>
      <c r="AQ91" s="3"/>
      <c r="AR91" s="3" t="s">
        <v>3</v>
      </c>
      <c r="AS91" s="3" t="s">
        <v>3</v>
      </c>
      <c r="AT91" s="3"/>
      <c r="AU91" s="3"/>
      <c r="AV91" s="3"/>
      <c r="AW91" s="3"/>
      <c r="AX91" s="28"/>
      <c r="AY91" s="3"/>
      <c r="AZ91" s="3"/>
      <c r="BA91" s="3"/>
      <c r="BB91" s="3"/>
      <c r="BC91" s="3"/>
      <c r="BD91" s="3"/>
      <c r="BE91" s="3" t="s">
        <v>3</v>
      </c>
      <c r="BF91" s="3" t="s">
        <v>3</v>
      </c>
      <c r="BG91" s="3"/>
      <c r="BH91" s="3"/>
      <c r="BI91" s="3"/>
      <c r="BJ91" s="3"/>
      <c r="BK91" s="3"/>
      <c r="BL91" s="3"/>
      <c r="BM91" s="3"/>
      <c r="BN91" s="28"/>
      <c r="BO91" s="3"/>
      <c r="BP91" s="3"/>
      <c r="BQ91" s="3"/>
      <c r="BR91" s="3"/>
      <c r="BS91" s="3"/>
      <c r="BT91" s="3"/>
      <c r="BU91" s="3" t="s">
        <v>3</v>
      </c>
      <c r="BV91" s="13" t="s">
        <v>3</v>
      </c>
      <c r="BW91" s="3" t="s">
        <v>3</v>
      </c>
      <c r="BX91" s="3" t="s">
        <v>3</v>
      </c>
      <c r="BY91" s="3"/>
      <c r="BZ91" s="3"/>
      <c r="CA91" s="3"/>
      <c r="CB91" s="3"/>
    </row>
    <row r="92" spans="2:80" ht="30" customHeight="1">
      <c r="B92" s="11">
        <f t="shared" si="8"/>
        <v>87</v>
      </c>
      <c r="C92" s="38" t="s">
        <v>580</v>
      </c>
      <c r="D92" s="37" t="s">
        <v>593</v>
      </c>
      <c r="E92" s="35" t="s">
        <v>595</v>
      </c>
      <c r="F92" s="14">
        <f t="shared" si="7"/>
        <v>17</v>
      </c>
      <c r="G92" s="15" t="s">
        <v>2</v>
      </c>
      <c r="H92" s="3"/>
      <c r="I92" s="3"/>
      <c r="J92" s="3"/>
      <c r="K92" s="3"/>
      <c r="L92" s="3"/>
      <c r="M92" s="3"/>
      <c r="N92" s="3" t="s">
        <v>3</v>
      </c>
      <c r="O92" s="3"/>
      <c r="P92" s="3" t="s">
        <v>3</v>
      </c>
      <c r="Q92" s="3"/>
      <c r="R92" s="3"/>
      <c r="S92" s="3"/>
      <c r="T92" s="3"/>
      <c r="U92" s="3"/>
      <c r="V92" s="3"/>
      <c r="W92" s="3"/>
      <c r="X92" s="3"/>
      <c r="Y92" s="3"/>
      <c r="Z92" s="3"/>
      <c r="AA92" s="3"/>
      <c r="AB92" s="3"/>
      <c r="AC92" s="3"/>
      <c r="AD92" s="3"/>
      <c r="AE92" s="3"/>
      <c r="AF92" s="3"/>
      <c r="AG92" s="3"/>
      <c r="AH92" s="3"/>
      <c r="AI92" s="3"/>
      <c r="AJ92" s="3" t="s">
        <v>3</v>
      </c>
      <c r="AK92" s="3"/>
      <c r="AL92" s="3" t="s">
        <v>3</v>
      </c>
      <c r="AM92" s="3"/>
      <c r="AN92" s="3" t="s">
        <v>3</v>
      </c>
      <c r="AO92" s="3"/>
      <c r="AP92" s="3" t="s">
        <v>3</v>
      </c>
      <c r="AQ92" s="3"/>
      <c r="AR92" s="3"/>
      <c r="AS92" s="3"/>
      <c r="AT92" s="3"/>
      <c r="AU92" s="3"/>
      <c r="AV92" s="3"/>
      <c r="AW92" s="3"/>
      <c r="AX92" s="28"/>
      <c r="AY92" s="3"/>
      <c r="AZ92" s="3" t="s">
        <v>3</v>
      </c>
      <c r="BA92" s="3" t="s">
        <v>3</v>
      </c>
      <c r="BB92" s="3" t="s">
        <v>3</v>
      </c>
      <c r="BC92" s="3" t="s">
        <v>3</v>
      </c>
      <c r="BD92" s="3" t="s">
        <v>3</v>
      </c>
      <c r="BE92" s="3" t="s">
        <v>3</v>
      </c>
      <c r="BF92" s="3" t="s">
        <v>3</v>
      </c>
      <c r="BG92" s="3"/>
      <c r="BH92" s="3"/>
      <c r="BI92" s="3"/>
      <c r="BJ92" s="3"/>
      <c r="BK92" s="3"/>
      <c r="BL92" s="3"/>
      <c r="BM92" s="3"/>
      <c r="BN92" s="28"/>
      <c r="BO92" s="3"/>
      <c r="BP92" s="3"/>
      <c r="BQ92" s="3"/>
      <c r="BR92" s="3"/>
      <c r="BS92" s="3"/>
      <c r="BT92" s="3"/>
      <c r="BU92" s="3" t="s">
        <v>3</v>
      </c>
      <c r="BV92" s="13" t="s">
        <v>3</v>
      </c>
      <c r="BW92" s="3" t="s">
        <v>3</v>
      </c>
      <c r="BX92" s="3" t="s">
        <v>3</v>
      </c>
      <c r="BY92" s="3"/>
      <c r="BZ92" s="3"/>
      <c r="CA92" s="3"/>
      <c r="CB92" s="3"/>
    </row>
    <row r="93" spans="2:80" ht="30" customHeight="1">
      <c r="B93" s="11">
        <f t="shared" si="8"/>
        <v>88</v>
      </c>
      <c r="C93" s="38" t="s">
        <v>580</v>
      </c>
      <c r="D93" s="37" t="s">
        <v>593</v>
      </c>
      <c r="E93" s="35" t="s">
        <v>596</v>
      </c>
      <c r="F93" s="14">
        <f>COUNTA(H93:BE93)</f>
        <v>16</v>
      </c>
      <c r="G93" s="15" t="s">
        <v>2</v>
      </c>
      <c r="H93" s="3"/>
      <c r="I93" s="3" t="s">
        <v>3</v>
      </c>
      <c r="J93" s="3"/>
      <c r="K93" s="3"/>
      <c r="L93" s="3"/>
      <c r="M93" s="3"/>
      <c r="N93" s="3" t="s">
        <v>3</v>
      </c>
      <c r="O93" s="3"/>
      <c r="P93" s="3" t="s">
        <v>3</v>
      </c>
      <c r="Q93" s="3"/>
      <c r="R93" s="3"/>
      <c r="S93" s="3"/>
      <c r="T93" s="3"/>
      <c r="U93" s="3"/>
      <c r="V93" s="3"/>
      <c r="W93" s="3"/>
      <c r="X93" s="3"/>
      <c r="Y93" s="3" t="s">
        <v>3</v>
      </c>
      <c r="Z93" s="3"/>
      <c r="AA93" s="3"/>
      <c r="AB93" s="3"/>
      <c r="AC93" s="3"/>
      <c r="AD93" s="3"/>
      <c r="AE93" s="3"/>
      <c r="AF93" s="3"/>
      <c r="AG93" s="3"/>
      <c r="AH93" s="3"/>
      <c r="AI93" s="3"/>
      <c r="AJ93" s="3" t="s">
        <v>3</v>
      </c>
      <c r="AK93" s="3"/>
      <c r="AL93" s="3" t="s">
        <v>3</v>
      </c>
      <c r="AM93" s="3"/>
      <c r="AN93" s="3" t="s">
        <v>3</v>
      </c>
      <c r="AO93" s="3"/>
      <c r="AP93" s="3" t="s">
        <v>3</v>
      </c>
      <c r="AQ93" s="3"/>
      <c r="AR93" s="3" t="s">
        <v>3</v>
      </c>
      <c r="AS93" s="3" t="s">
        <v>3</v>
      </c>
      <c r="AT93" s="3"/>
      <c r="AU93" s="3"/>
      <c r="AV93" s="3"/>
      <c r="AW93" s="3"/>
      <c r="AX93" s="28"/>
      <c r="AY93" s="3"/>
      <c r="AZ93" s="3" t="s">
        <v>3</v>
      </c>
      <c r="BA93" s="3" t="s">
        <v>3</v>
      </c>
      <c r="BB93" s="3" t="s">
        <v>3</v>
      </c>
      <c r="BC93" s="3" t="s">
        <v>3</v>
      </c>
      <c r="BD93" s="3" t="s">
        <v>3</v>
      </c>
      <c r="BE93" s="3" t="s">
        <v>3</v>
      </c>
      <c r="BF93" s="3" t="s">
        <v>3</v>
      </c>
      <c r="BG93" s="3"/>
      <c r="BH93" s="3"/>
      <c r="BI93" s="3"/>
      <c r="BJ93" s="3"/>
      <c r="BK93" s="3"/>
      <c r="BL93" s="3"/>
      <c r="BM93" s="3"/>
      <c r="BN93" s="28"/>
      <c r="BO93" s="3"/>
      <c r="BP93" s="3"/>
      <c r="BQ93" s="3"/>
      <c r="BR93" s="3"/>
      <c r="BS93" s="3"/>
      <c r="BT93" s="3"/>
      <c r="BU93" s="3" t="s">
        <v>3</v>
      </c>
      <c r="BV93" s="13" t="s">
        <v>3</v>
      </c>
      <c r="BW93" s="3" t="s">
        <v>3</v>
      </c>
      <c r="BX93" s="3" t="s">
        <v>3</v>
      </c>
      <c r="BY93" s="3"/>
      <c r="BZ93" s="3"/>
      <c r="CA93" s="3"/>
      <c r="CB93" s="3"/>
    </row>
    <row r="94" spans="2:80" ht="30" customHeight="1">
      <c r="B94" s="11">
        <f t="shared" si="8"/>
        <v>89</v>
      </c>
      <c r="C94" s="38" t="s">
        <v>580</v>
      </c>
      <c r="D94" s="37" t="s">
        <v>593</v>
      </c>
      <c r="E94" s="35" t="s">
        <v>597</v>
      </c>
      <c r="F94" s="14">
        <f>COUNTA(H94:BE94)</f>
        <v>1</v>
      </c>
      <c r="G94" s="15" t="s">
        <v>2</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28"/>
      <c r="AY94" s="3"/>
      <c r="AZ94" s="3"/>
      <c r="BA94" s="3"/>
      <c r="BB94" s="3"/>
      <c r="BC94" s="3"/>
      <c r="BD94" s="3"/>
      <c r="BE94" s="3" t="s">
        <v>3</v>
      </c>
      <c r="BF94" s="3" t="s">
        <v>3</v>
      </c>
      <c r="BG94" s="3"/>
      <c r="BH94" s="3"/>
      <c r="BI94" s="3"/>
      <c r="BJ94" s="3"/>
      <c r="BK94" s="3"/>
      <c r="BL94" s="3"/>
      <c r="BM94" s="3"/>
      <c r="BN94" s="28"/>
      <c r="BO94" s="3"/>
      <c r="BP94" s="3"/>
      <c r="BQ94" s="3"/>
      <c r="BR94" s="3"/>
      <c r="BS94" s="3"/>
      <c r="BT94" s="3"/>
      <c r="BU94" s="3" t="s">
        <v>3</v>
      </c>
      <c r="BV94" s="13" t="s">
        <v>3</v>
      </c>
      <c r="BW94" s="3" t="s">
        <v>3</v>
      </c>
      <c r="BX94" s="3"/>
      <c r="BY94" s="3" t="s">
        <v>3</v>
      </c>
      <c r="BZ94" s="3"/>
      <c r="CA94" s="3"/>
      <c r="CB94" s="3"/>
    </row>
    <row r="95" spans="2:80" ht="30" customHeight="1">
      <c r="B95" s="11">
        <f t="shared" si="8"/>
        <v>90</v>
      </c>
      <c r="C95" s="38" t="s">
        <v>580</v>
      </c>
      <c r="D95" s="37" t="s">
        <v>593</v>
      </c>
      <c r="E95" s="35" t="s">
        <v>598</v>
      </c>
      <c r="F95" s="14">
        <f t="shared" ref="F95:F156" si="9">COUNTA(H95:CA95)</f>
        <v>5</v>
      </c>
      <c r="G95" s="15" t="s">
        <v>2</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28"/>
      <c r="AY95" s="3"/>
      <c r="AZ95" s="3"/>
      <c r="BA95" s="3"/>
      <c r="BB95" s="3"/>
      <c r="BC95" s="3"/>
      <c r="BD95" s="3"/>
      <c r="BE95" s="3" t="s">
        <v>3</v>
      </c>
      <c r="BF95" s="3" t="s">
        <v>3</v>
      </c>
      <c r="BG95" s="3"/>
      <c r="BH95" s="3"/>
      <c r="BI95" s="3"/>
      <c r="BJ95" s="3"/>
      <c r="BK95" s="3"/>
      <c r="BL95" s="3"/>
      <c r="BM95" s="3"/>
      <c r="BN95" s="28"/>
      <c r="BO95" s="3"/>
      <c r="BP95" s="3"/>
      <c r="BQ95" s="3"/>
      <c r="BR95" s="3"/>
      <c r="BS95" s="3"/>
      <c r="BT95" s="3"/>
      <c r="BU95" s="3" t="s">
        <v>3</v>
      </c>
      <c r="BV95" s="13" t="s">
        <v>3</v>
      </c>
      <c r="BW95" s="3" t="s">
        <v>3</v>
      </c>
      <c r="BX95" s="3"/>
      <c r="BY95" s="3"/>
      <c r="BZ95" s="3"/>
      <c r="CA95" s="3"/>
      <c r="CB95" s="3"/>
    </row>
    <row r="96" spans="2:80" ht="30" customHeight="1">
      <c r="B96" s="11">
        <f t="shared" si="8"/>
        <v>91</v>
      </c>
      <c r="C96" s="35" t="s">
        <v>74</v>
      </c>
      <c r="D96" s="35" t="s">
        <v>599</v>
      </c>
      <c r="E96" s="35" t="s">
        <v>600</v>
      </c>
      <c r="F96" s="14">
        <f t="shared" si="9"/>
        <v>2</v>
      </c>
      <c r="G96" s="15" t="s">
        <v>499</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28"/>
      <c r="AY96" s="3"/>
      <c r="AZ96" s="3"/>
      <c r="BA96" s="3"/>
      <c r="BB96" s="3"/>
      <c r="BC96" s="3"/>
      <c r="BD96" s="3"/>
      <c r="BE96" s="3"/>
      <c r="BF96" s="3"/>
      <c r="BG96" s="3"/>
      <c r="BH96" s="3"/>
      <c r="BI96" s="3"/>
      <c r="BJ96" s="3"/>
      <c r="BK96" s="3"/>
      <c r="BL96" s="3"/>
      <c r="BM96" s="3"/>
      <c r="BN96" s="28"/>
      <c r="BO96" s="3"/>
      <c r="BP96" s="3"/>
      <c r="BQ96" s="3"/>
      <c r="BR96" s="3"/>
      <c r="BS96" s="3"/>
      <c r="BT96" s="3"/>
      <c r="BU96" s="3" t="s">
        <v>3</v>
      </c>
      <c r="BV96" s="3"/>
      <c r="BW96" s="3"/>
      <c r="BX96" s="3"/>
      <c r="BY96" s="3"/>
      <c r="BZ96" s="3"/>
      <c r="CA96" s="13" t="s">
        <v>3</v>
      </c>
      <c r="CB96" s="3"/>
    </row>
    <row r="97" spans="2:80" ht="30" customHeight="1">
      <c r="B97" s="11">
        <f t="shared" si="8"/>
        <v>92</v>
      </c>
      <c r="C97" s="38" t="s">
        <v>74</v>
      </c>
      <c r="D97" s="37" t="s">
        <v>599</v>
      </c>
      <c r="E97" s="35" t="s">
        <v>601</v>
      </c>
      <c r="F97" s="14">
        <f t="shared" si="9"/>
        <v>2</v>
      </c>
      <c r="G97" s="15" t="s">
        <v>499</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28"/>
      <c r="AY97" s="3"/>
      <c r="AZ97" s="3"/>
      <c r="BA97" s="3"/>
      <c r="BB97" s="3"/>
      <c r="BC97" s="3"/>
      <c r="BD97" s="3"/>
      <c r="BE97" s="3"/>
      <c r="BF97" s="3"/>
      <c r="BG97" s="3"/>
      <c r="BH97" s="3"/>
      <c r="BI97" s="3"/>
      <c r="BJ97" s="3"/>
      <c r="BK97" s="3"/>
      <c r="BL97" s="3"/>
      <c r="BM97" s="3"/>
      <c r="BN97" s="28"/>
      <c r="BO97" s="3"/>
      <c r="BP97" s="3"/>
      <c r="BQ97" s="3"/>
      <c r="BR97" s="3"/>
      <c r="BS97" s="3"/>
      <c r="BT97" s="3"/>
      <c r="BU97" s="3" t="s">
        <v>3</v>
      </c>
      <c r="BV97" s="3"/>
      <c r="BW97" s="3"/>
      <c r="BX97" s="3"/>
      <c r="BY97" s="3"/>
      <c r="BZ97" s="3"/>
      <c r="CA97" s="13" t="s">
        <v>3</v>
      </c>
      <c r="CB97" s="3"/>
    </row>
    <row r="98" spans="2:80" ht="30" customHeight="1">
      <c r="B98" s="11">
        <f t="shared" si="8"/>
        <v>93</v>
      </c>
      <c r="C98" s="38" t="s">
        <v>74</v>
      </c>
      <c r="D98" s="37" t="s">
        <v>599</v>
      </c>
      <c r="E98" s="35" t="s">
        <v>602</v>
      </c>
      <c r="F98" s="14">
        <f t="shared" si="9"/>
        <v>8</v>
      </c>
      <c r="G98" s="15" t="s">
        <v>2</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t="s">
        <v>3</v>
      </c>
      <c r="AV98" s="3"/>
      <c r="AW98" s="3"/>
      <c r="AX98" s="28"/>
      <c r="AY98" s="3"/>
      <c r="AZ98" s="3"/>
      <c r="BA98" s="3"/>
      <c r="BB98" s="3"/>
      <c r="BC98" s="3"/>
      <c r="BD98" s="3"/>
      <c r="BE98" s="3" t="s">
        <v>3</v>
      </c>
      <c r="BF98" s="3" t="s">
        <v>3</v>
      </c>
      <c r="BG98" s="3"/>
      <c r="BH98" s="3"/>
      <c r="BI98" s="3"/>
      <c r="BJ98" s="3"/>
      <c r="BK98" s="3"/>
      <c r="BL98" s="3"/>
      <c r="BM98" s="3"/>
      <c r="BN98" s="28"/>
      <c r="BO98" s="3"/>
      <c r="BP98" s="3"/>
      <c r="BQ98" s="3"/>
      <c r="BR98" s="3"/>
      <c r="BS98" s="3"/>
      <c r="BT98" s="3"/>
      <c r="BU98" s="3" t="s">
        <v>3</v>
      </c>
      <c r="BV98" s="3" t="s">
        <v>3</v>
      </c>
      <c r="BW98" s="3" t="s">
        <v>3</v>
      </c>
      <c r="BX98" s="3"/>
      <c r="BY98" s="3" t="s">
        <v>3</v>
      </c>
      <c r="BZ98" s="3" t="s">
        <v>3</v>
      </c>
      <c r="CA98" s="3"/>
      <c r="CB98" s="3"/>
    </row>
    <row r="99" spans="2:80" ht="30" customHeight="1">
      <c r="B99" s="11">
        <f t="shared" si="8"/>
        <v>94</v>
      </c>
      <c r="C99" s="35" t="s">
        <v>603</v>
      </c>
      <c r="D99" s="35" t="s">
        <v>604</v>
      </c>
      <c r="E99" s="35" t="s">
        <v>605</v>
      </c>
      <c r="F99" s="14">
        <f t="shared" si="9"/>
        <v>2</v>
      </c>
      <c r="G99" s="15" t="s">
        <v>499</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28"/>
      <c r="AY99" s="3"/>
      <c r="AZ99" s="3"/>
      <c r="BA99" s="3"/>
      <c r="BB99" s="3"/>
      <c r="BC99" s="3"/>
      <c r="BD99" s="3"/>
      <c r="BE99" s="3"/>
      <c r="BF99" s="3"/>
      <c r="BG99" s="3"/>
      <c r="BH99" s="3"/>
      <c r="BI99" s="3"/>
      <c r="BJ99" s="3"/>
      <c r="BK99" s="3"/>
      <c r="BL99" s="3"/>
      <c r="BM99" s="3"/>
      <c r="BN99" s="28"/>
      <c r="BO99" s="3"/>
      <c r="BP99" s="3"/>
      <c r="BQ99" s="3"/>
      <c r="BR99" s="3"/>
      <c r="BS99" s="3"/>
      <c r="BT99" s="3"/>
      <c r="BU99" s="3" t="s">
        <v>3</v>
      </c>
      <c r="BV99" s="3"/>
      <c r="BW99" s="3"/>
      <c r="BX99" s="3"/>
      <c r="BY99" s="3"/>
      <c r="BZ99" s="3"/>
      <c r="CA99" s="13" t="s">
        <v>3</v>
      </c>
      <c r="CB99" s="3"/>
    </row>
    <row r="100" spans="2:80" ht="30" customHeight="1">
      <c r="B100" s="11">
        <f t="shared" si="8"/>
        <v>95</v>
      </c>
      <c r="C100" s="38" t="s">
        <v>603</v>
      </c>
      <c r="D100" s="37" t="s">
        <v>604</v>
      </c>
      <c r="E100" s="35" t="s">
        <v>606</v>
      </c>
      <c r="F100" s="14">
        <f t="shared" si="9"/>
        <v>2</v>
      </c>
      <c r="G100" s="15" t="s">
        <v>499</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28"/>
      <c r="AY100" s="3"/>
      <c r="AZ100" s="3"/>
      <c r="BA100" s="3"/>
      <c r="BB100" s="3"/>
      <c r="BC100" s="3"/>
      <c r="BD100" s="3"/>
      <c r="BE100" s="3"/>
      <c r="BF100" s="3"/>
      <c r="BG100" s="3"/>
      <c r="BH100" s="3"/>
      <c r="BI100" s="3"/>
      <c r="BJ100" s="3"/>
      <c r="BK100" s="3"/>
      <c r="BL100" s="3"/>
      <c r="BM100" s="3"/>
      <c r="BN100" s="28"/>
      <c r="BO100" s="3"/>
      <c r="BP100" s="3"/>
      <c r="BQ100" s="3"/>
      <c r="BR100" s="3"/>
      <c r="BS100" s="3"/>
      <c r="BT100" s="3"/>
      <c r="BU100" s="3" t="s">
        <v>3</v>
      </c>
      <c r="BV100" s="3"/>
      <c r="BW100" s="3"/>
      <c r="BX100" s="3"/>
      <c r="BY100" s="3"/>
      <c r="BZ100" s="3"/>
      <c r="CA100" s="13" t="s">
        <v>3</v>
      </c>
      <c r="CB100" s="3"/>
    </row>
    <row r="101" spans="2:80" ht="30" customHeight="1">
      <c r="B101" s="11">
        <f t="shared" si="8"/>
        <v>96</v>
      </c>
      <c r="C101" s="38" t="s">
        <v>603</v>
      </c>
      <c r="D101" s="37" t="s">
        <v>604</v>
      </c>
      <c r="E101" s="35" t="s">
        <v>607</v>
      </c>
      <c r="F101" s="14">
        <f t="shared" si="9"/>
        <v>2</v>
      </c>
      <c r="G101" s="15" t="s">
        <v>499</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28"/>
      <c r="AY101" s="3"/>
      <c r="AZ101" s="3"/>
      <c r="BA101" s="3"/>
      <c r="BB101" s="3"/>
      <c r="BC101" s="3"/>
      <c r="BD101" s="3"/>
      <c r="BE101" s="3"/>
      <c r="BF101" s="3"/>
      <c r="BG101" s="3"/>
      <c r="BH101" s="3"/>
      <c r="BI101" s="3"/>
      <c r="BJ101" s="3"/>
      <c r="BK101" s="3"/>
      <c r="BL101" s="3"/>
      <c r="BM101" s="3"/>
      <c r="BN101" s="28"/>
      <c r="BO101" s="3"/>
      <c r="BP101" s="3"/>
      <c r="BQ101" s="3"/>
      <c r="BR101" s="3"/>
      <c r="BS101" s="3"/>
      <c r="BT101" s="3"/>
      <c r="BU101" s="3" t="s">
        <v>3</v>
      </c>
      <c r="BV101" s="3"/>
      <c r="BW101" s="3"/>
      <c r="BX101" s="3"/>
      <c r="BY101" s="3"/>
      <c r="BZ101" s="3"/>
      <c r="CA101" s="13" t="s">
        <v>3</v>
      </c>
      <c r="CB101" s="3"/>
    </row>
    <row r="102" spans="2:80" ht="30" customHeight="1">
      <c r="B102" s="11">
        <f t="shared" si="8"/>
        <v>97</v>
      </c>
      <c r="C102" s="38" t="s">
        <v>603</v>
      </c>
      <c r="D102" s="37" t="s">
        <v>604</v>
      </c>
      <c r="E102" s="35" t="s">
        <v>608</v>
      </c>
      <c r="F102" s="14">
        <f t="shared" si="9"/>
        <v>2</v>
      </c>
      <c r="G102" s="15" t="s">
        <v>499</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28"/>
      <c r="AY102" s="3"/>
      <c r="AZ102" s="3"/>
      <c r="BA102" s="3"/>
      <c r="BB102" s="3"/>
      <c r="BC102" s="3"/>
      <c r="BD102" s="3"/>
      <c r="BE102" s="3"/>
      <c r="BF102" s="3"/>
      <c r="BG102" s="3"/>
      <c r="BH102" s="3"/>
      <c r="BI102" s="3"/>
      <c r="BJ102" s="3"/>
      <c r="BK102" s="3"/>
      <c r="BL102" s="3"/>
      <c r="BM102" s="3"/>
      <c r="BN102" s="28"/>
      <c r="BO102" s="3"/>
      <c r="BP102" s="3"/>
      <c r="BQ102" s="3"/>
      <c r="BR102" s="3"/>
      <c r="BS102" s="3"/>
      <c r="BT102" s="3"/>
      <c r="BU102" s="3" t="s">
        <v>3</v>
      </c>
      <c r="BV102" s="3"/>
      <c r="BW102" s="3"/>
      <c r="BX102" s="3"/>
      <c r="BY102" s="3"/>
      <c r="BZ102" s="3"/>
      <c r="CA102" s="13" t="s">
        <v>3</v>
      </c>
      <c r="CB102" s="3"/>
    </row>
    <row r="103" spans="2:80" ht="30" customHeight="1">
      <c r="B103" s="11">
        <f t="shared" si="8"/>
        <v>98</v>
      </c>
      <c r="C103" s="38" t="s">
        <v>603</v>
      </c>
      <c r="D103" s="35" t="s">
        <v>609</v>
      </c>
      <c r="E103" s="35" t="s">
        <v>610</v>
      </c>
      <c r="F103" s="14">
        <f t="shared" si="9"/>
        <v>2</v>
      </c>
      <c r="G103" s="15" t="s">
        <v>499</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28"/>
      <c r="AY103" s="3"/>
      <c r="AZ103" s="3"/>
      <c r="BA103" s="3"/>
      <c r="BB103" s="3"/>
      <c r="BC103" s="3"/>
      <c r="BD103" s="3"/>
      <c r="BE103" s="3"/>
      <c r="BF103" s="3"/>
      <c r="BG103" s="3"/>
      <c r="BH103" s="3"/>
      <c r="BI103" s="3"/>
      <c r="BJ103" s="3"/>
      <c r="BK103" s="3"/>
      <c r="BL103" s="3"/>
      <c r="BM103" s="3"/>
      <c r="BN103" s="28"/>
      <c r="BO103" s="3"/>
      <c r="BP103" s="3"/>
      <c r="BQ103" s="3"/>
      <c r="BR103" s="3"/>
      <c r="BS103" s="3"/>
      <c r="BT103" s="3"/>
      <c r="BU103" s="3" t="s">
        <v>3</v>
      </c>
      <c r="BV103" s="3"/>
      <c r="BW103" s="3"/>
      <c r="BX103" s="3"/>
      <c r="BY103" s="3"/>
      <c r="BZ103" s="3"/>
      <c r="CA103" s="13" t="s">
        <v>3</v>
      </c>
      <c r="CB103" s="3"/>
    </row>
    <row r="104" spans="2:80" ht="30" customHeight="1">
      <c r="B104" s="11">
        <f t="shared" si="8"/>
        <v>99</v>
      </c>
      <c r="C104" s="38" t="s">
        <v>603</v>
      </c>
      <c r="D104" s="37" t="s">
        <v>609</v>
      </c>
      <c r="E104" s="35" t="s">
        <v>611</v>
      </c>
      <c r="F104" s="14">
        <f t="shared" si="9"/>
        <v>2</v>
      </c>
      <c r="G104" s="15" t="s">
        <v>499</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28"/>
      <c r="AY104" s="3"/>
      <c r="AZ104" s="3"/>
      <c r="BA104" s="3"/>
      <c r="BB104" s="3"/>
      <c r="BC104" s="3"/>
      <c r="BD104" s="3"/>
      <c r="BE104" s="3"/>
      <c r="BF104" s="3"/>
      <c r="BG104" s="3"/>
      <c r="BH104" s="3"/>
      <c r="BI104" s="3"/>
      <c r="BJ104" s="3"/>
      <c r="BK104" s="3"/>
      <c r="BL104" s="3"/>
      <c r="BM104" s="3"/>
      <c r="BN104" s="28"/>
      <c r="BO104" s="3"/>
      <c r="BP104" s="3"/>
      <c r="BQ104" s="3"/>
      <c r="BR104" s="3"/>
      <c r="BS104" s="3"/>
      <c r="BT104" s="3"/>
      <c r="BU104" s="3" t="s">
        <v>3</v>
      </c>
      <c r="BV104" s="3"/>
      <c r="BW104" s="3"/>
      <c r="BX104" s="3"/>
      <c r="BY104" s="3"/>
      <c r="BZ104" s="3"/>
      <c r="CA104" s="13" t="s">
        <v>3</v>
      </c>
      <c r="CB104" s="3"/>
    </row>
    <row r="105" spans="2:80" ht="30" customHeight="1">
      <c r="B105" s="11">
        <f t="shared" si="8"/>
        <v>100</v>
      </c>
      <c r="C105" s="38" t="s">
        <v>603</v>
      </c>
      <c r="D105" s="37" t="s">
        <v>609</v>
      </c>
      <c r="E105" s="35" t="s">
        <v>612</v>
      </c>
      <c r="F105" s="14">
        <f t="shared" si="9"/>
        <v>6</v>
      </c>
      <c r="G105" s="15" t="s">
        <v>2</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28"/>
      <c r="AY105" s="3"/>
      <c r="AZ105" s="3"/>
      <c r="BA105" s="3"/>
      <c r="BB105" s="3"/>
      <c r="BC105" s="3"/>
      <c r="BD105" s="3"/>
      <c r="BE105" s="3"/>
      <c r="BF105" s="3"/>
      <c r="BG105" s="3" t="s">
        <v>3</v>
      </c>
      <c r="BH105" s="3" t="s">
        <v>3</v>
      </c>
      <c r="BI105" s="3"/>
      <c r="BJ105" s="3"/>
      <c r="BK105" s="3"/>
      <c r="BL105" s="3"/>
      <c r="BM105" s="3"/>
      <c r="BN105" s="28"/>
      <c r="BO105" s="3"/>
      <c r="BP105" s="3"/>
      <c r="BQ105" s="3"/>
      <c r="BR105" s="3"/>
      <c r="BS105" s="3"/>
      <c r="BT105" s="3"/>
      <c r="BU105" s="3" t="s">
        <v>3</v>
      </c>
      <c r="BV105" s="3"/>
      <c r="BW105" s="3" t="s">
        <v>3</v>
      </c>
      <c r="BX105" s="3"/>
      <c r="BY105" s="3" t="s">
        <v>3</v>
      </c>
      <c r="BZ105" s="3" t="s">
        <v>3</v>
      </c>
      <c r="CA105" s="3"/>
      <c r="CB105" s="3"/>
    </row>
    <row r="106" spans="2:80" ht="30" customHeight="1">
      <c r="B106" s="11">
        <f t="shared" si="8"/>
        <v>101</v>
      </c>
      <c r="C106" s="38" t="s">
        <v>603</v>
      </c>
      <c r="D106" s="37" t="s">
        <v>609</v>
      </c>
      <c r="E106" s="35" t="s">
        <v>613</v>
      </c>
      <c r="F106" s="14">
        <f t="shared" si="9"/>
        <v>24</v>
      </c>
      <c r="G106" s="15" t="s">
        <v>2</v>
      </c>
      <c r="H106" s="3" t="s">
        <v>3</v>
      </c>
      <c r="I106" s="3" t="s">
        <v>3</v>
      </c>
      <c r="J106" s="3"/>
      <c r="K106" s="3"/>
      <c r="L106" s="3"/>
      <c r="M106" s="3"/>
      <c r="N106" s="3" t="s">
        <v>3</v>
      </c>
      <c r="O106" s="3" t="s">
        <v>3</v>
      </c>
      <c r="P106" s="3" t="s">
        <v>3</v>
      </c>
      <c r="Q106" s="3"/>
      <c r="R106" s="3"/>
      <c r="S106" s="3"/>
      <c r="T106" s="3"/>
      <c r="U106" s="3"/>
      <c r="V106" s="3"/>
      <c r="W106" s="3"/>
      <c r="X106" s="3"/>
      <c r="Y106" s="3"/>
      <c r="Z106" s="3" t="s">
        <v>3</v>
      </c>
      <c r="AA106" s="3"/>
      <c r="AB106" s="3"/>
      <c r="AC106" s="3"/>
      <c r="AD106" s="3"/>
      <c r="AE106" s="3"/>
      <c r="AF106" s="3"/>
      <c r="AG106" s="3"/>
      <c r="AH106" s="3"/>
      <c r="AI106" s="3"/>
      <c r="AJ106" s="3"/>
      <c r="AK106" s="3"/>
      <c r="AL106" s="3"/>
      <c r="AM106" s="3"/>
      <c r="AN106" s="3"/>
      <c r="AO106" s="3"/>
      <c r="AP106" s="3"/>
      <c r="AQ106" s="3" t="s">
        <v>3</v>
      </c>
      <c r="AR106" s="3"/>
      <c r="AS106" s="3"/>
      <c r="AT106" s="3"/>
      <c r="AU106" s="3"/>
      <c r="AV106" s="3"/>
      <c r="AW106" s="3"/>
      <c r="AX106" s="28"/>
      <c r="AY106" s="3"/>
      <c r="AZ106" s="3" t="s">
        <v>3</v>
      </c>
      <c r="BA106" s="3" t="s">
        <v>3</v>
      </c>
      <c r="BB106" s="3" t="s">
        <v>3</v>
      </c>
      <c r="BC106" s="3" t="s">
        <v>3</v>
      </c>
      <c r="BD106" s="3" t="s">
        <v>3</v>
      </c>
      <c r="BE106" s="3" t="s">
        <v>3</v>
      </c>
      <c r="BF106" s="3" t="s">
        <v>3</v>
      </c>
      <c r="BG106" s="3"/>
      <c r="BH106" s="3"/>
      <c r="BI106" s="3"/>
      <c r="BJ106" s="3" t="s">
        <v>3</v>
      </c>
      <c r="BK106" s="3" t="s">
        <v>3</v>
      </c>
      <c r="BL106" s="3"/>
      <c r="BM106" s="3"/>
      <c r="BN106" s="28"/>
      <c r="BO106" s="3"/>
      <c r="BP106" s="3" t="s">
        <v>3</v>
      </c>
      <c r="BQ106" s="3" t="s">
        <v>3</v>
      </c>
      <c r="BR106" s="3"/>
      <c r="BS106" s="3" t="s">
        <v>3</v>
      </c>
      <c r="BT106" s="3"/>
      <c r="BU106" s="3" t="s">
        <v>3</v>
      </c>
      <c r="BV106" s="3"/>
      <c r="BW106" s="3" t="s">
        <v>3</v>
      </c>
      <c r="BX106" s="3" t="s">
        <v>3</v>
      </c>
      <c r="BY106" s="3" t="s">
        <v>3</v>
      </c>
      <c r="BZ106" s="3" t="s">
        <v>3</v>
      </c>
      <c r="CA106" s="3"/>
      <c r="CB106" s="3"/>
    </row>
    <row r="107" spans="2:80" ht="30" customHeight="1">
      <c r="B107" s="11">
        <f t="shared" si="8"/>
        <v>102</v>
      </c>
      <c r="C107" s="38" t="s">
        <v>603</v>
      </c>
      <c r="D107" s="37" t="s">
        <v>609</v>
      </c>
      <c r="E107" s="35" t="s">
        <v>614</v>
      </c>
      <c r="F107" s="14">
        <f t="shared" si="9"/>
        <v>2</v>
      </c>
      <c r="G107" s="15" t="s">
        <v>499</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28"/>
      <c r="AY107" s="3"/>
      <c r="AZ107" s="3"/>
      <c r="BA107" s="3"/>
      <c r="BB107" s="3"/>
      <c r="BC107" s="3"/>
      <c r="BD107" s="3"/>
      <c r="BE107" s="3"/>
      <c r="BF107" s="3"/>
      <c r="BG107" s="3"/>
      <c r="BH107" s="3"/>
      <c r="BI107" s="3"/>
      <c r="BJ107" s="3"/>
      <c r="BK107" s="3"/>
      <c r="BL107" s="3"/>
      <c r="BM107" s="3"/>
      <c r="BN107" s="28"/>
      <c r="BO107" s="3"/>
      <c r="BP107" s="3"/>
      <c r="BQ107" s="3"/>
      <c r="BR107" s="3"/>
      <c r="BS107" s="3"/>
      <c r="BT107" s="3"/>
      <c r="BU107" s="3" t="s">
        <v>3</v>
      </c>
      <c r="BV107" s="3"/>
      <c r="BW107" s="3"/>
      <c r="BX107" s="3"/>
      <c r="BY107" s="3"/>
      <c r="BZ107" s="3"/>
      <c r="CA107" s="13" t="s">
        <v>3</v>
      </c>
      <c r="CB107" s="3"/>
    </row>
    <row r="108" spans="2:80" ht="30" customHeight="1">
      <c r="B108" s="11">
        <f t="shared" si="8"/>
        <v>103</v>
      </c>
      <c r="C108" s="38" t="s">
        <v>603</v>
      </c>
      <c r="D108" s="37" t="s">
        <v>609</v>
      </c>
      <c r="E108" s="35" t="s">
        <v>615</v>
      </c>
      <c r="F108" s="14">
        <f t="shared" si="9"/>
        <v>2</v>
      </c>
      <c r="G108" s="15" t="s">
        <v>499</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28"/>
      <c r="AY108" s="3"/>
      <c r="AZ108" s="3"/>
      <c r="BA108" s="3"/>
      <c r="BB108" s="3"/>
      <c r="BC108" s="3"/>
      <c r="BD108" s="3"/>
      <c r="BE108" s="3"/>
      <c r="BF108" s="3"/>
      <c r="BG108" s="3"/>
      <c r="BH108" s="3"/>
      <c r="BI108" s="3"/>
      <c r="BJ108" s="3"/>
      <c r="BK108" s="3"/>
      <c r="BL108" s="3"/>
      <c r="BM108" s="3"/>
      <c r="BN108" s="28"/>
      <c r="BO108" s="3"/>
      <c r="BP108" s="3"/>
      <c r="BQ108" s="3"/>
      <c r="BR108" s="3"/>
      <c r="BS108" s="3"/>
      <c r="BT108" s="3"/>
      <c r="BU108" s="3" t="s">
        <v>3</v>
      </c>
      <c r="BV108" s="3"/>
      <c r="BW108" s="3"/>
      <c r="BX108" s="3"/>
      <c r="BY108" s="3"/>
      <c r="BZ108" s="3"/>
      <c r="CA108" s="13" t="s">
        <v>3</v>
      </c>
      <c r="CB108" s="3"/>
    </row>
    <row r="109" spans="2:80" ht="30" customHeight="1">
      <c r="B109" s="11">
        <f t="shared" si="8"/>
        <v>104</v>
      </c>
      <c r="C109" s="38" t="s">
        <v>603</v>
      </c>
      <c r="D109" s="35" t="s">
        <v>616</v>
      </c>
      <c r="E109" s="35" t="s">
        <v>617</v>
      </c>
      <c r="F109" s="14">
        <f t="shared" si="9"/>
        <v>8</v>
      </c>
      <c r="G109" s="15" t="s">
        <v>2</v>
      </c>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t="s">
        <v>3</v>
      </c>
      <c r="AO109" s="3"/>
      <c r="AP109" s="3"/>
      <c r="AQ109" s="3"/>
      <c r="AR109" s="3"/>
      <c r="AS109" s="3"/>
      <c r="AT109" s="3"/>
      <c r="AU109" s="3"/>
      <c r="AV109" s="3"/>
      <c r="AW109" s="3"/>
      <c r="AX109" s="28"/>
      <c r="AY109" s="3"/>
      <c r="AZ109" s="3"/>
      <c r="BA109" s="3"/>
      <c r="BB109" s="3"/>
      <c r="BC109" s="3"/>
      <c r="BD109" s="3"/>
      <c r="BE109" s="3"/>
      <c r="BF109" s="3"/>
      <c r="BG109" s="3" t="s">
        <v>3</v>
      </c>
      <c r="BH109" s="3" t="s">
        <v>3</v>
      </c>
      <c r="BI109" s="3"/>
      <c r="BJ109" s="3"/>
      <c r="BK109" s="3"/>
      <c r="BL109" s="3"/>
      <c r="BM109" s="3"/>
      <c r="BN109" s="28"/>
      <c r="BO109" s="3"/>
      <c r="BP109" s="3"/>
      <c r="BQ109" s="3"/>
      <c r="BR109" s="3"/>
      <c r="BS109" s="3"/>
      <c r="BT109" s="3"/>
      <c r="BU109" s="3" t="s">
        <v>3</v>
      </c>
      <c r="BV109" s="3" t="s">
        <v>3</v>
      </c>
      <c r="BW109" s="3" t="s">
        <v>3</v>
      </c>
      <c r="BX109" s="3"/>
      <c r="BY109" s="3" t="s">
        <v>3</v>
      </c>
      <c r="BZ109" s="3" t="s">
        <v>3</v>
      </c>
      <c r="CA109" s="3"/>
      <c r="CB109" s="3"/>
    </row>
    <row r="110" spans="2:80" ht="30" customHeight="1">
      <c r="B110" s="11">
        <f t="shared" si="8"/>
        <v>105</v>
      </c>
      <c r="C110" s="38" t="s">
        <v>603</v>
      </c>
      <c r="D110" s="37" t="s">
        <v>616</v>
      </c>
      <c r="E110" s="35" t="s">
        <v>618</v>
      </c>
      <c r="F110" s="14">
        <f t="shared" si="9"/>
        <v>11</v>
      </c>
      <c r="G110" s="15" t="s">
        <v>2</v>
      </c>
      <c r="H110" s="3" t="s">
        <v>3</v>
      </c>
      <c r="I110" s="3" t="s">
        <v>3</v>
      </c>
      <c r="J110" s="3"/>
      <c r="K110" s="3"/>
      <c r="L110" s="3"/>
      <c r="M110" s="3"/>
      <c r="N110" s="3" t="s">
        <v>3</v>
      </c>
      <c r="O110" s="3" t="s">
        <v>3</v>
      </c>
      <c r="P110" s="3" t="s">
        <v>3</v>
      </c>
      <c r="Q110" s="3"/>
      <c r="R110" s="3"/>
      <c r="S110" s="3"/>
      <c r="T110" s="3"/>
      <c r="U110" s="3"/>
      <c r="V110" s="3"/>
      <c r="W110" s="3" t="s">
        <v>3</v>
      </c>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28"/>
      <c r="AY110" s="3"/>
      <c r="AZ110" s="3"/>
      <c r="BA110" s="3"/>
      <c r="BB110" s="3"/>
      <c r="BC110" s="3"/>
      <c r="BD110" s="3"/>
      <c r="BE110" s="3" t="s">
        <v>3</v>
      </c>
      <c r="BF110" s="3" t="s">
        <v>3</v>
      </c>
      <c r="BG110" s="3"/>
      <c r="BH110" s="3"/>
      <c r="BI110" s="3"/>
      <c r="BJ110" s="3"/>
      <c r="BK110" s="3"/>
      <c r="BL110" s="3"/>
      <c r="BM110" s="3"/>
      <c r="BN110" s="28"/>
      <c r="BO110" s="3"/>
      <c r="BP110" s="3"/>
      <c r="BQ110" s="3"/>
      <c r="BR110" s="3"/>
      <c r="BS110" s="3"/>
      <c r="BT110" s="3"/>
      <c r="BU110" s="3" t="s">
        <v>3</v>
      </c>
      <c r="BV110" s="3"/>
      <c r="BW110" s="3" t="s">
        <v>3</v>
      </c>
      <c r="BX110" s="3" t="s">
        <v>3</v>
      </c>
      <c r="BY110" s="3"/>
      <c r="BZ110" s="3"/>
      <c r="CA110" s="3"/>
      <c r="CB110" s="3"/>
    </row>
    <row r="111" spans="2:80" ht="30" customHeight="1">
      <c r="B111" s="11">
        <f t="shared" si="8"/>
        <v>106</v>
      </c>
      <c r="C111" s="38" t="s">
        <v>603</v>
      </c>
      <c r="D111" s="37" t="s">
        <v>616</v>
      </c>
      <c r="E111" s="35" t="s">
        <v>619</v>
      </c>
      <c r="F111" s="14">
        <f t="shared" si="9"/>
        <v>2</v>
      </c>
      <c r="G111" s="15" t="s">
        <v>499</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28"/>
      <c r="AY111" s="3"/>
      <c r="AZ111" s="3"/>
      <c r="BA111" s="3"/>
      <c r="BB111" s="3"/>
      <c r="BC111" s="3"/>
      <c r="BD111" s="3"/>
      <c r="BE111" s="3"/>
      <c r="BF111" s="3"/>
      <c r="BG111" s="3"/>
      <c r="BH111" s="3"/>
      <c r="BI111" s="3"/>
      <c r="BJ111" s="3"/>
      <c r="BK111" s="3"/>
      <c r="BL111" s="3"/>
      <c r="BM111" s="3"/>
      <c r="BN111" s="28"/>
      <c r="BO111" s="3"/>
      <c r="BP111" s="3"/>
      <c r="BQ111" s="3"/>
      <c r="BR111" s="3"/>
      <c r="BS111" s="3"/>
      <c r="BT111" s="3"/>
      <c r="BU111" s="3" t="s">
        <v>3</v>
      </c>
      <c r="BV111" s="3"/>
      <c r="BW111" s="3"/>
      <c r="BX111" s="3"/>
      <c r="BY111" s="3"/>
      <c r="BZ111" s="3"/>
      <c r="CA111" s="13" t="s">
        <v>3</v>
      </c>
      <c r="CB111" s="3"/>
    </row>
    <row r="112" spans="2:80" ht="30" customHeight="1">
      <c r="B112" s="11">
        <f t="shared" si="8"/>
        <v>107</v>
      </c>
      <c r="C112" s="38" t="s">
        <v>603</v>
      </c>
      <c r="D112" s="37" t="s">
        <v>616</v>
      </c>
      <c r="E112" s="35" t="s">
        <v>620</v>
      </c>
      <c r="F112" s="14">
        <f t="shared" si="9"/>
        <v>2</v>
      </c>
      <c r="G112" s="15" t="s">
        <v>499</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28"/>
      <c r="AY112" s="3"/>
      <c r="AZ112" s="3"/>
      <c r="BA112" s="3"/>
      <c r="BB112" s="3"/>
      <c r="BC112" s="3"/>
      <c r="BD112" s="3"/>
      <c r="BE112" s="3"/>
      <c r="BF112" s="3"/>
      <c r="BG112" s="3"/>
      <c r="BH112" s="3"/>
      <c r="BI112" s="3"/>
      <c r="BJ112" s="3"/>
      <c r="BK112" s="3"/>
      <c r="BL112" s="3"/>
      <c r="BM112" s="3"/>
      <c r="BN112" s="28"/>
      <c r="BO112" s="3"/>
      <c r="BP112" s="3"/>
      <c r="BQ112" s="3"/>
      <c r="BR112" s="3"/>
      <c r="BS112" s="3"/>
      <c r="BT112" s="3"/>
      <c r="BU112" s="3" t="s">
        <v>3</v>
      </c>
      <c r="BV112" s="3"/>
      <c r="BW112" s="3"/>
      <c r="BX112" s="3"/>
      <c r="BY112" s="3"/>
      <c r="BZ112" s="3"/>
      <c r="CA112" s="13" t="s">
        <v>3</v>
      </c>
      <c r="CB112" s="3"/>
    </row>
    <row r="113" spans="2:80" ht="30" customHeight="1">
      <c r="B113" s="11">
        <f t="shared" si="8"/>
        <v>108</v>
      </c>
      <c r="C113" s="38" t="s">
        <v>603</v>
      </c>
      <c r="D113" s="37" t="s">
        <v>616</v>
      </c>
      <c r="E113" s="35" t="s">
        <v>621</v>
      </c>
      <c r="F113" s="14">
        <f t="shared" si="9"/>
        <v>9</v>
      </c>
      <c r="G113" s="15" t="s">
        <v>2</v>
      </c>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t="s">
        <v>3</v>
      </c>
      <c r="AU113" s="3"/>
      <c r="AV113" s="3"/>
      <c r="AW113" s="3"/>
      <c r="AX113" s="28"/>
      <c r="AY113" s="3"/>
      <c r="AZ113" s="3"/>
      <c r="BA113" s="3"/>
      <c r="BB113" s="3"/>
      <c r="BC113" s="3"/>
      <c r="BD113" s="3"/>
      <c r="BE113" s="3"/>
      <c r="BF113" s="3"/>
      <c r="BG113" s="3" t="s">
        <v>3</v>
      </c>
      <c r="BH113" s="3" t="s">
        <v>3</v>
      </c>
      <c r="BI113" s="3"/>
      <c r="BJ113" s="3"/>
      <c r="BK113" s="3"/>
      <c r="BL113" s="3"/>
      <c r="BM113" s="3"/>
      <c r="BN113" s="28"/>
      <c r="BO113" s="3"/>
      <c r="BP113" s="3"/>
      <c r="BQ113" s="3"/>
      <c r="BR113" s="3"/>
      <c r="BS113" s="3" t="s">
        <v>3</v>
      </c>
      <c r="BT113" s="3"/>
      <c r="BU113" s="3" t="s">
        <v>3</v>
      </c>
      <c r="BV113" s="3" t="s">
        <v>3</v>
      </c>
      <c r="BW113" s="3" t="s">
        <v>3</v>
      </c>
      <c r="BX113" s="3"/>
      <c r="BY113" s="3" t="s">
        <v>3</v>
      </c>
      <c r="BZ113" s="3" t="s">
        <v>3</v>
      </c>
      <c r="CA113" s="3"/>
      <c r="CB113" s="3"/>
    </row>
    <row r="114" spans="2:80" ht="30" customHeight="1">
      <c r="B114" s="11">
        <f t="shared" si="8"/>
        <v>109</v>
      </c>
      <c r="C114" s="38" t="s">
        <v>603</v>
      </c>
      <c r="D114" s="37" t="s">
        <v>616</v>
      </c>
      <c r="E114" s="35" t="s">
        <v>622</v>
      </c>
      <c r="F114" s="14">
        <f t="shared" si="9"/>
        <v>13</v>
      </c>
      <c r="G114" s="15" t="s">
        <v>2</v>
      </c>
      <c r="H114" s="3"/>
      <c r="I114" s="3"/>
      <c r="J114" s="3"/>
      <c r="K114" s="3"/>
      <c r="L114" s="3"/>
      <c r="M114" s="3"/>
      <c r="N114" s="3"/>
      <c r="O114" s="3" t="s">
        <v>3</v>
      </c>
      <c r="P114" s="3"/>
      <c r="Q114" s="3"/>
      <c r="R114" s="3"/>
      <c r="S114" s="3"/>
      <c r="T114" s="3"/>
      <c r="U114" s="3"/>
      <c r="V114" s="3"/>
      <c r="W114" s="3" t="s">
        <v>3</v>
      </c>
      <c r="X114" s="3"/>
      <c r="Y114" s="3"/>
      <c r="Z114" s="3" t="s">
        <v>3</v>
      </c>
      <c r="AA114" s="3"/>
      <c r="AB114" s="3"/>
      <c r="AC114" s="3"/>
      <c r="AD114" s="3"/>
      <c r="AE114" s="3"/>
      <c r="AF114" s="3"/>
      <c r="AG114" s="3"/>
      <c r="AH114" s="3"/>
      <c r="AI114" s="3"/>
      <c r="AJ114" s="3"/>
      <c r="AK114" s="3"/>
      <c r="AL114" s="3"/>
      <c r="AM114" s="3"/>
      <c r="AN114" s="3"/>
      <c r="AO114" s="3"/>
      <c r="AP114" s="3"/>
      <c r="AQ114" s="3"/>
      <c r="AR114" s="3" t="s">
        <v>3</v>
      </c>
      <c r="AS114" s="3" t="s">
        <v>3</v>
      </c>
      <c r="AT114" s="3"/>
      <c r="AU114" s="3"/>
      <c r="AV114" s="3"/>
      <c r="AW114" s="3"/>
      <c r="AX114" s="28"/>
      <c r="AY114" s="3"/>
      <c r="AZ114" s="3"/>
      <c r="BA114" s="3"/>
      <c r="BB114" s="3"/>
      <c r="BC114" s="3"/>
      <c r="BD114" s="3"/>
      <c r="BE114" s="3"/>
      <c r="BF114" s="3"/>
      <c r="BG114" s="3"/>
      <c r="BH114" s="3"/>
      <c r="BI114" s="3"/>
      <c r="BJ114" s="3" t="s">
        <v>3</v>
      </c>
      <c r="BK114" s="3" t="s">
        <v>3</v>
      </c>
      <c r="BL114" s="3"/>
      <c r="BM114" s="3"/>
      <c r="BN114" s="28"/>
      <c r="BO114" s="3"/>
      <c r="BP114" s="3"/>
      <c r="BQ114" s="3"/>
      <c r="BR114" s="3" t="s">
        <v>3</v>
      </c>
      <c r="BS114" s="3" t="s">
        <v>3</v>
      </c>
      <c r="BT114" s="3" t="s">
        <v>3</v>
      </c>
      <c r="BU114" s="3" t="s">
        <v>3</v>
      </c>
      <c r="BV114" s="3" t="s">
        <v>3</v>
      </c>
      <c r="BW114" s="3" t="s">
        <v>3</v>
      </c>
      <c r="BX114" s="3"/>
      <c r="BY114" s="3"/>
      <c r="BZ114" s="3"/>
      <c r="CA114" s="3"/>
      <c r="CB114" s="3"/>
    </row>
    <row r="115" spans="2:80" ht="30" customHeight="1">
      <c r="B115" s="11">
        <f t="shared" si="8"/>
        <v>110</v>
      </c>
      <c r="C115" s="38" t="s">
        <v>603</v>
      </c>
      <c r="D115" s="37" t="s">
        <v>616</v>
      </c>
      <c r="E115" s="40" t="s">
        <v>623</v>
      </c>
      <c r="F115" s="14">
        <f t="shared" si="9"/>
        <v>12</v>
      </c>
      <c r="G115" s="15" t="s">
        <v>2</v>
      </c>
      <c r="H115" s="3" t="s">
        <v>3</v>
      </c>
      <c r="I115" s="3"/>
      <c r="J115" s="3"/>
      <c r="K115" s="3"/>
      <c r="L115" s="3"/>
      <c r="M115" s="3"/>
      <c r="N115" s="3" t="s">
        <v>3</v>
      </c>
      <c r="O115" s="3" t="s">
        <v>3</v>
      </c>
      <c r="P115" s="3" t="s">
        <v>3</v>
      </c>
      <c r="Q115" s="3"/>
      <c r="R115" s="3"/>
      <c r="S115" s="3"/>
      <c r="T115" s="3"/>
      <c r="U115" s="3"/>
      <c r="V115" s="3"/>
      <c r="W115" s="3"/>
      <c r="X115" s="3"/>
      <c r="Y115" s="3"/>
      <c r="Z115" s="3" t="s">
        <v>3</v>
      </c>
      <c r="AA115" s="3"/>
      <c r="AB115" s="3"/>
      <c r="AC115" s="3"/>
      <c r="AD115" s="3"/>
      <c r="AE115" s="3"/>
      <c r="AF115" s="3"/>
      <c r="AG115" s="3"/>
      <c r="AH115" s="3"/>
      <c r="AI115" s="3"/>
      <c r="AJ115" s="3"/>
      <c r="AK115" s="3"/>
      <c r="AL115" s="3"/>
      <c r="AM115" s="3"/>
      <c r="AN115" s="3" t="s">
        <v>3</v>
      </c>
      <c r="AO115" s="3"/>
      <c r="AP115" s="3"/>
      <c r="AQ115" s="3"/>
      <c r="AR115" s="3"/>
      <c r="AS115" s="3"/>
      <c r="AT115" s="3"/>
      <c r="AU115" s="3"/>
      <c r="AV115" s="3"/>
      <c r="AW115" s="3"/>
      <c r="AX115" s="28"/>
      <c r="AY115" s="3"/>
      <c r="AZ115" s="3"/>
      <c r="BA115" s="3"/>
      <c r="BB115" s="3"/>
      <c r="BC115" s="3"/>
      <c r="BD115" s="3"/>
      <c r="BE115" s="3"/>
      <c r="BF115" s="3"/>
      <c r="BG115" s="3"/>
      <c r="BH115" s="3"/>
      <c r="BI115" s="3"/>
      <c r="BJ115" s="3"/>
      <c r="BK115" s="3"/>
      <c r="BL115" s="3"/>
      <c r="BM115" s="3"/>
      <c r="BN115" s="28"/>
      <c r="BO115" s="3"/>
      <c r="BP115" s="3" t="s">
        <v>3</v>
      </c>
      <c r="BQ115" s="3" t="s">
        <v>3</v>
      </c>
      <c r="BR115" s="3" t="s">
        <v>3</v>
      </c>
      <c r="BS115" s="3"/>
      <c r="BT115" s="3"/>
      <c r="BU115" s="3" t="s">
        <v>3</v>
      </c>
      <c r="BV115" s="3" t="s">
        <v>3</v>
      </c>
      <c r="BW115" s="3" t="s">
        <v>3</v>
      </c>
      <c r="BX115" s="3"/>
      <c r="BY115" s="3"/>
      <c r="BZ115" s="3"/>
      <c r="CA115" s="3"/>
      <c r="CB115" s="3"/>
    </row>
    <row r="116" spans="2:80" ht="30" customHeight="1">
      <c r="B116" s="11">
        <f t="shared" si="8"/>
        <v>111</v>
      </c>
      <c r="C116" s="38" t="s">
        <v>603</v>
      </c>
      <c r="D116" s="37" t="s">
        <v>616</v>
      </c>
      <c r="E116" s="35" t="s">
        <v>624</v>
      </c>
      <c r="F116" s="14">
        <f t="shared" si="9"/>
        <v>2</v>
      </c>
      <c r="G116" s="15" t="s">
        <v>499</v>
      </c>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28"/>
      <c r="AY116" s="3"/>
      <c r="AZ116" s="3"/>
      <c r="BA116" s="3"/>
      <c r="BB116" s="3"/>
      <c r="BC116" s="3"/>
      <c r="BD116" s="3"/>
      <c r="BE116" s="3"/>
      <c r="BF116" s="3"/>
      <c r="BG116" s="3"/>
      <c r="BH116" s="3"/>
      <c r="BI116" s="3"/>
      <c r="BJ116" s="3"/>
      <c r="BK116" s="3"/>
      <c r="BL116" s="3"/>
      <c r="BM116" s="3"/>
      <c r="BN116" s="28"/>
      <c r="BO116" s="3"/>
      <c r="BP116" s="3"/>
      <c r="BQ116" s="3"/>
      <c r="BR116" s="3"/>
      <c r="BS116" s="3"/>
      <c r="BT116" s="3"/>
      <c r="BU116" s="3" t="s">
        <v>3</v>
      </c>
      <c r="BV116" s="3"/>
      <c r="BW116" s="3"/>
      <c r="BX116" s="3"/>
      <c r="BY116" s="3"/>
      <c r="BZ116" s="3"/>
      <c r="CA116" s="13" t="s">
        <v>3</v>
      </c>
      <c r="CB116" s="3"/>
    </row>
    <row r="117" spans="2:80" ht="30" customHeight="1">
      <c r="B117" s="11">
        <f t="shared" si="8"/>
        <v>112</v>
      </c>
      <c r="C117" s="38" t="s">
        <v>603</v>
      </c>
      <c r="D117" s="37" t="s">
        <v>616</v>
      </c>
      <c r="E117" s="41" t="s">
        <v>625</v>
      </c>
      <c r="F117" s="14">
        <f t="shared" si="9"/>
        <v>0</v>
      </c>
      <c r="G117" s="15" t="s">
        <v>626</v>
      </c>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28"/>
      <c r="AY117" s="3"/>
      <c r="AZ117" s="3"/>
      <c r="BA117" s="3"/>
      <c r="BB117" s="3"/>
      <c r="BC117" s="3"/>
      <c r="BD117" s="3"/>
      <c r="BE117" s="3"/>
      <c r="BF117" s="3"/>
      <c r="BG117" s="3"/>
      <c r="BH117" s="3"/>
      <c r="BI117" s="3"/>
      <c r="BJ117" s="3"/>
      <c r="BK117" s="3"/>
      <c r="BL117" s="3"/>
      <c r="BM117" s="3"/>
      <c r="BN117" s="28"/>
      <c r="BO117" s="3"/>
      <c r="BP117" s="3"/>
      <c r="BQ117" s="3"/>
      <c r="BR117" s="3"/>
      <c r="BS117" s="3"/>
      <c r="BT117" s="3"/>
      <c r="BU117" s="3"/>
      <c r="BV117" s="3"/>
      <c r="BW117" s="3"/>
      <c r="BX117" s="3"/>
      <c r="BY117" s="3"/>
      <c r="BZ117" s="3"/>
      <c r="CA117" s="3"/>
      <c r="CB117" s="3"/>
    </row>
    <row r="118" spans="2:80" ht="30" customHeight="1">
      <c r="B118" s="11">
        <f t="shared" si="8"/>
        <v>113</v>
      </c>
      <c r="C118" s="38" t="s">
        <v>603</v>
      </c>
      <c r="D118" s="37" t="s">
        <v>616</v>
      </c>
      <c r="E118" s="41" t="s">
        <v>627</v>
      </c>
      <c r="F118" s="14">
        <f t="shared" si="9"/>
        <v>0</v>
      </c>
      <c r="G118" s="15" t="s">
        <v>626</v>
      </c>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28"/>
      <c r="AY118" s="3"/>
      <c r="AZ118" s="3"/>
      <c r="BA118" s="3"/>
      <c r="BB118" s="3"/>
      <c r="BC118" s="3"/>
      <c r="BD118" s="3"/>
      <c r="BE118" s="3"/>
      <c r="BF118" s="3"/>
      <c r="BG118" s="3"/>
      <c r="BH118" s="3"/>
      <c r="BI118" s="3"/>
      <c r="BJ118" s="3"/>
      <c r="BK118" s="3"/>
      <c r="BL118" s="3"/>
      <c r="BM118" s="3"/>
      <c r="BN118" s="28"/>
      <c r="BO118" s="3"/>
      <c r="BP118" s="3"/>
      <c r="BQ118" s="3"/>
      <c r="BR118" s="3"/>
      <c r="BS118" s="3"/>
      <c r="BT118" s="3"/>
      <c r="BU118" s="3"/>
      <c r="BV118" s="3"/>
      <c r="BW118" s="3"/>
      <c r="BX118" s="3"/>
      <c r="BY118" s="3"/>
      <c r="BZ118" s="3"/>
      <c r="CA118" s="3"/>
      <c r="CB118" s="3"/>
    </row>
    <row r="119" spans="2:80" ht="30" customHeight="1">
      <c r="B119" s="11">
        <f t="shared" si="8"/>
        <v>114</v>
      </c>
      <c r="C119" s="38" t="s">
        <v>603</v>
      </c>
      <c r="D119" s="37" t="s">
        <v>616</v>
      </c>
      <c r="E119" s="41" t="s">
        <v>628</v>
      </c>
      <c r="F119" s="14">
        <f t="shared" si="9"/>
        <v>0</v>
      </c>
      <c r="G119" s="15" t="s">
        <v>626</v>
      </c>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28"/>
      <c r="AY119" s="3"/>
      <c r="AZ119" s="3"/>
      <c r="BA119" s="3"/>
      <c r="BB119" s="3"/>
      <c r="BC119" s="3"/>
      <c r="BD119" s="3"/>
      <c r="BE119" s="3"/>
      <c r="BF119" s="3"/>
      <c r="BG119" s="3"/>
      <c r="BH119" s="3"/>
      <c r="BI119" s="3"/>
      <c r="BJ119" s="3"/>
      <c r="BK119" s="3"/>
      <c r="BL119" s="3"/>
      <c r="BM119" s="3"/>
      <c r="BN119" s="28"/>
      <c r="BO119" s="3"/>
      <c r="BP119" s="3"/>
      <c r="BQ119" s="3"/>
      <c r="BR119" s="3"/>
      <c r="BS119" s="3"/>
      <c r="BT119" s="3"/>
      <c r="BU119" s="3"/>
      <c r="BV119" s="3"/>
      <c r="BW119" s="3"/>
      <c r="BX119" s="3"/>
      <c r="BY119" s="3"/>
      <c r="BZ119" s="3"/>
      <c r="CA119" s="3"/>
      <c r="CB119" s="3"/>
    </row>
    <row r="120" spans="2:80" ht="30" customHeight="1">
      <c r="B120" s="11">
        <f t="shared" si="8"/>
        <v>115</v>
      </c>
      <c r="C120" s="38" t="s">
        <v>603</v>
      </c>
      <c r="D120" s="37" t="s">
        <v>616</v>
      </c>
      <c r="E120" s="41" t="s">
        <v>629</v>
      </c>
      <c r="F120" s="14">
        <f t="shared" si="9"/>
        <v>0</v>
      </c>
      <c r="G120" s="15" t="s">
        <v>626</v>
      </c>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28"/>
      <c r="AY120" s="3"/>
      <c r="AZ120" s="3"/>
      <c r="BA120" s="3"/>
      <c r="BB120" s="3"/>
      <c r="BC120" s="3"/>
      <c r="BD120" s="3"/>
      <c r="BE120" s="3"/>
      <c r="BF120" s="3"/>
      <c r="BG120" s="3"/>
      <c r="BH120" s="3"/>
      <c r="BI120" s="3"/>
      <c r="BJ120" s="3"/>
      <c r="BK120" s="3"/>
      <c r="BL120" s="3"/>
      <c r="BM120" s="3"/>
      <c r="BN120" s="28"/>
      <c r="BO120" s="3"/>
      <c r="BP120" s="3"/>
      <c r="BQ120" s="3"/>
      <c r="BR120" s="3"/>
      <c r="BS120" s="3"/>
      <c r="BT120" s="3"/>
      <c r="BU120" s="3"/>
      <c r="BV120" s="3"/>
      <c r="BW120" s="3"/>
      <c r="BX120" s="3"/>
      <c r="BY120" s="3"/>
      <c r="BZ120" s="3"/>
      <c r="CA120" s="3"/>
      <c r="CB120" s="3"/>
    </row>
    <row r="121" spans="2:80" ht="30" customHeight="1">
      <c r="B121" s="11">
        <f t="shared" si="8"/>
        <v>116</v>
      </c>
      <c r="C121" s="38" t="s">
        <v>603</v>
      </c>
      <c r="D121" s="35" t="s">
        <v>630</v>
      </c>
      <c r="E121" s="35" t="s">
        <v>631</v>
      </c>
      <c r="F121" s="14">
        <f t="shared" si="9"/>
        <v>5</v>
      </c>
      <c r="G121" s="15" t="s">
        <v>2</v>
      </c>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28"/>
      <c r="AY121" s="3"/>
      <c r="AZ121" s="3"/>
      <c r="BA121" s="3"/>
      <c r="BB121" s="3"/>
      <c r="BC121" s="3"/>
      <c r="BD121" s="3"/>
      <c r="BE121" s="3"/>
      <c r="BF121" s="3"/>
      <c r="BG121" s="3"/>
      <c r="BH121" s="3"/>
      <c r="BI121" s="3"/>
      <c r="BJ121" s="3"/>
      <c r="BK121" s="3"/>
      <c r="BL121" s="3"/>
      <c r="BM121" s="3"/>
      <c r="BN121" s="28"/>
      <c r="BO121" s="3"/>
      <c r="BP121" s="3"/>
      <c r="BQ121" s="3"/>
      <c r="BR121" s="3"/>
      <c r="BS121" s="3"/>
      <c r="BT121" s="3"/>
      <c r="BU121" s="3" t="s">
        <v>3</v>
      </c>
      <c r="BV121" s="3" t="s">
        <v>3</v>
      </c>
      <c r="BW121" s="3" t="s">
        <v>3</v>
      </c>
      <c r="BX121" s="3"/>
      <c r="BY121" s="3" t="s">
        <v>3</v>
      </c>
      <c r="BZ121" s="3" t="s">
        <v>3</v>
      </c>
      <c r="CA121" s="3"/>
      <c r="CB121" s="3"/>
    </row>
    <row r="122" spans="2:80" ht="30" customHeight="1">
      <c r="B122" s="11">
        <f t="shared" si="8"/>
        <v>117</v>
      </c>
      <c r="C122" s="38" t="s">
        <v>603</v>
      </c>
      <c r="D122" s="37" t="s">
        <v>630</v>
      </c>
      <c r="E122" s="35" t="s">
        <v>632</v>
      </c>
      <c r="F122" s="14">
        <f t="shared" si="9"/>
        <v>14</v>
      </c>
      <c r="G122" s="15" t="s">
        <v>2</v>
      </c>
      <c r="H122" s="3"/>
      <c r="I122" s="3"/>
      <c r="J122" s="3"/>
      <c r="K122" s="3"/>
      <c r="L122" s="3"/>
      <c r="M122" s="3"/>
      <c r="N122" s="3"/>
      <c r="O122" s="3" t="s">
        <v>3</v>
      </c>
      <c r="P122" s="3"/>
      <c r="Q122" s="3"/>
      <c r="R122" s="3"/>
      <c r="S122" s="3"/>
      <c r="T122" s="3"/>
      <c r="U122" s="3"/>
      <c r="V122" s="3"/>
      <c r="W122" s="3"/>
      <c r="X122" s="3" t="s">
        <v>3</v>
      </c>
      <c r="Y122" s="3"/>
      <c r="Z122" s="3" t="s">
        <v>3</v>
      </c>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28"/>
      <c r="AY122" s="3"/>
      <c r="AZ122" s="3"/>
      <c r="BA122" s="3"/>
      <c r="BB122" s="3"/>
      <c r="BC122" s="3"/>
      <c r="BD122" s="3"/>
      <c r="BE122" s="3"/>
      <c r="BF122" s="3"/>
      <c r="BG122" s="3"/>
      <c r="BH122" s="3"/>
      <c r="BI122" s="3"/>
      <c r="BJ122" s="3" t="s">
        <v>3</v>
      </c>
      <c r="BK122" s="3" t="s">
        <v>3</v>
      </c>
      <c r="BL122" s="3"/>
      <c r="BM122" s="3"/>
      <c r="BN122" s="28"/>
      <c r="BO122" s="3"/>
      <c r="BP122" s="3" t="s">
        <v>3</v>
      </c>
      <c r="BQ122" s="3" t="s">
        <v>3</v>
      </c>
      <c r="BR122" s="3" t="s">
        <v>3</v>
      </c>
      <c r="BS122" s="3" t="s">
        <v>3</v>
      </c>
      <c r="BT122" s="3"/>
      <c r="BU122" s="3" t="s">
        <v>3</v>
      </c>
      <c r="BV122" s="3" t="s">
        <v>3</v>
      </c>
      <c r="BW122" s="3" t="s">
        <v>3</v>
      </c>
      <c r="BX122" s="3" t="s">
        <v>3</v>
      </c>
      <c r="BY122" s="3"/>
      <c r="BZ122" s="3" t="s">
        <v>3</v>
      </c>
      <c r="CA122" s="3"/>
      <c r="CB122" s="3"/>
    </row>
    <row r="123" spans="2:80" ht="30" customHeight="1">
      <c r="B123" s="11">
        <f t="shared" si="8"/>
        <v>118</v>
      </c>
      <c r="C123" s="38" t="s">
        <v>603</v>
      </c>
      <c r="D123" s="37" t="s">
        <v>630</v>
      </c>
      <c r="E123" s="35" t="s">
        <v>633</v>
      </c>
      <c r="F123" s="14">
        <f t="shared" si="9"/>
        <v>2</v>
      </c>
      <c r="G123" s="15" t="s">
        <v>499</v>
      </c>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28"/>
      <c r="AY123" s="3"/>
      <c r="AZ123" s="3"/>
      <c r="BA123" s="3"/>
      <c r="BB123" s="3"/>
      <c r="BC123" s="3"/>
      <c r="BD123" s="3"/>
      <c r="BE123" s="3"/>
      <c r="BF123" s="3"/>
      <c r="BG123" s="3"/>
      <c r="BH123" s="3"/>
      <c r="BI123" s="3"/>
      <c r="BJ123" s="3"/>
      <c r="BK123" s="3"/>
      <c r="BL123" s="3"/>
      <c r="BM123" s="3"/>
      <c r="BN123" s="28"/>
      <c r="BO123" s="3"/>
      <c r="BP123" s="3"/>
      <c r="BQ123" s="3"/>
      <c r="BR123" s="3"/>
      <c r="BS123" s="3"/>
      <c r="BT123" s="3"/>
      <c r="BU123" s="3" t="s">
        <v>3</v>
      </c>
      <c r="BV123" s="3"/>
      <c r="BW123" s="3"/>
      <c r="BX123" s="3"/>
      <c r="BY123" s="3"/>
      <c r="BZ123" s="3"/>
      <c r="CA123" s="13" t="s">
        <v>3</v>
      </c>
      <c r="CB123" s="3"/>
    </row>
    <row r="124" spans="2:80" ht="30" customHeight="1">
      <c r="B124" s="11">
        <f t="shared" si="8"/>
        <v>119</v>
      </c>
      <c r="C124" s="38" t="s">
        <v>603</v>
      </c>
      <c r="D124" s="37" t="s">
        <v>630</v>
      </c>
      <c r="E124" s="35" t="s">
        <v>634</v>
      </c>
      <c r="F124" s="14">
        <f t="shared" si="9"/>
        <v>2</v>
      </c>
      <c r="G124" s="15" t="s">
        <v>499</v>
      </c>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28"/>
      <c r="AY124" s="3"/>
      <c r="AZ124" s="3"/>
      <c r="BA124" s="3"/>
      <c r="BB124" s="3"/>
      <c r="BC124" s="3"/>
      <c r="BD124" s="3"/>
      <c r="BE124" s="3"/>
      <c r="BF124" s="3"/>
      <c r="BG124" s="3"/>
      <c r="BH124" s="3"/>
      <c r="BI124" s="3"/>
      <c r="BJ124" s="3"/>
      <c r="BK124" s="3"/>
      <c r="BL124" s="3"/>
      <c r="BM124" s="3"/>
      <c r="BN124" s="28"/>
      <c r="BO124" s="3"/>
      <c r="BP124" s="3"/>
      <c r="BQ124" s="3"/>
      <c r="BR124" s="3"/>
      <c r="BS124" s="3"/>
      <c r="BT124" s="3"/>
      <c r="BU124" s="3" t="s">
        <v>3</v>
      </c>
      <c r="BV124" s="3"/>
      <c r="BW124" s="3"/>
      <c r="BX124" s="3"/>
      <c r="BY124" s="3"/>
      <c r="BZ124" s="3"/>
      <c r="CA124" s="13" t="s">
        <v>3</v>
      </c>
      <c r="CB124" s="3"/>
    </row>
    <row r="125" spans="2:80" ht="30" customHeight="1">
      <c r="B125" s="11">
        <f t="shared" si="8"/>
        <v>120</v>
      </c>
      <c r="C125" s="38" t="s">
        <v>603</v>
      </c>
      <c r="D125" s="37" t="s">
        <v>630</v>
      </c>
      <c r="E125" s="35" t="s">
        <v>635</v>
      </c>
      <c r="F125" s="14">
        <f t="shared" si="9"/>
        <v>2</v>
      </c>
      <c r="G125" s="15" t="s">
        <v>499</v>
      </c>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28"/>
      <c r="AY125" s="3"/>
      <c r="AZ125" s="3"/>
      <c r="BA125" s="3"/>
      <c r="BB125" s="3"/>
      <c r="BC125" s="3"/>
      <c r="BD125" s="3"/>
      <c r="BE125" s="3"/>
      <c r="BF125" s="3"/>
      <c r="BG125" s="3"/>
      <c r="BH125" s="3"/>
      <c r="BI125" s="3"/>
      <c r="BJ125" s="3"/>
      <c r="BK125" s="3"/>
      <c r="BL125" s="3"/>
      <c r="BM125" s="3"/>
      <c r="BN125" s="28"/>
      <c r="BO125" s="3"/>
      <c r="BP125" s="3"/>
      <c r="BQ125" s="3"/>
      <c r="BR125" s="3"/>
      <c r="BS125" s="3"/>
      <c r="BT125" s="3"/>
      <c r="BU125" s="3" t="s">
        <v>3</v>
      </c>
      <c r="BV125" s="3"/>
      <c r="BW125" s="3"/>
      <c r="BX125" s="3"/>
      <c r="BY125" s="3"/>
      <c r="BZ125" s="3"/>
      <c r="CA125" s="13" t="s">
        <v>3</v>
      </c>
      <c r="CB125" s="3"/>
    </row>
    <row r="126" spans="2:80" ht="30" customHeight="1">
      <c r="B126" s="11">
        <f t="shared" si="8"/>
        <v>121</v>
      </c>
      <c r="C126" s="38" t="s">
        <v>603</v>
      </c>
      <c r="D126" s="35" t="s">
        <v>636</v>
      </c>
      <c r="E126" s="35" t="s">
        <v>637</v>
      </c>
      <c r="F126" s="14">
        <f t="shared" si="9"/>
        <v>2</v>
      </c>
      <c r="G126" s="15" t="s">
        <v>499</v>
      </c>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28"/>
      <c r="AY126" s="3"/>
      <c r="AZ126" s="3"/>
      <c r="BA126" s="3"/>
      <c r="BB126" s="3"/>
      <c r="BC126" s="3"/>
      <c r="BD126" s="3"/>
      <c r="BE126" s="3"/>
      <c r="BF126" s="3"/>
      <c r="BG126" s="3"/>
      <c r="BH126" s="3"/>
      <c r="BI126" s="3"/>
      <c r="BJ126" s="3"/>
      <c r="BK126" s="3"/>
      <c r="BL126" s="3"/>
      <c r="BM126" s="3"/>
      <c r="BN126" s="28"/>
      <c r="BO126" s="3"/>
      <c r="BP126" s="3"/>
      <c r="BQ126" s="3"/>
      <c r="BR126" s="3"/>
      <c r="BS126" s="3"/>
      <c r="BT126" s="3"/>
      <c r="BU126" s="3" t="s">
        <v>3</v>
      </c>
      <c r="BV126" s="3"/>
      <c r="BW126" s="3"/>
      <c r="BX126" s="3"/>
      <c r="BY126" s="3"/>
      <c r="BZ126" s="3"/>
      <c r="CA126" s="13" t="s">
        <v>3</v>
      </c>
      <c r="CB126" s="3"/>
    </row>
    <row r="127" spans="2:80" ht="30" customHeight="1">
      <c r="B127" s="11">
        <f t="shared" si="8"/>
        <v>122</v>
      </c>
      <c r="C127" s="38" t="s">
        <v>603</v>
      </c>
      <c r="D127" s="37" t="s">
        <v>636</v>
      </c>
      <c r="E127" s="35" t="s">
        <v>638</v>
      </c>
      <c r="F127" s="14">
        <f t="shared" si="9"/>
        <v>2</v>
      </c>
      <c r="G127" s="15" t="s">
        <v>499</v>
      </c>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28"/>
      <c r="AY127" s="3"/>
      <c r="AZ127" s="3"/>
      <c r="BA127" s="3"/>
      <c r="BB127" s="3"/>
      <c r="BC127" s="3"/>
      <c r="BD127" s="3"/>
      <c r="BE127" s="3"/>
      <c r="BF127" s="3"/>
      <c r="BG127" s="3"/>
      <c r="BH127" s="3"/>
      <c r="BI127" s="3"/>
      <c r="BJ127" s="3"/>
      <c r="BK127" s="3"/>
      <c r="BL127" s="3"/>
      <c r="BM127" s="3"/>
      <c r="BN127" s="28"/>
      <c r="BO127" s="3"/>
      <c r="BP127" s="3"/>
      <c r="BQ127" s="3"/>
      <c r="BR127" s="3"/>
      <c r="BS127" s="3"/>
      <c r="BT127" s="3"/>
      <c r="BU127" s="3" t="s">
        <v>3</v>
      </c>
      <c r="BV127" s="3"/>
      <c r="BW127" s="3"/>
      <c r="BX127" s="3"/>
      <c r="BY127" s="3"/>
      <c r="BZ127" s="3"/>
      <c r="CA127" s="13" t="s">
        <v>3</v>
      </c>
      <c r="CB127" s="3"/>
    </row>
    <row r="128" spans="2:80" ht="30" customHeight="1">
      <c r="B128" s="11">
        <f t="shared" si="8"/>
        <v>123</v>
      </c>
      <c r="C128" s="38" t="s">
        <v>603</v>
      </c>
      <c r="D128" s="37" t="s">
        <v>636</v>
      </c>
      <c r="E128" s="35" t="s">
        <v>639</v>
      </c>
      <c r="F128" s="14">
        <f t="shared" si="9"/>
        <v>2</v>
      </c>
      <c r="G128" s="15" t="s">
        <v>499</v>
      </c>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28"/>
      <c r="AY128" s="3"/>
      <c r="AZ128" s="3"/>
      <c r="BA128" s="3"/>
      <c r="BB128" s="3"/>
      <c r="BC128" s="3"/>
      <c r="BD128" s="3"/>
      <c r="BE128" s="3"/>
      <c r="BF128" s="3"/>
      <c r="BG128" s="3"/>
      <c r="BH128" s="3"/>
      <c r="BI128" s="3"/>
      <c r="BJ128" s="3"/>
      <c r="BK128" s="3"/>
      <c r="BL128" s="3"/>
      <c r="BM128" s="3"/>
      <c r="BN128" s="28"/>
      <c r="BO128" s="3"/>
      <c r="BP128" s="3"/>
      <c r="BQ128" s="3"/>
      <c r="BR128" s="3"/>
      <c r="BS128" s="3"/>
      <c r="BT128" s="3"/>
      <c r="BU128" s="3" t="s">
        <v>3</v>
      </c>
      <c r="BV128" s="3"/>
      <c r="BW128" s="3"/>
      <c r="BX128" s="3"/>
      <c r="BY128" s="3"/>
      <c r="BZ128" s="3"/>
      <c r="CA128" s="13" t="s">
        <v>3</v>
      </c>
      <c r="CB128" s="3"/>
    </row>
    <row r="129" spans="2:80" ht="30" customHeight="1">
      <c r="B129" s="11">
        <f t="shared" si="8"/>
        <v>124</v>
      </c>
      <c r="C129" s="38" t="s">
        <v>603</v>
      </c>
      <c r="D129" s="37" t="s">
        <v>636</v>
      </c>
      <c r="E129" s="35" t="s">
        <v>640</v>
      </c>
      <c r="F129" s="14">
        <f t="shared" si="9"/>
        <v>2</v>
      </c>
      <c r="G129" s="15" t="s">
        <v>499</v>
      </c>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28"/>
      <c r="AY129" s="3"/>
      <c r="AZ129" s="3"/>
      <c r="BA129" s="3"/>
      <c r="BB129" s="3"/>
      <c r="BC129" s="3"/>
      <c r="BD129" s="3"/>
      <c r="BE129" s="3"/>
      <c r="BF129" s="3"/>
      <c r="BG129" s="3"/>
      <c r="BH129" s="3"/>
      <c r="BI129" s="3"/>
      <c r="BJ129" s="3"/>
      <c r="BK129" s="3"/>
      <c r="BL129" s="3"/>
      <c r="BM129" s="3"/>
      <c r="BN129" s="28"/>
      <c r="BO129" s="3"/>
      <c r="BP129" s="3"/>
      <c r="BQ129" s="3"/>
      <c r="BR129" s="3"/>
      <c r="BS129" s="3"/>
      <c r="BT129" s="3"/>
      <c r="BU129" s="3" t="s">
        <v>3</v>
      </c>
      <c r="BV129" s="3"/>
      <c r="BW129" s="3"/>
      <c r="BX129" s="3"/>
      <c r="BY129" s="3"/>
      <c r="BZ129" s="3"/>
      <c r="CA129" s="13" t="s">
        <v>3</v>
      </c>
      <c r="CB129" s="3"/>
    </row>
    <row r="130" spans="2:80" ht="30" customHeight="1">
      <c r="B130" s="11">
        <f t="shared" si="8"/>
        <v>125</v>
      </c>
      <c r="C130" s="38" t="s">
        <v>603</v>
      </c>
      <c r="D130" s="37" t="s">
        <v>636</v>
      </c>
      <c r="E130" s="35" t="s">
        <v>641</v>
      </c>
      <c r="F130" s="14">
        <f t="shared" si="9"/>
        <v>2</v>
      </c>
      <c r="G130" s="15" t="s">
        <v>499</v>
      </c>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28"/>
      <c r="AY130" s="3"/>
      <c r="AZ130" s="3"/>
      <c r="BA130" s="3"/>
      <c r="BB130" s="3"/>
      <c r="BC130" s="3"/>
      <c r="BD130" s="3"/>
      <c r="BE130" s="3"/>
      <c r="BF130" s="3"/>
      <c r="BG130" s="3"/>
      <c r="BH130" s="3"/>
      <c r="BI130" s="3"/>
      <c r="BJ130" s="3"/>
      <c r="BK130" s="3"/>
      <c r="BL130" s="3"/>
      <c r="BM130" s="3"/>
      <c r="BN130" s="28"/>
      <c r="BO130" s="3"/>
      <c r="BP130" s="3"/>
      <c r="BQ130" s="3"/>
      <c r="BR130" s="3"/>
      <c r="BS130" s="3"/>
      <c r="BT130" s="3"/>
      <c r="BU130" s="3" t="s">
        <v>3</v>
      </c>
      <c r="BV130" s="3"/>
      <c r="BW130" s="3"/>
      <c r="BX130" s="3"/>
      <c r="BY130" s="3"/>
      <c r="BZ130" s="3"/>
      <c r="CA130" s="13" t="s">
        <v>3</v>
      </c>
      <c r="CB130" s="3"/>
    </row>
    <row r="131" spans="2:80" ht="30" customHeight="1">
      <c r="B131" s="11">
        <f t="shared" si="8"/>
        <v>126</v>
      </c>
      <c r="C131" s="38" t="s">
        <v>603</v>
      </c>
      <c r="D131" s="37" t="s">
        <v>636</v>
      </c>
      <c r="E131" s="35" t="s">
        <v>642</v>
      </c>
      <c r="F131" s="14">
        <f t="shared" si="9"/>
        <v>2</v>
      </c>
      <c r="G131" s="15" t="s">
        <v>499</v>
      </c>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28"/>
      <c r="AY131" s="3"/>
      <c r="AZ131" s="3"/>
      <c r="BA131" s="3"/>
      <c r="BB131" s="3"/>
      <c r="BC131" s="3"/>
      <c r="BD131" s="3"/>
      <c r="BE131" s="3"/>
      <c r="BF131" s="3"/>
      <c r="BG131" s="3"/>
      <c r="BH131" s="3"/>
      <c r="BI131" s="3"/>
      <c r="BJ131" s="3"/>
      <c r="BK131" s="3"/>
      <c r="BL131" s="3"/>
      <c r="BM131" s="3"/>
      <c r="BN131" s="28"/>
      <c r="BO131" s="3"/>
      <c r="BP131" s="3"/>
      <c r="BQ131" s="3"/>
      <c r="BR131" s="3"/>
      <c r="BS131" s="3"/>
      <c r="BT131" s="3"/>
      <c r="BU131" s="3" t="s">
        <v>3</v>
      </c>
      <c r="BV131" s="3"/>
      <c r="BW131" s="3"/>
      <c r="BX131" s="3"/>
      <c r="BY131" s="3"/>
      <c r="BZ131" s="3"/>
      <c r="CA131" s="13" t="s">
        <v>3</v>
      </c>
      <c r="CB131" s="3"/>
    </row>
    <row r="132" spans="2:80" ht="30" customHeight="1">
      <c r="B132" s="11">
        <f t="shared" si="8"/>
        <v>127</v>
      </c>
      <c r="C132" s="38" t="s">
        <v>603</v>
      </c>
      <c r="D132" s="37" t="s">
        <v>636</v>
      </c>
      <c r="E132" s="35" t="s">
        <v>643</v>
      </c>
      <c r="F132" s="14">
        <f t="shared" si="9"/>
        <v>2</v>
      </c>
      <c r="G132" s="15" t="s">
        <v>499</v>
      </c>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28"/>
      <c r="AY132" s="3"/>
      <c r="AZ132" s="3"/>
      <c r="BA132" s="3"/>
      <c r="BB132" s="3"/>
      <c r="BC132" s="3"/>
      <c r="BD132" s="3"/>
      <c r="BE132" s="3"/>
      <c r="BF132" s="3"/>
      <c r="BG132" s="3"/>
      <c r="BH132" s="3"/>
      <c r="BI132" s="3"/>
      <c r="BJ132" s="3"/>
      <c r="BK132" s="3"/>
      <c r="BL132" s="3"/>
      <c r="BM132" s="3"/>
      <c r="BN132" s="28"/>
      <c r="BO132" s="3"/>
      <c r="BP132" s="3"/>
      <c r="BQ132" s="3"/>
      <c r="BR132" s="3"/>
      <c r="BS132" s="3"/>
      <c r="BT132" s="3"/>
      <c r="BU132" s="3" t="s">
        <v>3</v>
      </c>
      <c r="BV132" s="3"/>
      <c r="BW132" s="3"/>
      <c r="BX132" s="3"/>
      <c r="BY132" s="3"/>
      <c r="BZ132" s="3"/>
      <c r="CA132" s="13" t="s">
        <v>3</v>
      </c>
      <c r="CB132" s="3"/>
    </row>
    <row r="133" spans="2:80" ht="30" customHeight="1">
      <c r="B133" s="11">
        <f t="shared" si="8"/>
        <v>128</v>
      </c>
      <c r="C133" s="38" t="s">
        <v>603</v>
      </c>
      <c r="D133" s="37" t="s">
        <v>636</v>
      </c>
      <c r="E133" s="35" t="s">
        <v>644</v>
      </c>
      <c r="F133" s="14">
        <f t="shared" si="9"/>
        <v>2</v>
      </c>
      <c r="G133" s="15" t="s">
        <v>499</v>
      </c>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28"/>
      <c r="AY133" s="3"/>
      <c r="AZ133" s="3"/>
      <c r="BA133" s="3"/>
      <c r="BB133" s="3"/>
      <c r="BC133" s="3"/>
      <c r="BD133" s="3"/>
      <c r="BE133" s="3"/>
      <c r="BF133" s="3"/>
      <c r="BG133" s="3"/>
      <c r="BH133" s="3"/>
      <c r="BI133" s="3"/>
      <c r="BJ133" s="3"/>
      <c r="BK133" s="3"/>
      <c r="BL133" s="3"/>
      <c r="BM133" s="3"/>
      <c r="BN133" s="28"/>
      <c r="BO133" s="3"/>
      <c r="BP133" s="3"/>
      <c r="BQ133" s="3"/>
      <c r="BR133" s="3"/>
      <c r="BS133" s="3"/>
      <c r="BT133" s="3"/>
      <c r="BU133" s="3" t="s">
        <v>3</v>
      </c>
      <c r="BV133" s="3"/>
      <c r="BW133" s="3"/>
      <c r="BX133" s="3"/>
      <c r="BY133" s="3"/>
      <c r="BZ133" s="3"/>
      <c r="CA133" s="13" t="s">
        <v>3</v>
      </c>
      <c r="CB133" s="3"/>
    </row>
    <row r="134" spans="2:80" ht="30" customHeight="1">
      <c r="B134" s="11">
        <f t="shared" ref="B134:B197" si="10">ROW()-5</f>
        <v>129</v>
      </c>
      <c r="C134" s="38" t="s">
        <v>603</v>
      </c>
      <c r="D134" s="37" t="s">
        <v>636</v>
      </c>
      <c r="E134" s="35" t="s">
        <v>645</v>
      </c>
      <c r="F134" s="14">
        <f t="shared" si="9"/>
        <v>2</v>
      </c>
      <c r="G134" s="15" t="s">
        <v>499</v>
      </c>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28"/>
      <c r="AY134" s="3"/>
      <c r="AZ134" s="3"/>
      <c r="BA134" s="3"/>
      <c r="BB134" s="3"/>
      <c r="BC134" s="3"/>
      <c r="BD134" s="3"/>
      <c r="BE134" s="3"/>
      <c r="BF134" s="3"/>
      <c r="BG134" s="3"/>
      <c r="BH134" s="3"/>
      <c r="BI134" s="3"/>
      <c r="BJ134" s="3"/>
      <c r="BK134" s="3"/>
      <c r="BL134" s="3"/>
      <c r="BM134" s="3"/>
      <c r="BN134" s="28"/>
      <c r="BO134" s="3"/>
      <c r="BP134" s="3"/>
      <c r="BQ134" s="3"/>
      <c r="BR134" s="3"/>
      <c r="BS134" s="3"/>
      <c r="BT134" s="3"/>
      <c r="BU134" s="3" t="s">
        <v>3</v>
      </c>
      <c r="BV134" s="3"/>
      <c r="BW134" s="3"/>
      <c r="BX134" s="3"/>
      <c r="BY134" s="3"/>
      <c r="BZ134" s="3"/>
      <c r="CA134" s="13" t="s">
        <v>3</v>
      </c>
      <c r="CB134" s="3"/>
    </row>
    <row r="135" spans="2:80" ht="30" customHeight="1">
      <c r="B135" s="11">
        <f t="shared" si="10"/>
        <v>130</v>
      </c>
      <c r="C135" s="38" t="s">
        <v>603</v>
      </c>
      <c r="D135" s="37" t="s">
        <v>636</v>
      </c>
      <c r="E135" s="35" t="s">
        <v>646</v>
      </c>
      <c r="F135" s="14">
        <f t="shared" si="9"/>
        <v>2</v>
      </c>
      <c r="G135" s="15" t="s">
        <v>499</v>
      </c>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28"/>
      <c r="AY135" s="3"/>
      <c r="AZ135" s="3"/>
      <c r="BA135" s="3"/>
      <c r="BB135" s="3"/>
      <c r="BC135" s="3"/>
      <c r="BD135" s="3"/>
      <c r="BE135" s="3"/>
      <c r="BF135" s="3"/>
      <c r="BG135" s="3"/>
      <c r="BH135" s="3"/>
      <c r="BI135" s="3"/>
      <c r="BJ135" s="3"/>
      <c r="BK135" s="3"/>
      <c r="BL135" s="3"/>
      <c r="BM135" s="3"/>
      <c r="BN135" s="28"/>
      <c r="BO135" s="3"/>
      <c r="BP135" s="3"/>
      <c r="BQ135" s="3"/>
      <c r="BR135" s="3"/>
      <c r="BS135" s="3"/>
      <c r="BT135" s="3"/>
      <c r="BU135" s="3" t="s">
        <v>3</v>
      </c>
      <c r="BV135" s="3"/>
      <c r="BW135" s="3"/>
      <c r="BX135" s="3"/>
      <c r="BY135" s="3"/>
      <c r="BZ135" s="3"/>
      <c r="CA135" s="13" t="s">
        <v>3</v>
      </c>
      <c r="CB135" s="3"/>
    </row>
    <row r="136" spans="2:80" ht="30" customHeight="1">
      <c r="B136" s="11">
        <f t="shared" si="10"/>
        <v>131</v>
      </c>
      <c r="C136" s="38" t="s">
        <v>603</v>
      </c>
      <c r="D136" s="37" t="s">
        <v>636</v>
      </c>
      <c r="E136" s="35" t="s">
        <v>647</v>
      </c>
      <c r="F136" s="14">
        <f t="shared" si="9"/>
        <v>2</v>
      </c>
      <c r="G136" s="15" t="s">
        <v>499</v>
      </c>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28"/>
      <c r="AY136" s="3"/>
      <c r="AZ136" s="3"/>
      <c r="BA136" s="3"/>
      <c r="BB136" s="3"/>
      <c r="BC136" s="3"/>
      <c r="BD136" s="3"/>
      <c r="BE136" s="3"/>
      <c r="BF136" s="3"/>
      <c r="BG136" s="3"/>
      <c r="BH136" s="3"/>
      <c r="BI136" s="3"/>
      <c r="BJ136" s="3"/>
      <c r="BK136" s="3"/>
      <c r="BL136" s="3"/>
      <c r="BM136" s="3"/>
      <c r="BN136" s="28"/>
      <c r="BO136" s="3"/>
      <c r="BP136" s="3"/>
      <c r="BQ136" s="3"/>
      <c r="BR136" s="3"/>
      <c r="BS136" s="3"/>
      <c r="BT136" s="3"/>
      <c r="BU136" s="3" t="s">
        <v>3</v>
      </c>
      <c r="BV136" s="3"/>
      <c r="BW136" s="3"/>
      <c r="BX136" s="3"/>
      <c r="BY136" s="3"/>
      <c r="BZ136" s="3"/>
      <c r="CA136" s="13" t="s">
        <v>3</v>
      </c>
      <c r="CB136" s="3"/>
    </row>
    <row r="137" spans="2:80" ht="30" customHeight="1">
      <c r="B137" s="11">
        <f t="shared" si="10"/>
        <v>132</v>
      </c>
      <c r="C137" s="38" t="s">
        <v>603</v>
      </c>
      <c r="D137" s="37" t="s">
        <v>636</v>
      </c>
      <c r="E137" s="35" t="s">
        <v>648</v>
      </c>
      <c r="F137" s="14">
        <f t="shared" si="9"/>
        <v>2</v>
      </c>
      <c r="G137" s="15" t="s">
        <v>499</v>
      </c>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28"/>
      <c r="AY137" s="3"/>
      <c r="AZ137" s="3"/>
      <c r="BA137" s="3"/>
      <c r="BB137" s="3"/>
      <c r="BC137" s="3"/>
      <c r="BD137" s="3"/>
      <c r="BE137" s="3"/>
      <c r="BF137" s="3"/>
      <c r="BG137" s="3"/>
      <c r="BH137" s="3"/>
      <c r="BI137" s="3"/>
      <c r="BJ137" s="3"/>
      <c r="BK137" s="3"/>
      <c r="BL137" s="3"/>
      <c r="BM137" s="3"/>
      <c r="BN137" s="28"/>
      <c r="BO137" s="3"/>
      <c r="BP137" s="3"/>
      <c r="BQ137" s="3"/>
      <c r="BR137" s="3"/>
      <c r="BS137" s="3"/>
      <c r="BT137" s="3"/>
      <c r="BU137" s="3" t="s">
        <v>3</v>
      </c>
      <c r="BV137" s="3"/>
      <c r="BW137" s="3"/>
      <c r="BX137" s="3"/>
      <c r="BY137" s="3"/>
      <c r="BZ137" s="3"/>
      <c r="CA137" s="13" t="s">
        <v>3</v>
      </c>
      <c r="CB137" s="3"/>
    </row>
    <row r="138" spans="2:80" ht="30" customHeight="1">
      <c r="B138" s="11">
        <f t="shared" si="10"/>
        <v>133</v>
      </c>
      <c r="C138" s="38" t="s">
        <v>603</v>
      </c>
      <c r="D138" s="37" t="s">
        <v>636</v>
      </c>
      <c r="E138" s="35" t="s">
        <v>649</v>
      </c>
      <c r="F138" s="14">
        <f t="shared" si="9"/>
        <v>2</v>
      </c>
      <c r="G138" s="15" t="s">
        <v>499</v>
      </c>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28"/>
      <c r="AY138" s="3"/>
      <c r="AZ138" s="3"/>
      <c r="BA138" s="3"/>
      <c r="BB138" s="3"/>
      <c r="BC138" s="3"/>
      <c r="BD138" s="3"/>
      <c r="BE138" s="3"/>
      <c r="BF138" s="3"/>
      <c r="BG138" s="3"/>
      <c r="BH138" s="3"/>
      <c r="BI138" s="3"/>
      <c r="BJ138" s="3"/>
      <c r="BK138" s="3"/>
      <c r="BL138" s="3"/>
      <c r="BM138" s="3"/>
      <c r="BN138" s="28"/>
      <c r="BO138" s="3"/>
      <c r="BP138" s="3"/>
      <c r="BQ138" s="3"/>
      <c r="BR138" s="3"/>
      <c r="BS138" s="3"/>
      <c r="BT138" s="3"/>
      <c r="BU138" s="3" t="s">
        <v>3</v>
      </c>
      <c r="BV138" s="3"/>
      <c r="BW138" s="3"/>
      <c r="BX138" s="3"/>
      <c r="BY138" s="3"/>
      <c r="BZ138" s="3"/>
      <c r="CA138" s="13" t="s">
        <v>3</v>
      </c>
      <c r="CB138" s="3"/>
    </row>
    <row r="139" spans="2:80" ht="30" customHeight="1">
      <c r="B139" s="11">
        <f t="shared" si="10"/>
        <v>134</v>
      </c>
      <c r="C139" s="38" t="s">
        <v>603</v>
      </c>
      <c r="D139" s="37" t="s">
        <v>636</v>
      </c>
      <c r="E139" s="35" t="s">
        <v>650</v>
      </c>
      <c r="F139" s="14">
        <f t="shared" si="9"/>
        <v>2</v>
      </c>
      <c r="G139" s="15" t="s">
        <v>499</v>
      </c>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28"/>
      <c r="AY139" s="3"/>
      <c r="AZ139" s="3"/>
      <c r="BA139" s="3"/>
      <c r="BB139" s="3"/>
      <c r="BC139" s="3"/>
      <c r="BD139" s="3"/>
      <c r="BE139" s="3"/>
      <c r="BF139" s="3"/>
      <c r="BG139" s="3"/>
      <c r="BH139" s="3"/>
      <c r="BI139" s="3"/>
      <c r="BJ139" s="3"/>
      <c r="BK139" s="3"/>
      <c r="BL139" s="3"/>
      <c r="BM139" s="3"/>
      <c r="BN139" s="28"/>
      <c r="BO139" s="3"/>
      <c r="BP139" s="3"/>
      <c r="BQ139" s="3"/>
      <c r="BR139" s="3"/>
      <c r="BS139" s="3"/>
      <c r="BT139" s="3"/>
      <c r="BU139" s="3" t="s">
        <v>3</v>
      </c>
      <c r="BV139" s="3"/>
      <c r="BW139" s="3"/>
      <c r="BX139" s="3"/>
      <c r="BY139" s="3"/>
      <c r="BZ139" s="3"/>
      <c r="CA139" s="13" t="s">
        <v>3</v>
      </c>
      <c r="CB139" s="3"/>
    </row>
    <row r="140" spans="2:80" ht="30" customHeight="1">
      <c r="B140" s="11">
        <f t="shared" si="10"/>
        <v>135</v>
      </c>
      <c r="C140" s="38" t="s">
        <v>603</v>
      </c>
      <c r="D140" s="37" t="s">
        <v>636</v>
      </c>
      <c r="E140" s="35" t="s">
        <v>651</v>
      </c>
      <c r="F140" s="14">
        <f t="shared" si="9"/>
        <v>2</v>
      </c>
      <c r="G140" s="15" t="s">
        <v>499</v>
      </c>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28"/>
      <c r="AY140" s="3"/>
      <c r="AZ140" s="3"/>
      <c r="BA140" s="3"/>
      <c r="BB140" s="3"/>
      <c r="BC140" s="3"/>
      <c r="BD140" s="3"/>
      <c r="BE140" s="3"/>
      <c r="BF140" s="3"/>
      <c r="BG140" s="3"/>
      <c r="BH140" s="3"/>
      <c r="BI140" s="3"/>
      <c r="BJ140" s="3"/>
      <c r="BK140" s="3"/>
      <c r="BL140" s="3"/>
      <c r="BM140" s="3"/>
      <c r="BN140" s="28"/>
      <c r="BO140" s="3"/>
      <c r="BP140" s="3"/>
      <c r="BQ140" s="3"/>
      <c r="BR140" s="3"/>
      <c r="BS140" s="3"/>
      <c r="BT140" s="3"/>
      <c r="BU140" s="3" t="s">
        <v>3</v>
      </c>
      <c r="BV140" s="3"/>
      <c r="BW140" s="3"/>
      <c r="BX140" s="3"/>
      <c r="BY140" s="3"/>
      <c r="BZ140" s="3"/>
      <c r="CA140" s="13" t="s">
        <v>3</v>
      </c>
      <c r="CB140" s="3"/>
    </row>
    <row r="141" spans="2:80" ht="30" customHeight="1">
      <c r="B141" s="11">
        <f t="shared" si="10"/>
        <v>136</v>
      </c>
      <c r="C141" s="38" t="s">
        <v>603</v>
      </c>
      <c r="D141" s="37" t="s">
        <v>636</v>
      </c>
      <c r="E141" s="35" t="s">
        <v>652</v>
      </c>
      <c r="F141" s="14">
        <f t="shared" si="9"/>
        <v>2</v>
      </c>
      <c r="G141" s="15" t="s">
        <v>499</v>
      </c>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28"/>
      <c r="AY141" s="3"/>
      <c r="AZ141" s="3"/>
      <c r="BA141" s="3"/>
      <c r="BB141" s="3"/>
      <c r="BC141" s="3"/>
      <c r="BD141" s="3"/>
      <c r="BE141" s="3"/>
      <c r="BF141" s="3"/>
      <c r="BG141" s="3"/>
      <c r="BH141" s="3"/>
      <c r="BI141" s="3"/>
      <c r="BJ141" s="3"/>
      <c r="BK141" s="3"/>
      <c r="BL141" s="3"/>
      <c r="BM141" s="3"/>
      <c r="BN141" s="28"/>
      <c r="BO141" s="3"/>
      <c r="BP141" s="3"/>
      <c r="BQ141" s="3"/>
      <c r="BR141" s="3"/>
      <c r="BS141" s="3"/>
      <c r="BT141" s="3"/>
      <c r="BU141" s="3" t="s">
        <v>3</v>
      </c>
      <c r="BV141" s="3"/>
      <c r="BW141" s="3"/>
      <c r="BX141" s="3"/>
      <c r="BY141" s="3"/>
      <c r="BZ141" s="3"/>
      <c r="CA141" s="13" t="s">
        <v>3</v>
      </c>
      <c r="CB141" s="3"/>
    </row>
    <row r="142" spans="2:80" ht="30" customHeight="1">
      <c r="B142" s="11">
        <f t="shared" si="10"/>
        <v>137</v>
      </c>
      <c r="C142" s="38" t="s">
        <v>603</v>
      </c>
      <c r="D142" s="37" t="s">
        <v>636</v>
      </c>
      <c r="E142" s="35" t="s">
        <v>653</v>
      </c>
      <c r="F142" s="14">
        <f t="shared" si="9"/>
        <v>2</v>
      </c>
      <c r="G142" s="15" t="s">
        <v>499</v>
      </c>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28"/>
      <c r="AY142" s="3"/>
      <c r="AZ142" s="3"/>
      <c r="BA142" s="3"/>
      <c r="BB142" s="3"/>
      <c r="BC142" s="3"/>
      <c r="BD142" s="3"/>
      <c r="BE142" s="3"/>
      <c r="BF142" s="3"/>
      <c r="BG142" s="3"/>
      <c r="BH142" s="3"/>
      <c r="BI142" s="3"/>
      <c r="BJ142" s="3"/>
      <c r="BK142" s="3"/>
      <c r="BL142" s="3"/>
      <c r="BM142" s="3"/>
      <c r="BN142" s="28"/>
      <c r="BO142" s="3"/>
      <c r="BP142" s="3"/>
      <c r="BQ142" s="3"/>
      <c r="BR142" s="3"/>
      <c r="BS142" s="3"/>
      <c r="BT142" s="3"/>
      <c r="BU142" s="3" t="s">
        <v>3</v>
      </c>
      <c r="BV142" s="3"/>
      <c r="BW142" s="3"/>
      <c r="BX142" s="3"/>
      <c r="BY142" s="3"/>
      <c r="BZ142" s="3"/>
      <c r="CA142" s="13" t="s">
        <v>3</v>
      </c>
      <c r="CB142" s="3"/>
    </row>
    <row r="143" spans="2:80" ht="30" customHeight="1">
      <c r="B143" s="11">
        <f t="shared" si="10"/>
        <v>138</v>
      </c>
      <c r="C143" s="38" t="s">
        <v>603</v>
      </c>
      <c r="D143" s="37" t="s">
        <v>636</v>
      </c>
      <c r="E143" s="35" t="s">
        <v>654</v>
      </c>
      <c r="F143" s="14">
        <f t="shared" si="9"/>
        <v>2</v>
      </c>
      <c r="G143" s="15" t="s">
        <v>499</v>
      </c>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28"/>
      <c r="AY143" s="3"/>
      <c r="AZ143" s="3"/>
      <c r="BA143" s="3"/>
      <c r="BB143" s="3"/>
      <c r="BC143" s="3"/>
      <c r="BD143" s="3"/>
      <c r="BE143" s="3"/>
      <c r="BF143" s="3"/>
      <c r="BG143" s="3"/>
      <c r="BH143" s="3"/>
      <c r="BI143" s="3"/>
      <c r="BJ143" s="3"/>
      <c r="BK143" s="3"/>
      <c r="BL143" s="3"/>
      <c r="BM143" s="3"/>
      <c r="BN143" s="28"/>
      <c r="BO143" s="3"/>
      <c r="BP143" s="3"/>
      <c r="BQ143" s="3"/>
      <c r="BR143" s="3"/>
      <c r="BS143" s="3"/>
      <c r="BT143" s="3"/>
      <c r="BU143" s="3" t="s">
        <v>3</v>
      </c>
      <c r="BV143" s="3"/>
      <c r="BW143" s="3"/>
      <c r="BX143" s="3"/>
      <c r="BY143" s="3"/>
      <c r="BZ143" s="3"/>
      <c r="CA143" s="13" t="s">
        <v>3</v>
      </c>
      <c r="CB143" s="3"/>
    </row>
    <row r="144" spans="2:80" ht="30" customHeight="1">
      <c r="B144" s="11">
        <f t="shared" si="10"/>
        <v>139</v>
      </c>
      <c r="C144" s="38" t="s">
        <v>603</v>
      </c>
      <c r="D144" s="37" t="s">
        <v>636</v>
      </c>
      <c r="E144" s="35" t="s">
        <v>655</v>
      </c>
      <c r="F144" s="14">
        <f t="shared" si="9"/>
        <v>2</v>
      </c>
      <c r="G144" s="15" t="s">
        <v>499</v>
      </c>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28"/>
      <c r="AY144" s="3"/>
      <c r="AZ144" s="3"/>
      <c r="BA144" s="3"/>
      <c r="BB144" s="3"/>
      <c r="BC144" s="3"/>
      <c r="BD144" s="3"/>
      <c r="BE144" s="3"/>
      <c r="BF144" s="3"/>
      <c r="BG144" s="3"/>
      <c r="BH144" s="3"/>
      <c r="BI144" s="3"/>
      <c r="BJ144" s="3"/>
      <c r="BK144" s="3"/>
      <c r="BL144" s="3"/>
      <c r="BM144" s="3"/>
      <c r="BN144" s="28"/>
      <c r="BO144" s="3"/>
      <c r="BP144" s="3"/>
      <c r="BQ144" s="3"/>
      <c r="BR144" s="3"/>
      <c r="BS144" s="3"/>
      <c r="BT144" s="3"/>
      <c r="BU144" s="3" t="s">
        <v>3</v>
      </c>
      <c r="BV144" s="3"/>
      <c r="BW144" s="3"/>
      <c r="BX144" s="3"/>
      <c r="BY144" s="3"/>
      <c r="BZ144" s="3"/>
      <c r="CA144" s="13" t="s">
        <v>3</v>
      </c>
      <c r="CB144" s="3"/>
    </row>
    <row r="145" spans="2:80" ht="30" customHeight="1">
      <c r="B145" s="11">
        <f t="shared" si="10"/>
        <v>140</v>
      </c>
      <c r="C145" s="38" t="s">
        <v>603</v>
      </c>
      <c r="D145" s="37" t="s">
        <v>636</v>
      </c>
      <c r="E145" s="35" t="s">
        <v>656</v>
      </c>
      <c r="F145" s="14">
        <f t="shared" si="9"/>
        <v>2</v>
      </c>
      <c r="G145" s="15" t="s">
        <v>499</v>
      </c>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28"/>
      <c r="AY145" s="3"/>
      <c r="AZ145" s="3"/>
      <c r="BA145" s="3"/>
      <c r="BB145" s="3"/>
      <c r="BC145" s="3"/>
      <c r="BD145" s="3"/>
      <c r="BE145" s="3"/>
      <c r="BF145" s="3"/>
      <c r="BG145" s="3"/>
      <c r="BH145" s="3"/>
      <c r="BI145" s="3"/>
      <c r="BJ145" s="3"/>
      <c r="BK145" s="3"/>
      <c r="BL145" s="3"/>
      <c r="BM145" s="3"/>
      <c r="BN145" s="28"/>
      <c r="BO145" s="3"/>
      <c r="BP145" s="3"/>
      <c r="BQ145" s="3"/>
      <c r="BR145" s="3"/>
      <c r="BS145" s="3"/>
      <c r="BT145" s="3"/>
      <c r="BU145" s="3" t="s">
        <v>3</v>
      </c>
      <c r="BV145" s="3"/>
      <c r="BW145" s="3"/>
      <c r="BX145" s="3"/>
      <c r="BY145" s="3"/>
      <c r="BZ145" s="3"/>
      <c r="CA145" s="13" t="s">
        <v>3</v>
      </c>
      <c r="CB145" s="3"/>
    </row>
    <row r="146" spans="2:80" ht="30" customHeight="1">
      <c r="B146" s="11">
        <f t="shared" si="10"/>
        <v>141</v>
      </c>
      <c r="C146" s="38" t="s">
        <v>603</v>
      </c>
      <c r="D146" s="37" t="s">
        <v>636</v>
      </c>
      <c r="E146" s="35" t="s">
        <v>657</v>
      </c>
      <c r="F146" s="14">
        <f t="shared" si="9"/>
        <v>2</v>
      </c>
      <c r="G146" s="15" t="s">
        <v>499</v>
      </c>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28"/>
      <c r="AY146" s="3"/>
      <c r="AZ146" s="3"/>
      <c r="BA146" s="3"/>
      <c r="BB146" s="3"/>
      <c r="BC146" s="3"/>
      <c r="BD146" s="3"/>
      <c r="BE146" s="3"/>
      <c r="BF146" s="3"/>
      <c r="BG146" s="3"/>
      <c r="BH146" s="3"/>
      <c r="BI146" s="3"/>
      <c r="BJ146" s="3"/>
      <c r="BK146" s="3"/>
      <c r="BL146" s="3"/>
      <c r="BM146" s="3"/>
      <c r="BN146" s="28"/>
      <c r="BO146" s="3"/>
      <c r="BP146" s="3"/>
      <c r="BQ146" s="3"/>
      <c r="BR146" s="3"/>
      <c r="BS146" s="3"/>
      <c r="BT146" s="3"/>
      <c r="BU146" s="3" t="s">
        <v>3</v>
      </c>
      <c r="BV146" s="3"/>
      <c r="BW146" s="3"/>
      <c r="BX146" s="3"/>
      <c r="BY146" s="3"/>
      <c r="BZ146" s="3"/>
      <c r="CA146" s="13" t="s">
        <v>3</v>
      </c>
      <c r="CB146" s="3"/>
    </row>
    <row r="147" spans="2:80" ht="30" customHeight="1">
      <c r="B147" s="11">
        <f t="shared" si="10"/>
        <v>142</v>
      </c>
      <c r="C147" s="38" t="s">
        <v>603</v>
      </c>
      <c r="D147" s="37" t="s">
        <v>636</v>
      </c>
      <c r="E147" s="35" t="s">
        <v>658</v>
      </c>
      <c r="F147" s="14">
        <f t="shared" si="9"/>
        <v>2</v>
      </c>
      <c r="G147" s="15" t="s">
        <v>499</v>
      </c>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28"/>
      <c r="AY147" s="3"/>
      <c r="AZ147" s="3"/>
      <c r="BA147" s="3"/>
      <c r="BB147" s="3"/>
      <c r="BC147" s="3"/>
      <c r="BD147" s="3"/>
      <c r="BE147" s="3"/>
      <c r="BF147" s="3"/>
      <c r="BG147" s="3"/>
      <c r="BH147" s="3"/>
      <c r="BI147" s="3"/>
      <c r="BJ147" s="3"/>
      <c r="BK147" s="3"/>
      <c r="BL147" s="3"/>
      <c r="BM147" s="3"/>
      <c r="BN147" s="28"/>
      <c r="BO147" s="3"/>
      <c r="BP147" s="3"/>
      <c r="BQ147" s="3"/>
      <c r="BR147" s="3"/>
      <c r="BS147" s="3"/>
      <c r="BT147" s="3"/>
      <c r="BU147" s="3" t="s">
        <v>3</v>
      </c>
      <c r="BV147" s="3"/>
      <c r="BW147" s="3"/>
      <c r="BX147" s="3"/>
      <c r="BY147" s="3"/>
      <c r="BZ147" s="3"/>
      <c r="CA147" s="13" t="s">
        <v>3</v>
      </c>
      <c r="CB147" s="3"/>
    </row>
    <row r="148" spans="2:80" ht="30" customHeight="1">
      <c r="B148" s="11">
        <f t="shared" si="10"/>
        <v>143</v>
      </c>
      <c r="C148" s="38" t="s">
        <v>603</v>
      </c>
      <c r="D148" s="37" t="s">
        <v>636</v>
      </c>
      <c r="E148" s="35" t="s">
        <v>659</v>
      </c>
      <c r="F148" s="14">
        <f t="shared" si="9"/>
        <v>2</v>
      </c>
      <c r="G148" s="15" t="s">
        <v>499</v>
      </c>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28"/>
      <c r="AY148" s="3"/>
      <c r="AZ148" s="3"/>
      <c r="BA148" s="3"/>
      <c r="BB148" s="3"/>
      <c r="BC148" s="3"/>
      <c r="BD148" s="3"/>
      <c r="BE148" s="3"/>
      <c r="BF148" s="3"/>
      <c r="BG148" s="3"/>
      <c r="BH148" s="3"/>
      <c r="BI148" s="3"/>
      <c r="BJ148" s="3"/>
      <c r="BK148" s="3"/>
      <c r="BL148" s="3"/>
      <c r="BM148" s="3"/>
      <c r="BN148" s="28"/>
      <c r="BO148" s="3"/>
      <c r="BP148" s="3"/>
      <c r="BQ148" s="3"/>
      <c r="BR148" s="3"/>
      <c r="BS148" s="3"/>
      <c r="BT148" s="3"/>
      <c r="BU148" s="3" t="s">
        <v>3</v>
      </c>
      <c r="BV148" s="3"/>
      <c r="BW148" s="3"/>
      <c r="BX148" s="3"/>
      <c r="BY148" s="3"/>
      <c r="BZ148" s="3"/>
      <c r="CA148" s="13" t="s">
        <v>3</v>
      </c>
      <c r="CB148" s="3"/>
    </row>
    <row r="149" spans="2:80" ht="30" customHeight="1">
      <c r="B149" s="11">
        <f t="shared" si="10"/>
        <v>144</v>
      </c>
      <c r="C149" s="38" t="s">
        <v>603</v>
      </c>
      <c r="D149" s="37" t="s">
        <v>636</v>
      </c>
      <c r="E149" s="35" t="s">
        <v>660</v>
      </c>
      <c r="F149" s="14">
        <f t="shared" si="9"/>
        <v>2</v>
      </c>
      <c r="G149" s="15" t="s">
        <v>499</v>
      </c>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28"/>
      <c r="AY149" s="3"/>
      <c r="AZ149" s="3"/>
      <c r="BA149" s="3"/>
      <c r="BB149" s="3"/>
      <c r="BC149" s="3"/>
      <c r="BD149" s="3"/>
      <c r="BE149" s="3"/>
      <c r="BF149" s="3"/>
      <c r="BG149" s="3"/>
      <c r="BH149" s="3"/>
      <c r="BI149" s="3"/>
      <c r="BJ149" s="3"/>
      <c r="BK149" s="3"/>
      <c r="BL149" s="3"/>
      <c r="BM149" s="3"/>
      <c r="BN149" s="28"/>
      <c r="BO149" s="3"/>
      <c r="BP149" s="3"/>
      <c r="BQ149" s="3"/>
      <c r="BR149" s="3"/>
      <c r="BS149" s="3"/>
      <c r="BT149" s="3"/>
      <c r="BU149" s="3" t="s">
        <v>3</v>
      </c>
      <c r="BV149" s="3"/>
      <c r="BW149" s="3"/>
      <c r="BX149" s="3"/>
      <c r="BY149" s="3"/>
      <c r="BZ149" s="3"/>
      <c r="CA149" s="13" t="s">
        <v>3</v>
      </c>
      <c r="CB149" s="3"/>
    </row>
    <row r="150" spans="2:80" ht="30" customHeight="1">
      <c r="B150" s="11">
        <f t="shared" si="10"/>
        <v>145</v>
      </c>
      <c r="C150" s="38" t="s">
        <v>603</v>
      </c>
      <c r="D150" s="37" t="s">
        <v>636</v>
      </c>
      <c r="E150" s="35" t="s">
        <v>661</v>
      </c>
      <c r="F150" s="14">
        <f t="shared" si="9"/>
        <v>2</v>
      </c>
      <c r="G150" s="15" t="s">
        <v>499</v>
      </c>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28"/>
      <c r="AY150" s="3"/>
      <c r="AZ150" s="3"/>
      <c r="BA150" s="3"/>
      <c r="BB150" s="3"/>
      <c r="BC150" s="3"/>
      <c r="BD150" s="3"/>
      <c r="BE150" s="3"/>
      <c r="BF150" s="3"/>
      <c r="BG150" s="3"/>
      <c r="BH150" s="3"/>
      <c r="BI150" s="3"/>
      <c r="BJ150" s="3"/>
      <c r="BK150" s="3"/>
      <c r="BL150" s="3"/>
      <c r="BM150" s="3"/>
      <c r="BN150" s="28"/>
      <c r="BO150" s="3"/>
      <c r="BP150" s="3"/>
      <c r="BQ150" s="3"/>
      <c r="BR150" s="3"/>
      <c r="BS150" s="3"/>
      <c r="BT150" s="3"/>
      <c r="BU150" s="3" t="s">
        <v>3</v>
      </c>
      <c r="BV150" s="3"/>
      <c r="BW150" s="3"/>
      <c r="BX150" s="3"/>
      <c r="BY150" s="3"/>
      <c r="BZ150" s="3"/>
      <c r="CA150" s="13" t="s">
        <v>3</v>
      </c>
      <c r="CB150" s="3"/>
    </row>
    <row r="151" spans="2:80" ht="30" customHeight="1">
      <c r="B151" s="11">
        <f t="shared" si="10"/>
        <v>146</v>
      </c>
      <c r="C151" s="38" t="s">
        <v>603</v>
      </c>
      <c r="D151" s="37" t="s">
        <v>636</v>
      </c>
      <c r="E151" s="35" t="s">
        <v>662</v>
      </c>
      <c r="F151" s="14">
        <f t="shared" si="9"/>
        <v>2</v>
      </c>
      <c r="G151" s="15" t="s">
        <v>499</v>
      </c>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28"/>
      <c r="AY151" s="3"/>
      <c r="AZ151" s="3"/>
      <c r="BA151" s="3"/>
      <c r="BB151" s="3"/>
      <c r="BC151" s="3"/>
      <c r="BD151" s="3"/>
      <c r="BE151" s="3"/>
      <c r="BF151" s="3"/>
      <c r="BG151" s="3"/>
      <c r="BH151" s="3"/>
      <c r="BI151" s="3"/>
      <c r="BJ151" s="3"/>
      <c r="BK151" s="3"/>
      <c r="BL151" s="3"/>
      <c r="BM151" s="3"/>
      <c r="BN151" s="28"/>
      <c r="BO151" s="3"/>
      <c r="BP151" s="3"/>
      <c r="BQ151" s="3"/>
      <c r="BR151" s="3"/>
      <c r="BS151" s="3"/>
      <c r="BT151" s="3"/>
      <c r="BU151" s="3" t="s">
        <v>3</v>
      </c>
      <c r="BV151" s="3"/>
      <c r="BW151" s="3"/>
      <c r="BX151" s="3"/>
      <c r="BY151" s="3"/>
      <c r="BZ151" s="3"/>
      <c r="CA151" s="13" t="s">
        <v>3</v>
      </c>
      <c r="CB151" s="3"/>
    </row>
    <row r="152" spans="2:80" ht="30" customHeight="1">
      <c r="B152" s="11">
        <f t="shared" si="10"/>
        <v>147</v>
      </c>
      <c r="C152" s="38" t="s">
        <v>603</v>
      </c>
      <c r="D152" s="37" t="s">
        <v>636</v>
      </c>
      <c r="E152" s="35" t="s">
        <v>663</v>
      </c>
      <c r="F152" s="14">
        <f t="shared" si="9"/>
        <v>2</v>
      </c>
      <c r="G152" s="15" t="s">
        <v>499</v>
      </c>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28"/>
      <c r="AY152" s="3"/>
      <c r="AZ152" s="3"/>
      <c r="BA152" s="3"/>
      <c r="BB152" s="3"/>
      <c r="BC152" s="3"/>
      <c r="BD152" s="3"/>
      <c r="BE152" s="3"/>
      <c r="BF152" s="3"/>
      <c r="BG152" s="3"/>
      <c r="BH152" s="3"/>
      <c r="BI152" s="3"/>
      <c r="BJ152" s="3"/>
      <c r="BK152" s="3"/>
      <c r="BL152" s="3"/>
      <c r="BM152" s="3"/>
      <c r="BN152" s="28"/>
      <c r="BO152" s="3"/>
      <c r="BP152" s="3"/>
      <c r="BQ152" s="3"/>
      <c r="BR152" s="3"/>
      <c r="BS152" s="3"/>
      <c r="BT152" s="3"/>
      <c r="BU152" s="3" t="s">
        <v>3</v>
      </c>
      <c r="BV152" s="3"/>
      <c r="BW152" s="3"/>
      <c r="BX152" s="3"/>
      <c r="BY152" s="3"/>
      <c r="BZ152" s="3"/>
      <c r="CA152" s="13" t="s">
        <v>3</v>
      </c>
      <c r="CB152" s="3"/>
    </row>
    <row r="153" spans="2:80" ht="30" customHeight="1">
      <c r="B153" s="11">
        <f t="shared" si="10"/>
        <v>148</v>
      </c>
      <c r="C153" s="35" t="s">
        <v>664</v>
      </c>
      <c r="D153" s="35" t="s">
        <v>665</v>
      </c>
      <c r="E153" s="35" t="s">
        <v>666</v>
      </c>
      <c r="F153" s="14">
        <f t="shared" si="9"/>
        <v>2</v>
      </c>
      <c r="G153" s="15" t="s">
        <v>499</v>
      </c>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28"/>
      <c r="AY153" s="3"/>
      <c r="AZ153" s="3"/>
      <c r="BA153" s="3"/>
      <c r="BB153" s="3"/>
      <c r="BC153" s="3"/>
      <c r="BD153" s="3"/>
      <c r="BE153" s="3"/>
      <c r="BF153" s="3"/>
      <c r="BG153" s="3"/>
      <c r="BH153" s="3"/>
      <c r="BI153" s="3"/>
      <c r="BJ153" s="3"/>
      <c r="BK153" s="3"/>
      <c r="BL153" s="3"/>
      <c r="BM153" s="3"/>
      <c r="BN153" s="28"/>
      <c r="BO153" s="3"/>
      <c r="BP153" s="3"/>
      <c r="BQ153" s="3"/>
      <c r="BR153" s="3"/>
      <c r="BS153" s="3"/>
      <c r="BT153" s="3"/>
      <c r="BU153" s="3" t="s">
        <v>3</v>
      </c>
      <c r="BV153" s="3"/>
      <c r="BW153" s="3"/>
      <c r="BX153" s="3"/>
      <c r="BY153" s="3"/>
      <c r="BZ153" s="3"/>
      <c r="CA153" s="13" t="s">
        <v>3</v>
      </c>
      <c r="CB153" s="3"/>
    </row>
    <row r="154" spans="2:80" ht="30" customHeight="1">
      <c r="B154" s="11">
        <f t="shared" si="10"/>
        <v>149</v>
      </c>
      <c r="C154" s="38" t="s">
        <v>664</v>
      </c>
      <c r="D154" s="37" t="s">
        <v>665</v>
      </c>
      <c r="E154" s="35" t="s">
        <v>667</v>
      </c>
      <c r="F154" s="14">
        <f t="shared" si="9"/>
        <v>2</v>
      </c>
      <c r="G154" s="15" t="s">
        <v>499</v>
      </c>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28"/>
      <c r="AY154" s="3"/>
      <c r="AZ154" s="3"/>
      <c r="BA154" s="3"/>
      <c r="BB154" s="3"/>
      <c r="BC154" s="3"/>
      <c r="BD154" s="3"/>
      <c r="BE154" s="3"/>
      <c r="BF154" s="3"/>
      <c r="BG154" s="3"/>
      <c r="BH154" s="3"/>
      <c r="BI154" s="3"/>
      <c r="BJ154" s="3"/>
      <c r="BK154" s="3"/>
      <c r="BL154" s="3"/>
      <c r="BM154" s="3"/>
      <c r="BN154" s="28"/>
      <c r="BO154" s="3"/>
      <c r="BP154" s="3"/>
      <c r="BQ154" s="3"/>
      <c r="BR154" s="3"/>
      <c r="BS154" s="3"/>
      <c r="BT154" s="3"/>
      <c r="BU154" s="3" t="s">
        <v>3</v>
      </c>
      <c r="BV154" s="3"/>
      <c r="BW154" s="3"/>
      <c r="BX154" s="3"/>
      <c r="BY154" s="3"/>
      <c r="BZ154" s="3"/>
      <c r="CA154" s="13" t="s">
        <v>3</v>
      </c>
      <c r="CB154" s="3"/>
    </row>
    <row r="155" spans="2:80" ht="30" customHeight="1">
      <c r="B155" s="11">
        <f t="shared" si="10"/>
        <v>150</v>
      </c>
      <c r="C155" s="38" t="s">
        <v>664</v>
      </c>
      <c r="D155" s="37" t="s">
        <v>665</v>
      </c>
      <c r="E155" s="35" t="s">
        <v>668</v>
      </c>
      <c r="F155" s="14">
        <f t="shared" si="9"/>
        <v>2</v>
      </c>
      <c r="G155" s="15" t="s">
        <v>499</v>
      </c>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28"/>
      <c r="AY155" s="3"/>
      <c r="AZ155" s="3"/>
      <c r="BA155" s="3"/>
      <c r="BB155" s="3"/>
      <c r="BC155" s="3"/>
      <c r="BD155" s="3"/>
      <c r="BE155" s="3"/>
      <c r="BF155" s="3"/>
      <c r="BG155" s="3"/>
      <c r="BH155" s="3"/>
      <c r="BI155" s="3"/>
      <c r="BJ155" s="3"/>
      <c r="BK155" s="3"/>
      <c r="BL155" s="3"/>
      <c r="BM155" s="3"/>
      <c r="BN155" s="28"/>
      <c r="BO155" s="3"/>
      <c r="BP155" s="3"/>
      <c r="BQ155" s="3"/>
      <c r="BR155" s="3"/>
      <c r="BS155" s="3"/>
      <c r="BT155" s="3"/>
      <c r="BU155" s="3" t="s">
        <v>3</v>
      </c>
      <c r="BV155" s="3"/>
      <c r="BW155" s="3"/>
      <c r="BX155" s="3"/>
      <c r="BY155" s="3"/>
      <c r="BZ155" s="3"/>
      <c r="CA155" s="13" t="s">
        <v>3</v>
      </c>
      <c r="CB155" s="3"/>
    </row>
    <row r="156" spans="2:80" ht="30" customHeight="1">
      <c r="B156" s="11">
        <f t="shared" si="10"/>
        <v>151</v>
      </c>
      <c r="C156" s="38" t="s">
        <v>664</v>
      </c>
      <c r="D156" s="37" t="s">
        <v>665</v>
      </c>
      <c r="E156" s="35" t="s">
        <v>669</v>
      </c>
      <c r="F156" s="14">
        <f t="shared" si="9"/>
        <v>2</v>
      </c>
      <c r="G156" s="15" t="s">
        <v>499</v>
      </c>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28"/>
      <c r="AY156" s="3"/>
      <c r="AZ156" s="3"/>
      <c r="BA156" s="3"/>
      <c r="BB156" s="3"/>
      <c r="BC156" s="3"/>
      <c r="BD156" s="3"/>
      <c r="BE156" s="3"/>
      <c r="BF156" s="3"/>
      <c r="BG156" s="3"/>
      <c r="BH156" s="3"/>
      <c r="BI156" s="3"/>
      <c r="BJ156" s="3"/>
      <c r="BK156" s="3"/>
      <c r="BL156" s="3"/>
      <c r="BM156" s="3"/>
      <c r="BN156" s="28"/>
      <c r="BO156" s="3"/>
      <c r="BP156" s="3"/>
      <c r="BQ156" s="3"/>
      <c r="BR156" s="3"/>
      <c r="BS156" s="3"/>
      <c r="BT156" s="3"/>
      <c r="BU156" s="3" t="s">
        <v>3</v>
      </c>
      <c r="BV156" s="3"/>
      <c r="BW156" s="3"/>
      <c r="BX156" s="3"/>
      <c r="BY156" s="3"/>
      <c r="BZ156" s="3"/>
      <c r="CA156" s="13" t="s">
        <v>3</v>
      </c>
      <c r="CB156" s="3"/>
    </row>
    <row r="157" spans="2:80" ht="30" customHeight="1">
      <c r="B157" s="11">
        <f t="shared" si="10"/>
        <v>152</v>
      </c>
      <c r="C157" s="38" t="s">
        <v>664</v>
      </c>
      <c r="D157" s="37" t="s">
        <v>665</v>
      </c>
      <c r="E157" s="35" t="s">
        <v>670</v>
      </c>
      <c r="F157" s="14">
        <f t="shared" ref="F157:F220" si="11">COUNTA(H157:CA157)</f>
        <v>2</v>
      </c>
      <c r="G157" s="15" t="s">
        <v>499</v>
      </c>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28"/>
      <c r="AY157" s="3"/>
      <c r="AZ157" s="3"/>
      <c r="BA157" s="3"/>
      <c r="BB157" s="3"/>
      <c r="BC157" s="3"/>
      <c r="BD157" s="3"/>
      <c r="BE157" s="3"/>
      <c r="BF157" s="3"/>
      <c r="BG157" s="3"/>
      <c r="BH157" s="3"/>
      <c r="BI157" s="3"/>
      <c r="BJ157" s="3"/>
      <c r="BK157" s="3"/>
      <c r="BL157" s="3"/>
      <c r="BM157" s="3"/>
      <c r="BN157" s="28"/>
      <c r="BO157" s="3"/>
      <c r="BP157" s="3"/>
      <c r="BQ157" s="3"/>
      <c r="BR157" s="3"/>
      <c r="BS157" s="3"/>
      <c r="BT157" s="3"/>
      <c r="BU157" s="3" t="s">
        <v>3</v>
      </c>
      <c r="BV157" s="3"/>
      <c r="BW157" s="3"/>
      <c r="BX157" s="3"/>
      <c r="BY157" s="3"/>
      <c r="BZ157" s="3"/>
      <c r="CA157" s="13" t="s">
        <v>3</v>
      </c>
      <c r="CB157" s="3"/>
    </row>
    <row r="158" spans="2:80" ht="30" customHeight="1">
      <c r="B158" s="11">
        <f t="shared" si="10"/>
        <v>153</v>
      </c>
      <c r="C158" s="38" t="s">
        <v>664</v>
      </c>
      <c r="D158" s="37" t="s">
        <v>665</v>
      </c>
      <c r="E158" s="35" t="s">
        <v>671</v>
      </c>
      <c r="F158" s="14">
        <f t="shared" si="11"/>
        <v>6</v>
      </c>
      <c r="G158" s="15" t="s">
        <v>2</v>
      </c>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28"/>
      <c r="AY158" s="3"/>
      <c r="AZ158" s="3"/>
      <c r="BA158" s="3"/>
      <c r="BB158" s="3"/>
      <c r="BC158" s="3"/>
      <c r="BD158" s="3"/>
      <c r="BE158" s="3" t="s">
        <v>3</v>
      </c>
      <c r="BF158" s="3" t="s">
        <v>3</v>
      </c>
      <c r="BG158" s="3"/>
      <c r="BH158" s="3"/>
      <c r="BI158" s="3"/>
      <c r="BJ158" s="3"/>
      <c r="BK158" s="3"/>
      <c r="BL158" s="3"/>
      <c r="BM158" s="3"/>
      <c r="BN158" s="28"/>
      <c r="BO158" s="3"/>
      <c r="BP158" s="3"/>
      <c r="BQ158" s="3"/>
      <c r="BR158" s="3"/>
      <c r="BS158" s="3"/>
      <c r="BT158" s="3"/>
      <c r="BU158" s="3" t="s">
        <v>3</v>
      </c>
      <c r="BV158" s="3" t="s">
        <v>3</v>
      </c>
      <c r="BW158" s="3" t="s">
        <v>3</v>
      </c>
      <c r="BX158" s="3" t="s">
        <v>3</v>
      </c>
      <c r="BY158" s="3"/>
      <c r="BZ158" s="3"/>
      <c r="CA158" s="3"/>
      <c r="CB158" s="3"/>
    </row>
    <row r="159" spans="2:80" ht="30" customHeight="1">
      <c r="B159" s="11">
        <f t="shared" si="10"/>
        <v>154</v>
      </c>
      <c r="C159" s="38" t="s">
        <v>664</v>
      </c>
      <c r="D159" s="37" t="s">
        <v>665</v>
      </c>
      <c r="E159" s="35" t="s">
        <v>672</v>
      </c>
      <c r="F159" s="14">
        <f t="shared" si="11"/>
        <v>0</v>
      </c>
      <c r="G159" s="15" t="s">
        <v>626</v>
      </c>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28"/>
      <c r="AY159" s="3"/>
      <c r="AZ159" s="3"/>
      <c r="BA159" s="3"/>
      <c r="BB159" s="3"/>
      <c r="BC159" s="3"/>
      <c r="BD159" s="3"/>
      <c r="BE159" s="3"/>
      <c r="BF159" s="3"/>
      <c r="BG159" s="3"/>
      <c r="BH159" s="3"/>
      <c r="BI159" s="3"/>
      <c r="BJ159" s="3"/>
      <c r="BK159" s="3"/>
      <c r="BL159" s="3"/>
      <c r="BM159" s="3"/>
      <c r="BN159" s="28"/>
      <c r="BO159" s="3"/>
      <c r="BP159" s="3"/>
      <c r="BQ159" s="3"/>
      <c r="BR159" s="3"/>
      <c r="BS159" s="3"/>
      <c r="BT159" s="3"/>
      <c r="BU159" s="3"/>
      <c r="BV159" s="3"/>
      <c r="BW159" s="3"/>
      <c r="BX159" s="3"/>
      <c r="BY159" s="3"/>
      <c r="BZ159" s="3"/>
      <c r="CA159" s="3"/>
      <c r="CB159" s="3"/>
    </row>
    <row r="160" spans="2:80" ht="30" customHeight="1">
      <c r="B160" s="11">
        <f t="shared" si="10"/>
        <v>155</v>
      </c>
      <c r="C160" s="38" t="s">
        <v>664</v>
      </c>
      <c r="D160" s="37" t="s">
        <v>665</v>
      </c>
      <c r="E160" s="35" t="s">
        <v>673</v>
      </c>
      <c r="F160" s="14">
        <f t="shared" si="11"/>
        <v>0</v>
      </c>
      <c r="G160" s="15" t="s">
        <v>626</v>
      </c>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28"/>
      <c r="AY160" s="3"/>
      <c r="AZ160" s="3"/>
      <c r="BA160" s="3"/>
      <c r="BB160" s="3"/>
      <c r="BC160" s="3"/>
      <c r="BD160" s="3"/>
      <c r="BE160" s="3"/>
      <c r="BF160" s="3"/>
      <c r="BG160" s="3"/>
      <c r="BH160" s="3"/>
      <c r="BI160" s="3"/>
      <c r="BJ160" s="3"/>
      <c r="BK160" s="3"/>
      <c r="BL160" s="3"/>
      <c r="BM160" s="3"/>
      <c r="BN160" s="28"/>
      <c r="BO160" s="3"/>
      <c r="BP160" s="3"/>
      <c r="BQ160" s="3"/>
      <c r="BR160" s="3"/>
      <c r="BS160" s="3"/>
      <c r="BT160" s="3"/>
      <c r="BU160" s="3"/>
      <c r="BV160" s="3"/>
      <c r="BW160" s="3"/>
      <c r="BX160" s="3"/>
      <c r="BY160" s="3"/>
      <c r="BZ160" s="3"/>
      <c r="CA160" s="3"/>
      <c r="CB160" s="3"/>
    </row>
    <row r="161" spans="1:80" ht="30" customHeight="1">
      <c r="B161" s="11">
        <f t="shared" si="10"/>
        <v>156</v>
      </c>
      <c r="C161" s="38" t="s">
        <v>664</v>
      </c>
      <c r="D161" s="37" t="s">
        <v>665</v>
      </c>
      <c r="E161" s="35" t="s">
        <v>674</v>
      </c>
      <c r="F161" s="14">
        <f t="shared" si="11"/>
        <v>0</v>
      </c>
      <c r="G161" s="15" t="s">
        <v>626</v>
      </c>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28"/>
      <c r="AY161" s="3"/>
      <c r="AZ161" s="3"/>
      <c r="BA161" s="3"/>
      <c r="BB161" s="3"/>
      <c r="BC161" s="3"/>
      <c r="BD161" s="3"/>
      <c r="BE161" s="3"/>
      <c r="BF161" s="3"/>
      <c r="BG161" s="3"/>
      <c r="BH161" s="3"/>
      <c r="BI161" s="3"/>
      <c r="BJ161" s="3"/>
      <c r="BK161" s="3"/>
      <c r="BL161" s="3"/>
      <c r="BM161" s="3"/>
      <c r="BN161" s="28"/>
      <c r="BO161" s="3"/>
      <c r="BP161" s="3"/>
      <c r="BQ161" s="3"/>
      <c r="BR161" s="3"/>
      <c r="BS161" s="3"/>
      <c r="BT161" s="3"/>
      <c r="BU161" s="3"/>
      <c r="BV161" s="3"/>
      <c r="BW161" s="3"/>
      <c r="BX161" s="3"/>
      <c r="BY161" s="3"/>
      <c r="BZ161" s="3"/>
      <c r="CA161" s="3"/>
      <c r="CB161" s="3"/>
    </row>
    <row r="162" spans="1:80" ht="30" customHeight="1">
      <c r="B162" s="11">
        <f t="shared" si="10"/>
        <v>157</v>
      </c>
      <c r="C162" s="38" t="s">
        <v>664</v>
      </c>
      <c r="D162" s="37" t="s">
        <v>665</v>
      </c>
      <c r="E162" s="35" t="s">
        <v>675</v>
      </c>
      <c r="F162" s="14">
        <f t="shared" si="11"/>
        <v>0</v>
      </c>
      <c r="G162" s="15" t="s">
        <v>626</v>
      </c>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28"/>
      <c r="AY162" s="3"/>
      <c r="AZ162" s="3"/>
      <c r="BA162" s="3"/>
      <c r="BB162" s="3"/>
      <c r="BC162" s="3"/>
      <c r="BD162" s="3"/>
      <c r="BE162" s="3"/>
      <c r="BF162" s="3"/>
      <c r="BG162" s="3"/>
      <c r="BH162" s="3"/>
      <c r="BI162" s="3"/>
      <c r="BJ162" s="3"/>
      <c r="BK162" s="3"/>
      <c r="BL162" s="3"/>
      <c r="BM162" s="3"/>
      <c r="BN162" s="28"/>
      <c r="BO162" s="3"/>
      <c r="BP162" s="3"/>
      <c r="BQ162" s="3"/>
      <c r="BR162" s="3"/>
      <c r="BS162" s="3"/>
      <c r="BT162" s="3"/>
      <c r="BU162" s="3"/>
      <c r="BV162" s="3"/>
      <c r="BW162" s="3"/>
      <c r="BX162" s="3"/>
      <c r="BY162" s="3"/>
      <c r="BZ162" s="3"/>
      <c r="CA162" s="3"/>
      <c r="CB162" s="3"/>
    </row>
    <row r="163" spans="1:80" ht="30" customHeight="1">
      <c r="B163" s="11">
        <f t="shared" si="10"/>
        <v>158</v>
      </c>
      <c r="C163" s="38" t="s">
        <v>664</v>
      </c>
      <c r="D163" s="37" t="s">
        <v>665</v>
      </c>
      <c r="E163" s="35" t="s">
        <v>676</v>
      </c>
      <c r="F163" s="14">
        <f t="shared" si="11"/>
        <v>0</v>
      </c>
      <c r="G163" s="15" t="s">
        <v>626</v>
      </c>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28"/>
      <c r="AY163" s="3"/>
      <c r="AZ163" s="3"/>
      <c r="BA163" s="3"/>
      <c r="BB163" s="3"/>
      <c r="BC163" s="3"/>
      <c r="BD163" s="3"/>
      <c r="BE163" s="3"/>
      <c r="BF163" s="3"/>
      <c r="BG163" s="3"/>
      <c r="BH163" s="3"/>
      <c r="BI163" s="3"/>
      <c r="BJ163" s="3"/>
      <c r="BK163" s="3"/>
      <c r="BL163" s="3"/>
      <c r="BM163" s="3"/>
      <c r="BN163" s="28"/>
      <c r="BO163" s="3"/>
      <c r="BP163" s="3"/>
      <c r="BQ163" s="3"/>
      <c r="BR163" s="3"/>
      <c r="BS163" s="3"/>
      <c r="BT163" s="3"/>
      <c r="BU163" s="3"/>
      <c r="BV163" s="3"/>
      <c r="BW163" s="3"/>
      <c r="BX163" s="3"/>
      <c r="BY163" s="3"/>
      <c r="BZ163" s="3"/>
      <c r="CA163" s="3"/>
      <c r="CB163" s="3"/>
    </row>
    <row r="164" spans="1:80" ht="30" customHeight="1">
      <c r="B164" s="11">
        <f t="shared" si="10"/>
        <v>159</v>
      </c>
      <c r="C164" s="38" t="s">
        <v>664</v>
      </c>
      <c r="D164" s="37" t="s">
        <v>665</v>
      </c>
      <c r="E164" s="35" t="s">
        <v>677</v>
      </c>
      <c r="F164" s="14">
        <f t="shared" si="11"/>
        <v>0</v>
      </c>
      <c r="G164" s="15" t="s">
        <v>626</v>
      </c>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28"/>
      <c r="AY164" s="3"/>
      <c r="AZ164" s="3"/>
      <c r="BA164" s="3"/>
      <c r="BB164" s="3"/>
      <c r="BC164" s="3"/>
      <c r="BD164" s="3"/>
      <c r="BE164" s="3"/>
      <c r="BF164" s="3"/>
      <c r="BG164" s="3"/>
      <c r="BH164" s="3"/>
      <c r="BI164" s="3"/>
      <c r="BJ164" s="3"/>
      <c r="BK164" s="3"/>
      <c r="BL164" s="3"/>
      <c r="BM164" s="3"/>
      <c r="BN164" s="28"/>
      <c r="BO164" s="3"/>
      <c r="BP164" s="3"/>
      <c r="BQ164" s="3"/>
      <c r="BR164" s="3"/>
      <c r="BS164" s="3"/>
      <c r="BT164" s="3"/>
      <c r="BU164" s="3"/>
      <c r="BV164" s="3"/>
      <c r="BW164" s="3"/>
      <c r="BX164" s="3"/>
      <c r="BY164" s="3"/>
      <c r="BZ164" s="3"/>
      <c r="CA164" s="3"/>
      <c r="CB164" s="3"/>
    </row>
    <row r="165" spans="1:80" ht="30" customHeight="1">
      <c r="B165" s="11">
        <f t="shared" si="10"/>
        <v>160</v>
      </c>
      <c r="C165" s="38" t="s">
        <v>664</v>
      </c>
      <c r="D165" s="37" t="s">
        <v>665</v>
      </c>
      <c r="E165" s="35" t="s">
        <v>678</v>
      </c>
      <c r="F165" s="14">
        <f t="shared" si="11"/>
        <v>0</v>
      </c>
      <c r="G165" s="15" t="s">
        <v>626</v>
      </c>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28"/>
      <c r="AY165" s="3"/>
      <c r="AZ165" s="3"/>
      <c r="BA165" s="3"/>
      <c r="BB165" s="3"/>
      <c r="BC165" s="3"/>
      <c r="BD165" s="3"/>
      <c r="BE165" s="3"/>
      <c r="BF165" s="3"/>
      <c r="BG165" s="3"/>
      <c r="BH165" s="3"/>
      <c r="BI165" s="3"/>
      <c r="BJ165" s="3"/>
      <c r="BK165" s="3"/>
      <c r="BL165" s="3"/>
      <c r="BM165" s="3"/>
      <c r="BN165" s="28"/>
      <c r="BO165" s="3"/>
      <c r="BP165" s="3"/>
      <c r="BQ165" s="3"/>
      <c r="BR165" s="3"/>
      <c r="BS165" s="3"/>
      <c r="BT165" s="3"/>
      <c r="BU165" s="3"/>
      <c r="BV165" s="3"/>
      <c r="BW165" s="3"/>
      <c r="BX165" s="3"/>
      <c r="BY165" s="3"/>
      <c r="BZ165" s="3"/>
      <c r="CA165" s="3"/>
      <c r="CB165" s="3"/>
    </row>
    <row r="166" spans="1:80" ht="30" customHeight="1">
      <c r="B166" s="11">
        <f t="shared" si="10"/>
        <v>161</v>
      </c>
      <c r="C166" s="38" t="s">
        <v>664</v>
      </c>
      <c r="D166" s="37" t="s">
        <v>679</v>
      </c>
      <c r="E166" s="35" t="s">
        <v>680</v>
      </c>
      <c r="F166" s="14">
        <f t="shared" si="11"/>
        <v>0</v>
      </c>
      <c r="G166" s="15" t="s">
        <v>626</v>
      </c>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28"/>
      <c r="AY166" s="3"/>
      <c r="AZ166" s="3"/>
      <c r="BA166" s="3"/>
      <c r="BB166" s="3"/>
      <c r="BC166" s="3"/>
      <c r="BD166" s="3"/>
      <c r="BE166" s="3"/>
      <c r="BF166" s="3"/>
      <c r="BG166" s="3"/>
      <c r="BH166" s="3"/>
      <c r="BI166" s="3"/>
      <c r="BJ166" s="3"/>
      <c r="BK166" s="3"/>
      <c r="BL166" s="3"/>
      <c r="BM166" s="3"/>
      <c r="BN166" s="28"/>
      <c r="BO166" s="3"/>
      <c r="BP166" s="3"/>
      <c r="BQ166" s="3"/>
      <c r="BR166" s="3"/>
      <c r="BS166" s="3"/>
      <c r="BT166" s="3"/>
      <c r="BU166" s="3"/>
      <c r="BV166" s="3"/>
      <c r="BW166" s="3"/>
      <c r="BX166" s="3"/>
      <c r="BY166" s="3"/>
      <c r="BZ166" s="3"/>
      <c r="CA166" s="3"/>
      <c r="CB166" s="3"/>
    </row>
    <row r="167" spans="1:80" ht="30" customHeight="1">
      <c r="B167" s="11">
        <f t="shared" si="10"/>
        <v>162</v>
      </c>
      <c r="C167" s="38" t="s">
        <v>664</v>
      </c>
      <c r="D167" s="37" t="s">
        <v>665</v>
      </c>
      <c r="E167" s="35" t="s">
        <v>681</v>
      </c>
      <c r="F167" s="14">
        <f t="shared" si="11"/>
        <v>0</v>
      </c>
      <c r="G167" s="15" t="s">
        <v>626</v>
      </c>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28"/>
      <c r="AY167" s="3"/>
      <c r="AZ167" s="3"/>
      <c r="BA167" s="3"/>
      <c r="BB167" s="3"/>
      <c r="BC167" s="3"/>
      <c r="BD167" s="3"/>
      <c r="BE167" s="3"/>
      <c r="BF167" s="3"/>
      <c r="BG167" s="3"/>
      <c r="BH167" s="3"/>
      <c r="BI167" s="3"/>
      <c r="BJ167" s="3"/>
      <c r="BK167" s="3"/>
      <c r="BL167" s="3"/>
      <c r="BM167" s="3"/>
      <c r="BN167" s="28"/>
      <c r="BO167" s="3"/>
      <c r="BP167" s="3"/>
      <c r="BQ167" s="3"/>
      <c r="BR167" s="3"/>
      <c r="BS167" s="3"/>
      <c r="BT167" s="3"/>
      <c r="BU167" s="3"/>
      <c r="BV167" s="3"/>
      <c r="BW167" s="3"/>
      <c r="BX167" s="3"/>
      <c r="BY167" s="3"/>
      <c r="BZ167" s="3"/>
      <c r="CA167" s="3"/>
      <c r="CB167" s="3"/>
    </row>
    <row r="168" spans="1:80" ht="30" customHeight="1">
      <c r="B168" s="11">
        <f t="shared" si="10"/>
        <v>163</v>
      </c>
      <c r="C168" s="38" t="s">
        <v>664</v>
      </c>
      <c r="D168" s="37" t="s">
        <v>665</v>
      </c>
      <c r="E168" s="35" t="s">
        <v>682</v>
      </c>
      <c r="F168" s="14">
        <f t="shared" si="11"/>
        <v>0</v>
      </c>
      <c r="G168" s="15" t="s">
        <v>626</v>
      </c>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28"/>
      <c r="AY168" s="3"/>
      <c r="AZ168" s="3"/>
      <c r="BA168" s="3"/>
      <c r="BB168" s="3"/>
      <c r="BC168" s="3"/>
      <c r="BD168" s="3"/>
      <c r="BE168" s="3"/>
      <c r="BF168" s="3"/>
      <c r="BG168" s="3"/>
      <c r="BH168" s="3"/>
      <c r="BI168" s="3"/>
      <c r="BJ168" s="3"/>
      <c r="BK168" s="3"/>
      <c r="BL168" s="3"/>
      <c r="BM168" s="3"/>
      <c r="BN168" s="28"/>
      <c r="BO168" s="3"/>
      <c r="BP168" s="3"/>
      <c r="BQ168" s="3"/>
      <c r="BR168" s="3"/>
      <c r="BS168" s="3"/>
      <c r="BT168" s="3"/>
      <c r="BU168" s="3"/>
      <c r="BV168" s="3"/>
      <c r="BW168" s="3"/>
      <c r="BX168" s="3"/>
      <c r="BY168" s="3"/>
      <c r="BZ168" s="3"/>
      <c r="CA168" s="3"/>
      <c r="CB168" s="3"/>
    </row>
    <row r="169" spans="1:80" ht="30" customHeight="1">
      <c r="B169" s="11">
        <f t="shared" si="10"/>
        <v>164</v>
      </c>
      <c r="C169" s="38" t="s">
        <v>664</v>
      </c>
      <c r="D169" s="37" t="s">
        <v>665</v>
      </c>
      <c r="E169" s="35" t="s">
        <v>683</v>
      </c>
      <c r="F169" s="14">
        <f t="shared" si="11"/>
        <v>0</v>
      </c>
      <c r="G169" s="15" t="s">
        <v>626</v>
      </c>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28"/>
      <c r="AY169" s="3"/>
      <c r="AZ169" s="3"/>
      <c r="BA169" s="3"/>
      <c r="BB169" s="3"/>
      <c r="BC169" s="3"/>
      <c r="BD169" s="3"/>
      <c r="BE169" s="3"/>
      <c r="BF169" s="3"/>
      <c r="BG169" s="3"/>
      <c r="BH169" s="3"/>
      <c r="BI169" s="3"/>
      <c r="BJ169" s="3"/>
      <c r="BK169" s="3"/>
      <c r="BL169" s="3"/>
      <c r="BM169" s="3"/>
      <c r="BN169" s="28"/>
      <c r="BO169" s="3"/>
      <c r="BP169" s="3"/>
      <c r="BQ169" s="3"/>
      <c r="BR169" s="3"/>
      <c r="BS169" s="3"/>
      <c r="BT169" s="3"/>
      <c r="BU169" s="3"/>
      <c r="BV169" s="3"/>
      <c r="BW169" s="3"/>
      <c r="BX169" s="3"/>
      <c r="BY169" s="3"/>
      <c r="BZ169" s="3"/>
      <c r="CA169" s="3"/>
      <c r="CB169" s="3"/>
    </row>
    <row r="170" spans="1:80" ht="30" customHeight="1">
      <c r="B170" s="11">
        <f t="shared" si="10"/>
        <v>165</v>
      </c>
      <c r="C170" s="38" t="s">
        <v>664</v>
      </c>
      <c r="D170" s="37" t="s">
        <v>665</v>
      </c>
      <c r="E170" s="35" t="s">
        <v>684</v>
      </c>
      <c r="F170" s="14">
        <f t="shared" si="11"/>
        <v>0</v>
      </c>
      <c r="G170" s="15" t="s">
        <v>626</v>
      </c>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28"/>
      <c r="AY170" s="3"/>
      <c r="AZ170" s="3"/>
      <c r="BA170" s="3"/>
      <c r="BB170" s="3"/>
      <c r="BC170" s="3"/>
      <c r="BD170" s="3"/>
      <c r="BE170" s="3"/>
      <c r="BF170" s="3"/>
      <c r="BG170" s="3"/>
      <c r="BH170" s="3"/>
      <c r="BI170" s="3"/>
      <c r="BJ170" s="3"/>
      <c r="BK170" s="3"/>
      <c r="BL170" s="3"/>
      <c r="BM170" s="3"/>
      <c r="BN170" s="28"/>
      <c r="BO170" s="3"/>
      <c r="BP170" s="3"/>
      <c r="BQ170" s="3"/>
      <c r="BR170" s="3"/>
      <c r="BS170" s="3"/>
      <c r="BT170" s="3"/>
      <c r="BU170" s="3"/>
      <c r="BV170" s="3"/>
      <c r="BW170" s="3"/>
      <c r="BX170" s="3"/>
      <c r="BY170" s="3"/>
      <c r="BZ170" s="3"/>
      <c r="CA170" s="3"/>
      <c r="CB170" s="3"/>
    </row>
    <row r="171" spans="1:80" ht="30" customHeight="1">
      <c r="B171" s="11">
        <f t="shared" si="10"/>
        <v>166</v>
      </c>
      <c r="C171" s="38" t="s">
        <v>664</v>
      </c>
      <c r="D171" s="37" t="s">
        <v>665</v>
      </c>
      <c r="E171" s="35" t="s">
        <v>685</v>
      </c>
      <c r="F171" s="14">
        <f t="shared" si="11"/>
        <v>0</v>
      </c>
      <c r="G171" s="15" t="s">
        <v>626</v>
      </c>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28"/>
      <c r="AY171" s="3"/>
      <c r="AZ171" s="3"/>
      <c r="BA171" s="3"/>
      <c r="BB171" s="3"/>
      <c r="BC171" s="3"/>
      <c r="BD171" s="3"/>
      <c r="BE171" s="3"/>
      <c r="BF171" s="3"/>
      <c r="BG171" s="3"/>
      <c r="BH171" s="3"/>
      <c r="BI171" s="3"/>
      <c r="BJ171" s="3"/>
      <c r="BK171" s="3"/>
      <c r="BL171" s="3"/>
      <c r="BM171" s="3"/>
      <c r="BN171" s="28"/>
      <c r="BO171" s="3"/>
      <c r="BP171" s="3"/>
      <c r="BQ171" s="3"/>
      <c r="BR171" s="3"/>
      <c r="BS171" s="3"/>
      <c r="BT171" s="3"/>
      <c r="BU171" s="3"/>
      <c r="BV171" s="3"/>
      <c r="BW171" s="3"/>
      <c r="BX171" s="3"/>
      <c r="BY171" s="3"/>
      <c r="BZ171" s="3"/>
      <c r="CA171" s="3"/>
      <c r="CB171" s="3"/>
    </row>
    <row r="172" spans="1:80" ht="30" customHeight="1">
      <c r="B172" s="11">
        <f t="shared" si="10"/>
        <v>167</v>
      </c>
      <c r="C172" s="38" t="s">
        <v>664</v>
      </c>
      <c r="D172" s="37" t="s">
        <v>665</v>
      </c>
      <c r="E172" s="35" t="s">
        <v>686</v>
      </c>
      <c r="F172" s="14">
        <f t="shared" si="11"/>
        <v>0</v>
      </c>
      <c r="G172" s="15" t="s">
        <v>626</v>
      </c>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28"/>
      <c r="AY172" s="3"/>
      <c r="AZ172" s="3"/>
      <c r="BA172" s="3"/>
      <c r="BB172" s="3"/>
      <c r="BC172" s="3"/>
      <c r="BD172" s="3"/>
      <c r="BE172" s="3"/>
      <c r="BF172" s="3"/>
      <c r="BG172" s="3"/>
      <c r="BH172" s="3"/>
      <c r="BI172" s="3"/>
      <c r="BJ172" s="3"/>
      <c r="BK172" s="3"/>
      <c r="BL172" s="3"/>
      <c r="BM172" s="3"/>
      <c r="BN172" s="28"/>
      <c r="BO172" s="3"/>
      <c r="BP172" s="3"/>
      <c r="BQ172" s="3"/>
      <c r="BR172" s="3"/>
      <c r="BS172" s="3"/>
      <c r="BT172" s="3"/>
      <c r="BU172" s="3"/>
      <c r="BV172" s="3"/>
      <c r="BW172" s="3"/>
      <c r="BX172" s="3"/>
      <c r="BY172" s="3"/>
      <c r="BZ172" s="3"/>
      <c r="CA172" s="3"/>
      <c r="CB172" s="3"/>
    </row>
    <row r="173" spans="1:80" ht="30" customHeight="1">
      <c r="B173" s="11">
        <f t="shared" si="10"/>
        <v>168</v>
      </c>
      <c r="C173" s="38" t="s">
        <v>664</v>
      </c>
      <c r="D173" s="37" t="s">
        <v>665</v>
      </c>
      <c r="E173" s="35" t="s">
        <v>687</v>
      </c>
      <c r="F173" s="14">
        <f t="shared" si="11"/>
        <v>0</v>
      </c>
      <c r="G173" s="15" t="s">
        <v>626</v>
      </c>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28"/>
      <c r="AY173" s="3"/>
      <c r="AZ173" s="3"/>
      <c r="BA173" s="3"/>
      <c r="BB173" s="3"/>
      <c r="BC173" s="3"/>
      <c r="BD173" s="3"/>
      <c r="BE173" s="3"/>
      <c r="BF173" s="3"/>
      <c r="BG173" s="3"/>
      <c r="BH173" s="3"/>
      <c r="BI173" s="3"/>
      <c r="BJ173" s="3"/>
      <c r="BK173" s="3"/>
      <c r="BL173" s="3"/>
      <c r="BM173" s="3"/>
      <c r="BN173" s="28"/>
      <c r="BO173" s="3"/>
      <c r="BP173" s="3"/>
      <c r="BQ173" s="3"/>
      <c r="BR173" s="3"/>
      <c r="BS173" s="3"/>
      <c r="BT173" s="3"/>
      <c r="BU173" s="3"/>
      <c r="BV173" s="3"/>
      <c r="BW173" s="3"/>
      <c r="BX173" s="3"/>
      <c r="BY173" s="3"/>
      <c r="BZ173" s="3"/>
      <c r="CA173" s="3"/>
      <c r="CB173" s="3"/>
    </row>
    <row r="174" spans="1:80" ht="30" customHeight="1">
      <c r="A174" s="1" t="s">
        <v>688</v>
      </c>
      <c r="B174" s="11">
        <f t="shared" si="10"/>
        <v>169</v>
      </c>
      <c r="C174" s="38" t="s">
        <v>664</v>
      </c>
      <c r="D174" s="35" t="s">
        <v>689</v>
      </c>
      <c r="E174" s="35" t="s">
        <v>690</v>
      </c>
      <c r="F174" s="14">
        <f t="shared" si="11"/>
        <v>0</v>
      </c>
      <c r="G174" s="15" t="s">
        <v>626</v>
      </c>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28"/>
      <c r="AY174" s="3"/>
      <c r="AZ174" s="3"/>
      <c r="BA174" s="3"/>
      <c r="BB174" s="3"/>
      <c r="BC174" s="3"/>
      <c r="BD174" s="3"/>
      <c r="BE174" s="3"/>
      <c r="BF174" s="3"/>
      <c r="BG174" s="3"/>
      <c r="BH174" s="3"/>
      <c r="BI174" s="3"/>
      <c r="BJ174" s="3"/>
      <c r="BK174" s="3"/>
      <c r="BL174" s="3"/>
      <c r="BM174" s="3"/>
      <c r="BN174" s="28"/>
      <c r="BO174" s="3"/>
      <c r="BP174" s="3"/>
      <c r="BQ174" s="3"/>
      <c r="BR174" s="3"/>
      <c r="BS174" s="3"/>
      <c r="BT174" s="3"/>
      <c r="BU174" s="3"/>
      <c r="BV174" s="3"/>
      <c r="BW174" s="3"/>
      <c r="BX174" s="3"/>
      <c r="BY174" s="3"/>
      <c r="BZ174" s="3"/>
      <c r="CA174" s="3"/>
      <c r="CB174" s="3"/>
    </row>
    <row r="175" spans="1:80" ht="30" customHeight="1">
      <c r="B175" s="11">
        <f t="shared" si="10"/>
        <v>170</v>
      </c>
      <c r="C175" s="38" t="s">
        <v>664</v>
      </c>
      <c r="D175" s="37" t="s">
        <v>689</v>
      </c>
      <c r="E175" s="35" t="s">
        <v>691</v>
      </c>
      <c r="F175" s="14">
        <f t="shared" si="11"/>
        <v>8</v>
      </c>
      <c r="G175" s="15" t="s">
        <v>2</v>
      </c>
      <c r="H175" s="3"/>
      <c r="I175" s="3"/>
      <c r="J175" s="3"/>
      <c r="K175" s="3"/>
      <c r="L175" s="3"/>
      <c r="M175" s="3"/>
      <c r="N175" s="3"/>
      <c r="O175" s="3" t="s">
        <v>3</v>
      </c>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t="s">
        <v>3</v>
      </c>
      <c r="AO175" s="3"/>
      <c r="AP175" s="3"/>
      <c r="AQ175" s="3"/>
      <c r="AR175" s="3" t="s">
        <v>3</v>
      </c>
      <c r="AS175" s="3"/>
      <c r="AT175" s="3"/>
      <c r="AU175" s="3" t="s">
        <v>3</v>
      </c>
      <c r="AV175" s="3"/>
      <c r="AW175" s="3"/>
      <c r="AX175" s="28"/>
      <c r="AY175" s="3"/>
      <c r="AZ175" s="3"/>
      <c r="BA175" s="3"/>
      <c r="BB175" s="3"/>
      <c r="BC175" s="3"/>
      <c r="BD175" s="3"/>
      <c r="BE175" s="3"/>
      <c r="BF175" s="3"/>
      <c r="BG175" s="3"/>
      <c r="BH175" s="3"/>
      <c r="BI175" s="3"/>
      <c r="BJ175" s="3"/>
      <c r="BK175" s="3"/>
      <c r="BL175" s="3"/>
      <c r="BM175" s="3"/>
      <c r="BN175" s="28"/>
      <c r="BO175" s="3"/>
      <c r="BP175" s="3"/>
      <c r="BQ175" s="3"/>
      <c r="BR175" s="3"/>
      <c r="BS175" s="3"/>
      <c r="BT175" s="3"/>
      <c r="BU175" s="3" t="s">
        <v>3</v>
      </c>
      <c r="BV175" s="3" t="s">
        <v>3</v>
      </c>
      <c r="BW175" s="3" t="s">
        <v>3</v>
      </c>
      <c r="BX175" s="3" t="s">
        <v>3</v>
      </c>
      <c r="BY175" s="3"/>
      <c r="BZ175" s="3"/>
      <c r="CA175" s="3"/>
      <c r="CB175" s="3"/>
    </row>
    <row r="176" spans="1:80" ht="30" customHeight="1">
      <c r="B176" s="11">
        <f t="shared" si="10"/>
        <v>171</v>
      </c>
      <c r="C176" s="38" t="s">
        <v>664</v>
      </c>
      <c r="D176" s="35" t="s">
        <v>692</v>
      </c>
      <c r="E176" s="35" t="s">
        <v>693</v>
      </c>
      <c r="F176" s="14">
        <f t="shared" si="11"/>
        <v>0</v>
      </c>
      <c r="G176" s="15" t="s">
        <v>626</v>
      </c>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28"/>
      <c r="AY176" s="3"/>
      <c r="AZ176" s="3"/>
      <c r="BA176" s="3"/>
      <c r="BB176" s="3"/>
      <c r="BC176" s="3"/>
      <c r="BD176" s="3"/>
      <c r="BE176" s="3"/>
      <c r="BF176" s="3"/>
      <c r="BG176" s="3"/>
      <c r="BH176" s="3"/>
      <c r="BI176" s="3"/>
      <c r="BJ176" s="3"/>
      <c r="BK176" s="3"/>
      <c r="BL176" s="3"/>
      <c r="BM176" s="3"/>
      <c r="BN176" s="28"/>
      <c r="BO176" s="3"/>
      <c r="BP176" s="3"/>
      <c r="BQ176" s="3"/>
      <c r="BR176" s="3"/>
      <c r="BS176" s="3"/>
      <c r="BT176" s="3"/>
      <c r="BU176" s="3"/>
      <c r="BV176" s="3"/>
      <c r="BW176" s="3"/>
      <c r="BX176" s="3"/>
      <c r="BY176" s="3"/>
      <c r="BZ176" s="3"/>
      <c r="CA176" s="3"/>
      <c r="CB176" s="3"/>
    </row>
    <row r="177" spans="2:80" ht="30" customHeight="1">
      <c r="B177" s="11">
        <f t="shared" si="10"/>
        <v>172</v>
      </c>
      <c r="C177" s="38" t="s">
        <v>664</v>
      </c>
      <c r="D177" s="37" t="s">
        <v>692</v>
      </c>
      <c r="E177" s="35" t="s">
        <v>694</v>
      </c>
      <c r="F177" s="14">
        <f t="shared" si="11"/>
        <v>0</v>
      </c>
      <c r="G177" s="15" t="s">
        <v>626</v>
      </c>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28"/>
      <c r="AY177" s="3"/>
      <c r="AZ177" s="3"/>
      <c r="BA177" s="3"/>
      <c r="BB177" s="3"/>
      <c r="BC177" s="3"/>
      <c r="BD177" s="3"/>
      <c r="BE177" s="3"/>
      <c r="BF177" s="3"/>
      <c r="BG177" s="3"/>
      <c r="BH177" s="3"/>
      <c r="BI177" s="3"/>
      <c r="BJ177" s="3"/>
      <c r="BK177" s="3"/>
      <c r="BL177" s="3"/>
      <c r="BM177" s="3"/>
      <c r="BN177" s="28"/>
      <c r="BO177" s="3"/>
      <c r="BP177" s="3"/>
      <c r="BQ177" s="3"/>
      <c r="BR177" s="3"/>
      <c r="BS177" s="3"/>
      <c r="BT177" s="3"/>
      <c r="BU177" s="3"/>
      <c r="BV177" s="3"/>
      <c r="BW177" s="3"/>
      <c r="BX177" s="3"/>
      <c r="BY177" s="3"/>
      <c r="BZ177" s="3"/>
      <c r="CA177" s="3"/>
      <c r="CB177" s="3"/>
    </row>
    <row r="178" spans="2:80" ht="30" customHeight="1">
      <c r="B178" s="11">
        <f t="shared" si="10"/>
        <v>173</v>
      </c>
      <c r="C178" s="38" t="s">
        <v>664</v>
      </c>
      <c r="D178" s="37" t="s">
        <v>692</v>
      </c>
      <c r="E178" s="35" t="s">
        <v>695</v>
      </c>
      <c r="F178" s="14">
        <f t="shared" si="11"/>
        <v>0</v>
      </c>
      <c r="G178" s="15" t="s">
        <v>626</v>
      </c>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28"/>
      <c r="AY178" s="3"/>
      <c r="AZ178" s="3"/>
      <c r="BA178" s="3"/>
      <c r="BB178" s="3"/>
      <c r="BC178" s="3"/>
      <c r="BD178" s="3"/>
      <c r="BE178" s="3"/>
      <c r="BF178" s="3"/>
      <c r="BG178" s="3"/>
      <c r="BH178" s="3"/>
      <c r="BI178" s="3"/>
      <c r="BJ178" s="3"/>
      <c r="BK178" s="3"/>
      <c r="BL178" s="3"/>
      <c r="BM178" s="3"/>
      <c r="BN178" s="28"/>
      <c r="BO178" s="3"/>
      <c r="BP178" s="3"/>
      <c r="BQ178" s="3"/>
      <c r="BR178" s="3"/>
      <c r="BS178" s="3"/>
      <c r="BT178" s="3"/>
      <c r="BU178" s="3"/>
      <c r="BV178" s="3"/>
      <c r="BW178" s="3"/>
      <c r="BX178" s="3"/>
      <c r="BY178" s="3"/>
      <c r="BZ178" s="3"/>
      <c r="CA178" s="3"/>
      <c r="CB178" s="3"/>
    </row>
    <row r="179" spans="2:80" ht="30" customHeight="1">
      <c r="B179" s="11">
        <f t="shared" si="10"/>
        <v>174</v>
      </c>
      <c r="C179" s="38" t="s">
        <v>664</v>
      </c>
      <c r="D179" s="37" t="s">
        <v>692</v>
      </c>
      <c r="E179" s="35" t="s">
        <v>696</v>
      </c>
      <c r="F179" s="14">
        <f t="shared" si="11"/>
        <v>0</v>
      </c>
      <c r="G179" s="15" t="s">
        <v>626</v>
      </c>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28"/>
      <c r="AY179" s="3"/>
      <c r="AZ179" s="3"/>
      <c r="BA179" s="3"/>
      <c r="BB179" s="3"/>
      <c r="BC179" s="3"/>
      <c r="BD179" s="3"/>
      <c r="BE179" s="3"/>
      <c r="BF179" s="3"/>
      <c r="BG179" s="3"/>
      <c r="BH179" s="3"/>
      <c r="BI179" s="3"/>
      <c r="BJ179" s="3"/>
      <c r="BK179" s="3"/>
      <c r="BL179" s="3"/>
      <c r="BM179" s="3"/>
      <c r="BN179" s="28"/>
      <c r="BO179" s="3"/>
      <c r="BP179" s="3"/>
      <c r="BQ179" s="3"/>
      <c r="BR179" s="3"/>
      <c r="BS179" s="3"/>
      <c r="BT179" s="3"/>
      <c r="BU179" s="3"/>
      <c r="BV179" s="3"/>
      <c r="BW179" s="3"/>
      <c r="BX179" s="3"/>
      <c r="BY179" s="3"/>
      <c r="BZ179" s="3"/>
      <c r="CA179" s="3"/>
      <c r="CB179" s="3"/>
    </row>
    <row r="180" spans="2:80" ht="30" customHeight="1">
      <c r="B180" s="11">
        <f t="shared" si="10"/>
        <v>175</v>
      </c>
      <c r="C180" s="38" t="s">
        <v>664</v>
      </c>
      <c r="D180" s="37" t="s">
        <v>692</v>
      </c>
      <c r="E180" s="35" t="s">
        <v>697</v>
      </c>
      <c r="F180" s="14">
        <f t="shared" si="11"/>
        <v>7</v>
      </c>
      <c r="G180" s="15" t="s">
        <v>2</v>
      </c>
      <c r="H180" s="3"/>
      <c r="I180" s="3"/>
      <c r="J180" s="3"/>
      <c r="K180" s="3"/>
      <c r="L180" s="3"/>
      <c r="M180" s="3"/>
      <c r="N180" s="3"/>
      <c r="O180" s="3"/>
      <c r="P180" s="3"/>
      <c r="Q180" s="3"/>
      <c r="R180" s="3"/>
      <c r="S180" s="3"/>
      <c r="T180" s="3"/>
      <c r="U180" s="3"/>
      <c r="V180" s="3"/>
      <c r="W180" s="3"/>
      <c r="X180" s="3"/>
      <c r="Y180" s="3"/>
      <c r="Z180" s="3" t="s">
        <v>3</v>
      </c>
      <c r="AA180" s="3"/>
      <c r="AB180" s="3"/>
      <c r="AC180" s="3"/>
      <c r="AD180" s="3"/>
      <c r="AE180" s="3"/>
      <c r="AF180" s="3"/>
      <c r="AG180" s="3"/>
      <c r="AH180" s="3"/>
      <c r="AI180" s="3"/>
      <c r="AJ180" s="3"/>
      <c r="AK180" s="3"/>
      <c r="AL180" s="3"/>
      <c r="AM180" s="3"/>
      <c r="AN180" s="3" t="s">
        <v>3</v>
      </c>
      <c r="AO180" s="3"/>
      <c r="AP180" s="3"/>
      <c r="AQ180" s="3"/>
      <c r="AR180" s="3"/>
      <c r="AS180" s="3"/>
      <c r="AT180" s="3"/>
      <c r="AU180" s="3" t="s">
        <v>3</v>
      </c>
      <c r="AV180" s="3"/>
      <c r="AW180" s="3"/>
      <c r="AX180" s="28"/>
      <c r="AY180" s="3"/>
      <c r="AZ180" s="3"/>
      <c r="BA180" s="3"/>
      <c r="BB180" s="3"/>
      <c r="BC180" s="3"/>
      <c r="BD180" s="3"/>
      <c r="BE180" s="3"/>
      <c r="BF180" s="3"/>
      <c r="BG180" s="3"/>
      <c r="BH180" s="3"/>
      <c r="BI180" s="3"/>
      <c r="BJ180" s="3"/>
      <c r="BK180" s="3"/>
      <c r="BL180" s="3"/>
      <c r="BM180" s="3"/>
      <c r="BN180" s="28"/>
      <c r="BO180" s="3"/>
      <c r="BP180" s="3"/>
      <c r="BQ180" s="3"/>
      <c r="BR180" s="3"/>
      <c r="BS180" s="3"/>
      <c r="BT180" s="3"/>
      <c r="BU180" s="3" t="s">
        <v>3</v>
      </c>
      <c r="BV180" s="3"/>
      <c r="BW180" s="3" t="s">
        <v>3</v>
      </c>
      <c r="BX180" s="3" t="s">
        <v>3</v>
      </c>
      <c r="BY180" s="3" t="s">
        <v>3</v>
      </c>
      <c r="BZ180" s="3"/>
      <c r="CA180" s="3"/>
      <c r="CB180" s="3"/>
    </row>
    <row r="181" spans="2:80" ht="30" customHeight="1">
      <c r="B181" s="11">
        <f t="shared" si="10"/>
        <v>176</v>
      </c>
      <c r="C181" s="38" t="s">
        <v>664</v>
      </c>
      <c r="D181" s="37" t="s">
        <v>692</v>
      </c>
      <c r="E181" s="35" t="s">
        <v>698</v>
      </c>
      <c r="F181" s="14">
        <f t="shared" si="11"/>
        <v>15</v>
      </c>
      <c r="G181" s="15" t="s">
        <v>2</v>
      </c>
      <c r="H181" s="3" t="s">
        <v>3</v>
      </c>
      <c r="I181" s="3" t="s">
        <v>3</v>
      </c>
      <c r="J181" s="3"/>
      <c r="K181" s="3"/>
      <c r="L181" s="3"/>
      <c r="M181" s="3"/>
      <c r="N181" s="3" t="s">
        <v>3</v>
      </c>
      <c r="O181" s="3" t="s">
        <v>3</v>
      </c>
      <c r="P181" s="3" t="s">
        <v>3</v>
      </c>
      <c r="Q181" s="3"/>
      <c r="R181" s="3"/>
      <c r="S181" s="3"/>
      <c r="T181" s="3"/>
      <c r="U181" s="3"/>
      <c r="V181" s="3"/>
      <c r="W181" s="3"/>
      <c r="X181" s="3"/>
      <c r="Y181" s="3"/>
      <c r="Z181" s="3"/>
      <c r="AA181" s="3"/>
      <c r="AB181" s="3"/>
      <c r="AC181" s="3"/>
      <c r="AD181" s="3"/>
      <c r="AE181" s="3"/>
      <c r="AF181" s="3"/>
      <c r="AG181" s="3"/>
      <c r="AH181" s="3"/>
      <c r="AI181" s="3"/>
      <c r="AJ181" s="3"/>
      <c r="AK181" s="3"/>
      <c r="AL181" s="3"/>
      <c r="AM181" s="3"/>
      <c r="AN181" s="3" t="s">
        <v>3</v>
      </c>
      <c r="AO181" s="3"/>
      <c r="AP181" s="3"/>
      <c r="AQ181" s="3"/>
      <c r="AR181" s="3"/>
      <c r="AS181" s="3"/>
      <c r="AT181" s="3"/>
      <c r="AU181" s="3"/>
      <c r="AV181" s="3"/>
      <c r="AW181" s="3"/>
      <c r="AX181" s="28"/>
      <c r="AY181" s="3"/>
      <c r="AZ181" s="3"/>
      <c r="BA181" s="3"/>
      <c r="BB181" s="3"/>
      <c r="BC181" s="3"/>
      <c r="BD181" s="3"/>
      <c r="BE181" s="3"/>
      <c r="BF181" s="3"/>
      <c r="BG181" s="3"/>
      <c r="BH181" s="3"/>
      <c r="BI181" s="3"/>
      <c r="BJ181" s="3" t="s">
        <v>3</v>
      </c>
      <c r="BK181" s="3" t="s">
        <v>3</v>
      </c>
      <c r="BL181" s="3"/>
      <c r="BM181" s="3"/>
      <c r="BN181" s="28"/>
      <c r="BO181" s="3"/>
      <c r="BP181" s="3" t="s">
        <v>3</v>
      </c>
      <c r="BQ181" s="3" t="s">
        <v>3</v>
      </c>
      <c r="BR181" s="3"/>
      <c r="BS181" s="3" t="s">
        <v>3</v>
      </c>
      <c r="BT181" s="3"/>
      <c r="BU181" s="3" t="s">
        <v>3</v>
      </c>
      <c r="BV181" s="3" t="s">
        <v>3</v>
      </c>
      <c r="BW181" s="3" t="s">
        <v>3</v>
      </c>
      <c r="BX181" s="3" t="s">
        <v>3</v>
      </c>
      <c r="BY181" s="3"/>
      <c r="BZ181" s="3"/>
      <c r="CA181" s="3"/>
      <c r="CB181" s="3"/>
    </row>
    <row r="182" spans="2:80" ht="30" customHeight="1">
      <c r="B182" s="11">
        <f t="shared" si="10"/>
        <v>177</v>
      </c>
      <c r="C182" s="38" t="s">
        <v>664</v>
      </c>
      <c r="D182" s="37" t="s">
        <v>692</v>
      </c>
      <c r="E182" s="35" t="s">
        <v>699</v>
      </c>
      <c r="F182" s="14">
        <f t="shared" si="11"/>
        <v>0</v>
      </c>
      <c r="G182" s="15" t="s">
        <v>626</v>
      </c>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28"/>
      <c r="AY182" s="3"/>
      <c r="AZ182" s="3"/>
      <c r="BA182" s="3"/>
      <c r="BB182" s="3"/>
      <c r="BC182" s="3"/>
      <c r="BD182" s="3"/>
      <c r="BE182" s="3"/>
      <c r="BF182" s="3"/>
      <c r="BG182" s="3"/>
      <c r="BH182" s="3"/>
      <c r="BI182" s="3"/>
      <c r="BJ182" s="3"/>
      <c r="BK182" s="3"/>
      <c r="BL182" s="3"/>
      <c r="BM182" s="3"/>
      <c r="BN182" s="28"/>
      <c r="BO182" s="3"/>
      <c r="BP182" s="3"/>
      <c r="BQ182" s="3"/>
      <c r="BR182" s="3"/>
      <c r="BS182" s="3"/>
      <c r="BT182" s="3"/>
      <c r="BU182" s="3"/>
      <c r="BV182" s="3"/>
      <c r="BW182" s="3"/>
      <c r="BX182" s="3"/>
      <c r="BY182" s="3"/>
      <c r="BZ182" s="3"/>
      <c r="CA182" s="3"/>
      <c r="CB182" s="3"/>
    </row>
    <row r="183" spans="2:80" ht="30" customHeight="1">
      <c r="B183" s="11">
        <f t="shared" si="10"/>
        <v>178</v>
      </c>
      <c r="C183" s="38" t="s">
        <v>664</v>
      </c>
      <c r="D183" s="37" t="s">
        <v>692</v>
      </c>
      <c r="E183" s="35" t="s">
        <v>700</v>
      </c>
      <c r="F183" s="14">
        <f t="shared" si="11"/>
        <v>12</v>
      </c>
      <c r="G183" s="15" t="s">
        <v>2</v>
      </c>
      <c r="H183" s="3"/>
      <c r="I183" s="3"/>
      <c r="J183" s="3"/>
      <c r="K183" s="3"/>
      <c r="L183" s="3"/>
      <c r="M183" s="3"/>
      <c r="N183" s="3" t="s">
        <v>3</v>
      </c>
      <c r="O183" s="3" t="s">
        <v>3</v>
      </c>
      <c r="P183" s="3" t="s">
        <v>3</v>
      </c>
      <c r="Q183" s="3"/>
      <c r="R183" s="3"/>
      <c r="S183" s="3"/>
      <c r="T183" s="3"/>
      <c r="U183" s="3"/>
      <c r="V183" s="3"/>
      <c r="W183" s="3"/>
      <c r="X183" s="3"/>
      <c r="Y183" s="3"/>
      <c r="Z183" s="3" t="s">
        <v>3</v>
      </c>
      <c r="AA183" s="3"/>
      <c r="AB183" s="3"/>
      <c r="AC183" s="3"/>
      <c r="AD183" s="3"/>
      <c r="AE183" s="3"/>
      <c r="AF183" s="3"/>
      <c r="AG183" s="3"/>
      <c r="AH183" s="3"/>
      <c r="AI183" s="3"/>
      <c r="AJ183" s="3"/>
      <c r="AK183" s="3"/>
      <c r="AL183" s="3"/>
      <c r="AM183" s="3"/>
      <c r="AN183" s="3" t="s">
        <v>3</v>
      </c>
      <c r="AO183" s="3"/>
      <c r="AP183" s="3"/>
      <c r="AQ183" s="3"/>
      <c r="AR183" s="3"/>
      <c r="AS183" s="3"/>
      <c r="AT183" s="3"/>
      <c r="AU183" s="3"/>
      <c r="AV183" s="3"/>
      <c r="AW183" s="3"/>
      <c r="AX183" s="28"/>
      <c r="AY183" s="3"/>
      <c r="AZ183" s="3"/>
      <c r="BA183" s="3"/>
      <c r="BB183" s="3"/>
      <c r="BC183" s="3"/>
      <c r="BD183" s="3"/>
      <c r="BE183" s="3"/>
      <c r="BF183" s="3"/>
      <c r="BG183" s="3"/>
      <c r="BH183" s="3"/>
      <c r="BI183" s="3"/>
      <c r="BJ183" s="3" t="s">
        <v>3</v>
      </c>
      <c r="BK183" s="3" t="s">
        <v>3</v>
      </c>
      <c r="BL183" s="3"/>
      <c r="BM183" s="3"/>
      <c r="BN183" s="28"/>
      <c r="BO183" s="3"/>
      <c r="BP183" s="3"/>
      <c r="BQ183" s="3"/>
      <c r="BR183" s="3"/>
      <c r="BS183" s="3" t="s">
        <v>3</v>
      </c>
      <c r="BT183" s="3"/>
      <c r="BU183" s="3" t="s">
        <v>3</v>
      </c>
      <c r="BV183" s="3" t="s">
        <v>3</v>
      </c>
      <c r="BW183" s="3" t="s">
        <v>3</v>
      </c>
      <c r="BX183" s="3" t="s">
        <v>3</v>
      </c>
      <c r="BY183" s="3"/>
      <c r="BZ183" s="3"/>
      <c r="CA183" s="3"/>
      <c r="CB183" s="3"/>
    </row>
    <row r="184" spans="2:80" ht="30" customHeight="1">
      <c r="B184" s="11">
        <f t="shared" si="10"/>
        <v>179</v>
      </c>
      <c r="C184" s="38" t="s">
        <v>664</v>
      </c>
      <c r="D184" s="35" t="s">
        <v>701</v>
      </c>
      <c r="E184" s="35" t="s">
        <v>702</v>
      </c>
      <c r="F184" s="14">
        <f t="shared" si="11"/>
        <v>2</v>
      </c>
      <c r="G184" s="15" t="s">
        <v>499</v>
      </c>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28"/>
      <c r="AY184" s="3"/>
      <c r="AZ184" s="3"/>
      <c r="BA184" s="3"/>
      <c r="BB184" s="3"/>
      <c r="BC184" s="3"/>
      <c r="BD184" s="3"/>
      <c r="BE184" s="3"/>
      <c r="BF184" s="3"/>
      <c r="BG184" s="3"/>
      <c r="BH184" s="3"/>
      <c r="BI184" s="3"/>
      <c r="BJ184" s="3"/>
      <c r="BK184" s="3"/>
      <c r="BL184" s="3"/>
      <c r="BM184" s="3"/>
      <c r="BN184" s="28"/>
      <c r="BO184" s="3"/>
      <c r="BP184" s="3"/>
      <c r="BQ184" s="3"/>
      <c r="BR184" s="3"/>
      <c r="BS184" s="3"/>
      <c r="BT184" s="3"/>
      <c r="BU184" s="3" t="s">
        <v>3</v>
      </c>
      <c r="BV184" s="3"/>
      <c r="BW184" s="3"/>
      <c r="BX184" s="3"/>
      <c r="BY184" s="3"/>
      <c r="BZ184" s="3"/>
      <c r="CA184" s="13" t="s">
        <v>3</v>
      </c>
      <c r="CB184" s="3"/>
    </row>
    <row r="185" spans="2:80" ht="30" customHeight="1">
      <c r="B185" s="11">
        <f t="shared" si="10"/>
        <v>180</v>
      </c>
      <c r="C185" s="38" t="s">
        <v>664</v>
      </c>
      <c r="D185" s="37" t="s">
        <v>701</v>
      </c>
      <c r="E185" s="35" t="s">
        <v>703</v>
      </c>
      <c r="F185" s="14">
        <f t="shared" si="11"/>
        <v>2</v>
      </c>
      <c r="G185" s="15" t="s">
        <v>499</v>
      </c>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28"/>
      <c r="AY185" s="3"/>
      <c r="AZ185" s="3"/>
      <c r="BA185" s="3"/>
      <c r="BB185" s="3"/>
      <c r="BC185" s="3"/>
      <c r="BD185" s="3"/>
      <c r="BE185" s="3"/>
      <c r="BF185" s="3"/>
      <c r="BG185" s="3"/>
      <c r="BH185" s="3"/>
      <c r="BI185" s="3"/>
      <c r="BJ185" s="3"/>
      <c r="BK185" s="3"/>
      <c r="BL185" s="3"/>
      <c r="BM185" s="3"/>
      <c r="BN185" s="28"/>
      <c r="BO185" s="3"/>
      <c r="BP185" s="3"/>
      <c r="BQ185" s="3"/>
      <c r="BR185" s="3"/>
      <c r="BS185" s="3"/>
      <c r="BT185" s="3"/>
      <c r="BU185" s="3" t="s">
        <v>3</v>
      </c>
      <c r="BV185" s="3"/>
      <c r="BW185" s="3"/>
      <c r="BX185" s="3"/>
      <c r="BY185" s="3"/>
      <c r="BZ185" s="3"/>
      <c r="CA185" s="13" t="s">
        <v>3</v>
      </c>
      <c r="CB185" s="3"/>
    </row>
    <row r="186" spans="2:80" ht="30" customHeight="1">
      <c r="B186" s="11">
        <f t="shared" si="10"/>
        <v>181</v>
      </c>
      <c r="C186" s="38" t="s">
        <v>664</v>
      </c>
      <c r="D186" s="37" t="s">
        <v>701</v>
      </c>
      <c r="E186" s="35" t="s">
        <v>704</v>
      </c>
      <c r="F186" s="14">
        <f t="shared" si="11"/>
        <v>2</v>
      </c>
      <c r="G186" s="15" t="s">
        <v>499</v>
      </c>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28"/>
      <c r="AY186" s="3"/>
      <c r="AZ186" s="3"/>
      <c r="BA186" s="3"/>
      <c r="BB186" s="3"/>
      <c r="BC186" s="3"/>
      <c r="BD186" s="3"/>
      <c r="BE186" s="3"/>
      <c r="BF186" s="3"/>
      <c r="BG186" s="3"/>
      <c r="BH186" s="3"/>
      <c r="BI186" s="3"/>
      <c r="BJ186" s="3"/>
      <c r="BK186" s="3"/>
      <c r="BL186" s="3"/>
      <c r="BM186" s="3"/>
      <c r="BN186" s="28"/>
      <c r="BO186" s="3"/>
      <c r="BP186" s="3"/>
      <c r="BQ186" s="3"/>
      <c r="BR186" s="3"/>
      <c r="BS186" s="3"/>
      <c r="BT186" s="3"/>
      <c r="BU186" s="3" t="s">
        <v>3</v>
      </c>
      <c r="BV186" s="3"/>
      <c r="BW186" s="3"/>
      <c r="BX186" s="3"/>
      <c r="BY186" s="3"/>
      <c r="BZ186" s="3"/>
      <c r="CA186" s="13" t="s">
        <v>3</v>
      </c>
      <c r="CB186" s="3"/>
    </row>
    <row r="187" spans="2:80" ht="30" customHeight="1">
      <c r="B187" s="11">
        <f t="shared" si="10"/>
        <v>182</v>
      </c>
      <c r="C187" s="38" t="s">
        <v>664</v>
      </c>
      <c r="D187" s="37" t="s">
        <v>701</v>
      </c>
      <c r="E187" s="35" t="s">
        <v>705</v>
      </c>
      <c r="F187" s="14">
        <f t="shared" si="11"/>
        <v>2</v>
      </c>
      <c r="G187" s="15" t="s">
        <v>499</v>
      </c>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28"/>
      <c r="AY187" s="3"/>
      <c r="AZ187" s="3"/>
      <c r="BA187" s="3"/>
      <c r="BB187" s="3"/>
      <c r="BC187" s="3"/>
      <c r="BD187" s="3"/>
      <c r="BE187" s="3"/>
      <c r="BF187" s="3"/>
      <c r="BG187" s="3"/>
      <c r="BH187" s="3"/>
      <c r="BI187" s="3"/>
      <c r="BJ187" s="3"/>
      <c r="BK187" s="3"/>
      <c r="BL187" s="3"/>
      <c r="BM187" s="3"/>
      <c r="BN187" s="28"/>
      <c r="BO187" s="3"/>
      <c r="BP187" s="3"/>
      <c r="BQ187" s="3"/>
      <c r="BR187" s="3"/>
      <c r="BS187" s="3"/>
      <c r="BT187" s="3"/>
      <c r="BU187" s="3" t="s">
        <v>3</v>
      </c>
      <c r="BV187" s="3"/>
      <c r="BW187" s="3"/>
      <c r="BX187" s="3"/>
      <c r="BY187" s="3"/>
      <c r="BZ187" s="3"/>
      <c r="CA187" s="13" t="s">
        <v>3</v>
      </c>
      <c r="CB187" s="3"/>
    </row>
    <row r="188" spans="2:80" ht="30" customHeight="1">
      <c r="B188" s="11">
        <f t="shared" si="10"/>
        <v>183</v>
      </c>
      <c r="C188" s="38" t="s">
        <v>664</v>
      </c>
      <c r="D188" s="37" t="s">
        <v>701</v>
      </c>
      <c r="E188" s="35" t="s">
        <v>706</v>
      </c>
      <c r="F188" s="14">
        <f t="shared" si="11"/>
        <v>2</v>
      </c>
      <c r="G188" s="15" t="s">
        <v>499</v>
      </c>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28"/>
      <c r="AY188" s="3"/>
      <c r="AZ188" s="3"/>
      <c r="BA188" s="3"/>
      <c r="BB188" s="3"/>
      <c r="BC188" s="3"/>
      <c r="BD188" s="3"/>
      <c r="BE188" s="3"/>
      <c r="BF188" s="3"/>
      <c r="BG188" s="3"/>
      <c r="BH188" s="3"/>
      <c r="BI188" s="3"/>
      <c r="BJ188" s="3"/>
      <c r="BK188" s="3"/>
      <c r="BL188" s="3"/>
      <c r="BM188" s="3"/>
      <c r="BN188" s="28"/>
      <c r="BO188" s="3"/>
      <c r="BP188" s="3"/>
      <c r="BQ188" s="3"/>
      <c r="BR188" s="3"/>
      <c r="BS188" s="3"/>
      <c r="BT188" s="3"/>
      <c r="BU188" s="3" t="s">
        <v>3</v>
      </c>
      <c r="BV188" s="3"/>
      <c r="BW188" s="3"/>
      <c r="BX188" s="3"/>
      <c r="BY188" s="3"/>
      <c r="BZ188" s="3"/>
      <c r="CA188" s="13" t="s">
        <v>3</v>
      </c>
      <c r="CB188" s="3"/>
    </row>
    <row r="189" spans="2:80" ht="30" customHeight="1">
      <c r="B189" s="11">
        <f t="shared" si="10"/>
        <v>184</v>
      </c>
      <c r="C189" s="38" t="s">
        <v>664</v>
      </c>
      <c r="D189" s="37" t="s">
        <v>701</v>
      </c>
      <c r="E189" s="35" t="s">
        <v>707</v>
      </c>
      <c r="F189" s="14">
        <f t="shared" si="11"/>
        <v>2</v>
      </c>
      <c r="G189" s="15" t="s">
        <v>499</v>
      </c>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28"/>
      <c r="AY189" s="3"/>
      <c r="AZ189" s="3"/>
      <c r="BA189" s="3"/>
      <c r="BB189" s="3"/>
      <c r="BC189" s="3"/>
      <c r="BD189" s="3"/>
      <c r="BE189" s="3"/>
      <c r="BF189" s="3"/>
      <c r="BG189" s="3"/>
      <c r="BH189" s="3"/>
      <c r="BI189" s="3"/>
      <c r="BJ189" s="3"/>
      <c r="BK189" s="3"/>
      <c r="BL189" s="3"/>
      <c r="BM189" s="3"/>
      <c r="BN189" s="28"/>
      <c r="BO189" s="3"/>
      <c r="BP189" s="3"/>
      <c r="BQ189" s="3"/>
      <c r="BR189" s="3"/>
      <c r="BS189" s="3"/>
      <c r="BT189" s="3"/>
      <c r="BU189" s="3" t="s">
        <v>3</v>
      </c>
      <c r="BV189" s="3"/>
      <c r="BW189" s="3"/>
      <c r="BX189" s="3"/>
      <c r="BY189" s="3"/>
      <c r="BZ189" s="3"/>
      <c r="CA189" s="13" t="s">
        <v>3</v>
      </c>
      <c r="CB189" s="3"/>
    </row>
    <row r="190" spans="2:80" ht="30" customHeight="1">
      <c r="B190" s="11">
        <f t="shared" si="10"/>
        <v>185</v>
      </c>
      <c r="C190" s="38" t="s">
        <v>664</v>
      </c>
      <c r="D190" s="37" t="s">
        <v>701</v>
      </c>
      <c r="E190" s="35" t="s">
        <v>708</v>
      </c>
      <c r="F190" s="14">
        <f t="shared" si="11"/>
        <v>2</v>
      </c>
      <c r="G190" s="15" t="s">
        <v>499</v>
      </c>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28"/>
      <c r="AY190" s="3"/>
      <c r="AZ190" s="3"/>
      <c r="BA190" s="3"/>
      <c r="BB190" s="3"/>
      <c r="BC190" s="3"/>
      <c r="BD190" s="3"/>
      <c r="BE190" s="3"/>
      <c r="BF190" s="3"/>
      <c r="BG190" s="3"/>
      <c r="BH190" s="3"/>
      <c r="BI190" s="3"/>
      <c r="BJ190" s="3"/>
      <c r="BK190" s="3"/>
      <c r="BL190" s="3"/>
      <c r="BM190" s="3"/>
      <c r="BN190" s="28"/>
      <c r="BO190" s="3"/>
      <c r="BP190" s="3"/>
      <c r="BQ190" s="3"/>
      <c r="BR190" s="3"/>
      <c r="BS190" s="3"/>
      <c r="BT190" s="3"/>
      <c r="BU190" s="3" t="s">
        <v>3</v>
      </c>
      <c r="BV190" s="3"/>
      <c r="BW190" s="3"/>
      <c r="BX190" s="3"/>
      <c r="BY190" s="3"/>
      <c r="BZ190" s="3"/>
      <c r="CA190" s="13" t="s">
        <v>3</v>
      </c>
      <c r="CB190" s="3"/>
    </row>
    <row r="191" spans="2:80" ht="30" customHeight="1">
      <c r="B191" s="11">
        <f t="shared" si="10"/>
        <v>186</v>
      </c>
      <c r="C191" s="38" t="s">
        <v>664</v>
      </c>
      <c r="D191" s="37" t="s">
        <v>701</v>
      </c>
      <c r="E191" s="35" t="s">
        <v>709</v>
      </c>
      <c r="F191" s="14">
        <f t="shared" si="11"/>
        <v>2</v>
      </c>
      <c r="G191" s="15" t="s">
        <v>499</v>
      </c>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28"/>
      <c r="AY191" s="3"/>
      <c r="AZ191" s="3"/>
      <c r="BA191" s="3"/>
      <c r="BB191" s="3"/>
      <c r="BC191" s="3"/>
      <c r="BD191" s="3"/>
      <c r="BE191" s="3"/>
      <c r="BF191" s="3"/>
      <c r="BG191" s="3"/>
      <c r="BH191" s="3"/>
      <c r="BI191" s="3"/>
      <c r="BJ191" s="3"/>
      <c r="BK191" s="3"/>
      <c r="BL191" s="3"/>
      <c r="BM191" s="3"/>
      <c r="BN191" s="28"/>
      <c r="BO191" s="3"/>
      <c r="BP191" s="3"/>
      <c r="BQ191" s="3"/>
      <c r="BR191" s="3"/>
      <c r="BS191" s="3"/>
      <c r="BT191" s="3"/>
      <c r="BU191" s="3" t="s">
        <v>3</v>
      </c>
      <c r="BV191" s="3"/>
      <c r="BW191" s="3"/>
      <c r="BX191" s="3"/>
      <c r="BY191" s="3"/>
      <c r="BZ191" s="3"/>
      <c r="CA191" s="13" t="s">
        <v>3</v>
      </c>
      <c r="CB191" s="3"/>
    </row>
    <row r="192" spans="2:80" ht="30" customHeight="1">
      <c r="B192" s="11">
        <f t="shared" si="10"/>
        <v>187</v>
      </c>
      <c r="C192" s="38" t="s">
        <v>664</v>
      </c>
      <c r="D192" s="37" t="s">
        <v>701</v>
      </c>
      <c r="E192" s="35" t="s">
        <v>710</v>
      </c>
      <c r="F192" s="14">
        <f t="shared" si="11"/>
        <v>2</v>
      </c>
      <c r="G192" s="15" t="s">
        <v>499</v>
      </c>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28"/>
      <c r="AY192" s="3"/>
      <c r="AZ192" s="3"/>
      <c r="BA192" s="3"/>
      <c r="BB192" s="3"/>
      <c r="BC192" s="3"/>
      <c r="BD192" s="3"/>
      <c r="BE192" s="3"/>
      <c r="BF192" s="3"/>
      <c r="BG192" s="3"/>
      <c r="BH192" s="3"/>
      <c r="BI192" s="3"/>
      <c r="BJ192" s="3"/>
      <c r="BK192" s="3"/>
      <c r="BL192" s="3"/>
      <c r="BM192" s="3"/>
      <c r="BN192" s="28"/>
      <c r="BO192" s="3"/>
      <c r="BP192" s="3"/>
      <c r="BQ192" s="3"/>
      <c r="BR192" s="3"/>
      <c r="BS192" s="3"/>
      <c r="BT192" s="3"/>
      <c r="BU192" s="3" t="s">
        <v>3</v>
      </c>
      <c r="BV192" s="3"/>
      <c r="BW192" s="3"/>
      <c r="BX192" s="3"/>
      <c r="BY192" s="3"/>
      <c r="BZ192" s="3"/>
      <c r="CA192" s="13" t="s">
        <v>3</v>
      </c>
      <c r="CB192" s="3"/>
    </row>
    <row r="193" spans="2:80" ht="30" customHeight="1">
      <c r="B193" s="11">
        <f t="shared" si="10"/>
        <v>188</v>
      </c>
      <c r="C193" s="38" t="s">
        <v>664</v>
      </c>
      <c r="D193" s="35" t="s">
        <v>711</v>
      </c>
      <c r="E193" s="35" t="s">
        <v>712</v>
      </c>
      <c r="F193" s="14">
        <f t="shared" si="11"/>
        <v>2</v>
      </c>
      <c r="G193" s="15" t="s">
        <v>499</v>
      </c>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28"/>
      <c r="AY193" s="3"/>
      <c r="AZ193" s="3"/>
      <c r="BA193" s="3"/>
      <c r="BB193" s="3"/>
      <c r="BC193" s="3"/>
      <c r="BD193" s="3"/>
      <c r="BE193" s="3"/>
      <c r="BF193" s="3"/>
      <c r="BG193" s="3"/>
      <c r="BH193" s="3"/>
      <c r="BI193" s="3"/>
      <c r="BJ193" s="3"/>
      <c r="BK193" s="3"/>
      <c r="BL193" s="3"/>
      <c r="BM193" s="3"/>
      <c r="BN193" s="28"/>
      <c r="BO193" s="3"/>
      <c r="BP193" s="3"/>
      <c r="BQ193" s="3"/>
      <c r="BR193" s="3"/>
      <c r="BS193" s="3"/>
      <c r="BT193" s="3"/>
      <c r="BU193" s="3" t="s">
        <v>3</v>
      </c>
      <c r="BV193" s="3"/>
      <c r="BW193" s="3"/>
      <c r="BX193" s="3"/>
      <c r="BY193" s="3"/>
      <c r="BZ193" s="3"/>
      <c r="CA193" s="13" t="s">
        <v>3</v>
      </c>
      <c r="CB193" s="3"/>
    </row>
    <row r="194" spans="2:80" ht="30" customHeight="1">
      <c r="B194" s="11">
        <f t="shared" si="10"/>
        <v>189</v>
      </c>
      <c r="C194" s="38" t="s">
        <v>664</v>
      </c>
      <c r="D194" s="37" t="s">
        <v>711</v>
      </c>
      <c r="E194" s="35" t="s">
        <v>713</v>
      </c>
      <c r="F194" s="14">
        <f t="shared" si="11"/>
        <v>12</v>
      </c>
      <c r="G194" s="15" t="s">
        <v>2</v>
      </c>
      <c r="H194" s="3"/>
      <c r="I194" s="3" t="s">
        <v>3</v>
      </c>
      <c r="J194" s="3"/>
      <c r="K194" s="3"/>
      <c r="L194" s="3" t="s">
        <v>3</v>
      </c>
      <c r="M194" s="3"/>
      <c r="N194" s="3" t="s">
        <v>3</v>
      </c>
      <c r="O194" s="3" t="s">
        <v>3</v>
      </c>
      <c r="P194" s="3" t="s">
        <v>3</v>
      </c>
      <c r="Q194" s="3"/>
      <c r="R194" s="3"/>
      <c r="S194" s="3"/>
      <c r="T194" s="3"/>
      <c r="U194" s="3"/>
      <c r="V194" s="3"/>
      <c r="W194" s="3"/>
      <c r="X194" s="3"/>
      <c r="Y194" s="3"/>
      <c r="Z194" s="3" t="s">
        <v>3</v>
      </c>
      <c r="AA194" s="3"/>
      <c r="AB194" s="3"/>
      <c r="AC194" s="3"/>
      <c r="AD194" s="3"/>
      <c r="AE194" s="3"/>
      <c r="AF194" s="3"/>
      <c r="AG194" s="3"/>
      <c r="AH194" s="3"/>
      <c r="AI194" s="3"/>
      <c r="AJ194" s="3"/>
      <c r="AK194" s="3"/>
      <c r="AL194" s="3"/>
      <c r="AM194" s="3"/>
      <c r="AN194" s="3" t="s">
        <v>3</v>
      </c>
      <c r="AO194" s="3"/>
      <c r="AP194" s="3"/>
      <c r="AQ194" s="3"/>
      <c r="AR194" s="3"/>
      <c r="AS194" s="3"/>
      <c r="AT194" s="3"/>
      <c r="AU194" s="3"/>
      <c r="AV194" s="3"/>
      <c r="AW194" s="3"/>
      <c r="AX194" s="28"/>
      <c r="AY194" s="3"/>
      <c r="AZ194" s="3"/>
      <c r="BA194" s="3"/>
      <c r="BB194" s="3"/>
      <c r="BC194" s="3"/>
      <c r="BD194" s="3"/>
      <c r="BE194" s="3" t="s">
        <v>3</v>
      </c>
      <c r="BF194" s="3" t="s">
        <v>3</v>
      </c>
      <c r="BG194" s="3"/>
      <c r="BH194" s="3"/>
      <c r="BI194" s="3"/>
      <c r="BJ194" s="3"/>
      <c r="BK194" s="3"/>
      <c r="BL194" s="3"/>
      <c r="BM194" s="3"/>
      <c r="BN194" s="28"/>
      <c r="BO194" s="3"/>
      <c r="BP194" s="3"/>
      <c r="BQ194" s="3"/>
      <c r="BR194" s="3"/>
      <c r="BS194" s="3"/>
      <c r="BT194" s="3"/>
      <c r="BU194" s="3" t="s">
        <v>3</v>
      </c>
      <c r="BV194" s="3"/>
      <c r="BW194" s="3" t="s">
        <v>3</v>
      </c>
      <c r="BX194" s="3" t="s">
        <v>3</v>
      </c>
      <c r="BY194" s="3"/>
      <c r="BZ194" s="3"/>
      <c r="CA194" s="3"/>
      <c r="CB194" s="3"/>
    </row>
    <row r="195" spans="2:80" ht="30" customHeight="1">
      <c r="B195" s="11">
        <f t="shared" si="10"/>
        <v>190</v>
      </c>
      <c r="C195" s="38" t="s">
        <v>664</v>
      </c>
      <c r="D195" s="37" t="s">
        <v>711</v>
      </c>
      <c r="E195" s="42" t="s">
        <v>714</v>
      </c>
      <c r="F195" s="14">
        <f t="shared" si="11"/>
        <v>19</v>
      </c>
      <c r="G195" s="15" t="s">
        <v>2</v>
      </c>
      <c r="H195" s="3" t="s">
        <v>3</v>
      </c>
      <c r="I195" s="3" t="s">
        <v>3</v>
      </c>
      <c r="J195" s="3"/>
      <c r="K195" s="3"/>
      <c r="L195" s="3" t="s">
        <v>3</v>
      </c>
      <c r="M195" s="3"/>
      <c r="N195" s="3" t="s">
        <v>3</v>
      </c>
      <c r="O195" s="3" t="s">
        <v>3</v>
      </c>
      <c r="P195" s="3" t="s">
        <v>3</v>
      </c>
      <c r="Q195" s="3"/>
      <c r="R195" s="3"/>
      <c r="S195" s="3"/>
      <c r="T195" s="3"/>
      <c r="U195" s="3"/>
      <c r="V195" s="3"/>
      <c r="W195" s="3"/>
      <c r="X195" s="3"/>
      <c r="Y195" s="3"/>
      <c r="Z195" s="3" t="s">
        <v>3</v>
      </c>
      <c r="AA195" s="3"/>
      <c r="AB195" s="3"/>
      <c r="AC195" s="3"/>
      <c r="AD195" s="3"/>
      <c r="AE195" s="3"/>
      <c r="AF195" s="3"/>
      <c r="AG195" s="3"/>
      <c r="AH195" s="3"/>
      <c r="AI195" s="3"/>
      <c r="AJ195" s="3"/>
      <c r="AK195" s="3"/>
      <c r="AL195" s="3"/>
      <c r="AM195" s="3"/>
      <c r="AN195" s="3" t="s">
        <v>3</v>
      </c>
      <c r="AO195" s="3"/>
      <c r="AP195" s="3"/>
      <c r="AQ195" s="3"/>
      <c r="AR195" s="3"/>
      <c r="AS195" s="3"/>
      <c r="AT195" s="3"/>
      <c r="AU195" s="3"/>
      <c r="AV195" s="3"/>
      <c r="AW195" s="3"/>
      <c r="AX195" s="28"/>
      <c r="AY195" s="3"/>
      <c r="AZ195" s="3"/>
      <c r="BA195" s="3"/>
      <c r="BB195" s="3"/>
      <c r="BC195" s="3"/>
      <c r="BD195" s="3"/>
      <c r="BE195" s="3" t="s">
        <v>3</v>
      </c>
      <c r="BF195" s="3" t="s">
        <v>3</v>
      </c>
      <c r="BG195" s="3"/>
      <c r="BH195" s="3"/>
      <c r="BI195" s="3"/>
      <c r="BJ195" s="3" t="s">
        <v>3</v>
      </c>
      <c r="BK195" s="3" t="s">
        <v>3</v>
      </c>
      <c r="BL195" s="3"/>
      <c r="BM195" s="3"/>
      <c r="BN195" s="28"/>
      <c r="BO195" s="3"/>
      <c r="BP195" s="3" t="s">
        <v>3</v>
      </c>
      <c r="BQ195" s="3" t="s">
        <v>3</v>
      </c>
      <c r="BR195" s="3"/>
      <c r="BS195" s="3" t="s">
        <v>3</v>
      </c>
      <c r="BT195" s="3"/>
      <c r="BU195" s="3" t="s">
        <v>3</v>
      </c>
      <c r="BV195" s="3" t="s">
        <v>3</v>
      </c>
      <c r="BW195" s="3" t="s">
        <v>3</v>
      </c>
      <c r="BX195" s="3" t="s">
        <v>3</v>
      </c>
      <c r="BY195" s="3"/>
      <c r="BZ195" s="3"/>
      <c r="CA195" s="3"/>
      <c r="CB195" s="3"/>
    </row>
    <row r="196" spans="2:80" ht="30" customHeight="1">
      <c r="B196" s="11">
        <f t="shared" si="10"/>
        <v>191</v>
      </c>
      <c r="C196" s="38" t="s">
        <v>664</v>
      </c>
      <c r="D196" s="37" t="s">
        <v>711</v>
      </c>
      <c r="E196" s="35" t="s">
        <v>715</v>
      </c>
      <c r="F196" s="14">
        <f t="shared" si="11"/>
        <v>2</v>
      </c>
      <c r="G196" s="15" t="s">
        <v>499</v>
      </c>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28"/>
      <c r="AY196" s="3"/>
      <c r="AZ196" s="3"/>
      <c r="BA196" s="3"/>
      <c r="BB196" s="3"/>
      <c r="BC196" s="3"/>
      <c r="BD196" s="3"/>
      <c r="BE196" s="3"/>
      <c r="BF196" s="3"/>
      <c r="BG196" s="3"/>
      <c r="BH196" s="3"/>
      <c r="BI196" s="3"/>
      <c r="BJ196" s="3"/>
      <c r="BK196" s="3"/>
      <c r="BL196" s="3"/>
      <c r="BM196" s="3"/>
      <c r="BN196" s="28"/>
      <c r="BO196" s="3"/>
      <c r="BP196" s="3"/>
      <c r="BQ196" s="3"/>
      <c r="BR196" s="3"/>
      <c r="BS196" s="3"/>
      <c r="BT196" s="3"/>
      <c r="BU196" s="3" t="s">
        <v>3</v>
      </c>
      <c r="BV196" s="3"/>
      <c r="BW196" s="3"/>
      <c r="BX196" s="3"/>
      <c r="BY196" s="3"/>
      <c r="BZ196" s="3"/>
      <c r="CA196" s="13" t="s">
        <v>3</v>
      </c>
      <c r="CB196" s="3"/>
    </row>
    <row r="197" spans="2:80" ht="30" customHeight="1">
      <c r="B197" s="11">
        <f t="shared" si="10"/>
        <v>192</v>
      </c>
      <c r="C197" s="38" t="s">
        <v>664</v>
      </c>
      <c r="D197" s="35" t="s">
        <v>716</v>
      </c>
      <c r="E197" s="35" t="s">
        <v>717</v>
      </c>
      <c r="F197" s="14">
        <f t="shared" si="11"/>
        <v>13</v>
      </c>
      <c r="G197" s="15" t="s">
        <v>2</v>
      </c>
      <c r="H197" s="3"/>
      <c r="I197" s="3"/>
      <c r="J197" s="3"/>
      <c r="K197" s="3"/>
      <c r="L197" s="3"/>
      <c r="M197" s="3"/>
      <c r="N197" s="3" t="s">
        <v>3</v>
      </c>
      <c r="O197" s="3" t="s">
        <v>3</v>
      </c>
      <c r="P197" s="3" t="s">
        <v>3</v>
      </c>
      <c r="Q197" s="3"/>
      <c r="R197" s="3"/>
      <c r="S197" s="3"/>
      <c r="T197" s="3"/>
      <c r="U197" s="3"/>
      <c r="V197" s="3"/>
      <c r="W197" s="3"/>
      <c r="X197" s="3"/>
      <c r="Y197" s="3"/>
      <c r="Z197" s="3"/>
      <c r="AA197" s="3"/>
      <c r="AB197" s="3"/>
      <c r="AC197" s="3"/>
      <c r="AD197" s="3"/>
      <c r="AE197" s="3"/>
      <c r="AF197" s="3"/>
      <c r="AG197" s="3"/>
      <c r="AH197" s="3"/>
      <c r="AI197" s="3"/>
      <c r="AJ197" s="3"/>
      <c r="AK197" s="3"/>
      <c r="AL197" s="3"/>
      <c r="AM197" s="3"/>
      <c r="AN197" s="3" t="s">
        <v>3</v>
      </c>
      <c r="AO197" s="3"/>
      <c r="AP197" s="3"/>
      <c r="AQ197" s="3"/>
      <c r="AR197" s="3"/>
      <c r="AS197" s="3"/>
      <c r="AT197" s="3"/>
      <c r="AU197" s="3"/>
      <c r="AV197" s="3"/>
      <c r="AW197" s="3"/>
      <c r="AX197" s="28"/>
      <c r="AY197" s="3"/>
      <c r="AZ197" s="3"/>
      <c r="BA197" s="3"/>
      <c r="BB197" s="3"/>
      <c r="BC197" s="3"/>
      <c r="BD197" s="3"/>
      <c r="BE197" s="3"/>
      <c r="BF197" s="3"/>
      <c r="BG197" s="3"/>
      <c r="BH197" s="3"/>
      <c r="BI197" s="3"/>
      <c r="BJ197" s="3" t="s">
        <v>3</v>
      </c>
      <c r="BK197" s="3" t="s">
        <v>3</v>
      </c>
      <c r="BL197" s="3"/>
      <c r="BM197" s="3"/>
      <c r="BN197" s="28"/>
      <c r="BO197" s="3"/>
      <c r="BP197" s="3" t="s">
        <v>3</v>
      </c>
      <c r="BQ197" s="3" t="s">
        <v>3</v>
      </c>
      <c r="BR197" s="3"/>
      <c r="BS197" s="3" t="s">
        <v>3</v>
      </c>
      <c r="BT197" s="3"/>
      <c r="BU197" s="3" t="s">
        <v>3</v>
      </c>
      <c r="BV197" s="3" t="s">
        <v>3</v>
      </c>
      <c r="BW197" s="3" t="s">
        <v>3</v>
      </c>
      <c r="BX197" s="3" t="s">
        <v>3</v>
      </c>
      <c r="BY197" s="3"/>
      <c r="BZ197" s="3"/>
      <c r="CA197" s="3"/>
      <c r="CB197" s="3"/>
    </row>
    <row r="198" spans="2:80" ht="30" customHeight="1">
      <c r="B198" s="11">
        <f t="shared" ref="B198:B261" si="12">ROW()-5</f>
        <v>193</v>
      </c>
      <c r="C198" s="38" t="s">
        <v>664</v>
      </c>
      <c r="D198" s="37" t="s">
        <v>716</v>
      </c>
      <c r="E198" s="35" t="s">
        <v>718</v>
      </c>
      <c r="F198" s="14">
        <f t="shared" si="11"/>
        <v>2</v>
      </c>
      <c r="G198" s="15" t="s">
        <v>499</v>
      </c>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28"/>
      <c r="AY198" s="3"/>
      <c r="AZ198" s="3"/>
      <c r="BA198" s="3"/>
      <c r="BB198" s="3"/>
      <c r="BC198" s="3"/>
      <c r="BD198" s="3"/>
      <c r="BE198" s="3"/>
      <c r="BF198" s="3"/>
      <c r="BG198" s="3"/>
      <c r="BH198" s="3"/>
      <c r="BI198" s="3"/>
      <c r="BJ198" s="3"/>
      <c r="BK198" s="3"/>
      <c r="BL198" s="3"/>
      <c r="BM198" s="3"/>
      <c r="BN198" s="28"/>
      <c r="BO198" s="3"/>
      <c r="BP198" s="3"/>
      <c r="BQ198" s="3"/>
      <c r="BR198" s="3"/>
      <c r="BS198" s="3"/>
      <c r="BT198" s="3"/>
      <c r="BU198" s="3" t="s">
        <v>3</v>
      </c>
      <c r="BV198" s="3"/>
      <c r="BW198" s="3"/>
      <c r="BX198" s="3"/>
      <c r="BY198" s="3"/>
      <c r="BZ198" s="3"/>
      <c r="CA198" s="13" t="s">
        <v>3</v>
      </c>
      <c r="CB198" s="3"/>
    </row>
    <row r="199" spans="2:80" ht="30" customHeight="1">
      <c r="B199" s="11">
        <f t="shared" si="12"/>
        <v>194</v>
      </c>
      <c r="C199" s="35" t="s">
        <v>133</v>
      </c>
      <c r="D199" s="35" t="s">
        <v>719</v>
      </c>
      <c r="E199" s="35" t="s">
        <v>720</v>
      </c>
      <c r="F199" s="14">
        <f t="shared" si="11"/>
        <v>2</v>
      </c>
      <c r="G199" s="15" t="s">
        <v>499</v>
      </c>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28"/>
      <c r="AY199" s="3"/>
      <c r="AZ199" s="3"/>
      <c r="BA199" s="3"/>
      <c r="BB199" s="3"/>
      <c r="BC199" s="3"/>
      <c r="BD199" s="3"/>
      <c r="BE199" s="3"/>
      <c r="BF199" s="3"/>
      <c r="BG199" s="3"/>
      <c r="BH199" s="3"/>
      <c r="BI199" s="3"/>
      <c r="BJ199" s="3"/>
      <c r="BK199" s="3"/>
      <c r="BL199" s="3"/>
      <c r="BM199" s="3"/>
      <c r="BN199" s="28"/>
      <c r="BO199" s="3"/>
      <c r="BP199" s="3"/>
      <c r="BQ199" s="3"/>
      <c r="BR199" s="3"/>
      <c r="BS199" s="3"/>
      <c r="BT199" s="3"/>
      <c r="BU199" s="3" t="s">
        <v>3</v>
      </c>
      <c r="BV199" s="3"/>
      <c r="BW199" s="3"/>
      <c r="BX199" s="3"/>
      <c r="BY199" s="3"/>
      <c r="BZ199" s="3"/>
      <c r="CA199" s="13" t="s">
        <v>3</v>
      </c>
      <c r="CB199" s="3"/>
    </row>
    <row r="200" spans="2:80" ht="30" customHeight="1">
      <c r="B200" s="11">
        <f t="shared" si="12"/>
        <v>195</v>
      </c>
      <c r="C200" s="38" t="s">
        <v>133</v>
      </c>
      <c r="D200" s="37" t="s">
        <v>719</v>
      </c>
      <c r="E200" s="35" t="s">
        <v>721</v>
      </c>
      <c r="F200" s="14">
        <f t="shared" si="11"/>
        <v>2</v>
      </c>
      <c r="G200" s="15" t="s">
        <v>499</v>
      </c>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28"/>
      <c r="AY200" s="3"/>
      <c r="AZ200" s="3"/>
      <c r="BA200" s="3"/>
      <c r="BB200" s="3"/>
      <c r="BC200" s="3"/>
      <c r="BD200" s="3"/>
      <c r="BE200" s="3"/>
      <c r="BF200" s="3"/>
      <c r="BG200" s="3"/>
      <c r="BH200" s="3"/>
      <c r="BI200" s="3"/>
      <c r="BJ200" s="3"/>
      <c r="BK200" s="3"/>
      <c r="BL200" s="3"/>
      <c r="BM200" s="3"/>
      <c r="BN200" s="28"/>
      <c r="BO200" s="3"/>
      <c r="BP200" s="3"/>
      <c r="BQ200" s="3"/>
      <c r="BR200" s="3"/>
      <c r="BS200" s="3"/>
      <c r="BT200" s="3"/>
      <c r="BU200" s="3" t="s">
        <v>3</v>
      </c>
      <c r="BV200" s="3"/>
      <c r="BW200" s="3"/>
      <c r="BX200" s="3"/>
      <c r="BY200" s="3"/>
      <c r="BZ200" s="3"/>
      <c r="CA200" s="13" t="s">
        <v>3</v>
      </c>
      <c r="CB200" s="3"/>
    </row>
    <row r="201" spans="2:80" ht="30" customHeight="1">
      <c r="B201" s="11">
        <f t="shared" si="12"/>
        <v>196</v>
      </c>
      <c r="C201" s="38" t="s">
        <v>133</v>
      </c>
      <c r="D201" s="35" t="s">
        <v>722</v>
      </c>
      <c r="E201" s="35" t="s">
        <v>723</v>
      </c>
      <c r="F201" s="14">
        <f t="shared" si="11"/>
        <v>2</v>
      </c>
      <c r="G201" s="15" t="s">
        <v>499</v>
      </c>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28"/>
      <c r="AY201" s="3"/>
      <c r="AZ201" s="3"/>
      <c r="BA201" s="3"/>
      <c r="BB201" s="3"/>
      <c r="BC201" s="3"/>
      <c r="BD201" s="3"/>
      <c r="BE201" s="3"/>
      <c r="BF201" s="3"/>
      <c r="BG201" s="3"/>
      <c r="BH201" s="3"/>
      <c r="BI201" s="3"/>
      <c r="BJ201" s="3"/>
      <c r="BK201" s="3"/>
      <c r="BL201" s="3"/>
      <c r="BM201" s="3"/>
      <c r="BN201" s="28"/>
      <c r="BO201" s="3"/>
      <c r="BP201" s="3"/>
      <c r="BQ201" s="3"/>
      <c r="BR201" s="3"/>
      <c r="BS201" s="3"/>
      <c r="BT201" s="3"/>
      <c r="BU201" s="3" t="s">
        <v>3</v>
      </c>
      <c r="BV201" s="3"/>
      <c r="BW201" s="3"/>
      <c r="BX201" s="3"/>
      <c r="BY201" s="3"/>
      <c r="BZ201" s="3"/>
      <c r="CA201" s="13" t="s">
        <v>3</v>
      </c>
      <c r="CB201" s="3"/>
    </row>
    <row r="202" spans="2:80" ht="30" customHeight="1">
      <c r="B202" s="11">
        <f t="shared" si="12"/>
        <v>197</v>
      </c>
      <c r="C202" s="38" t="s">
        <v>133</v>
      </c>
      <c r="D202" s="35" t="s">
        <v>724</v>
      </c>
      <c r="E202" s="35" t="s">
        <v>725</v>
      </c>
      <c r="F202" s="14">
        <f t="shared" si="11"/>
        <v>2</v>
      </c>
      <c r="G202" s="15" t="s">
        <v>499</v>
      </c>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28"/>
      <c r="AY202" s="3"/>
      <c r="AZ202" s="3"/>
      <c r="BA202" s="3"/>
      <c r="BB202" s="3"/>
      <c r="BC202" s="3"/>
      <c r="BD202" s="3"/>
      <c r="BE202" s="3"/>
      <c r="BF202" s="3"/>
      <c r="BG202" s="3"/>
      <c r="BH202" s="3"/>
      <c r="BI202" s="3"/>
      <c r="BJ202" s="3"/>
      <c r="BK202" s="3"/>
      <c r="BL202" s="3"/>
      <c r="BM202" s="3"/>
      <c r="BN202" s="28"/>
      <c r="BO202" s="3"/>
      <c r="BP202" s="3"/>
      <c r="BQ202" s="3"/>
      <c r="BR202" s="3"/>
      <c r="BS202" s="3"/>
      <c r="BT202" s="3"/>
      <c r="BU202" s="3" t="s">
        <v>3</v>
      </c>
      <c r="BV202" s="3"/>
      <c r="BW202" s="3"/>
      <c r="BX202" s="3"/>
      <c r="BY202" s="3"/>
      <c r="BZ202" s="3"/>
      <c r="CA202" s="13" t="s">
        <v>3</v>
      </c>
      <c r="CB202" s="3"/>
    </row>
    <row r="203" spans="2:80" ht="30" customHeight="1">
      <c r="B203" s="11">
        <f t="shared" si="12"/>
        <v>198</v>
      </c>
      <c r="C203" s="38" t="s">
        <v>133</v>
      </c>
      <c r="D203" s="37" t="s">
        <v>724</v>
      </c>
      <c r="E203" s="35" t="s">
        <v>726</v>
      </c>
      <c r="F203" s="14">
        <f t="shared" si="11"/>
        <v>2</v>
      </c>
      <c r="G203" s="15" t="s">
        <v>499</v>
      </c>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28"/>
      <c r="AY203" s="3"/>
      <c r="AZ203" s="3"/>
      <c r="BA203" s="3"/>
      <c r="BB203" s="3"/>
      <c r="BC203" s="3"/>
      <c r="BD203" s="3"/>
      <c r="BE203" s="3"/>
      <c r="BF203" s="3"/>
      <c r="BG203" s="3"/>
      <c r="BH203" s="3"/>
      <c r="BI203" s="3"/>
      <c r="BJ203" s="3"/>
      <c r="BK203" s="3"/>
      <c r="BL203" s="3"/>
      <c r="BM203" s="3"/>
      <c r="BN203" s="28"/>
      <c r="BO203" s="3"/>
      <c r="BP203" s="3"/>
      <c r="BQ203" s="3"/>
      <c r="BR203" s="3"/>
      <c r="BS203" s="3"/>
      <c r="BT203" s="3"/>
      <c r="BU203" s="3" t="s">
        <v>3</v>
      </c>
      <c r="BV203" s="3"/>
      <c r="BW203" s="3"/>
      <c r="BX203" s="3"/>
      <c r="BY203" s="3"/>
      <c r="BZ203" s="3"/>
      <c r="CA203" s="13" t="s">
        <v>3</v>
      </c>
      <c r="CB203" s="3"/>
    </row>
    <row r="204" spans="2:80" ht="30" customHeight="1">
      <c r="B204" s="11">
        <f t="shared" si="12"/>
        <v>199</v>
      </c>
      <c r="C204" s="38" t="s">
        <v>133</v>
      </c>
      <c r="D204" s="37" t="s">
        <v>724</v>
      </c>
      <c r="E204" s="35" t="s">
        <v>727</v>
      </c>
      <c r="F204" s="14">
        <f t="shared" si="11"/>
        <v>2</v>
      </c>
      <c r="G204" s="15" t="s">
        <v>499</v>
      </c>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28"/>
      <c r="AY204" s="3"/>
      <c r="AZ204" s="3"/>
      <c r="BA204" s="3"/>
      <c r="BB204" s="3"/>
      <c r="BC204" s="3"/>
      <c r="BD204" s="3"/>
      <c r="BE204" s="3"/>
      <c r="BF204" s="3"/>
      <c r="BG204" s="3"/>
      <c r="BH204" s="3"/>
      <c r="BI204" s="3"/>
      <c r="BJ204" s="3"/>
      <c r="BK204" s="3"/>
      <c r="BL204" s="3"/>
      <c r="BM204" s="3"/>
      <c r="BN204" s="28"/>
      <c r="BO204" s="3"/>
      <c r="BP204" s="3"/>
      <c r="BQ204" s="3"/>
      <c r="BR204" s="3"/>
      <c r="BS204" s="3"/>
      <c r="BT204" s="3"/>
      <c r="BU204" s="3" t="s">
        <v>3</v>
      </c>
      <c r="BV204" s="3"/>
      <c r="BW204" s="3"/>
      <c r="BX204" s="3"/>
      <c r="BY204" s="3"/>
      <c r="BZ204" s="3"/>
      <c r="CA204" s="13" t="s">
        <v>3</v>
      </c>
      <c r="CB204" s="3"/>
    </row>
    <row r="205" spans="2:80" ht="30" customHeight="1">
      <c r="B205" s="11">
        <f t="shared" si="12"/>
        <v>200</v>
      </c>
      <c r="C205" s="38" t="s">
        <v>133</v>
      </c>
      <c r="D205" s="37" t="s">
        <v>724</v>
      </c>
      <c r="E205" s="35" t="s">
        <v>728</v>
      </c>
      <c r="F205" s="14">
        <f t="shared" si="11"/>
        <v>2</v>
      </c>
      <c r="G205" s="15" t="s">
        <v>499</v>
      </c>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28"/>
      <c r="AY205" s="3"/>
      <c r="AZ205" s="3"/>
      <c r="BA205" s="3"/>
      <c r="BB205" s="3"/>
      <c r="BC205" s="3"/>
      <c r="BD205" s="3"/>
      <c r="BE205" s="3"/>
      <c r="BF205" s="3"/>
      <c r="BG205" s="3"/>
      <c r="BH205" s="3"/>
      <c r="BI205" s="3"/>
      <c r="BJ205" s="3"/>
      <c r="BK205" s="3"/>
      <c r="BL205" s="3"/>
      <c r="BM205" s="3"/>
      <c r="BN205" s="28"/>
      <c r="BO205" s="3"/>
      <c r="BP205" s="3"/>
      <c r="BQ205" s="3"/>
      <c r="BR205" s="3"/>
      <c r="BS205" s="3"/>
      <c r="BT205" s="3"/>
      <c r="BU205" s="3" t="s">
        <v>3</v>
      </c>
      <c r="BV205" s="3"/>
      <c r="BW205" s="3"/>
      <c r="BX205" s="3"/>
      <c r="BY205" s="3"/>
      <c r="BZ205" s="3"/>
      <c r="CA205" s="13" t="s">
        <v>3</v>
      </c>
      <c r="CB205" s="3"/>
    </row>
    <row r="206" spans="2:80" ht="30" customHeight="1">
      <c r="B206" s="11">
        <f t="shared" si="12"/>
        <v>201</v>
      </c>
      <c r="C206" s="38" t="s">
        <v>133</v>
      </c>
      <c r="D206" s="37" t="s">
        <v>724</v>
      </c>
      <c r="E206" s="35" t="s">
        <v>729</v>
      </c>
      <c r="F206" s="14">
        <f t="shared" si="11"/>
        <v>2</v>
      </c>
      <c r="G206" s="15" t="s">
        <v>499</v>
      </c>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28"/>
      <c r="AY206" s="3"/>
      <c r="AZ206" s="3"/>
      <c r="BA206" s="3"/>
      <c r="BB206" s="3"/>
      <c r="BC206" s="3"/>
      <c r="BD206" s="3"/>
      <c r="BE206" s="3"/>
      <c r="BF206" s="3"/>
      <c r="BG206" s="3"/>
      <c r="BH206" s="3"/>
      <c r="BI206" s="3"/>
      <c r="BJ206" s="3"/>
      <c r="BK206" s="3"/>
      <c r="BL206" s="3"/>
      <c r="BM206" s="3"/>
      <c r="BN206" s="28"/>
      <c r="BO206" s="3"/>
      <c r="BP206" s="3"/>
      <c r="BQ206" s="3"/>
      <c r="BR206" s="3"/>
      <c r="BS206" s="3"/>
      <c r="BT206" s="3"/>
      <c r="BU206" s="3" t="s">
        <v>3</v>
      </c>
      <c r="BV206" s="3"/>
      <c r="BW206" s="3"/>
      <c r="BX206" s="3"/>
      <c r="BY206" s="3"/>
      <c r="BZ206" s="3"/>
      <c r="CA206" s="13" t="s">
        <v>3</v>
      </c>
      <c r="CB206" s="3"/>
    </row>
    <row r="207" spans="2:80" ht="30" customHeight="1">
      <c r="B207" s="11">
        <f t="shared" si="12"/>
        <v>202</v>
      </c>
      <c r="C207" s="38" t="s">
        <v>133</v>
      </c>
      <c r="D207" s="37" t="s">
        <v>724</v>
      </c>
      <c r="E207" s="35" t="s">
        <v>730</v>
      </c>
      <c r="F207" s="14">
        <f t="shared" si="11"/>
        <v>2</v>
      </c>
      <c r="G207" s="15" t="s">
        <v>499</v>
      </c>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28"/>
      <c r="AY207" s="3"/>
      <c r="AZ207" s="3"/>
      <c r="BA207" s="3"/>
      <c r="BB207" s="3"/>
      <c r="BC207" s="3"/>
      <c r="BD207" s="3"/>
      <c r="BE207" s="3"/>
      <c r="BF207" s="3"/>
      <c r="BG207" s="3"/>
      <c r="BH207" s="3"/>
      <c r="BI207" s="3"/>
      <c r="BJ207" s="3"/>
      <c r="BK207" s="3"/>
      <c r="BL207" s="3"/>
      <c r="BM207" s="3"/>
      <c r="BN207" s="28"/>
      <c r="BO207" s="3"/>
      <c r="BP207" s="3"/>
      <c r="BQ207" s="3"/>
      <c r="BR207" s="3"/>
      <c r="BS207" s="3"/>
      <c r="BT207" s="3"/>
      <c r="BU207" s="3" t="s">
        <v>3</v>
      </c>
      <c r="BV207" s="3"/>
      <c r="BW207" s="3"/>
      <c r="BX207" s="3"/>
      <c r="BY207" s="3"/>
      <c r="BZ207" s="3"/>
      <c r="CA207" s="13" t="s">
        <v>3</v>
      </c>
      <c r="CB207" s="3"/>
    </row>
    <row r="208" spans="2:80" ht="30" customHeight="1">
      <c r="B208" s="11">
        <f t="shared" si="12"/>
        <v>203</v>
      </c>
      <c r="C208" s="38" t="s">
        <v>133</v>
      </c>
      <c r="D208" s="35" t="s">
        <v>731</v>
      </c>
      <c r="E208" s="35" t="s">
        <v>732</v>
      </c>
      <c r="F208" s="14">
        <f t="shared" si="11"/>
        <v>25</v>
      </c>
      <c r="G208" s="15" t="s">
        <v>2</v>
      </c>
      <c r="H208" s="3" t="s">
        <v>3</v>
      </c>
      <c r="I208" s="3" t="s">
        <v>3</v>
      </c>
      <c r="J208" s="3"/>
      <c r="K208" s="3"/>
      <c r="L208" s="3" t="s">
        <v>3</v>
      </c>
      <c r="M208" s="3" t="s">
        <v>3</v>
      </c>
      <c r="N208" s="3" t="s">
        <v>3</v>
      </c>
      <c r="O208" s="3" t="s">
        <v>3</v>
      </c>
      <c r="P208" s="3" t="s">
        <v>3</v>
      </c>
      <c r="Q208" s="3" t="s">
        <v>3</v>
      </c>
      <c r="R208" s="3"/>
      <c r="S208" s="3"/>
      <c r="T208" s="3"/>
      <c r="U208" s="3"/>
      <c r="V208" s="3"/>
      <c r="W208" s="3"/>
      <c r="X208" s="3"/>
      <c r="Y208" s="3"/>
      <c r="Z208" s="3" t="s">
        <v>3</v>
      </c>
      <c r="AA208" s="3"/>
      <c r="AB208" s="3"/>
      <c r="AC208" s="3"/>
      <c r="AD208" s="3"/>
      <c r="AE208" s="3"/>
      <c r="AF208" s="3"/>
      <c r="AG208" s="3"/>
      <c r="AH208" s="3"/>
      <c r="AI208" s="3"/>
      <c r="AJ208" s="3"/>
      <c r="AK208" s="3"/>
      <c r="AL208" s="3"/>
      <c r="AM208" s="3"/>
      <c r="AN208" s="3" t="s">
        <v>3</v>
      </c>
      <c r="AO208" s="3"/>
      <c r="AP208" s="3"/>
      <c r="AQ208" s="3"/>
      <c r="AR208" s="3"/>
      <c r="AS208" s="3"/>
      <c r="AT208" s="3"/>
      <c r="AU208" s="3"/>
      <c r="AV208" s="3"/>
      <c r="AW208" s="3"/>
      <c r="AX208" s="28"/>
      <c r="AY208" s="3"/>
      <c r="AZ208" s="3" t="s">
        <v>3</v>
      </c>
      <c r="BA208" s="3" t="s">
        <v>3</v>
      </c>
      <c r="BB208" s="3" t="s">
        <v>3</v>
      </c>
      <c r="BC208" s="3" t="s">
        <v>3</v>
      </c>
      <c r="BD208" s="3" t="s">
        <v>3</v>
      </c>
      <c r="BE208" s="3" t="s">
        <v>3</v>
      </c>
      <c r="BF208" s="3" t="s">
        <v>3</v>
      </c>
      <c r="BG208" s="3"/>
      <c r="BH208" s="3"/>
      <c r="BI208" s="3"/>
      <c r="BJ208" s="3" t="s">
        <v>3</v>
      </c>
      <c r="BK208" s="3" t="s">
        <v>3</v>
      </c>
      <c r="BL208" s="3"/>
      <c r="BM208" s="3"/>
      <c r="BN208" s="28"/>
      <c r="BO208" s="3"/>
      <c r="BP208" s="3"/>
      <c r="BQ208" s="3" t="s">
        <v>3</v>
      </c>
      <c r="BR208" s="3"/>
      <c r="BS208" s="3" t="s">
        <v>3</v>
      </c>
      <c r="BT208" s="3"/>
      <c r="BU208" s="3" t="s">
        <v>3</v>
      </c>
      <c r="BV208" s="3" t="s">
        <v>3</v>
      </c>
      <c r="BW208" s="3" t="s">
        <v>3</v>
      </c>
      <c r="BX208" s="3" t="s">
        <v>3</v>
      </c>
      <c r="BY208" s="3"/>
      <c r="BZ208" s="3"/>
      <c r="CA208" s="3"/>
      <c r="CB208" s="3"/>
    </row>
    <row r="209" spans="2:80" ht="30" customHeight="1">
      <c r="B209" s="11">
        <f t="shared" si="12"/>
        <v>204</v>
      </c>
      <c r="C209" s="38" t="s">
        <v>133</v>
      </c>
      <c r="D209" s="37" t="s">
        <v>731</v>
      </c>
      <c r="E209" s="35" t="s">
        <v>733</v>
      </c>
      <c r="F209" s="14">
        <f t="shared" si="11"/>
        <v>7</v>
      </c>
      <c r="G209" s="15" t="s">
        <v>2</v>
      </c>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28"/>
      <c r="AY209" s="3"/>
      <c r="AZ209" s="3"/>
      <c r="BA209" s="3"/>
      <c r="BB209" s="3"/>
      <c r="BC209" s="3"/>
      <c r="BD209" s="3"/>
      <c r="BE209" s="3"/>
      <c r="BF209" s="3"/>
      <c r="BG209" s="3" t="s">
        <v>3</v>
      </c>
      <c r="BH209" s="3" t="s">
        <v>3</v>
      </c>
      <c r="BI209" s="3"/>
      <c r="BJ209" s="3"/>
      <c r="BK209" s="3"/>
      <c r="BL209" s="3"/>
      <c r="BM209" s="3"/>
      <c r="BN209" s="28"/>
      <c r="BO209" s="3"/>
      <c r="BP209" s="3"/>
      <c r="BQ209" s="3"/>
      <c r="BR209" s="3"/>
      <c r="BS209" s="3"/>
      <c r="BT209" s="3"/>
      <c r="BU209" s="3" t="s">
        <v>3</v>
      </c>
      <c r="BV209" s="3" t="s">
        <v>3</v>
      </c>
      <c r="BW209" s="3" t="s">
        <v>3</v>
      </c>
      <c r="BX209" s="3"/>
      <c r="BY209" s="3" t="s">
        <v>3</v>
      </c>
      <c r="BZ209" s="3" t="s">
        <v>3</v>
      </c>
      <c r="CA209" s="3"/>
      <c r="CB209" s="3"/>
    </row>
    <row r="210" spans="2:80" ht="30" customHeight="1">
      <c r="B210" s="11">
        <f t="shared" si="12"/>
        <v>205</v>
      </c>
      <c r="C210" s="38" t="s">
        <v>133</v>
      </c>
      <c r="D210" s="37" t="s">
        <v>731</v>
      </c>
      <c r="E210" s="35" t="s">
        <v>734</v>
      </c>
      <c r="F210" s="14">
        <f t="shared" si="11"/>
        <v>13</v>
      </c>
      <c r="G210" s="15" t="s">
        <v>2</v>
      </c>
      <c r="H210" s="3" t="s">
        <v>3</v>
      </c>
      <c r="I210" s="3" t="s">
        <v>3</v>
      </c>
      <c r="J210" s="3"/>
      <c r="K210" s="3"/>
      <c r="L210" s="3" t="s">
        <v>3</v>
      </c>
      <c r="M210" s="3" t="s">
        <v>3</v>
      </c>
      <c r="N210" s="3"/>
      <c r="O210" s="3" t="s">
        <v>3</v>
      </c>
      <c r="P210" s="3" t="s">
        <v>3</v>
      </c>
      <c r="Q210" s="3"/>
      <c r="R210" s="3"/>
      <c r="S210" s="3"/>
      <c r="T210" s="3"/>
      <c r="U210" s="3"/>
      <c r="V210" s="3"/>
      <c r="W210" s="3"/>
      <c r="X210" s="3"/>
      <c r="Y210" s="3"/>
      <c r="Z210" s="3" t="s">
        <v>3</v>
      </c>
      <c r="AA210" s="3"/>
      <c r="AB210" s="3"/>
      <c r="AC210" s="3"/>
      <c r="AD210" s="3"/>
      <c r="AE210" s="3"/>
      <c r="AF210" s="3"/>
      <c r="AG210" s="3"/>
      <c r="AH210" s="3"/>
      <c r="AI210" s="3"/>
      <c r="AJ210" s="3"/>
      <c r="AK210" s="3"/>
      <c r="AL210" s="3"/>
      <c r="AM210" s="3"/>
      <c r="AN210" s="3" t="s">
        <v>3</v>
      </c>
      <c r="AO210" s="3"/>
      <c r="AP210" s="3"/>
      <c r="AQ210" s="3"/>
      <c r="AR210" s="3"/>
      <c r="AS210" s="3"/>
      <c r="AT210" s="3"/>
      <c r="AU210" s="3"/>
      <c r="AV210" s="3"/>
      <c r="AW210" s="3"/>
      <c r="AX210" s="28"/>
      <c r="AY210" s="3"/>
      <c r="AZ210" s="3"/>
      <c r="BA210" s="3"/>
      <c r="BB210" s="3"/>
      <c r="BC210" s="3"/>
      <c r="BD210" s="3"/>
      <c r="BE210" s="3"/>
      <c r="BF210" s="3"/>
      <c r="BG210" s="3"/>
      <c r="BH210" s="3"/>
      <c r="BI210" s="3"/>
      <c r="BJ210" s="3"/>
      <c r="BK210" s="3"/>
      <c r="BL210" s="3"/>
      <c r="BM210" s="3"/>
      <c r="BN210" s="28"/>
      <c r="BO210" s="3"/>
      <c r="BP210" s="3"/>
      <c r="BQ210" s="43" t="s">
        <v>3</v>
      </c>
      <c r="BR210" s="3"/>
      <c r="BS210" s="3"/>
      <c r="BT210" s="3"/>
      <c r="BU210" s="3" t="s">
        <v>3</v>
      </c>
      <c r="BV210" s="3" t="s">
        <v>3</v>
      </c>
      <c r="BW210" s="3" t="s">
        <v>3</v>
      </c>
      <c r="BX210" s="3" t="s">
        <v>3</v>
      </c>
      <c r="BY210" s="3"/>
      <c r="BZ210" s="3"/>
      <c r="CA210" s="3"/>
      <c r="CB210" s="3"/>
    </row>
    <row r="211" spans="2:80" ht="30" customHeight="1">
      <c r="B211" s="11">
        <f t="shared" si="12"/>
        <v>206</v>
      </c>
      <c r="C211" s="38" t="s">
        <v>133</v>
      </c>
      <c r="D211" s="37" t="s">
        <v>731</v>
      </c>
      <c r="E211" s="35" t="s">
        <v>735</v>
      </c>
      <c r="F211" s="14">
        <f t="shared" si="11"/>
        <v>12</v>
      </c>
      <c r="G211" s="15" t="s">
        <v>2</v>
      </c>
      <c r="H211" s="3" t="s">
        <v>3</v>
      </c>
      <c r="I211" s="3" t="s">
        <v>3</v>
      </c>
      <c r="J211" s="3"/>
      <c r="K211" s="3"/>
      <c r="L211" s="3" t="s">
        <v>3</v>
      </c>
      <c r="M211" s="3" t="s">
        <v>3</v>
      </c>
      <c r="N211" s="3"/>
      <c r="O211" s="3" t="s">
        <v>3</v>
      </c>
      <c r="P211" s="3" t="s">
        <v>3</v>
      </c>
      <c r="Q211" s="3"/>
      <c r="R211" s="3"/>
      <c r="S211" s="3"/>
      <c r="T211" s="3"/>
      <c r="U211" s="3"/>
      <c r="V211" s="3"/>
      <c r="W211" s="3"/>
      <c r="X211" s="3"/>
      <c r="Y211" s="3"/>
      <c r="Z211" s="3" t="s">
        <v>3</v>
      </c>
      <c r="AA211" s="3"/>
      <c r="AB211" s="3"/>
      <c r="AC211" s="3"/>
      <c r="AD211" s="3"/>
      <c r="AE211" s="3"/>
      <c r="AF211" s="3"/>
      <c r="AG211" s="3"/>
      <c r="AH211" s="3"/>
      <c r="AI211" s="3"/>
      <c r="AJ211" s="3"/>
      <c r="AK211" s="3"/>
      <c r="AL211" s="3"/>
      <c r="AM211" s="3"/>
      <c r="AN211" s="3" t="s">
        <v>3</v>
      </c>
      <c r="AO211" s="3"/>
      <c r="AP211" s="3"/>
      <c r="AQ211" s="3"/>
      <c r="AR211" s="3"/>
      <c r="AS211" s="3"/>
      <c r="AT211" s="3"/>
      <c r="AU211" s="3"/>
      <c r="AV211" s="3"/>
      <c r="AW211" s="3"/>
      <c r="AX211" s="28"/>
      <c r="AY211" s="3"/>
      <c r="AZ211" s="3"/>
      <c r="BA211" s="3"/>
      <c r="BB211" s="3"/>
      <c r="BC211" s="3"/>
      <c r="BD211" s="3"/>
      <c r="BE211" s="3"/>
      <c r="BF211" s="3"/>
      <c r="BG211" s="3"/>
      <c r="BH211" s="3"/>
      <c r="BI211" s="3"/>
      <c r="BJ211" s="3"/>
      <c r="BK211" s="3"/>
      <c r="BL211" s="3"/>
      <c r="BM211" s="3"/>
      <c r="BN211" s="28"/>
      <c r="BO211" s="3"/>
      <c r="BP211" s="3"/>
      <c r="BQ211" s="43"/>
      <c r="BR211" s="3"/>
      <c r="BS211" s="3"/>
      <c r="BT211" s="3"/>
      <c r="BU211" s="3" t="s">
        <v>3</v>
      </c>
      <c r="BV211" s="3" t="s">
        <v>3</v>
      </c>
      <c r="BW211" s="3" t="s">
        <v>3</v>
      </c>
      <c r="BX211" s="3" t="s">
        <v>3</v>
      </c>
      <c r="BY211" s="3"/>
      <c r="BZ211" s="3"/>
      <c r="CA211" s="3"/>
      <c r="CB211" s="3"/>
    </row>
    <row r="212" spans="2:80" ht="30" customHeight="1">
      <c r="B212" s="11">
        <f t="shared" si="12"/>
        <v>207</v>
      </c>
      <c r="C212" s="38" t="s">
        <v>133</v>
      </c>
      <c r="D212" s="35" t="s">
        <v>736</v>
      </c>
      <c r="E212" s="35" t="s">
        <v>737</v>
      </c>
      <c r="F212" s="14">
        <f t="shared" si="11"/>
        <v>20</v>
      </c>
      <c r="G212" s="15" t="s">
        <v>2</v>
      </c>
      <c r="H212" s="3" t="s">
        <v>3</v>
      </c>
      <c r="I212" s="3" t="s">
        <v>3</v>
      </c>
      <c r="J212" s="3"/>
      <c r="K212" s="3"/>
      <c r="L212" s="3" t="s">
        <v>3</v>
      </c>
      <c r="M212" s="3" t="s">
        <v>3</v>
      </c>
      <c r="N212" s="3" t="s">
        <v>3</v>
      </c>
      <c r="O212" s="3" t="s">
        <v>3</v>
      </c>
      <c r="P212" s="3" t="s">
        <v>3</v>
      </c>
      <c r="Q212" s="3"/>
      <c r="R212" s="3"/>
      <c r="S212" s="3"/>
      <c r="T212" s="3"/>
      <c r="U212" s="3"/>
      <c r="V212" s="3"/>
      <c r="W212" s="3"/>
      <c r="X212" s="3" t="s">
        <v>3</v>
      </c>
      <c r="Y212" s="3"/>
      <c r="Z212" s="3" t="s">
        <v>3</v>
      </c>
      <c r="AA212" s="3"/>
      <c r="AB212" s="3"/>
      <c r="AC212" s="3"/>
      <c r="AD212" s="3"/>
      <c r="AE212" s="3"/>
      <c r="AF212" s="3"/>
      <c r="AG212" s="3"/>
      <c r="AH212" s="3"/>
      <c r="AI212" s="3"/>
      <c r="AJ212" s="3"/>
      <c r="AK212" s="3"/>
      <c r="AL212" s="3"/>
      <c r="AM212" s="3"/>
      <c r="AN212" s="3" t="s">
        <v>3</v>
      </c>
      <c r="AO212" s="3"/>
      <c r="AP212" s="3"/>
      <c r="AQ212" s="3"/>
      <c r="AR212" s="3"/>
      <c r="AS212" s="3"/>
      <c r="AT212" s="3"/>
      <c r="AU212" s="3"/>
      <c r="AV212" s="3"/>
      <c r="AW212" s="3"/>
      <c r="AX212" s="28"/>
      <c r="AY212" s="3"/>
      <c r="AZ212" s="3"/>
      <c r="BA212" s="3"/>
      <c r="BB212" s="3"/>
      <c r="BC212" s="3"/>
      <c r="BD212" s="3"/>
      <c r="BE212" s="3"/>
      <c r="BF212" s="3"/>
      <c r="BG212" s="3" t="s">
        <v>3</v>
      </c>
      <c r="BH212" s="3" t="s">
        <v>3</v>
      </c>
      <c r="BI212" s="3"/>
      <c r="BJ212" s="3"/>
      <c r="BK212" s="3"/>
      <c r="BL212" s="3"/>
      <c r="BM212" s="3" t="s">
        <v>3</v>
      </c>
      <c r="BN212" s="28"/>
      <c r="BO212" s="3"/>
      <c r="BP212" s="3" t="s">
        <v>3</v>
      </c>
      <c r="BQ212" s="3" t="s">
        <v>3</v>
      </c>
      <c r="BR212" s="3"/>
      <c r="BS212" s="3"/>
      <c r="BT212" s="3"/>
      <c r="BU212" s="3" t="s">
        <v>3</v>
      </c>
      <c r="BV212" s="3" t="s">
        <v>3</v>
      </c>
      <c r="BW212" s="3" t="s">
        <v>3</v>
      </c>
      <c r="BX212" s="3" t="s">
        <v>3</v>
      </c>
      <c r="BY212" s="3" t="s">
        <v>3</v>
      </c>
      <c r="BZ212" s="3"/>
      <c r="CA212" s="3"/>
      <c r="CB212" s="3"/>
    </row>
    <row r="213" spans="2:80" ht="30" customHeight="1">
      <c r="B213" s="11">
        <f t="shared" si="12"/>
        <v>208</v>
      </c>
      <c r="C213" s="38" t="s">
        <v>133</v>
      </c>
      <c r="D213" s="37" t="s">
        <v>736</v>
      </c>
      <c r="E213" s="35" t="s">
        <v>738</v>
      </c>
      <c r="F213" s="14">
        <f t="shared" si="11"/>
        <v>7</v>
      </c>
      <c r="G213" s="15" t="s">
        <v>2</v>
      </c>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28"/>
      <c r="AY213" s="3"/>
      <c r="AZ213" s="3"/>
      <c r="BA213" s="3"/>
      <c r="BB213" s="3"/>
      <c r="BC213" s="3"/>
      <c r="BD213" s="3"/>
      <c r="BE213" s="3"/>
      <c r="BF213" s="3"/>
      <c r="BG213" s="3" t="s">
        <v>3</v>
      </c>
      <c r="BH213" s="3" t="s">
        <v>3</v>
      </c>
      <c r="BI213" s="3"/>
      <c r="BJ213" s="3"/>
      <c r="BK213" s="3"/>
      <c r="BL213" s="3"/>
      <c r="BM213" s="3"/>
      <c r="BN213" s="28"/>
      <c r="BO213" s="3"/>
      <c r="BP213" s="3"/>
      <c r="BQ213" s="3"/>
      <c r="BR213" s="3"/>
      <c r="BS213" s="3"/>
      <c r="BT213" s="3"/>
      <c r="BU213" s="3" t="s">
        <v>3</v>
      </c>
      <c r="BV213" s="3" t="s">
        <v>3</v>
      </c>
      <c r="BW213" s="3" t="s">
        <v>3</v>
      </c>
      <c r="BX213" s="3"/>
      <c r="BY213" s="3" t="s">
        <v>3</v>
      </c>
      <c r="BZ213" s="3" t="s">
        <v>3</v>
      </c>
      <c r="CA213" s="3"/>
      <c r="CB213" s="3"/>
    </row>
    <row r="214" spans="2:80" ht="30" customHeight="1">
      <c r="B214" s="11">
        <f t="shared" si="12"/>
        <v>209</v>
      </c>
      <c r="C214" s="38" t="s">
        <v>133</v>
      </c>
      <c r="D214" s="37" t="s">
        <v>736</v>
      </c>
      <c r="E214" s="35" t="s">
        <v>739</v>
      </c>
      <c r="F214" s="14">
        <f t="shared" si="11"/>
        <v>2</v>
      </c>
      <c r="G214" s="15" t="s">
        <v>499</v>
      </c>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28"/>
      <c r="AY214" s="3"/>
      <c r="AZ214" s="3"/>
      <c r="BA214" s="3"/>
      <c r="BB214" s="3"/>
      <c r="BC214" s="3"/>
      <c r="BD214" s="3"/>
      <c r="BE214" s="3"/>
      <c r="BF214" s="3"/>
      <c r="BG214" s="3"/>
      <c r="BH214" s="3"/>
      <c r="BI214" s="3"/>
      <c r="BJ214" s="3"/>
      <c r="BK214" s="3"/>
      <c r="BL214" s="3"/>
      <c r="BM214" s="3"/>
      <c r="BN214" s="28"/>
      <c r="BO214" s="3"/>
      <c r="BP214" s="3"/>
      <c r="BQ214" s="3"/>
      <c r="BR214" s="3"/>
      <c r="BS214" s="3"/>
      <c r="BT214" s="3"/>
      <c r="BU214" s="3" t="s">
        <v>3</v>
      </c>
      <c r="BV214" s="3"/>
      <c r="BW214" s="3"/>
      <c r="BX214" s="3"/>
      <c r="BY214" s="3"/>
      <c r="BZ214" s="3"/>
      <c r="CA214" s="13" t="s">
        <v>3</v>
      </c>
      <c r="CB214" s="3"/>
    </row>
    <row r="215" spans="2:80" ht="30" customHeight="1">
      <c r="B215" s="11">
        <f t="shared" si="12"/>
        <v>210</v>
      </c>
      <c r="C215" s="38" t="s">
        <v>133</v>
      </c>
      <c r="D215" s="35" t="s">
        <v>740</v>
      </c>
      <c r="E215" s="35" t="s">
        <v>741</v>
      </c>
      <c r="F215" s="14">
        <f t="shared" si="11"/>
        <v>2</v>
      </c>
      <c r="G215" s="15" t="s">
        <v>499</v>
      </c>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28"/>
      <c r="AY215" s="3"/>
      <c r="AZ215" s="3"/>
      <c r="BA215" s="3"/>
      <c r="BB215" s="3"/>
      <c r="BC215" s="3"/>
      <c r="BD215" s="3"/>
      <c r="BE215" s="3"/>
      <c r="BF215" s="3"/>
      <c r="BG215" s="3"/>
      <c r="BH215" s="3"/>
      <c r="BI215" s="3"/>
      <c r="BJ215" s="3"/>
      <c r="BK215" s="3"/>
      <c r="BL215" s="3"/>
      <c r="BM215" s="3"/>
      <c r="BN215" s="28"/>
      <c r="BO215" s="3"/>
      <c r="BP215" s="3"/>
      <c r="BQ215" s="3"/>
      <c r="BR215" s="3"/>
      <c r="BS215" s="3"/>
      <c r="BT215" s="3"/>
      <c r="BU215" s="3" t="s">
        <v>3</v>
      </c>
      <c r="BV215" s="3"/>
      <c r="BW215" s="3"/>
      <c r="BX215" s="3"/>
      <c r="BY215" s="3"/>
      <c r="BZ215" s="3"/>
      <c r="CA215" s="13" t="s">
        <v>3</v>
      </c>
      <c r="CB215" s="3"/>
    </row>
    <row r="216" spans="2:80" ht="30" customHeight="1">
      <c r="B216" s="11">
        <f t="shared" si="12"/>
        <v>211</v>
      </c>
      <c r="C216" s="38" t="s">
        <v>133</v>
      </c>
      <c r="D216" s="37" t="s">
        <v>740</v>
      </c>
      <c r="E216" s="35" t="s">
        <v>742</v>
      </c>
      <c r="F216" s="14">
        <f t="shared" si="11"/>
        <v>2</v>
      </c>
      <c r="G216" s="15" t="s">
        <v>499</v>
      </c>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28"/>
      <c r="AY216" s="3"/>
      <c r="AZ216" s="3"/>
      <c r="BA216" s="3"/>
      <c r="BB216" s="3"/>
      <c r="BC216" s="3"/>
      <c r="BD216" s="3"/>
      <c r="BE216" s="3"/>
      <c r="BF216" s="3"/>
      <c r="BG216" s="3"/>
      <c r="BH216" s="3"/>
      <c r="BI216" s="3"/>
      <c r="BJ216" s="3"/>
      <c r="BK216" s="3"/>
      <c r="BL216" s="3"/>
      <c r="BM216" s="3"/>
      <c r="BN216" s="28"/>
      <c r="BO216" s="3"/>
      <c r="BP216" s="3"/>
      <c r="BQ216" s="3"/>
      <c r="BR216" s="3"/>
      <c r="BS216" s="3"/>
      <c r="BT216" s="3"/>
      <c r="BU216" s="3" t="s">
        <v>3</v>
      </c>
      <c r="BV216" s="3"/>
      <c r="BW216" s="3"/>
      <c r="BX216" s="3"/>
      <c r="BY216" s="3"/>
      <c r="BZ216" s="3"/>
      <c r="CA216" s="13" t="s">
        <v>3</v>
      </c>
      <c r="CB216" s="3"/>
    </row>
    <row r="217" spans="2:80" ht="30" customHeight="1">
      <c r="B217" s="11">
        <f t="shared" si="12"/>
        <v>212</v>
      </c>
      <c r="C217" s="38" t="s">
        <v>133</v>
      </c>
      <c r="D217" s="37" t="s">
        <v>740</v>
      </c>
      <c r="E217" s="35" t="s">
        <v>743</v>
      </c>
      <c r="F217" s="14">
        <f t="shared" si="11"/>
        <v>2</v>
      </c>
      <c r="G217" s="15" t="s">
        <v>499</v>
      </c>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28"/>
      <c r="AY217" s="3"/>
      <c r="AZ217" s="3"/>
      <c r="BA217" s="3"/>
      <c r="BB217" s="3"/>
      <c r="BC217" s="3"/>
      <c r="BD217" s="3"/>
      <c r="BE217" s="3"/>
      <c r="BF217" s="3"/>
      <c r="BG217" s="3"/>
      <c r="BH217" s="3"/>
      <c r="BI217" s="3"/>
      <c r="BJ217" s="3"/>
      <c r="BK217" s="3"/>
      <c r="BL217" s="3"/>
      <c r="BM217" s="3"/>
      <c r="BN217" s="28"/>
      <c r="BO217" s="3"/>
      <c r="BP217" s="3"/>
      <c r="BQ217" s="3"/>
      <c r="BR217" s="3"/>
      <c r="BS217" s="3"/>
      <c r="BT217" s="3"/>
      <c r="BU217" s="3" t="s">
        <v>3</v>
      </c>
      <c r="BV217" s="3"/>
      <c r="BW217" s="3"/>
      <c r="BX217" s="3"/>
      <c r="BY217" s="3"/>
      <c r="BZ217" s="3"/>
      <c r="CA217" s="13" t="s">
        <v>3</v>
      </c>
      <c r="CB217" s="3"/>
    </row>
    <row r="218" spans="2:80" ht="30" customHeight="1">
      <c r="B218" s="11">
        <f t="shared" si="12"/>
        <v>213</v>
      </c>
      <c r="C218" s="38" t="s">
        <v>133</v>
      </c>
      <c r="D218" s="37" t="s">
        <v>740</v>
      </c>
      <c r="E218" s="35" t="s">
        <v>744</v>
      </c>
      <c r="F218" s="14">
        <f t="shared" si="11"/>
        <v>13</v>
      </c>
      <c r="G218" s="15" t="s">
        <v>2</v>
      </c>
      <c r="H218" s="3" t="s">
        <v>3</v>
      </c>
      <c r="I218" s="3" t="s">
        <v>3</v>
      </c>
      <c r="J218" s="3"/>
      <c r="K218" s="3"/>
      <c r="L218" s="3" t="s">
        <v>3</v>
      </c>
      <c r="M218" s="3" t="s">
        <v>3</v>
      </c>
      <c r="N218" s="3" t="s">
        <v>3</v>
      </c>
      <c r="O218" s="3"/>
      <c r="P218" s="3" t="s">
        <v>3</v>
      </c>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28"/>
      <c r="AY218" s="3"/>
      <c r="AZ218" s="3"/>
      <c r="BA218" s="3"/>
      <c r="BB218" s="3"/>
      <c r="BC218" s="3"/>
      <c r="BD218" s="3"/>
      <c r="BE218" s="3" t="s">
        <v>3</v>
      </c>
      <c r="BF218" s="3" t="s">
        <v>3</v>
      </c>
      <c r="BG218" s="3"/>
      <c r="BH218" s="3"/>
      <c r="BI218" s="3"/>
      <c r="BJ218" s="3"/>
      <c r="BK218" s="3"/>
      <c r="BL218" s="3"/>
      <c r="BM218" s="3"/>
      <c r="BN218" s="28"/>
      <c r="BO218" s="3"/>
      <c r="BP218" s="3"/>
      <c r="BQ218" s="3"/>
      <c r="BR218" s="3"/>
      <c r="BS218" s="3"/>
      <c r="BT218" s="3"/>
      <c r="BU218" s="3" t="s">
        <v>3</v>
      </c>
      <c r="BV218" s="3" t="s">
        <v>3</v>
      </c>
      <c r="BW218" s="3" t="s">
        <v>3</v>
      </c>
      <c r="BX218" s="3" t="s">
        <v>3</v>
      </c>
      <c r="BY218" s="3" t="s">
        <v>3</v>
      </c>
      <c r="BZ218" s="3"/>
      <c r="CA218" s="3"/>
      <c r="CB218" s="3"/>
    </row>
    <row r="219" spans="2:80" ht="30" customHeight="1">
      <c r="B219" s="11">
        <f t="shared" si="12"/>
        <v>214</v>
      </c>
      <c r="C219" s="38" t="s">
        <v>133</v>
      </c>
      <c r="D219" s="35" t="s">
        <v>745</v>
      </c>
      <c r="E219" s="35" t="s">
        <v>746</v>
      </c>
      <c r="F219" s="14">
        <f t="shared" si="11"/>
        <v>2</v>
      </c>
      <c r="G219" s="15" t="s">
        <v>499</v>
      </c>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28"/>
      <c r="AY219" s="3"/>
      <c r="AZ219" s="3"/>
      <c r="BA219" s="3"/>
      <c r="BB219" s="3"/>
      <c r="BC219" s="3"/>
      <c r="BD219" s="3"/>
      <c r="BE219" s="3"/>
      <c r="BF219" s="3"/>
      <c r="BG219" s="3"/>
      <c r="BH219" s="3"/>
      <c r="BI219" s="3"/>
      <c r="BJ219" s="3"/>
      <c r="BK219" s="3"/>
      <c r="BL219" s="3"/>
      <c r="BM219" s="3"/>
      <c r="BN219" s="28"/>
      <c r="BO219" s="3"/>
      <c r="BP219" s="3"/>
      <c r="BQ219" s="3"/>
      <c r="BR219" s="3"/>
      <c r="BS219" s="3"/>
      <c r="BT219" s="3"/>
      <c r="BU219" s="3" t="s">
        <v>3</v>
      </c>
      <c r="BV219" s="3"/>
      <c r="BW219" s="3"/>
      <c r="BX219" s="3"/>
      <c r="BY219" s="3"/>
      <c r="BZ219" s="3"/>
      <c r="CA219" s="13" t="s">
        <v>3</v>
      </c>
      <c r="CB219" s="3"/>
    </row>
    <row r="220" spans="2:80" ht="30" customHeight="1">
      <c r="B220" s="11">
        <f t="shared" si="12"/>
        <v>215</v>
      </c>
      <c r="C220" s="38" t="s">
        <v>133</v>
      </c>
      <c r="D220" s="37" t="s">
        <v>745</v>
      </c>
      <c r="E220" s="35" t="s">
        <v>747</v>
      </c>
      <c r="F220" s="14">
        <f t="shared" si="11"/>
        <v>2</v>
      </c>
      <c r="G220" s="15" t="s">
        <v>499</v>
      </c>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28"/>
      <c r="AY220" s="3"/>
      <c r="AZ220" s="3"/>
      <c r="BA220" s="3"/>
      <c r="BB220" s="3"/>
      <c r="BC220" s="3"/>
      <c r="BD220" s="3"/>
      <c r="BE220" s="3"/>
      <c r="BF220" s="3"/>
      <c r="BG220" s="3"/>
      <c r="BH220" s="3"/>
      <c r="BI220" s="3"/>
      <c r="BJ220" s="3"/>
      <c r="BK220" s="3"/>
      <c r="BL220" s="3"/>
      <c r="BM220" s="3"/>
      <c r="BN220" s="28"/>
      <c r="BO220" s="3"/>
      <c r="BP220" s="3"/>
      <c r="BQ220" s="3"/>
      <c r="BR220" s="3"/>
      <c r="BS220" s="3"/>
      <c r="BT220" s="3"/>
      <c r="BU220" s="3" t="s">
        <v>3</v>
      </c>
      <c r="BV220" s="3"/>
      <c r="BW220" s="3"/>
      <c r="BX220" s="3"/>
      <c r="BY220" s="3"/>
      <c r="BZ220" s="3"/>
      <c r="CA220" s="13" t="s">
        <v>3</v>
      </c>
      <c r="CB220" s="3"/>
    </row>
    <row r="221" spans="2:80" ht="30" customHeight="1">
      <c r="B221" s="11">
        <f t="shared" si="12"/>
        <v>216</v>
      </c>
      <c r="C221" s="38" t="s">
        <v>133</v>
      </c>
      <c r="D221" s="35" t="s">
        <v>748</v>
      </c>
      <c r="E221" s="35" t="s">
        <v>749</v>
      </c>
      <c r="F221" s="14">
        <f t="shared" ref="F221:F284" si="13">COUNTA(H221:CA221)</f>
        <v>2</v>
      </c>
      <c r="G221" s="15" t="s">
        <v>499</v>
      </c>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28"/>
      <c r="AY221" s="3"/>
      <c r="AZ221" s="3"/>
      <c r="BA221" s="3"/>
      <c r="BB221" s="3"/>
      <c r="BC221" s="3"/>
      <c r="BD221" s="3"/>
      <c r="BE221" s="3"/>
      <c r="BF221" s="3"/>
      <c r="BG221" s="3"/>
      <c r="BH221" s="3"/>
      <c r="BI221" s="3"/>
      <c r="BJ221" s="3"/>
      <c r="BK221" s="3"/>
      <c r="BL221" s="3"/>
      <c r="BM221" s="3"/>
      <c r="BN221" s="28"/>
      <c r="BO221" s="3"/>
      <c r="BP221" s="3"/>
      <c r="BQ221" s="3"/>
      <c r="BR221" s="3"/>
      <c r="BS221" s="3"/>
      <c r="BT221" s="3"/>
      <c r="BU221" s="3" t="s">
        <v>3</v>
      </c>
      <c r="BV221" s="3"/>
      <c r="BW221" s="3"/>
      <c r="BX221" s="3"/>
      <c r="BY221" s="3"/>
      <c r="BZ221" s="3"/>
      <c r="CA221" s="13" t="s">
        <v>3</v>
      </c>
      <c r="CB221" s="3"/>
    </row>
    <row r="222" spans="2:80" ht="30" customHeight="1">
      <c r="B222" s="11">
        <f t="shared" si="12"/>
        <v>217</v>
      </c>
      <c r="C222" s="35" t="s">
        <v>750</v>
      </c>
      <c r="D222" s="35" t="s">
        <v>751</v>
      </c>
      <c r="E222" s="35" t="s">
        <v>752</v>
      </c>
      <c r="F222" s="14">
        <f t="shared" si="13"/>
        <v>30</v>
      </c>
      <c r="G222" s="15" t="s">
        <v>2</v>
      </c>
      <c r="H222" s="3" t="s">
        <v>3</v>
      </c>
      <c r="I222" s="3" t="s">
        <v>3</v>
      </c>
      <c r="J222" s="3"/>
      <c r="K222" s="3"/>
      <c r="L222" s="3"/>
      <c r="M222" s="3"/>
      <c r="N222" s="3" t="s">
        <v>3</v>
      </c>
      <c r="O222" s="3" t="s">
        <v>3</v>
      </c>
      <c r="P222" s="3" t="s">
        <v>3</v>
      </c>
      <c r="Q222" s="3"/>
      <c r="R222" s="3"/>
      <c r="S222" s="3" t="s">
        <v>3</v>
      </c>
      <c r="T222" s="3"/>
      <c r="U222" s="3" t="s">
        <v>3</v>
      </c>
      <c r="V222" s="3" t="s">
        <v>3</v>
      </c>
      <c r="W222" s="3"/>
      <c r="X222" s="3" t="s">
        <v>3</v>
      </c>
      <c r="Y222" s="3" t="s">
        <v>3</v>
      </c>
      <c r="Z222" s="3" t="s">
        <v>3</v>
      </c>
      <c r="AA222" s="3"/>
      <c r="AB222" s="3"/>
      <c r="AC222" s="3" t="s">
        <v>3</v>
      </c>
      <c r="AD222" s="3"/>
      <c r="AE222" s="3"/>
      <c r="AF222" s="3"/>
      <c r="AG222" s="3"/>
      <c r="AH222" s="3"/>
      <c r="AI222" s="3"/>
      <c r="AJ222" s="3"/>
      <c r="AK222" s="3"/>
      <c r="AL222" s="3"/>
      <c r="AM222" s="3"/>
      <c r="AN222" s="3" t="s">
        <v>3</v>
      </c>
      <c r="AO222" s="3"/>
      <c r="AP222" s="3"/>
      <c r="AQ222" s="3"/>
      <c r="AR222" s="3"/>
      <c r="AS222" s="3"/>
      <c r="AT222" s="3"/>
      <c r="AU222" s="3"/>
      <c r="AV222" s="3"/>
      <c r="AW222" s="3" t="s">
        <v>3</v>
      </c>
      <c r="AX222" s="28"/>
      <c r="AY222" s="3" t="s">
        <v>3</v>
      </c>
      <c r="AZ222" s="3"/>
      <c r="BA222" s="3"/>
      <c r="BB222" s="3"/>
      <c r="BC222" s="3"/>
      <c r="BD222" s="3"/>
      <c r="BE222" s="3" t="s">
        <v>3</v>
      </c>
      <c r="BF222" s="3" t="s">
        <v>3</v>
      </c>
      <c r="BG222" s="3" t="s">
        <v>3</v>
      </c>
      <c r="BH222" s="3" t="s">
        <v>3</v>
      </c>
      <c r="BI222" s="3"/>
      <c r="BJ222" s="3" t="s">
        <v>3</v>
      </c>
      <c r="BK222" s="3" t="s">
        <v>3</v>
      </c>
      <c r="BL222" s="3"/>
      <c r="BM222" s="3"/>
      <c r="BN222" s="28"/>
      <c r="BO222" s="3"/>
      <c r="BP222" s="3" t="s">
        <v>3</v>
      </c>
      <c r="BQ222" s="3" t="s">
        <v>3</v>
      </c>
      <c r="BR222" s="3"/>
      <c r="BS222" s="3" t="s">
        <v>3</v>
      </c>
      <c r="BT222" s="3"/>
      <c r="BU222" s="3" t="s">
        <v>3</v>
      </c>
      <c r="BV222" s="3" t="s">
        <v>3</v>
      </c>
      <c r="BW222" s="3" t="s">
        <v>3</v>
      </c>
      <c r="BX222" s="3" t="s">
        <v>3</v>
      </c>
      <c r="BY222" s="3" t="s">
        <v>3</v>
      </c>
      <c r="BZ222" s="3" t="s">
        <v>3</v>
      </c>
      <c r="CA222" s="3"/>
      <c r="CB222" s="3"/>
    </row>
    <row r="223" spans="2:80" ht="30" customHeight="1">
      <c r="B223" s="11">
        <f t="shared" si="12"/>
        <v>218</v>
      </c>
      <c r="C223" s="38" t="s">
        <v>750</v>
      </c>
      <c r="D223" s="37" t="s">
        <v>751</v>
      </c>
      <c r="E223" s="35" t="s">
        <v>753</v>
      </c>
      <c r="F223" s="14">
        <f t="shared" si="13"/>
        <v>9</v>
      </c>
      <c r="G223" s="15" t="s">
        <v>2</v>
      </c>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28"/>
      <c r="AY223" s="3"/>
      <c r="AZ223" s="3"/>
      <c r="BA223" s="3"/>
      <c r="BB223" s="3"/>
      <c r="BC223" s="3"/>
      <c r="BD223" s="3"/>
      <c r="BE223" s="3" t="s">
        <v>3</v>
      </c>
      <c r="BF223" s="3" t="s">
        <v>3</v>
      </c>
      <c r="BG223" s="3" t="s">
        <v>3</v>
      </c>
      <c r="BH223" s="3" t="s">
        <v>3</v>
      </c>
      <c r="BI223" s="3"/>
      <c r="BJ223" s="3"/>
      <c r="BK223" s="3"/>
      <c r="BL223" s="3"/>
      <c r="BM223" s="3"/>
      <c r="BN223" s="28"/>
      <c r="BO223" s="3"/>
      <c r="BP223" s="3"/>
      <c r="BQ223" s="3"/>
      <c r="BR223" s="3"/>
      <c r="BS223" s="3"/>
      <c r="BT223" s="3"/>
      <c r="BU223" s="3" t="s">
        <v>3</v>
      </c>
      <c r="BV223" s="3" t="s">
        <v>3</v>
      </c>
      <c r="BW223" s="3" t="s">
        <v>3</v>
      </c>
      <c r="BX223" s="3"/>
      <c r="BY223" s="3" t="s">
        <v>3</v>
      </c>
      <c r="BZ223" s="3" t="s">
        <v>3</v>
      </c>
      <c r="CA223" s="3"/>
      <c r="CB223" s="3"/>
    </row>
    <row r="224" spans="2:80" ht="30" customHeight="1">
      <c r="B224" s="11">
        <f t="shared" si="12"/>
        <v>219</v>
      </c>
      <c r="C224" s="38" t="s">
        <v>750</v>
      </c>
      <c r="D224" s="37" t="s">
        <v>751</v>
      </c>
      <c r="E224" s="35" t="s">
        <v>754</v>
      </c>
      <c r="F224" s="14">
        <f t="shared" si="13"/>
        <v>2</v>
      </c>
      <c r="G224" s="15" t="s">
        <v>499</v>
      </c>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28"/>
      <c r="AY224" s="3"/>
      <c r="AZ224" s="3"/>
      <c r="BA224" s="3"/>
      <c r="BB224" s="3"/>
      <c r="BC224" s="3"/>
      <c r="BD224" s="3"/>
      <c r="BE224" s="3"/>
      <c r="BF224" s="3"/>
      <c r="BG224" s="3"/>
      <c r="BH224" s="3"/>
      <c r="BI224" s="3"/>
      <c r="BJ224" s="3"/>
      <c r="BK224" s="3"/>
      <c r="BL224" s="3"/>
      <c r="BM224" s="3"/>
      <c r="BN224" s="28"/>
      <c r="BO224" s="3"/>
      <c r="BP224" s="3"/>
      <c r="BQ224" s="3"/>
      <c r="BR224" s="3"/>
      <c r="BS224" s="3"/>
      <c r="BT224" s="3"/>
      <c r="BU224" s="3" t="s">
        <v>3</v>
      </c>
      <c r="BV224" s="3"/>
      <c r="BW224" s="3"/>
      <c r="BX224" s="3"/>
      <c r="BY224" s="3"/>
      <c r="BZ224" s="3"/>
      <c r="CA224" s="13" t="s">
        <v>3</v>
      </c>
      <c r="CB224" s="3"/>
    </row>
    <row r="225" spans="2:80" ht="30" customHeight="1">
      <c r="B225" s="11">
        <f t="shared" si="12"/>
        <v>220</v>
      </c>
      <c r="C225" s="38" t="s">
        <v>750</v>
      </c>
      <c r="D225" s="35" t="s">
        <v>755</v>
      </c>
      <c r="E225" s="35" t="s">
        <v>756</v>
      </c>
      <c r="F225" s="14">
        <f t="shared" si="13"/>
        <v>20</v>
      </c>
      <c r="G225" s="15" t="s">
        <v>2</v>
      </c>
      <c r="H225" s="3" t="s">
        <v>3</v>
      </c>
      <c r="I225" s="3"/>
      <c r="J225" s="3"/>
      <c r="K225" s="3"/>
      <c r="L225" s="3"/>
      <c r="M225" s="3"/>
      <c r="N225" s="3" t="s">
        <v>3</v>
      </c>
      <c r="O225" s="3" t="s">
        <v>3</v>
      </c>
      <c r="P225" s="3" t="s">
        <v>3</v>
      </c>
      <c r="Q225" s="3"/>
      <c r="R225" s="3"/>
      <c r="S225" s="3"/>
      <c r="T225" s="3"/>
      <c r="U225" s="3"/>
      <c r="V225" s="3"/>
      <c r="W225" s="3" t="s">
        <v>3</v>
      </c>
      <c r="X225" s="3"/>
      <c r="Y225" s="3" t="s">
        <v>3</v>
      </c>
      <c r="Z225" s="3" t="s">
        <v>3</v>
      </c>
      <c r="AA225" s="3"/>
      <c r="AB225" s="3"/>
      <c r="AC225" s="3"/>
      <c r="AD225" s="3"/>
      <c r="AE225" s="3"/>
      <c r="AF225" s="3"/>
      <c r="AG225" s="3"/>
      <c r="AH225" s="3"/>
      <c r="AI225" s="3"/>
      <c r="AJ225" s="3"/>
      <c r="AK225" s="3"/>
      <c r="AL225" s="3"/>
      <c r="AM225" s="3"/>
      <c r="AN225" s="3" t="s">
        <v>3</v>
      </c>
      <c r="AO225" s="3"/>
      <c r="AP225" s="3"/>
      <c r="AQ225" s="3"/>
      <c r="AR225" s="3"/>
      <c r="AS225" s="3"/>
      <c r="AT225" s="3"/>
      <c r="AU225" s="3"/>
      <c r="AV225" s="3"/>
      <c r="AW225" s="3" t="s">
        <v>3</v>
      </c>
      <c r="AX225" s="28"/>
      <c r="AY225" s="3"/>
      <c r="AZ225" s="3"/>
      <c r="BA225" s="3"/>
      <c r="BB225" s="3"/>
      <c r="BC225" s="3"/>
      <c r="BD225" s="3"/>
      <c r="BE225" s="3"/>
      <c r="BF225" s="3"/>
      <c r="BG225" s="3"/>
      <c r="BH225" s="3"/>
      <c r="BI225" s="3"/>
      <c r="BJ225" s="3" t="s">
        <v>3</v>
      </c>
      <c r="BK225" s="3" t="s">
        <v>3</v>
      </c>
      <c r="BL225" s="3"/>
      <c r="BM225" s="3"/>
      <c r="BN225" s="28"/>
      <c r="BO225" s="3"/>
      <c r="BP225" s="3" t="s">
        <v>3</v>
      </c>
      <c r="BQ225" s="3" t="s">
        <v>3</v>
      </c>
      <c r="BR225" s="3"/>
      <c r="BS225" s="3" t="s">
        <v>3</v>
      </c>
      <c r="BT225" s="3"/>
      <c r="BU225" s="3" t="s">
        <v>3</v>
      </c>
      <c r="BV225" s="3" t="s">
        <v>3</v>
      </c>
      <c r="BW225" s="3" t="s">
        <v>3</v>
      </c>
      <c r="BX225" s="3" t="s">
        <v>3</v>
      </c>
      <c r="BY225" s="3" t="s">
        <v>3</v>
      </c>
      <c r="BZ225" s="3" t="s">
        <v>3</v>
      </c>
      <c r="CA225" s="3"/>
      <c r="CB225" s="3"/>
    </row>
    <row r="226" spans="2:80" ht="30" customHeight="1">
      <c r="B226" s="11">
        <f t="shared" si="12"/>
        <v>221</v>
      </c>
      <c r="C226" s="38" t="s">
        <v>750</v>
      </c>
      <c r="D226" s="37" t="s">
        <v>755</v>
      </c>
      <c r="E226" s="35" t="s">
        <v>757</v>
      </c>
      <c r="F226" s="14">
        <f t="shared" si="13"/>
        <v>7</v>
      </c>
      <c r="G226" s="15" t="s">
        <v>2</v>
      </c>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28"/>
      <c r="AY226" s="3"/>
      <c r="AZ226" s="3"/>
      <c r="BA226" s="3"/>
      <c r="BB226" s="3"/>
      <c r="BC226" s="3"/>
      <c r="BD226" s="3"/>
      <c r="BE226" s="3"/>
      <c r="BF226" s="3"/>
      <c r="BG226" s="3" t="s">
        <v>392</v>
      </c>
      <c r="BH226" s="3" t="s">
        <v>392</v>
      </c>
      <c r="BI226" s="3"/>
      <c r="BJ226" s="3"/>
      <c r="BK226" s="3"/>
      <c r="BL226" s="3"/>
      <c r="BM226" s="3"/>
      <c r="BN226" s="28"/>
      <c r="BO226" s="3"/>
      <c r="BP226" s="3"/>
      <c r="BQ226" s="3"/>
      <c r="BR226" s="3"/>
      <c r="BS226" s="3"/>
      <c r="BT226" s="3"/>
      <c r="BU226" s="3" t="s">
        <v>3</v>
      </c>
      <c r="BV226" s="3" t="s">
        <v>3</v>
      </c>
      <c r="BW226" s="3" t="s">
        <v>3</v>
      </c>
      <c r="BX226" s="3"/>
      <c r="BY226" s="3" t="s">
        <v>3</v>
      </c>
      <c r="BZ226" s="3" t="s">
        <v>3</v>
      </c>
      <c r="CA226" s="3"/>
      <c r="CB226" s="3"/>
    </row>
    <row r="227" spans="2:80" ht="30" customHeight="1">
      <c r="B227" s="11">
        <f t="shared" si="12"/>
        <v>222</v>
      </c>
      <c r="C227" s="38" t="s">
        <v>750</v>
      </c>
      <c r="D227" s="37" t="s">
        <v>755</v>
      </c>
      <c r="E227" s="35" t="s">
        <v>758</v>
      </c>
      <c r="F227" s="14">
        <f t="shared" si="13"/>
        <v>2</v>
      </c>
      <c r="G227" s="15" t="s">
        <v>499</v>
      </c>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28"/>
      <c r="AY227" s="3"/>
      <c r="AZ227" s="3"/>
      <c r="BA227" s="3"/>
      <c r="BB227" s="3"/>
      <c r="BC227" s="3"/>
      <c r="BD227" s="3"/>
      <c r="BE227" s="3"/>
      <c r="BF227" s="3"/>
      <c r="BG227" s="3"/>
      <c r="BH227" s="3"/>
      <c r="BI227" s="3"/>
      <c r="BJ227" s="3"/>
      <c r="BK227" s="3"/>
      <c r="BL227" s="3"/>
      <c r="BM227" s="3"/>
      <c r="BN227" s="28"/>
      <c r="BO227" s="3"/>
      <c r="BP227" s="3"/>
      <c r="BQ227" s="3"/>
      <c r="BR227" s="3"/>
      <c r="BS227" s="3"/>
      <c r="BT227" s="3"/>
      <c r="BU227" s="3" t="s">
        <v>3</v>
      </c>
      <c r="BV227" s="3"/>
      <c r="BW227" s="3"/>
      <c r="BX227" s="3"/>
      <c r="BY227" s="3"/>
      <c r="BZ227" s="3"/>
      <c r="CA227" s="13" t="s">
        <v>3</v>
      </c>
      <c r="CB227" s="3"/>
    </row>
    <row r="228" spans="2:80" ht="30" customHeight="1">
      <c r="B228" s="11">
        <f t="shared" si="12"/>
        <v>223</v>
      </c>
      <c r="C228" s="38" t="s">
        <v>750</v>
      </c>
      <c r="D228" s="37" t="s">
        <v>755</v>
      </c>
      <c r="E228" s="35" t="s">
        <v>759</v>
      </c>
      <c r="F228" s="14">
        <f t="shared" si="13"/>
        <v>16</v>
      </c>
      <c r="G228" s="15" t="s">
        <v>2</v>
      </c>
      <c r="H228" s="3" t="s">
        <v>3</v>
      </c>
      <c r="I228" s="3"/>
      <c r="J228" s="3"/>
      <c r="K228" s="3"/>
      <c r="L228" s="3"/>
      <c r="M228" s="3"/>
      <c r="N228" s="3" t="s">
        <v>3</v>
      </c>
      <c r="O228" s="3" t="s">
        <v>3</v>
      </c>
      <c r="P228" s="3" t="s">
        <v>3</v>
      </c>
      <c r="Q228" s="3"/>
      <c r="R228" s="3"/>
      <c r="S228" s="3"/>
      <c r="T228" s="3"/>
      <c r="U228" s="3"/>
      <c r="V228" s="3"/>
      <c r="W228" s="3"/>
      <c r="X228" s="3"/>
      <c r="Y228" s="3"/>
      <c r="Z228" s="3" t="s">
        <v>3</v>
      </c>
      <c r="AA228" s="3"/>
      <c r="AB228" s="3"/>
      <c r="AC228" s="3"/>
      <c r="AD228" s="3"/>
      <c r="AE228" s="3"/>
      <c r="AF228" s="3"/>
      <c r="AG228" s="3"/>
      <c r="AH228" s="3"/>
      <c r="AI228" s="3"/>
      <c r="AJ228" s="3"/>
      <c r="AK228" s="3"/>
      <c r="AL228" s="3"/>
      <c r="AM228" s="3"/>
      <c r="AN228" s="3" t="s">
        <v>3</v>
      </c>
      <c r="AO228" s="3"/>
      <c r="AP228" s="3"/>
      <c r="AQ228" s="3"/>
      <c r="AR228" s="3"/>
      <c r="AS228" s="3"/>
      <c r="AT228" s="3"/>
      <c r="AU228" s="3"/>
      <c r="AV228" s="3"/>
      <c r="AW228" s="3"/>
      <c r="AX228" s="28"/>
      <c r="AY228" s="3"/>
      <c r="AZ228" s="3"/>
      <c r="BA228" s="3"/>
      <c r="BB228" s="3"/>
      <c r="BC228" s="3"/>
      <c r="BD228" s="3"/>
      <c r="BE228" s="3"/>
      <c r="BF228" s="3"/>
      <c r="BG228" s="3"/>
      <c r="BH228" s="3"/>
      <c r="BI228" s="3"/>
      <c r="BJ228" s="3" t="s">
        <v>3</v>
      </c>
      <c r="BK228" s="3" t="s">
        <v>3</v>
      </c>
      <c r="BL228" s="3"/>
      <c r="BM228" s="3"/>
      <c r="BN228" s="28"/>
      <c r="BO228" s="3"/>
      <c r="BP228" s="3" t="s">
        <v>3</v>
      </c>
      <c r="BQ228" s="3" t="s">
        <v>3</v>
      </c>
      <c r="BR228" s="3"/>
      <c r="BS228" s="3"/>
      <c r="BT228" s="3"/>
      <c r="BU228" s="3" t="s">
        <v>3</v>
      </c>
      <c r="BV228" s="3" t="s">
        <v>3</v>
      </c>
      <c r="BW228" s="3" t="s">
        <v>3</v>
      </c>
      <c r="BX228" s="3" t="s">
        <v>3</v>
      </c>
      <c r="BY228" s="3" t="s">
        <v>3</v>
      </c>
      <c r="BZ228" s="3" t="s">
        <v>3</v>
      </c>
      <c r="CA228" s="3"/>
      <c r="CB228" s="3"/>
    </row>
    <row r="229" spans="2:80" ht="30" customHeight="1">
      <c r="B229" s="11">
        <f t="shared" si="12"/>
        <v>224</v>
      </c>
      <c r="C229" s="38" t="s">
        <v>750</v>
      </c>
      <c r="D229" s="37" t="s">
        <v>755</v>
      </c>
      <c r="E229" s="35" t="s">
        <v>760</v>
      </c>
      <c r="F229" s="14">
        <f t="shared" si="13"/>
        <v>2</v>
      </c>
      <c r="G229" s="15" t="s">
        <v>499</v>
      </c>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28"/>
      <c r="AY229" s="3"/>
      <c r="AZ229" s="3"/>
      <c r="BA229" s="3"/>
      <c r="BB229" s="3"/>
      <c r="BC229" s="3"/>
      <c r="BD229" s="3"/>
      <c r="BE229" s="3"/>
      <c r="BF229" s="3"/>
      <c r="BG229" s="3"/>
      <c r="BH229" s="3"/>
      <c r="BI229" s="3"/>
      <c r="BJ229" s="3"/>
      <c r="BK229" s="3"/>
      <c r="BL229" s="3"/>
      <c r="BM229" s="3"/>
      <c r="BN229" s="28"/>
      <c r="BO229" s="3"/>
      <c r="BP229" s="3"/>
      <c r="BQ229" s="3"/>
      <c r="BR229" s="3"/>
      <c r="BS229" s="3"/>
      <c r="BT229" s="3"/>
      <c r="BU229" s="3" t="s">
        <v>3</v>
      </c>
      <c r="BV229" s="3"/>
      <c r="BW229" s="3"/>
      <c r="BX229" s="3"/>
      <c r="BY229" s="3"/>
      <c r="BZ229" s="3"/>
      <c r="CA229" s="13" t="s">
        <v>3</v>
      </c>
      <c r="CB229" s="3"/>
    </row>
    <row r="230" spans="2:80" ht="30" customHeight="1">
      <c r="B230" s="11">
        <f t="shared" si="12"/>
        <v>225</v>
      </c>
      <c r="C230" s="38" t="s">
        <v>750</v>
      </c>
      <c r="D230" s="35" t="s">
        <v>761</v>
      </c>
      <c r="E230" s="35" t="s">
        <v>762</v>
      </c>
      <c r="F230" s="14">
        <f t="shared" si="13"/>
        <v>17</v>
      </c>
      <c r="G230" s="15" t="s">
        <v>2</v>
      </c>
      <c r="H230" s="3" t="s">
        <v>3</v>
      </c>
      <c r="I230" s="3"/>
      <c r="J230" s="3"/>
      <c r="K230" s="3"/>
      <c r="L230" s="3"/>
      <c r="M230" s="3"/>
      <c r="N230" s="3" t="s">
        <v>3</v>
      </c>
      <c r="O230" s="3"/>
      <c r="P230" s="3" t="s">
        <v>3</v>
      </c>
      <c r="Q230" s="3"/>
      <c r="R230" s="3"/>
      <c r="S230" s="3"/>
      <c r="T230" s="3"/>
      <c r="U230" s="3"/>
      <c r="V230" s="3"/>
      <c r="W230" s="3" t="s">
        <v>3</v>
      </c>
      <c r="X230" s="3"/>
      <c r="Y230" s="3"/>
      <c r="Z230" s="3"/>
      <c r="AA230" s="3"/>
      <c r="AB230" s="3"/>
      <c r="AC230" s="3"/>
      <c r="AD230" s="3"/>
      <c r="AE230" s="3"/>
      <c r="AF230" s="3"/>
      <c r="AG230" s="3"/>
      <c r="AH230" s="3"/>
      <c r="AI230" s="3"/>
      <c r="AJ230" s="3"/>
      <c r="AK230" s="3"/>
      <c r="AL230" s="3"/>
      <c r="AM230" s="3"/>
      <c r="AN230" s="3" t="s">
        <v>3</v>
      </c>
      <c r="AO230" s="3"/>
      <c r="AP230" s="3"/>
      <c r="AQ230" s="3"/>
      <c r="AR230" s="3"/>
      <c r="AS230" s="3"/>
      <c r="AT230" s="3"/>
      <c r="AU230" s="3"/>
      <c r="AV230" s="3"/>
      <c r="AW230" s="3" t="s">
        <v>3</v>
      </c>
      <c r="AX230" s="28"/>
      <c r="AY230" s="3"/>
      <c r="AZ230" s="3"/>
      <c r="BA230" s="3"/>
      <c r="BB230" s="3"/>
      <c r="BC230" s="3"/>
      <c r="BD230" s="3"/>
      <c r="BE230" s="3"/>
      <c r="BF230" s="3"/>
      <c r="BG230" s="3"/>
      <c r="BH230" s="3"/>
      <c r="BI230" s="3"/>
      <c r="BJ230" s="3" t="s">
        <v>3</v>
      </c>
      <c r="BK230" s="3" t="s">
        <v>3</v>
      </c>
      <c r="BL230" s="3"/>
      <c r="BM230" s="3"/>
      <c r="BN230" s="28"/>
      <c r="BO230" s="3"/>
      <c r="BP230" s="3" t="s">
        <v>3</v>
      </c>
      <c r="BQ230" s="3" t="s">
        <v>3</v>
      </c>
      <c r="BR230" s="3"/>
      <c r="BS230" s="3" t="s">
        <v>3</v>
      </c>
      <c r="BT230" s="3"/>
      <c r="BU230" s="3" t="s">
        <v>3</v>
      </c>
      <c r="BV230" s="3" t="s">
        <v>3</v>
      </c>
      <c r="BW230" s="3" t="s">
        <v>3</v>
      </c>
      <c r="BX230" s="3" t="s">
        <v>3</v>
      </c>
      <c r="BY230" s="3" t="s">
        <v>3</v>
      </c>
      <c r="BZ230" s="3" t="s">
        <v>3</v>
      </c>
      <c r="CA230" s="3"/>
      <c r="CB230" s="3"/>
    </row>
    <row r="231" spans="2:80" ht="30" customHeight="1">
      <c r="B231" s="11">
        <f t="shared" si="12"/>
        <v>226</v>
      </c>
      <c r="C231" s="38" t="s">
        <v>750</v>
      </c>
      <c r="D231" s="37" t="s">
        <v>761</v>
      </c>
      <c r="E231" s="35" t="s">
        <v>763</v>
      </c>
      <c r="F231" s="14">
        <f t="shared" si="13"/>
        <v>7</v>
      </c>
      <c r="G231" s="15" t="s">
        <v>2</v>
      </c>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28"/>
      <c r="AY231" s="3"/>
      <c r="AZ231" s="3"/>
      <c r="BA231" s="3"/>
      <c r="BB231" s="3"/>
      <c r="BC231" s="3"/>
      <c r="BD231" s="3"/>
      <c r="BE231" s="3"/>
      <c r="BF231" s="3"/>
      <c r="BG231" s="3" t="s">
        <v>392</v>
      </c>
      <c r="BH231" s="3" t="s">
        <v>392</v>
      </c>
      <c r="BI231" s="3"/>
      <c r="BJ231" s="3"/>
      <c r="BK231" s="3"/>
      <c r="BL231" s="3"/>
      <c r="BM231" s="3"/>
      <c r="BN231" s="28"/>
      <c r="BO231" s="3"/>
      <c r="BP231" s="3"/>
      <c r="BQ231" s="3"/>
      <c r="BR231" s="3"/>
      <c r="BS231" s="3"/>
      <c r="BT231" s="3"/>
      <c r="BU231" s="3" t="s">
        <v>3</v>
      </c>
      <c r="BV231" s="3" t="s">
        <v>3</v>
      </c>
      <c r="BW231" s="3" t="s">
        <v>3</v>
      </c>
      <c r="BX231" s="3"/>
      <c r="BY231" s="3" t="s">
        <v>3</v>
      </c>
      <c r="BZ231" s="3" t="s">
        <v>3</v>
      </c>
      <c r="CA231" s="3"/>
      <c r="CB231" s="3"/>
    </row>
    <row r="232" spans="2:80" ht="30" customHeight="1">
      <c r="B232" s="11">
        <f t="shared" si="12"/>
        <v>227</v>
      </c>
      <c r="C232" s="38" t="s">
        <v>750</v>
      </c>
      <c r="D232" s="37" t="s">
        <v>761</v>
      </c>
      <c r="E232" s="35" t="s">
        <v>764</v>
      </c>
      <c r="F232" s="14">
        <f t="shared" si="13"/>
        <v>2</v>
      </c>
      <c r="G232" s="15" t="s">
        <v>499</v>
      </c>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28"/>
      <c r="AY232" s="3"/>
      <c r="AZ232" s="3"/>
      <c r="BA232" s="3"/>
      <c r="BB232" s="3"/>
      <c r="BC232" s="3"/>
      <c r="BD232" s="3"/>
      <c r="BE232" s="3"/>
      <c r="BF232" s="3"/>
      <c r="BG232" s="3"/>
      <c r="BH232" s="3"/>
      <c r="BI232" s="3"/>
      <c r="BJ232" s="3"/>
      <c r="BK232" s="3"/>
      <c r="BL232" s="3"/>
      <c r="BM232" s="3"/>
      <c r="BN232" s="28"/>
      <c r="BO232" s="3"/>
      <c r="BP232" s="3"/>
      <c r="BQ232" s="3"/>
      <c r="BR232" s="3"/>
      <c r="BS232" s="3"/>
      <c r="BT232" s="3"/>
      <c r="BU232" s="3" t="s">
        <v>3</v>
      </c>
      <c r="BV232" s="3"/>
      <c r="BW232" s="3"/>
      <c r="BX232" s="3"/>
      <c r="BY232" s="3"/>
      <c r="BZ232" s="3"/>
      <c r="CA232" s="13" t="s">
        <v>3</v>
      </c>
      <c r="CB232" s="3"/>
    </row>
    <row r="233" spans="2:80" ht="30" customHeight="1">
      <c r="B233" s="11">
        <f t="shared" si="12"/>
        <v>228</v>
      </c>
      <c r="C233" s="38" t="s">
        <v>750</v>
      </c>
      <c r="D233" s="35" t="s">
        <v>765</v>
      </c>
      <c r="E233" s="42" t="s">
        <v>766</v>
      </c>
      <c r="F233" s="14">
        <f t="shared" si="13"/>
        <v>17</v>
      </c>
      <c r="G233" s="15" t="s">
        <v>2</v>
      </c>
      <c r="H233" s="3" t="s">
        <v>3</v>
      </c>
      <c r="I233" s="3"/>
      <c r="J233" s="3"/>
      <c r="K233" s="3"/>
      <c r="L233" s="3"/>
      <c r="M233" s="3"/>
      <c r="N233" s="3" t="s">
        <v>3</v>
      </c>
      <c r="O233" s="3"/>
      <c r="P233" s="3" t="s">
        <v>3</v>
      </c>
      <c r="Q233" s="3"/>
      <c r="R233" s="3"/>
      <c r="S233" s="3"/>
      <c r="T233" s="3"/>
      <c r="U233" s="3"/>
      <c r="V233" s="3"/>
      <c r="W233" s="3" t="s">
        <v>3</v>
      </c>
      <c r="X233" s="3"/>
      <c r="Y233" s="3" t="s">
        <v>3</v>
      </c>
      <c r="Z233" s="3"/>
      <c r="AA233" s="3"/>
      <c r="AB233" s="3"/>
      <c r="AC233" s="3"/>
      <c r="AD233" s="3"/>
      <c r="AE233" s="3"/>
      <c r="AF233" s="3"/>
      <c r="AG233" s="3"/>
      <c r="AH233" s="3"/>
      <c r="AI233" s="3"/>
      <c r="AJ233" s="3"/>
      <c r="AK233" s="3"/>
      <c r="AL233" s="3"/>
      <c r="AM233" s="3"/>
      <c r="AN233" s="3" t="s">
        <v>3</v>
      </c>
      <c r="AO233" s="3"/>
      <c r="AP233" s="3"/>
      <c r="AQ233" s="3"/>
      <c r="AR233" s="3"/>
      <c r="AS233" s="3"/>
      <c r="AT233" s="3"/>
      <c r="AU233" s="3"/>
      <c r="AV233" s="3"/>
      <c r="AW233" s="3" t="s">
        <v>3</v>
      </c>
      <c r="AX233" s="28"/>
      <c r="AY233" s="3"/>
      <c r="AZ233" s="3"/>
      <c r="BA233" s="3"/>
      <c r="BB233" s="3"/>
      <c r="BC233" s="3"/>
      <c r="BD233" s="3"/>
      <c r="BE233" s="3"/>
      <c r="BF233" s="3"/>
      <c r="BG233" s="3"/>
      <c r="BH233" s="3"/>
      <c r="BI233" s="3"/>
      <c r="BJ233" s="3" t="s">
        <v>3</v>
      </c>
      <c r="BK233" s="3" t="s">
        <v>3</v>
      </c>
      <c r="BL233" s="3"/>
      <c r="BM233" s="3"/>
      <c r="BN233" s="28"/>
      <c r="BO233" s="3"/>
      <c r="BP233" s="3" t="s">
        <v>3</v>
      </c>
      <c r="BQ233" s="3" t="s">
        <v>3</v>
      </c>
      <c r="BR233" s="3"/>
      <c r="BS233" s="3"/>
      <c r="BT233" s="3"/>
      <c r="BU233" s="3" t="s">
        <v>3</v>
      </c>
      <c r="BV233" s="3" t="s">
        <v>3</v>
      </c>
      <c r="BW233" s="3" t="s">
        <v>3</v>
      </c>
      <c r="BX233" s="3" t="s">
        <v>3</v>
      </c>
      <c r="BY233" s="3" t="s">
        <v>3</v>
      </c>
      <c r="BZ233" s="3" t="s">
        <v>3</v>
      </c>
      <c r="CA233" s="3"/>
      <c r="CB233" s="3"/>
    </row>
    <row r="234" spans="2:80" ht="30" customHeight="1">
      <c r="B234" s="11">
        <f t="shared" si="12"/>
        <v>229</v>
      </c>
      <c r="C234" s="38" t="s">
        <v>750</v>
      </c>
      <c r="D234" s="37" t="s">
        <v>765</v>
      </c>
      <c r="E234" s="42" t="s">
        <v>767</v>
      </c>
      <c r="F234" s="14">
        <f t="shared" si="13"/>
        <v>15</v>
      </c>
      <c r="G234" s="15" t="s">
        <v>2</v>
      </c>
      <c r="H234" s="3" t="s">
        <v>3</v>
      </c>
      <c r="I234" s="3"/>
      <c r="J234" s="3"/>
      <c r="K234" s="3"/>
      <c r="L234" s="3"/>
      <c r="M234" s="3"/>
      <c r="N234" s="3" t="s">
        <v>3</v>
      </c>
      <c r="O234" s="3"/>
      <c r="P234" s="3" t="s">
        <v>3</v>
      </c>
      <c r="Q234" s="3"/>
      <c r="R234" s="3"/>
      <c r="S234" s="3"/>
      <c r="T234" s="3"/>
      <c r="U234" s="3"/>
      <c r="V234" s="3"/>
      <c r="W234" s="3" t="s">
        <v>3</v>
      </c>
      <c r="X234" s="3"/>
      <c r="Y234" s="3" t="s">
        <v>3</v>
      </c>
      <c r="Z234" s="3"/>
      <c r="AA234" s="3"/>
      <c r="AB234" s="3"/>
      <c r="AC234" s="3"/>
      <c r="AD234" s="3"/>
      <c r="AE234" s="3"/>
      <c r="AF234" s="3"/>
      <c r="AG234" s="3"/>
      <c r="AH234" s="3"/>
      <c r="AI234" s="3"/>
      <c r="AJ234" s="3"/>
      <c r="AK234" s="3"/>
      <c r="AL234" s="3"/>
      <c r="AM234" s="3"/>
      <c r="AN234" s="3" t="s">
        <v>3</v>
      </c>
      <c r="AO234" s="3"/>
      <c r="AP234" s="3"/>
      <c r="AQ234" s="3"/>
      <c r="AR234" s="3"/>
      <c r="AS234" s="3"/>
      <c r="AT234" s="3"/>
      <c r="AU234" s="3"/>
      <c r="AV234" s="3"/>
      <c r="AW234" s="3"/>
      <c r="AX234" s="28"/>
      <c r="AY234" s="3"/>
      <c r="AZ234" s="3"/>
      <c r="BA234" s="3"/>
      <c r="BB234" s="3"/>
      <c r="BC234" s="3"/>
      <c r="BD234" s="3"/>
      <c r="BE234" s="3"/>
      <c r="BF234" s="3"/>
      <c r="BG234" s="3"/>
      <c r="BH234" s="3"/>
      <c r="BI234" s="3"/>
      <c r="BJ234" s="3" t="s">
        <v>3</v>
      </c>
      <c r="BK234" s="3" t="s">
        <v>3</v>
      </c>
      <c r="BL234" s="3"/>
      <c r="BM234" s="3"/>
      <c r="BN234" s="28"/>
      <c r="BO234" s="3"/>
      <c r="BP234" s="3" t="s">
        <v>3</v>
      </c>
      <c r="BQ234" s="3" t="s">
        <v>3</v>
      </c>
      <c r="BR234" s="3"/>
      <c r="BS234" s="3"/>
      <c r="BT234" s="3"/>
      <c r="BU234" s="3" t="s">
        <v>3</v>
      </c>
      <c r="BV234" s="3" t="s">
        <v>3</v>
      </c>
      <c r="BW234" s="3" t="s">
        <v>392</v>
      </c>
      <c r="BX234" s="3" t="s">
        <v>392</v>
      </c>
      <c r="BY234" s="3" t="s">
        <v>3</v>
      </c>
      <c r="BZ234" s="3"/>
      <c r="CA234" s="3"/>
      <c r="CB234" s="3"/>
    </row>
    <row r="235" spans="2:80" ht="30" customHeight="1">
      <c r="B235" s="11">
        <f t="shared" si="12"/>
        <v>230</v>
      </c>
      <c r="C235" s="38" t="s">
        <v>750</v>
      </c>
      <c r="D235" s="37" t="s">
        <v>765</v>
      </c>
      <c r="E235" s="35" t="s">
        <v>768</v>
      </c>
      <c r="F235" s="14">
        <f t="shared" si="13"/>
        <v>2</v>
      </c>
      <c r="G235" s="15" t="s">
        <v>499</v>
      </c>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28"/>
      <c r="AY235" s="3"/>
      <c r="AZ235" s="3"/>
      <c r="BA235" s="3"/>
      <c r="BB235" s="3"/>
      <c r="BC235" s="3"/>
      <c r="BD235" s="3"/>
      <c r="BE235" s="3"/>
      <c r="BF235" s="3"/>
      <c r="BG235" s="3"/>
      <c r="BH235" s="3"/>
      <c r="BI235" s="3"/>
      <c r="BJ235" s="3"/>
      <c r="BK235" s="3"/>
      <c r="BL235" s="3"/>
      <c r="BM235" s="3"/>
      <c r="BN235" s="28"/>
      <c r="BO235" s="3"/>
      <c r="BP235" s="3"/>
      <c r="BQ235" s="3"/>
      <c r="BR235" s="3"/>
      <c r="BS235" s="3"/>
      <c r="BT235" s="3"/>
      <c r="BU235" s="3" t="s">
        <v>3</v>
      </c>
      <c r="BV235" s="3"/>
      <c r="BW235" s="3"/>
      <c r="BX235" s="3"/>
      <c r="BY235" s="3"/>
      <c r="BZ235" s="3"/>
      <c r="CA235" s="13" t="s">
        <v>3</v>
      </c>
      <c r="CB235" s="3"/>
    </row>
    <row r="236" spans="2:80" ht="30" customHeight="1">
      <c r="B236" s="11">
        <f t="shared" si="12"/>
        <v>231</v>
      </c>
      <c r="C236" s="38" t="s">
        <v>750</v>
      </c>
      <c r="D236" s="35" t="s">
        <v>769</v>
      </c>
      <c r="E236" s="35" t="s">
        <v>770</v>
      </c>
      <c r="F236" s="14">
        <f t="shared" si="13"/>
        <v>17</v>
      </c>
      <c r="G236" s="15" t="s">
        <v>2</v>
      </c>
      <c r="H236" s="3" t="s">
        <v>392</v>
      </c>
      <c r="I236" s="3" t="s">
        <v>392</v>
      </c>
      <c r="J236" s="3"/>
      <c r="K236" s="3"/>
      <c r="L236" s="3"/>
      <c r="M236" s="3"/>
      <c r="N236" s="3" t="s">
        <v>392</v>
      </c>
      <c r="O236" s="3"/>
      <c r="P236" s="3" t="s">
        <v>392</v>
      </c>
      <c r="Q236" s="3"/>
      <c r="R236" s="3"/>
      <c r="S236" s="3"/>
      <c r="T236" s="3"/>
      <c r="U236" s="3"/>
      <c r="V236" s="3"/>
      <c r="W236" s="3"/>
      <c r="X236" s="3"/>
      <c r="Y236" s="3"/>
      <c r="Z236" s="3" t="s">
        <v>3</v>
      </c>
      <c r="AA236" s="3"/>
      <c r="AB236" s="3"/>
      <c r="AC236" s="3"/>
      <c r="AD236" s="3"/>
      <c r="AE236" s="3"/>
      <c r="AF236" s="3"/>
      <c r="AG236" s="3"/>
      <c r="AH236" s="3"/>
      <c r="AI236" s="3"/>
      <c r="AJ236" s="3"/>
      <c r="AK236" s="3"/>
      <c r="AL236" s="3"/>
      <c r="AM236" s="3"/>
      <c r="AN236" s="3" t="s">
        <v>392</v>
      </c>
      <c r="AO236" s="3"/>
      <c r="AP236" s="3"/>
      <c r="AQ236" s="3"/>
      <c r="AR236" s="3"/>
      <c r="AS236" s="3"/>
      <c r="AT236" s="3"/>
      <c r="AU236" s="3"/>
      <c r="AV236" s="3"/>
      <c r="AW236" s="3"/>
      <c r="AX236" s="28"/>
      <c r="AY236" s="3"/>
      <c r="AZ236" s="3"/>
      <c r="BA236" s="3"/>
      <c r="BB236" s="3"/>
      <c r="BC236" s="3"/>
      <c r="BD236" s="3"/>
      <c r="BE236" s="3"/>
      <c r="BF236" s="3"/>
      <c r="BG236" s="3" t="s">
        <v>392</v>
      </c>
      <c r="BH236" s="3" t="s">
        <v>392</v>
      </c>
      <c r="BI236" s="3"/>
      <c r="BJ236" s="3" t="s">
        <v>3</v>
      </c>
      <c r="BK236" s="3" t="s">
        <v>392</v>
      </c>
      <c r="BL236" s="3"/>
      <c r="BM236" s="3"/>
      <c r="BN236" s="28"/>
      <c r="BO236" s="3"/>
      <c r="BP236" s="3" t="s">
        <v>392</v>
      </c>
      <c r="BQ236" s="3" t="s">
        <v>392</v>
      </c>
      <c r="BR236" s="3"/>
      <c r="BS236" s="3"/>
      <c r="BT236" s="3"/>
      <c r="BU236" s="3" t="s">
        <v>392</v>
      </c>
      <c r="BV236" s="3" t="s">
        <v>392</v>
      </c>
      <c r="BW236" s="3" t="s">
        <v>392</v>
      </c>
      <c r="BX236" s="3" t="s">
        <v>392</v>
      </c>
      <c r="BY236" s="3" t="s">
        <v>392</v>
      </c>
      <c r="BZ236" s="3"/>
      <c r="CA236" s="3"/>
      <c r="CB236" s="3"/>
    </row>
    <row r="237" spans="2:80" ht="30" customHeight="1">
      <c r="B237" s="11">
        <f t="shared" si="12"/>
        <v>232</v>
      </c>
      <c r="C237" s="38" t="s">
        <v>750</v>
      </c>
      <c r="D237" s="37" t="s">
        <v>769</v>
      </c>
      <c r="E237" s="35" t="s">
        <v>771</v>
      </c>
      <c r="F237" s="14">
        <f t="shared" si="13"/>
        <v>7</v>
      </c>
      <c r="G237" s="15" t="s">
        <v>2</v>
      </c>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28"/>
      <c r="AY237" s="3"/>
      <c r="AZ237" s="3"/>
      <c r="BA237" s="3"/>
      <c r="BB237" s="3"/>
      <c r="BC237" s="3"/>
      <c r="BD237" s="3"/>
      <c r="BE237" s="3"/>
      <c r="BF237" s="3"/>
      <c r="BG237" s="3" t="s">
        <v>392</v>
      </c>
      <c r="BH237" s="3" t="s">
        <v>392</v>
      </c>
      <c r="BI237" s="3"/>
      <c r="BJ237" s="3"/>
      <c r="BK237" s="3"/>
      <c r="BL237" s="3"/>
      <c r="BM237" s="3"/>
      <c r="BN237" s="28"/>
      <c r="BO237" s="3"/>
      <c r="BP237" s="3"/>
      <c r="BQ237" s="3"/>
      <c r="BR237" s="3"/>
      <c r="BS237" s="3"/>
      <c r="BT237" s="3"/>
      <c r="BU237" s="3" t="s">
        <v>392</v>
      </c>
      <c r="BV237" s="3" t="s">
        <v>392</v>
      </c>
      <c r="BW237" s="3" t="s">
        <v>392</v>
      </c>
      <c r="BX237" s="3"/>
      <c r="BY237" s="3" t="s">
        <v>392</v>
      </c>
      <c r="BZ237" s="3" t="s">
        <v>3</v>
      </c>
      <c r="CA237" s="3"/>
      <c r="CB237" s="3"/>
    </row>
    <row r="238" spans="2:80" ht="30" customHeight="1">
      <c r="B238" s="11">
        <f t="shared" si="12"/>
        <v>233</v>
      </c>
      <c r="C238" s="38" t="s">
        <v>750</v>
      </c>
      <c r="D238" s="37" t="s">
        <v>769</v>
      </c>
      <c r="E238" s="35" t="s">
        <v>772</v>
      </c>
      <c r="F238" s="14">
        <f t="shared" si="13"/>
        <v>2</v>
      </c>
      <c r="G238" s="15" t="s">
        <v>499</v>
      </c>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28"/>
      <c r="AY238" s="3"/>
      <c r="AZ238" s="3"/>
      <c r="BA238" s="3"/>
      <c r="BB238" s="3"/>
      <c r="BC238" s="3"/>
      <c r="BD238" s="3"/>
      <c r="BE238" s="3"/>
      <c r="BF238" s="3"/>
      <c r="BG238" s="3"/>
      <c r="BH238" s="3"/>
      <c r="BI238" s="3"/>
      <c r="BJ238" s="3"/>
      <c r="BK238" s="3"/>
      <c r="BL238" s="3"/>
      <c r="BM238" s="3"/>
      <c r="BN238" s="28"/>
      <c r="BO238" s="3"/>
      <c r="BP238" s="3"/>
      <c r="BQ238" s="3"/>
      <c r="BR238" s="3"/>
      <c r="BS238" s="3"/>
      <c r="BT238" s="3"/>
      <c r="BU238" s="3" t="s">
        <v>3</v>
      </c>
      <c r="BV238" s="3"/>
      <c r="BW238" s="3"/>
      <c r="BX238" s="3"/>
      <c r="BY238" s="3"/>
      <c r="BZ238" s="3"/>
      <c r="CA238" s="13" t="s">
        <v>3</v>
      </c>
      <c r="CB238" s="3"/>
    </row>
    <row r="239" spans="2:80" ht="30" customHeight="1">
      <c r="B239" s="11">
        <f t="shared" si="12"/>
        <v>234</v>
      </c>
      <c r="C239" s="38" t="s">
        <v>750</v>
      </c>
      <c r="D239" s="37" t="s">
        <v>769</v>
      </c>
      <c r="E239" s="35" t="s">
        <v>773</v>
      </c>
      <c r="F239" s="14">
        <f t="shared" si="13"/>
        <v>15</v>
      </c>
      <c r="G239" s="15" t="s">
        <v>2</v>
      </c>
      <c r="H239" s="3" t="s">
        <v>392</v>
      </c>
      <c r="I239" s="3"/>
      <c r="J239" s="3"/>
      <c r="K239" s="3"/>
      <c r="L239" s="3"/>
      <c r="M239" s="3"/>
      <c r="N239" s="3" t="s">
        <v>392</v>
      </c>
      <c r="O239" s="3"/>
      <c r="P239" s="3" t="s">
        <v>392</v>
      </c>
      <c r="Q239" s="3"/>
      <c r="R239" s="3"/>
      <c r="S239" s="3"/>
      <c r="T239" s="3"/>
      <c r="U239" s="3"/>
      <c r="V239" s="3"/>
      <c r="W239" s="3"/>
      <c r="X239" s="3"/>
      <c r="Y239" s="3" t="s">
        <v>392</v>
      </c>
      <c r="Z239" s="3" t="s">
        <v>3</v>
      </c>
      <c r="AA239" s="3"/>
      <c r="AB239" s="3"/>
      <c r="AC239" s="3"/>
      <c r="AD239" s="3"/>
      <c r="AE239" s="3"/>
      <c r="AF239" s="3"/>
      <c r="AG239" s="3"/>
      <c r="AH239" s="3"/>
      <c r="AI239" s="3"/>
      <c r="AJ239" s="3"/>
      <c r="AK239" s="3"/>
      <c r="AL239" s="3"/>
      <c r="AM239" s="3"/>
      <c r="AN239" s="3" t="s">
        <v>3</v>
      </c>
      <c r="AO239" s="3"/>
      <c r="AP239" s="3"/>
      <c r="AQ239" s="3"/>
      <c r="AR239" s="3"/>
      <c r="AS239" s="3"/>
      <c r="AT239" s="3"/>
      <c r="AU239" s="3"/>
      <c r="AV239" s="3"/>
      <c r="AW239" s="3"/>
      <c r="AX239" s="28"/>
      <c r="AY239" s="3"/>
      <c r="AZ239" s="3"/>
      <c r="BA239" s="3"/>
      <c r="BB239" s="3"/>
      <c r="BC239" s="3"/>
      <c r="BD239" s="3"/>
      <c r="BE239" s="3"/>
      <c r="BF239" s="3"/>
      <c r="BG239" s="3"/>
      <c r="BH239" s="3"/>
      <c r="BI239" s="3"/>
      <c r="BJ239" s="3" t="s">
        <v>3</v>
      </c>
      <c r="BK239" s="43" t="s">
        <v>392</v>
      </c>
      <c r="BL239" s="3"/>
      <c r="BM239" s="3"/>
      <c r="BN239" s="28"/>
      <c r="BO239" s="3"/>
      <c r="BP239" s="43" t="s">
        <v>392</v>
      </c>
      <c r="BQ239" s="43" t="s">
        <v>392</v>
      </c>
      <c r="BR239" s="3"/>
      <c r="BS239" s="3"/>
      <c r="BT239" s="3"/>
      <c r="BU239" s="3" t="s">
        <v>392</v>
      </c>
      <c r="BV239" s="3" t="s">
        <v>392</v>
      </c>
      <c r="BW239" s="3" t="s">
        <v>392</v>
      </c>
      <c r="BX239" s="3" t="s">
        <v>392</v>
      </c>
      <c r="BY239" s="3" t="s">
        <v>392</v>
      </c>
      <c r="BZ239" s="3"/>
      <c r="CA239" s="3"/>
      <c r="CB239" s="3"/>
    </row>
    <row r="240" spans="2:80" ht="30" customHeight="1">
      <c r="B240" s="11">
        <f t="shared" si="12"/>
        <v>235</v>
      </c>
      <c r="C240" s="38" t="s">
        <v>750</v>
      </c>
      <c r="D240" s="37" t="s">
        <v>769</v>
      </c>
      <c r="E240" s="35" t="s">
        <v>774</v>
      </c>
      <c r="F240" s="14">
        <f t="shared" si="13"/>
        <v>7</v>
      </c>
      <c r="G240" s="15" t="s">
        <v>2</v>
      </c>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28"/>
      <c r="AY240" s="3"/>
      <c r="AZ240" s="3"/>
      <c r="BA240" s="3"/>
      <c r="BB240" s="3"/>
      <c r="BC240" s="3"/>
      <c r="BD240" s="3"/>
      <c r="BE240" s="3"/>
      <c r="BF240" s="3"/>
      <c r="BG240" s="3" t="s">
        <v>392</v>
      </c>
      <c r="BH240" s="3" t="s">
        <v>392</v>
      </c>
      <c r="BI240" s="3"/>
      <c r="BJ240" s="3"/>
      <c r="BK240" s="3"/>
      <c r="BL240" s="3"/>
      <c r="BM240" s="3"/>
      <c r="BN240" s="28"/>
      <c r="BO240" s="3"/>
      <c r="BP240" s="3"/>
      <c r="BQ240" s="3"/>
      <c r="BR240" s="3"/>
      <c r="BS240" s="3"/>
      <c r="BT240" s="3"/>
      <c r="BU240" s="3" t="s">
        <v>392</v>
      </c>
      <c r="BV240" s="3" t="s">
        <v>392</v>
      </c>
      <c r="BW240" s="3" t="s">
        <v>392</v>
      </c>
      <c r="BX240" s="3"/>
      <c r="BY240" s="3" t="s">
        <v>392</v>
      </c>
      <c r="BZ240" s="3" t="s">
        <v>3</v>
      </c>
      <c r="CA240" s="3"/>
      <c r="CB240" s="3"/>
    </row>
    <row r="241" spans="2:80" ht="30" customHeight="1">
      <c r="B241" s="11">
        <f t="shared" si="12"/>
        <v>236</v>
      </c>
      <c r="C241" s="38" t="s">
        <v>750</v>
      </c>
      <c r="D241" s="37" t="s">
        <v>769</v>
      </c>
      <c r="E241" s="35" t="s">
        <v>775</v>
      </c>
      <c r="F241" s="14">
        <f t="shared" si="13"/>
        <v>2</v>
      </c>
      <c r="G241" s="15" t="s">
        <v>499</v>
      </c>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28"/>
      <c r="AY241" s="3"/>
      <c r="AZ241" s="3"/>
      <c r="BA241" s="3"/>
      <c r="BB241" s="3"/>
      <c r="BC241" s="3"/>
      <c r="BD241" s="3"/>
      <c r="BE241" s="3"/>
      <c r="BF241" s="3"/>
      <c r="BG241" s="3"/>
      <c r="BH241" s="3"/>
      <c r="BI241" s="3"/>
      <c r="BJ241" s="3"/>
      <c r="BK241" s="3"/>
      <c r="BL241" s="3"/>
      <c r="BM241" s="3"/>
      <c r="BN241" s="28"/>
      <c r="BO241" s="3"/>
      <c r="BP241" s="3"/>
      <c r="BQ241" s="3"/>
      <c r="BR241" s="3"/>
      <c r="BS241" s="3"/>
      <c r="BT241" s="3"/>
      <c r="BU241" s="3" t="s">
        <v>3</v>
      </c>
      <c r="BV241" s="3"/>
      <c r="BW241" s="3"/>
      <c r="BX241" s="3"/>
      <c r="BY241" s="3"/>
      <c r="BZ241" s="3"/>
      <c r="CA241" s="13" t="s">
        <v>3</v>
      </c>
      <c r="CB241" s="3"/>
    </row>
    <row r="242" spans="2:80" ht="30" customHeight="1">
      <c r="B242" s="11">
        <f t="shared" si="12"/>
        <v>237</v>
      </c>
      <c r="C242" s="38" t="s">
        <v>750</v>
      </c>
      <c r="D242" s="35" t="s">
        <v>776</v>
      </c>
      <c r="E242" s="35" t="s">
        <v>777</v>
      </c>
      <c r="F242" s="14">
        <f t="shared" si="13"/>
        <v>2</v>
      </c>
      <c r="G242" s="15" t="s">
        <v>499</v>
      </c>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28"/>
      <c r="AY242" s="3"/>
      <c r="AZ242" s="3"/>
      <c r="BA242" s="3"/>
      <c r="BB242" s="3"/>
      <c r="BC242" s="3"/>
      <c r="BD242" s="3"/>
      <c r="BE242" s="3"/>
      <c r="BF242" s="3"/>
      <c r="BG242" s="3"/>
      <c r="BH242" s="3"/>
      <c r="BI242" s="3"/>
      <c r="BJ242" s="3"/>
      <c r="BK242" s="3"/>
      <c r="BL242" s="3"/>
      <c r="BM242" s="3"/>
      <c r="BN242" s="28"/>
      <c r="BO242" s="3"/>
      <c r="BP242" s="3"/>
      <c r="BQ242" s="3"/>
      <c r="BR242" s="3"/>
      <c r="BS242" s="3"/>
      <c r="BT242" s="3"/>
      <c r="BU242" s="3" t="s">
        <v>3</v>
      </c>
      <c r="BV242" s="3"/>
      <c r="BW242" s="3"/>
      <c r="BX242" s="3"/>
      <c r="BY242" s="3"/>
      <c r="BZ242" s="3"/>
      <c r="CA242" s="13" t="s">
        <v>3</v>
      </c>
      <c r="CB242" s="3"/>
    </row>
    <row r="243" spans="2:80" ht="30" customHeight="1">
      <c r="B243" s="11">
        <f t="shared" si="12"/>
        <v>238</v>
      </c>
      <c r="C243" s="38" t="s">
        <v>750</v>
      </c>
      <c r="D243" s="37" t="s">
        <v>776</v>
      </c>
      <c r="E243" s="35" t="s">
        <v>778</v>
      </c>
      <c r="F243" s="14">
        <f t="shared" si="13"/>
        <v>14</v>
      </c>
      <c r="G243" s="15" t="s">
        <v>2</v>
      </c>
      <c r="H243" s="3" t="s">
        <v>392</v>
      </c>
      <c r="I243" s="3" t="s">
        <v>392</v>
      </c>
      <c r="J243" s="3"/>
      <c r="K243" s="3"/>
      <c r="L243" s="3"/>
      <c r="M243" s="3" t="s">
        <v>392</v>
      </c>
      <c r="N243" s="3"/>
      <c r="O243" s="3"/>
      <c r="P243" s="3" t="s">
        <v>392</v>
      </c>
      <c r="Q243" s="3"/>
      <c r="R243" s="3"/>
      <c r="S243" s="3"/>
      <c r="T243" s="3"/>
      <c r="U243" s="3"/>
      <c r="V243" s="3"/>
      <c r="W243" s="3"/>
      <c r="X243" s="3"/>
      <c r="Y243" s="3"/>
      <c r="Z243" s="3"/>
      <c r="AA243" s="3"/>
      <c r="AB243" s="3"/>
      <c r="AC243" s="3"/>
      <c r="AD243" s="3"/>
      <c r="AE243" s="3"/>
      <c r="AF243" s="3"/>
      <c r="AG243" s="3"/>
      <c r="AH243" s="3"/>
      <c r="AI243" s="3"/>
      <c r="AJ243" s="3"/>
      <c r="AK243" s="3"/>
      <c r="AL243" s="3"/>
      <c r="AM243" s="3"/>
      <c r="AN243" s="3" t="s">
        <v>3</v>
      </c>
      <c r="AO243" s="3"/>
      <c r="AP243" s="3"/>
      <c r="AQ243" s="3"/>
      <c r="AR243" s="3"/>
      <c r="AS243" s="3"/>
      <c r="AT243" s="3"/>
      <c r="AU243" s="3"/>
      <c r="AV243" s="3"/>
      <c r="AW243" s="3"/>
      <c r="AX243" s="28"/>
      <c r="AY243" s="3"/>
      <c r="AZ243" s="3" t="s">
        <v>3</v>
      </c>
      <c r="BA243" s="3" t="s">
        <v>3</v>
      </c>
      <c r="BB243" s="3" t="s">
        <v>3</v>
      </c>
      <c r="BC243" s="3" t="s">
        <v>3</v>
      </c>
      <c r="BD243" s="3" t="s">
        <v>3</v>
      </c>
      <c r="BE243" s="3"/>
      <c r="BF243" s="3"/>
      <c r="BG243" s="3"/>
      <c r="BH243" s="3"/>
      <c r="BI243" s="3"/>
      <c r="BJ243" s="3"/>
      <c r="BK243" s="3"/>
      <c r="BL243" s="3"/>
      <c r="BM243" s="3"/>
      <c r="BN243" s="28"/>
      <c r="BO243" s="3"/>
      <c r="BP243" s="3"/>
      <c r="BQ243" s="3"/>
      <c r="BR243" s="3"/>
      <c r="BS243" s="3"/>
      <c r="BT243" s="3"/>
      <c r="BU243" s="3" t="s">
        <v>3</v>
      </c>
      <c r="BV243" s="3" t="s">
        <v>3</v>
      </c>
      <c r="BW243" s="3" t="s">
        <v>3</v>
      </c>
      <c r="BX243" s="3" t="s">
        <v>3</v>
      </c>
      <c r="BY243" s="3"/>
      <c r="BZ243" s="3"/>
      <c r="CA243" s="3"/>
      <c r="CB243" s="3"/>
    </row>
    <row r="244" spans="2:80" ht="30" customHeight="1">
      <c r="B244" s="11">
        <f t="shared" si="12"/>
        <v>239</v>
      </c>
      <c r="C244" s="38" t="s">
        <v>750</v>
      </c>
      <c r="D244" s="37" t="s">
        <v>776</v>
      </c>
      <c r="E244" s="35" t="s">
        <v>779</v>
      </c>
      <c r="F244" s="14">
        <f t="shared" si="13"/>
        <v>9</v>
      </c>
      <c r="G244" s="15" t="s">
        <v>2</v>
      </c>
      <c r="H244" s="3" t="s">
        <v>3</v>
      </c>
      <c r="I244" s="3" t="s">
        <v>3</v>
      </c>
      <c r="J244" s="3"/>
      <c r="K244" s="3"/>
      <c r="L244" s="3"/>
      <c r="M244" s="3"/>
      <c r="N244" s="3" t="s">
        <v>3</v>
      </c>
      <c r="O244" s="3"/>
      <c r="P244" s="3" t="s">
        <v>3</v>
      </c>
      <c r="Q244" s="3"/>
      <c r="R244" s="3"/>
      <c r="S244" s="3"/>
      <c r="T244" s="3"/>
      <c r="U244" s="3"/>
      <c r="V244" s="3"/>
      <c r="W244" s="3"/>
      <c r="X244" s="3"/>
      <c r="Y244" s="3"/>
      <c r="Z244" s="3" t="s">
        <v>3</v>
      </c>
      <c r="AA244" s="3"/>
      <c r="AB244" s="3"/>
      <c r="AC244" s="3"/>
      <c r="AD244" s="3"/>
      <c r="AE244" s="3"/>
      <c r="AF244" s="3"/>
      <c r="AG244" s="3"/>
      <c r="AH244" s="3"/>
      <c r="AI244" s="3"/>
      <c r="AJ244" s="3"/>
      <c r="AK244" s="3"/>
      <c r="AL244" s="3"/>
      <c r="AM244" s="3"/>
      <c r="AN244" s="3" t="s">
        <v>3</v>
      </c>
      <c r="AO244" s="3"/>
      <c r="AP244" s="3"/>
      <c r="AQ244" s="3"/>
      <c r="AR244" s="3"/>
      <c r="AS244" s="3"/>
      <c r="AT244" s="3"/>
      <c r="AU244" s="3"/>
      <c r="AV244" s="3"/>
      <c r="AW244" s="3"/>
      <c r="AX244" s="28"/>
      <c r="AY244" s="3"/>
      <c r="AZ244" s="3"/>
      <c r="BA244" s="3"/>
      <c r="BB244" s="3"/>
      <c r="BC244" s="3"/>
      <c r="BD244" s="3"/>
      <c r="BE244" s="3"/>
      <c r="BF244" s="3"/>
      <c r="BG244" s="3"/>
      <c r="BH244" s="3"/>
      <c r="BI244" s="3"/>
      <c r="BJ244" s="3"/>
      <c r="BK244" s="3"/>
      <c r="BL244" s="3"/>
      <c r="BM244" s="3"/>
      <c r="BN244" s="28"/>
      <c r="BO244" s="3"/>
      <c r="BP244" s="3"/>
      <c r="BQ244" s="3"/>
      <c r="BR244" s="3"/>
      <c r="BS244" s="3"/>
      <c r="BT244" s="3"/>
      <c r="BU244" s="3" t="s">
        <v>3</v>
      </c>
      <c r="BV244" s="3" t="s">
        <v>3</v>
      </c>
      <c r="BW244" s="3" t="s">
        <v>3</v>
      </c>
      <c r="BX244" s="3"/>
      <c r="BY244" s="3"/>
      <c r="BZ244" s="3"/>
      <c r="CA244" s="3"/>
      <c r="CB244" s="3"/>
    </row>
    <row r="245" spans="2:80" ht="30" customHeight="1">
      <c r="B245" s="11">
        <f t="shared" si="12"/>
        <v>240</v>
      </c>
      <c r="C245" s="38" t="s">
        <v>750</v>
      </c>
      <c r="D245" s="37" t="s">
        <v>776</v>
      </c>
      <c r="E245" s="35" t="s">
        <v>780</v>
      </c>
      <c r="F245" s="14">
        <f t="shared" si="13"/>
        <v>9</v>
      </c>
      <c r="G245" s="15" t="s">
        <v>2</v>
      </c>
      <c r="H245" s="3" t="s">
        <v>3</v>
      </c>
      <c r="I245" s="3"/>
      <c r="J245" s="3"/>
      <c r="K245" s="3"/>
      <c r="L245" s="3"/>
      <c r="M245" s="3"/>
      <c r="N245" s="3"/>
      <c r="O245" s="3"/>
      <c r="P245" s="3" t="s">
        <v>3</v>
      </c>
      <c r="Q245" s="3"/>
      <c r="R245" s="3"/>
      <c r="S245" s="3"/>
      <c r="T245" s="3"/>
      <c r="U245" s="3"/>
      <c r="V245" s="3"/>
      <c r="W245" s="3"/>
      <c r="X245" s="3"/>
      <c r="Y245" s="3"/>
      <c r="Z245" s="3"/>
      <c r="AA245" s="3"/>
      <c r="AB245" s="3"/>
      <c r="AC245" s="3"/>
      <c r="AD245" s="3"/>
      <c r="AE245" s="3"/>
      <c r="AF245" s="3"/>
      <c r="AG245" s="3"/>
      <c r="AH245" s="3"/>
      <c r="AI245" s="3"/>
      <c r="AJ245" s="3"/>
      <c r="AK245" s="3"/>
      <c r="AL245" s="3"/>
      <c r="AM245" s="3"/>
      <c r="AN245" s="3" t="s">
        <v>3</v>
      </c>
      <c r="AO245" s="3"/>
      <c r="AP245" s="3"/>
      <c r="AQ245" s="3"/>
      <c r="AR245" s="3"/>
      <c r="AS245" s="3"/>
      <c r="AT245" s="3"/>
      <c r="AU245" s="3"/>
      <c r="AV245" s="3"/>
      <c r="AW245" s="3"/>
      <c r="AX245" s="28"/>
      <c r="AY245" s="3"/>
      <c r="AZ245" s="3"/>
      <c r="BA245" s="3"/>
      <c r="BB245" s="3"/>
      <c r="BC245" s="3"/>
      <c r="BD245" s="3"/>
      <c r="BE245" s="3" t="s">
        <v>3</v>
      </c>
      <c r="BF245" s="3" t="s">
        <v>3</v>
      </c>
      <c r="BG245" s="3"/>
      <c r="BH245" s="3"/>
      <c r="BI245" s="3"/>
      <c r="BJ245" s="3"/>
      <c r="BK245" s="3"/>
      <c r="BL245" s="3"/>
      <c r="BM245" s="3"/>
      <c r="BN245" s="28"/>
      <c r="BO245" s="3"/>
      <c r="BP245" s="3"/>
      <c r="BQ245" s="3"/>
      <c r="BR245" s="3"/>
      <c r="BS245" s="3"/>
      <c r="BT245" s="3"/>
      <c r="BU245" s="3" t="s">
        <v>3</v>
      </c>
      <c r="BV245" s="3" t="s">
        <v>3</v>
      </c>
      <c r="BW245" s="3" t="s">
        <v>3</v>
      </c>
      <c r="BX245" s="3" t="s">
        <v>3</v>
      </c>
      <c r="BY245" s="3"/>
      <c r="BZ245" s="3"/>
      <c r="CA245" s="3"/>
      <c r="CB245" s="3"/>
    </row>
    <row r="246" spans="2:80" ht="30" customHeight="1">
      <c r="B246" s="11">
        <f t="shared" si="12"/>
        <v>241</v>
      </c>
      <c r="C246" s="38" t="s">
        <v>750</v>
      </c>
      <c r="D246" s="35" t="s">
        <v>781</v>
      </c>
      <c r="E246" s="35" t="s">
        <v>782</v>
      </c>
      <c r="F246" s="14">
        <f t="shared" si="13"/>
        <v>2</v>
      </c>
      <c r="G246" s="15" t="s">
        <v>499</v>
      </c>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28"/>
      <c r="AY246" s="3"/>
      <c r="AZ246" s="3"/>
      <c r="BA246" s="3"/>
      <c r="BB246" s="3"/>
      <c r="BC246" s="3"/>
      <c r="BD246" s="3"/>
      <c r="BE246" s="3"/>
      <c r="BF246" s="3"/>
      <c r="BG246" s="3"/>
      <c r="BH246" s="3"/>
      <c r="BI246" s="3"/>
      <c r="BJ246" s="3"/>
      <c r="BK246" s="3"/>
      <c r="BL246" s="3"/>
      <c r="BM246" s="3"/>
      <c r="BN246" s="28"/>
      <c r="BO246" s="3"/>
      <c r="BP246" s="3"/>
      <c r="BQ246" s="3"/>
      <c r="BR246" s="3"/>
      <c r="BS246" s="3"/>
      <c r="BT246" s="3"/>
      <c r="BU246" s="3" t="s">
        <v>3</v>
      </c>
      <c r="BV246" s="3"/>
      <c r="BW246" s="3"/>
      <c r="BX246" s="3"/>
      <c r="BY246" s="3"/>
      <c r="BZ246" s="3"/>
      <c r="CA246" s="13" t="s">
        <v>3</v>
      </c>
      <c r="CB246" s="3"/>
    </row>
    <row r="247" spans="2:80" ht="30" customHeight="1">
      <c r="B247" s="11">
        <f t="shared" si="12"/>
        <v>242</v>
      </c>
      <c r="C247" s="35" t="s">
        <v>783</v>
      </c>
      <c r="D247" s="35" t="s">
        <v>784</v>
      </c>
      <c r="E247" s="35" t="s">
        <v>785</v>
      </c>
      <c r="F247" s="14">
        <f t="shared" si="13"/>
        <v>19</v>
      </c>
      <c r="G247" s="15" t="s">
        <v>2</v>
      </c>
      <c r="H247" s="3" t="s">
        <v>3</v>
      </c>
      <c r="I247" s="3" t="s">
        <v>3</v>
      </c>
      <c r="J247" s="3"/>
      <c r="K247" s="3"/>
      <c r="L247" s="3"/>
      <c r="M247" s="3"/>
      <c r="N247" s="3" t="s">
        <v>3</v>
      </c>
      <c r="O247" s="3"/>
      <c r="P247" s="3" t="s">
        <v>3</v>
      </c>
      <c r="Q247" s="3"/>
      <c r="R247" s="3"/>
      <c r="S247" s="3" t="s">
        <v>3</v>
      </c>
      <c r="T247" s="3"/>
      <c r="U247" s="3"/>
      <c r="V247" s="3"/>
      <c r="W247" s="3"/>
      <c r="X247" s="3"/>
      <c r="Y247" s="3"/>
      <c r="Z247" s="3" t="s">
        <v>3</v>
      </c>
      <c r="AA247" s="3"/>
      <c r="AB247" s="3"/>
      <c r="AC247" s="3"/>
      <c r="AD247" s="3" t="s">
        <v>3</v>
      </c>
      <c r="AE247" s="3"/>
      <c r="AF247" s="3"/>
      <c r="AG247" s="3"/>
      <c r="AH247" s="3"/>
      <c r="AI247" s="3"/>
      <c r="AJ247" s="3"/>
      <c r="AK247" s="3"/>
      <c r="AL247" s="3"/>
      <c r="AM247" s="3"/>
      <c r="AN247" s="3" t="s">
        <v>3</v>
      </c>
      <c r="AO247" s="3"/>
      <c r="AP247" s="3"/>
      <c r="AQ247" s="3"/>
      <c r="AR247" s="3"/>
      <c r="AS247" s="3"/>
      <c r="AT247" s="3"/>
      <c r="AU247" s="3"/>
      <c r="AV247" s="3"/>
      <c r="AW247" s="3" t="s">
        <v>3</v>
      </c>
      <c r="AX247" s="28"/>
      <c r="AY247" s="3"/>
      <c r="AZ247" s="3"/>
      <c r="BA247" s="3"/>
      <c r="BB247" s="3"/>
      <c r="BC247" s="3"/>
      <c r="BD247" s="3"/>
      <c r="BE247" s="3"/>
      <c r="BF247" s="3"/>
      <c r="BG247" s="3"/>
      <c r="BH247" s="3"/>
      <c r="BI247" s="3"/>
      <c r="BJ247" s="3" t="s">
        <v>3</v>
      </c>
      <c r="BK247" s="3" t="s">
        <v>3</v>
      </c>
      <c r="BL247" s="3"/>
      <c r="BM247" s="3"/>
      <c r="BN247" s="28"/>
      <c r="BO247" s="3"/>
      <c r="BP247" s="3" t="s">
        <v>3</v>
      </c>
      <c r="BQ247" s="3" t="s">
        <v>3</v>
      </c>
      <c r="BR247" s="3"/>
      <c r="BS247" s="3" t="s">
        <v>3</v>
      </c>
      <c r="BT247" s="3"/>
      <c r="BU247" s="3" t="s">
        <v>3</v>
      </c>
      <c r="BV247" s="3" t="s">
        <v>3</v>
      </c>
      <c r="BW247" s="3" t="s">
        <v>3</v>
      </c>
      <c r="BX247" s="3" t="s">
        <v>3</v>
      </c>
      <c r="BY247" s="3" t="s">
        <v>3</v>
      </c>
      <c r="BZ247" s="3"/>
      <c r="CA247" s="3"/>
      <c r="CB247" s="3"/>
    </row>
    <row r="248" spans="2:80" ht="30" customHeight="1">
      <c r="B248" s="11">
        <f t="shared" si="12"/>
        <v>243</v>
      </c>
      <c r="C248" s="38" t="s">
        <v>783</v>
      </c>
      <c r="D248" s="37" t="s">
        <v>784</v>
      </c>
      <c r="E248" s="35" t="s">
        <v>786</v>
      </c>
      <c r="F248" s="14">
        <f t="shared" si="13"/>
        <v>6</v>
      </c>
      <c r="G248" s="15" t="s">
        <v>2</v>
      </c>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28"/>
      <c r="AY248" s="3"/>
      <c r="AZ248" s="3"/>
      <c r="BA248" s="3"/>
      <c r="BB248" s="3"/>
      <c r="BC248" s="3"/>
      <c r="BD248" s="3"/>
      <c r="BE248" s="3"/>
      <c r="BF248" s="3"/>
      <c r="BG248" s="3" t="s">
        <v>3</v>
      </c>
      <c r="BH248" s="3" t="s">
        <v>3</v>
      </c>
      <c r="BI248" s="3"/>
      <c r="BJ248" s="3"/>
      <c r="BK248" s="3"/>
      <c r="BL248" s="3"/>
      <c r="BM248" s="3"/>
      <c r="BN248" s="28"/>
      <c r="BO248" s="3"/>
      <c r="BP248" s="3"/>
      <c r="BQ248" s="3"/>
      <c r="BR248" s="3"/>
      <c r="BS248" s="3"/>
      <c r="BT248" s="3"/>
      <c r="BU248" s="3" t="s">
        <v>3</v>
      </c>
      <c r="BV248" s="3" t="s">
        <v>3</v>
      </c>
      <c r="BW248" s="3" t="s">
        <v>3</v>
      </c>
      <c r="BX248" s="3"/>
      <c r="BY248" s="3" t="s">
        <v>3</v>
      </c>
      <c r="BZ248" s="3"/>
      <c r="CA248" s="3"/>
      <c r="CB248" s="3"/>
    </row>
    <row r="249" spans="2:80" ht="30" customHeight="1">
      <c r="B249" s="11">
        <f t="shared" si="12"/>
        <v>244</v>
      </c>
      <c r="C249" s="38" t="s">
        <v>783</v>
      </c>
      <c r="D249" s="37" t="s">
        <v>784</v>
      </c>
      <c r="E249" s="35" t="s">
        <v>787</v>
      </c>
      <c r="F249" s="14">
        <f t="shared" si="13"/>
        <v>2</v>
      </c>
      <c r="G249" s="15" t="s">
        <v>499</v>
      </c>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28"/>
      <c r="AY249" s="3"/>
      <c r="AZ249" s="3"/>
      <c r="BA249" s="3"/>
      <c r="BB249" s="3"/>
      <c r="BC249" s="3"/>
      <c r="BD249" s="3"/>
      <c r="BE249" s="3"/>
      <c r="BF249" s="3"/>
      <c r="BG249" s="3"/>
      <c r="BH249" s="3"/>
      <c r="BI249" s="3"/>
      <c r="BJ249" s="3"/>
      <c r="BK249" s="3"/>
      <c r="BL249" s="3"/>
      <c r="BM249" s="3"/>
      <c r="BN249" s="28"/>
      <c r="BO249" s="3"/>
      <c r="BP249" s="3"/>
      <c r="BQ249" s="3"/>
      <c r="BR249" s="3"/>
      <c r="BS249" s="3"/>
      <c r="BT249" s="3"/>
      <c r="BU249" s="3" t="s">
        <v>3</v>
      </c>
      <c r="BV249" s="3"/>
      <c r="BW249" s="3"/>
      <c r="BX249" s="3"/>
      <c r="BY249" s="3"/>
      <c r="BZ249" s="3"/>
      <c r="CA249" s="13" t="s">
        <v>3</v>
      </c>
      <c r="CB249" s="3"/>
    </row>
    <row r="250" spans="2:80" ht="30" customHeight="1">
      <c r="B250" s="11">
        <f t="shared" si="12"/>
        <v>245</v>
      </c>
      <c r="C250" s="38" t="s">
        <v>783</v>
      </c>
      <c r="D250" s="37" t="s">
        <v>784</v>
      </c>
      <c r="E250" s="35" t="s">
        <v>788</v>
      </c>
      <c r="F250" s="14">
        <f t="shared" si="13"/>
        <v>2</v>
      </c>
      <c r="G250" s="15" t="s">
        <v>499</v>
      </c>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28"/>
      <c r="AY250" s="3"/>
      <c r="AZ250" s="3"/>
      <c r="BA250" s="3"/>
      <c r="BB250" s="3"/>
      <c r="BC250" s="3"/>
      <c r="BD250" s="3"/>
      <c r="BE250" s="3"/>
      <c r="BF250" s="3"/>
      <c r="BG250" s="3"/>
      <c r="BH250" s="3"/>
      <c r="BI250" s="3"/>
      <c r="BJ250" s="3"/>
      <c r="BK250" s="3"/>
      <c r="BL250" s="3"/>
      <c r="BM250" s="3"/>
      <c r="BN250" s="28"/>
      <c r="BO250" s="3"/>
      <c r="BP250" s="3"/>
      <c r="BQ250" s="3"/>
      <c r="BR250" s="3"/>
      <c r="BS250" s="3"/>
      <c r="BT250" s="3"/>
      <c r="BU250" s="3" t="s">
        <v>3</v>
      </c>
      <c r="BV250" s="3"/>
      <c r="BW250" s="3"/>
      <c r="BX250" s="3"/>
      <c r="BY250" s="3"/>
      <c r="BZ250" s="3"/>
      <c r="CA250" s="13" t="s">
        <v>3</v>
      </c>
      <c r="CB250" s="3"/>
    </row>
    <row r="251" spans="2:80" ht="30" customHeight="1">
      <c r="B251" s="11">
        <f t="shared" si="12"/>
        <v>246</v>
      </c>
      <c r="C251" s="38" t="s">
        <v>783</v>
      </c>
      <c r="D251" s="35" t="s">
        <v>789</v>
      </c>
      <c r="E251" s="35" t="s">
        <v>790</v>
      </c>
      <c r="F251" s="14">
        <f t="shared" si="13"/>
        <v>2</v>
      </c>
      <c r="G251" s="15" t="s">
        <v>499</v>
      </c>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28"/>
      <c r="AY251" s="3"/>
      <c r="AZ251" s="3"/>
      <c r="BA251" s="3"/>
      <c r="BB251" s="3"/>
      <c r="BC251" s="3"/>
      <c r="BD251" s="3"/>
      <c r="BE251" s="3"/>
      <c r="BF251" s="3"/>
      <c r="BG251" s="3"/>
      <c r="BH251" s="3"/>
      <c r="BI251" s="3"/>
      <c r="BJ251" s="3"/>
      <c r="BK251" s="3"/>
      <c r="BL251" s="3"/>
      <c r="BM251" s="3"/>
      <c r="BN251" s="28"/>
      <c r="BO251" s="3"/>
      <c r="BP251" s="3"/>
      <c r="BQ251" s="3"/>
      <c r="BR251" s="3"/>
      <c r="BS251" s="3"/>
      <c r="BT251" s="3"/>
      <c r="BU251" s="3" t="s">
        <v>3</v>
      </c>
      <c r="BV251" s="3"/>
      <c r="BW251" s="3"/>
      <c r="BX251" s="3"/>
      <c r="BY251" s="3"/>
      <c r="BZ251" s="3"/>
      <c r="CA251" s="13" t="s">
        <v>3</v>
      </c>
      <c r="CB251" s="3"/>
    </row>
    <row r="252" spans="2:80" ht="30" customHeight="1">
      <c r="B252" s="11">
        <f t="shared" si="12"/>
        <v>247</v>
      </c>
      <c r="C252" s="38" t="s">
        <v>783</v>
      </c>
      <c r="D252" s="37" t="s">
        <v>789</v>
      </c>
      <c r="E252" s="35" t="s">
        <v>791</v>
      </c>
      <c r="F252" s="14">
        <f t="shared" si="13"/>
        <v>15</v>
      </c>
      <c r="G252" s="15" t="s">
        <v>2</v>
      </c>
      <c r="H252" s="3" t="s">
        <v>3</v>
      </c>
      <c r="I252" s="3"/>
      <c r="J252" s="3"/>
      <c r="K252" s="3"/>
      <c r="L252" s="3"/>
      <c r="M252" s="3"/>
      <c r="N252" s="3" t="s">
        <v>3</v>
      </c>
      <c r="O252" s="3"/>
      <c r="P252" s="3" t="s">
        <v>3</v>
      </c>
      <c r="Q252" s="3"/>
      <c r="R252" s="3"/>
      <c r="S252" s="3" t="s">
        <v>3</v>
      </c>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28"/>
      <c r="AY252" s="3"/>
      <c r="AZ252" s="3" t="s">
        <v>3</v>
      </c>
      <c r="BA252" s="3" t="s">
        <v>3</v>
      </c>
      <c r="BB252" s="3" t="s">
        <v>3</v>
      </c>
      <c r="BC252" s="3" t="s">
        <v>3</v>
      </c>
      <c r="BD252" s="3" t="s">
        <v>3</v>
      </c>
      <c r="BE252" s="3" t="s">
        <v>3</v>
      </c>
      <c r="BF252" s="3" t="s">
        <v>3</v>
      </c>
      <c r="BG252" s="3"/>
      <c r="BH252" s="3"/>
      <c r="BI252" s="3"/>
      <c r="BJ252" s="3"/>
      <c r="BK252" s="3"/>
      <c r="BL252" s="3"/>
      <c r="BM252" s="3"/>
      <c r="BN252" s="28"/>
      <c r="BO252" s="3"/>
      <c r="BP252" s="3"/>
      <c r="BQ252" s="3"/>
      <c r="BR252" s="3"/>
      <c r="BS252" s="3"/>
      <c r="BT252" s="3"/>
      <c r="BU252" s="3" t="s">
        <v>3</v>
      </c>
      <c r="BV252" s="3" t="s">
        <v>3</v>
      </c>
      <c r="BW252" s="3" t="s">
        <v>3</v>
      </c>
      <c r="BX252" s="3" t="s">
        <v>3</v>
      </c>
      <c r="BY252" s="3"/>
      <c r="BZ252" s="3"/>
      <c r="CA252" s="3"/>
      <c r="CB252" s="3"/>
    </row>
    <row r="253" spans="2:80" ht="30" customHeight="1">
      <c r="B253" s="11">
        <f t="shared" si="12"/>
        <v>248</v>
      </c>
      <c r="C253" s="38" t="s">
        <v>783</v>
      </c>
      <c r="D253" s="37" t="s">
        <v>789</v>
      </c>
      <c r="E253" s="35" t="s">
        <v>792</v>
      </c>
      <c r="F253" s="14">
        <f t="shared" si="13"/>
        <v>16</v>
      </c>
      <c r="G253" s="15" t="s">
        <v>2</v>
      </c>
      <c r="H253" s="3" t="s">
        <v>3</v>
      </c>
      <c r="I253" s="3"/>
      <c r="J253" s="3"/>
      <c r="K253" s="3"/>
      <c r="L253" s="3"/>
      <c r="M253" s="3"/>
      <c r="N253" s="3" t="s">
        <v>3</v>
      </c>
      <c r="O253" s="3"/>
      <c r="P253" s="3" t="s">
        <v>3</v>
      </c>
      <c r="Q253" s="3"/>
      <c r="R253" s="3"/>
      <c r="S253" s="3" t="s">
        <v>3</v>
      </c>
      <c r="T253" s="3"/>
      <c r="U253" s="3"/>
      <c r="V253" s="3"/>
      <c r="W253" s="3"/>
      <c r="X253" s="3"/>
      <c r="Y253" s="3"/>
      <c r="Z253" s="3" t="s">
        <v>3</v>
      </c>
      <c r="AA253" s="3"/>
      <c r="AB253" s="3"/>
      <c r="AC253" s="3"/>
      <c r="AD253" s="3"/>
      <c r="AE253" s="3"/>
      <c r="AF253" s="3"/>
      <c r="AG253" s="3"/>
      <c r="AH253" s="3"/>
      <c r="AI253" s="3"/>
      <c r="AJ253" s="3"/>
      <c r="AK253" s="3"/>
      <c r="AL253" s="3"/>
      <c r="AM253" s="3"/>
      <c r="AN253" s="3" t="s">
        <v>3</v>
      </c>
      <c r="AO253" s="3"/>
      <c r="AP253" s="3"/>
      <c r="AQ253" s="3"/>
      <c r="AR253" s="3"/>
      <c r="AS253" s="3"/>
      <c r="AT253" s="3"/>
      <c r="AU253" s="3"/>
      <c r="AV253" s="3"/>
      <c r="AW253" s="3"/>
      <c r="AX253" s="28"/>
      <c r="AY253" s="3"/>
      <c r="AZ253" s="3"/>
      <c r="BA253" s="3"/>
      <c r="BB253" s="3"/>
      <c r="BC253" s="3"/>
      <c r="BD253" s="3"/>
      <c r="BE253" s="3"/>
      <c r="BF253" s="3"/>
      <c r="BG253" s="3"/>
      <c r="BH253" s="3"/>
      <c r="BI253" s="3"/>
      <c r="BJ253" s="3" t="s">
        <v>3</v>
      </c>
      <c r="BK253" s="3" t="s">
        <v>3</v>
      </c>
      <c r="BL253" s="3"/>
      <c r="BM253" s="3"/>
      <c r="BN253" s="28"/>
      <c r="BO253" s="3"/>
      <c r="BP253" s="3" t="s">
        <v>3</v>
      </c>
      <c r="BQ253" s="3" t="s">
        <v>3</v>
      </c>
      <c r="BR253" s="3"/>
      <c r="BS253" s="3" t="s">
        <v>3</v>
      </c>
      <c r="BT253" s="3"/>
      <c r="BU253" s="3" t="s">
        <v>3</v>
      </c>
      <c r="BV253" s="3" t="s">
        <v>3</v>
      </c>
      <c r="BW253" s="3" t="s">
        <v>3</v>
      </c>
      <c r="BX253" s="3" t="s">
        <v>3</v>
      </c>
      <c r="BY253" s="3" t="s">
        <v>3</v>
      </c>
      <c r="BZ253" s="3"/>
      <c r="CA253" s="3"/>
      <c r="CB253" s="3"/>
    </row>
    <row r="254" spans="2:80" ht="30" customHeight="1">
      <c r="B254" s="11">
        <f t="shared" si="12"/>
        <v>249</v>
      </c>
      <c r="C254" s="38" t="s">
        <v>783</v>
      </c>
      <c r="D254" s="37" t="s">
        <v>789</v>
      </c>
      <c r="E254" s="35" t="s">
        <v>793</v>
      </c>
      <c r="F254" s="14">
        <f t="shared" si="13"/>
        <v>15</v>
      </c>
      <c r="G254" s="15" t="s">
        <v>2</v>
      </c>
      <c r="H254" s="3" t="s">
        <v>3</v>
      </c>
      <c r="I254" s="3"/>
      <c r="J254" s="3"/>
      <c r="K254" s="3"/>
      <c r="L254" s="3"/>
      <c r="M254" s="3"/>
      <c r="N254" s="3" t="s">
        <v>3</v>
      </c>
      <c r="O254" s="3"/>
      <c r="P254" s="3" t="s">
        <v>3</v>
      </c>
      <c r="Q254" s="3"/>
      <c r="R254" s="3"/>
      <c r="S254" s="3" t="s">
        <v>3</v>
      </c>
      <c r="T254" s="3"/>
      <c r="U254" s="3"/>
      <c r="V254" s="3"/>
      <c r="W254" s="3"/>
      <c r="X254" s="3"/>
      <c r="Y254" s="3"/>
      <c r="Z254" s="3" t="s">
        <v>3</v>
      </c>
      <c r="AA254" s="3"/>
      <c r="AB254" s="3"/>
      <c r="AC254" s="3"/>
      <c r="AD254" s="3"/>
      <c r="AE254" s="3"/>
      <c r="AF254" s="3"/>
      <c r="AG254" s="3"/>
      <c r="AH254" s="3"/>
      <c r="AI254" s="3"/>
      <c r="AJ254" s="3"/>
      <c r="AK254" s="3"/>
      <c r="AL254" s="3"/>
      <c r="AM254" s="3"/>
      <c r="AN254" s="3" t="s">
        <v>3</v>
      </c>
      <c r="AO254" s="3"/>
      <c r="AP254" s="3"/>
      <c r="AQ254" s="3"/>
      <c r="AR254" s="3"/>
      <c r="AS254" s="3"/>
      <c r="AT254" s="3"/>
      <c r="AU254" s="3"/>
      <c r="AV254" s="3"/>
      <c r="AW254" s="3"/>
      <c r="AX254" s="28"/>
      <c r="AY254" s="3"/>
      <c r="AZ254" s="3"/>
      <c r="BA254" s="3"/>
      <c r="BB254" s="3"/>
      <c r="BC254" s="3"/>
      <c r="BD254" s="3"/>
      <c r="BE254" s="3"/>
      <c r="BF254" s="3"/>
      <c r="BG254" s="3"/>
      <c r="BH254" s="3"/>
      <c r="BI254" s="3"/>
      <c r="BJ254" s="3" t="s">
        <v>3</v>
      </c>
      <c r="BK254" s="3" t="s">
        <v>3</v>
      </c>
      <c r="BL254" s="3"/>
      <c r="BM254" s="3"/>
      <c r="BN254" s="28"/>
      <c r="BO254" s="3"/>
      <c r="BP254" s="3" t="s">
        <v>3</v>
      </c>
      <c r="BQ254" s="3" t="s">
        <v>3</v>
      </c>
      <c r="BR254" s="3"/>
      <c r="BS254" s="3" t="s">
        <v>3</v>
      </c>
      <c r="BT254" s="3"/>
      <c r="BU254" s="3" t="s">
        <v>3</v>
      </c>
      <c r="BV254" s="3" t="s">
        <v>3</v>
      </c>
      <c r="BW254" s="3" t="s">
        <v>3</v>
      </c>
      <c r="BX254" s="3" t="s">
        <v>3</v>
      </c>
      <c r="BY254" s="3"/>
      <c r="BZ254" s="3"/>
      <c r="CA254" s="3"/>
      <c r="CB254" s="3"/>
    </row>
    <row r="255" spans="2:80" ht="30" customHeight="1">
      <c r="B255" s="11">
        <f t="shared" si="12"/>
        <v>250</v>
      </c>
      <c r="C255" s="38" t="s">
        <v>783</v>
      </c>
      <c r="D255" s="37" t="s">
        <v>789</v>
      </c>
      <c r="E255" s="35" t="s">
        <v>794</v>
      </c>
      <c r="F255" s="14">
        <f t="shared" si="13"/>
        <v>2</v>
      </c>
      <c r="G255" s="15" t="s">
        <v>795</v>
      </c>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28"/>
      <c r="AY255" s="3"/>
      <c r="AZ255" s="3"/>
      <c r="BA255" s="3"/>
      <c r="BB255" s="3"/>
      <c r="BC255" s="3"/>
      <c r="BD255" s="3"/>
      <c r="BE255" s="3"/>
      <c r="BF255" s="3"/>
      <c r="BG255" s="3"/>
      <c r="BH255" s="3"/>
      <c r="BI255" s="3"/>
      <c r="BJ255" s="3"/>
      <c r="BK255" s="3"/>
      <c r="BL255" s="3"/>
      <c r="BM255" s="3"/>
      <c r="BN255" s="28"/>
      <c r="BO255" s="3"/>
      <c r="BP255" s="3"/>
      <c r="BQ255" s="3"/>
      <c r="BR255" s="3"/>
      <c r="BS255" s="3"/>
      <c r="BT255" s="3"/>
      <c r="BU255" s="3" t="s">
        <v>3</v>
      </c>
      <c r="BV255" s="3"/>
      <c r="BW255" s="3"/>
      <c r="BX255" s="3"/>
      <c r="BY255" s="3"/>
      <c r="BZ255" s="3"/>
      <c r="CA255" s="13" t="s">
        <v>3</v>
      </c>
      <c r="CB255" s="3"/>
    </row>
    <row r="256" spans="2:80" ht="30" customHeight="1">
      <c r="B256" s="11">
        <f t="shared" si="12"/>
        <v>251</v>
      </c>
      <c r="C256" s="38" t="s">
        <v>783</v>
      </c>
      <c r="D256" s="35" t="s">
        <v>796</v>
      </c>
      <c r="E256" s="35" t="s">
        <v>797</v>
      </c>
      <c r="F256" s="14">
        <f t="shared" si="13"/>
        <v>11</v>
      </c>
      <c r="G256" s="15" t="s">
        <v>2</v>
      </c>
      <c r="H256" s="3" t="s">
        <v>3</v>
      </c>
      <c r="I256" s="3"/>
      <c r="J256" s="3"/>
      <c r="K256" s="3"/>
      <c r="L256" s="3"/>
      <c r="M256" s="3"/>
      <c r="N256" s="3"/>
      <c r="O256" s="3"/>
      <c r="P256" s="3" t="s">
        <v>3</v>
      </c>
      <c r="Q256" s="3"/>
      <c r="R256" s="3"/>
      <c r="S256" s="3"/>
      <c r="T256" s="3"/>
      <c r="U256" s="3"/>
      <c r="V256" s="3"/>
      <c r="W256" s="3"/>
      <c r="X256" s="3"/>
      <c r="Y256" s="3"/>
      <c r="Z256" s="3" t="s">
        <v>3</v>
      </c>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28"/>
      <c r="AY256" s="3"/>
      <c r="AZ256" s="3"/>
      <c r="BA256" s="3"/>
      <c r="BB256" s="3"/>
      <c r="BC256" s="3"/>
      <c r="BD256" s="3"/>
      <c r="BE256" s="3"/>
      <c r="BF256" s="3"/>
      <c r="BG256" s="3"/>
      <c r="BH256" s="3"/>
      <c r="BI256" s="3"/>
      <c r="BJ256" s="3"/>
      <c r="BK256" s="3"/>
      <c r="BL256" s="3"/>
      <c r="BM256" s="3"/>
      <c r="BN256" s="28"/>
      <c r="BO256" s="3"/>
      <c r="BP256" s="3" t="s">
        <v>3</v>
      </c>
      <c r="BQ256" s="3" t="s">
        <v>3</v>
      </c>
      <c r="BR256" s="3"/>
      <c r="BS256" s="3" t="s">
        <v>3</v>
      </c>
      <c r="BT256" s="3"/>
      <c r="BU256" s="3" t="s">
        <v>3</v>
      </c>
      <c r="BV256" s="3" t="s">
        <v>3</v>
      </c>
      <c r="BW256" s="3" t="s">
        <v>3</v>
      </c>
      <c r="BX256" s="3" t="s">
        <v>3</v>
      </c>
      <c r="BY256" s="3" t="s">
        <v>3</v>
      </c>
      <c r="BZ256" s="3"/>
      <c r="CA256" s="3"/>
      <c r="CB256" s="3"/>
    </row>
    <row r="257" spans="2:80" ht="30" customHeight="1">
      <c r="B257" s="11">
        <f t="shared" si="12"/>
        <v>252</v>
      </c>
      <c r="C257" s="38" t="s">
        <v>783</v>
      </c>
      <c r="D257" s="37" t="s">
        <v>796</v>
      </c>
      <c r="E257" s="35" t="s">
        <v>798</v>
      </c>
      <c r="F257" s="14">
        <f t="shared" si="13"/>
        <v>2</v>
      </c>
      <c r="G257" s="15" t="s">
        <v>795</v>
      </c>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28"/>
      <c r="AY257" s="3"/>
      <c r="AZ257" s="3"/>
      <c r="BA257" s="3"/>
      <c r="BB257" s="3"/>
      <c r="BC257" s="3"/>
      <c r="BD257" s="3"/>
      <c r="BE257" s="3"/>
      <c r="BF257" s="3"/>
      <c r="BG257" s="3"/>
      <c r="BH257" s="3"/>
      <c r="BI257" s="3"/>
      <c r="BJ257" s="3"/>
      <c r="BK257" s="3"/>
      <c r="BL257" s="3"/>
      <c r="BM257" s="3"/>
      <c r="BN257" s="28"/>
      <c r="BO257" s="3"/>
      <c r="BP257" s="3"/>
      <c r="BQ257" s="3"/>
      <c r="BR257" s="3"/>
      <c r="BS257" s="3"/>
      <c r="BT257" s="3"/>
      <c r="BU257" s="3" t="s">
        <v>3</v>
      </c>
      <c r="BV257" s="3"/>
      <c r="BW257" s="3"/>
      <c r="BX257" s="3"/>
      <c r="BY257" s="3"/>
      <c r="BZ257" s="3"/>
      <c r="CA257" s="13" t="s">
        <v>3</v>
      </c>
      <c r="CB257" s="3"/>
    </row>
    <row r="258" spans="2:80" ht="30" customHeight="1">
      <c r="B258" s="11">
        <f t="shared" si="12"/>
        <v>253</v>
      </c>
      <c r="C258" s="38" t="s">
        <v>783</v>
      </c>
      <c r="D258" s="37" t="s">
        <v>796</v>
      </c>
      <c r="E258" s="35" t="s">
        <v>799</v>
      </c>
      <c r="F258" s="14">
        <f t="shared" si="13"/>
        <v>15</v>
      </c>
      <c r="G258" s="15" t="s">
        <v>2</v>
      </c>
      <c r="H258" s="3" t="s">
        <v>3</v>
      </c>
      <c r="I258" s="3"/>
      <c r="J258" s="3"/>
      <c r="K258" s="3"/>
      <c r="L258" s="3"/>
      <c r="M258" s="3"/>
      <c r="N258" s="3" t="s">
        <v>3</v>
      </c>
      <c r="O258" s="3"/>
      <c r="P258" s="3" t="s">
        <v>3</v>
      </c>
      <c r="Q258" s="3"/>
      <c r="R258" s="3"/>
      <c r="S258" s="3" t="s">
        <v>3</v>
      </c>
      <c r="T258" s="3"/>
      <c r="U258" s="3"/>
      <c r="V258" s="3"/>
      <c r="W258" s="3"/>
      <c r="X258" s="3"/>
      <c r="Y258" s="3"/>
      <c r="Z258" s="3" t="s">
        <v>3</v>
      </c>
      <c r="AA258" s="3"/>
      <c r="AB258" s="3"/>
      <c r="AC258" s="3"/>
      <c r="AD258" s="3"/>
      <c r="AE258" s="3"/>
      <c r="AF258" s="3"/>
      <c r="AG258" s="3"/>
      <c r="AH258" s="3"/>
      <c r="AI258" s="3"/>
      <c r="AJ258" s="3"/>
      <c r="AK258" s="3"/>
      <c r="AL258" s="3"/>
      <c r="AM258" s="3"/>
      <c r="AN258" s="3" t="s">
        <v>3</v>
      </c>
      <c r="AO258" s="3"/>
      <c r="AP258" s="3"/>
      <c r="AQ258" s="3"/>
      <c r="AR258" s="3"/>
      <c r="AS258" s="3"/>
      <c r="AT258" s="3"/>
      <c r="AU258" s="3"/>
      <c r="AV258" s="3"/>
      <c r="AW258" s="3"/>
      <c r="AX258" s="28"/>
      <c r="AY258" s="3"/>
      <c r="AZ258" s="3"/>
      <c r="BA258" s="3"/>
      <c r="BB258" s="3"/>
      <c r="BC258" s="3"/>
      <c r="BD258" s="3"/>
      <c r="BE258" s="3"/>
      <c r="BF258" s="3"/>
      <c r="BG258" s="3"/>
      <c r="BH258" s="3"/>
      <c r="BI258" s="3"/>
      <c r="BJ258" s="3" t="s">
        <v>3</v>
      </c>
      <c r="BK258" s="3" t="s">
        <v>3</v>
      </c>
      <c r="BL258" s="3"/>
      <c r="BM258" s="3"/>
      <c r="BN258" s="28"/>
      <c r="BO258" s="3"/>
      <c r="BP258" s="3" t="s">
        <v>3</v>
      </c>
      <c r="BQ258" s="3" t="s">
        <v>3</v>
      </c>
      <c r="BR258" s="3"/>
      <c r="BS258" s="3"/>
      <c r="BT258" s="3"/>
      <c r="BU258" s="3" t="s">
        <v>3</v>
      </c>
      <c r="BV258" s="3" t="s">
        <v>3</v>
      </c>
      <c r="BW258" s="3" t="s">
        <v>3</v>
      </c>
      <c r="BX258" s="3" t="s">
        <v>3</v>
      </c>
      <c r="BY258" s="3" t="s">
        <v>3</v>
      </c>
      <c r="BZ258" s="3"/>
      <c r="CA258" s="3"/>
      <c r="CB258" s="3"/>
    </row>
    <row r="259" spans="2:80" ht="30" customHeight="1">
      <c r="B259" s="11">
        <f t="shared" si="12"/>
        <v>254</v>
      </c>
      <c r="C259" s="38" t="s">
        <v>783</v>
      </c>
      <c r="D259" s="37" t="s">
        <v>796</v>
      </c>
      <c r="E259" s="35" t="s">
        <v>800</v>
      </c>
      <c r="F259" s="14">
        <f t="shared" si="13"/>
        <v>2</v>
      </c>
      <c r="G259" s="15" t="s">
        <v>795</v>
      </c>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28"/>
      <c r="AY259" s="3"/>
      <c r="AZ259" s="3"/>
      <c r="BA259" s="3"/>
      <c r="BB259" s="3"/>
      <c r="BC259" s="3"/>
      <c r="BD259" s="3"/>
      <c r="BE259" s="3"/>
      <c r="BF259" s="3"/>
      <c r="BG259" s="3"/>
      <c r="BH259" s="3"/>
      <c r="BI259" s="3"/>
      <c r="BJ259" s="3"/>
      <c r="BK259" s="3"/>
      <c r="BL259" s="3"/>
      <c r="BM259" s="3"/>
      <c r="BN259" s="28"/>
      <c r="BO259" s="3"/>
      <c r="BP259" s="3"/>
      <c r="BQ259" s="3"/>
      <c r="BR259" s="3"/>
      <c r="BS259" s="3"/>
      <c r="BT259" s="3"/>
      <c r="BU259" s="3" t="s">
        <v>3</v>
      </c>
      <c r="BV259" s="3"/>
      <c r="BW259" s="3"/>
      <c r="BX259" s="3"/>
      <c r="BY259" s="3"/>
      <c r="BZ259" s="3"/>
      <c r="CA259" s="13" t="s">
        <v>3</v>
      </c>
      <c r="CB259" s="3"/>
    </row>
    <row r="260" spans="2:80" ht="30" customHeight="1">
      <c r="B260" s="11">
        <f t="shared" si="12"/>
        <v>255</v>
      </c>
      <c r="C260" s="38" t="s">
        <v>783</v>
      </c>
      <c r="D260" s="37" t="s">
        <v>796</v>
      </c>
      <c r="E260" s="35" t="s">
        <v>801</v>
      </c>
      <c r="F260" s="14">
        <f t="shared" si="13"/>
        <v>17</v>
      </c>
      <c r="G260" s="15" t="s">
        <v>2</v>
      </c>
      <c r="H260" s="3" t="s">
        <v>3</v>
      </c>
      <c r="I260" s="3" t="s">
        <v>3</v>
      </c>
      <c r="J260" s="3"/>
      <c r="K260" s="3"/>
      <c r="L260" s="3"/>
      <c r="M260" s="3"/>
      <c r="N260" s="3" t="s">
        <v>3</v>
      </c>
      <c r="O260" s="3"/>
      <c r="P260" s="3" t="s">
        <v>3</v>
      </c>
      <c r="Q260" s="3"/>
      <c r="R260" s="3"/>
      <c r="S260" s="3" t="s">
        <v>3</v>
      </c>
      <c r="T260" s="3"/>
      <c r="U260" s="3"/>
      <c r="V260" s="3"/>
      <c r="W260" s="3"/>
      <c r="X260" s="3"/>
      <c r="Y260" s="3"/>
      <c r="Z260" s="3" t="s">
        <v>3</v>
      </c>
      <c r="AA260" s="3"/>
      <c r="AB260" s="3"/>
      <c r="AC260" s="3"/>
      <c r="AD260" s="3"/>
      <c r="AE260" s="3"/>
      <c r="AF260" s="3"/>
      <c r="AG260" s="3"/>
      <c r="AH260" s="3"/>
      <c r="AI260" s="3"/>
      <c r="AJ260" s="3"/>
      <c r="AK260" s="3"/>
      <c r="AL260" s="3"/>
      <c r="AM260" s="3"/>
      <c r="AN260" s="3"/>
      <c r="AO260" s="3"/>
      <c r="AP260" s="3"/>
      <c r="AQ260" s="3"/>
      <c r="AR260" s="3"/>
      <c r="AS260" s="3"/>
      <c r="AT260" s="3"/>
      <c r="AU260" s="3"/>
      <c r="AV260" s="3"/>
      <c r="AW260" s="3" t="s">
        <v>3</v>
      </c>
      <c r="AX260" s="28"/>
      <c r="AY260" s="3"/>
      <c r="AZ260" s="3"/>
      <c r="BA260" s="3"/>
      <c r="BB260" s="3"/>
      <c r="BC260" s="3"/>
      <c r="BD260" s="3"/>
      <c r="BE260" s="3"/>
      <c r="BF260" s="3"/>
      <c r="BG260" s="3"/>
      <c r="BH260" s="3"/>
      <c r="BI260" s="3"/>
      <c r="BJ260" s="3" t="s">
        <v>3</v>
      </c>
      <c r="BK260" s="3" t="s">
        <v>3</v>
      </c>
      <c r="BL260" s="3"/>
      <c r="BM260" s="3"/>
      <c r="BN260" s="28"/>
      <c r="BO260" s="3"/>
      <c r="BP260" s="3" t="s">
        <v>3</v>
      </c>
      <c r="BQ260" s="3" t="s">
        <v>3</v>
      </c>
      <c r="BR260" s="3"/>
      <c r="BS260" s="3" t="s">
        <v>3</v>
      </c>
      <c r="BT260" s="3"/>
      <c r="BU260" s="3" t="s">
        <v>3</v>
      </c>
      <c r="BV260" s="3" t="s">
        <v>3</v>
      </c>
      <c r="BW260" s="3" t="s">
        <v>3</v>
      </c>
      <c r="BX260" s="3" t="s">
        <v>3</v>
      </c>
      <c r="BY260" s="3" t="s">
        <v>3</v>
      </c>
      <c r="BZ260" s="3"/>
      <c r="CA260" s="3"/>
      <c r="CB260" s="3"/>
    </row>
    <row r="261" spans="2:80" ht="30" customHeight="1">
      <c r="B261" s="11">
        <f t="shared" si="12"/>
        <v>256</v>
      </c>
      <c r="C261" s="38" t="s">
        <v>783</v>
      </c>
      <c r="D261" s="37" t="s">
        <v>796</v>
      </c>
      <c r="E261" s="35" t="s">
        <v>802</v>
      </c>
      <c r="F261" s="14">
        <f t="shared" si="13"/>
        <v>15</v>
      </c>
      <c r="G261" s="15" t="s">
        <v>2</v>
      </c>
      <c r="H261" s="3" t="s">
        <v>3</v>
      </c>
      <c r="I261" s="3"/>
      <c r="J261" s="3"/>
      <c r="K261" s="3"/>
      <c r="L261" s="3"/>
      <c r="M261" s="3"/>
      <c r="N261" s="3" t="s">
        <v>3</v>
      </c>
      <c r="O261" s="3"/>
      <c r="P261" s="3" t="s">
        <v>3</v>
      </c>
      <c r="Q261" s="3"/>
      <c r="R261" s="3"/>
      <c r="S261" s="3" t="s">
        <v>3</v>
      </c>
      <c r="T261" s="3"/>
      <c r="U261" s="3"/>
      <c r="V261" s="3"/>
      <c r="W261" s="3"/>
      <c r="X261" s="3"/>
      <c r="Y261" s="3"/>
      <c r="Z261" s="3" t="s">
        <v>3</v>
      </c>
      <c r="AA261" s="3"/>
      <c r="AB261" s="3"/>
      <c r="AC261" s="3"/>
      <c r="AD261" s="3"/>
      <c r="AE261" s="3"/>
      <c r="AF261" s="3"/>
      <c r="AG261" s="3"/>
      <c r="AH261" s="3"/>
      <c r="AI261" s="3"/>
      <c r="AJ261" s="3"/>
      <c r="AK261" s="3"/>
      <c r="AL261" s="3"/>
      <c r="AM261" s="3"/>
      <c r="AN261" s="3" t="s">
        <v>3</v>
      </c>
      <c r="AO261" s="3"/>
      <c r="AP261" s="3"/>
      <c r="AQ261" s="3"/>
      <c r="AR261" s="3"/>
      <c r="AS261" s="3"/>
      <c r="AT261" s="3"/>
      <c r="AU261" s="3"/>
      <c r="AV261" s="3"/>
      <c r="AW261" s="3" t="s">
        <v>3</v>
      </c>
      <c r="AX261" s="28"/>
      <c r="AY261" s="3"/>
      <c r="AZ261" s="3"/>
      <c r="BA261" s="3"/>
      <c r="BB261" s="3"/>
      <c r="BC261" s="3"/>
      <c r="BD261" s="3"/>
      <c r="BE261" s="3"/>
      <c r="BF261" s="3"/>
      <c r="BG261" s="3"/>
      <c r="BH261" s="3"/>
      <c r="BI261" s="3"/>
      <c r="BJ261" s="3"/>
      <c r="BK261" s="3"/>
      <c r="BL261" s="3"/>
      <c r="BM261" s="3"/>
      <c r="BN261" s="28"/>
      <c r="BO261" s="3"/>
      <c r="BP261" s="3" t="s">
        <v>3</v>
      </c>
      <c r="BQ261" s="3" t="s">
        <v>3</v>
      </c>
      <c r="BR261" s="3"/>
      <c r="BS261" s="3" t="s">
        <v>3</v>
      </c>
      <c r="BT261" s="3"/>
      <c r="BU261" s="3" t="s">
        <v>3</v>
      </c>
      <c r="BV261" s="3" t="s">
        <v>3</v>
      </c>
      <c r="BW261" s="3" t="s">
        <v>3</v>
      </c>
      <c r="BX261" s="3" t="s">
        <v>3</v>
      </c>
      <c r="BY261" s="3" t="s">
        <v>3</v>
      </c>
      <c r="BZ261" s="3"/>
      <c r="CA261" s="3"/>
      <c r="CB261" s="3"/>
    </row>
    <row r="262" spans="2:80" ht="30" customHeight="1">
      <c r="B262" s="11">
        <f t="shared" ref="B262:B325" si="14">ROW()-5</f>
        <v>257</v>
      </c>
      <c r="C262" s="38" t="s">
        <v>783</v>
      </c>
      <c r="D262" s="37" t="s">
        <v>796</v>
      </c>
      <c r="E262" s="35" t="s">
        <v>803</v>
      </c>
      <c r="F262" s="14">
        <f t="shared" si="13"/>
        <v>2</v>
      </c>
      <c r="G262" s="15" t="s">
        <v>795</v>
      </c>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28"/>
      <c r="AY262" s="3"/>
      <c r="AZ262" s="3"/>
      <c r="BA262" s="3"/>
      <c r="BB262" s="3"/>
      <c r="BC262" s="3"/>
      <c r="BD262" s="3"/>
      <c r="BE262" s="3"/>
      <c r="BF262" s="3"/>
      <c r="BG262" s="3"/>
      <c r="BH262" s="3"/>
      <c r="BI262" s="3"/>
      <c r="BJ262" s="3"/>
      <c r="BK262" s="3"/>
      <c r="BL262" s="3"/>
      <c r="BM262" s="3"/>
      <c r="BN262" s="28"/>
      <c r="BO262" s="3"/>
      <c r="BP262" s="3"/>
      <c r="BQ262" s="3"/>
      <c r="BR262" s="3"/>
      <c r="BS262" s="3"/>
      <c r="BT262" s="3"/>
      <c r="BU262" s="3" t="s">
        <v>3</v>
      </c>
      <c r="BV262" s="3"/>
      <c r="BW262" s="3"/>
      <c r="BX262" s="3"/>
      <c r="BY262" s="3"/>
      <c r="BZ262" s="3"/>
      <c r="CA262" s="13" t="s">
        <v>3</v>
      </c>
      <c r="CB262" s="3"/>
    </row>
    <row r="263" spans="2:80" ht="30" customHeight="1">
      <c r="B263" s="11">
        <f t="shared" si="14"/>
        <v>258</v>
      </c>
      <c r="C263" s="38" t="s">
        <v>783</v>
      </c>
      <c r="D263" s="35" t="s">
        <v>804</v>
      </c>
      <c r="E263" s="35" t="s">
        <v>805</v>
      </c>
      <c r="F263" s="14">
        <f t="shared" si="13"/>
        <v>15</v>
      </c>
      <c r="G263" s="15" t="s">
        <v>2</v>
      </c>
      <c r="H263" s="3" t="s">
        <v>3</v>
      </c>
      <c r="I263" s="3"/>
      <c r="J263" s="3"/>
      <c r="K263" s="3"/>
      <c r="L263" s="3"/>
      <c r="M263" s="3"/>
      <c r="N263" s="3" t="s">
        <v>3</v>
      </c>
      <c r="O263" s="3"/>
      <c r="P263" s="3" t="s">
        <v>3</v>
      </c>
      <c r="Q263" s="3"/>
      <c r="R263" s="3"/>
      <c r="S263" s="3" t="s">
        <v>3</v>
      </c>
      <c r="T263" s="3"/>
      <c r="U263" s="3"/>
      <c r="V263" s="3"/>
      <c r="W263" s="3"/>
      <c r="X263" s="3"/>
      <c r="Y263" s="3"/>
      <c r="Z263" s="3" t="s">
        <v>3</v>
      </c>
      <c r="AA263" s="3"/>
      <c r="AB263" s="3"/>
      <c r="AC263" s="3"/>
      <c r="AD263" s="3"/>
      <c r="AE263" s="3"/>
      <c r="AF263" s="3"/>
      <c r="AG263" s="3"/>
      <c r="AH263" s="3"/>
      <c r="AI263" s="3"/>
      <c r="AJ263" s="3"/>
      <c r="AK263" s="3"/>
      <c r="AL263" s="3"/>
      <c r="AM263" s="3"/>
      <c r="AN263" s="3" t="s">
        <v>3</v>
      </c>
      <c r="AO263" s="3"/>
      <c r="AP263" s="3"/>
      <c r="AQ263" s="3"/>
      <c r="AR263" s="3"/>
      <c r="AS263" s="3"/>
      <c r="AT263" s="3"/>
      <c r="AU263" s="3"/>
      <c r="AV263" s="3"/>
      <c r="AW263" s="3"/>
      <c r="AX263" s="28"/>
      <c r="AY263" s="3"/>
      <c r="AZ263" s="3" t="s">
        <v>3</v>
      </c>
      <c r="BA263" s="3" t="s">
        <v>3</v>
      </c>
      <c r="BB263" s="3" t="s">
        <v>3</v>
      </c>
      <c r="BC263" s="3" t="s">
        <v>3</v>
      </c>
      <c r="BD263" s="3" t="s">
        <v>3</v>
      </c>
      <c r="BE263" s="3"/>
      <c r="BF263" s="3"/>
      <c r="BG263" s="3"/>
      <c r="BH263" s="3"/>
      <c r="BI263" s="3"/>
      <c r="BJ263" s="3"/>
      <c r="BK263" s="3"/>
      <c r="BL263" s="3"/>
      <c r="BM263" s="3"/>
      <c r="BN263" s="28"/>
      <c r="BO263" s="3"/>
      <c r="BP263" s="3"/>
      <c r="BQ263" s="3"/>
      <c r="BR263" s="3"/>
      <c r="BS263" s="3"/>
      <c r="BT263" s="3"/>
      <c r="BU263" s="3" t="s">
        <v>3</v>
      </c>
      <c r="BV263" s="3" t="s">
        <v>3</v>
      </c>
      <c r="BW263" s="3" t="s">
        <v>3</v>
      </c>
      <c r="BX263" s="3" t="s">
        <v>3</v>
      </c>
      <c r="BY263" s="3"/>
      <c r="BZ263" s="3"/>
      <c r="CA263" s="3"/>
      <c r="CB263" s="3"/>
    </row>
    <row r="264" spans="2:80" ht="30" customHeight="1">
      <c r="B264" s="11">
        <f t="shared" si="14"/>
        <v>259</v>
      </c>
      <c r="C264" s="38" t="s">
        <v>783</v>
      </c>
      <c r="D264" s="37" t="s">
        <v>804</v>
      </c>
      <c r="E264" s="35" t="s">
        <v>806</v>
      </c>
      <c r="F264" s="14">
        <f t="shared" si="13"/>
        <v>12</v>
      </c>
      <c r="G264" s="15" t="s">
        <v>2</v>
      </c>
      <c r="H264" s="3" t="s">
        <v>3</v>
      </c>
      <c r="I264" s="3"/>
      <c r="J264" s="3"/>
      <c r="K264" s="3"/>
      <c r="L264" s="3"/>
      <c r="M264" s="3"/>
      <c r="N264" s="3" t="s">
        <v>3</v>
      </c>
      <c r="O264" s="3"/>
      <c r="P264" s="3" t="s">
        <v>3</v>
      </c>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28"/>
      <c r="AY264" s="3"/>
      <c r="AZ264" s="3" t="s">
        <v>3</v>
      </c>
      <c r="BA264" s="3" t="s">
        <v>3</v>
      </c>
      <c r="BB264" s="3" t="s">
        <v>3</v>
      </c>
      <c r="BC264" s="3" t="s">
        <v>3</v>
      </c>
      <c r="BD264" s="3" t="s">
        <v>3</v>
      </c>
      <c r="BE264" s="3"/>
      <c r="BF264" s="3"/>
      <c r="BG264" s="3"/>
      <c r="BH264" s="3"/>
      <c r="BI264" s="3"/>
      <c r="BJ264" s="3"/>
      <c r="BK264" s="3"/>
      <c r="BL264" s="3"/>
      <c r="BM264" s="3"/>
      <c r="BN264" s="28"/>
      <c r="BO264" s="3"/>
      <c r="BP264" s="3"/>
      <c r="BQ264" s="3"/>
      <c r="BR264" s="3"/>
      <c r="BS264" s="3"/>
      <c r="BT264" s="3"/>
      <c r="BU264" s="3" t="s">
        <v>3</v>
      </c>
      <c r="BV264" s="3" t="s">
        <v>3</v>
      </c>
      <c r="BW264" s="3" t="s">
        <v>3</v>
      </c>
      <c r="BX264" s="3" t="s">
        <v>3</v>
      </c>
      <c r="BY264" s="3"/>
      <c r="BZ264" s="3"/>
      <c r="CA264" s="3"/>
      <c r="CB264" s="3"/>
    </row>
    <row r="265" spans="2:80" ht="30" customHeight="1">
      <c r="B265" s="11">
        <f t="shared" si="14"/>
        <v>260</v>
      </c>
      <c r="C265" s="38" t="s">
        <v>783</v>
      </c>
      <c r="D265" s="35" t="s">
        <v>807</v>
      </c>
      <c r="E265" s="35" t="s">
        <v>808</v>
      </c>
      <c r="F265" s="14">
        <f t="shared" si="13"/>
        <v>2</v>
      </c>
      <c r="G265" s="15" t="s">
        <v>795</v>
      </c>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28"/>
      <c r="AY265" s="3"/>
      <c r="AZ265" s="3"/>
      <c r="BA265" s="3"/>
      <c r="BB265" s="3"/>
      <c r="BC265" s="3"/>
      <c r="BD265" s="3"/>
      <c r="BE265" s="3"/>
      <c r="BF265" s="3"/>
      <c r="BG265" s="3"/>
      <c r="BH265" s="3"/>
      <c r="BI265" s="3"/>
      <c r="BJ265" s="3"/>
      <c r="BK265" s="3"/>
      <c r="BL265" s="3"/>
      <c r="BM265" s="3"/>
      <c r="BN265" s="28"/>
      <c r="BO265" s="3"/>
      <c r="BP265" s="3"/>
      <c r="BQ265" s="3"/>
      <c r="BR265" s="3"/>
      <c r="BS265" s="3"/>
      <c r="BT265" s="3"/>
      <c r="BU265" s="3" t="s">
        <v>3</v>
      </c>
      <c r="BV265" s="3"/>
      <c r="BW265" s="3"/>
      <c r="BX265" s="3"/>
      <c r="BY265" s="3"/>
      <c r="BZ265" s="3"/>
      <c r="CA265" s="13" t="s">
        <v>3</v>
      </c>
      <c r="CB265" s="3"/>
    </row>
    <row r="266" spans="2:80" ht="30" customHeight="1">
      <c r="B266" s="11">
        <f t="shared" si="14"/>
        <v>261</v>
      </c>
      <c r="C266" s="38" t="s">
        <v>783</v>
      </c>
      <c r="D266" s="38" t="s">
        <v>807</v>
      </c>
      <c r="E266" s="35" t="s">
        <v>809</v>
      </c>
      <c r="F266" s="14">
        <f t="shared" si="13"/>
        <v>2</v>
      </c>
      <c r="G266" s="15" t="s">
        <v>795</v>
      </c>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28"/>
      <c r="AY266" s="3"/>
      <c r="AZ266" s="3"/>
      <c r="BA266" s="3"/>
      <c r="BB266" s="3"/>
      <c r="BC266" s="3"/>
      <c r="BD266" s="3"/>
      <c r="BE266" s="3"/>
      <c r="BF266" s="3"/>
      <c r="BG266" s="3"/>
      <c r="BH266" s="3"/>
      <c r="BI266" s="3"/>
      <c r="BJ266" s="3"/>
      <c r="BK266" s="3"/>
      <c r="BL266" s="3"/>
      <c r="BM266" s="3"/>
      <c r="BN266" s="28"/>
      <c r="BO266" s="3"/>
      <c r="BP266" s="3"/>
      <c r="BQ266" s="3"/>
      <c r="BR266" s="3"/>
      <c r="BS266" s="3"/>
      <c r="BT266" s="3"/>
      <c r="BU266" s="3" t="s">
        <v>3</v>
      </c>
      <c r="BV266" s="3"/>
      <c r="BW266" s="3"/>
      <c r="BX266" s="3"/>
      <c r="BY266" s="3"/>
      <c r="BZ266" s="3"/>
      <c r="CA266" s="13" t="s">
        <v>3</v>
      </c>
      <c r="CB266" s="3"/>
    </row>
    <row r="267" spans="2:80" ht="30" customHeight="1">
      <c r="B267" s="11">
        <f t="shared" si="14"/>
        <v>262</v>
      </c>
      <c r="C267" s="38" t="s">
        <v>783</v>
      </c>
      <c r="D267" s="35" t="s">
        <v>810</v>
      </c>
      <c r="E267" s="35" t="s">
        <v>811</v>
      </c>
      <c r="F267" s="14">
        <f t="shared" si="13"/>
        <v>2</v>
      </c>
      <c r="G267" s="15" t="s">
        <v>795</v>
      </c>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28"/>
      <c r="AY267" s="3"/>
      <c r="AZ267" s="3"/>
      <c r="BA267" s="3"/>
      <c r="BB267" s="3"/>
      <c r="BC267" s="3"/>
      <c r="BD267" s="3"/>
      <c r="BE267" s="3"/>
      <c r="BF267" s="3"/>
      <c r="BG267" s="3"/>
      <c r="BH267" s="3"/>
      <c r="BI267" s="3"/>
      <c r="BJ267" s="3"/>
      <c r="BK267" s="3"/>
      <c r="BL267" s="3"/>
      <c r="BM267" s="3"/>
      <c r="BN267" s="28"/>
      <c r="BO267" s="3"/>
      <c r="BP267" s="3"/>
      <c r="BQ267" s="3"/>
      <c r="BR267" s="3"/>
      <c r="BS267" s="3"/>
      <c r="BT267" s="3"/>
      <c r="BU267" s="3" t="s">
        <v>3</v>
      </c>
      <c r="BV267" s="3"/>
      <c r="BW267" s="3"/>
      <c r="BX267" s="3"/>
      <c r="BY267" s="3"/>
      <c r="BZ267" s="3"/>
      <c r="CA267" s="13" t="s">
        <v>3</v>
      </c>
      <c r="CB267" s="3"/>
    </row>
    <row r="268" spans="2:80" ht="30" customHeight="1">
      <c r="B268" s="11">
        <f t="shared" si="14"/>
        <v>263</v>
      </c>
      <c r="C268" s="38" t="s">
        <v>783</v>
      </c>
      <c r="D268" s="38" t="s">
        <v>810</v>
      </c>
      <c r="E268" s="35" t="s">
        <v>812</v>
      </c>
      <c r="F268" s="14">
        <f t="shared" si="13"/>
        <v>2</v>
      </c>
      <c r="G268" s="15" t="s">
        <v>795</v>
      </c>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28"/>
      <c r="AY268" s="3"/>
      <c r="AZ268" s="3"/>
      <c r="BA268" s="3"/>
      <c r="BB268" s="3"/>
      <c r="BC268" s="3"/>
      <c r="BD268" s="3"/>
      <c r="BE268" s="3"/>
      <c r="BF268" s="3"/>
      <c r="BG268" s="3"/>
      <c r="BH268" s="3"/>
      <c r="BI268" s="3"/>
      <c r="BJ268" s="3"/>
      <c r="BK268" s="3"/>
      <c r="BL268" s="3"/>
      <c r="BM268" s="3"/>
      <c r="BN268" s="28"/>
      <c r="BO268" s="3"/>
      <c r="BP268" s="3"/>
      <c r="BQ268" s="3"/>
      <c r="BR268" s="3"/>
      <c r="BS268" s="3"/>
      <c r="BT268" s="3"/>
      <c r="BU268" s="3" t="s">
        <v>3</v>
      </c>
      <c r="BV268" s="3"/>
      <c r="BW268" s="3"/>
      <c r="BX268" s="3"/>
      <c r="BY268" s="3"/>
      <c r="BZ268" s="3"/>
      <c r="CA268" s="13" t="s">
        <v>3</v>
      </c>
      <c r="CB268" s="3"/>
    </row>
    <row r="269" spans="2:80" ht="30" customHeight="1">
      <c r="B269" s="11">
        <f t="shared" si="14"/>
        <v>264</v>
      </c>
      <c r="C269" s="38" t="s">
        <v>783</v>
      </c>
      <c r="D269" s="38" t="s">
        <v>810</v>
      </c>
      <c r="E269" s="35" t="s">
        <v>813</v>
      </c>
      <c r="F269" s="14">
        <f t="shared" si="13"/>
        <v>2</v>
      </c>
      <c r="G269" s="15" t="s">
        <v>795</v>
      </c>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28"/>
      <c r="AY269" s="3"/>
      <c r="AZ269" s="3"/>
      <c r="BA269" s="3"/>
      <c r="BB269" s="3"/>
      <c r="BC269" s="3"/>
      <c r="BD269" s="3"/>
      <c r="BE269" s="3"/>
      <c r="BF269" s="3"/>
      <c r="BG269" s="3"/>
      <c r="BH269" s="3"/>
      <c r="BI269" s="3"/>
      <c r="BJ269" s="3"/>
      <c r="BK269" s="3"/>
      <c r="BL269" s="3"/>
      <c r="BM269" s="3"/>
      <c r="BN269" s="28"/>
      <c r="BO269" s="3"/>
      <c r="BP269" s="3"/>
      <c r="BQ269" s="3"/>
      <c r="BR269" s="3"/>
      <c r="BS269" s="3"/>
      <c r="BT269" s="3"/>
      <c r="BU269" s="3" t="s">
        <v>3</v>
      </c>
      <c r="BV269" s="3"/>
      <c r="BW269" s="3"/>
      <c r="BX269" s="3"/>
      <c r="BY269" s="3"/>
      <c r="BZ269" s="3"/>
      <c r="CA269" s="13" t="s">
        <v>3</v>
      </c>
      <c r="CB269" s="3"/>
    </row>
    <row r="270" spans="2:80" ht="30" customHeight="1">
      <c r="B270" s="11">
        <f t="shared" si="14"/>
        <v>265</v>
      </c>
      <c r="C270" s="35" t="s">
        <v>814</v>
      </c>
      <c r="D270" s="35" t="s">
        <v>815</v>
      </c>
      <c r="E270" s="35" t="s">
        <v>816</v>
      </c>
      <c r="F270" s="14">
        <f t="shared" si="13"/>
        <v>2</v>
      </c>
      <c r="G270" s="15" t="s">
        <v>795</v>
      </c>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28"/>
      <c r="AY270" s="3"/>
      <c r="AZ270" s="3"/>
      <c r="BA270" s="3"/>
      <c r="BB270" s="3"/>
      <c r="BC270" s="3"/>
      <c r="BD270" s="3"/>
      <c r="BE270" s="3"/>
      <c r="BF270" s="3"/>
      <c r="BG270" s="3"/>
      <c r="BH270" s="3"/>
      <c r="BI270" s="3"/>
      <c r="BJ270" s="3"/>
      <c r="BK270" s="3"/>
      <c r="BL270" s="3"/>
      <c r="BM270" s="3"/>
      <c r="BN270" s="28"/>
      <c r="BO270" s="3"/>
      <c r="BP270" s="3"/>
      <c r="BQ270" s="3"/>
      <c r="BR270" s="3"/>
      <c r="BS270" s="3"/>
      <c r="BT270" s="3"/>
      <c r="BU270" s="3" t="s">
        <v>3</v>
      </c>
      <c r="BV270" s="3"/>
      <c r="BW270" s="3"/>
      <c r="BX270" s="3"/>
      <c r="BY270" s="3"/>
      <c r="BZ270" s="3"/>
      <c r="CA270" s="13" t="s">
        <v>3</v>
      </c>
      <c r="CB270" s="3"/>
    </row>
    <row r="271" spans="2:80" ht="30" customHeight="1">
      <c r="B271" s="11">
        <f t="shared" si="14"/>
        <v>266</v>
      </c>
      <c r="C271" s="38" t="s">
        <v>814</v>
      </c>
      <c r="D271" s="38" t="s">
        <v>815</v>
      </c>
      <c r="E271" s="35" t="s">
        <v>817</v>
      </c>
      <c r="F271" s="14">
        <f t="shared" si="13"/>
        <v>2</v>
      </c>
      <c r="G271" s="15" t="s">
        <v>795</v>
      </c>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28"/>
      <c r="AY271" s="3"/>
      <c r="AZ271" s="3"/>
      <c r="BA271" s="3"/>
      <c r="BB271" s="3"/>
      <c r="BC271" s="3"/>
      <c r="BD271" s="3"/>
      <c r="BE271" s="3"/>
      <c r="BF271" s="3"/>
      <c r="BG271" s="3"/>
      <c r="BH271" s="3"/>
      <c r="BI271" s="3"/>
      <c r="BJ271" s="3"/>
      <c r="BK271" s="3"/>
      <c r="BL271" s="3"/>
      <c r="BM271" s="3"/>
      <c r="BN271" s="28"/>
      <c r="BO271" s="3"/>
      <c r="BP271" s="3"/>
      <c r="BQ271" s="3"/>
      <c r="BR271" s="3"/>
      <c r="BS271" s="3"/>
      <c r="BT271" s="3"/>
      <c r="BU271" s="3" t="s">
        <v>3</v>
      </c>
      <c r="BV271" s="3"/>
      <c r="BW271" s="3"/>
      <c r="BX271" s="3"/>
      <c r="BY271" s="3"/>
      <c r="BZ271" s="3"/>
      <c r="CA271" s="13" t="s">
        <v>3</v>
      </c>
      <c r="CB271" s="3"/>
    </row>
    <row r="272" spans="2:80" ht="30" customHeight="1">
      <c r="B272" s="11">
        <f t="shared" si="14"/>
        <v>267</v>
      </c>
      <c r="C272" s="38" t="s">
        <v>814</v>
      </c>
      <c r="D272" s="38" t="s">
        <v>815</v>
      </c>
      <c r="E272" s="35" t="s">
        <v>818</v>
      </c>
      <c r="F272" s="14">
        <f t="shared" si="13"/>
        <v>2</v>
      </c>
      <c r="G272" s="15" t="s">
        <v>795</v>
      </c>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28"/>
      <c r="AY272" s="3"/>
      <c r="AZ272" s="3"/>
      <c r="BA272" s="3"/>
      <c r="BB272" s="3"/>
      <c r="BC272" s="3"/>
      <c r="BD272" s="3"/>
      <c r="BE272" s="3"/>
      <c r="BF272" s="3"/>
      <c r="BG272" s="3"/>
      <c r="BH272" s="3"/>
      <c r="BI272" s="3"/>
      <c r="BJ272" s="3"/>
      <c r="BK272" s="3"/>
      <c r="BL272" s="3"/>
      <c r="BM272" s="3"/>
      <c r="BN272" s="28"/>
      <c r="BO272" s="3"/>
      <c r="BP272" s="3"/>
      <c r="BQ272" s="3"/>
      <c r="BR272" s="3"/>
      <c r="BS272" s="3"/>
      <c r="BT272" s="3"/>
      <c r="BU272" s="3" t="s">
        <v>3</v>
      </c>
      <c r="BV272" s="3"/>
      <c r="BW272" s="3"/>
      <c r="BX272" s="3"/>
      <c r="BY272" s="3"/>
      <c r="BZ272" s="3"/>
      <c r="CA272" s="13" t="s">
        <v>3</v>
      </c>
      <c r="CB272" s="3"/>
    </row>
    <row r="273" spans="2:80" ht="30" customHeight="1">
      <c r="B273" s="11">
        <f t="shared" si="14"/>
        <v>268</v>
      </c>
      <c r="C273" s="38" t="s">
        <v>814</v>
      </c>
      <c r="D273" s="38" t="s">
        <v>815</v>
      </c>
      <c r="E273" s="35" t="s">
        <v>819</v>
      </c>
      <c r="F273" s="14">
        <f t="shared" si="13"/>
        <v>2</v>
      </c>
      <c r="G273" s="15" t="s">
        <v>795</v>
      </c>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28"/>
      <c r="AY273" s="3"/>
      <c r="AZ273" s="3"/>
      <c r="BA273" s="3"/>
      <c r="BB273" s="3"/>
      <c r="BC273" s="3"/>
      <c r="BD273" s="3"/>
      <c r="BE273" s="3"/>
      <c r="BF273" s="3"/>
      <c r="BG273" s="3"/>
      <c r="BH273" s="3"/>
      <c r="BI273" s="3"/>
      <c r="BJ273" s="3"/>
      <c r="BK273" s="3"/>
      <c r="BL273" s="3"/>
      <c r="BM273" s="3"/>
      <c r="BN273" s="28"/>
      <c r="BO273" s="3"/>
      <c r="BP273" s="3"/>
      <c r="BQ273" s="3"/>
      <c r="BR273" s="3"/>
      <c r="BS273" s="3"/>
      <c r="BT273" s="3"/>
      <c r="BU273" s="3" t="s">
        <v>3</v>
      </c>
      <c r="BV273" s="3"/>
      <c r="BW273" s="3"/>
      <c r="BX273" s="3"/>
      <c r="BY273" s="3"/>
      <c r="BZ273" s="3"/>
      <c r="CA273" s="13" t="s">
        <v>3</v>
      </c>
      <c r="CB273" s="3"/>
    </row>
    <row r="274" spans="2:80" ht="30" customHeight="1">
      <c r="B274" s="11">
        <f t="shared" si="14"/>
        <v>269</v>
      </c>
      <c r="C274" s="38" t="s">
        <v>814</v>
      </c>
      <c r="D274" s="38" t="s">
        <v>815</v>
      </c>
      <c r="E274" s="35" t="s">
        <v>820</v>
      </c>
      <c r="F274" s="14">
        <f t="shared" si="13"/>
        <v>2</v>
      </c>
      <c r="G274" s="15" t="s">
        <v>795</v>
      </c>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28"/>
      <c r="AY274" s="3"/>
      <c r="AZ274" s="3"/>
      <c r="BA274" s="3"/>
      <c r="BB274" s="3"/>
      <c r="BC274" s="3"/>
      <c r="BD274" s="3"/>
      <c r="BE274" s="3"/>
      <c r="BF274" s="3"/>
      <c r="BG274" s="3"/>
      <c r="BH274" s="3"/>
      <c r="BI274" s="3"/>
      <c r="BJ274" s="3"/>
      <c r="BK274" s="3"/>
      <c r="BL274" s="3"/>
      <c r="BM274" s="3"/>
      <c r="BN274" s="28"/>
      <c r="BO274" s="3"/>
      <c r="BP274" s="3"/>
      <c r="BQ274" s="3"/>
      <c r="BR274" s="3"/>
      <c r="BS274" s="3"/>
      <c r="BT274" s="3"/>
      <c r="BU274" s="3" t="s">
        <v>3</v>
      </c>
      <c r="BV274" s="3"/>
      <c r="BW274" s="3"/>
      <c r="BX274" s="3"/>
      <c r="BY274" s="3"/>
      <c r="BZ274" s="3"/>
      <c r="CA274" s="13" t="s">
        <v>3</v>
      </c>
      <c r="CB274" s="3"/>
    </row>
    <row r="275" spans="2:80" ht="30" customHeight="1">
      <c r="B275" s="11">
        <f t="shared" si="14"/>
        <v>270</v>
      </c>
      <c r="C275" s="38" t="s">
        <v>814</v>
      </c>
      <c r="D275" s="38" t="s">
        <v>815</v>
      </c>
      <c r="E275" s="35" t="s">
        <v>821</v>
      </c>
      <c r="F275" s="14">
        <f t="shared" si="13"/>
        <v>2</v>
      </c>
      <c r="G275" s="15" t="s">
        <v>795</v>
      </c>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28"/>
      <c r="AY275" s="3"/>
      <c r="AZ275" s="3"/>
      <c r="BA275" s="3"/>
      <c r="BB275" s="3"/>
      <c r="BC275" s="3"/>
      <c r="BD275" s="3"/>
      <c r="BE275" s="3"/>
      <c r="BF275" s="3"/>
      <c r="BG275" s="3"/>
      <c r="BH275" s="3"/>
      <c r="BI275" s="3"/>
      <c r="BJ275" s="3"/>
      <c r="BK275" s="3"/>
      <c r="BL275" s="3"/>
      <c r="BM275" s="3"/>
      <c r="BN275" s="28"/>
      <c r="BO275" s="3"/>
      <c r="BP275" s="3"/>
      <c r="BQ275" s="3"/>
      <c r="BR275" s="3"/>
      <c r="BS275" s="3"/>
      <c r="BT275" s="3"/>
      <c r="BU275" s="3" t="s">
        <v>3</v>
      </c>
      <c r="BV275" s="3"/>
      <c r="BW275" s="3"/>
      <c r="BX275" s="3"/>
      <c r="BY275" s="3"/>
      <c r="BZ275" s="3"/>
      <c r="CA275" s="13" t="s">
        <v>3</v>
      </c>
      <c r="CB275" s="3"/>
    </row>
    <row r="276" spans="2:80" ht="30" customHeight="1">
      <c r="B276" s="11">
        <f t="shared" si="14"/>
        <v>271</v>
      </c>
      <c r="C276" s="38" t="s">
        <v>814</v>
      </c>
      <c r="D276" s="38" t="s">
        <v>815</v>
      </c>
      <c r="E276" s="35" t="s">
        <v>822</v>
      </c>
      <c r="F276" s="14">
        <f t="shared" si="13"/>
        <v>2</v>
      </c>
      <c r="G276" s="15" t="s">
        <v>795</v>
      </c>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28"/>
      <c r="AY276" s="3"/>
      <c r="AZ276" s="3"/>
      <c r="BA276" s="3"/>
      <c r="BB276" s="3"/>
      <c r="BC276" s="3"/>
      <c r="BD276" s="3"/>
      <c r="BE276" s="3"/>
      <c r="BF276" s="3"/>
      <c r="BG276" s="3"/>
      <c r="BH276" s="3"/>
      <c r="BI276" s="3"/>
      <c r="BJ276" s="3"/>
      <c r="BK276" s="3"/>
      <c r="BL276" s="3"/>
      <c r="BM276" s="3"/>
      <c r="BN276" s="28"/>
      <c r="BO276" s="3"/>
      <c r="BP276" s="3"/>
      <c r="BQ276" s="3"/>
      <c r="BR276" s="3"/>
      <c r="BS276" s="3"/>
      <c r="BT276" s="3"/>
      <c r="BU276" s="3" t="s">
        <v>3</v>
      </c>
      <c r="BV276" s="3"/>
      <c r="BW276" s="3"/>
      <c r="BX276" s="3"/>
      <c r="BY276" s="3"/>
      <c r="BZ276" s="3"/>
      <c r="CA276" s="13" t="s">
        <v>3</v>
      </c>
      <c r="CB276" s="3"/>
    </row>
    <row r="277" spans="2:80" ht="30" customHeight="1">
      <c r="B277" s="11">
        <f t="shared" si="14"/>
        <v>272</v>
      </c>
      <c r="C277" s="38" t="s">
        <v>814</v>
      </c>
      <c r="D277" s="38" t="s">
        <v>815</v>
      </c>
      <c r="E277" s="35" t="s">
        <v>823</v>
      </c>
      <c r="F277" s="14">
        <f t="shared" si="13"/>
        <v>2</v>
      </c>
      <c r="G277" s="15" t="s">
        <v>795</v>
      </c>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28"/>
      <c r="AY277" s="3"/>
      <c r="AZ277" s="3"/>
      <c r="BA277" s="3"/>
      <c r="BB277" s="3"/>
      <c r="BC277" s="3"/>
      <c r="BD277" s="3"/>
      <c r="BE277" s="3"/>
      <c r="BF277" s="3"/>
      <c r="BG277" s="3"/>
      <c r="BH277" s="3"/>
      <c r="BI277" s="3"/>
      <c r="BJ277" s="3"/>
      <c r="BK277" s="3"/>
      <c r="BL277" s="3"/>
      <c r="BM277" s="3"/>
      <c r="BN277" s="28"/>
      <c r="BO277" s="3"/>
      <c r="BP277" s="3"/>
      <c r="BQ277" s="3"/>
      <c r="BR277" s="3"/>
      <c r="BS277" s="3"/>
      <c r="BT277" s="3"/>
      <c r="BU277" s="3" t="s">
        <v>3</v>
      </c>
      <c r="BV277" s="3"/>
      <c r="BW277" s="3"/>
      <c r="BX277" s="3"/>
      <c r="BY277" s="3"/>
      <c r="BZ277" s="3"/>
      <c r="CA277" s="13" t="s">
        <v>3</v>
      </c>
      <c r="CB277" s="3"/>
    </row>
    <row r="278" spans="2:80" ht="30" customHeight="1">
      <c r="B278" s="11">
        <f t="shared" si="14"/>
        <v>273</v>
      </c>
      <c r="C278" s="38" t="s">
        <v>814</v>
      </c>
      <c r="D278" s="38" t="s">
        <v>815</v>
      </c>
      <c r="E278" s="35" t="s">
        <v>824</v>
      </c>
      <c r="F278" s="14">
        <f t="shared" si="13"/>
        <v>2</v>
      </c>
      <c r="G278" s="15" t="s">
        <v>795</v>
      </c>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28"/>
      <c r="AY278" s="3"/>
      <c r="AZ278" s="3"/>
      <c r="BA278" s="3"/>
      <c r="BB278" s="3"/>
      <c r="BC278" s="3"/>
      <c r="BD278" s="3"/>
      <c r="BE278" s="3"/>
      <c r="BF278" s="3"/>
      <c r="BG278" s="3"/>
      <c r="BH278" s="3"/>
      <c r="BI278" s="3"/>
      <c r="BJ278" s="3"/>
      <c r="BK278" s="3"/>
      <c r="BL278" s="3"/>
      <c r="BM278" s="3"/>
      <c r="BN278" s="28"/>
      <c r="BO278" s="3"/>
      <c r="BP278" s="3"/>
      <c r="BQ278" s="3"/>
      <c r="BR278" s="3"/>
      <c r="BS278" s="3"/>
      <c r="BT278" s="3"/>
      <c r="BU278" s="3" t="s">
        <v>3</v>
      </c>
      <c r="BV278" s="3"/>
      <c r="BW278" s="3"/>
      <c r="BX278" s="3"/>
      <c r="BY278" s="3"/>
      <c r="BZ278" s="3"/>
      <c r="CA278" s="13" t="s">
        <v>3</v>
      </c>
      <c r="CB278" s="3"/>
    </row>
    <row r="279" spans="2:80" ht="30" customHeight="1">
      <c r="B279" s="11">
        <f t="shared" si="14"/>
        <v>274</v>
      </c>
      <c r="C279" s="38" t="s">
        <v>814</v>
      </c>
      <c r="D279" s="35" t="s">
        <v>825</v>
      </c>
      <c r="E279" s="35" t="s">
        <v>826</v>
      </c>
      <c r="F279" s="14">
        <f t="shared" si="13"/>
        <v>2</v>
      </c>
      <c r="G279" s="15" t="s">
        <v>795</v>
      </c>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28"/>
      <c r="AY279" s="3"/>
      <c r="AZ279" s="3"/>
      <c r="BA279" s="3"/>
      <c r="BB279" s="3"/>
      <c r="BC279" s="3"/>
      <c r="BD279" s="3"/>
      <c r="BE279" s="3"/>
      <c r="BF279" s="3"/>
      <c r="BG279" s="3"/>
      <c r="BH279" s="3"/>
      <c r="BI279" s="3"/>
      <c r="BJ279" s="3"/>
      <c r="BK279" s="3"/>
      <c r="BL279" s="3"/>
      <c r="BM279" s="3"/>
      <c r="BN279" s="28"/>
      <c r="BO279" s="3"/>
      <c r="BP279" s="3"/>
      <c r="BQ279" s="3"/>
      <c r="BR279" s="3"/>
      <c r="BS279" s="3"/>
      <c r="BT279" s="3"/>
      <c r="BU279" s="3" t="s">
        <v>3</v>
      </c>
      <c r="BV279" s="3"/>
      <c r="BW279" s="3"/>
      <c r="BX279" s="3"/>
      <c r="BY279" s="3"/>
      <c r="BZ279" s="3"/>
      <c r="CA279" s="13" t="s">
        <v>3</v>
      </c>
      <c r="CB279" s="3"/>
    </row>
    <row r="280" spans="2:80" ht="30" customHeight="1">
      <c r="B280" s="11">
        <f t="shared" si="14"/>
        <v>275</v>
      </c>
      <c r="C280" s="38" t="s">
        <v>814</v>
      </c>
      <c r="D280" s="38" t="s">
        <v>825</v>
      </c>
      <c r="E280" s="35" t="s">
        <v>827</v>
      </c>
      <c r="F280" s="14">
        <f t="shared" si="13"/>
        <v>2</v>
      </c>
      <c r="G280" s="15" t="s">
        <v>795</v>
      </c>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28"/>
      <c r="AY280" s="3"/>
      <c r="AZ280" s="3"/>
      <c r="BA280" s="3"/>
      <c r="BB280" s="3"/>
      <c r="BC280" s="3"/>
      <c r="BD280" s="3"/>
      <c r="BE280" s="3"/>
      <c r="BF280" s="3"/>
      <c r="BG280" s="3"/>
      <c r="BH280" s="3"/>
      <c r="BI280" s="3"/>
      <c r="BJ280" s="3"/>
      <c r="BK280" s="3"/>
      <c r="BL280" s="3"/>
      <c r="BM280" s="3"/>
      <c r="BN280" s="28"/>
      <c r="BO280" s="3"/>
      <c r="BP280" s="3"/>
      <c r="BQ280" s="3"/>
      <c r="BR280" s="3"/>
      <c r="BS280" s="3"/>
      <c r="BT280" s="3"/>
      <c r="BU280" s="3" t="s">
        <v>3</v>
      </c>
      <c r="BV280" s="3"/>
      <c r="BW280" s="3"/>
      <c r="BX280" s="3"/>
      <c r="BY280" s="3"/>
      <c r="BZ280" s="3"/>
      <c r="CA280" s="13" t="s">
        <v>3</v>
      </c>
      <c r="CB280" s="3"/>
    </row>
    <row r="281" spans="2:80" ht="30" customHeight="1">
      <c r="B281" s="11">
        <f t="shared" si="14"/>
        <v>276</v>
      </c>
      <c r="C281" s="38" t="s">
        <v>814</v>
      </c>
      <c r="D281" s="35" t="s">
        <v>828</v>
      </c>
      <c r="E281" s="35" t="s">
        <v>829</v>
      </c>
      <c r="F281" s="14">
        <f t="shared" si="13"/>
        <v>2</v>
      </c>
      <c r="G281" s="15" t="s">
        <v>795</v>
      </c>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28"/>
      <c r="AY281" s="3"/>
      <c r="AZ281" s="3"/>
      <c r="BA281" s="3"/>
      <c r="BB281" s="3"/>
      <c r="BC281" s="3"/>
      <c r="BD281" s="3"/>
      <c r="BE281" s="3"/>
      <c r="BF281" s="3"/>
      <c r="BG281" s="3"/>
      <c r="BH281" s="3"/>
      <c r="BI281" s="3"/>
      <c r="BJ281" s="3"/>
      <c r="BK281" s="3"/>
      <c r="BL281" s="3"/>
      <c r="BM281" s="3"/>
      <c r="BN281" s="28"/>
      <c r="BO281" s="3"/>
      <c r="BP281" s="3"/>
      <c r="BQ281" s="3"/>
      <c r="BR281" s="3"/>
      <c r="BS281" s="3"/>
      <c r="BT281" s="3"/>
      <c r="BU281" s="3" t="s">
        <v>3</v>
      </c>
      <c r="BV281" s="3"/>
      <c r="BW281" s="3"/>
      <c r="BX281" s="3"/>
      <c r="BY281" s="3"/>
      <c r="BZ281" s="3"/>
      <c r="CA281" s="13" t="s">
        <v>3</v>
      </c>
      <c r="CB281" s="3"/>
    </row>
    <row r="282" spans="2:80" ht="30" customHeight="1">
      <c r="B282" s="11">
        <f t="shared" si="14"/>
        <v>277</v>
      </c>
      <c r="C282" s="38" t="s">
        <v>814</v>
      </c>
      <c r="D282" s="38" t="s">
        <v>828</v>
      </c>
      <c r="E282" s="35" t="s">
        <v>830</v>
      </c>
      <c r="F282" s="14">
        <f t="shared" si="13"/>
        <v>2</v>
      </c>
      <c r="G282" s="15" t="s">
        <v>795</v>
      </c>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28"/>
      <c r="AY282" s="3"/>
      <c r="AZ282" s="3"/>
      <c r="BA282" s="3"/>
      <c r="BB282" s="3"/>
      <c r="BC282" s="3"/>
      <c r="BD282" s="3"/>
      <c r="BE282" s="3"/>
      <c r="BF282" s="3"/>
      <c r="BG282" s="3"/>
      <c r="BH282" s="3"/>
      <c r="BI282" s="3"/>
      <c r="BJ282" s="3"/>
      <c r="BK282" s="3"/>
      <c r="BL282" s="3"/>
      <c r="BM282" s="3"/>
      <c r="BN282" s="28"/>
      <c r="BO282" s="3"/>
      <c r="BP282" s="3"/>
      <c r="BQ282" s="3"/>
      <c r="BR282" s="3"/>
      <c r="BS282" s="3"/>
      <c r="BT282" s="3"/>
      <c r="BU282" s="3" t="s">
        <v>3</v>
      </c>
      <c r="BV282" s="3"/>
      <c r="BW282" s="3"/>
      <c r="BX282" s="3"/>
      <c r="BY282" s="3"/>
      <c r="BZ282" s="3"/>
      <c r="CA282" s="13" t="s">
        <v>3</v>
      </c>
      <c r="CB282" s="3"/>
    </row>
    <row r="283" spans="2:80" ht="30" customHeight="1">
      <c r="B283" s="11">
        <f t="shared" si="14"/>
        <v>278</v>
      </c>
      <c r="C283" s="38" t="s">
        <v>814</v>
      </c>
      <c r="D283" s="38" t="s">
        <v>828</v>
      </c>
      <c r="E283" s="35" t="s">
        <v>831</v>
      </c>
      <c r="F283" s="14">
        <f t="shared" si="13"/>
        <v>2</v>
      </c>
      <c r="G283" s="15" t="s">
        <v>795</v>
      </c>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28"/>
      <c r="AY283" s="3"/>
      <c r="AZ283" s="3"/>
      <c r="BA283" s="3"/>
      <c r="BB283" s="3"/>
      <c r="BC283" s="3"/>
      <c r="BD283" s="3"/>
      <c r="BE283" s="3"/>
      <c r="BF283" s="3"/>
      <c r="BG283" s="3"/>
      <c r="BH283" s="3"/>
      <c r="BI283" s="3"/>
      <c r="BJ283" s="3"/>
      <c r="BK283" s="3"/>
      <c r="BL283" s="3"/>
      <c r="BM283" s="3"/>
      <c r="BN283" s="28"/>
      <c r="BO283" s="3"/>
      <c r="BP283" s="3"/>
      <c r="BQ283" s="3"/>
      <c r="BR283" s="3"/>
      <c r="BS283" s="3"/>
      <c r="BT283" s="3"/>
      <c r="BU283" s="3" t="s">
        <v>3</v>
      </c>
      <c r="BV283" s="3"/>
      <c r="BW283" s="3"/>
      <c r="BX283" s="3"/>
      <c r="BY283" s="3"/>
      <c r="BZ283" s="3"/>
      <c r="CA283" s="13" t="s">
        <v>3</v>
      </c>
      <c r="CB283" s="3"/>
    </row>
    <row r="284" spans="2:80" ht="30" customHeight="1">
      <c r="B284" s="11">
        <f t="shared" si="14"/>
        <v>279</v>
      </c>
      <c r="C284" s="38" t="s">
        <v>814</v>
      </c>
      <c r="D284" s="38" t="s">
        <v>828</v>
      </c>
      <c r="E284" s="35" t="s">
        <v>832</v>
      </c>
      <c r="F284" s="14">
        <f t="shared" si="13"/>
        <v>2</v>
      </c>
      <c r="G284" s="15" t="s">
        <v>795</v>
      </c>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28"/>
      <c r="AY284" s="3"/>
      <c r="AZ284" s="3"/>
      <c r="BA284" s="3"/>
      <c r="BB284" s="3"/>
      <c r="BC284" s="3"/>
      <c r="BD284" s="3"/>
      <c r="BE284" s="3"/>
      <c r="BF284" s="3"/>
      <c r="BG284" s="3"/>
      <c r="BH284" s="3"/>
      <c r="BI284" s="3"/>
      <c r="BJ284" s="3"/>
      <c r="BK284" s="3"/>
      <c r="BL284" s="3"/>
      <c r="BM284" s="3"/>
      <c r="BN284" s="28"/>
      <c r="BO284" s="3"/>
      <c r="BP284" s="3"/>
      <c r="BQ284" s="3"/>
      <c r="BR284" s="3"/>
      <c r="BS284" s="3"/>
      <c r="BT284" s="3"/>
      <c r="BU284" s="3" t="s">
        <v>3</v>
      </c>
      <c r="BV284" s="3"/>
      <c r="BW284" s="3"/>
      <c r="BX284" s="3"/>
      <c r="BY284" s="3"/>
      <c r="BZ284" s="3"/>
      <c r="CA284" s="13" t="s">
        <v>3</v>
      </c>
      <c r="CB284" s="3"/>
    </row>
    <row r="285" spans="2:80" ht="30" customHeight="1">
      <c r="B285" s="11">
        <f t="shared" si="14"/>
        <v>280</v>
      </c>
      <c r="C285" s="38" t="s">
        <v>814</v>
      </c>
      <c r="D285" s="38" t="s">
        <v>828</v>
      </c>
      <c r="E285" s="35" t="s">
        <v>833</v>
      </c>
      <c r="F285" s="14">
        <f t="shared" ref="F285:F348" si="15">COUNTA(H285:CA285)</f>
        <v>2</v>
      </c>
      <c r="G285" s="15" t="s">
        <v>795</v>
      </c>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28"/>
      <c r="AY285" s="3"/>
      <c r="AZ285" s="3"/>
      <c r="BA285" s="3"/>
      <c r="BB285" s="3"/>
      <c r="BC285" s="3"/>
      <c r="BD285" s="3"/>
      <c r="BE285" s="3"/>
      <c r="BF285" s="3"/>
      <c r="BG285" s="3"/>
      <c r="BH285" s="3"/>
      <c r="BI285" s="3"/>
      <c r="BJ285" s="3"/>
      <c r="BK285" s="3"/>
      <c r="BL285" s="3"/>
      <c r="BM285" s="3"/>
      <c r="BN285" s="28"/>
      <c r="BO285" s="3"/>
      <c r="BP285" s="3"/>
      <c r="BQ285" s="3"/>
      <c r="BR285" s="3"/>
      <c r="BS285" s="3"/>
      <c r="BT285" s="3"/>
      <c r="BU285" s="3" t="s">
        <v>3</v>
      </c>
      <c r="BV285" s="3"/>
      <c r="BW285" s="3"/>
      <c r="BX285" s="3"/>
      <c r="BY285" s="3"/>
      <c r="BZ285" s="3"/>
      <c r="CA285" s="13" t="s">
        <v>3</v>
      </c>
      <c r="CB285" s="3"/>
    </row>
    <row r="286" spans="2:80" ht="30" customHeight="1">
      <c r="B286" s="11">
        <f t="shared" si="14"/>
        <v>281</v>
      </c>
      <c r="C286" s="38" t="s">
        <v>814</v>
      </c>
      <c r="D286" s="38" t="s">
        <v>828</v>
      </c>
      <c r="E286" s="35" t="s">
        <v>834</v>
      </c>
      <c r="F286" s="14">
        <f t="shared" si="15"/>
        <v>2</v>
      </c>
      <c r="G286" s="15" t="s">
        <v>795</v>
      </c>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28"/>
      <c r="AY286" s="3"/>
      <c r="AZ286" s="3"/>
      <c r="BA286" s="3"/>
      <c r="BB286" s="3"/>
      <c r="BC286" s="3"/>
      <c r="BD286" s="3"/>
      <c r="BE286" s="3"/>
      <c r="BF286" s="3"/>
      <c r="BG286" s="3"/>
      <c r="BH286" s="3"/>
      <c r="BI286" s="3"/>
      <c r="BJ286" s="3"/>
      <c r="BK286" s="3"/>
      <c r="BL286" s="3"/>
      <c r="BM286" s="3"/>
      <c r="BN286" s="28"/>
      <c r="BO286" s="3"/>
      <c r="BP286" s="3"/>
      <c r="BQ286" s="3"/>
      <c r="BR286" s="3"/>
      <c r="BS286" s="3"/>
      <c r="BT286" s="3"/>
      <c r="BU286" s="3" t="s">
        <v>3</v>
      </c>
      <c r="BV286" s="3"/>
      <c r="BW286" s="3"/>
      <c r="BX286" s="3"/>
      <c r="BY286" s="3"/>
      <c r="BZ286" s="3"/>
      <c r="CA286" s="13" t="s">
        <v>3</v>
      </c>
      <c r="CB286" s="3"/>
    </row>
    <row r="287" spans="2:80" ht="30" customHeight="1">
      <c r="B287" s="11">
        <f t="shared" si="14"/>
        <v>282</v>
      </c>
      <c r="C287" s="38" t="s">
        <v>814</v>
      </c>
      <c r="D287" s="38" t="s">
        <v>828</v>
      </c>
      <c r="E287" s="35" t="s">
        <v>835</v>
      </c>
      <c r="F287" s="14">
        <f t="shared" si="15"/>
        <v>2</v>
      </c>
      <c r="G287" s="15" t="s">
        <v>795</v>
      </c>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28"/>
      <c r="AY287" s="3"/>
      <c r="AZ287" s="3"/>
      <c r="BA287" s="3"/>
      <c r="BB287" s="3"/>
      <c r="BC287" s="3"/>
      <c r="BD287" s="3"/>
      <c r="BE287" s="3"/>
      <c r="BF287" s="3"/>
      <c r="BG287" s="3"/>
      <c r="BH287" s="3"/>
      <c r="BI287" s="3"/>
      <c r="BJ287" s="3"/>
      <c r="BK287" s="3"/>
      <c r="BL287" s="3"/>
      <c r="BM287" s="3"/>
      <c r="BN287" s="28"/>
      <c r="BO287" s="3"/>
      <c r="BP287" s="3"/>
      <c r="BQ287" s="3"/>
      <c r="BR287" s="3"/>
      <c r="BS287" s="3"/>
      <c r="BT287" s="3"/>
      <c r="BU287" s="3" t="s">
        <v>3</v>
      </c>
      <c r="BV287" s="3"/>
      <c r="BW287" s="3"/>
      <c r="BX287" s="3"/>
      <c r="BY287" s="3"/>
      <c r="BZ287" s="3"/>
      <c r="CA287" s="13" t="s">
        <v>3</v>
      </c>
      <c r="CB287" s="3"/>
    </row>
    <row r="288" spans="2:80" ht="30" customHeight="1">
      <c r="B288" s="11">
        <f t="shared" si="14"/>
        <v>283</v>
      </c>
      <c r="C288" s="38" t="s">
        <v>814</v>
      </c>
      <c r="D288" s="38" t="s">
        <v>828</v>
      </c>
      <c r="E288" s="35" t="s">
        <v>836</v>
      </c>
      <c r="F288" s="14">
        <f t="shared" si="15"/>
        <v>2</v>
      </c>
      <c r="G288" s="15" t="s">
        <v>795</v>
      </c>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28"/>
      <c r="AY288" s="3"/>
      <c r="AZ288" s="3"/>
      <c r="BA288" s="3"/>
      <c r="BB288" s="3"/>
      <c r="BC288" s="3"/>
      <c r="BD288" s="3"/>
      <c r="BE288" s="3"/>
      <c r="BF288" s="3"/>
      <c r="BG288" s="3"/>
      <c r="BH288" s="3"/>
      <c r="BI288" s="3"/>
      <c r="BJ288" s="3"/>
      <c r="BK288" s="3"/>
      <c r="BL288" s="3"/>
      <c r="BM288" s="3"/>
      <c r="BN288" s="28"/>
      <c r="BO288" s="3"/>
      <c r="BP288" s="3"/>
      <c r="BQ288" s="3"/>
      <c r="BR288" s="3"/>
      <c r="BS288" s="3"/>
      <c r="BT288" s="3"/>
      <c r="BU288" s="3" t="s">
        <v>3</v>
      </c>
      <c r="BV288" s="3"/>
      <c r="BW288" s="3"/>
      <c r="BX288" s="3"/>
      <c r="BY288" s="3"/>
      <c r="BZ288" s="3"/>
      <c r="CA288" s="13" t="s">
        <v>3</v>
      </c>
      <c r="CB288" s="3"/>
    </row>
    <row r="289" spans="2:80" ht="30" customHeight="1">
      <c r="B289" s="11">
        <f t="shared" si="14"/>
        <v>284</v>
      </c>
      <c r="C289" s="38" t="s">
        <v>814</v>
      </c>
      <c r="D289" s="38" t="s">
        <v>828</v>
      </c>
      <c r="E289" s="35" t="s">
        <v>837</v>
      </c>
      <c r="F289" s="14">
        <f t="shared" si="15"/>
        <v>2</v>
      </c>
      <c r="G289" s="15" t="s">
        <v>795</v>
      </c>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28"/>
      <c r="AY289" s="3"/>
      <c r="AZ289" s="3"/>
      <c r="BA289" s="3"/>
      <c r="BB289" s="3"/>
      <c r="BC289" s="3"/>
      <c r="BD289" s="3"/>
      <c r="BE289" s="3"/>
      <c r="BF289" s="3"/>
      <c r="BG289" s="3"/>
      <c r="BH289" s="3"/>
      <c r="BI289" s="3"/>
      <c r="BJ289" s="3"/>
      <c r="BK289" s="3"/>
      <c r="BL289" s="3"/>
      <c r="BM289" s="3"/>
      <c r="BN289" s="28"/>
      <c r="BO289" s="3"/>
      <c r="BP289" s="3"/>
      <c r="BQ289" s="3"/>
      <c r="BR289" s="3"/>
      <c r="BS289" s="3"/>
      <c r="BT289" s="3"/>
      <c r="BU289" s="3" t="s">
        <v>3</v>
      </c>
      <c r="BV289" s="3"/>
      <c r="BW289" s="3"/>
      <c r="BX289" s="3"/>
      <c r="BY289" s="3"/>
      <c r="BZ289" s="3"/>
      <c r="CA289" s="13" t="s">
        <v>3</v>
      </c>
      <c r="CB289" s="3"/>
    </row>
    <row r="290" spans="2:80" ht="30" customHeight="1">
      <c r="B290" s="11">
        <f t="shared" si="14"/>
        <v>285</v>
      </c>
      <c r="C290" s="38" t="s">
        <v>814</v>
      </c>
      <c r="D290" s="35" t="s">
        <v>838</v>
      </c>
      <c r="E290" s="35" t="s">
        <v>839</v>
      </c>
      <c r="F290" s="14">
        <f t="shared" si="15"/>
        <v>2</v>
      </c>
      <c r="G290" s="15" t="s">
        <v>795</v>
      </c>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28"/>
      <c r="AY290" s="3"/>
      <c r="AZ290" s="3"/>
      <c r="BA290" s="3"/>
      <c r="BB290" s="3"/>
      <c r="BC290" s="3"/>
      <c r="BD290" s="3"/>
      <c r="BE290" s="3"/>
      <c r="BF290" s="3"/>
      <c r="BG290" s="3"/>
      <c r="BH290" s="3"/>
      <c r="BI290" s="3"/>
      <c r="BJ290" s="3"/>
      <c r="BK290" s="3"/>
      <c r="BL290" s="3"/>
      <c r="BM290" s="3"/>
      <c r="BN290" s="28"/>
      <c r="BO290" s="3"/>
      <c r="BP290" s="3"/>
      <c r="BQ290" s="3"/>
      <c r="BR290" s="3"/>
      <c r="BS290" s="3"/>
      <c r="BT290" s="3"/>
      <c r="BU290" s="3" t="s">
        <v>3</v>
      </c>
      <c r="BV290" s="3"/>
      <c r="BW290" s="3"/>
      <c r="BX290" s="3"/>
      <c r="BY290" s="3"/>
      <c r="BZ290" s="3"/>
      <c r="CA290" s="13" t="s">
        <v>3</v>
      </c>
      <c r="CB290" s="3"/>
    </row>
    <row r="291" spans="2:80" ht="30" customHeight="1">
      <c r="B291" s="11">
        <f t="shared" si="14"/>
        <v>286</v>
      </c>
      <c r="C291" s="38" t="s">
        <v>814</v>
      </c>
      <c r="D291" s="38" t="s">
        <v>838</v>
      </c>
      <c r="E291" s="35" t="s">
        <v>840</v>
      </c>
      <c r="F291" s="14">
        <f t="shared" si="15"/>
        <v>2</v>
      </c>
      <c r="G291" s="15" t="s">
        <v>795</v>
      </c>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28"/>
      <c r="AY291" s="3"/>
      <c r="AZ291" s="3"/>
      <c r="BA291" s="3"/>
      <c r="BB291" s="3"/>
      <c r="BC291" s="3"/>
      <c r="BD291" s="3"/>
      <c r="BE291" s="3"/>
      <c r="BF291" s="3"/>
      <c r="BG291" s="3"/>
      <c r="BH291" s="3"/>
      <c r="BI291" s="3"/>
      <c r="BJ291" s="3"/>
      <c r="BK291" s="3"/>
      <c r="BL291" s="3"/>
      <c r="BM291" s="3"/>
      <c r="BN291" s="28"/>
      <c r="BO291" s="3"/>
      <c r="BP291" s="3"/>
      <c r="BQ291" s="3"/>
      <c r="BR291" s="3"/>
      <c r="BS291" s="3"/>
      <c r="BT291" s="3"/>
      <c r="BU291" s="3" t="s">
        <v>3</v>
      </c>
      <c r="BV291" s="3"/>
      <c r="BW291" s="3"/>
      <c r="BX291" s="3"/>
      <c r="BY291" s="3"/>
      <c r="BZ291" s="3"/>
      <c r="CA291" s="13" t="s">
        <v>3</v>
      </c>
      <c r="CB291" s="3"/>
    </row>
    <row r="292" spans="2:80" ht="30" customHeight="1">
      <c r="B292" s="11">
        <f t="shared" si="14"/>
        <v>287</v>
      </c>
      <c r="C292" s="38" t="s">
        <v>814</v>
      </c>
      <c r="D292" s="38" t="s">
        <v>838</v>
      </c>
      <c r="E292" s="35" t="s">
        <v>841</v>
      </c>
      <c r="F292" s="14">
        <f t="shared" si="15"/>
        <v>2</v>
      </c>
      <c r="G292" s="15" t="s">
        <v>795</v>
      </c>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28"/>
      <c r="AY292" s="3"/>
      <c r="AZ292" s="3"/>
      <c r="BA292" s="3"/>
      <c r="BB292" s="3"/>
      <c r="BC292" s="3"/>
      <c r="BD292" s="3"/>
      <c r="BE292" s="3"/>
      <c r="BF292" s="3"/>
      <c r="BG292" s="3"/>
      <c r="BH292" s="3"/>
      <c r="BI292" s="3"/>
      <c r="BJ292" s="3"/>
      <c r="BK292" s="3"/>
      <c r="BL292" s="3"/>
      <c r="BM292" s="3"/>
      <c r="BN292" s="28"/>
      <c r="BO292" s="3"/>
      <c r="BP292" s="3"/>
      <c r="BQ292" s="3"/>
      <c r="BR292" s="3"/>
      <c r="BS292" s="3"/>
      <c r="BT292" s="3"/>
      <c r="BU292" s="3" t="s">
        <v>3</v>
      </c>
      <c r="BV292" s="3"/>
      <c r="BW292" s="3"/>
      <c r="BX292" s="3"/>
      <c r="BY292" s="3"/>
      <c r="BZ292" s="3"/>
      <c r="CA292" s="13" t="s">
        <v>3</v>
      </c>
      <c r="CB292" s="3"/>
    </row>
    <row r="293" spans="2:80" ht="30" customHeight="1">
      <c r="B293" s="11">
        <f t="shared" si="14"/>
        <v>288</v>
      </c>
      <c r="C293" s="38" t="s">
        <v>814</v>
      </c>
      <c r="D293" s="38" t="s">
        <v>838</v>
      </c>
      <c r="E293" s="35" t="s">
        <v>842</v>
      </c>
      <c r="F293" s="14">
        <f t="shared" si="15"/>
        <v>2</v>
      </c>
      <c r="G293" s="15" t="s">
        <v>795</v>
      </c>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28"/>
      <c r="AY293" s="3"/>
      <c r="AZ293" s="3"/>
      <c r="BA293" s="3"/>
      <c r="BB293" s="3"/>
      <c r="BC293" s="3"/>
      <c r="BD293" s="3"/>
      <c r="BE293" s="3"/>
      <c r="BF293" s="3"/>
      <c r="BG293" s="3"/>
      <c r="BH293" s="3"/>
      <c r="BI293" s="3"/>
      <c r="BJ293" s="3"/>
      <c r="BK293" s="3"/>
      <c r="BL293" s="3"/>
      <c r="BM293" s="3"/>
      <c r="BN293" s="28"/>
      <c r="BO293" s="3"/>
      <c r="BP293" s="3"/>
      <c r="BQ293" s="3"/>
      <c r="BR293" s="3"/>
      <c r="BS293" s="3"/>
      <c r="BT293" s="3"/>
      <c r="BU293" s="3" t="s">
        <v>3</v>
      </c>
      <c r="BV293" s="3"/>
      <c r="BW293" s="3"/>
      <c r="BX293" s="3"/>
      <c r="BY293" s="3"/>
      <c r="BZ293" s="3"/>
      <c r="CA293" s="13" t="s">
        <v>3</v>
      </c>
      <c r="CB293" s="3"/>
    </row>
    <row r="294" spans="2:80" ht="30" customHeight="1">
      <c r="B294" s="11">
        <f t="shared" si="14"/>
        <v>289</v>
      </c>
      <c r="C294" s="38" t="s">
        <v>814</v>
      </c>
      <c r="D294" s="38" t="s">
        <v>838</v>
      </c>
      <c r="E294" s="35" t="s">
        <v>843</v>
      </c>
      <c r="F294" s="14">
        <f t="shared" si="15"/>
        <v>2</v>
      </c>
      <c r="G294" s="15" t="s">
        <v>795</v>
      </c>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28"/>
      <c r="AY294" s="3"/>
      <c r="AZ294" s="3"/>
      <c r="BA294" s="3"/>
      <c r="BB294" s="3"/>
      <c r="BC294" s="3"/>
      <c r="BD294" s="3"/>
      <c r="BE294" s="3"/>
      <c r="BF294" s="3"/>
      <c r="BG294" s="3"/>
      <c r="BH294" s="3"/>
      <c r="BI294" s="3"/>
      <c r="BJ294" s="3"/>
      <c r="BK294" s="3"/>
      <c r="BL294" s="3"/>
      <c r="BM294" s="3"/>
      <c r="BN294" s="28"/>
      <c r="BO294" s="3"/>
      <c r="BP294" s="3"/>
      <c r="BQ294" s="3"/>
      <c r="BR294" s="3"/>
      <c r="BS294" s="3"/>
      <c r="BT294" s="3"/>
      <c r="BU294" s="3" t="s">
        <v>3</v>
      </c>
      <c r="BV294" s="3"/>
      <c r="BW294" s="3"/>
      <c r="BX294" s="3"/>
      <c r="BY294" s="3"/>
      <c r="BZ294" s="3"/>
      <c r="CA294" s="13" t="s">
        <v>3</v>
      </c>
      <c r="CB294" s="3"/>
    </row>
    <row r="295" spans="2:80" ht="30" customHeight="1">
      <c r="B295" s="11">
        <f t="shared" si="14"/>
        <v>290</v>
      </c>
      <c r="C295" s="38" t="s">
        <v>814</v>
      </c>
      <c r="D295" s="38" t="s">
        <v>838</v>
      </c>
      <c r="E295" s="35" t="s">
        <v>844</v>
      </c>
      <c r="F295" s="14">
        <f t="shared" si="15"/>
        <v>2</v>
      </c>
      <c r="G295" s="15" t="s">
        <v>795</v>
      </c>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28"/>
      <c r="AY295" s="3"/>
      <c r="AZ295" s="3"/>
      <c r="BA295" s="3"/>
      <c r="BB295" s="3"/>
      <c r="BC295" s="3"/>
      <c r="BD295" s="3"/>
      <c r="BE295" s="3"/>
      <c r="BF295" s="3"/>
      <c r="BG295" s="3"/>
      <c r="BH295" s="3"/>
      <c r="BI295" s="3"/>
      <c r="BJ295" s="3"/>
      <c r="BK295" s="3"/>
      <c r="BL295" s="3"/>
      <c r="BM295" s="3"/>
      <c r="BN295" s="28"/>
      <c r="BO295" s="3"/>
      <c r="BP295" s="3"/>
      <c r="BQ295" s="3"/>
      <c r="BR295" s="3"/>
      <c r="BS295" s="3"/>
      <c r="BT295" s="3"/>
      <c r="BU295" s="3" t="s">
        <v>3</v>
      </c>
      <c r="BV295" s="3"/>
      <c r="BW295" s="3"/>
      <c r="BX295" s="3"/>
      <c r="BY295" s="3"/>
      <c r="BZ295" s="3"/>
      <c r="CA295" s="13" t="s">
        <v>3</v>
      </c>
      <c r="CB295" s="3"/>
    </row>
    <row r="296" spans="2:80" ht="30" customHeight="1">
      <c r="B296" s="11">
        <f t="shared" si="14"/>
        <v>291</v>
      </c>
      <c r="C296" s="38" t="s">
        <v>814</v>
      </c>
      <c r="D296" s="38" t="s">
        <v>838</v>
      </c>
      <c r="E296" s="35" t="s">
        <v>845</v>
      </c>
      <c r="F296" s="14">
        <f t="shared" si="15"/>
        <v>2</v>
      </c>
      <c r="G296" s="15" t="s">
        <v>795</v>
      </c>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28"/>
      <c r="AY296" s="3"/>
      <c r="AZ296" s="3"/>
      <c r="BA296" s="3"/>
      <c r="BB296" s="3"/>
      <c r="BC296" s="3"/>
      <c r="BD296" s="3"/>
      <c r="BE296" s="3"/>
      <c r="BF296" s="3"/>
      <c r="BG296" s="3"/>
      <c r="BH296" s="3"/>
      <c r="BI296" s="3"/>
      <c r="BJ296" s="3"/>
      <c r="BK296" s="3"/>
      <c r="BL296" s="3"/>
      <c r="BM296" s="3"/>
      <c r="BN296" s="28"/>
      <c r="BO296" s="3"/>
      <c r="BP296" s="3"/>
      <c r="BQ296" s="3"/>
      <c r="BR296" s="3"/>
      <c r="BS296" s="3"/>
      <c r="BT296" s="3"/>
      <c r="BU296" s="3" t="s">
        <v>3</v>
      </c>
      <c r="BV296" s="3"/>
      <c r="BW296" s="3"/>
      <c r="BX296" s="3"/>
      <c r="BY296" s="3"/>
      <c r="BZ296" s="3"/>
      <c r="CA296" s="13" t="s">
        <v>3</v>
      </c>
      <c r="CB296" s="3"/>
    </row>
    <row r="297" spans="2:80" ht="30" customHeight="1">
      <c r="B297" s="11">
        <f t="shared" si="14"/>
        <v>292</v>
      </c>
      <c r="C297" s="38" t="s">
        <v>814</v>
      </c>
      <c r="D297" s="38" t="s">
        <v>838</v>
      </c>
      <c r="E297" s="35" t="s">
        <v>846</v>
      </c>
      <c r="F297" s="14">
        <f t="shared" si="15"/>
        <v>2</v>
      </c>
      <c r="G297" s="15" t="s">
        <v>795</v>
      </c>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28"/>
      <c r="AY297" s="3"/>
      <c r="AZ297" s="3"/>
      <c r="BA297" s="3"/>
      <c r="BB297" s="3"/>
      <c r="BC297" s="3"/>
      <c r="BD297" s="3"/>
      <c r="BE297" s="3"/>
      <c r="BF297" s="3"/>
      <c r="BG297" s="3"/>
      <c r="BH297" s="3"/>
      <c r="BI297" s="3"/>
      <c r="BJ297" s="3"/>
      <c r="BK297" s="3"/>
      <c r="BL297" s="3"/>
      <c r="BM297" s="3"/>
      <c r="BN297" s="28"/>
      <c r="BO297" s="3"/>
      <c r="BP297" s="3"/>
      <c r="BQ297" s="3"/>
      <c r="BR297" s="3"/>
      <c r="BS297" s="3"/>
      <c r="BT297" s="3"/>
      <c r="BU297" s="3" t="s">
        <v>3</v>
      </c>
      <c r="BV297" s="3"/>
      <c r="BW297" s="3"/>
      <c r="BX297" s="3"/>
      <c r="BY297" s="3"/>
      <c r="BZ297" s="3"/>
      <c r="CA297" s="13" t="s">
        <v>3</v>
      </c>
      <c r="CB297" s="3"/>
    </row>
    <row r="298" spans="2:80" ht="30" customHeight="1">
      <c r="B298" s="11">
        <f t="shared" si="14"/>
        <v>293</v>
      </c>
      <c r="C298" s="38" t="s">
        <v>814</v>
      </c>
      <c r="D298" s="38" t="s">
        <v>838</v>
      </c>
      <c r="E298" s="35" t="s">
        <v>847</v>
      </c>
      <c r="F298" s="14">
        <f t="shared" si="15"/>
        <v>2</v>
      </c>
      <c r="G298" s="15" t="s">
        <v>795</v>
      </c>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28"/>
      <c r="AY298" s="3"/>
      <c r="AZ298" s="3"/>
      <c r="BA298" s="3"/>
      <c r="BB298" s="3"/>
      <c r="BC298" s="3"/>
      <c r="BD298" s="3"/>
      <c r="BE298" s="3"/>
      <c r="BF298" s="3"/>
      <c r="BG298" s="3"/>
      <c r="BH298" s="3"/>
      <c r="BI298" s="3"/>
      <c r="BJ298" s="3"/>
      <c r="BK298" s="3"/>
      <c r="BL298" s="3"/>
      <c r="BM298" s="3"/>
      <c r="BN298" s="28"/>
      <c r="BO298" s="3"/>
      <c r="BP298" s="3"/>
      <c r="BQ298" s="3"/>
      <c r="BR298" s="3"/>
      <c r="BS298" s="3"/>
      <c r="BT298" s="3"/>
      <c r="BU298" s="3" t="s">
        <v>3</v>
      </c>
      <c r="BV298" s="3"/>
      <c r="BW298" s="3"/>
      <c r="BX298" s="3"/>
      <c r="BY298" s="3"/>
      <c r="BZ298" s="3"/>
      <c r="CA298" s="13" t="s">
        <v>3</v>
      </c>
      <c r="CB298" s="3"/>
    </row>
    <row r="299" spans="2:80" ht="30" customHeight="1">
      <c r="B299" s="11">
        <f t="shared" si="14"/>
        <v>294</v>
      </c>
      <c r="C299" s="38" t="s">
        <v>814</v>
      </c>
      <c r="D299" s="38" t="s">
        <v>838</v>
      </c>
      <c r="E299" s="35" t="s">
        <v>848</v>
      </c>
      <c r="F299" s="14">
        <f t="shared" si="15"/>
        <v>2</v>
      </c>
      <c r="G299" s="15" t="s">
        <v>795</v>
      </c>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28"/>
      <c r="AY299" s="3"/>
      <c r="AZ299" s="3"/>
      <c r="BA299" s="3"/>
      <c r="BB299" s="3"/>
      <c r="BC299" s="3"/>
      <c r="BD299" s="3"/>
      <c r="BE299" s="3"/>
      <c r="BF299" s="3"/>
      <c r="BG299" s="3"/>
      <c r="BH299" s="3"/>
      <c r="BI299" s="3"/>
      <c r="BJ299" s="3"/>
      <c r="BK299" s="3"/>
      <c r="BL299" s="3"/>
      <c r="BM299" s="3"/>
      <c r="BN299" s="28"/>
      <c r="BO299" s="3"/>
      <c r="BP299" s="3"/>
      <c r="BQ299" s="3"/>
      <c r="BR299" s="3"/>
      <c r="BS299" s="3"/>
      <c r="BT299" s="3"/>
      <c r="BU299" s="3" t="s">
        <v>3</v>
      </c>
      <c r="BV299" s="3"/>
      <c r="BW299" s="3"/>
      <c r="BX299" s="3"/>
      <c r="BY299" s="3"/>
      <c r="BZ299" s="3"/>
      <c r="CA299" s="13" t="s">
        <v>3</v>
      </c>
      <c r="CB299" s="3"/>
    </row>
    <row r="300" spans="2:80" ht="30" customHeight="1">
      <c r="B300" s="11">
        <f t="shared" si="14"/>
        <v>295</v>
      </c>
      <c r="C300" s="38" t="s">
        <v>814</v>
      </c>
      <c r="D300" s="38" t="s">
        <v>838</v>
      </c>
      <c r="E300" s="35" t="s">
        <v>849</v>
      </c>
      <c r="F300" s="14">
        <f t="shared" si="15"/>
        <v>2</v>
      </c>
      <c r="G300" s="15" t="s">
        <v>795</v>
      </c>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28"/>
      <c r="AY300" s="3"/>
      <c r="AZ300" s="3"/>
      <c r="BA300" s="3"/>
      <c r="BB300" s="3"/>
      <c r="BC300" s="3"/>
      <c r="BD300" s="3"/>
      <c r="BE300" s="3"/>
      <c r="BF300" s="3"/>
      <c r="BG300" s="3"/>
      <c r="BH300" s="3"/>
      <c r="BI300" s="3"/>
      <c r="BJ300" s="3"/>
      <c r="BK300" s="3"/>
      <c r="BL300" s="3"/>
      <c r="BM300" s="3"/>
      <c r="BN300" s="28"/>
      <c r="BO300" s="3"/>
      <c r="BP300" s="3"/>
      <c r="BQ300" s="3"/>
      <c r="BR300" s="3"/>
      <c r="BS300" s="3"/>
      <c r="BT300" s="3"/>
      <c r="BU300" s="3" t="s">
        <v>3</v>
      </c>
      <c r="BV300" s="3"/>
      <c r="BW300" s="3"/>
      <c r="BX300" s="3"/>
      <c r="BY300" s="3"/>
      <c r="BZ300" s="3"/>
      <c r="CA300" s="13" t="s">
        <v>3</v>
      </c>
      <c r="CB300" s="3"/>
    </row>
    <row r="301" spans="2:80" ht="30" customHeight="1">
      <c r="B301" s="11">
        <f t="shared" si="14"/>
        <v>296</v>
      </c>
      <c r="C301" s="38" t="s">
        <v>814</v>
      </c>
      <c r="D301" s="38" t="s">
        <v>838</v>
      </c>
      <c r="E301" s="35" t="s">
        <v>850</v>
      </c>
      <c r="F301" s="14">
        <f t="shared" si="15"/>
        <v>2</v>
      </c>
      <c r="G301" s="15" t="s">
        <v>795</v>
      </c>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28"/>
      <c r="AY301" s="3"/>
      <c r="AZ301" s="3"/>
      <c r="BA301" s="3"/>
      <c r="BB301" s="3"/>
      <c r="BC301" s="3"/>
      <c r="BD301" s="3"/>
      <c r="BE301" s="3"/>
      <c r="BF301" s="3"/>
      <c r="BG301" s="3"/>
      <c r="BH301" s="3"/>
      <c r="BI301" s="3"/>
      <c r="BJ301" s="3"/>
      <c r="BK301" s="3"/>
      <c r="BL301" s="3"/>
      <c r="BM301" s="3"/>
      <c r="BN301" s="28"/>
      <c r="BO301" s="3"/>
      <c r="BP301" s="3"/>
      <c r="BQ301" s="3"/>
      <c r="BR301" s="3"/>
      <c r="BS301" s="3"/>
      <c r="BT301" s="3"/>
      <c r="BU301" s="3" t="s">
        <v>3</v>
      </c>
      <c r="BV301" s="3"/>
      <c r="BW301" s="3"/>
      <c r="BX301" s="3"/>
      <c r="BY301" s="3"/>
      <c r="BZ301" s="3"/>
      <c r="CA301" s="13" t="s">
        <v>3</v>
      </c>
      <c r="CB301" s="3"/>
    </row>
    <row r="302" spans="2:80" ht="30" customHeight="1">
      <c r="B302" s="11">
        <f t="shared" si="14"/>
        <v>297</v>
      </c>
      <c r="C302" s="38" t="s">
        <v>814</v>
      </c>
      <c r="D302" s="35" t="s">
        <v>851</v>
      </c>
      <c r="E302" s="35" t="s">
        <v>852</v>
      </c>
      <c r="F302" s="14">
        <f t="shared" si="15"/>
        <v>2</v>
      </c>
      <c r="G302" s="15" t="s">
        <v>795</v>
      </c>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28"/>
      <c r="AY302" s="3"/>
      <c r="AZ302" s="3"/>
      <c r="BA302" s="3"/>
      <c r="BB302" s="3"/>
      <c r="BC302" s="3"/>
      <c r="BD302" s="3"/>
      <c r="BE302" s="3"/>
      <c r="BF302" s="3"/>
      <c r="BG302" s="3"/>
      <c r="BH302" s="3"/>
      <c r="BI302" s="3"/>
      <c r="BJ302" s="3"/>
      <c r="BK302" s="3"/>
      <c r="BL302" s="3"/>
      <c r="BM302" s="3"/>
      <c r="BN302" s="28"/>
      <c r="BO302" s="3"/>
      <c r="BP302" s="3"/>
      <c r="BQ302" s="3"/>
      <c r="BR302" s="3"/>
      <c r="BS302" s="3"/>
      <c r="BT302" s="3"/>
      <c r="BU302" s="3" t="s">
        <v>3</v>
      </c>
      <c r="BV302" s="3"/>
      <c r="BW302" s="3"/>
      <c r="BX302" s="3"/>
      <c r="BY302" s="3"/>
      <c r="BZ302" s="3"/>
      <c r="CA302" s="13" t="s">
        <v>3</v>
      </c>
      <c r="CB302" s="3"/>
    </row>
    <row r="303" spans="2:80" ht="30" customHeight="1">
      <c r="B303" s="11">
        <f t="shared" si="14"/>
        <v>298</v>
      </c>
      <c r="C303" s="38" t="s">
        <v>814</v>
      </c>
      <c r="D303" s="38" t="s">
        <v>851</v>
      </c>
      <c r="E303" s="35" t="s">
        <v>853</v>
      </c>
      <c r="F303" s="14">
        <f t="shared" si="15"/>
        <v>2</v>
      </c>
      <c r="G303" s="15" t="s">
        <v>795</v>
      </c>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28"/>
      <c r="AY303" s="3"/>
      <c r="AZ303" s="3"/>
      <c r="BA303" s="3"/>
      <c r="BB303" s="3"/>
      <c r="BC303" s="3"/>
      <c r="BD303" s="3"/>
      <c r="BE303" s="3"/>
      <c r="BF303" s="3"/>
      <c r="BG303" s="3"/>
      <c r="BH303" s="3"/>
      <c r="BI303" s="3"/>
      <c r="BJ303" s="3"/>
      <c r="BK303" s="3"/>
      <c r="BL303" s="3"/>
      <c r="BM303" s="3"/>
      <c r="BN303" s="28"/>
      <c r="BO303" s="3"/>
      <c r="BP303" s="3"/>
      <c r="BQ303" s="3"/>
      <c r="BR303" s="3"/>
      <c r="BS303" s="3"/>
      <c r="BT303" s="3"/>
      <c r="BU303" s="3" t="s">
        <v>3</v>
      </c>
      <c r="BV303" s="3"/>
      <c r="BW303" s="3"/>
      <c r="BX303" s="3"/>
      <c r="BY303" s="3"/>
      <c r="BZ303" s="3"/>
      <c r="CA303" s="13" t="s">
        <v>3</v>
      </c>
      <c r="CB303" s="3"/>
    </row>
    <row r="304" spans="2:80" ht="30" customHeight="1">
      <c r="B304" s="11">
        <f t="shared" si="14"/>
        <v>299</v>
      </c>
      <c r="C304" s="38" t="s">
        <v>814</v>
      </c>
      <c r="D304" s="38" t="s">
        <v>851</v>
      </c>
      <c r="E304" s="35" t="s">
        <v>854</v>
      </c>
      <c r="F304" s="14">
        <f t="shared" si="15"/>
        <v>2</v>
      </c>
      <c r="G304" s="15" t="s">
        <v>795</v>
      </c>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28"/>
      <c r="AY304" s="3"/>
      <c r="AZ304" s="3"/>
      <c r="BA304" s="3"/>
      <c r="BB304" s="3"/>
      <c r="BC304" s="3"/>
      <c r="BD304" s="3"/>
      <c r="BE304" s="3"/>
      <c r="BF304" s="3"/>
      <c r="BG304" s="3"/>
      <c r="BH304" s="3"/>
      <c r="BI304" s="3"/>
      <c r="BJ304" s="3"/>
      <c r="BK304" s="3"/>
      <c r="BL304" s="3"/>
      <c r="BM304" s="3"/>
      <c r="BN304" s="28"/>
      <c r="BO304" s="3"/>
      <c r="BP304" s="3"/>
      <c r="BQ304" s="3"/>
      <c r="BR304" s="3"/>
      <c r="BS304" s="3"/>
      <c r="BT304" s="3"/>
      <c r="BU304" s="3" t="s">
        <v>3</v>
      </c>
      <c r="BV304" s="3"/>
      <c r="BW304" s="3"/>
      <c r="BX304" s="3"/>
      <c r="BY304" s="3"/>
      <c r="BZ304" s="3"/>
      <c r="CA304" s="13" t="s">
        <v>3</v>
      </c>
      <c r="CB304" s="3"/>
    </row>
    <row r="305" spans="2:80" ht="30" customHeight="1">
      <c r="B305" s="11">
        <f t="shared" si="14"/>
        <v>300</v>
      </c>
      <c r="C305" s="38" t="s">
        <v>814</v>
      </c>
      <c r="D305" s="38" t="s">
        <v>851</v>
      </c>
      <c r="E305" s="35" t="s">
        <v>855</v>
      </c>
      <c r="F305" s="14">
        <f t="shared" si="15"/>
        <v>2</v>
      </c>
      <c r="G305" s="15" t="s">
        <v>795</v>
      </c>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28"/>
      <c r="AY305" s="3"/>
      <c r="AZ305" s="3"/>
      <c r="BA305" s="3"/>
      <c r="BB305" s="3"/>
      <c r="BC305" s="3"/>
      <c r="BD305" s="3"/>
      <c r="BE305" s="3"/>
      <c r="BF305" s="3"/>
      <c r="BG305" s="3"/>
      <c r="BH305" s="3"/>
      <c r="BI305" s="3"/>
      <c r="BJ305" s="3"/>
      <c r="BK305" s="3"/>
      <c r="BL305" s="3"/>
      <c r="BM305" s="3"/>
      <c r="BN305" s="28"/>
      <c r="BO305" s="3"/>
      <c r="BP305" s="3"/>
      <c r="BQ305" s="3"/>
      <c r="BR305" s="3"/>
      <c r="BS305" s="3"/>
      <c r="BT305" s="3"/>
      <c r="BU305" s="3" t="s">
        <v>3</v>
      </c>
      <c r="BV305" s="3"/>
      <c r="BW305" s="3"/>
      <c r="BX305" s="3"/>
      <c r="BY305" s="3"/>
      <c r="BZ305" s="3"/>
      <c r="CA305" s="13" t="s">
        <v>3</v>
      </c>
      <c r="CB305" s="3"/>
    </row>
    <row r="306" spans="2:80" ht="30" customHeight="1">
      <c r="B306" s="11">
        <f t="shared" si="14"/>
        <v>301</v>
      </c>
      <c r="C306" s="38" t="s">
        <v>814</v>
      </c>
      <c r="D306" s="38" t="s">
        <v>851</v>
      </c>
      <c r="E306" s="35" t="s">
        <v>856</v>
      </c>
      <c r="F306" s="14">
        <f t="shared" si="15"/>
        <v>2</v>
      </c>
      <c r="G306" s="15" t="s">
        <v>795</v>
      </c>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28"/>
      <c r="AY306" s="3"/>
      <c r="AZ306" s="3"/>
      <c r="BA306" s="3"/>
      <c r="BB306" s="3"/>
      <c r="BC306" s="3"/>
      <c r="BD306" s="3"/>
      <c r="BE306" s="3"/>
      <c r="BF306" s="3"/>
      <c r="BG306" s="3"/>
      <c r="BH306" s="3"/>
      <c r="BI306" s="3"/>
      <c r="BJ306" s="3"/>
      <c r="BK306" s="3"/>
      <c r="BL306" s="3"/>
      <c r="BM306" s="3"/>
      <c r="BN306" s="28"/>
      <c r="BO306" s="3"/>
      <c r="BP306" s="3"/>
      <c r="BQ306" s="3"/>
      <c r="BR306" s="3"/>
      <c r="BS306" s="3"/>
      <c r="BT306" s="3"/>
      <c r="BU306" s="3" t="s">
        <v>3</v>
      </c>
      <c r="BV306" s="3"/>
      <c r="BW306" s="3"/>
      <c r="BX306" s="3"/>
      <c r="BY306" s="3"/>
      <c r="BZ306" s="3"/>
      <c r="CA306" s="13" t="s">
        <v>3</v>
      </c>
      <c r="CB306" s="3"/>
    </row>
    <row r="307" spans="2:80" ht="30" customHeight="1">
      <c r="B307" s="11">
        <f t="shared" si="14"/>
        <v>302</v>
      </c>
      <c r="C307" s="38" t="s">
        <v>814</v>
      </c>
      <c r="D307" s="35" t="s">
        <v>857</v>
      </c>
      <c r="E307" s="35" t="s">
        <v>858</v>
      </c>
      <c r="F307" s="14">
        <f t="shared" si="15"/>
        <v>2</v>
      </c>
      <c r="G307" s="15" t="s">
        <v>795</v>
      </c>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28"/>
      <c r="AY307" s="3"/>
      <c r="AZ307" s="3"/>
      <c r="BA307" s="3"/>
      <c r="BB307" s="3"/>
      <c r="BC307" s="3"/>
      <c r="BD307" s="3"/>
      <c r="BE307" s="3"/>
      <c r="BF307" s="3"/>
      <c r="BG307" s="3"/>
      <c r="BH307" s="3"/>
      <c r="BI307" s="3"/>
      <c r="BJ307" s="3"/>
      <c r="BK307" s="3"/>
      <c r="BL307" s="3"/>
      <c r="BM307" s="3"/>
      <c r="BN307" s="28"/>
      <c r="BO307" s="3"/>
      <c r="BP307" s="3"/>
      <c r="BQ307" s="3"/>
      <c r="BR307" s="3"/>
      <c r="BS307" s="3"/>
      <c r="BT307" s="3"/>
      <c r="BU307" s="3" t="s">
        <v>3</v>
      </c>
      <c r="BV307" s="3"/>
      <c r="BW307" s="3"/>
      <c r="BX307" s="3"/>
      <c r="BY307" s="3"/>
      <c r="BZ307" s="3"/>
      <c r="CA307" s="13" t="s">
        <v>3</v>
      </c>
      <c r="CB307" s="3"/>
    </row>
    <row r="308" spans="2:80" ht="30" customHeight="1">
      <c r="B308" s="11">
        <f t="shared" si="14"/>
        <v>303</v>
      </c>
      <c r="C308" s="38" t="s">
        <v>814</v>
      </c>
      <c r="D308" s="38" t="s">
        <v>857</v>
      </c>
      <c r="E308" s="35" t="s">
        <v>859</v>
      </c>
      <c r="F308" s="14">
        <f t="shared" si="15"/>
        <v>2</v>
      </c>
      <c r="G308" s="15" t="s">
        <v>795</v>
      </c>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28"/>
      <c r="AY308" s="3"/>
      <c r="AZ308" s="3"/>
      <c r="BA308" s="3"/>
      <c r="BB308" s="3"/>
      <c r="BC308" s="3"/>
      <c r="BD308" s="3"/>
      <c r="BE308" s="3"/>
      <c r="BF308" s="3"/>
      <c r="BG308" s="3"/>
      <c r="BH308" s="3"/>
      <c r="BI308" s="3"/>
      <c r="BJ308" s="3"/>
      <c r="BK308" s="3"/>
      <c r="BL308" s="3"/>
      <c r="BM308" s="3"/>
      <c r="BN308" s="28"/>
      <c r="BO308" s="3"/>
      <c r="BP308" s="3"/>
      <c r="BQ308" s="3"/>
      <c r="BR308" s="3"/>
      <c r="BS308" s="3"/>
      <c r="BT308" s="3"/>
      <c r="BU308" s="3" t="s">
        <v>3</v>
      </c>
      <c r="BV308" s="3"/>
      <c r="BW308" s="3"/>
      <c r="BX308" s="3"/>
      <c r="BY308" s="3"/>
      <c r="BZ308" s="3"/>
      <c r="CA308" s="13" t="s">
        <v>3</v>
      </c>
      <c r="CB308" s="3"/>
    </row>
    <row r="309" spans="2:80" ht="30" customHeight="1">
      <c r="B309" s="11">
        <f t="shared" si="14"/>
        <v>304</v>
      </c>
      <c r="C309" s="38" t="s">
        <v>814</v>
      </c>
      <c r="D309" s="38" t="s">
        <v>857</v>
      </c>
      <c r="E309" s="35" t="s">
        <v>860</v>
      </c>
      <c r="F309" s="14">
        <f t="shared" si="15"/>
        <v>2</v>
      </c>
      <c r="G309" s="15" t="s">
        <v>795</v>
      </c>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28"/>
      <c r="AY309" s="3"/>
      <c r="AZ309" s="3"/>
      <c r="BA309" s="3"/>
      <c r="BB309" s="3"/>
      <c r="BC309" s="3"/>
      <c r="BD309" s="3"/>
      <c r="BE309" s="3"/>
      <c r="BF309" s="3"/>
      <c r="BG309" s="3"/>
      <c r="BH309" s="3"/>
      <c r="BI309" s="3"/>
      <c r="BJ309" s="3"/>
      <c r="BK309" s="3"/>
      <c r="BL309" s="3"/>
      <c r="BM309" s="3"/>
      <c r="BN309" s="28"/>
      <c r="BO309" s="3"/>
      <c r="BP309" s="3"/>
      <c r="BQ309" s="3"/>
      <c r="BR309" s="3"/>
      <c r="BS309" s="3"/>
      <c r="BT309" s="3"/>
      <c r="BU309" s="3" t="s">
        <v>3</v>
      </c>
      <c r="BV309" s="3"/>
      <c r="BW309" s="3"/>
      <c r="BX309" s="3"/>
      <c r="BY309" s="3"/>
      <c r="BZ309" s="3"/>
      <c r="CA309" s="13" t="s">
        <v>3</v>
      </c>
      <c r="CB309" s="3"/>
    </row>
    <row r="310" spans="2:80" ht="30" customHeight="1">
      <c r="B310" s="11">
        <f t="shared" si="14"/>
        <v>305</v>
      </c>
      <c r="C310" s="38" t="s">
        <v>814</v>
      </c>
      <c r="D310" s="38" t="s">
        <v>857</v>
      </c>
      <c r="E310" s="35" t="s">
        <v>861</v>
      </c>
      <c r="F310" s="14">
        <f t="shared" si="15"/>
        <v>2</v>
      </c>
      <c r="G310" s="15" t="s">
        <v>795</v>
      </c>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28"/>
      <c r="AY310" s="3"/>
      <c r="AZ310" s="3"/>
      <c r="BA310" s="3"/>
      <c r="BB310" s="3"/>
      <c r="BC310" s="3"/>
      <c r="BD310" s="3"/>
      <c r="BE310" s="3"/>
      <c r="BF310" s="3"/>
      <c r="BG310" s="3"/>
      <c r="BH310" s="3"/>
      <c r="BI310" s="3"/>
      <c r="BJ310" s="3"/>
      <c r="BK310" s="3"/>
      <c r="BL310" s="3"/>
      <c r="BM310" s="3"/>
      <c r="BN310" s="28"/>
      <c r="BO310" s="3"/>
      <c r="BP310" s="3"/>
      <c r="BQ310" s="3"/>
      <c r="BR310" s="3"/>
      <c r="BS310" s="3"/>
      <c r="BT310" s="3"/>
      <c r="BU310" s="3" t="s">
        <v>3</v>
      </c>
      <c r="BV310" s="3"/>
      <c r="BW310" s="3"/>
      <c r="BX310" s="3"/>
      <c r="BY310" s="3"/>
      <c r="BZ310" s="3"/>
      <c r="CA310" s="13" t="s">
        <v>3</v>
      </c>
      <c r="CB310" s="3"/>
    </row>
    <row r="311" spans="2:80" ht="30" customHeight="1">
      <c r="B311" s="11">
        <f t="shared" si="14"/>
        <v>306</v>
      </c>
      <c r="C311" s="38" t="s">
        <v>814</v>
      </c>
      <c r="D311" s="38" t="s">
        <v>857</v>
      </c>
      <c r="E311" s="35" t="s">
        <v>862</v>
      </c>
      <c r="F311" s="14">
        <f t="shared" si="15"/>
        <v>2</v>
      </c>
      <c r="G311" s="15" t="s">
        <v>795</v>
      </c>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28"/>
      <c r="AY311" s="3"/>
      <c r="AZ311" s="3"/>
      <c r="BA311" s="3"/>
      <c r="BB311" s="3"/>
      <c r="BC311" s="3"/>
      <c r="BD311" s="3"/>
      <c r="BE311" s="3"/>
      <c r="BF311" s="3"/>
      <c r="BG311" s="3"/>
      <c r="BH311" s="3"/>
      <c r="BI311" s="3"/>
      <c r="BJ311" s="3"/>
      <c r="BK311" s="3"/>
      <c r="BL311" s="3"/>
      <c r="BM311" s="3"/>
      <c r="BN311" s="28"/>
      <c r="BO311" s="3"/>
      <c r="BP311" s="3"/>
      <c r="BQ311" s="3"/>
      <c r="BR311" s="3"/>
      <c r="BS311" s="3"/>
      <c r="BT311" s="3"/>
      <c r="BU311" s="3" t="s">
        <v>3</v>
      </c>
      <c r="BV311" s="3"/>
      <c r="BW311" s="3"/>
      <c r="BX311" s="3"/>
      <c r="BY311" s="3"/>
      <c r="BZ311" s="3"/>
      <c r="CA311" s="13" t="s">
        <v>3</v>
      </c>
      <c r="CB311" s="3"/>
    </row>
    <row r="312" spans="2:80" ht="30" customHeight="1">
      <c r="B312" s="11">
        <f t="shared" si="14"/>
        <v>307</v>
      </c>
      <c r="C312" s="38" t="s">
        <v>814</v>
      </c>
      <c r="D312" s="35" t="s">
        <v>863</v>
      </c>
      <c r="E312" s="35" t="s">
        <v>864</v>
      </c>
      <c r="F312" s="14">
        <f t="shared" si="15"/>
        <v>2</v>
      </c>
      <c r="G312" s="15" t="s">
        <v>795</v>
      </c>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28"/>
      <c r="AY312" s="3"/>
      <c r="AZ312" s="3"/>
      <c r="BA312" s="3"/>
      <c r="BB312" s="3"/>
      <c r="BC312" s="3"/>
      <c r="BD312" s="3"/>
      <c r="BE312" s="3"/>
      <c r="BF312" s="3"/>
      <c r="BG312" s="3"/>
      <c r="BH312" s="3"/>
      <c r="BI312" s="3"/>
      <c r="BJ312" s="3"/>
      <c r="BK312" s="3"/>
      <c r="BL312" s="3"/>
      <c r="BM312" s="3"/>
      <c r="BN312" s="28"/>
      <c r="BO312" s="3"/>
      <c r="BP312" s="3"/>
      <c r="BQ312" s="3"/>
      <c r="BR312" s="3"/>
      <c r="BS312" s="3"/>
      <c r="BT312" s="3"/>
      <c r="BU312" s="3" t="s">
        <v>3</v>
      </c>
      <c r="BV312" s="3"/>
      <c r="BW312" s="3"/>
      <c r="BX312" s="3"/>
      <c r="BY312" s="3"/>
      <c r="BZ312" s="3"/>
      <c r="CA312" s="13" t="s">
        <v>3</v>
      </c>
      <c r="CB312" s="3"/>
    </row>
    <row r="313" spans="2:80" ht="30" customHeight="1">
      <c r="B313" s="11">
        <f t="shared" si="14"/>
        <v>308</v>
      </c>
      <c r="C313" s="38" t="s">
        <v>814</v>
      </c>
      <c r="D313" s="38" t="s">
        <v>863</v>
      </c>
      <c r="E313" s="35" t="s">
        <v>865</v>
      </c>
      <c r="F313" s="14">
        <f t="shared" si="15"/>
        <v>2</v>
      </c>
      <c r="G313" s="15" t="s">
        <v>795</v>
      </c>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28"/>
      <c r="AY313" s="3"/>
      <c r="AZ313" s="3"/>
      <c r="BA313" s="3"/>
      <c r="BB313" s="3"/>
      <c r="BC313" s="3"/>
      <c r="BD313" s="3"/>
      <c r="BE313" s="3"/>
      <c r="BF313" s="3"/>
      <c r="BG313" s="3"/>
      <c r="BH313" s="3"/>
      <c r="BI313" s="3"/>
      <c r="BJ313" s="3"/>
      <c r="BK313" s="3"/>
      <c r="BL313" s="3"/>
      <c r="BM313" s="3"/>
      <c r="BN313" s="28"/>
      <c r="BO313" s="3"/>
      <c r="BP313" s="3"/>
      <c r="BQ313" s="3"/>
      <c r="BR313" s="3"/>
      <c r="BS313" s="3"/>
      <c r="BT313" s="3"/>
      <c r="BU313" s="3" t="s">
        <v>3</v>
      </c>
      <c r="BV313" s="3"/>
      <c r="BW313" s="3"/>
      <c r="BX313" s="3"/>
      <c r="BY313" s="3"/>
      <c r="BZ313" s="3"/>
      <c r="CA313" s="13" t="s">
        <v>3</v>
      </c>
      <c r="CB313" s="3"/>
    </row>
    <row r="314" spans="2:80" ht="30" customHeight="1">
      <c r="B314" s="11">
        <f t="shared" si="14"/>
        <v>309</v>
      </c>
      <c r="C314" s="38" t="s">
        <v>814</v>
      </c>
      <c r="D314" s="38" t="s">
        <v>863</v>
      </c>
      <c r="E314" s="35" t="s">
        <v>866</v>
      </c>
      <c r="F314" s="14">
        <f t="shared" si="15"/>
        <v>2</v>
      </c>
      <c r="G314" s="15" t="s">
        <v>795</v>
      </c>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28"/>
      <c r="AY314" s="3"/>
      <c r="AZ314" s="3"/>
      <c r="BA314" s="3"/>
      <c r="BB314" s="3"/>
      <c r="BC314" s="3"/>
      <c r="BD314" s="3"/>
      <c r="BE314" s="3"/>
      <c r="BF314" s="3"/>
      <c r="BG314" s="3"/>
      <c r="BH314" s="3"/>
      <c r="BI314" s="3"/>
      <c r="BJ314" s="3"/>
      <c r="BK314" s="3"/>
      <c r="BL314" s="3"/>
      <c r="BM314" s="3"/>
      <c r="BN314" s="28"/>
      <c r="BO314" s="3"/>
      <c r="BP314" s="3"/>
      <c r="BQ314" s="3"/>
      <c r="BR314" s="3"/>
      <c r="BS314" s="3"/>
      <c r="BT314" s="3"/>
      <c r="BU314" s="3" t="s">
        <v>3</v>
      </c>
      <c r="BV314" s="3"/>
      <c r="BW314" s="3"/>
      <c r="BX314" s="3"/>
      <c r="BY314" s="3"/>
      <c r="BZ314" s="3"/>
      <c r="CA314" s="13" t="s">
        <v>3</v>
      </c>
      <c r="CB314" s="3"/>
    </row>
    <row r="315" spans="2:80" ht="30" customHeight="1">
      <c r="B315" s="11">
        <f t="shared" si="14"/>
        <v>310</v>
      </c>
      <c r="C315" s="38" t="s">
        <v>814</v>
      </c>
      <c r="D315" s="35" t="s">
        <v>867</v>
      </c>
      <c r="E315" s="35" t="s">
        <v>868</v>
      </c>
      <c r="F315" s="14">
        <f t="shared" si="15"/>
        <v>2</v>
      </c>
      <c r="G315" s="15" t="s">
        <v>795</v>
      </c>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28"/>
      <c r="AY315" s="3"/>
      <c r="AZ315" s="3"/>
      <c r="BA315" s="3"/>
      <c r="BB315" s="3"/>
      <c r="BC315" s="3"/>
      <c r="BD315" s="3"/>
      <c r="BE315" s="3"/>
      <c r="BF315" s="3"/>
      <c r="BG315" s="3"/>
      <c r="BH315" s="3"/>
      <c r="BI315" s="3"/>
      <c r="BJ315" s="3"/>
      <c r="BK315" s="3"/>
      <c r="BL315" s="3"/>
      <c r="BM315" s="3"/>
      <c r="BN315" s="28"/>
      <c r="BO315" s="3"/>
      <c r="BP315" s="3"/>
      <c r="BQ315" s="3"/>
      <c r="BR315" s="3"/>
      <c r="BS315" s="3"/>
      <c r="BT315" s="3"/>
      <c r="BU315" s="3" t="s">
        <v>3</v>
      </c>
      <c r="BV315" s="3"/>
      <c r="BW315" s="3"/>
      <c r="BX315" s="3"/>
      <c r="BY315" s="3"/>
      <c r="BZ315" s="3"/>
      <c r="CA315" s="13" t="s">
        <v>3</v>
      </c>
      <c r="CB315" s="3"/>
    </row>
    <row r="316" spans="2:80" ht="30" customHeight="1">
      <c r="B316" s="11">
        <f t="shared" si="14"/>
        <v>311</v>
      </c>
      <c r="C316" s="38" t="s">
        <v>814</v>
      </c>
      <c r="D316" s="38" t="s">
        <v>867</v>
      </c>
      <c r="E316" s="35" t="s">
        <v>869</v>
      </c>
      <c r="F316" s="14">
        <f t="shared" si="15"/>
        <v>2</v>
      </c>
      <c r="G316" s="15" t="s">
        <v>795</v>
      </c>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28"/>
      <c r="AY316" s="3"/>
      <c r="AZ316" s="3"/>
      <c r="BA316" s="3"/>
      <c r="BB316" s="3"/>
      <c r="BC316" s="3"/>
      <c r="BD316" s="3"/>
      <c r="BE316" s="3"/>
      <c r="BF316" s="3"/>
      <c r="BG316" s="3"/>
      <c r="BH316" s="3"/>
      <c r="BI316" s="3"/>
      <c r="BJ316" s="3"/>
      <c r="BK316" s="3"/>
      <c r="BL316" s="3"/>
      <c r="BM316" s="3"/>
      <c r="BN316" s="28"/>
      <c r="BO316" s="3"/>
      <c r="BP316" s="3"/>
      <c r="BQ316" s="3"/>
      <c r="BR316" s="3"/>
      <c r="BS316" s="3"/>
      <c r="BT316" s="3"/>
      <c r="BU316" s="3" t="s">
        <v>3</v>
      </c>
      <c r="BV316" s="3"/>
      <c r="BW316" s="3"/>
      <c r="BX316" s="3"/>
      <c r="BY316" s="3"/>
      <c r="BZ316" s="3"/>
      <c r="CA316" s="13" t="s">
        <v>3</v>
      </c>
      <c r="CB316" s="3"/>
    </row>
    <row r="317" spans="2:80" ht="30" customHeight="1">
      <c r="B317" s="11">
        <f t="shared" si="14"/>
        <v>312</v>
      </c>
      <c r="C317" s="38" t="s">
        <v>814</v>
      </c>
      <c r="D317" s="35" t="s">
        <v>870</v>
      </c>
      <c r="E317" s="35" t="s">
        <v>871</v>
      </c>
      <c r="F317" s="14">
        <f t="shared" si="15"/>
        <v>2</v>
      </c>
      <c r="G317" s="15" t="s">
        <v>795</v>
      </c>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28"/>
      <c r="AY317" s="3"/>
      <c r="AZ317" s="3"/>
      <c r="BA317" s="3"/>
      <c r="BB317" s="3"/>
      <c r="BC317" s="3"/>
      <c r="BD317" s="3"/>
      <c r="BE317" s="3"/>
      <c r="BF317" s="3"/>
      <c r="BG317" s="3"/>
      <c r="BH317" s="3"/>
      <c r="BI317" s="3"/>
      <c r="BJ317" s="3"/>
      <c r="BK317" s="3"/>
      <c r="BL317" s="3"/>
      <c r="BM317" s="3"/>
      <c r="BN317" s="28"/>
      <c r="BO317" s="3"/>
      <c r="BP317" s="3"/>
      <c r="BQ317" s="3"/>
      <c r="BR317" s="3"/>
      <c r="BS317" s="3"/>
      <c r="BT317" s="3"/>
      <c r="BU317" s="3" t="s">
        <v>3</v>
      </c>
      <c r="BV317" s="3"/>
      <c r="BW317" s="3"/>
      <c r="BX317" s="3"/>
      <c r="BY317" s="3"/>
      <c r="BZ317" s="3"/>
      <c r="CA317" s="13" t="s">
        <v>3</v>
      </c>
      <c r="CB317" s="3"/>
    </row>
    <row r="318" spans="2:80" ht="30" customHeight="1">
      <c r="B318" s="11">
        <f t="shared" si="14"/>
        <v>313</v>
      </c>
      <c r="C318" s="38" t="s">
        <v>814</v>
      </c>
      <c r="D318" s="38" t="s">
        <v>870</v>
      </c>
      <c r="E318" s="35" t="s">
        <v>872</v>
      </c>
      <c r="F318" s="14">
        <f t="shared" si="15"/>
        <v>2</v>
      </c>
      <c r="G318" s="15" t="s">
        <v>795</v>
      </c>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28"/>
      <c r="AY318" s="3"/>
      <c r="AZ318" s="3"/>
      <c r="BA318" s="3"/>
      <c r="BB318" s="3"/>
      <c r="BC318" s="3"/>
      <c r="BD318" s="3"/>
      <c r="BE318" s="3"/>
      <c r="BF318" s="3"/>
      <c r="BG318" s="3"/>
      <c r="BH318" s="3"/>
      <c r="BI318" s="3"/>
      <c r="BJ318" s="3"/>
      <c r="BK318" s="3"/>
      <c r="BL318" s="3"/>
      <c r="BM318" s="3"/>
      <c r="BN318" s="28"/>
      <c r="BO318" s="3"/>
      <c r="BP318" s="3"/>
      <c r="BQ318" s="3"/>
      <c r="BR318" s="3"/>
      <c r="BS318" s="3"/>
      <c r="BT318" s="3"/>
      <c r="BU318" s="3" t="s">
        <v>3</v>
      </c>
      <c r="BV318" s="3"/>
      <c r="BW318" s="3"/>
      <c r="BX318" s="3"/>
      <c r="BY318" s="3"/>
      <c r="BZ318" s="3"/>
      <c r="CA318" s="13" t="s">
        <v>3</v>
      </c>
      <c r="CB318" s="3"/>
    </row>
    <row r="319" spans="2:80" ht="30" customHeight="1">
      <c r="B319" s="11">
        <f t="shared" si="14"/>
        <v>314</v>
      </c>
      <c r="C319" s="38" t="s">
        <v>814</v>
      </c>
      <c r="D319" s="38" t="s">
        <v>870</v>
      </c>
      <c r="E319" s="35" t="s">
        <v>873</v>
      </c>
      <c r="F319" s="14">
        <f t="shared" si="15"/>
        <v>2</v>
      </c>
      <c r="G319" s="15" t="s">
        <v>795</v>
      </c>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28"/>
      <c r="AY319" s="3"/>
      <c r="AZ319" s="3"/>
      <c r="BA319" s="3"/>
      <c r="BB319" s="3"/>
      <c r="BC319" s="3"/>
      <c r="BD319" s="3"/>
      <c r="BE319" s="3"/>
      <c r="BF319" s="3"/>
      <c r="BG319" s="3"/>
      <c r="BH319" s="3"/>
      <c r="BI319" s="3"/>
      <c r="BJ319" s="3"/>
      <c r="BK319" s="3"/>
      <c r="BL319" s="3"/>
      <c r="BM319" s="3"/>
      <c r="BN319" s="28"/>
      <c r="BO319" s="3"/>
      <c r="BP319" s="3"/>
      <c r="BQ319" s="3"/>
      <c r="BR319" s="3"/>
      <c r="BS319" s="3"/>
      <c r="BT319" s="3"/>
      <c r="BU319" s="3" t="s">
        <v>3</v>
      </c>
      <c r="BV319" s="3"/>
      <c r="BW319" s="3"/>
      <c r="BX319" s="3"/>
      <c r="BY319" s="3"/>
      <c r="BZ319" s="3"/>
      <c r="CA319" s="13" t="s">
        <v>3</v>
      </c>
      <c r="CB319" s="3"/>
    </row>
    <row r="320" spans="2:80" ht="30" customHeight="1">
      <c r="B320" s="11">
        <f t="shared" si="14"/>
        <v>315</v>
      </c>
      <c r="C320" s="38" t="s">
        <v>814</v>
      </c>
      <c r="D320" s="38" t="s">
        <v>870</v>
      </c>
      <c r="E320" s="35" t="s">
        <v>874</v>
      </c>
      <c r="F320" s="14">
        <f t="shared" si="15"/>
        <v>2</v>
      </c>
      <c r="G320" s="15" t="s">
        <v>795</v>
      </c>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28"/>
      <c r="AY320" s="3"/>
      <c r="AZ320" s="3"/>
      <c r="BA320" s="3"/>
      <c r="BB320" s="3"/>
      <c r="BC320" s="3"/>
      <c r="BD320" s="3"/>
      <c r="BE320" s="3"/>
      <c r="BF320" s="3"/>
      <c r="BG320" s="3"/>
      <c r="BH320" s="3"/>
      <c r="BI320" s="3"/>
      <c r="BJ320" s="3"/>
      <c r="BK320" s="3"/>
      <c r="BL320" s="3"/>
      <c r="BM320" s="3"/>
      <c r="BN320" s="28"/>
      <c r="BO320" s="3"/>
      <c r="BP320" s="3"/>
      <c r="BQ320" s="3"/>
      <c r="BR320" s="3"/>
      <c r="BS320" s="3"/>
      <c r="BT320" s="3"/>
      <c r="BU320" s="3" t="s">
        <v>3</v>
      </c>
      <c r="BV320" s="3"/>
      <c r="BW320" s="3"/>
      <c r="BX320" s="3"/>
      <c r="BY320" s="3"/>
      <c r="BZ320" s="3"/>
      <c r="CA320" s="13" t="s">
        <v>3</v>
      </c>
      <c r="CB320" s="3"/>
    </row>
    <row r="321" spans="2:80" ht="30" customHeight="1">
      <c r="B321" s="11">
        <f t="shared" si="14"/>
        <v>316</v>
      </c>
      <c r="C321" s="38" t="s">
        <v>814</v>
      </c>
      <c r="D321" s="38" t="s">
        <v>870</v>
      </c>
      <c r="E321" s="35" t="s">
        <v>875</v>
      </c>
      <c r="F321" s="14">
        <f t="shared" si="15"/>
        <v>2</v>
      </c>
      <c r="G321" s="15" t="s">
        <v>795</v>
      </c>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28"/>
      <c r="AY321" s="3"/>
      <c r="AZ321" s="3"/>
      <c r="BA321" s="3"/>
      <c r="BB321" s="3"/>
      <c r="BC321" s="3"/>
      <c r="BD321" s="3"/>
      <c r="BE321" s="3"/>
      <c r="BF321" s="3"/>
      <c r="BG321" s="3"/>
      <c r="BH321" s="3"/>
      <c r="BI321" s="3"/>
      <c r="BJ321" s="3"/>
      <c r="BK321" s="3"/>
      <c r="BL321" s="3"/>
      <c r="BM321" s="3"/>
      <c r="BN321" s="28"/>
      <c r="BO321" s="3"/>
      <c r="BP321" s="3"/>
      <c r="BQ321" s="3"/>
      <c r="BR321" s="3"/>
      <c r="BS321" s="3"/>
      <c r="BT321" s="3"/>
      <c r="BU321" s="3" t="s">
        <v>3</v>
      </c>
      <c r="BV321" s="3"/>
      <c r="BW321" s="3"/>
      <c r="BX321" s="3"/>
      <c r="BY321" s="3"/>
      <c r="BZ321" s="3"/>
      <c r="CA321" s="13" t="s">
        <v>3</v>
      </c>
      <c r="CB321" s="3"/>
    </row>
    <row r="322" spans="2:80" ht="30" customHeight="1">
      <c r="B322" s="11">
        <f t="shared" si="14"/>
        <v>317</v>
      </c>
      <c r="C322" s="38" t="s">
        <v>814</v>
      </c>
      <c r="D322" s="38" t="s">
        <v>870</v>
      </c>
      <c r="E322" s="35" t="s">
        <v>876</v>
      </c>
      <c r="F322" s="14">
        <f t="shared" si="15"/>
        <v>2</v>
      </c>
      <c r="G322" s="15" t="s">
        <v>795</v>
      </c>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28"/>
      <c r="AY322" s="3"/>
      <c r="AZ322" s="3"/>
      <c r="BA322" s="3"/>
      <c r="BB322" s="3"/>
      <c r="BC322" s="3"/>
      <c r="BD322" s="3"/>
      <c r="BE322" s="3"/>
      <c r="BF322" s="3"/>
      <c r="BG322" s="3"/>
      <c r="BH322" s="3"/>
      <c r="BI322" s="3"/>
      <c r="BJ322" s="3"/>
      <c r="BK322" s="3"/>
      <c r="BL322" s="3"/>
      <c r="BM322" s="3"/>
      <c r="BN322" s="28"/>
      <c r="BO322" s="3"/>
      <c r="BP322" s="3"/>
      <c r="BQ322" s="3"/>
      <c r="BR322" s="3"/>
      <c r="BS322" s="3"/>
      <c r="BT322" s="3"/>
      <c r="BU322" s="3" t="s">
        <v>3</v>
      </c>
      <c r="BV322" s="3"/>
      <c r="BW322" s="3"/>
      <c r="BX322" s="3"/>
      <c r="BY322" s="3"/>
      <c r="BZ322" s="3"/>
      <c r="CA322" s="13" t="s">
        <v>3</v>
      </c>
      <c r="CB322" s="3"/>
    </row>
    <row r="323" spans="2:80" ht="30" customHeight="1">
      <c r="B323" s="11">
        <f t="shared" si="14"/>
        <v>318</v>
      </c>
      <c r="C323" s="38" t="s">
        <v>814</v>
      </c>
      <c r="D323" s="38" t="s">
        <v>870</v>
      </c>
      <c r="E323" s="35" t="s">
        <v>877</v>
      </c>
      <c r="F323" s="14">
        <f t="shared" si="15"/>
        <v>2</v>
      </c>
      <c r="G323" s="15" t="s">
        <v>795</v>
      </c>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28"/>
      <c r="AY323" s="3"/>
      <c r="AZ323" s="3"/>
      <c r="BA323" s="3"/>
      <c r="BB323" s="3"/>
      <c r="BC323" s="3"/>
      <c r="BD323" s="3"/>
      <c r="BE323" s="3"/>
      <c r="BF323" s="3"/>
      <c r="BG323" s="3"/>
      <c r="BH323" s="3"/>
      <c r="BI323" s="3"/>
      <c r="BJ323" s="3"/>
      <c r="BK323" s="3"/>
      <c r="BL323" s="3"/>
      <c r="BM323" s="3"/>
      <c r="BN323" s="28"/>
      <c r="BO323" s="3"/>
      <c r="BP323" s="3"/>
      <c r="BQ323" s="3"/>
      <c r="BR323" s="3"/>
      <c r="BS323" s="3"/>
      <c r="BT323" s="3"/>
      <c r="BU323" s="3" t="s">
        <v>3</v>
      </c>
      <c r="BV323" s="3"/>
      <c r="BW323" s="3"/>
      <c r="BX323" s="3"/>
      <c r="BY323" s="3"/>
      <c r="BZ323" s="3"/>
      <c r="CA323" s="13" t="s">
        <v>3</v>
      </c>
      <c r="CB323" s="3"/>
    </row>
    <row r="324" spans="2:80" ht="30" customHeight="1">
      <c r="B324" s="11">
        <f t="shared" si="14"/>
        <v>319</v>
      </c>
      <c r="C324" s="38" t="s">
        <v>814</v>
      </c>
      <c r="D324" s="38" t="s">
        <v>870</v>
      </c>
      <c r="E324" s="35" t="s">
        <v>878</v>
      </c>
      <c r="F324" s="14">
        <f t="shared" si="15"/>
        <v>2</v>
      </c>
      <c r="G324" s="15" t="s">
        <v>795</v>
      </c>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28"/>
      <c r="AY324" s="3"/>
      <c r="AZ324" s="3"/>
      <c r="BA324" s="3"/>
      <c r="BB324" s="3"/>
      <c r="BC324" s="3"/>
      <c r="BD324" s="3"/>
      <c r="BE324" s="3"/>
      <c r="BF324" s="3"/>
      <c r="BG324" s="3"/>
      <c r="BH324" s="3"/>
      <c r="BI324" s="3"/>
      <c r="BJ324" s="3"/>
      <c r="BK324" s="3"/>
      <c r="BL324" s="3"/>
      <c r="BM324" s="3"/>
      <c r="BN324" s="28"/>
      <c r="BO324" s="3"/>
      <c r="BP324" s="3"/>
      <c r="BQ324" s="3"/>
      <c r="BR324" s="3"/>
      <c r="BS324" s="3"/>
      <c r="BT324" s="3"/>
      <c r="BU324" s="3" t="s">
        <v>3</v>
      </c>
      <c r="BV324" s="3"/>
      <c r="BW324" s="3"/>
      <c r="BX324" s="3"/>
      <c r="BY324" s="3"/>
      <c r="BZ324" s="3"/>
      <c r="CA324" s="13" t="s">
        <v>3</v>
      </c>
      <c r="CB324" s="3"/>
    </row>
    <row r="325" spans="2:80" ht="30" customHeight="1">
      <c r="B325" s="11">
        <f t="shared" si="14"/>
        <v>320</v>
      </c>
      <c r="C325" s="38" t="s">
        <v>814</v>
      </c>
      <c r="D325" s="38" t="s">
        <v>870</v>
      </c>
      <c r="E325" s="35" t="s">
        <v>879</v>
      </c>
      <c r="F325" s="14">
        <f t="shared" si="15"/>
        <v>2</v>
      </c>
      <c r="G325" s="15" t="s">
        <v>795</v>
      </c>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28"/>
      <c r="AY325" s="3"/>
      <c r="AZ325" s="3"/>
      <c r="BA325" s="3"/>
      <c r="BB325" s="3"/>
      <c r="BC325" s="3"/>
      <c r="BD325" s="3"/>
      <c r="BE325" s="3"/>
      <c r="BF325" s="3"/>
      <c r="BG325" s="3"/>
      <c r="BH325" s="3"/>
      <c r="BI325" s="3"/>
      <c r="BJ325" s="3"/>
      <c r="BK325" s="3"/>
      <c r="BL325" s="3"/>
      <c r="BM325" s="3"/>
      <c r="BN325" s="28"/>
      <c r="BO325" s="3"/>
      <c r="BP325" s="3"/>
      <c r="BQ325" s="3"/>
      <c r="BR325" s="3"/>
      <c r="BS325" s="3"/>
      <c r="BT325" s="3"/>
      <c r="BU325" s="3" t="s">
        <v>3</v>
      </c>
      <c r="BV325" s="3"/>
      <c r="BW325" s="3"/>
      <c r="BX325" s="3"/>
      <c r="BY325" s="3"/>
      <c r="BZ325" s="3"/>
      <c r="CA325" s="13" t="s">
        <v>3</v>
      </c>
      <c r="CB325" s="3"/>
    </row>
    <row r="326" spans="2:80" ht="30" customHeight="1">
      <c r="B326" s="11">
        <f t="shared" ref="B326:B407" si="16">ROW()-5</f>
        <v>321</v>
      </c>
      <c r="C326" s="38" t="s">
        <v>814</v>
      </c>
      <c r="D326" s="38" t="s">
        <v>870</v>
      </c>
      <c r="E326" s="35" t="s">
        <v>880</v>
      </c>
      <c r="F326" s="14">
        <f t="shared" si="15"/>
        <v>2</v>
      </c>
      <c r="G326" s="15" t="s">
        <v>795</v>
      </c>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28"/>
      <c r="AY326" s="3"/>
      <c r="AZ326" s="3"/>
      <c r="BA326" s="3"/>
      <c r="BB326" s="3"/>
      <c r="BC326" s="3"/>
      <c r="BD326" s="3"/>
      <c r="BE326" s="3"/>
      <c r="BF326" s="3"/>
      <c r="BG326" s="3"/>
      <c r="BH326" s="3"/>
      <c r="BI326" s="3"/>
      <c r="BJ326" s="3"/>
      <c r="BK326" s="3"/>
      <c r="BL326" s="3"/>
      <c r="BM326" s="3"/>
      <c r="BN326" s="28"/>
      <c r="BO326" s="3"/>
      <c r="BP326" s="3"/>
      <c r="BQ326" s="3"/>
      <c r="BR326" s="3"/>
      <c r="BS326" s="3"/>
      <c r="BT326" s="3"/>
      <c r="BU326" s="3" t="s">
        <v>3</v>
      </c>
      <c r="BV326" s="3"/>
      <c r="BW326" s="3"/>
      <c r="BX326" s="3"/>
      <c r="BY326" s="3"/>
      <c r="BZ326" s="3"/>
      <c r="CA326" s="13" t="s">
        <v>3</v>
      </c>
      <c r="CB326" s="3"/>
    </row>
    <row r="327" spans="2:80" ht="30" customHeight="1">
      <c r="B327" s="11">
        <f t="shared" si="16"/>
        <v>322</v>
      </c>
      <c r="C327" s="38" t="s">
        <v>814</v>
      </c>
      <c r="D327" s="38" t="s">
        <v>870</v>
      </c>
      <c r="E327" s="35" t="s">
        <v>881</v>
      </c>
      <c r="F327" s="14">
        <f t="shared" si="15"/>
        <v>2</v>
      </c>
      <c r="G327" s="15" t="s">
        <v>795</v>
      </c>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28"/>
      <c r="AY327" s="3"/>
      <c r="AZ327" s="3"/>
      <c r="BA327" s="3"/>
      <c r="BB327" s="3"/>
      <c r="BC327" s="3"/>
      <c r="BD327" s="3"/>
      <c r="BE327" s="3"/>
      <c r="BF327" s="3"/>
      <c r="BG327" s="3"/>
      <c r="BH327" s="3"/>
      <c r="BI327" s="3"/>
      <c r="BJ327" s="3"/>
      <c r="BK327" s="3"/>
      <c r="BL327" s="3"/>
      <c r="BM327" s="3"/>
      <c r="BN327" s="28"/>
      <c r="BO327" s="3"/>
      <c r="BP327" s="3"/>
      <c r="BQ327" s="3"/>
      <c r="BR327" s="3"/>
      <c r="BS327" s="3"/>
      <c r="BT327" s="3"/>
      <c r="BU327" s="3" t="s">
        <v>3</v>
      </c>
      <c r="BV327" s="3"/>
      <c r="BW327" s="3"/>
      <c r="BX327" s="3"/>
      <c r="BY327" s="3"/>
      <c r="BZ327" s="3"/>
      <c r="CA327" s="13" t="s">
        <v>3</v>
      </c>
      <c r="CB327" s="3"/>
    </row>
    <row r="328" spans="2:80" ht="30" customHeight="1">
      <c r="B328" s="11">
        <f t="shared" si="16"/>
        <v>323</v>
      </c>
      <c r="C328" s="38" t="s">
        <v>814</v>
      </c>
      <c r="D328" s="38" t="s">
        <v>870</v>
      </c>
      <c r="E328" s="35" t="s">
        <v>882</v>
      </c>
      <c r="F328" s="14">
        <f t="shared" si="15"/>
        <v>2</v>
      </c>
      <c r="G328" s="15" t="s">
        <v>795</v>
      </c>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28"/>
      <c r="AY328" s="3"/>
      <c r="AZ328" s="3"/>
      <c r="BA328" s="3"/>
      <c r="BB328" s="3"/>
      <c r="BC328" s="3"/>
      <c r="BD328" s="3"/>
      <c r="BE328" s="3"/>
      <c r="BF328" s="3"/>
      <c r="BG328" s="3"/>
      <c r="BH328" s="3"/>
      <c r="BI328" s="3"/>
      <c r="BJ328" s="3"/>
      <c r="BK328" s="3"/>
      <c r="BL328" s="3"/>
      <c r="BM328" s="3"/>
      <c r="BN328" s="28"/>
      <c r="BO328" s="3"/>
      <c r="BP328" s="3"/>
      <c r="BQ328" s="3"/>
      <c r="BR328" s="3"/>
      <c r="BS328" s="3"/>
      <c r="BT328" s="3"/>
      <c r="BU328" s="3" t="s">
        <v>3</v>
      </c>
      <c r="BV328" s="3"/>
      <c r="BW328" s="3"/>
      <c r="BX328" s="3"/>
      <c r="BY328" s="3"/>
      <c r="BZ328" s="3"/>
      <c r="CA328" s="13" t="s">
        <v>3</v>
      </c>
      <c r="CB328" s="3"/>
    </row>
    <row r="329" spans="2:80" ht="30" customHeight="1">
      <c r="B329" s="11">
        <f t="shared" si="16"/>
        <v>324</v>
      </c>
      <c r="C329" s="38" t="s">
        <v>814</v>
      </c>
      <c r="D329" s="38" t="s">
        <v>870</v>
      </c>
      <c r="E329" s="35" t="s">
        <v>883</v>
      </c>
      <c r="F329" s="14">
        <f t="shared" si="15"/>
        <v>2</v>
      </c>
      <c r="G329" s="15" t="s">
        <v>795</v>
      </c>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28"/>
      <c r="AY329" s="3"/>
      <c r="AZ329" s="3"/>
      <c r="BA329" s="3"/>
      <c r="BB329" s="3"/>
      <c r="BC329" s="3"/>
      <c r="BD329" s="3"/>
      <c r="BE329" s="3"/>
      <c r="BF329" s="3"/>
      <c r="BG329" s="3"/>
      <c r="BH329" s="3"/>
      <c r="BI329" s="3"/>
      <c r="BJ329" s="3"/>
      <c r="BK329" s="3"/>
      <c r="BL329" s="3"/>
      <c r="BM329" s="3"/>
      <c r="BN329" s="28"/>
      <c r="BO329" s="3"/>
      <c r="BP329" s="3"/>
      <c r="BQ329" s="3"/>
      <c r="BR329" s="3"/>
      <c r="BS329" s="3"/>
      <c r="BT329" s="3"/>
      <c r="BU329" s="3" t="s">
        <v>3</v>
      </c>
      <c r="BV329" s="3"/>
      <c r="BW329" s="3"/>
      <c r="BX329" s="3"/>
      <c r="BY329" s="3"/>
      <c r="BZ329" s="3"/>
      <c r="CA329" s="13" t="s">
        <v>3</v>
      </c>
      <c r="CB329" s="3"/>
    </row>
    <row r="330" spans="2:80" ht="30" customHeight="1">
      <c r="B330" s="11">
        <f t="shared" si="16"/>
        <v>325</v>
      </c>
      <c r="C330" s="38" t="s">
        <v>814</v>
      </c>
      <c r="D330" s="35" t="s">
        <v>884</v>
      </c>
      <c r="E330" s="35" t="s">
        <v>885</v>
      </c>
      <c r="F330" s="14">
        <f t="shared" si="15"/>
        <v>2</v>
      </c>
      <c r="G330" s="15" t="s">
        <v>795</v>
      </c>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28"/>
      <c r="AY330" s="3"/>
      <c r="AZ330" s="3"/>
      <c r="BA330" s="3"/>
      <c r="BB330" s="3"/>
      <c r="BC330" s="3"/>
      <c r="BD330" s="3"/>
      <c r="BE330" s="3"/>
      <c r="BF330" s="3"/>
      <c r="BG330" s="3"/>
      <c r="BH330" s="3"/>
      <c r="BI330" s="3"/>
      <c r="BJ330" s="3"/>
      <c r="BK330" s="3"/>
      <c r="BL330" s="3"/>
      <c r="BM330" s="3"/>
      <c r="BN330" s="28"/>
      <c r="BO330" s="3"/>
      <c r="BP330" s="3"/>
      <c r="BQ330" s="3"/>
      <c r="BR330" s="3"/>
      <c r="BS330" s="3"/>
      <c r="BT330" s="3"/>
      <c r="BU330" s="3" t="s">
        <v>3</v>
      </c>
      <c r="BV330" s="3"/>
      <c r="BW330" s="3"/>
      <c r="BX330" s="3"/>
      <c r="BY330" s="3"/>
      <c r="BZ330" s="3"/>
      <c r="CA330" s="13" t="s">
        <v>3</v>
      </c>
      <c r="CB330" s="3"/>
    </row>
    <row r="331" spans="2:80" ht="30" customHeight="1">
      <c r="B331" s="11">
        <f t="shared" si="16"/>
        <v>326</v>
      </c>
      <c r="C331" s="38" t="s">
        <v>814</v>
      </c>
      <c r="D331" s="38" t="s">
        <v>884</v>
      </c>
      <c r="E331" s="35" t="s">
        <v>886</v>
      </c>
      <c r="F331" s="14">
        <f t="shared" si="15"/>
        <v>2</v>
      </c>
      <c r="G331" s="15" t="s">
        <v>795</v>
      </c>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28"/>
      <c r="AY331" s="3"/>
      <c r="AZ331" s="3"/>
      <c r="BA331" s="3"/>
      <c r="BB331" s="3"/>
      <c r="BC331" s="3"/>
      <c r="BD331" s="3"/>
      <c r="BE331" s="3"/>
      <c r="BF331" s="3"/>
      <c r="BG331" s="3"/>
      <c r="BH331" s="3"/>
      <c r="BI331" s="3"/>
      <c r="BJ331" s="3"/>
      <c r="BK331" s="3"/>
      <c r="BL331" s="3"/>
      <c r="BM331" s="3"/>
      <c r="BN331" s="28"/>
      <c r="BO331" s="3"/>
      <c r="BP331" s="3"/>
      <c r="BQ331" s="3"/>
      <c r="BR331" s="3"/>
      <c r="BS331" s="3"/>
      <c r="BT331" s="3"/>
      <c r="BU331" s="3" t="s">
        <v>3</v>
      </c>
      <c r="BV331" s="3"/>
      <c r="BW331" s="3"/>
      <c r="BX331" s="3"/>
      <c r="BY331" s="3"/>
      <c r="BZ331" s="3"/>
      <c r="CA331" s="13" t="s">
        <v>3</v>
      </c>
      <c r="CB331" s="3"/>
    </row>
    <row r="332" spans="2:80" ht="30" customHeight="1">
      <c r="B332" s="11">
        <f t="shared" si="16"/>
        <v>327</v>
      </c>
      <c r="C332" s="38" t="s">
        <v>814</v>
      </c>
      <c r="D332" s="38" t="s">
        <v>884</v>
      </c>
      <c r="E332" s="35" t="s">
        <v>887</v>
      </c>
      <c r="F332" s="14">
        <f t="shared" si="15"/>
        <v>2</v>
      </c>
      <c r="G332" s="15" t="s">
        <v>795</v>
      </c>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28"/>
      <c r="AY332" s="3"/>
      <c r="AZ332" s="3"/>
      <c r="BA332" s="3"/>
      <c r="BB332" s="3"/>
      <c r="BC332" s="3"/>
      <c r="BD332" s="3"/>
      <c r="BE332" s="3"/>
      <c r="BF332" s="3"/>
      <c r="BG332" s="3"/>
      <c r="BH332" s="3"/>
      <c r="BI332" s="3"/>
      <c r="BJ332" s="3"/>
      <c r="BK332" s="3"/>
      <c r="BL332" s="3"/>
      <c r="BM332" s="3"/>
      <c r="BN332" s="28"/>
      <c r="BO332" s="3"/>
      <c r="BP332" s="3"/>
      <c r="BQ332" s="3"/>
      <c r="BR332" s="3"/>
      <c r="BS332" s="3"/>
      <c r="BT332" s="3"/>
      <c r="BU332" s="3" t="s">
        <v>3</v>
      </c>
      <c r="BV332" s="3"/>
      <c r="BW332" s="3"/>
      <c r="BX332" s="3"/>
      <c r="BY332" s="3"/>
      <c r="BZ332" s="3"/>
      <c r="CA332" s="13" t="s">
        <v>3</v>
      </c>
      <c r="CB332" s="3"/>
    </row>
    <row r="333" spans="2:80" ht="30" customHeight="1">
      <c r="B333" s="11">
        <f t="shared" si="16"/>
        <v>328</v>
      </c>
      <c r="C333" s="38" t="s">
        <v>814</v>
      </c>
      <c r="D333" s="38" t="s">
        <v>884</v>
      </c>
      <c r="E333" s="35" t="s">
        <v>888</v>
      </c>
      <c r="F333" s="14">
        <f t="shared" si="15"/>
        <v>2</v>
      </c>
      <c r="G333" s="15" t="s">
        <v>795</v>
      </c>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28"/>
      <c r="AY333" s="3"/>
      <c r="AZ333" s="3"/>
      <c r="BA333" s="3"/>
      <c r="BB333" s="3"/>
      <c r="BC333" s="3"/>
      <c r="BD333" s="3"/>
      <c r="BE333" s="3"/>
      <c r="BF333" s="3"/>
      <c r="BG333" s="3"/>
      <c r="BH333" s="3"/>
      <c r="BI333" s="3"/>
      <c r="BJ333" s="3"/>
      <c r="BK333" s="3"/>
      <c r="BL333" s="3"/>
      <c r="BM333" s="3"/>
      <c r="BN333" s="28"/>
      <c r="BO333" s="3"/>
      <c r="BP333" s="3"/>
      <c r="BQ333" s="3"/>
      <c r="BR333" s="3"/>
      <c r="BS333" s="3"/>
      <c r="BT333" s="3"/>
      <c r="BU333" s="3" t="s">
        <v>3</v>
      </c>
      <c r="BV333" s="3"/>
      <c r="BW333" s="3"/>
      <c r="BX333" s="3"/>
      <c r="BY333" s="3"/>
      <c r="BZ333" s="3"/>
      <c r="CA333" s="13" t="s">
        <v>3</v>
      </c>
      <c r="CB333" s="3"/>
    </row>
    <row r="334" spans="2:80" ht="30" customHeight="1">
      <c r="B334" s="11">
        <f t="shared" si="16"/>
        <v>329</v>
      </c>
      <c r="C334" s="38" t="s">
        <v>814</v>
      </c>
      <c r="D334" s="38" t="s">
        <v>884</v>
      </c>
      <c r="E334" s="35" t="s">
        <v>889</v>
      </c>
      <c r="F334" s="14">
        <f t="shared" si="15"/>
        <v>2</v>
      </c>
      <c r="G334" s="15" t="s">
        <v>795</v>
      </c>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28"/>
      <c r="AY334" s="3"/>
      <c r="AZ334" s="3"/>
      <c r="BA334" s="3"/>
      <c r="BB334" s="3"/>
      <c r="BC334" s="3"/>
      <c r="BD334" s="3"/>
      <c r="BE334" s="3"/>
      <c r="BF334" s="3"/>
      <c r="BG334" s="3"/>
      <c r="BH334" s="3"/>
      <c r="BI334" s="3"/>
      <c r="BJ334" s="3"/>
      <c r="BK334" s="3"/>
      <c r="BL334" s="3"/>
      <c r="BM334" s="3"/>
      <c r="BN334" s="28"/>
      <c r="BO334" s="3"/>
      <c r="BP334" s="3"/>
      <c r="BQ334" s="3"/>
      <c r="BR334" s="3"/>
      <c r="BS334" s="3"/>
      <c r="BT334" s="3"/>
      <c r="BU334" s="3" t="s">
        <v>3</v>
      </c>
      <c r="BV334" s="3"/>
      <c r="BW334" s="3"/>
      <c r="BX334" s="3"/>
      <c r="BY334" s="3"/>
      <c r="BZ334" s="3"/>
      <c r="CA334" s="13" t="s">
        <v>3</v>
      </c>
      <c r="CB334" s="3"/>
    </row>
    <row r="335" spans="2:80" ht="30" customHeight="1">
      <c r="B335" s="11">
        <f t="shared" si="16"/>
        <v>330</v>
      </c>
      <c r="C335" s="38" t="s">
        <v>814</v>
      </c>
      <c r="D335" s="38" t="s">
        <v>884</v>
      </c>
      <c r="E335" s="35" t="s">
        <v>890</v>
      </c>
      <c r="F335" s="14">
        <f t="shared" si="15"/>
        <v>2</v>
      </c>
      <c r="G335" s="15" t="s">
        <v>499</v>
      </c>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28"/>
      <c r="AY335" s="3"/>
      <c r="AZ335" s="3"/>
      <c r="BA335" s="3"/>
      <c r="BB335" s="3"/>
      <c r="BC335" s="3"/>
      <c r="BD335" s="3"/>
      <c r="BE335" s="3"/>
      <c r="BF335" s="3"/>
      <c r="BG335" s="3"/>
      <c r="BH335" s="3"/>
      <c r="BI335" s="3"/>
      <c r="BJ335" s="3"/>
      <c r="BK335" s="3"/>
      <c r="BL335" s="3"/>
      <c r="BM335" s="3"/>
      <c r="BN335" s="28"/>
      <c r="BO335" s="3"/>
      <c r="BP335" s="3"/>
      <c r="BQ335" s="3"/>
      <c r="BR335" s="3"/>
      <c r="BS335" s="3"/>
      <c r="BT335" s="3"/>
      <c r="BU335" s="3" t="s">
        <v>3</v>
      </c>
      <c r="BV335" s="3"/>
      <c r="BW335" s="3"/>
      <c r="BX335" s="3"/>
      <c r="BY335" s="3"/>
      <c r="BZ335" s="3"/>
      <c r="CA335" s="13" t="s">
        <v>3</v>
      </c>
      <c r="CB335" s="3"/>
    </row>
    <row r="336" spans="2:80" ht="30" customHeight="1">
      <c r="B336" s="11">
        <f t="shared" si="16"/>
        <v>331</v>
      </c>
      <c r="C336" s="38" t="s">
        <v>814</v>
      </c>
      <c r="D336" s="38" t="s">
        <v>884</v>
      </c>
      <c r="E336" s="35" t="s">
        <v>891</v>
      </c>
      <c r="F336" s="14">
        <f t="shared" si="15"/>
        <v>2</v>
      </c>
      <c r="G336" s="15" t="s">
        <v>499</v>
      </c>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28"/>
      <c r="AY336" s="3"/>
      <c r="AZ336" s="3"/>
      <c r="BA336" s="3"/>
      <c r="BB336" s="3"/>
      <c r="BC336" s="3"/>
      <c r="BD336" s="3"/>
      <c r="BE336" s="3"/>
      <c r="BF336" s="3"/>
      <c r="BG336" s="3"/>
      <c r="BH336" s="3"/>
      <c r="BI336" s="3"/>
      <c r="BJ336" s="3"/>
      <c r="BK336" s="3"/>
      <c r="BL336" s="3"/>
      <c r="BM336" s="3"/>
      <c r="BN336" s="28"/>
      <c r="BO336" s="3"/>
      <c r="BP336" s="3"/>
      <c r="BQ336" s="3"/>
      <c r="BR336" s="3"/>
      <c r="BS336" s="3"/>
      <c r="BT336" s="3"/>
      <c r="BU336" s="3" t="s">
        <v>3</v>
      </c>
      <c r="BV336" s="3"/>
      <c r="BW336" s="3"/>
      <c r="BX336" s="3"/>
      <c r="BY336" s="3"/>
      <c r="BZ336" s="3"/>
      <c r="CA336" s="13" t="s">
        <v>3</v>
      </c>
      <c r="CB336" s="3"/>
    </row>
    <row r="337" spans="2:80" ht="30" customHeight="1">
      <c r="B337" s="11">
        <f t="shared" si="16"/>
        <v>332</v>
      </c>
      <c r="C337" s="38" t="s">
        <v>814</v>
      </c>
      <c r="D337" s="38" t="s">
        <v>884</v>
      </c>
      <c r="E337" s="35" t="s">
        <v>892</v>
      </c>
      <c r="F337" s="14">
        <f t="shared" si="15"/>
        <v>2</v>
      </c>
      <c r="G337" s="15" t="s">
        <v>499</v>
      </c>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28"/>
      <c r="AY337" s="3"/>
      <c r="AZ337" s="3"/>
      <c r="BA337" s="3"/>
      <c r="BB337" s="3"/>
      <c r="BC337" s="3"/>
      <c r="BD337" s="3"/>
      <c r="BE337" s="3"/>
      <c r="BF337" s="3"/>
      <c r="BG337" s="3"/>
      <c r="BH337" s="3"/>
      <c r="BI337" s="3"/>
      <c r="BJ337" s="3"/>
      <c r="BK337" s="3"/>
      <c r="BL337" s="3"/>
      <c r="BM337" s="3"/>
      <c r="BN337" s="28"/>
      <c r="BO337" s="3"/>
      <c r="BP337" s="3"/>
      <c r="BQ337" s="3"/>
      <c r="BR337" s="3"/>
      <c r="BS337" s="3"/>
      <c r="BT337" s="3"/>
      <c r="BU337" s="3" t="s">
        <v>3</v>
      </c>
      <c r="BV337" s="3"/>
      <c r="BW337" s="3"/>
      <c r="BX337" s="3"/>
      <c r="BY337" s="3"/>
      <c r="BZ337" s="3"/>
      <c r="CA337" s="13" t="s">
        <v>3</v>
      </c>
      <c r="CB337" s="3"/>
    </row>
    <row r="338" spans="2:80" ht="30" customHeight="1">
      <c r="B338" s="11">
        <f t="shared" si="16"/>
        <v>333</v>
      </c>
      <c r="C338" s="38" t="s">
        <v>814</v>
      </c>
      <c r="D338" s="38" t="s">
        <v>884</v>
      </c>
      <c r="E338" s="35" t="s">
        <v>893</v>
      </c>
      <c r="F338" s="14">
        <f t="shared" si="15"/>
        <v>2</v>
      </c>
      <c r="G338" s="15" t="s">
        <v>499</v>
      </c>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28"/>
      <c r="AY338" s="3"/>
      <c r="AZ338" s="3"/>
      <c r="BA338" s="3"/>
      <c r="BB338" s="3"/>
      <c r="BC338" s="3"/>
      <c r="BD338" s="3"/>
      <c r="BE338" s="3"/>
      <c r="BF338" s="3"/>
      <c r="BG338" s="3"/>
      <c r="BH338" s="3"/>
      <c r="BI338" s="3"/>
      <c r="BJ338" s="3"/>
      <c r="BK338" s="3"/>
      <c r="BL338" s="3"/>
      <c r="BM338" s="3"/>
      <c r="BN338" s="28"/>
      <c r="BO338" s="3"/>
      <c r="BP338" s="3"/>
      <c r="BQ338" s="3"/>
      <c r="BR338" s="3"/>
      <c r="BS338" s="3"/>
      <c r="BT338" s="3"/>
      <c r="BU338" s="3" t="s">
        <v>3</v>
      </c>
      <c r="BV338" s="3"/>
      <c r="BW338" s="3"/>
      <c r="BX338" s="3"/>
      <c r="BY338" s="3"/>
      <c r="BZ338" s="3"/>
      <c r="CA338" s="13" t="s">
        <v>3</v>
      </c>
      <c r="CB338" s="3"/>
    </row>
    <row r="339" spans="2:80" ht="30" customHeight="1">
      <c r="B339" s="11">
        <f t="shared" si="16"/>
        <v>334</v>
      </c>
      <c r="C339" s="38" t="s">
        <v>814</v>
      </c>
      <c r="D339" s="35" t="s">
        <v>894</v>
      </c>
      <c r="E339" s="35" t="s">
        <v>895</v>
      </c>
      <c r="F339" s="14">
        <f t="shared" si="15"/>
        <v>2</v>
      </c>
      <c r="G339" s="15" t="s">
        <v>499</v>
      </c>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28"/>
      <c r="AY339" s="3"/>
      <c r="AZ339" s="3"/>
      <c r="BA339" s="3"/>
      <c r="BB339" s="3"/>
      <c r="BC339" s="3"/>
      <c r="BD339" s="3"/>
      <c r="BE339" s="3"/>
      <c r="BF339" s="3"/>
      <c r="BG339" s="3"/>
      <c r="BH339" s="3"/>
      <c r="BI339" s="3"/>
      <c r="BJ339" s="3"/>
      <c r="BK339" s="3"/>
      <c r="BL339" s="3"/>
      <c r="BM339" s="3"/>
      <c r="BN339" s="28"/>
      <c r="BO339" s="3"/>
      <c r="BP339" s="3"/>
      <c r="BQ339" s="3"/>
      <c r="BR339" s="3"/>
      <c r="BS339" s="3"/>
      <c r="BT339" s="3"/>
      <c r="BU339" s="3" t="s">
        <v>3</v>
      </c>
      <c r="BV339" s="3"/>
      <c r="BW339" s="3"/>
      <c r="BX339" s="3"/>
      <c r="BY339" s="3"/>
      <c r="BZ339" s="3"/>
      <c r="CA339" s="13" t="s">
        <v>3</v>
      </c>
      <c r="CB339" s="3"/>
    </row>
    <row r="340" spans="2:80" ht="30" customHeight="1">
      <c r="B340" s="11">
        <f t="shared" si="16"/>
        <v>335</v>
      </c>
      <c r="C340" s="38" t="s">
        <v>814</v>
      </c>
      <c r="D340" s="35" t="s">
        <v>896</v>
      </c>
      <c r="E340" s="35" t="s">
        <v>897</v>
      </c>
      <c r="F340" s="14">
        <f t="shared" si="15"/>
        <v>2</v>
      </c>
      <c r="G340" s="15" t="s">
        <v>499</v>
      </c>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28"/>
      <c r="AY340" s="3"/>
      <c r="AZ340" s="3"/>
      <c r="BA340" s="3"/>
      <c r="BB340" s="3"/>
      <c r="BC340" s="3"/>
      <c r="BD340" s="3"/>
      <c r="BE340" s="3"/>
      <c r="BF340" s="3"/>
      <c r="BG340" s="3"/>
      <c r="BH340" s="3"/>
      <c r="BI340" s="3"/>
      <c r="BJ340" s="3"/>
      <c r="BK340" s="3"/>
      <c r="BL340" s="3"/>
      <c r="BM340" s="3"/>
      <c r="BN340" s="28"/>
      <c r="BO340" s="3"/>
      <c r="BP340" s="3"/>
      <c r="BQ340" s="3"/>
      <c r="BR340" s="3"/>
      <c r="BS340" s="3"/>
      <c r="BT340" s="3"/>
      <c r="BU340" s="3" t="s">
        <v>3</v>
      </c>
      <c r="BV340" s="3"/>
      <c r="BW340" s="3"/>
      <c r="BX340" s="3"/>
      <c r="BY340" s="3"/>
      <c r="BZ340" s="3"/>
      <c r="CA340" s="13" t="s">
        <v>3</v>
      </c>
      <c r="CB340" s="3"/>
    </row>
    <row r="341" spans="2:80" ht="30" customHeight="1">
      <c r="B341" s="11">
        <f t="shared" si="16"/>
        <v>336</v>
      </c>
      <c r="C341" s="38" t="s">
        <v>814</v>
      </c>
      <c r="D341" s="35" t="s">
        <v>898</v>
      </c>
      <c r="E341" s="35" t="s">
        <v>899</v>
      </c>
      <c r="F341" s="14">
        <f t="shared" si="15"/>
        <v>2</v>
      </c>
      <c r="G341" s="15" t="s">
        <v>499</v>
      </c>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28"/>
      <c r="AY341" s="3"/>
      <c r="AZ341" s="3"/>
      <c r="BA341" s="3"/>
      <c r="BB341" s="3"/>
      <c r="BC341" s="3"/>
      <c r="BD341" s="3"/>
      <c r="BE341" s="3"/>
      <c r="BF341" s="3"/>
      <c r="BG341" s="3"/>
      <c r="BH341" s="3"/>
      <c r="BI341" s="3"/>
      <c r="BJ341" s="3"/>
      <c r="BK341" s="3"/>
      <c r="BL341" s="3"/>
      <c r="BM341" s="3"/>
      <c r="BN341" s="28"/>
      <c r="BO341" s="3"/>
      <c r="BP341" s="3"/>
      <c r="BQ341" s="3"/>
      <c r="BR341" s="3"/>
      <c r="BS341" s="3"/>
      <c r="BT341" s="3"/>
      <c r="BU341" s="3" t="s">
        <v>3</v>
      </c>
      <c r="BV341" s="3"/>
      <c r="BW341" s="3"/>
      <c r="BX341" s="3"/>
      <c r="BY341" s="3"/>
      <c r="BZ341" s="3"/>
      <c r="CA341" s="13" t="s">
        <v>3</v>
      </c>
      <c r="CB341" s="3"/>
    </row>
    <row r="342" spans="2:80" ht="30" customHeight="1">
      <c r="B342" s="11">
        <f t="shared" si="16"/>
        <v>337</v>
      </c>
      <c r="C342" s="38" t="s">
        <v>814</v>
      </c>
      <c r="D342" s="38" t="s">
        <v>898</v>
      </c>
      <c r="E342" s="35" t="s">
        <v>900</v>
      </c>
      <c r="F342" s="14">
        <f t="shared" si="15"/>
        <v>2</v>
      </c>
      <c r="G342" s="15" t="s">
        <v>499</v>
      </c>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28"/>
      <c r="AY342" s="3"/>
      <c r="AZ342" s="3"/>
      <c r="BA342" s="3"/>
      <c r="BB342" s="3"/>
      <c r="BC342" s="3"/>
      <c r="BD342" s="3"/>
      <c r="BE342" s="3"/>
      <c r="BF342" s="3"/>
      <c r="BG342" s="3"/>
      <c r="BH342" s="3"/>
      <c r="BI342" s="3"/>
      <c r="BJ342" s="3"/>
      <c r="BK342" s="3"/>
      <c r="BL342" s="3"/>
      <c r="BM342" s="3"/>
      <c r="BN342" s="28"/>
      <c r="BO342" s="3"/>
      <c r="BP342" s="3"/>
      <c r="BQ342" s="3"/>
      <c r="BR342" s="3"/>
      <c r="BS342" s="3"/>
      <c r="BT342" s="3"/>
      <c r="BU342" s="3" t="s">
        <v>3</v>
      </c>
      <c r="BV342" s="3"/>
      <c r="BW342" s="3"/>
      <c r="BX342" s="3"/>
      <c r="BY342" s="3"/>
      <c r="BZ342" s="3"/>
      <c r="CA342" s="13" t="s">
        <v>3</v>
      </c>
      <c r="CB342" s="3"/>
    </row>
    <row r="343" spans="2:80" ht="30" customHeight="1">
      <c r="B343" s="11">
        <f t="shared" si="16"/>
        <v>338</v>
      </c>
      <c r="C343" s="38" t="s">
        <v>814</v>
      </c>
      <c r="D343" s="38" t="s">
        <v>898</v>
      </c>
      <c r="E343" s="35" t="s">
        <v>901</v>
      </c>
      <c r="F343" s="14">
        <f t="shared" si="15"/>
        <v>2</v>
      </c>
      <c r="G343" s="15" t="s">
        <v>499</v>
      </c>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28"/>
      <c r="AY343" s="3"/>
      <c r="AZ343" s="3"/>
      <c r="BA343" s="3"/>
      <c r="BB343" s="3"/>
      <c r="BC343" s="3"/>
      <c r="BD343" s="3"/>
      <c r="BE343" s="3"/>
      <c r="BF343" s="3"/>
      <c r="BG343" s="3"/>
      <c r="BH343" s="3"/>
      <c r="BI343" s="3"/>
      <c r="BJ343" s="3"/>
      <c r="BK343" s="3"/>
      <c r="BL343" s="3"/>
      <c r="BM343" s="3"/>
      <c r="BN343" s="28"/>
      <c r="BO343" s="3"/>
      <c r="BP343" s="3"/>
      <c r="BQ343" s="3"/>
      <c r="BR343" s="3"/>
      <c r="BS343" s="3"/>
      <c r="BT343" s="3"/>
      <c r="BU343" s="3" t="s">
        <v>3</v>
      </c>
      <c r="BV343" s="3"/>
      <c r="BW343" s="3"/>
      <c r="BX343" s="3"/>
      <c r="BY343" s="3"/>
      <c r="BZ343" s="3"/>
      <c r="CA343" s="13" t="s">
        <v>3</v>
      </c>
      <c r="CB343" s="3"/>
    </row>
    <row r="344" spans="2:80" ht="30" customHeight="1">
      <c r="B344" s="11">
        <f t="shared" si="16"/>
        <v>339</v>
      </c>
      <c r="C344" s="38" t="s">
        <v>814</v>
      </c>
      <c r="D344" s="35" t="s">
        <v>902</v>
      </c>
      <c r="E344" s="35" t="s">
        <v>903</v>
      </c>
      <c r="F344" s="14">
        <f t="shared" si="15"/>
        <v>2</v>
      </c>
      <c r="G344" s="15" t="s">
        <v>499</v>
      </c>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28"/>
      <c r="AY344" s="3"/>
      <c r="AZ344" s="3"/>
      <c r="BA344" s="3"/>
      <c r="BB344" s="3"/>
      <c r="BC344" s="3"/>
      <c r="BD344" s="3"/>
      <c r="BE344" s="3"/>
      <c r="BF344" s="3"/>
      <c r="BG344" s="3"/>
      <c r="BH344" s="3"/>
      <c r="BI344" s="3"/>
      <c r="BJ344" s="3"/>
      <c r="BK344" s="3"/>
      <c r="BL344" s="3"/>
      <c r="BM344" s="3"/>
      <c r="BN344" s="28"/>
      <c r="BO344" s="3"/>
      <c r="BP344" s="3"/>
      <c r="BQ344" s="3"/>
      <c r="BR344" s="3"/>
      <c r="BS344" s="3"/>
      <c r="BT344" s="3"/>
      <c r="BU344" s="3" t="s">
        <v>3</v>
      </c>
      <c r="BV344" s="3"/>
      <c r="BW344" s="3"/>
      <c r="BX344" s="3"/>
      <c r="BY344" s="3"/>
      <c r="BZ344" s="3"/>
      <c r="CA344" s="13" t="s">
        <v>3</v>
      </c>
      <c r="CB344" s="3"/>
    </row>
    <row r="345" spans="2:80" ht="30" customHeight="1">
      <c r="B345" s="11">
        <f t="shared" si="16"/>
        <v>340</v>
      </c>
      <c r="C345" s="35" t="s">
        <v>904</v>
      </c>
      <c r="D345" s="35" t="s">
        <v>905</v>
      </c>
      <c r="E345" s="35" t="s">
        <v>906</v>
      </c>
      <c r="F345" s="14">
        <f t="shared" si="15"/>
        <v>17</v>
      </c>
      <c r="G345" s="15" t="s">
        <v>2</v>
      </c>
      <c r="H345" s="3"/>
      <c r="I345" s="3"/>
      <c r="J345" s="3"/>
      <c r="K345" s="3"/>
      <c r="L345" s="3"/>
      <c r="M345" s="3"/>
      <c r="N345" s="3"/>
      <c r="O345" s="3"/>
      <c r="P345" s="3" t="s">
        <v>3</v>
      </c>
      <c r="Q345" s="3"/>
      <c r="R345" s="3"/>
      <c r="S345" s="3"/>
      <c r="T345" s="3"/>
      <c r="U345" s="3"/>
      <c r="V345" s="3"/>
      <c r="W345" s="3" t="s">
        <v>3</v>
      </c>
      <c r="X345" s="3" t="s">
        <v>3</v>
      </c>
      <c r="Y345" s="3"/>
      <c r="Z345" s="3"/>
      <c r="AA345" s="3"/>
      <c r="AB345" s="3"/>
      <c r="AC345" s="3"/>
      <c r="AD345" s="3"/>
      <c r="AE345" s="3"/>
      <c r="AF345" s="3"/>
      <c r="AG345" s="3"/>
      <c r="AH345" s="3"/>
      <c r="AI345" s="3"/>
      <c r="AJ345" s="3"/>
      <c r="AK345" s="3"/>
      <c r="AL345" s="3"/>
      <c r="AM345" s="3" t="s">
        <v>3</v>
      </c>
      <c r="AN345" s="3" t="s">
        <v>3</v>
      </c>
      <c r="AO345" s="3"/>
      <c r="AP345" s="3"/>
      <c r="AQ345" s="3"/>
      <c r="AR345" s="3"/>
      <c r="AS345" s="3"/>
      <c r="AT345" s="3" t="s">
        <v>3</v>
      </c>
      <c r="AU345" s="3"/>
      <c r="AV345" s="3"/>
      <c r="AW345" s="3"/>
      <c r="AX345" s="28"/>
      <c r="AY345" s="3"/>
      <c r="AZ345" s="3"/>
      <c r="BA345" s="3"/>
      <c r="BB345" s="3"/>
      <c r="BC345" s="3"/>
      <c r="BD345" s="3"/>
      <c r="BE345" s="3" t="s">
        <v>3</v>
      </c>
      <c r="BF345" s="3" t="s">
        <v>3</v>
      </c>
      <c r="BG345" s="3"/>
      <c r="BH345" s="3"/>
      <c r="BI345" s="3"/>
      <c r="BJ345" s="3" t="s">
        <v>3</v>
      </c>
      <c r="BK345" s="3" t="s">
        <v>3</v>
      </c>
      <c r="BL345" s="3"/>
      <c r="BM345" s="3"/>
      <c r="BN345" s="28"/>
      <c r="BO345" s="3"/>
      <c r="BP345" s="3" t="s">
        <v>3</v>
      </c>
      <c r="BQ345" s="3" t="s">
        <v>3</v>
      </c>
      <c r="BR345" s="3"/>
      <c r="BS345" s="3" t="s">
        <v>3</v>
      </c>
      <c r="BT345" s="3"/>
      <c r="BU345" s="3" t="s">
        <v>3</v>
      </c>
      <c r="BV345" s="3" t="s">
        <v>3</v>
      </c>
      <c r="BW345" s="3" t="s">
        <v>3</v>
      </c>
      <c r="BX345" s="3" t="s">
        <v>3</v>
      </c>
      <c r="BY345" s="3"/>
      <c r="BZ345" s="3"/>
      <c r="CA345" s="3"/>
      <c r="CB345" s="3"/>
    </row>
    <row r="346" spans="2:80" ht="30" customHeight="1">
      <c r="B346" s="11">
        <f t="shared" si="16"/>
        <v>341</v>
      </c>
      <c r="C346" s="38" t="s">
        <v>904</v>
      </c>
      <c r="D346" s="38" t="s">
        <v>905</v>
      </c>
      <c r="E346" s="42" t="s">
        <v>907</v>
      </c>
      <c r="F346" s="14">
        <f t="shared" si="15"/>
        <v>13</v>
      </c>
      <c r="G346" s="15" t="s">
        <v>2</v>
      </c>
      <c r="H346" s="3"/>
      <c r="I346" s="3"/>
      <c r="J346" s="3"/>
      <c r="K346" s="3"/>
      <c r="L346" s="3"/>
      <c r="M346" s="3"/>
      <c r="N346" s="3"/>
      <c r="O346" s="3"/>
      <c r="P346" s="3"/>
      <c r="Q346" s="3"/>
      <c r="R346" s="3"/>
      <c r="S346" s="3"/>
      <c r="T346" s="3"/>
      <c r="U346" s="3"/>
      <c r="V346" s="3"/>
      <c r="W346" s="3" t="s">
        <v>3</v>
      </c>
      <c r="X346" s="3"/>
      <c r="Y346" s="3" t="s">
        <v>3</v>
      </c>
      <c r="Z346" s="3"/>
      <c r="AA346" s="3"/>
      <c r="AB346" s="3"/>
      <c r="AC346" s="3"/>
      <c r="AD346" s="3"/>
      <c r="AE346" s="3"/>
      <c r="AF346" s="3"/>
      <c r="AG346" s="3"/>
      <c r="AH346" s="3"/>
      <c r="AI346" s="3"/>
      <c r="AJ346" s="3"/>
      <c r="AK346" s="3"/>
      <c r="AL346" s="3"/>
      <c r="AM346" s="3" t="s">
        <v>3</v>
      </c>
      <c r="AN346" s="3"/>
      <c r="AO346" s="3"/>
      <c r="AP346" s="3"/>
      <c r="AQ346" s="3"/>
      <c r="AR346" s="3"/>
      <c r="AS346" s="3"/>
      <c r="AT346" s="3" t="s">
        <v>3</v>
      </c>
      <c r="AU346" s="3"/>
      <c r="AV346" s="3"/>
      <c r="AW346" s="3"/>
      <c r="AX346" s="28"/>
      <c r="AY346" s="3"/>
      <c r="AZ346" s="3"/>
      <c r="BA346" s="3"/>
      <c r="BB346" s="3"/>
      <c r="BC346" s="3"/>
      <c r="BD346" s="3"/>
      <c r="BE346" s="3" t="s">
        <v>3</v>
      </c>
      <c r="BF346" s="3" t="s">
        <v>3</v>
      </c>
      <c r="BG346" s="3"/>
      <c r="BH346" s="3"/>
      <c r="BI346" s="3"/>
      <c r="BJ346" s="3" t="s">
        <v>3</v>
      </c>
      <c r="BK346" s="3" t="s">
        <v>3</v>
      </c>
      <c r="BL346" s="3"/>
      <c r="BM346" s="3"/>
      <c r="BN346" s="28"/>
      <c r="BO346" s="3"/>
      <c r="BP346" s="3" t="s">
        <v>3</v>
      </c>
      <c r="BQ346" s="3"/>
      <c r="BR346" s="3"/>
      <c r="BS346" s="3"/>
      <c r="BT346" s="3"/>
      <c r="BU346" s="3" t="s">
        <v>3</v>
      </c>
      <c r="BV346" s="3" t="s">
        <v>3</v>
      </c>
      <c r="BW346" s="3" t="s">
        <v>3</v>
      </c>
      <c r="BX346" s="3" t="s">
        <v>3</v>
      </c>
      <c r="BY346" s="3"/>
      <c r="BZ346" s="3"/>
      <c r="CA346" s="3"/>
      <c r="CB346" s="3"/>
    </row>
    <row r="347" spans="2:80" ht="30" customHeight="1">
      <c r="B347" s="11">
        <f t="shared" si="16"/>
        <v>342</v>
      </c>
      <c r="C347" s="38" t="s">
        <v>904</v>
      </c>
      <c r="D347" s="38" t="s">
        <v>905</v>
      </c>
      <c r="E347" s="44" t="s">
        <v>908</v>
      </c>
      <c r="F347" s="14">
        <f t="shared" si="15"/>
        <v>10</v>
      </c>
      <c r="G347" s="15" t="s">
        <v>2</v>
      </c>
      <c r="H347" s="3" t="s">
        <v>3</v>
      </c>
      <c r="I347" s="3"/>
      <c r="J347" s="3"/>
      <c r="K347" s="3"/>
      <c r="L347" s="3"/>
      <c r="M347" s="3"/>
      <c r="N347" s="3"/>
      <c r="O347" s="3"/>
      <c r="P347" s="3"/>
      <c r="Q347" s="3"/>
      <c r="R347" s="3"/>
      <c r="S347" s="3"/>
      <c r="T347" s="3"/>
      <c r="U347" s="3"/>
      <c r="V347" s="3"/>
      <c r="W347" s="3"/>
      <c r="X347" s="3"/>
      <c r="Y347" s="3"/>
      <c r="Z347" s="3" t="s">
        <v>3</v>
      </c>
      <c r="AA347" s="3"/>
      <c r="AB347" s="3"/>
      <c r="AC347" s="3"/>
      <c r="AD347" s="3"/>
      <c r="AE347" s="3"/>
      <c r="AF347" s="3"/>
      <c r="AG347" s="3"/>
      <c r="AH347" s="3"/>
      <c r="AI347" s="3"/>
      <c r="AJ347" s="3"/>
      <c r="AK347" s="3"/>
      <c r="AL347" s="3"/>
      <c r="AM347" s="3"/>
      <c r="AN347" s="3" t="s">
        <v>3</v>
      </c>
      <c r="AO347" s="3"/>
      <c r="AP347" s="3"/>
      <c r="AQ347" s="3"/>
      <c r="AR347" s="3"/>
      <c r="AS347" s="3"/>
      <c r="AT347" s="3" t="s">
        <v>3</v>
      </c>
      <c r="AU347" s="3"/>
      <c r="AV347" s="3"/>
      <c r="AW347" s="3"/>
      <c r="AX347" s="28"/>
      <c r="AY347" s="3"/>
      <c r="AZ347" s="3"/>
      <c r="BA347" s="3"/>
      <c r="BB347" s="3"/>
      <c r="BC347" s="3"/>
      <c r="BD347" s="3"/>
      <c r="BE347" s="3"/>
      <c r="BF347" s="3"/>
      <c r="BG347" s="3"/>
      <c r="BH347" s="3"/>
      <c r="BI347" s="3"/>
      <c r="BJ347" s="3"/>
      <c r="BK347" s="3"/>
      <c r="BL347" s="3" t="s">
        <v>3</v>
      </c>
      <c r="BM347" s="3" t="s">
        <v>3</v>
      </c>
      <c r="BN347" s="28"/>
      <c r="BO347" s="3"/>
      <c r="BP347" s="3"/>
      <c r="BQ347" s="3"/>
      <c r="BR347" s="3"/>
      <c r="BS347" s="3"/>
      <c r="BT347" s="3"/>
      <c r="BU347" s="3" t="s">
        <v>3</v>
      </c>
      <c r="BV347" s="3" t="s">
        <v>3</v>
      </c>
      <c r="BW347" s="3" t="s">
        <v>3</v>
      </c>
      <c r="BX347" s="3" t="s">
        <v>3</v>
      </c>
      <c r="BY347" s="3"/>
      <c r="BZ347" s="3"/>
      <c r="CA347" s="3"/>
      <c r="CB347" s="3"/>
    </row>
    <row r="348" spans="2:80" ht="30" customHeight="1">
      <c r="B348" s="11">
        <f t="shared" si="16"/>
        <v>343</v>
      </c>
      <c r="C348" s="38" t="s">
        <v>904</v>
      </c>
      <c r="D348" s="38" t="s">
        <v>905</v>
      </c>
      <c r="E348" s="35" t="s">
        <v>909</v>
      </c>
      <c r="F348" s="14">
        <f t="shared" si="15"/>
        <v>16</v>
      </c>
      <c r="G348" s="15" t="s">
        <v>2</v>
      </c>
      <c r="H348" s="3"/>
      <c r="I348" s="3"/>
      <c r="J348" s="3"/>
      <c r="K348" s="3"/>
      <c r="L348" s="3"/>
      <c r="M348" s="3"/>
      <c r="N348" s="3"/>
      <c r="O348" s="3"/>
      <c r="P348" s="3"/>
      <c r="Q348" s="3"/>
      <c r="R348" s="3"/>
      <c r="S348" s="3"/>
      <c r="T348" s="3"/>
      <c r="U348" s="3" t="s">
        <v>3</v>
      </c>
      <c r="V348" s="3" t="s">
        <v>3</v>
      </c>
      <c r="W348" s="3"/>
      <c r="X348" s="3"/>
      <c r="Y348" s="3"/>
      <c r="Z348" s="3" t="s">
        <v>3</v>
      </c>
      <c r="AA348" s="3" t="s">
        <v>3</v>
      </c>
      <c r="AB348" s="3"/>
      <c r="AC348" s="3"/>
      <c r="AD348" s="3"/>
      <c r="AE348" s="3"/>
      <c r="AF348" s="3"/>
      <c r="AG348" s="3"/>
      <c r="AH348" s="3"/>
      <c r="AI348" s="3"/>
      <c r="AJ348" s="3"/>
      <c r="AK348" s="3"/>
      <c r="AL348" s="3"/>
      <c r="AM348" s="3"/>
      <c r="AN348" s="3" t="s">
        <v>3</v>
      </c>
      <c r="AO348" s="3"/>
      <c r="AP348" s="3"/>
      <c r="AQ348" s="3"/>
      <c r="AR348" s="3"/>
      <c r="AS348" s="3"/>
      <c r="AT348" s="3"/>
      <c r="AU348" s="3" t="s">
        <v>3</v>
      </c>
      <c r="AV348" s="3"/>
      <c r="AW348" s="3"/>
      <c r="AX348" s="28"/>
      <c r="AY348" s="3"/>
      <c r="AZ348" s="3"/>
      <c r="BA348" s="3"/>
      <c r="BB348" s="3"/>
      <c r="BC348" s="3"/>
      <c r="BD348" s="3"/>
      <c r="BE348" s="3" t="s">
        <v>3</v>
      </c>
      <c r="BF348" s="3" t="s">
        <v>3</v>
      </c>
      <c r="BG348" s="3"/>
      <c r="BH348" s="3"/>
      <c r="BI348" s="3"/>
      <c r="BJ348" s="3" t="s">
        <v>3</v>
      </c>
      <c r="BK348" s="3" t="s">
        <v>3</v>
      </c>
      <c r="BL348" s="3"/>
      <c r="BM348" s="3"/>
      <c r="BN348" s="28"/>
      <c r="BO348" s="3"/>
      <c r="BP348" s="3" t="s">
        <v>3</v>
      </c>
      <c r="BQ348" s="3" t="s">
        <v>3</v>
      </c>
      <c r="BR348" s="3"/>
      <c r="BS348" s="3"/>
      <c r="BT348" s="3"/>
      <c r="BU348" s="3" t="s">
        <v>3</v>
      </c>
      <c r="BV348" s="3" t="s">
        <v>3</v>
      </c>
      <c r="BW348" s="3" t="s">
        <v>3</v>
      </c>
      <c r="BX348" s="3" t="s">
        <v>3</v>
      </c>
      <c r="BY348" s="3"/>
      <c r="BZ348" s="3"/>
      <c r="CA348" s="3"/>
      <c r="CB348" s="3"/>
    </row>
    <row r="349" spans="2:80" ht="30" customHeight="1">
      <c r="B349" s="11">
        <f t="shared" si="16"/>
        <v>344</v>
      </c>
      <c r="C349" s="38" t="s">
        <v>904</v>
      </c>
      <c r="D349" s="38" t="s">
        <v>905</v>
      </c>
      <c r="E349" s="35" t="s">
        <v>910</v>
      </c>
      <c r="F349" s="14">
        <f t="shared" ref="F349:F412" si="17">COUNTA(H349:CA349)</f>
        <v>15</v>
      </c>
      <c r="G349" s="15" t="s">
        <v>2</v>
      </c>
      <c r="H349" s="3"/>
      <c r="I349" s="3"/>
      <c r="J349" s="3"/>
      <c r="K349" s="3"/>
      <c r="L349" s="3"/>
      <c r="M349" s="3"/>
      <c r="N349" s="3"/>
      <c r="O349" s="3"/>
      <c r="P349" s="3"/>
      <c r="Q349" s="3"/>
      <c r="R349" s="3"/>
      <c r="S349" s="3"/>
      <c r="T349" s="3"/>
      <c r="U349" s="3"/>
      <c r="V349" s="3"/>
      <c r="W349" s="3" t="s">
        <v>3</v>
      </c>
      <c r="X349" s="3"/>
      <c r="Y349" s="3"/>
      <c r="Z349" s="3" t="s">
        <v>3</v>
      </c>
      <c r="AA349" s="3"/>
      <c r="AB349" s="3" t="s">
        <v>3</v>
      </c>
      <c r="AC349" s="3"/>
      <c r="AD349" s="3"/>
      <c r="AE349" s="3"/>
      <c r="AF349" s="3"/>
      <c r="AG349" s="3"/>
      <c r="AH349" s="3"/>
      <c r="AI349" s="3"/>
      <c r="AJ349" s="3"/>
      <c r="AK349" s="3"/>
      <c r="AL349" s="3"/>
      <c r="AM349" s="3"/>
      <c r="AN349" s="3" t="s">
        <v>3</v>
      </c>
      <c r="AO349" s="3"/>
      <c r="AP349" s="3"/>
      <c r="AQ349" s="3"/>
      <c r="AR349" s="3"/>
      <c r="AS349" s="3"/>
      <c r="AT349" s="3" t="s">
        <v>3</v>
      </c>
      <c r="AU349" s="3"/>
      <c r="AV349" s="3"/>
      <c r="AW349" s="3"/>
      <c r="AX349" s="28"/>
      <c r="AY349" s="3"/>
      <c r="AZ349" s="3"/>
      <c r="BA349" s="3"/>
      <c r="BB349" s="3"/>
      <c r="BC349" s="3"/>
      <c r="BD349" s="3"/>
      <c r="BE349" s="3" t="s">
        <v>3</v>
      </c>
      <c r="BF349" s="3" t="s">
        <v>3</v>
      </c>
      <c r="BG349" s="3"/>
      <c r="BH349" s="3"/>
      <c r="BI349" s="3"/>
      <c r="BJ349" s="3" t="s">
        <v>3</v>
      </c>
      <c r="BK349" s="3" t="s">
        <v>3</v>
      </c>
      <c r="BL349" s="3"/>
      <c r="BM349" s="3"/>
      <c r="BN349" s="28"/>
      <c r="BO349" s="3"/>
      <c r="BP349" s="3" t="s">
        <v>3</v>
      </c>
      <c r="BQ349" s="3" t="s">
        <v>3</v>
      </c>
      <c r="BR349" s="3"/>
      <c r="BS349" s="3"/>
      <c r="BT349" s="3"/>
      <c r="BU349" s="3" t="s">
        <v>3</v>
      </c>
      <c r="BV349" s="3" t="s">
        <v>3</v>
      </c>
      <c r="BW349" s="3" t="s">
        <v>3</v>
      </c>
      <c r="BX349" s="3" t="s">
        <v>3</v>
      </c>
      <c r="BY349" s="3"/>
      <c r="BZ349" s="3"/>
      <c r="CA349" s="3"/>
      <c r="CB349" s="3"/>
    </row>
    <row r="350" spans="2:80" ht="30" customHeight="1">
      <c r="B350" s="11">
        <f t="shared" si="16"/>
        <v>345</v>
      </c>
      <c r="C350" s="38" t="s">
        <v>904</v>
      </c>
      <c r="D350" s="38" t="s">
        <v>905</v>
      </c>
      <c r="E350" s="35" t="s">
        <v>911</v>
      </c>
      <c r="F350" s="14">
        <f t="shared" si="17"/>
        <v>17</v>
      </c>
      <c r="G350" s="15" t="s">
        <v>2</v>
      </c>
      <c r="H350" s="3"/>
      <c r="I350" s="3"/>
      <c r="J350" s="3"/>
      <c r="K350" s="3"/>
      <c r="L350" s="3"/>
      <c r="M350" s="3"/>
      <c r="N350" s="3"/>
      <c r="O350" s="3"/>
      <c r="P350" s="3" t="s">
        <v>3</v>
      </c>
      <c r="Q350" s="3"/>
      <c r="R350" s="3"/>
      <c r="S350" s="3"/>
      <c r="T350" s="3"/>
      <c r="U350" s="3"/>
      <c r="V350" s="3"/>
      <c r="W350" s="3"/>
      <c r="X350" s="3"/>
      <c r="Y350" s="3" t="s">
        <v>3</v>
      </c>
      <c r="Z350" s="3" t="s">
        <v>3</v>
      </c>
      <c r="AA350" s="3"/>
      <c r="AB350" s="3"/>
      <c r="AC350" s="3"/>
      <c r="AD350" s="3"/>
      <c r="AE350" s="3"/>
      <c r="AF350" s="3"/>
      <c r="AG350" s="3"/>
      <c r="AH350" s="3"/>
      <c r="AI350" s="3"/>
      <c r="AJ350" s="3"/>
      <c r="AK350" s="3"/>
      <c r="AL350" s="3"/>
      <c r="AM350" s="3" t="s">
        <v>3</v>
      </c>
      <c r="AN350" s="3" t="s">
        <v>3</v>
      </c>
      <c r="AO350" s="3"/>
      <c r="AP350" s="3"/>
      <c r="AQ350" s="3"/>
      <c r="AR350" s="3"/>
      <c r="AS350" s="3"/>
      <c r="AT350" s="3"/>
      <c r="AU350" s="3" t="s">
        <v>3</v>
      </c>
      <c r="AV350" s="3"/>
      <c r="AW350" s="3"/>
      <c r="AX350" s="28"/>
      <c r="AY350" s="3"/>
      <c r="AZ350" s="3"/>
      <c r="BA350" s="3"/>
      <c r="BB350" s="3"/>
      <c r="BC350" s="3"/>
      <c r="BD350" s="3"/>
      <c r="BE350" s="3" t="s">
        <v>3</v>
      </c>
      <c r="BF350" s="3" t="s">
        <v>3</v>
      </c>
      <c r="BG350" s="3"/>
      <c r="BH350" s="3"/>
      <c r="BI350" s="3"/>
      <c r="BJ350" s="3" t="s">
        <v>3</v>
      </c>
      <c r="BK350" s="3" t="s">
        <v>3</v>
      </c>
      <c r="BL350" s="3"/>
      <c r="BM350" s="3"/>
      <c r="BN350" s="28"/>
      <c r="BO350" s="3"/>
      <c r="BP350" s="3" t="s">
        <v>3</v>
      </c>
      <c r="BQ350" s="3" t="s">
        <v>3</v>
      </c>
      <c r="BR350" s="3"/>
      <c r="BS350" s="3" t="s">
        <v>3</v>
      </c>
      <c r="BT350" s="3"/>
      <c r="BU350" s="3" t="s">
        <v>3</v>
      </c>
      <c r="BV350" s="3" t="s">
        <v>3</v>
      </c>
      <c r="BW350" s="3" t="s">
        <v>3</v>
      </c>
      <c r="BX350" s="3" t="s">
        <v>3</v>
      </c>
      <c r="BY350" s="3"/>
      <c r="BZ350" s="3"/>
      <c r="CA350" s="3"/>
      <c r="CB350" s="3"/>
    </row>
    <row r="351" spans="2:80" ht="30" customHeight="1">
      <c r="B351" s="11">
        <f t="shared" si="16"/>
        <v>346</v>
      </c>
      <c r="C351" s="38" t="s">
        <v>904</v>
      </c>
      <c r="D351" s="38" t="s">
        <v>905</v>
      </c>
      <c r="E351" s="35" t="s">
        <v>912</v>
      </c>
      <c r="F351" s="14">
        <f t="shared" si="17"/>
        <v>21</v>
      </c>
      <c r="G351" s="15" t="s">
        <v>2</v>
      </c>
      <c r="H351" s="3"/>
      <c r="I351" s="3" t="s">
        <v>3</v>
      </c>
      <c r="J351" s="3"/>
      <c r="K351" s="3"/>
      <c r="L351" s="3"/>
      <c r="M351" s="3"/>
      <c r="N351" s="3" t="s">
        <v>3</v>
      </c>
      <c r="O351" s="3"/>
      <c r="P351" s="3" t="s">
        <v>3</v>
      </c>
      <c r="Q351" s="3"/>
      <c r="R351" s="3"/>
      <c r="S351" s="3" t="s">
        <v>3</v>
      </c>
      <c r="T351" s="3"/>
      <c r="U351" s="3"/>
      <c r="V351" s="3"/>
      <c r="W351" s="3"/>
      <c r="X351" s="3"/>
      <c r="Y351" s="3"/>
      <c r="Z351" s="3" t="s">
        <v>3</v>
      </c>
      <c r="AA351" s="3"/>
      <c r="AB351" s="3" t="s">
        <v>3</v>
      </c>
      <c r="AC351" s="3"/>
      <c r="AD351" s="3" t="s">
        <v>3</v>
      </c>
      <c r="AE351" s="3"/>
      <c r="AF351" s="3"/>
      <c r="AG351" s="3"/>
      <c r="AH351" s="3"/>
      <c r="AI351" s="3"/>
      <c r="AJ351" s="3"/>
      <c r="AK351" s="3"/>
      <c r="AL351" s="3"/>
      <c r="AM351" s="3" t="s">
        <v>3</v>
      </c>
      <c r="AN351" s="3" t="s">
        <v>3</v>
      </c>
      <c r="AO351" s="3"/>
      <c r="AP351" s="3"/>
      <c r="AQ351" s="3"/>
      <c r="AR351" s="3"/>
      <c r="AS351" s="3"/>
      <c r="AT351" s="3"/>
      <c r="AU351" s="3" t="s">
        <v>3</v>
      </c>
      <c r="AV351" s="3"/>
      <c r="AW351" s="3"/>
      <c r="AX351" s="28"/>
      <c r="AY351" s="3"/>
      <c r="AZ351" s="3"/>
      <c r="BA351" s="3"/>
      <c r="BB351" s="3"/>
      <c r="BC351" s="3"/>
      <c r="BD351" s="3"/>
      <c r="BE351" s="3" t="s">
        <v>3</v>
      </c>
      <c r="BF351" s="3" t="s">
        <v>3</v>
      </c>
      <c r="BG351" s="3"/>
      <c r="BH351" s="3"/>
      <c r="BI351" s="3"/>
      <c r="BJ351" s="3" t="s">
        <v>3</v>
      </c>
      <c r="BK351" s="3" t="s">
        <v>3</v>
      </c>
      <c r="BL351" s="3"/>
      <c r="BM351" s="3"/>
      <c r="BN351" s="28"/>
      <c r="BO351" s="3"/>
      <c r="BP351" s="3" t="s">
        <v>3</v>
      </c>
      <c r="BQ351" s="3" t="s">
        <v>3</v>
      </c>
      <c r="BR351" s="3"/>
      <c r="BS351" s="3" t="s">
        <v>3</v>
      </c>
      <c r="BT351" s="3"/>
      <c r="BU351" s="3" t="s">
        <v>3</v>
      </c>
      <c r="BV351" s="3" t="s">
        <v>3</v>
      </c>
      <c r="BW351" s="3" t="s">
        <v>3</v>
      </c>
      <c r="BX351" s="3" t="s">
        <v>3</v>
      </c>
      <c r="BY351" s="3"/>
      <c r="BZ351" s="3"/>
      <c r="CA351" s="3"/>
      <c r="CB351" s="3"/>
    </row>
    <row r="352" spans="2:80" ht="30" customHeight="1">
      <c r="B352" s="11">
        <f t="shared" si="16"/>
        <v>347</v>
      </c>
      <c r="C352" s="38" t="s">
        <v>904</v>
      </c>
      <c r="D352" s="38" t="s">
        <v>905</v>
      </c>
      <c r="E352" s="35" t="s">
        <v>913</v>
      </c>
      <c r="F352" s="14">
        <f t="shared" si="17"/>
        <v>16</v>
      </c>
      <c r="G352" s="15" t="s">
        <v>2</v>
      </c>
      <c r="H352" s="3"/>
      <c r="I352" s="3"/>
      <c r="J352" s="3"/>
      <c r="K352" s="3"/>
      <c r="L352" s="3"/>
      <c r="M352" s="3"/>
      <c r="N352" s="3"/>
      <c r="O352" s="3"/>
      <c r="P352" s="3" t="s">
        <v>3</v>
      </c>
      <c r="Q352" s="3"/>
      <c r="R352" s="3"/>
      <c r="S352" s="3" t="s">
        <v>3</v>
      </c>
      <c r="T352" s="3"/>
      <c r="U352" s="3"/>
      <c r="V352" s="3"/>
      <c r="W352" s="3"/>
      <c r="X352" s="3"/>
      <c r="Y352" s="3"/>
      <c r="Z352" s="3" t="s">
        <v>3</v>
      </c>
      <c r="AA352" s="3"/>
      <c r="AB352" s="3"/>
      <c r="AC352" s="3"/>
      <c r="AD352" s="3"/>
      <c r="AE352" s="3"/>
      <c r="AF352" s="3"/>
      <c r="AG352" s="3"/>
      <c r="AH352" s="3"/>
      <c r="AI352" s="3"/>
      <c r="AJ352" s="3"/>
      <c r="AK352" s="3"/>
      <c r="AL352" s="3"/>
      <c r="AM352" s="3" t="s">
        <v>3</v>
      </c>
      <c r="AN352" s="3"/>
      <c r="AO352" s="3"/>
      <c r="AP352" s="3"/>
      <c r="AQ352" s="3"/>
      <c r="AR352" s="3"/>
      <c r="AS352" s="3"/>
      <c r="AT352" s="3"/>
      <c r="AU352" s="3" t="s">
        <v>3</v>
      </c>
      <c r="AV352" s="3"/>
      <c r="AW352" s="3"/>
      <c r="AX352" s="28"/>
      <c r="AY352" s="3"/>
      <c r="AZ352" s="3"/>
      <c r="BA352" s="3"/>
      <c r="BB352" s="3"/>
      <c r="BC352" s="3"/>
      <c r="BD352" s="3"/>
      <c r="BE352" s="3" t="s">
        <v>3</v>
      </c>
      <c r="BF352" s="3" t="s">
        <v>3</v>
      </c>
      <c r="BG352" s="3"/>
      <c r="BH352" s="3"/>
      <c r="BI352" s="3"/>
      <c r="BJ352" s="3" t="s">
        <v>3</v>
      </c>
      <c r="BK352" s="3" t="s">
        <v>3</v>
      </c>
      <c r="BL352" s="3"/>
      <c r="BM352" s="3"/>
      <c r="BN352" s="28"/>
      <c r="BO352" s="3"/>
      <c r="BP352" s="3" t="s">
        <v>3</v>
      </c>
      <c r="BQ352" s="3" t="s">
        <v>3</v>
      </c>
      <c r="BR352" s="3"/>
      <c r="BS352" s="3" t="s">
        <v>3</v>
      </c>
      <c r="BT352" s="3"/>
      <c r="BU352" s="3" t="s">
        <v>3</v>
      </c>
      <c r="BV352" s="3" t="s">
        <v>3</v>
      </c>
      <c r="BW352" s="3" t="s">
        <v>3</v>
      </c>
      <c r="BX352" s="3" t="s">
        <v>3</v>
      </c>
      <c r="BY352" s="3"/>
      <c r="BZ352" s="3"/>
      <c r="CA352" s="3"/>
      <c r="CB352" s="3"/>
    </row>
    <row r="353" spans="1:80" ht="30" customHeight="1">
      <c r="B353" s="11">
        <f t="shared" si="16"/>
        <v>348</v>
      </c>
      <c r="C353" s="38" t="s">
        <v>904</v>
      </c>
      <c r="D353" s="38" t="s">
        <v>905</v>
      </c>
      <c r="E353" s="35" t="s">
        <v>914</v>
      </c>
      <c r="F353" s="14">
        <f t="shared" si="17"/>
        <v>17</v>
      </c>
      <c r="G353" s="15" t="s">
        <v>2</v>
      </c>
      <c r="H353" s="3" t="s">
        <v>3</v>
      </c>
      <c r="I353" s="3" t="s">
        <v>3</v>
      </c>
      <c r="J353" s="3"/>
      <c r="K353" s="3"/>
      <c r="L353" s="3"/>
      <c r="M353" s="3"/>
      <c r="N353" s="3"/>
      <c r="O353" s="3"/>
      <c r="P353" s="3" t="s">
        <v>3</v>
      </c>
      <c r="Q353" s="3"/>
      <c r="R353" s="3"/>
      <c r="S353" s="3"/>
      <c r="T353" s="3"/>
      <c r="U353" s="3"/>
      <c r="V353" s="3"/>
      <c r="W353" s="3"/>
      <c r="X353" s="3"/>
      <c r="Y353" s="3"/>
      <c r="Z353" s="3" t="s">
        <v>3</v>
      </c>
      <c r="AA353" s="3"/>
      <c r="AB353" s="3"/>
      <c r="AC353" s="3"/>
      <c r="AD353" s="3"/>
      <c r="AE353" s="3"/>
      <c r="AF353" s="3"/>
      <c r="AG353" s="3"/>
      <c r="AH353" s="3"/>
      <c r="AI353" s="3"/>
      <c r="AJ353" s="3"/>
      <c r="AK353" s="3"/>
      <c r="AL353" s="3"/>
      <c r="AM353" s="3"/>
      <c r="AN353" s="3"/>
      <c r="AO353" s="3"/>
      <c r="AP353" s="3"/>
      <c r="AQ353" s="3"/>
      <c r="AR353" s="3"/>
      <c r="AS353" s="3"/>
      <c r="AT353" s="3"/>
      <c r="AU353" s="3" t="s">
        <v>3</v>
      </c>
      <c r="AV353" s="3"/>
      <c r="AW353" s="3"/>
      <c r="AX353" s="28"/>
      <c r="AY353" s="3"/>
      <c r="AZ353" s="3"/>
      <c r="BA353" s="3"/>
      <c r="BB353" s="3"/>
      <c r="BC353" s="3"/>
      <c r="BD353" s="3"/>
      <c r="BE353" s="3" t="s">
        <v>3</v>
      </c>
      <c r="BF353" s="3" t="s">
        <v>3</v>
      </c>
      <c r="BG353" s="3"/>
      <c r="BH353" s="3"/>
      <c r="BI353" s="3"/>
      <c r="BJ353" s="3" t="s">
        <v>3</v>
      </c>
      <c r="BK353" s="3" t="s">
        <v>3</v>
      </c>
      <c r="BL353" s="3"/>
      <c r="BM353" s="3"/>
      <c r="BN353" s="28"/>
      <c r="BO353" s="3"/>
      <c r="BP353" s="3" t="s">
        <v>3</v>
      </c>
      <c r="BQ353" s="3" t="s">
        <v>3</v>
      </c>
      <c r="BR353" s="3"/>
      <c r="BS353" s="3" t="s">
        <v>3</v>
      </c>
      <c r="BT353" s="3"/>
      <c r="BU353" s="3" t="s">
        <v>3</v>
      </c>
      <c r="BV353" s="3" t="s">
        <v>3</v>
      </c>
      <c r="BW353" s="3" t="s">
        <v>3</v>
      </c>
      <c r="BX353" s="3"/>
      <c r="BY353" s="3" t="s">
        <v>3</v>
      </c>
      <c r="BZ353" s="3" t="s">
        <v>3</v>
      </c>
      <c r="CA353" s="3"/>
      <c r="CB353" s="3"/>
    </row>
    <row r="354" spans="1:80" ht="30" customHeight="1">
      <c r="B354" s="11">
        <f t="shared" si="16"/>
        <v>349</v>
      </c>
      <c r="C354" s="38" t="s">
        <v>904</v>
      </c>
      <c r="D354" s="38" t="s">
        <v>905</v>
      </c>
      <c r="E354" s="35" t="s">
        <v>915</v>
      </c>
      <c r="F354" s="14">
        <f t="shared" si="17"/>
        <v>16</v>
      </c>
      <c r="G354" s="15" t="s">
        <v>2</v>
      </c>
      <c r="H354" s="3" t="s">
        <v>3</v>
      </c>
      <c r="I354" s="3"/>
      <c r="J354" s="3"/>
      <c r="K354" s="3"/>
      <c r="L354" s="3"/>
      <c r="M354" s="3"/>
      <c r="N354" s="3"/>
      <c r="O354" s="3"/>
      <c r="P354" s="3" t="s">
        <v>3</v>
      </c>
      <c r="Q354" s="3"/>
      <c r="R354" s="3"/>
      <c r="S354" s="3" t="s">
        <v>3</v>
      </c>
      <c r="T354" s="3"/>
      <c r="U354" s="3"/>
      <c r="V354" s="3"/>
      <c r="W354" s="3"/>
      <c r="X354" s="3"/>
      <c r="Y354" s="3"/>
      <c r="Z354" s="3" t="s">
        <v>3</v>
      </c>
      <c r="AA354" s="3"/>
      <c r="AB354" s="3"/>
      <c r="AC354" s="3"/>
      <c r="AD354" s="3"/>
      <c r="AE354" s="3"/>
      <c r="AF354" s="3"/>
      <c r="AG354" s="3"/>
      <c r="AH354" s="3"/>
      <c r="AI354" s="3"/>
      <c r="AJ354" s="3"/>
      <c r="AK354" s="3"/>
      <c r="AL354" s="3"/>
      <c r="AM354" s="3"/>
      <c r="AN354" s="3" t="s">
        <v>3</v>
      </c>
      <c r="AO354" s="3"/>
      <c r="AP354" s="3"/>
      <c r="AQ354" s="3"/>
      <c r="AR354" s="3"/>
      <c r="AS354" s="3"/>
      <c r="AT354" s="3"/>
      <c r="AV354" s="3" t="s">
        <v>3</v>
      </c>
      <c r="AW354" s="3"/>
      <c r="AX354" s="28"/>
      <c r="AY354" s="3"/>
      <c r="AZ354" s="3"/>
      <c r="BA354" s="3"/>
      <c r="BB354" s="3"/>
      <c r="BC354" s="3"/>
      <c r="BD354" s="3"/>
      <c r="BE354" s="3" t="s">
        <v>3</v>
      </c>
      <c r="BF354" s="3" t="s">
        <v>3</v>
      </c>
      <c r="BG354" s="3"/>
      <c r="BH354" s="3"/>
      <c r="BI354" s="3"/>
      <c r="BJ354" s="3" t="s">
        <v>3</v>
      </c>
      <c r="BK354" s="3" t="s">
        <v>3</v>
      </c>
      <c r="BL354" s="3"/>
      <c r="BM354" s="3"/>
      <c r="BN354" s="28"/>
      <c r="BO354" s="3"/>
      <c r="BP354" s="3" t="s">
        <v>3</v>
      </c>
      <c r="BQ354" s="3" t="s">
        <v>3</v>
      </c>
      <c r="BR354" s="3"/>
      <c r="BS354" s="3"/>
      <c r="BT354" s="3"/>
      <c r="BU354" s="3" t="s">
        <v>3</v>
      </c>
      <c r="BV354" s="3" t="s">
        <v>3</v>
      </c>
      <c r="BW354" s="3" t="s">
        <v>3</v>
      </c>
      <c r="BX354" s="3" t="s">
        <v>3</v>
      </c>
      <c r="BY354" s="3"/>
      <c r="BZ354" s="3"/>
      <c r="CA354" s="3"/>
      <c r="CB354" s="3"/>
    </row>
    <row r="355" spans="1:80" ht="30" customHeight="1">
      <c r="B355" s="11">
        <f t="shared" si="16"/>
        <v>350</v>
      </c>
      <c r="C355" s="38" t="s">
        <v>904</v>
      </c>
      <c r="D355" s="38" t="s">
        <v>905</v>
      </c>
      <c r="E355" s="44" t="s">
        <v>916</v>
      </c>
      <c r="F355" s="14">
        <f t="shared" si="17"/>
        <v>15</v>
      </c>
      <c r="G355" s="15" t="s">
        <v>2</v>
      </c>
      <c r="H355" s="3"/>
      <c r="I355" s="3"/>
      <c r="J355" s="3"/>
      <c r="K355" s="3"/>
      <c r="L355" s="3"/>
      <c r="M355" s="3"/>
      <c r="N355" s="3"/>
      <c r="O355" s="3"/>
      <c r="P355" s="3"/>
      <c r="Q355" s="3"/>
      <c r="R355" s="3"/>
      <c r="S355" s="3"/>
      <c r="T355" s="3" t="s">
        <v>3</v>
      </c>
      <c r="U355" s="3"/>
      <c r="V355" s="3"/>
      <c r="W355" s="3"/>
      <c r="X355" s="3"/>
      <c r="Y355" s="3"/>
      <c r="Z355" s="3" t="s">
        <v>3</v>
      </c>
      <c r="AA355" s="3"/>
      <c r="AB355" s="3"/>
      <c r="AC355" s="3"/>
      <c r="AD355" s="3"/>
      <c r="AE355" s="3"/>
      <c r="AF355" s="3"/>
      <c r="AG355" s="3"/>
      <c r="AH355" s="3"/>
      <c r="AI355" s="3"/>
      <c r="AJ355" s="3"/>
      <c r="AK355" s="3"/>
      <c r="AL355" s="3"/>
      <c r="AM355" s="3"/>
      <c r="AN355" s="3" t="s">
        <v>3</v>
      </c>
      <c r="AO355" s="3"/>
      <c r="AP355" s="3"/>
      <c r="AQ355" s="3"/>
      <c r="AR355" s="3"/>
      <c r="AS355" s="3"/>
      <c r="AT355" s="3"/>
      <c r="AU355" s="3" t="s">
        <v>3</v>
      </c>
      <c r="AV355" s="3"/>
      <c r="AW355" s="3"/>
      <c r="AX355" s="28"/>
      <c r="AY355" s="3"/>
      <c r="AZ355" s="3"/>
      <c r="BA355" s="3"/>
      <c r="BB355" s="3"/>
      <c r="BC355" s="3"/>
      <c r="BD355" s="3"/>
      <c r="BE355" s="3" t="s">
        <v>3</v>
      </c>
      <c r="BF355" s="3" t="s">
        <v>3</v>
      </c>
      <c r="BG355" s="3"/>
      <c r="BH355" s="3"/>
      <c r="BI355" s="3"/>
      <c r="BJ355" s="3" t="s">
        <v>3</v>
      </c>
      <c r="BK355" s="3" t="s">
        <v>3</v>
      </c>
      <c r="BL355" s="3"/>
      <c r="BM355" s="3"/>
      <c r="BN355" s="28"/>
      <c r="BO355" s="3"/>
      <c r="BP355" s="3" t="s">
        <v>3</v>
      </c>
      <c r="BQ355" s="3" t="s">
        <v>3</v>
      </c>
      <c r="BR355" s="3"/>
      <c r="BS355" s="3" t="s">
        <v>3</v>
      </c>
      <c r="BT355" s="3"/>
      <c r="BU355" s="3" t="s">
        <v>3</v>
      </c>
      <c r="BV355" s="3" t="s">
        <v>3</v>
      </c>
      <c r="BW355" s="3" t="s">
        <v>3</v>
      </c>
      <c r="BX355" s="3" t="s">
        <v>3</v>
      </c>
      <c r="BY355" s="3"/>
      <c r="BZ355" s="3"/>
      <c r="CA355" s="3"/>
      <c r="CB355" s="3"/>
    </row>
    <row r="356" spans="1:80" ht="30" customHeight="1">
      <c r="B356" s="11">
        <f t="shared" si="16"/>
        <v>351</v>
      </c>
      <c r="C356" s="38" t="s">
        <v>904</v>
      </c>
      <c r="D356" s="38" t="s">
        <v>905</v>
      </c>
      <c r="E356" s="44" t="s">
        <v>917</v>
      </c>
      <c r="F356" s="14">
        <f t="shared" si="17"/>
        <v>9</v>
      </c>
      <c r="G356" s="15" t="s">
        <v>2</v>
      </c>
      <c r="H356" s="3" t="s">
        <v>3</v>
      </c>
      <c r="I356" s="3" t="s">
        <v>3</v>
      </c>
      <c r="J356" s="3"/>
      <c r="K356" s="3"/>
      <c r="L356" s="3"/>
      <c r="M356" s="3"/>
      <c r="N356" s="3"/>
      <c r="O356" s="3"/>
      <c r="P356" s="3" t="s">
        <v>3</v>
      </c>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t="s">
        <v>3</v>
      </c>
      <c r="AU356" s="3"/>
      <c r="AV356" s="3"/>
      <c r="AW356" s="3"/>
      <c r="AX356" s="28"/>
      <c r="AY356" s="3"/>
      <c r="AZ356" s="3"/>
      <c r="BA356" s="3"/>
      <c r="BB356" s="3"/>
      <c r="BC356" s="3"/>
      <c r="BD356" s="3"/>
      <c r="BE356" s="3"/>
      <c r="BF356" s="3"/>
      <c r="BG356" s="3"/>
      <c r="BH356" s="3"/>
      <c r="BI356" s="3"/>
      <c r="BJ356" s="3"/>
      <c r="BK356" s="3"/>
      <c r="BL356" s="3" t="s">
        <v>3</v>
      </c>
      <c r="BM356" s="3" t="s">
        <v>3</v>
      </c>
      <c r="BN356" s="28"/>
      <c r="BO356" s="3"/>
      <c r="BP356" s="3"/>
      <c r="BQ356" s="3"/>
      <c r="BR356" s="3"/>
      <c r="BS356" s="3"/>
      <c r="BT356" s="3"/>
      <c r="BU356" s="3" t="s">
        <v>3</v>
      </c>
      <c r="BV356" s="3" t="s">
        <v>3</v>
      </c>
      <c r="BW356" s="3" t="s">
        <v>3</v>
      </c>
      <c r="BX356" s="3"/>
      <c r="BY356" s="3"/>
      <c r="BZ356" s="3"/>
      <c r="CA356" s="3"/>
      <c r="CB356" s="3"/>
    </row>
    <row r="357" spans="1:80" ht="30" customHeight="1">
      <c r="B357" s="11">
        <f t="shared" si="16"/>
        <v>352</v>
      </c>
      <c r="C357" s="38" t="s">
        <v>904</v>
      </c>
      <c r="D357" s="38" t="s">
        <v>905</v>
      </c>
      <c r="E357" s="44" t="s">
        <v>918</v>
      </c>
      <c r="F357" s="14">
        <f t="shared" si="17"/>
        <v>7</v>
      </c>
      <c r="G357" s="15" t="s">
        <v>2</v>
      </c>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t="s">
        <v>3</v>
      </c>
      <c r="AV357" s="3"/>
      <c r="AW357" s="3"/>
      <c r="AX357" s="28"/>
      <c r="AY357" s="3"/>
      <c r="AZ357" s="3"/>
      <c r="BA357" s="3"/>
      <c r="BB357" s="3"/>
      <c r="BC357" s="3"/>
      <c r="BD357" s="3"/>
      <c r="BE357" s="3"/>
      <c r="BF357" s="3"/>
      <c r="BG357" s="3"/>
      <c r="BH357" s="3"/>
      <c r="BI357" s="3"/>
      <c r="BJ357" s="3"/>
      <c r="BK357" s="3"/>
      <c r="BL357" s="3" t="s">
        <v>3</v>
      </c>
      <c r="BM357" s="3" t="s">
        <v>3</v>
      </c>
      <c r="BN357" s="28"/>
      <c r="BO357" s="3"/>
      <c r="BP357" s="3"/>
      <c r="BQ357" s="3"/>
      <c r="BR357" s="3"/>
      <c r="BS357" s="3" t="s">
        <v>3</v>
      </c>
      <c r="BT357" s="3"/>
      <c r="BU357" s="3" t="s">
        <v>3</v>
      </c>
      <c r="BV357" s="3" t="s">
        <v>3</v>
      </c>
      <c r="BW357" s="3" t="s">
        <v>3</v>
      </c>
      <c r="BX357" s="3"/>
      <c r="BY357" s="3"/>
      <c r="BZ357" s="3"/>
      <c r="CA357" s="3"/>
      <c r="CB357" s="3"/>
    </row>
    <row r="358" spans="1:80" ht="30" customHeight="1">
      <c r="B358" s="11">
        <f t="shared" si="16"/>
        <v>353</v>
      </c>
      <c r="C358" s="38" t="s">
        <v>904</v>
      </c>
      <c r="D358" s="38" t="s">
        <v>905</v>
      </c>
      <c r="E358" s="44" t="s">
        <v>919</v>
      </c>
      <c r="F358" s="14">
        <f t="shared" si="17"/>
        <v>6</v>
      </c>
      <c r="G358" s="15" t="s">
        <v>2</v>
      </c>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28"/>
      <c r="AY358" s="3"/>
      <c r="AZ358" s="3"/>
      <c r="BA358" s="3"/>
      <c r="BB358" s="3"/>
      <c r="BC358" s="3"/>
      <c r="BD358" s="3"/>
      <c r="BE358" s="3"/>
      <c r="BF358" s="3"/>
      <c r="BG358" s="3"/>
      <c r="BH358" s="3"/>
      <c r="BI358" s="3"/>
      <c r="BJ358" s="3"/>
      <c r="BK358" s="3"/>
      <c r="BL358" s="3" t="s">
        <v>3</v>
      </c>
      <c r="BM358" s="3" t="s">
        <v>3</v>
      </c>
      <c r="BN358" s="28"/>
      <c r="BO358" s="3"/>
      <c r="BP358" s="3"/>
      <c r="BQ358" s="3"/>
      <c r="BR358" s="3"/>
      <c r="BS358" s="3" t="s">
        <v>3</v>
      </c>
      <c r="BT358" s="3"/>
      <c r="BU358" s="3" t="s">
        <v>3</v>
      </c>
      <c r="BV358" s="3" t="s">
        <v>3</v>
      </c>
      <c r="BW358" s="3" t="s">
        <v>3</v>
      </c>
      <c r="BX358" s="3"/>
      <c r="BY358" s="3"/>
      <c r="BZ358" s="3"/>
      <c r="CA358" s="3"/>
      <c r="CB358" s="3"/>
    </row>
    <row r="359" spans="1:80" ht="30" customHeight="1">
      <c r="B359" s="11">
        <f t="shared" si="16"/>
        <v>354</v>
      </c>
      <c r="C359" s="38" t="s">
        <v>904</v>
      </c>
      <c r="D359" s="38" t="s">
        <v>905</v>
      </c>
      <c r="E359" s="44" t="s">
        <v>920</v>
      </c>
      <c r="F359" s="14">
        <f t="shared" si="17"/>
        <v>13</v>
      </c>
      <c r="G359" s="15" t="s">
        <v>2</v>
      </c>
      <c r="H359" s="3" t="s">
        <v>3</v>
      </c>
      <c r="I359" s="3"/>
      <c r="J359" s="3"/>
      <c r="K359" s="3"/>
      <c r="L359" s="3"/>
      <c r="M359" s="3"/>
      <c r="N359" s="3"/>
      <c r="O359" s="3"/>
      <c r="P359" s="3"/>
      <c r="Q359" s="3"/>
      <c r="R359" s="3"/>
      <c r="S359" s="3"/>
      <c r="T359" s="3"/>
      <c r="U359" s="3"/>
      <c r="V359" s="3"/>
      <c r="W359" s="3" t="s">
        <v>3</v>
      </c>
      <c r="X359" s="3"/>
      <c r="Y359" s="3"/>
      <c r="Z359" s="3" t="s">
        <v>3</v>
      </c>
      <c r="AA359" s="3"/>
      <c r="AB359" s="3" t="s">
        <v>3</v>
      </c>
      <c r="AC359" s="3"/>
      <c r="AD359" s="3"/>
      <c r="AE359" s="3"/>
      <c r="AF359" s="3"/>
      <c r="AG359" s="3"/>
      <c r="AH359" s="3"/>
      <c r="AI359" s="3"/>
      <c r="AJ359" s="3"/>
      <c r="AK359" s="3"/>
      <c r="AL359" s="3"/>
      <c r="AM359" s="3"/>
      <c r="AN359" s="3" t="s">
        <v>3</v>
      </c>
      <c r="AO359" s="3"/>
      <c r="AP359" s="3"/>
      <c r="AQ359" s="3"/>
      <c r="AR359" s="3"/>
      <c r="AS359" s="3"/>
      <c r="AT359" s="3" t="s">
        <v>3</v>
      </c>
      <c r="AU359" s="3"/>
      <c r="AV359" s="3"/>
      <c r="AW359" s="3"/>
      <c r="AX359" s="28"/>
      <c r="AY359" s="3"/>
      <c r="AZ359" s="3"/>
      <c r="BA359" s="3"/>
      <c r="BB359" s="3"/>
      <c r="BC359" s="3"/>
      <c r="BD359" s="3"/>
      <c r="BE359" s="3"/>
      <c r="BF359" s="3"/>
      <c r="BG359" s="3"/>
      <c r="BH359" s="3"/>
      <c r="BI359" s="3"/>
      <c r="BJ359" s="3"/>
      <c r="BK359" s="3"/>
      <c r="BL359" s="3" t="s">
        <v>3</v>
      </c>
      <c r="BM359" s="3" t="s">
        <v>3</v>
      </c>
      <c r="BN359" s="28"/>
      <c r="BO359" s="3"/>
      <c r="BP359" s="3"/>
      <c r="BQ359" s="3"/>
      <c r="BR359" s="3"/>
      <c r="BS359" s="3" t="s">
        <v>3</v>
      </c>
      <c r="BT359" s="3"/>
      <c r="BU359" s="3" t="s">
        <v>3</v>
      </c>
      <c r="BV359" s="3" t="s">
        <v>3</v>
      </c>
      <c r="BW359" s="3" t="s">
        <v>3</v>
      </c>
      <c r="BX359" s="3" t="s">
        <v>3</v>
      </c>
      <c r="BY359" s="3"/>
      <c r="BZ359" s="3"/>
      <c r="CA359" s="3"/>
      <c r="CB359" s="3"/>
    </row>
    <row r="360" spans="1:80" ht="30" customHeight="1">
      <c r="B360" s="11">
        <f t="shared" si="16"/>
        <v>355</v>
      </c>
      <c r="C360" s="38" t="s">
        <v>904</v>
      </c>
      <c r="D360" s="38" t="s">
        <v>905</v>
      </c>
      <c r="E360" s="44" t="s">
        <v>921</v>
      </c>
      <c r="F360" s="14">
        <f t="shared" si="17"/>
        <v>15</v>
      </c>
      <c r="G360" s="15" t="s">
        <v>2</v>
      </c>
      <c r="H360" s="3" t="s">
        <v>3</v>
      </c>
      <c r="I360" s="3" t="s">
        <v>3</v>
      </c>
      <c r="J360" s="3"/>
      <c r="K360" s="3"/>
      <c r="L360" s="3"/>
      <c r="M360" s="3"/>
      <c r="N360" s="3" t="s">
        <v>3</v>
      </c>
      <c r="O360" s="3"/>
      <c r="P360" s="3" t="s">
        <v>3</v>
      </c>
      <c r="Q360" s="3"/>
      <c r="R360" s="3"/>
      <c r="S360" s="3" t="s">
        <v>3</v>
      </c>
      <c r="T360" s="3"/>
      <c r="U360" s="3"/>
      <c r="V360" s="3"/>
      <c r="W360" s="3"/>
      <c r="X360" s="3"/>
      <c r="Y360" s="3"/>
      <c r="Z360" s="3" t="s">
        <v>3</v>
      </c>
      <c r="AA360" s="3"/>
      <c r="AB360" s="3"/>
      <c r="AC360" s="3"/>
      <c r="AD360" s="3" t="s">
        <v>3</v>
      </c>
      <c r="AE360" s="3"/>
      <c r="AF360" s="3"/>
      <c r="AG360" s="3"/>
      <c r="AH360" s="3"/>
      <c r="AI360" s="3"/>
      <c r="AJ360" s="3"/>
      <c r="AK360" s="3"/>
      <c r="AL360" s="3"/>
      <c r="AM360" s="3"/>
      <c r="AN360" s="3"/>
      <c r="AO360" s="3"/>
      <c r="AP360" s="3"/>
      <c r="AQ360" s="3"/>
      <c r="AR360" s="3"/>
      <c r="AS360" s="3"/>
      <c r="AT360" s="3"/>
      <c r="AU360" s="3" t="s">
        <v>3</v>
      </c>
      <c r="AV360" s="3"/>
      <c r="AW360" s="3"/>
      <c r="AX360" s="28"/>
      <c r="AY360" s="3"/>
      <c r="AZ360" s="3"/>
      <c r="BA360" s="3"/>
      <c r="BB360" s="3"/>
      <c r="BC360" s="3"/>
      <c r="BD360" s="3"/>
      <c r="BE360" s="3"/>
      <c r="BF360" s="3"/>
      <c r="BG360" s="3"/>
      <c r="BH360" s="3"/>
      <c r="BI360" s="3"/>
      <c r="BJ360" s="3"/>
      <c r="BK360" s="3"/>
      <c r="BL360" s="3" t="s">
        <v>3</v>
      </c>
      <c r="BM360" s="3" t="s">
        <v>3</v>
      </c>
      <c r="BN360" s="28"/>
      <c r="BO360" s="3"/>
      <c r="BP360" s="3"/>
      <c r="BQ360" s="3"/>
      <c r="BR360" s="3"/>
      <c r="BS360" s="3" t="s">
        <v>3</v>
      </c>
      <c r="BT360" s="3"/>
      <c r="BU360" s="3" t="s">
        <v>3</v>
      </c>
      <c r="BV360" s="3" t="s">
        <v>3</v>
      </c>
      <c r="BW360" s="3" t="s">
        <v>3</v>
      </c>
      <c r="BX360" s="3" t="s">
        <v>3</v>
      </c>
      <c r="BY360" s="3"/>
      <c r="BZ360" s="3"/>
      <c r="CA360" s="3"/>
      <c r="CB360" s="3"/>
    </row>
    <row r="361" spans="1:80" ht="30" customHeight="1">
      <c r="B361" s="11">
        <f t="shared" si="16"/>
        <v>356</v>
      </c>
      <c r="C361" s="38" t="s">
        <v>904</v>
      </c>
      <c r="D361" s="38" t="s">
        <v>905</v>
      </c>
      <c r="E361" s="44" t="s">
        <v>922</v>
      </c>
      <c r="F361" s="14">
        <f t="shared" si="17"/>
        <v>12</v>
      </c>
      <c r="G361" s="15" t="s">
        <v>2</v>
      </c>
      <c r="H361" s="3" t="s">
        <v>3</v>
      </c>
      <c r="I361" s="3"/>
      <c r="J361" s="3"/>
      <c r="K361" s="3"/>
      <c r="L361" s="3"/>
      <c r="M361" s="3"/>
      <c r="N361" s="3"/>
      <c r="O361" s="3"/>
      <c r="P361" s="3" t="s">
        <v>3</v>
      </c>
      <c r="Q361" s="3"/>
      <c r="R361" s="3"/>
      <c r="S361" s="3"/>
      <c r="T361" s="3"/>
      <c r="U361" s="3"/>
      <c r="V361" s="3"/>
      <c r="W361" s="3"/>
      <c r="X361" s="3"/>
      <c r="Y361" s="3"/>
      <c r="Z361" s="3" t="s">
        <v>3</v>
      </c>
      <c r="AA361" s="3"/>
      <c r="AB361" s="3"/>
      <c r="AC361" s="3"/>
      <c r="AD361" s="3"/>
      <c r="AE361" s="3"/>
      <c r="AF361" s="3"/>
      <c r="AG361" s="3"/>
      <c r="AH361" s="3"/>
      <c r="AI361" s="3"/>
      <c r="AJ361" s="3"/>
      <c r="AK361" s="3"/>
      <c r="AL361" s="3"/>
      <c r="AM361" s="3"/>
      <c r="AN361" s="3" t="s">
        <v>3</v>
      </c>
      <c r="AO361" s="3"/>
      <c r="AP361" s="3"/>
      <c r="AQ361" s="3"/>
      <c r="AR361" s="3"/>
      <c r="AS361" s="3"/>
      <c r="AT361" s="3"/>
      <c r="AU361" s="3" t="s">
        <v>3</v>
      </c>
      <c r="AV361" s="3"/>
      <c r="AW361" s="3"/>
      <c r="AX361" s="28"/>
      <c r="AY361" s="3"/>
      <c r="AZ361" s="3"/>
      <c r="BA361" s="3"/>
      <c r="BB361" s="3"/>
      <c r="BC361" s="3"/>
      <c r="BD361" s="3"/>
      <c r="BE361" s="3"/>
      <c r="BF361" s="3"/>
      <c r="BG361" s="3"/>
      <c r="BH361" s="3"/>
      <c r="BI361" s="3"/>
      <c r="BJ361" s="3"/>
      <c r="BK361" s="3"/>
      <c r="BL361" s="3" t="s">
        <v>3</v>
      </c>
      <c r="BM361" s="3" t="s">
        <v>3</v>
      </c>
      <c r="BN361" s="28"/>
      <c r="BO361" s="3"/>
      <c r="BP361" s="3"/>
      <c r="BQ361" s="3"/>
      <c r="BR361" s="3"/>
      <c r="BS361" s="3" t="s">
        <v>3</v>
      </c>
      <c r="BT361" s="3"/>
      <c r="BU361" s="3" t="s">
        <v>3</v>
      </c>
      <c r="BV361" s="3" t="s">
        <v>3</v>
      </c>
      <c r="BW361" s="3" t="s">
        <v>3</v>
      </c>
      <c r="BX361" s="3" t="s">
        <v>3</v>
      </c>
      <c r="BY361" s="3"/>
      <c r="BZ361" s="3"/>
      <c r="CA361" s="3"/>
      <c r="CB361" s="3"/>
    </row>
    <row r="362" spans="1:80" ht="30" customHeight="1">
      <c r="B362" s="11">
        <f t="shared" si="16"/>
        <v>357</v>
      </c>
      <c r="C362" s="38" t="s">
        <v>904</v>
      </c>
      <c r="D362" s="38" t="s">
        <v>905</v>
      </c>
      <c r="E362" s="44" t="s">
        <v>923</v>
      </c>
      <c r="F362" s="14">
        <f t="shared" si="17"/>
        <v>15</v>
      </c>
      <c r="G362" s="15" t="s">
        <v>2</v>
      </c>
      <c r="H362" s="3" t="s">
        <v>3</v>
      </c>
      <c r="I362" s="3"/>
      <c r="J362" s="3"/>
      <c r="K362" s="3"/>
      <c r="L362" s="3"/>
      <c r="M362" s="3"/>
      <c r="N362" s="3"/>
      <c r="O362" s="3"/>
      <c r="P362" s="3" t="s">
        <v>3</v>
      </c>
      <c r="Q362" s="3"/>
      <c r="R362" s="3"/>
      <c r="S362" s="3"/>
      <c r="T362" s="3"/>
      <c r="U362" s="3"/>
      <c r="V362" s="3"/>
      <c r="W362" s="3"/>
      <c r="X362" s="3"/>
      <c r="Y362" s="3"/>
      <c r="Z362" s="3" t="s">
        <v>3</v>
      </c>
      <c r="AA362" s="3"/>
      <c r="AB362" s="3" t="s">
        <v>3</v>
      </c>
      <c r="AC362" s="3" t="s">
        <v>3</v>
      </c>
      <c r="AD362" s="3"/>
      <c r="AE362" s="3"/>
      <c r="AF362" s="3"/>
      <c r="AG362" s="3"/>
      <c r="AH362" s="3"/>
      <c r="AI362" s="3"/>
      <c r="AJ362" s="3"/>
      <c r="AK362" s="3"/>
      <c r="AL362" s="3"/>
      <c r="AM362" s="3" t="s">
        <v>3</v>
      </c>
      <c r="AN362" s="3" t="s">
        <v>3</v>
      </c>
      <c r="AO362" s="3"/>
      <c r="AP362" s="3"/>
      <c r="AQ362" s="3"/>
      <c r="AR362" s="3"/>
      <c r="AS362" s="3"/>
      <c r="AT362" s="3"/>
      <c r="AU362" s="3" t="s">
        <v>3</v>
      </c>
      <c r="AV362" s="3"/>
      <c r="AW362" s="3"/>
      <c r="AX362" s="28"/>
      <c r="AY362" s="3"/>
      <c r="AZ362" s="3"/>
      <c r="BA362" s="3"/>
      <c r="BB362" s="3"/>
      <c r="BC362" s="3"/>
      <c r="BD362" s="3"/>
      <c r="BE362" s="3"/>
      <c r="BF362" s="3"/>
      <c r="BG362" s="3"/>
      <c r="BH362" s="3"/>
      <c r="BI362" s="3"/>
      <c r="BJ362" s="3"/>
      <c r="BK362" s="3"/>
      <c r="BL362" s="3" t="s">
        <v>3</v>
      </c>
      <c r="BM362" s="3" t="s">
        <v>3</v>
      </c>
      <c r="BN362" s="28"/>
      <c r="BO362" s="3"/>
      <c r="BP362" s="3"/>
      <c r="BQ362" s="3"/>
      <c r="BR362" s="3"/>
      <c r="BS362" s="3" t="s">
        <v>3</v>
      </c>
      <c r="BT362" s="3"/>
      <c r="BU362" s="3" t="s">
        <v>3</v>
      </c>
      <c r="BV362" s="3" t="s">
        <v>3</v>
      </c>
      <c r="BW362" s="3" t="s">
        <v>3</v>
      </c>
      <c r="BX362" s="3" t="s">
        <v>3</v>
      </c>
      <c r="BY362" s="3"/>
      <c r="BZ362" s="3"/>
      <c r="CA362" s="3"/>
      <c r="CB362" s="3"/>
    </row>
    <row r="363" spans="1:80" ht="30" customHeight="1">
      <c r="B363" s="11">
        <f t="shared" si="16"/>
        <v>358</v>
      </c>
      <c r="C363" s="38" t="s">
        <v>904</v>
      </c>
      <c r="D363" s="38" t="s">
        <v>905</v>
      </c>
      <c r="E363" s="44" t="s">
        <v>924</v>
      </c>
      <c r="F363" s="14">
        <f t="shared" si="17"/>
        <v>12</v>
      </c>
      <c r="G363" s="15" t="s">
        <v>2</v>
      </c>
      <c r="H363" s="3" t="s">
        <v>3</v>
      </c>
      <c r="I363" s="3"/>
      <c r="J363" s="3"/>
      <c r="K363" s="3"/>
      <c r="L363" s="3"/>
      <c r="M363" s="3"/>
      <c r="N363" s="3"/>
      <c r="O363" s="3"/>
      <c r="P363" s="3"/>
      <c r="Q363" s="3"/>
      <c r="R363" s="3"/>
      <c r="S363" s="3"/>
      <c r="T363" s="3"/>
      <c r="U363" s="3" t="s">
        <v>3</v>
      </c>
      <c r="V363" s="3" t="s">
        <v>3</v>
      </c>
      <c r="W363" s="3"/>
      <c r="X363" s="3"/>
      <c r="Y363" s="3"/>
      <c r="Z363" s="3"/>
      <c r="AA363" s="3" t="s">
        <v>3</v>
      </c>
      <c r="AB363" s="3"/>
      <c r="AC363" s="3"/>
      <c r="AD363" s="3"/>
      <c r="AE363" s="3"/>
      <c r="AF363" s="3"/>
      <c r="AG363" s="3"/>
      <c r="AH363" s="3"/>
      <c r="AI363" s="3"/>
      <c r="AJ363" s="3"/>
      <c r="AK363" s="3"/>
      <c r="AL363" s="3"/>
      <c r="AM363" s="3"/>
      <c r="AN363" s="3"/>
      <c r="AO363" s="3"/>
      <c r="AP363" s="3"/>
      <c r="AQ363" s="3"/>
      <c r="AR363" s="3"/>
      <c r="AS363" s="3"/>
      <c r="AT363" s="3"/>
      <c r="AU363" s="3" t="s">
        <v>3</v>
      </c>
      <c r="AV363" s="3"/>
      <c r="AW363" s="3"/>
      <c r="AX363" s="28"/>
      <c r="AY363" s="3"/>
      <c r="AZ363" s="3"/>
      <c r="BA363" s="3"/>
      <c r="BB363" s="3"/>
      <c r="BC363" s="3"/>
      <c r="BD363" s="3"/>
      <c r="BE363" s="3"/>
      <c r="BF363" s="3"/>
      <c r="BG363" s="3"/>
      <c r="BH363" s="3"/>
      <c r="BI363" s="3"/>
      <c r="BJ363" s="3"/>
      <c r="BK363" s="3"/>
      <c r="BL363" s="3" t="s">
        <v>3</v>
      </c>
      <c r="BM363" s="3" t="s">
        <v>3</v>
      </c>
      <c r="BN363" s="28"/>
      <c r="BO363" s="3"/>
      <c r="BP363" s="3"/>
      <c r="BQ363" s="3"/>
      <c r="BR363" s="3"/>
      <c r="BS363" s="3" t="s">
        <v>3</v>
      </c>
      <c r="BT363" s="3"/>
      <c r="BU363" s="3" t="s">
        <v>3</v>
      </c>
      <c r="BV363" s="3" t="s">
        <v>3</v>
      </c>
      <c r="BW363" s="3" t="s">
        <v>3</v>
      </c>
      <c r="BX363" s="3" t="s">
        <v>3</v>
      </c>
      <c r="BY363" s="3"/>
      <c r="BZ363" s="3"/>
      <c r="CA363" s="3"/>
      <c r="CB363" s="3"/>
    </row>
    <row r="364" spans="1:80" ht="30" customHeight="1">
      <c r="B364" s="11">
        <f t="shared" si="16"/>
        <v>359</v>
      </c>
      <c r="C364" s="38" t="s">
        <v>904</v>
      </c>
      <c r="D364" s="35" t="s">
        <v>925</v>
      </c>
      <c r="E364" s="35" t="s">
        <v>926</v>
      </c>
      <c r="F364" s="14">
        <f t="shared" si="17"/>
        <v>20</v>
      </c>
      <c r="G364" s="15" t="s">
        <v>2</v>
      </c>
      <c r="H364" s="3"/>
      <c r="I364" s="3"/>
      <c r="J364" s="3"/>
      <c r="K364" s="3"/>
      <c r="L364" s="3"/>
      <c r="M364" s="3"/>
      <c r="N364" s="3" t="s">
        <v>3</v>
      </c>
      <c r="O364" s="3" t="s">
        <v>3</v>
      </c>
      <c r="P364" s="3" t="s">
        <v>3</v>
      </c>
      <c r="Q364" s="3"/>
      <c r="R364" s="3"/>
      <c r="S364" s="3"/>
      <c r="T364" s="3"/>
      <c r="U364" s="3" t="s">
        <v>3</v>
      </c>
      <c r="V364" s="3" t="s">
        <v>3</v>
      </c>
      <c r="W364" s="3"/>
      <c r="X364" s="3"/>
      <c r="Y364" s="3"/>
      <c r="Z364" s="3"/>
      <c r="AA364" s="3"/>
      <c r="AB364" s="3"/>
      <c r="AC364" s="3"/>
      <c r="AD364" s="3"/>
      <c r="AE364" s="3"/>
      <c r="AF364" s="3" t="s">
        <v>3</v>
      </c>
      <c r="AG364" s="3" t="s">
        <v>3</v>
      </c>
      <c r="AH364" s="3" t="s">
        <v>3</v>
      </c>
      <c r="AI364" s="3"/>
      <c r="AJ364" s="3"/>
      <c r="AK364" s="3"/>
      <c r="AL364" s="3"/>
      <c r="AM364" s="3"/>
      <c r="AN364" s="3" t="s">
        <v>3</v>
      </c>
      <c r="AO364" s="3"/>
      <c r="AP364" s="3"/>
      <c r="AQ364" s="3"/>
      <c r="AR364" s="3"/>
      <c r="AS364" s="3"/>
      <c r="AT364" s="3"/>
      <c r="AU364" s="3" t="s">
        <v>3</v>
      </c>
      <c r="AV364" s="3"/>
      <c r="AW364" s="3"/>
      <c r="AX364" s="28"/>
      <c r="AY364" s="3"/>
      <c r="AZ364" s="3"/>
      <c r="BA364" s="3"/>
      <c r="BB364" s="3"/>
      <c r="BC364" s="3"/>
      <c r="BD364" s="3"/>
      <c r="BE364" s="3"/>
      <c r="BF364" s="3"/>
      <c r="BG364" s="3"/>
      <c r="BH364" s="3"/>
      <c r="BI364" s="3"/>
      <c r="BJ364" s="3" t="s">
        <v>3</v>
      </c>
      <c r="BK364" s="3" t="s">
        <v>3</v>
      </c>
      <c r="BL364" s="3"/>
      <c r="BM364" s="3"/>
      <c r="BN364" s="28"/>
      <c r="BO364" s="3"/>
      <c r="BP364" s="3" t="s">
        <v>3</v>
      </c>
      <c r="BQ364" s="3" t="s">
        <v>3</v>
      </c>
      <c r="BR364" s="3" t="s">
        <v>3</v>
      </c>
      <c r="BS364" s="3" t="s">
        <v>3</v>
      </c>
      <c r="BT364" s="3"/>
      <c r="BU364" s="3" t="s">
        <v>3</v>
      </c>
      <c r="BV364" s="3" t="s">
        <v>3</v>
      </c>
      <c r="BW364" s="3" t="s">
        <v>3</v>
      </c>
      <c r="BX364" s="3"/>
      <c r="BY364" s="3" t="s">
        <v>3</v>
      </c>
      <c r="BZ364" s="3"/>
      <c r="CA364" s="3"/>
      <c r="CB364" s="3"/>
    </row>
    <row r="365" spans="1:80" ht="30" customHeight="1">
      <c r="B365" s="11">
        <f t="shared" si="16"/>
        <v>360</v>
      </c>
      <c r="C365" s="38" t="s">
        <v>904</v>
      </c>
      <c r="D365" s="38" t="s">
        <v>925</v>
      </c>
      <c r="E365" s="44" t="s">
        <v>927</v>
      </c>
      <c r="F365" s="14">
        <f t="shared" si="17"/>
        <v>8</v>
      </c>
      <c r="G365" s="15" t="s">
        <v>2</v>
      </c>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t="s">
        <v>3</v>
      </c>
      <c r="AG365" s="3"/>
      <c r="AH365" s="3"/>
      <c r="AI365" s="3"/>
      <c r="AJ365" s="3"/>
      <c r="AK365" s="3"/>
      <c r="AL365" s="3"/>
      <c r="AM365" s="3"/>
      <c r="AN365" s="3"/>
      <c r="AO365" s="3"/>
      <c r="AP365" s="3"/>
      <c r="AQ365" s="3"/>
      <c r="AR365" s="3"/>
      <c r="AS365" s="3"/>
      <c r="AT365" s="3"/>
      <c r="AU365" s="3"/>
      <c r="AV365" s="3"/>
      <c r="AW365" s="3"/>
      <c r="AX365" s="28"/>
      <c r="AY365" s="3"/>
      <c r="AZ365" s="3"/>
      <c r="BA365" s="3"/>
      <c r="BB365" s="3"/>
      <c r="BC365" s="3"/>
      <c r="BD365" s="3"/>
      <c r="BE365" s="3"/>
      <c r="BF365" s="3"/>
      <c r="BG365" s="3"/>
      <c r="BH365" s="3"/>
      <c r="BI365" s="3"/>
      <c r="BJ365" s="3"/>
      <c r="BK365" s="3"/>
      <c r="BL365" s="3" t="s">
        <v>3</v>
      </c>
      <c r="BM365" s="3" t="s">
        <v>3</v>
      </c>
      <c r="BN365" s="28"/>
      <c r="BO365" s="3"/>
      <c r="BP365" s="3"/>
      <c r="BQ365" s="3"/>
      <c r="BR365" s="3"/>
      <c r="BS365" s="3" t="s">
        <v>3</v>
      </c>
      <c r="BT365" s="3"/>
      <c r="BU365" s="3" t="s">
        <v>3</v>
      </c>
      <c r="BV365" s="3" t="s">
        <v>3</v>
      </c>
      <c r="BW365" s="3" t="s">
        <v>3</v>
      </c>
      <c r="BX365" s="3"/>
      <c r="BY365" s="3" t="s">
        <v>3</v>
      </c>
      <c r="BZ365" s="3"/>
      <c r="CA365" s="3"/>
      <c r="CB365" s="3"/>
    </row>
    <row r="366" spans="1:80" ht="30" customHeight="1">
      <c r="A366" s="1" t="s">
        <v>928</v>
      </c>
      <c r="B366" s="11">
        <f t="shared" si="16"/>
        <v>361</v>
      </c>
      <c r="C366" s="38" t="s">
        <v>904</v>
      </c>
      <c r="D366" s="38" t="s">
        <v>925</v>
      </c>
      <c r="E366" s="35" t="s">
        <v>929</v>
      </c>
      <c r="F366" s="14">
        <f t="shared" si="17"/>
        <v>17</v>
      </c>
      <c r="G366" s="15" t="s">
        <v>2</v>
      </c>
      <c r="H366" s="3" t="s">
        <v>3</v>
      </c>
      <c r="I366" s="3"/>
      <c r="J366" s="3"/>
      <c r="K366" s="3"/>
      <c r="L366" s="3"/>
      <c r="M366" s="3"/>
      <c r="N366" s="3"/>
      <c r="O366" s="3"/>
      <c r="P366" s="3"/>
      <c r="Q366" s="3"/>
      <c r="R366" s="3"/>
      <c r="S366" s="3"/>
      <c r="T366" s="3"/>
      <c r="U366" s="3" t="s">
        <v>3</v>
      </c>
      <c r="V366" s="3" t="s">
        <v>3</v>
      </c>
      <c r="W366" s="3"/>
      <c r="X366" s="3"/>
      <c r="Y366" s="3"/>
      <c r="Z366" s="3"/>
      <c r="AA366" s="3"/>
      <c r="AB366" s="3"/>
      <c r="AC366" s="3"/>
      <c r="AD366" s="3"/>
      <c r="AE366" s="3"/>
      <c r="AF366" s="3"/>
      <c r="AG366" s="3"/>
      <c r="AH366" s="3"/>
      <c r="AI366" s="3"/>
      <c r="AJ366" s="3"/>
      <c r="AK366" s="3"/>
      <c r="AL366" s="3"/>
      <c r="AM366" s="3"/>
      <c r="AN366" s="3" t="s">
        <v>3</v>
      </c>
      <c r="AO366" s="3"/>
      <c r="AP366" s="3"/>
      <c r="AQ366" s="3"/>
      <c r="AR366" s="3"/>
      <c r="AS366" s="3"/>
      <c r="AT366" s="3"/>
      <c r="AU366" s="3" t="s">
        <v>3</v>
      </c>
      <c r="AV366" s="3"/>
      <c r="AW366" s="3"/>
      <c r="AX366" s="28"/>
      <c r="AY366" s="3"/>
      <c r="AZ366" s="3"/>
      <c r="BA366" s="3"/>
      <c r="BB366" s="3"/>
      <c r="BC366" s="3"/>
      <c r="BD366" s="3"/>
      <c r="BE366" s="3" t="s">
        <v>3</v>
      </c>
      <c r="BF366" s="3" t="s">
        <v>3</v>
      </c>
      <c r="BG366" s="3"/>
      <c r="BH366" s="3"/>
      <c r="BI366" s="3"/>
      <c r="BJ366" s="3" t="s">
        <v>3</v>
      </c>
      <c r="BK366" s="3" t="s">
        <v>3</v>
      </c>
      <c r="BL366" s="1"/>
      <c r="BM366" s="3"/>
      <c r="BN366" s="28"/>
      <c r="BO366" s="3"/>
      <c r="BP366" s="3" t="s">
        <v>3</v>
      </c>
      <c r="BQ366" s="3" t="s">
        <v>3</v>
      </c>
      <c r="BR366" s="3" t="s">
        <v>3</v>
      </c>
      <c r="BS366" s="3" t="s">
        <v>3</v>
      </c>
      <c r="BT366" s="3"/>
      <c r="BU366" s="3" t="s">
        <v>3</v>
      </c>
      <c r="BV366" s="3" t="s">
        <v>3</v>
      </c>
      <c r="BW366" s="3" t="s">
        <v>3</v>
      </c>
      <c r="BX366" s="3" t="s">
        <v>3</v>
      </c>
      <c r="BY366" s="3"/>
      <c r="BZ366" s="3"/>
      <c r="CA366" s="3"/>
      <c r="CB366" s="3"/>
    </row>
    <row r="367" spans="1:80" ht="30" customHeight="1">
      <c r="B367" s="11">
        <f t="shared" si="16"/>
        <v>362</v>
      </c>
      <c r="C367" s="38" t="s">
        <v>904</v>
      </c>
      <c r="D367" s="38" t="s">
        <v>925</v>
      </c>
      <c r="E367" s="35" t="s">
        <v>930</v>
      </c>
      <c r="F367" s="14">
        <f t="shared" si="17"/>
        <v>14</v>
      </c>
      <c r="G367" s="15" t="s">
        <v>2</v>
      </c>
      <c r="H367" s="3"/>
      <c r="I367" s="3"/>
      <c r="J367" s="3"/>
      <c r="K367" s="3"/>
      <c r="L367" s="3"/>
      <c r="M367" s="3"/>
      <c r="N367" s="3"/>
      <c r="O367" s="3"/>
      <c r="P367" s="3"/>
      <c r="Q367" s="3"/>
      <c r="R367" s="3"/>
      <c r="S367" s="3"/>
      <c r="T367" s="3"/>
      <c r="U367" s="3"/>
      <c r="V367" s="3"/>
      <c r="W367" s="3"/>
      <c r="X367" s="3"/>
      <c r="Y367" s="3"/>
      <c r="Z367" s="3" t="s">
        <v>3</v>
      </c>
      <c r="AA367" s="3"/>
      <c r="AB367" s="3"/>
      <c r="AC367" s="3"/>
      <c r="AD367" s="3"/>
      <c r="AE367" s="3"/>
      <c r="AF367" s="3"/>
      <c r="AG367" s="3" t="s">
        <v>3</v>
      </c>
      <c r="AH367" s="3" t="s">
        <v>3</v>
      </c>
      <c r="AI367" s="3"/>
      <c r="AJ367" s="3"/>
      <c r="AK367" s="3"/>
      <c r="AL367" s="3"/>
      <c r="AM367" s="3"/>
      <c r="AN367" s="3" t="s">
        <v>3</v>
      </c>
      <c r="AO367" s="3"/>
      <c r="AP367" s="3"/>
      <c r="AQ367" s="3"/>
      <c r="AR367" s="3"/>
      <c r="AS367" s="3"/>
      <c r="AT367" s="3"/>
      <c r="AU367" s="3" t="s">
        <v>3</v>
      </c>
      <c r="AV367" s="3"/>
      <c r="AW367" s="3"/>
      <c r="AX367" s="28"/>
      <c r="AY367" s="3"/>
      <c r="AZ367" s="3"/>
      <c r="BA367" s="3"/>
      <c r="BB367" s="3"/>
      <c r="BC367" s="3"/>
      <c r="BD367" s="3"/>
      <c r="BE367" s="3" t="s">
        <v>3</v>
      </c>
      <c r="BF367" s="3" t="s">
        <v>3</v>
      </c>
      <c r="BG367" s="3"/>
      <c r="BH367" s="3"/>
      <c r="BI367" s="3"/>
      <c r="BJ367" s="3" t="s">
        <v>3</v>
      </c>
      <c r="BK367" s="3" t="s">
        <v>3</v>
      </c>
      <c r="BL367" s="3"/>
      <c r="BM367" s="3"/>
      <c r="BN367" s="28"/>
      <c r="BO367" s="3"/>
      <c r="BP367" s="3"/>
      <c r="BQ367" s="3"/>
      <c r="BR367" s="3"/>
      <c r="BS367" s="3"/>
      <c r="BT367" s="3"/>
      <c r="BU367" s="3" t="s">
        <v>3</v>
      </c>
      <c r="BV367" s="3" t="s">
        <v>3</v>
      </c>
      <c r="BW367" s="3" t="s">
        <v>3</v>
      </c>
      <c r="BX367" s="3" t="s">
        <v>3</v>
      </c>
      <c r="BY367" s="3" t="s">
        <v>3</v>
      </c>
      <c r="BZ367" s="3"/>
      <c r="CA367" s="3"/>
      <c r="CB367" s="3"/>
    </row>
    <row r="368" spans="1:80" ht="30" customHeight="1">
      <c r="B368" s="11">
        <f t="shared" si="16"/>
        <v>363</v>
      </c>
      <c r="C368" s="38" t="s">
        <v>904</v>
      </c>
      <c r="D368" s="38" t="s">
        <v>925</v>
      </c>
      <c r="E368" s="44" t="s">
        <v>931</v>
      </c>
      <c r="F368" s="14">
        <f t="shared" si="17"/>
        <v>9</v>
      </c>
      <c r="G368" s="15" t="s">
        <v>2</v>
      </c>
      <c r="H368" s="3" t="s">
        <v>3</v>
      </c>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t="s">
        <v>3</v>
      </c>
      <c r="AI368" s="3"/>
      <c r="AJ368" s="3"/>
      <c r="AK368" s="3"/>
      <c r="AL368" s="3"/>
      <c r="AM368" s="3"/>
      <c r="AN368" s="3"/>
      <c r="AO368" s="3"/>
      <c r="AP368" s="3"/>
      <c r="AQ368" s="3"/>
      <c r="AR368" s="3"/>
      <c r="AS368" s="3"/>
      <c r="AT368" s="3"/>
      <c r="AU368" s="3" t="s">
        <v>3</v>
      </c>
      <c r="AV368" s="3"/>
      <c r="AW368" s="3"/>
      <c r="AX368" s="28"/>
      <c r="AY368" s="3"/>
      <c r="AZ368" s="3"/>
      <c r="BA368" s="3"/>
      <c r="BB368" s="3"/>
      <c r="BC368" s="3"/>
      <c r="BD368" s="3"/>
      <c r="BE368" s="3"/>
      <c r="BF368" s="3"/>
      <c r="BG368" s="3"/>
      <c r="BH368" s="3"/>
      <c r="BI368" s="3"/>
      <c r="BJ368" s="3"/>
      <c r="BK368" s="3"/>
      <c r="BL368" s="3" t="s">
        <v>3</v>
      </c>
      <c r="BM368" s="3" t="s">
        <v>3</v>
      </c>
      <c r="BN368" s="28"/>
      <c r="BO368" s="3"/>
      <c r="BP368" s="3"/>
      <c r="BQ368" s="3"/>
      <c r="BR368" s="3"/>
      <c r="BS368" s="3" t="s">
        <v>3</v>
      </c>
      <c r="BT368" s="3"/>
      <c r="BU368" s="3" t="s">
        <v>3</v>
      </c>
      <c r="BV368" s="3" t="s">
        <v>3</v>
      </c>
      <c r="BW368" s="3" t="s">
        <v>3</v>
      </c>
      <c r="BX368" s="3"/>
      <c r="BY368" s="3"/>
      <c r="BZ368" s="3"/>
      <c r="CA368" s="3"/>
      <c r="CB368" s="3"/>
    </row>
    <row r="369" spans="2:80" ht="30" customHeight="1">
      <c r="B369" s="11">
        <f t="shared" si="16"/>
        <v>364</v>
      </c>
      <c r="C369" s="38" t="s">
        <v>904</v>
      </c>
      <c r="D369" s="38" t="s">
        <v>925</v>
      </c>
      <c r="E369" s="35" t="s">
        <v>932</v>
      </c>
      <c r="F369" s="14">
        <f t="shared" si="17"/>
        <v>15</v>
      </c>
      <c r="G369" s="15" t="s">
        <v>2</v>
      </c>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t="s">
        <v>3</v>
      </c>
      <c r="AN369" s="3" t="s">
        <v>3</v>
      </c>
      <c r="AO369" s="3"/>
      <c r="AP369" s="3"/>
      <c r="AQ369" s="3"/>
      <c r="AR369" s="3"/>
      <c r="AS369" s="3"/>
      <c r="AT369" s="3"/>
      <c r="AU369" s="3" t="s">
        <v>3</v>
      </c>
      <c r="AV369" s="3"/>
      <c r="AW369" s="3"/>
      <c r="AX369" s="28"/>
      <c r="AY369" s="3"/>
      <c r="AZ369" s="3"/>
      <c r="BA369" s="3"/>
      <c r="BB369" s="3"/>
      <c r="BC369" s="3"/>
      <c r="BD369" s="3"/>
      <c r="BE369" s="3" t="s">
        <v>3</v>
      </c>
      <c r="BF369" s="3" t="s">
        <v>3</v>
      </c>
      <c r="BG369" s="3"/>
      <c r="BH369" s="3"/>
      <c r="BI369" s="3"/>
      <c r="BJ369" s="3" t="s">
        <v>3</v>
      </c>
      <c r="BK369" s="3" t="s">
        <v>3</v>
      </c>
      <c r="BL369" s="3"/>
      <c r="BM369" s="3"/>
      <c r="BN369" s="28"/>
      <c r="BO369" s="3"/>
      <c r="BP369" s="3" t="s">
        <v>3</v>
      </c>
      <c r="BQ369" s="3" t="s">
        <v>3</v>
      </c>
      <c r="BR369" s="3" t="s">
        <v>3</v>
      </c>
      <c r="BS369" s="3" t="s">
        <v>3</v>
      </c>
      <c r="BT369" s="3"/>
      <c r="BU369" s="3" t="s">
        <v>3</v>
      </c>
      <c r="BV369" s="3" t="s">
        <v>3</v>
      </c>
      <c r="BW369" s="3" t="s">
        <v>3</v>
      </c>
      <c r="BX369" s="3" t="s">
        <v>3</v>
      </c>
      <c r="BY369" s="3"/>
      <c r="BZ369" s="3"/>
      <c r="CA369" s="3"/>
      <c r="CB369" s="3"/>
    </row>
    <row r="370" spans="2:80" ht="30" customHeight="1">
      <c r="B370" s="11">
        <f t="shared" si="16"/>
        <v>365</v>
      </c>
      <c r="C370" s="38" t="s">
        <v>904</v>
      </c>
      <c r="D370" s="38" t="s">
        <v>925</v>
      </c>
      <c r="E370" s="35" t="s">
        <v>933</v>
      </c>
      <c r="F370" s="14">
        <f t="shared" si="17"/>
        <v>13</v>
      </c>
      <c r="G370" s="15" t="s">
        <v>2</v>
      </c>
      <c r="H370" s="3"/>
      <c r="I370" s="3"/>
      <c r="J370" s="3"/>
      <c r="K370" s="3"/>
      <c r="L370" s="3"/>
      <c r="M370" s="3"/>
      <c r="N370" s="3"/>
      <c r="O370" s="3"/>
      <c r="P370" s="3"/>
      <c r="Q370" s="3"/>
      <c r="R370" s="3"/>
      <c r="S370" s="3"/>
      <c r="T370" s="3"/>
      <c r="U370" s="3"/>
      <c r="V370" s="3"/>
      <c r="W370" s="3"/>
      <c r="X370" s="3"/>
      <c r="Y370" s="3"/>
      <c r="Z370" s="3" t="s">
        <v>3</v>
      </c>
      <c r="AA370" s="3"/>
      <c r="AB370" s="3"/>
      <c r="AC370" s="3"/>
      <c r="AD370" s="3"/>
      <c r="AE370" s="3"/>
      <c r="AF370" s="3"/>
      <c r="AG370" s="3"/>
      <c r="AH370" s="3" t="s">
        <v>3</v>
      </c>
      <c r="AI370" s="3"/>
      <c r="AJ370" s="3"/>
      <c r="AK370" s="3"/>
      <c r="AL370" s="3"/>
      <c r="AM370" s="3"/>
      <c r="AN370" s="3" t="s">
        <v>3</v>
      </c>
      <c r="AO370" s="3"/>
      <c r="AP370" s="3"/>
      <c r="AQ370" s="3"/>
      <c r="AR370" s="3"/>
      <c r="AS370" s="3"/>
      <c r="AT370" s="3"/>
      <c r="AU370" s="3" t="s">
        <v>3</v>
      </c>
      <c r="AV370" s="3"/>
      <c r="AW370" s="3"/>
      <c r="AX370" s="28"/>
      <c r="AY370" s="3"/>
      <c r="AZ370" s="3"/>
      <c r="BA370" s="3"/>
      <c r="BB370" s="3"/>
      <c r="BC370" s="3"/>
      <c r="BD370" s="3"/>
      <c r="BE370" s="3" t="s">
        <v>3</v>
      </c>
      <c r="BF370" s="3" t="s">
        <v>3</v>
      </c>
      <c r="BG370" s="3"/>
      <c r="BH370" s="3"/>
      <c r="BI370" s="3"/>
      <c r="BJ370" s="3" t="s">
        <v>3</v>
      </c>
      <c r="BK370" s="3" t="s">
        <v>3</v>
      </c>
      <c r="BL370" s="3"/>
      <c r="BM370" s="3"/>
      <c r="BN370" s="28"/>
      <c r="BO370" s="3"/>
      <c r="BP370" s="3" t="s">
        <v>3</v>
      </c>
      <c r="BQ370" s="3" t="s">
        <v>3</v>
      </c>
      <c r="BR370" s="3"/>
      <c r="BS370" s="3"/>
      <c r="BT370" s="3"/>
      <c r="BU370" s="3" t="s">
        <v>3</v>
      </c>
      <c r="BV370" s="3" t="s">
        <v>3</v>
      </c>
      <c r="BW370" s="3" t="s">
        <v>3</v>
      </c>
      <c r="BX370" s="3"/>
      <c r="BY370" s="3"/>
      <c r="BZ370" s="3"/>
      <c r="CA370" s="3"/>
      <c r="CB370" s="3"/>
    </row>
    <row r="371" spans="2:80" ht="30" customHeight="1">
      <c r="B371" s="11">
        <f t="shared" si="16"/>
        <v>366</v>
      </c>
      <c r="C371" s="38" t="s">
        <v>904</v>
      </c>
      <c r="D371" s="38" t="s">
        <v>925</v>
      </c>
      <c r="E371" s="44" t="s">
        <v>934</v>
      </c>
      <c r="F371" s="14">
        <f t="shared" si="17"/>
        <v>7</v>
      </c>
      <c r="G371" s="15" t="s">
        <v>2</v>
      </c>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t="s">
        <v>3</v>
      </c>
      <c r="AV371" s="3"/>
      <c r="AW371" s="3"/>
      <c r="AX371" s="28"/>
      <c r="AY371" s="3"/>
      <c r="AZ371" s="3"/>
      <c r="BA371" s="3"/>
      <c r="BB371" s="3"/>
      <c r="BC371" s="3"/>
      <c r="BD371" s="3"/>
      <c r="BE371" s="3"/>
      <c r="BF371" s="3"/>
      <c r="BG371" s="3"/>
      <c r="BH371" s="3"/>
      <c r="BI371" s="3"/>
      <c r="BJ371" s="3"/>
      <c r="BK371" s="3"/>
      <c r="BL371" s="3" t="s">
        <v>3</v>
      </c>
      <c r="BM371" s="3" t="s">
        <v>3</v>
      </c>
      <c r="BN371" s="28"/>
      <c r="BO371" s="3"/>
      <c r="BP371" s="3"/>
      <c r="BQ371" s="3"/>
      <c r="BR371" s="3"/>
      <c r="BS371" s="3"/>
      <c r="BT371" s="3"/>
      <c r="BU371" s="3" t="s">
        <v>3</v>
      </c>
      <c r="BV371" s="3" t="s">
        <v>3</v>
      </c>
      <c r="BW371" s="3" t="s">
        <v>3</v>
      </c>
      <c r="BX371" s="3"/>
      <c r="BY371" s="3" t="s">
        <v>3</v>
      </c>
      <c r="BZ371" s="3"/>
      <c r="CA371" s="3"/>
      <c r="CB371" s="3"/>
    </row>
    <row r="372" spans="2:80" ht="30" customHeight="1">
      <c r="B372" s="11">
        <f t="shared" si="16"/>
        <v>367</v>
      </c>
      <c r="C372" s="38" t="s">
        <v>904</v>
      </c>
      <c r="D372" s="38" t="s">
        <v>925</v>
      </c>
      <c r="E372" s="35" t="s">
        <v>935</v>
      </c>
      <c r="F372" s="14">
        <f t="shared" si="17"/>
        <v>19</v>
      </c>
      <c r="G372" s="15" t="s">
        <v>2</v>
      </c>
      <c r="H372" s="3" t="s">
        <v>3</v>
      </c>
      <c r="I372" s="3"/>
      <c r="J372" s="3"/>
      <c r="K372" s="3"/>
      <c r="L372" s="3"/>
      <c r="M372" s="3"/>
      <c r="N372" s="3" t="s">
        <v>3</v>
      </c>
      <c r="O372" s="3" t="s">
        <v>3</v>
      </c>
      <c r="P372" s="3" t="s">
        <v>3</v>
      </c>
      <c r="Q372" s="3"/>
      <c r="R372" s="3"/>
      <c r="S372" s="3"/>
      <c r="T372" s="3"/>
      <c r="U372" s="3"/>
      <c r="V372" s="3"/>
      <c r="W372" s="3"/>
      <c r="X372" s="3"/>
      <c r="Y372" s="3"/>
      <c r="Z372" s="3" t="s">
        <v>3</v>
      </c>
      <c r="AA372" s="3" t="s">
        <v>3</v>
      </c>
      <c r="AB372" s="3"/>
      <c r="AC372" s="3"/>
      <c r="AD372" s="3"/>
      <c r="AE372" s="3"/>
      <c r="AF372" s="3"/>
      <c r="AG372" s="3"/>
      <c r="AH372" s="3"/>
      <c r="AI372" s="3"/>
      <c r="AJ372" s="3"/>
      <c r="AK372" s="3"/>
      <c r="AL372" s="3"/>
      <c r="AM372" s="3" t="s">
        <v>3</v>
      </c>
      <c r="AN372" s="3" t="s">
        <v>3</v>
      </c>
      <c r="AO372" s="3"/>
      <c r="AP372" s="3"/>
      <c r="AQ372" s="3"/>
      <c r="AR372" s="3"/>
      <c r="AS372" s="3"/>
      <c r="AT372" s="3"/>
      <c r="AU372" s="3"/>
      <c r="AV372" s="3"/>
      <c r="AW372" s="3"/>
      <c r="AX372" s="28"/>
      <c r="AY372" s="3"/>
      <c r="AZ372" s="3"/>
      <c r="BA372" s="3"/>
      <c r="BB372" s="3"/>
      <c r="BC372" s="3"/>
      <c r="BD372" s="3"/>
      <c r="BE372" s="3" t="s">
        <v>3</v>
      </c>
      <c r="BF372" s="3" t="s">
        <v>3</v>
      </c>
      <c r="BG372" s="3"/>
      <c r="BH372" s="3"/>
      <c r="BI372" s="3"/>
      <c r="BJ372" s="3"/>
      <c r="BK372" s="3"/>
      <c r="BL372" s="3" t="s">
        <v>3</v>
      </c>
      <c r="BM372" s="3" t="s">
        <v>3</v>
      </c>
      <c r="BN372" s="28"/>
      <c r="BO372" s="3"/>
      <c r="BP372" s="3" t="s">
        <v>3</v>
      </c>
      <c r="BQ372" s="3" t="s">
        <v>3</v>
      </c>
      <c r="BR372" s="3"/>
      <c r="BS372" s="3" t="s">
        <v>3</v>
      </c>
      <c r="BT372" s="3"/>
      <c r="BU372" s="3" t="s">
        <v>3</v>
      </c>
      <c r="BV372" s="3" t="s">
        <v>3</v>
      </c>
      <c r="BW372" s="3" t="s">
        <v>3</v>
      </c>
      <c r="BX372" s="3" t="s">
        <v>3</v>
      </c>
      <c r="BY372" s="3"/>
      <c r="BZ372" s="3"/>
      <c r="CA372" s="3"/>
      <c r="CB372" s="3"/>
    </row>
    <row r="373" spans="2:80" ht="30" customHeight="1">
      <c r="B373" s="11">
        <f t="shared" si="16"/>
        <v>368</v>
      </c>
      <c r="C373" s="38" t="s">
        <v>904</v>
      </c>
      <c r="D373" s="38" t="s">
        <v>925</v>
      </c>
      <c r="E373" s="35" t="s">
        <v>936</v>
      </c>
      <c r="F373" s="14">
        <f t="shared" si="17"/>
        <v>14</v>
      </c>
      <c r="G373" s="15" t="s">
        <v>2</v>
      </c>
      <c r="H373" s="3"/>
      <c r="I373" s="3"/>
      <c r="J373" s="3"/>
      <c r="K373" s="3"/>
      <c r="L373" s="3"/>
      <c r="M373" s="3"/>
      <c r="N373" s="3"/>
      <c r="O373" s="3"/>
      <c r="P373" s="3" t="s">
        <v>3</v>
      </c>
      <c r="Q373" s="3"/>
      <c r="R373" s="3"/>
      <c r="S373" s="3"/>
      <c r="T373" s="3"/>
      <c r="U373" s="3"/>
      <c r="V373" s="3"/>
      <c r="W373" s="3"/>
      <c r="X373" s="3"/>
      <c r="Y373" s="3"/>
      <c r="Z373" s="3" t="s">
        <v>3</v>
      </c>
      <c r="AA373" s="3"/>
      <c r="AB373" s="3"/>
      <c r="AC373" s="3"/>
      <c r="AD373" s="3"/>
      <c r="AE373" s="3"/>
      <c r="AF373" s="3"/>
      <c r="AG373" s="3"/>
      <c r="AH373" s="3"/>
      <c r="AI373" s="3"/>
      <c r="AJ373" s="3"/>
      <c r="AK373" s="3"/>
      <c r="AL373" s="3"/>
      <c r="AM373" s="3"/>
      <c r="AN373" s="3" t="s">
        <v>3</v>
      </c>
      <c r="AO373" s="3"/>
      <c r="AP373" s="3"/>
      <c r="AQ373" s="3"/>
      <c r="AR373" s="3"/>
      <c r="AS373" s="3"/>
      <c r="AT373" s="3"/>
      <c r="AU373" s="3"/>
      <c r="AV373" s="3"/>
      <c r="AW373" s="3"/>
      <c r="AX373" s="28"/>
      <c r="AY373" s="3"/>
      <c r="AZ373" s="3"/>
      <c r="BA373" s="3"/>
      <c r="BB373" s="3"/>
      <c r="BC373" s="3"/>
      <c r="BD373" s="3"/>
      <c r="BE373" s="3" t="s">
        <v>3</v>
      </c>
      <c r="BF373" s="3" t="s">
        <v>3</v>
      </c>
      <c r="BG373" s="3"/>
      <c r="BH373" s="3"/>
      <c r="BI373" s="3"/>
      <c r="BJ373" s="3" t="s">
        <v>3</v>
      </c>
      <c r="BK373" s="3" t="s">
        <v>3</v>
      </c>
      <c r="BL373" s="3"/>
      <c r="BM373" s="3"/>
      <c r="BN373" s="28"/>
      <c r="BO373" s="3"/>
      <c r="BP373" s="3" t="s">
        <v>3</v>
      </c>
      <c r="BQ373" s="3" t="s">
        <v>3</v>
      </c>
      <c r="BR373" s="3"/>
      <c r="BS373" s="3" t="s">
        <v>3</v>
      </c>
      <c r="BT373" s="3"/>
      <c r="BU373" s="3" t="s">
        <v>3</v>
      </c>
      <c r="BV373" s="3" t="s">
        <v>3</v>
      </c>
      <c r="BW373" s="3" t="s">
        <v>3</v>
      </c>
      <c r="BX373" s="3" t="s">
        <v>3</v>
      </c>
      <c r="BY373" s="3"/>
      <c r="BZ373" s="3"/>
      <c r="CA373" s="3"/>
      <c r="CB373" s="3"/>
    </row>
    <row r="374" spans="2:80" ht="30" customHeight="1">
      <c r="B374" s="11">
        <f t="shared" si="16"/>
        <v>369</v>
      </c>
      <c r="C374" s="38" t="s">
        <v>904</v>
      </c>
      <c r="D374" s="38" t="s">
        <v>925</v>
      </c>
      <c r="E374" s="35" t="s">
        <v>937</v>
      </c>
      <c r="F374" s="14">
        <f t="shared" si="17"/>
        <v>11</v>
      </c>
      <c r="G374" s="15" t="s">
        <v>2</v>
      </c>
      <c r="H374" s="3"/>
      <c r="I374" s="3"/>
      <c r="J374" s="3"/>
      <c r="K374" s="3"/>
      <c r="L374" s="3"/>
      <c r="M374" s="3"/>
      <c r="N374" s="3"/>
      <c r="O374" s="3" t="s">
        <v>3</v>
      </c>
      <c r="P374" s="3"/>
      <c r="Q374" s="3"/>
      <c r="R374" s="3"/>
      <c r="S374" s="3"/>
      <c r="T374" s="3"/>
      <c r="U374" s="3"/>
      <c r="V374" s="3"/>
      <c r="W374" s="3"/>
      <c r="X374" s="3"/>
      <c r="Y374" s="3"/>
      <c r="Z374" s="3"/>
      <c r="AA374" s="3"/>
      <c r="AB374" s="3"/>
      <c r="AC374" s="3"/>
      <c r="AD374" s="3"/>
      <c r="AE374" s="3"/>
      <c r="AF374" s="3"/>
      <c r="AG374" s="3"/>
      <c r="AH374" s="3"/>
      <c r="AI374" s="3"/>
      <c r="AJ374" s="3"/>
      <c r="AK374" s="3"/>
      <c r="AL374" s="3"/>
      <c r="AM374" s="3" t="s">
        <v>3</v>
      </c>
      <c r="AN374" s="3" t="s">
        <v>3</v>
      </c>
      <c r="AO374" s="3"/>
      <c r="AP374" s="3"/>
      <c r="AQ374" s="3"/>
      <c r="AR374" s="3"/>
      <c r="AS374" s="3"/>
      <c r="AT374" s="3"/>
      <c r="AU374" s="3" t="s">
        <v>3</v>
      </c>
      <c r="AV374" s="3"/>
      <c r="AW374" s="3"/>
      <c r="AX374" s="28"/>
      <c r="AY374" s="3"/>
      <c r="AZ374" s="3"/>
      <c r="BA374" s="3"/>
      <c r="BB374" s="3"/>
      <c r="BC374" s="3"/>
      <c r="BD374" s="3"/>
      <c r="BE374" s="3"/>
      <c r="BF374" s="3"/>
      <c r="BG374" s="3"/>
      <c r="BH374" s="3"/>
      <c r="BI374" s="3"/>
      <c r="BJ374" s="3" t="s">
        <v>3</v>
      </c>
      <c r="BK374" s="3" t="s">
        <v>3</v>
      </c>
      <c r="BL374" s="3"/>
      <c r="BM374" s="3"/>
      <c r="BN374" s="28"/>
      <c r="BO374" s="3"/>
      <c r="BP374" s="3" t="s">
        <v>3</v>
      </c>
      <c r="BQ374" s="3"/>
      <c r="BR374" s="3"/>
      <c r="BS374" s="3"/>
      <c r="BT374" s="3"/>
      <c r="BU374" s="3" t="s">
        <v>3</v>
      </c>
      <c r="BV374" s="3" t="s">
        <v>3</v>
      </c>
      <c r="BW374" s="3" t="s">
        <v>3</v>
      </c>
      <c r="BX374" s="3" t="s">
        <v>3</v>
      </c>
      <c r="BY374" s="3"/>
      <c r="BZ374" s="3"/>
      <c r="CA374" s="3"/>
      <c r="CB374" s="3"/>
    </row>
    <row r="375" spans="2:80" ht="30" customHeight="1">
      <c r="B375" s="11">
        <f t="shared" si="16"/>
        <v>370</v>
      </c>
      <c r="C375" s="38" t="s">
        <v>904</v>
      </c>
      <c r="D375" s="38" t="s">
        <v>925</v>
      </c>
      <c r="E375" s="35" t="s">
        <v>938</v>
      </c>
      <c r="F375" s="14">
        <f t="shared" si="17"/>
        <v>16</v>
      </c>
      <c r="G375" s="15" t="s">
        <v>2</v>
      </c>
      <c r="H375" s="3"/>
      <c r="I375" s="3"/>
      <c r="J375" s="3"/>
      <c r="K375" s="3"/>
      <c r="L375" s="3"/>
      <c r="M375" s="3"/>
      <c r="N375" s="3"/>
      <c r="O375" s="3" t="s">
        <v>3</v>
      </c>
      <c r="P375" s="3"/>
      <c r="Q375" s="3"/>
      <c r="R375" s="3"/>
      <c r="S375" s="3"/>
      <c r="T375" s="3"/>
      <c r="U375" s="3" t="s">
        <v>3</v>
      </c>
      <c r="V375" s="3" t="s">
        <v>3</v>
      </c>
      <c r="W375" s="3" t="s">
        <v>3</v>
      </c>
      <c r="X375" s="3"/>
      <c r="Y375" s="3" t="s">
        <v>3</v>
      </c>
      <c r="Z375" s="3" t="s">
        <v>3</v>
      </c>
      <c r="AA375" s="3"/>
      <c r="AB375" s="3"/>
      <c r="AC375" s="3"/>
      <c r="AD375" s="3"/>
      <c r="AE375" s="3"/>
      <c r="AF375" s="3"/>
      <c r="AG375" s="3"/>
      <c r="AH375" s="3"/>
      <c r="AI375" s="3" t="s">
        <v>3</v>
      </c>
      <c r="AJ375" s="3"/>
      <c r="AK375" s="3"/>
      <c r="AL375" s="3"/>
      <c r="AM375" s="3"/>
      <c r="AN375" s="3" t="s">
        <v>3</v>
      </c>
      <c r="AO375" s="3"/>
      <c r="AP375" s="3"/>
      <c r="AQ375" s="3"/>
      <c r="AR375" s="3"/>
      <c r="AS375" s="3"/>
      <c r="AT375" s="3"/>
      <c r="AU375" s="3" t="s">
        <v>3</v>
      </c>
      <c r="AV375" s="3"/>
      <c r="AW375" s="3"/>
      <c r="AX375" s="28"/>
      <c r="AY375" s="3"/>
      <c r="AZ375" s="3"/>
      <c r="BA375" s="3"/>
      <c r="BB375" s="3"/>
      <c r="BC375" s="3"/>
      <c r="BD375" s="3"/>
      <c r="BE375" s="3"/>
      <c r="BF375" s="3"/>
      <c r="BG375" s="3"/>
      <c r="BH375" s="3"/>
      <c r="BI375" s="3"/>
      <c r="BJ375" s="3" t="s">
        <v>3</v>
      </c>
      <c r="BK375" s="3" t="s">
        <v>3</v>
      </c>
      <c r="BL375" s="3"/>
      <c r="BM375" s="3"/>
      <c r="BN375" s="28"/>
      <c r="BO375" s="3"/>
      <c r="BP375" s="3" t="s">
        <v>3</v>
      </c>
      <c r="BQ375" s="3"/>
      <c r="BR375" s="3"/>
      <c r="BS375" s="3"/>
      <c r="BT375" s="3"/>
      <c r="BU375" s="3" t="s">
        <v>3</v>
      </c>
      <c r="BV375" s="3" t="s">
        <v>3</v>
      </c>
      <c r="BW375" s="3" t="s">
        <v>3</v>
      </c>
      <c r="BX375" s="3" t="s">
        <v>3</v>
      </c>
      <c r="BY375" s="3"/>
      <c r="BZ375" s="3"/>
      <c r="CA375" s="3"/>
      <c r="CB375" s="3"/>
    </row>
    <row r="376" spans="2:80" ht="30" customHeight="1">
      <c r="B376" s="11">
        <f t="shared" si="16"/>
        <v>371</v>
      </c>
      <c r="C376" s="38" t="s">
        <v>904</v>
      </c>
      <c r="D376" s="38" t="s">
        <v>925</v>
      </c>
      <c r="E376" s="44" t="s">
        <v>939</v>
      </c>
      <c r="F376" s="14">
        <f t="shared" si="17"/>
        <v>6</v>
      </c>
      <c r="G376" s="15" t="s">
        <v>2</v>
      </c>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28"/>
      <c r="AY376" s="3"/>
      <c r="AZ376" s="3"/>
      <c r="BA376" s="3"/>
      <c r="BB376" s="3"/>
      <c r="BC376" s="3"/>
      <c r="BD376" s="3"/>
      <c r="BE376" s="3"/>
      <c r="BF376" s="3"/>
      <c r="BG376" s="3" t="s">
        <v>3</v>
      </c>
      <c r="BH376" s="3" t="s">
        <v>3</v>
      </c>
      <c r="BI376" s="3"/>
      <c r="BJ376" s="3"/>
      <c r="BK376" s="3"/>
      <c r="BL376" s="3"/>
      <c r="BM376" s="3"/>
      <c r="BN376" s="28"/>
      <c r="BO376" s="3"/>
      <c r="BP376" s="3"/>
      <c r="BQ376" s="3"/>
      <c r="BR376" s="3"/>
      <c r="BS376" s="3"/>
      <c r="BT376" s="3"/>
      <c r="BU376" s="3" t="s">
        <v>3</v>
      </c>
      <c r="BV376" s="3" t="s">
        <v>3</v>
      </c>
      <c r="BW376" s="3" t="s">
        <v>3</v>
      </c>
      <c r="BX376" s="3"/>
      <c r="BY376" s="3"/>
      <c r="BZ376" s="3" t="s">
        <v>3</v>
      </c>
      <c r="CA376" s="3"/>
      <c r="CB376" s="3"/>
    </row>
    <row r="377" spans="2:80" ht="30" customHeight="1">
      <c r="B377" s="11">
        <f t="shared" si="16"/>
        <v>372</v>
      </c>
      <c r="C377" s="38" t="s">
        <v>904</v>
      </c>
      <c r="D377" s="38" t="s">
        <v>925</v>
      </c>
      <c r="E377" s="44" t="s">
        <v>940</v>
      </c>
      <c r="F377" s="14">
        <f t="shared" si="17"/>
        <v>15</v>
      </c>
      <c r="G377" s="15" t="s">
        <v>2</v>
      </c>
      <c r="H377" s="3"/>
      <c r="I377" s="3"/>
      <c r="J377" s="3"/>
      <c r="K377" s="3"/>
      <c r="L377" s="3"/>
      <c r="M377" s="3"/>
      <c r="N377" s="3"/>
      <c r="O377" s="3" t="s">
        <v>3</v>
      </c>
      <c r="P377" s="3"/>
      <c r="Q377" s="3"/>
      <c r="R377" s="3"/>
      <c r="S377" s="3"/>
      <c r="T377" s="3"/>
      <c r="U377" s="3" t="s">
        <v>3</v>
      </c>
      <c r="V377" s="3" t="s">
        <v>3</v>
      </c>
      <c r="W377" s="3" t="s">
        <v>3</v>
      </c>
      <c r="X377" s="3"/>
      <c r="Y377" s="3" t="s">
        <v>3</v>
      </c>
      <c r="Z377" s="3" t="s">
        <v>3</v>
      </c>
      <c r="AA377" s="3"/>
      <c r="AB377" s="3"/>
      <c r="AC377" s="3"/>
      <c r="AD377" s="3"/>
      <c r="AE377" s="3"/>
      <c r="AF377" s="3"/>
      <c r="AG377" s="3"/>
      <c r="AH377" s="3"/>
      <c r="AI377" s="3" t="s">
        <v>3</v>
      </c>
      <c r="AJ377" s="3"/>
      <c r="AK377" s="3"/>
      <c r="AL377" s="3"/>
      <c r="AM377" s="3"/>
      <c r="AN377" s="3"/>
      <c r="AO377" s="3"/>
      <c r="AP377" s="3"/>
      <c r="AQ377" s="3"/>
      <c r="AR377" s="3"/>
      <c r="AS377" s="3"/>
      <c r="AT377" s="3"/>
      <c r="AU377" s="3" t="s">
        <v>3</v>
      </c>
      <c r="AV377" s="3"/>
      <c r="AW377" s="3"/>
      <c r="AX377" s="28"/>
      <c r="AY377" s="3"/>
      <c r="AZ377" s="3"/>
      <c r="BA377" s="3"/>
      <c r="BB377" s="3"/>
      <c r="BC377" s="3"/>
      <c r="BD377" s="3"/>
      <c r="BE377" s="3"/>
      <c r="BF377" s="3"/>
      <c r="BG377" s="3"/>
      <c r="BH377" s="3"/>
      <c r="BI377" s="3"/>
      <c r="BJ377" s="3"/>
      <c r="BK377" s="3"/>
      <c r="BL377" s="3" t="s">
        <v>3</v>
      </c>
      <c r="BM377" s="3" t="s">
        <v>3</v>
      </c>
      <c r="BN377" s="28"/>
      <c r="BO377" s="3"/>
      <c r="BP377" s="3"/>
      <c r="BQ377" s="3"/>
      <c r="BR377" s="3"/>
      <c r="BS377" s="3" t="s">
        <v>3</v>
      </c>
      <c r="BT377" s="3"/>
      <c r="BU377" s="3" t="s">
        <v>3</v>
      </c>
      <c r="BV377" s="3" t="s">
        <v>3</v>
      </c>
      <c r="BW377" s="3" t="s">
        <v>3</v>
      </c>
      <c r="BX377" s="3" t="s">
        <v>3</v>
      </c>
      <c r="BY377" s="3"/>
      <c r="BZ377" s="3"/>
      <c r="CA377" s="3"/>
      <c r="CB377" s="3"/>
    </row>
    <row r="378" spans="2:80" ht="30" customHeight="1">
      <c r="B378" s="11">
        <f t="shared" si="16"/>
        <v>373</v>
      </c>
      <c r="C378" s="38" t="s">
        <v>904</v>
      </c>
      <c r="D378" s="38" t="s">
        <v>925</v>
      </c>
      <c r="E378" s="44" t="s">
        <v>941</v>
      </c>
      <c r="F378" s="14">
        <f t="shared" si="17"/>
        <v>14</v>
      </c>
      <c r="G378" s="15" t="s">
        <v>2</v>
      </c>
      <c r="H378" s="3" t="s">
        <v>3</v>
      </c>
      <c r="I378" s="3"/>
      <c r="J378" s="3"/>
      <c r="K378" s="3"/>
      <c r="L378" s="3"/>
      <c r="M378" s="3"/>
      <c r="N378" s="3" t="s">
        <v>3</v>
      </c>
      <c r="O378" s="3" t="s">
        <v>3</v>
      </c>
      <c r="P378" s="3" t="s">
        <v>3</v>
      </c>
      <c r="Q378" s="3"/>
      <c r="R378" s="3"/>
      <c r="S378" s="3"/>
      <c r="T378" s="3"/>
      <c r="U378" s="3"/>
      <c r="V378" s="3"/>
      <c r="W378" s="3"/>
      <c r="X378" s="3"/>
      <c r="Y378" s="3"/>
      <c r="Z378" s="3" t="s">
        <v>3</v>
      </c>
      <c r="AA378" s="3"/>
      <c r="AB378" s="3"/>
      <c r="AC378" s="3"/>
      <c r="AD378" s="3"/>
      <c r="AE378" s="3"/>
      <c r="AF378" s="3"/>
      <c r="AG378" s="3"/>
      <c r="AH378" s="3"/>
      <c r="AI378" s="3"/>
      <c r="AJ378" s="3"/>
      <c r="AK378" s="3"/>
      <c r="AL378" s="3"/>
      <c r="AM378" s="3" t="s">
        <v>3</v>
      </c>
      <c r="AN378" s="3" t="s">
        <v>3</v>
      </c>
      <c r="AO378" s="3"/>
      <c r="AP378" s="3"/>
      <c r="AQ378" s="3"/>
      <c r="AR378" s="3"/>
      <c r="AS378" s="3"/>
      <c r="AT378" s="3"/>
      <c r="AU378" s="3"/>
      <c r="AV378" s="3"/>
      <c r="AW378" s="3"/>
      <c r="AX378" s="28"/>
      <c r="AY378" s="3"/>
      <c r="AZ378" s="3"/>
      <c r="BA378" s="3"/>
      <c r="BB378" s="3"/>
      <c r="BC378" s="3"/>
      <c r="BD378" s="3"/>
      <c r="BE378" s="3"/>
      <c r="BF378" s="3"/>
      <c r="BG378" s="3"/>
      <c r="BH378" s="3"/>
      <c r="BI378" s="3"/>
      <c r="BJ378" s="3"/>
      <c r="BK378" s="3"/>
      <c r="BL378" s="3" t="s">
        <v>3</v>
      </c>
      <c r="BM378" s="3" t="s">
        <v>3</v>
      </c>
      <c r="BN378" s="28"/>
      <c r="BO378" s="3"/>
      <c r="BP378" s="3"/>
      <c r="BQ378" s="3"/>
      <c r="BR378" s="3"/>
      <c r="BS378" s="3" t="s">
        <v>3</v>
      </c>
      <c r="BT378" s="3"/>
      <c r="BU378" s="3" t="s">
        <v>3</v>
      </c>
      <c r="BV378" s="3" t="s">
        <v>3</v>
      </c>
      <c r="BW378" s="3" t="s">
        <v>3</v>
      </c>
      <c r="BX378" s="3" t="s">
        <v>3</v>
      </c>
      <c r="BY378" s="3"/>
      <c r="BZ378" s="3"/>
      <c r="CA378" s="3"/>
      <c r="CB378" s="3"/>
    </row>
    <row r="379" spans="2:80" ht="30" customHeight="1">
      <c r="B379" s="11">
        <f t="shared" si="16"/>
        <v>374</v>
      </c>
      <c r="C379" s="38" t="s">
        <v>904</v>
      </c>
      <c r="D379" s="38" t="s">
        <v>925</v>
      </c>
      <c r="E379" s="44" t="s">
        <v>942</v>
      </c>
      <c r="F379" s="14">
        <f t="shared" si="17"/>
        <v>14</v>
      </c>
      <c r="G379" s="15" t="s">
        <v>2</v>
      </c>
      <c r="H379" s="3" t="s">
        <v>3</v>
      </c>
      <c r="I379" s="3"/>
      <c r="J379" s="3"/>
      <c r="K379" s="3"/>
      <c r="L379" s="3"/>
      <c r="M379" s="3"/>
      <c r="N379" s="3"/>
      <c r="O379" s="3"/>
      <c r="P379" s="3" t="s">
        <v>3</v>
      </c>
      <c r="Q379" s="3"/>
      <c r="R379" s="3"/>
      <c r="S379" s="3"/>
      <c r="T379" s="3"/>
      <c r="U379" s="3"/>
      <c r="V379" s="3"/>
      <c r="W379" s="3"/>
      <c r="X379" s="3"/>
      <c r="Y379" s="3"/>
      <c r="Z379" s="3" t="s">
        <v>3</v>
      </c>
      <c r="AA379" s="3"/>
      <c r="AB379" s="3"/>
      <c r="AC379" s="3"/>
      <c r="AD379" s="3"/>
      <c r="AE379" s="3"/>
      <c r="AF379" s="3"/>
      <c r="AG379" s="3"/>
      <c r="AH379" s="3" t="s">
        <v>3</v>
      </c>
      <c r="AI379" s="3"/>
      <c r="AJ379" s="3"/>
      <c r="AK379" s="3"/>
      <c r="AL379" s="3"/>
      <c r="AM379" s="3" t="s">
        <v>3</v>
      </c>
      <c r="AN379" s="3" t="s">
        <v>3</v>
      </c>
      <c r="AO379" s="3"/>
      <c r="AP379" s="3"/>
      <c r="AQ379" s="3"/>
      <c r="AR379" s="3"/>
      <c r="AS379" s="3"/>
      <c r="AT379" s="3"/>
      <c r="AU379" s="3" t="s">
        <v>3</v>
      </c>
      <c r="AV379" s="3"/>
      <c r="AW379" s="3"/>
      <c r="AX379" s="28"/>
      <c r="AY379" s="3"/>
      <c r="AZ379" s="3"/>
      <c r="BA379" s="3"/>
      <c r="BB379" s="3"/>
      <c r="BC379" s="3"/>
      <c r="BD379" s="3"/>
      <c r="BE379" s="3"/>
      <c r="BF379" s="3"/>
      <c r="BG379" s="3"/>
      <c r="BH379" s="3"/>
      <c r="BI379" s="3"/>
      <c r="BJ379" s="3"/>
      <c r="BK379" s="3"/>
      <c r="BL379" s="3" t="s">
        <v>3</v>
      </c>
      <c r="BM379" s="3" t="s">
        <v>3</v>
      </c>
      <c r="BN379" s="28"/>
      <c r="BO379" s="3"/>
      <c r="BP379" s="3"/>
      <c r="BQ379" s="3"/>
      <c r="BR379" s="3"/>
      <c r="BS379" s="3" t="s">
        <v>3</v>
      </c>
      <c r="BT379" s="3"/>
      <c r="BU379" s="3" t="s">
        <v>3</v>
      </c>
      <c r="BV379" s="3" t="s">
        <v>3</v>
      </c>
      <c r="BW379" s="3" t="s">
        <v>3</v>
      </c>
      <c r="BX379" s="3" t="s">
        <v>3</v>
      </c>
      <c r="BY379" s="3"/>
      <c r="BZ379" s="3"/>
      <c r="CA379" s="3"/>
      <c r="CB379" s="3"/>
    </row>
    <row r="380" spans="2:80" ht="30" customHeight="1">
      <c r="B380" s="11">
        <f t="shared" si="16"/>
        <v>375</v>
      </c>
      <c r="C380" s="38" t="s">
        <v>904</v>
      </c>
      <c r="D380" s="38" t="s">
        <v>925</v>
      </c>
      <c r="E380" s="44" t="s">
        <v>943</v>
      </c>
      <c r="F380" s="14">
        <f t="shared" si="17"/>
        <v>10</v>
      </c>
      <c r="G380" s="15" t="s">
        <v>2</v>
      </c>
      <c r="H380" s="3"/>
      <c r="I380" s="3"/>
      <c r="J380" s="3"/>
      <c r="K380" s="3"/>
      <c r="L380" s="3"/>
      <c r="M380" s="3"/>
      <c r="N380" s="3"/>
      <c r="O380" s="3"/>
      <c r="P380" s="3" t="s">
        <v>3</v>
      </c>
      <c r="Q380" s="3"/>
      <c r="R380" s="3"/>
      <c r="S380" s="3"/>
      <c r="T380" s="3"/>
      <c r="U380" s="3"/>
      <c r="V380" s="3"/>
      <c r="W380" s="3"/>
      <c r="X380" s="3"/>
      <c r="Y380" s="3"/>
      <c r="Z380" s="3" t="s">
        <v>3</v>
      </c>
      <c r="AA380" s="3"/>
      <c r="AB380" s="3"/>
      <c r="AC380" s="3"/>
      <c r="AD380" s="3"/>
      <c r="AE380" s="3"/>
      <c r="AF380" s="3"/>
      <c r="AG380" s="3"/>
      <c r="AH380" s="3"/>
      <c r="AI380" s="3"/>
      <c r="AJ380" s="3"/>
      <c r="AK380" s="3"/>
      <c r="AL380" s="3"/>
      <c r="AM380" s="3"/>
      <c r="AN380" s="3" t="s">
        <v>3</v>
      </c>
      <c r="AO380" s="3"/>
      <c r="AP380" s="3"/>
      <c r="AQ380" s="3"/>
      <c r="AR380" s="3"/>
      <c r="AS380" s="3"/>
      <c r="AT380" s="3"/>
      <c r="AU380" s="3"/>
      <c r="AV380" s="3"/>
      <c r="AW380" s="3"/>
      <c r="AX380" s="28"/>
      <c r="AY380" s="3"/>
      <c r="AZ380" s="3"/>
      <c r="BA380" s="3"/>
      <c r="BB380" s="3"/>
      <c r="BC380" s="3"/>
      <c r="BD380" s="3"/>
      <c r="BE380" s="3"/>
      <c r="BF380" s="3"/>
      <c r="BG380" s="3"/>
      <c r="BH380" s="3"/>
      <c r="BI380" s="3"/>
      <c r="BJ380" s="3"/>
      <c r="BK380" s="3"/>
      <c r="BL380" s="3" t="s">
        <v>3</v>
      </c>
      <c r="BM380" s="3" t="s">
        <v>3</v>
      </c>
      <c r="BN380" s="28"/>
      <c r="BO380" s="3"/>
      <c r="BP380" s="3"/>
      <c r="BQ380" s="3"/>
      <c r="BR380" s="3"/>
      <c r="BS380" s="3" t="s">
        <v>3</v>
      </c>
      <c r="BT380" s="3"/>
      <c r="BU380" s="3" t="s">
        <v>3</v>
      </c>
      <c r="BV380" s="3" t="s">
        <v>3</v>
      </c>
      <c r="BW380" s="3" t="s">
        <v>3</v>
      </c>
      <c r="BX380" s="3" t="s">
        <v>3</v>
      </c>
      <c r="BY380" s="3"/>
      <c r="BZ380" s="3"/>
      <c r="CA380" s="3"/>
      <c r="CB380" s="3"/>
    </row>
    <row r="381" spans="2:80" ht="30" customHeight="1">
      <c r="B381" s="11">
        <f t="shared" si="16"/>
        <v>376</v>
      </c>
      <c r="C381" s="38" t="s">
        <v>904</v>
      </c>
      <c r="D381" s="38" t="s">
        <v>925</v>
      </c>
      <c r="E381" s="44" t="s">
        <v>944</v>
      </c>
      <c r="F381" s="14">
        <f t="shared" si="17"/>
        <v>7</v>
      </c>
      <c r="G381" s="15" t="s">
        <v>2</v>
      </c>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t="s">
        <v>3</v>
      </c>
      <c r="AV381" s="3"/>
      <c r="AW381" s="3"/>
      <c r="AX381" s="28"/>
      <c r="AY381" s="3"/>
      <c r="AZ381" s="3"/>
      <c r="BA381" s="3"/>
      <c r="BB381" s="3"/>
      <c r="BC381" s="3"/>
      <c r="BD381" s="3"/>
      <c r="BE381" s="3"/>
      <c r="BF381" s="3"/>
      <c r="BG381" s="3"/>
      <c r="BH381" s="3"/>
      <c r="BI381" s="3"/>
      <c r="BJ381" s="3"/>
      <c r="BK381" s="3"/>
      <c r="BL381" s="3" t="s">
        <v>3</v>
      </c>
      <c r="BM381" s="3" t="s">
        <v>3</v>
      </c>
      <c r="BN381" s="28"/>
      <c r="BO381" s="3"/>
      <c r="BP381" s="3"/>
      <c r="BQ381" s="3"/>
      <c r="BR381" s="3"/>
      <c r="BS381" s="3" t="s">
        <v>3</v>
      </c>
      <c r="BT381" s="3"/>
      <c r="BU381" s="3" t="s">
        <v>3</v>
      </c>
      <c r="BV381" s="3" t="s">
        <v>3</v>
      </c>
      <c r="BW381" s="3" t="s">
        <v>3</v>
      </c>
      <c r="BX381" s="3"/>
      <c r="BY381" s="3"/>
      <c r="BZ381" s="3"/>
      <c r="CA381" s="3"/>
      <c r="CB381" s="3"/>
    </row>
    <row r="382" spans="2:80" ht="30" customHeight="1">
      <c r="B382" s="11">
        <f t="shared" si="16"/>
        <v>377</v>
      </c>
      <c r="C382" s="38" t="s">
        <v>904</v>
      </c>
      <c r="D382" s="35" t="s">
        <v>945</v>
      </c>
      <c r="E382" s="35" t="s">
        <v>946</v>
      </c>
      <c r="F382" s="14">
        <f t="shared" si="17"/>
        <v>2</v>
      </c>
      <c r="G382" s="15" t="s">
        <v>499</v>
      </c>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28"/>
      <c r="AY382" s="3"/>
      <c r="AZ382" s="3"/>
      <c r="BA382" s="3"/>
      <c r="BB382" s="3"/>
      <c r="BC382" s="3"/>
      <c r="BD382" s="3"/>
      <c r="BE382" s="3"/>
      <c r="BF382" s="3"/>
      <c r="BG382" s="3"/>
      <c r="BH382" s="3"/>
      <c r="BI382" s="3"/>
      <c r="BJ382" s="3"/>
      <c r="BK382" s="3"/>
      <c r="BL382" s="3"/>
      <c r="BM382" s="3"/>
      <c r="BN382" s="28"/>
      <c r="BO382" s="3"/>
      <c r="BP382" s="3"/>
      <c r="BQ382" s="3"/>
      <c r="BR382" s="3"/>
      <c r="BS382" s="3"/>
      <c r="BT382" s="3"/>
      <c r="BU382" s="3" t="s">
        <v>3</v>
      </c>
      <c r="BV382" s="3"/>
      <c r="BW382" s="3"/>
      <c r="BX382" s="3"/>
      <c r="BY382" s="3"/>
      <c r="BZ382" s="3"/>
      <c r="CA382" s="13" t="s">
        <v>3</v>
      </c>
      <c r="CB382" s="3"/>
    </row>
    <row r="383" spans="2:80" ht="30" customHeight="1">
      <c r="B383" s="11">
        <f t="shared" si="16"/>
        <v>378</v>
      </c>
      <c r="C383" s="38" t="s">
        <v>904</v>
      </c>
      <c r="D383" s="38" t="s">
        <v>945</v>
      </c>
      <c r="E383" s="35" t="s">
        <v>947</v>
      </c>
      <c r="F383" s="14">
        <f t="shared" si="17"/>
        <v>2</v>
      </c>
      <c r="G383" s="15" t="s">
        <v>499</v>
      </c>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28"/>
      <c r="AY383" s="3"/>
      <c r="AZ383" s="3"/>
      <c r="BA383" s="3"/>
      <c r="BB383" s="3"/>
      <c r="BC383" s="3"/>
      <c r="BD383" s="3"/>
      <c r="BE383" s="3"/>
      <c r="BF383" s="3"/>
      <c r="BG383" s="3"/>
      <c r="BH383" s="3"/>
      <c r="BI383" s="3"/>
      <c r="BJ383" s="3"/>
      <c r="BK383" s="3"/>
      <c r="BL383" s="3"/>
      <c r="BM383" s="3"/>
      <c r="BN383" s="28"/>
      <c r="BO383" s="3"/>
      <c r="BP383" s="3"/>
      <c r="BQ383" s="3"/>
      <c r="BR383" s="3"/>
      <c r="BS383" s="3"/>
      <c r="BT383" s="3"/>
      <c r="BU383" s="3" t="s">
        <v>3</v>
      </c>
      <c r="BV383" s="3"/>
      <c r="BW383" s="3"/>
      <c r="BX383" s="3"/>
      <c r="BY383" s="3"/>
      <c r="BZ383" s="3"/>
      <c r="CA383" s="13" t="s">
        <v>3</v>
      </c>
      <c r="CB383" s="3"/>
    </row>
    <row r="384" spans="2:80" ht="30" customHeight="1">
      <c r="B384" s="11">
        <f t="shared" si="16"/>
        <v>379</v>
      </c>
      <c r="C384" s="38" t="s">
        <v>904</v>
      </c>
      <c r="D384" s="38" t="s">
        <v>945</v>
      </c>
      <c r="E384" s="35" t="s">
        <v>948</v>
      </c>
      <c r="F384" s="14">
        <f t="shared" si="17"/>
        <v>2</v>
      </c>
      <c r="G384" s="15" t="s">
        <v>499</v>
      </c>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28"/>
      <c r="AY384" s="3"/>
      <c r="AZ384" s="3"/>
      <c r="BA384" s="3"/>
      <c r="BB384" s="3"/>
      <c r="BC384" s="3"/>
      <c r="BD384" s="3"/>
      <c r="BE384" s="3"/>
      <c r="BF384" s="3"/>
      <c r="BG384" s="3"/>
      <c r="BH384" s="3"/>
      <c r="BI384" s="3"/>
      <c r="BJ384" s="3"/>
      <c r="BK384" s="3"/>
      <c r="BL384" s="3"/>
      <c r="BM384" s="3"/>
      <c r="BN384" s="28"/>
      <c r="BO384" s="3"/>
      <c r="BP384" s="3"/>
      <c r="BQ384" s="3"/>
      <c r="BR384" s="3"/>
      <c r="BS384" s="3"/>
      <c r="BT384" s="3"/>
      <c r="BU384" s="3" t="s">
        <v>3</v>
      </c>
      <c r="BV384" s="3"/>
      <c r="BW384" s="3"/>
      <c r="BX384" s="3"/>
      <c r="BY384" s="3"/>
      <c r="BZ384" s="3"/>
      <c r="CA384" s="13" t="s">
        <v>3</v>
      </c>
      <c r="CB384" s="3"/>
    </row>
    <row r="385" spans="2:80" ht="30" customHeight="1">
      <c r="B385" s="11">
        <f t="shared" si="16"/>
        <v>380</v>
      </c>
      <c r="C385" s="38" t="s">
        <v>904</v>
      </c>
      <c r="D385" s="38" t="s">
        <v>945</v>
      </c>
      <c r="E385" s="35" t="s">
        <v>949</v>
      </c>
      <c r="F385" s="14">
        <f t="shared" si="17"/>
        <v>2</v>
      </c>
      <c r="G385" s="15" t="s">
        <v>499</v>
      </c>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28"/>
      <c r="AY385" s="3"/>
      <c r="AZ385" s="3"/>
      <c r="BA385" s="3"/>
      <c r="BB385" s="3"/>
      <c r="BC385" s="3"/>
      <c r="BD385" s="3"/>
      <c r="BE385" s="3"/>
      <c r="BF385" s="3"/>
      <c r="BG385" s="3"/>
      <c r="BH385" s="3"/>
      <c r="BI385" s="3"/>
      <c r="BJ385" s="3"/>
      <c r="BK385" s="3"/>
      <c r="BL385" s="3"/>
      <c r="BM385" s="3"/>
      <c r="BN385" s="28"/>
      <c r="BO385" s="3"/>
      <c r="BP385" s="3"/>
      <c r="BQ385" s="3"/>
      <c r="BR385" s="3"/>
      <c r="BS385" s="3"/>
      <c r="BT385" s="3"/>
      <c r="BU385" s="3" t="s">
        <v>3</v>
      </c>
      <c r="BV385" s="3"/>
      <c r="BW385" s="3"/>
      <c r="BX385" s="3"/>
      <c r="BY385" s="3"/>
      <c r="BZ385" s="3"/>
      <c r="CA385" s="13" t="s">
        <v>3</v>
      </c>
      <c r="CB385" s="3"/>
    </row>
    <row r="386" spans="2:80" ht="30" customHeight="1">
      <c r="B386" s="11">
        <f t="shared" si="16"/>
        <v>381</v>
      </c>
      <c r="C386" s="38" t="s">
        <v>904</v>
      </c>
      <c r="D386" s="38" t="s">
        <v>945</v>
      </c>
      <c r="E386" s="35" t="s">
        <v>950</v>
      </c>
      <c r="F386" s="14">
        <f t="shared" si="17"/>
        <v>2</v>
      </c>
      <c r="G386" s="15" t="s">
        <v>499</v>
      </c>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28"/>
      <c r="AY386" s="3"/>
      <c r="AZ386" s="3"/>
      <c r="BA386" s="3"/>
      <c r="BB386" s="3"/>
      <c r="BC386" s="3"/>
      <c r="BD386" s="3"/>
      <c r="BE386" s="3"/>
      <c r="BF386" s="3"/>
      <c r="BG386" s="3"/>
      <c r="BH386" s="3"/>
      <c r="BI386" s="3"/>
      <c r="BJ386" s="3"/>
      <c r="BK386" s="3"/>
      <c r="BL386" s="3"/>
      <c r="BM386" s="3"/>
      <c r="BN386" s="28"/>
      <c r="BO386" s="3"/>
      <c r="BP386" s="3"/>
      <c r="BQ386" s="3"/>
      <c r="BR386" s="3"/>
      <c r="BS386" s="3"/>
      <c r="BT386" s="3"/>
      <c r="BU386" s="3" t="s">
        <v>3</v>
      </c>
      <c r="BV386" s="3"/>
      <c r="BW386" s="3"/>
      <c r="BX386" s="3"/>
      <c r="BY386" s="3"/>
      <c r="BZ386" s="3"/>
      <c r="CA386" s="13" t="s">
        <v>3</v>
      </c>
      <c r="CB386" s="3"/>
    </row>
    <row r="387" spans="2:80" ht="30" customHeight="1">
      <c r="B387" s="11">
        <f t="shared" si="16"/>
        <v>382</v>
      </c>
      <c r="C387" s="38" t="s">
        <v>904</v>
      </c>
      <c r="D387" s="38" t="s">
        <v>945</v>
      </c>
      <c r="E387" s="35" t="s">
        <v>951</v>
      </c>
      <c r="F387" s="14">
        <f t="shared" si="17"/>
        <v>2</v>
      </c>
      <c r="G387" s="15" t="s">
        <v>499</v>
      </c>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28"/>
      <c r="AY387" s="3"/>
      <c r="AZ387" s="3"/>
      <c r="BA387" s="3"/>
      <c r="BB387" s="3"/>
      <c r="BC387" s="3"/>
      <c r="BD387" s="3"/>
      <c r="BE387" s="3"/>
      <c r="BF387" s="3"/>
      <c r="BG387" s="3"/>
      <c r="BH387" s="3"/>
      <c r="BI387" s="3"/>
      <c r="BJ387" s="3"/>
      <c r="BK387" s="3"/>
      <c r="BL387" s="3"/>
      <c r="BM387" s="3"/>
      <c r="BN387" s="28"/>
      <c r="BO387" s="3"/>
      <c r="BP387" s="3"/>
      <c r="BQ387" s="3"/>
      <c r="BR387" s="3"/>
      <c r="BS387" s="3"/>
      <c r="BT387" s="3"/>
      <c r="BU387" s="3" t="s">
        <v>3</v>
      </c>
      <c r="BV387" s="3"/>
      <c r="BW387" s="3"/>
      <c r="BX387" s="3"/>
      <c r="BY387" s="3"/>
      <c r="BZ387" s="3"/>
      <c r="CA387" s="13" t="s">
        <v>3</v>
      </c>
      <c r="CB387" s="3"/>
    </row>
    <row r="388" spans="2:80" ht="30" customHeight="1">
      <c r="B388" s="11">
        <f t="shared" si="16"/>
        <v>383</v>
      </c>
      <c r="C388" s="38" t="s">
        <v>904</v>
      </c>
      <c r="D388" s="38" t="s">
        <v>945</v>
      </c>
      <c r="E388" s="35" t="s">
        <v>952</v>
      </c>
      <c r="F388" s="14">
        <f t="shared" si="17"/>
        <v>2</v>
      </c>
      <c r="G388" s="15" t="s">
        <v>499</v>
      </c>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28"/>
      <c r="AY388" s="3"/>
      <c r="AZ388" s="3"/>
      <c r="BA388" s="3"/>
      <c r="BB388" s="3"/>
      <c r="BC388" s="3"/>
      <c r="BD388" s="3"/>
      <c r="BE388" s="3"/>
      <c r="BF388" s="3"/>
      <c r="BG388" s="3"/>
      <c r="BH388" s="3"/>
      <c r="BI388" s="3"/>
      <c r="BJ388" s="3"/>
      <c r="BK388" s="3"/>
      <c r="BL388" s="3"/>
      <c r="BM388" s="3"/>
      <c r="BN388" s="28"/>
      <c r="BO388" s="3"/>
      <c r="BP388" s="3"/>
      <c r="BQ388" s="3"/>
      <c r="BR388" s="3"/>
      <c r="BS388" s="3"/>
      <c r="BT388" s="3"/>
      <c r="BU388" s="3" t="s">
        <v>3</v>
      </c>
      <c r="BV388" s="3"/>
      <c r="BW388" s="3"/>
      <c r="BX388" s="3"/>
      <c r="BY388" s="3"/>
      <c r="BZ388" s="3"/>
      <c r="CA388" s="13" t="s">
        <v>3</v>
      </c>
      <c r="CB388" s="3"/>
    </row>
    <row r="389" spans="2:80" ht="30" customHeight="1">
      <c r="B389" s="11">
        <f t="shared" si="16"/>
        <v>384</v>
      </c>
      <c r="C389" s="38" t="s">
        <v>904</v>
      </c>
      <c r="D389" s="38" t="s">
        <v>945</v>
      </c>
      <c r="E389" s="35" t="s">
        <v>953</v>
      </c>
      <c r="F389" s="14">
        <f t="shared" si="17"/>
        <v>2</v>
      </c>
      <c r="G389" s="15" t="s">
        <v>499</v>
      </c>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28"/>
      <c r="AY389" s="3"/>
      <c r="AZ389" s="3"/>
      <c r="BA389" s="3"/>
      <c r="BB389" s="3"/>
      <c r="BC389" s="3"/>
      <c r="BD389" s="3"/>
      <c r="BE389" s="3"/>
      <c r="BF389" s="3"/>
      <c r="BG389" s="3"/>
      <c r="BH389" s="3"/>
      <c r="BI389" s="3"/>
      <c r="BJ389" s="3"/>
      <c r="BK389" s="3"/>
      <c r="BL389" s="3"/>
      <c r="BM389" s="3"/>
      <c r="BN389" s="28"/>
      <c r="BO389" s="3"/>
      <c r="BP389" s="3"/>
      <c r="BQ389" s="3"/>
      <c r="BR389" s="3"/>
      <c r="BS389" s="3"/>
      <c r="BT389" s="3"/>
      <c r="BU389" s="3" t="s">
        <v>3</v>
      </c>
      <c r="BV389" s="3"/>
      <c r="BW389" s="3"/>
      <c r="BX389" s="3"/>
      <c r="BY389" s="3"/>
      <c r="BZ389" s="3"/>
      <c r="CA389" s="13" t="s">
        <v>3</v>
      </c>
      <c r="CB389" s="3"/>
    </row>
    <row r="390" spans="2:80" ht="30" customHeight="1">
      <c r="B390" s="11">
        <f t="shared" si="16"/>
        <v>385</v>
      </c>
      <c r="C390" s="38" t="s">
        <v>904</v>
      </c>
      <c r="D390" s="38" t="s">
        <v>945</v>
      </c>
      <c r="E390" s="35" t="s">
        <v>954</v>
      </c>
      <c r="F390" s="14">
        <f t="shared" si="17"/>
        <v>2</v>
      </c>
      <c r="G390" s="15" t="s">
        <v>499</v>
      </c>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28"/>
      <c r="AY390" s="3"/>
      <c r="AZ390" s="3"/>
      <c r="BA390" s="3"/>
      <c r="BB390" s="3"/>
      <c r="BC390" s="3"/>
      <c r="BD390" s="3"/>
      <c r="BE390" s="3"/>
      <c r="BF390" s="3"/>
      <c r="BG390" s="3"/>
      <c r="BH390" s="3"/>
      <c r="BI390" s="3"/>
      <c r="BJ390" s="3"/>
      <c r="BK390" s="3"/>
      <c r="BL390" s="3"/>
      <c r="BM390" s="3"/>
      <c r="BN390" s="28"/>
      <c r="BO390" s="3"/>
      <c r="BP390" s="3"/>
      <c r="BQ390" s="3"/>
      <c r="BR390" s="3"/>
      <c r="BS390" s="3"/>
      <c r="BT390" s="3"/>
      <c r="BU390" s="3" t="s">
        <v>3</v>
      </c>
      <c r="BV390" s="3"/>
      <c r="BW390" s="3"/>
      <c r="BX390" s="3"/>
      <c r="BY390" s="3"/>
      <c r="BZ390" s="3"/>
      <c r="CA390" s="13" t="s">
        <v>3</v>
      </c>
      <c r="CB390" s="3"/>
    </row>
    <row r="391" spans="2:80" ht="30" customHeight="1">
      <c r="B391" s="11">
        <f t="shared" si="16"/>
        <v>386</v>
      </c>
      <c r="C391" s="38" t="s">
        <v>904</v>
      </c>
      <c r="D391" s="38" t="s">
        <v>945</v>
      </c>
      <c r="E391" s="35" t="s">
        <v>955</v>
      </c>
      <c r="F391" s="14">
        <f t="shared" si="17"/>
        <v>2</v>
      </c>
      <c r="G391" s="15" t="s">
        <v>499</v>
      </c>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28"/>
      <c r="AY391" s="3"/>
      <c r="AZ391" s="3"/>
      <c r="BA391" s="3"/>
      <c r="BB391" s="3"/>
      <c r="BC391" s="3"/>
      <c r="BD391" s="3"/>
      <c r="BE391" s="3"/>
      <c r="BF391" s="3"/>
      <c r="BG391" s="3"/>
      <c r="BH391" s="3"/>
      <c r="BI391" s="3"/>
      <c r="BJ391" s="3"/>
      <c r="BK391" s="3"/>
      <c r="BL391" s="3"/>
      <c r="BM391" s="3"/>
      <c r="BN391" s="28"/>
      <c r="BO391" s="3"/>
      <c r="BP391" s="3"/>
      <c r="BQ391" s="3"/>
      <c r="BR391" s="3"/>
      <c r="BS391" s="3"/>
      <c r="BT391" s="3"/>
      <c r="BU391" s="3" t="s">
        <v>3</v>
      </c>
      <c r="BV391" s="3"/>
      <c r="BW391" s="3"/>
      <c r="BX391" s="3"/>
      <c r="BY391" s="3"/>
      <c r="BZ391" s="3"/>
      <c r="CA391" s="13" t="s">
        <v>3</v>
      </c>
      <c r="CB391" s="3"/>
    </row>
    <row r="392" spans="2:80" ht="30" customHeight="1">
      <c r="B392" s="11">
        <f t="shared" si="16"/>
        <v>387</v>
      </c>
      <c r="C392" s="38" t="s">
        <v>904</v>
      </c>
      <c r="D392" s="38" t="s">
        <v>945</v>
      </c>
      <c r="E392" s="35" t="s">
        <v>956</v>
      </c>
      <c r="F392" s="14">
        <f t="shared" si="17"/>
        <v>2</v>
      </c>
      <c r="G392" s="15" t="s">
        <v>499</v>
      </c>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28"/>
      <c r="AY392" s="3"/>
      <c r="AZ392" s="3"/>
      <c r="BA392" s="3"/>
      <c r="BB392" s="3"/>
      <c r="BC392" s="3"/>
      <c r="BD392" s="3"/>
      <c r="BE392" s="3"/>
      <c r="BF392" s="3"/>
      <c r="BG392" s="3"/>
      <c r="BH392" s="3"/>
      <c r="BI392" s="3"/>
      <c r="BJ392" s="3"/>
      <c r="BK392" s="3"/>
      <c r="BL392" s="3"/>
      <c r="BM392" s="3"/>
      <c r="BN392" s="28"/>
      <c r="BO392" s="3"/>
      <c r="BP392" s="3"/>
      <c r="BQ392" s="3"/>
      <c r="BR392" s="3"/>
      <c r="BS392" s="3"/>
      <c r="BT392" s="3"/>
      <c r="BU392" s="3" t="s">
        <v>3</v>
      </c>
      <c r="BV392" s="3"/>
      <c r="BW392" s="3"/>
      <c r="BX392" s="3"/>
      <c r="BY392" s="3"/>
      <c r="BZ392" s="3"/>
      <c r="CA392" s="13" t="s">
        <v>3</v>
      </c>
      <c r="CB392" s="3"/>
    </row>
    <row r="393" spans="2:80" ht="30" customHeight="1">
      <c r="B393" s="11">
        <f t="shared" si="16"/>
        <v>388</v>
      </c>
      <c r="C393" s="38" t="s">
        <v>904</v>
      </c>
      <c r="D393" s="38" t="s">
        <v>945</v>
      </c>
      <c r="E393" s="35" t="s">
        <v>957</v>
      </c>
      <c r="F393" s="14">
        <f t="shared" si="17"/>
        <v>2</v>
      </c>
      <c r="G393" s="15" t="s">
        <v>499</v>
      </c>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28"/>
      <c r="AY393" s="3"/>
      <c r="AZ393" s="3"/>
      <c r="BA393" s="3"/>
      <c r="BB393" s="3"/>
      <c r="BC393" s="3"/>
      <c r="BD393" s="3"/>
      <c r="BE393" s="3"/>
      <c r="BF393" s="3"/>
      <c r="BG393" s="3"/>
      <c r="BH393" s="3"/>
      <c r="BI393" s="3"/>
      <c r="BJ393" s="3"/>
      <c r="BK393" s="3"/>
      <c r="BL393" s="3"/>
      <c r="BM393" s="3"/>
      <c r="BN393" s="28"/>
      <c r="BO393" s="3"/>
      <c r="BP393" s="3"/>
      <c r="BQ393" s="3"/>
      <c r="BR393" s="3"/>
      <c r="BS393" s="3"/>
      <c r="BT393" s="3"/>
      <c r="BU393" s="3" t="s">
        <v>3</v>
      </c>
      <c r="BV393" s="3"/>
      <c r="BW393" s="3"/>
      <c r="BX393" s="3"/>
      <c r="BY393" s="3"/>
      <c r="BZ393" s="3"/>
      <c r="CA393" s="13" t="s">
        <v>3</v>
      </c>
      <c r="CB393" s="3"/>
    </row>
    <row r="394" spans="2:80" ht="30" customHeight="1">
      <c r="B394" s="11">
        <f t="shared" si="16"/>
        <v>389</v>
      </c>
      <c r="C394" s="38" t="s">
        <v>904</v>
      </c>
      <c r="D394" s="35" t="s">
        <v>958</v>
      </c>
      <c r="E394" s="35" t="s">
        <v>959</v>
      </c>
      <c r="F394" s="14">
        <f t="shared" si="17"/>
        <v>15</v>
      </c>
      <c r="G394" s="15" t="s">
        <v>2</v>
      </c>
      <c r="H394" s="3"/>
      <c r="I394" s="3" t="s">
        <v>3</v>
      </c>
      <c r="J394" s="3"/>
      <c r="K394" s="3"/>
      <c r="L394" s="3"/>
      <c r="M394" s="3"/>
      <c r="N394" s="3"/>
      <c r="O394" s="3"/>
      <c r="P394" s="3"/>
      <c r="Q394" s="3"/>
      <c r="R394" s="3"/>
      <c r="S394" s="3"/>
      <c r="T394" s="3"/>
      <c r="U394" s="3"/>
      <c r="V394" s="3"/>
      <c r="W394" s="3"/>
      <c r="X394" s="3"/>
      <c r="Y394" s="3"/>
      <c r="Z394" s="3" t="s">
        <v>3</v>
      </c>
      <c r="AA394" s="3"/>
      <c r="AB394" s="3"/>
      <c r="AC394" s="3"/>
      <c r="AD394" s="3"/>
      <c r="AE394" s="3"/>
      <c r="AF394" s="3"/>
      <c r="AG394" s="3"/>
      <c r="AH394" s="3"/>
      <c r="AI394" s="3"/>
      <c r="AJ394" s="3"/>
      <c r="AK394" s="3"/>
      <c r="AL394" s="3" t="s">
        <v>3</v>
      </c>
      <c r="AM394" s="3"/>
      <c r="AN394" s="3" t="s">
        <v>3</v>
      </c>
      <c r="AO394" s="3"/>
      <c r="AP394" s="3"/>
      <c r="AQ394" s="3"/>
      <c r="AR394" s="3"/>
      <c r="AS394" s="3"/>
      <c r="AT394" s="3"/>
      <c r="AU394" s="3" t="s">
        <v>3</v>
      </c>
      <c r="AV394" s="3"/>
      <c r="AW394" s="3"/>
      <c r="AX394" s="28"/>
      <c r="AY394" s="3"/>
      <c r="AZ394" s="3"/>
      <c r="BA394" s="3"/>
      <c r="BB394" s="3"/>
      <c r="BC394" s="3"/>
      <c r="BD394" s="3"/>
      <c r="BE394" s="3" t="s">
        <v>3</v>
      </c>
      <c r="BF394" s="3" t="s">
        <v>3</v>
      </c>
      <c r="BG394" s="3"/>
      <c r="BH394" s="3"/>
      <c r="BI394" s="3"/>
      <c r="BJ394" s="3" t="s">
        <v>3</v>
      </c>
      <c r="BK394" s="3" t="s">
        <v>3</v>
      </c>
      <c r="BL394" s="3"/>
      <c r="BM394" s="3"/>
      <c r="BN394" s="28"/>
      <c r="BO394" s="3"/>
      <c r="BP394" s="3" t="s">
        <v>3</v>
      </c>
      <c r="BQ394" s="3" t="s">
        <v>3</v>
      </c>
      <c r="BR394" s="3"/>
      <c r="BS394" s="3" t="s">
        <v>3</v>
      </c>
      <c r="BT394" s="3"/>
      <c r="BU394" s="3" t="s">
        <v>3</v>
      </c>
      <c r="BV394" s="3" t="s">
        <v>3</v>
      </c>
      <c r="BW394" s="3" t="s">
        <v>3</v>
      </c>
      <c r="BX394" s="3"/>
      <c r="BY394" s="3"/>
      <c r="BZ394" s="3"/>
      <c r="CA394" s="3"/>
      <c r="CB394" s="3"/>
    </row>
    <row r="395" spans="2:80" ht="30" customHeight="1">
      <c r="B395" s="11">
        <f t="shared" si="16"/>
        <v>390</v>
      </c>
      <c r="C395" s="38" t="s">
        <v>904</v>
      </c>
      <c r="D395" s="38" t="s">
        <v>958</v>
      </c>
      <c r="E395" s="35" t="s">
        <v>960</v>
      </c>
      <c r="F395" s="14">
        <f t="shared" si="17"/>
        <v>2</v>
      </c>
      <c r="G395" s="15" t="s">
        <v>499</v>
      </c>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28"/>
      <c r="AY395" s="3"/>
      <c r="AZ395" s="3"/>
      <c r="BA395" s="3"/>
      <c r="BB395" s="3"/>
      <c r="BC395" s="3"/>
      <c r="BD395" s="3"/>
      <c r="BE395" s="3"/>
      <c r="BF395" s="3"/>
      <c r="BG395" s="3"/>
      <c r="BH395" s="3"/>
      <c r="BI395" s="3"/>
      <c r="BJ395" s="3"/>
      <c r="BK395" s="3"/>
      <c r="BL395" s="3"/>
      <c r="BM395" s="3"/>
      <c r="BN395" s="28"/>
      <c r="BO395" s="3"/>
      <c r="BP395" s="3"/>
      <c r="BQ395" s="3"/>
      <c r="BR395" s="3"/>
      <c r="BS395" s="3"/>
      <c r="BT395" s="3"/>
      <c r="BU395" s="3" t="s">
        <v>3</v>
      </c>
      <c r="BV395" s="3"/>
      <c r="BW395" s="3"/>
      <c r="BX395" s="3"/>
      <c r="BY395" s="3"/>
      <c r="BZ395" s="3"/>
      <c r="CA395" s="13" t="s">
        <v>3</v>
      </c>
      <c r="CB395" s="3"/>
    </row>
    <row r="396" spans="2:80" ht="30" customHeight="1">
      <c r="B396" s="11">
        <f t="shared" si="16"/>
        <v>391</v>
      </c>
      <c r="C396" s="38" t="s">
        <v>904</v>
      </c>
      <c r="D396" s="38" t="s">
        <v>958</v>
      </c>
      <c r="E396" s="35" t="s">
        <v>961</v>
      </c>
      <c r="F396" s="14">
        <f t="shared" si="17"/>
        <v>16</v>
      </c>
      <c r="G396" s="15" t="s">
        <v>2</v>
      </c>
      <c r="H396" s="3"/>
      <c r="I396" s="3"/>
      <c r="J396" s="3"/>
      <c r="K396" s="3"/>
      <c r="L396" s="3"/>
      <c r="M396" s="3"/>
      <c r="N396" s="3"/>
      <c r="O396" s="3"/>
      <c r="P396" s="3" t="s">
        <v>3</v>
      </c>
      <c r="Q396" s="3" t="s">
        <v>3</v>
      </c>
      <c r="R396" s="3"/>
      <c r="S396" s="3"/>
      <c r="T396" s="3"/>
      <c r="U396" s="3"/>
      <c r="V396" s="3"/>
      <c r="W396" s="3"/>
      <c r="X396" s="3"/>
      <c r="Y396" s="3"/>
      <c r="Z396" s="3" t="s">
        <v>3</v>
      </c>
      <c r="AA396" s="3"/>
      <c r="AB396" s="3"/>
      <c r="AC396" s="3"/>
      <c r="AD396" s="3"/>
      <c r="AE396" s="3"/>
      <c r="AF396" s="3"/>
      <c r="AG396" s="3"/>
      <c r="AH396" s="3"/>
      <c r="AI396" s="3"/>
      <c r="AJ396" s="3"/>
      <c r="AK396" s="3"/>
      <c r="AL396" s="3"/>
      <c r="AM396" s="3"/>
      <c r="AN396" s="3" t="s">
        <v>3</v>
      </c>
      <c r="AO396" s="3"/>
      <c r="AP396" s="3" t="s">
        <v>3</v>
      </c>
      <c r="AQ396" s="3"/>
      <c r="AR396" s="3"/>
      <c r="AS396" s="3"/>
      <c r="AT396" s="3"/>
      <c r="AU396" s="3" t="s">
        <v>3</v>
      </c>
      <c r="AV396" s="3"/>
      <c r="AW396" s="3"/>
      <c r="AX396" s="28"/>
      <c r="AY396" s="3"/>
      <c r="AZ396" s="3"/>
      <c r="BA396" s="3"/>
      <c r="BB396" s="3"/>
      <c r="BC396" s="3"/>
      <c r="BD396" s="3"/>
      <c r="BE396" s="3" t="s">
        <v>3</v>
      </c>
      <c r="BF396" s="3" t="s">
        <v>3</v>
      </c>
      <c r="BG396" s="3"/>
      <c r="BH396" s="3"/>
      <c r="BI396" s="3"/>
      <c r="BJ396" s="3" t="s">
        <v>3</v>
      </c>
      <c r="BK396" s="3" t="s">
        <v>3</v>
      </c>
      <c r="BL396" s="3"/>
      <c r="BM396" s="3"/>
      <c r="BN396" s="28"/>
      <c r="BO396" s="3"/>
      <c r="BP396" s="3" t="s">
        <v>3</v>
      </c>
      <c r="BQ396" s="3" t="s">
        <v>3</v>
      </c>
      <c r="BR396" s="3"/>
      <c r="BS396" s="3" t="s">
        <v>3</v>
      </c>
      <c r="BT396" s="3"/>
      <c r="BU396" s="3" t="s">
        <v>3</v>
      </c>
      <c r="BV396" s="3" t="s">
        <v>3</v>
      </c>
      <c r="BW396" s="3" t="s">
        <v>3</v>
      </c>
      <c r="BX396" s="3"/>
      <c r="BY396" s="3"/>
      <c r="BZ396" s="3"/>
      <c r="CA396" s="3"/>
      <c r="CB396" s="3"/>
    </row>
    <row r="397" spans="2:80" ht="30" customHeight="1">
      <c r="B397" s="11">
        <f t="shared" si="16"/>
        <v>392</v>
      </c>
      <c r="C397" s="38" t="s">
        <v>904</v>
      </c>
      <c r="D397" s="38" t="s">
        <v>958</v>
      </c>
      <c r="E397" s="35" t="s">
        <v>962</v>
      </c>
      <c r="F397" s="14">
        <f t="shared" si="17"/>
        <v>2</v>
      </c>
      <c r="G397" s="15" t="s">
        <v>499</v>
      </c>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28"/>
      <c r="AY397" s="3"/>
      <c r="AZ397" s="3"/>
      <c r="BA397" s="3"/>
      <c r="BB397" s="3"/>
      <c r="BC397" s="3"/>
      <c r="BD397" s="3"/>
      <c r="BE397" s="3"/>
      <c r="BF397" s="3"/>
      <c r="BG397" s="3"/>
      <c r="BH397" s="3"/>
      <c r="BI397" s="3"/>
      <c r="BJ397" s="3"/>
      <c r="BK397" s="3"/>
      <c r="BL397" s="3"/>
      <c r="BM397" s="3"/>
      <c r="BN397" s="28"/>
      <c r="BO397" s="3"/>
      <c r="BP397" s="3"/>
      <c r="BQ397" s="3"/>
      <c r="BR397" s="3"/>
      <c r="BS397" s="3"/>
      <c r="BT397" s="3"/>
      <c r="BU397" s="3" t="s">
        <v>3</v>
      </c>
      <c r="BV397" s="3"/>
      <c r="BW397" s="3"/>
      <c r="BX397" s="3"/>
      <c r="BY397" s="3"/>
      <c r="BZ397" s="3"/>
      <c r="CA397" s="13" t="s">
        <v>3</v>
      </c>
      <c r="CB397" s="3"/>
    </row>
    <row r="398" spans="2:80" ht="30" customHeight="1">
      <c r="B398" s="11">
        <f t="shared" si="16"/>
        <v>393</v>
      </c>
      <c r="C398" s="38" t="s">
        <v>904</v>
      </c>
      <c r="D398" s="38" t="s">
        <v>958</v>
      </c>
      <c r="E398" s="35" t="s">
        <v>963</v>
      </c>
      <c r="F398" s="14">
        <f t="shared" si="17"/>
        <v>15</v>
      </c>
      <c r="G398" s="15" t="s">
        <v>2</v>
      </c>
      <c r="H398" s="3"/>
      <c r="I398" s="3"/>
      <c r="J398" s="3"/>
      <c r="K398" s="3"/>
      <c r="L398" s="3"/>
      <c r="M398" s="3"/>
      <c r="N398" s="3" t="s">
        <v>3</v>
      </c>
      <c r="O398" s="3"/>
      <c r="P398" s="3" t="s">
        <v>3</v>
      </c>
      <c r="Q398" s="3"/>
      <c r="R398" s="3"/>
      <c r="S398" s="3"/>
      <c r="T398" s="3"/>
      <c r="U398" s="3"/>
      <c r="V398" s="3"/>
      <c r="W398" s="3"/>
      <c r="X398" s="3"/>
      <c r="Y398" s="3"/>
      <c r="Z398" s="3" t="s">
        <v>3</v>
      </c>
      <c r="AA398" s="3"/>
      <c r="AB398" s="3"/>
      <c r="AC398" s="3"/>
      <c r="AD398" s="3"/>
      <c r="AE398" s="3"/>
      <c r="AF398" s="3"/>
      <c r="AG398" s="3"/>
      <c r="AH398" s="3"/>
      <c r="AI398" s="3"/>
      <c r="AJ398" s="3"/>
      <c r="AK398" s="3"/>
      <c r="AL398" s="3"/>
      <c r="AM398" s="3"/>
      <c r="AN398" s="3" t="s">
        <v>3</v>
      </c>
      <c r="AO398" s="3"/>
      <c r="AP398" s="3"/>
      <c r="AQ398" s="3"/>
      <c r="AR398" s="3"/>
      <c r="AS398" s="3"/>
      <c r="AT398" s="3"/>
      <c r="AU398" s="3" t="s">
        <v>3</v>
      </c>
      <c r="AV398" s="3"/>
      <c r="AW398" s="3"/>
      <c r="AX398" s="28"/>
      <c r="AY398" s="3"/>
      <c r="AZ398" s="3"/>
      <c r="BA398" s="3"/>
      <c r="BB398" s="3"/>
      <c r="BC398" s="3"/>
      <c r="BD398" s="3"/>
      <c r="BE398" s="3" t="s">
        <v>3</v>
      </c>
      <c r="BF398" s="3" t="s">
        <v>3</v>
      </c>
      <c r="BG398" s="3"/>
      <c r="BH398" s="3"/>
      <c r="BI398" s="3"/>
      <c r="BJ398" s="3" t="s">
        <v>3</v>
      </c>
      <c r="BK398" s="1"/>
      <c r="BL398" s="3"/>
      <c r="BM398" s="3"/>
      <c r="BN398" s="28"/>
      <c r="BO398" s="3"/>
      <c r="BP398" s="3" t="s">
        <v>3</v>
      </c>
      <c r="BQ398" s="3" t="s">
        <v>3</v>
      </c>
      <c r="BR398" s="3"/>
      <c r="BS398" s="3" t="s">
        <v>3</v>
      </c>
      <c r="BT398" s="3"/>
      <c r="BU398" s="3" t="s">
        <v>3</v>
      </c>
      <c r="BV398" s="3" t="s">
        <v>3</v>
      </c>
      <c r="BW398" s="3" t="s">
        <v>3</v>
      </c>
      <c r="BX398" s="3" t="s">
        <v>3</v>
      </c>
      <c r="BY398" s="3"/>
      <c r="BZ398" s="3"/>
      <c r="CA398" s="3"/>
      <c r="CB398" s="3"/>
    </row>
    <row r="399" spans="2:80" ht="30" customHeight="1">
      <c r="B399" s="11">
        <f t="shared" si="16"/>
        <v>394</v>
      </c>
      <c r="C399" s="38" t="s">
        <v>904</v>
      </c>
      <c r="D399" s="38" t="s">
        <v>958</v>
      </c>
      <c r="E399" s="35" t="s">
        <v>964</v>
      </c>
      <c r="F399" s="14">
        <f t="shared" si="17"/>
        <v>5</v>
      </c>
      <c r="G399" s="15" t="s">
        <v>2</v>
      </c>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28"/>
      <c r="AY399" s="3"/>
      <c r="AZ399" s="3"/>
      <c r="BA399" s="3"/>
      <c r="BB399" s="3"/>
      <c r="BC399" s="3"/>
      <c r="BD399" s="3"/>
      <c r="BE399" s="3"/>
      <c r="BF399" s="3"/>
      <c r="BG399" s="3"/>
      <c r="BH399" s="3"/>
      <c r="BI399" s="3"/>
      <c r="BJ399" s="3"/>
      <c r="BK399" s="3"/>
      <c r="BL399" s="3"/>
      <c r="BM399" s="3"/>
      <c r="BN399" s="28"/>
      <c r="BO399" s="3"/>
      <c r="BP399" s="3"/>
      <c r="BQ399" s="3"/>
      <c r="BR399" s="3"/>
      <c r="BS399" s="3"/>
      <c r="BT399" s="3"/>
      <c r="BU399" s="3" t="s">
        <v>3</v>
      </c>
      <c r="BV399" s="3" t="s">
        <v>3</v>
      </c>
      <c r="BW399" s="3" t="s">
        <v>3</v>
      </c>
      <c r="BX399" s="3"/>
      <c r="BY399" s="3" t="s">
        <v>3</v>
      </c>
      <c r="BZ399" s="3" t="s">
        <v>3</v>
      </c>
      <c r="CA399" s="3"/>
      <c r="CB399" s="3"/>
    </row>
    <row r="400" spans="2:80" ht="30" customHeight="1">
      <c r="B400" s="11">
        <f t="shared" si="16"/>
        <v>395</v>
      </c>
      <c r="C400" s="38" t="s">
        <v>904</v>
      </c>
      <c r="D400" s="38" t="s">
        <v>958</v>
      </c>
      <c r="E400" s="35" t="s">
        <v>965</v>
      </c>
      <c r="F400" s="14">
        <f t="shared" si="17"/>
        <v>2</v>
      </c>
      <c r="G400" s="15" t="s">
        <v>499</v>
      </c>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28"/>
      <c r="AY400" s="3"/>
      <c r="AZ400" s="3"/>
      <c r="BA400" s="3"/>
      <c r="BB400" s="3"/>
      <c r="BC400" s="3"/>
      <c r="BD400" s="3"/>
      <c r="BE400" s="3"/>
      <c r="BF400" s="3"/>
      <c r="BG400" s="3"/>
      <c r="BH400" s="3"/>
      <c r="BI400" s="3"/>
      <c r="BJ400" s="3"/>
      <c r="BK400" s="3"/>
      <c r="BL400" s="3"/>
      <c r="BM400" s="3"/>
      <c r="BN400" s="28"/>
      <c r="BO400" s="3"/>
      <c r="BP400" s="3"/>
      <c r="BQ400" s="3"/>
      <c r="BR400" s="3"/>
      <c r="BS400" s="3"/>
      <c r="BT400" s="3"/>
      <c r="BU400" s="3" t="s">
        <v>3</v>
      </c>
      <c r="BV400" s="3"/>
      <c r="BW400" s="3"/>
      <c r="BX400" s="3"/>
      <c r="BY400" s="3"/>
      <c r="BZ400" s="3"/>
      <c r="CA400" s="13" t="s">
        <v>3</v>
      </c>
      <c r="CB400" s="3"/>
    </row>
    <row r="401" spans="1:80" ht="30" customHeight="1">
      <c r="B401" s="11">
        <f t="shared" si="16"/>
        <v>396</v>
      </c>
      <c r="C401" s="38" t="s">
        <v>904</v>
      </c>
      <c r="D401" s="38" t="s">
        <v>958</v>
      </c>
      <c r="E401" s="35" t="s">
        <v>966</v>
      </c>
      <c r="F401" s="14">
        <f t="shared" si="17"/>
        <v>2</v>
      </c>
      <c r="G401" s="15" t="s">
        <v>499</v>
      </c>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28"/>
      <c r="AY401" s="3"/>
      <c r="AZ401" s="3"/>
      <c r="BA401" s="3"/>
      <c r="BB401" s="3"/>
      <c r="BC401" s="3"/>
      <c r="BD401" s="3"/>
      <c r="BE401" s="3"/>
      <c r="BF401" s="3"/>
      <c r="BG401" s="3"/>
      <c r="BH401" s="3"/>
      <c r="BI401" s="3"/>
      <c r="BJ401" s="3"/>
      <c r="BK401" s="3"/>
      <c r="BL401" s="3"/>
      <c r="BM401" s="3"/>
      <c r="BN401" s="28"/>
      <c r="BO401" s="3"/>
      <c r="BP401" s="3"/>
      <c r="BQ401" s="3"/>
      <c r="BR401" s="3"/>
      <c r="BS401" s="3"/>
      <c r="BT401" s="3"/>
      <c r="BU401" s="3" t="s">
        <v>3</v>
      </c>
      <c r="BV401" s="3"/>
      <c r="BW401" s="3"/>
      <c r="BX401" s="3"/>
      <c r="BY401" s="3"/>
      <c r="BZ401" s="3"/>
      <c r="CA401" s="13" t="s">
        <v>3</v>
      </c>
      <c r="CB401" s="3"/>
    </row>
    <row r="402" spans="1:80" ht="30" customHeight="1">
      <c r="B402" s="11">
        <f t="shared" si="16"/>
        <v>397</v>
      </c>
      <c r="C402" s="38" t="s">
        <v>904</v>
      </c>
      <c r="D402" s="38" t="s">
        <v>958</v>
      </c>
      <c r="E402" s="35" t="s">
        <v>967</v>
      </c>
      <c r="F402" s="14">
        <f t="shared" si="17"/>
        <v>8</v>
      </c>
      <c r="G402" s="15" t="s">
        <v>2</v>
      </c>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t="s">
        <v>3</v>
      </c>
      <c r="AL402" s="3"/>
      <c r="AM402" s="3"/>
      <c r="AN402" s="3"/>
      <c r="AO402" s="3"/>
      <c r="AP402" s="3"/>
      <c r="AQ402" s="3"/>
      <c r="AR402" s="3"/>
      <c r="AS402" s="3"/>
      <c r="AT402" s="3"/>
      <c r="AU402" s="3" t="s">
        <v>3</v>
      </c>
      <c r="AV402" s="3"/>
      <c r="AW402" s="3"/>
      <c r="AX402" s="28"/>
      <c r="AY402" s="3"/>
      <c r="AZ402" s="3"/>
      <c r="BA402" s="3"/>
      <c r="BB402" s="3"/>
      <c r="BC402" s="3"/>
      <c r="BD402" s="3"/>
      <c r="BE402" s="3"/>
      <c r="BF402" s="3"/>
      <c r="BG402" s="3"/>
      <c r="BH402" s="3"/>
      <c r="BI402" s="3"/>
      <c r="BJ402" s="3" t="s">
        <v>3</v>
      </c>
      <c r="BK402" s="3" t="s">
        <v>3</v>
      </c>
      <c r="BL402" s="3"/>
      <c r="BM402" s="3"/>
      <c r="BN402" s="28"/>
      <c r="BO402" s="3"/>
      <c r="BP402" s="3" t="s">
        <v>3</v>
      </c>
      <c r="BQ402" s="3"/>
      <c r="BR402" s="3"/>
      <c r="BS402" s="3"/>
      <c r="BT402" s="3"/>
      <c r="BU402" s="3" t="s">
        <v>3</v>
      </c>
      <c r="BV402" s="3" t="s">
        <v>3</v>
      </c>
      <c r="BW402" s="3" t="s">
        <v>3</v>
      </c>
      <c r="BX402" s="3"/>
      <c r="BY402" s="3"/>
      <c r="BZ402" s="3"/>
      <c r="CA402" s="3"/>
      <c r="CB402" s="3"/>
    </row>
    <row r="403" spans="1:80" ht="30" customHeight="1">
      <c r="B403" s="11">
        <f t="shared" si="16"/>
        <v>398</v>
      </c>
      <c r="C403" s="38" t="s">
        <v>904</v>
      </c>
      <c r="D403" s="38" t="s">
        <v>958</v>
      </c>
      <c r="E403" s="35" t="s">
        <v>968</v>
      </c>
      <c r="F403" s="14">
        <f t="shared" si="17"/>
        <v>2</v>
      </c>
      <c r="G403" s="15" t="s">
        <v>499</v>
      </c>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28"/>
      <c r="AY403" s="3"/>
      <c r="AZ403" s="3"/>
      <c r="BA403" s="3"/>
      <c r="BB403" s="3"/>
      <c r="BC403" s="3"/>
      <c r="BD403" s="3"/>
      <c r="BE403" s="3"/>
      <c r="BF403" s="3"/>
      <c r="BG403" s="3"/>
      <c r="BH403" s="3"/>
      <c r="BI403" s="3"/>
      <c r="BJ403" s="3"/>
      <c r="BK403" s="3"/>
      <c r="BL403" s="3"/>
      <c r="BM403" s="3"/>
      <c r="BN403" s="28"/>
      <c r="BO403" s="3"/>
      <c r="BP403" s="3"/>
      <c r="BQ403" s="3"/>
      <c r="BR403" s="3"/>
      <c r="BS403" s="3"/>
      <c r="BT403" s="3"/>
      <c r="BU403" s="3" t="s">
        <v>3</v>
      </c>
      <c r="BV403" s="3"/>
      <c r="BW403" s="3"/>
      <c r="BX403" s="3"/>
      <c r="BY403" s="3"/>
      <c r="BZ403" s="3"/>
      <c r="CA403" s="13" t="s">
        <v>3</v>
      </c>
      <c r="CB403" s="3"/>
    </row>
    <row r="404" spans="1:80" ht="30" customHeight="1">
      <c r="A404" s="1" t="s">
        <v>928</v>
      </c>
      <c r="B404" s="11">
        <f t="shared" si="16"/>
        <v>399</v>
      </c>
      <c r="C404" s="38" t="s">
        <v>904</v>
      </c>
      <c r="D404" s="38" t="s">
        <v>958</v>
      </c>
      <c r="E404" s="35" t="s">
        <v>969</v>
      </c>
      <c r="F404" s="14">
        <f t="shared" si="17"/>
        <v>16</v>
      </c>
      <c r="G404" s="15" t="s">
        <v>2</v>
      </c>
      <c r="H404" s="3"/>
      <c r="I404" s="3"/>
      <c r="J404" s="3"/>
      <c r="K404" s="3"/>
      <c r="L404" s="3"/>
      <c r="M404" s="3"/>
      <c r="N404" s="3"/>
      <c r="O404" s="3"/>
      <c r="P404" s="3" t="s">
        <v>3</v>
      </c>
      <c r="Q404" s="3"/>
      <c r="R404" s="3" t="s">
        <v>3</v>
      </c>
      <c r="S404" s="3"/>
      <c r="T404" s="3"/>
      <c r="U404" s="3"/>
      <c r="V404" s="3"/>
      <c r="W404" s="3"/>
      <c r="X404" s="3"/>
      <c r="Y404" s="3"/>
      <c r="Z404" s="3" t="s">
        <v>3</v>
      </c>
      <c r="AA404" s="3"/>
      <c r="AB404" s="3"/>
      <c r="AC404" s="3"/>
      <c r="AD404" s="3"/>
      <c r="AE404" s="3"/>
      <c r="AF404" s="3"/>
      <c r="AG404" s="3"/>
      <c r="AH404" s="3"/>
      <c r="AI404" s="3"/>
      <c r="AJ404" s="3"/>
      <c r="AK404" s="3"/>
      <c r="AL404" s="3"/>
      <c r="AM404" s="3"/>
      <c r="AN404" s="3" t="s">
        <v>3</v>
      </c>
      <c r="AO404" s="3"/>
      <c r="AP404" s="3"/>
      <c r="AQ404" s="3"/>
      <c r="AR404" s="3"/>
      <c r="AS404" s="3"/>
      <c r="AT404" s="3"/>
      <c r="AU404" s="3" t="s">
        <v>3</v>
      </c>
      <c r="AV404" s="3"/>
      <c r="AW404" s="3"/>
      <c r="AX404" s="28"/>
      <c r="AY404" s="3"/>
      <c r="AZ404" s="3"/>
      <c r="BA404" s="3"/>
      <c r="BB404" s="3"/>
      <c r="BC404" s="3"/>
      <c r="BD404" s="3"/>
      <c r="BE404" s="3" t="s">
        <v>3</v>
      </c>
      <c r="BF404" s="3" t="s">
        <v>3</v>
      </c>
      <c r="BG404" s="3"/>
      <c r="BH404" s="3"/>
      <c r="BI404" s="3"/>
      <c r="BJ404" s="3" t="s">
        <v>3</v>
      </c>
      <c r="BK404" s="3" t="s">
        <v>3</v>
      </c>
      <c r="BL404" s="3"/>
      <c r="BM404" s="3"/>
      <c r="BN404" s="28"/>
      <c r="BO404" s="3"/>
      <c r="BP404" s="3" t="s">
        <v>3</v>
      </c>
      <c r="BQ404" s="3" t="s">
        <v>3</v>
      </c>
      <c r="BR404" s="3"/>
      <c r="BS404" s="3" t="s">
        <v>3</v>
      </c>
      <c r="BT404" s="3"/>
      <c r="BU404" s="3" t="s">
        <v>3</v>
      </c>
      <c r="BV404" s="3" t="s">
        <v>3</v>
      </c>
      <c r="BW404" s="3" t="s">
        <v>3</v>
      </c>
      <c r="BX404" s="3" t="s">
        <v>3</v>
      </c>
      <c r="BY404" s="3"/>
      <c r="BZ404" s="3"/>
      <c r="CA404" s="3"/>
      <c r="CB404" s="3"/>
    </row>
    <row r="405" spans="1:80" ht="30" customHeight="1">
      <c r="B405" s="11">
        <f t="shared" si="16"/>
        <v>400</v>
      </c>
      <c r="C405" s="38" t="s">
        <v>904</v>
      </c>
      <c r="D405" s="38" t="s">
        <v>958</v>
      </c>
      <c r="E405" s="35" t="s">
        <v>970</v>
      </c>
      <c r="F405" s="14">
        <f t="shared" si="17"/>
        <v>18</v>
      </c>
      <c r="G405" s="15" t="s">
        <v>2</v>
      </c>
      <c r="H405" s="3"/>
      <c r="I405" s="3"/>
      <c r="J405" s="3"/>
      <c r="K405" s="3"/>
      <c r="L405" s="3"/>
      <c r="M405" s="3"/>
      <c r="N405" s="3"/>
      <c r="O405" s="3"/>
      <c r="P405" s="3" t="s">
        <v>3</v>
      </c>
      <c r="Q405" s="3" t="s">
        <v>3</v>
      </c>
      <c r="R405" s="3" t="s">
        <v>3</v>
      </c>
      <c r="S405" s="3"/>
      <c r="T405" s="3"/>
      <c r="U405" s="3"/>
      <c r="V405" s="3"/>
      <c r="W405" s="3"/>
      <c r="X405" s="3"/>
      <c r="Y405" s="3"/>
      <c r="Z405" s="3" t="s">
        <v>3</v>
      </c>
      <c r="AA405" s="3"/>
      <c r="AB405" s="3"/>
      <c r="AC405" s="3"/>
      <c r="AD405" s="3"/>
      <c r="AE405" s="3"/>
      <c r="AF405" s="3"/>
      <c r="AG405" s="3"/>
      <c r="AH405" s="3"/>
      <c r="AI405" s="3"/>
      <c r="AJ405" s="3"/>
      <c r="AK405" s="3"/>
      <c r="AL405" s="3"/>
      <c r="AM405" s="3" t="s">
        <v>3</v>
      </c>
      <c r="AN405" s="3" t="s">
        <v>3</v>
      </c>
      <c r="AO405" s="3"/>
      <c r="AP405" s="3"/>
      <c r="AQ405" s="3"/>
      <c r="AR405" s="3"/>
      <c r="AS405" s="3"/>
      <c r="AT405" s="3"/>
      <c r="AU405" s="3" t="s">
        <v>3</v>
      </c>
      <c r="AV405" s="3"/>
      <c r="AW405" s="3"/>
      <c r="AX405" s="28"/>
      <c r="AY405" s="3"/>
      <c r="AZ405" s="3"/>
      <c r="BA405" s="3"/>
      <c r="BB405" s="3"/>
      <c r="BC405" s="3"/>
      <c r="BD405" s="3"/>
      <c r="BE405" s="3" t="s">
        <v>3</v>
      </c>
      <c r="BF405" s="3" t="s">
        <v>3</v>
      </c>
      <c r="BG405" s="3"/>
      <c r="BH405" s="3"/>
      <c r="BI405" s="3"/>
      <c r="BJ405" s="3" t="s">
        <v>3</v>
      </c>
      <c r="BK405" s="3" t="s">
        <v>3</v>
      </c>
      <c r="BL405" s="3"/>
      <c r="BM405" s="3"/>
      <c r="BN405" s="28"/>
      <c r="BO405" s="3"/>
      <c r="BP405" s="3" t="s">
        <v>3</v>
      </c>
      <c r="BQ405" s="3" t="s">
        <v>3</v>
      </c>
      <c r="BR405" s="3"/>
      <c r="BS405" s="3" t="s">
        <v>3</v>
      </c>
      <c r="BT405" s="3"/>
      <c r="BU405" s="3" t="s">
        <v>3</v>
      </c>
      <c r="BV405" s="3" t="s">
        <v>3</v>
      </c>
      <c r="BW405" s="3" t="s">
        <v>3</v>
      </c>
      <c r="BX405" s="3" t="s">
        <v>3</v>
      </c>
      <c r="BY405" s="3"/>
      <c r="BZ405" s="3"/>
      <c r="CA405" s="3"/>
      <c r="CB405" s="3"/>
    </row>
    <row r="406" spans="1:80" ht="30" customHeight="1">
      <c r="B406" s="11">
        <f t="shared" si="16"/>
        <v>401</v>
      </c>
      <c r="C406" s="38" t="s">
        <v>904</v>
      </c>
      <c r="D406" s="38" t="s">
        <v>958</v>
      </c>
      <c r="E406" s="35" t="s">
        <v>971</v>
      </c>
      <c r="F406" s="14">
        <f t="shared" si="17"/>
        <v>17</v>
      </c>
      <c r="G406" s="15" t="s">
        <v>2</v>
      </c>
      <c r="H406" s="3"/>
      <c r="I406" s="3"/>
      <c r="J406" s="3"/>
      <c r="K406" s="3"/>
      <c r="L406" s="3"/>
      <c r="M406" s="3"/>
      <c r="N406" s="3"/>
      <c r="O406" s="3"/>
      <c r="P406" s="3"/>
      <c r="Q406" s="3"/>
      <c r="R406" s="3"/>
      <c r="S406" s="3" t="s">
        <v>3</v>
      </c>
      <c r="T406" s="3" t="s">
        <v>3</v>
      </c>
      <c r="U406" s="3"/>
      <c r="V406" s="3"/>
      <c r="W406" s="3"/>
      <c r="X406" s="3"/>
      <c r="Y406" s="3"/>
      <c r="Z406" s="3"/>
      <c r="AA406" s="3"/>
      <c r="AB406" s="3"/>
      <c r="AC406" s="3"/>
      <c r="AD406" s="3"/>
      <c r="AE406" s="3"/>
      <c r="AF406" s="3"/>
      <c r="AG406" s="3" t="s">
        <v>3</v>
      </c>
      <c r="AH406" s="3"/>
      <c r="AI406" s="3"/>
      <c r="AJ406" s="3"/>
      <c r="AK406" s="3"/>
      <c r="AL406" s="3"/>
      <c r="AM406" s="3" t="s">
        <v>3</v>
      </c>
      <c r="AN406" s="3" t="s">
        <v>3</v>
      </c>
      <c r="AO406" s="3"/>
      <c r="AP406" s="3"/>
      <c r="AQ406" s="3"/>
      <c r="AR406" s="3"/>
      <c r="AS406" s="3"/>
      <c r="AT406" s="3"/>
      <c r="AU406" s="3" t="s">
        <v>3</v>
      </c>
      <c r="AV406" s="3"/>
      <c r="AW406" s="3"/>
      <c r="AX406" s="28"/>
      <c r="AY406" s="3"/>
      <c r="AZ406" s="3"/>
      <c r="BA406" s="3"/>
      <c r="BB406" s="3"/>
      <c r="BC406" s="3"/>
      <c r="BD406" s="3"/>
      <c r="BE406" s="3" t="s">
        <v>3</v>
      </c>
      <c r="BF406" s="3" t="s">
        <v>3</v>
      </c>
      <c r="BG406" s="3"/>
      <c r="BH406" s="3"/>
      <c r="BI406" s="3"/>
      <c r="BJ406" s="3" t="s">
        <v>3</v>
      </c>
      <c r="BK406" s="3" t="s">
        <v>3</v>
      </c>
      <c r="BL406" s="3"/>
      <c r="BM406" s="3"/>
      <c r="BN406" s="28"/>
      <c r="BO406" s="3"/>
      <c r="BP406" s="3" t="s">
        <v>3</v>
      </c>
      <c r="BQ406" s="3" t="s">
        <v>3</v>
      </c>
      <c r="BR406" s="3"/>
      <c r="BS406" s="3" t="s">
        <v>3</v>
      </c>
      <c r="BT406" s="3"/>
      <c r="BU406" s="3" t="s">
        <v>3</v>
      </c>
      <c r="BV406" s="3" t="s">
        <v>3</v>
      </c>
      <c r="BW406" s="3" t="s">
        <v>3</v>
      </c>
      <c r="BX406" s="3" t="s">
        <v>3</v>
      </c>
      <c r="BY406" s="3"/>
      <c r="BZ406" s="3"/>
      <c r="CA406" s="3"/>
      <c r="CB406" s="3"/>
    </row>
    <row r="407" spans="1:80" ht="30" customHeight="1">
      <c r="B407" s="11">
        <f t="shared" si="16"/>
        <v>402</v>
      </c>
      <c r="C407" s="38" t="s">
        <v>904</v>
      </c>
      <c r="D407" s="38" t="s">
        <v>958</v>
      </c>
      <c r="E407" s="35" t="s">
        <v>972</v>
      </c>
      <c r="F407" s="14">
        <f t="shared" si="17"/>
        <v>5</v>
      </c>
      <c r="G407" s="15" t="s">
        <v>2</v>
      </c>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28"/>
      <c r="AY407" s="3"/>
      <c r="AZ407" s="3"/>
      <c r="BA407" s="3"/>
      <c r="BB407" s="3"/>
      <c r="BC407" s="3"/>
      <c r="BD407" s="3"/>
      <c r="BE407" s="3"/>
      <c r="BF407" s="3"/>
      <c r="BG407" s="3"/>
      <c r="BH407" s="3"/>
      <c r="BI407" s="3"/>
      <c r="BJ407" s="3"/>
      <c r="BK407" s="3"/>
      <c r="BL407" s="3"/>
      <c r="BM407" s="3"/>
      <c r="BN407" s="28"/>
      <c r="BO407" s="3"/>
      <c r="BP407" s="3"/>
      <c r="BQ407" s="3"/>
      <c r="BR407" s="3"/>
      <c r="BS407" s="3"/>
      <c r="BT407" s="3"/>
      <c r="BU407" s="3" t="s">
        <v>3</v>
      </c>
      <c r="BV407" s="3" t="s">
        <v>3</v>
      </c>
      <c r="BW407" s="3" t="s">
        <v>3</v>
      </c>
      <c r="BX407" s="3"/>
      <c r="BY407" s="3" t="s">
        <v>3</v>
      </c>
      <c r="BZ407" s="3" t="s">
        <v>3</v>
      </c>
      <c r="CA407" s="3"/>
      <c r="CB407" s="3"/>
    </row>
    <row r="408" spans="1:80" ht="30" customHeight="1">
      <c r="B408" s="11">
        <f t="shared" ref="B408:B443" si="18">ROW()-5</f>
        <v>403</v>
      </c>
      <c r="C408" s="38" t="s">
        <v>904</v>
      </c>
      <c r="D408" s="38" t="s">
        <v>958</v>
      </c>
      <c r="E408" s="35" t="s">
        <v>973</v>
      </c>
      <c r="F408" s="14">
        <f t="shared" si="17"/>
        <v>2</v>
      </c>
      <c r="G408" s="15" t="s">
        <v>499</v>
      </c>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28"/>
      <c r="AY408" s="3"/>
      <c r="AZ408" s="3"/>
      <c r="BA408" s="3"/>
      <c r="BB408" s="3"/>
      <c r="BC408" s="3"/>
      <c r="BD408" s="3"/>
      <c r="BE408" s="3"/>
      <c r="BF408" s="3"/>
      <c r="BG408" s="3"/>
      <c r="BH408" s="3"/>
      <c r="BI408" s="3"/>
      <c r="BJ408" s="3"/>
      <c r="BK408" s="3"/>
      <c r="BL408" s="3"/>
      <c r="BM408" s="3"/>
      <c r="BN408" s="28"/>
      <c r="BO408" s="3"/>
      <c r="BP408" s="3"/>
      <c r="BQ408" s="3"/>
      <c r="BR408" s="3"/>
      <c r="BS408" s="3"/>
      <c r="BT408" s="3"/>
      <c r="BU408" s="3" t="s">
        <v>3</v>
      </c>
      <c r="BV408" s="3"/>
      <c r="BW408" s="3"/>
      <c r="BX408" s="3"/>
      <c r="BY408" s="3"/>
      <c r="BZ408" s="3"/>
      <c r="CA408" s="13" t="s">
        <v>3</v>
      </c>
      <c r="CB408" s="3"/>
    </row>
    <row r="409" spans="1:80" ht="30" customHeight="1">
      <c r="B409" s="11">
        <f t="shared" si="18"/>
        <v>404</v>
      </c>
      <c r="C409" s="38" t="s">
        <v>904</v>
      </c>
      <c r="D409" s="38" t="s">
        <v>958</v>
      </c>
      <c r="E409" s="35" t="s">
        <v>974</v>
      </c>
      <c r="F409" s="14">
        <f t="shared" si="17"/>
        <v>2</v>
      </c>
      <c r="G409" s="15" t="s">
        <v>499</v>
      </c>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28"/>
      <c r="AY409" s="3"/>
      <c r="AZ409" s="3"/>
      <c r="BA409" s="3"/>
      <c r="BB409" s="3"/>
      <c r="BC409" s="3"/>
      <c r="BD409" s="3"/>
      <c r="BE409" s="3"/>
      <c r="BF409" s="3"/>
      <c r="BG409" s="3"/>
      <c r="BH409" s="3"/>
      <c r="BI409" s="3"/>
      <c r="BJ409" s="3"/>
      <c r="BK409" s="3"/>
      <c r="BL409" s="3"/>
      <c r="BM409" s="3"/>
      <c r="BN409" s="28"/>
      <c r="BO409" s="3"/>
      <c r="BP409" s="3"/>
      <c r="BQ409" s="3"/>
      <c r="BR409" s="3"/>
      <c r="BS409" s="3"/>
      <c r="BT409" s="3"/>
      <c r="BU409" s="3" t="s">
        <v>3</v>
      </c>
      <c r="BV409" s="3"/>
      <c r="BW409" s="3"/>
      <c r="BX409" s="3"/>
      <c r="BY409" s="3"/>
      <c r="BZ409" s="3"/>
      <c r="CA409" s="13" t="s">
        <v>3</v>
      </c>
      <c r="CB409" s="3"/>
    </row>
    <row r="410" spans="1:80" ht="30" customHeight="1">
      <c r="B410" s="11">
        <f t="shared" si="18"/>
        <v>405</v>
      </c>
      <c r="C410" s="35" t="s">
        <v>975</v>
      </c>
      <c r="D410" s="35" t="s">
        <v>976</v>
      </c>
      <c r="E410" s="35" t="s">
        <v>977</v>
      </c>
      <c r="F410" s="14">
        <f t="shared" si="17"/>
        <v>11</v>
      </c>
      <c r="G410" s="15" t="s">
        <v>2</v>
      </c>
      <c r="H410" s="3" t="s">
        <v>3</v>
      </c>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t="s">
        <v>3</v>
      </c>
      <c r="AO410" s="3"/>
      <c r="AP410" s="3"/>
      <c r="AQ410" s="3"/>
      <c r="AR410" s="3"/>
      <c r="AS410" s="3"/>
      <c r="AT410" s="3"/>
      <c r="AV410" s="3"/>
      <c r="AW410" s="3"/>
      <c r="AX410" s="28"/>
      <c r="AY410" s="3"/>
      <c r="AZ410" s="3"/>
      <c r="BA410" s="3"/>
      <c r="BB410" s="3"/>
      <c r="BC410" s="3"/>
      <c r="BD410" s="3"/>
      <c r="BE410" s="3"/>
      <c r="BF410" s="3"/>
      <c r="BG410" s="3"/>
      <c r="BH410" s="3"/>
      <c r="BI410" s="3"/>
      <c r="BJ410" s="3"/>
      <c r="BK410" s="3"/>
      <c r="BL410" s="3" t="s">
        <v>3</v>
      </c>
      <c r="BM410" s="3" t="s">
        <v>3</v>
      </c>
      <c r="BN410" s="28"/>
      <c r="BO410" s="3" t="s">
        <v>3</v>
      </c>
      <c r="BP410" s="3"/>
      <c r="BQ410" s="3"/>
      <c r="BR410" s="3"/>
      <c r="BS410" s="3" t="s">
        <v>3</v>
      </c>
      <c r="BT410" s="3"/>
      <c r="BU410" s="3" t="s">
        <v>3</v>
      </c>
      <c r="BV410" s="3" t="s">
        <v>3</v>
      </c>
      <c r="BW410" s="3" t="s">
        <v>3</v>
      </c>
      <c r="BX410" s="3" t="s">
        <v>3</v>
      </c>
      <c r="BY410" s="3"/>
      <c r="BZ410" s="3" t="s">
        <v>3</v>
      </c>
      <c r="CA410" s="3"/>
      <c r="CB410" s="3"/>
    </row>
    <row r="411" spans="1:80" ht="30" customHeight="1">
      <c r="B411" s="11">
        <f t="shared" si="18"/>
        <v>406</v>
      </c>
      <c r="C411" s="38" t="s">
        <v>975</v>
      </c>
      <c r="D411" s="38" t="s">
        <v>976</v>
      </c>
      <c r="E411" s="35" t="s">
        <v>978</v>
      </c>
      <c r="F411" s="14">
        <f t="shared" si="17"/>
        <v>13</v>
      </c>
      <c r="G411" s="15" t="s">
        <v>2</v>
      </c>
      <c r="H411" s="3" t="s">
        <v>3</v>
      </c>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t="s">
        <v>3</v>
      </c>
      <c r="AO411" s="3"/>
      <c r="AP411" s="3"/>
      <c r="AQ411" s="3"/>
      <c r="AR411" s="3"/>
      <c r="AS411" s="3"/>
      <c r="AT411" s="3"/>
      <c r="AU411" s="3"/>
      <c r="AV411" s="3"/>
      <c r="AW411" s="3"/>
      <c r="AX411" s="28"/>
      <c r="AY411" s="3"/>
      <c r="AZ411" s="3"/>
      <c r="BA411" s="3"/>
      <c r="BB411" s="3"/>
      <c r="BC411" s="3"/>
      <c r="BD411" s="3"/>
      <c r="BE411" s="3" t="s">
        <v>3</v>
      </c>
      <c r="BF411" s="3" t="s">
        <v>3</v>
      </c>
      <c r="BG411" s="3"/>
      <c r="BH411" s="3"/>
      <c r="BI411" s="3"/>
      <c r="BJ411" s="3"/>
      <c r="BK411" s="3"/>
      <c r="BL411" s="3" t="s">
        <v>3</v>
      </c>
      <c r="BM411" s="3" t="s">
        <v>3</v>
      </c>
      <c r="BN411" s="28"/>
      <c r="BO411" s="3" t="s">
        <v>3</v>
      </c>
      <c r="BP411" s="3"/>
      <c r="BQ411" s="3"/>
      <c r="BR411" s="3"/>
      <c r="BS411" s="3" t="s">
        <v>3</v>
      </c>
      <c r="BT411" s="3"/>
      <c r="BU411" s="3" t="s">
        <v>3</v>
      </c>
      <c r="BV411" s="3" t="s">
        <v>3</v>
      </c>
      <c r="BW411" s="3" t="s">
        <v>3</v>
      </c>
      <c r="BX411" s="3" t="s">
        <v>3</v>
      </c>
      <c r="BY411" s="3"/>
      <c r="BZ411" s="3" t="s">
        <v>3</v>
      </c>
      <c r="CA411" s="3"/>
      <c r="CB411" s="3"/>
    </row>
    <row r="412" spans="1:80" ht="30" customHeight="1">
      <c r="B412" s="11">
        <f t="shared" si="18"/>
        <v>407</v>
      </c>
      <c r="C412" s="38" t="s">
        <v>975</v>
      </c>
      <c r="D412" s="38" t="s">
        <v>976</v>
      </c>
      <c r="E412" s="35" t="s">
        <v>979</v>
      </c>
      <c r="F412" s="14">
        <f t="shared" si="17"/>
        <v>12</v>
      </c>
      <c r="G412" s="15" t="s">
        <v>2</v>
      </c>
      <c r="H412" s="3" t="s">
        <v>3</v>
      </c>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t="s">
        <v>3</v>
      </c>
      <c r="AO412" s="3"/>
      <c r="AP412" s="3"/>
      <c r="AQ412" s="3"/>
      <c r="AR412" s="3"/>
      <c r="AS412" s="3"/>
      <c r="AT412" s="3"/>
      <c r="AU412" s="3"/>
      <c r="AV412" s="3"/>
      <c r="AW412" s="3"/>
      <c r="AX412" s="28"/>
      <c r="AY412" s="3"/>
      <c r="AZ412" s="3"/>
      <c r="BA412" s="3"/>
      <c r="BB412" s="3"/>
      <c r="BC412" s="3"/>
      <c r="BD412" s="3"/>
      <c r="BE412" s="3"/>
      <c r="BF412" s="3"/>
      <c r="BG412" s="3"/>
      <c r="BH412" s="3"/>
      <c r="BI412" s="3"/>
      <c r="BJ412" s="3"/>
      <c r="BK412" s="3"/>
      <c r="BL412" s="3" t="s">
        <v>3</v>
      </c>
      <c r="BM412" s="3" t="s">
        <v>3</v>
      </c>
      <c r="BN412" s="28"/>
      <c r="BO412" s="3" t="s">
        <v>3</v>
      </c>
      <c r="BP412" s="3"/>
      <c r="BQ412" s="3"/>
      <c r="BR412" s="3"/>
      <c r="BS412" s="3" t="s">
        <v>3</v>
      </c>
      <c r="BT412" s="3"/>
      <c r="BU412" s="3" t="s">
        <v>3</v>
      </c>
      <c r="BV412" s="3" t="s">
        <v>3</v>
      </c>
      <c r="BW412" s="3" t="s">
        <v>3</v>
      </c>
      <c r="BX412" s="3" t="s">
        <v>3</v>
      </c>
      <c r="BY412" s="3" t="s">
        <v>3</v>
      </c>
      <c r="BZ412" s="3" t="s">
        <v>3</v>
      </c>
      <c r="CA412" s="3"/>
      <c r="CB412" s="3"/>
    </row>
    <row r="413" spans="1:80" ht="30" customHeight="1">
      <c r="B413" s="11">
        <f t="shared" si="18"/>
        <v>408</v>
      </c>
      <c r="C413" s="38" t="s">
        <v>975</v>
      </c>
      <c r="D413" s="38" t="s">
        <v>976</v>
      </c>
      <c r="E413" s="35" t="s">
        <v>980</v>
      </c>
      <c r="F413" s="14">
        <f t="shared" ref="F413:F443" si="19">COUNTA(H413:CA413)</f>
        <v>11</v>
      </c>
      <c r="G413" s="15" t="s">
        <v>2</v>
      </c>
      <c r="H413" s="3" t="s">
        <v>3</v>
      </c>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t="s">
        <v>3</v>
      </c>
      <c r="AO413" s="3"/>
      <c r="AP413" s="3"/>
      <c r="AQ413" s="3"/>
      <c r="AR413" s="3"/>
      <c r="AS413" s="3"/>
      <c r="AT413" s="3"/>
      <c r="AU413" s="3"/>
      <c r="AV413" s="3"/>
      <c r="AW413" s="3"/>
      <c r="AX413" s="28"/>
      <c r="AY413" s="3"/>
      <c r="AZ413" s="3"/>
      <c r="BA413" s="3"/>
      <c r="BB413" s="3"/>
      <c r="BC413" s="3"/>
      <c r="BD413" s="3"/>
      <c r="BE413" s="3"/>
      <c r="BF413" s="3"/>
      <c r="BG413" s="3"/>
      <c r="BH413" s="3"/>
      <c r="BI413" s="3"/>
      <c r="BJ413" s="3"/>
      <c r="BK413" s="3"/>
      <c r="BL413" s="3" t="s">
        <v>3</v>
      </c>
      <c r="BM413" s="3" t="s">
        <v>3</v>
      </c>
      <c r="BN413" s="28"/>
      <c r="BO413" s="3" t="s">
        <v>3</v>
      </c>
      <c r="BP413" s="3"/>
      <c r="BQ413" s="3"/>
      <c r="BR413" s="3"/>
      <c r="BS413" s="3" t="s">
        <v>3</v>
      </c>
      <c r="BT413" s="3"/>
      <c r="BU413" s="3" t="s">
        <v>3</v>
      </c>
      <c r="BV413" s="3" t="s">
        <v>3</v>
      </c>
      <c r="BW413" s="3" t="s">
        <v>3</v>
      </c>
      <c r="BX413" s="3" t="s">
        <v>3</v>
      </c>
      <c r="BY413" s="3"/>
      <c r="BZ413" s="3" t="s">
        <v>3</v>
      </c>
      <c r="CA413" s="3"/>
      <c r="CB413" s="3"/>
    </row>
    <row r="414" spans="1:80" ht="30" customHeight="1">
      <c r="B414" s="11">
        <f t="shared" si="18"/>
        <v>409</v>
      </c>
      <c r="C414" s="38" t="s">
        <v>975</v>
      </c>
      <c r="D414" s="35" t="s">
        <v>981</v>
      </c>
      <c r="E414" s="35" t="s">
        <v>982</v>
      </c>
      <c r="F414" s="14">
        <f t="shared" si="19"/>
        <v>2</v>
      </c>
      <c r="G414" s="15" t="s">
        <v>499</v>
      </c>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28"/>
      <c r="AY414" s="3"/>
      <c r="AZ414" s="3"/>
      <c r="BA414" s="3"/>
      <c r="BB414" s="3"/>
      <c r="BC414" s="3"/>
      <c r="BD414" s="3"/>
      <c r="BE414" s="3"/>
      <c r="BF414" s="3"/>
      <c r="BG414" s="3"/>
      <c r="BH414" s="3"/>
      <c r="BI414" s="3"/>
      <c r="BJ414" s="3"/>
      <c r="BK414" s="3"/>
      <c r="BL414" s="3"/>
      <c r="BM414" s="3"/>
      <c r="BN414" s="28"/>
      <c r="BO414" s="3"/>
      <c r="BP414" s="3"/>
      <c r="BQ414" s="3"/>
      <c r="BR414" s="3"/>
      <c r="BS414" s="3"/>
      <c r="BT414" s="3"/>
      <c r="BU414" s="3" t="s">
        <v>3</v>
      </c>
      <c r="BV414" s="3"/>
      <c r="BW414" s="3"/>
      <c r="BX414" s="3"/>
      <c r="BY414" s="3"/>
      <c r="BZ414" s="3"/>
      <c r="CA414" s="13" t="s">
        <v>3</v>
      </c>
      <c r="CB414" s="3"/>
    </row>
    <row r="415" spans="1:80" ht="30" customHeight="1">
      <c r="B415" s="11">
        <f t="shared" si="18"/>
        <v>410</v>
      </c>
      <c r="C415" s="38" t="s">
        <v>975</v>
      </c>
      <c r="D415" s="35" t="s">
        <v>983</v>
      </c>
      <c r="E415" s="35" t="s">
        <v>984</v>
      </c>
      <c r="F415" s="14">
        <f t="shared" si="19"/>
        <v>4</v>
      </c>
      <c r="G415" s="15" t="s">
        <v>2</v>
      </c>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t="s">
        <v>3</v>
      </c>
      <c r="AO415" s="3"/>
      <c r="AP415" s="3"/>
      <c r="AQ415" s="3"/>
      <c r="AR415" s="3"/>
      <c r="AS415" s="3"/>
      <c r="AT415" s="3"/>
      <c r="AU415" s="3"/>
      <c r="AV415" s="3"/>
      <c r="AW415" s="3"/>
      <c r="AX415" s="28"/>
      <c r="AY415" s="3"/>
      <c r="AZ415" s="3"/>
      <c r="BA415" s="3"/>
      <c r="BB415" s="3"/>
      <c r="BC415" s="3"/>
      <c r="BD415" s="3"/>
      <c r="BE415" s="3"/>
      <c r="BF415" s="3"/>
      <c r="BG415" s="3"/>
      <c r="BH415" s="3"/>
      <c r="BI415" s="3"/>
      <c r="BJ415" s="3"/>
      <c r="BK415" s="3"/>
      <c r="BL415" s="3"/>
      <c r="BM415" s="3"/>
      <c r="BN415" s="28"/>
      <c r="BO415" s="3"/>
      <c r="BP415" s="3"/>
      <c r="BQ415" s="3"/>
      <c r="BR415" s="3"/>
      <c r="BS415" s="3"/>
      <c r="BT415" s="3"/>
      <c r="BU415" s="3" t="s">
        <v>3</v>
      </c>
      <c r="BV415" s="3" t="s">
        <v>3</v>
      </c>
      <c r="BW415" s="3" t="s">
        <v>3</v>
      </c>
      <c r="BX415" s="3"/>
      <c r="BY415" s="3"/>
      <c r="BZ415" s="3"/>
      <c r="CA415" s="3"/>
      <c r="CB415" s="3"/>
    </row>
    <row r="416" spans="1:80" ht="30" customHeight="1">
      <c r="B416" s="11">
        <f t="shared" si="18"/>
        <v>411</v>
      </c>
      <c r="C416" s="38" t="s">
        <v>975</v>
      </c>
      <c r="D416" s="35" t="s">
        <v>985</v>
      </c>
      <c r="E416" s="35" t="s">
        <v>986</v>
      </c>
      <c r="F416" s="14">
        <f t="shared" si="19"/>
        <v>5</v>
      </c>
      <c r="G416" s="15" t="s">
        <v>2</v>
      </c>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t="s">
        <v>3</v>
      </c>
      <c r="AK416" s="3"/>
      <c r="AL416" s="3"/>
      <c r="AM416" s="3"/>
      <c r="AN416" s="3"/>
      <c r="AO416" s="3"/>
      <c r="AP416" s="3"/>
      <c r="AQ416" s="3"/>
      <c r="AR416" s="3"/>
      <c r="AS416" s="3"/>
      <c r="AT416" s="3"/>
      <c r="AU416" s="3" t="s">
        <v>3</v>
      </c>
      <c r="AV416" s="3"/>
      <c r="AW416" s="3"/>
      <c r="AX416" s="28"/>
      <c r="AY416" s="3"/>
      <c r="AZ416" s="3"/>
      <c r="BA416" s="3"/>
      <c r="BB416" s="3"/>
      <c r="BC416" s="3"/>
      <c r="BD416" s="3"/>
      <c r="BE416" s="3"/>
      <c r="BF416" s="3"/>
      <c r="BG416" s="3"/>
      <c r="BH416" s="3"/>
      <c r="BI416" s="3"/>
      <c r="BJ416" s="3"/>
      <c r="BK416" s="3"/>
      <c r="BL416" s="3"/>
      <c r="BM416" s="3"/>
      <c r="BN416" s="28"/>
      <c r="BO416" s="3"/>
      <c r="BP416" s="3"/>
      <c r="BQ416" s="3"/>
      <c r="BR416" s="3"/>
      <c r="BS416" s="3"/>
      <c r="BT416" s="3"/>
      <c r="BU416" s="3" t="s">
        <v>3</v>
      </c>
      <c r="BV416" s="3" t="s">
        <v>3</v>
      </c>
      <c r="BW416" s="3" t="s">
        <v>3</v>
      </c>
      <c r="BX416" s="3"/>
      <c r="BY416" s="3"/>
      <c r="BZ416" s="3"/>
      <c r="CA416" s="3"/>
      <c r="CB416" s="3"/>
    </row>
    <row r="417" spans="2:80" ht="30" customHeight="1">
      <c r="B417" s="11">
        <f t="shared" si="18"/>
        <v>412</v>
      </c>
      <c r="C417" s="38" t="s">
        <v>975</v>
      </c>
      <c r="D417" s="38" t="s">
        <v>985</v>
      </c>
      <c r="E417" s="35" t="s">
        <v>987</v>
      </c>
      <c r="F417" s="14">
        <f t="shared" si="19"/>
        <v>6</v>
      </c>
      <c r="G417" s="15" t="s">
        <v>2</v>
      </c>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t="s">
        <v>3</v>
      </c>
      <c r="AM417" s="3"/>
      <c r="AN417" s="3"/>
      <c r="AO417" s="3"/>
      <c r="AP417" s="3" t="s">
        <v>3</v>
      </c>
      <c r="AQ417" s="3"/>
      <c r="AR417" s="3"/>
      <c r="AS417" s="3"/>
      <c r="AT417" s="3"/>
      <c r="AU417" s="3" t="s">
        <v>3</v>
      </c>
      <c r="AV417" s="3"/>
      <c r="AW417" s="3"/>
      <c r="AX417" s="28"/>
      <c r="AY417" s="3"/>
      <c r="AZ417" s="3"/>
      <c r="BA417" s="3"/>
      <c r="BB417" s="3"/>
      <c r="BC417" s="3"/>
      <c r="BD417" s="3"/>
      <c r="BE417" s="3"/>
      <c r="BF417" s="3"/>
      <c r="BG417" s="3"/>
      <c r="BH417" s="3"/>
      <c r="BI417" s="3"/>
      <c r="BJ417" s="3"/>
      <c r="BK417" s="3"/>
      <c r="BL417" s="3"/>
      <c r="BM417" s="3"/>
      <c r="BN417" s="28"/>
      <c r="BO417" s="3"/>
      <c r="BP417" s="3"/>
      <c r="BQ417" s="3"/>
      <c r="BR417" s="3"/>
      <c r="BS417" s="3"/>
      <c r="BT417" s="3"/>
      <c r="BU417" s="3" t="s">
        <v>3</v>
      </c>
      <c r="BV417" s="3" t="s">
        <v>3</v>
      </c>
      <c r="BW417" s="3" t="s">
        <v>3</v>
      </c>
      <c r="BX417" s="3"/>
      <c r="BY417" s="3"/>
      <c r="BZ417" s="3"/>
      <c r="CA417" s="3"/>
      <c r="CB417" s="3"/>
    </row>
    <row r="418" spans="2:80" ht="30" customHeight="1">
      <c r="B418" s="11">
        <f t="shared" si="18"/>
        <v>413</v>
      </c>
      <c r="C418" s="38" t="s">
        <v>975</v>
      </c>
      <c r="D418" s="38" t="s">
        <v>985</v>
      </c>
      <c r="E418" s="35" t="s">
        <v>988</v>
      </c>
      <c r="F418" s="14">
        <f t="shared" si="19"/>
        <v>4</v>
      </c>
      <c r="G418" s="15" t="s">
        <v>2</v>
      </c>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t="s">
        <v>3</v>
      </c>
      <c r="AV418" s="3"/>
      <c r="AW418" s="3"/>
      <c r="AX418" s="28"/>
      <c r="AY418" s="3"/>
      <c r="AZ418" s="3"/>
      <c r="BA418" s="3"/>
      <c r="BB418" s="3"/>
      <c r="BC418" s="3"/>
      <c r="BD418" s="3"/>
      <c r="BE418" s="3"/>
      <c r="BF418" s="3"/>
      <c r="BG418" s="3"/>
      <c r="BH418" s="3"/>
      <c r="BI418" s="3"/>
      <c r="BJ418" s="3"/>
      <c r="BK418" s="3"/>
      <c r="BL418" s="3"/>
      <c r="BM418" s="3"/>
      <c r="BN418" s="28"/>
      <c r="BO418" s="3"/>
      <c r="BP418" s="3"/>
      <c r="BQ418" s="3"/>
      <c r="BR418" s="3"/>
      <c r="BS418" s="3"/>
      <c r="BT418" s="3"/>
      <c r="BU418" s="3" t="s">
        <v>3</v>
      </c>
      <c r="BV418" s="3" t="s">
        <v>3</v>
      </c>
      <c r="BW418" s="3" t="s">
        <v>3</v>
      </c>
      <c r="BX418" s="3"/>
      <c r="BY418" s="3"/>
      <c r="BZ418" s="3"/>
      <c r="CA418" s="3"/>
      <c r="CB418" s="3"/>
    </row>
    <row r="419" spans="2:80" ht="30" customHeight="1">
      <c r="B419" s="11">
        <f t="shared" si="18"/>
        <v>414</v>
      </c>
      <c r="C419" s="38" t="s">
        <v>975</v>
      </c>
      <c r="D419" s="38" t="s">
        <v>985</v>
      </c>
      <c r="E419" s="35" t="s">
        <v>989</v>
      </c>
      <c r="F419" s="14">
        <f t="shared" si="19"/>
        <v>5</v>
      </c>
      <c r="G419" s="15" t="s">
        <v>2</v>
      </c>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t="s">
        <v>3</v>
      </c>
      <c r="AO419" s="3"/>
      <c r="AP419" s="3"/>
      <c r="AQ419" s="3"/>
      <c r="AR419" s="3"/>
      <c r="AS419" s="3"/>
      <c r="AT419" s="3"/>
      <c r="AU419" s="3" t="s">
        <v>3</v>
      </c>
      <c r="AV419" s="3"/>
      <c r="AW419" s="3"/>
      <c r="AX419" s="28"/>
      <c r="AY419" s="3"/>
      <c r="AZ419" s="3"/>
      <c r="BA419" s="3"/>
      <c r="BB419" s="3"/>
      <c r="BC419" s="3"/>
      <c r="BD419" s="3"/>
      <c r="BE419" s="3"/>
      <c r="BF419" s="3"/>
      <c r="BG419" s="3"/>
      <c r="BH419" s="3"/>
      <c r="BI419" s="3"/>
      <c r="BJ419" s="3"/>
      <c r="BK419" s="3"/>
      <c r="BL419" s="3"/>
      <c r="BM419" s="3"/>
      <c r="BN419" s="28"/>
      <c r="BO419" s="3"/>
      <c r="BP419" s="3"/>
      <c r="BQ419" s="3"/>
      <c r="BR419" s="3"/>
      <c r="BS419" s="3"/>
      <c r="BT419" s="3"/>
      <c r="BU419" s="3" t="s">
        <v>3</v>
      </c>
      <c r="BV419" s="3" t="s">
        <v>3</v>
      </c>
      <c r="BW419" s="3" t="s">
        <v>3</v>
      </c>
      <c r="BX419" s="3"/>
      <c r="BY419" s="3"/>
      <c r="BZ419" s="3"/>
      <c r="CA419" s="3"/>
      <c r="CB419" s="3"/>
    </row>
    <row r="420" spans="2:80" ht="30" customHeight="1">
      <c r="B420" s="11">
        <f t="shared" si="18"/>
        <v>415</v>
      </c>
      <c r="C420" s="38" t="s">
        <v>975</v>
      </c>
      <c r="D420" s="38" t="s">
        <v>985</v>
      </c>
      <c r="E420" s="35" t="s">
        <v>990</v>
      </c>
      <c r="F420" s="14">
        <f t="shared" si="19"/>
        <v>5</v>
      </c>
      <c r="G420" s="15" t="s">
        <v>2</v>
      </c>
      <c r="H420" s="3"/>
      <c r="I420" s="3" t="s">
        <v>3</v>
      </c>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t="s">
        <v>3</v>
      </c>
      <c r="AV420" s="3"/>
      <c r="AW420" s="3"/>
      <c r="AX420" s="28"/>
      <c r="AY420" s="3"/>
      <c r="AZ420" s="3"/>
      <c r="BA420" s="3"/>
      <c r="BB420" s="3"/>
      <c r="BC420" s="3"/>
      <c r="BD420" s="3"/>
      <c r="BE420" s="3"/>
      <c r="BF420" s="3"/>
      <c r="BG420" s="3"/>
      <c r="BH420" s="3"/>
      <c r="BI420" s="3"/>
      <c r="BJ420" s="3"/>
      <c r="BK420" s="3"/>
      <c r="BL420" s="3"/>
      <c r="BM420" s="3"/>
      <c r="BN420" s="28"/>
      <c r="BO420" s="3"/>
      <c r="BP420" s="3"/>
      <c r="BQ420" s="3"/>
      <c r="BR420" s="3"/>
      <c r="BS420" s="3"/>
      <c r="BT420" s="3"/>
      <c r="BU420" s="3" t="s">
        <v>3</v>
      </c>
      <c r="BV420" s="3" t="s">
        <v>3</v>
      </c>
      <c r="BW420" s="3" t="s">
        <v>3</v>
      </c>
      <c r="BX420" s="3"/>
      <c r="BY420" s="3"/>
      <c r="BZ420" s="3"/>
      <c r="CA420" s="3"/>
      <c r="CB420" s="3"/>
    </row>
    <row r="421" spans="2:80" ht="30" customHeight="1">
      <c r="B421" s="11">
        <f t="shared" si="18"/>
        <v>416</v>
      </c>
      <c r="C421" s="38" t="s">
        <v>975</v>
      </c>
      <c r="D421" s="38" t="s">
        <v>985</v>
      </c>
      <c r="E421" s="35" t="s">
        <v>991</v>
      </c>
      <c r="F421" s="14">
        <f t="shared" si="19"/>
        <v>6</v>
      </c>
      <c r="G421" s="15" t="s">
        <v>2</v>
      </c>
      <c r="H421" s="3"/>
      <c r="I421" s="3"/>
      <c r="J421" s="3"/>
      <c r="K421" s="3"/>
      <c r="L421" s="3"/>
      <c r="M421" s="3"/>
      <c r="N421" s="3" t="s">
        <v>3</v>
      </c>
      <c r="O421" s="3"/>
      <c r="P421" s="3"/>
      <c r="Q421" s="3"/>
      <c r="R421" s="3"/>
      <c r="S421" s="3"/>
      <c r="T421" s="3"/>
      <c r="U421" s="3"/>
      <c r="V421" s="3"/>
      <c r="W421" s="3"/>
      <c r="X421" s="3"/>
      <c r="Y421" s="3"/>
      <c r="Z421" s="3"/>
      <c r="AA421" s="3"/>
      <c r="AB421" s="3"/>
      <c r="AC421" s="3"/>
      <c r="AD421" s="3"/>
      <c r="AE421" s="3"/>
      <c r="AF421" s="3"/>
      <c r="AG421" s="3"/>
      <c r="AH421" s="3"/>
      <c r="AI421" s="3"/>
      <c r="AJ421" s="3" t="s">
        <v>3</v>
      </c>
      <c r="AK421" s="3"/>
      <c r="AL421" s="3"/>
      <c r="AM421" s="3"/>
      <c r="AN421" s="3"/>
      <c r="AO421" s="3"/>
      <c r="AP421" s="3"/>
      <c r="AQ421" s="3"/>
      <c r="AR421" s="3"/>
      <c r="AS421" s="3"/>
      <c r="AT421" s="3"/>
      <c r="AU421" s="3" t="s">
        <v>3</v>
      </c>
      <c r="AV421" s="3"/>
      <c r="AW421" s="3"/>
      <c r="AX421" s="28"/>
      <c r="AY421" s="3"/>
      <c r="AZ421" s="3"/>
      <c r="BA421" s="3"/>
      <c r="BB421" s="3"/>
      <c r="BC421" s="3"/>
      <c r="BD421" s="3"/>
      <c r="BE421" s="3"/>
      <c r="BF421" s="3"/>
      <c r="BG421" s="3"/>
      <c r="BH421" s="3"/>
      <c r="BI421" s="3"/>
      <c r="BJ421" s="3"/>
      <c r="BK421" s="3"/>
      <c r="BL421" s="3"/>
      <c r="BM421" s="3"/>
      <c r="BN421" s="28"/>
      <c r="BO421" s="3"/>
      <c r="BP421" s="3"/>
      <c r="BQ421" s="3"/>
      <c r="BR421" s="3"/>
      <c r="BS421" s="3"/>
      <c r="BT421" s="3"/>
      <c r="BU421" s="3" t="s">
        <v>3</v>
      </c>
      <c r="BV421" s="3" t="s">
        <v>3</v>
      </c>
      <c r="BW421" s="3" t="s">
        <v>3</v>
      </c>
      <c r="BX421" s="3"/>
      <c r="BY421" s="3"/>
      <c r="BZ421" s="3"/>
      <c r="CA421" s="3"/>
      <c r="CB421" s="3"/>
    </row>
    <row r="422" spans="2:80" ht="30" customHeight="1">
      <c r="B422" s="11">
        <f t="shared" si="18"/>
        <v>417</v>
      </c>
      <c r="C422" s="38" t="s">
        <v>975</v>
      </c>
      <c r="D422" s="38" t="s">
        <v>985</v>
      </c>
      <c r="E422" s="35" t="s">
        <v>992</v>
      </c>
      <c r="F422" s="14">
        <f t="shared" si="19"/>
        <v>5</v>
      </c>
      <c r="G422" s="15" t="s">
        <v>2</v>
      </c>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t="s">
        <v>3</v>
      </c>
      <c r="AO422" s="3"/>
      <c r="AP422" s="3"/>
      <c r="AQ422" s="3"/>
      <c r="AR422" s="3"/>
      <c r="AS422" s="3"/>
      <c r="AT422" s="3"/>
      <c r="AU422" s="3" t="s">
        <v>3</v>
      </c>
      <c r="AV422" s="3"/>
      <c r="AW422" s="3"/>
      <c r="AX422" s="28"/>
      <c r="AY422" s="3"/>
      <c r="AZ422" s="3"/>
      <c r="BA422" s="3"/>
      <c r="BB422" s="3"/>
      <c r="BC422" s="3"/>
      <c r="BD422" s="3"/>
      <c r="BE422" s="3"/>
      <c r="BF422" s="3"/>
      <c r="BG422" s="3"/>
      <c r="BH422" s="3"/>
      <c r="BI422" s="3"/>
      <c r="BJ422" s="3"/>
      <c r="BK422" s="3"/>
      <c r="BL422" s="3"/>
      <c r="BM422" s="3"/>
      <c r="BN422" s="28"/>
      <c r="BO422" s="3"/>
      <c r="BP422" s="3"/>
      <c r="BQ422" s="3"/>
      <c r="BR422" s="3"/>
      <c r="BS422" s="3"/>
      <c r="BT422" s="3"/>
      <c r="BU422" s="3" t="s">
        <v>3</v>
      </c>
      <c r="BV422" s="3" t="s">
        <v>3</v>
      </c>
      <c r="BW422" s="3" t="s">
        <v>3</v>
      </c>
      <c r="BX422" s="3"/>
      <c r="BY422" s="3"/>
      <c r="BZ422" s="3"/>
      <c r="CA422" s="3"/>
      <c r="CB422" s="3"/>
    </row>
    <row r="423" spans="2:80" ht="30" customHeight="1">
      <c r="B423" s="11">
        <f t="shared" si="18"/>
        <v>418</v>
      </c>
      <c r="C423" s="38" t="s">
        <v>975</v>
      </c>
      <c r="D423" s="38" t="s">
        <v>985</v>
      </c>
      <c r="E423" s="35" t="s">
        <v>993</v>
      </c>
      <c r="F423" s="14">
        <f t="shared" si="19"/>
        <v>8</v>
      </c>
      <c r="G423" s="15" t="s">
        <v>2</v>
      </c>
      <c r="H423" s="3"/>
      <c r="I423" s="3"/>
      <c r="J423" s="3"/>
      <c r="K423" s="3"/>
      <c r="L423" s="3"/>
      <c r="M423" s="3"/>
      <c r="N423" s="3"/>
      <c r="O423" s="3"/>
      <c r="P423" s="3" t="s">
        <v>3</v>
      </c>
      <c r="Q423" s="3"/>
      <c r="R423" s="3" t="s">
        <v>3</v>
      </c>
      <c r="S423" s="3" t="s">
        <v>3</v>
      </c>
      <c r="T423" s="3" t="s">
        <v>3</v>
      </c>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t="s">
        <v>3</v>
      </c>
      <c r="AV423" s="3"/>
      <c r="AW423" s="3"/>
      <c r="AX423" s="28"/>
      <c r="AY423" s="3"/>
      <c r="AZ423" s="3"/>
      <c r="BA423" s="3"/>
      <c r="BB423" s="3"/>
      <c r="BC423" s="3"/>
      <c r="BD423" s="3"/>
      <c r="BE423" s="3"/>
      <c r="BF423" s="3"/>
      <c r="BG423" s="3"/>
      <c r="BH423" s="3"/>
      <c r="BI423" s="3"/>
      <c r="BJ423" s="3"/>
      <c r="BK423" s="3"/>
      <c r="BL423" s="3"/>
      <c r="BM423" s="3"/>
      <c r="BN423" s="28"/>
      <c r="BO423" s="3"/>
      <c r="BP423" s="3"/>
      <c r="BQ423" s="3"/>
      <c r="BR423" s="3"/>
      <c r="BS423" s="3"/>
      <c r="BT423" s="3"/>
      <c r="BU423" s="3" t="s">
        <v>3</v>
      </c>
      <c r="BV423" s="3" t="s">
        <v>3</v>
      </c>
      <c r="BW423" s="3" t="s">
        <v>3</v>
      </c>
      <c r="BX423" s="3"/>
      <c r="BY423" s="3"/>
      <c r="BZ423" s="3"/>
      <c r="CA423" s="3"/>
      <c r="CB423" s="3"/>
    </row>
    <row r="424" spans="2:80" ht="30" customHeight="1">
      <c r="B424" s="11">
        <f t="shared" si="18"/>
        <v>419</v>
      </c>
      <c r="C424" s="38" t="s">
        <v>975</v>
      </c>
      <c r="D424" s="38" t="s">
        <v>985</v>
      </c>
      <c r="E424" s="35" t="s">
        <v>994</v>
      </c>
      <c r="F424" s="14">
        <f t="shared" si="19"/>
        <v>7</v>
      </c>
      <c r="G424" s="15" t="s">
        <v>2</v>
      </c>
      <c r="H424" s="3"/>
      <c r="I424" s="3"/>
      <c r="J424" s="3"/>
      <c r="K424" s="3"/>
      <c r="L424" s="3"/>
      <c r="M424" s="3" t="s">
        <v>3</v>
      </c>
      <c r="N424" s="3"/>
      <c r="O424" s="3"/>
      <c r="P424" s="3" t="s">
        <v>3</v>
      </c>
      <c r="Q424" s="3"/>
      <c r="R424" s="3"/>
      <c r="S424" s="3"/>
      <c r="T424" s="3"/>
      <c r="U424" s="3"/>
      <c r="V424" s="3"/>
      <c r="W424" s="3"/>
      <c r="X424" s="3"/>
      <c r="Y424" s="3"/>
      <c r="Z424" s="3"/>
      <c r="AA424" s="3"/>
      <c r="AB424" s="3"/>
      <c r="AC424" s="3"/>
      <c r="AD424" s="3"/>
      <c r="AE424" s="3"/>
      <c r="AF424" s="3"/>
      <c r="AG424" s="3"/>
      <c r="AH424" s="3"/>
      <c r="AI424" s="3"/>
      <c r="AJ424" s="3"/>
      <c r="AK424" s="3"/>
      <c r="AL424" s="3"/>
      <c r="AM424" s="3"/>
      <c r="AN424" s="3" t="s">
        <v>3</v>
      </c>
      <c r="AO424" s="3"/>
      <c r="AP424" s="3"/>
      <c r="AQ424" s="3"/>
      <c r="AR424" s="3"/>
      <c r="AS424" s="3"/>
      <c r="AT424" s="3"/>
      <c r="AU424" s="3" t="s">
        <v>3</v>
      </c>
      <c r="AV424" s="3"/>
      <c r="AW424" s="3"/>
      <c r="AX424" s="28"/>
      <c r="AY424" s="3"/>
      <c r="AZ424" s="3"/>
      <c r="BA424" s="3"/>
      <c r="BB424" s="3"/>
      <c r="BC424" s="3"/>
      <c r="BD424" s="3"/>
      <c r="BE424" s="3"/>
      <c r="BF424" s="3"/>
      <c r="BG424" s="3"/>
      <c r="BH424" s="3"/>
      <c r="BI424" s="3"/>
      <c r="BJ424" s="3"/>
      <c r="BK424" s="3"/>
      <c r="BL424" s="3"/>
      <c r="BM424" s="3"/>
      <c r="BN424" s="28"/>
      <c r="BO424" s="3"/>
      <c r="BP424" s="3"/>
      <c r="BQ424" s="3"/>
      <c r="BR424" s="3"/>
      <c r="BS424" s="3"/>
      <c r="BT424" s="3"/>
      <c r="BU424" s="3" t="s">
        <v>3</v>
      </c>
      <c r="BV424" s="3" t="s">
        <v>3</v>
      </c>
      <c r="BW424" s="3" t="s">
        <v>3</v>
      </c>
      <c r="BX424" s="3"/>
      <c r="BY424" s="3"/>
      <c r="BZ424" s="3"/>
      <c r="CA424" s="3"/>
      <c r="CB424" s="3"/>
    </row>
    <row r="425" spans="2:80" ht="30" customHeight="1">
      <c r="B425" s="11">
        <f t="shared" si="18"/>
        <v>420</v>
      </c>
      <c r="C425" s="38" t="s">
        <v>975</v>
      </c>
      <c r="D425" s="38" t="s">
        <v>985</v>
      </c>
      <c r="E425" s="35" t="s">
        <v>995</v>
      </c>
      <c r="F425" s="14">
        <f t="shared" si="19"/>
        <v>7</v>
      </c>
      <c r="G425" s="15" t="s">
        <v>2</v>
      </c>
      <c r="H425" s="3"/>
      <c r="I425" s="3"/>
      <c r="J425" s="3"/>
      <c r="K425" s="3"/>
      <c r="L425" s="3"/>
      <c r="M425" s="3"/>
      <c r="N425" s="3"/>
      <c r="O425" s="3"/>
      <c r="P425" s="3" t="s">
        <v>3</v>
      </c>
      <c r="Q425" s="3"/>
      <c r="R425" s="3"/>
      <c r="S425" s="3"/>
      <c r="T425" s="3"/>
      <c r="U425" s="3"/>
      <c r="V425" s="3"/>
      <c r="W425" s="3"/>
      <c r="X425" s="3"/>
      <c r="Y425" s="3"/>
      <c r="Z425" s="3" t="s">
        <v>3</v>
      </c>
      <c r="AA425" s="3"/>
      <c r="AB425" s="3"/>
      <c r="AC425" s="3" t="s">
        <v>3</v>
      </c>
      <c r="AD425" s="3"/>
      <c r="AE425" s="3"/>
      <c r="AF425" s="3"/>
      <c r="AG425" s="3"/>
      <c r="AH425" s="3"/>
      <c r="AI425" s="3"/>
      <c r="AJ425" s="3"/>
      <c r="AK425" s="3"/>
      <c r="AL425" s="3"/>
      <c r="AM425" s="3"/>
      <c r="AN425" s="3"/>
      <c r="AO425" s="3"/>
      <c r="AP425" s="3"/>
      <c r="AQ425" s="3"/>
      <c r="AR425" s="3"/>
      <c r="AS425" s="3"/>
      <c r="AT425" s="3"/>
      <c r="AU425" s="3" t="s">
        <v>3</v>
      </c>
      <c r="AV425" s="3"/>
      <c r="AW425" s="3"/>
      <c r="AX425" s="28"/>
      <c r="AY425" s="3"/>
      <c r="AZ425" s="3"/>
      <c r="BA425" s="3"/>
      <c r="BB425" s="3"/>
      <c r="BC425" s="3"/>
      <c r="BD425" s="3"/>
      <c r="BE425" s="3"/>
      <c r="BF425" s="3"/>
      <c r="BG425" s="3"/>
      <c r="BH425" s="3"/>
      <c r="BI425" s="3"/>
      <c r="BJ425" s="3"/>
      <c r="BK425" s="3"/>
      <c r="BL425" s="3"/>
      <c r="BM425" s="3"/>
      <c r="BN425" s="28"/>
      <c r="BO425" s="3"/>
      <c r="BP425" s="3"/>
      <c r="BQ425" s="3"/>
      <c r="BR425" s="3"/>
      <c r="BS425" s="3"/>
      <c r="BT425" s="3"/>
      <c r="BU425" s="3" t="s">
        <v>3</v>
      </c>
      <c r="BV425" s="3" t="s">
        <v>3</v>
      </c>
      <c r="BW425" s="3" t="s">
        <v>3</v>
      </c>
      <c r="BX425" s="3"/>
      <c r="BY425" s="3"/>
      <c r="BZ425" s="3"/>
      <c r="CA425" s="3"/>
      <c r="CB425" s="3"/>
    </row>
    <row r="426" spans="2:80" ht="30" customHeight="1">
      <c r="B426" s="11">
        <f t="shared" si="18"/>
        <v>421</v>
      </c>
      <c r="C426" s="38" t="s">
        <v>975</v>
      </c>
      <c r="D426" s="38" t="s">
        <v>985</v>
      </c>
      <c r="E426" s="35" t="s">
        <v>996</v>
      </c>
      <c r="F426" s="14">
        <f t="shared" si="19"/>
        <v>6</v>
      </c>
      <c r="G426" s="15" t="s">
        <v>2</v>
      </c>
      <c r="H426" s="3"/>
      <c r="I426" s="3"/>
      <c r="J426" s="3"/>
      <c r="K426" s="3"/>
      <c r="L426" s="3"/>
      <c r="M426" s="3"/>
      <c r="N426" s="3" t="s">
        <v>3</v>
      </c>
      <c r="O426" s="3"/>
      <c r="P426" s="3" t="s">
        <v>3</v>
      </c>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t="s">
        <v>3</v>
      </c>
      <c r="AV426" s="3"/>
      <c r="AW426" s="3"/>
      <c r="AX426" s="28"/>
      <c r="AY426" s="3"/>
      <c r="AZ426" s="3"/>
      <c r="BA426" s="3"/>
      <c r="BB426" s="3"/>
      <c r="BC426" s="3"/>
      <c r="BD426" s="3"/>
      <c r="BE426" s="3"/>
      <c r="BF426" s="3"/>
      <c r="BG426" s="3"/>
      <c r="BH426" s="3"/>
      <c r="BI426" s="3"/>
      <c r="BJ426" s="3"/>
      <c r="BK426" s="3"/>
      <c r="BL426" s="3"/>
      <c r="BM426" s="3"/>
      <c r="BN426" s="28"/>
      <c r="BO426" s="3"/>
      <c r="BP426" s="3"/>
      <c r="BQ426" s="3"/>
      <c r="BR426" s="3"/>
      <c r="BS426" s="3"/>
      <c r="BT426" s="3"/>
      <c r="BU426" s="3" t="s">
        <v>3</v>
      </c>
      <c r="BV426" s="3" t="s">
        <v>3</v>
      </c>
      <c r="BW426" s="3" t="s">
        <v>3</v>
      </c>
      <c r="BX426" s="3"/>
      <c r="BY426" s="3"/>
      <c r="BZ426" s="3"/>
      <c r="CA426" s="3"/>
      <c r="CB426" s="3"/>
    </row>
    <row r="427" spans="2:80" ht="30" customHeight="1">
      <c r="B427" s="11">
        <f t="shared" si="18"/>
        <v>422</v>
      </c>
      <c r="C427" s="38" t="s">
        <v>975</v>
      </c>
      <c r="D427" s="38" t="s">
        <v>985</v>
      </c>
      <c r="E427" s="35" t="s">
        <v>997</v>
      </c>
      <c r="F427" s="14">
        <f t="shared" si="19"/>
        <v>4</v>
      </c>
      <c r="G427" s="15" t="s">
        <v>2</v>
      </c>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t="s">
        <v>3</v>
      </c>
      <c r="AV427" s="3"/>
      <c r="AW427" s="3"/>
      <c r="AX427" s="28"/>
      <c r="AY427" s="3"/>
      <c r="AZ427" s="3"/>
      <c r="BA427" s="3"/>
      <c r="BB427" s="3"/>
      <c r="BC427" s="3"/>
      <c r="BD427" s="3"/>
      <c r="BE427" s="3"/>
      <c r="BF427" s="3"/>
      <c r="BG427" s="3"/>
      <c r="BH427" s="3"/>
      <c r="BI427" s="3"/>
      <c r="BJ427" s="3"/>
      <c r="BK427" s="3"/>
      <c r="BL427" s="3"/>
      <c r="BM427" s="3"/>
      <c r="BN427" s="28"/>
      <c r="BO427" s="3"/>
      <c r="BP427" s="3"/>
      <c r="BQ427" s="3"/>
      <c r="BR427" s="3"/>
      <c r="BS427" s="3"/>
      <c r="BT427" s="3"/>
      <c r="BU427" s="3" t="s">
        <v>3</v>
      </c>
      <c r="BV427" s="3" t="s">
        <v>3</v>
      </c>
      <c r="BW427" s="3" t="s">
        <v>3</v>
      </c>
      <c r="BX427" s="3"/>
      <c r="BY427" s="3"/>
      <c r="BZ427" s="3"/>
      <c r="CA427" s="3"/>
      <c r="CB427" s="3"/>
    </row>
    <row r="428" spans="2:80" ht="30" customHeight="1">
      <c r="B428" s="11">
        <f t="shared" si="18"/>
        <v>423</v>
      </c>
      <c r="C428" s="38" t="s">
        <v>975</v>
      </c>
      <c r="D428" s="38" t="s">
        <v>985</v>
      </c>
      <c r="E428" s="35" t="s">
        <v>998</v>
      </c>
      <c r="F428" s="14">
        <f t="shared" si="19"/>
        <v>5</v>
      </c>
      <c r="G428" s="15" t="s">
        <v>2</v>
      </c>
      <c r="H428" s="3"/>
      <c r="I428" s="3"/>
      <c r="J428" s="3"/>
      <c r="K428" s="3"/>
      <c r="L428" s="3"/>
      <c r="M428" s="3"/>
      <c r="N428" s="3" t="s">
        <v>3</v>
      </c>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t="s">
        <v>3</v>
      </c>
      <c r="AO428" s="3"/>
      <c r="AP428" s="3"/>
      <c r="AQ428" s="3"/>
      <c r="AR428" s="3"/>
      <c r="AS428" s="3"/>
      <c r="AT428" s="3"/>
      <c r="AU428" s="3"/>
      <c r="AV428" s="3"/>
      <c r="AW428" s="3"/>
      <c r="AX428" s="28"/>
      <c r="AY428" s="3"/>
      <c r="AZ428" s="3"/>
      <c r="BA428" s="3"/>
      <c r="BB428" s="3"/>
      <c r="BC428" s="3"/>
      <c r="BD428" s="3"/>
      <c r="BE428" s="3"/>
      <c r="BF428" s="3"/>
      <c r="BG428" s="3"/>
      <c r="BH428" s="3"/>
      <c r="BI428" s="3"/>
      <c r="BJ428" s="3"/>
      <c r="BK428" s="3"/>
      <c r="BL428" s="3"/>
      <c r="BM428" s="3"/>
      <c r="BN428" s="28"/>
      <c r="BO428" s="3"/>
      <c r="BP428" s="3"/>
      <c r="BQ428" s="3"/>
      <c r="BR428" s="3"/>
      <c r="BS428" s="3"/>
      <c r="BT428" s="3"/>
      <c r="BU428" s="3" t="s">
        <v>3</v>
      </c>
      <c r="BV428" s="3" t="s">
        <v>3</v>
      </c>
      <c r="BW428" s="3" t="s">
        <v>3</v>
      </c>
      <c r="BX428" s="3"/>
      <c r="BY428" s="3"/>
      <c r="BZ428" s="3"/>
      <c r="CA428" s="3"/>
      <c r="CB428" s="3"/>
    </row>
    <row r="429" spans="2:80" ht="30" customHeight="1">
      <c r="B429" s="11">
        <f t="shared" si="18"/>
        <v>424</v>
      </c>
      <c r="C429" s="38" t="s">
        <v>975</v>
      </c>
      <c r="D429" s="38" t="s">
        <v>985</v>
      </c>
      <c r="E429" s="35" t="s">
        <v>999</v>
      </c>
      <c r="F429" s="14">
        <f t="shared" si="19"/>
        <v>7</v>
      </c>
      <c r="G429" s="15" t="s">
        <v>2</v>
      </c>
      <c r="H429" s="3"/>
      <c r="I429" s="3"/>
      <c r="J429" s="3"/>
      <c r="K429" s="3"/>
      <c r="L429" s="3"/>
      <c r="M429" s="3"/>
      <c r="N429" s="3" t="s">
        <v>3</v>
      </c>
      <c r="O429" s="3"/>
      <c r="P429" s="3" t="s">
        <v>3</v>
      </c>
      <c r="Q429" s="3"/>
      <c r="R429" s="3"/>
      <c r="S429" s="3"/>
      <c r="T429" s="3"/>
      <c r="U429" s="3"/>
      <c r="V429" s="3"/>
      <c r="W429" s="3"/>
      <c r="X429" s="3"/>
      <c r="Y429" s="3"/>
      <c r="Z429" s="3"/>
      <c r="AA429" s="3"/>
      <c r="AB429" s="3"/>
      <c r="AC429" s="3"/>
      <c r="AD429" s="3" t="s">
        <v>3</v>
      </c>
      <c r="AE429" s="3"/>
      <c r="AF429" s="3"/>
      <c r="AG429" s="3"/>
      <c r="AH429" s="3"/>
      <c r="AI429" s="3"/>
      <c r="AJ429" s="3"/>
      <c r="AK429" s="3"/>
      <c r="AL429" s="3"/>
      <c r="AM429" s="3"/>
      <c r="AN429" s="3"/>
      <c r="AO429" s="3"/>
      <c r="AP429" s="3"/>
      <c r="AQ429" s="3"/>
      <c r="AR429" s="3"/>
      <c r="AS429" s="3"/>
      <c r="AT429" s="3"/>
      <c r="AU429" s="3" t="s">
        <v>3</v>
      </c>
      <c r="AV429" s="3"/>
      <c r="AW429" s="3"/>
      <c r="AX429" s="28"/>
      <c r="AY429" s="3"/>
      <c r="AZ429" s="3"/>
      <c r="BA429" s="3"/>
      <c r="BB429" s="3"/>
      <c r="BC429" s="3"/>
      <c r="BD429" s="3"/>
      <c r="BE429" s="3"/>
      <c r="BF429" s="3"/>
      <c r="BG429" s="3"/>
      <c r="BH429" s="3"/>
      <c r="BI429" s="3"/>
      <c r="BJ429" s="3"/>
      <c r="BK429" s="3"/>
      <c r="BL429" s="3"/>
      <c r="BM429" s="3"/>
      <c r="BN429" s="28"/>
      <c r="BO429" s="3"/>
      <c r="BP429" s="3"/>
      <c r="BQ429" s="3"/>
      <c r="BR429" s="3"/>
      <c r="BS429" s="3"/>
      <c r="BT429" s="3"/>
      <c r="BU429" s="3" t="s">
        <v>3</v>
      </c>
      <c r="BV429" s="3" t="s">
        <v>3</v>
      </c>
      <c r="BW429" s="3" t="s">
        <v>3</v>
      </c>
      <c r="BX429" s="3"/>
      <c r="BY429" s="3"/>
      <c r="BZ429" s="3"/>
      <c r="CA429" s="3"/>
      <c r="CB429" s="3"/>
    </row>
    <row r="430" spans="2:80" ht="30" customHeight="1">
      <c r="B430" s="11">
        <f t="shared" si="18"/>
        <v>425</v>
      </c>
      <c r="C430" s="38" t="s">
        <v>975</v>
      </c>
      <c r="D430" s="38" t="s">
        <v>985</v>
      </c>
      <c r="E430" s="35" t="s">
        <v>1000</v>
      </c>
      <c r="F430" s="14">
        <f t="shared" si="19"/>
        <v>4</v>
      </c>
      <c r="G430" s="15" t="s">
        <v>2</v>
      </c>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t="s">
        <v>3</v>
      </c>
      <c r="AU430" s="3"/>
      <c r="AV430" s="3"/>
      <c r="AW430" s="3"/>
      <c r="AX430" s="28"/>
      <c r="AY430" s="3"/>
      <c r="AZ430" s="3"/>
      <c r="BA430" s="3"/>
      <c r="BB430" s="3"/>
      <c r="BC430" s="3"/>
      <c r="BD430" s="3"/>
      <c r="BE430" s="3"/>
      <c r="BF430" s="3"/>
      <c r="BG430" s="3"/>
      <c r="BH430" s="3"/>
      <c r="BI430" s="3"/>
      <c r="BJ430" s="3"/>
      <c r="BK430" s="3"/>
      <c r="BL430" s="3"/>
      <c r="BM430" s="3"/>
      <c r="BN430" s="28"/>
      <c r="BO430" s="3"/>
      <c r="BP430" s="3"/>
      <c r="BQ430" s="3"/>
      <c r="BR430" s="3"/>
      <c r="BS430" s="3"/>
      <c r="BT430" s="3"/>
      <c r="BU430" s="3" t="s">
        <v>3</v>
      </c>
      <c r="BV430" s="3" t="s">
        <v>3</v>
      </c>
      <c r="BW430" s="3" t="s">
        <v>3</v>
      </c>
      <c r="BX430" s="3"/>
      <c r="BY430" s="3"/>
      <c r="BZ430" s="3"/>
      <c r="CA430" s="3"/>
      <c r="CB430" s="3"/>
    </row>
    <row r="431" spans="2:80" ht="30" customHeight="1">
      <c r="B431" s="11">
        <f t="shared" si="18"/>
        <v>426</v>
      </c>
      <c r="C431" s="38" t="s">
        <v>975</v>
      </c>
      <c r="D431" s="38" t="s">
        <v>985</v>
      </c>
      <c r="E431" s="35" t="s">
        <v>1001</v>
      </c>
      <c r="F431" s="14">
        <f t="shared" si="19"/>
        <v>5</v>
      </c>
      <c r="G431" s="15" t="s">
        <v>2</v>
      </c>
      <c r="H431" s="3"/>
      <c r="I431" s="3"/>
      <c r="J431" s="3"/>
      <c r="K431" s="3"/>
      <c r="L431" s="3"/>
      <c r="M431" s="3"/>
      <c r="N431" s="3"/>
      <c r="O431" s="3"/>
      <c r="P431" s="3" t="s">
        <v>3</v>
      </c>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t="s">
        <v>3</v>
      </c>
      <c r="AU431" s="3"/>
      <c r="AV431" s="3"/>
      <c r="AW431" s="3"/>
      <c r="AX431" s="28"/>
      <c r="AY431" s="3"/>
      <c r="AZ431" s="3"/>
      <c r="BA431" s="3"/>
      <c r="BB431" s="3"/>
      <c r="BC431" s="3"/>
      <c r="BD431" s="3"/>
      <c r="BE431" s="3"/>
      <c r="BF431" s="3"/>
      <c r="BG431" s="3"/>
      <c r="BH431" s="3"/>
      <c r="BI431" s="3"/>
      <c r="BJ431" s="3"/>
      <c r="BK431" s="3"/>
      <c r="BL431" s="3"/>
      <c r="BM431" s="3"/>
      <c r="BN431" s="28"/>
      <c r="BO431" s="3"/>
      <c r="BP431" s="3"/>
      <c r="BQ431" s="3"/>
      <c r="BR431" s="3"/>
      <c r="BS431" s="3"/>
      <c r="BT431" s="3"/>
      <c r="BU431" s="3" t="s">
        <v>3</v>
      </c>
      <c r="BV431" s="3" t="s">
        <v>3</v>
      </c>
      <c r="BW431" s="3" t="s">
        <v>3</v>
      </c>
      <c r="BX431" s="3"/>
      <c r="BY431" s="3"/>
      <c r="BZ431" s="3"/>
      <c r="CA431" s="3"/>
      <c r="CB431" s="3"/>
    </row>
    <row r="432" spans="2:80" ht="30" customHeight="1">
      <c r="B432" s="11">
        <f t="shared" si="18"/>
        <v>427</v>
      </c>
      <c r="C432" s="38" t="s">
        <v>975</v>
      </c>
      <c r="D432" s="38" t="s">
        <v>985</v>
      </c>
      <c r="E432" s="35" t="s">
        <v>1002</v>
      </c>
      <c r="F432" s="14">
        <f t="shared" si="19"/>
        <v>3</v>
      </c>
      <c r="G432" s="15" t="s">
        <v>2</v>
      </c>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28"/>
      <c r="AY432" s="3"/>
      <c r="AZ432" s="3"/>
      <c r="BA432" s="3"/>
      <c r="BB432" s="3"/>
      <c r="BC432" s="3"/>
      <c r="BD432" s="3"/>
      <c r="BE432" s="3"/>
      <c r="BF432" s="3"/>
      <c r="BG432" s="3"/>
      <c r="BH432" s="3"/>
      <c r="BI432" s="3"/>
      <c r="BJ432" s="3"/>
      <c r="BK432" s="3"/>
      <c r="BL432" s="3"/>
      <c r="BM432" s="3"/>
      <c r="BN432" s="28"/>
      <c r="BO432" s="3"/>
      <c r="BP432" s="3"/>
      <c r="BQ432" s="3"/>
      <c r="BR432" s="3"/>
      <c r="BS432" s="3"/>
      <c r="BT432" s="3"/>
      <c r="BU432" s="3" t="s">
        <v>3</v>
      </c>
      <c r="BV432" s="3" t="s">
        <v>3</v>
      </c>
      <c r="BW432" s="3" t="s">
        <v>3</v>
      </c>
      <c r="BX432" s="3"/>
      <c r="BY432" s="3"/>
      <c r="BZ432" s="3"/>
      <c r="CA432" s="3"/>
      <c r="CB432" s="3"/>
    </row>
    <row r="433" spans="2:80" ht="30" customHeight="1">
      <c r="B433" s="11">
        <f t="shared" si="18"/>
        <v>428</v>
      </c>
      <c r="C433" s="38" t="s">
        <v>975</v>
      </c>
      <c r="D433" s="38" t="s">
        <v>985</v>
      </c>
      <c r="E433" s="35" t="s">
        <v>1003</v>
      </c>
      <c r="F433" s="14">
        <f t="shared" si="19"/>
        <v>4</v>
      </c>
      <c r="G433" s="15" t="s">
        <v>2</v>
      </c>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t="s">
        <v>3</v>
      </c>
      <c r="AV433" s="3"/>
      <c r="AW433" s="3"/>
      <c r="AX433" s="28"/>
      <c r="AY433" s="3"/>
      <c r="AZ433" s="3"/>
      <c r="BA433" s="3"/>
      <c r="BB433" s="3"/>
      <c r="BC433" s="3"/>
      <c r="BD433" s="3"/>
      <c r="BE433" s="3"/>
      <c r="BF433" s="3"/>
      <c r="BG433" s="3"/>
      <c r="BH433" s="3"/>
      <c r="BI433" s="3"/>
      <c r="BJ433" s="3"/>
      <c r="BK433" s="3"/>
      <c r="BL433" s="3"/>
      <c r="BM433" s="3"/>
      <c r="BN433" s="28"/>
      <c r="BO433" s="3"/>
      <c r="BP433" s="3"/>
      <c r="BQ433" s="3"/>
      <c r="BR433" s="3"/>
      <c r="BS433" s="3"/>
      <c r="BT433" s="3"/>
      <c r="BU433" s="3" t="s">
        <v>3</v>
      </c>
      <c r="BV433" s="3" t="s">
        <v>3</v>
      </c>
      <c r="BW433" s="3" t="s">
        <v>3</v>
      </c>
      <c r="BX433" s="3"/>
      <c r="BY433" s="3"/>
      <c r="BZ433" s="3"/>
      <c r="CA433" s="3"/>
      <c r="CB433" s="3"/>
    </row>
    <row r="434" spans="2:80" ht="30" customHeight="1">
      <c r="B434" s="11">
        <f t="shared" si="18"/>
        <v>429</v>
      </c>
      <c r="C434" s="38" t="s">
        <v>975</v>
      </c>
      <c r="D434" s="38" t="s">
        <v>985</v>
      </c>
      <c r="E434" s="35" t="s">
        <v>1004</v>
      </c>
      <c r="F434" s="14">
        <f t="shared" si="19"/>
        <v>5</v>
      </c>
      <c r="G434" s="15" t="s">
        <v>2</v>
      </c>
      <c r="H434" s="3"/>
      <c r="I434" s="3"/>
      <c r="J434" s="3"/>
      <c r="K434" s="3"/>
      <c r="L434" s="3"/>
      <c r="M434" s="3"/>
      <c r="N434" s="3"/>
      <c r="O434" s="3"/>
      <c r="P434" s="3" t="s">
        <v>3</v>
      </c>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t="s">
        <v>3</v>
      </c>
      <c r="AV434" s="3"/>
      <c r="AW434" s="3"/>
      <c r="AX434" s="28"/>
      <c r="AY434" s="3"/>
      <c r="AZ434" s="3"/>
      <c r="BA434" s="3"/>
      <c r="BB434" s="3"/>
      <c r="BC434" s="3"/>
      <c r="BD434" s="3"/>
      <c r="BE434" s="3"/>
      <c r="BF434" s="3"/>
      <c r="BG434" s="3"/>
      <c r="BH434" s="3"/>
      <c r="BI434" s="3"/>
      <c r="BJ434" s="3"/>
      <c r="BK434" s="3"/>
      <c r="BL434" s="3"/>
      <c r="BM434" s="3"/>
      <c r="BN434" s="28"/>
      <c r="BO434" s="3"/>
      <c r="BP434" s="3"/>
      <c r="BQ434" s="3"/>
      <c r="BR434" s="3"/>
      <c r="BS434" s="3"/>
      <c r="BT434" s="3"/>
      <c r="BU434" s="3" t="s">
        <v>3</v>
      </c>
      <c r="BV434" s="3" t="s">
        <v>3</v>
      </c>
      <c r="BW434" s="3" t="s">
        <v>3</v>
      </c>
      <c r="BX434" s="3"/>
      <c r="BY434" s="3"/>
      <c r="BZ434" s="3"/>
      <c r="CA434" s="3"/>
      <c r="CB434" s="3"/>
    </row>
    <row r="435" spans="2:80" ht="30" customHeight="1">
      <c r="B435" s="11">
        <f t="shared" si="18"/>
        <v>430</v>
      </c>
      <c r="C435" s="38" t="s">
        <v>975</v>
      </c>
      <c r="D435" s="38" t="s">
        <v>985</v>
      </c>
      <c r="E435" s="35" t="s">
        <v>1005</v>
      </c>
      <c r="F435" s="14">
        <f t="shared" si="19"/>
        <v>5</v>
      </c>
      <c r="G435" s="15" t="s">
        <v>2</v>
      </c>
      <c r="H435" s="3"/>
      <c r="I435" s="3"/>
      <c r="J435" s="3"/>
      <c r="K435" s="3"/>
      <c r="L435" s="3"/>
      <c r="M435" s="3"/>
      <c r="N435" s="3"/>
      <c r="O435" s="3"/>
      <c r="P435" s="3" t="s">
        <v>3</v>
      </c>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t="s">
        <v>3</v>
      </c>
      <c r="AV435" s="3"/>
      <c r="AW435" s="3"/>
      <c r="AX435" s="28"/>
      <c r="AY435" s="3"/>
      <c r="AZ435" s="3"/>
      <c r="BA435" s="3"/>
      <c r="BB435" s="3"/>
      <c r="BC435" s="3"/>
      <c r="BD435" s="3"/>
      <c r="BE435" s="3"/>
      <c r="BF435" s="3"/>
      <c r="BG435" s="3"/>
      <c r="BH435" s="3"/>
      <c r="BI435" s="3"/>
      <c r="BJ435" s="3"/>
      <c r="BK435" s="3"/>
      <c r="BL435" s="3"/>
      <c r="BM435" s="3"/>
      <c r="BN435" s="28"/>
      <c r="BO435" s="3"/>
      <c r="BP435" s="3"/>
      <c r="BQ435" s="3"/>
      <c r="BR435" s="3"/>
      <c r="BS435" s="3"/>
      <c r="BT435" s="3"/>
      <c r="BU435" s="3" t="s">
        <v>3</v>
      </c>
      <c r="BV435" s="3" t="s">
        <v>3</v>
      </c>
      <c r="BW435" s="3" t="s">
        <v>3</v>
      </c>
      <c r="BX435" s="3"/>
      <c r="BY435" s="3"/>
      <c r="BZ435" s="3"/>
      <c r="CA435" s="3"/>
      <c r="CB435" s="3"/>
    </row>
    <row r="436" spans="2:80" ht="30" customHeight="1">
      <c r="B436" s="11">
        <f t="shared" si="18"/>
        <v>431</v>
      </c>
      <c r="C436" s="38" t="s">
        <v>975</v>
      </c>
      <c r="D436" s="38" t="s">
        <v>985</v>
      </c>
      <c r="E436" s="35" t="s">
        <v>1006</v>
      </c>
      <c r="F436" s="14">
        <f t="shared" si="19"/>
        <v>6</v>
      </c>
      <c r="G436" s="15" t="s">
        <v>2</v>
      </c>
      <c r="H436" s="3"/>
      <c r="I436" s="3" t="s">
        <v>3</v>
      </c>
      <c r="J436" s="3"/>
      <c r="K436" s="3"/>
      <c r="L436" s="3"/>
      <c r="M436" s="3"/>
      <c r="N436" s="3" t="s">
        <v>3</v>
      </c>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t="s">
        <v>3</v>
      </c>
      <c r="AV436" s="3"/>
      <c r="AW436" s="3"/>
      <c r="AX436" s="28"/>
      <c r="AY436" s="3"/>
      <c r="AZ436" s="3"/>
      <c r="BA436" s="3"/>
      <c r="BB436" s="3"/>
      <c r="BC436" s="3"/>
      <c r="BD436" s="3"/>
      <c r="BE436" s="3"/>
      <c r="BF436" s="3"/>
      <c r="BG436" s="3"/>
      <c r="BH436" s="3"/>
      <c r="BI436" s="3"/>
      <c r="BJ436" s="3"/>
      <c r="BK436" s="3"/>
      <c r="BL436" s="3"/>
      <c r="BM436" s="3"/>
      <c r="BN436" s="28"/>
      <c r="BO436" s="3"/>
      <c r="BP436" s="3"/>
      <c r="BQ436" s="3"/>
      <c r="BR436" s="3"/>
      <c r="BS436" s="3"/>
      <c r="BT436" s="3"/>
      <c r="BU436" s="3" t="s">
        <v>3</v>
      </c>
      <c r="BV436" s="3" t="s">
        <v>3</v>
      </c>
      <c r="BW436" s="3" t="s">
        <v>3</v>
      </c>
      <c r="BX436" s="3"/>
      <c r="BY436" s="3"/>
      <c r="BZ436" s="3"/>
      <c r="CA436" s="3"/>
      <c r="CB436" s="3"/>
    </row>
    <row r="437" spans="2:80" ht="30" customHeight="1">
      <c r="B437" s="11">
        <f t="shared" si="18"/>
        <v>432</v>
      </c>
      <c r="C437" s="38" t="s">
        <v>975</v>
      </c>
      <c r="D437" s="38" t="s">
        <v>985</v>
      </c>
      <c r="E437" s="35" t="s">
        <v>1007</v>
      </c>
      <c r="F437" s="14">
        <f t="shared" si="19"/>
        <v>7</v>
      </c>
      <c r="G437" s="15" t="s">
        <v>2</v>
      </c>
      <c r="H437" s="3"/>
      <c r="I437" s="3"/>
      <c r="J437" s="3"/>
      <c r="K437" s="3"/>
      <c r="L437" s="3"/>
      <c r="M437" s="3"/>
      <c r="N437" s="3" t="s">
        <v>3</v>
      </c>
      <c r="O437" s="3"/>
      <c r="P437" s="3"/>
      <c r="Q437" s="3"/>
      <c r="R437" s="3"/>
      <c r="S437" s="3"/>
      <c r="T437" s="3"/>
      <c r="U437" s="3"/>
      <c r="V437" s="3"/>
      <c r="W437" s="3"/>
      <c r="X437" s="3"/>
      <c r="Y437" s="3"/>
      <c r="Z437" s="3" t="s">
        <v>3</v>
      </c>
      <c r="AA437" s="3"/>
      <c r="AB437" s="3"/>
      <c r="AC437" s="3"/>
      <c r="AD437" s="3"/>
      <c r="AE437" s="3"/>
      <c r="AF437" s="3"/>
      <c r="AG437" s="3"/>
      <c r="AH437" s="3"/>
      <c r="AI437" s="3"/>
      <c r="AJ437" s="3"/>
      <c r="AK437" s="3"/>
      <c r="AL437" s="3"/>
      <c r="AM437" s="3"/>
      <c r="AN437" s="3" t="s">
        <v>3</v>
      </c>
      <c r="AO437" s="3"/>
      <c r="AP437" s="3"/>
      <c r="AQ437" s="3"/>
      <c r="AR437" s="3"/>
      <c r="AS437" s="3"/>
      <c r="AT437" s="3"/>
      <c r="AU437" s="3" t="s">
        <v>3</v>
      </c>
      <c r="AV437" s="3"/>
      <c r="AW437" s="3"/>
      <c r="AX437" s="28"/>
      <c r="AY437" s="3"/>
      <c r="AZ437" s="3"/>
      <c r="BA437" s="3"/>
      <c r="BB437" s="3"/>
      <c r="BC437" s="3"/>
      <c r="BD437" s="3"/>
      <c r="BE437" s="3"/>
      <c r="BF437" s="3"/>
      <c r="BG437" s="3"/>
      <c r="BH437" s="3"/>
      <c r="BI437" s="3"/>
      <c r="BJ437" s="3"/>
      <c r="BK437" s="3"/>
      <c r="BL437" s="3"/>
      <c r="BM437" s="3"/>
      <c r="BN437" s="28"/>
      <c r="BO437" s="3"/>
      <c r="BP437" s="3"/>
      <c r="BQ437" s="3"/>
      <c r="BR437" s="3"/>
      <c r="BS437" s="3"/>
      <c r="BT437" s="3"/>
      <c r="BU437" s="3" t="s">
        <v>3</v>
      </c>
      <c r="BV437" s="3" t="s">
        <v>3</v>
      </c>
      <c r="BW437" s="3" t="s">
        <v>3</v>
      </c>
      <c r="BX437" s="3"/>
      <c r="BY437" s="3"/>
      <c r="BZ437" s="3"/>
      <c r="CA437" s="3"/>
      <c r="CB437" s="3"/>
    </row>
    <row r="438" spans="2:80" ht="30" customHeight="1">
      <c r="B438" s="11">
        <f t="shared" si="18"/>
        <v>433</v>
      </c>
      <c r="C438" s="38" t="s">
        <v>975</v>
      </c>
      <c r="D438" s="38" t="s">
        <v>985</v>
      </c>
      <c r="E438" s="35" t="s">
        <v>1008</v>
      </c>
      <c r="F438" s="14">
        <f t="shared" si="19"/>
        <v>6</v>
      </c>
      <c r="G438" s="15" t="s">
        <v>2</v>
      </c>
      <c r="H438" s="3"/>
      <c r="I438" s="3"/>
      <c r="J438" s="3"/>
      <c r="K438" s="3"/>
      <c r="L438" s="3"/>
      <c r="M438" s="3"/>
      <c r="N438" s="3"/>
      <c r="O438" s="3"/>
      <c r="P438" s="3"/>
      <c r="Q438" s="3"/>
      <c r="R438" s="3"/>
      <c r="S438" s="3"/>
      <c r="T438" s="3"/>
      <c r="U438" s="3"/>
      <c r="V438" s="3"/>
      <c r="W438" s="3"/>
      <c r="X438" s="3"/>
      <c r="Y438" s="3"/>
      <c r="Z438" s="3" t="s">
        <v>3</v>
      </c>
      <c r="AA438" s="3"/>
      <c r="AB438" s="3"/>
      <c r="AC438" s="3"/>
      <c r="AD438" s="3"/>
      <c r="AE438" s="3"/>
      <c r="AF438" s="3"/>
      <c r="AG438" s="3"/>
      <c r="AH438" s="3"/>
      <c r="AI438" s="3"/>
      <c r="AJ438" s="3"/>
      <c r="AK438" s="3"/>
      <c r="AL438" s="3"/>
      <c r="AM438" s="3"/>
      <c r="AN438" s="3" t="s">
        <v>3</v>
      </c>
      <c r="AO438" s="3"/>
      <c r="AP438" s="3"/>
      <c r="AQ438" s="3"/>
      <c r="AR438" s="3"/>
      <c r="AS438" s="3"/>
      <c r="AT438" s="3"/>
      <c r="AU438" s="3" t="s">
        <v>3</v>
      </c>
      <c r="AV438" s="3"/>
      <c r="AW438" s="3"/>
      <c r="AX438" s="28"/>
      <c r="AY438" s="3"/>
      <c r="AZ438" s="3"/>
      <c r="BA438" s="3"/>
      <c r="BB438" s="3"/>
      <c r="BC438" s="3"/>
      <c r="BD438" s="3"/>
      <c r="BE438" s="3"/>
      <c r="BF438" s="3"/>
      <c r="BG438" s="3"/>
      <c r="BH438" s="3"/>
      <c r="BI438" s="3"/>
      <c r="BJ438" s="3"/>
      <c r="BK438" s="3"/>
      <c r="BL438" s="3"/>
      <c r="BM438" s="3"/>
      <c r="BN438" s="28"/>
      <c r="BO438" s="3"/>
      <c r="BP438" s="3"/>
      <c r="BQ438" s="3"/>
      <c r="BR438" s="3"/>
      <c r="BS438" s="3"/>
      <c r="BT438" s="3"/>
      <c r="BU438" s="3" t="s">
        <v>3</v>
      </c>
      <c r="BV438" s="3" t="s">
        <v>3</v>
      </c>
      <c r="BW438" s="3" t="s">
        <v>3</v>
      </c>
      <c r="BX438" s="3"/>
      <c r="BY438" s="3"/>
      <c r="BZ438" s="3"/>
      <c r="CA438" s="3"/>
      <c r="CB438" s="3"/>
    </row>
    <row r="439" spans="2:80" ht="30" customHeight="1">
      <c r="B439" s="11">
        <f t="shared" si="18"/>
        <v>434</v>
      </c>
      <c r="C439" s="38" t="s">
        <v>975</v>
      </c>
      <c r="D439" s="38" t="s">
        <v>985</v>
      </c>
      <c r="E439" s="35" t="s">
        <v>1009</v>
      </c>
      <c r="F439" s="14">
        <f t="shared" si="19"/>
        <v>5</v>
      </c>
      <c r="G439" s="15" t="s">
        <v>2</v>
      </c>
      <c r="H439" s="3"/>
      <c r="I439" s="3"/>
      <c r="J439" s="3"/>
      <c r="K439" s="3"/>
      <c r="L439" s="3"/>
      <c r="M439" s="3"/>
      <c r="N439" s="3"/>
      <c r="O439" s="3"/>
      <c r="P439" s="3"/>
      <c r="Q439" s="3"/>
      <c r="R439" s="3"/>
      <c r="S439" s="3"/>
      <c r="T439" s="3"/>
      <c r="U439" s="3"/>
      <c r="V439" s="3"/>
      <c r="W439" s="3"/>
      <c r="X439" s="3"/>
      <c r="Y439" s="3"/>
      <c r="Z439" s="3" t="s">
        <v>3</v>
      </c>
      <c r="AA439" s="3"/>
      <c r="AB439" s="3"/>
      <c r="AC439" s="3"/>
      <c r="AD439" s="3"/>
      <c r="AE439" s="3"/>
      <c r="AF439" s="3"/>
      <c r="AG439" s="3"/>
      <c r="AH439" s="3"/>
      <c r="AI439" s="3"/>
      <c r="AJ439" s="3"/>
      <c r="AK439" s="3"/>
      <c r="AL439" s="3"/>
      <c r="AM439" s="3"/>
      <c r="AN439" s="3"/>
      <c r="AO439" s="3"/>
      <c r="AP439" s="3"/>
      <c r="AQ439" s="3"/>
      <c r="AR439" s="3"/>
      <c r="AS439" s="3"/>
      <c r="AT439" s="3"/>
      <c r="AU439" s="3" t="s">
        <v>3</v>
      </c>
      <c r="AV439" s="3"/>
      <c r="AW439" s="3"/>
      <c r="AX439" s="28"/>
      <c r="AY439" s="3"/>
      <c r="AZ439" s="3"/>
      <c r="BA439" s="3"/>
      <c r="BB439" s="3"/>
      <c r="BC439" s="3"/>
      <c r="BD439" s="3"/>
      <c r="BE439" s="3"/>
      <c r="BF439" s="3"/>
      <c r="BG439" s="3"/>
      <c r="BH439" s="3"/>
      <c r="BI439" s="3"/>
      <c r="BJ439" s="3"/>
      <c r="BK439" s="3"/>
      <c r="BL439" s="3"/>
      <c r="BM439" s="3"/>
      <c r="BN439" s="28"/>
      <c r="BO439" s="3"/>
      <c r="BP439" s="3"/>
      <c r="BQ439" s="3"/>
      <c r="BR439" s="3"/>
      <c r="BS439" s="3"/>
      <c r="BT439" s="3"/>
      <c r="BU439" s="3" t="s">
        <v>3</v>
      </c>
      <c r="BV439" s="3" t="s">
        <v>3</v>
      </c>
      <c r="BW439" s="3" t="s">
        <v>3</v>
      </c>
      <c r="BX439" s="3"/>
      <c r="BY439" s="3"/>
      <c r="BZ439" s="3"/>
      <c r="CA439" s="3"/>
      <c r="CB439" s="3"/>
    </row>
    <row r="440" spans="2:80" ht="30" customHeight="1">
      <c r="B440" s="11">
        <f t="shared" si="18"/>
        <v>435</v>
      </c>
      <c r="C440" s="38" t="s">
        <v>975</v>
      </c>
      <c r="D440" s="38" t="s">
        <v>985</v>
      </c>
      <c r="E440" s="35" t="s">
        <v>1010</v>
      </c>
      <c r="F440" s="14">
        <f t="shared" si="19"/>
        <v>5</v>
      </c>
      <c r="G440" s="15" t="s">
        <v>2</v>
      </c>
      <c r="H440" s="3"/>
      <c r="I440" s="3"/>
      <c r="J440" s="3"/>
      <c r="K440" s="3"/>
      <c r="L440" s="3"/>
      <c r="M440" s="3"/>
      <c r="N440" s="3"/>
      <c r="O440" s="3"/>
      <c r="P440" s="3"/>
      <c r="Q440" s="3"/>
      <c r="R440" s="3"/>
      <c r="S440" s="3"/>
      <c r="T440" s="3"/>
      <c r="U440" s="3"/>
      <c r="V440" s="3"/>
      <c r="W440" s="3"/>
      <c r="X440" s="3"/>
      <c r="Y440" s="3"/>
      <c r="Z440" s="3" t="s">
        <v>3</v>
      </c>
      <c r="AA440" s="3"/>
      <c r="AB440" s="3"/>
      <c r="AC440" s="3"/>
      <c r="AD440" s="3"/>
      <c r="AE440" s="3"/>
      <c r="AF440" s="3"/>
      <c r="AG440" s="3"/>
      <c r="AH440" s="3"/>
      <c r="AI440" s="3"/>
      <c r="AJ440" s="3"/>
      <c r="AK440" s="3"/>
      <c r="AL440" s="3"/>
      <c r="AM440" s="3"/>
      <c r="AN440" s="3"/>
      <c r="AO440" s="3"/>
      <c r="AP440" s="3"/>
      <c r="AQ440" s="3"/>
      <c r="AR440" s="3"/>
      <c r="AS440" s="3"/>
      <c r="AT440" s="3"/>
      <c r="AU440" s="3" t="s">
        <v>3</v>
      </c>
      <c r="AV440" s="3"/>
      <c r="AW440" s="3"/>
      <c r="AX440" s="28"/>
      <c r="AY440" s="3"/>
      <c r="AZ440" s="3"/>
      <c r="BA440" s="3"/>
      <c r="BB440" s="3"/>
      <c r="BC440" s="3"/>
      <c r="BD440" s="3"/>
      <c r="BE440" s="3"/>
      <c r="BF440" s="3"/>
      <c r="BG440" s="3"/>
      <c r="BH440" s="3"/>
      <c r="BI440" s="3"/>
      <c r="BJ440" s="3"/>
      <c r="BK440" s="3"/>
      <c r="BL440" s="3"/>
      <c r="BM440" s="3"/>
      <c r="BN440" s="28"/>
      <c r="BO440" s="3"/>
      <c r="BP440" s="3"/>
      <c r="BQ440" s="3"/>
      <c r="BR440" s="3"/>
      <c r="BS440" s="3"/>
      <c r="BT440" s="3"/>
      <c r="BU440" s="3" t="s">
        <v>3</v>
      </c>
      <c r="BV440" s="3" t="s">
        <v>3</v>
      </c>
      <c r="BW440" s="3" t="s">
        <v>3</v>
      </c>
      <c r="BX440" s="3"/>
      <c r="BY440" s="3"/>
      <c r="BZ440" s="3"/>
      <c r="CA440" s="3"/>
      <c r="CB440" s="3"/>
    </row>
    <row r="441" spans="2:80" ht="30" customHeight="1">
      <c r="B441" s="11">
        <f t="shared" si="18"/>
        <v>436</v>
      </c>
      <c r="C441" s="38" t="s">
        <v>975</v>
      </c>
      <c r="D441" s="38" t="s">
        <v>985</v>
      </c>
      <c r="E441" s="35" t="s">
        <v>1011</v>
      </c>
      <c r="F441" s="14">
        <f t="shared" si="19"/>
        <v>7</v>
      </c>
      <c r="G441" s="15" t="s">
        <v>499</v>
      </c>
      <c r="H441" s="3"/>
      <c r="I441" s="3"/>
      <c r="J441" s="3"/>
      <c r="K441" s="3"/>
      <c r="L441" s="3"/>
      <c r="M441" s="3"/>
      <c r="N441" s="3"/>
      <c r="O441" s="3"/>
      <c r="P441" s="3"/>
      <c r="Q441" s="3"/>
      <c r="R441" s="3" t="s">
        <v>3</v>
      </c>
      <c r="S441" s="3"/>
      <c r="T441" s="3" t="s">
        <v>3</v>
      </c>
      <c r="U441" s="3"/>
      <c r="V441" s="3"/>
      <c r="W441" s="3"/>
      <c r="X441" s="3"/>
      <c r="Y441" s="3"/>
      <c r="Z441" s="3" t="s">
        <v>3</v>
      </c>
      <c r="AA441" s="3"/>
      <c r="AB441" s="3"/>
      <c r="AC441" s="3"/>
      <c r="AD441" s="3"/>
      <c r="AE441" s="3"/>
      <c r="AF441" s="3"/>
      <c r="AG441" s="3"/>
      <c r="AH441" s="3"/>
      <c r="AI441" s="3"/>
      <c r="AJ441" s="3"/>
      <c r="AK441" s="3"/>
      <c r="AL441" s="3"/>
      <c r="AM441" s="3" t="s">
        <v>3</v>
      </c>
      <c r="AN441" s="3"/>
      <c r="AO441" s="3"/>
      <c r="AP441" s="3"/>
      <c r="AQ441" s="3"/>
      <c r="AR441" s="3"/>
      <c r="AS441" s="3"/>
      <c r="AT441" s="3"/>
      <c r="AU441" s="3" t="s">
        <v>3</v>
      </c>
      <c r="AV441" s="3"/>
      <c r="AW441" s="3"/>
      <c r="AX441" s="28"/>
      <c r="AY441" s="3"/>
      <c r="AZ441" s="3"/>
      <c r="BA441" s="3"/>
      <c r="BB441" s="3"/>
      <c r="BC441" s="3"/>
      <c r="BD441" s="3"/>
      <c r="BE441" s="3"/>
      <c r="BF441" s="3"/>
      <c r="BG441" s="3"/>
      <c r="BH441" s="3"/>
      <c r="BI441" s="3"/>
      <c r="BJ441" s="3"/>
      <c r="BK441" s="3"/>
      <c r="BL441" s="3"/>
      <c r="BM441" s="3"/>
      <c r="BN441" s="28"/>
      <c r="BO441" s="3"/>
      <c r="BP441" s="3"/>
      <c r="BQ441" s="3"/>
      <c r="BR441" s="3"/>
      <c r="BS441" s="3"/>
      <c r="BT441" s="3"/>
      <c r="BU441" s="3" t="s">
        <v>3</v>
      </c>
      <c r="BV441" s="3"/>
      <c r="BW441" s="3"/>
      <c r="BX441" s="3"/>
      <c r="BY441" s="3"/>
      <c r="BZ441" s="3"/>
      <c r="CA441" s="13" t="s">
        <v>3</v>
      </c>
      <c r="CB441" s="3"/>
    </row>
    <row r="442" spans="2:80" ht="30" customHeight="1">
      <c r="B442" s="11">
        <f t="shared" si="18"/>
        <v>437</v>
      </c>
      <c r="C442" s="38" t="s">
        <v>975</v>
      </c>
      <c r="D442" s="35" t="s">
        <v>1012</v>
      </c>
      <c r="E442" s="35" t="s">
        <v>1013</v>
      </c>
      <c r="F442" s="14">
        <f t="shared" si="19"/>
        <v>2</v>
      </c>
      <c r="G442" s="15" t="s">
        <v>499</v>
      </c>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28"/>
      <c r="AY442" s="3"/>
      <c r="AZ442" s="3"/>
      <c r="BA442" s="3"/>
      <c r="BB442" s="3"/>
      <c r="BC442" s="3"/>
      <c r="BD442" s="3"/>
      <c r="BE442" s="3"/>
      <c r="BF442" s="3"/>
      <c r="BG442" s="3"/>
      <c r="BH442" s="3"/>
      <c r="BI442" s="3"/>
      <c r="BJ442" s="3"/>
      <c r="BK442" s="3"/>
      <c r="BL442" s="3"/>
      <c r="BM442" s="3"/>
      <c r="BN442" s="28"/>
      <c r="BO442" s="3"/>
      <c r="BP442" s="3"/>
      <c r="BQ442" s="3"/>
      <c r="BR442" s="3"/>
      <c r="BS442" s="3"/>
      <c r="BT442" s="3"/>
      <c r="BU442" s="3" t="s">
        <v>3</v>
      </c>
      <c r="BV442" s="3"/>
      <c r="BW442" s="3"/>
      <c r="BX442" s="3"/>
      <c r="BY442" s="3"/>
      <c r="BZ442" s="3"/>
      <c r="CA442" s="13" t="s">
        <v>3</v>
      </c>
      <c r="CB442" s="3"/>
    </row>
    <row r="443" spans="2:80" ht="30" customHeight="1">
      <c r="B443" s="11">
        <f t="shared" si="18"/>
        <v>438</v>
      </c>
      <c r="C443" s="38" t="s">
        <v>975</v>
      </c>
      <c r="D443" s="35" t="s">
        <v>1014</v>
      </c>
      <c r="E443" s="35" t="s">
        <v>1015</v>
      </c>
      <c r="F443" s="14">
        <f t="shared" si="19"/>
        <v>4</v>
      </c>
      <c r="G443" s="15" t="s">
        <v>2</v>
      </c>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28"/>
      <c r="AY443" s="3"/>
      <c r="AZ443" s="3"/>
      <c r="BA443" s="3"/>
      <c r="BB443" s="3"/>
      <c r="BC443" s="3"/>
      <c r="BD443" s="3"/>
      <c r="BE443" s="3"/>
      <c r="BF443" s="3"/>
      <c r="BG443" s="3"/>
      <c r="BH443" s="3"/>
      <c r="BI443" s="3"/>
      <c r="BJ443" s="3"/>
      <c r="BK443" s="3"/>
      <c r="BL443" s="3"/>
      <c r="BM443" s="3"/>
      <c r="BN443" s="28"/>
      <c r="BO443" s="3"/>
      <c r="BP443" s="3"/>
      <c r="BQ443" s="3"/>
      <c r="BR443" s="3"/>
      <c r="BS443" s="3"/>
      <c r="BT443" s="3"/>
      <c r="BU443" s="3" t="s">
        <v>3</v>
      </c>
      <c r="BV443" s="3" t="s">
        <v>3</v>
      </c>
      <c r="BW443" s="3" t="s">
        <v>3</v>
      </c>
      <c r="BX443" s="3"/>
      <c r="BY443" s="3" t="s">
        <v>3</v>
      </c>
      <c r="BZ443" s="3"/>
      <c r="CA443" s="3"/>
      <c r="CB443" s="3"/>
    </row>
  </sheetData>
  <autoFilter ref="A6:CB443" xr:uid="{00000000-0001-0000-0200-000000000000}">
    <filterColumn colId="4" showButton="0"/>
  </autoFilter>
  <mergeCells count="7">
    <mergeCell ref="G4:G6"/>
    <mergeCell ref="E2:F2"/>
    <mergeCell ref="C3:D3"/>
    <mergeCell ref="E3:F3"/>
    <mergeCell ref="B4:B6"/>
    <mergeCell ref="C4:C6"/>
    <mergeCell ref="E4:F6"/>
  </mergeCells>
  <phoneticPr fontId="3"/>
  <dataValidations count="2">
    <dataValidation type="list" allowBlank="1" showInputMessage="1" showErrorMessage="1" sqref="CA113:CB113 CA114:CA443 BM366:BZ366 BJ399:BZ409 CA93:CB94 BJ398 BL398:BZ398 BJ367:BZ397 BI113:BI409 AV354:BH354 CA7:CA92 AV410:BZ410 H355:AJ443 AK410:AQ443 AK355:AQ366 AR113:BH353 AR355:BH365 AR410:AT410 AR411:BZ443 AR366:BK366 AR354:AT354 AK367:BH409 BJ7:BZ365 CA95:CA112 H7:AQ354 AR7:BI112" xr:uid="{3093616B-713D-4A87-BB8D-34E5D01983BB}">
      <formula1>"●"</formula1>
    </dataValidation>
    <dataValidation type="list" allowBlank="1" showInputMessage="1" showErrorMessage="1" sqref="G7:G443" xr:uid="{6348D53F-5893-4E76-8D91-11EAA12C5444}">
      <formula1>"画,バ,画(廃),バ(廃),対象外"</formula1>
    </dataValidation>
  </dataValidations>
  <printOptions horizontalCentered="1"/>
  <pageMargins left="0.27559055118110237" right="0.27559055118110237" top="0.59055118110236227" bottom="0.39370078740157483" header="0.39370078740157483" footer="0.19685039370078741"/>
  <pageSetup paperSize="9" scale="15" fitToHeight="0" orientation="landscape" r:id="rId1"/>
  <headerFooter alignWithMargins="0">
    <oddHeader>&amp;L&amp;"ＭＳ ゴシック,太字"&amp;18&amp;A</oddHeader>
    <oddFooter>&amp;L(&amp;F 20150330 Ver.1.0)&amp;C&amp;P / &amp;N&amp;RCopyright(c) 2015 SCSK Corporation</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059E-1597-4036-811F-F45BCB828D83}">
  <sheetPr codeName="Sheet4">
    <pageSetUpPr fitToPage="1"/>
  </sheetPr>
  <dimension ref="B1:L42"/>
  <sheetViews>
    <sheetView view="pageBreakPreview" zoomScaleNormal="85" zoomScaleSheetLayoutView="100" workbookViewId="0">
      <pane ySplit="1" topLeftCell="A2" activePane="bottomLeft" state="frozen"/>
      <selection pane="bottomLeft"/>
    </sheetView>
  </sheetViews>
  <sheetFormatPr defaultColWidth="2.5" defaultRowHeight="15" customHeight="1"/>
  <cols>
    <col min="1" max="1" width="1.625" style="65" customWidth="1"/>
    <col min="2" max="2" width="5.75" style="68" customWidth="1"/>
    <col min="3" max="6" width="19.875" style="68" customWidth="1"/>
    <col min="7" max="7" width="30.625" style="68" customWidth="1"/>
    <col min="8" max="8" width="60.625" style="68" customWidth="1"/>
    <col min="9" max="10" width="23.625" style="68" customWidth="1"/>
    <col min="11" max="11" width="22.25" style="68" customWidth="1"/>
    <col min="12" max="12" width="20.625" style="68" hidden="1" customWidth="1"/>
    <col min="13" max="16384" width="2.5" style="65"/>
  </cols>
  <sheetData>
    <row r="1" spans="2:12" ht="15" customHeight="1">
      <c r="B1" s="63" t="s">
        <v>1031</v>
      </c>
      <c r="C1" s="63" t="s">
        <v>1032</v>
      </c>
      <c r="D1" s="63" t="s">
        <v>1033</v>
      </c>
      <c r="E1" s="63" t="s">
        <v>1034</v>
      </c>
      <c r="F1" s="63" t="s">
        <v>1035</v>
      </c>
      <c r="G1" s="63" t="s">
        <v>1036</v>
      </c>
      <c r="H1" s="63" t="s">
        <v>1037</v>
      </c>
      <c r="I1" s="63" t="s">
        <v>1038</v>
      </c>
      <c r="J1" s="63" t="s">
        <v>1039</v>
      </c>
      <c r="K1" s="63" t="s">
        <v>1040</v>
      </c>
      <c r="L1" s="64" t="s">
        <v>1041</v>
      </c>
    </row>
    <row r="2" spans="2:12" ht="194.45" customHeight="1">
      <c r="B2" s="66">
        <f>ROW()-1</f>
        <v>1</v>
      </c>
      <c r="C2" s="31" t="s">
        <v>1042</v>
      </c>
      <c r="D2" s="31" t="s">
        <v>1042</v>
      </c>
      <c r="E2" s="31" t="s">
        <v>1042</v>
      </c>
      <c r="F2" s="67" t="s">
        <v>9</v>
      </c>
      <c r="G2" s="31" t="s">
        <v>1043</v>
      </c>
      <c r="H2" s="31" t="s">
        <v>1044</v>
      </c>
      <c r="I2" s="31" t="s">
        <v>1045</v>
      </c>
      <c r="J2" s="31" t="s">
        <v>1046</v>
      </c>
      <c r="K2" s="31" t="s">
        <v>1047</v>
      </c>
    </row>
    <row r="3" spans="2:12" ht="112.15" customHeight="1">
      <c r="B3" s="66">
        <f t="shared" ref="B3:B42" si="0">ROW()-1</f>
        <v>2</v>
      </c>
      <c r="C3" s="31" t="s">
        <v>1042</v>
      </c>
      <c r="D3" s="31" t="s">
        <v>1042</v>
      </c>
      <c r="E3" s="31" t="s">
        <v>1042</v>
      </c>
      <c r="F3" s="67" t="s">
        <v>10</v>
      </c>
      <c r="G3" s="31" t="s">
        <v>1048</v>
      </c>
      <c r="H3" s="31" t="s">
        <v>1049</v>
      </c>
      <c r="I3" s="31" t="s">
        <v>1050</v>
      </c>
      <c r="J3" s="31" t="s">
        <v>1051</v>
      </c>
      <c r="K3" s="31" t="s">
        <v>1052</v>
      </c>
    </row>
    <row r="4" spans="2:12" ht="90.6" customHeight="1">
      <c r="B4" s="66">
        <f t="shared" si="0"/>
        <v>3</v>
      </c>
      <c r="C4" s="31" t="s">
        <v>1042</v>
      </c>
      <c r="D4" s="31" t="s">
        <v>1042</v>
      </c>
      <c r="E4" s="31" t="s">
        <v>1042</v>
      </c>
      <c r="F4" s="67" t="s">
        <v>11</v>
      </c>
      <c r="G4" s="31" t="s">
        <v>1053</v>
      </c>
      <c r="H4" s="31" t="s">
        <v>1054</v>
      </c>
      <c r="I4" s="31" t="s">
        <v>1055</v>
      </c>
      <c r="J4" s="31" t="s">
        <v>1056</v>
      </c>
      <c r="K4" s="31" t="s">
        <v>1047</v>
      </c>
    </row>
    <row r="5" spans="2:12" ht="223.9" customHeight="1">
      <c r="B5" s="66">
        <f t="shared" si="0"/>
        <v>4</v>
      </c>
      <c r="C5" s="31" t="s">
        <v>1042</v>
      </c>
      <c r="D5" s="31" t="s">
        <v>1042</v>
      </c>
      <c r="E5" s="31" t="s">
        <v>1042</v>
      </c>
      <c r="F5" s="67" t="s">
        <v>12</v>
      </c>
      <c r="G5" s="31" t="s">
        <v>1057</v>
      </c>
      <c r="H5" s="31" t="s">
        <v>1058</v>
      </c>
      <c r="I5" s="31" t="s">
        <v>1059</v>
      </c>
      <c r="J5" s="31" t="s">
        <v>1060</v>
      </c>
      <c r="K5" s="31" t="s">
        <v>1047</v>
      </c>
    </row>
    <row r="6" spans="2:12" ht="91.9" customHeight="1">
      <c r="B6" s="66">
        <f t="shared" si="0"/>
        <v>5</v>
      </c>
      <c r="C6" s="31" t="s">
        <v>1042</v>
      </c>
      <c r="D6" s="31" t="s">
        <v>1042</v>
      </c>
      <c r="E6" s="31" t="s">
        <v>1042</v>
      </c>
      <c r="F6" s="67" t="s">
        <v>13</v>
      </c>
      <c r="G6" s="31" t="s">
        <v>1061</v>
      </c>
      <c r="H6" s="31" t="s">
        <v>1062</v>
      </c>
      <c r="I6" s="31" t="s">
        <v>1063</v>
      </c>
      <c r="J6" s="31" t="s">
        <v>1064</v>
      </c>
      <c r="K6" s="31" t="s">
        <v>1047</v>
      </c>
    </row>
    <row r="7" spans="2:12" ht="126" customHeight="1">
      <c r="B7" s="66">
        <f t="shared" si="0"/>
        <v>6</v>
      </c>
      <c r="C7" s="31" t="s">
        <v>1042</v>
      </c>
      <c r="D7" s="31" t="s">
        <v>1042</v>
      </c>
      <c r="E7" s="31" t="s">
        <v>1042</v>
      </c>
      <c r="F7" s="67" t="s">
        <v>14</v>
      </c>
      <c r="G7" s="31" t="s">
        <v>1065</v>
      </c>
      <c r="H7" s="31" t="s">
        <v>1066</v>
      </c>
      <c r="I7" s="31" t="s">
        <v>1067</v>
      </c>
      <c r="J7" s="31" t="s">
        <v>1068</v>
      </c>
      <c r="K7" s="31" t="s">
        <v>1069</v>
      </c>
    </row>
    <row r="8" spans="2:12" ht="200.45" customHeight="1">
      <c r="B8" s="66">
        <f t="shared" si="0"/>
        <v>7</v>
      </c>
      <c r="C8" s="31" t="s">
        <v>1042</v>
      </c>
      <c r="D8" s="31" t="s">
        <v>1042</v>
      </c>
      <c r="E8" s="31" t="s">
        <v>1042</v>
      </c>
      <c r="F8" s="67" t="s">
        <v>15</v>
      </c>
      <c r="G8" s="31" t="s">
        <v>1070</v>
      </c>
      <c r="H8" s="31" t="s">
        <v>1071</v>
      </c>
      <c r="I8" s="31" t="s">
        <v>1072</v>
      </c>
      <c r="J8" s="31" t="s">
        <v>1073</v>
      </c>
      <c r="K8" s="31" t="s">
        <v>1074</v>
      </c>
    </row>
    <row r="9" spans="2:12" ht="123.6" customHeight="1">
      <c r="B9" s="66">
        <f t="shared" si="0"/>
        <v>8</v>
      </c>
      <c r="C9" s="31" t="s">
        <v>1042</v>
      </c>
      <c r="D9" s="31" t="s">
        <v>1042</v>
      </c>
      <c r="E9" s="31" t="s">
        <v>1042</v>
      </c>
      <c r="F9" s="67" t="s">
        <v>16</v>
      </c>
      <c r="G9" s="31" t="s">
        <v>1075</v>
      </c>
      <c r="H9" s="31" t="s">
        <v>1076</v>
      </c>
      <c r="I9" s="31" t="s">
        <v>1077</v>
      </c>
      <c r="J9" s="31" t="s">
        <v>1078</v>
      </c>
      <c r="K9" s="31" t="s">
        <v>1047</v>
      </c>
    </row>
    <row r="10" spans="2:12" ht="98.45" customHeight="1">
      <c r="B10" s="66">
        <f t="shared" si="0"/>
        <v>9</v>
      </c>
      <c r="C10" s="31" t="s">
        <v>1042</v>
      </c>
      <c r="D10" s="31" t="s">
        <v>1042</v>
      </c>
      <c r="E10" s="31" t="s">
        <v>1042</v>
      </c>
      <c r="F10" s="67" t="s">
        <v>17</v>
      </c>
      <c r="G10" s="31" t="s">
        <v>1079</v>
      </c>
      <c r="H10" s="31" t="s">
        <v>1080</v>
      </c>
      <c r="I10" s="31" t="s">
        <v>1081</v>
      </c>
      <c r="J10" s="31" t="s">
        <v>1082</v>
      </c>
      <c r="K10" s="31" t="s">
        <v>1047</v>
      </c>
    </row>
    <row r="11" spans="2:12" ht="163.15" customHeight="1">
      <c r="B11" s="66">
        <f t="shared" si="0"/>
        <v>10</v>
      </c>
      <c r="C11" s="31" t="s">
        <v>1042</v>
      </c>
      <c r="D11" s="31" t="s">
        <v>1042</v>
      </c>
      <c r="E11" s="31" t="s">
        <v>1042</v>
      </c>
      <c r="F11" s="67" t="s">
        <v>18</v>
      </c>
      <c r="G11" s="31" t="s">
        <v>1083</v>
      </c>
      <c r="H11" s="31" t="s">
        <v>1084</v>
      </c>
      <c r="I11" s="31" t="s">
        <v>1085</v>
      </c>
      <c r="J11" s="31" t="s">
        <v>1086</v>
      </c>
      <c r="K11" s="31" t="s">
        <v>1047</v>
      </c>
    </row>
    <row r="12" spans="2:12" ht="102" customHeight="1">
      <c r="B12" s="66">
        <f t="shared" si="0"/>
        <v>11</v>
      </c>
      <c r="C12" s="31" t="s">
        <v>1042</v>
      </c>
      <c r="D12" s="31" t="s">
        <v>1042</v>
      </c>
      <c r="E12" s="31" t="s">
        <v>1042</v>
      </c>
      <c r="F12" s="67" t="s">
        <v>19</v>
      </c>
      <c r="G12" s="31" t="s">
        <v>1087</v>
      </c>
      <c r="H12" s="31" t="s">
        <v>1088</v>
      </c>
      <c r="I12" s="31" t="s">
        <v>1089</v>
      </c>
      <c r="J12" s="31" t="s">
        <v>1090</v>
      </c>
      <c r="K12" s="31" t="s">
        <v>1047</v>
      </c>
    </row>
    <row r="13" spans="2:12" ht="146.44999999999999" customHeight="1">
      <c r="B13" s="66">
        <f t="shared" si="0"/>
        <v>12</v>
      </c>
      <c r="C13" s="31" t="s">
        <v>1042</v>
      </c>
      <c r="D13" s="31" t="s">
        <v>1042</v>
      </c>
      <c r="E13" s="31" t="s">
        <v>1042</v>
      </c>
      <c r="F13" s="67" t="s">
        <v>20</v>
      </c>
      <c r="G13" s="31" t="s">
        <v>1091</v>
      </c>
      <c r="H13" s="31" t="s">
        <v>1092</v>
      </c>
      <c r="I13" s="31" t="s">
        <v>1093</v>
      </c>
      <c r="J13" s="31" t="s">
        <v>1094</v>
      </c>
      <c r="K13" s="31" t="s">
        <v>1095</v>
      </c>
    </row>
    <row r="14" spans="2:12" ht="102.6" customHeight="1">
      <c r="B14" s="66">
        <f t="shared" si="0"/>
        <v>13</v>
      </c>
      <c r="C14" s="31" t="s">
        <v>1042</v>
      </c>
      <c r="D14" s="31" t="s">
        <v>1042</v>
      </c>
      <c r="E14" s="31" t="s">
        <v>1042</v>
      </c>
      <c r="F14" s="67" t="s">
        <v>21</v>
      </c>
      <c r="G14" s="31" t="s">
        <v>1096</v>
      </c>
      <c r="H14" s="31" t="s">
        <v>1097</v>
      </c>
      <c r="I14" s="31" t="s">
        <v>1098</v>
      </c>
      <c r="J14" s="31" t="s">
        <v>1099</v>
      </c>
      <c r="K14" s="31" t="s">
        <v>1047</v>
      </c>
    </row>
    <row r="15" spans="2:12" ht="137.44999999999999" customHeight="1">
      <c r="B15" s="66">
        <f t="shared" si="0"/>
        <v>14</v>
      </c>
      <c r="C15" s="31" t="s">
        <v>1042</v>
      </c>
      <c r="D15" s="31" t="s">
        <v>1042</v>
      </c>
      <c r="E15" s="31" t="s">
        <v>1042</v>
      </c>
      <c r="F15" s="69" t="s">
        <v>22</v>
      </c>
      <c r="G15" s="31" t="s">
        <v>1100</v>
      </c>
      <c r="H15" s="31" t="s">
        <v>1101</v>
      </c>
      <c r="I15" s="31" t="s">
        <v>1102</v>
      </c>
      <c r="J15" s="31" t="s">
        <v>1103</v>
      </c>
      <c r="K15" s="31" t="s">
        <v>1104</v>
      </c>
    </row>
    <row r="16" spans="2:12" ht="130.15" customHeight="1">
      <c r="B16" s="66">
        <f t="shared" si="0"/>
        <v>15</v>
      </c>
      <c r="C16" s="31" t="s">
        <v>1042</v>
      </c>
      <c r="D16" s="31" t="s">
        <v>1042</v>
      </c>
      <c r="E16" s="31" t="s">
        <v>1042</v>
      </c>
      <c r="F16" s="69" t="s">
        <v>23</v>
      </c>
      <c r="G16" s="31" t="s">
        <v>1105</v>
      </c>
      <c r="H16" s="31" t="s">
        <v>1106</v>
      </c>
      <c r="I16" s="31" t="s">
        <v>1107</v>
      </c>
      <c r="J16" s="31" t="s">
        <v>1108</v>
      </c>
      <c r="K16" s="31" t="s">
        <v>1047</v>
      </c>
    </row>
    <row r="17" spans="2:11" ht="88.9" customHeight="1">
      <c r="B17" s="66">
        <f t="shared" si="0"/>
        <v>16</v>
      </c>
      <c r="C17" s="31" t="s">
        <v>1042</v>
      </c>
      <c r="D17" s="31" t="s">
        <v>1042</v>
      </c>
      <c r="E17" s="31" t="s">
        <v>1042</v>
      </c>
      <c r="F17" s="69" t="s">
        <v>24</v>
      </c>
      <c r="G17" s="31" t="s">
        <v>1109</v>
      </c>
      <c r="H17" s="31" t="s">
        <v>1110</v>
      </c>
      <c r="I17" s="31" t="s">
        <v>1111</v>
      </c>
      <c r="J17" s="31" t="s">
        <v>1112</v>
      </c>
      <c r="K17" s="31" t="s">
        <v>1047</v>
      </c>
    </row>
    <row r="18" spans="2:11" ht="82.15" customHeight="1">
      <c r="B18" s="66">
        <f t="shared" si="0"/>
        <v>17</v>
      </c>
      <c r="C18" s="31" t="s">
        <v>1042</v>
      </c>
      <c r="D18" s="31" t="s">
        <v>1042</v>
      </c>
      <c r="E18" s="31" t="s">
        <v>1042</v>
      </c>
      <c r="F18" s="69" t="s">
        <v>25</v>
      </c>
      <c r="G18" s="31" t="s">
        <v>1113</v>
      </c>
      <c r="H18" s="31" t="s">
        <v>1114</v>
      </c>
      <c r="I18" s="31" t="s">
        <v>1115</v>
      </c>
      <c r="J18" s="31" t="s">
        <v>1116</v>
      </c>
      <c r="K18" s="31" t="s">
        <v>1047</v>
      </c>
    </row>
    <row r="19" spans="2:11" ht="115.9" customHeight="1">
      <c r="B19" s="66">
        <f t="shared" si="0"/>
        <v>18</v>
      </c>
      <c r="C19" s="31" t="s">
        <v>1042</v>
      </c>
      <c r="D19" s="31" t="s">
        <v>1042</v>
      </c>
      <c r="E19" s="31" t="s">
        <v>1042</v>
      </c>
      <c r="F19" s="69" t="s">
        <v>26</v>
      </c>
      <c r="G19" s="31" t="s">
        <v>1117</v>
      </c>
      <c r="H19" s="31" t="s">
        <v>1118</v>
      </c>
      <c r="I19" s="31" t="s">
        <v>1119</v>
      </c>
      <c r="J19" s="31" t="s">
        <v>1120</v>
      </c>
      <c r="K19" s="31" t="s">
        <v>1047</v>
      </c>
    </row>
    <row r="20" spans="2:11" ht="104.45" customHeight="1">
      <c r="B20" s="66">
        <f t="shared" si="0"/>
        <v>19</v>
      </c>
      <c r="C20" s="31" t="s">
        <v>1042</v>
      </c>
      <c r="D20" s="31" t="s">
        <v>1042</v>
      </c>
      <c r="E20" s="31" t="s">
        <v>1042</v>
      </c>
      <c r="F20" s="69" t="s">
        <v>27</v>
      </c>
      <c r="G20" s="31" t="s">
        <v>1121</v>
      </c>
      <c r="H20" s="31" t="s">
        <v>1122</v>
      </c>
      <c r="I20" s="31" t="s">
        <v>1123</v>
      </c>
      <c r="J20" s="31" t="s">
        <v>1124</v>
      </c>
      <c r="K20" s="31" t="s">
        <v>1047</v>
      </c>
    </row>
    <row r="21" spans="2:11" ht="101.45" customHeight="1">
      <c r="B21" s="66">
        <f t="shared" si="0"/>
        <v>20</v>
      </c>
      <c r="C21" s="31" t="s">
        <v>1042</v>
      </c>
      <c r="D21" s="31" t="s">
        <v>1042</v>
      </c>
      <c r="E21" s="31" t="s">
        <v>1042</v>
      </c>
      <c r="F21" s="69" t="s">
        <v>28</v>
      </c>
      <c r="G21" s="31" t="s">
        <v>1125</v>
      </c>
      <c r="H21" s="31" t="s">
        <v>1126</v>
      </c>
      <c r="I21" s="31" t="s">
        <v>1127</v>
      </c>
      <c r="J21" s="31" t="s">
        <v>1128</v>
      </c>
      <c r="K21" s="31" t="s">
        <v>1047</v>
      </c>
    </row>
    <row r="22" spans="2:11" ht="141" customHeight="1">
      <c r="B22" s="66">
        <f t="shared" si="0"/>
        <v>21</v>
      </c>
      <c r="C22" s="31" t="s">
        <v>1042</v>
      </c>
      <c r="D22" s="31" t="s">
        <v>1042</v>
      </c>
      <c r="E22" s="31" t="s">
        <v>1042</v>
      </c>
      <c r="F22" s="69" t="s">
        <v>29</v>
      </c>
      <c r="G22" s="31" t="s">
        <v>1129</v>
      </c>
      <c r="H22" s="31" t="s">
        <v>1130</v>
      </c>
      <c r="I22" s="31" t="s">
        <v>1131</v>
      </c>
      <c r="J22" s="31" t="s">
        <v>1132</v>
      </c>
      <c r="K22" s="31" t="s">
        <v>1052</v>
      </c>
    </row>
    <row r="23" spans="2:11" ht="50.25" customHeight="1">
      <c r="B23" s="66">
        <f t="shared" si="0"/>
        <v>22</v>
      </c>
      <c r="C23" s="31" t="s">
        <v>1042</v>
      </c>
      <c r="D23" s="31" t="s">
        <v>1042</v>
      </c>
      <c r="E23" s="31" t="s">
        <v>1042</v>
      </c>
      <c r="F23" s="31" t="s">
        <v>1133</v>
      </c>
      <c r="G23" s="31" t="s">
        <v>1134</v>
      </c>
      <c r="H23" s="31" t="s">
        <v>1135</v>
      </c>
      <c r="I23" s="31" t="s">
        <v>1136</v>
      </c>
      <c r="J23" s="31" t="s">
        <v>1137</v>
      </c>
      <c r="K23" s="31" t="s">
        <v>1138</v>
      </c>
    </row>
    <row r="24" spans="2:11" ht="35.25" customHeight="1">
      <c r="B24" s="66">
        <f t="shared" si="0"/>
        <v>23</v>
      </c>
      <c r="C24" s="31" t="s">
        <v>1042</v>
      </c>
      <c r="D24" s="31" t="s">
        <v>1042</v>
      </c>
      <c r="E24" s="31" t="s">
        <v>1042</v>
      </c>
      <c r="F24" s="31" t="s">
        <v>1139</v>
      </c>
      <c r="G24" s="31" t="s">
        <v>1140</v>
      </c>
      <c r="H24" s="31" t="s">
        <v>1141</v>
      </c>
      <c r="I24" s="31" t="s">
        <v>1107</v>
      </c>
      <c r="J24" s="31" t="s">
        <v>1142</v>
      </c>
      <c r="K24" s="31" t="s">
        <v>1138</v>
      </c>
    </row>
    <row r="25" spans="2:11" ht="35.25" customHeight="1">
      <c r="B25" s="66">
        <f t="shared" si="0"/>
        <v>24</v>
      </c>
      <c r="C25" s="31" t="s">
        <v>1042</v>
      </c>
      <c r="D25" s="31" t="s">
        <v>1042</v>
      </c>
      <c r="E25" s="31" t="s">
        <v>1042</v>
      </c>
      <c r="F25" s="31" t="s">
        <v>1143</v>
      </c>
      <c r="G25" s="31" t="s">
        <v>1144</v>
      </c>
      <c r="H25" s="31" t="s">
        <v>1145</v>
      </c>
      <c r="I25" s="31" t="s">
        <v>1146</v>
      </c>
      <c r="J25" s="31" t="s">
        <v>1147</v>
      </c>
      <c r="K25" s="31" t="s">
        <v>1138</v>
      </c>
    </row>
    <row r="26" spans="2:11" ht="58.5" customHeight="1">
      <c r="B26" s="66">
        <f t="shared" si="0"/>
        <v>25</v>
      </c>
      <c r="C26" s="31" t="s">
        <v>1042</v>
      </c>
      <c r="D26" s="31" t="s">
        <v>1042</v>
      </c>
      <c r="E26" s="31" t="s">
        <v>1042</v>
      </c>
      <c r="F26" s="31" t="s">
        <v>1148</v>
      </c>
      <c r="G26" s="31" t="s">
        <v>1149</v>
      </c>
      <c r="H26" s="31" t="s">
        <v>1150</v>
      </c>
      <c r="I26" s="31" t="s">
        <v>1151</v>
      </c>
      <c r="J26" s="31" t="s">
        <v>1152</v>
      </c>
      <c r="K26" s="31" t="s">
        <v>1153</v>
      </c>
    </row>
    <row r="27" spans="2:11" ht="75.75" customHeight="1">
      <c r="B27" s="66">
        <f t="shared" si="0"/>
        <v>26</v>
      </c>
      <c r="C27" s="31" t="s">
        <v>1042</v>
      </c>
      <c r="D27" s="31" t="s">
        <v>1042</v>
      </c>
      <c r="E27" s="31" t="s">
        <v>1042</v>
      </c>
      <c r="F27" s="31" t="s">
        <v>1154</v>
      </c>
      <c r="G27" s="31" t="s">
        <v>1155</v>
      </c>
      <c r="H27" s="31" t="s">
        <v>1156</v>
      </c>
      <c r="I27" s="31" t="s">
        <v>1157</v>
      </c>
      <c r="J27" s="31" t="s">
        <v>1158</v>
      </c>
      <c r="K27" s="31" t="s">
        <v>1153</v>
      </c>
    </row>
    <row r="28" spans="2:11" ht="60.75" customHeight="1">
      <c r="B28" s="66">
        <f t="shared" si="0"/>
        <v>27</v>
      </c>
      <c r="C28" s="31" t="s">
        <v>1042</v>
      </c>
      <c r="D28" s="31" t="s">
        <v>1042</v>
      </c>
      <c r="E28" s="31" t="s">
        <v>1042</v>
      </c>
      <c r="F28" s="31" t="s">
        <v>1159</v>
      </c>
      <c r="G28" s="31" t="s">
        <v>1160</v>
      </c>
      <c r="H28" s="31" t="s">
        <v>1161</v>
      </c>
      <c r="I28" s="31" t="s">
        <v>1162</v>
      </c>
      <c r="J28" s="31" t="s">
        <v>1163</v>
      </c>
      <c r="K28" s="31" t="s">
        <v>1153</v>
      </c>
    </row>
    <row r="29" spans="2:11" ht="49.5" customHeight="1">
      <c r="B29" s="66">
        <f t="shared" si="0"/>
        <v>28</v>
      </c>
      <c r="C29" s="31" t="s">
        <v>1042</v>
      </c>
      <c r="D29" s="31" t="s">
        <v>1042</v>
      </c>
      <c r="E29" s="31" t="s">
        <v>1042</v>
      </c>
      <c r="F29" s="31" t="s">
        <v>1164</v>
      </c>
      <c r="G29" s="31" t="s">
        <v>1165</v>
      </c>
      <c r="H29" s="31" t="s">
        <v>1166</v>
      </c>
      <c r="I29" s="31" t="s">
        <v>1167</v>
      </c>
      <c r="J29" s="31" t="s">
        <v>1168</v>
      </c>
      <c r="K29" s="31" t="s">
        <v>1153</v>
      </c>
    </row>
    <row r="30" spans="2:11" ht="66.75" customHeight="1">
      <c r="B30" s="66">
        <f t="shared" si="0"/>
        <v>29</v>
      </c>
      <c r="C30" s="31" t="s">
        <v>1042</v>
      </c>
      <c r="D30" s="31" t="s">
        <v>1042</v>
      </c>
      <c r="E30" s="31" t="s">
        <v>1042</v>
      </c>
      <c r="F30" s="31" t="s">
        <v>1169</v>
      </c>
      <c r="G30" s="31" t="s">
        <v>1170</v>
      </c>
      <c r="H30" s="31" t="s">
        <v>1171</v>
      </c>
      <c r="I30" s="31" t="s">
        <v>1172</v>
      </c>
      <c r="J30" s="31" t="s">
        <v>1173</v>
      </c>
      <c r="K30" s="31" t="s">
        <v>1153</v>
      </c>
    </row>
    <row r="31" spans="2:11" ht="78" customHeight="1">
      <c r="B31" s="66">
        <f t="shared" si="0"/>
        <v>30</v>
      </c>
      <c r="C31" s="31" t="s">
        <v>1042</v>
      </c>
      <c r="D31" s="31" t="s">
        <v>1042</v>
      </c>
      <c r="E31" s="31" t="s">
        <v>1042</v>
      </c>
      <c r="F31" s="31" t="s">
        <v>1174</v>
      </c>
      <c r="G31" s="31" t="s">
        <v>1175</v>
      </c>
      <c r="H31" s="31" t="s">
        <v>1176</v>
      </c>
      <c r="I31" s="31" t="s">
        <v>1177</v>
      </c>
      <c r="J31" s="31" t="s">
        <v>1178</v>
      </c>
      <c r="K31" s="31" t="s">
        <v>1153</v>
      </c>
    </row>
    <row r="32" spans="2:11" ht="78" customHeight="1">
      <c r="B32" s="66">
        <f t="shared" si="0"/>
        <v>31</v>
      </c>
      <c r="C32" s="31" t="s">
        <v>1042</v>
      </c>
      <c r="D32" s="31" t="s">
        <v>1042</v>
      </c>
      <c r="E32" s="31" t="s">
        <v>1042</v>
      </c>
      <c r="F32" s="31" t="s">
        <v>1179</v>
      </c>
      <c r="G32" s="31" t="s">
        <v>1180</v>
      </c>
      <c r="H32" s="31" t="s">
        <v>1181</v>
      </c>
      <c r="I32" s="31" t="s">
        <v>1182</v>
      </c>
      <c r="J32" s="31" t="s">
        <v>1183</v>
      </c>
      <c r="K32" s="31" t="s">
        <v>1153</v>
      </c>
    </row>
    <row r="33" spans="2:11" ht="78" customHeight="1">
      <c r="B33" s="66">
        <f t="shared" si="0"/>
        <v>32</v>
      </c>
      <c r="C33" s="31" t="s">
        <v>1042</v>
      </c>
      <c r="D33" s="31" t="s">
        <v>1042</v>
      </c>
      <c r="E33" s="31" t="s">
        <v>1042</v>
      </c>
      <c r="F33" s="31" t="s">
        <v>1184</v>
      </c>
      <c r="G33" s="31" t="s">
        <v>1185</v>
      </c>
      <c r="H33" s="31" t="s">
        <v>1186</v>
      </c>
      <c r="I33" s="31" t="s">
        <v>1187</v>
      </c>
      <c r="J33" s="31" t="s">
        <v>1188</v>
      </c>
      <c r="K33" s="31" t="s">
        <v>1153</v>
      </c>
    </row>
    <row r="34" spans="2:11" ht="78" customHeight="1">
      <c r="B34" s="66">
        <f t="shared" si="0"/>
        <v>33</v>
      </c>
      <c r="C34" s="31" t="s">
        <v>1042</v>
      </c>
      <c r="D34" s="31" t="s">
        <v>1042</v>
      </c>
      <c r="E34" s="31" t="s">
        <v>1042</v>
      </c>
      <c r="F34" s="31" t="s">
        <v>1189</v>
      </c>
      <c r="G34" s="31" t="s">
        <v>1190</v>
      </c>
      <c r="H34" s="31" t="s">
        <v>1191</v>
      </c>
      <c r="I34" s="31" t="s">
        <v>1192</v>
      </c>
      <c r="J34" s="31" t="s">
        <v>1193</v>
      </c>
      <c r="K34" s="31" t="s">
        <v>1153</v>
      </c>
    </row>
    <row r="35" spans="2:11" ht="78" customHeight="1">
      <c r="B35" s="66">
        <f t="shared" si="0"/>
        <v>34</v>
      </c>
      <c r="C35" s="31" t="s">
        <v>1042</v>
      </c>
      <c r="D35" s="31" t="s">
        <v>1042</v>
      </c>
      <c r="E35" s="31" t="s">
        <v>1042</v>
      </c>
      <c r="F35" s="31" t="s">
        <v>1194</v>
      </c>
      <c r="G35" s="31" t="s">
        <v>1195</v>
      </c>
      <c r="H35" s="31" t="s">
        <v>1196</v>
      </c>
      <c r="I35" s="31" t="s">
        <v>1197</v>
      </c>
      <c r="J35" s="31" t="s">
        <v>1198</v>
      </c>
      <c r="K35" s="31" t="s">
        <v>1153</v>
      </c>
    </row>
    <row r="36" spans="2:11" ht="78" customHeight="1">
      <c r="B36" s="66">
        <f t="shared" si="0"/>
        <v>35</v>
      </c>
      <c r="C36" s="31" t="s">
        <v>1042</v>
      </c>
      <c r="D36" s="31" t="s">
        <v>1042</v>
      </c>
      <c r="E36" s="31" t="s">
        <v>1042</v>
      </c>
      <c r="F36" s="31" t="s">
        <v>1199</v>
      </c>
      <c r="G36" s="31" t="s">
        <v>1200</v>
      </c>
      <c r="H36" s="31" t="s">
        <v>1201</v>
      </c>
      <c r="I36" s="31" t="s">
        <v>1202</v>
      </c>
      <c r="J36" s="31" t="s">
        <v>1203</v>
      </c>
      <c r="K36" s="31" t="s">
        <v>1153</v>
      </c>
    </row>
    <row r="37" spans="2:11" ht="78" customHeight="1">
      <c r="B37" s="66">
        <f t="shared" si="0"/>
        <v>36</v>
      </c>
      <c r="C37" s="31" t="s">
        <v>1042</v>
      </c>
      <c r="D37" s="31" t="s">
        <v>1042</v>
      </c>
      <c r="E37" s="31" t="s">
        <v>1042</v>
      </c>
      <c r="F37" s="31" t="s">
        <v>1204</v>
      </c>
      <c r="G37" s="31" t="s">
        <v>1205</v>
      </c>
      <c r="H37" s="31" t="s">
        <v>1206</v>
      </c>
      <c r="I37" s="31" t="s">
        <v>1202</v>
      </c>
      <c r="J37" s="31" t="s">
        <v>1207</v>
      </c>
      <c r="K37" s="31" t="s">
        <v>1153</v>
      </c>
    </row>
    <row r="38" spans="2:11" ht="78" customHeight="1">
      <c r="B38" s="66">
        <f t="shared" si="0"/>
        <v>37</v>
      </c>
      <c r="C38" s="31" t="s">
        <v>1042</v>
      </c>
      <c r="D38" s="31" t="s">
        <v>1042</v>
      </c>
      <c r="E38" s="31" t="s">
        <v>1042</v>
      </c>
      <c r="F38" s="31" t="s">
        <v>1208</v>
      </c>
      <c r="G38" s="31" t="s">
        <v>1209</v>
      </c>
      <c r="H38" s="31" t="s">
        <v>1210</v>
      </c>
      <c r="I38" s="31" t="s">
        <v>1211</v>
      </c>
      <c r="J38" s="31" t="s">
        <v>1212</v>
      </c>
      <c r="K38" s="31" t="s">
        <v>1153</v>
      </c>
    </row>
    <row r="39" spans="2:11" ht="78" customHeight="1">
      <c r="B39" s="66">
        <f t="shared" si="0"/>
        <v>38</v>
      </c>
      <c r="C39" s="31" t="s">
        <v>1042</v>
      </c>
      <c r="D39" s="31" t="s">
        <v>1042</v>
      </c>
      <c r="E39" s="31" t="s">
        <v>1042</v>
      </c>
      <c r="F39" s="31" t="s">
        <v>1213</v>
      </c>
      <c r="G39" s="31" t="s">
        <v>1214</v>
      </c>
      <c r="H39" s="31" t="s">
        <v>1215</v>
      </c>
      <c r="I39" s="31" t="s">
        <v>1216</v>
      </c>
      <c r="J39" s="31" t="s">
        <v>1217</v>
      </c>
      <c r="K39" s="31" t="s">
        <v>1153</v>
      </c>
    </row>
    <row r="40" spans="2:11" ht="78" customHeight="1">
      <c r="B40" s="66">
        <f t="shared" si="0"/>
        <v>39</v>
      </c>
      <c r="C40" s="31" t="s">
        <v>1042</v>
      </c>
      <c r="D40" s="31" t="s">
        <v>1042</v>
      </c>
      <c r="E40" s="31" t="s">
        <v>1042</v>
      </c>
      <c r="F40" s="31" t="s">
        <v>1218</v>
      </c>
      <c r="G40" s="31" t="s">
        <v>1219</v>
      </c>
      <c r="H40" s="31" t="s">
        <v>1220</v>
      </c>
      <c r="I40" s="31" t="s">
        <v>1221</v>
      </c>
      <c r="J40" s="31" t="s">
        <v>1222</v>
      </c>
      <c r="K40" s="31" t="s">
        <v>1153</v>
      </c>
    </row>
    <row r="41" spans="2:11" ht="78" customHeight="1">
      <c r="B41" s="66">
        <f t="shared" si="0"/>
        <v>40</v>
      </c>
      <c r="C41" s="31" t="s">
        <v>1042</v>
      </c>
      <c r="D41" s="31" t="s">
        <v>1042</v>
      </c>
      <c r="E41" s="31" t="s">
        <v>1042</v>
      </c>
      <c r="F41" s="31" t="s">
        <v>1223</v>
      </c>
      <c r="G41" s="31" t="s">
        <v>1224</v>
      </c>
      <c r="H41" s="31" t="s">
        <v>1225</v>
      </c>
      <c r="I41" s="31" t="s">
        <v>1226</v>
      </c>
      <c r="J41" s="31" t="s">
        <v>1227</v>
      </c>
      <c r="K41" s="31" t="s">
        <v>1153</v>
      </c>
    </row>
    <row r="42" spans="2:11" ht="78" customHeight="1">
      <c r="B42" s="66">
        <f t="shared" si="0"/>
        <v>41</v>
      </c>
      <c r="C42" s="31" t="s">
        <v>1042</v>
      </c>
      <c r="D42" s="31" t="s">
        <v>1042</v>
      </c>
      <c r="E42" s="31" t="s">
        <v>1042</v>
      </c>
      <c r="F42" s="31" t="s">
        <v>1228</v>
      </c>
      <c r="G42" s="31" t="s">
        <v>1229</v>
      </c>
      <c r="H42" s="31" t="s">
        <v>1230</v>
      </c>
      <c r="I42" s="31" t="s">
        <v>1202</v>
      </c>
      <c r="J42" s="31" t="s">
        <v>1231</v>
      </c>
      <c r="K42" s="31" t="s">
        <v>1153</v>
      </c>
    </row>
  </sheetData>
  <phoneticPr fontId="3"/>
  <printOptions horizontalCentered="1"/>
  <pageMargins left="0.27559055118110237" right="0.27559055118110237" top="0.59055118110236227" bottom="0.39370078740157483" header="0.39370078740157483" footer="0.19685039370078741"/>
  <pageSetup paperSize="9" scale="58" fitToHeight="0" orientation="landscape" r:id="rId1"/>
  <headerFooter alignWithMargins="0">
    <oddHeader>&amp;L&amp;"ＭＳ ゴシック,太字"&amp;18&amp;A</oddHeader>
    <oddFooter>&amp;L(&amp;F 20150330 Ver.1.0)&amp;C&amp;P / &amp;N&amp;RCopyright(c) 2015 SCSK Corporation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8730D1-606B-447C-BAE3-0152BFDBAA99}"/>
</file>

<file path=customXml/itemProps2.xml><?xml version="1.0" encoding="utf-8"?>
<ds:datastoreItem xmlns:ds="http://schemas.openxmlformats.org/officeDocument/2006/customXml" ds:itemID="{E5C5E0E2-070B-48B9-AE52-6308D085E31B}"/>
</file>

<file path=customXml/itemProps3.xml><?xml version="1.0" encoding="utf-8"?>
<ds:datastoreItem xmlns:ds="http://schemas.openxmlformats.org/officeDocument/2006/customXml" ds:itemID="{AF109BC5-6B59-44B8-B9DB-C86B274FE7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変更履歴</vt:lpstr>
      <vt:lpstr>機能・業務共通処理マトリクス</vt:lpstr>
      <vt:lpstr>機能・システム共通処理マトリクス</vt:lpstr>
      <vt:lpstr>業務共通処理設計書</vt:lpstr>
      <vt:lpstr>変更履歴!Print_Area</vt:lpstr>
      <vt:lpstr>機能・システム共通処理マトリクス!Print_Titles</vt:lpstr>
      <vt:lpstr>機能・業務共通処理マトリクス!Print_Titles</vt:lpstr>
      <vt:lpstr>業務共通処理設計書!Print_Titles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SCSK</dc:creator>
  <cp:lastModifiedBy>グェン アントゥアン</cp:lastModifiedBy>
  <cp:lastPrinted>2025-08-26T05:21:12Z</cp:lastPrinted>
  <dcterms:created xsi:type="dcterms:W3CDTF">2013-11-15T01:57:48Z</dcterms:created>
  <dcterms:modified xsi:type="dcterms:W3CDTF">2025-09-05T04:28:23Z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