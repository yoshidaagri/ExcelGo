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会計\会計成果物wc\doc\20_外部設計\01_成果物\F1000_成果物一覧\"/>
    </mc:Choice>
  </mc:AlternateContent>
  <bookViews>
    <workbookView xWindow="-120" yWindow="-120" windowWidth="29040" windowHeight="15720" tabRatio="244" activeTab="1"/>
  </bookViews>
  <sheets>
    <sheet name="採番ルール" sheetId="5" r:id="rId1"/>
    <sheet name="外部設計" sheetId="1" r:id="rId2"/>
  </sheets>
  <definedNames>
    <definedName hidden="true" localSheetId="1" name="_xlnm._FilterDatabase">外部設計!$A$4:$K$79</definedName>
    <definedName localSheetId="1" name="_xlnm.Print_Area">外部設計!$A$1:$K$79</definedName>
    <definedName localSheetId="1" name="_xlnm.Print_Titles">外部設計!$1:$5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c r="G22" i="1"/>
  <c r="G18" i="1"/>
  <c r="G20" i="1"/>
  <c r="G44" i="1"/>
  <c r="G47" i="1"/>
  <c r="G72" i="1"/>
  <c r="G71" i="1"/>
  <c r="G70" i="1"/>
  <c r="G68" i="1"/>
  <c r="G67" i="1"/>
  <c r="G66" i="1"/>
  <c r="G65" i="1"/>
  <c r="G64" i="1"/>
  <c r="G63" i="1"/>
  <c r="G62" i="1"/>
  <c r="G60" i="1"/>
  <c r="G59" i="1"/>
  <c r="G58" i="1"/>
  <c r="G57" i="1"/>
  <c r="G56" i="1"/>
  <c r="G55" i="1"/>
  <c r="G53" i="1"/>
  <c r="G52" i="1"/>
  <c r="G51" i="1"/>
  <c r="G50" i="1"/>
  <c r="G49" i="1"/>
  <c r="G48" i="1"/>
  <c r="G45" i="1"/>
  <c r="G40" i="1"/>
  <c r="G39" i="1"/>
  <c r="G38" i="1"/>
  <c r="G37" i="1"/>
  <c r="G35" i="1"/>
  <c r="G34" i="1"/>
  <c r="G33" i="1"/>
  <c r="G32" i="1"/>
  <c r="G30" i="1"/>
  <c r="G29" i="1"/>
  <c r="G28" i="1"/>
  <c r="G27" i="1"/>
  <c r="G26" i="1"/>
  <c r="G25" i="1"/>
  <c r="G24" i="1"/>
  <c r="G23" i="1"/>
  <c r="G21" i="1"/>
  <c r="G17" i="1"/>
  <c r="G16" i="1"/>
  <c r="G15" i="1"/>
  <c r="G13" i="1"/>
  <c r="G12" i="1"/>
  <c r="G11" i="1"/>
  <c r="G10" i="1"/>
  <c r="G9" i="1"/>
  <c r="G8" i="1"/>
  <c r="G7" i="1"/>
  <c r="G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F4" authorId="0" shapeId="0" xr:uid="{396A1252-5BA4-420B-8B88-A0125A40D1DD}">
      <text>
        <r>
          <rPr>
            <b/>
            <sz val="9"/>
            <color indexed="81"/>
            <rFont val="MS P ゴシック"/>
            <family val="3"/>
            <charset val="128"/>
          </rPr>
          <t>作成する場合　:　〇</t>
        </r>
        <r>
          <rPr>
            <sz val="9"/>
            <color indexed="81"/>
            <rFont val="MS P ゴシック"/>
            <family val="3"/>
            <charset val="128"/>
          </rPr>
          <t xml:space="preserve">
</t>
        </r>
      </text>
    </comment>
  </commentList>
</comments>
</file>

<file path=xl/sharedStrings.xml><?xml version="1.0" encoding="utf-8"?>
<sst xmlns="http://schemas.openxmlformats.org/spreadsheetml/2006/main" count="834" uniqueCount="484">
  <si>
    <t>既存改善開発</t>
    <rPh sb="0" eb="2">
      <t>キソン</t>
    </rPh>
    <rPh sb="2" eb="4">
      <t>カイゼン</t>
    </rPh>
    <rPh sb="4" eb="6">
      <t>カイハツ</t>
    </rPh>
    <phoneticPr fontId="10"/>
  </si>
  <si>
    <t>D</t>
    <phoneticPr fontId="10"/>
  </si>
  <si>
    <t>要件</t>
    <rPh sb="0" eb="2">
      <t>ヨウケン</t>
    </rPh>
    <phoneticPr fontId="10"/>
  </si>
  <si>
    <t>－</t>
    <phoneticPr fontId="10"/>
  </si>
  <si>
    <t>xx</t>
    <phoneticPr fontId="10"/>
  </si>
  <si>
    <t>SEQ</t>
    <phoneticPr fontId="10"/>
  </si>
  <si>
    <t>外部</t>
    <rPh sb="0" eb="2">
      <t>ガイブ</t>
    </rPh>
    <phoneticPr fontId="10"/>
  </si>
  <si>
    <t>一覧</t>
    <rPh sb="0" eb="2">
      <t>イチラン</t>
    </rPh>
    <phoneticPr fontId="10"/>
  </si>
  <si>
    <t>内部</t>
    <rPh sb="0" eb="2">
      <t>ナイブ</t>
    </rPh>
    <phoneticPr fontId="10"/>
  </si>
  <si>
    <t>成果物一覧</t>
    <rPh sb="0" eb="3">
      <t>セイカブツ</t>
    </rPh>
    <rPh sb="3" eb="5">
      <t>イチラン</t>
    </rPh>
    <phoneticPr fontId="10"/>
  </si>
  <si>
    <t>製造・テスト</t>
    <rPh sb="0" eb="2">
      <t>セイゾウ</t>
    </rPh>
    <phoneticPr fontId="10"/>
  </si>
  <si>
    <t>EUC</t>
    <phoneticPr fontId="10"/>
  </si>
  <si>
    <t>system-i</t>
    <phoneticPr fontId="10"/>
  </si>
  <si>
    <t>再構築</t>
    <rPh sb="0" eb="3">
      <t>サイコウチク</t>
    </rPh>
    <phoneticPr fontId="10"/>
  </si>
  <si>
    <t>F</t>
    <phoneticPr fontId="10"/>
  </si>
  <si>
    <t>要求分析</t>
    <rPh sb="0" eb="2">
      <t>ヨウキュウ</t>
    </rPh>
    <rPh sb="2" eb="4">
      <t>ブンセキ</t>
    </rPh>
    <phoneticPr fontId="10"/>
  </si>
  <si>
    <t>00</t>
    <phoneticPr fontId="10"/>
  </si>
  <si>
    <t>-</t>
    <phoneticPr fontId="10"/>
  </si>
  <si>
    <t>開発計画</t>
    <rPh sb="0" eb="2">
      <t>カイハツ</t>
    </rPh>
    <rPh sb="2" eb="4">
      <t>ケイカク</t>
    </rPh>
    <phoneticPr fontId="10"/>
  </si>
  <si>
    <t>01～89</t>
    <phoneticPr fontId="10"/>
  </si>
  <si>
    <t>様式種類詳細</t>
    <rPh sb="0" eb="2">
      <t>ヨウシキ</t>
    </rPh>
    <rPh sb="2" eb="4">
      <t>シュルイ</t>
    </rPh>
    <rPh sb="4" eb="6">
      <t>ショウサイ</t>
    </rPh>
    <phoneticPr fontId="10"/>
  </si>
  <si>
    <t>汎用用紙</t>
    <rPh sb="0" eb="2">
      <t>ハンヨウ</t>
    </rPh>
    <rPh sb="2" eb="4">
      <t>ヨウシ</t>
    </rPh>
    <phoneticPr fontId="10"/>
  </si>
  <si>
    <t>【様式番号採番ルール】</t>
    <rPh sb="1" eb="3">
      <t>ヨウシキ</t>
    </rPh>
    <rPh sb="3" eb="5">
      <t>バンゴウ</t>
    </rPh>
    <rPh sb="5" eb="7">
      <t>サイバン</t>
    </rPh>
    <phoneticPr fontId="10"/>
  </si>
  <si>
    <t>＜採番ルール作成にあたっての考え方＞</t>
  </si>
  <si>
    <t>　１．既存設計書の様式番号体系は引き継がず、再構築以降で使用する設計書様式として</t>
    <rPh sb="9" eb="11">
      <t>ヨウシキ</t>
    </rPh>
    <rPh sb="16" eb="17">
      <t>ヒ</t>
    </rPh>
    <rPh sb="18" eb="19">
      <t>ツ</t>
    </rPh>
    <phoneticPr fontId="10"/>
  </si>
  <si>
    <t>　　　新規に採番する</t>
    <phoneticPr fontId="10"/>
  </si>
  <si>
    <t>　２．各種の一覧表は、設計書ファイルを並べた際、個別の設計書より前になるように考慮する</t>
  </si>
  <si>
    <t>　３．その他、汎用的に利用する設計書様式（汎用用紙）は、ファイルを並べた際、他の設計書の</t>
  </si>
  <si>
    <t>　　　中に混じらないよう考慮する</t>
    <phoneticPr fontId="10"/>
  </si>
  <si>
    <t>　４．工程別の成果物一覧は、どの設計書様式よりも前に位置づけられるように採番する</t>
    <phoneticPr fontId="10"/>
  </si>
  <si>
    <t>番号体系　：</t>
    <rPh sb="0" eb="2">
      <t>バンゴウ</t>
    </rPh>
    <rPh sb="2" eb="4">
      <t>タイケイ</t>
    </rPh>
    <phoneticPr fontId="10"/>
  </si>
  <si>
    <t>ＡＢＣＤＥ－ｘｘ</t>
    <phoneticPr fontId="10"/>
  </si>
  <si>
    <t>Ａ　：</t>
    <phoneticPr fontId="10"/>
  </si>
  <si>
    <t>既存、再構築　区分</t>
    <rPh sb="0" eb="2">
      <t>キソン</t>
    </rPh>
    <rPh sb="3" eb="6">
      <t>サイコウチク</t>
    </rPh>
    <rPh sb="7" eb="9">
      <t>クブン</t>
    </rPh>
    <phoneticPr fontId="10"/>
  </si>
  <si>
    <t>既存システム改善開発設計書類</t>
    <rPh sb="0" eb="2">
      <t>キソン</t>
    </rPh>
    <rPh sb="6" eb="8">
      <t>カイゼン</t>
    </rPh>
    <rPh sb="8" eb="10">
      <t>カイハツ</t>
    </rPh>
    <rPh sb="10" eb="13">
      <t>セッケイショ</t>
    </rPh>
    <rPh sb="13" eb="14">
      <t>ルイ</t>
    </rPh>
    <phoneticPr fontId="10"/>
  </si>
  <si>
    <t>再構築プロジェクトの設計書類　※再構築対象となった移行は”Ｆ”で始まる設計書を使用する。</t>
    <rPh sb="0" eb="3">
      <t>サイコウチク</t>
    </rPh>
    <rPh sb="10" eb="13">
      <t>セッケイショ</t>
    </rPh>
    <rPh sb="12" eb="14">
      <t>ショルイ</t>
    </rPh>
    <rPh sb="16" eb="19">
      <t>サイコウチク</t>
    </rPh>
    <rPh sb="19" eb="21">
      <t>タイショウ</t>
    </rPh>
    <rPh sb="25" eb="27">
      <t>イコウ</t>
    </rPh>
    <rPh sb="32" eb="33">
      <t>ハジ</t>
    </rPh>
    <rPh sb="35" eb="38">
      <t>セッケイショ</t>
    </rPh>
    <rPh sb="39" eb="41">
      <t>シヨウ</t>
    </rPh>
    <phoneticPr fontId="10"/>
  </si>
  <si>
    <t>Ｂ　：</t>
    <phoneticPr fontId="10"/>
  </si>
  <si>
    <t>開発工程識別区分</t>
    <rPh sb="0" eb="2">
      <t>カイハツ</t>
    </rPh>
    <rPh sb="2" eb="4">
      <t>コウテイ</t>
    </rPh>
    <rPh sb="4" eb="6">
      <t>シキベツ</t>
    </rPh>
    <rPh sb="6" eb="8">
      <t>クブン</t>
    </rPh>
    <phoneticPr fontId="10"/>
  </si>
  <si>
    <t>1</t>
    <phoneticPr fontId="10"/>
  </si>
  <si>
    <t>　・・</t>
    <phoneticPr fontId="10"/>
  </si>
  <si>
    <t>HIS未使用</t>
    <rPh sb="3" eb="6">
      <t>ミシヨウ</t>
    </rPh>
    <phoneticPr fontId="10"/>
  </si>
  <si>
    <t>2</t>
    <phoneticPr fontId="10"/>
  </si>
  <si>
    <t>3</t>
  </si>
  <si>
    <t>要件定義</t>
    <rPh sb="0" eb="2">
      <t>ヨウケン</t>
    </rPh>
    <rPh sb="2" eb="4">
      <t>テイギ</t>
    </rPh>
    <phoneticPr fontId="10"/>
  </si>
  <si>
    <t>4</t>
  </si>
  <si>
    <t>外部設計</t>
    <rPh sb="0" eb="2">
      <t>ガイブ</t>
    </rPh>
    <rPh sb="2" eb="4">
      <t>セッケイ</t>
    </rPh>
    <phoneticPr fontId="10"/>
  </si>
  <si>
    <t>5</t>
  </si>
  <si>
    <t>内部設計</t>
    <rPh sb="0" eb="2">
      <t>ナイブ</t>
    </rPh>
    <rPh sb="2" eb="4">
      <t>セッケイ</t>
    </rPh>
    <phoneticPr fontId="10"/>
  </si>
  <si>
    <t>Ｃ　:</t>
    <phoneticPr fontId="10"/>
  </si>
  <si>
    <t>様式区分</t>
    <rPh sb="0" eb="2">
      <t>ヨウシキ</t>
    </rPh>
    <rPh sb="2" eb="4">
      <t>クブン</t>
    </rPh>
    <phoneticPr fontId="10"/>
  </si>
  <si>
    <t>0</t>
    <phoneticPr fontId="10"/>
  </si>
  <si>
    <t>一覧表の様式</t>
    <rPh sb="0" eb="3">
      <t>イチランヒョウ</t>
    </rPh>
    <rPh sb="4" eb="6">
      <t>ヨウシキ</t>
    </rPh>
    <phoneticPr fontId="10"/>
  </si>
  <si>
    <t>一覧表以外の様式</t>
    <rPh sb="0" eb="3">
      <t>イチランヒョウ</t>
    </rPh>
    <rPh sb="3" eb="5">
      <t>イガイ</t>
    </rPh>
    <rPh sb="6" eb="8">
      <t>ヨウシキ</t>
    </rPh>
    <phoneticPr fontId="10"/>
  </si>
  <si>
    <t>ＤＥ：</t>
    <phoneticPr fontId="10"/>
  </si>
  <si>
    <t>様式識別番号</t>
    <rPh sb="0" eb="2">
      <t>ヨウシキ</t>
    </rPh>
    <rPh sb="2" eb="6">
      <t>シキベツバンゴウ</t>
    </rPh>
    <phoneticPr fontId="10"/>
  </si>
  <si>
    <t>成果物一覧表</t>
    <rPh sb="0" eb="3">
      <t>セイカブツ</t>
    </rPh>
    <rPh sb="3" eb="6">
      <t>イチランヒョウ</t>
    </rPh>
    <phoneticPr fontId="10"/>
  </si>
  <si>
    <t>様式番号（SEQに採番）</t>
    <rPh sb="0" eb="2">
      <t>ヨウシキ</t>
    </rPh>
    <rPh sb="2" eb="4">
      <t>バンゴウ</t>
    </rPh>
    <rPh sb="9" eb="11">
      <t>サイバン</t>
    </rPh>
    <phoneticPr fontId="10"/>
  </si>
  <si>
    <t>90～99</t>
    <phoneticPr fontId="10"/>
  </si>
  <si>
    <t>汎用用紙（SEQに採番）</t>
    <rPh sb="0" eb="2">
      <t>ハンヨウ</t>
    </rPh>
    <rPh sb="2" eb="4">
      <t>ヨウシ</t>
    </rPh>
    <rPh sb="9" eb="11">
      <t>サイバン</t>
    </rPh>
    <phoneticPr fontId="10"/>
  </si>
  <si>
    <t>　　※　設計書の保管単位を表す場合は　”－ｘｘ”　の記載なし</t>
    <rPh sb="4" eb="7">
      <t>セッケイショ</t>
    </rPh>
    <rPh sb="8" eb="10">
      <t>ホカン</t>
    </rPh>
    <rPh sb="10" eb="12">
      <t>タンイ</t>
    </rPh>
    <rPh sb="13" eb="14">
      <t>アラワ</t>
    </rPh>
    <rPh sb="15" eb="17">
      <t>バアイ</t>
    </rPh>
    <rPh sb="26" eb="28">
      <t>キサイ</t>
    </rPh>
    <phoneticPr fontId="10"/>
  </si>
  <si>
    <t>固定</t>
    <rPh sb="0" eb="2">
      <t>コテイ</t>
    </rPh>
    <phoneticPr fontId="10"/>
  </si>
  <si>
    <t>ｘｘ：</t>
    <phoneticPr fontId="10"/>
  </si>
  <si>
    <t>様式識別詳細</t>
    <rPh sb="0" eb="2">
      <t>ヨウシキ</t>
    </rPh>
    <rPh sb="2" eb="4">
      <t>シキベツ</t>
    </rPh>
    <rPh sb="4" eb="6">
      <t>ショウサイ</t>
    </rPh>
    <phoneticPr fontId="10"/>
  </si>
  <si>
    <t>一つの設計書に複数の様式がない場合は"0"（固定）</t>
    <rPh sb="0" eb="1">
      <t>ヒト</t>
    </rPh>
    <rPh sb="3" eb="6">
      <t>セッケイショ</t>
    </rPh>
    <rPh sb="7" eb="9">
      <t>フクスウ</t>
    </rPh>
    <rPh sb="10" eb="12">
      <t>ヨウシキ</t>
    </rPh>
    <rPh sb="15" eb="17">
      <t>バアイ</t>
    </rPh>
    <rPh sb="22" eb="24">
      <t>コテイ</t>
    </rPh>
    <phoneticPr fontId="10"/>
  </si>
  <si>
    <t>1～99</t>
    <phoneticPr fontId="10"/>
  </si>
  <si>
    <t>一つの設計書に複数の様式がある場合は"1"～"99"（連番）</t>
    <rPh sb="0" eb="1">
      <t>ヒト</t>
    </rPh>
    <rPh sb="3" eb="6">
      <t>セッケイショ</t>
    </rPh>
    <rPh sb="7" eb="9">
      <t>フクスウ</t>
    </rPh>
    <rPh sb="10" eb="12">
      <t>ヨウシキ</t>
    </rPh>
    <rPh sb="15" eb="17">
      <t>バアイ</t>
    </rPh>
    <rPh sb="27" eb="29">
      <t>レンバン</t>
    </rPh>
    <phoneticPr fontId="10"/>
  </si>
  <si>
    <t>例１）</t>
    <rPh sb="0" eb="1">
      <t>レイ</t>
    </rPh>
    <phoneticPr fontId="10"/>
  </si>
  <si>
    <t>再構築プロジェクトの外部設計書　成果物一覧表</t>
    <rPh sb="0" eb="3">
      <t>サイコウチク</t>
    </rPh>
    <rPh sb="10" eb="15">
      <t>ガイブセッケイショ</t>
    </rPh>
    <rPh sb="16" eb="19">
      <t>セイカブツ</t>
    </rPh>
    <rPh sb="19" eb="21">
      <t>イチラン</t>
    </rPh>
    <rPh sb="21" eb="22">
      <t>ヒョウ</t>
    </rPh>
    <phoneticPr fontId="10"/>
  </si>
  <si>
    <t>F4000-0</t>
    <phoneticPr fontId="10"/>
  </si>
  <si>
    <t>Ａ</t>
    <phoneticPr fontId="10"/>
  </si>
  <si>
    <t>Ｂ</t>
  </si>
  <si>
    <t>4</t>
    <phoneticPr fontId="10"/>
  </si>
  <si>
    <t>Ｃ</t>
    <phoneticPr fontId="10"/>
  </si>
  <si>
    <t>ＤＥ</t>
    <phoneticPr fontId="10"/>
  </si>
  <si>
    <t>ｘｘ</t>
    <phoneticPr fontId="10"/>
  </si>
  <si>
    <t>例２）</t>
    <rPh sb="0" eb="1">
      <t>レイ</t>
    </rPh>
    <phoneticPr fontId="10"/>
  </si>
  <si>
    <t>再構築プロジェクトの外部設計工程　　画面設計書</t>
    <rPh sb="0" eb="3">
      <t>サイコウチク</t>
    </rPh>
    <rPh sb="10" eb="12">
      <t>ガイブ</t>
    </rPh>
    <rPh sb="12" eb="14">
      <t>セッケイ</t>
    </rPh>
    <rPh sb="14" eb="16">
      <t>コウテイ</t>
    </rPh>
    <rPh sb="18" eb="20">
      <t>ガメン</t>
    </rPh>
    <rPh sb="20" eb="23">
      <t>セッケイショ</t>
    </rPh>
    <phoneticPr fontId="10"/>
  </si>
  <si>
    <t>F4106</t>
    <phoneticPr fontId="10"/>
  </si>
  <si>
    <t>※画面設計書は機能単位に設計書を作成・保管する。</t>
    <rPh sb="1" eb="3">
      <t>ガメン</t>
    </rPh>
    <rPh sb="3" eb="6">
      <t>セッケイショ</t>
    </rPh>
    <rPh sb="7" eb="9">
      <t>キノウ</t>
    </rPh>
    <rPh sb="9" eb="11">
      <t>タンイ</t>
    </rPh>
    <rPh sb="12" eb="15">
      <t>セッケイショ</t>
    </rPh>
    <rPh sb="16" eb="18">
      <t>サクセイ</t>
    </rPh>
    <rPh sb="19" eb="21">
      <t>ホカン</t>
    </rPh>
    <phoneticPr fontId="10"/>
  </si>
  <si>
    <t>06</t>
    <phoneticPr fontId="10"/>
  </si>
  <si>
    <t>　なし</t>
    <phoneticPr fontId="10"/>
  </si>
  <si>
    <t>例３）</t>
    <rPh sb="0" eb="1">
      <t>レイ</t>
    </rPh>
    <phoneticPr fontId="10"/>
  </si>
  <si>
    <t>再構築プロジェクトの外部設計工程　　画面設計書（項目説明）</t>
    <rPh sb="0" eb="3">
      <t>サイコウチク</t>
    </rPh>
    <rPh sb="10" eb="12">
      <t>ガイブ</t>
    </rPh>
    <rPh sb="12" eb="14">
      <t>セッケイ</t>
    </rPh>
    <rPh sb="14" eb="16">
      <t>コウテイ</t>
    </rPh>
    <rPh sb="18" eb="20">
      <t>ガメン</t>
    </rPh>
    <rPh sb="20" eb="23">
      <t>セッケイショ</t>
    </rPh>
    <rPh sb="24" eb="26">
      <t>コウモク</t>
    </rPh>
    <rPh sb="26" eb="28">
      <t>セツメイ</t>
    </rPh>
    <phoneticPr fontId="10"/>
  </si>
  <si>
    <t>F4106-3</t>
    <phoneticPr fontId="10"/>
  </si>
  <si>
    <t>3</t>
    <phoneticPr fontId="10"/>
  </si>
  <si>
    <t>Phase 外部設計工程</t>
    <rPh sb="6" eb="8">
      <t>ガイブ</t>
    </rPh>
    <rPh sb="8" eb="10">
      <t>セッケイ</t>
    </rPh>
    <rPh sb="10" eb="12">
      <t>コウテイ</t>
    </rPh>
    <phoneticPr fontId="3"/>
  </si>
  <si>
    <t>HOKUREN INTERNAL USE ONLY</t>
    <phoneticPr fontId="3"/>
  </si>
  <si>
    <t>成果物一覧</t>
    <rPh sb="0" eb="2">
      <t>セイカ</t>
    </rPh>
    <rPh sb="2" eb="3">
      <t>ブツ</t>
    </rPh>
    <rPh sb="3" eb="5">
      <t>イチラン</t>
    </rPh>
    <phoneticPr fontId="3"/>
  </si>
  <si>
    <t>様式№：F0000</t>
    <rPh sb="0" eb="2">
      <t>ヨウシキ</t>
    </rPh>
    <phoneticPr fontId="3"/>
  </si>
  <si>
    <r>
      <t>補足資料　</t>
    </r>
    <r>
      <rPr>
        <rFont val="ＭＳ 明朝"/>
        <charset val="128"/>
        <family val="1"/>
        <sz val="12"/>
      </rPr>
      <t>（１）開発工程別成果物一覧（業務システム開発時）</t>
    </r>
    <rPh sb="0" eb="2">
      <t>ホソク</t>
    </rPh>
    <rPh sb="2" eb="4">
      <t>シリョウ</t>
    </rPh>
    <rPh sb="8" eb="10">
      <t>カイハツ</t>
    </rPh>
    <rPh sb="10" eb="12">
      <t>コウテイ</t>
    </rPh>
    <rPh sb="12" eb="13">
      <t>ベツ</t>
    </rPh>
    <rPh sb="13" eb="15">
      <t>セイカ</t>
    </rPh>
    <rPh sb="15" eb="16">
      <t>ブツ</t>
    </rPh>
    <rPh sb="16" eb="18">
      <t>イチラン</t>
    </rPh>
    <rPh sb="19" eb="21">
      <t>ギョウム</t>
    </rPh>
    <rPh sb="25" eb="27">
      <t>カイハツ</t>
    </rPh>
    <rPh sb="27" eb="28">
      <t>ジ</t>
    </rPh>
    <phoneticPr fontId="2"/>
  </si>
  <si>
    <t>sys-CD：システム管理コードを指定します。　　[xxxxxx] のカッコ内は変数を表しています。</t>
    <rPh sb="11" eb="13">
      <t>カンリ</t>
    </rPh>
    <rPh sb="17" eb="19">
      <t>シテイ</t>
    </rPh>
    <rPh sb="38" eb="39">
      <t>ナイ</t>
    </rPh>
    <rPh sb="40" eb="42">
      <t>ヘンスウ</t>
    </rPh>
    <rPh sb="43" eb="44">
      <t>アラワ</t>
    </rPh>
    <phoneticPr fontId="10"/>
  </si>
  <si>
    <t>　　　　　成果物名称</t>
  </si>
  <si>
    <t>成果物略称</t>
    <rPh sb="0" eb="3">
      <t>セイカブツ</t>
    </rPh>
    <rPh sb="3" eb="5">
      <t>リャクショウ</t>
    </rPh>
    <phoneticPr fontId="3"/>
  </si>
  <si>
    <t>　　様式№</t>
  </si>
  <si>
    <t>作成対象</t>
    <rPh sb="0" eb="2">
      <t>サクセイ</t>
    </rPh>
    <rPh sb="2" eb="4">
      <t>タイショウ</t>
    </rPh>
    <phoneticPr fontId="3"/>
  </si>
  <si>
    <t>保管ファイル名</t>
    <rPh sb="0" eb="2">
      <t>ホカン</t>
    </rPh>
    <rPh sb="6" eb="7">
      <t>メイ</t>
    </rPh>
    <phoneticPr fontId="3"/>
  </si>
  <si>
    <t>シート数</t>
    <rPh sb="3" eb="4">
      <t>スウ</t>
    </rPh>
    <phoneticPr fontId="3"/>
  </si>
  <si>
    <t>シート名</t>
    <rPh sb="3" eb="4">
      <t>メイ</t>
    </rPh>
    <phoneticPr fontId="3"/>
  </si>
  <si>
    <t>作成ソフト</t>
    <rPh sb="0" eb="2">
      <t>サクセイ</t>
    </rPh>
    <phoneticPr fontId="3"/>
  </si>
  <si>
    <t>備考</t>
    <rPh sb="0" eb="2">
      <t>ビコウ</t>
    </rPh>
    <phoneticPr fontId="3"/>
  </si>
  <si>
    <t>変更</t>
    <rPh sb="0" eb="2">
      <t>ヘンコウ</t>
    </rPh>
    <phoneticPr fontId="10"/>
  </si>
  <si>
    <t>成果物一覧表</t>
    <rPh sb="0" eb="3">
      <t>セイカブツ</t>
    </rPh>
    <rPh sb="3" eb="5">
      <t>イチラン</t>
    </rPh>
    <rPh sb="5" eb="6">
      <t>ヒョウ</t>
    </rPh>
    <phoneticPr fontId="2"/>
  </si>
  <si>
    <t>成果物一覧</t>
    <rPh sb="0" eb="3">
      <t>セイカブツ</t>
    </rPh>
    <rPh sb="3" eb="5">
      <t>イチラン</t>
    </rPh>
    <phoneticPr fontId="2"/>
  </si>
  <si>
    <t>Ｆ４０００－０</t>
    <phoneticPr fontId="3"/>
  </si>
  <si>
    <t>1</t>
    <phoneticPr fontId="3"/>
  </si>
  <si>
    <t>外部設計</t>
    <rPh sb="0" eb="2">
      <t>ガイブ</t>
    </rPh>
    <rPh sb="2" eb="4">
      <t>セッケイ</t>
    </rPh>
    <phoneticPr fontId="3"/>
  </si>
  <si>
    <t>ＥＸＣＥＬ</t>
    <phoneticPr fontId="2"/>
  </si>
  <si>
    <t>データストア一覧</t>
    <rPh sb="6" eb="8">
      <t>イチラン</t>
    </rPh>
    <phoneticPr fontId="3"/>
  </si>
  <si>
    <t>Ｆ４００１－０</t>
    <phoneticPr fontId="3"/>
  </si>
  <si>
    <t>F4001</t>
    <phoneticPr fontId="3"/>
  </si>
  <si>
    <t>任意</t>
    <rPh sb="0" eb="2">
      <t>ニンイ</t>
    </rPh>
    <phoneticPr fontId="3"/>
  </si>
  <si>
    <t>画面一覧</t>
    <rPh sb="0" eb="2">
      <t>ガメン</t>
    </rPh>
    <rPh sb="2" eb="4">
      <t>イチラン</t>
    </rPh>
    <phoneticPr fontId="3"/>
  </si>
  <si>
    <t>Ｆ４００２－０</t>
    <phoneticPr fontId="3"/>
  </si>
  <si>
    <t>F4002</t>
    <phoneticPr fontId="3"/>
  </si>
  <si>
    <t>○</t>
    <phoneticPr fontId="3"/>
  </si>
  <si>
    <t>1～</t>
    <phoneticPr fontId="3"/>
  </si>
  <si>
    <t>[業務名]</t>
    <rPh sb="1" eb="4">
      <t>ギョウムメイ</t>
    </rPh>
    <phoneticPr fontId="3"/>
  </si>
  <si>
    <t>帳票一覧</t>
    <rPh sb="0" eb="2">
      <t>チョウヒョウ</t>
    </rPh>
    <rPh sb="2" eb="4">
      <t>イチラン</t>
    </rPh>
    <phoneticPr fontId="3"/>
  </si>
  <si>
    <t>Ｆ４００３－０</t>
    <phoneticPr fontId="3"/>
  </si>
  <si>
    <t>F4003</t>
    <phoneticPr fontId="3"/>
  </si>
  <si>
    <t>ＣＳＶファイル一覧</t>
    <rPh sb="7" eb="9">
      <t>イチラン</t>
    </rPh>
    <phoneticPr fontId="3"/>
  </si>
  <si>
    <t>Ｆ４００４－０</t>
    <phoneticPr fontId="3"/>
  </si>
  <si>
    <t>F4004</t>
    <phoneticPr fontId="3"/>
  </si>
  <si>
    <t>物理ファイル名　を追加</t>
    <rPh sb="0" eb="2">
      <t>ブツリ</t>
    </rPh>
    <rPh sb="6" eb="7">
      <t>メイ</t>
    </rPh>
    <rPh sb="9" eb="11">
      <t>ツイカ</t>
    </rPh>
    <phoneticPr fontId="10"/>
  </si>
  <si>
    <t>テーブル一覧</t>
    <rPh sb="4" eb="6">
      <t>イチラン</t>
    </rPh>
    <phoneticPr fontId="3"/>
  </si>
  <si>
    <t>Ｆ４００５－０</t>
    <phoneticPr fontId="3"/>
  </si>
  <si>
    <t>F4005</t>
  </si>
  <si>
    <t>名称変更　変更前：論理ﾌｧｲﾙ一覧</t>
    <rPh sb="0" eb="2">
      <t>メイショウ</t>
    </rPh>
    <rPh sb="2" eb="4">
      <t>ヘンコウ</t>
    </rPh>
    <rPh sb="5" eb="7">
      <t>ヘンコウ</t>
    </rPh>
    <rPh sb="7" eb="8">
      <t>マエ</t>
    </rPh>
    <rPh sb="9" eb="11">
      <t>ロンリ</t>
    </rPh>
    <rPh sb="15" eb="17">
      <t>イチラン</t>
    </rPh>
    <phoneticPr fontId="10"/>
  </si>
  <si>
    <t>対外インターフェース一覧</t>
    <rPh sb="0" eb="2">
      <t>タイガイ</t>
    </rPh>
    <rPh sb="10" eb="12">
      <t>イチラン</t>
    </rPh>
    <phoneticPr fontId="3"/>
  </si>
  <si>
    <t>対外連動ＩＦ一覧</t>
    <rPh sb="0" eb="2">
      <t>タイガイ</t>
    </rPh>
    <rPh sb="2" eb="4">
      <t>レンドウ</t>
    </rPh>
    <rPh sb="6" eb="8">
      <t>イチラン</t>
    </rPh>
    <phoneticPr fontId="3"/>
  </si>
  <si>
    <t>Ｆ４００６－０</t>
    <phoneticPr fontId="3"/>
  </si>
  <si>
    <t>F4006</t>
  </si>
  <si>
    <t>他システム連動インターフェース一覧</t>
    <rPh sb="0" eb="1">
      <t>タ</t>
    </rPh>
    <rPh sb="5" eb="7">
      <t>レンドウ</t>
    </rPh>
    <rPh sb="15" eb="17">
      <t>イチラン</t>
    </rPh>
    <phoneticPr fontId="3"/>
  </si>
  <si>
    <t>他システム連動ＩＦ一覧</t>
    <rPh sb="0" eb="1">
      <t>タ</t>
    </rPh>
    <rPh sb="5" eb="7">
      <t>レンドウ</t>
    </rPh>
    <rPh sb="9" eb="11">
      <t>イチラン</t>
    </rPh>
    <phoneticPr fontId="3"/>
  </si>
  <si>
    <t>Ｆ４００７－０</t>
    <phoneticPr fontId="3"/>
  </si>
  <si>
    <t>F4007</t>
  </si>
  <si>
    <t>外部設計書　補足説明一覧</t>
    <rPh sb="0" eb="2">
      <t>ガイブ</t>
    </rPh>
    <rPh sb="2" eb="5">
      <t>セッケイショ</t>
    </rPh>
    <rPh sb="6" eb="8">
      <t>ホソク</t>
    </rPh>
    <rPh sb="8" eb="10">
      <t>セツメイ</t>
    </rPh>
    <rPh sb="10" eb="12">
      <t>イチラン</t>
    </rPh>
    <phoneticPr fontId="3"/>
  </si>
  <si>
    <t>外部設計書補足説明一覧</t>
    <rPh sb="0" eb="2">
      <t>ガイブ</t>
    </rPh>
    <rPh sb="2" eb="5">
      <t>セッケイショ</t>
    </rPh>
    <rPh sb="5" eb="7">
      <t>ホソク</t>
    </rPh>
    <rPh sb="7" eb="9">
      <t>セツメイ</t>
    </rPh>
    <rPh sb="9" eb="11">
      <t>イチラン</t>
    </rPh>
    <phoneticPr fontId="3"/>
  </si>
  <si>
    <t>Ｆ４０１１－０</t>
    <phoneticPr fontId="3"/>
  </si>
  <si>
    <t>F4011</t>
    <phoneticPr fontId="3"/>
  </si>
  <si>
    <t>調査項目一覧表</t>
    <rPh sb="0" eb="2">
      <t>チョウサ</t>
    </rPh>
    <rPh sb="2" eb="4">
      <t>コウモク</t>
    </rPh>
    <rPh sb="4" eb="6">
      <t>イチラン</t>
    </rPh>
    <rPh sb="6" eb="7">
      <t>ヒョウ</t>
    </rPh>
    <phoneticPr fontId="3"/>
  </si>
  <si>
    <t>Ｆ４０１２－０</t>
    <phoneticPr fontId="3"/>
  </si>
  <si>
    <t>F4012</t>
    <phoneticPr fontId="3"/>
  </si>
  <si>
    <t>仕様確認一覧表</t>
    <rPh sb="0" eb="2">
      <t>シヨウ</t>
    </rPh>
    <rPh sb="2" eb="4">
      <t>カクニン</t>
    </rPh>
    <rPh sb="4" eb="7">
      <t>イチランヒョウ</t>
    </rPh>
    <phoneticPr fontId="3"/>
  </si>
  <si>
    <t>Ｆ４０１３－０</t>
    <phoneticPr fontId="3"/>
  </si>
  <si>
    <t>F4013</t>
    <phoneticPr fontId="3"/>
  </si>
  <si>
    <t>システム機能階層図</t>
    <rPh sb="4" eb="6">
      <t>キノウ</t>
    </rPh>
    <rPh sb="6" eb="9">
      <t>カイソウズ</t>
    </rPh>
    <phoneticPr fontId="3"/>
  </si>
  <si>
    <t>機能階層図</t>
    <rPh sb="0" eb="2">
      <t>キノウ</t>
    </rPh>
    <rPh sb="2" eb="5">
      <t>カイソウズ</t>
    </rPh>
    <phoneticPr fontId="3"/>
  </si>
  <si>
    <t>Ｆ４１０1－０</t>
    <phoneticPr fontId="3"/>
  </si>
  <si>
    <t>F4101</t>
    <phoneticPr fontId="3"/>
  </si>
  <si>
    <t>データフローダイヤグラム</t>
    <phoneticPr fontId="3"/>
  </si>
  <si>
    <t>ＤＦＤ</t>
    <phoneticPr fontId="3"/>
  </si>
  <si>
    <t>Ｆ４１０２－０</t>
    <phoneticPr fontId="3"/>
  </si>
  <si>
    <t>F4102</t>
  </si>
  <si>
    <t>任意</t>
    <rPh sb="0" eb="1">
      <t>ニンイ</t>
    </rPh>
    <phoneticPr fontId="3"/>
  </si>
  <si>
    <t>処理機能記述書</t>
    <rPh sb="0" eb="2">
      <t>ショリ</t>
    </rPh>
    <rPh sb="2" eb="4">
      <t>キノウ</t>
    </rPh>
    <rPh sb="4" eb="7">
      <t>キジュツショ</t>
    </rPh>
    <phoneticPr fontId="3"/>
  </si>
  <si>
    <t>Ｆ４１０３－０</t>
    <phoneticPr fontId="3"/>
  </si>
  <si>
    <t>データストア記述書</t>
    <rPh sb="6" eb="9">
      <t>キジュツショ</t>
    </rPh>
    <phoneticPr fontId="3"/>
  </si>
  <si>
    <t>ストア記述</t>
    <rPh sb="3" eb="5">
      <t>キジュツ</t>
    </rPh>
    <phoneticPr fontId="3"/>
  </si>
  <si>
    <t>Ｆ４１０４－０</t>
    <phoneticPr fontId="3"/>
  </si>
  <si>
    <t>F4104</t>
  </si>
  <si>
    <t>画面共通編集説明</t>
    <rPh sb="0" eb="2">
      <t>ガメン</t>
    </rPh>
    <rPh sb="2" eb="4">
      <t>キョウツウ</t>
    </rPh>
    <rPh sb="4" eb="6">
      <t>ヘンシュウ</t>
    </rPh>
    <rPh sb="6" eb="8">
      <t>セツメイ</t>
    </rPh>
    <phoneticPr fontId="3"/>
  </si>
  <si>
    <t>Ｆ４１０５－０</t>
    <phoneticPr fontId="3"/>
  </si>
  <si>
    <t>F4105</t>
  </si>
  <si>
    <t>画面設計書</t>
    <rPh sb="0" eb="2">
      <t>ガメン</t>
    </rPh>
    <rPh sb="2" eb="5">
      <t>セッケイショ</t>
    </rPh>
    <phoneticPr fontId="3"/>
  </si>
  <si>
    <t>画面設計</t>
    <rPh sb="0" eb="2">
      <t>ガメン</t>
    </rPh>
    <rPh sb="2" eb="4">
      <t>セッケイ</t>
    </rPh>
    <phoneticPr fontId="3"/>
  </si>
  <si>
    <t>Ｆ４１０６</t>
    <phoneticPr fontId="3"/>
  </si>
  <si>
    <t>F4106</t>
  </si>
  <si>
    <t>　画面遷移図</t>
    <rPh sb="1" eb="3">
      <t>ガメン</t>
    </rPh>
    <rPh sb="3" eb="6">
      <t>センイズ</t>
    </rPh>
    <phoneticPr fontId="3"/>
  </si>
  <si>
    <t>Ｆ４１０６－１</t>
    <phoneticPr fontId="3"/>
  </si>
  <si>
    <t>　レイアウト</t>
    <phoneticPr fontId="3"/>
  </si>
  <si>
    <t>Ｆ４１０６－２</t>
    <phoneticPr fontId="3"/>
  </si>
  <si>
    <t>　レイアウト_[任意]</t>
    <rPh sb="8" eb="10">
      <t>ニンイ</t>
    </rPh>
    <phoneticPr fontId="3"/>
  </si>
  <si>
    <t>　項目説明</t>
    <rPh sb="1" eb="3">
      <t>コウモク</t>
    </rPh>
    <rPh sb="3" eb="5">
      <t>セツメイ</t>
    </rPh>
    <phoneticPr fontId="3"/>
  </si>
  <si>
    <t>Ｆ４１０６－３</t>
    <phoneticPr fontId="3"/>
  </si>
  <si>
    <t>　項目説明_[任意]</t>
    <rPh sb="1" eb="3">
      <t>コウモク</t>
    </rPh>
    <rPh sb="3" eb="5">
      <t>セツメイ</t>
    </rPh>
    <phoneticPr fontId="3"/>
  </si>
  <si>
    <t>　項目チェック（単体）</t>
    <rPh sb="1" eb="3">
      <t>コウモク</t>
    </rPh>
    <rPh sb="8" eb="10">
      <t>タンタイ</t>
    </rPh>
    <phoneticPr fontId="3"/>
  </si>
  <si>
    <t>Ｆ４１０６－４</t>
    <phoneticPr fontId="3"/>
  </si>
  <si>
    <t>　項目チェック（単体）_[任意]</t>
    <rPh sb="1" eb="3">
      <t>コウモク</t>
    </rPh>
    <rPh sb="8" eb="10">
      <t>タンタイ</t>
    </rPh>
    <phoneticPr fontId="3"/>
  </si>
  <si>
    <t>　項目チェック（関連）</t>
    <rPh sb="1" eb="3">
      <t>コウモク</t>
    </rPh>
    <rPh sb="8" eb="10">
      <t>カンレン</t>
    </rPh>
    <phoneticPr fontId="3"/>
  </si>
  <si>
    <t>Ｆ４１０６－５</t>
    <phoneticPr fontId="3"/>
  </si>
  <si>
    <t>　項目チェック（関連）_[任意]</t>
    <rPh sb="1" eb="3">
      <t>コウモク</t>
    </rPh>
    <rPh sb="8" eb="10">
      <t>カンレン</t>
    </rPh>
    <phoneticPr fontId="3"/>
  </si>
  <si>
    <t>　画面機能補足説明書</t>
    <rPh sb="1" eb="3">
      <t>ガメン</t>
    </rPh>
    <rPh sb="3" eb="5">
      <t>キノウ</t>
    </rPh>
    <rPh sb="5" eb="7">
      <t>ホソク</t>
    </rPh>
    <rPh sb="7" eb="9">
      <t>セツメイ</t>
    </rPh>
    <rPh sb="9" eb="10">
      <t>ショ</t>
    </rPh>
    <phoneticPr fontId="3"/>
  </si>
  <si>
    <t>Ｆ４１０６－６</t>
    <phoneticPr fontId="3"/>
  </si>
  <si>
    <t>画面体系図</t>
    <rPh sb="0" eb="2">
      <t>ガメン</t>
    </rPh>
    <rPh sb="2" eb="5">
      <t>タイケイズ</t>
    </rPh>
    <phoneticPr fontId="3"/>
  </si>
  <si>
    <t>Ｆ４１０７－０</t>
    <phoneticPr fontId="3"/>
  </si>
  <si>
    <t>F4107</t>
    <phoneticPr fontId="3"/>
  </si>
  <si>
    <t>帳票共通編集説明</t>
    <rPh sb="0" eb="2">
      <t>チョウヒョウ</t>
    </rPh>
    <rPh sb="2" eb="4">
      <t>キョウツウ</t>
    </rPh>
    <rPh sb="4" eb="6">
      <t>ヘンシュウ</t>
    </rPh>
    <rPh sb="6" eb="8">
      <t>セツメイ</t>
    </rPh>
    <phoneticPr fontId="3"/>
  </si>
  <si>
    <t>Ｆ４１０８－０</t>
    <phoneticPr fontId="3"/>
  </si>
  <si>
    <t>F4108</t>
  </si>
  <si>
    <t>帳票設計書</t>
    <rPh sb="0" eb="2">
      <t>チョウヒョウ</t>
    </rPh>
    <phoneticPr fontId="3"/>
  </si>
  <si>
    <t>Ｆ４１０９</t>
    <phoneticPr fontId="3"/>
  </si>
  <si>
    <t>F4109</t>
  </si>
  <si>
    <t>　帳票レイアウト（１６５×６６）／（１３２×６６）</t>
    <rPh sb="1" eb="3">
      <t>チョウヒョウ</t>
    </rPh>
    <phoneticPr fontId="3"/>
  </si>
  <si>
    <t>Ｆ４１０９－１</t>
    <phoneticPr fontId="3"/>
  </si>
  <si>
    <t>　帳票レイアウト_[任意]</t>
    <rPh sb="1" eb="3">
      <t>チョウヒョウ</t>
    </rPh>
    <phoneticPr fontId="3"/>
  </si>
  <si>
    <t>　帳票イメージ（１６５×６６）／（１３２×６６）</t>
    <rPh sb="1" eb="3">
      <t>チョウヒョウ</t>
    </rPh>
    <phoneticPr fontId="3"/>
  </si>
  <si>
    <t>　帳票イメージ_[任意]</t>
    <rPh sb="1" eb="3">
      <t>チョウヒョウ</t>
    </rPh>
    <phoneticPr fontId="3"/>
  </si>
  <si>
    <t>　条件表</t>
    <rPh sb="1" eb="3">
      <t>ジョウケン</t>
    </rPh>
    <rPh sb="3" eb="4">
      <t>ヒョウ</t>
    </rPh>
    <phoneticPr fontId="3"/>
  </si>
  <si>
    <t>Ｆ４１０９－２</t>
    <phoneticPr fontId="3"/>
  </si>
  <si>
    <t>　条件表_[任意]</t>
    <rPh sb="1" eb="3">
      <t>ジョウケン</t>
    </rPh>
    <rPh sb="3" eb="4">
      <t>ヒョウ</t>
    </rPh>
    <phoneticPr fontId="3"/>
  </si>
  <si>
    <t>Ｆ４１０９－３</t>
    <phoneticPr fontId="3"/>
  </si>
  <si>
    <t>ＣＳＶファイル設計書</t>
    <rPh sb="7" eb="10">
      <t>セッケイショ</t>
    </rPh>
    <phoneticPr fontId="3"/>
  </si>
  <si>
    <t>CSV設計書</t>
    <rPh sb="3" eb="6">
      <t>セッケイショ</t>
    </rPh>
    <phoneticPr fontId="3"/>
  </si>
  <si>
    <t>Ｆ４１１０</t>
    <phoneticPr fontId="3"/>
  </si>
  <si>
    <t>F4110</t>
    <phoneticPr fontId="3"/>
  </si>
  <si>
    <t>　ＣＳＶファイル項目定義書</t>
    <rPh sb="8" eb="10">
      <t>コウモク</t>
    </rPh>
    <rPh sb="10" eb="13">
      <t>テイギショ</t>
    </rPh>
    <phoneticPr fontId="3"/>
  </si>
  <si>
    <t>Ｆ４１１０－１</t>
    <phoneticPr fontId="3"/>
  </si>
  <si>
    <t>　項目定義書_[任意]</t>
    <rPh sb="1" eb="3">
      <t>コウモク</t>
    </rPh>
    <rPh sb="3" eb="6">
      <t>テイギショ</t>
    </rPh>
    <rPh sb="8" eb="10">
      <t>ニンイ</t>
    </rPh>
    <phoneticPr fontId="3"/>
  </si>
  <si>
    <t>　ＣＳＶファイルデータイメージ</t>
    <phoneticPr fontId="3"/>
  </si>
  <si>
    <t>Ｆ４１１０－２</t>
    <phoneticPr fontId="3"/>
  </si>
  <si>
    <t>　ＣＳＶイメージ_[任意]</t>
    <phoneticPr fontId="3"/>
  </si>
  <si>
    <t>　ＣＳＶ取込チェック（単体）</t>
    <rPh sb="4" eb="6">
      <t>トリコミ</t>
    </rPh>
    <rPh sb="11" eb="13">
      <t>タンタイ</t>
    </rPh>
    <phoneticPr fontId="3"/>
  </si>
  <si>
    <t>Ｆ４１１０－３</t>
    <phoneticPr fontId="3"/>
  </si>
  <si>
    <t>　取込チェック・単体_[任意]</t>
    <rPh sb="1" eb="3">
      <t>トリコミ</t>
    </rPh>
    <rPh sb="8" eb="10">
      <t>タンタイ</t>
    </rPh>
    <phoneticPr fontId="3"/>
  </si>
  <si>
    <t>　ＣＳＶ取込チェック（関連）</t>
    <rPh sb="11" eb="13">
      <t>カンレン</t>
    </rPh>
    <phoneticPr fontId="3"/>
  </si>
  <si>
    <t>Ｆ４１１０－４</t>
    <phoneticPr fontId="3"/>
  </si>
  <si>
    <t>　取込チェック・関連_[任意]</t>
    <rPh sb="8" eb="10">
      <t>カンレン</t>
    </rPh>
    <phoneticPr fontId="3"/>
  </si>
  <si>
    <t>対外インターフェース設計書</t>
    <rPh sb="0" eb="2">
      <t>タイガイ</t>
    </rPh>
    <rPh sb="10" eb="13">
      <t>セッケイショ</t>
    </rPh>
    <phoneticPr fontId="3"/>
  </si>
  <si>
    <t>Ｆ４１１１－０</t>
    <phoneticPr fontId="3"/>
  </si>
  <si>
    <t>F4111</t>
    <phoneticPr fontId="3"/>
  </si>
  <si>
    <t>他システム連動インターフェース設計書</t>
    <rPh sb="0" eb="1">
      <t>タ</t>
    </rPh>
    <rPh sb="5" eb="7">
      <t>レンドウ</t>
    </rPh>
    <rPh sb="15" eb="18">
      <t>セッケイショ</t>
    </rPh>
    <phoneticPr fontId="3"/>
  </si>
  <si>
    <t>Ｆ４１１２－０</t>
    <phoneticPr fontId="3"/>
  </si>
  <si>
    <t>F4112</t>
  </si>
  <si>
    <t>テーブル設計書</t>
    <rPh sb="4" eb="7">
      <t>セッケイショ</t>
    </rPh>
    <phoneticPr fontId="3"/>
  </si>
  <si>
    <t>Ｆ４１１３－０</t>
    <phoneticPr fontId="3"/>
  </si>
  <si>
    <t>F4113</t>
  </si>
  <si>
    <t>名称変更　変更前：論理ﾌｧｲﾙ設計書</t>
    <rPh sb="0" eb="2">
      <t>メイショウ</t>
    </rPh>
    <rPh sb="2" eb="4">
      <t>ヘンコウ</t>
    </rPh>
    <rPh sb="5" eb="7">
      <t>ヘンコウ</t>
    </rPh>
    <rPh sb="7" eb="8">
      <t>マエ</t>
    </rPh>
    <rPh sb="9" eb="11">
      <t>ロンリ</t>
    </rPh>
    <rPh sb="15" eb="18">
      <t>セッケイショ</t>
    </rPh>
    <phoneticPr fontId="10"/>
  </si>
  <si>
    <t>ＥＲＤ（ｴﾝﾃｨﾃｲﾘﾚｰｼｮﾝｼｯﾌﾟﾀﾞｲﾔｸﾞﾗﾑ）</t>
    <phoneticPr fontId="3"/>
  </si>
  <si>
    <t>ＥＲ図</t>
    <rPh sb="2" eb="3">
      <t>ズ</t>
    </rPh>
    <phoneticPr fontId="3"/>
  </si>
  <si>
    <t>Ｆ４１１４－０</t>
    <phoneticPr fontId="3"/>
  </si>
  <si>
    <t>F4114</t>
  </si>
  <si>
    <t>名称変更　変更前：論理ＥＲＤ</t>
    <rPh sb="0" eb="2">
      <t>メイショウ</t>
    </rPh>
    <rPh sb="2" eb="4">
      <t>ヘンコウ</t>
    </rPh>
    <rPh sb="5" eb="7">
      <t>ヘンコウ</t>
    </rPh>
    <rPh sb="7" eb="8">
      <t>マエ</t>
    </rPh>
    <rPh sb="9" eb="11">
      <t>ロンリ</t>
    </rPh>
    <phoneticPr fontId="10"/>
  </si>
  <si>
    <t>外部コード表</t>
    <rPh sb="0" eb="2">
      <t>ガイブ</t>
    </rPh>
    <rPh sb="5" eb="6">
      <t>ヒョウ</t>
    </rPh>
    <phoneticPr fontId="3"/>
  </si>
  <si>
    <t>Ｆ４１１５－０</t>
    <phoneticPr fontId="3"/>
  </si>
  <si>
    <t>F4115</t>
  </si>
  <si>
    <t>業務障害回復設計書</t>
    <rPh sb="0" eb="2">
      <t>ギョウム</t>
    </rPh>
    <rPh sb="2" eb="4">
      <t>ショウガイ</t>
    </rPh>
    <rPh sb="4" eb="6">
      <t>カイフク</t>
    </rPh>
    <rPh sb="6" eb="9">
      <t>セッケイショ</t>
    </rPh>
    <phoneticPr fontId="3"/>
  </si>
  <si>
    <t>Ｆ４１１８－０</t>
    <phoneticPr fontId="3"/>
  </si>
  <si>
    <t>F4118</t>
    <phoneticPr fontId="3"/>
  </si>
  <si>
    <t>適用業務フロー</t>
    <rPh sb="0" eb="2">
      <t>テキヨウ</t>
    </rPh>
    <rPh sb="2" eb="4">
      <t>ギョウム</t>
    </rPh>
    <phoneticPr fontId="3"/>
  </si>
  <si>
    <t>業務フロー</t>
    <rPh sb="0" eb="2">
      <t>ギョウム</t>
    </rPh>
    <phoneticPr fontId="3"/>
  </si>
  <si>
    <t>Ｆ４１１９－０</t>
    <phoneticPr fontId="3"/>
  </si>
  <si>
    <t>F4119</t>
  </si>
  <si>
    <t>１～</t>
    <phoneticPr fontId="10"/>
  </si>
  <si>
    <t>共通設計事項説明書</t>
    <rPh sb="0" eb="2">
      <t>キョウツウ</t>
    </rPh>
    <rPh sb="2" eb="4">
      <t>セッケイ</t>
    </rPh>
    <rPh sb="4" eb="6">
      <t>ジコウ</t>
    </rPh>
    <rPh sb="6" eb="9">
      <t>セツメイショ</t>
    </rPh>
    <phoneticPr fontId="3"/>
  </si>
  <si>
    <t>Ｆ４１２１－０</t>
    <phoneticPr fontId="3"/>
  </si>
  <si>
    <t>F4121</t>
    <phoneticPr fontId="3"/>
  </si>
  <si>
    <t>ネットワーク構成図</t>
    <rPh sb="6" eb="9">
      <t>コウセイズ</t>
    </rPh>
    <phoneticPr fontId="3"/>
  </si>
  <si>
    <t>NW構成図</t>
    <rPh sb="2" eb="5">
      <t>コウセイズ</t>
    </rPh>
    <phoneticPr fontId="3"/>
  </si>
  <si>
    <t>Ｆ４１２２－０</t>
    <phoneticPr fontId="3"/>
  </si>
  <si>
    <t>F4122</t>
  </si>
  <si>
    <t>ハードウェア構成図</t>
    <rPh sb="6" eb="9">
      <t>コウセイズ</t>
    </rPh>
    <phoneticPr fontId="3"/>
  </si>
  <si>
    <t>HW構成図</t>
    <rPh sb="2" eb="5">
      <t>コウセイズ</t>
    </rPh>
    <phoneticPr fontId="3"/>
  </si>
  <si>
    <t>Ｆ４１２３－０</t>
    <phoneticPr fontId="3"/>
  </si>
  <si>
    <t>F4123</t>
  </si>
  <si>
    <t>ソフトウェア構成図</t>
    <rPh sb="6" eb="9">
      <t>コウセイズ</t>
    </rPh>
    <phoneticPr fontId="3"/>
  </si>
  <si>
    <t>SW構成図</t>
    <rPh sb="2" eb="5">
      <t>コウセイズ</t>
    </rPh>
    <phoneticPr fontId="3"/>
  </si>
  <si>
    <t>Ｆ４１２４－０</t>
    <phoneticPr fontId="3"/>
  </si>
  <si>
    <t>F4124</t>
  </si>
  <si>
    <t>使用ソフトウェア整理表</t>
    <rPh sb="0" eb="2">
      <t>シヨウ</t>
    </rPh>
    <rPh sb="8" eb="10">
      <t>セイリ</t>
    </rPh>
    <rPh sb="10" eb="11">
      <t>ヒョウ</t>
    </rPh>
    <phoneticPr fontId="3"/>
  </si>
  <si>
    <t>使用SW整理表</t>
    <rPh sb="0" eb="2">
      <t>シヨウ</t>
    </rPh>
    <rPh sb="4" eb="6">
      <t>セイリ</t>
    </rPh>
    <rPh sb="6" eb="7">
      <t>ヒョウ</t>
    </rPh>
    <phoneticPr fontId="3"/>
  </si>
  <si>
    <t>Ｆ４１２５－０</t>
    <phoneticPr fontId="3"/>
  </si>
  <si>
    <t>F4125</t>
  </si>
  <si>
    <t>全体テスト計画書</t>
    <rPh sb="0" eb="2">
      <t>ゼンタイ</t>
    </rPh>
    <rPh sb="5" eb="8">
      <t>ケイカクショ</t>
    </rPh>
    <phoneticPr fontId="3"/>
  </si>
  <si>
    <t>Ｆ４１２６－０</t>
    <phoneticPr fontId="3"/>
  </si>
  <si>
    <t>F4126</t>
  </si>
  <si>
    <t>取引パターン一覧</t>
    <rPh sb="0" eb="2">
      <t>トリヒキ</t>
    </rPh>
    <rPh sb="6" eb="8">
      <t>イチラン</t>
    </rPh>
    <phoneticPr fontId="3"/>
  </si>
  <si>
    <t>Ｆ４４１０－０</t>
    <phoneticPr fontId="3"/>
  </si>
  <si>
    <t>F4410</t>
    <phoneticPr fontId="3"/>
  </si>
  <si>
    <t>仕訳整理記述書</t>
    <rPh sb="0" eb="2">
      <t>シワケ</t>
    </rPh>
    <rPh sb="2" eb="4">
      <t>セイリ</t>
    </rPh>
    <rPh sb="4" eb="6">
      <t>キジュツ</t>
    </rPh>
    <rPh sb="6" eb="7">
      <t>ショ</t>
    </rPh>
    <phoneticPr fontId="3"/>
  </si>
  <si>
    <t>Ｆ４４２０</t>
    <phoneticPr fontId="3"/>
  </si>
  <si>
    <t>F4420</t>
    <phoneticPr fontId="3"/>
  </si>
  <si>
    <t>　仕訳整理基本説明書</t>
    <rPh sb="1" eb="3">
      <t>シワケ</t>
    </rPh>
    <rPh sb="3" eb="5">
      <t>セイリ</t>
    </rPh>
    <rPh sb="5" eb="7">
      <t>キホン</t>
    </rPh>
    <rPh sb="7" eb="10">
      <t>セツメイショ</t>
    </rPh>
    <phoneticPr fontId="3"/>
  </si>
  <si>
    <t>Ｆ４４２０－１</t>
    <phoneticPr fontId="3"/>
  </si>
  <si>
    <t>　仕訳パターン整理表</t>
    <rPh sb="1" eb="3">
      <t>シワケ</t>
    </rPh>
    <rPh sb="7" eb="9">
      <t>セイリ</t>
    </rPh>
    <rPh sb="9" eb="10">
      <t>ヒョウ</t>
    </rPh>
    <phoneticPr fontId="3"/>
  </si>
  <si>
    <t>Ｆ４４２０－２</t>
    <phoneticPr fontId="3"/>
  </si>
  <si>
    <t>移行設計概要書</t>
    <rPh sb="0" eb="2">
      <t>イコウ</t>
    </rPh>
    <rPh sb="2" eb="4">
      <t>セッケイ</t>
    </rPh>
    <rPh sb="4" eb="7">
      <t>ガイヨウショ</t>
    </rPh>
    <phoneticPr fontId="3"/>
  </si>
  <si>
    <t>Ｆ４１５０－０</t>
    <phoneticPr fontId="3"/>
  </si>
  <si>
    <t>F4150</t>
    <phoneticPr fontId="3"/>
  </si>
  <si>
    <t>移行データ一覧</t>
    <rPh sb="0" eb="2">
      <t>イコウ</t>
    </rPh>
    <rPh sb="5" eb="7">
      <t>イチラン</t>
    </rPh>
    <phoneticPr fontId="3"/>
  </si>
  <si>
    <t>Ｆ４１５１－０</t>
    <phoneticPr fontId="3"/>
  </si>
  <si>
    <t>F4151</t>
  </si>
  <si>
    <t>データ移行設計書</t>
    <rPh sb="3" eb="5">
      <t>イコウ</t>
    </rPh>
    <rPh sb="5" eb="8">
      <t>セッケイショ</t>
    </rPh>
    <phoneticPr fontId="3"/>
  </si>
  <si>
    <t>Ｆ４１５２</t>
    <phoneticPr fontId="3"/>
  </si>
  <si>
    <t>F4152</t>
  </si>
  <si>
    <t xml:space="preserve"> データ移行（概要）</t>
    <rPh sb="4" eb="6">
      <t>イコウ</t>
    </rPh>
    <rPh sb="7" eb="9">
      <t>ガイヨウ</t>
    </rPh>
    <phoneticPr fontId="3"/>
  </si>
  <si>
    <t>Ｆ４１５２－１</t>
    <phoneticPr fontId="3"/>
  </si>
  <si>
    <t>ファイル移行（概要）</t>
    <rPh sb="4" eb="6">
      <t>イコウ</t>
    </rPh>
    <rPh sb="7" eb="9">
      <t>ガイヨウ</t>
    </rPh>
    <phoneticPr fontId="3"/>
  </si>
  <si>
    <t xml:space="preserve"> データ移行（項目設定仕様書）</t>
    <rPh sb="4" eb="6">
      <t>イコウ</t>
    </rPh>
    <rPh sb="7" eb="9">
      <t>コウモク</t>
    </rPh>
    <rPh sb="9" eb="11">
      <t>セッテイ</t>
    </rPh>
    <rPh sb="11" eb="13">
      <t>シヨウ</t>
    </rPh>
    <rPh sb="13" eb="14">
      <t>ショ</t>
    </rPh>
    <phoneticPr fontId="3"/>
  </si>
  <si>
    <t>Ｆ４１５２－２</t>
    <phoneticPr fontId="3"/>
  </si>
  <si>
    <t>ファイル移行（項目設定仕様書）</t>
    <rPh sb="4" eb="6">
      <t>イコウ</t>
    </rPh>
    <rPh sb="7" eb="9">
      <t>コウモク</t>
    </rPh>
    <rPh sb="9" eb="11">
      <t>セッテイ</t>
    </rPh>
    <rPh sb="11" eb="13">
      <t>シヨウ</t>
    </rPh>
    <rPh sb="13" eb="14">
      <t>ショ</t>
    </rPh>
    <phoneticPr fontId="3"/>
  </si>
  <si>
    <t>データ移行スケジュール</t>
    <rPh sb="3" eb="5">
      <t>イコウ</t>
    </rPh>
    <phoneticPr fontId="3"/>
  </si>
  <si>
    <t>Ｆ４１５３－０</t>
    <phoneticPr fontId="3"/>
  </si>
  <si>
    <t>F4153</t>
    <phoneticPr fontId="3"/>
  </si>
  <si>
    <t>改善開発概要書</t>
    <rPh sb="0" eb="2">
      <t>カイゼン</t>
    </rPh>
    <rPh sb="2" eb="4">
      <t>カイハツ</t>
    </rPh>
    <rPh sb="4" eb="7">
      <t>ガイヨウショ</t>
    </rPh>
    <phoneticPr fontId="3"/>
  </si>
  <si>
    <t>Ｆ４１８０</t>
    <phoneticPr fontId="3"/>
  </si>
  <si>
    <t>F4180</t>
    <phoneticPr fontId="3"/>
  </si>
  <si>
    <t>－</t>
    <phoneticPr fontId="3"/>
  </si>
  <si>
    <t>　改善開発概要書</t>
    <phoneticPr fontId="3"/>
  </si>
  <si>
    <t>Ｆ４１８０－１</t>
    <phoneticPr fontId="3"/>
  </si>
  <si>
    <t>改善開発概要書</t>
  </si>
  <si>
    <t>　改善開発概要書 (システム対応前提)</t>
    <phoneticPr fontId="3"/>
  </si>
  <si>
    <t>Ｆ４１８０－２</t>
  </si>
  <si>
    <t>改善開発概要書 (システム対応前提)</t>
  </si>
  <si>
    <t>　改善開発概要書（改善内容詳細）</t>
    <phoneticPr fontId="3"/>
  </si>
  <si>
    <t>Ｆ４１８０－３</t>
  </si>
  <si>
    <t>改善開発概要書（改善内容詳細）</t>
  </si>
  <si>
    <t>外部設計書　補足説明</t>
    <rPh sb="0" eb="2">
      <t>ガイブ</t>
    </rPh>
    <rPh sb="2" eb="5">
      <t>セッケイショ</t>
    </rPh>
    <rPh sb="6" eb="8">
      <t>ホソク</t>
    </rPh>
    <rPh sb="8" eb="10">
      <t>セツメイ</t>
    </rPh>
    <phoneticPr fontId="3"/>
  </si>
  <si>
    <t>Ｆ４１９０－０</t>
    <phoneticPr fontId="3"/>
  </si>
  <si>
    <t>F4190</t>
    <phoneticPr fontId="3"/>
  </si>
  <si>
    <t>F4190_sys-CD_[補足説明タイトル].xlsx</t>
    <phoneticPr fontId="3"/>
  </si>
  <si>
    <t>調査シート</t>
    <rPh sb="0" eb="2">
      <t>チョウサ</t>
    </rPh>
    <phoneticPr fontId="3"/>
  </si>
  <si>
    <t>Ｆ４１９１－０</t>
    <phoneticPr fontId="3"/>
  </si>
  <si>
    <t>F4191</t>
  </si>
  <si>
    <t>議事録</t>
    <rPh sb="0" eb="3">
      <t>ギジロク</t>
    </rPh>
    <phoneticPr fontId="3"/>
  </si>
  <si>
    <t>Ｆ４１９２－０</t>
    <phoneticPr fontId="3"/>
  </si>
  <si>
    <t>F4192</t>
  </si>
  <si>
    <t>仕様確認書</t>
    <rPh sb="0" eb="2">
      <t>シヨウ</t>
    </rPh>
    <rPh sb="2" eb="4">
      <t>カクニン</t>
    </rPh>
    <rPh sb="4" eb="5">
      <t>ショ</t>
    </rPh>
    <phoneticPr fontId="3"/>
  </si>
  <si>
    <t>Ｆ４１９３－０</t>
    <phoneticPr fontId="3"/>
  </si>
  <si>
    <t>F4193</t>
  </si>
  <si>
    <t>業務共通機能一覧</t>
    <phoneticPr fontId="16"/>
  </si>
  <si>
    <t>Ｆ５００２－０</t>
    <phoneticPr fontId="3"/>
  </si>
  <si>
    <t>F5002</t>
    <phoneticPr fontId="3"/>
  </si>
  <si>
    <t>メッセージ一覧</t>
    <rPh sb="5" eb="7">
      <t>イチラン</t>
    </rPh>
    <phoneticPr fontId="3"/>
  </si>
  <si>
    <t>Ｆ５０１１－０</t>
    <phoneticPr fontId="3"/>
  </si>
  <si>
    <t>F5011</t>
    <phoneticPr fontId="3"/>
  </si>
  <si>
    <t>共通機能ＡＰＩ利用ガイド</t>
  </si>
  <si>
    <t>Ｆ５１２２</t>
    <phoneticPr fontId="3"/>
  </si>
  <si>
    <t>F5122</t>
    <phoneticPr fontId="3"/>
  </si>
  <si>
    <t>　共通機能一覧</t>
    <rPh sb="1" eb="3">
      <t>キョウツウ</t>
    </rPh>
    <rPh sb="3" eb="5">
      <t>キノウ</t>
    </rPh>
    <rPh sb="5" eb="7">
      <t>イチラン</t>
    </rPh>
    <phoneticPr fontId="3"/>
  </si>
  <si>
    <t>Ｆ５１２２－０</t>
    <phoneticPr fontId="3"/>
  </si>
  <si>
    <t>　共通コンスタント定義</t>
    <phoneticPr fontId="3"/>
  </si>
  <si>
    <t>Ｆ５１２２－１</t>
  </si>
  <si>
    <t>　共通クラス利用説明</t>
    <rPh sb="6" eb="8">
      <t>リヨウ</t>
    </rPh>
    <phoneticPr fontId="3"/>
  </si>
  <si>
    <t>Ｆ５１２２－２</t>
  </si>
  <si>
    <t>F4103D</t>
    <phoneticPr fontId="3"/>
  </si>
  <si>
    <t>ー</t>
    <phoneticPr fontId="3"/>
  </si>
  <si>
    <t>ＥＵＣデータ設計書</t>
    <rPh sb="6" eb="8">
      <t>セッケイ</t>
    </rPh>
    <rPh sb="8" eb="9">
      <t>ショ</t>
    </rPh>
    <phoneticPr fontId="3"/>
  </si>
  <si>
    <t>Ｆ４１３０－０</t>
    <phoneticPr fontId="3"/>
  </si>
  <si>
    <t>F4130</t>
    <phoneticPr fontId="3"/>
  </si>
  <si>
    <t>F1000</t>
    <phoneticPr fontId="3"/>
  </si>
  <si>
    <t>処理機能記述書</t>
    <rPh sb="0" eb="4">
      <t>ショリキノウ</t>
    </rPh>
    <rPh sb="4" eb="7">
      <t>キジュツショ</t>
    </rPh>
    <phoneticPr fontId="3"/>
  </si>
  <si>
    <t>対外インタフェース設計書</t>
    <rPh sb="0" eb="2">
      <t>タイガイ</t>
    </rPh>
    <rPh sb="9" eb="12">
      <t>セッケイショ</t>
    </rPh>
    <phoneticPr fontId="3"/>
  </si>
  <si>
    <t>外部設計共通設計事項説明書</t>
    <rPh sb="0" eb="2">
      <t>ガイブ</t>
    </rPh>
    <rPh sb="2" eb="4">
      <t>セッケイ</t>
    </rPh>
    <rPh sb="4" eb="6">
      <t>キョウツウ</t>
    </rPh>
    <rPh sb="6" eb="8">
      <t>セッケイ</t>
    </rPh>
    <rPh sb="8" eb="10">
      <t>ジコウ</t>
    </rPh>
    <rPh sb="10" eb="13">
      <t>セツメイショ</t>
    </rPh>
    <phoneticPr fontId="3"/>
  </si>
  <si>
    <t>テスト工程別計画書</t>
    <rPh sb="3" eb="5">
      <t>コウテイ</t>
    </rPh>
    <rPh sb="5" eb="6">
      <t>ベツ</t>
    </rPh>
    <rPh sb="6" eb="9">
      <t>ケイカクショ</t>
    </rPh>
    <phoneticPr fontId="3"/>
  </si>
  <si>
    <t>移行設計書</t>
    <rPh sb="0" eb="2">
      <t>イコウ</t>
    </rPh>
    <rPh sb="2" eb="5">
      <t>セッケイショ</t>
    </rPh>
    <phoneticPr fontId="3"/>
  </si>
  <si>
    <t>移行スケジュール</t>
    <rPh sb="0" eb="2">
      <t>イコウ</t>
    </rPh>
    <phoneticPr fontId="3"/>
  </si>
  <si>
    <t>取引ﾊﾟﾀｰﾝ一覧</t>
    <rPh sb="0" eb="2">
      <t>トリヒキ</t>
    </rPh>
    <rPh sb="7" eb="9">
      <t>イチラン</t>
    </rPh>
    <phoneticPr fontId="3"/>
  </si>
  <si>
    <t>外部設計打ち合わせ</t>
    <rPh sb="0" eb="2">
      <t>ガイブ</t>
    </rPh>
    <rPh sb="2" eb="4">
      <t>セッケイ</t>
    </rPh>
    <rPh sb="4" eb="5">
      <t>ウ</t>
    </rPh>
    <rPh sb="6" eb="7">
      <t>ア</t>
    </rPh>
    <phoneticPr fontId="3"/>
  </si>
  <si>
    <t>F4192_sys-CD_外部設計打ち合わせ.xlsxも含む</t>
    <rPh sb="13" eb="15">
      <t>ガイブ</t>
    </rPh>
    <rPh sb="15" eb="17">
      <t>セッケイ</t>
    </rPh>
    <rPh sb="17" eb="18">
      <t>ウ</t>
    </rPh>
    <rPh sb="19" eb="20">
      <t>ア</t>
    </rPh>
    <rPh sb="28" eb="29">
      <t>フク</t>
    </rPh>
    <phoneticPr fontId="3"/>
  </si>
  <si>
    <t>F4190_DA_業務共通機能一覧表.xlsx</t>
    <phoneticPr fontId="3"/>
  </si>
  <si>
    <t>F4190_DA_メッセージ一覧表.xlsx</t>
    <phoneticPr fontId="3"/>
  </si>
  <si>
    <t>F4190_外部設計書_補足説明（汎用）\99.機能階層番号外\19.業務共通機能一覧 配下</t>
    <rPh sb="6" eb="8">
      <t>ガイブ</t>
    </rPh>
    <rPh sb="8" eb="11">
      <t>セッケイショ</t>
    </rPh>
    <rPh sb="12" eb="14">
      <t>ホソク</t>
    </rPh>
    <rPh sb="14" eb="16">
      <t>セツメイ</t>
    </rPh>
    <rPh sb="17" eb="19">
      <t>ハンヨウ</t>
    </rPh>
    <rPh sb="24" eb="26">
      <t>キノウ</t>
    </rPh>
    <rPh sb="26" eb="28">
      <t>カイソウ</t>
    </rPh>
    <rPh sb="28" eb="30">
      <t>バンゴウ</t>
    </rPh>
    <rPh sb="30" eb="31">
      <t>ガイ</t>
    </rPh>
    <rPh sb="44" eb="46">
      <t>ハイカ</t>
    </rPh>
    <phoneticPr fontId="3"/>
  </si>
  <si>
    <t>F4190_外部設計書_補足説明（汎用）\99.機能階層番号外\09.メッセージ一覧表 配下</t>
    <rPh sb="44" eb="46">
      <t>ハイカ</t>
    </rPh>
    <phoneticPr fontId="3"/>
  </si>
  <si>
    <t>別冊ProactiveC4業務機能概要書</t>
    <phoneticPr fontId="3"/>
  </si>
  <si>
    <t>ProactiveC4固有の外部設計成果物</t>
    <rPh sb="11" eb="13">
      <t>コユウ</t>
    </rPh>
    <rPh sb="14" eb="16">
      <t>ガイブ</t>
    </rPh>
    <rPh sb="16" eb="18">
      <t>セッケイ</t>
    </rPh>
    <rPh sb="18" eb="21">
      <t>セイカブツ</t>
    </rPh>
    <phoneticPr fontId="3"/>
  </si>
  <si>
    <t>以下含む
F4190_DA_業務全般に関わるルール・考え方.xlsx
F4190_DA_業務共通処理・エンティティマトリクス.xlsx
F4190_DA_機能・業務共通処理マトリクス.xlsx</t>
    <rPh sb="0" eb="2">
      <t>イカ</t>
    </rPh>
    <rPh sb="2" eb="3">
      <t>フク</t>
    </rPh>
    <phoneticPr fontId="3"/>
  </si>
  <si>
    <t>F4190_DA_共通機能API利用ガイド .xlsx</t>
    <phoneticPr fontId="3"/>
  </si>
  <si>
    <t>-</t>
    <phoneticPr fontId="3"/>
  </si>
  <si>
    <t>F4190_外部設計書_補足説明（汎用）\99.機能階層番号外\24.共通機能API利用ガイド 配下</t>
    <rPh sb="48" eb="50">
      <t>ハイカ</t>
    </rPh>
    <phoneticPr fontId="3"/>
  </si>
  <si>
    <t>-</t>
    <phoneticPr fontId="3"/>
  </si>
  <si>
    <t>　１．既存DesignDocの様式番号体系は引き継がず、再構築以降で使用するDesignDoc様式として</t>
  </si>
  <si>
    <t>　２．各種の一覧表は、DesignDocファイルを並べた際、個別のDesignDocより前になるように考慮する</t>
  </si>
  <si>
    <t>　３．その他、汎用的に利用するDesignDoc様式（汎用用紙）は、ファイルを並べた際、他のDesignDocの</t>
  </si>
  <si>
    <t>　４．工程別の成果物一覧は、どのDesignDoc様式よりも前に位置づけられるように採番する</t>
  </si>
  <si>
    <t>既存システム改善開発DesignDoc類</t>
  </si>
  <si>
    <t>再構築プロジェクトのDesignDoc類　※再構築対象となった移行は”Ｆ”で始まるDesignDocを使用する。</t>
  </si>
  <si>
    <t>　　※　DesignDocの保管単位を表す場合は　”－ｘｘ”　の記載なし</t>
  </si>
  <si>
    <t>一つのDesignDocに複数の様式がない場合は"0"（固定）</t>
  </si>
  <si>
    <t>一つのDesignDocに複数の様式がある場合は"1"～"99"（連番）</t>
  </si>
  <si>
    <t>再構築プロジェクトの外部DesignDoc　成果物一覧表</t>
  </si>
  <si>
    <t>再構築プロジェクトの外部設計工程　　画面DesignDoc</t>
  </si>
  <si>
    <t>※画面DesignDocは機能単位にDesignDocを作成・保管する。</t>
  </si>
  <si>
    <t>再構築プロジェクトの外部設計工程　　画面DesignDoc（項目説明）</t>
  </si>
  <si>
    <t>外部DesignDoc　補足説明一覧</t>
  </si>
  <si>
    <t>外部DesignDoc補足説明一覧</t>
  </si>
  <si>
    <t>F4011_sys-CD_外部DesignDoc補足説明一覧.xlsx</t>
  </si>
  <si>
    <t>画面DesignDoc</t>
  </si>
  <si>
    <t>帳票DesignDoc</t>
  </si>
  <si>
    <t>F4109_sys-CD_帳票DesignDoc_[機能階層№_機能名].xlsx</t>
  </si>
  <si>
    <t>ＣＳＶファイルDesignDoc</t>
  </si>
  <si>
    <t>CSVDesignDoc</t>
  </si>
  <si>
    <t>F4110_sys-CD_CSVDesignDoc_[機能階層№_機能名].xlsx</t>
  </si>
  <si>
    <t>対外インターフェースDesignDoc</t>
  </si>
  <si>
    <t>対外インタフェースDesignDoc</t>
  </si>
  <si>
    <t>F4111_sys-CD_対外インタフェースDesignDoc.xlsx</t>
  </si>
  <si>
    <t>他システム連動インターフェースDesignDoc</t>
  </si>
  <si>
    <t>F4112_sys-CD_他システム連動インターフェースDesignDoc.xlsx</t>
  </si>
  <si>
    <t>テーブルDesignDoc</t>
  </si>
  <si>
    <t>F4113_sys-CD_テーブルDesignDoc[業務名].xlsx</t>
  </si>
  <si>
    <t>名称変更　変更前：論理ﾌｧｲﾙDesignDoc</t>
  </si>
  <si>
    <t>業務障害回復DesignDoc</t>
  </si>
  <si>
    <t>F4118_sys-CD_業務障害回復DesignDoc.xlsx</t>
  </si>
  <si>
    <t>ＥＵＣデータDesignDoc</t>
  </si>
  <si>
    <t>F4130_sys-CD_ＥＵＣデータDesignDoc.xlsx</t>
  </si>
  <si>
    <t>データ移行DesignDoc</t>
  </si>
  <si>
    <t>移行DesignDoc</t>
  </si>
  <si>
    <t>F4152_sys-CD_移行DesignDoc.xlsx</t>
  </si>
  <si>
    <t>外部DesignDoc　補足説明</t>
  </si>
  <si>
    <t>F4190_外部DesignDoc_補足説明（汎用）\99.機能階層番号外\19.業務共通機能一覧 配下</t>
  </si>
  <si>
    <t>F4190_外部DesignDoc_補足説明（汎用）\99.機能階層番号外\09.メッセージ一覧表 配下</t>
  </si>
  <si>
    <t>F4190_外部DesignDoc_補足説明（汎用）\99.機能階層番号外\24.共通機能API利用ガイド 配下</t>
  </si>
  <si>
    <t>　１．既存DesignDoc_v2の様式番号体系は引き継がず、再構築以降で使用するDesignDoc_v2様式として</t>
  </si>
  <si>
    <t>　２．各種の一覧表は、DesignDoc_v2ファイルを並べた際、個別のDesignDoc_v2より前になるように考慮する</t>
  </si>
  <si>
    <t>　３．その他、汎用的に利用するDesignDoc_v2様式（汎用用紙）は、ファイルを並べた際、他のDesignDoc_v2の</t>
  </si>
  <si>
    <t>　４．工程別の成果物一覧は、どのDesignDoc_v2様式よりも前に位置づけられるように採番する</t>
  </si>
  <si>
    <t>既存システム改善開発DesignDoc_v2類</t>
  </si>
  <si>
    <t>再構築プロジェクトのDesignDoc_v2類　※再構築対象となった移行は”Ｆ”で始まるDesignDoc_v2を使用する。</t>
  </si>
  <si>
    <t>　　※　DesignDoc_v2の保管単位を表す場合は　”－ｘｘ”　の記載なし</t>
  </si>
  <si>
    <t>一つのDesignDoc_v2に複数の様式がない場合は"0"（固定）</t>
  </si>
  <si>
    <t>一つのDesignDoc_v2に複数の様式がある場合は"1"～"99"（連番）</t>
  </si>
  <si>
    <t>再構築プロジェクトの外部DesignDoc_v2　成果物一覧表</t>
  </si>
  <si>
    <t>再構築プロジェクトの外部設計工程　　画面DesignDoc_v2</t>
  </si>
  <si>
    <t>※画面DesignDoc_v2は機能単位にDesignDoc_v2を作成・保管する。</t>
  </si>
  <si>
    <t>再構築プロジェクトの外部設計工程　　画面DesignDoc_v2（項目説明）</t>
  </si>
  <si>
    <t>外部DesignDoc_v2　補足説明一覧</t>
  </si>
  <si>
    <t>外部DesignDoc_v2補足説明一覧</t>
  </si>
  <si>
    <t>F4011_sys-CD_外部DesignDoc_v2補足説明一覧.xlsx</t>
  </si>
  <si>
    <t>画面DesignDoc_v2</t>
  </si>
  <si>
    <t>帳票DesignDoc_v2</t>
  </si>
  <si>
    <t>F4109_sys-CD_帳票DesignDoc_v2_[機能階層№_機能名].xlsx</t>
  </si>
  <si>
    <t>ＣＳＶファイルDesignDoc_v2</t>
  </si>
  <si>
    <t>CSVDesignDoc_v2</t>
  </si>
  <si>
    <t>F4110_sys-CD_CSVDesignDoc_v2_[機能階層№_機能名].xlsx</t>
  </si>
  <si>
    <t>対外インターフェースDesignDoc_v2</t>
  </si>
  <si>
    <t>対外インタフェースDesignDoc_v2</t>
  </si>
  <si>
    <t>F4111_sys-CD_対外インタフェースDesignDoc_v2.xlsx</t>
  </si>
  <si>
    <t>他システム連動インターフェースDesignDoc_v2</t>
  </si>
  <si>
    <t>F4112_sys-CD_他システム連動インターフェースDesignDoc_v2.xlsx</t>
  </si>
  <si>
    <t>テーブルDesignDoc_v2</t>
  </si>
  <si>
    <t>F4113_sys-CD_テーブルDesignDoc_v2[業務名].xlsx</t>
  </si>
  <si>
    <t>名称変更　変更前：論理ﾌｧｲﾙDesignDoc_v2</t>
  </si>
  <si>
    <t>業務障害回復DesignDoc_v2</t>
  </si>
  <si>
    <t>F4118_sys-CD_業務障害回復DesignDoc_v2.xlsx</t>
  </si>
  <si>
    <t>ＥＵＣデータDesignDoc_v2</t>
  </si>
  <si>
    <t>F4130_sys-CD_ＥＵＣデータDesignDoc_v2.xlsx</t>
  </si>
  <si>
    <t>データ移行DesignDoc_v2</t>
  </si>
  <si>
    <t>移行DesignDoc_v2</t>
  </si>
  <si>
    <t>F4152_sys-CD_移行DesignDoc_v2.xlsx</t>
  </si>
  <si>
    <t>外部DesignDoc_v2　補足説明</t>
  </si>
  <si>
    <t>F4190_外部DesignDoc_v2_補足説明（汎用）\99.機能階層番号外\19.業務共通機能一覧 配下</t>
  </si>
  <si>
    <t>F4190_外部DesignDoc_v2_補足説明（汎用）\99.機能階層番号外\09.メッセージ一覧表 配下</t>
  </si>
  <si>
    <t>F4190_外部DesignDoc_v2_補足説明（汎用）\99.機能階層番号外\24.共通機能API利用ガイド 配下</t>
  </si>
  <si>
    <t>　１．既存DesignDoc_v3_v2の様式番号体系は引き継がず、再構築以降で使用するDesignDoc_v3_v2様式として</t>
  </si>
  <si>
    <t>　２．各種の一覧表は、DesignDoc_v3_v2ファイルを並べた際、個別のDesignDoc_v3_v2より前になるように考慮する</t>
  </si>
  <si>
    <t>　３．その他、汎用的に利用するDesignDoc_v3_v2様式（汎用用紙）は、ファイルを並べた際、他のDesignDoc_v3_v2の</t>
  </si>
  <si>
    <t>　４．工程別の成果物一覧は、どのDesignDoc_v3_v2様式よりも前に位置づけられるように採番する</t>
  </si>
  <si>
    <t>既存システム改善開発DesignDoc_v3_v2類</t>
  </si>
  <si>
    <t>再構築プロジェクトのDesignDoc_v3_v2類　※再構築対象となった移行は”Ｆ”で始まるDesignDoc_v3_v2を使用する。</t>
  </si>
  <si>
    <t>　　※　DesignDoc_v3_v2の保管単位を表す場合は　”－ｘｘ”　の記載なし</t>
  </si>
  <si>
    <t>一つのDesignDoc_v3_v2に複数の様式がない場合は"0"（固定）</t>
  </si>
  <si>
    <t>一つのDesignDoc_v3_v2に複数の様式がある場合は"1"～"99"（連番）</t>
  </si>
  <si>
    <t>再構築プロジェクトの外部DesignDoc_v3_v2　成果物一覧表</t>
  </si>
  <si>
    <t>再構築プロジェクトの外部設計工程　　画面DesignDoc_v3_v2</t>
  </si>
  <si>
    <t>※画面DesignDoc_v3_v2は機能単位にDesignDoc_v3_v2を作成・保管する。</t>
  </si>
  <si>
    <t>再構築プロジェクトの外部設計工程　　画面DesignDoc_v3_v2（項目説明）</t>
  </si>
  <si>
    <t>外部DesignDoc_v3_v2　補足説明一覧</t>
  </si>
  <si>
    <t>外部DesignDoc_v3_v2補足説明一覧</t>
  </si>
  <si>
    <t>F4011_sys-CD_外部DesignDoc_v3_v2補足説明一覧.xlsx</t>
  </si>
  <si>
    <t>画面DesignDoc_v3_v2</t>
  </si>
  <si>
    <t>帳票DesignDoc_v3_v2</t>
  </si>
  <si>
    <t>F4109_sys-CD_帳票DesignDoc_v3_v2_[機能階層№_機能名].xlsx</t>
  </si>
  <si>
    <t>ＣＳＶファイルDesignDoc_v3_v2</t>
  </si>
  <si>
    <t>CSVDesignDoc_v3_v2</t>
  </si>
  <si>
    <t>F4110_sys-CD_CSVDesignDoc_v3_v2_[機能階層№_機能名].xlsx</t>
  </si>
  <si>
    <t>対外インターフェースDesignDoc_v3_v2</t>
  </si>
  <si>
    <t>対外インタフェースDesignDoc_v3_v2</t>
  </si>
  <si>
    <t>F4111_sys-CD_対外インタフェースDesignDoc_v3_v2.xlsx</t>
  </si>
  <si>
    <t>他システム連動インターフェースDesignDoc_v3_v2</t>
  </si>
  <si>
    <t>F4112_sys-CD_他システム連動インターフェースDesignDoc_v3_v2.xlsx</t>
  </si>
  <si>
    <t>テーブルDesignDoc_v3_v2</t>
  </si>
  <si>
    <t>F4113_sys-CD_テーブルDesignDoc_v3_v2[業務名].xlsx</t>
  </si>
  <si>
    <t>名称変更　変更前：論理ﾌｧｲﾙDesignDoc_v3_v2</t>
  </si>
  <si>
    <t>業務障害回復DesignDoc_v3_v2</t>
  </si>
  <si>
    <t>F4118_sys-CD_業務障害回復DesignDoc_v3_v2.xlsx</t>
  </si>
  <si>
    <t>ＥＵＣデータDesignDoc_v3_v2</t>
  </si>
  <si>
    <t>F4130_sys-CD_ＥＵＣデータDesignDoc_v3_v2.xlsx</t>
  </si>
  <si>
    <t>データ移行DesignDoc_v3_v2</t>
  </si>
  <si>
    <t>移行DesignDoc_v3_v2</t>
  </si>
  <si>
    <t>F4152_sys-CD_移行DesignDoc_v3_v2.xlsx</t>
  </si>
  <si>
    <t>外部DesignDoc_v3_v2　補足説明</t>
  </si>
  <si>
    <t>F4190_外部DesignDoc_v3_v2_補足説明（汎用）\99.機能階層番号外\19.業務共通機能一覧 配下</t>
  </si>
  <si>
    <t>F4190_外部DesignDoc_v3_v2_補足説明（汎用）\99.機能階層番号外\09.メッセージ一覧表 配下</t>
  </si>
  <si>
    <t>F4190_外部DesignDoc_v3_v2_補足説明（汎用）\99.機能階層番号外\24.共通機能API利用ガイド 配下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</si>
</sst>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 "/>
    <numFmt numFmtId="177" formatCode="yy/mm/dd"/>
  </numFmts>
  <fonts count="19">
    <font>
      <sz val="10.5"/>
      <name val="ＭＳ 明朝"/>
      <family val="1"/>
      <charset val="128"/>
    </font>
    <font>
      <sz val="10.5"/>
      <name val="ＭＳ 明朝"/>
      <family val="1"/>
      <charset val="128"/>
    </font>
    <font>
      <sz val="10.5"/>
      <color indexed="64"/>
      <name val="ＭＳ 明朝"/>
      <family val="1"/>
      <charset val="128"/>
    </font>
    <font>
      <sz val="6"/>
      <name val="ＭＳ Ｐ明朝"/>
      <family val="1"/>
      <charset val="128"/>
    </font>
    <font>
      <sz val="14"/>
      <name val="ＭＳ 明朝"/>
      <family val="1"/>
      <charset val="128"/>
    </font>
    <font>
      <sz val="12"/>
      <name val="ＭＳ 明朝"/>
      <family val="1"/>
      <charset val="128"/>
    </font>
    <font>
      <b val="1"/>
      <sz val="14"/>
      <name val="ＭＳ 明朝"/>
      <family val="1"/>
      <charset val="128"/>
    </font>
    <font>
      <b val="1"/>
      <sz val="12"/>
      <name val="ＭＳ 明朝"/>
      <family val="1"/>
      <charset val="128"/>
    </font>
    <font>
      <sz val="10"/>
      <color indexed="64"/>
      <name val="ＭＳ 明朝"/>
      <family val="1"/>
      <charset val="128"/>
    </font>
    <font>
      <sz val="10"/>
      <name val="ＭＳ 明朝"/>
      <family val="1"/>
      <charset val="128"/>
    </font>
    <font>
      <sz val="6"/>
      <name val="ＭＳ 明朝"/>
      <family val="1"/>
      <charset val="128"/>
    </font>
    <font>
      <sz val="10"/>
      <color rgb="FFFF0000"/>
      <name val="ＭＳ 明朝"/>
      <family val="1"/>
      <charset val="128"/>
    </font>
    <font>
      <b val="1"/>
      <sz val="10.5"/>
      <name val="ＭＳ 明朝"/>
      <family val="1"/>
      <charset val="128"/>
    </font>
    <font>
      <sz val="10.5"/>
      <color theme="0" tint="-0.249977111117893"/>
      <name val="ＭＳ 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b val="1"/>
      <sz val="11"/>
      <color rgb="FF2980C4"/>
      <name val="ＭＳ 明朝"/>
      <family val="2"/>
    </font>
    <font>
      <b val="1"/>
      <sz val="11"/>
      <color rgb="FF4180C4"/>
      <name val="ＭＳ 明朝"/>
      <family val="2"/>
    </font>
  </fonts>
  <fills count="4">
    <fill>
      <patternFill patternType="none"/>
    </fill>
    <fill>
      <patternFill patternType="gray125"/>
    </fill>
    <fill>
      <patternFill patternType="solid">
        <fgColor theme="9" tint="0.7999816888943144"/>
        <bgColor indexed="64"/>
      </patternFill>
    </fill>
    <fill>
      <patternFill patternType="solid">
        <fgColor theme="0" tint="-0.3499862666707358"/>
        <bgColor indexed="64"/>
      </patternFill>
    </fill>
  </fills>
  <borders count="13">
    <border>
      <left/>
      <right/>
      <top/>
      <bottom/>
      <diagonal/>
    </border>
    <border>
      <left style="hair">
        <color indexed="64"/>
      </left>
      <right/>
      <top/>
      <bottom style="hair">
        <color indexed="64"/>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 fillId="0" borderId="0">
      <alignment vertical="center"/>
    </xf>
  </cellStyleXfs>
  <cellXfs count="58">
    <xf numFmtId="0" fontId="0" fillId="0" borderId="0" xfId="0">
      <alignment vertical="center"/>
    </xf>
    <xf numFmtId="0" fontId="2" fillId="0" borderId="1" xfId="0" applyFont="true" applyBorder="true">
      <alignment vertical="center"/>
    </xf>
    <xf numFmtId="176" fontId="2" fillId="0" borderId="1" xfId="0" applyNumberFormat="true" applyFont="true" applyBorder="true">
      <alignment vertical="center"/>
    </xf>
    <xf numFmtId="0" fontId="0" fillId="0" borderId="0" xfId="0" applyAlignment="true">
      <alignment horizontal="center" vertical="center"/>
    </xf>
    <xf numFmtId="177" fontId="0" fillId="0" borderId="0" xfId="0" applyNumberFormat="true" applyAlignment="true">
      <alignment horizontal="center" vertical="center"/>
    </xf>
    <xf numFmtId="177" fontId="4" fillId="0" borderId="2" xfId="0" applyNumberFormat="true" applyFont="true" applyBorder="true" applyAlignment="true">
      <alignment horizontal="center" vertical="center"/>
    </xf>
    <xf numFmtId="177" fontId="5" fillId="0" borderId="2" xfId="0" applyNumberFormat="true" applyFont="true" applyBorder="true" applyAlignment="true">
      <alignment horizontal="right" vertical="center"/>
    </xf>
    <xf numFmtId="177" fontId="1" fillId="0" borderId="2" xfId="0" applyNumberFormat="true" applyFont="true" applyBorder="true" applyAlignment="true">
      <alignment horizontal="center" vertical="center"/>
    </xf>
    <xf numFmtId="177" fontId="5" fillId="0" borderId="2" xfId="0" applyNumberFormat="true" applyFont="true" applyBorder="true" applyAlignment="true">
      <alignment horizontal="left" vertical="center"/>
    </xf>
    <xf numFmtId="0" fontId="8" fillId="0" borderId="1" xfId="0" applyFont="true" applyBorder="true">
      <alignment vertical="center"/>
    </xf>
    <xf numFmtId="177" fontId="8" fillId="0" borderId="1" xfId="0" applyNumberFormat="true" applyFont="true" applyBorder="true" applyAlignment="true">
      <alignment horizontal="center" vertical="center"/>
    </xf>
    <xf numFmtId="0" fontId="9" fillId="0" borderId="1" xfId="0" applyFont="true" applyBorder="true">
      <alignment vertical="center"/>
    </xf>
    <xf numFmtId="0" fontId="9" fillId="0" borderId="3" xfId="0" applyFont="true" applyBorder="true">
      <alignment vertical="center"/>
    </xf>
    <xf numFmtId="0" fontId="8" fillId="0" borderId="1" xfId="0" applyFont="true" applyBorder="true" applyAlignment="true">
      <alignment horizontal="right" vertical="center"/>
    </xf>
    <xf numFmtId="0" fontId="4" fillId="0" borderId="2" xfId="0" applyFont="true" applyBorder="true" applyAlignment="true">
      <alignment horizontal="center" vertical="center"/>
    </xf>
    <xf numFmtId="177" fontId="6" fillId="0" borderId="2" xfId="0" applyNumberFormat="true" applyFont="true" applyBorder="true" applyAlignment="true">
      <alignment horizontal="right" vertical="center"/>
    </xf>
    <xf numFmtId="0" fontId="8" fillId="2" borderId="1" xfId="0" applyFont="true" applyFill="true" applyBorder="true">
      <alignment vertical="center"/>
    </xf>
    <xf numFmtId="0" fontId="9" fillId="2" borderId="1" xfId="0" applyFont="true" applyFill="true" applyBorder="true">
      <alignment vertical="center"/>
    </xf>
    <xf numFmtId="0" fontId="0" fillId="0" borderId="0" xfId="0" quotePrefix="true">
      <alignment vertical="center"/>
    </xf>
    <xf numFmtId="0" fontId="0" fillId="3" borderId="0" xfId="0" applyFill="true">
      <alignment vertical="center"/>
    </xf>
    <xf numFmtId="0" fontId="0" fillId="0" borderId="5" xfId="0" applyBorder="true">
      <alignment vertical="center"/>
    </xf>
    <xf numFmtId="0" fontId="0" fillId="0" borderId="6" xfId="0" quotePrefix="true" applyBorder="true">
      <alignment vertical="center"/>
    </xf>
    <xf numFmtId="0" fontId="0" fillId="0" borderId="5" xfId="0" quotePrefix="true" applyBorder="true">
      <alignment vertical="center"/>
    </xf>
    <xf numFmtId="0" fontId="0" fillId="0" borderId="7" xfId="0" applyBorder="true">
      <alignment vertical="center"/>
    </xf>
    <xf numFmtId="0" fontId="0" fillId="0" borderId="8" xfId="0" applyBorder="true">
      <alignment vertical="center"/>
    </xf>
    <xf numFmtId="0" fontId="0" fillId="0" borderId="9" xfId="0" applyBorder="true">
      <alignment vertical="center"/>
    </xf>
    <xf numFmtId="0" fontId="0" fillId="0" borderId="10" xfId="0" applyBorder="true">
      <alignment vertical="center"/>
    </xf>
    <xf numFmtId="0" fontId="0" fillId="0" borderId="11" xfId="0" applyBorder="true">
      <alignment vertical="center"/>
    </xf>
    <xf numFmtId="0" fontId="0" fillId="0" borderId="12" xfId="0" applyBorder="true">
      <alignment vertical="center"/>
    </xf>
    <xf numFmtId="0" fontId="0" fillId="0" borderId="0" xfId="0" quotePrefix="true" applyAlignment="true">
      <alignment horizontal="center" vertical="center"/>
    </xf>
    <xf numFmtId="0" fontId="8" fillId="2" borderId="1" xfId="0" applyFont="true" applyFill="true" applyBorder="true" applyAlignment="true">
      <alignment horizontal="center" vertical="center"/>
    </xf>
    <xf numFmtId="0" fontId="0" fillId="0" borderId="0" xfId="0" applyAlignment="true">
      <alignment horizontal="right" vertical="center"/>
    </xf>
    <xf numFmtId="0" fontId="12" fillId="0" borderId="0" xfId="0" applyFont="true">
      <alignment vertical="center"/>
    </xf>
    <xf numFmtId="176" fontId="0" fillId="0" borderId="1" xfId="0" applyNumberFormat="true" applyBorder="true">
      <alignment vertical="center"/>
    </xf>
    <xf numFmtId="0" fontId="9" fillId="2" borderId="1" xfId="0" applyFont="true" applyFill="true" applyBorder="true" applyAlignment="true">
      <alignment vertical="center" wrapText="true"/>
    </xf>
    <xf numFmtId="0" fontId="9" fillId="2" borderId="1" xfId="0" quotePrefix="true" applyFont="true" applyFill="true" applyBorder="true" applyAlignment="true">
      <alignment horizontal="center" vertical="center" wrapText="true"/>
    </xf>
    <xf numFmtId="0" fontId="9" fillId="2" borderId="1" xfId="0" quotePrefix="true" applyFont="true" applyFill="true" applyBorder="true" applyAlignment="true">
      <alignment horizontal="center" vertical="center"/>
    </xf>
    <xf numFmtId="0" fontId="9" fillId="2" borderId="1" xfId="0" applyFont="true" applyFill="true" applyBorder="true" applyAlignment="true">
      <alignment horizontal="center" vertical="center" wrapText="true"/>
    </xf>
    <xf numFmtId="0" fontId="9" fillId="2" borderId="1" xfId="0" quotePrefix="true" applyFont="true" applyFill="true" applyBorder="true">
      <alignment vertical="center"/>
    </xf>
    <xf numFmtId="0" fontId="9" fillId="0" borderId="1" xfId="0" applyFont="true" applyBorder="true" applyAlignment="true">
      <alignment horizontal="left" vertical="center"/>
    </xf>
    <xf numFmtId="0" fontId="9" fillId="2" borderId="1" xfId="0" applyFont="true" applyFill="true" applyBorder="true" applyAlignment="true">
      <alignment horizontal="center" vertical="center"/>
    </xf>
    <xf numFmtId="0" fontId="13" fillId="0" borderId="0" xfId="0" applyFont="true" applyAlignment="true">
      <alignment horizontal="center" vertical="center"/>
    </xf>
    <xf numFmtId="0" fontId="13" fillId="0" borderId="0" xfId="0" applyFont="true">
      <alignment vertical="center"/>
    </xf>
    <xf numFmtId="0" fontId="4" fillId="0" borderId="2" xfId="0" applyFont="true" applyBorder="true" applyAlignment="true">
      <alignment horizontal="right" vertical="center"/>
    </xf>
    <xf numFmtId="177" fontId="4" fillId="0" borderId="4" xfId="0" applyNumberFormat="true" applyFont="true" applyBorder="true">
      <alignment vertical="center"/>
    </xf>
    <xf numFmtId="0" fontId="8" fillId="0" borderId="0" xfId="0" applyFont="true">
      <alignment vertical="center"/>
    </xf>
    <xf numFmtId="177" fontId="7" fillId="0" borderId="2" xfId="0" applyNumberFormat="true" applyFont="true" applyBorder="true" applyAlignment="true">
      <alignment horizontal="left" vertical="center"/>
    </xf>
    <xf numFmtId="0" fontId="11" fillId="0" borderId="1" xfId="0" applyFont="true" applyBorder="true" applyAlignment="true">
      <alignment shrinkToFit="true" vertical="center" wrapText="true"/>
    </xf>
    <xf numFmtId="0" fontId="9" fillId="0" borderId="1" xfId="0" applyFont="true" applyBorder="true" applyAlignment="true">
      <alignment horizontal="left" vertical="center" wrapText="true"/>
    </xf>
    <xf numFmtId="177" fontId="9" fillId="0" borderId="1" xfId="0" applyNumberFormat="true" applyFont="true" applyBorder="true" applyAlignment="true">
      <alignment horizontal="center" vertical="center"/>
    </xf>
    <xf numFmtId="177" fontId="9" fillId="0" borderId="1" xfId="0" quotePrefix="true" applyNumberFormat="true" applyFont="true" applyBorder="true" applyAlignment="true">
      <alignment horizontal="center" vertical="center"/>
    </xf>
    <xf numFmtId="0" fontId="9" fillId="0" borderId="1" xfId="1" applyFont="true" applyBorder="true" applyAlignment="true">
      <alignment horizontal="left" vertical="center"/>
    </xf>
    <xf numFmtId="0" fontId="9" fillId="0" borderId="1" xfId="0" applyFont="true" applyBorder="true" applyAlignment="true">
      <alignment horizontal="right" vertical="center"/>
    </xf>
    <xf numFmtId="0" fontId="8" fillId="0" borderId="1" xfId="0" applyFont="true" applyBorder="true" applyAlignment="true">
      <alignment horizontal="left" vertical="center"/>
    </xf>
    <xf numFmtId="0" fontId="9" fillId="0" borderId="1" xfId="0" applyFont="true" applyBorder="true" applyAlignment="true">
      <alignment shrinkToFit="true" vertical="center" wrapText="true"/>
    </xf>
    <xf numFmtId="177" fontId="6" fillId="0" borderId="4"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2">
    <cellStyle name="標準" xfId="0" builtinId="0"/>
    <cellStyle name="標準 27" xfId="1"/>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62BC-0090-44C5-BF11-05CC66ABB1AC}">
  <sheetPr codeName="Sheet1"/>
  <dimension ref="B1:K104"/>
  <sheetViews>
    <sheetView topLeftCell="A26" workbookViewId="0">
      <selection activeCell="A26" sqref="A26"/>
    </sheetView>
  </sheetViews>
  <sheetFormatPr defaultRowHeight="12.75"/>
  <cols>
    <col bestFit="true" customWidth="true" max="2" min="2" width="13.5703125"/>
    <col bestFit="true" customWidth="true" max="5" min="5" width="13.5703125"/>
    <col customWidth="true" max="7" min="7" width="19.140625"/>
  </cols>
  <sheetData>
    <row r="1" spans="2:11" hidden="true"/>
    <row r="2" spans="2:11" hidden="true"/>
    <row r="3" spans="2:11" hidden="true"/>
    <row r="4" spans="2:11" hidden="true">
      <c r="B4" t="s">
        <v>0</v>
      </c>
      <c r="C4" t="s">
        <v>1</v>
      </c>
      <c r="D4">
        <v>1</v>
      </c>
      <c r="E4" t="s">
        <v>2</v>
      </c>
      <c r="F4">
        <v>0</v>
      </c>
      <c r="G4" s="18" t="s">
        <v>3</v>
      </c>
      <c r="H4" t="s">
        <v>4</v>
      </c>
      <c r="I4" t="s">
        <v>5</v>
      </c>
    </row>
    <row r="5" spans="2:11" hidden="true">
      <c r="D5">
        <v>2</v>
      </c>
      <c r="E5" t="s">
        <v>6</v>
      </c>
      <c r="F5">
        <v>1</v>
      </c>
      <c r="G5" t="s">
        <v>7</v>
      </c>
    </row>
    <row r="6" spans="2:11" hidden="true">
      <c r="D6">
        <v>3</v>
      </c>
      <c r="E6" t="s">
        <v>8</v>
      </c>
      <c r="F6">
        <v>2</v>
      </c>
      <c r="G6" t="s">
        <v>9</v>
      </c>
    </row>
    <row r="7" spans="2:11" hidden="true">
      <c r="D7" s="19">
        <v>4</v>
      </c>
      <c r="E7" s="19" t="s">
        <v>10</v>
      </c>
      <c r="F7">
        <v>3</v>
      </c>
    </row>
    <row r="8" spans="2:11" hidden="true">
      <c r="D8" s="19">
        <v>5</v>
      </c>
      <c r="E8" s="19" t="s">
        <v>11</v>
      </c>
      <c r="F8" s="19">
        <v>4</v>
      </c>
      <c r="G8" s="19" t="s">
        <v>12</v>
      </c>
    </row>
    <row r="9" spans="2:11" hidden="true"/>
    <row r="10" spans="2:11" hidden="true"/>
    <row r="11" spans="2:11" hidden="true"/>
    <row r="12" spans="2:11" hidden="true"/>
    <row r="13" spans="2:11" hidden="true">
      <c r="B13" t="s">
        <v>13</v>
      </c>
      <c r="C13" t="s">
        <v>14</v>
      </c>
      <c r="D13">
        <v>1</v>
      </c>
      <c r="E13" t="s">
        <v>15</v>
      </c>
      <c r="F13">
        <v>0</v>
      </c>
      <c r="G13" s="20" t="s">
        <v>9</v>
      </c>
      <c r="H13" s="22" t="s">
        <v>16</v>
      </c>
      <c r="I13" s="21" t="s">
        <v>16</v>
      </c>
      <c r="J13" s="18" t="s">
        <v>17</v>
      </c>
      <c r="K13" t="s">
        <v>4</v>
      </c>
    </row>
    <row r="14" spans="2:11" hidden="true">
      <c r="D14">
        <v>2</v>
      </c>
      <c r="E14" t="s">
        <v>18</v>
      </c>
      <c r="F14">
        <v>0</v>
      </c>
      <c r="G14" t="s">
        <v>7</v>
      </c>
      <c r="H14" s="18" t="s">
        <v>19</v>
      </c>
      <c r="I14" t="s">
        <v>5</v>
      </c>
      <c r="K14" t="s">
        <v>20</v>
      </c>
    </row>
    <row r="15" spans="2:11" hidden="true">
      <c r="D15" s="23">
        <v>3</v>
      </c>
      <c r="E15" s="24" t="s">
        <v>2</v>
      </c>
      <c r="F15" s="18">
        <v>1</v>
      </c>
      <c r="G15" s="18" t="s">
        <v>3</v>
      </c>
      <c r="H15" s="18" t="s">
        <v>19</v>
      </c>
      <c r="I15" t="s">
        <v>5</v>
      </c>
    </row>
    <row r="16" spans="2:11" hidden="true">
      <c r="D16" s="25">
        <v>4</v>
      </c>
      <c r="E16" s="26" t="s">
        <v>6</v>
      </c>
      <c r="H16" s="18">
        <v>90</v>
      </c>
      <c r="I16" t="s">
        <v>5</v>
      </c>
      <c r="K16" t="s">
        <v>21</v>
      </c>
    </row>
    <row r="17" spans="2:10" hidden="true">
      <c r="D17" s="27">
        <v>5</v>
      </c>
      <c r="E17" s="28" t="s">
        <v>8</v>
      </c>
    </row>
    <row r="18" spans="2:10" hidden="true"/>
    <row r="19" spans="2:10" hidden="true">
      <c r="J19" s="18"/>
    </row>
    <row r="20" spans="2:10" hidden="true"/>
    <row r="21" spans="2:10" hidden="true"/>
    <row r="22" spans="2:10" hidden="true"/>
    <row r="23" spans="2:10" hidden="true"/>
    <row r="24" spans="2:10" hidden="true"/>
    <row r="25" spans="2:10" hidden="true"/>
    <row r="27" spans="2:10">
      <c r="B27" s="32" t="s">
        <v>22</v>
      </c>
    </row>
    <row r="29" spans="2:10">
      <c r="B29" t="s">
        <v>23</v>
      </c>
    </row>
    <row r="31" spans="2:10">
      <c r="B31" s="57" t="s">
        <v>443</v>
      </c>
    </row>
    <row r="32" spans="2:10">
      <c r="B32" t="s">
        <v>25</v>
      </c>
    </row>
    <row r="34" spans="2:5">
      <c r="B34" s="57" t="s">
        <v>444</v>
      </c>
    </row>
    <row r="36" spans="2:5">
      <c r="B36" s="57" t="s">
        <v>445</v>
      </c>
    </row>
    <row r="37" spans="2:5">
      <c r="B37" t="s">
        <v>28</v>
      </c>
    </row>
    <row r="39" spans="2:5">
      <c r="B39" s="57" t="s">
        <v>446</v>
      </c>
    </row>
    <row r="44" spans="2:5">
      <c r="B44" t="s">
        <v>30</v>
      </c>
      <c r="C44" t="s">
        <v>31</v>
      </c>
    </row>
    <row r="46" spans="2:5">
      <c r="C46" s="3" t="s">
        <v>32</v>
      </c>
      <c r="D46" t="s">
        <v>33</v>
      </c>
    </row>
    <row r="47" spans="2:5">
      <c r="C47" s="3"/>
      <c r="D47" s="41" t="s">
        <v>1</v>
      </c>
      <c r="E47" s="57" t="s">
        <v>447</v>
      </c>
    </row>
    <row r="48" spans="2:5">
      <c r="C48" s="3"/>
      <c r="D48" s="3" t="s">
        <v>14</v>
      </c>
      <c r="E48" s="57" t="s">
        <v>448</v>
      </c>
    </row>
    <row r="49" spans="3:7">
      <c r="C49" s="3"/>
    </row>
    <row r="50" spans="3:7">
      <c r="C50" s="3" t="s">
        <v>36</v>
      </c>
      <c r="D50" t="s">
        <v>37</v>
      </c>
    </row>
    <row r="51" spans="3:7">
      <c r="C51" s="3"/>
      <c r="D51" s="29" t="s">
        <v>38</v>
      </c>
      <c r="E51" t="s">
        <v>15</v>
      </c>
      <c r="F51" t="s">
        <v>39</v>
      </c>
      <c r="G51" t="s">
        <v>40</v>
      </c>
    </row>
    <row r="52" spans="3:7">
      <c r="C52" s="3"/>
      <c r="D52" s="29" t="s">
        <v>41</v>
      </c>
      <c r="E52" t="s">
        <v>18</v>
      </c>
      <c r="F52" t="s">
        <v>39</v>
      </c>
      <c r="G52" t="s">
        <v>40</v>
      </c>
    </row>
    <row r="53" spans="3:7">
      <c r="C53" s="3"/>
      <c r="D53" s="29" t="s">
        <v>42</v>
      </c>
      <c r="E53" t="s">
        <v>43</v>
      </c>
    </row>
    <row r="54" spans="3:7">
      <c r="C54" s="3"/>
      <c r="D54" s="29" t="s">
        <v>44</v>
      </c>
      <c r="E54" t="s">
        <v>45</v>
      </c>
    </row>
    <row r="55" spans="3:7">
      <c r="C55" s="3"/>
      <c r="D55" s="29" t="s">
        <v>46</v>
      </c>
      <c r="E55" t="s">
        <v>47</v>
      </c>
    </row>
    <row r="56" spans="3:7">
      <c r="C56" s="3"/>
    </row>
    <row r="57" spans="3:7">
      <c r="C57" s="3" t="s">
        <v>48</v>
      </c>
      <c r="D57" t="s">
        <v>49</v>
      </c>
    </row>
    <row r="58" spans="3:7">
      <c r="C58" s="3"/>
      <c r="D58" s="29" t="s">
        <v>50</v>
      </c>
      <c r="E58" t="s">
        <v>51</v>
      </c>
    </row>
    <row r="59" spans="3:7">
      <c r="C59" s="3"/>
      <c r="D59" s="29" t="s">
        <v>38</v>
      </c>
      <c r="E59" t="s">
        <v>52</v>
      </c>
    </row>
    <row r="60" spans="3:7">
      <c r="C60" s="3"/>
    </row>
    <row r="61" spans="3:7">
      <c r="C61" s="3"/>
    </row>
    <row r="62" spans="3:7">
      <c r="C62" s="3" t="s">
        <v>53</v>
      </c>
      <c r="D62" t="s">
        <v>54</v>
      </c>
    </row>
    <row r="63" spans="3:7">
      <c r="C63" s="3"/>
      <c r="D63" s="18" t="s">
        <v>16</v>
      </c>
      <c r="E63" t="s">
        <v>55</v>
      </c>
    </row>
    <row r="64" spans="3:7">
      <c r="C64" s="3"/>
      <c r="D64" s="18" t="s">
        <v>19</v>
      </c>
      <c r="E64" t="s">
        <v>56</v>
      </c>
    </row>
    <row r="65" spans="2:8">
      <c r="C65" s="3"/>
      <c r="D65" t="s">
        <v>57</v>
      </c>
      <c r="E65" t="s">
        <v>58</v>
      </c>
    </row>
    <row r="66" spans="2:8">
      <c r="C66" s="3"/>
    </row>
    <row r="67" spans="2:8">
      <c r="B67" s="57" t="s">
        <v>449</v>
      </c>
      <c r="C67" s="3"/>
    </row>
    <row r="68" spans="2:8">
      <c r="C68" s="29" t="s">
        <v>3</v>
      </c>
      <c r="D68" t="s">
        <v>60</v>
      </c>
    </row>
    <row r="69" spans="2:8">
      <c r="C69" s="3"/>
    </row>
    <row r="70" spans="2:8">
      <c r="C70" s="3" t="s">
        <v>61</v>
      </c>
      <c r="D70" t="s">
        <v>62</v>
      </c>
    </row>
    <row r="71" spans="2:8">
      <c r="D71" s="18" t="s">
        <v>50</v>
      </c>
      <c r="E71" s="57" t="s">
        <v>450</v>
      </c>
    </row>
    <row r="72" spans="2:8">
      <c r="D72" s="18" t="s">
        <v>64</v>
      </c>
      <c r="E72" s="57" t="s">
        <v>451</v>
      </c>
    </row>
    <row r="77" spans="2:8">
      <c r="B77" s="31" t="s">
        <v>66</v>
      </c>
      <c r="C77" s="57" t="s">
        <v>452</v>
      </c>
      <c r="H77" t="s">
        <v>68</v>
      </c>
    </row>
    <row r="79" spans="2:8">
      <c r="C79" t="s">
        <v>69</v>
      </c>
      <c r="D79" t="s">
        <v>33</v>
      </c>
      <c r="H79" s="18" t="s">
        <v>14</v>
      </c>
    </row>
    <row r="80" spans="2:8">
      <c r="C80" t="s">
        <v>70</v>
      </c>
      <c r="D80" s="18" t="s">
        <v>37</v>
      </c>
      <c r="H80" s="18" t="s">
        <v>71</v>
      </c>
    </row>
    <row r="81" spans="2:9">
      <c r="C81" t="s">
        <v>72</v>
      </c>
      <c r="D81" t="s">
        <v>49</v>
      </c>
      <c r="H81" s="18" t="s">
        <v>50</v>
      </c>
    </row>
    <row r="82" spans="2:9">
      <c r="C82" t="s">
        <v>73</v>
      </c>
      <c r="D82" t="s">
        <v>54</v>
      </c>
      <c r="H82" s="18" t="s">
        <v>16</v>
      </c>
    </row>
    <row r="83" spans="2:9">
      <c r="C83" s="29" t="s">
        <v>3</v>
      </c>
      <c r="D83" t="s">
        <v>60</v>
      </c>
      <c r="H83" s="18" t="s">
        <v>3</v>
      </c>
    </row>
    <row r="84" spans="2:9">
      <c r="C84" t="s">
        <v>74</v>
      </c>
      <c r="D84" t="s">
        <v>54</v>
      </c>
      <c r="H84" s="18" t="s">
        <v>50</v>
      </c>
    </row>
    <row r="87" spans="2:9">
      <c r="B87" s="31" t="s">
        <v>75</v>
      </c>
      <c r="C87" s="57" t="s">
        <v>453</v>
      </c>
      <c r="H87" t="s">
        <v>77</v>
      </c>
      <c r="I87" s="57" t="s">
        <v>454</v>
      </c>
    </row>
    <row r="89" spans="2:9">
      <c r="C89" t="s">
        <v>69</v>
      </c>
      <c r="D89" t="s">
        <v>33</v>
      </c>
      <c r="H89" s="18" t="s">
        <v>14</v>
      </c>
    </row>
    <row r="90" spans="2:9">
      <c r="C90" t="s">
        <v>70</v>
      </c>
      <c r="D90" s="18" t="s">
        <v>37</v>
      </c>
      <c r="H90" s="18" t="s">
        <v>71</v>
      </c>
    </row>
    <row r="91" spans="2:9">
      <c r="C91" t="s">
        <v>72</v>
      </c>
      <c r="D91" t="s">
        <v>49</v>
      </c>
      <c r="H91" s="18" t="s">
        <v>38</v>
      </c>
    </row>
    <row r="92" spans="2:9">
      <c r="C92" t="s">
        <v>73</v>
      </c>
      <c r="D92" t="s">
        <v>54</v>
      </c>
      <c r="H92" s="18" t="s">
        <v>79</v>
      </c>
    </row>
    <row r="93" spans="2:9">
      <c r="C93" s="29" t="s">
        <v>3</v>
      </c>
      <c r="D93" t="s">
        <v>60</v>
      </c>
      <c r="H93" s="18" t="s">
        <v>80</v>
      </c>
    </row>
    <row r="94" spans="2:9">
      <c r="C94" t="s">
        <v>74</v>
      </c>
      <c r="D94" t="s">
        <v>54</v>
      </c>
      <c r="H94" s="18" t="s">
        <v>80</v>
      </c>
    </row>
    <row r="97" spans="2:8">
      <c r="B97" s="31" t="s">
        <v>81</v>
      </c>
      <c r="C97" s="57" t="s">
        <v>455</v>
      </c>
      <c r="H97" t="s">
        <v>83</v>
      </c>
    </row>
    <row r="99" spans="2:8">
      <c r="C99" t="s">
        <v>69</v>
      </c>
      <c r="D99" t="s">
        <v>33</v>
      </c>
      <c r="H99" s="18" t="s">
        <v>14</v>
      </c>
    </row>
    <row r="100" spans="2:8">
      <c r="C100" t="s">
        <v>70</v>
      </c>
      <c r="D100" s="18" t="s">
        <v>37</v>
      </c>
      <c r="H100" s="18" t="s">
        <v>71</v>
      </c>
    </row>
    <row r="101" spans="2:8">
      <c r="C101" t="s">
        <v>72</v>
      </c>
      <c r="D101" t="s">
        <v>49</v>
      </c>
      <c r="H101" s="18" t="s">
        <v>38</v>
      </c>
    </row>
    <row r="102" spans="2:8">
      <c r="C102" t="s">
        <v>73</v>
      </c>
      <c r="D102" t="s">
        <v>54</v>
      </c>
      <c r="H102" s="18" t="s">
        <v>79</v>
      </c>
    </row>
    <row r="103" spans="2:8">
      <c r="C103" s="29" t="s">
        <v>3</v>
      </c>
      <c r="D103" t="s">
        <v>60</v>
      </c>
      <c r="H103" s="18" t="s">
        <v>3</v>
      </c>
    </row>
    <row r="104" spans="2:8">
      <c r="C104" t="s">
        <v>74</v>
      </c>
      <c r="D104" t="s">
        <v>54</v>
      </c>
      <c r="H104" s="18" t="s">
        <v>84</v>
      </c>
    </row>
  </sheetData>
  <phoneticPr fontId="10"/>
  <pageMargins left="0.7" right="0.7" top="0.75" bottom="0.75" header="0.3" footer="0.3"/>
  <pageSetup r:id="rId1" orientation="portrait" paperSize="9"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true"/>
  </sheetPr>
  <dimension ref="A1:L80"/>
  <sheetViews>
    <sheetView tabSelected="true" view="pageBreakPreview" zoomScale="85" zoomScaleNormal="100" zoomScaleSheetLayoutView="85" workbookViewId="0">
      <pane activePane="bottomRight" state="frozen" topLeftCell="E5" xSplit="4" ySplit="4"/>
      <selection activeCell="D1" pane="topRight" sqref="D1"/>
      <selection activeCell="A5" pane="bottomLeft" sqref="A5"/>
      <selection pane="bottomRight"/>
    </sheetView>
  </sheetViews>
  <sheetFormatPr defaultColWidth="8.5703125" defaultRowHeight="12.75"/>
  <cols>
    <col customWidth="true" max="1" min="1" width="5.5703125"/>
    <col customWidth="true" max="2" min="2" width="56.42578125"/>
    <col customWidth="true" max="3" min="3" width="31.85546875"/>
    <col customWidth="true" max="4" min="4" width="16"/>
    <col customWidth="true" max="5" min="5" width="5.85546875"/>
    <col customWidth="true" max="6" min="6" style="4" width="9"/>
    <col bestFit="true" customWidth="true" max="7" min="7" width="55.42578125"/>
    <col customWidth="true" max="8" min="8" style="3" width="11.140625"/>
    <col bestFit="true" customWidth="true" max="9" min="9" width="43.5703125"/>
    <col customWidth="true" max="10" min="10" width="17.85546875"/>
    <col customWidth="true" max="11" min="11" width="41.5703125"/>
    <col customWidth="true" max="12" min="12" width="34.140625"/>
  </cols>
  <sheetData>
    <row r="1" spans="1:12" ht="21" customHeight="true">
      <c r="A1" s="8" t="s">
        <v>85</v>
      </c>
      <c r="B1" s="7"/>
      <c r="C1" s="7"/>
      <c r="D1" s="7"/>
      <c r="E1" s="7"/>
      <c r="F1" s="7"/>
      <c r="G1" s="7"/>
      <c r="H1" s="7"/>
      <c r="I1" s="7"/>
      <c r="J1" s="7"/>
      <c r="K1" s="6" t="s">
        <v>86</v>
      </c>
    </row>
    <row r="2" spans="1:12" ht="21" customHeight="true">
      <c r="A2" s="55" t="s">
        <v>87</v>
      </c>
      <c r="B2" s="55"/>
      <c r="C2" s="55"/>
      <c r="D2" s="55"/>
      <c r="E2" s="55"/>
      <c r="F2" s="55"/>
      <c r="G2" s="55"/>
      <c r="H2" s="55"/>
      <c r="I2" s="55"/>
      <c r="J2" s="55"/>
      <c r="K2" s="44" t="s">
        <v>88</v>
      </c>
    </row>
    <row r="3" spans="1:12" ht="18" customHeight="true">
      <c r="A3" s="46" t="s">
        <v>89</v>
      </c>
      <c r="B3" s="5"/>
      <c r="C3" s="5"/>
      <c r="D3" s="5"/>
      <c r="E3" s="5"/>
      <c r="F3" s="15"/>
      <c r="G3" s="14"/>
      <c r="H3" s="14"/>
      <c r="I3" s="14"/>
      <c r="J3" s="14"/>
      <c r="K3" s="43" t="s">
        <v>90</v>
      </c>
    </row>
    <row r="4" spans="1:12" ht="21" customHeight="true">
      <c r="A4" s="1"/>
      <c r="B4" s="9" t="s">
        <v>91</v>
      </c>
      <c r="C4" s="9" t="s">
        <v>92</v>
      </c>
      <c r="D4" s="9" t="s">
        <v>93</v>
      </c>
      <c r="E4" s="9"/>
      <c r="F4" s="9" t="s">
        <v>94</v>
      </c>
      <c r="G4" s="16" t="s">
        <v>95</v>
      </c>
      <c r="H4" s="30" t="s">
        <v>96</v>
      </c>
      <c r="I4" s="16" t="s">
        <v>97</v>
      </c>
      <c r="J4" s="9" t="s">
        <v>98</v>
      </c>
      <c r="K4" s="9" t="s">
        <v>99</v>
      </c>
      <c r="L4" t="s">
        <v>100</v>
      </c>
    </row>
    <row r="5" spans="1:12" ht="3.75" customHeight="true">
      <c r="A5" s="1"/>
      <c r="B5" s="9"/>
      <c r="C5" s="9"/>
      <c r="D5" s="9"/>
      <c r="E5" s="9"/>
      <c r="F5" s="10"/>
      <c r="G5" s="16"/>
      <c r="H5" s="30"/>
      <c r="I5" s="16"/>
      <c r="J5" s="9"/>
      <c r="K5" s="9"/>
    </row>
    <row r="6" spans="1:12" ht="24" customHeight="true">
      <c r="A6" s="33">
        <v>1</v>
      </c>
      <c r="B6" s="11" t="s">
        <v>101</v>
      </c>
      <c r="C6" s="11" t="s">
        <v>102</v>
      </c>
      <c r="D6" s="11" t="s">
        <v>103</v>
      </c>
      <c r="E6" s="11" t="s">
        <v>340</v>
      </c>
      <c r="F6" s="49" t="s">
        <v>114</v>
      </c>
      <c r="G6" s="34" t="str">
        <f>IF(E6&lt;&gt;"",E6&amp;"_sys-CD_"&amp;C6&amp;".xlsx","")</f>
        <v>F1000_sys-CD_成果物一覧.xlsx</v>
      </c>
      <c r="H6" s="35" t="s">
        <v>104</v>
      </c>
      <c r="I6" s="17" t="s">
        <v>105</v>
      </c>
      <c r="J6" s="11" t="s">
        <v>106</v>
      </c>
      <c r="K6" s="47"/>
    </row>
    <row r="7" spans="1:12" ht="24" customHeight="true">
      <c r="A7" s="33">
        <v>2</v>
      </c>
      <c r="B7" s="11" t="s">
        <v>107</v>
      </c>
      <c r="C7" s="11" t="s">
        <v>107</v>
      </c>
      <c r="D7" s="11" t="s">
        <v>108</v>
      </c>
      <c r="E7" s="11" t="s">
        <v>109</v>
      </c>
      <c r="F7" s="49" t="s">
        <v>114</v>
      </c>
      <c r="G7" s="34" t="str">
        <f t="shared" ref="G7:G64" si="0">IF(E7&lt;&gt;"",E7&amp;"_sys-CD_"&amp;C7&amp;".xlsx","")</f>
        <v>F4001_sys-CD_データストア一覧.xlsx</v>
      </c>
      <c r="H7" s="35" t="s">
        <v>104</v>
      </c>
      <c r="I7" s="17" t="s">
        <v>110</v>
      </c>
      <c r="J7" s="11" t="s">
        <v>106</v>
      </c>
      <c r="K7" s="47"/>
    </row>
    <row r="8" spans="1:12" ht="24" customHeight="true">
      <c r="A8" s="33">
        <v>3</v>
      </c>
      <c r="B8" s="11" t="s">
        <v>111</v>
      </c>
      <c r="C8" s="11" t="s">
        <v>111</v>
      </c>
      <c r="D8" s="11" t="s">
        <v>112</v>
      </c>
      <c r="E8" s="11" t="s">
        <v>113</v>
      </c>
      <c r="F8" s="49" t="s">
        <v>114</v>
      </c>
      <c r="G8" s="34" t="str">
        <f t="shared" si="0"/>
        <v>F4002_sys-CD_画面一覧.xlsx</v>
      </c>
      <c r="H8" s="35" t="s">
        <v>115</v>
      </c>
      <c r="I8" s="34" t="s">
        <v>116</v>
      </c>
      <c r="J8" s="11" t="s">
        <v>106</v>
      </c>
      <c r="K8" s="11"/>
    </row>
    <row r="9" spans="1:12" ht="24" customHeight="true">
      <c r="A9" s="33">
        <v>4</v>
      </c>
      <c r="B9" s="11" t="s">
        <v>117</v>
      </c>
      <c r="C9" s="11" t="s">
        <v>117</v>
      </c>
      <c r="D9" s="11" t="s">
        <v>118</v>
      </c>
      <c r="E9" s="11" t="s">
        <v>119</v>
      </c>
      <c r="F9" s="49" t="s">
        <v>114</v>
      </c>
      <c r="G9" s="34" t="str">
        <f t="shared" si="0"/>
        <v>F4003_sys-CD_帳票一覧.xlsx</v>
      </c>
      <c r="H9" s="35" t="s">
        <v>104</v>
      </c>
      <c r="I9" s="17" t="s">
        <v>110</v>
      </c>
      <c r="J9" s="11" t="s">
        <v>106</v>
      </c>
      <c r="K9" s="11"/>
    </row>
    <row r="10" spans="1:12" ht="24" customHeight="true">
      <c r="A10" s="33">
        <v>5</v>
      </c>
      <c r="B10" s="11" t="s">
        <v>120</v>
      </c>
      <c r="C10" s="11" t="s">
        <v>120</v>
      </c>
      <c r="D10" s="11" t="s">
        <v>121</v>
      </c>
      <c r="E10" s="11" t="s">
        <v>122</v>
      </c>
      <c r="F10" s="49" t="s">
        <v>114</v>
      </c>
      <c r="G10" s="34" t="str">
        <f t="shared" si="0"/>
        <v>F4004_sys-CD_ＣＳＶファイル一覧.xlsx</v>
      </c>
      <c r="H10" s="36" t="s">
        <v>104</v>
      </c>
      <c r="I10" s="17" t="s">
        <v>110</v>
      </c>
      <c r="J10" s="11" t="s">
        <v>106</v>
      </c>
      <c r="K10" s="11"/>
      <c r="L10" t="s">
        <v>123</v>
      </c>
    </row>
    <row r="11" spans="1:12" ht="24" customHeight="true">
      <c r="A11" s="33">
        <v>6</v>
      </c>
      <c r="B11" s="11" t="s">
        <v>124</v>
      </c>
      <c r="C11" s="11" t="s">
        <v>124</v>
      </c>
      <c r="D11" s="11" t="s">
        <v>125</v>
      </c>
      <c r="E11" s="11" t="s">
        <v>126</v>
      </c>
      <c r="F11" s="49" t="s">
        <v>114</v>
      </c>
      <c r="G11" s="34" t="str">
        <f t="shared" si="0"/>
        <v>F4005_sys-CD_テーブル一覧.xlsx</v>
      </c>
      <c r="H11" s="35" t="s">
        <v>104</v>
      </c>
      <c r="I11" s="17" t="s">
        <v>110</v>
      </c>
      <c r="J11" s="11" t="s">
        <v>106</v>
      </c>
      <c r="K11" s="47"/>
      <c r="L11" t="s">
        <v>127</v>
      </c>
    </row>
    <row r="12" spans="1:12" ht="24" customHeight="true">
      <c r="A12" s="33">
        <v>7</v>
      </c>
      <c r="B12" s="11" t="s">
        <v>128</v>
      </c>
      <c r="C12" s="11" t="s">
        <v>129</v>
      </c>
      <c r="D12" s="11" t="s">
        <v>130</v>
      </c>
      <c r="E12" s="11" t="s">
        <v>131</v>
      </c>
      <c r="F12" s="49" t="s">
        <v>114</v>
      </c>
      <c r="G12" s="34" t="str">
        <f t="shared" si="0"/>
        <v>F4006_sys-CD_対外連動ＩＦ一覧.xlsx</v>
      </c>
      <c r="H12" s="35" t="s">
        <v>104</v>
      </c>
      <c r="I12" s="17" t="s">
        <v>110</v>
      </c>
      <c r="J12" s="11" t="s">
        <v>106</v>
      </c>
      <c r="K12" s="47"/>
    </row>
    <row r="13" spans="1:12" ht="24" customHeight="true">
      <c r="A13" s="33">
        <v>8</v>
      </c>
      <c r="B13" s="11" t="s">
        <v>132</v>
      </c>
      <c r="C13" s="11" t="s">
        <v>133</v>
      </c>
      <c r="D13" s="11" t="s">
        <v>134</v>
      </c>
      <c r="E13" s="11" t="s">
        <v>135</v>
      </c>
      <c r="F13" s="49" t="s">
        <v>114</v>
      </c>
      <c r="G13" s="34" t="str">
        <f t="shared" si="0"/>
        <v>F4007_sys-CD_他システム連動ＩＦ一覧.xlsx</v>
      </c>
      <c r="H13" s="35" t="s">
        <v>104</v>
      </c>
      <c r="I13" s="17" t="s">
        <v>110</v>
      </c>
      <c r="J13" s="11" t="s">
        <v>106</v>
      </c>
      <c r="K13" s="47"/>
    </row>
    <row r="14" spans="1:12" ht="24" customHeight="true">
      <c r="A14" s="33">
        <v>9</v>
      </c>
      <c r="B14" s="57" t="s">
        <v>456</v>
      </c>
      <c r="C14" s="57" t="s">
        <v>457</v>
      </c>
      <c r="D14" s="11" t="s">
        <v>138</v>
      </c>
      <c r="E14" s="11" t="s">
        <v>139</v>
      </c>
      <c r="F14" s="49" t="s">
        <v>114</v>
      </c>
      <c r="G14" s="57" t="s">
        <v>458</v>
      </c>
      <c r="H14" s="36" t="s">
        <v>104</v>
      </c>
      <c r="I14" s="17" t="s">
        <v>110</v>
      </c>
      <c r="J14" s="11" t="s">
        <v>106</v>
      </c>
      <c r="K14" s="11"/>
    </row>
    <row r="15" spans="1:12" ht="24" customHeight="true">
      <c r="A15" s="33">
        <v>10</v>
      </c>
      <c r="B15" s="11" t="s">
        <v>140</v>
      </c>
      <c r="C15" s="11" t="s">
        <v>140</v>
      </c>
      <c r="D15" s="11" t="s">
        <v>141</v>
      </c>
      <c r="E15" s="11" t="s">
        <v>142</v>
      </c>
      <c r="F15" s="49" t="s">
        <v>336</v>
      </c>
      <c r="G15" s="34" t="str">
        <f t="shared" si="0"/>
        <v>F4012_sys-CD_調査項目一覧表.xlsx</v>
      </c>
      <c r="H15" s="35" t="s">
        <v>104</v>
      </c>
      <c r="I15" s="17" t="s">
        <v>110</v>
      </c>
      <c r="J15" s="11" t="s">
        <v>106</v>
      </c>
      <c r="K15" s="47"/>
    </row>
    <row r="16" spans="1:12" ht="24" customHeight="true">
      <c r="A16" s="33">
        <v>11</v>
      </c>
      <c r="B16" s="11" t="s">
        <v>143</v>
      </c>
      <c r="C16" s="11" t="s">
        <v>143</v>
      </c>
      <c r="D16" s="11" t="s">
        <v>144</v>
      </c>
      <c r="E16" s="11" t="s">
        <v>145</v>
      </c>
      <c r="F16" s="49" t="s">
        <v>336</v>
      </c>
      <c r="G16" s="34" t="str">
        <f t="shared" si="0"/>
        <v>F4013_sys-CD_仕様確認一覧表.xlsx</v>
      </c>
      <c r="H16" s="36" t="s">
        <v>104</v>
      </c>
      <c r="I16" s="17" t="s">
        <v>110</v>
      </c>
      <c r="J16" s="11" t="s">
        <v>106</v>
      </c>
      <c r="K16" s="47"/>
    </row>
    <row r="17" spans="1:11" ht="24" customHeight="true">
      <c r="A17" s="33">
        <v>15</v>
      </c>
      <c r="B17" s="11" t="s">
        <v>146</v>
      </c>
      <c r="C17" s="11" t="s">
        <v>147</v>
      </c>
      <c r="D17" s="11" t="s">
        <v>148</v>
      </c>
      <c r="E17" s="11" t="s">
        <v>149</v>
      </c>
      <c r="F17" s="49" t="s">
        <v>114</v>
      </c>
      <c r="G17" s="34" t="str">
        <f t="shared" si="0"/>
        <v>F4101_sys-CD_機能階層図.xlsx</v>
      </c>
      <c r="H17" s="37" t="s">
        <v>115</v>
      </c>
      <c r="I17" s="34" t="s">
        <v>116</v>
      </c>
      <c r="J17" s="11" t="s">
        <v>106</v>
      </c>
      <c r="K17" s="47"/>
    </row>
    <row r="18" spans="1:11" ht="24" customHeight="true">
      <c r="A18" s="33">
        <v>16</v>
      </c>
      <c r="B18" s="11" t="s">
        <v>150</v>
      </c>
      <c r="C18" s="11" t="s">
        <v>151</v>
      </c>
      <c r="D18" s="11" t="s">
        <v>152</v>
      </c>
      <c r="E18" s="11" t="s">
        <v>153</v>
      </c>
      <c r="F18" s="49" t="s">
        <v>114</v>
      </c>
      <c r="G18" s="34" t="str">
        <f>IF(E18&lt;&gt;"",E18&amp;"_sys-CD_"&amp;C18&amp;"[業務名].xlsx","")</f>
        <v>F4102_sys-CD_ＤＦＤ[業務名].xlsx</v>
      </c>
      <c r="H18" s="37" t="s">
        <v>115</v>
      </c>
      <c r="I18" s="38" t="s">
        <v>154</v>
      </c>
      <c r="J18" s="11" t="s">
        <v>106</v>
      </c>
      <c r="K18" s="47"/>
    </row>
    <row r="19" spans="1:11" ht="22.5" customHeight="true">
      <c r="A19" s="33">
        <v>17</v>
      </c>
      <c r="B19" s="11" t="s">
        <v>155</v>
      </c>
      <c r="C19" s="11" t="s">
        <v>341</v>
      </c>
      <c r="D19" s="11" t="s">
        <v>156</v>
      </c>
      <c r="E19" s="11" t="s">
        <v>335</v>
      </c>
      <c r="F19" s="49" t="s">
        <v>114</v>
      </c>
      <c r="G19" s="34" t="str">
        <f>IF(E19&lt;&gt;"",E19&amp;"_sys-CD_"&amp;C19&amp;"_[機能階層№_機能名].xlsx","")</f>
        <v>F4103D_sys-CD_処理機能記述書_[機能階層№_機能名].xlsx</v>
      </c>
      <c r="H19" s="35" t="s">
        <v>104</v>
      </c>
      <c r="I19" s="38" t="s">
        <v>154</v>
      </c>
      <c r="J19" s="11" t="s">
        <v>106</v>
      </c>
      <c r="K19" s="48"/>
    </row>
    <row r="20" spans="1:11" ht="24" customHeight="true">
      <c r="A20" s="33">
        <v>18</v>
      </c>
      <c r="B20" s="11" t="s">
        <v>157</v>
      </c>
      <c r="C20" s="11" t="s">
        <v>158</v>
      </c>
      <c r="D20" s="11" t="s">
        <v>159</v>
      </c>
      <c r="E20" s="11" t="s">
        <v>160</v>
      </c>
      <c r="F20" s="49" t="s">
        <v>114</v>
      </c>
      <c r="G20" s="34" t="str">
        <f>IF(E20&lt;&gt;"",E20&amp;"_sys-CD_"&amp;C20&amp;"[業務名 ].xlsx","")</f>
        <v>F4104_sys-CD_ストア記述[業務名 ].xlsx</v>
      </c>
      <c r="H20" s="37" t="s">
        <v>115</v>
      </c>
      <c r="I20" s="38" t="s">
        <v>154</v>
      </c>
      <c r="J20" s="11" t="s">
        <v>106</v>
      </c>
      <c r="K20" s="47"/>
    </row>
    <row r="21" spans="1:11" ht="24" customHeight="true">
      <c r="A21" s="33">
        <v>19</v>
      </c>
      <c r="B21" s="11" t="s">
        <v>161</v>
      </c>
      <c r="C21" s="11" t="s">
        <v>161</v>
      </c>
      <c r="D21" s="12" t="s">
        <v>162</v>
      </c>
      <c r="E21" s="11" t="s">
        <v>163</v>
      </c>
      <c r="F21" s="49" t="s">
        <v>114</v>
      </c>
      <c r="G21" s="34" t="str">
        <f t="shared" si="0"/>
        <v>F4105_sys-CD_画面共通編集説明.xlsx</v>
      </c>
      <c r="H21" s="35" t="s">
        <v>104</v>
      </c>
      <c r="I21" s="17" t="s">
        <v>110</v>
      </c>
      <c r="J21" s="11" t="s">
        <v>106</v>
      </c>
      <c r="K21" s="11"/>
    </row>
    <row r="22" spans="1:11" ht="24" customHeight="true">
      <c r="A22" s="33">
        <v>20</v>
      </c>
      <c r="B22" s="57" t="s">
        <v>459</v>
      </c>
      <c r="C22" s="11" t="s">
        <v>165</v>
      </c>
      <c r="D22" s="11" t="s">
        <v>166</v>
      </c>
      <c r="E22" s="11" t="s">
        <v>167</v>
      </c>
      <c r="F22" s="49" t="s">
        <v>114</v>
      </c>
      <c r="G22" s="34" t="str">
        <f>IF(E22&lt;&gt;"",E22&amp;"_sys-CD_"&amp;C22&amp;"_[機能階層№_機能名].xlsx","")</f>
        <v>F4106_sys-CD_画面設計_[機能階層№_機能名].xlsx</v>
      </c>
      <c r="H22" s="37" t="s">
        <v>115</v>
      </c>
      <c r="I22" s="34"/>
      <c r="J22" s="11"/>
      <c r="K22" s="48"/>
    </row>
    <row r="23" spans="1:11" ht="24" customHeight="true">
      <c r="A23" s="33">
        <v>21</v>
      </c>
      <c r="B23" s="11" t="s">
        <v>168</v>
      </c>
      <c r="C23" s="11" t="s">
        <v>168</v>
      </c>
      <c r="D23" s="12" t="s">
        <v>169</v>
      </c>
      <c r="E23" s="11"/>
      <c r="F23" s="49" t="s">
        <v>114</v>
      </c>
      <c r="G23" s="34" t="str">
        <f t="shared" si="0"/>
      </c>
      <c r="H23" s="37">
        <v>1</v>
      </c>
      <c r="I23" s="17" t="s">
        <v>168</v>
      </c>
      <c r="J23" s="11" t="s">
        <v>106</v>
      </c>
      <c r="K23" s="11"/>
    </row>
    <row r="24" spans="1:11" ht="24" customHeight="true">
      <c r="A24" s="33">
        <v>22</v>
      </c>
      <c r="B24" s="11" t="s">
        <v>170</v>
      </c>
      <c r="C24" s="11" t="s">
        <v>170</v>
      </c>
      <c r="D24" s="12" t="s">
        <v>171</v>
      </c>
      <c r="E24" s="11"/>
      <c r="F24" s="49" t="s">
        <v>114</v>
      </c>
      <c r="G24" s="34" t="str">
        <f t="shared" si="0"/>
      </c>
      <c r="H24" s="37">
        <v>1</v>
      </c>
      <c r="I24" s="17" t="s">
        <v>172</v>
      </c>
      <c r="J24" s="11" t="s">
        <v>106</v>
      </c>
      <c r="K24" s="11"/>
    </row>
    <row r="25" spans="1:11" ht="24" customHeight="true">
      <c r="A25" s="33">
        <v>23</v>
      </c>
      <c r="B25" s="11" t="s">
        <v>173</v>
      </c>
      <c r="C25" s="11" t="s">
        <v>173</v>
      </c>
      <c r="D25" s="12" t="s">
        <v>174</v>
      </c>
      <c r="E25" s="11"/>
      <c r="F25" s="49" t="s">
        <v>114</v>
      </c>
      <c r="G25" s="34" t="str">
        <f t="shared" si="0"/>
      </c>
      <c r="H25" s="37">
        <v>1</v>
      </c>
      <c r="I25" s="17" t="s">
        <v>175</v>
      </c>
      <c r="J25" s="11" t="s">
        <v>106</v>
      </c>
      <c r="K25" s="11"/>
    </row>
    <row r="26" spans="1:11" ht="24" customHeight="true">
      <c r="A26" s="33">
        <v>24</v>
      </c>
      <c r="B26" s="11" t="s">
        <v>176</v>
      </c>
      <c r="C26" s="11" t="s">
        <v>176</v>
      </c>
      <c r="D26" s="12" t="s">
        <v>177</v>
      </c>
      <c r="E26" s="11"/>
      <c r="F26" s="49" t="s">
        <v>114</v>
      </c>
      <c r="G26" s="34" t="str">
        <f t="shared" si="0"/>
      </c>
      <c r="H26" s="37">
        <v>1</v>
      </c>
      <c r="I26" s="17" t="s">
        <v>178</v>
      </c>
      <c r="J26" s="11" t="s">
        <v>106</v>
      </c>
      <c r="K26" s="11"/>
    </row>
    <row r="27" spans="1:11" ht="24" customHeight="true">
      <c r="A27" s="33">
        <v>25</v>
      </c>
      <c r="B27" s="11" t="s">
        <v>179</v>
      </c>
      <c r="C27" s="11" t="s">
        <v>179</v>
      </c>
      <c r="D27" s="12" t="s">
        <v>180</v>
      </c>
      <c r="E27" s="11"/>
      <c r="F27" s="49" t="s">
        <v>114</v>
      </c>
      <c r="G27" s="34" t="str">
        <f t="shared" si="0"/>
      </c>
      <c r="H27" s="37">
        <v>1</v>
      </c>
      <c r="I27" s="17" t="s">
        <v>181</v>
      </c>
      <c r="J27" s="11" t="s">
        <v>106</v>
      </c>
      <c r="K27" s="11"/>
    </row>
    <row r="28" spans="1:11" ht="24" customHeight="true">
      <c r="A28" s="33">
        <v>26</v>
      </c>
      <c r="B28" s="11" t="s">
        <v>182</v>
      </c>
      <c r="C28" s="11" t="s">
        <v>182</v>
      </c>
      <c r="D28" s="12" t="s">
        <v>183</v>
      </c>
      <c r="E28" s="11"/>
      <c r="F28" s="49" t="s">
        <v>114</v>
      </c>
      <c r="G28" s="34" t="str">
        <f t="shared" si="0"/>
      </c>
      <c r="H28" s="37">
        <v>1</v>
      </c>
      <c r="I28" s="17" t="s">
        <v>182</v>
      </c>
      <c r="J28" s="11" t="s">
        <v>106</v>
      </c>
      <c r="K28" s="11"/>
    </row>
    <row r="29" spans="1:11" ht="24" customHeight="true">
      <c r="A29" s="33">
        <v>27</v>
      </c>
      <c r="B29" s="11" t="s">
        <v>184</v>
      </c>
      <c r="C29" s="11" t="s">
        <v>184</v>
      </c>
      <c r="D29" s="12" t="s">
        <v>185</v>
      </c>
      <c r="E29" s="11" t="s">
        <v>186</v>
      </c>
      <c r="F29" s="49" t="s">
        <v>114</v>
      </c>
      <c r="G29" s="34" t="str">
        <f t="shared" si="0"/>
        <v>F4107_sys-CD_画面体系図.xlsx</v>
      </c>
      <c r="H29" s="37">
        <v>1</v>
      </c>
      <c r="I29" s="34" t="s">
        <v>116</v>
      </c>
      <c r="J29" s="11" t="s">
        <v>106</v>
      </c>
      <c r="K29" s="47"/>
    </row>
    <row r="30" spans="1:11" ht="24" customHeight="true">
      <c r="A30" s="33">
        <v>28</v>
      </c>
      <c r="B30" s="11" t="s">
        <v>187</v>
      </c>
      <c r="C30" s="11" t="s">
        <v>187</v>
      </c>
      <c r="D30" s="12" t="s">
        <v>188</v>
      </c>
      <c r="E30" s="11" t="s">
        <v>189</v>
      </c>
      <c r="F30" s="49" t="s">
        <v>114</v>
      </c>
      <c r="G30" s="34" t="str">
        <f t="shared" si="0"/>
        <v>F4108_sys-CD_帳票共通編集説明.xlsx</v>
      </c>
      <c r="H30" s="35" t="s">
        <v>104</v>
      </c>
      <c r="I30" s="17" t="s">
        <v>110</v>
      </c>
      <c r="J30" s="11" t="s">
        <v>106</v>
      </c>
      <c r="K30" s="11"/>
    </row>
    <row r="31" spans="1:11" ht="24" customHeight="true">
      <c r="A31" s="33">
        <v>29</v>
      </c>
      <c r="B31" s="57" t="s">
        <v>460</v>
      </c>
      <c r="C31" s="57" t="s">
        <v>460</v>
      </c>
      <c r="D31" s="12" t="s">
        <v>191</v>
      </c>
      <c r="E31" s="11" t="s">
        <v>192</v>
      </c>
      <c r="F31" s="49" t="s">
        <v>114</v>
      </c>
      <c r="G31" s="57" t="s">
        <v>461</v>
      </c>
      <c r="H31" s="37" t="s">
        <v>115</v>
      </c>
      <c r="I31" s="34"/>
      <c r="J31" s="11"/>
      <c r="K31" s="48"/>
    </row>
    <row r="32" spans="1:11" ht="24" customHeight="true">
      <c r="A32" s="33">
        <v>30</v>
      </c>
      <c r="B32" s="11" t="s">
        <v>193</v>
      </c>
      <c r="C32" s="11" t="s">
        <v>193</v>
      </c>
      <c r="D32" s="12" t="s">
        <v>194</v>
      </c>
      <c r="E32" s="11"/>
      <c r="F32" s="49" t="s">
        <v>114</v>
      </c>
      <c r="G32" s="34" t="str">
        <f t="shared" si="0"/>
      </c>
      <c r="H32" s="37">
        <v>1</v>
      </c>
      <c r="I32" s="17" t="s">
        <v>195</v>
      </c>
      <c r="J32" s="11" t="s">
        <v>106</v>
      </c>
      <c r="K32" s="11"/>
    </row>
    <row r="33" spans="1:12" ht="24" customHeight="true">
      <c r="A33" s="33">
        <v>31</v>
      </c>
      <c r="B33" s="11" t="s">
        <v>196</v>
      </c>
      <c r="C33" s="11" t="s">
        <v>196</v>
      </c>
      <c r="D33" s="12" t="s">
        <v>194</v>
      </c>
      <c r="E33" s="11"/>
      <c r="F33" s="49" t="s">
        <v>114</v>
      </c>
      <c r="G33" s="34" t="str">
        <f t="shared" si="0"/>
      </c>
      <c r="H33" s="37">
        <v>1</v>
      </c>
      <c r="I33" s="17" t="s">
        <v>197</v>
      </c>
      <c r="J33" s="11" t="s">
        <v>106</v>
      </c>
      <c r="K33" s="11"/>
    </row>
    <row r="34" spans="1:12" ht="24" customHeight="true">
      <c r="A34" s="33">
        <v>32</v>
      </c>
      <c r="B34" s="11" t="s">
        <v>198</v>
      </c>
      <c r="C34" s="11" t="s">
        <v>198</v>
      </c>
      <c r="D34" s="12" t="s">
        <v>199</v>
      </c>
      <c r="E34" s="11"/>
      <c r="F34" s="49" t="s">
        <v>114</v>
      </c>
      <c r="G34" s="34" t="str">
        <f t="shared" si="0"/>
      </c>
      <c r="H34" s="37">
        <v>1</v>
      </c>
      <c r="I34" s="17" t="s">
        <v>200</v>
      </c>
      <c r="J34" s="11" t="s">
        <v>106</v>
      </c>
      <c r="K34" s="11"/>
    </row>
    <row r="35" spans="1:12" ht="24" customHeight="true">
      <c r="A35" s="33">
        <v>33</v>
      </c>
      <c r="B35" s="11" t="s">
        <v>173</v>
      </c>
      <c r="C35" s="11" t="s">
        <v>173</v>
      </c>
      <c r="D35" s="12" t="s">
        <v>201</v>
      </c>
      <c r="E35" s="11"/>
      <c r="F35" s="49" t="s">
        <v>114</v>
      </c>
      <c r="G35" s="34" t="str">
        <f t="shared" si="0"/>
      </c>
      <c r="H35" s="37">
        <v>1</v>
      </c>
      <c r="I35" s="17" t="s">
        <v>175</v>
      </c>
      <c r="J35" s="11" t="s">
        <v>106</v>
      </c>
      <c r="K35" s="11"/>
    </row>
    <row r="36" spans="1:12" ht="24" customHeight="true">
      <c r="A36" s="33">
        <v>34</v>
      </c>
      <c r="B36" s="57" t="s">
        <v>462</v>
      </c>
      <c r="C36" s="57" t="s">
        <v>463</v>
      </c>
      <c r="D36" s="11" t="s">
        <v>204</v>
      </c>
      <c r="E36" s="11" t="s">
        <v>205</v>
      </c>
      <c r="F36" s="49" t="s">
        <v>114</v>
      </c>
      <c r="G36" s="57" t="s">
        <v>464</v>
      </c>
      <c r="H36" s="37" t="s">
        <v>115</v>
      </c>
      <c r="I36" s="34"/>
      <c r="J36" s="11"/>
      <c r="K36" s="11"/>
    </row>
    <row r="37" spans="1:12" ht="24" customHeight="true">
      <c r="A37" s="33">
        <v>35</v>
      </c>
      <c r="B37" s="39" t="s">
        <v>206</v>
      </c>
      <c r="C37" s="39" t="s">
        <v>206</v>
      </c>
      <c r="D37" s="11" t="s">
        <v>207</v>
      </c>
      <c r="E37" s="11"/>
      <c r="F37" s="49" t="s">
        <v>114</v>
      </c>
      <c r="G37" s="34" t="str">
        <f t="shared" si="0"/>
      </c>
      <c r="H37" s="37">
        <v>1</v>
      </c>
      <c r="I37" s="17" t="s">
        <v>208</v>
      </c>
      <c r="J37" s="11" t="s">
        <v>106</v>
      </c>
      <c r="K37" s="11"/>
    </row>
    <row r="38" spans="1:12" ht="24" customHeight="true">
      <c r="A38" s="33">
        <v>36</v>
      </c>
      <c r="B38" s="39" t="s">
        <v>209</v>
      </c>
      <c r="C38" s="39" t="s">
        <v>209</v>
      </c>
      <c r="D38" s="11" t="s">
        <v>210</v>
      </c>
      <c r="E38" s="11"/>
      <c r="F38" s="49" t="s">
        <v>114</v>
      </c>
      <c r="G38" s="34" t="str">
        <f t="shared" si="0"/>
      </c>
      <c r="H38" s="37">
        <v>1</v>
      </c>
      <c r="I38" s="17" t="s">
        <v>211</v>
      </c>
      <c r="J38" s="11" t="s">
        <v>106</v>
      </c>
      <c r="K38" s="11"/>
    </row>
    <row r="39" spans="1:12" ht="24" customHeight="true">
      <c r="A39" s="33">
        <v>37</v>
      </c>
      <c r="B39" s="39" t="s">
        <v>212</v>
      </c>
      <c r="C39" s="39" t="s">
        <v>212</v>
      </c>
      <c r="D39" s="11" t="s">
        <v>213</v>
      </c>
      <c r="E39" s="11"/>
      <c r="F39" s="49" t="s">
        <v>114</v>
      </c>
      <c r="G39" s="34" t="str">
        <f t="shared" si="0"/>
      </c>
      <c r="H39" s="37">
        <v>1</v>
      </c>
      <c r="I39" s="17" t="s">
        <v>214</v>
      </c>
      <c r="J39" s="11" t="s">
        <v>106</v>
      </c>
      <c r="K39" s="11"/>
    </row>
    <row r="40" spans="1:12" ht="24" customHeight="true">
      <c r="A40" s="33">
        <v>38</v>
      </c>
      <c r="B40" s="39" t="s">
        <v>215</v>
      </c>
      <c r="C40" s="39" t="s">
        <v>215</v>
      </c>
      <c r="D40" s="11" t="s">
        <v>216</v>
      </c>
      <c r="E40" s="11"/>
      <c r="F40" s="49" t="s">
        <v>114</v>
      </c>
      <c r="G40" s="34" t="str">
        <f t="shared" si="0"/>
      </c>
      <c r="H40" s="37">
        <v>1</v>
      </c>
      <c r="I40" s="17" t="s">
        <v>217</v>
      </c>
      <c r="J40" s="11" t="s">
        <v>106</v>
      </c>
      <c r="K40" s="11"/>
    </row>
    <row r="41" spans="1:12" ht="24" customHeight="true">
      <c r="A41" s="33">
        <v>39</v>
      </c>
      <c r="B41" s="57" t="s">
        <v>465</v>
      </c>
      <c r="C41" s="57" t="s">
        <v>466</v>
      </c>
      <c r="D41" s="11" t="s">
        <v>219</v>
      </c>
      <c r="E41" s="11" t="s">
        <v>220</v>
      </c>
      <c r="F41" s="49" t="s">
        <v>114</v>
      </c>
      <c r="G41" s="57" t="s">
        <v>467</v>
      </c>
      <c r="H41" s="35" t="s">
        <v>104</v>
      </c>
      <c r="I41" s="17" t="s">
        <v>110</v>
      </c>
      <c r="J41" s="11" t="s">
        <v>106</v>
      </c>
      <c r="K41" s="47"/>
    </row>
    <row r="42" spans="1:12" ht="24" customHeight="true">
      <c r="A42" s="33">
        <v>40</v>
      </c>
      <c r="B42" s="57" t="s">
        <v>468</v>
      </c>
      <c r="C42" s="57" t="s">
        <v>468</v>
      </c>
      <c r="D42" s="12" t="s">
        <v>222</v>
      </c>
      <c r="E42" s="11" t="s">
        <v>223</v>
      </c>
      <c r="F42" s="49" t="s">
        <v>114</v>
      </c>
      <c r="G42" s="57" t="s">
        <v>469</v>
      </c>
      <c r="H42" s="35" t="s">
        <v>104</v>
      </c>
      <c r="I42" s="17" t="s">
        <v>110</v>
      </c>
      <c r="J42" s="11" t="s">
        <v>106</v>
      </c>
      <c r="K42" s="47"/>
    </row>
    <row r="43" spans="1:12" ht="24" customHeight="true">
      <c r="A43" s="33">
        <v>41</v>
      </c>
      <c r="B43" s="57" t="s">
        <v>470</v>
      </c>
      <c r="C43" s="57" t="s">
        <v>470</v>
      </c>
      <c r="D43" s="12" t="s">
        <v>225</v>
      </c>
      <c r="E43" s="11" t="s">
        <v>226</v>
      </c>
      <c r="F43" s="49" t="s">
        <v>114</v>
      </c>
      <c r="G43" s="57" t="s">
        <v>471</v>
      </c>
      <c r="H43" s="37" t="s">
        <v>115</v>
      </c>
      <c r="I43" s="17" t="s">
        <v>110</v>
      </c>
      <c r="J43" s="11" t="s">
        <v>106</v>
      </c>
      <c r="K43" s="47"/>
      <c r="L43" s="57" t="s">
        <v>472</v>
      </c>
    </row>
    <row r="44" spans="1:12" ht="24" customHeight="true">
      <c r="A44" s="33">
        <v>42</v>
      </c>
      <c r="B44" s="11" t="s">
        <v>228</v>
      </c>
      <c r="C44" s="11" t="s">
        <v>229</v>
      </c>
      <c r="D44" s="11" t="s">
        <v>230</v>
      </c>
      <c r="E44" s="11" t="s">
        <v>231</v>
      </c>
      <c r="F44" s="49" t="s">
        <v>114</v>
      </c>
      <c r="G44" s="34" t="str">
        <f>IF(E44&lt;&gt;"",E44&amp;"_sys-CD_"&amp;C44&amp;"[業務名].xlsx","")</f>
        <v>F4114_sys-CD_ＥＲ図[業務名].xlsx</v>
      </c>
      <c r="H44" s="37" t="s">
        <v>115</v>
      </c>
      <c r="I44" s="17" t="s">
        <v>110</v>
      </c>
      <c r="J44" s="11" t="s">
        <v>106</v>
      </c>
      <c r="K44" s="47"/>
      <c r="L44" t="s">
        <v>232</v>
      </c>
    </row>
    <row r="45" spans="1:12" ht="24" customHeight="true">
      <c r="A45" s="33">
        <v>43</v>
      </c>
      <c r="B45" s="11" t="s">
        <v>233</v>
      </c>
      <c r="C45" s="11" t="s">
        <v>233</v>
      </c>
      <c r="D45" s="11" t="s">
        <v>234</v>
      </c>
      <c r="E45" s="11" t="s">
        <v>235</v>
      </c>
      <c r="F45" s="49" t="s">
        <v>114</v>
      </c>
      <c r="G45" s="34" t="str">
        <f t="shared" si="0"/>
        <v>F4115_sys-CD_外部コード表.xlsx</v>
      </c>
      <c r="H45" s="35" t="s">
        <v>104</v>
      </c>
      <c r="I45" s="38" t="s">
        <v>154</v>
      </c>
      <c r="J45" s="11" t="s">
        <v>106</v>
      </c>
      <c r="K45" s="47"/>
    </row>
    <row r="46" spans="1:12" ht="24" customHeight="true">
      <c r="A46" s="33">
        <v>44</v>
      </c>
      <c r="B46" s="57" t="s">
        <v>473</v>
      </c>
      <c r="C46" s="57" t="s">
        <v>473</v>
      </c>
      <c r="D46" s="11" t="s">
        <v>237</v>
      </c>
      <c r="E46" s="11" t="s">
        <v>238</v>
      </c>
      <c r="F46" s="49" t="s">
        <v>114</v>
      </c>
      <c r="G46" s="57" t="s">
        <v>474</v>
      </c>
      <c r="H46" s="35" t="s">
        <v>104</v>
      </c>
      <c r="I46" s="17" t="s">
        <v>110</v>
      </c>
      <c r="J46" s="11" t="s">
        <v>106</v>
      </c>
      <c r="K46" s="47"/>
    </row>
    <row r="47" spans="1:12" ht="24" customHeight="true">
      <c r="A47" s="33">
        <v>45</v>
      </c>
      <c r="B47" s="11" t="s">
        <v>239</v>
      </c>
      <c r="C47" s="11" t="s">
        <v>240</v>
      </c>
      <c r="D47" s="11" t="s">
        <v>241</v>
      </c>
      <c r="E47" s="11" t="s">
        <v>242</v>
      </c>
      <c r="F47" s="49" t="s">
        <v>114</v>
      </c>
      <c r="G47" s="34" t="str">
        <f>IF(E47&lt;&gt;"",E47&amp;"_sys-CD_"&amp;C47&amp;"[業務名].xlsx","")</f>
        <v>F4119_sys-CD_業務フロー[業務名].xlsx</v>
      </c>
      <c r="H47" s="34" t="s">
        <v>243</v>
      </c>
      <c r="I47" s="17" t="s">
        <v>110</v>
      </c>
      <c r="J47" s="11" t="s">
        <v>106</v>
      </c>
      <c r="K47" s="47"/>
    </row>
    <row r="48" spans="1:12" ht="24" customHeight="true">
      <c r="A48" s="33">
        <v>46</v>
      </c>
      <c r="B48" s="11" t="s">
        <v>244</v>
      </c>
      <c r="C48" s="11" t="s">
        <v>343</v>
      </c>
      <c r="D48" s="11" t="s">
        <v>245</v>
      </c>
      <c r="E48" s="11" t="s">
        <v>246</v>
      </c>
      <c r="F48" s="49" t="s">
        <v>114</v>
      </c>
      <c r="G48" s="34" t="str">
        <f t="shared" si="0"/>
        <v>F4121_sys-CD_外部設計共通設計事項説明書.xlsx</v>
      </c>
      <c r="H48" s="34" t="s">
        <v>243</v>
      </c>
      <c r="I48" s="17" t="s">
        <v>110</v>
      </c>
      <c r="J48" s="11" t="s">
        <v>106</v>
      </c>
      <c r="K48" s="47"/>
    </row>
    <row r="49" spans="1:11" ht="24" customHeight="true">
      <c r="A49" s="33">
        <v>47</v>
      </c>
      <c r="B49" s="11" t="s">
        <v>247</v>
      </c>
      <c r="C49" s="11" t="s">
        <v>248</v>
      </c>
      <c r="D49" s="11" t="s">
        <v>249</v>
      </c>
      <c r="E49" s="11" t="s">
        <v>250</v>
      </c>
      <c r="F49" s="49" t="s">
        <v>114</v>
      </c>
      <c r="G49" s="34" t="str">
        <f t="shared" si="0"/>
        <v>F4122_sys-CD_NW構成図.xlsx</v>
      </c>
      <c r="H49" s="35" t="s">
        <v>104</v>
      </c>
      <c r="I49" s="17" t="s">
        <v>110</v>
      </c>
      <c r="J49" s="11" t="s">
        <v>106</v>
      </c>
      <c r="K49" s="47"/>
    </row>
    <row r="50" spans="1:11" ht="24" customHeight="true">
      <c r="A50" s="33">
        <v>48</v>
      </c>
      <c r="B50" s="11" t="s">
        <v>251</v>
      </c>
      <c r="C50" s="11" t="s">
        <v>252</v>
      </c>
      <c r="D50" s="11" t="s">
        <v>253</v>
      </c>
      <c r="E50" s="11" t="s">
        <v>254</v>
      </c>
      <c r="F50" s="49" t="s">
        <v>114</v>
      </c>
      <c r="G50" s="34" t="str">
        <f t="shared" si="0"/>
        <v>F4123_sys-CD_HW構成図.xlsx</v>
      </c>
      <c r="H50" s="35" t="s">
        <v>104</v>
      </c>
      <c r="I50" s="17" t="s">
        <v>110</v>
      </c>
      <c r="J50" s="11" t="s">
        <v>106</v>
      </c>
      <c r="K50" s="47"/>
    </row>
    <row r="51" spans="1:11" ht="24" customHeight="true">
      <c r="A51" s="33">
        <v>49</v>
      </c>
      <c r="B51" s="11" t="s">
        <v>255</v>
      </c>
      <c r="C51" s="11" t="s">
        <v>256</v>
      </c>
      <c r="D51" s="11" t="s">
        <v>257</v>
      </c>
      <c r="E51" s="11" t="s">
        <v>258</v>
      </c>
      <c r="F51" s="49" t="s">
        <v>114</v>
      </c>
      <c r="G51" s="34" t="str">
        <f t="shared" si="0"/>
        <v>F4124_sys-CD_SW構成図.xlsx</v>
      </c>
      <c r="H51" s="35" t="s">
        <v>104</v>
      </c>
      <c r="I51" s="17" t="s">
        <v>110</v>
      </c>
      <c r="J51" s="11" t="s">
        <v>106</v>
      </c>
      <c r="K51" s="47"/>
    </row>
    <row r="52" spans="1:11" ht="24" customHeight="true">
      <c r="A52" s="33">
        <v>50</v>
      </c>
      <c r="B52" s="11" t="s">
        <v>259</v>
      </c>
      <c r="C52" s="11" t="s">
        <v>260</v>
      </c>
      <c r="D52" s="11" t="s">
        <v>261</v>
      </c>
      <c r="E52" s="11" t="s">
        <v>262</v>
      </c>
      <c r="F52" s="49" t="s">
        <v>114</v>
      </c>
      <c r="G52" s="34" t="str">
        <f t="shared" si="0"/>
        <v>F4125_sys-CD_使用SW整理表.xlsx</v>
      </c>
      <c r="H52" s="35" t="s">
        <v>104</v>
      </c>
      <c r="I52" s="17" t="s">
        <v>110</v>
      </c>
      <c r="J52" s="11" t="s">
        <v>106</v>
      </c>
      <c r="K52" s="47"/>
    </row>
    <row r="53" spans="1:11" ht="24" customHeight="true">
      <c r="A53" s="33">
        <v>51</v>
      </c>
      <c r="B53" s="11" t="s">
        <v>263</v>
      </c>
      <c r="C53" s="11" t="s">
        <v>344</v>
      </c>
      <c r="D53" s="11" t="s">
        <v>264</v>
      </c>
      <c r="E53" s="11" t="s">
        <v>265</v>
      </c>
      <c r="F53" s="49" t="s">
        <v>114</v>
      </c>
      <c r="G53" s="34" t="str">
        <f t="shared" si="0"/>
        <v>F4126_sys-CD_テスト工程別計画書.xlsx</v>
      </c>
      <c r="H53" s="36" t="s">
        <v>104</v>
      </c>
      <c r="I53" s="17" t="s">
        <v>110</v>
      </c>
      <c r="J53" s="11" t="s">
        <v>106</v>
      </c>
      <c r="K53" s="11"/>
    </row>
    <row r="54" spans="1:11" ht="24" customHeight="true">
      <c r="A54" s="33">
        <v>52</v>
      </c>
      <c r="B54" s="57" t="s">
        <v>475</v>
      </c>
      <c r="C54" s="57" t="s">
        <v>475</v>
      </c>
      <c r="D54" s="11" t="s">
        <v>338</v>
      </c>
      <c r="E54" s="11" t="s">
        <v>339</v>
      </c>
      <c r="F54" s="49" t="s">
        <v>114</v>
      </c>
      <c r="G54" s="57" t="s">
        <v>476</v>
      </c>
      <c r="H54" s="36" t="s">
        <v>104</v>
      </c>
      <c r="I54" s="17" t="s">
        <v>110</v>
      </c>
      <c r="J54" s="11" t="s">
        <v>106</v>
      </c>
      <c r="K54" s="11"/>
    </row>
    <row r="55" spans="1:11" ht="24" customHeight="true">
      <c r="A55" s="33">
        <v>53</v>
      </c>
      <c r="B55" s="11" t="s">
        <v>266</v>
      </c>
      <c r="C55" s="11" t="s">
        <v>347</v>
      </c>
      <c r="D55" s="11" t="s">
        <v>267</v>
      </c>
      <c r="E55" s="11" t="s">
        <v>268</v>
      </c>
      <c r="F55" s="49" t="s">
        <v>114</v>
      </c>
      <c r="G55" s="34" t="str">
        <f t="shared" si="0"/>
        <v>F4410_sys-CD_取引ﾊﾟﾀｰﾝ一覧.xlsx</v>
      </c>
      <c r="H55" s="35" t="s">
        <v>104</v>
      </c>
      <c r="I55" s="17" t="s">
        <v>110</v>
      </c>
      <c r="J55" s="11" t="s">
        <v>106</v>
      </c>
      <c r="K55" s="47"/>
    </row>
    <row r="56" spans="1:11" ht="24" customHeight="true">
      <c r="A56" s="33">
        <v>54</v>
      </c>
      <c r="B56" s="11" t="s">
        <v>269</v>
      </c>
      <c r="C56" s="11" t="s">
        <v>269</v>
      </c>
      <c r="D56" s="11" t="s">
        <v>270</v>
      </c>
      <c r="E56" s="11" t="s">
        <v>271</v>
      </c>
      <c r="F56" s="49" t="s">
        <v>114</v>
      </c>
      <c r="G56" s="34" t="str">
        <f t="shared" si="0"/>
        <v>F4420_sys-CD_仕訳整理記述書.xlsx</v>
      </c>
      <c r="H56" s="35"/>
      <c r="I56" s="17"/>
      <c r="J56" s="11" t="s">
        <v>106</v>
      </c>
      <c r="K56" s="47"/>
    </row>
    <row r="57" spans="1:11" ht="24" customHeight="true">
      <c r="A57" s="33">
        <v>55</v>
      </c>
      <c r="B57" s="11" t="s">
        <v>272</v>
      </c>
      <c r="C57" s="11" t="s">
        <v>272</v>
      </c>
      <c r="D57" s="11" t="s">
        <v>273</v>
      </c>
      <c r="E57" s="11"/>
      <c r="F57" s="49" t="s">
        <v>114</v>
      </c>
      <c r="G57" s="34" t="str">
        <f t="shared" si="0"/>
      </c>
      <c r="H57" s="35" t="s">
        <v>115</v>
      </c>
      <c r="I57" s="17" t="s">
        <v>110</v>
      </c>
      <c r="J57" s="11" t="s">
        <v>106</v>
      </c>
      <c r="K57" s="47"/>
    </row>
    <row r="58" spans="1:11" ht="24" customHeight="true">
      <c r="A58" s="33">
        <v>56</v>
      </c>
      <c r="B58" s="11" t="s">
        <v>274</v>
      </c>
      <c r="C58" s="11" t="s">
        <v>274</v>
      </c>
      <c r="D58" s="11" t="s">
        <v>275</v>
      </c>
      <c r="E58" s="11"/>
      <c r="F58" s="49" t="s">
        <v>114</v>
      </c>
      <c r="G58" s="34" t="str">
        <f t="shared" si="0"/>
      </c>
      <c r="H58" s="35" t="s">
        <v>115</v>
      </c>
      <c r="I58" s="17" t="s">
        <v>110</v>
      </c>
      <c r="J58" s="11" t="s">
        <v>106</v>
      </c>
      <c r="K58" s="47"/>
    </row>
    <row r="59" spans="1:11" ht="24" customHeight="true">
      <c r="A59" s="33">
        <v>57</v>
      </c>
      <c r="B59" s="11" t="s">
        <v>276</v>
      </c>
      <c r="C59" s="11" t="s">
        <v>276</v>
      </c>
      <c r="D59" s="11" t="s">
        <v>277</v>
      </c>
      <c r="E59" s="11" t="s">
        <v>278</v>
      </c>
      <c r="F59" s="49" t="s">
        <v>114</v>
      </c>
      <c r="G59" s="34" t="str">
        <f t="shared" si="0"/>
        <v>F4150_sys-CD_移行設計概要書.xlsx</v>
      </c>
      <c r="H59" s="40" t="s">
        <v>115</v>
      </c>
      <c r="I59" s="17" t="s">
        <v>110</v>
      </c>
      <c r="J59" s="11" t="s">
        <v>106</v>
      </c>
      <c r="K59" s="47"/>
    </row>
    <row r="60" spans="1:11" ht="24" customHeight="true">
      <c r="A60" s="33">
        <v>58</v>
      </c>
      <c r="B60" s="11" t="s">
        <v>279</v>
      </c>
      <c r="C60" s="11" t="s">
        <v>279</v>
      </c>
      <c r="D60" s="11" t="s">
        <v>280</v>
      </c>
      <c r="E60" s="11" t="s">
        <v>281</v>
      </c>
      <c r="F60" s="49" t="s">
        <v>114</v>
      </c>
      <c r="G60" s="34" t="str">
        <f t="shared" si="0"/>
        <v>F4151_sys-CD_移行データ一覧.xlsx</v>
      </c>
      <c r="H60" s="35" t="s">
        <v>104</v>
      </c>
      <c r="I60" s="17" t="s">
        <v>110</v>
      </c>
      <c r="J60" s="11" t="s">
        <v>106</v>
      </c>
      <c r="K60" s="47"/>
    </row>
    <row r="61" spans="1:11" ht="24" customHeight="true">
      <c r="A61" s="33">
        <v>59</v>
      </c>
      <c r="B61" s="57" t="s">
        <v>477</v>
      </c>
      <c r="C61" s="57" t="s">
        <v>478</v>
      </c>
      <c r="D61" s="11" t="s">
        <v>283</v>
      </c>
      <c r="E61" s="11" t="s">
        <v>284</v>
      </c>
      <c r="F61" s="49" t="s">
        <v>114</v>
      </c>
      <c r="G61" s="57" t="s">
        <v>479</v>
      </c>
      <c r="H61" s="35"/>
      <c r="I61" s="17"/>
      <c r="J61" s="11" t="s">
        <v>106</v>
      </c>
      <c r="K61" s="47"/>
    </row>
    <row r="62" spans="1:11" ht="24" customHeight="true">
      <c r="A62" s="33">
        <v>60</v>
      </c>
      <c r="B62" s="11" t="s">
        <v>285</v>
      </c>
      <c r="C62" s="11" t="s">
        <v>285</v>
      </c>
      <c r="D62" s="11" t="s">
        <v>286</v>
      </c>
      <c r="E62" s="11"/>
      <c r="F62" s="49" t="s">
        <v>114</v>
      </c>
      <c r="G62" s="34" t="str">
        <f t="shared" si="0"/>
      </c>
      <c r="H62" s="35" t="s">
        <v>104</v>
      </c>
      <c r="I62" s="17" t="s">
        <v>287</v>
      </c>
      <c r="J62" s="11"/>
      <c r="K62" s="47"/>
    </row>
    <row r="63" spans="1:11" ht="24" customHeight="true">
      <c r="A63" s="33">
        <v>61</v>
      </c>
      <c r="B63" s="11" t="s">
        <v>288</v>
      </c>
      <c r="C63" s="11" t="s">
        <v>288</v>
      </c>
      <c r="D63" s="11" t="s">
        <v>289</v>
      </c>
      <c r="E63" s="11"/>
      <c r="F63" s="49" t="s">
        <v>114</v>
      </c>
      <c r="G63" s="34" t="str">
        <f t="shared" si="0"/>
      </c>
      <c r="H63" s="35" t="s">
        <v>104</v>
      </c>
      <c r="I63" s="17" t="s">
        <v>290</v>
      </c>
      <c r="J63" s="11"/>
      <c r="K63" s="47"/>
    </row>
    <row r="64" spans="1:11" ht="24" customHeight="true">
      <c r="A64" s="33">
        <v>62</v>
      </c>
      <c r="B64" s="11" t="s">
        <v>291</v>
      </c>
      <c r="C64" s="11" t="s">
        <v>346</v>
      </c>
      <c r="D64" s="11" t="s">
        <v>292</v>
      </c>
      <c r="E64" s="11" t="s">
        <v>293</v>
      </c>
      <c r="F64" s="49" t="s">
        <v>114</v>
      </c>
      <c r="G64" s="34" t="str">
        <f t="shared" si="0"/>
        <v>F4153_sys-CD_移行スケジュール.xlsx</v>
      </c>
      <c r="H64" s="35" t="s">
        <v>104</v>
      </c>
      <c r="I64" s="17" t="s">
        <v>110</v>
      </c>
      <c r="J64" s="11" t="s">
        <v>106</v>
      </c>
      <c r="K64" s="47"/>
    </row>
    <row r="65" spans="1:11" ht="24" customHeight="true">
      <c r="A65" s="33">
        <v>63</v>
      </c>
      <c r="B65" s="11" t="s">
        <v>294</v>
      </c>
      <c r="C65" s="11" t="s">
        <v>294</v>
      </c>
      <c r="D65" s="11" t="s">
        <v>295</v>
      </c>
      <c r="E65" s="11" t="s">
        <v>296</v>
      </c>
      <c r="F65" s="50" t="s">
        <v>297</v>
      </c>
      <c r="G65" s="34" t="str">
        <f t="shared" ref="G65:G78" si="2">IF(E65&lt;&gt;"",E65&amp;"_sys-CD_"&amp;C65&amp;".xlsx","")</f>
        <v>F4180_sys-CD_改善開発概要書.xlsx</v>
      </c>
      <c r="H65" s="35"/>
      <c r="I65" s="17"/>
      <c r="J65" s="11" t="s">
        <v>106</v>
      </c>
      <c r="K65" s="11"/>
    </row>
    <row r="66" spans="1:11" ht="24" customHeight="true">
      <c r="A66" s="33">
        <v>64</v>
      </c>
      <c r="B66" s="11" t="s">
        <v>298</v>
      </c>
      <c r="C66" s="11" t="s">
        <v>298</v>
      </c>
      <c r="D66" s="11" t="s">
        <v>299</v>
      </c>
      <c r="E66" s="11"/>
      <c r="F66" s="50" t="s">
        <v>297</v>
      </c>
      <c r="G66" s="34" t="str">
        <f t="shared" si="2"/>
      </c>
      <c r="H66" s="35">
        <v>1</v>
      </c>
      <c r="I66" s="17" t="s">
        <v>300</v>
      </c>
      <c r="J66" s="11"/>
      <c r="K66" s="11"/>
    </row>
    <row r="67" spans="1:11" ht="24" customHeight="true">
      <c r="A67" s="33">
        <v>65</v>
      </c>
      <c r="B67" s="11" t="s">
        <v>301</v>
      </c>
      <c r="C67" s="11" t="s">
        <v>301</v>
      </c>
      <c r="D67" s="11" t="s">
        <v>302</v>
      </c>
      <c r="E67" s="11"/>
      <c r="F67" s="50" t="s">
        <v>297</v>
      </c>
      <c r="G67" s="34" t="str">
        <f t="shared" si="2"/>
      </c>
      <c r="H67" s="35">
        <v>1</v>
      </c>
      <c r="I67" s="17" t="s">
        <v>303</v>
      </c>
      <c r="J67" s="11"/>
      <c r="K67" s="11"/>
    </row>
    <row r="68" spans="1:11" ht="24" customHeight="true">
      <c r="A68" s="33">
        <v>66</v>
      </c>
      <c r="B68" s="11" t="s">
        <v>304</v>
      </c>
      <c r="C68" s="11" t="s">
        <v>304</v>
      </c>
      <c r="D68" s="11" t="s">
        <v>305</v>
      </c>
      <c r="E68" s="11"/>
      <c r="F68" s="50" t="s">
        <v>297</v>
      </c>
      <c r="G68" s="34" t="str">
        <f t="shared" si="2"/>
      </c>
      <c r="H68" s="35">
        <v>1</v>
      </c>
      <c r="I68" s="17" t="s">
        <v>306</v>
      </c>
      <c r="J68" s="11"/>
      <c r="K68" s="11"/>
    </row>
    <row r="69" spans="1:11" ht="107.25" customHeight="true">
      <c r="A69" s="33">
        <v>67</v>
      </c>
      <c r="B69" s="57" t="s">
        <v>480</v>
      </c>
      <c r="C69" s="57" t="s">
        <v>480</v>
      </c>
      <c r="D69" s="11" t="s">
        <v>308</v>
      </c>
      <c r="E69" s="11" t="s">
        <v>309</v>
      </c>
      <c r="F69" s="49" t="s">
        <v>114</v>
      </c>
      <c r="G69" s="17" t="s">
        <v>310</v>
      </c>
      <c r="H69" s="35" t="s">
        <v>104</v>
      </c>
      <c r="I69" s="17" t="s">
        <v>110</v>
      </c>
      <c r="J69" s="11" t="s">
        <v>106</v>
      </c>
      <c r="K69" s="54" t="s">
        <v>356</v>
      </c>
    </row>
    <row r="70" spans="1:11" ht="24" customHeight="true">
      <c r="A70" s="33">
        <v>68</v>
      </c>
      <c r="B70" s="11" t="s">
        <v>311</v>
      </c>
      <c r="C70" s="11" t="s">
        <v>311</v>
      </c>
      <c r="D70" s="11" t="s">
        <v>312</v>
      </c>
      <c r="E70" s="11" t="s">
        <v>313</v>
      </c>
      <c r="F70" s="49" t="s">
        <v>336</v>
      </c>
      <c r="G70" s="34" t="str">
        <f t="shared" si="2"/>
        <v>F4191_sys-CD_調査シート.xlsx</v>
      </c>
      <c r="H70" s="35" t="s">
        <v>104</v>
      </c>
      <c r="I70" s="38" t="s">
        <v>154</v>
      </c>
      <c r="J70" s="11" t="s">
        <v>106</v>
      </c>
      <c r="K70" s="47"/>
    </row>
    <row r="71" spans="1:11" ht="42" customHeight="true">
      <c r="A71" s="33">
        <v>69</v>
      </c>
      <c r="B71" s="11" t="s">
        <v>314</v>
      </c>
      <c r="C71" s="11" t="s">
        <v>348</v>
      </c>
      <c r="D71" s="11" t="s">
        <v>315</v>
      </c>
      <c r="E71" s="11" t="s">
        <v>316</v>
      </c>
      <c r="F71" s="49" t="s">
        <v>114</v>
      </c>
      <c r="G71" s="34" t="str">
        <f t="shared" si="2"/>
        <v>F4192_sys-CD_外部設計打ち合わせ.xlsx</v>
      </c>
      <c r="H71" s="35" t="s">
        <v>104</v>
      </c>
      <c r="I71" s="38" t="s">
        <v>154</v>
      </c>
      <c r="J71" s="11" t="s">
        <v>106</v>
      </c>
      <c r="K71" s="54" t="s">
        <v>349</v>
      </c>
    </row>
    <row r="72" spans="1:11" ht="24" customHeight="true">
      <c r="A72" s="33">
        <v>70</v>
      </c>
      <c r="B72" s="39" t="s">
        <v>317</v>
      </c>
      <c r="C72" s="39" t="s">
        <v>317</v>
      </c>
      <c r="D72" s="11" t="s">
        <v>318</v>
      </c>
      <c r="E72" s="11" t="s">
        <v>319</v>
      </c>
      <c r="F72" s="49" t="s">
        <v>336</v>
      </c>
      <c r="G72" s="34" t="str">
        <f t="shared" si="2"/>
        <v>F4193_sys-CD_仕様確認書.xlsx</v>
      </c>
      <c r="H72" s="35" t="s">
        <v>115</v>
      </c>
      <c r="I72" s="38" t="s">
        <v>154</v>
      </c>
      <c r="J72" s="11" t="s">
        <v>106</v>
      </c>
      <c r="K72" s="54"/>
    </row>
    <row r="73" spans="1:11" ht="36" customHeight="true">
      <c r="A73" s="33">
        <v>71</v>
      </c>
      <c r="B73" s="51" t="s">
        <v>320</v>
      </c>
      <c r="C73" s="52"/>
      <c r="D73" s="11" t="s">
        <v>321</v>
      </c>
      <c r="E73" s="11" t="s">
        <v>322</v>
      </c>
      <c r="F73" s="49" t="s">
        <v>114</v>
      </c>
      <c r="G73" s="34" t="s">
        <v>350</v>
      </c>
      <c r="H73" s="35" t="s">
        <v>115</v>
      </c>
      <c r="I73" s="17"/>
      <c r="J73" s="11" t="s">
        <v>106</v>
      </c>
      <c r="K73" s="57" t="s">
        <v>481</v>
      </c>
    </row>
    <row r="74" spans="1:11" ht="36" customHeight="true">
      <c r="A74" s="33">
        <v>72</v>
      </c>
      <c r="B74" s="11" t="s">
        <v>323</v>
      </c>
      <c r="C74" s="52"/>
      <c r="D74" s="11" t="s">
        <v>324</v>
      </c>
      <c r="E74" s="11" t="s">
        <v>325</v>
      </c>
      <c r="F74" s="49" t="s">
        <v>114</v>
      </c>
      <c r="G74" s="34" t="s">
        <v>351</v>
      </c>
      <c r="H74" s="35" t="s">
        <v>115</v>
      </c>
      <c r="I74" s="17"/>
      <c r="J74" s="11" t="s">
        <v>106</v>
      </c>
      <c r="K74" s="57" t="s">
        <v>482</v>
      </c>
    </row>
    <row r="75" spans="1:11" ht="44.25" customHeight="true">
      <c r="A75" s="33">
        <v>73</v>
      </c>
      <c r="B75" s="51" t="s">
        <v>326</v>
      </c>
      <c r="C75" s="52"/>
      <c r="D75" s="11" t="s">
        <v>327</v>
      </c>
      <c r="E75" s="11" t="s">
        <v>328</v>
      </c>
      <c r="F75" s="49" t="s">
        <v>114</v>
      </c>
      <c r="G75" s="34" t="s">
        <v>357</v>
      </c>
      <c r="H75" s="35" t="s">
        <v>115</v>
      </c>
      <c r="I75" s="17"/>
      <c r="J75" s="11" t="s">
        <v>106</v>
      </c>
      <c r="K75" s="57" t="s">
        <v>483</v>
      </c>
    </row>
    <row r="76" spans="1:11" ht="44.25" customHeight="true">
      <c r="A76" s="33">
        <v>74</v>
      </c>
      <c r="B76" s="11" t="s">
        <v>329</v>
      </c>
      <c r="C76" s="52"/>
      <c r="D76" s="11" t="s">
        <v>330</v>
      </c>
      <c r="E76" s="11" t="s">
        <v>328</v>
      </c>
      <c r="F76" s="49" t="s">
        <v>114</v>
      </c>
      <c r="G76" s="34" t="s">
        <v>357</v>
      </c>
      <c r="H76" s="40"/>
      <c r="I76" s="17"/>
      <c r="J76" s="11" t="s">
        <v>106</v>
      </c>
      <c r="K76" s="57" t="s">
        <v>483</v>
      </c>
    </row>
    <row r="77" spans="1:11" ht="44.25" customHeight="true">
      <c r="A77" s="33">
        <v>75</v>
      </c>
      <c r="B77" s="11" t="s">
        <v>331</v>
      </c>
      <c r="C77" s="52"/>
      <c r="D77" s="11" t="s">
        <v>332</v>
      </c>
      <c r="E77" s="11" t="s">
        <v>328</v>
      </c>
      <c r="F77" s="49" t="s">
        <v>114</v>
      </c>
      <c r="G77" s="34" t="s">
        <v>357</v>
      </c>
      <c r="H77" s="35" t="s">
        <v>115</v>
      </c>
      <c r="I77" s="17"/>
      <c r="J77" s="11" t="s">
        <v>106</v>
      </c>
      <c r="K77" s="57" t="s">
        <v>483</v>
      </c>
    </row>
    <row r="78" spans="1:11" ht="44.25" customHeight="true">
      <c r="A78" s="33">
        <v>76</v>
      </c>
      <c r="B78" s="11" t="s">
        <v>333</v>
      </c>
      <c r="C78" s="52"/>
      <c r="D78" s="11" t="s">
        <v>334</v>
      </c>
      <c r="E78" s="11" t="s">
        <v>328</v>
      </c>
      <c r="F78" s="49" t="s">
        <v>114</v>
      </c>
      <c r="G78" s="34" t="s">
        <v>357</v>
      </c>
      <c r="H78" s="35" t="s">
        <v>115</v>
      </c>
      <c r="I78" s="17"/>
      <c r="J78" s="11" t="s">
        <v>106</v>
      </c>
      <c r="K78" s="57" t="s">
        <v>483</v>
      </c>
    </row>
    <row r="79" spans="1:11" ht="39" customHeight="true">
      <c r="A79" s="2">
        <v>77</v>
      </c>
      <c r="B79" s="53" t="s">
        <v>354</v>
      </c>
      <c r="C79" s="13"/>
      <c r="D79" s="9" t="s">
        <v>360</v>
      </c>
      <c r="E79" s="9" t="s">
        <v>360</v>
      </c>
      <c r="F79" s="49" t="s">
        <v>114</v>
      </c>
      <c r="G79" s="34" t="s">
        <v>358</v>
      </c>
      <c r="H79" s="35" t="s">
        <v>115</v>
      </c>
      <c r="I79" s="17"/>
      <c r="J79" s="11" t="s">
        <v>106</v>
      </c>
      <c r="K79" s="11" t="s">
        <v>355</v>
      </c>
    </row>
    <row r="80" spans="1:11">
      <c r="D80" s="9"/>
      <c r="E80" s="45"/>
    </row>
  </sheetData>
  <autoFilter ref="A4:K79"/>
  <mergeCells count="1">
    <mergeCell ref="A2:J2"/>
  </mergeCells>
  <phoneticPr fontId="3"/>
  <pageMargins left="0.5905511811023623" right="0.4330708661417323" top="0.59" bottom="0.38" header="0.36" footer="0.2"/>
  <pageSetup fitToHeight="0" r:id="rId1" orientation="landscape" paperSize="9" scale="49" verticalDpi="360"/>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A8D5DC-60DF-46A8-945F-D138EF233156}">
  <ds:schemaRefs>
    <ds:schemaRef ds:uri="http://schemas.microsoft.com/office/2006/documentManagement/types"/>
    <ds:schemaRef ds:uri="http://purl.org/dc/elements/1.1/"/>
    <ds:schemaRef ds:uri="b9cc7365-e218-4624-aedb-0a55e821af1f"/>
    <ds:schemaRef ds:uri="http://purl.org/dc/dcmitype/"/>
    <ds:schemaRef ds:uri="http://schemas.openxmlformats.org/package/2006/metadata/core-properties"/>
    <ds:schemaRef ds:uri="http://schemas.microsoft.com/office/infopath/2007/PartnerControls"/>
    <ds:schemaRef ds:uri="http://purl.org/dc/terms/"/>
    <ds:schemaRef ds:uri="4a1f72ec-30b8-4383-892a-fcacdd251f1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9B0F247-942E-4CA7-9D39-D12110B2E334}">
  <ds:schemaRefs>
    <ds:schemaRef ds:uri="http://schemas.microsoft.com/sharepoint/v3/contenttype/forms"/>
  </ds:schemaRefs>
</ds:datastoreItem>
</file>

<file path=customXml/itemProps3.xml><?xml version="1.0" encoding="utf-8"?>
<ds:datastoreItem xmlns:ds="http://schemas.openxmlformats.org/officeDocument/2006/customXml" ds:itemID="{96F94C24-F3B3-4EB0-BDBA-B8E98FC7FD9E}"/>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採番ルール</vt:lpstr>
      <vt:lpstr>外部設計</vt:lpstr>
      <vt:lpstr>外部設計!Print_Area</vt:lpstr>
      <vt:lpstr>外部設計!Print_Titles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HISU0023</dc:creator>
  <cp:keywords/>
  <dc:description/>
  <cp:lastModifiedBy>福嶋 大樹</cp:lastModifiedBy>
  <cp:revision/>
  <cp:lastPrinted>2025-08-27T08:40:53Z</cp:lastPrinted>
  <dcterms:created xsi:type="dcterms:W3CDTF">1998-06-04T10:51:23Z</dcterms:created>
  <dcterms:modified xsi:type="dcterms:W3CDTF">2025-08-27T08:42:04Z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