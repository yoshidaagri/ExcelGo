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SVN\doc\20_外部設計\01_成果物\F4004_CSVﾌｧｲﾙ一覧\"/>
    </mc:Choice>
  </mc:AlternateContent>
  <xr:revisionPtr revIDLastSave="0" documentId="13_ncr:1_{BE65181A-BDCE-44BA-86A3-6324F3E69C5A}" xr6:coauthVersionLast="47" xr6:coauthVersionMax="47" xr10:uidLastSave="{00000000-0000-0000-0000-000000000000}"/>
  <bookViews>
    <workbookView xWindow="-108" yWindow="-108" windowWidth="23256" windowHeight="13896" tabRatio="601" xr2:uid="{00000000-000D-0000-FFFF-FFFF00000000}"/>
  </bookViews>
  <sheets>
    <sheet name="変更履歴 " sheetId="12" r:id="rId1"/>
    <sheet name="csvファイル一覧" sheetId="11" r:id="rId2"/>
  </sheets>
  <definedNames>
    <definedName name="_xlnm._FilterDatabase" localSheetId="1" hidden="1">csvファイル一覧!$A$6:$BK$101</definedName>
    <definedName name="_xlnm.Print_Area" localSheetId="1">csvファイル一覧!$A$1:$BJ$102</definedName>
    <definedName name="_xlnm.Print_Area" localSheetId="0">'変更履歴 '!$A$1:$BJ$60</definedName>
    <definedName name="_xlnm.Print_Titles" localSheetId="1">csvファイル一覧!$1:$6</definedName>
    <definedName name="_xlnm.Print_Titles" localSheetId="0">'変更履歴 '!$1:$5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" i="11" l="1"/>
  <c r="A39" i="11" l="1"/>
  <c r="A38" i="11"/>
  <c r="A36" i="11"/>
  <c r="A29" i="11"/>
  <c r="A30" i="11" l="1"/>
  <c r="A71" i="11" l="1"/>
  <c r="A93" i="11"/>
  <c r="A81" i="11" l="1"/>
  <c r="A101" i="11"/>
  <c r="A100" i="11"/>
  <c r="A99" i="11"/>
  <c r="A98" i="11"/>
  <c r="A97" i="11"/>
  <c r="A96" i="11"/>
  <c r="A95" i="11"/>
  <c r="A94" i="11"/>
  <c r="A64" i="11"/>
  <c r="A63" i="11"/>
  <c r="A62" i="11"/>
  <c r="A61" i="11"/>
  <c r="A60" i="11"/>
  <c r="A92" i="11" l="1"/>
  <c r="A91" i="11"/>
  <c r="A90" i="11"/>
  <c r="A89" i="11"/>
  <c r="A88" i="11"/>
  <c r="A87" i="11"/>
  <c r="A86" i="11"/>
  <c r="A85" i="11"/>
  <c r="A84" i="11"/>
  <c r="A83" i="11"/>
  <c r="A82" i="11"/>
  <c r="A80" i="11"/>
  <c r="A79" i="11"/>
  <c r="A78" i="11"/>
  <c r="A77" i="11"/>
  <c r="A76" i="11"/>
  <c r="A75" i="11"/>
  <c r="A74" i="11"/>
  <c r="A73" i="11"/>
  <c r="A72" i="11"/>
  <c r="A70" i="11"/>
  <c r="A69" i="11"/>
  <c r="A68" i="11"/>
  <c r="A67" i="11"/>
  <c r="A66" i="11"/>
  <c r="A65" i="11"/>
  <c r="A59" i="11"/>
  <c r="A58" i="11"/>
  <c r="A57" i="11"/>
  <c r="A56" i="11"/>
  <c r="A55" i="11"/>
  <c r="A54" i="11"/>
  <c r="A53" i="11"/>
  <c r="A52" i="11"/>
  <c r="A51" i="11"/>
  <c r="A50" i="11"/>
  <c r="A49" i="11"/>
  <c r="A48" i="11"/>
  <c r="A47" i="11"/>
  <c r="A46" i="11"/>
  <c r="A45" i="11"/>
  <c r="A44" i="11"/>
  <c r="A43" i="11"/>
  <c r="A42" i="11"/>
  <c r="A41" i="11"/>
  <c r="A40" i="11"/>
  <c r="A37" i="11"/>
  <c r="A35" i="11"/>
  <c r="A34" i="11"/>
  <c r="A33" i="11"/>
  <c r="A32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A9" i="11"/>
  <c r="A8" i="11"/>
  <c r="A7" i="11"/>
  <c r="AZ4" i="11"/>
  <c r="AZ3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</authors>
  <commentList>
    <comment ref="X6" authorId="0" shapeId="0" xr:uid="{A9CC9C87-6E31-45B0-909E-2157E9C0BED0}">
      <text>
        <r>
          <rPr>
            <sz val="9"/>
            <color indexed="81"/>
            <rFont val="MS P ゴシック"/>
            <family val="3"/>
            <charset val="128"/>
          </rPr>
          <t xml:space="preserve">物理ファイル名称
内部設計工程で記入。
</t>
        </r>
      </text>
    </comment>
  </commentList>
</comments>
</file>

<file path=xl/sharedStrings.xml><?xml version="1.0" encoding="utf-8"?>
<sst xmlns="http://schemas.openxmlformats.org/spreadsheetml/2006/main" count="508" uniqueCount="286">
  <si>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</si>
  <si>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HOKUREN INTERNAL USE ONLY</t>
  </si>
  <si>
    <t>ＣＳＶファイル一覧　変更履歴</t>
    <rPh sb="7" eb="9">
      <t>イチラン</t>
    </rPh>
    <rPh sb="10" eb="12">
      <t>ヘンコウ</t>
    </rPh>
    <rPh sb="12" eb="14">
      <t>リレキ</t>
    </rPh>
    <phoneticPr fontId="3"/>
  </si>
  <si>
    <t>様式No.</t>
    <rPh sb="0" eb="2">
      <t>ヨウシキ</t>
    </rPh>
    <phoneticPr fontId="3"/>
  </si>
  <si>
    <t>F4004-0</t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</si>
  <si>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</si>
  <si>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</si>
  <si>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</si>
  <si>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更新日</t>
    <rPh sb="0" eb="3">
      <t>コウシンビ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</si>
  <si>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</si>
  <si>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"/>
  </si>
  <si>
    <t>ＣＳＶファイル一覧</t>
    <rPh sb="7" eb="9">
      <t>イチラン</t>
    </rPh>
    <phoneticPr fontId="3"/>
  </si>
  <si>
    <t>No.</t>
    <phoneticPr fontId="1"/>
  </si>
  <si>
    <t>ﾃﾞｰﾀｽﾄｱ№</t>
    <phoneticPr fontId="1"/>
  </si>
  <si>
    <t>ファイル名（日本語）</t>
    <rPh sb="6" eb="9">
      <t>ニホンゴ</t>
    </rPh>
    <phoneticPr fontId="1"/>
  </si>
  <si>
    <t>ファイル名</t>
    <rPh sb="4" eb="5">
      <t>メイ</t>
    </rPh>
    <phoneticPr fontId="1"/>
  </si>
  <si>
    <t>項目数</t>
    <rPh sb="0" eb="2">
      <t>コウモク</t>
    </rPh>
    <rPh sb="2" eb="3">
      <t>スウ</t>
    </rPh>
    <phoneticPr fontId="1"/>
  </si>
  <si>
    <t>書出し</t>
    <rPh sb="0" eb="2">
      <t>カキダ</t>
    </rPh>
    <phoneticPr fontId="1"/>
  </si>
  <si>
    <t>取込</t>
    <rPh sb="0" eb="2">
      <t>トリコミ</t>
    </rPh>
    <phoneticPr fontId="1"/>
  </si>
  <si>
    <t>説      明</t>
  </si>
  <si>
    <t>○</t>
    <phoneticPr fontId="1"/>
  </si>
  <si>
    <t>-</t>
    <phoneticPr fontId="1"/>
  </si>
  <si>
    <t>D05020301</t>
    <phoneticPr fontId="1"/>
  </si>
  <si>
    <t>汎用請求書CSV</t>
    <phoneticPr fontId="1"/>
  </si>
  <si>
    <t>D05030101</t>
    <phoneticPr fontId="1"/>
  </si>
  <si>
    <t>D05030201</t>
    <phoneticPr fontId="1"/>
  </si>
  <si>
    <t>D05030202</t>
    <phoneticPr fontId="1"/>
  </si>
  <si>
    <t>D06030503</t>
    <phoneticPr fontId="1"/>
  </si>
  <si>
    <t>D06030506</t>
    <phoneticPr fontId="1"/>
  </si>
  <si>
    <t>D06050201</t>
    <phoneticPr fontId="1"/>
  </si>
  <si>
    <t>D06050301</t>
    <phoneticPr fontId="1"/>
  </si>
  <si>
    <t>D05030501</t>
    <phoneticPr fontId="1"/>
  </si>
  <si>
    <t>D05040101</t>
    <phoneticPr fontId="1"/>
  </si>
  <si>
    <t>農協へ支払う概算金のデータ</t>
    <rPh sb="0" eb="2">
      <t>ノウキョウ</t>
    </rPh>
    <rPh sb="3" eb="5">
      <t>シハラ</t>
    </rPh>
    <rPh sb="6" eb="8">
      <t>ガイサン</t>
    </rPh>
    <rPh sb="8" eb="9">
      <t>キン</t>
    </rPh>
    <phoneticPr fontId="1"/>
  </si>
  <si>
    <t>全農未払金照合処理で一致したデータ</t>
    <rPh sb="0" eb="2">
      <t>ゼンノウ</t>
    </rPh>
    <rPh sb="2" eb="4">
      <t>ミバライ</t>
    </rPh>
    <rPh sb="4" eb="5">
      <t>キン</t>
    </rPh>
    <rPh sb="5" eb="7">
      <t>ショウゴウ</t>
    </rPh>
    <rPh sb="7" eb="9">
      <t>ショリ</t>
    </rPh>
    <rPh sb="10" eb="12">
      <t>イッチ</t>
    </rPh>
    <phoneticPr fontId="1"/>
  </si>
  <si>
    <t>全農未払金照合処理で照合エラーとなったデータ</t>
    <rPh sb="0" eb="2">
      <t>ゼンノウ</t>
    </rPh>
    <rPh sb="2" eb="4">
      <t>ミバライ</t>
    </rPh>
    <rPh sb="4" eb="5">
      <t>キン</t>
    </rPh>
    <rPh sb="5" eb="7">
      <t>ショウゴウ</t>
    </rPh>
    <rPh sb="7" eb="9">
      <t>ショリ</t>
    </rPh>
    <rPh sb="10" eb="12">
      <t>ショウゴウ</t>
    </rPh>
    <phoneticPr fontId="1"/>
  </si>
  <si>
    <t>全農未払金照合処理でアンマッチ
（ホクレン先行経理分）となったデータ</t>
    <rPh sb="0" eb="2">
      <t>ゼンノウ</t>
    </rPh>
    <rPh sb="2" eb="4">
      <t>ミバライ</t>
    </rPh>
    <rPh sb="4" eb="5">
      <t>キン</t>
    </rPh>
    <rPh sb="5" eb="7">
      <t>ショウゴウ</t>
    </rPh>
    <rPh sb="7" eb="9">
      <t>ショリ</t>
    </rPh>
    <phoneticPr fontId="1"/>
  </si>
  <si>
    <t>全農未払金照合処理でアンマッチ
（全農先行経理分）となったデータ</t>
    <rPh sb="0" eb="2">
      <t>ゼンノウ</t>
    </rPh>
    <rPh sb="2" eb="4">
      <t>ミバライ</t>
    </rPh>
    <rPh sb="4" eb="5">
      <t>キン</t>
    </rPh>
    <rPh sb="5" eb="7">
      <t>ショウゴウ</t>
    </rPh>
    <rPh sb="7" eb="9">
      <t>ショリ</t>
    </rPh>
    <rPh sb="17" eb="19">
      <t>ゼンノウ</t>
    </rPh>
    <phoneticPr fontId="1"/>
  </si>
  <si>
    <t>全農から受信した請求データ</t>
    <rPh sb="4" eb="6">
      <t>ジュシン</t>
    </rPh>
    <rPh sb="8" eb="10">
      <t>セイキュウ</t>
    </rPh>
    <phoneticPr fontId="1"/>
  </si>
  <si>
    <t>仕訳CSV</t>
    <phoneticPr fontId="1"/>
  </si>
  <si>
    <t>決算仕訳CSV</t>
    <phoneticPr fontId="1"/>
  </si>
  <si>
    <t>○</t>
  </si>
  <si>
    <t>仕訳伝票CSV</t>
    <phoneticPr fontId="1"/>
  </si>
  <si>
    <t>統合会計システム</t>
    <rPh sb="0" eb="2">
      <t>トウゴウ</t>
    </rPh>
    <rPh sb="2" eb="4">
      <t>カイケイ</t>
    </rPh>
    <phoneticPr fontId="1"/>
  </si>
  <si>
    <t>2025/8/29</t>
    <phoneticPr fontId="1"/>
  </si>
  <si>
    <t>D06020202</t>
  </si>
  <si>
    <t>D06030505</t>
  </si>
  <si>
    <t>D06060501</t>
  </si>
  <si>
    <t>D11010103</t>
  </si>
  <si>
    <t>D07020101</t>
    <phoneticPr fontId="1"/>
  </si>
  <si>
    <t>D07060401</t>
    <phoneticPr fontId="1"/>
  </si>
  <si>
    <t>D07060402</t>
    <phoneticPr fontId="1"/>
  </si>
  <si>
    <t>D07060403</t>
    <phoneticPr fontId="1"/>
  </si>
  <si>
    <t>D07060404</t>
    <phoneticPr fontId="1"/>
  </si>
  <si>
    <t>D06030501</t>
    <phoneticPr fontId="1"/>
  </si>
  <si>
    <t>D06030504</t>
    <phoneticPr fontId="1"/>
  </si>
  <si>
    <t>D02020501</t>
    <phoneticPr fontId="1"/>
  </si>
  <si>
    <t>D02020301</t>
    <phoneticPr fontId="1"/>
  </si>
  <si>
    <t>D02020601</t>
    <phoneticPr fontId="1"/>
  </si>
  <si>
    <t>D02020801</t>
    <phoneticPr fontId="1"/>
  </si>
  <si>
    <t>D02040101</t>
    <phoneticPr fontId="1"/>
  </si>
  <si>
    <t>D03010101</t>
    <phoneticPr fontId="1"/>
  </si>
  <si>
    <t>D03010301</t>
    <phoneticPr fontId="1"/>
  </si>
  <si>
    <t>D03020301</t>
    <phoneticPr fontId="1"/>
  </si>
  <si>
    <t>D03030101</t>
    <phoneticPr fontId="1"/>
  </si>
  <si>
    <t>D03030201</t>
    <phoneticPr fontId="1"/>
  </si>
  <si>
    <t>D03030301</t>
    <phoneticPr fontId="1"/>
  </si>
  <si>
    <t>D03030401</t>
    <phoneticPr fontId="1"/>
  </si>
  <si>
    <t>D03030501</t>
    <phoneticPr fontId="1"/>
  </si>
  <si>
    <t>D03030502</t>
  </si>
  <si>
    <t>D03030503</t>
  </si>
  <si>
    <t>D04010301</t>
    <phoneticPr fontId="1"/>
  </si>
  <si>
    <t>D04010304</t>
    <phoneticPr fontId="1"/>
  </si>
  <si>
    <t>D04010302</t>
    <phoneticPr fontId="1"/>
  </si>
  <si>
    <t>D04010303</t>
    <phoneticPr fontId="1"/>
  </si>
  <si>
    <t>D02020201</t>
    <phoneticPr fontId="1"/>
  </si>
  <si>
    <t>D07040201</t>
    <phoneticPr fontId="1"/>
  </si>
  <si>
    <t>D08010201</t>
    <phoneticPr fontId="1"/>
  </si>
  <si>
    <t>D08020201</t>
    <phoneticPr fontId="1"/>
  </si>
  <si>
    <t>D08030201</t>
    <phoneticPr fontId="1"/>
  </si>
  <si>
    <t>D08050201</t>
    <phoneticPr fontId="1"/>
  </si>
  <si>
    <t>D08050501</t>
    <phoneticPr fontId="1"/>
  </si>
  <si>
    <t>D08060401</t>
    <phoneticPr fontId="1"/>
  </si>
  <si>
    <t>D08060402</t>
  </si>
  <si>
    <t>D07040106</t>
    <phoneticPr fontId="1"/>
  </si>
  <si>
    <t>Ｐｈａｓｅ　外部設計工程</t>
    <phoneticPr fontId="3"/>
  </si>
  <si>
    <t>D07050201</t>
    <phoneticPr fontId="1"/>
  </si>
  <si>
    <t>D07050103</t>
    <phoneticPr fontId="1"/>
  </si>
  <si>
    <t>D08050102</t>
    <phoneticPr fontId="1"/>
  </si>
  <si>
    <t>D11010203</t>
    <phoneticPr fontId="1"/>
  </si>
  <si>
    <t>D11010303</t>
    <phoneticPr fontId="1"/>
  </si>
  <si>
    <t>D11010403</t>
    <phoneticPr fontId="1"/>
  </si>
  <si>
    <t>D11010503</t>
    <phoneticPr fontId="1"/>
  </si>
  <si>
    <t>D11010603</t>
    <phoneticPr fontId="1"/>
  </si>
  <si>
    <t>D11010703</t>
    <phoneticPr fontId="1"/>
  </si>
  <si>
    <t>D11010801</t>
    <phoneticPr fontId="1"/>
  </si>
  <si>
    <t>D11010903</t>
    <phoneticPr fontId="1"/>
  </si>
  <si>
    <t>D11011003</t>
    <phoneticPr fontId="1"/>
  </si>
  <si>
    <t>D11020103</t>
    <phoneticPr fontId="1"/>
  </si>
  <si>
    <t>D11020202</t>
    <phoneticPr fontId="1"/>
  </si>
  <si>
    <t>D11020302</t>
    <phoneticPr fontId="1"/>
  </si>
  <si>
    <t>D11020403</t>
    <phoneticPr fontId="1"/>
  </si>
  <si>
    <t>D11020503</t>
    <phoneticPr fontId="1"/>
  </si>
  <si>
    <t>D11020603</t>
    <phoneticPr fontId="1"/>
  </si>
  <si>
    <t>D11020703</t>
    <phoneticPr fontId="1"/>
  </si>
  <si>
    <t>D11020803</t>
    <phoneticPr fontId="1"/>
  </si>
  <si>
    <t>D11020903</t>
    <phoneticPr fontId="1"/>
  </si>
  <si>
    <t>未収金残高管理表のデータ</t>
    <phoneticPr fontId="1"/>
  </si>
  <si>
    <t>未収金残高管理表内訳のデータ</t>
    <phoneticPr fontId="1"/>
  </si>
  <si>
    <t>支払案内書の明細データ</t>
    <phoneticPr fontId="1"/>
  </si>
  <si>
    <t>請求書の明細データ</t>
    <rPh sb="0" eb="3">
      <t>セイキュウショ</t>
    </rPh>
    <rPh sb="4" eb="6">
      <t>メイサイ</t>
    </rPh>
    <phoneticPr fontId="1"/>
  </si>
  <si>
    <t>科目別相手先別残高表（目／節）（摘要）データ</t>
    <phoneticPr fontId="1"/>
  </si>
  <si>
    <t>部門別実績比較損益計算書データ</t>
    <phoneticPr fontId="1"/>
  </si>
  <si>
    <t>品目別取扱高計画実績対比表データ</t>
    <phoneticPr fontId="1"/>
  </si>
  <si>
    <t>事業管理費業種配分付表データ</t>
    <phoneticPr fontId="1"/>
  </si>
  <si>
    <t>会員別・系統利用高関連調書データ</t>
    <phoneticPr fontId="1"/>
  </si>
  <si>
    <t>税務関連帳票データ</t>
    <rPh sb="0" eb="2">
      <t>ゼイム</t>
    </rPh>
    <rPh sb="2" eb="4">
      <t>カンレン</t>
    </rPh>
    <rPh sb="4" eb="6">
      <t>チョウヒョウ</t>
    </rPh>
    <phoneticPr fontId="1"/>
  </si>
  <si>
    <t>内部振替の結果データ</t>
    <phoneticPr fontId="1"/>
  </si>
  <si>
    <t>債権債務残高の明細データ</t>
    <rPh sb="4" eb="6">
      <t>ザンダカ</t>
    </rPh>
    <phoneticPr fontId="1"/>
  </si>
  <si>
    <t>赤残となっている収支管理品目データ</t>
    <phoneticPr fontId="1"/>
  </si>
  <si>
    <t>棚卸資産振替データ</t>
    <phoneticPr fontId="1"/>
  </si>
  <si>
    <t>マスタ確認用データ</t>
    <rPh sb="3" eb="5">
      <t>カクニン</t>
    </rPh>
    <rPh sb="5" eb="6">
      <t>ヨウ</t>
    </rPh>
    <phoneticPr fontId="1"/>
  </si>
  <si>
    <t>24058</t>
    <phoneticPr fontId="1"/>
  </si>
  <si>
    <t>基幹システム再構築　会計システム外部設計</t>
    <phoneticPr fontId="1"/>
  </si>
  <si>
    <t>仕訳入力リスト</t>
    <phoneticPr fontId="1"/>
  </si>
  <si>
    <t>決算仕訳入力リスト</t>
  </si>
  <si>
    <t>仕訳データ（会計監査用）</t>
    <phoneticPr fontId="1"/>
  </si>
  <si>
    <t>計画データ</t>
    <phoneticPr fontId="1"/>
  </si>
  <si>
    <t>取扱高収支見込データ</t>
    <rPh sb="3" eb="5">
      <t>シュウシ</t>
    </rPh>
    <phoneticPr fontId="1"/>
  </si>
  <si>
    <t>科目別相手先別残高表（目／節）（摘要）</t>
    <phoneticPr fontId="1"/>
  </si>
  <si>
    <t>部門別実績比較損益計算書</t>
    <phoneticPr fontId="1"/>
  </si>
  <si>
    <t>品目別取扱高計画実績対比表</t>
  </si>
  <si>
    <t>事業管理費業種配分付表</t>
  </si>
  <si>
    <t>事業分量割戻データ</t>
  </si>
  <si>
    <t>会員別利用高調書</t>
  </si>
  <si>
    <t>系統利用高調書</t>
  </si>
  <si>
    <t>売上繰延調書</t>
    <phoneticPr fontId="1"/>
  </si>
  <si>
    <t>売上繰延調書（原価未算定）</t>
    <phoneticPr fontId="1"/>
  </si>
  <si>
    <t>運送費用／収入売上繰延調書</t>
    <phoneticPr fontId="1"/>
  </si>
  <si>
    <t>消費税繰延調書</t>
    <rPh sb="6" eb="7">
      <t>ショ</t>
    </rPh>
    <phoneticPr fontId="1"/>
  </si>
  <si>
    <t>請求書</t>
    <phoneticPr fontId="1"/>
  </si>
  <si>
    <t>取引先区分CSVファイル</t>
    <phoneticPr fontId="1"/>
  </si>
  <si>
    <t>未収金残高管理表</t>
  </si>
  <si>
    <t>未収金残高管理表内訳</t>
  </si>
  <si>
    <t>債権確認対象取引先一覧</t>
    <phoneticPr fontId="1"/>
  </si>
  <si>
    <t>FBデータ</t>
    <phoneticPr fontId="1"/>
  </si>
  <si>
    <t>支払案内書（明細）</t>
  </si>
  <si>
    <t>全農ホクレン未払金照合一致データ</t>
    <phoneticPr fontId="1"/>
  </si>
  <si>
    <t>全農ホクレン未払金照合エラーデータ</t>
    <phoneticPr fontId="1"/>
  </si>
  <si>
    <t>全農照合不一致データ(ホクレン先行経理分)</t>
    <phoneticPr fontId="1"/>
  </si>
  <si>
    <t>全農照合不一致データ(全農先行経理分)</t>
    <phoneticPr fontId="1"/>
  </si>
  <si>
    <t>内部振替結果</t>
    <phoneticPr fontId="1"/>
  </si>
  <si>
    <t>債権債務明細（内部未収金＆内部未払金）</t>
    <phoneticPr fontId="1"/>
  </si>
  <si>
    <t>相殺確認表</t>
  </si>
  <si>
    <t>仮仕入対象リスト</t>
    <phoneticPr fontId="1"/>
  </si>
  <si>
    <t>在庫品棚卸表</t>
    <phoneticPr fontId="1"/>
  </si>
  <si>
    <t>棚卸情報（原材料・仕掛品・貯蔵品）</t>
    <phoneticPr fontId="1"/>
  </si>
  <si>
    <t>購買品販売品評価損データ</t>
    <phoneticPr fontId="1"/>
  </si>
  <si>
    <t>購買品販売品平均販売単価データ</t>
    <phoneticPr fontId="1"/>
  </si>
  <si>
    <t>原料評価損データ</t>
    <phoneticPr fontId="1"/>
  </si>
  <si>
    <t>最終仕入単価データ</t>
    <phoneticPr fontId="1"/>
  </si>
  <si>
    <t>取引入力申請情報</t>
    <phoneticPr fontId="1"/>
  </si>
  <si>
    <t>費用入力申請情報</t>
    <phoneticPr fontId="1"/>
  </si>
  <si>
    <t>収益入力申請情報</t>
    <phoneticPr fontId="1"/>
  </si>
  <si>
    <t>人件費連動リスト</t>
    <phoneticPr fontId="1"/>
  </si>
  <si>
    <t>人件費補完情報</t>
    <phoneticPr fontId="1"/>
  </si>
  <si>
    <t>人件費特別申請情報</t>
    <phoneticPr fontId="1"/>
  </si>
  <si>
    <t>購買手数料配分計算書</t>
    <phoneticPr fontId="1"/>
  </si>
  <si>
    <t>全道共計手数料配分計算書</t>
    <phoneticPr fontId="1"/>
  </si>
  <si>
    <t>共計精算入力情報</t>
    <phoneticPr fontId="1"/>
  </si>
  <si>
    <t>滞留立替金利計算書</t>
    <phoneticPr fontId="1"/>
  </si>
  <si>
    <t>勘定科目マスタ</t>
    <phoneticPr fontId="1"/>
  </si>
  <si>
    <t>科目摘要マスタ</t>
  </si>
  <si>
    <t>ホクレン口座マスタ</t>
  </si>
  <si>
    <t>仕訳パターンマスタ</t>
  </si>
  <si>
    <t>定例取引パターンマスタ</t>
  </si>
  <si>
    <t>共計精算パターンマスタ</t>
  </si>
  <si>
    <t>共計適用金利マスタ</t>
  </si>
  <si>
    <t>人員配置マスタ</t>
  </si>
  <si>
    <t>購買手数料配分率マスタ</t>
    <phoneticPr fontId="1"/>
  </si>
  <si>
    <t>決済条件マスタ</t>
  </si>
  <si>
    <t>職員決済条件マスタ</t>
    <phoneticPr fontId="1"/>
  </si>
  <si>
    <t>決済条件適用品目マスタ</t>
  </si>
  <si>
    <t>サイト条件マスタ</t>
  </si>
  <si>
    <t>請求書制御マスタ</t>
  </si>
  <si>
    <t>請求書様式マスタ</t>
  </si>
  <si>
    <t>支払案内書作成マスタ</t>
  </si>
  <si>
    <t>預金摘要科目マスタ</t>
  </si>
  <si>
    <t>仕訳入力用データ</t>
    <rPh sb="0" eb="2">
      <t>シワケ</t>
    </rPh>
    <rPh sb="2" eb="4">
      <t>ニュウリョク</t>
    </rPh>
    <rPh sb="4" eb="5">
      <t>ヨウ</t>
    </rPh>
    <phoneticPr fontId="1"/>
  </si>
  <si>
    <t>決算仕訳入力用データ</t>
    <rPh sb="0" eb="4">
      <t>ケッサンシワケ</t>
    </rPh>
    <rPh sb="4" eb="6">
      <t>ニュウリョク</t>
    </rPh>
    <rPh sb="6" eb="7">
      <t>ヨウ</t>
    </rPh>
    <phoneticPr fontId="1"/>
  </si>
  <si>
    <t>計画入力用データ</t>
    <rPh sb="0" eb="2">
      <t>ケイカク</t>
    </rPh>
    <rPh sb="2" eb="4">
      <t>ニュウリョク</t>
    </rPh>
    <rPh sb="4" eb="5">
      <t>ヨウ</t>
    </rPh>
    <phoneticPr fontId="1"/>
  </si>
  <si>
    <t>取扱高収支見込入力用データ</t>
    <rPh sb="7" eb="9">
      <t>ニュウリョク</t>
    </rPh>
    <rPh sb="9" eb="10">
      <t>ヨウ</t>
    </rPh>
    <phoneticPr fontId="1"/>
  </si>
  <si>
    <t>資金残高計画入力用データ</t>
    <rPh sb="6" eb="8">
      <t>ニュウリョク</t>
    </rPh>
    <rPh sb="8" eb="9">
      <t>ヨウ</t>
    </rPh>
    <phoneticPr fontId="1"/>
  </si>
  <si>
    <t>汎用請求書作成用データ</t>
    <rPh sb="7" eb="8">
      <t>ヨウ</t>
    </rPh>
    <phoneticPr fontId="1"/>
  </si>
  <si>
    <t>未収金残高管理表へ出力を行うための取引先区分入力用データ</t>
    <rPh sb="22" eb="25">
      <t>ニュウリョクヨウ</t>
    </rPh>
    <phoneticPr fontId="1"/>
  </si>
  <si>
    <t>債権確認の対象となる取引先入力用データ</t>
    <rPh sb="13" eb="15">
      <t>ニュウリョク</t>
    </rPh>
    <rPh sb="15" eb="16">
      <t>ヨウ</t>
    </rPh>
    <phoneticPr fontId="1"/>
  </si>
  <si>
    <t>全銀FBデータ</t>
    <rPh sb="0" eb="2">
      <t>ゼンギン</t>
    </rPh>
    <phoneticPr fontId="1"/>
  </si>
  <si>
    <t>棚卸情報入力用データ</t>
    <rPh sb="0" eb="2">
      <t>タナオロシ</t>
    </rPh>
    <rPh sb="2" eb="4">
      <t>ジョウホウ</t>
    </rPh>
    <rPh sb="4" eb="6">
      <t>ニュウリョク</t>
    </rPh>
    <rPh sb="6" eb="7">
      <t>ヨウ</t>
    </rPh>
    <phoneticPr fontId="1"/>
  </si>
  <si>
    <t>会計監査用の仕訳明細データ</t>
    <rPh sb="0" eb="5">
      <t>カイケイカンサヨウ</t>
    </rPh>
    <rPh sb="6" eb="8">
      <t>シワケ</t>
    </rPh>
    <rPh sb="8" eb="10">
      <t>メイサイ</t>
    </rPh>
    <phoneticPr fontId="1"/>
  </si>
  <si>
    <t>購買手数料配分計算書確認用データ</t>
    <rPh sb="10" eb="12">
      <t>カクニン</t>
    </rPh>
    <rPh sb="12" eb="13">
      <t>ヨウ</t>
    </rPh>
    <phoneticPr fontId="1"/>
  </si>
  <si>
    <t>全道共計手数料配分計算書確認用データ</t>
    <rPh sb="12" eb="15">
      <t>カクニンヨウ</t>
    </rPh>
    <phoneticPr fontId="1"/>
  </si>
  <si>
    <t>滞留立替金利確認用データ</t>
    <rPh sb="8" eb="9">
      <t>ヨウ</t>
    </rPh>
    <phoneticPr fontId="1"/>
  </si>
  <si>
    <t>共計精算入力確認用データ</t>
    <rPh sb="6" eb="8">
      <t>カクニン</t>
    </rPh>
    <rPh sb="8" eb="9">
      <t>ヨウ</t>
    </rPh>
    <phoneticPr fontId="1"/>
  </si>
  <si>
    <t>人件費連動データ確認用データ</t>
    <rPh sb="10" eb="11">
      <t>ヨウ</t>
    </rPh>
    <phoneticPr fontId="1"/>
  </si>
  <si>
    <t>人件費連動データ補完入力データ</t>
    <rPh sb="8" eb="10">
      <t>ホカン</t>
    </rPh>
    <rPh sb="10" eb="12">
      <t>ニュウリョク</t>
    </rPh>
    <phoneticPr fontId="1"/>
  </si>
  <si>
    <t>評価損確認用（原料評価損）</t>
    <rPh sb="5" eb="6">
      <t>ヨウ</t>
    </rPh>
    <phoneticPr fontId="1"/>
  </si>
  <si>
    <t>評価損確認用（最終仕入単価）</t>
    <rPh sb="5" eb="6">
      <t>ヨウ</t>
    </rPh>
    <phoneticPr fontId="1"/>
  </si>
  <si>
    <t>評価損確認用（購買品販売品評価損）</t>
    <phoneticPr fontId="1"/>
  </si>
  <si>
    <t>評価損確認用（購買品販売品平均販売単価）</t>
    <phoneticPr fontId="1"/>
  </si>
  <si>
    <t>棚卸資産振替確認用データ</t>
    <rPh sb="6" eb="8">
      <t>カクニン</t>
    </rPh>
    <rPh sb="8" eb="9">
      <t>ヨウ</t>
    </rPh>
    <phoneticPr fontId="1"/>
  </si>
  <si>
    <t>棚卸結果確認用データ</t>
    <rPh sb="4" eb="6">
      <t>カクニン</t>
    </rPh>
    <rPh sb="6" eb="7">
      <t>ヨウ</t>
    </rPh>
    <phoneticPr fontId="1"/>
  </si>
  <si>
    <t>D11040103</t>
    <phoneticPr fontId="1"/>
  </si>
  <si>
    <t>部門マスタ</t>
    <phoneticPr fontId="1"/>
  </si>
  <si>
    <t>-</t>
  </si>
  <si>
    <t>業種マスタ</t>
    <phoneticPr fontId="1"/>
  </si>
  <si>
    <t>組織／業種マスタ</t>
    <phoneticPr fontId="1"/>
  </si>
  <si>
    <t>金融機関データファイル</t>
    <phoneticPr fontId="1"/>
  </si>
  <si>
    <t>金融機関入力データ</t>
    <rPh sb="0" eb="2">
      <t>キンユウ</t>
    </rPh>
    <rPh sb="2" eb="4">
      <t>キカン</t>
    </rPh>
    <rPh sb="4" eb="6">
      <t>ニュウリョク</t>
    </rPh>
    <phoneticPr fontId="1"/>
  </si>
  <si>
    <t>D11041103</t>
    <phoneticPr fontId="1"/>
  </si>
  <si>
    <t>会計情報品目マスタ</t>
    <phoneticPr fontId="1"/>
  </si>
  <si>
    <t>D11041203</t>
    <phoneticPr fontId="1"/>
  </si>
  <si>
    <t>収支管理品目大分類マスタ</t>
    <phoneticPr fontId="1"/>
  </si>
  <si>
    <t>収支管理品目マスタ</t>
    <phoneticPr fontId="1"/>
  </si>
  <si>
    <t>収支管理品目入力データ</t>
    <phoneticPr fontId="1"/>
  </si>
  <si>
    <t>収支管理品目入力データ</t>
    <rPh sb="0" eb="2">
      <t>シュウシ</t>
    </rPh>
    <rPh sb="2" eb="4">
      <t>カンリ</t>
    </rPh>
    <rPh sb="4" eb="6">
      <t>ヒンモク</t>
    </rPh>
    <rPh sb="6" eb="8">
      <t>ニュウリョク</t>
    </rPh>
    <phoneticPr fontId="1"/>
  </si>
  <si>
    <t>D11010804</t>
    <phoneticPr fontId="1"/>
  </si>
  <si>
    <t>人員配置入力用データ</t>
    <phoneticPr fontId="1"/>
  </si>
  <si>
    <t>人件費特別申請情報入力用データ</t>
    <phoneticPr fontId="1"/>
  </si>
  <si>
    <t>仕訳入力にて作成したデータ</t>
    <rPh sb="0" eb="2">
      <t>シワケ</t>
    </rPh>
    <rPh sb="2" eb="4">
      <t>ニュウリョク</t>
    </rPh>
    <rPh sb="6" eb="8">
      <t>サクセイ</t>
    </rPh>
    <phoneticPr fontId="1"/>
  </si>
  <si>
    <t>決算仕訳入力にて作成したデータ</t>
    <rPh sb="0" eb="2">
      <t>ケッサン</t>
    </rPh>
    <rPh sb="2" eb="4">
      <t>シワケ</t>
    </rPh>
    <rPh sb="4" eb="6">
      <t>ニュウリョク</t>
    </rPh>
    <rPh sb="8" eb="10">
      <t>サクセイ</t>
    </rPh>
    <phoneticPr fontId="1"/>
  </si>
  <si>
    <t>仕訳伝票照会にて指定した仕訳データ</t>
    <rPh sb="2" eb="4">
      <t>デンピョウ</t>
    </rPh>
    <phoneticPr fontId="1"/>
  </si>
  <si>
    <t>人員配置CSVデータ</t>
    <phoneticPr fontId="1"/>
  </si>
  <si>
    <t>DZ11040501</t>
    <phoneticPr fontId="1"/>
  </si>
  <si>
    <t>D11021001</t>
    <phoneticPr fontId="1"/>
  </si>
  <si>
    <t>決済条件入力データ</t>
    <phoneticPr fontId="1"/>
  </si>
  <si>
    <t>決済条件マスタ入力用データ</t>
    <rPh sb="0" eb="4">
      <t>ケッサイジョウケン</t>
    </rPh>
    <rPh sb="7" eb="9">
      <t>ニュウリョク</t>
    </rPh>
    <rPh sb="9" eb="10">
      <t>ヨウ</t>
    </rPh>
    <phoneticPr fontId="1"/>
  </si>
  <si>
    <t>D05020103</t>
    <phoneticPr fontId="1"/>
  </si>
  <si>
    <t>資金残高計画取込データ</t>
    <phoneticPr fontId="1"/>
  </si>
  <si>
    <t>D09020202</t>
    <phoneticPr fontId="1"/>
  </si>
  <si>
    <t>承認した相殺予約の明細データ</t>
    <rPh sb="9" eb="11">
      <t>メイサイ</t>
    </rPh>
    <phoneticPr fontId="1"/>
  </si>
  <si>
    <t>共通決済条件マスタ</t>
    <phoneticPr fontId="1"/>
  </si>
  <si>
    <t>共計精算入力情報（出力）</t>
    <rPh sb="9" eb="11">
      <t>シュツリョク</t>
    </rPh>
    <phoneticPr fontId="1"/>
  </si>
  <si>
    <t>共計精算入力データ</t>
    <phoneticPr fontId="1"/>
  </si>
  <si>
    <t>費用入力申請情報（出力）</t>
    <rPh sb="9" eb="11">
      <t>シュツリョク</t>
    </rPh>
    <phoneticPr fontId="1"/>
  </si>
  <si>
    <t>費用伝票入力確認データ</t>
    <rPh sb="2" eb="4">
      <t>デンピョウ</t>
    </rPh>
    <rPh sb="6" eb="8">
      <t>カクニン</t>
    </rPh>
    <phoneticPr fontId="1"/>
  </si>
  <si>
    <t>費用伝票入力用データ</t>
    <rPh sb="2" eb="4">
      <t>デンピョウ</t>
    </rPh>
    <rPh sb="4" eb="6">
      <t>ニュウリョク</t>
    </rPh>
    <phoneticPr fontId="1"/>
  </si>
  <si>
    <t>収益入力申請情報（出力）</t>
    <rPh sb="9" eb="11">
      <t>シュツリョク</t>
    </rPh>
    <phoneticPr fontId="1"/>
  </si>
  <si>
    <t>収益伝票入力確認データ</t>
    <rPh sb="0" eb="2">
      <t>シュウエキ</t>
    </rPh>
    <rPh sb="2" eb="4">
      <t>デンピョウ</t>
    </rPh>
    <rPh sb="6" eb="8">
      <t>カクニン</t>
    </rPh>
    <phoneticPr fontId="1"/>
  </si>
  <si>
    <t>収益伝票入力用データ</t>
    <rPh sb="0" eb="2">
      <t>シュウエキ</t>
    </rPh>
    <rPh sb="2" eb="4">
      <t>デンピョウ</t>
    </rPh>
    <rPh sb="4" eb="6">
      <t>ニュウリョク</t>
    </rPh>
    <phoneticPr fontId="1"/>
  </si>
  <si>
    <t>取引入力申請情報（出力）</t>
    <rPh sb="9" eb="11">
      <t>シュツリョク</t>
    </rPh>
    <phoneticPr fontId="1"/>
  </si>
  <si>
    <t>定例取引入力確認用データ</t>
    <rPh sb="0" eb="2">
      <t>テイレイ</t>
    </rPh>
    <rPh sb="2" eb="4">
      <t>トリヒキ</t>
    </rPh>
    <rPh sb="4" eb="6">
      <t>ニュウリョク</t>
    </rPh>
    <rPh sb="6" eb="8">
      <t>カクニン</t>
    </rPh>
    <rPh sb="8" eb="9">
      <t>ヨウ</t>
    </rPh>
    <phoneticPr fontId="1"/>
  </si>
  <si>
    <t>定例取引入力用データ</t>
    <rPh sb="0" eb="2">
      <t>テイレイ</t>
    </rPh>
    <rPh sb="2" eb="3">
      <t>トリ</t>
    </rPh>
    <rPh sb="3" eb="4">
      <t>デ</t>
    </rPh>
    <rPh sb="4" eb="6">
      <t>ニュウリョク</t>
    </rPh>
    <rPh sb="6" eb="7">
      <t>ヨウ</t>
    </rPh>
    <phoneticPr fontId="1"/>
  </si>
  <si>
    <t>実地棚卸結果および、一部証明書用入力用データ</t>
    <rPh sb="18" eb="19">
      <t>ヨウ</t>
    </rPh>
    <phoneticPr fontId="1"/>
  </si>
  <si>
    <t>D08010103</t>
    <phoneticPr fontId="1"/>
  </si>
  <si>
    <t>D08020103</t>
    <phoneticPr fontId="1"/>
  </si>
  <si>
    <t>D08030103</t>
    <phoneticPr fontId="1"/>
  </si>
  <si>
    <t>D09010103</t>
    <phoneticPr fontId="1"/>
  </si>
  <si>
    <t>D09010201</t>
    <phoneticPr fontId="1"/>
  </si>
  <si>
    <t>D05021001</t>
  </si>
  <si>
    <t>D05020402</t>
    <phoneticPr fontId="1"/>
  </si>
  <si>
    <t>汎用請求書CSV（出力）</t>
    <rPh sb="9" eb="11">
      <t>シュツリョク</t>
    </rPh>
    <phoneticPr fontId="1"/>
  </si>
  <si>
    <t>汎用請求書データ出力用</t>
    <rPh sb="8" eb="10">
      <t>シュツリョク</t>
    </rPh>
    <rPh sb="10" eb="11">
      <t>ヨウ</t>
    </rPh>
    <phoneticPr fontId="1"/>
  </si>
  <si>
    <t>在庫データ入力</t>
    <rPh sb="0" eb="2">
      <t>ザイコ</t>
    </rPh>
    <rPh sb="5" eb="7">
      <t>ニュウリョク</t>
    </rPh>
    <phoneticPr fontId="1"/>
  </si>
  <si>
    <t>D06010701</t>
    <phoneticPr fontId="1"/>
  </si>
  <si>
    <t>概算金振込データファイル</t>
    <phoneticPr fontId="1"/>
  </si>
  <si>
    <t>全農請求出力データ</t>
    <rPh sb="4" eb="6">
      <t>シュツリョク</t>
    </rPh>
    <phoneticPr fontId="1"/>
  </si>
  <si>
    <t>販売共計取扱高手数料配分率マスタ</t>
    <rPh sb="0" eb="2">
      <t>ハンバイ</t>
    </rPh>
    <rPh sb="2" eb="4">
      <t>キョウケイ</t>
    </rPh>
    <phoneticPr fontId="1"/>
  </si>
  <si>
    <t>D05031501</t>
    <phoneticPr fontId="1"/>
  </si>
  <si>
    <t>〇</t>
    <phoneticPr fontId="1"/>
  </si>
  <si>
    <t>受入保証金データ</t>
    <phoneticPr fontId="1"/>
  </si>
  <si>
    <t>受入保証金の連動元となるデータ</t>
    <rPh sb="6" eb="8">
      <t>レンドウ</t>
    </rPh>
    <rPh sb="8" eb="9">
      <t>モト</t>
    </rPh>
    <phoneticPr fontId="1"/>
  </si>
  <si>
    <t>D05040501</t>
    <phoneticPr fontId="1"/>
  </si>
  <si>
    <t>D05040601</t>
    <phoneticPr fontId="1"/>
  </si>
  <si>
    <t>２次プーリング情報</t>
    <phoneticPr fontId="1"/>
  </si>
  <si>
    <t>１次プーリング連携情報</t>
    <phoneticPr fontId="1"/>
  </si>
  <si>
    <t>ホクレングループＣＭＳへ２次プーリング情報を連動する元となるデータ</t>
    <rPh sb="22" eb="24">
      <t>レンドウ</t>
    </rPh>
    <rPh sb="26" eb="27">
      <t>モト</t>
    </rPh>
    <phoneticPr fontId="1"/>
  </si>
  <si>
    <t>１次プーリング情報を取り込むための連動元データ</t>
    <rPh sb="1" eb="2">
      <t>ツギ</t>
    </rPh>
    <rPh sb="7" eb="9">
      <t>ジョウホウ</t>
    </rPh>
    <rPh sb="10" eb="11">
      <t>ト</t>
    </rPh>
    <rPh sb="12" eb="13">
      <t>コ</t>
    </rPh>
    <rPh sb="17" eb="19">
      <t>レンドウ</t>
    </rPh>
    <rPh sb="19" eb="20">
      <t>モト</t>
    </rPh>
    <phoneticPr fontId="1"/>
  </si>
  <si>
    <t>代金引落通知書（内訳）</t>
    <phoneticPr fontId="1"/>
  </si>
  <si>
    <t>InvoiceAgentに送信する代金引落通知書の内訳データ</t>
    <rPh sb="13" eb="15">
      <t>ソウシン</t>
    </rPh>
    <rPh sb="17" eb="19">
      <t>ダイキン</t>
    </rPh>
    <rPh sb="19" eb="21">
      <t>ヒキオトシ</t>
    </rPh>
    <rPh sb="21" eb="23">
      <t>ツウチ</t>
    </rPh>
    <rPh sb="23" eb="24">
      <t>ショ</t>
    </rPh>
    <rPh sb="25" eb="27">
      <t>ウチワケ</t>
    </rPh>
    <phoneticPr fontId="1"/>
  </si>
  <si>
    <t>D11040203</t>
    <phoneticPr fontId="1"/>
  </si>
  <si>
    <t>D11040403</t>
    <phoneticPr fontId="1"/>
  </si>
  <si>
    <t>D11041003</t>
    <phoneticPr fontId="1"/>
  </si>
  <si>
    <t>D11041301</t>
    <phoneticPr fontId="1"/>
  </si>
  <si>
    <t>D05021101</t>
    <phoneticPr fontId="1"/>
  </si>
  <si>
    <t>代金引落依頼書データファイル</t>
    <rPh sb="0" eb="2">
      <t>ダイキン</t>
    </rPh>
    <phoneticPr fontId="1"/>
  </si>
  <si>
    <t>InvoiceAgentに送信する代金引落依頼を行うためのデータ</t>
    <rPh sb="17" eb="19">
      <t>ダイキン</t>
    </rPh>
    <rPh sb="19" eb="21">
      <t>ヒキオトシ</t>
    </rPh>
    <rPh sb="21" eb="23">
      <t>イライ</t>
    </rPh>
    <rPh sb="24" eb="25">
      <t>オコナ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</si>
</sst>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2"/>
      <name val="ＭＳ 明朝"/>
      <family val="1"/>
      <charset val="128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7" fillId="0" borderId="0"/>
  </cellStyleXfs>
  <cellXfs count="135">
    <xf numFmtId="0" fontId="0" fillId="0" borderId="0" xfId="0"/>
    <xf numFmtId="49" fontId="2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right" vertical="center"/>
    </xf>
    <xf numFmtId="0" fontId="6" fillId="0" borderId="0" xfId="0" applyFont="1"/>
    <xf numFmtId="0" fontId="2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2" fillId="0" borderId="6" xfId="1" applyNumberFormat="1" applyFont="1" applyBorder="1"/>
    <xf numFmtId="49" fontId="2" fillId="0" borderId="7" xfId="1" applyNumberFormat="1" applyFont="1" applyBorder="1"/>
    <xf numFmtId="49" fontId="2" fillId="0" borderId="5" xfId="1" applyNumberFormat="1" applyFont="1" applyBorder="1"/>
    <xf numFmtId="49" fontId="2" fillId="0" borderId="0" xfId="1" applyNumberFormat="1" applyFont="1"/>
    <xf numFmtId="49" fontId="2" fillId="0" borderId="14" xfId="1" applyNumberFormat="1" applyFont="1" applyBorder="1"/>
    <xf numFmtId="49" fontId="2" fillId="0" borderId="14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15" xfId="1" applyNumberFormat="1" applyFont="1" applyBorder="1"/>
    <xf numFmtId="49" fontId="2" fillId="0" borderId="16" xfId="1" applyNumberFormat="1" applyFont="1" applyBorder="1"/>
    <xf numFmtId="49" fontId="2" fillId="0" borderId="17" xfId="1" applyNumberFormat="1" applyFont="1" applyBorder="1"/>
    <xf numFmtId="49" fontId="2" fillId="0" borderId="18" xfId="1" applyNumberFormat="1" applyFont="1" applyBorder="1"/>
    <xf numFmtId="49" fontId="6" fillId="0" borderId="0" xfId="1" applyNumberFormat="1" applyFont="1"/>
    <xf numFmtId="14" fontId="2" fillId="0" borderId="0" xfId="0" applyNumberFormat="1" applyFont="1" applyAlignment="1">
      <alignment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/>
    </xf>
    <xf numFmtId="49" fontId="2" fillId="0" borderId="7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2" fillId="0" borderId="19" xfId="1" applyNumberFormat="1" applyFont="1" applyBorder="1" applyAlignment="1">
      <alignment horizontal="center" vertical="center"/>
    </xf>
    <xf numFmtId="49" fontId="2" fillId="0" borderId="20" xfId="1" applyNumberFormat="1" applyFont="1" applyBorder="1" applyAlignment="1">
      <alignment horizontal="center" vertical="center"/>
    </xf>
    <xf numFmtId="49" fontId="2" fillId="0" borderId="21" xfId="1" applyNumberFormat="1" applyFont="1" applyBorder="1" applyAlignment="1">
      <alignment horizontal="center" vertical="center"/>
    </xf>
    <xf numFmtId="49" fontId="2" fillId="0" borderId="16" xfId="1" applyNumberFormat="1" applyFont="1" applyBorder="1" applyAlignment="1">
      <alignment horizontal="center" vertical="center"/>
    </xf>
    <xf numFmtId="49" fontId="2" fillId="0" borderId="17" xfId="1" applyNumberFormat="1" applyFont="1" applyBorder="1" applyAlignment="1">
      <alignment horizontal="center" vertical="center"/>
    </xf>
    <xf numFmtId="49" fontId="2" fillId="0" borderId="18" xfId="1" applyNumberFormat="1" applyFont="1" applyBorder="1" applyAlignment="1">
      <alignment horizontal="center" vertical="center"/>
    </xf>
    <xf numFmtId="49" fontId="2" fillId="0" borderId="19" xfId="1" applyNumberFormat="1" applyFont="1" applyBorder="1" applyAlignment="1">
      <alignment horizontal="left" vertical="center"/>
    </xf>
    <xf numFmtId="49" fontId="2" fillId="0" borderId="20" xfId="1" applyNumberFormat="1" applyFont="1" applyBorder="1" applyAlignment="1">
      <alignment horizontal="left" vertical="center"/>
    </xf>
    <xf numFmtId="49" fontId="2" fillId="0" borderId="21" xfId="1" applyNumberFormat="1" applyFont="1" applyBorder="1" applyAlignment="1">
      <alignment horizontal="left" vertical="center"/>
    </xf>
    <xf numFmtId="49" fontId="2" fillId="0" borderId="16" xfId="1" applyNumberFormat="1" applyFont="1" applyBorder="1" applyAlignment="1">
      <alignment horizontal="left" vertical="center"/>
    </xf>
    <xf numFmtId="49" fontId="2" fillId="0" borderId="17" xfId="1" applyNumberFormat="1" applyFont="1" applyBorder="1" applyAlignment="1">
      <alignment horizontal="left" vertical="center"/>
    </xf>
    <xf numFmtId="49" fontId="2" fillId="0" borderId="18" xfId="1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shrinkToFit="1"/>
    </xf>
    <xf numFmtId="0" fontId="2" fillId="0" borderId="10" xfId="0" applyFont="1" applyBorder="1" applyAlignment="1">
      <alignment horizontal="left" vertical="center" shrinkToFit="1"/>
    </xf>
    <xf numFmtId="0" fontId="2" fillId="0" borderId="11" xfId="0" applyFont="1" applyBorder="1" applyAlignment="1">
      <alignment horizontal="left" vertical="center" shrinkToFit="1"/>
    </xf>
    <xf numFmtId="0" fontId="6" fillId="0" borderId="24" xfId="0" applyFont="1" applyBorder="1" applyAlignment="1">
      <alignment horizontal="left" vertical="center" shrinkToFit="1"/>
    </xf>
    <xf numFmtId="0" fontId="6" fillId="0" borderId="10" xfId="0" applyFont="1" applyBorder="1" applyAlignment="1">
      <alignment horizontal="left" vertical="center" shrinkToFit="1"/>
    </xf>
    <xf numFmtId="0" fontId="6" fillId="0" borderId="11" xfId="0" applyFont="1" applyBorder="1" applyAlignment="1">
      <alignment horizontal="left" vertical="center" shrinkToFit="1"/>
    </xf>
    <xf numFmtId="0" fontId="2" fillId="0" borderId="2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10" xfId="0" applyBorder="1" applyAlignment="1">
      <alignment horizontal="left" vertical="center" shrinkToFit="1"/>
    </xf>
    <xf numFmtId="0" fontId="0" fillId="0" borderId="11" xfId="0" applyBorder="1" applyAlignment="1">
      <alignment horizontal="left" vertical="center" shrinkToFit="1"/>
    </xf>
    <xf numFmtId="0" fontId="2" fillId="0" borderId="24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shrinkToFit="1"/>
    </xf>
    <xf numFmtId="0" fontId="0" fillId="0" borderId="12" xfId="0" applyBorder="1" applyAlignment="1">
      <alignment horizontal="left" vertical="center" shrinkToFit="1"/>
    </xf>
    <xf numFmtId="0" fontId="0" fillId="0" borderId="13" xfId="0" applyBorder="1" applyAlignment="1">
      <alignment horizontal="left" vertical="center" shrinkToFit="1"/>
    </xf>
    <xf numFmtId="0" fontId="6" fillId="0" borderId="25" xfId="0" applyFont="1" applyBorder="1" applyAlignment="1">
      <alignment horizontal="left" vertical="center" shrinkToFit="1"/>
    </xf>
    <xf numFmtId="0" fontId="6" fillId="0" borderId="12" xfId="0" applyFont="1" applyBorder="1" applyAlignment="1">
      <alignment horizontal="left" vertical="center" shrinkToFit="1"/>
    </xf>
    <xf numFmtId="0" fontId="6" fillId="0" borderId="13" xfId="0" applyFont="1" applyBorder="1" applyAlignment="1">
      <alignment horizontal="left" vertical="center" shrinkToFit="1"/>
    </xf>
    <xf numFmtId="0" fontId="2" fillId="0" borderId="2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24" xfId="0" quotePrefix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23" xfId="0" applyFont="1" applyBorder="1" applyAlignment="1">
      <alignment horizontal="left" vertical="center" shrinkToFit="1"/>
    </xf>
    <xf numFmtId="0" fontId="2" fillId="0" borderId="8" xfId="0" applyFont="1" applyBorder="1" applyAlignment="1">
      <alignment horizontal="left" vertical="center" shrinkToFit="1"/>
    </xf>
    <xf numFmtId="0" fontId="2" fillId="0" borderId="9" xfId="0" applyFont="1" applyBorder="1" applyAlignment="1">
      <alignment horizontal="left" vertical="center" shrinkToFit="1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shrinkToFit="1"/>
    </xf>
    <xf numFmtId="0" fontId="6" fillId="0" borderId="8" xfId="0" applyFont="1" applyBorder="1" applyAlignment="1">
      <alignment horizontal="left" vertical="center" shrinkToFit="1"/>
    </xf>
    <xf numFmtId="0" fontId="6" fillId="0" borderId="9" xfId="0" applyFont="1" applyBorder="1" applyAlignment="1">
      <alignment horizontal="left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 shrinkToFit="1"/>
    </xf>
    <xf numFmtId="0" fontId="2" fillId="0" borderId="23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left" vertical="center" shrinkToFit="1"/>
    </xf>
    <xf numFmtId="0" fontId="0" fillId="0" borderId="32" xfId="0" applyBorder="1" applyAlignment="1">
      <alignment horizontal="left" vertical="center" shrinkToFit="1"/>
    </xf>
    <xf numFmtId="0" fontId="0" fillId="0" borderId="33" xfId="0" applyBorder="1" applyAlignment="1">
      <alignment horizontal="left" vertical="center" shrinkToFit="1"/>
    </xf>
    <xf numFmtId="0" fontId="6" fillId="0" borderId="31" xfId="0" applyFont="1" applyBorder="1" applyAlignment="1">
      <alignment horizontal="left" vertical="center" shrinkToFit="1"/>
    </xf>
    <xf numFmtId="0" fontId="6" fillId="0" borderId="32" xfId="0" applyFont="1" applyBorder="1" applyAlignment="1">
      <alignment horizontal="left" vertical="center" shrinkToFit="1"/>
    </xf>
    <xf numFmtId="0" fontId="6" fillId="0" borderId="33" xfId="0" applyFont="1" applyBorder="1" applyAlignment="1">
      <alignment horizontal="left" vertical="center" shrinkToFi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</cellXfs>
  <cellStyles count="2">
    <cellStyle name="標準" xfId="0" builtinId="0"/>
    <cellStyle name="標準 2" xfId="1" xr:uid="{8CF97B18-FA6C-466F-AE3A-CEAAF9614AD0}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6D95B-1FFE-4657-AC9D-DBA478DB95C5}">
  <sheetPr codeName="Sheet1">
    <pageSetUpPr fitToPage="1"/>
  </sheetPr>
  <dimension ref="A1:BJ508"/>
  <sheetViews>
    <sheetView tabSelected="1" view="pageBreakPreview" zoomScaleNormal="100" zoomScaleSheetLayoutView="100" workbookViewId="0"/>
  </sheetViews>
  <sheetFormatPr defaultColWidth="9.109375" defaultRowHeight="12"/>
  <cols>
    <col min="1" max="62" width="2.44140625" style="21" customWidth="1"/>
    <col min="63" max="159" width="1.88671875" style="21" customWidth="1"/>
    <col min="160" max="16384" width="9.109375" style="21"/>
  </cols>
  <sheetData>
    <row r="1" spans="1:62" s="6" customFormat="1" ht="18" customHeight="1">
      <c r="A1" s="6" t="s">
        <v>85</v>
      </c>
      <c r="BJ1" s="7" t="s">
        <v>1</v>
      </c>
    </row>
    <row r="2" spans="1:62" s="8" customFormat="1" ht="18" customHeight="1">
      <c r="A2" s="29" t="s">
        <v>2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1"/>
      <c r="AV2" s="23" t="s">
        <v>3</v>
      </c>
      <c r="AW2" s="24"/>
      <c r="AX2" s="24"/>
      <c r="AY2" s="25"/>
      <c r="AZ2" s="23" t="s">
        <v>4</v>
      </c>
      <c r="BA2" s="24"/>
      <c r="BB2" s="24"/>
      <c r="BC2" s="25"/>
      <c r="BD2" s="23" t="s">
        <v>5</v>
      </c>
      <c r="BE2" s="24"/>
      <c r="BF2" s="24"/>
      <c r="BG2" s="25"/>
      <c r="BH2" s="23"/>
      <c r="BI2" s="24"/>
      <c r="BJ2" s="25"/>
    </row>
    <row r="3" spans="1:62" s="6" customFormat="1" ht="18" customHeight="1">
      <c r="A3" s="32" t="s">
        <v>6</v>
      </c>
      <c r="B3" s="33"/>
      <c r="C3" s="33"/>
      <c r="D3" s="33"/>
      <c r="E3" s="33"/>
      <c r="F3" s="33"/>
      <c r="G3" s="34"/>
      <c r="H3" s="38" t="s">
        <v>43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40"/>
      <c r="AV3" s="23" t="s">
        <v>7</v>
      </c>
      <c r="AW3" s="24"/>
      <c r="AX3" s="24"/>
      <c r="AY3" s="25"/>
      <c r="AZ3" s="23" t="s">
        <v>44</v>
      </c>
      <c r="BA3" s="24"/>
      <c r="BB3" s="24"/>
      <c r="BC3" s="24"/>
      <c r="BD3" s="24"/>
      <c r="BE3" s="24"/>
      <c r="BF3" s="24"/>
      <c r="BG3" s="24"/>
      <c r="BH3" s="24"/>
      <c r="BI3" s="24"/>
      <c r="BJ3" s="25"/>
    </row>
    <row r="4" spans="1:62" s="6" customFormat="1" ht="18" customHeight="1">
      <c r="A4" s="35"/>
      <c r="B4" s="36"/>
      <c r="C4" s="36"/>
      <c r="D4" s="36"/>
      <c r="E4" s="36"/>
      <c r="F4" s="36"/>
      <c r="G4" s="37"/>
      <c r="H4" s="41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3"/>
      <c r="AV4" s="23" t="s">
        <v>8</v>
      </c>
      <c r="AW4" s="24"/>
      <c r="AX4" s="24"/>
      <c r="AY4" s="25"/>
      <c r="AZ4" s="23"/>
      <c r="BA4" s="24"/>
      <c r="BB4" s="24"/>
      <c r="BC4" s="24"/>
      <c r="BD4" s="24"/>
      <c r="BE4" s="24"/>
      <c r="BF4" s="24"/>
      <c r="BG4" s="24"/>
      <c r="BH4" s="24"/>
      <c r="BI4" s="24"/>
      <c r="BJ4" s="25"/>
    </row>
    <row r="5" spans="1:62" s="9" customFormat="1" ht="9" customHeight="1"/>
    <row r="6" spans="1:62" s="13" customFormat="1" ht="15.75" customHeight="1">
      <c r="A6" s="26" t="s">
        <v>9</v>
      </c>
      <c r="B6" s="27"/>
      <c r="C6" s="27"/>
      <c r="D6" s="27"/>
      <c r="E6" s="27"/>
      <c r="F6" s="27"/>
      <c r="G6" s="28"/>
      <c r="H6" s="10"/>
      <c r="I6" s="11" t="s">
        <v>10</v>
      </c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2"/>
    </row>
    <row r="7" spans="1:62" s="13" customFormat="1" ht="20.25" customHeight="1">
      <c r="A7" s="14"/>
      <c r="C7" s="6"/>
      <c r="D7" s="6"/>
      <c r="E7" s="6"/>
      <c r="F7" s="6"/>
      <c r="G7" s="6"/>
      <c r="H7" s="15"/>
      <c r="O7" s="16"/>
      <c r="P7" s="16"/>
      <c r="Q7" s="16"/>
      <c r="R7" s="16"/>
      <c r="S7" s="16"/>
      <c r="T7" s="16"/>
      <c r="U7" s="16"/>
      <c r="V7" s="16"/>
      <c r="W7" s="16"/>
      <c r="X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BJ7" s="17"/>
    </row>
    <row r="8" spans="1:62" s="13" customFormat="1" ht="20.25" customHeight="1">
      <c r="A8" s="14"/>
      <c r="B8" s="13" t="s">
        <v>122</v>
      </c>
      <c r="C8" s="6"/>
      <c r="D8" s="6"/>
      <c r="E8" s="6"/>
      <c r="F8" s="6"/>
      <c r="G8" s="6"/>
      <c r="H8" s="15"/>
      <c r="I8" s="13" t="s">
        <v>123</v>
      </c>
      <c r="O8" s="16"/>
      <c r="P8" s="16"/>
      <c r="Q8" s="16"/>
      <c r="R8" s="16"/>
      <c r="S8" s="16"/>
      <c r="T8" s="16"/>
      <c r="U8" s="16"/>
      <c r="V8" s="16"/>
      <c r="W8" s="16"/>
      <c r="X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BJ8" s="17"/>
    </row>
    <row r="9" spans="1:62" s="13" customFormat="1" ht="20.25" customHeight="1">
      <c r="A9" s="14"/>
      <c r="H9" s="14"/>
      <c r="BJ9" s="17"/>
    </row>
    <row r="10" spans="1:62" s="13" customFormat="1" ht="20.25" customHeight="1">
      <c r="A10" s="14"/>
      <c r="H10" s="14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BJ10" s="17"/>
    </row>
    <row r="11" spans="1:62" s="13" customFormat="1" ht="20.25" customHeight="1">
      <c r="A11" s="14"/>
      <c r="H11" s="14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BJ11" s="17"/>
    </row>
    <row r="12" spans="1:62" s="13" customFormat="1" ht="20.25" customHeight="1">
      <c r="A12" s="14"/>
      <c r="H12" s="14"/>
      <c r="BJ12" s="17"/>
    </row>
    <row r="13" spans="1:62" s="13" customFormat="1" ht="20.25" customHeight="1">
      <c r="A13" s="14"/>
      <c r="H13" s="14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BJ13" s="17"/>
    </row>
    <row r="14" spans="1:62" s="13" customFormat="1" ht="20.25" customHeight="1">
      <c r="A14" s="14"/>
      <c r="H14" s="14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BJ14" s="17"/>
    </row>
    <row r="15" spans="1:62" s="13" customFormat="1" ht="20.25" customHeight="1">
      <c r="A15" s="14"/>
      <c r="H15" s="14"/>
      <c r="BJ15" s="17"/>
    </row>
    <row r="16" spans="1:62" s="13" customFormat="1" ht="20.25" customHeight="1">
      <c r="A16" s="14"/>
      <c r="H16" s="14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BJ16" s="17"/>
    </row>
    <row r="17" spans="1:62" s="13" customFormat="1" ht="20.25" customHeight="1">
      <c r="A17" s="14"/>
      <c r="H17" s="14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BJ17" s="17"/>
    </row>
    <row r="18" spans="1:62" s="13" customFormat="1" ht="20.25" customHeight="1">
      <c r="A18" s="14"/>
      <c r="H18" s="14"/>
      <c r="BJ18" s="17"/>
    </row>
    <row r="19" spans="1:62" s="13" customFormat="1" ht="20.25" customHeight="1">
      <c r="A19" s="14"/>
      <c r="H19" s="14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BJ19" s="17"/>
    </row>
    <row r="20" spans="1:62" s="13" customFormat="1" ht="20.25" customHeight="1">
      <c r="A20" s="14"/>
      <c r="H20" s="14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BJ20" s="17"/>
    </row>
    <row r="21" spans="1:62" s="13" customFormat="1" ht="20.25" customHeight="1">
      <c r="A21" s="14"/>
      <c r="H21" s="14"/>
      <c r="BJ21" s="17"/>
    </row>
    <row r="22" spans="1:62" s="13" customFormat="1" ht="20.25" customHeight="1">
      <c r="A22" s="14"/>
      <c r="H22" s="14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BJ22" s="17"/>
    </row>
    <row r="23" spans="1:62" s="13" customFormat="1" ht="20.25" customHeight="1">
      <c r="A23" s="14"/>
      <c r="H23" s="14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BJ23" s="17"/>
    </row>
    <row r="24" spans="1:62" s="13" customFormat="1" ht="20.25" customHeight="1">
      <c r="A24" s="14"/>
      <c r="H24" s="14"/>
      <c r="BJ24" s="17"/>
    </row>
    <row r="25" spans="1:62" s="13" customFormat="1" ht="20.25" customHeight="1">
      <c r="A25" s="14"/>
      <c r="H25" s="14"/>
      <c r="O25" s="16"/>
      <c r="P25" s="16"/>
      <c r="Q25" s="16"/>
      <c r="R25" s="16"/>
      <c r="S25" s="16"/>
      <c r="T25" s="16"/>
      <c r="U25" s="16"/>
      <c r="V25" s="16"/>
      <c r="W25" s="16"/>
      <c r="X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BJ25" s="17"/>
    </row>
    <row r="26" spans="1:62" s="13" customFormat="1" ht="20.25" customHeight="1">
      <c r="A26" s="14"/>
      <c r="H26" s="14"/>
      <c r="O26" s="16"/>
      <c r="P26" s="16"/>
      <c r="Q26" s="16"/>
      <c r="R26" s="16"/>
      <c r="S26" s="16"/>
      <c r="T26" s="16"/>
      <c r="U26" s="16"/>
      <c r="V26" s="16"/>
      <c r="W26" s="16"/>
      <c r="X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BJ26" s="17"/>
    </row>
    <row r="27" spans="1:62" s="13" customFormat="1" ht="20.25" customHeight="1">
      <c r="A27" s="14"/>
      <c r="H27" s="14"/>
      <c r="BJ27" s="17"/>
    </row>
    <row r="28" spans="1:62" s="13" customFormat="1" ht="20.25" customHeight="1">
      <c r="A28" s="14"/>
      <c r="H28" s="14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BJ28" s="17"/>
    </row>
    <row r="29" spans="1:62" s="13" customFormat="1" ht="20.25" customHeight="1">
      <c r="A29" s="14"/>
      <c r="H29" s="14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BJ29" s="17"/>
    </row>
    <row r="30" spans="1:62" s="13" customFormat="1" ht="20.25" customHeight="1">
      <c r="A30" s="14"/>
      <c r="H30" s="14"/>
      <c r="BJ30" s="17"/>
    </row>
    <row r="31" spans="1:62" s="13" customFormat="1" ht="20.25" customHeight="1">
      <c r="A31" s="14"/>
      <c r="H31" s="14"/>
      <c r="BJ31" s="17"/>
    </row>
    <row r="32" spans="1:62" s="13" customFormat="1" ht="20.25" customHeight="1">
      <c r="A32" s="14"/>
      <c r="H32" s="14"/>
      <c r="BJ32" s="17"/>
    </row>
    <row r="33" spans="1:62" s="13" customFormat="1" ht="20.25" customHeight="1">
      <c r="A33" s="14"/>
      <c r="H33" s="14"/>
      <c r="BJ33" s="17"/>
    </row>
    <row r="34" spans="1:62" s="13" customFormat="1" ht="20.25" customHeight="1">
      <c r="A34" s="14"/>
      <c r="H34" s="14"/>
      <c r="BJ34" s="17"/>
    </row>
    <row r="35" spans="1:62" s="13" customFormat="1" ht="20.25" customHeight="1">
      <c r="A35" s="14"/>
      <c r="H35" s="14"/>
      <c r="BJ35" s="17"/>
    </row>
    <row r="36" spans="1:62" s="13" customFormat="1" ht="20.25" customHeight="1">
      <c r="A36" s="14"/>
      <c r="H36" s="14"/>
      <c r="BJ36" s="17"/>
    </row>
    <row r="37" spans="1:62" s="13" customFormat="1" ht="20.25" customHeight="1">
      <c r="A37" s="14"/>
      <c r="H37" s="14"/>
      <c r="BJ37" s="17"/>
    </row>
    <row r="38" spans="1:62" s="13" customFormat="1" ht="20.25" customHeight="1">
      <c r="A38" s="14"/>
      <c r="H38" s="14"/>
      <c r="BJ38" s="17"/>
    </row>
    <row r="39" spans="1:62" s="13" customFormat="1" ht="20.25" customHeight="1">
      <c r="A39" s="14"/>
      <c r="H39" s="14"/>
      <c r="BJ39" s="17"/>
    </row>
    <row r="40" spans="1:62" s="13" customFormat="1" ht="20.25" customHeight="1">
      <c r="A40" s="14"/>
      <c r="H40" s="14"/>
      <c r="BJ40" s="17"/>
    </row>
    <row r="41" spans="1:62" s="13" customFormat="1" ht="20.25" customHeight="1">
      <c r="A41" s="14"/>
      <c r="H41" s="14"/>
      <c r="BJ41" s="17"/>
    </row>
    <row r="42" spans="1:62" s="13" customFormat="1" ht="20.25" customHeight="1">
      <c r="A42" s="14"/>
      <c r="H42" s="14"/>
      <c r="BJ42" s="17"/>
    </row>
    <row r="43" spans="1:62" s="13" customFormat="1" ht="20.25" customHeight="1">
      <c r="A43" s="14"/>
      <c r="H43" s="14"/>
      <c r="BJ43" s="17"/>
    </row>
    <row r="44" spans="1:62" s="13" customFormat="1" ht="20.25" customHeight="1">
      <c r="A44" s="14"/>
      <c r="H44" s="14"/>
      <c r="BJ44" s="17"/>
    </row>
    <row r="45" spans="1:62" s="13" customFormat="1" ht="20.25" customHeight="1">
      <c r="A45" s="14"/>
      <c r="H45" s="14"/>
      <c r="BJ45" s="17"/>
    </row>
    <row r="46" spans="1:62" s="13" customFormat="1" ht="20.25" customHeight="1">
      <c r="A46" s="14"/>
      <c r="H46" s="14"/>
      <c r="BJ46" s="17"/>
    </row>
    <row r="47" spans="1:62" s="13" customFormat="1" ht="20.25" customHeight="1">
      <c r="A47" s="14"/>
      <c r="H47" s="14"/>
      <c r="BJ47" s="17"/>
    </row>
    <row r="48" spans="1:62" s="13" customFormat="1" ht="20.25" customHeight="1">
      <c r="A48" s="14"/>
      <c r="H48" s="14"/>
      <c r="BJ48" s="17"/>
    </row>
    <row r="49" spans="1:62" s="13" customFormat="1" ht="20.25" customHeight="1">
      <c r="A49" s="14"/>
      <c r="H49" s="14"/>
      <c r="BJ49" s="17"/>
    </row>
    <row r="50" spans="1:62" s="13" customFormat="1" ht="20.25" customHeight="1">
      <c r="A50" s="14"/>
      <c r="H50" s="14"/>
      <c r="BJ50" s="17"/>
    </row>
    <row r="51" spans="1:62" s="13" customFormat="1" ht="20.25" customHeight="1">
      <c r="A51" s="14"/>
      <c r="H51" s="14"/>
      <c r="BJ51" s="17"/>
    </row>
    <row r="52" spans="1:62" s="13" customFormat="1" ht="20.25" customHeight="1">
      <c r="A52" s="14"/>
      <c r="H52" s="14"/>
      <c r="BJ52" s="17"/>
    </row>
    <row r="53" spans="1:62" s="13" customFormat="1" ht="20.25" customHeight="1">
      <c r="A53" s="14"/>
      <c r="H53" s="14"/>
      <c r="BJ53" s="17"/>
    </row>
    <row r="54" spans="1:62" s="13" customFormat="1" ht="20.25" customHeight="1">
      <c r="A54" s="14"/>
      <c r="H54" s="14"/>
      <c r="BJ54" s="17"/>
    </row>
    <row r="55" spans="1:62" s="13" customFormat="1" ht="20.25" customHeight="1">
      <c r="A55" s="14"/>
      <c r="H55" s="14"/>
      <c r="BJ55" s="17"/>
    </row>
    <row r="56" spans="1:62" s="13" customFormat="1" ht="20.25" customHeight="1">
      <c r="A56" s="14"/>
      <c r="H56" s="14"/>
      <c r="BJ56" s="17"/>
    </row>
    <row r="57" spans="1:62" s="13" customFormat="1" ht="20.25" customHeight="1">
      <c r="A57" s="14"/>
      <c r="H57" s="14"/>
      <c r="BJ57" s="17"/>
    </row>
    <row r="58" spans="1:62" s="13" customFormat="1" ht="20.25" customHeight="1">
      <c r="A58" s="14"/>
      <c r="H58" s="14"/>
      <c r="BJ58" s="17"/>
    </row>
    <row r="59" spans="1:62" s="13" customFormat="1" ht="20.25" customHeight="1">
      <c r="A59" s="18"/>
      <c r="B59" s="19"/>
      <c r="C59" s="19"/>
      <c r="D59" s="19"/>
      <c r="E59" s="19"/>
      <c r="F59" s="19"/>
      <c r="G59" s="19"/>
      <c r="H59" s="18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20"/>
    </row>
    <row r="60" spans="1:62" ht="5.2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1"/>
  <pageMargins left="0.59055118110236227" right="0.19685039370078741" top="0.39370078740157483" bottom="0.39370078740157483" header="0.55118110236220474" footer="0.51181102362204722"/>
  <pageSetup paperSize="9" scale="70" fitToHeight="0" orientation="portrait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62547-3A11-48C0-9C1F-452B96553B79}">
  <sheetPr codeName="Sheet2">
    <pageSetUpPr fitToPage="1"/>
  </sheetPr>
  <dimension ref="A1:BK109"/>
  <sheetViews>
    <sheetView view="pageBreakPreview" zoomScaleNormal="100" zoomScaleSheetLayoutView="100" workbookViewId="0"/>
  </sheetViews>
  <sheetFormatPr defaultColWidth="2.44140625" defaultRowHeight="12"/>
  <cols>
    <col min="63" max="64" width="2.44140625" customWidth="1"/>
  </cols>
  <sheetData>
    <row r="1" spans="1:62" s="1" customFormat="1" ht="18" customHeight="1">
      <c r="A1" s="1" t="s">
        <v>0</v>
      </c>
      <c r="BJ1" s="3" t="s">
        <v>1</v>
      </c>
    </row>
    <row r="2" spans="1:62" s="8" customFormat="1" ht="18" customHeight="1">
      <c r="A2" s="29" t="s">
        <v>11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1"/>
      <c r="AV2" s="23" t="s">
        <v>3</v>
      </c>
      <c r="AW2" s="24"/>
      <c r="AX2" s="24"/>
      <c r="AY2" s="25"/>
      <c r="AZ2" s="23" t="s">
        <v>4</v>
      </c>
      <c r="BA2" s="24"/>
      <c r="BB2" s="24"/>
      <c r="BC2" s="25"/>
      <c r="BD2" s="23" t="s">
        <v>5</v>
      </c>
      <c r="BE2" s="24"/>
      <c r="BF2" s="24"/>
      <c r="BG2" s="25"/>
      <c r="BH2" s="23"/>
      <c r="BI2" s="24"/>
      <c r="BJ2" s="25"/>
    </row>
    <row r="3" spans="1:62" s="6" customFormat="1" ht="18" customHeight="1">
      <c r="A3" s="32" t="s">
        <v>6</v>
      </c>
      <c r="B3" s="33"/>
      <c r="C3" s="33"/>
      <c r="D3" s="33"/>
      <c r="E3" s="33"/>
      <c r="F3" s="33"/>
      <c r="G3" s="34"/>
      <c r="H3" s="38" t="s">
        <v>43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40"/>
      <c r="AV3" s="23" t="s">
        <v>7</v>
      </c>
      <c r="AW3" s="24"/>
      <c r="AX3" s="24"/>
      <c r="AY3" s="25"/>
      <c r="AZ3" s="23" t="str">
        <f>'変更履歴 '!AZ3</f>
        <v>2025/8/29</v>
      </c>
      <c r="BA3" s="111"/>
      <c r="BB3" s="111"/>
      <c r="BC3" s="111"/>
      <c r="BD3" s="111"/>
      <c r="BE3" s="111"/>
      <c r="BF3" s="111"/>
      <c r="BG3" s="111"/>
      <c r="BH3" s="111"/>
      <c r="BI3" s="111"/>
      <c r="BJ3" s="112"/>
    </row>
    <row r="4" spans="1:62" s="6" customFormat="1" ht="18" customHeight="1">
      <c r="A4" s="35"/>
      <c r="B4" s="36"/>
      <c r="C4" s="36"/>
      <c r="D4" s="36"/>
      <c r="E4" s="36"/>
      <c r="F4" s="36"/>
      <c r="G4" s="37"/>
      <c r="H4" s="41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3"/>
      <c r="AV4" s="23" t="s">
        <v>8</v>
      </c>
      <c r="AW4" s="24"/>
      <c r="AX4" s="24"/>
      <c r="AY4" s="25"/>
      <c r="AZ4" s="113" t="str">
        <f>IF(ISBLANK('変更履歴 '!AZ4),"",'変更履歴 '!AZ4)</f>
        <v/>
      </c>
      <c r="BA4" s="111"/>
      <c r="BB4" s="111"/>
      <c r="BC4" s="111"/>
      <c r="BD4" s="111"/>
      <c r="BE4" s="111"/>
      <c r="BF4" s="111"/>
      <c r="BG4" s="111"/>
      <c r="BH4" s="111"/>
      <c r="BI4" s="111"/>
      <c r="BJ4" s="112"/>
    </row>
    <row r="5" spans="1:62" s="2" customFormat="1" ht="4.5" customHeight="1"/>
    <row r="6" spans="1:62" s="5" customFormat="1" ht="30.75" customHeight="1">
      <c r="A6" s="104" t="s">
        <v>12</v>
      </c>
      <c r="B6" s="105"/>
      <c r="C6" s="106"/>
      <c r="D6" s="104" t="s">
        <v>13</v>
      </c>
      <c r="E6" s="105"/>
      <c r="F6" s="105"/>
      <c r="G6" s="105"/>
      <c r="H6" s="105"/>
      <c r="I6" s="106"/>
      <c r="J6" s="104" t="s">
        <v>14</v>
      </c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6"/>
      <c r="X6" s="104" t="s">
        <v>15</v>
      </c>
      <c r="Y6" s="105"/>
      <c r="Z6" s="105"/>
      <c r="AA6" s="105"/>
      <c r="AB6" s="105"/>
      <c r="AC6" s="105"/>
      <c r="AD6" s="105"/>
      <c r="AE6" s="105"/>
      <c r="AF6" s="106"/>
      <c r="AG6" s="107" t="s">
        <v>16</v>
      </c>
      <c r="AH6" s="107"/>
      <c r="AI6" s="107"/>
      <c r="AJ6" s="107" t="s">
        <v>17</v>
      </c>
      <c r="AK6" s="107"/>
      <c r="AL6" s="107"/>
      <c r="AM6" s="107" t="s">
        <v>18</v>
      </c>
      <c r="AN6" s="107"/>
      <c r="AO6" s="107"/>
      <c r="AP6" s="104" t="s">
        <v>19</v>
      </c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5"/>
      <c r="BC6" s="105"/>
      <c r="BD6" s="105"/>
      <c r="BE6" s="105"/>
      <c r="BF6" s="105"/>
      <c r="BG6" s="105"/>
      <c r="BH6" s="105"/>
      <c r="BI6" s="105"/>
      <c r="BJ6" s="106"/>
    </row>
    <row r="7" spans="1:62" s="5" customFormat="1" ht="30.6" customHeight="1">
      <c r="A7" s="95">
        <f>ROW()-6</f>
        <v>1</v>
      </c>
      <c r="B7" s="96"/>
      <c r="C7" s="97"/>
      <c r="D7" s="114" t="s">
        <v>75</v>
      </c>
      <c r="E7" s="115"/>
      <c r="F7" s="115"/>
      <c r="G7" s="115"/>
      <c r="H7" s="115"/>
      <c r="I7" s="116"/>
      <c r="J7" s="92" t="s">
        <v>39</v>
      </c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4"/>
      <c r="X7" s="101"/>
      <c r="Y7" s="102"/>
      <c r="Z7" s="102"/>
      <c r="AA7" s="102"/>
      <c r="AB7" s="102"/>
      <c r="AC7" s="102"/>
      <c r="AD7" s="102"/>
      <c r="AE7" s="102"/>
      <c r="AF7" s="103"/>
      <c r="AG7" s="117">
        <v>52</v>
      </c>
      <c r="AH7" s="118"/>
      <c r="AI7" s="119"/>
      <c r="AJ7" s="98" t="s">
        <v>21</v>
      </c>
      <c r="AK7" s="99"/>
      <c r="AL7" s="100"/>
      <c r="AM7" s="95" t="s">
        <v>41</v>
      </c>
      <c r="AN7" s="96"/>
      <c r="AO7" s="97"/>
      <c r="AP7" s="108" t="s">
        <v>188</v>
      </c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10"/>
    </row>
    <row r="8" spans="1:62" s="5" customFormat="1" ht="30.6" customHeight="1">
      <c r="A8" s="44">
        <f>ROW()-6</f>
        <v>2</v>
      </c>
      <c r="B8" s="45"/>
      <c r="C8" s="46"/>
      <c r="D8" s="47" t="s">
        <v>56</v>
      </c>
      <c r="E8" s="48"/>
      <c r="F8" s="48"/>
      <c r="G8" s="48"/>
      <c r="H8" s="48"/>
      <c r="I8" s="49"/>
      <c r="J8" s="50" t="s">
        <v>40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6"/>
      <c r="X8" s="53"/>
      <c r="Y8" s="54"/>
      <c r="Z8" s="54"/>
      <c r="AA8" s="54"/>
      <c r="AB8" s="54"/>
      <c r="AC8" s="54"/>
      <c r="AD8" s="54"/>
      <c r="AE8" s="54"/>
      <c r="AF8" s="55"/>
      <c r="AG8" s="56">
        <v>49</v>
      </c>
      <c r="AH8" s="57"/>
      <c r="AI8" s="58"/>
      <c r="AJ8" s="59" t="s">
        <v>21</v>
      </c>
      <c r="AK8" s="60"/>
      <c r="AL8" s="61"/>
      <c r="AM8" s="44" t="s">
        <v>41</v>
      </c>
      <c r="AN8" s="45"/>
      <c r="AO8" s="46"/>
      <c r="AP8" s="62" t="s">
        <v>189</v>
      </c>
      <c r="AQ8" s="68"/>
      <c r="AR8" s="68"/>
      <c r="AS8" s="68"/>
      <c r="AT8" s="68"/>
      <c r="AU8" s="68"/>
      <c r="AV8" s="68"/>
      <c r="AW8" s="68"/>
      <c r="AX8" s="68"/>
      <c r="AY8" s="68"/>
      <c r="AZ8" s="68"/>
      <c r="BA8" s="68"/>
      <c r="BB8" s="68"/>
      <c r="BC8" s="68"/>
      <c r="BD8" s="68"/>
      <c r="BE8" s="68"/>
      <c r="BF8" s="68"/>
      <c r="BG8" s="68"/>
      <c r="BH8" s="68"/>
      <c r="BI8" s="68"/>
      <c r="BJ8" s="69"/>
    </row>
    <row r="9" spans="1:62" s="5" customFormat="1" ht="30.6" customHeight="1">
      <c r="A9" s="44">
        <f>ROW()-6</f>
        <v>3</v>
      </c>
      <c r="B9" s="45"/>
      <c r="C9" s="46"/>
      <c r="D9" s="47" t="s">
        <v>57</v>
      </c>
      <c r="E9" s="48"/>
      <c r="F9" s="48"/>
      <c r="G9" s="48"/>
      <c r="H9" s="48"/>
      <c r="I9" s="49"/>
      <c r="J9" s="50" t="s">
        <v>124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6"/>
      <c r="X9" s="53"/>
      <c r="Y9" s="54"/>
      <c r="Z9" s="54"/>
      <c r="AA9" s="54"/>
      <c r="AB9" s="54"/>
      <c r="AC9" s="54"/>
      <c r="AD9" s="54"/>
      <c r="AE9" s="54"/>
      <c r="AF9" s="55"/>
      <c r="AG9" s="56">
        <v>52</v>
      </c>
      <c r="AH9" s="57"/>
      <c r="AI9" s="58"/>
      <c r="AJ9" s="44" t="s">
        <v>41</v>
      </c>
      <c r="AK9" s="45"/>
      <c r="AL9" s="46"/>
      <c r="AM9" s="59" t="s">
        <v>21</v>
      </c>
      <c r="AN9" s="60"/>
      <c r="AO9" s="61"/>
      <c r="AP9" s="62" t="s">
        <v>228</v>
      </c>
      <c r="AQ9" s="68"/>
      <c r="AR9" s="68"/>
      <c r="AS9" s="68"/>
      <c r="AT9" s="68"/>
      <c r="AU9" s="68"/>
      <c r="AV9" s="68"/>
      <c r="AW9" s="68"/>
      <c r="AX9" s="68"/>
      <c r="AY9" s="68"/>
      <c r="AZ9" s="68"/>
      <c r="BA9" s="68"/>
      <c r="BB9" s="68"/>
      <c r="BC9" s="68"/>
      <c r="BD9" s="68"/>
      <c r="BE9" s="68"/>
      <c r="BF9" s="68"/>
      <c r="BG9" s="68"/>
      <c r="BH9" s="68"/>
      <c r="BI9" s="68"/>
      <c r="BJ9" s="69"/>
    </row>
    <row r="10" spans="1:62" s="5" customFormat="1" ht="30.6" customHeight="1">
      <c r="A10" s="44">
        <f t="shared" ref="A10:A83" si="0">ROW()-6</f>
        <v>4</v>
      </c>
      <c r="B10" s="45"/>
      <c r="C10" s="46"/>
      <c r="D10" s="47" t="s">
        <v>58</v>
      </c>
      <c r="E10" s="48"/>
      <c r="F10" s="48"/>
      <c r="G10" s="48"/>
      <c r="H10" s="48"/>
      <c r="I10" s="49"/>
      <c r="J10" s="50" t="s">
        <v>125</v>
      </c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6"/>
      <c r="X10" s="53"/>
      <c r="Y10" s="54"/>
      <c r="Z10" s="54"/>
      <c r="AA10" s="54"/>
      <c r="AB10" s="54"/>
      <c r="AC10" s="54"/>
      <c r="AD10" s="54"/>
      <c r="AE10" s="54"/>
      <c r="AF10" s="55"/>
      <c r="AG10" s="56">
        <v>49</v>
      </c>
      <c r="AH10" s="57"/>
      <c r="AI10" s="58"/>
      <c r="AJ10" s="44" t="s">
        <v>41</v>
      </c>
      <c r="AK10" s="45"/>
      <c r="AL10" s="46"/>
      <c r="AM10" s="59" t="s">
        <v>21</v>
      </c>
      <c r="AN10" s="60"/>
      <c r="AO10" s="61"/>
      <c r="AP10" s="62" t="s">
        <v>229</v>
      </c>
      <c r="AQ10" s="68"/>
      <c r="AR10" s="68"/>
      <c r="AS10" s="68"/>
      <c r="AT10" s="68"/>
      <c r="AU10" s="68"/>
      <c r="AV10" s="68"/>
      <c r="AW10" s="68"/>
      <c r="AX10" s="68"/>
      <c r="AY10" s="68"/>
      <c r="AZ10" s="68"/>
      <c r="BA10" s="68"/>
      <c r="BB10" s="68"/>
      <c r="BC10" s="68"/>
      <c r="BD10" s="68"/>
      <c r="BE10" s="68"/>
      <c r="BF10" s="68"/>
      <c r="BG10" s="68"/>
      <c r="BH10" s="68"/>
      <c r="BI10" s="68"/>
      <c r="BJ10" s="69"/>
    </row>
    <row r="11" spans="1:62" s="5" customFormat="1" ht="30.6" customHeight="1">
      <c r="A11" s="44">
        <f t="shared" si="0"/>
        <v>5</v>
      </c>
      <c r="B11" s="45"/>
      <c r="C11" s="46"/>
      <c r="D11" s="47" t="s">
        <v>59</v>
      </c>
      <c r="E11" s="48"/>
      <c r="F11" s="48"/>
      <c r="G11" s="48"/>
      <c r="H11" s="48"/>
      <c r="I11" s="49"/>
      <c r="J11" s="50" t="s">
        <v>42</v>
      </c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6"/>
      <c r="X11" s="53"/>
      <c r="Y11" s="54"/>
      <c r="Z11" s="54"/>
      <c r="AA11" s="54"/>
      <c r="AB11" s="54"/>
      <c r="AC11" s="54"/>
      <c r="AD11" s="54"/>
      <c r="AE11" s="54"/>
      <c r="AF11" s="55"/>
      <c r="AG11" s="56">
        <v>72</v>
      </c>
      <c r="AH11" s="57"/>
      <c r="AI11" s="58"/>
      <c r="AJ11" s="44" t="s">
        <v>41</v>
      </c>
      <c r="AK11" s="45"/>
      <c r="AL11" s="46"/>
      <c r="AM11" s="59" t="s">
        <v>21</v>
      </c>
      <c r="AN11" s="60"/>
      <c r="AO11" s="61"/>
      <c r="AP11" s="62" t="s">
        <v>230</v>
      </c>
      <c r="AQ11" s="68"/>
      <c r="AR11" s="68"/>
      <c r="AS11" s="68"/>
      <c r="AT11" s="68"/>
      <c r="AU11" s="68"/>
      <c r="AV11" s="68"/>
      <c r="AW11" s="68"/>
      <c r="AX11" s="68"/>
      <c r="AY11" s="68"/>
      <c r="AZ11" s="68"/>
      <c r="BA11" s="68"/>
      <c r="BB11" s="68"/>
      <c r="BC11" s="68"/>
      <c r="BD11" s="68"/>
      <c r="BE11" s="68"/>
      <c r="BF11" s="68"/>
      <c r="BG11" s="68"/>
      <c r="BH11" s="68"/>
      <c r="BI11" s="68"/>
      <c r="BJ11" s="69"/>
    </row>
    <row r="12" spans="1:62" s="5" customFormat="1" ht="30.6" customHeight="1">
      <c r="A12" s="44">
        <f t="shared" si="0"/>
        <v>6</v>
      </c>
      <c r="B12" s="45"/>
      <c r="C12" s="46"/>
      <c r="D12" s="47" t="s">
        <v>60</v>
      </c>
      <c r="E12" s="48"/>
      <c r="F12" s="48"/>
      <c r="G12" s="48"/>
      <c r="H12" s="48"/>
      <c r="I12" s="49"/>
      <c r="J12" s="50" t="s">
        <v>126</v>
      </c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6"/>
      <c r="X12" s="53"/>
      <c r="Y12" s="54"/>
      <c r="Z12" s="54"/>
      <c r="AA12" s="54"/>
      <c r="AB12" s="54"/>
      <c r="AC12" s="54"/>
      <c r="AD12" s="54"/>
      <c r="AE12" s="54"/>
      <c r="AF12" s="55"/>
      <c r="AG12" s="56">
        <v>42</v>
      </c>
      <c r="AH12" s="57"/>
      <c r="AI12" s="58"/>
      <c r="AJ12" s="44" t="s">
        <v>41</v>
      </c>
      <c r="AK12" s="45"/>
      <c r="AL12" s="46"/>
      <c r="AM12" s="59" t="s">
        <v>21</v>
      </c>
      <c r="AN12" s="60"/>
      <c r="AO12" s="61"/>
      <c r="AP12" s="62" t="s">
        <v>198</v>
      </c>
      <c r="AQ12" s="68"/>
      <c r="AR12" s="68"/>
      <c r="AS12" s="68"/>
      <c r="AT12" s="68"/>
      <c r="AU12" s="68"/>
      <c r="AV12" s="68"/>
      <c r="AW12" s="68"/>
      <c r="AX12" s="68"/>
      <c r="AY12" s="68"/>
      <c r="AZ12" s="68"/>
      <c r="BA12" s="68"/>
      <c r="BB12" s="68"/>
      <c r="BC12" s="68"/>
      <c r="BD12" s="68"/>
      <c r="BE12" s="68"/>
      <c r="BF12" s="68"/>
      <c r="BG12" s="68"/>
      <c r="BH12" s="68"/>
      <c r="BI12" s="68"/>
      <c r="BJ12" s="69"/>
    </row>
    <row r="13" spans="1:62" s="5" customFormat="1" ht="30.6" customHeight="1">
      <c r="A13" s="44">
        <f t="shared" si="0"/>
        <v>7</v>
      </c>
      <c r="B13" s="45"/>
      <c r="C13" s="46"/>
      <c r="D13" s="47" t="s">
        <v>61</v>
      </c>
      <c r="E13" s="48"/>
      <c r="F13" s="48"/>
      <c r="G13" s="48"/>
      <c r="H13" s="48"/>
      <c r="I13" s="49"/>
      <c r="J13" s="50" t="s">
        <v>127</v>
      </c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6"/>
      <c r="X13" s="53"/>
      <c r="Y13" s="54"/>
      <c r="Z13" s="54"/>
      <c r="AA13" s="54"/>
      <c r="AB13" s="54"/>
      <c r="AC13" s="54"/>
      <c r="AD13" s="54"/>
      <c r="AE13" s="54"/>
      <c r="AF13" s="55"/>
      <c r="AG13" s="56">
        <v>19</v>
      </c>
      <c r="AH13" s="57"/>
      <c r="AI13" s="58"/>
      <c r="AJ13" s="59" t="s">
        <v>21</v>
      </c>
      <c r="AK13" s="60"/>
      <c r="AL13" s="61"/>
      <c r="AM13" s="44" t="s">
        <v>41</v>
      </c>
      <c r="AN13" s="45"/>
      <c r="AO13" s="46"/>
      <c r="AP13" s="62" t="s">
        <v>190</v>
      </c>
      <c r="AQ13" s="68"/>
      <c r="AR13" s="68"/>
      <c r="AS13" s="68"/>
      <c r="AT13" s="68"/>
      <c r="AU13" s="68"/>
      <c r="AV13" s="68"/>
      <c r="AW13" s="68"/>
      <c r="AX13" s="68"/>
      <c r="AY13" s="68"/>
      <c r="AZ13" s="68"/>
      <c r="BA13" s="68"/>
      <c r="BB13" s="68"/>
      <c r="BC13" s="68"/>
      <c r="BD13" s="68"/>
      <c r="BE13" s="68"/>
      <c r="BF13" s="68"/>
      <c r="BG13" s="68"/>
      <c r="BH13" s="68"/>
      <c r="BI13" s="68"/>
      <c r="BJ13" s="69"/>
    </row>
    <row r="14" spans="1:62" s="5" customFormat="1" ht="30.6" customHeight="1">
      <c r="A14" s="44">
        <f t="shared" si="0"/>
        <v>8</v>
      </c>
      <c r="B14" s="45"/>
      <c r="C14" s="46"/>
      <c r="D14" s="47" t="s">
        <v>62</v>
      </c>
      <c r="E14" s="48"/>
      <c r="F14" s="48"/>
      <c r="G14" s="48"/>
      <c r="H14" s="48"/>
      <c r="I14" s="49"/>
      <c r="J14" s="50" t="s">
        <v>128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6"/>
      <c r="X14" s="53"/>
      <c r="Y14" s="54"/>
      <c r="Z14" s="54"/>
      <c r="AA14" s="54"/>
      <c r="AB14" s="54"/>
      <c r="AC14" s="54"/>
      <c r="AD14" s="54"/>
      <c r="AE14" s="54"/>
      <c r="AF14" s="55"/>
      <c r="AG14" s="56">
        <v>15</v>
      </c>
      <c r="AH14" s="57"/>
      <c r="AI14" s="58"/>
      <c r="AJ14" s="59" t="s">
        <v>21</v>
      </c>
      <c r="AK14" s="60"/>
      <c r="AL14" s="61"/>
      <c r="AM14" s="44" t="s">
        <v>41</v>
      </c>
      <c r="AN14" s="45"/>
      <c r="AO14" s="46"/>
      <c r="AP14" s="62" t="s">
        <v>191</v>
      </c>
      <c r="AQ14" s="68"/>
      <c r="AR14" s="68"/>
      <c r="AS14" s="68"/>
      <c r="AT14" s="68"/>
      <c r="AU14" s="68"/>
      <c r="AV14" s="68"/>
      <c r="AW14" s="68"/>
      <c r="AX14" s="68"/>
      <c r="AY14" s="68"/>
      <c r="AZ14" s="68"/>
      <c r="BA14" s="68"/>
      <c r="BB14" s="68"/>
      <c r="BC14" s="68"/>
      <c r="BD14" s="68"/>
      <c r="BE14" s="68"/>
      <c r="BF14" s="68"/>
      <c r="BG14" s="68"/>
      <c r="BH14" s="68"/>
      <c r="BI14" s="68"/>
      <c r="BJ14" s="69"/>
    </row>
    <row r="15" spans="1:62" s="5" customFormat="1" ht="30.6" customHeight="1">
      <c r="A15" s="44">
        <f t="shared" si="0"/>
        <v>9</v>
      </c>
      <c r="B15" s="45"/>
      <c r="C15" s="46"/>
      <c r="D15" s="47" t="s">
        <v>63</v>
      </c>
      <c r="E15" s="48"/>
      <c r="F15" s="48"/>
      <c r="G15" s="48"/>
      <c r="H15" s="48"/>
      <c r="I15" s="49"/>
      <c r="J15" s="50" t="s">
        <v>237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6"/>
      <c r="X15" s="53"/>
      <c r="Y15" s="54"/>
      <c r="Z15" s="54"/>
      <c r="AA15" s="54"/>
      <c r="AB15" s="54"/>
      <c r="AC15" s="54"/>
      <c r="AD15" s="54"/>
      <c r="AE15" s="54"/>
      <c r="AF15" s="55"/>
      <c r="AG15" s="56">
        <v>7</v>
      </c>
      <c r="AH15" s="57"/>
      <c r="AI15" s="58"/>
      <c r="AJ15" s="59" t="s">
        <v>21</v>
      </c>
      <c r="AK15" s="60"/>
      <c r="AL15" s="61"/>
      <c r="AM15" s="44" t="s">
        <v>41</v>
      </c>
      <c r="AN15" s="45"/>
      <c r="AO15" s="46"/>
      <c r="AP15" s="62" t="s">
        <v>192</v>
      </c>
      <c r="AQ15" s="68"/>
      <c r="AR15" s="68"/>
      <c r="AS15" s="68"/>
      <c r="AT15" s="68"/>
      <c r="AU15" s="68"/>
      <c r="AV15" s="68"/>
      <c r="AW15" s="68"/>
      <c r="AX15" s="68"/>
      <c r="AY15" s="68"/>
      <c r="AZ15" s="68"/>
      <c r="BA15" s="68"/>
      <c r="BB15" s="68"/>
      <c r="BC15" s="68"/>
      <c r="BD15" s="68"/>
      <c r="BE15" s="68"/>
      <c r="BF15" s="68"/>
      <c r="BG15" s="68"/>
      <c r="BH15" s="68"/>
      <c r="BI15" s="68"/>
      <c r="BJ15" s="69"/>
    </row>
    <row r="16" spans="1:62" s="5" customFormat="1" ht="30.6" customHeight="1">
      <c r="A16" s="44">
        <f t="shared" si="0"/>
        <v>10</v>
      </c>
      <c r="B16" s="45"/>
      <c r="C16" s="46"/>
      <c r="D16" s="47" t="s">
        <v>64</v>
      </c>
      <c r="E16" s="48"/>
      <c r="F16" s="48"/>
      <c r="G16" s="48"/>
      <c r="H16" s="48"/>
      <c r="I16" s="49"/>
      <c r="J16" s="50" t="s">
        <v>129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6"/>
      <c r="X16" s="53"/>
      <c r="Y16" s="54"/>
      <c r="Z16" s="54"/>
      <c r="AA16" s="54"/>
      <c r="AB16" s="54"/>
      <c r="AC16" s="54"/>
      <c r="AD16" s="54"/>
      <c r="AE16" s="54"/>
      <c r="AF16" s="55"/>
      <c r="AG16" s="56">
        <v>32</v>
      </c>
      <c r="AH16" s="57"/>
      <c r="AI16" s="58"/>
      <c r="AJ16" s="44" t="s">
        <v>41</v>
      </c>
      <c r="AK16" s="45"/>
      <c r="AL16" s="46"/>
      <c r="AM16" s="59" t="s">
        <v>21</v>
      </c>
      <c r="AN16" s="60"/>
      <c r="AO16" s="61"/>
      <c r="AP16" s="62" t="s">
        <v>111</v>
      </c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9"/>
    </row>
    <row r="17" spans="1:63" s="5" customFormat="1" ht="30.6" customHeight="1">
      <c r="A17" s="44">
        <f t="shared" si="0"/>
        <v>11</v>
      </c>
      <c r="B17" s="45"/>
      <c r="C17" s="46"/>
      <c r="D17" s="47" t="s">
        <v>65</v>
      </c>
      <c r="E17" s="48"/>
      <c r="F17" s="48"/>
      <c r="G17" s="48"/>
      <c r="H17" s="48"/>
      <c r="I17" s="49"/>
      <c r="J17" s="50" t="s">
        <v>130</v>
      </c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2"/>
      <c r="X17" s="53"/>
      <c r="Y17" s="54"/>
      <c r="Z17" s="54"/>
      <c r="AA17" s="54"/>
      <c r="AB17" s="54"/>
      <c r="AC17" s="54"/>
      <c r="AD17" s="54"/>
      <c r="AE17" s="54"/>
      <c r="AF17" s="55"/>
      <c r="AG17" s="56">
        <v>32</v>
      </c>
      <c r="AH17" s="57"/>
      <c r="AI17" s="58"/>
      <c r="AJ17" s="44" t="s">
        <v>41</v>
      </c>
      <c r="AK17" s="45"/>
      <c r="AL17" s="46"/>
      <c r="AM17" s="59" t="s">
        <v>21</v>
      </c>
      <c r="AN17" s="60"/>
      <c r="AO17" s="61"/>
      <c r="AP17" s="62" t="s">
        <v>112</v>
      </c>
      <c r="AQ17" s="68"/>
      <c r="AR17" s="68"/>
      <c r="AS17" s="68"/>
      <c r="AT17" s="68"/>
      <c r="AU17" s="68"/>
      <c r="AV17" s="68"/>
      <c r="AW17" s="68"/>
      <c r="AX17" s="68"/>
      <c r="AY17" s="68"/>
      <c r="AZ17" s="68"/>
      <c r="BA17" s="68"/>
      <c r="BB17" s="68"/>
      <c r="BC17" s="68"/>
      <c r="BD17" s="68"/>
      <c r="BE17" s="68"/>
      <c r="BF17" s="68"/>
      <c r="BG17" s="68"/>
      <c r="BH17" s="68"/>
      <c r="BI17" s="68"/>
      <c r="BJ17" s="69"/>
    </row>
    <row r="18" spans="1:63" s="5" customFormat="1" ht="30.6" customHeight="1">
      <c r="A18" s="44">
        <f t="shared" si="0"/>
        <v>12</v>
      </c>
      <c r="B18" s="45"/>
      <c r="C18" s="46"/>
      <c r="D18" s="47" t="s">
        <v>66</v>
      </c>
      <c r="E18" s="48"/>
      <c r="F18" s="48"/>
      <c r="G18" s="48"/>
      <c r="H18" s="48"/>
      <c r="I18" s="49"/>
      <c r="J18" s="50" t="s">
        <v>131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6"/>
      <c r="X18" s="53"/>
      <c r="Y18" s="54"/>
      <c r="Z18" s="54"/>
      <c r="AA18" s="54"/>
      <c r="AB18" s="54"/>
      <c r="AC18" s="54"/>
      <c r="AD18" s="54"/>
      <c r="AE18" s="54"/>
      <c r="AF18" s="55"/>
      <c r="AG18" s="56">
        <v>37</v>
      </c>
      <c r="AH18" s="57"/>
      <c r="AI18" s="58"/>
      <c r="AJ18" s="44" t="s">
        <v>41</v>
      </c>
      <c r="AK18" s="45"/>
      <c r="AL18" s="46"/>
      <c r="AM18" s="59" t="s">
        <v>21</v>
      </c>
      <c r="AN18" s="60"/>
      <c r="AO18" s="61"/>
      <c r="AP18" s="62" t="s">
        <v>113</v>
      </c>
      <c r="AQ18" s="68"/>
      <c r="AR18" s="68"/>
      <c r="AS18" s="68"/>
      <c r="AT18" s="68"/>
      <c r="AU18" s="68"/>
      <c r="AV18" s="68"/>
      <c r="AW18" s="68"/>
      <c r="AX18" s="68"/>
      <c r="AY18" s="68"/>
      <c r="AZ18" s="68"/>
      <c r="BA18" s="68"/>
      <c r="BB18" s="68"/>
      <c r="BC18" s="68"/>
      <c r="BD18" s="68"/>
      <c r="BE18" s="68"/>
      <c r="BF18" s="68"/>
      <c r="BG18" s="68"/>
      <c r="BH18" s="68"/>
      <c r="BI18" s="68"/>
      <c r="BJ18" s="69"/>
    </row>
    <row r="19" spans="1:63" s="5" customFormat="1" ht="30.6" customHeight="1">
      <c r="A19" s="44">
        <f t="shared" si="0"/>
        <v>13</v>
      </c>
      <c r="B19" s="45"/>
      <c r="C19" s="46"/>
      <c r="D19" s="47" t="s">
        <v>67</v>
      </c>
      <c r="E19" s="48"/>
      <c r="F19" s="48"/>
      <c r="G19" s="48"/>
      <c r="H19" s="48"/>
      <c r="I19" s="49"/>
      <c r="J19" s="50" t="s">
        <v>132</v>
      </c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6"/>
      <c r="X19" s="53"/>
      <c r="Y19" s="54"/>
      <c r="Z19" s="54"/>
      <c r="AA19" s="54"/>
      <c r="AB19" s="54"/>
      <c r="AC19" s="54"/>
      <c r="AD19" s="54"/>
      <c r="AE19" s="54"/>
      <c r="AF19" s="55"/>
      <c r="AG19" s="56">
        <v>8</v>
      </c>
      <c r="AH19" s="57"/>
      <c r="AI19" s="58"/>
      <c r="AJ19" s="44" t="s">
        <v>41</v>
      </c>
      <c r="AK19" s="45"/>
      <c r="AL19" s="46"/>
      <c r="AM19" s="59" t="s">
        <v>21</v>
      </c>
      <c r="AN19" s="60"/>
      <c r="AO19" s="61"/>
      <c r="AP19" s="62" t="s">
        <v>114</v>
      </c>
      <c r="AQ19" s="68"/>
      <c r="AR19" s="68"/>
      <c r="AS19" s="68"/>
      <c r="AT19" s="68"/>
      <c r="AU19" s="68"/>
      <c r="AV19" s="68"/>
      <c r="AW19" s="68"/>
      <c r="AX19" s="68"/>
      <c r="AY19" s="68"/>
      <c r="AZ19" s="68"/>
      <c r="BA19" s="68"/>
      <c r="BB19" s="68"/>
      <c r="BC19" s="68"/>
      <c r="BD19" s="68"/>
      <c r="BE19" s="68"/>
      <c r="BF19" s="68"/>
      <c r="BG19" s="68"/>
      <c r="BH19" s="68"/>
      <c r="BI19" s="68"/>
      <c r="BJ19" s="69"/>
    </row>
    <row r="20" spans="1:63" s="5" customFormat="1" ht="30.6" customHeight="1">
      <c r="A20" s="44">
        <f t="shared" si="0"/>
        <v>14</v>
      </c>
      <c r="B20" s="45"/>
      <c r="C20" s="46"/>
      <c r="D20" s="47" t="s">
        <v>68</v>
      </c>
      <c r="E20" s="48"/>
      <c r="F20" s="48"/>
      <c r="G20" s="48"/>
      <c r="H20" s="48"/>
      <c r="I20" s="49"/>
      <c r="J20" s="50" t="s">
        <v>133</v>
      </c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6"/>
      <c r="X20" s="53"/>
      <c r="Y20" s="54"/>
      <c r="Z20" s="54"/>
      <c r="AA20" s="54"/>
      <c r="AB20" s="54"/>
      <c r="AC20" s="54"/>
      <c r="AD20" s="54"/>
      <c r="AE20" s="54"/>
      <c r="AF20" s="55"/>
      <c r="AG20" s="56">
        <v>6</v>
      </c>
      <c r="AH20" s="57"/>
      <c r="AI20" s="58"/>
      <c r="AJ20" s="44" t="s">
        <v>41</v>
      </c>
      <c r="AK20" s="45"/>
      <c r="AL20" s="46"/>
      <c r="AM20" s="59" t="s">
        <v>21</v>
      </c>
      <c r="AN20" s="60"/>
      <c r="AO20" s="61"/>
      <c r="AP20" s="62" t="s">
        <v>115</v>
      </c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9"/>
    </row>
    <row r="21" spans="1:63" s="5" customFormat="1" ht="30.6" customHeight="1">
      <c r="A21" s="44">
        <f t="shared" si="0"/>
        <v>15</v>
      </c>
      <c r="B21" s="45"/>
      <c r="C21" s="46"/>
      <c r="D21" s="47" t="s">
        <v>69</v>
      </c>
      <c r="E21" s="48"/>
      <c r="F21" s="48"/>
      <c r="G21" s="48"/>
      <c r="H21" s="48"/>
      <c r="I21" s="49"/>
      <c r="J21" s="50" t="s">
        <v>134</v>
      </c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6"/>
      <c r="X21" s="53"/>
      <c r="Y21" s="54"/>
      <c r="Z21" s="54"/>
      <c r="AA21" s="54"/>
      <c r="AB21" s="54"/>
      <c r="AC21" s="54"/>
      <c r="AD21" s="54"/>
      <c r="AE21" s="54"/>
      <c r="AF21" s="55"/>
      <c r="AG21" s="56">
        <v>20</v>
      </c>
      <c r="AH21" s="57"/>
      <c r="AI21" s="58"/>
      <c r="AJ21" s="44" t="s">
        <v>41</v>
      </c>
      <c r="AK21" s="45"/>
      <c r="AL21" s="46"/>
      <c r="AM21" s="59" t="s">
        <v>21</v>
      </c>
      <c r="AN21" s="60"/>
      <c r="AO21" s="61"/>
      <c r="AP21" s="62" t="s">
        <v>115</v>
      </c>
      <c r="AQ21" s="68"/>
      <c r="AR21" s="68"/>
      <c r="AS21" s="68"/>
      <c r="AT21" s="68"/>
      <c r="AU21" s="68"/>
      <c r="AV21" s="68"/>
      <c r="AW21" s="68"/>
      <c r="AX21" s="68"/>
      <c r="AY21" s="68"/>
      <c r="AZ21" s="68"/>
      <c r="BA21" s="68"/>
      <c r="BB21" s="68"/>
      <c r="BC21" s="68"/>
      <c r="BD21" s="68"/>
      <c r="BE21" s="68"/>
      <c r="BF21" s="68"/>
      <c r="BG21" s="68"/>
      <c r="BH21" s="68"/>
      <c r="BI21" s="68"/>
      <c r="BJ21" s="69"/>
    </row>
    <row r="22" spans="1:63" s="5" customFormat="1" ht="30.6" customHeight="1">
      <c r="A22" s="44">
        <f t="shared" si="0"/>
        <v>16</v>
      </c>
      <c r="B22" s="45"/>
      <c r="C22" s="46"/>
      <c r="D22" s="47" t="s">
        <v>70</v>
      </c>
      <c r="E22" s="48"/>
      <c r="F22" s="48"/>
      <c r="G22" s="48"/>
      <c r="H22" s="48"/>
      <c r="I22" s="49"/>
      <c r="J22" s="50" t="s">
        <v>135</v>
      </c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6"/>
      <c r="X22" s="53"/>
      <c r="Y22" s="54"/>
      <c r="Z22" s="54"/>
      <c r="AA22" s="54"/>
      <c r="AB22" s="54"/>
      <c r="AC22" s="54"/>
      <c r="AD22" s="54"/>
      <c r="AE22" s="54"/>
      <c r="AF22" s="55"/>
      <c r="AG22" s="56">
        <v>18</v>
      </c>
      <c r="AH22" s="57"/>
      <c r="AI22" s="58"/>
      <c r="AJ22" s="44" t="s">
        <v>41</v>
      </c>
      <c r="AK22" s="45"/>
      <c r="AL22" s="46"/>
      <c r="AM22" s="59" t="s">
        <v>21</v>
      </c>
      <c r="AN22" s="60"/>
      <c r="AO22" s="61"/>
      <c r="AP22" s="62" t="s">
        <v>115</v>
      </c>
      <c r="AQ22" s="68"/>
      <c r="AR22" s="68"/>
      <c r="AS22" s="68"/>
      <c r="AT22" s="68"/>
      <c r="AU22" s="68"/>
      <c r="AV22" s="68"/>
      <c r="AW22" s="68"/>
      <c r="AX22" s="68"/>
      <c r="AY22" s="68"/>
      <c r="AZ22" s="68"/>
      <c r="BA22" s="68"/>
      <c r="BB22" s="68"/>
      <c r="BC22" s="68"/>
      <c r="BD22" s="68"/>
      <c r="BE22" s="68"/>
      <c r="BF22" s="68"/>
      <c r="BG22" s="68"/>
      <c r="BH22" s="68"/>
      <c r="BI22" s="68"/>
      <c r="BJ22" s="69"/>
    </row>
    <row r="23" spans="1:63" s="5" customFormat="1" ht="30.6" customHeight="1">
      <c r="A23" s="44">
        <f t="shared" si="0"/>
        <v>17</v>
      </c>
      <c r="B23" s="45"/>
      <c r="C23" s="46"/>
      <c r="D23" s="47" t="s">
        <v>71</v>
      </c>
      <c r="E23" s="48"/>
      <c r="F23" s="48"/>
      <c r="G23" s="48"/>
      <c r="H23" s="48"/>
      <c r="I23" s="49"/>
      <c r="J23" s="50" t="s">
        <v>136</v>
      </c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6"/>
      <c r="X23" s="53"/>
      <c r="Y23" s="54"/>
      <c r="Z23" s="54"/>
      <c r="AA23" s="54"/>
      <c r="AB23" s="54"/>
      <c r="AC23" s="54"/>
      <c r="AD23" s="54"/>
      <c r="AE23" s="54"/>
      <c r="AF23" s="55"/>
      <c r="AG23" s="56">
        <v>19</v>
      </c>
      <c r="AH23" s="57"/>
      <c r="AI23" s="58"/>
      <c r="AJ23" s="44" t="s">
        <v>41</v>
      </c>
      <c r="AK23" s="45"/>
      <c r="AL23" s="46"/>
      <c r="AM23" s="59" t="s">
        <v>21</v>
      </c>
      <c r="AN23" s="60"/>
      <c r="AO23" s="61"/>
      <c r="AP23" s="62" t="s">
        <v>116</v>
      </c>
      <c r="AQ23" s="68"/>
      <c r="AR23" s="68"/>
      <c r="AS23" s="68"/>
      <c r="AT23" s="68"/>
      <c r="AU23" s="68"/>
      <c r="AV23" s="68"/>
      <c r="AW23" s="68"/>
      <c r="AX23" s="68"/>
      <c r="AY23" s="68"/>
      <c r="AZ23" s="68"/>
      <c r="BA23" s="68"/>
      <c r="BB23" s="68"/>
      <c r="BC23" s="68"/>
      <c r="BD23" s="68"/>
      <c r="BE23" s="68"/>
      <c r="BF23" s="68"/>
      <c r="BG23" s="68"/>
      <c r="BH23" s="68"/>
      <c r="BI23" s="68"/>
      <c r="BJ23" s="69"/>
    </row>
    <row r="24" spans="1:63" s="5" customFormat="1" ht="30.6" customHeight="1">
      <c r="A24" s="44">
        <f t="shared" si="0"/>
        <v>18</v>
      </c>
      <c r="B24" s="45"/>
      <c r="C24" s="46"/>
      <c r="D24" s="47" t="s">
        <v>73</v>
      </c>
      <c r="E24" s="48"/>
      <c r="F24" s="48"/>
      <c r="G24" s="48"/>
      <c r="H24" s="48"/>
      <c r="I24" s="49"/>
      <c r="J24" s="50" t="s">
        <v>137</v>
      </c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6"/>
      <c r="X24" s="53"/>
      <c r="Y24" s="54"/>
      <c r="Z24" s="54"/>
      <c r="AA24" s="54"/>
      <c r="AB24" s="54"/>
      <c r="AC24" s="54"/>
      <c r="AD24" s="54"/>
      <c r="AE24" s="54"/>
      <c r="AF24" s="55"/>
      <c r="AG24" s="56">
        <v>28</v>
      </c>
      <c r="AH24" s="57"/>
      <c r="AI24" s="58"/>
      <c r="AJ24" s="44" t="s">
        <v>41</v>
      </c>
      <c r="AK24" s="45"/>
      <c r="AL24" s="46"/>
      <c r="AM24" s="59" t="s">
        <v>21</v>
      </c>
      <c r="AN24" s="60"/>
      <c r="AO24" s="61"/>
      <c r="AP24" s="62" t="s">
        <v>116</v>
      </c>
      <c r="AQ24" s="68"/>
      <c r="AR24" s="68"/>
      <c r="AS24" s="68"/>
      <c r="AT24" s="68"/>
      <c r="AU24" s="68"/>
      <c r="AV24" s="68"/>
      <c r="AW24" s="68"/>
      <c r="AX24" s="68"/>
      <c r="AY24" s="68"/>
      <c r="AZ24" s="68"/>
      <c r="BA24" s="68"/>
      <c r="BB24" s="68"/>
      <c r="BC24" s="68"/>
      <c r="BD24" s="68"/>
      <c r="BE24" s="68"/>
      <c r="BF24" s="68"/>
      <c r="BG24" s="68"/>
      <c r="BH24" s="68"/>
      <c r="BI24" s="68"/>
      <c r="BJ24" s="69"/>
    </row>
    <row r="25" spans="1:63" s="5" customFormat="1" ht="30.6" customHeight="1">
      <c r="A25" s="44">
        <f t="shared" si="0"/>
        <v>19</v>
      </c>
      <c r="B25" s="45"/>
      <c r="C25" s="46"/>
      <c r="D25" s="47" t="s">
        <v>74</v>
      </c>
      <c r="E25" s="48"/>
      <c r="F25" s="48"/>
      <c r="G25" s="48"/>
      <c r="H25" s="48"/>
      <c r="I25" s="49"/>
      <c r="J25" s="50" t="s">
        <v>138</v>
      </c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6"/>
      <c r="X25" s="53"/>
      <c r="Y25" s="54"/>
      <c r="Z25" s="54"/>
      <c r="AA25" s="54"/>
      <c r="AB25" s="54"/>
      <c r="AC25" s="54"/>
      <c r="AD25" s="54"/>
      <c r="AE25" s="54"/>
      <c r="AF25" s="55"/>
      <c r="AG25" s="56">
        <v>20</v>
      </c>
      <c r="AH25" s="57"/>
      <c r="AI25" s="58"/>
      <c r="AJ25" s="44" t="s">
        <v>41</v>
      </c>
      <c r="AK25" s="45"/>
      <c r="AL25" s="46"/>
      <c r="AM25" s="59" t="s">
        <v>21</v>
      </c>
      <c r="AN25" s="60"/>
      <c r="AO25" s="61"/>
      <c r="AP25" s="62" t="s">
        <v>116</v>
      </c>
      <c r="AQ25" s="68"/>
      <c r="AR25" s="68"/>
      <c r="AS25" s="68"/>
      <c r="AT25" s="68"/>
      <c r="AU25" s="68"/>
      <c r="AV25" s="68"/>
      <c r="AW25" s="68"/>
      <c r="AX25" s="68"/>
      <c r="AY25" s="68"/>
      <c r="AZ25" s="68"/>
      <c r="BA25" s="68"/>
      <c r="BB25" s="68"/>
      <c r="BC25" s="68"/>
      <c r="BD25" s="68"/>
      <c r="BE25" s="68"/>
      <c r="BF25" s="68"/>
      <c r="BG25" s="68"/>
      <c r="BH25" s="68"/>
      <c r="BI25" s="68"/>
      <c r="BJ25" s="69"/>
    </row>
    <row r="26" spans="1:63" s="5" customFormat="1" ht="30.6" customHeight="1">
      <c r="A26" s="44">
        <f t="shared" si="0"/>
        <v>20</v>
      </c>
      <c r="B26" s="45"/>
      <c r="C26" s="46"/>
      <c r="D26" s="47" t="s">
        <v>72</v>
      </c>
      <c r="E26" s="48"/>
      <c r="F26" s="48"/>
      <c r="G26" s="48"/>
      <c r="H26" s="48"/>
      <c r="I26" s="49"/>
      <c r="J26" s="50" t="s">
        <v>139</v>
      </c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6"/>
      <c r="X26" s="53"/>
      <c r="Y26" s="54"/>
      <c r="Z26" s="54"/>
      <c r="AA26" s="54"/>
      <c r="AB26" s="54"/>
      <c r="AC26" s="54"/>
      <c r="AD26" s="54"/>
      <c r="AE26" s="54"/>
      <c r="AF26" s="55"/>
      <c r="AG26" s="56">
        <v>21</v>
      </c>
      <c r="AH26" s="57"/>
      <c r="AI26" s="58"/>
      <c r="AJ26" s="44" t="s">
        <v>41</v>
      </c>
      <c r="AK26" s="45"/>
      <c r="AL26" s="46"/>
      <c r="AM26" s="59" t="s">
        <v>21</v>
      </c>
      <c r="AN26" s="60"/>
      <c r="AO26" s="61"/>
      <c r="AP26" s="62" t="s">
        <v>116</v>
      </c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9"/>
    </row>
    <row r="27" spans="1:63" s="5" customFormat="1" ht="30.6" customHeight="1">
      <c r="A27" s="44">
        <f t="shared" si="0"/>
        <v>21</v>
      </c>
      <c r="B27" s="45"/>
      <c r="C27" s="46"/>
      <c r="D27" s="47" t="s">
        <v>236</v>
      </c>
      <c r="E27" s="48"/>
      <c r="F27" s="48"/>
      <c r="G27" s="48"/>
      <c r="H27" s="48"/>
      <c r="I27" s="49"/>
      <c r="J27" s="50" t="s">
        <v>140</v>
      </c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6"/>
      <c r="X27" s="53"/>
      <c r="Y27" s="54"/>
      <c r="Z27" s="54"/>
      <c r="AA27" s="54"/>
      <c r="AB27" s="54"/>
      <c r="AC27" s="54"/>
      <c r="AD27" s="54"/>
      <c r="AE27" s="54"/>
      <c r="AF27" s="55"/>
      <c r="AG27" s="56">
        <v>66</v>
      </c>
      <c r="AH27" s="57"/>
      <c r="AI27" s="58"/>
      <c r="AJ27" s="44" t="s">
        <v>41</v>
      </c>
      <c r="AK27" s="45"/>
      <c r="AL27" s="46"/>
      <c r="AM27" s="59" t="s">
        <v>21</v>
      </c>
      <c r="AN27" s="60"/>
      <c r="AO27" s="61"/>
      <c r="AP27" s="67" t="s">
        <v>110</v>
      </c>
      <c r="AQ27" s="63"/>
      <c r="AR27" s="63"/>
      <c r="AS27" s="63"/>
      <c r="AT27" s="63"/>
      <c r="AU27" s="63"/>
      <c r="AV27" s="63"/>
      <c r="AW27" s="63"/>
      <c r="AX27" s="63"/>
      <c r="AY27" s="63"/>
      <c r="AZ27" s="63"/>
      <c r="BA27" s="63"/>
      <c r="BB27" s="63"/>
      <c r="BC27" s="63"/>
      <c r="BD27" s="63"/>
      <c r="BE27" s="63"/>
      <c r="BF27" s="63"/>
      <c r="BG27" s="63"/>
      <c r="BH27" s="63"/>
      <c r="BI27" s="63"/>
      <c r="BJ27" s="64"/>
    </row>
    <row r="28" spans="1:63" s="5" customFormat="1" ht="30.6" customHeight="1">
      <c r="A28" s="44">
        <f t="shared" si="0"/>
        <v>22</v>
      </c>
      <c r="B28" s="45"/>
      <c r="C28" s="46"/>
      <c r="D28" s="47" t="s">
        <v>22</v>
      </c>
      <c r="E28" s="48"/>
      <c r="F28" s="48"/>
      <c r="G28" s="48"/>
      <c r="H28" s="48"/>
      <c r="I28" s="49"/>
      <c r="J28" s="50" t="s">
        <v>23</v>
      </c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6"/>
      <c r="X28" s="53"/>
      <c r="Y28" s="54"/>
      <c r="Z28" s="54"/>
      <c r="AA28" s="54"/>
      <c r="AB28" s="54"/>
      <c r="AC28" s="54"/>
      <c r="AD28" s="54"/>
      <c r="AE28" s="54"/>
      <c r="AF28" s="55"/>
      <c r="AG28" s="56">
        <v>58</v>
      </c>
      <c r="AH28" s="57"/>
      <c r="AI28" s="58"/>
      <c r="AJ28" s="59" t="s">
        <v>21</v>
      </c>
      <c r="AK28" s="60"/>
      <c r="AL28" s="61"/>
      <c r="AM28" s="44" t="s">
        <v>41</v>
      </c>
      <c r="AN28" s="45"/>
      <c r="AO28" s="46"/>
      <c r="AP28" s="67" t="s">
        <v>193</v>
      </c>
      <c r="AQ28" s="63"/>
      <c r="AR28" s="63"/>
      <c r="AS28" s="63"/>
      <c r="AT28" s="63"/>
      <c r="AU28" s="63"/>
      <c r="AV28" s="63"/>
      <c r="AW28" s="63"/>
      <c r="AX28" s="63"/>
      <c r="AY28" s="63"/>
      <c r="AZ28" s="63"/>
      <c r="BA28" s="63"/>
      <c r="BB28" s="63"/>
      <c r="BC28" s="63"/>
      <c r="BD28" s="63"/>
      <c r="BE28" s="63"/>
      <c r="BF28" s="63"/>
      <c r="BG28" s="63"/>
      <c r="BH28" s="63"/>
      <c r="BI28" s="63"/>
      <c r="BJ28" s="64"/>
      <c r="BK28" s="22"/>
    </row>
    <row r="29" spans="1:63" s="5" customFormat="1" ht="30.6" customHeight="1">
      <c r="A29" s="44">
        <f t="shared" si="0"/>
        <v>23</v>
      </c>
      <c r="B29" s="45"/>
      <c r="C29" s="46"/>
      <c r="D29" s="47" t="s">
        <v>259</v>
      </c>
      <c r="E29" s="48"/>
      <c r="F29" s="48"/>
      <c r="G29" s="48"/>
      <c r="H29" s="48"/>
      <c r="I29" s="49"/>
      <c r="J29" s="50" t="s">
        <v>260</v>
      </c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6"/>
      <c r="X29" s="53"/>
      <c r="Y29" s="54"/>
      <c r="Z29" s="54"/>
      <c r="AA29" s="54"/>
      <c r="AB29" s="54"/>
      <c r="AC29" s="54"/>
      <c r="AD29" s="54"/>
      <c r="AE29" s="54"/>
      <c r="AF29" s="55"/>
      <c r="AG29" s="56">
        <v>58</v>
      </c>
      <c r="AH29" s="57"/>
      <c r="AI29" s="58"/>
      <c r="AJ29" s="44" t="s">
        <v>41</v>
      </c>
      <c r="AK29" s="45"/>
      <c r="AL29" s="46"/>
      <c r="AM29" s="59" t="s">
        <v>21</v>
      </c>
      <c r="AN29" s="60"/>
      <c r="AO29" s="61"/>
      <c r="AP29" s="67" t="s">
        <v>261</v>
      </c>
      <c r="AQ29" s="63"/>
      <c r="AR29" s="63"/>
      <c r="AS29" s="63"/>
      <c r="AT29" s="63"/>
      <c r="AU29" s="63"/>
      <c r="AV29" s="63"/>
      <c r="AW29" s="63"/>
      <c r="AX29" s="63"/>
      <c r="AY29" s="63"/>
      <c r="AZ29" s="63"/>
      <c r="BA29" s="63"/>
      <c r="BB29" s="63"/>
      <c r="BC29" s="63"/>
      <c r="BD29" s="63"/>
      <c r="BE29" s="63"/>
      <c r="BF29" s="63"/>
      <c r="BG29" s="63"/>
      <c r="BH29" s="63"/>
      <c r="BI29" s="63"/>
      <c r="BJ29" s="64"/>
      <c r="BK29" s="22"/>
    </row>
    <row r="30" spans="1:63" s="5" customFormat="1" ht="30.6" customHeight="1">
      <c r="A30" s="44">
        <f t="shared" si="0"/>
        <v>24</v>
      </c>
      <c r="B30" s="45"/>
      <c r="C30" s="46"/>
      <c r="D30" s="47" t="s">
        <v>258</v>
      </c>
      <c r="E30" s="48"/>
      <c r="F30" s="48"/>
      <c r="G30" s="48"/>
      <c r="H30" s="48"/>
      <c r="I30" s="49"/>
      <c r="J30" s="50" t="s">
        <v>277</v>
      </c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6"/>
      <c r="X30" s="53"/>
      <c r="Y30" s="54"/>
      <c r="Z30" s="54"/>
      <c r="AA30" s="54"/>
      <c r="AB30" s="54"/>
      <c r="AC30" s="54"/>
      <c r="AD30" s="54"/>
      <c r="AE30" s="54"/>
      <c r="AF30" s="55"/>
      <c r="AG30" s="56">
        <v>25</v>
      </c>
      <c r="AH30" s="57"/>
      <c r="AI30" s="58"/>
      <c r="AJ30" s="44" t="s">
        <v>41</v>
      </c>
      <c r="AK30" s="45"/>
      <c r="AL30" s="46"/>
      <c r="AM30" s="59" t="s">
        <v>21</v>
      </c>
      <c r="AN30" s="60"/>
      <c r="AO30" s="61"/>
      <c r="AP30" s="62" t="s">
        <v>278</v>
      </c>
      <c r="AQ30" s="63"/>
      <c r="AR30" s="63"/>
      <c r="AS30" s="63"/>
      <c r="AT30" s="63"/>
      <c r="AU30" s="63"/>
      <c r="AV30" s="63"/>
      <c r="AW30" s="63"/>
      <c r="AX30" s="63"/>
      <c r="AY30" s="63"/>
      <c r="AZ30" s="63"/>
      <c r="BA30" s="63"/>
      <c r="BB30" s="63"/>
      <c r="BC30" s="63"/>
      <c r="BD30" s="63"/>
      <c r="BE30" s="63"/>
      <c r="BF30" s="63"/>
      <c r="BG30" s="63"/>
      <c r="BH30" s="63"/>
      <c r="BI30" s="63"/>
      <c r="BJ30" s="64"/>
      <c r="BK30" s="22"/>
    </row>
    <row r="31" spans="1:63" s="5" customFormat="1" ht="30.6" customHeight="1">
      <c r="A31" s="44">
        <f t="shared" si="0"/>
        <v>25</v>
      </c>
      <c r="B31" s="45"/>
      <c r="C31" s="46"/>
      <c r="D31" s="47" t="s">
        <v>283</v>
      </c>
      <c r="E31" s="48"/>
      <c r="F31" s="48"/>
      <c r="G31" s="48"/>
      <c r="H31" s="48"/>
      <c r="I31" s="49"/>
      <c r="J31" s="50" t="s">
        <v>284</v>
      </c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2"/>
      <c r="X31" s="53"/>
      <c r="Y31" s="54"/>
      <c r="Z31" s="54"/>
      <c r="AA31" s="54"/>
      <c r="AB31" s="54"/>
      <c r="AC31" s="54"/>
      <c r="AD31" s="54"/>
      <c r="AE31" s="54"/>
      <c r="AF31" s="55"/>
      <c r="AG31" s="56">
        <v>37</v>
      </c>
      <c r="AH31" s="57"/>
      <c r="AI31" s="58"/>
      <c r="AJ31" s="44" t="s">
        <v>41</v>
      </c>
      <c r="AK31" s="45"/>
      <c r="AL31" s="46"/>
      <c r="AM31" s="59" t="s">
        <v>21</v>
      </c>
      <c r="AN31" s="60"/>
      <c r="AO31" s="61"/>
      <c r="AP31" s="62" t="s">
        <v>285</v>
      </c>
      <c r="AQ31" s="63"/>
      <c r="AR31" s="63"/>
      <c r="AS31" s="63"/>
      <c r="AT31" s="63"/>
      <c r="AU31" s="63"/>
      <c r="AV31" s="63"/>
      <c r="AW31" s="63"/>
      <c r="AX31" s="63"/>
      <c r="AY31" s="63"/>
      <c r="AZ31" s="63"/>
      <c r="BA31" s="63"/>
      <c r="BB31" s="63"/>
      <c r="BC31" s="63"/>
      <c r="BD31" s="63"/>
      <c r="BE31" s="63"/>
      <c r="BF31" s="63"/>
      <c r="BG31" s="63"/>
      <c r="BH31" s="63"/>
      <c r="BI31" s="63"/>
      <c r="BJ31" s="64"/>
      <c r="BK31" s="22"/>
    </row>
    <row r="32" spans="1:63" s="5" customFormat="1" ht="30.6" customHeight="1">
      <c r="A32" s="44">
        <f t="shared" si="0"/>
        <v>26</v>
      </c>
      <c r="B32" s="45"/>
      <c r="C32" s="46"/>
      <c r="D32" s="47" t="s">
        <v>24</v>
      </c>
      <c r="E32" s="48"/>
      <c r="F32" s="48"/>
      <c r="G32" s="48"/>
      <c r="H32" s="48"/>
      <c r="I32" s="49"/>
      <c r="J32" s="50" t="s">
        <v>141</v>
      </c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6"/>
      <c r="X32" s="53"/>
      <c r="Y32" s="54"/>
      <c r="Z32" s="54"/>
      <c r="AA32" s="54"/>
      <c r="AB32" s="54"/>
      <c r="AC32" s="54"/>
      <c r="AD32" s="54"/>
      <c r="AE32" s="54"/>
      <c r="AF32" s="55"/>
      <c r="AG32" s="56">
        <v>2</v>
      </c>
      <c r="AH32" s="57"/>
      <c r="AI32" s="58"/>
      <c r="AJ32" s="59" t="s">
        <v>21</v>
      </c>
      <c r="AK32" s="60"/>
      <c r="AL32" s="61"/>
      <c r="AM32" s="44" t="s">
        <v>41</v>
      </c>
      <c r="AN32" s="45"/>
      <c r="AO32" s="46"/>
      <c r="AP32" s="62" t="s">
        <v>194</v>
      </c>
      <c r="AQ32" s="63"/>
      <c r="AR32" s="63"/>
      <c r="AS32" s="63"/>
      <c r="AT32" s="63"/>
      <c r="AU32" s="63"/>
      <c r="AV32" s="63"/>
      <c r="AW32" s="63"/>
      <c r="AX32" s="63"/>
      <c r="AY32" s="63"/>
      <c r="AZ32" s="63"/>
      <c r="BA32" s="63"/>
      <c r="BB32" s="63"/>
      <c r="BC32" s="63"/>
      <c r="BD32" s="63"/>
      <c r="BE32" s="63"/>
      <c r="BF32" s="63"/>
      <c r="BG32" s="63"/>
      <c r="BH32" s="63"/>
      <c r="BI32" s="63"/>
      <c r="BJ32" s="64"/>
      <c r="BK32" s="22"/>
    </row>
    <row r="33" spans="1:63" s="5" customFormat="1" ht="30.6" customHeight="1">
      <c r="A33" s="44">
        <f t="shared" si="0"/>
        <v>27</v>
      </c>
      <c r="B33" s="45"/>
      <c r="C33" s="46"/>
      <c r="D33" s="47" t="s">
        <v>25</v>
      </c>
      <c r="E33" s="48"/>
      <c r="F33" s="48"/>
      <c r="G33" s="48"/>
      <c r="H33" s="48"/>
      <c r="I33" s="49"/>
      <c r="J33" s="50" t="s">
        <v>142</v>
      </c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6"/>
      <c r="X33" s="53"/>
      <c r="Y33" s="54"/>
      <c r="Z33" s="54"/>
      <c r="AA33" s="54"/>
      <c r="AB33" s="54"/>
      <c r="AC33" s="54"/>
      <c r="AD33" s="54"/>
      <c r="AE33" s="54"/>
      <c r="AF33" s="55"/>
      <c r="AG33" s="56">
        <v>24</v>
      </c>
      <c r="AH33" s="57"/>
      <c r="AI33" s="58"/>
      <c r="AJ33" s="44" t="s">
        <v>41</v>
      </c>
      <c r="AK33" s="45"/>
      <c r="AL33" s="46"/>
      <c r="AM33" s="59" t="s">
        <v>21</v>
      </c>
      <c r="AN33" s="60"/>
      <c r="AO33" s="61"/>
      <c r="AP33" s="67" t="s">
        <v>107</v>
      </c>
      <c r="AQ33" s="63"/>
      <c r="AR33" s="63"/>
      <c r="AS33" s="63"/>
      <c r="AT33" s="63"/>
      <c r="AU33" s="63"/>
      <c r="AV33" s="63"/>
      <c r="AW33" s="63"/>
      <c r="AX33" s="63"/>
      <c r="AY33" s="63"/>
      <c r="AZ33" s="63"/>
      <c r="BA33" s="63"/>
      <c r="BB33" s="63"/>
      <c r="BC33" s="63"/>
      <c r="BD33" s="63"/>
      <c r="BE33" s="63"/>
      <c r="BF33" s="63"/>
      <c r="BG33" s="63"/>
      <c r="BH33" s="63"/>
      <c r="BI33" s="63"/>
      <c r="BJ33" s="64"/>
      <c r="BK33" s="22"/>
    </row>
    <row r="34" spans="1:63" s="5" customFormat="1" ht="30.6" customHeight="1">
      <c r="A34" s="44">
        <f t="shared" si="0"/>
        <v>28</v>
      </c>
      <c r="B34" s="45"/>
      <c r="C34" s="46"/>
      <c r="D34" s="47" t="s">
        <v>26</v>
      </c>
      <c r="E34" s="48"/>
      <c r="F34" s="48"/>
      <c r="G34" s="48"/>
      <c r="H34" s="48"/>
      <c r="I34" s="49"/>
      <c r="J34" s="50" t="s">
        <v>143</v>
      </c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6"/>
      <c r="X34" s="53"/>
      <c r="Y34" s="54"/>
      <c r="Z34" s="54"/>
      <c r="AA34" s="54"/>
      <c r="AB34" s="54"/>
      <c r="AC34" s="54"/>
      <c r="AD34" s="54"/>
      <c r="AE34" s="54"/>
      <c r="AF34" s="55"/>
      <c r="AG34" s="56">
        <v>42</v>
      </c>
      <c r="AH34" s="57"/>
      <c r="AI34" s="58"/>
      <c r="AJ34" s="44" t="s">
        <v>41</v>
      </c>
      <c r="AK34" s="45"/>
      <c r="AL34" s="46"/>
      <c r="AM34" s="59" t="s">
        <v>21</v>
      </c>
      <c r="AN34" s="60"/>
      <c r="AO34" s="61"/>
      <c r="AP34" s="67" t="s">
        <v>108</v>
      </c>
      <c r="AQ34" s="63"/>
      <c r="AR34" s="63"/>
      <c r="AS34" s="63"/>
      <c r="AT34" s="63"/>
      <c r="AU34" s="63"/>
      <c r="AV34" s="63"/>
      <c r="AW34" s="63"/>
      <c r="AX34" s="63"/>
      <c r="AY34" s="63"/>
      <c r="AZ34" s="63"/>
      <c r="BA34" s="63"/>
      <c r="BB34" s="63"/>
      <c r="BC34" s="63"/>
      <c r="BD34" s="63"/>
      <c r="BE34" s="63"/>
      <c r="BF34" s="63"/>
      <c r="BG34" s="63"/>
      <c r="BH34" s="63"/>
      <c r="BI34" s="63"/>
      <c r="BJ34" s="64"/>
      <c r="BK34" s="22"/>
    </row>
    <row r="35" spans="1:63" s="5" customFormat="1" ht="30.6" customHeight="1">
      <c r="A35" s="44">
        <f t="shared" si="0"/>
        <v>29</v>
      </c>
      <c r="B35" s="45"/>
      <c r="C35" s="46"/>
      <c r="D35" s="47" t="s">
        <v>31</v>
      </c>
      <c r="E35" s="48"/>
      <c r="F35" s="48"/>
      <c r="G35" s="48"/>
      <c r="H35" s="48"/>
      <c r="I35" s="49"/>
      <c r="J35" s="50" t="s">
        <v>144</v>
      </c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6"/>
      <c r="X35" s="53"/>
      <c r="Y35" s="54"/>
      <c r="Z35" s="54"/>
      <c r="AA35" s="54"/>
      <c r="AB35" s="54"/>
      <c r="AC35" s="54"/>
      <c r="AD35" s="54"/>
      <c r="AE35" s="54"/>
      <c r="AF35" s="55"/>
      <c r="AG35" s="56">
        <v>3</v>
      </c>
      <c r="AH35" s="57"/>
      <c r="AI35" s="58"/>
      <c r="AJ35" s="59" t="s">
        <v>21</v>
      </c>
      <c r="AK35" s="60"/>
      <c r="AL35" s="61"/>
      <c r="AM35" s="44" t="s">
        <v>41</v>
      </c>
      <c r="AN35" s="45"/>
      <c r="AO35" s="46"/>
      <c r="AP35" s="67" t="s">
        <v>195</v>
      </c>
      <c r="AQ35" s="63"/>
      <c r="AR35" s="63"/>
      <c r="AS35" s="63"/>
      <c r="AT35" s="63"/>
      <c r="AU35" s="63"/>
      <c r="AV35" s="63"/>
      <c r="AW35" s="63"/>
      <c r="AX35" s="63"/>
      <c r="AY35" s="63"/>
      <c r="AZ35" s="63"/>
      <c r="BA35" s="63"/>
      <c r="BB35" s="63"/>
      <c r="BC35" s="63"/>
      <c r="BD35" s="63"/>
      <c r="BE35" s="63"/>
      <c r="BF35" s="63"/>
      <c r="BG35" s="63"/>
      <c r="BH35" s="63"/>
      <c r="BI35" s="63"/>
      <c r="BJ35" s="64"/>
      <c r="BK35" s="22"/>
    </row>
    <row r="36" spans="1:63" s="5" customFormat="1" ht="30.6" customHeight="1">
      <c r="A36" s="44">
        <f t="shared" si="0"/>
        <v>30</v>
      </c>
      <c r="B36" s="45"/>
      <c r="C36" s="46"/>
      <c r="D36" s="47" t="s">
        <v>267</v>
      </c>
      <c r="E36" s="48"/>
      <c r="F36" s="48"/>
      <c r="G36" s="48"/>
      <c r="H36" s="48"/>
      <c r="I36" s="49"/>
      <c r="J36" s="50" t="s">
        <v>269</v>
      </c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6"/>
      <c r="X36" s="53"/>
      <c r="Y36" s="54"/>
      <c r="Z36" s="54"/>
      <c r="AA36" s="54"/>
      <c r="AB36" s="54"/>
      <c r="AC36" s="54"/>
      <c r="AD36" s="54"/>
      <c r="AE36" s="54"/>
      <c r="AF36" s="55"/>
      <c r="AG36" s="56">
        <v>12</v>
      </c>
      <c r="AH36" s="57"/>
      <c r="AI36" s="58"/>
      <c r="AJ36" s="59" t="s">
        <v>21</v>
      </c>
      <c r="AK36" s="60"/>
      <c r="AL36" s="61"/>
      <c r="AM36" s="59" t="s">
        <v>268</v>
      </c>
      <c r="AN36" s="60"/>
      <c r="AO36" s="61"/>
      <c r="AP36" s="67" t="s">
        <v>270</v>
      </c>
      <c r="AQ36" s="63"/>
      <c r="AR36" s="63"/>
      <c r="AS36" s="63"/>
      <c r="AT36" s="63"/>
      <c r="AU36" s="63"/>
      <c r="AV36" s="63"/>
      <c r="AW36" s="63"/>
      <c r="AX36" s="63"/>
      <c r="AY36" s="63"/>
      <c r="AZ36" s="63"/>
      <c r="BA36" s="63"/>
      <c r="BB36" s="63"/>
      <c r="BC36" s="63"/>
      <c r="BD36" s="63"/>
      <c r="BE36" s="63"/>
      <c r="BF36" s="63"/>
      <c r="BG36" s="63"/>
      <c r="BH36" s="63"/>
      <c r="BI36" s="63"/>
      <c r="BJ36" s="64"/>
      <c r="BK36" s="22"/>
    </row>
    <row r="37" spans="1:63" s="5" customFormat="1" ht="30.6" customHeight="1">
      <c r="A37" s="44">
        <f t="shared" si="0"/>
        <v>31</v>
      </c>
      <c r="B37" s="45"/>
      <c r="C37" s="46"/>
      <c r="D37" s="47" t="s">
        <v>32</v>
      </c>
      <c r="E37" s="48"/>
      <c r="F37" s="48"/>
      <c r="G37" s="48"/>
      <c r="H37" s="48"/>
      <c r="I37" s="49"/>
      <c r="J37" s="50" t="s">
        <v>145</v>
      </c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6"/>
      <c r="X37" s="53"/>
      <c r="Y37" s="54"/>
      <c r="Z37" s="54"/>
      <c r="AA37" s="54"/>
      <c r="AB37" s="54"/>
      <c r="AC37" s="54"/>
      <c r="AD37" s="54"/>
      <c r="AE37" s="54"/>
      <c r="AF37" s="55"/>
      <c r="AG37" s="56">
        <v>30</v>
      </c>
      <c r="AH37" s="57"/>
      <c r="AI37" s="58"/>
      <c r="AJ37" s="59" t="s">
        <v>21</v>
      </c>
      <c r="AK37" s="60"/>
      <c r="AL37" s="61"/>
      <c r="AM37" s="44" t="s">
        <v>41</v>
      </c>
      <c r="AN37" s="45"/>
      <c r="AO37" s="46"/>
      <c r="AP37" s="67" t="s">
        <v>196</v>
      </c>
      <c r="AQ37" s="63"/>
      <c r="AR37" s="63"/>
      <c r="AS37" s="63"/>
      <c r="AT37" s="63"/>
      <c r="AU37" s="63"/>
      <c r="AV37" s="63"/>
      <c r="AW37" s="63"/>
      <c r="AX37" s="63"/>
      <c r="AY37" s="63"/>
      <c r="AZ37" s="63"/>
      <c r="BA37" s="63"/>
      <c r="BB37" s="63"/>
      <c r="BC37" s="63"/>
      <c r="BD37" s="63"/>
      <c r="BE37" s="63"/>
      <c r="BF37" s="63"/>
      <c r="BG37" s="63"/>
      <c r="BH37" s="63"/>
      <c r="BI37" s="63"/>
      <c r="BJ37" s="64"/>
      <c r="BK37" s="22"/>
    </row>
    <row r="38" spans="1:63" s="5" customFormat="1" ht="30.6" customHeight="1">
      <c r="A38" s="44">
        <f t="shared" si="0"/>
        <v>32</v>
      </c>
      <c r="B38" s="45"/>
      <c r="C38" s="46"/>
      <c r="D38" s="47" t="s">
        <v>271</v>
      </c>
      <c r="E38" s="48"/>
      <c r="F38" s="48"/>
      <c r="G38" s="48"/>
      <c r="H38" s="48"/>
      <c r="I38" s="49"/>
      <c r="J38" s="50" t="s">
        <v>273</v>
      </c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6"/>
      <c r="X38" s="53"/>
      <c r="Y38" s="54"/>
      <c r="Z38" s="54"/>
      <c r="AA38" s="54"/>
      <c r="AB38" s="54"/>
      <c r="AC38" s="54"/>
      <c r="AD38" s="54"/>
      <c r="AE38" s="54"/>
      <c r="AF38" s="55"/>
      <c r="AG38" s="56">
        <v>21</v>
      </c>
      <c r="AH38" s="57"/>
      <c r="AI38" s="58"/>
      <c r="AJ38" s="59" t="s">
        <v>268</v>
      </c>
      <c r="AK38" s="60"/>
      <c r="AL38" s="61"/>
      <c r="AM38" s="59" t="s">
        <v>21</v>
      </c>
      <c r="AN38" s="60"/>
      <c r="AO38" s="61"/>
      <c r="AP38" s="62" t="s">
        <v>275</v>
      </c>
      <c r="AQ38" s="68"/>
      <c r="AR38" s="68"/>
      <c r="AS38" s="68"/>
      <c r="AT38" s="68"/>
      <c r="AU38" s="68"/>
      <c r="AV38" s="68"/>
      <c r="AW38" s="68"/>
      <c r="AX38" s="68"/>
      <c r="AY38" s="68"/>
      <c r="AZ38" s="68"/>
      <c r="BA38" s="68"/>
      <c r="BB38" s="68"/>
      <c r="BC38" s="68"/>
      <c r="BD38" s="68"/>
      <c r="BE38" s="68"/>
      <c r="BF38" s="68"/>
      <c r="BG38" s="68"/>
      <c r="BH38" s="68"/>
      <c r="BI38" s="68"/>
      <c r="BJ38" s="69"/>
      <c r="BK38" s="22"/>
    </row>
    <row r="39" spans="1:63" s="5" customFormat="1" ht="30.6" customHeight="1">
      <c r="A39" s="44">
        <f t="shared" si="0"/>
        <v>33</v>
      </c>
      <c r="B39" s="45"/>
      <c r="C39" s="46"/>
      <c r="D39" s="47" t="s">
        <v>272</v>
      </c>
      <c r="E39" s="48"/>
      <c r="F39" s="48"/>
      <c r="G39" s="48"/>
      <c r="H39" s="48"/>
      <c r="I39" s="49"/>
      <c r="J39" s="50" t="s">
        <v>274</v>
      </c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6"/>
      <c r="X39" s="53"/>
      <c r="Y39" s="54"/>
      <c r="Z39" s="54"/>
      <c r="AA39" s="54"/>
      <c r="AB39" s="54"/>
      <c r="AC39" s="54"/>
      <c r="AD39" s="54"/>
      <c r="AE39" s="54"/>
      <c r="AF39" s="55"/>
      <c r="AG39" s="56">
        <v>21</v>
      </c>
      <c r="AH39" s="57"/>
      <c r="AI39" s="58"/>
      <c r="AJ39" s="59" t="s">
        <v>21</v>
      </c>
      <c r="AK39" s="60"/>
      <c r="AL39" s="61"/>
      <c r="AM39" s="59" t="s">
        <v>268</v>
      </c>
      <c r="AN39" s="60"/>
      <c r="AO39" s="61"/>
      <c r="AP39" s="62" t="s">
        <v>276</v>
      </c>
      <c r="AQ39" s="68"/>
      <c r="AR39" s="68"/>
      <c r="AS39" s="68"/>
      <c r="AT39" s="68"/>
      <c r="AU39" s="68"/>
      <c r="AV39" s="68"/>
      <c r="AW39" s="68"/>
      <c r="AX39" s="68"/>
      <c r="AY39" s="68"/>
      <c r="AZ39" s="68"/>
      <c r="BA39" s="68"/>
      <c r="BB39" s="68"/>
      <c r="BC39" s="68"/>
      <c r="BD39" s="68"/>
      <c r="BE39" s="68"/>
      <c r="BF39" s="68"/>
      <c r="BG39" s="68"/>
      <c r="BH39" s="68"/>
      <c r="BI39" s="68"/>
      <c r="BJ39" s="69"/>
      <c r="BK39" s="22"/>
    </row>
    <row r="40" spans="1:63" s="5" customFormat="1" ht="30.6" customHeight="1">
      <c r="A40" s="44">
        <f t="shared" si="0"/>
        <v>34</v>
      </c>
      <c r="B40" s="45"/>
      <c r="C40" s="46"/>
      <c r="D40" s="47" t="s">
        <v>263</v>
      </c>
      <c r="E40" s="48"/>
      <c r="F40" s="48"/>
      <c r="G40" s="48"/>
      <c r="H40" s="48"/>
      <c r="I40" s="49"/>
      <c r="J40" s="50" t="s">
        <v>264</v>
      </c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6"/>
      <c r="X40" s="53"/>
      <c r="Y40" s="54"/>
      <c r="Z40" s="54"/>
      <c r="AA40" s="54"/>
      <c r="AB40" s="54"/>
      <c r="AC40" s="54"/>
      <c r="AD40" s="54"/>
      <c r="AE40" s="54"/>
      <c r="AF40" s="55"/>
      <c r="AG40" s="56">
        <v>25</v>
      </c>
      <c r="AH40" s="57"/>
      <c r="AI40" s="58"/>
      <c r="AJ40" s="44" t="s">
        <v>41</v>
      </c>
      <c r="AK40" s="45"/>
      <c r="AL40" s="46"/>
      <c r="AM40" s="59" t="s">
        <v>21</v>
      </c>
      <c r="AN40" s="60"/>
      <c r="AO40" s="61"/>
      <c r="AP40" s="67" t="s">
        <v>33</v>
      </c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4"/>
    </row>
    <row r="41" spans="1:63" s="5" customFormat="1" ht="30.6" customHeight="1">
      <c r="A41" s="44">
        <f t="shared" si="0"/>
        <v>35</v>
      </c>
      <c r="B41" s="45"/>
      <c r="C41" s="46"/>
      <c r="D41" s="47" t="s">
        <v>45</v>
      </c>
      <c r="E41" s="48"/>
      <c r="F41" s="48"/>
      <c r="G41" s="48"/>
      <c r="H41" s="48"/>
      <c r="I41" s="49"/>
      <c r="J41" s="50" t="s">
        <v>146</v>
      </c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6"/>
      <c r="X41" s="53"/>
      <c r="Y41" s="54"/>
      <c r="Z41" s="54"/>
      <c r="AA41" s="54"/>
      <c r="AB41" s="54"/>
      <c r="AC41" s="54"/>
      <c r="AD41" s="54"/>
      <c r="AE41" s="54"/>
      <c r="AF41" s="55"/>
      <c r="AG41" s="56">
        <v>33</v>
      </c>
      <c r="AH41" s="57"/>
      <c r="AI41" s="58"/>
      <c r="AJ41" s="44" t="s">
        <v>41</v>
      </c>
      <c r="AK41" s="45"/>
      <c r="AL41" s="46"/>
      <c r="AM41" s="59" t="s">
        <v>21</v>
      </c>
      <c r="AN41" s="60"/>
      <c r="AO41" s="61"/>
      <c r="AP41" s="67" t="s">
        <v>109</v>
      </c>
      <c r="AQ41" s="63"/>
      <c r="AR41" s="63"/>
      <c r="AS41" s="63"/>
      <c r="AT41" s="63"/>
      <c r="AU41" s="63"/>
      <c r="AV41" s="63"/>
      <c r="AW41" s="63"/>
      <c r="AX41" s="63"/>
      <c r="AY41" s="63"/>
      <c r="AZ41" s="63"/>
      <c r="BA41" s="63"/>
      <c r="BB41" s="63"/>
      <c r="BC41" s="63"/>
      <c r="BD41" s="63"/>
      <c r="BE41" s="63"/>
      <c r="BF41" s="63"/>
      <c r="BG41" s="63"/>
      <c r="BH41" s="63"/>
      <c r="BI41" s="63"/>
      <c r="BJ41" s="64"/>
    </row>
    <row r="42" spans="1:63" s="5" customFormat="1" ht="30.6" customHeight="1">
      <c r="A42" s="44">
        <f t="shared" si="0"/>
        <v>36</v>
      </c>
      <c r="B42" s="45"/>
      <c r="C42" s="46"/>
      <c r="D42" s="47" t="s">
        <v>54</v>
      </c>
      <c r="E42" s="48"/>
      <c r="F42" s="48"/>
      <c r="G42" s="48"/>
      <c r="H42" s="48"/>
      <c r="I42" s="49"/>
      <c r="J42" s="50" t="s">
        <v>147</v>
      </c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6"/>
      <c r="X42" s="53"/>
      <c r="Y42" s="54"/>
      <c r="Z42" s="54"/>
      <c r="AA42" s="54"/>
      <c r="AB42" s="54"/>
      <c r="AC42" s="54"/>
      <c r="AD42" s="54"/>
      <c r="AE42" s="54"/>
      <c r="AF42" s="55"/>
      <c r="AG42" s="56">
        <v>53</v>
      </c>
      <c r="AH42" s="57"/>
      <c r="AI42" s="58"/>
      <c r="AJ42" s="44" t="s">
        <v>41</v>
      </c>
      <c r="AK42" s="45"/>
      <c r="AL42" s="46"/>
      <c r="AM42" s="59" t="s">
        <v>21</v>
      </c>
      <c r="AN42" s="60"/>
      <c r="AO42" s="61"/>
      <c r="AP42" s="67" t="s">
        <v>34</v>
      </c>
      <c r="AQ42" s="63"/>
      <c r="AR42" s="63"/>
      <c r="AS42" s="63"/>
      <c r="AT42" s="63"/>
      <c r="AU42" s="63"/>
      <c r="AV42" s="63"/>
      <c r="AW42" s="63"/>
      <c r="AX42" s="63"/>
      <c r="AY42" s="63"/>
      <c r="AZ42" s="63"/>
      <c r="BA42" s="63"/>
      <c r="BB42" s="63"/>
      <c r="BC42" s="63"/>
      <c r="BD42" s="63"/>
      <c r="BE42" s="63"/>
      <c r="BF42" s="63"/>
      <c r="BG42" s="63"/>
      <c r="BH42" s="63"/>
      <c r="BI42" s="63"/>
      <c r="BJ42" s="64"/>
      <c r="BK42" s="22"/>
    </row>
    <row r="43" spans="1:63" s="5" customFormat="1" ht="30.6" customHeight="1">
      <c r="A43" s="44">
        <f t="shared" si="0"/>
        <v>37</v>
      </c>
      <c r="B43" s="45"/>
      <c r="C43" s="46"/>
      <c r="D43" s="47" t="s">
        <v>27</v>
      </c>
      <c r="E43" s="48"/>
      <c r="F43" s="48"/>
      <c r="G43" s="48"/>
      <c r="H43" s="48"/>
      <c r="I43" s="49"/>
      <c r="J43" s="50" t="s">
        <v>148</v>
      </c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6"/>
      <c r="X43" s="53"/>
      <c r="Y43" s="54"/>
      <c r="Z43" s="54"/>
      <c r="AA43" s="54"/>
      <c r="AB43" s="54"/>
      <c r="AC43" s="54"/>
      <c r="AD43" s="54"/>
      <c r="AE43" s="54"/>
      <c r="AF43" s="55"/>
      <c r="AG43" s="56">
        <v>21</v>
      </c>
      <c r="AH43" s="57"/>
      <c r="AI43" s="58"/>
      <c r="AJ43" s="44" t="s">
        <v>41</v>
      </c>
      <c r="AK43" s="45"/>
      <c r="AL43" s="46"/>
      <c r="AM43" s="59" t="s">
        <v>21</v>
      </c>
      <c r="AN43" s="60"/>
      <c r="AO43" s="61"/>
      <c r="AP43" s="67" t="s">
        <v>35</v>
      </c>
      <c r="AQ43" s="63"/>
      <c r="AR43" s="63"/>
      <c r="AS43" s="63"/>
      <c r="AT43" s="63"/>
      <c r="AU43" s="63"/>
      <c r="AV43" s="63"/>
      <c r="AW43" s="63"/>
      <c r="AX43" s="63"/>
      <c r="AY43" s="63"/>
      <c r="AZ43" s="63"/>
      <c r="BA43" s="63"/>
      <c r="BB43" s="63"/>
      <c r="BC43" s="63"/>
      <c r="BD43" s="63"/>
      <c r="BE43" s="63"/>
      <c r="BF43" s="63"/>
      <c r="BG43" s="63"/>
      <c r="BH43" s="63"/>
      <c r="BI43" s="63"/>
      <c r="BJ43" s="64"/>
    </row>
    <row r="44" spans="1:63" s="5" customFormat="1" ht="30.6" customHeight="1">
      <c r="A44" s="44">
        <f t="shared" si="0"/>
        <v>38</v>
      </c>
      <c r="B44" s="45"/>
      <c r="C44" s="46"/>
      <c r="D44" s="47" t="s">
        <v>55</v>
      </c>
      <c r="E44" s="48"/>
      <c r="F44" s="48"/>
      <c r="G44" s="48"/>
      <c r="H44" s="48"/>
      <c r="I44" s="49"/>
      <c r="J44" s="50" t="s">
        <v>149</v>
      </c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6"/>
      <c r="X44" s="53"/>
      <c r="Y44" s="54"/>
      <c r="Z44" s="54"/>
      <c r="AA44" s="54"/>
      <c r="AB44" s="54"/>
      <c r="AC44" s="54"/>
      <c r="AD44" s="54"/>
      <c r="AE44" s="54"/>
      <c r="AF44" s="55"/>
      <c r="AG44" s="56">
        <v>53</v>
      </c>
      <c r="AH44" s="57"/>
      <c r="AI44" s="58"/>
      <c r="AJ44" s="44" t="s">
        <v>41</v>
      </c>
      <c r="AK44" s="45"/>
      <c r="AL44" s="46"/>
      <c r="AM44" s="59" t="s">
        <v>21</v>
      </c>
      <c r="AN44" s="60"/>
      <c r="AO44" s="61"/>
      <c r="AP44" s="62" t="s">
        <v>36</v>
      </c>
      <c r="AQ44" s="63"/>
      <c r="AR44" s="63"/>
      <c r="AS44" s="63"/>
      <c r="AT44" s="63"/>
      <c r="AU44" s="63"/>
      <c r="AV44" s="63"/>
      <c r="AW44" s="63"/>
      <c r="AX44" s="63"/>
      <c r="AY44" s="63"/>
      <c r="AZ44" s="63"/>
      <c r="BA44" s="63"/>
      <c r="BB44" s="63"/>
      <c r="BC44" s="63"/>
      <c r="BD44" s="63"/>
      <c r="BE44" s="63"/>
      <c r="BF44" s="63"/>
      <c r="BG44" s="63"/>
      <c r="BH44" s="63"/>
      <c r="BI44" s="63"/>
      <c r="BJ44" s="64"/>
      <c r="BK44" s="22"/>
    </row>
    <row r="45" spans="1:63" s="5" customFormat="1" ht="30.6" customHeight="1">
      <c r="A45" s="44">
        <f t="shared" si="0"/>
        <v>39</v>
      </c>
      <c r="B45" s="45"/>
      <c r="C45" s="46"/>
      <c r="D45" s="47" t="s">
        <v>46</v>
      </c>
      <c r="E45" s="48"/>
      <c r="F45" s="48"/>
      <c r="G45" s="48"/>
      <c r="H45" s="48"/>
      <c r="I45" s="49"/>
      <c r="J45" s="50" t="s">
        <v>150</v>
      </c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6"/>
      <c r="X45" s="53"/>
      <c r="Y45" s="54"/>
      <c r="Z45" s="54"/>
      <c r="AA45" s="54"/>
      <c r="AB45" s="54"/>
      <c r="AC45" s="54"/>
      <c r="AD45" s="54"/>
      <c r="AE45" s="54"/>
      <c r="AF45" s="55"/>
      <c r="AG45" s="56">
        <v>44</v>
      </c>
      <c r="AH45" s="57"/>
      <c r="AI45" s="58"/>
      <c r="AJ45" s="44" t="s">
        <v>41</v>
      </c>
      <c r="AK45" s="45"/>
      <c r="AL45" s="46"/>
      <c r="AM45" s="59" t="s">
        <v>21</v>
      </c>
      <c r="AN45" s="60"/>
      <c r="AO45" s="61"/>
      <c r="AP45" s="62" t="s">
        <v>37</v>
      </c>
      <c r="AQ45" s="63"/>
      <c r="AR45" s="63"/>
      <c r="AS45" s="63"/>
      <c r="AT45" s="63"/>
      <c r="AU45" s="63"/>
      <c r="AV45" s="63"/>
      <c r="AW45" s="63"/>
      <c r="AX45" s="63"/>
      <c r="AY45" s="63"/>
      <c r="AZ45" s="63"/>
      <c r="BA45" s="63"/>
      <c r="BB45" s="63"/>
      <c r="BC45" s="63"/>
      <c r="BD45" s="63"/>
      <c r="BE45" s="63"/>
      <c r="BF45" s="63"/>
      <c r="BG45" s="63"/>
      <c r="BH45" s="63"/>
      <c r="BI45" s="63"/>
      <c r="BJ45" s="64"/>
      <c r="BK45" s="22"/>
    </row>
    <row r="46" spans="1:63" s="5" customFormat="1" ht="30.6" customHeight="1">
      <c r="A46" s="44">
        <f t="shared" si="0"/>
        <v>40</v>
      </c>
      <c r="B46" s="45"/>
      <c r="C46" s="46"/>
      <c r="D46" s="47" t="s">
        <v>28</v>
      </c>
      <c r="E46" s="48"/>
      <c r="F46" s="48"/>
      <c r="G46" s="48"/>
      <c r="H46" s="48"/>
      <c r="I46" s="49"/>
      <c r="J46" s="50" t="s">
        <v>265</v>
      </c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6"/>
      <c r="X46" s="53"/>
      <c r="Y46" s="54"/>
      <c r="Z46" s="54"/>
      <c r="AA46" s="54"/>
      <c r="AB46" s="54"/>
      <c r="AC46" s="54"/>
      <c r="AD46" s="54"/>
      <c r="AE46" s="54"/>
      <c r="AF46" s="55"/>
      <c r="AG46" s="56">
        <v>69</v>
      </c>
      <c r="AH46" s="57"/>
      <c r="AI46" s="58"/>
      <c r="AJ46" s="44" t="s">
        <v>41</v>
      </c>
      <c r="AK46" s="45"/>
      <c r="AL46" s="46"/>
      <c r="AM46" s="59" t="s">
        <v>21</v>
      </c>
      <c r="AN46" s="60"/>
      <c r="AO46" s="61"/>
      <c r="AP46" s="67" t="s">
        <v>38</v>
      </c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63"/>
      <c r="BB46" s="63"/>
      <c r="BC46" s="63"/>
      <c r="BD46" s="63"/>
      <c r="BE46" s="63"/>
      <c r="BF46" s="63"/>
      <c r="BG46" s="63"/>
      <c r="BH46" s="63"/>
      <c r="BI46" s="63"/>
      <c r="BJ46" s="64"/>
      <c r="BK46" s="22"/>
    </row>
    <row r="47" spans="1:63" s="5" customFormat="1" ht="30.6" customHeight="1">
      <c r="A47" s="44">
        <f t="shared" si="0"/>
        <v>41</v>
      </c>
      <c r="B47" s="45"/>
      <c r="C47" s="46"/>
      <c r="D47" s="47" t="s">
        <v>29</v>
      </c>
      <c r="E47" s="48"/>
      <c r="F47" s="48"/>
      <c r="G47" s="48"/>
      <c r="H47" s="48"/>
      <c r="I47" s="49"/>
      <c r="J47" s="50" t="s">
        <v>151</v>
      </c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6"/>
      <c r="X47" s="53"/>
      <c r="Y47" s="54"/>
      <c r="Z47" s="54"/>
      <c r="AA47" s="54"/>
      <c r="AB47" s="54"/>
      <c r="AC47" s="54"/>
      <c r="AD47" s="54"/>
      <c r="AE47" s="54"/>
      <c r="AF47" s="55"/>
      <c r="AG47" s="56">
        <v>34</v>
      </c>
      <c r="AH47" s="57"/>
      <c r="AI47" s="58"/>
      <c r="AJ47" s="44" t="s">
        <v>41</v>
      </c>
      <c r="AK47" s="45"/>
      <c r="AL47" s="46"/>
      <c r="AM47" s="59" t="s">
        <v>21</v>
      </c>
      <c r="AN47" s="60"/>
      <c r="AO47" s="61"/>
      <c r="AP47" s="67" t="s">
        <v>117</v>
      </c>
      <c r="AQ47" s="63"/>
      <c r="AR47" s="63"/>
      <c r="AS47" s="63"/>
      <c r="AT47" s="63"/>
      <c r="AU47" s="63"/>
      <c r="AV47" s="63"/>
      <c r="AW47" s="63"/>
      <c r="AX47" s="63"/>
      <c r="AY47" s="63"/>
      <c r="AZ47" s="63"/>
      <c r="BA47" s="63"/>
      <c r="BB47" s="63"/>
      <c r="BC47" s="63"/>
      <c r="BD47" s="63"/>
      <c r="BE47" s="63"/>
      <c r="BF47" s="63"/>
      <c r="BG47" s="63"/>
      <c r="BH47" s="63"/>
      <c r="BI47" s="63"/>
      <c r="BJ47" s="64"/>
    </row>
    <row r="48" spans="1:63" s="5" customFormat="1" ht="30.6" customHeight="1">
      <c r="A48" s="44">
        <f t="shared" si="0"/>
        <v>42</v>
      </c>
      <c r="B48" s="45"/>
      <c r="C48" s="46"/>
      <c r="D48" s="47" t="s">
        <v>30</v>
      </c>
      <c r="E48" s="48"/>
      <c r="F48" s="48"/>
      <c r="G48" s="48"/>
      <c r="H48" s="48"/>
      <c r="I48" s="49"/>
      <c r="J48" s="50" t="s">
        <v>152</v>
      </c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6"/>
      <c r="X48" s="53"/>
      <c r="Y48" s="54"/>
      <c r="Z48" s="54"/>
      <c r="AA48" s="54"/>
      <c r="AB48" s="54"/>
      <c r="AC48" s="54"/>
      <c r="AD48" s="54"/>
      <c r="AE48" s="54"/>
      <c r="AF48" s="55"/>
      <c r="AG48" s="56">
        <v>25</v>
      </c>
      <c r="AH48" s="57"/>
      <c r="AI48" s="58"/>
      <c r="AJ48" s="44" t="s">
        <v>41</v>
      </c>
      <c r="AK48" s="45"/>
      <c r="AL48" s="46"/>
      <c r="AM48" s="59" t="s">
        <v>21</v>
      </c>
      <c r="AN48" s="60"/>
      <c r="AO48" s="61"/>
      <c r="AP48" s="67" t="s">
        <v>118</v>
      </c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63"/>
      <c r="BB48" s="63"/>
      <c r="BC48" s="63"/>
      <c r="BD48" s="63"/>
      <c r="BE48" s="63"/>
      <c r="BF48" s="63"/>
      <c r="BG48" s="63"/>
      <c r="BH48" s="63"/>
      <c r="BI48" s="63"/>
      <c r="BJ48" s="64"/>
      <c r="BK48" s="22"/>
    </row>
    <row r="49" spans="1:63" s="5" customFormat="1" ht="30.6" customHeight="1">
      <c r="A49" s="44">
        <f t="shared" si="0"/>
        <v>43</v>
      </c>
      <c r="B49" s="45"/>
      <c r="C49" s="46"/>
      <c r="D49" s="47" t="s">
        <v>47</v>
      </c>
      <c r="E49" s="48"/>
      <c r="F49" s="48"/>
      <c r="G49" s="48"/>
      <c r="H49" s="48"/>
      <c r="I49" s="49"/>
      <c r="J49" s="50" t="s">
        <v>153</v>
      </c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6"/>
      <c r="X49" s="53"/>
      <c r="Y49" s="54"/>
      <c r="Z49" s="54"/>
      <c r="AA49" s="54"/>
      <c r="AB49" s="54"/>
      <c r="AC49" s="54"/>
      <c r="AD49" s="54"/>
      <c r="AE49" s="54"/>
      <c r="AF49" s="55"/>
      <c r="AG49" s="56">
        <v>40</v>
      </c>
      <c r="AH49" s="57"/>
      <c r="AI49" s="58"/>
      <c r="AJ49" s="44" t="s">
        <v>41</v>
      </c>
      <c r="AK49" s="45"/>
      <c r="AL49" s="46"/>
      <c r="AM49" s="59" t="s">
        <v>21</v>
      </c>
      <c r="AN49" s="60"/>
      <c r="AO49" s="61"/>
      <c r="AP49" s="67" t="s">
        <v>239</v>
      </c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3"/>
      <c r="BI49" s="63"/>
      <c r="BJ49" s="64"/>
    </row>
    <row r="50" spans="1:63" s="5" customFormat="1" ht="30.6" customHeight="1">
      <c r="A50" s="44">
        <f t="shared" si="0"/>
        <v>44</v>
      </c>
      <c r="B50" s="45"/>
      <c r="C50" s="46"/>
      <c r="D50" s="47" t="s">
        <v>49</v>
      </c>
      <c r="E50" s="48"/>
      <c r="F50" s="48"/>
      <c r="G50" s="48"/>
      <c r="H50" s="48"/>
      <c r="I50" s="49"/>
      <c r="J50" s="50" t="s">
        <v>154</v>
      </c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6"/>
      <c r="X50" s="53"/>
      <c r="Y50" s="54"/>
      <c r="Z50" s="54"/>
      <c r="AA50" s="54"/>
      <c r="AB50" s="54"/>
      <c r="AC50" s="54"/>
      <c r="AD50" s="54"/>
      <c r="AE50" s="54"/>
      <c r="AF50" s="55"/>
      <c r="AG50" s="56">
        <v>19</v>
      </c>
      <c r="AH50" s="57"/>
      <c r="AI50" s="58"/>
      <c r="AJ50" s="44" t="s">
        <v>20</v>
      </c>
      <c r="AK50" s="45"/>
      <c r="AL50" s="46"/>
      <c r="AM50" s="59" t="s">
        <v>21</v>
      </c>
      <c r="AN50" s="60"/>
      <c r="AO50" s="61"/>
      <c r="AP50" s="62" t="s">
        <v>119</v>
      </c>
      <c r="AQ50" s="68"/>
      <c r="AR50" s="68"/>
      <c r="AS50" s="68"/>
      <c r="AT50" s="68"/>
      <c r="AU50" s="68"/>
      <c r="AV50" s="68"/>
      <c r="AW50" s="68"/>
      <c r="AX50" s="68"/>
      <c r="AY50" s="68"/>
      <c r="AZ50" s="68"/>
      <c r="BA50" s="68"/>
      <c r="BB50" s="68"/>
      <c r="BC50" s="68"/>
      <c r="BD50" s="68"/>
      <c r="BE50" s="68"/>
      <c r="BF50" s="68"/>
      <c r="BG50" s="68"/>
      <c r="BH50" s="68"/>
      <c r="BI50" s="68"/>
      <c r="BJ50" s="69"/>
      <c r="BK50" s="22"/>
    </row>
    <row r="51" spans="1:63" s="5" customFormat="1" ht="30.6" customHeight="1">
      <c r="A51" s="44">
        <f t="shared" si="0"/>
        <v>45</v>
      </c>
      <c r="B51" s="45"/>
      <c r="C51" s="46"/>
      <c r="D51" s="47" t="s">
        <v>84</v>
      </c>
      <c r="E51" s="48"/>
      <c r="F51" s="48"/>
      <c r="G51" s="48"/>
      <c r="H51" s="48"/>
      <c r="I51" s="49"/>
      <c r="J51" s="50" t="s">
        <v>155</v>
      </c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6"/>
      <c r="X51" s="53"/>
      <c r="Y51" s="54"/>
      <c r="Z51" s="54"/>
      <c r="AA51" s="54"/>
      <c r="AB51" s="54"/>
      <c r="AC51" s="54"/>
      <c r="AD51" s="54"/>
      <c r="AE51" s="54"/>
      <c r="AF51" s="55"/>
      <c r="AG51" s="56">
        <v>59</v>
      </c>
      <c r="AH51" s="57"/>
      <c r="AI51" s="58"/>
      <c r="AJ51" s="44" t="s">
        <v>20</v>
      </c>
      <c r="AK51" s="45"/>
      <c r="AL51" s="46"/>
      <c r="AM51" s="59" t="s">
        <v>21</v>
      </c>
      <c r="AN51" s="60"/>
      <c r="AO51" s="61"/>
      <c r="AP51" s="62" t="s">
        <v>210</v>
      </c>
      <c r="AQ51" s="68"/>
      <c r="AR51" s="68"/>
      <c r="AS51" s="68"/>
      <c r="AT51" s="68"/>
      <c r="AU51" s="68"/>
      <c r="AV51" s="68"/>
      <c r="AW51" s="68"/>
      <c r="AX51" s="68"/>
      <c r="AY51" s="68"/>
      <c r="AZ51" s="68"/>
      <c r="BA51" s="68"/>
      <c r="BB51" s="68"/>
      <c r="BC51" s="68"/>
      <c r="BD51" s="68"/>
      <c r="BE51" s="68"/>
      <c r="BF51" s="68"/>
      <c r="BG51" s="68"/>
      <c r="BH51" s="68"/>
      <c r="BI51" s="68"/>
      <c r="BJ51" s="69"/>
    </row>
    <row r="52" spans="1:63" s="5" customFormat="1" ht="30.6" customHeight="1">
      <c r="A52" s="44">
        <f t="shared" si="0"/>
        <v>46</v>
      </c>
      <c r="B52" s="45"/>
      <c r="C52" s="46"/>
      <c r="D52" s="47" t="s">
        <v>76</v>
      </c>
      <c r="E52" s="48"/>
      <c r="F52" s="48"/>
      <c r="G52" s="48"/>
      <c r="H52" s="48"/>
      <c r="I52" s="49"/>
      <c r="J52" s="50" t="s">
        <v>262</v>
      </c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6"/>
      <c r="X52" s="53"/>
      <c r="Y52" s="54"/>
      <c r="Z52" s="54"/>
      <c r="AA52" s="54"/>
      <c r="AB52" s="54"/>
      <c r="AC52" s="54"/>
      <c r="AD52" s="54"/>
      <c r="AE52" s="54"/>
      <c r="AF52" s="55"/>
      <c r="AG52" s="56">
        <v>31</v>
      </c>
      <c r="AH52" s="57"/>
      <c r="AI52" s="58"/>
      <c r="AJ52" s="59" t="s">
        <v>21</v>
      </c>
      <c r="AK52" s="60"/>
      <c r="AL52" s="61"/>
      <c r="AM52" s="44" t="s">
        <v>20</v>
      </c>
      <c r="AN52" s="45"/>
      <c r="AO52" s="46"/>
      <c r="AP52" s="62" t="s">
        <v>252</v>
      </c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  <c r="BG52" s="68"/>
      <c r="BH52" s="68"/>
      <c r="BI52" s="68"/>
      <c r="BJ52" s="69"/>
      <c r="BK52" s="22"/>
    </row>
    <row r="53" spans="1:63" s="5" customFormat="1" ht="30.6" customHeight="1">
      <c r="A53" s="44">
        <f t="shared" si="0"/>
        <v>47</v>
      </c>
      <c r="B53" s="45"/>
      <c r="C53" s="46"/>
      <c r="D53" s="47" t="s">
        <v>87</v>
      </c>
      <c r="E53" s="48"/>
      <c r="F53" s="48"/>
      <c r="G53" s="48"/>
      <c r="H53" s="48"/>
      <c r="I53" s="49"/>
      <c r="J53" s="50" t="s">
        <v>120</v>
      </c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6"/>
      <c r="X53" s="53"/>
      <c r="Y53" s="54"/>
      <c r="Z53" s="54"/>
      <c r="AA53" s="54"/>
      <c r="AB53" s="54"/>
      <c r="AC53" s="54"/>
      <c r="AD53" s="54"/>
      <c r="AE53" s="54"/>
      <c r="AF53" s="55"/>
      <c r="AG53" s="56">
        <v>25</v>
      </c>
      <c r="AH53" s="57"/>
      <c r="AI53" s="58"/>
      <c r="AJ53" s="44" t="s">
        <v>20</v>
      </c>
      <c r="AK53" s="45"/>
      <c r="AL53" s="46"/>
      <c r="AM53" s="59" t="s">
        <v>21</v>
      </c>
      <c r="AN53" s="60"/>
      <c r="AO53" s="61"/>
      <c r="AP53" s="62" t="s">
        <v>209</v>
      </c>
      <c r="AQ53" s="68"/>
      <c r="AR53" s="68"/>
      <c r="AS53" s="68"/>
      <c r="AT53" s="68"/>
      <c r="AU53" s="68"/>
      <c r="AV53" s="68"/>
      <c r="AW53" s="68"/>
      <c r="AX53" s="68"/>
      <c r="AY53" s="68"/>
      <c r="AZ53" s="68"/>
      <c r="BA53" s="68"/>
      <c r="BB53" s="68"/>
      <c r="BC53" s="68"/>
      <c r="BD53" s="68"/>
      <c r="BE53" s="68"/>
      <c r="BF53" s="68"/>
      <c r="BG53" s="68"/>
      <c r="BH53" s="68"/>
      <c r="BI53" s="68"/>
      <c r="BJ53" s="69"/>
    </row>
    <row r="54" spans="1:63" s="5" customFormat="1" ht="30.6" customHeight="1">
      <c r="A54" s="44">
        <f t="shared" si="0"/>
        <v>48</v>
      </c>
      <c r="B54" s="45"/>
      <c r="C54" s="46"/>
      <c r="D54" s="47" t="s">
        <v>86</v>
      </c>
      <c r="E54" s="48"/>
      <c r="F54" s="48"/>
      <c r="G54" s="48"/>
      <c r="H54" s="48"/>
      <c r="I54" s="49"/>
      <c r="J54" s="50" t="s">
        <v>156</v>
      </c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6"/>
      <c r="X54" s="53"/>
      <c r="Y54" s="54"/>
      <c r="Z54" s="54"/>
      <c r="AA54" s="54"/>
      <c r="AB54" s="54"/>
      <c r="AC54" s="54"/>
      <c r="AD54" s="54"/>
      <c r="AE54" s="54"/>
      <c r="AF54" s="55"/>
      <c r="AG54" s="56">
        <v>25</v>
      </c>
      <c r="AH54" s="57"/>
      <c r="AI54" s="58"/>
      <c r="AJ54" s="59" t="s">
        <v>21</v>
      </c>
      <c r="AK54" s="60"/>
      <c r="AL54" s="61"/>
      <c r="AM54" s="56" t="s">
        <v>20</v>
      </c>
      <c r="AN54" s="57"/>
      <c r="AO54" s="58"/>
      <c r="AP54" s="62" t="s">
        <v>197</v>
      </c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9"/>
    </row>
    <row r="55" spans="1:63" s="5" customFormat="1" ht="30.6" customHeight="1">
      <c r="A55" s="44">
        <f t="shared" si="0"/>
        <v>49</v>
      </c>
      <c r="B55" s="45"/>
      <c r="C55" s="46"/>
      <c r="D55" s="47" t="s">
        <v>50</v>
      </c>
      <c r="E55" s="48"/>
      <c r="F55" s="48"/>
      <c r="G55" s="48"/>
      <c r="H55" s="48"/>
      <c r="I55" s="49"/>
      <c r="J55" s="50" t="s">
        <v>157</v>
      </c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6"/>
      <c r="X55" s="53"/>
      <c r="Y55" s="54"/>
      <c r="Z55" s="54"/>
      <c r="AA55" s="54"/>
      <c r="AB55" s="54"/>
      <c r="AC55" s="54"/>
      <c r="AD55" s="54"/>
      <c r="AE55" s="54"/>
      <c r="AF55" s="55"/>
      <c r="AG55" s="56">
        <v>34</v>
      </c>
      <c r="AH55" s="57"/>
      <c r="AI55" s="58"/>
      <c r="AJ55" s="44" t="s">
        <v>20</v>
      </c>
      <c r="AK55" s="45"/>
      <c r="AL55" s="46"/>
      <c r="AM55" s="59" t="s">
        <v>21</v>
      </c>
      <c r="AN55" s="60"/>
      <c r="AO55" s="61"/>
      <c r="AP55" s="62" t="s">
        <v>207</v>
      </c>
      <c r="AQ55" s="68"/>
      <c r="AR55" s="68"/>
      <c r="AS55" s="68"/>
      <c r="AT55" s="68"/>
      <c r="AU55" s="68"/>
      <c r="AV55" s="68"/>
      <c r="AW55" s="68"/>
      <c r="AX55" s="68"/>
      <c r="AY55" s="68"/>
      <c r="AZ55" s="68"/>
      <c r="BA55" s="68"/>
      <c r="BB55" s="68"/>
      <c r="BC55" s="68"/>
      <c r="BD55" s="68"/>
      <c r="BE55" s="68"/>
      <c r="BF55" s="68"/>
      <c r="BG55" s="68"/>
      <c r="BH55" s="68"/>
      <c r="BI55" s="68"/>
      <c r="BJ55" s="69"/>
    </row>
    <row r="56" spans="1:63" s="5" customFormat="1" ht="30.6" customHeight="1">
      <c r="A56" s="44">
        <f t="shared" si="0"/>
        <v>50</v>
      </c>
      <c r="B56" s="45"/>
      <c r="C56" s="46"/>
      <c r="D56" s="47" t="s">
        <v>51</v>
      </c>
      <c r="E56" s="48"/>
      <c r="F56" s="48"/>
      <c r="G56" s="48"/>
      <c r="H56" s="48"/>
      <c r="I56" s="49"/>
      <c r="J56" s="50" t="s">
        <v>158</v>
      </c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6"/>
      <c r="X56" s="53"/>
      <c r="Y56" s="54"/>
      <c r="Z56" s="54"/>
      <c r="AA56" s="54"/>
      <c r="AB56" s="54"/>
      <c r="AC56" s="54"/>
      <c r="AD56" s="54"/>
      <c r="AE56" s="54"/>
      <c r="AF56" s="55"/>
      <c r="AG56" s="56">
        <v>51</v>
      </c>
      <c r="AH56" s="57"/>
      <c r="AI56" s="58"/>
      <c r="AJ56" s="44" t="s">
        <v>20</v>
      </c>
      <c r="AK56" s="45"/>
      <c r="AL56" s="46"/>
      <c r="AM56" s="59" t="s">
        <v>21</v>
      </c>
      <c r="AN56" s="60"/>
      <c r="AO56" s="61"/>
      <c r="AP56" s="62" t="s">
        <v>208</v>
      </c>
      <c r="AQ56" s="68"/>
      <c r="AR56" s="68"/>
      <c r="AS56" s="68"/>
      <c r="AT56" s="68"/>
      <c r="AU56" s="68"/>
      <c r="AV56" s="68"/>
      <c r="AW56" s="68"/>
      <c r="AX56" s="68"/>
      <c r="AY56" s="68"/>
      <c r="AZ56" s="68"/>
      <c r="BA56" s="68"/>
      <c r="BB56" s="68"/>
      <c r="BC56" s="68"/>
      <c r="BD56" s="68"/>
      <c r="BE56" s="68"/>
      <c r="BF56" s="68"/>
      <c r="BG56" s="68"/>
      <c r="BH56" s="68"/>
      <c r="BI56" s="68"/>
      <c r="BJ56" s="69"/>
    </row>
    <row r="57" spans="1:63" s="5" customFormat="1" ht="30.6" customHeight="1">
      <c r="A57" s="44">
        <f t="shared" si="0"/>
        <v>51</v>
      </c>
      <c r="B57" s="45"/>
      <c r="C57" s="46"/>
      <c r="D57" s="47" t="s">
        <v>52</v>
      </c>
      <c r="E57" s="48"/>
      <c r="F57" s="48"/>
      <c r="G57" s="48"/>
      <c r="H57" s="48"/>
      <c r="I57" s="49"/>
      <c r="J57" s="50" t="s">
        <v>159</v>
      </c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6"/>
      <c r="X57" s="53"/>
      <c r="Y57" s="54"/>
      <c r="Z57" s="54"/>
      <c r="AA57" s="54"/>
      <c r="AB57" s="54"/>
      <c r="AC57" s="54"/>
      <c r="AD57" s="54"/>
      <c r="AE57" s="54"/>
      <c r="AF57" s="55"/>
      <c r="AG57" s="56">
        <v>31</v>
      </c>
      <c r="AH57" s="57"/>
      <c r="AI57" s="58"/>
      <c r="AJ57" s="44" t="s">
        <v>20</v>
      </c>
      <c r="AK57" s="45"/>
      <c r="AL57" s="46"/>
      <c r="AM57" s="59" t="s">
        <v>21</v>
      </c>
      <c r="AN57" s="60"/>
      <c r="AO57" s="61"/>
      <c r="AP57" s="62" t="s">
        <v>205</v>
      </c>
      <c r="AQ57" s="68"/>
      <c r="AR57" s="68"/>
      <c r="AS57" s="68"/>
      <c r="AT57" s="68"/>
      <c r="AU57" s="68"/>
      <c r="AV57" s="68"/>
      <c r="AW57" s="68"/>
      <c r="AX57" s="68"/>
      <c r="AY57" s="68"/>
      <c r="AZ57" s="68"/>
      <c r="BA57" s="68"/>
      <c r="BB57" s="68"/>
      <c r="BC57" s="68"/>
      <c r="BD57" s="68"/>
      <c r="BE57" s="68"/>
      <c r="BF57" s="68"/>
      <c r="BG57" s="68"/>
      <c r="BH57" s="68"/>
      <c r="BI57" s="68"/>
      <c r="BJ57" s="69"/>
    </row>
    <row r="58" spans="1:63" s="5" customFormat="1" ht="30.6" customHeight="1">
      <c r="A58" s="44">
        <f t="shared" si="0"/>
        <v>52</v>
      </c>
      <c r="B58" s="45"/>
      <c r="C58" s="46"/>
      <c r="D58" s="47" t="s">
        <v>53</v>
      </c>
      <c r="E58" s="48"/>
      <c r="F58" s="48"/>
      <c r="G58" s="48"/>
      <c r="H58" s="48"/>
      <c r="I58" s="49"/>
      <c r="J58" s="50" t="s">
        <v>160</v>
      </c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6"/>
      <c r="X58" s="53"/>
      <c r="Y58" s="54"/>
      <c r="Z58" s="54"/>
      <c r="AA58" s="54"/>
      <c r="AB58" s="54"/>
      <c r="AC58" s="54"/>
      <c r="AD58" s="54"/>
      <c r="AE58" s="54"/>
      <c r="AF58" s="55"/>
      <c r="AG58" s="56">
        <v>26</v>
      </c>
      <c r="AH58" s="57"/>
      <c r="AI58" s="58"/>
      <c r="AJ58" s="44" t="s">
        <v>20</v>
      </c>
      <c r="AK58" s="45"/>
      <c r="AL58" s="46"/>
      <c r="AM58" s="59" t="s">
        <v>21</v>
      </c>
      <c r="AN58" s="60"/>
      <c r="AO58" s="61"/>
      <c r="AP58" s="62" t="s">
        <v>206</v>
      </c>
      <c r="AQ58" s="68"/>
      <c r="AR58" s="68"/>
      <c r="AS58" s="68"/>
      <c r="AT58" s="68"/>
      <c r="AU58" s="68"/>
      <c r="AV58" s="68"/>
      <c r="AW58" s="68"/>
      <c r="AX58" s="68"/>
      <c r="AY58" s="68"/>
      <c r="AZ58" s="68"/>
      <c r="BA58" s="68"/>
      <c r="BB58" s="68"/>
      <c r="BC58" s="68"/>
      <c r="BD58" s="68"/>
      <c r="BE58" s="68"/>
      <c r="BF58" s="68"/>
      <c r="BG58" s="68"/>
      <c r="BH58" s="68"/>
      <c r="BI58" s="68"/>
      <c r="BJ58" s="69"/>
    </row>
    <row r="59" spans="1:63" s="5" customFormat="1" ht="30.6" customHeight="1">
      <c r="A59" s="44">
        <f t="shared" si="0"/>
        <v>53</v>
      </c>
      <c r="B59" s="45"/>
      <c r="C59" s="46"/>
      <c r="D59" s="47" t="s">
        <v>253</v>
      </c>
      <c r="E59" s="48"/>
      <c r="F59" s="48"/>
      <c r="G59" s="48"/>
      <c r="H59" s="48"/>
      <c r="I59" s="49"/>
      <c r="J59" s="50" t="s">
        <v>249</v>
      </c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6"/>
      <c r="X59" s="53"/>
      <c r="Y59" s="54"/>
      <c r="Z59" s="54"/>
      <c r="AA59" s="54"/>
      <c r="AB59" s="54"/>
      <c r="AC59" s="54"/>
      <c r="AD59" s="54"/>
      <c r="AE59" s="54"/>
      <c r="AF59" s="55"/>
      <c r="AG59" s="56">
        <v>61</v>
      </c>
      <c r="AH59" s="57"/>
      <c r="AI59" s="58"/>
      <c r="AJ59" s="44" t="s">
        <v>20</v>
      </c>
      <c r="AK59" s="45"/>
      <c r="AL59" s="46"/>
      <c r="AM59" s="59" t="s">
        <v>21</v>
      </c>
      <c r="AN59" s="60"/>
      <c r="AO59" s="61"/>
      <c r="AP59" s="62" t="s">
        <v>250</v>
      </c>
      <c r="AQ59" s="68"/>
      <c r="AR59" s="68"/>
      <c r="AS59" s="68"/>
      <c r="AT59" s="68"/>
      <c r="AU59" s="68"/>
      <c r="AV59" s="68"/>
      <c r="AW59" s="68"/>
      <c r="AX59" s="68"/>
      <c r="AY59" s="68"/>
      <c r="AZ59" s="68"/>
      <c r="BA59" s="68"/>
      <c r="BB59" s="68"/>
      <c r="BC59" s="68"/>
      <c r="BD59" s="68"/>
      <c r="BE59" s="68"/>
      <c r="BF59" s="68"/>
      <c r="BG59" s="68"/>
      <c r="BH59" s="68"/>
      <c r="BI59" s="68"/>
      <c r="BJ59" s="69"/>
    </row>
    <row r="60" spans="1:63" s="5" customFormat="1" ht="30.6" customHeight="1">
      <c r="A60" s="44">
        <f t="shared" si="0"/>
        <v>54</v>
      </c>
      <c r="B60" s="45"/>
      <c r="C60" s="46"/>
      <c r="D60" s="47" t="s">
        <v>77</v>
      </c>
      <c r="E60" s="48"/>
      <c r="F60" s="48"/>
      <c r="G60" s="48"/>
      <c r="H60" s="48"/>
      <c r="I60" s="49"/>
      <c r="J60" s="50" t="s">
        <v>161</v>
      </c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6"/>
      <c r="X60" s="53"/>
      <c r="Y60" s="54"/>
      <c r="Z60" s="54"/>
      <c r="AA60" s="54"/>
      <c r="AB60" s="54"/>
      <c r="AC60" s="54"/>
      <c r="AD60" s="54"/>
      <c r="AE60" s="54"/>
      <c r="AF60" s="55"/>
      <c r="AG60" s="56">
        <v>61</v>
      </c>
      <c r="AH60" s="57"/>
      <c r="AI60" s="58"/>
      <c r="AJ60" s="59" t="s">
        <v>21</v>
      </c>
      <c r="AK60" s="60"/>
      <c r="AL60" s="61"/>
      <c r="AM60" s="56" t="s">
        <v>20</v>
      </c>
      <c r="AN60" s="57"/>
      <c r="AO60" s="58"/>
      <c r="AP60" s="62" t="s">
        <v>251</v>
      </c>
      <c r="AQ60" s="68"/>
      <c r="AR60" s="68"/>
      <c r="AS60" s="68"/>
      <c r="AT60" s="68"/>
      <c r="AU60" s="68"/>
      <c r="AV60" s="68"/>
      <c r="AW60" s="68"/>
      <c r="AX60" s="68"/>
      <c r="AY60" s="68"/>
      <c r="AZ60" s="68"/>
      <c r="BA60" s="68"/>
      <c r="BB60" s="68"/>
      <c r="BC60" s="68"/>
      <c r="BD60" s="68"/>
      <c r="BE60" s="68"/>
      <c r="BF60" s="68"/>
      <c r="BG60" s="68"/>
      <c r="BH60" s="68"/>
      <c r="BI60" s="68"/>
      <c r="BJ60" s="69"/>
    </row>
    <row r="61" spans="1:63" s="5" customFormat="1" ht="30.6" customHeight="1">
      <c r="A61" s="44">
        <f t="shared" si="0"/>
        <v>55</v>
      </c>
      <c r="B61" s="45"/>
      <c r="C61" s="46"/>
      <c r="D61" s="47" t="s">
        <v>254</v>
      </c>
      <c r="E61" s="48"/>
      <c r="F61" s="48"/>
      <c r="G61" s="48"/>
      <c r="H61" s="48"/>
      <c r="I61" s="49"/>
      <c r="J61" s="50" t="s">
        <v>243</v>
      </c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6"/>
      <c r="X61" s="53"/>
      <c r="Y61" s="54"/>
      <c r="Z61" s="54"/>
      <c r="AA61" s="54"/>
      <c r="AB61" s="54"/>
      <c r="AC61" s="54"/>
      <c r="AD61" s="54"/>
      <c r="AE61" s="54"/>
      <c r="AF61" s="55"/>
      <c r="AG61" s="56">
        <v>35</v>
      </c>
      <c r="AH61" s="57"/>
      <c r="AI61" s="58"/>
      <c r="AJ61" s="44" t="s">
        <v>20</v>
      </c>
      <c r="AK61" s="45"/>
      <c r="AL61" s="46"/>
      <c r="AM61" s="59" t="s">
        <v>21</v>
      </c>
      <c r="AN61" s="60"/>
      <c r="AO61" s="61"/>
      <c r="AP61" s="62" t="s">
        <v>244</v>
      </c>
      <c r="AQ61" s="68"/>
      <c r="AR61" s="68"/>
      <c r="AS61" s="68"/>
      <c r="AT61" s="68"/>
      <c r="AU61" s="68"/>
      <c r="AV61" s="68"/>
      <c r="AW61" s="68"/>
      <c r="AX61" s="68"/>
      <c r="AY61" s="68"/>
      <c r="AZ61" s="68"/>
      <c r="BA61" s="68"/>
      <c r="BB61" s="68"/>
      <c r="BC61" s="68"/>
      <c r="BD61" s="68"/>
      <c r="BE61" s="68"/>
      <c r="BF61" s="68"/>
      <c r="BG61" s="68"/>
      <c r="BH61" s="68"/>
      <c r="BI61" s="68"/>
      <c r="BJ61" s="69"/>
    </row>
    <row r="62" spans="1:63" s="5" customFormat="1" ht="30.6" customHeight="1">
      <c r="A62" s="44">
        <f t="shared" si="0"/>
        <v>56</v>
      </c>
      <c r="B62" s="45"/>
      <c r="C62" s="46"/>
      <c r="D62" s="47" t="s">
        <v>78</v>
      </c>
      <c r="E62" s="48"/>
      <c r="F62" s="48"/>
      <c r="G62" s="48"/>
      <c r="H62" s="48"/>
      <c r="I62" s="49"/>
      <c r="J62" s="50" t="s">
        <v>162</v>
      </c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6"/>
      <c r="X62" s="53"/>
      <c r="Y62" s="54"/>
      <c r="Z62" s="54"/>
      <c r="AA62" s="54"/>
      <c r="AB62" s="54"/>
      <c r="AC62" s="54"/>
      <c r="AD62" s="54"/>
      <c r="AE62" s="54"/>
      <c r="AF62" s="55"/>
      <c r="AG62" s="56">
        <v>35</v>
      </c>
      <c r="AH62" s="57"/>
      <c r="AI62" s="58"/>
      <c r="AJ62" s="59" t="s">
        <v>21</v>
      </c>
      <c r="AK62" s="60"/>
      <c r="AL62" s="61"/>
      <c r="AM62" s="56" t="s">
        <v>20</v>
      </c>
      <c r="AN62" s="57"/>
      <c r="AO62" s="58"/>
      <c r="AP62" s="62" t="s">
        <v>245</v>
      </c>
      <c r="AQ62" s="68"/>
      <c r="AR62" s="68"/>
      <c r="AS62" s="68"/>
      <c r="AT62" s="68"/>
      <c r="AU62" s="68"/>
      <c r="AV62" s="68"/>
      <c r="AW62" s="68"/>
      <c r="AX62" s="68"/>
      <c r="AY62" s="68"/>
      <c r="AZ62" s="68"/>
      <c r="BA62" s="68"/>
      <c r="BB62" s="68"/>
      <c r="BC62" s="68"/>
      <c r="BD62" s="68"/>
      <c r="BE62" s="68"/>
      <c r="BF62" s="68"/>
      <c r="BG62" s="68"/>
      <c r="BH62" s="68"/>
      <c r="BI62" s="68"/>
      <c r="BJ62" s="69"/>
    </row>
    <row r="63" spans="1:63" s="5" customFormat="1" ht="30.6" customHeight="1">
      <c r="A63" s="44">
        <f t="shared" si="0"/>
        <v>57</v>
      </c>
      <c r="B63" s="45"/>
      <c r="C63" s="46"/>
      <c r="D63" s="47" t="s">
        <v>255</v>
      </c>
      <c r="E63" s="48"/>
      <c r="F63" s="48"/>
      <c r="G63" s="48"/>
      <c r="H63" s="48"/>
      <c r="I63" s="49"/>
      <c r="J63" s="50" t="s">
        <v>246</v>
      </c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6"/>
      <c r="X63" s="53"/>
      <c r="Y63" s="54"/>
      <c r="Z63" s="54"/>
      <c r="AA63" s="54"/>
      <c r="AB63" s="54"/>
      <c r="AC63" s="54"/>
      <c r="AD63" s="54"/>
      <c r="AE63" s="54"/>
      <c r="AF63" s="55"/>
      <c r="AG63" s="56">
        <v>24</v>
      </c>
      <c r="AH63" s="57"/>
      <c r="AI63" s="58"/>
      <c r="AJ63" s="59" t="s">
        <v>20</v>
      </c>
      <c r="AK63" s="60"/>
      <c r="AL63" s="61"/>
      <c r="AM63" s="59" t="s">
        <v>21</v>
      </c>
      <c r="AN63" s="60"/>
      <c r="AO63" s="61"/>
      <c r="AP63" s="62" t="s">
        <v>247</v>
      </c>
      <c r="AQ63" s="68"/>
      <c r="AR63" s="68"/>
      <c r="AS63" s="68"/>
      <c r="AT63" s="68"/>
      <c r="AU63" s="68"/>
      <c r="AV63" s="68"/>
      <c r="AW63" s="68"/>
      <c r="AX63" s="68"/>
      <c r="AY63" s="68"/>
      <c r="AZ63" s="68"/>
      <c r="BA63" s="68"/>
      <c r="BB63" s="68"/>
      <c r="BC63" s="68"/>
      <c r="BD63" s="68"/>
      <c r="BE63" s="68"/>
      <c r="BF63" s="68"/>
      <c r="BG63" s="68"/>
      <c r="BH63" s="68"/>
      <c r="BI63" s="68"/>
      <c r="BJ63" s="69"/>
    </row>
    <row r="64" spans="1:63" s="5" customFormat="1" ht="30.6" customHeight="1">
      <c r="A64" s="44">
        <f t="shared" si="0"/>
        <v>58</v>
      </c>
      <c r="B64" s="45"/>
      <c r="C64" s="46"/>
      <c r="D64" s="47" t="s">
        <v>79</v>
      </c>
      <c r="E64" s="48"/>
      <c r="F64" s="48"/>
      <c r="G64" s="48"/>
      <c r="H64" s="48"/>
      <c r="I64" s="49"/>
      <c r="J64" s="50" t="s">
        <v>163</v>
      </c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6"/>
      <c r="X64" s="53"/>
      <c r="Y64" s="54"/>
      <c r="Z64" s="54"/>
      <c r="AA64" s="54"/>
      <c r="AB64" s="54"/>
      <c r="AC64" s="54"/>
      <c r="AD64" s="54"/>
      <c r="AE64" s="54"/>
      <c r="AF64" s="55"/>
      <c r="AG64" s="56">
        <v>24</v>
      </c>
      <c r="AH64" s="57"/>
      <c r="AI64" s="58"/>
      <c r="AJ64" s="44" t="s">
        <v>21</v>
      </c>
      <c r="AK64" s="45"/>
      <c r="AL64" s="46"/>
      <c r="AM64" s="59" t="s">
        <v>20</v>
      </c>
      <c r="AN64" s="60"/>
      <c r="AO64" s="61"/>
      <c r="AP64" s="62" t="s">
        <v>248</v>
      </c>
      <c r="AQ64" s="68"/>
      <c r="AR64" s="68"/>
      <c r="AS64" s="68"/>
      <c r="AT64" s="68"/>
      <c r="AU64" s="68"/>
      <c r="AV64" s="68"/>
      <c r="AW64" s="68"/>
      <c r="AX64" s="68"/>
      <c r="AY64" s="68"/>
      <c r="AZ64" s="68"/>
      <c r="BA64" s="68"/>
      <c r="BB64" s="68"/>
      <c r="BC64" s="68"/>
      <c r="BD64" s="68"/>
      <c r="BE64" s="68"/>
      <c r="BF64" s="68"/>
      <c r="BG64" s="68"/>
      <c r="BH64" s="68"/>
      <c r="BI64" s="68"/>
      <c r="BJ64" s="69"/>
    </row>
    <row r="65" spans="1:62" s="5" customFormat="1" ht="30.6" customHeight="1">
      <c r="A65" s="44">
        <f t="shared" si="0"/>
        <v>59</v>
      </c>
      <c r="B65" s="45"/>
      <c r="C65" s="46"/>
      <c r="D65" s="47" t="s">
        <v>88</v>
      </c>
      <c r="E65" s="48"/>
      <c r="F65" s="48"/>
      <c r="G65" s="48"/>
      <c r="H65" s="48"/>
      <c r="I65" s="49"/>
      <c r="J65" s="50" t="s">
        <v>164</v>
      </c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6"/>
      <c r="X65" s="53"/>
      <c r="Y65" s="54"/>
      <c r="Z65" s="54"/>
      <c r="AA65" s="54"/>
      <c r="AB65" s="54"/>
      <c r="AC65" s="54"/>
      <c r="AD65" s="54"/>
      <c r="AE65" s="54"/>
      <c r="AF65" s="55"/>
      <c r="AG65" s="56">
        <v>70</v>
      </c>
      <c r="AH65" s="57"/>
      <c r="AI65" s="58"/>
      <c r="AJ65" s="44" t="s">
        <v>41</v>
      </c>
      <c r="AK65" s="45"/>
      <c r="AL65" s="46"/>
      <c r="AM65" s="59" t="s">
        <v>21</v>
      </c>
      <c r="AN65" s="60"/>
      <c r="AO65" s="61"/>
      <c r="AP65" s="62" t="s">
        <v>203</v>
      </c>
      <c r="AQ65" s="68"/>
      <c r="AR65" s="68"/>
      <c r="AS65" s="68"/>
      <c r="AT65" s="68"/>
      <c r="AU65" s="68"/>
      <c r="AV65" s="68"/>
      <c r="AW65" s="68"/>
      <c r="AX65" s="68"/>
      <c r="AY65" s="68"/>
      <c r="AZ65" s="68"/>
      <c r="BA65" s="68"/>
      <c r="BB65" s="68"/>
      <c r="BC65" s="68"/>
      <c r="BD65" s="68"/>
      <c r="BE65" s="68"/>
      <c r="BF65" s="68"/>
      <c r="BG65" s="68"/>
      <c r="BH65" s="68"/>
      <c r="BI65" s="68"/>
      <c r="BJ65" s="69"/>
    </row>
    <row r="66" spans="1:62" s="5" customFormat="1" ht="30.6" customHeight="1">
      <c r="A66" s="44">
        <f t="shared" si="0"/>
        <v>60</v>
      </c>
      <c r="B66" s="45"/>
      <c r="C66" s="46"/>
      <c r="D66" s="47" t="s">
        <v>80</v>
      </c>
      <c r="E66" s="48"/>
      <c r="F66" s="48"/>
      <c r="G66" s="48"/>
      <c r="H66" s="48"/>
      <c r="I66" s="49"/>
      <c r="J66" s="50" t="s">
        <v>165</v>
      </c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6"/>
      <c r="X66" s="53"/>
      <c r="Y66" s="54"/>
      <c r="Z66" s="54"/>
      <c r="AA66" s="54"/>
      <c r="AB66" s="54"/>
      <c r="AC66" s="54"/>
      <c r="AD66" s="54"/>
      <c r="AE66" s="54"/>
      <c r="AF66" s="55"/>
      <c r="AG66" s="56">
        <v>76</v>
      </c>
      <c r="AH66" s="57"/>
      <c r="AI66" s="58"/>
      <c r="AJ66" s="44" t="s">
        <v>21</v>
      </c>
      <c r="AK66" s="45"/>
      <c r="AL66" s="46"/>
      <c r="AM66" s="44" t="s">
        <v>20</v>
      </c>
      <c r="AN66" s="45"/>
      <c r="AO66" s="46"/>
      <c r="AP66" s="62" t="s">
        <v>204</v>
      </c>
      <c r="AQ66" s="68"/>
      <c r="AR66" s="68"/>
      <c r="AS66" s="68"/>
      <c r="AT66" s="68"/>
      <c r="AU66" s="68"/>
      <c r="AV66" s="68"/>
      <c r="AW66" s="68"/>
      <c r="AX66" s="68"/>
      <c r="AY66" s="68"/>
      <c r="AZ66" s="68"/>
      <c r="BA66" s="68"/>
      <c r="BB66" s="68"/>
      <c r="BC66" s="68"/>
      <c r="BD66" s="68"/>
      <c r="BE66" s="68"/>
      <c r="BF66" s="68"/>
      <c r="BG66" s="68"/>
      <c r="BH66" s="68"/>
      <c r="BI66" s="68"/>
      <c r="BJ66" s="69"/>
    </row>
    <row r="67" spans="1:62" s="5" customFormat="1" ht="30.6" customHeight="1">
      <c r="A67" s="44">
        <f t="shared" si="0"/>
        <v>61</v>
      </c>
      <c r="B67" s="45"/>
      <c r="C67" s="46"/>
      <c r="D67" s="47" t="s">
        <v>81</v>
      </c>
      <c r="E67" s="48"/>
      <c r="F67" s="48"/>
      <c r="G67" s="48"/>
      <c r="H67" s="48"/>
      <c r="I67" s="49"/>
      <c r="J67" s="50" t="s">
        <v>166</v>
      </c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6"/>
      <c r="X67" s="53"/>
      <c r="Y67" s="54"/>
      <c r="Z67" s="54"/>
      <c r="AA67" s="54"/>
      <c r="AB67" s="54"/>
      <c r="AC67" s="54"/>
      <c r="AD67" s="54"/>
      <c r="AE67" s="54"/>
      <c r="AF67" s="55"/>
      <c r="AG67" s="56">
        <v>79</v>
      </c>
      <c r="AH67" s="57"/>
      <c r="AI67" s="58"/>
      <c r="AJ67" s="44" t="s">
        <v>21</v>
      </c>
      <c r="AK67" s="45"/>
      <c r="AL67" s="46"/>
      <c r="AM67" s="44" t="s">
        <v>20</v>
      </c>
      <c r="AN67" s="45"/>
      <c r="AO67" s="46"/>
      <c r="AP67" s="62" t="s">
        <v>227</v>
      </c>
      <c r="AQ67" s="68"/>
      <c r="AR67" s="68"/>
      <c r="AS67" s="68"/>
      <c r="AT67" s="68"/>
      <c r="AU67" s="68"/>
      <c r="AV67" s="68"/>
      <c r="AW67" s="68"/>
      <c r="AX67" s="68"/>
      <c r="AY67" s="68"/>
      <c r="AZ67" s="68"/>
      <c r="BA67" s="68"/>
      <c r="BB67" s="68"/>
      <c r="BC67" s="68"/>
      <c r="BD67" s="68"/>
      <c r="BE67" s="68"/>
      <c r="BF67" s="68"/>
      <c r="BG67" s="68"/>
      <c r="BH67" s="68"/>
      <c r="BI67" s="68"/>
      <c r="BJ67" s="69"/>
    </row>
    <row r="68" spans="1:62" s="5" customFormat="1" ht="30.6" customHeight="1">
      <c r="A68" s="44">
        <f t="shared" si="0"/>
        <v>62</v>
      </c>
      <c r="B68" s="45"/>
      <c r="C68" s="46"/>
      <c r="D68" s="47" t="s">
        <v>82</v>
      </c>
      <c r="E68" s="48"/>
      <c r="F68" s="48"/>
      <c r="G68" s="48"/>
      <c r="H68" s="48"/>
      <c r="I68" s="49"/>
      <c r="J68" s="50" t="s">
        <v>167</v>
      </c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6"/>
      <c r="X68" s="53"/>
      <c r="Y68" s="54"/>
      <c r="Z68" s="54"/>
      <c r="AA68" s="54"/>
      <c r="AB68" s="54"/>
      <c r="AC68" s="54"/>
      <c r="AD68" s="54"/>
      <c r="AE68" s="54"/>
      <c r="AF68" s="55"/>
      <c r="AG68" s="56">
        <v>35</v>
      </c>
      <c r="AH68" s="57"/>
      <c r="AI68" s="58"/>
      <c r="AJ68" s="44" t="s">
        <v>41</v>
      </c>
      <c r="AK68" s="45"/>
      <c r="AL68" s="46"/>
      <c r="AM68" s="59" t="s">
        <v>21</v>
      </c>
      <c r="AN68" s="60"/>
      <c r="AO68" s="61"/>
      <c r="AP68" s="62" t="s">
        <v>199</v>
      </c>
      <c r="AQ68" s="68"/>
      <c r="AR68" s="68"/>
      <c r="AS68" s="68"/>
      <c r="AT68" s="68"/>
      <c r="AU68" s="68"/>
      <c r="AV68" s="68"/>
      <c r="AW68" s="68"/>
      <c r="AX68" s="68"/>
      <c r="AY68" s="68"/>
      <c r="AZ68" s="68"/>
      <c r="BA68" s="68"/>
      <c r="BB68" s="68"/>
      <c r="BC68" s="68"/>
      <c r="BD68" s="68"/>
      <c r="BE68" s="68"/>
      <c r="BF68" s="68"/>
      <c r="BG68" s="68"/>
      <c r="BH68" s="68"/>
      <c r="BI68" s="68"/>
      <c r="BJ68" s="69"/>
    </row>
    <row r="69" spans="1:62" s="5" customFormat="1" ht="30.6" customHeight="1">
      <c r="A69" s="44">
        <f t="shared" si="0"/>
        <v>63</v>
      </c>
      <c r="B69" s="45"/>
      <c r="C69" s="46"/>
      <c r="D69" s="47" t="s">
        <v>83</v>
      </c>
      <c r="E69" s="48"/>
      <c r="F69" s="48"/>
      <c r="G69" s="48"/>
      <c r="H69" s="48"/>
      <c r="I69" s="49"/>
      <c r="J69" s="50" t="s">
        <v>168</v>
      </c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6"/>
      <c r="X69" s="53"/>
      <c r="Y69" s="54"/>
      <c r="Z69" s="54"/>
      <c r="AA69" s="54"/>
      <c r="AB69" s="54"/>
      <c r="AC69" s="54"/>
      <c r="AD69" s="54"/>
      <c r="AE69" s="54"/>
      <c r="AF69" s="55"/>
      <c r="AG69" s="56">
        <v>15</v>
      </c>
      <c r="AH69" s="57"/>
      <c r="AI69" s="58"/>
      <c r="AJ69" s="44" t="s">
        <v>41</v>
      </c>
      <c r="AK69" s="45"/>
      <c r="AL69" s="46"/>
      <c r="AM69" s="59" t="s">
        <v>21</v>
      </c>
      <c r="AN69" s="60"/>
      <c r="AO69" s="61"/>
      <c r="AP69" s="62" t="s">
        <v>200</v>
      </c>
      <c r="AQ69" s="68"/>
      <c r="AR69" s="68"/>
      <c r="AS69" s="68"/>
      <c r="AT69" s="68"/>
      <c r="AU69" s="68"/>
      <c r="AV69" s="68"/>
      <c r="AW69" s="68"/>
      <c r="AX69" s="68"/>
      <c r="AY69" s="68"/>
      <c r="AZ69" s="68"/>
      <c r="BA69" s="68"/>
      <c r="BB69" s="68"/>
      <c r="BC69" s="68"/>
      <c r="BD69" s="68"/>
      <c r="BE69" s="68"/>
      <c r="BF69" s="68"/>
      <c r="BG69" s="68"/>
      <c r="BH69" s="68"/>
      <c r="BI69" s="68"/>
      <c r="BJ69" s="69"/>
    </row>
    <row r="70" spans="1:62" s="5" customFormat="1" ht="30.6" customHeight="1">
      <c r="A70" s="44">
        <f t="shared" si="0"/>
        <v>64</v>
      </c>
      <c r="B70" s="45"/>
      <c r="C70" s="46"/>
      <c r="D70" s="88" t="s">
        <v>256</v>
      </c>
      <c r="E70" s="48"/>
      <c r="F70" s="48"/>
      <c r="G70" s="48"/>
      <c r="H70" s="48"/>
      <c r="I70" s="49"/>
      <c r="J70" s="50" t="s">
        <v>241</v>
      </c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6"/>
      <c r="X70" s="53"/>
      <c r="Y70" s="54"/>
      <c r="Z70" s="54"/>
      <c r="AA70" s="54"/>
      <c r="AB70" s="54"/>
      <c r="AC70" s="54"/>
      <c r="AD70" s="54"/>
      <c r="AE70" s="54"/>
      <c r="AF70" s="55"/>
      <c r="AG70" s="56">
        <v>17</v>
      </c>
      <c r="AH70" s="57"/>
      <c r="AI70" s="58"/>
      <c r="AJ70" s="44" t="s">
        <v>41</v>
      </c>
      <c r="AK70" s="45"/>
      <c r="AL70" s="46"/>
      <c r="AM70" s="59" t="s">
        <v>21</v>
      </c>
      <c r="AN70" s="60"/>
      <c r="AO70" s="61"/>
      <c r="AP70" s="62" t="s">
        <v>202</v>
      </c>
      <c r="AQ70" s="68"/>
      <c r="AR70" s="68"/>
      <c r="AS70" s="68"/>
      <c r="AT70" s="68"/>
      <c r="AU70" s="68"/>
      <c r="AV70" s="68"/>
      <c r="AW70" s="68"/>
      <c r="AX70" s="68"/>
      <c r="AY70" s="68"/>
      <c r="AZ70" s="68"/>
      <c r="BA70" s="68"/>
      <c r="BB70" s="68"/>
      <c r="BC70" s="68"/>
      <c r="BD70" s="68"/>
      <c r="BE70" s="68"/>
      <c r="BF70" s="68"/>
      <c r="BG70" s="68"/>
      <c r="BH70" s="68"/>
      <c r="BI70" s="68"/>
      <c r="BJ70" s="69"/>
    </row>
    <row r="71" spans="1:62" s="5" customFormat="1" ht="30.6" customHeight="1">
      <c r="A71" s="44">
        <f t="shared" si="0"/>
        <v>65</v>
      </c>
      <c r="B71" s="45"/>
      <c r="C71" s="46"/>
      <c r="D71" s="88" t="s">
        <v>257</v>
      </c>
      <c r="E71" s="48"/>
      <c r="F71" s="48"/>
      <c r="G71" s="48"/>
      <c r="H71" s="48"/>
      <c r="I71" s="49"/>
      <c r="J71" s="50" t="s">
        <v>169</v>
      </c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6"/>
      <c r="X71" s="53"/>
      <c r="Y71" s="54"/>
      <c r="Z71" s="54"/>
      <c r="AA71" s="54"/>
      <c r="AB71" s="54"/>
      <c r="AC71" s="54"/>
      <c r="AD71" s="54"/>
      <c r="AE71" s="54"/>
      <c r="AF71" s="55"/>
      <c r="AG71" s="56">
        <v>18</v>
      </c>
      <c r="AH71" s="57"/>
      <c r="AI71" s="58"/>
      <c r="AJ71" s="59" t="s">
        <v>21</v>
      </c>
      <c r="AK71" s="60"/>
      <c r="AL71" s="61"/>
      <c r="AM71" s="44" t="s">
        <v>20</v>
      </c>
      <c r="AN71" s="45"/>
      <c r="AO71" s="46"/>
      <c r="AP71" s="62" t="s">
        <v>242</v>
      </c>
      <c r="AQ71" s="68"/>
      <c r="AR71" s="68"/>
      <c r="AS71" s="68"/>
      <c r="AT71" s="68"/>
      <c r="AU71" s="68"/>
      <c r="AV71" s="68"/>
      <c r="AW71" s="68"/>
      <c r="AX71" s="68"/>
      <c r="AY71" s="68"/>
      <c r="AZ71" s="68"/>
      <c r="BA71" s="68"/>
      <c r="BB71" s="68"/>
      <c r="BC71" s="68"/>
      <c r="BD71" s="68"/>
      <c r="BE71" s="68"/>
      <c r="BF71" s="68"/>
      <c r="BG71" s="68"/>
      <c r="BH71" s="68"/>
      <c r="BI71" s="68"/>
      <c r="BJ71" s="69"/>
    </row>
    <row r="72" spans="1:62" s="5" customFormat="1" ht="30.6" customHeight="1">
      <c r="A72" s="44">
        <f t="shared" si="0"/>
        <v>66</v>
      </c>
      <c r="B72" s="45"/>
      <c r="C72" s="46"/>
      <c r="D72" s="88" t="s">
        <v>238</v>
      </c>
      <c r="E72" s="48"/>
      <c r="F72" s="48"/>
      <c r="G72" s="48"/>
      <c r="H72" s="48"/>
      <c r="I72" s="49"/>
      <c r="J72" s="50" t="s">
        <v>170</v>
      </c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6"/>
      <c r="X72" s="53"/>
      <c r="Y72" s="54"/>
      <c r="Z72" s="54"/>
      <c r="AA72" s="54"/>
      <c r="AB72" s="54"/>
      <c r="AC72" s="54"/>
      <c r="AD72" s="54"/>
      <c r="AE72" s="54"/>
      <c r="AF72" s="55"/>
      <c r="AG72" s="56">
        <v>20</v>
      </c>
      <c r="AH72" s="57"/>
      <c r="AI72" s="58"/>
      <c r="AJ72" s="44" t="s">
        <v>20</v>
      </c>
      <c r="AK72" s="45"/>
      <c r="AL72" s="46"/>
      <c r="AM72" s="59" t="s">
        <v>21</v>
      </c>
      <c r="AN72" s="60"/>
      <c r="AO72" s="61"/>
      <c r="AP72" s="62" t="s">
        <v>201</v>
      </c>
      <c r="AQ72" s="68"/>
      <c r="AR72" s="68"/>
      <c r="AS72" s="68"/>
      <c r="AT72" s="68"/>
      <c r="AU72" s="68"/>
      <c r="AV72" s="68"/>
      <c r="AW72" s="68"/>
      <c r="AX72" s="68"/>
      <c r="AY72" s="68"/>
      <c r="AZ72" s="68"/>
      <c r="BA72" s="68"/>
      <c r="BB72" s="68"/>
      <c r="BC72" s="68"/>
      <c r="BD72" s="68"/>
      <c r="BE72" s="68"/>
      <c r="BF72" s="68"/>
      <c r="BG72" s="68"/>
      <c r="BH72" s="68"/>
      <c r="BI72" s="68"/>
      <c r="BJ72" s="69"/>
    </row>
    <row r="73" spans="1:62" s="5" customFormat="1" ht="30.6" customHeight="1">
      <c r="A73" s="44">
        <f t="shared" si="0"/>
        <v>67</v>
      </c>
      <c r="B73" s="45"/>
      <c r="C73" s="46"/>
      <c r="D73" s="47" t="s">
        <v>48</v>
      </c>
      <c r="E73" s="48"/>
      <c r="F73" s="48"/>
      <c r="G73" s="48"/>
      <c r="H73" s="48"/>
      <c r="I73" s="49"/>
      <c r="J73" s="50" t="s">
        <v>171</v>
      </c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6"/>
      <c r="X73" s="53"/>
      <c r="Y73" s="54"/>
      <c r="Z73" s="54"/>
      <c r="AA73" s="54"/>
      <c r="AB73" s="54"/>
      <c r="AC73" s="54"/>
      <c r="AD73" s="54"/>
      <c r="AE73" s="54"/>
      <c r="AF73" s="55"/>
      <c r="AG73" s="56">
        <v>61</v>
      </c>
      <c r="AH73" s="57"/>
      <c r="AI73" s="58"/>
      <c r="AJ73" s="44" t="s">
        <v>20</v>
      </c>
      <c r="AK73" s="45"/>
      <c r="AL73" s="46"/>
      <c r="AM73" s="59" t="s">
        <v>21</v>
      </c>
      <c r="AN73" s="60"/>
      <c r="AO73" s="61"/>
      <c r="AP73" s="62" t="s">
        <v>121</v>
      </c>
      <c r="AQ73" s="68"/>
      <c r="AR73" s="68"/>
      <c r="AS73" s="68"/>
      <c r="AT73" s="68"/>
      <c r="AU73" s="68"/>
      <c r="AV73" s="68"/>
      <c r="AW73" s="68"/>
      <c r="AX73" s="68"/>
      <c r="AY73" s="68"/>
      <c r="AZ73" s="68"/>
      <c r="BA73" s="68"/>
      <c r="BB73" s="68"/>
      <c r="BC73" s="68"/>
      <c r="BD73" s="68"/>
      <c r="BE73" s="68"/>
      <c r="BF73" s="68"/>
      <c r="BG73" s="68"/>
      <c r="BH73" s="68"/>
      <c r="BI73" s="68"/>
      <c r="BJ73" s="69"/>
    </row>
    <row r="74" spans="1:62" s="5" customFormat="1" ht="30.6" customHeight="1">
      <c r="A74" s="44">
        <f t="shared" si="0"/>
        <v>68</v>
      </c>
      <c r="B74" s="45"/>
      <c r="C74" s="46"/>
      <c r="D74" s="47" t="s">
        <v>89</v>
      </c>
      <c r="E74" s="48"/>
      <c r="F74" s="48"/>
      <c r="G74" s="48"/>
      <c r="H74" s="48"/>
      <c r="I74" s="49"/>
      <c r="J74" s="50" t="s">
        <v>172</v>
      </c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6"/>
      <c r="X74" s="53"/>
      <c r="Y74" s="54"/>
      <c r="Z74" s="54"/>
      <c r="AA74" s="54"/>
      <c r="AB74" s="54"/>
      <c r="AC74" s="54"/>
      <c r="AD74" s="54"/>
      <c r="AE74" s="54"/>
      <c r="AF74" s="55"/>
      <c r="AG74" s="56">
        <v>11</v>
      </c>
      <c r="AH74" s="57"/>
      <c r="AI74" s="58"/>
      <c r="AJ74" s="44" t="s">
        <v>20</v>
      </c>
      <c r="AK74" s="45"/>
      <c r="AL74" s="46"/>
      <c r="AM74" s="59" t="s">
        <v>21</v>
      </c>
      <c r="AN74" s="60"/>
      <c r="AO74" s="61"/>
      <c r="AP74" s="62" t="s">
        <v>121</v>
      </c>
      <c r="AQ74" s="68"/>
      <c r="AR74" s="68"/>
      <c r="AS74" s="68"/>
      <c r="AT74" s="68"/>
      <c r="AU74" s="68"/>
      <c r="AV74" s="68"/>
      <c r="AW74" s="68"/>
      <c r="AX74" s="68"/>
      <c r="AY74" s="68"/>
      <c r="AZ74" s="68"/>
      <c r="BA74" s="68"/>
      <c r="BB74" s="68"/>
      <c r="BC74" s="68"/>
      <c r="BD74" s="68"/>
      <c r="BE74" s="68"/>
      <c r="BF74" s="68"/>
      <c r="BG74" s="68"/>
      <c r="BH74" s="68"/>
      <c r="BI74" s="68"/>
      <c r="BJ74" s="69"/>
    </row>
    <row r="75" spans="1:62" s="5" customFormat="1" ht="30.6" customHeight="1">
      <c r="A75" s="44">
        <f t="shared" si="0"/>
        <v>69</v>
      </c>
      <c r="B75" s="45"/>
      <c r="C75" s="46"/>
      <c r="D75" s="47" t="s">
        <v>90</v>
      </c>
      <c r="E75" s="48"/>
      <c r="F75" s="48"/>
      <c r="G75" s="48"/>
      <c r="H75" s="48"/>
      <c r="I75" s="49"/>
      <c r="J75" s="50" t="s">
        <v>173</v>
      </c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6"/>
      <c r="X75" s="53"/>
      <c r="Y75" s="54"/>
      <c r="Z75" s="54"/>
      <c r="AA75" s="54"/>
      <c r="AB75" s="54"/>
      <c r="AC75" s="54"/>
      <c r="AD75" s="54"/>
      <c r="AE75" s="54"/>
      <c r="AF75" s="55"/>
      <c r="AG75" s="56">
        <v>53</v>
      </c>
      <c r="AH75" s="57"/>
      <c r="AI75" s="58"/>
      <c r="AJ75" s="44" t="s">
        <v>20</v>
      </c>
      <c r="AK75" s="45"/>
      <c r="AL75" s="46"/>
      <c r="AM75" s="59" t="s">
        <v>21</v>
      </c>
      <c r="AN75" s="60"/>
      <c r="AO75" s="61"/>
      <c r="AP75" s="62" t="s">
        <v>121</v>
      </c>
      <c r="AQ75" s="68"/>
      <c r="AR75" s="68"/>
      <c r="AS75" s="68"/>
      <c r="AT75" s="68"/>
      <c r="AU75" s="68"/>
      <c r="AV75" s="68"/>
      <c r="AW75" s="68"/>
      <c r="AX75" s="68"/>
      <c r="AY75" s="68"/>
      <c r="AZ75" s="68"/>
      <c r="BA75" s="68"/>
      <c r="BB75" s="68"/>
      <c r="BC75" s="68"/>
      <c r="BD75" s="68"/>
      <c r="BE75" s="68"/>
      <c r="BF75" s="68"/>
      <c r="BG75" s="68"/>
      <c r="BH75" s="68"/>
      <c r="BI75" s="68"/>
      <c r="BJ75" s="69"/>
    </row>
    <row r="76" spans="1:62" s="5" customFormat="1" ht="30.6" customHeight="1">
      <c r="A76" s="44">
        <f t="shared" si="0"/>
        <v>70</v>
      </c>
      <c r="B76" s="45"/>
      <c r="C76" s="46"/>
      <c r="D76" s="47" t="s">
        <v>91</v>
      </c>
      <c r="E76" s="48"/>
      <c r="F76" s="48"/>
      <c r="G76" s="48"/>
      <c r="H76" s="48"/>
      <c r="I76" s="49"/>
      <c r="J76" s="50" t="s">
        <v>174</v>
      </c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6"/>
      <c r="X76" s="53"/>
      <c r="Y76" s="54"/>
      <c r="Z76" s="54"/>
      <c r="AA76" s="54"/>
      <c r="AB76" s="54"/>
      <c r="AC76" s="54"/>
      <c r="AD76" s="54"/>
      <c r="AE76" s="54"/>
      <c r="AF76" s="55"/>
      <c r="AG76" s="56">
        <v>71</v>
      </c>
      <c r="AH76" s="57"/>
      <c r="AI76" s="58"/>
      <c r="AJ76" s="44" t="s">
        <v>20</v>
      </c>
      <c r="AK76" s="45"/>
      <c r="AL76" s="46"/>
      <c r="AM76" s="59" t="s">
        <v>21</v>
      </c>
      <c r="AN76" s="60"/>
      <c r="AO76" s="61"/>
      <c r="AP76" s="62" t="s">
        <v>121</v>
      </c>
      <c r="AQ76" s="68"/>
      <c r="AR76" s="68"/>
      <c r="AS76" s="68"/>
      <c r="AT76" s="68"/>
      <c r="AU76" s="68"/>
      <c r="AV76" s="68"/>
      <c r="AW76" s="68"/>
      <c r="AX76" s="68"/>
      <c r="AY76" s="68"/>
      <c r="AZ76" s="68"/>
      <c r="BA76" s="68"/>
      <c r="BB76" s="68"/>
      <c r="BC76" s="68"/>
      <c r="BD76" s="68"/>
      <c r="BE76" s="68"/>
      <c r="BF76" s="68"/>
      <c r="BG76" s="68"/>
      <c r="BH76" s="68"/>
      <c r="BI76" s="68"/>
      <c r="BJ76" s="69"/>
    </row>
    <row r="77" spans="1:62" s="5" customFormat="1" ht="30.6" customHeight="1">
      <c r="A77" s="44">
        <f t="shared" si="0"/>
        <v>71</v>
      </c>
      <c r="B77" s="45"/>
      <c r="C77" s="46"/>
      <c r="D77" s="47" t="s">
        <v>92</v>
      </c>
      <c r="E77" s="48"/>
      <c r="F77" s="48"/>
      <c r="G77" s="48"/>
      <c r="H77" s="48"/>
      <c r="I77" s="49"/>
      <c r="J77" s="50" t="s">
        <v>175</v>
      </c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6"/>
      <c r="X77" s="53"/>
      <c r="Y77" s="54"/>
      <c r="Z77" s="54"/>
      <c r="AA77" s="54"/>
      <c r="AB77" s="54"/>
      <c r="AC77" s="54"/>
      <c r="AD77" s="54"/>
      <c r="AE77" s="54"/>
      <c r="AF77" s="55"/>
      <c r="AG77" s="56">
        <v>73</v>
      </c>
      <c r="AH77" s="57"/>
      <c r="AI77" s="58"/>
      <c r="AJ77" s="44" t="s">
        <v>20</v>
      </c>
      <c r="AK77" s="45"/>
      <c r="AL77" s="46"/>
      <c r="AM77" s="59" t="s">
        <v>21</v>
      </c>
      <c r="AN77" s="60"/>
      <c r="AO77" s="61"/>
      <c r="AP77" s="62" t="s">
        <v>121</v>
      </c>
      <c r="AQ77" s="68"/>
      <c r="AR77" s="68"/>
      <c r="AS77" s="68"/>
      <c r="AT77" s="68"/>
      <c r="AU77" s="68"/>
      <c r="AV77" s="68"/>
      <c r="AW77" s="68"/>
      <c r="AX77" s="68"/>
      <c r="AY77" s="68"/>
      <c r="AZ77" s="68"/>
      <c r="BA77" s="68"/>
      <c r="BB77" s="68"/>
      <c r="BC77" s="68"/>
      <c r="BD77" s="68"/>
      <c r="BE77" s="68"/>
      <c r="BF77" s="68"/>
      <c r="BG77" s="68"/>
      <c r="BH77" s="68"/>
      <c r="BI77" s="68"/>
      <c r="BJ77" s="69"/>
    </row>
    <row r="78" spans="1:62" s="5" customFormat="1" ht="30.6" customHeight="1">
      <c r="A78" s="44">
        <f t="shared" si="0"/>
        <v>72</v>
      </c>
      <c r="B78" s="45"/>
      <c r="C78" s="46"/>
      <c r="D78" s="47" t="s">
        <v>93</v>
      </c>
      <c r="E78" s="48"/>
      <c r="F78" s="48"/>
      <c r="G78" s="48"/>
      <c r="H78" s="48"/>
      <c r="I78" s="49"/>
      <c r="J78" s="50" t="s">
        <v>176</v>
      </c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6"/>
      <c r="X78" s="53"/>
      <c r="Y78" s="54"/>
      <c r="Z78" s="54"/>
      <c r="AA78" s="54"/>
      <c r="AB78" s="54"/>
      <c r="AC78" s="54"/>
      <c r="AD78" s="54"/>
      <c r="AE78" s="54"/>
      <c r="AF78" s="55"/>
      <c r="AG78" s="56">
        <v>16</v>
      </c>
      <c r="AH78" s="57"/>
      <c r="AI78" s="58"/>
      <c r="AJ78" s="44" t="s">
        <v>20</v>
      </c>
      <c r="AK78" s="45"/>
      <c r="AL78" s="46"/>
      <c r="AM78" s="59" t="s">
        <v>21</v>
      </c>
      <c r="AN78" s="60"/>
      <c r="AO78" s="61"/>
      <c r="AP78" s="62" t="s">
        <v>121</v>
      </c>
      <c r="AQ78" s="68"/>
      <c r="AR78" s="68"/>
      <c r="AS78" s="68"/>
      <c r="AT78" s="68"/>
      <c r="AU78" s="68"/>
      <c r="AV78" s="68"/>
      <c r="AW78" s="68"/>
      <c r="AX78" s="68"/>
      <c r="AY78" s="68"/>
      <c r="AZ78" s="68"/>
      <c r="BA78" s="68"/>
      <c r="BB78" s="68"/>
      <c r="BC78" s="68"/>
      <c r="BD78" s="68"/>
      <c r="BE78" s="68"/>
      <c r="BF78" s="68"/>
      <c r="BG78" s="68"/>
      <c r="BH78" s="68"/>
      <c r="BI78" s="68"/>
      <c r="BJ78" s="69"/>
    </row>
    <row r="79" spans="1:62" s="5" customFormat="1" ht="30.6" customHeight="1">
      <c r="A79" s="44">
        <f t="shared" si="0"/>
        <v>73</v>
      </c>
      <c r="B79" s="45"/>
      <c r="C79" s="46"/>
      <c r="D79" s="47" t="s">
        <v>94</v>
      </c>
      <c r="E79" s="48"/>
      <c r="F79" s="48"/>
      <c r="G79" s="48"/>
      <c r="H79" s="48"/>
      <c r="I79" s="49"/>
      <c r="J79" s="50" t="s">
        <v>177</v>
      </c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6"/>
      <c r="X79" s="53"/>
      <c r="Y79" s="54"/>
      <c r="Z79" s="54"/>
      <c r="AA79" s="54"/>
      <c r="AB79" s="54"/>
      <c r="AC79" s="54"/>
      <c r="AD79" s="54"/>
      <c r="AE79" s="54"/>
      <c r="AF79" s="55"/>
      <c r="AG79" s="56">
        <v>17</v>
      </c>
      <c r="AH79" s="57"/>
      <c r="AI79" s="58"/>
      <c r="AJ79" s="44" t="s">
        <v>20</v>
      </c>
      <c r="AK79" s="45"/>
      <c r="AL79" s="46"/>
      <c r="AM79" s="59" t="s">
        <v>21</v>
      </c>
      <c r="AN79" s="60"/>
      <c r="AO79" s="61"/>
      <c r="AP79" s="62" t="s">
        <v>121</v>
      </c>
      <c r="AQ79" s="68"/>
      <c r="AR79" s="68"/>
      <c r="AS79" s="68"/>
      <c r="AT79" s="68"/>
      <c r="AU79" s="68"/>
      <c r="AV79" s="68"/>
      <c r="AW79" s="68"/>
      <c r="AX79" s="68"/>
      <c r="AY79" s="68"/>
      <c r="AZ79" s="68"/>
      <c r="BA79" s="68"/>
      <c r="BB79" s="68"/>
      <c r="BC79" s="68"/>
      <c r="BD79" s="68"/>
      <c r="BE79" s="68"/>
      <c r="BF79" s="68"/>
      <c r="BG79" s="68"/>
      <c r="BH79" s="68"/>
      <c r="BI79" s="68"/>
      <c r="BJ79" s="69"/>
    </row>
    <row r="80" spans="1:62" s="5" customFormat="1" ht="30.6" customHeight="1">
      <c r="A80" s="44">
        <f t="shared" si="0"/>
        <v>74</v>
      </c>
      <c r="B80" s="45"/>
      <c r="C80" s="46"/>
      <c r="D80" s="47" t="s">
        <v>95</v>
      </c>
      <c r="E80" s="48"/>
      <c r="F80" s="48"/>
      <c r="G80" s="48"/>
      <c r="H80" s="48"/>
      <c r="I80" s="49"/>
      <c r="J80" s="50" t="s">
        <v>178</v>
      </c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6"/>
      <c r="X80" s="53"/>
      <c r="Y80" s="54"/>
      <c r="Z80" s="54"/>
      <c r="AA80" s="54"/>
      <c r="AB80" s="54"/>
      <c r="AC80" s="54"/>
      <c r="AD80" s="54"/>
      <c r="AE80" s="54"/>
      <c r="AF80" s="55"/>
      <c r="AG80" s="56">
        <v>14</v>
      </c>
      <c r="AH80" s="57"/>
      <c r="AI80" s="58"/>
      <c r="AJ80" s="44" t="s">
        <v>20</v>
      </c>
      <c r="AK80" s="45"/>
      <c r="AL80" s="46"/>
      <c r="AM80" s="59" t="s">
        <v>21</v>
      </c>
      <c r="AN80" s="60"/>
      <c r="AO80" s="61"/>
      <c r="AP80" s="62" t="s">
        <v>121</v>
      </c>
      <c r="AQ80" s="68"/>
      <c r="AR80" s="68"/>
      <c r="AS80" s="68"/>
      <c r="AT80" s="68"/>
      <c r="AU80" s="68"/>
      <c r="AV80" s="68"/>
      <c r="AW80" s="68"/>
      <c r="AX80" s="68"/>
      <c r="AY80" s="68"/>
      <c r="AZ80" s="68"/>
      <c r="BA80" s="68"/>
      <c r="BB80" s="68"/>
      <c r="BC80" s="68"/>
      <c r="BD80" s="68"/>
      <c r="BE80" s="68"/>
      <c r="BF80" s="68"/>
      <c r="BG80" s="68"/>
      <c r="BH80" s="68"/>
      <c r="BI80" s="68"/>
      <c r="BJ80" s="69"/>
    </row>
    <row r="81" spans="1:62" s="5" customFormat="1" ht="30.6" customHeight="1">
      <c r="A81" s="44">
        <f t="shared" si="0"/>
        <v>75</v>
      </c>
      <c r="B81" s="45"/>
      <c r="C81" s="46"/>
      <c r="D81" s="47" t="s">
        <v>225</v>
      </c>
      <c r="E81" s="48"/>
      <c r="F81" s="48"/>
      <c r="G81" s="48"/>
      <c r="H81" s="48"/>
      <c r="I81" s="49"/>
      <c r="J81" s="50" t="s">
        <v>231</v>
      </c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6"/>
      <c r="X81" s="53"/>
      <c r="Y81" s="54"/>
      <c r="Z81" s="54"/>
      <c r="AA81" s="54"/>
      <c r="AB81" s="54"/>
      <c r="AC81" s="54"/>
      <c r="AD81" s="54"/>
      <c r="AE81" s="54"/>
      <c r="AF81" s="55"/>
      <c r="AG81" s="56">
        <v>6</v>
      </c>
      <c r="AH81" s="57"/>
      <c r="AI81" s="58"/>
      <c r="AJ81" s="44" t="s">
        <v>21</v>
      </c>
      <c r="AK81" s="45"/>
      <c r="AL81" s="46"/>
      <c r="AM81" s="44" t="s">
        <v>20</v>
      </c>
      <c r="AN81" s="45"/>
      <c r="AO81" s="46"/>
      <c r="AP81" s="62" t="s">
        <v>226</v>
      </c>
      <c r="AQ81" s="68"/>
      <c r="AR81" s="68"/>
      <c r="AS81" s="68"/>
      <c r="AT81" s="68"/>
      <c r="AU81" s="68"/>
      <c r="AV81" s="68"/>
      <c r="AW81" s="68"/>
      <c r="AX81" s="68"/>
      <c r="AY81" s="68"/>
      <c r="AZ81" s="68"/>
      <c r="BA81" s="68"/>
      <c r="BB81" s="68"/>
      <c r="BC81" s="68"/>
      <c r="BD81" s="68"/>
      <c r="BE81" s="68"/>
      <c r="BF81" s="68"/>
      <c r="BG81" s="68"/>
      <c r="BH81" s="68"/>
      <c r="BI81" s="68"/>
      <c r="BJ81" s="69"/>
    </row>
    <row r="82" spans="1:62" s="5" customFormat="1" ht="30.6" customHeight="1">
      <c r="A82" s="44">
        <f t="shared" si="0"/>
        <v>76</v>
      </c>
      <c r="B82" s="45"/>
      <c r="C82" s="46"/>
      <c r="D82" s="47" t="s">
        <v>96</v>
      </c>
      <c r="E82" s="48"/>
      <c r="F82" s="48"/>
      <c r="G82" s="48"/>
      <c r="H82" s="48"/>
      <c r="I82" s="49"/>
      <c r="J82" s="50" t="s">
        <v>266</v>
      </c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6"/>
      <c r="X82" s="53"/>
      <c r="Y82" s="54"/>
      <c r="Z82" s="54"/>
      <c r="AA82" s="54"/>
      <c r="AB82" s="54"/>
      <c r="AC82" s="54"/>
      <c r="AD82" s="54"/>
      <c r="AE82" s="54"/>
      <c r="AF82" s="55"/>
      <c r="AG82" s="56">
        <v>26</v>
      </c>
      <c r="AH82" s="57"/>
      <c r="AI82" s="58"/>
      <c r="AJ82" s="44" t="s">
        <v>20</v>
      </c>
      <c r="AK82" s="45"/>
      <c r="AL82" s="46"/>
      <c r="AM82" s="59" t="s">
        <v>21</v>
      </c>
      <c r="AN82" s="60"/>
      <c r="AO82" s="61"/>
      <c r="AP82" s="62" t="s">
        <v>121</v>
      </c>
      <c r="AQ82" s="68"/>
      <c r="AR82" s="68"/>
      <c r="AS82" s="68"/>
      <c r="AT82" s="68"/>
      <c r="AU82" s="68"/>
      <c r="AV82" s="68"/>
      <c r="AW82" s="68"/>
      <c r="AX82" s="68"/>
      <c r="AY82" s="68"/>
      <c r="AZ82" s="68"/>
      <c r="BA82" s="68"/>
      <c r="BB82" s="68"/>
      <c r="BC82" s="68"/>
      <c r="BD82" s="68"/>
      <c r="BE82" s="68"/>
      <c r="BF82" s="68"/>
      <c r="BG82" s="68"/>
      <c r="BH82" s="68"/>
      <c r="BI82" s="68"/>
      <c r="BJ82" s="69"/>
    </row>
    <row r="83" spans="1:62" s="5" customFormat="1" ht="30.6" customHeight="1">
      <c r="A83" s="44">
        <f t="shared" si="0"/>
        <v>77</v>
      </c>
      <c r="B83" s="45"/>
      <c r="C83" s="46"/>
      <c r="D83" s="47" t="s">
        <v>97</v>
      </c>
      <c r="E83" s="48"/>
      <c r="F83" s="48"/>
      <c r="G83" s="48"/>
      <c r="H83" s="48"/>
      <c r="I83" s="49"/>
      <c r="J83" s="50" t="s">
        <v>179</v>
      </c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6"/>
      <c r="X83" s="53"/>
      <c r="Y83" s="54"/>
      <c r="Z83" s="54"/>
      <c r="AA83" s="54"/>
      <c r="AB83" s="54"/>
      <c r="AC83" s="54"/>
      <c r="AD83" s="54"/>
      <c r="AE83" s="54"/>
      <c r="AF83" s="55"/>
      <c r="AG83" s="56">
        <v>27</v>
      </c>
      <c r="AH83" s="57"/>
      <c r="AI83" s="58"/>
      <c r="AJ83" s="44" t="s">
        <v>20</v>
      </c>
      <c r="AK83" s="45"/>
      <c r="AL83" s="46"/>
      <c r="AM83" s="59" t="s">
        <v>21</v>
      </c>
      <c r="AN83" s="60"/>
      <c r="AO83" s="61"/>
      <c r="AP83" s="62" t="s">
        <v>121</v>
      </c>
      <c r="AQ83" s="68"/>
      <c r="AR83" s="68"/>
      <c r="AS83" s="68"/>
      <c r="AT83" s="68"/>
      <c r="AU83" s="68"/>
      <c r="AV83" s="68"/>
      <c r="AW83" s="68"/>
      <c r="AX83" s="68"/>
      <c r="AY83" s="68"/>
      <c r="AZ83" s="68"/>
      <c r="BA83" s="68"/>
      <c r="BB83" s="68"/>
      <c r="BC83" s="68"/>
      <c r="BD83" s="68"/>
      <c r="BE83" s="68"/>
      <c r="BF83" s="68"/>
      <c r="BG83" s="68"/>
      <c r="BH83" s="68"/>
      <c r="BI83" s="68"/>
      <c r="BJ83" s="69"/>
    </row>
    <row r="84" spans="1:62" s="5" customFormat="1" ht="30.6" customHeight="1">
      <c r="A84" s="44">
        <f t="shared" ref="A84:A101" si="1">ROW()-6</f>
        <v>78</v>
      </c>
      <c r="B84" s="45"/>
      <c r="C84" s="46"/>
      <c r="D84" s="47" t="s">
        <v>98</v>
      </c>
      <c r="E84" s="48"/>
      <c r="F84" s="48"/>
      <c r="G84" s="48"/>
      <c r="H84" s="48"/>
      <c r="I84" s="49"/>
      <c r="J84" s="50" t="s">
        <v>180</v>
      </c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6"/>
      <c r="X84" s="53"/>
      <c r="Y84" s="54"/>
      <c r="Z84" s="54"/>
      <c r="AA84" s="54"/>
      <c r="AB84" s="54"/>
      <c r="AC84" s="54"/>
      <c r="AD84" s="54"/>
      <c r="AE84" s="54"/>
      <c r="AF84" s="55"/>
      <c r="AG84" s="56">
        <v>42</v>
      </c>
      <c r="AH84" s="57"/>
      <c r="AI84" s="58"/>
      <c r="AJ84" s="44" t="s">
        <v>20</v>
      </c>
      <c r="AK84" s="45"/>
      <c r="AL84" s="46"/>
      <c r="AM84" s="59" t="s">
        <v>21</v>
      </c>
      <c r="AN84" s="60"/>
      <c r="AO84" s="61"/>
      <c r="AP84" s="62" t="s">
        <v>121</v>
      </c>
      <c r="AQ84" s="68"/>
      <c r="AR84" s="68"/>
      <c r="AS84" s="68"/>
      <c r="AT84" s="68"/>
      <c r="AU84" s="68"/>
      <c r="AV84" s="68"/>
      <c r="AW84" s="68"/>
      <c r="AX84" s="68"/>
      <c r="AY84" s="68"/>
      <c r="AZ84" s="68"/>
      <c r="BA84" s="68"/>
      <c r="BB84" s="68"/>
      <c r="BC84" s="68"/>
      <c r="BD84" s="68"/>
      <c r="BE84" s="68"/>
      <c r="BF84" s="68"/>
      <c r="BG84" s="68"/>
      <c r="BH84" s="68"/>
      <c r="BI84" s="68"/>
      <c r="BJ84" s="69"/>
    </row>
    <row r="85" spans="1:62" s="5" customFormat="1" ht="30.6" customHeight="1">
      <c r="A85" s="44">
        <f t="shared" si="1"/>
        <v>79</v>
      </c>
      <c r="B85" s="45"/>
      <c r="C85" s="46"/>
      <c r="D85" s="47" t="s">
        <v>99</v>
      </c>
      <c r="E85" s="48"/>
      <c r="F85" s="48"/>
      <c r="G85" s="48"/>
      <c r="H85" s="48"/>
      <c r="I85" s="49"/>
      <c r="J85" s="50" t="s">
        <v>181</v>
      </c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6"/>
      <c r="X85" s="53"/>
      <c r="Y85" s="54"/>
      <c r="Z85" s="54"/>
      <c r="AA85" s="54"/>
      <c r="AB85" s="54"/>
      <c r="AC85" s="54"/>
      <c r="AD85" s="54"/>
      <c r="AE85" s="54"/>
      <c r="AF85" s="55"/>
      <c r="AG85" s="56">
        <v>19</v>
      </c>
      <c r="AH85" s="57"/>
      <c r="AI85" s="58"/>
      <c r="AJ85" s="44" t="s">
        <v>20</v>
      </c>
      <c r="AK85" s="45"/>
      <c r="AL85" s="46"/>
      <c r="AM85" s="59" t="s">
        <v>21</v>
      </c>
      <c r="AN85" s="60"/>
      <c r="AO85" s="61"/>
      <c r="AP85" s="62" t="s">
        <v>121</v>
      </c>
      <c r="AQ85" s="68"/>
      <c r="AR85" s="68"/>
      <c r="AS85" s="68"/>
      <c r="AT85" s="68"/>
      <c r="AU85" s="68"/>
      <c r="AV85" s="68"/>
      <c r="AW85" s="68"/>
      <c r="AX85" s="68"/>
      <c r="AY85" s="68"/>
      <c r="AZ85" s="68"/>
      <c r="BA85" s="68"/>
      <c r="BB85" s="68"/>
      <c r="BC85" s="68"/>
      <c r="BD85" s="68"/>
      <c r="BE85" s="68"/>
      <c r="BF85" s="68"/>
      <c r="BG85" s="68"/>
      <c r="BH85" s="68"/>
      <c r="BI85" s="68"/>
      <c r="BJ85" s="69"/>
    </row>
    <row r="86" spans="1:62" s="5" customFormat="1" ht="30.6" customHeight="1">
      <c r="A86" s="44">
        <f t="shared" si="1"/>
        <v>80</v>
      </c>
      <c r="B86" s="45"/>
      <c r="C86" s="46"/>
      <c r="D86" s="47" t="s">
        <v>100</v>
      </c>
      <c r="E86" s="48"/>
      <c r="F86" s="48"/>
      <c r="G86" s="48"/>
      <c r="H86" s="48"/>
      <c r="I86" s="49"/>
      <c r="J86" s="50" t="s">
        <v>240</v>
      </c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6"/>
      <c r="X86" s="53"/>
      <c r="Y86" s="54"/>
      <c r="Z86" s="54"/>
      <c r="AA86" s="54"/>
      <c r="AB86" s="54"/>
      <c r="AC86" s="54"/>
      <c r="AD86" s="54"/>
      <c r="AE86" s="54"/>
      <c r="AF86" s="55"/>
      <c r="AG86" s="56">
        <v>25</v>
      </c>
      <c r="AH86" s="57"/>
      <c r="AI86" s="58"/>
      <c r="AJ86" s="44" t="s">
        <v>20</v>
      </c>
      <c r="AK86" s="45"/>
      <c r="AL86" s="46"/>
      <c r="AM86" s="59" t="s">
        <v>21</v>
      </c>
      <c r="AN86" s="60"/>
      <c r="AO86" s="61"/>
      <c r="AP86" s="62" t="s">
        <v>121</v>
      </c>
      <c r="AQ86" s="68"/>
      <c r="AR86" s="68"/>
      <c r="AS86" s="68"/>
      <c r="AT86" s="68"/>
      <c r="AU86" s="68"/>
      <c r="AV86" s="68"/>
      <c r="AW86" s="68"/>
      <c r="AX86" s="68"/>
      <c r="AY86" s="68"/>
      <c r="AZ86" s="68"/>
      <c r="BA86" s="68"/>
      <c r="BB86" s="68"/>
      <c r="BC86" s="68"/>
      <c r="BD86" s="68"/>
      <c r="BE86" s="68"/>
      <c r="BF86" s="68"/>
      <c r="BG86" s="68"/>
      <c r="BH86" s="68"/>
      <c r="BI86" s="68"/>
      <c r="BJ86" s="69"/>
    </row>
    <row r="87" spans="1:62" s="5" customFormat="1" ht="30.6" customHeight="1">
      <c r="A87" s="44">
        <f t="shared" si="1"/>
        <v>81</v>
      </c>
      <c r="B87" s="45"/>
      <c r="C87" s="46"/>
      <c r="D87" s="120" t="s">
        <v>101</v>
      </c>
      <c r="E87" s="121"/>
      <c r="F87" s="121"/>
      <c r="G87" s="121"/>
      <c r="H87" s="121"/>
      <c r="I87" s="122"/>
      <c r="J87" s="123" t="s">
        <v>182</v>
      </c>
      <c r="K87" s="124"/>
      <c r="L87" s="124"/>
      <c r="M87" s="124"/>
      <c r="N87" s="124"/>
      <c r="O87" s="124"/>
      <c r="P87" s="124"/>
      <c r="Q87" s="124"/>
      <c r="R87" s="124"/>
      <c r="S87" s="124"/>
      <c r="T87" s="124"/>
      <c r="U87" s="124"/>
      <c r="V87" s="124"/>
      <c r="W87" s="125"/>
      <c r="X87" s="126"/>
      <c r="Y87" s="127"/>
      <c r="Z87" s="127"/>
      <c r="AA87" s="127"/>
      <c r="AB87" s="127"/>
      <c r="AC87" s="127"/>
      <c r="AD87" s="127"/>
      <c r="AE87" s="127"/>
      <c r="AF87" s="128"/>
      <c r="AG87" s="89">
        <v>6</v>
      </c>
      <c r="AH87" s="90"/>
      <c r="AI87" s="91"/>
      <c r="AJ87" s="129" t="s">
        <v>20</v>
      </c>
      <c r="AK87" s="130"/>
      <c r="AL87" s="131"/>
      <c r="AM87" s="132" t="s">
        <v>21</v>
      </c>
      <c r="AN87" s="133"/>
      <c r="AO87" s="134"/>
      <c r="AP87" s="62" t="s">
        <v>121</v>
      </c>
      <c r="AQ87" s="68"/>
      <c r="AR87" s="68"/>
      <c r="AS87" s="68"/>
      <c r="AT87" s="68"/>
      <c r="AU87" s="68"/>
      <c r="AV87" s="68"/>
      <c r="AW87" s="68"/>
      <c r="AX87" s="68"/>
      <c r="AY87" s="68"/>
      <c r="AZ87" s="68"/>
      <c r="BA87" s="68"/>
      <c r="BB87" s="68"/>
      <c r="BC87" s="68"/>
      <c r="BD87" s="68"/>
      <c r="BE87" s="68"/>
      <c r="BF87" s="68"/>
      <c r="BG87" s="68"/>
      <c r="BH87" s="68"/>
      <c r="BI87" s="68"/>
      <c r="BJ87" s="69"/>
    </row>
    <row r="88" spans="1:62" s="5" customFormat="1" ht="30.6" customHeight="1">
      <c r="A88" s="44">
        <f t="shared" si="1"/>
        <v>82</v>
      </c>
      <c r="B88" s="45"/>
      <c r="C88" s="46"/>
      <c r="D88" s="47" t="s">
        <v>102</v>
      </c>
      <c r="E88" s="48"/>
      <c r="F88" s="48"/>
      <c r="G88" s="48"/>
      <c r="H88" s="48"/>
      <c r="I88" s="49"/>
      <c r="J88" s="50" t="s">
        <v>183</v>
      </c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6"/>
      <c r="X88" s="53"/>
      <c r="Y88" s="54"/>
      <c r="Z88" s="54"/>
      <c r="AA88" s="54"/>
      <c r="AB88" s="54"/>
      <c r="AC88" s="54"/>
      <c r="AD88" s="54"/>
      <c r="AE88" s="54"/>
      <c r="AF88" s="55"/>
      <c r="AG88" s="56">
        <v>18</v>
      </c>
      <c r="AH88" s="57"/>
      <c r="AI88" s="58"/>
      <c r="AJ88" s="44" t="s">
        <v>20</v>
      </c>
      <c r="AK88" s="45"/>
      <c r="AL88" s="46"/>
      <c r="AM88" s="59" t="s">
        <v>21</v>
      </c>
      <c r="AN88" s="60"/>
      <c r="AO88" s="61"/>
      <c r="AP88" s="62" t="s">
        <v>121</v>
      </c>
      <c r="AQ88" s="68"/>
      <c r="AR88" s="68"/>
      <c r="AS88" s="68"/>
      <c r="AT88" s="68"/>
      <c r="AU88" s="68"/>
      <c r="AV88" s="68"/>
      <c r="AW88" s="68"/>
      <c r="AX88" s="68"/>
      <c r="AY88" s="68"/>
      <c r="AZ88" s="68"/>
      <c r="BA88" s="68"/>
      <c r="BB88" s="68"/>
      <c r="BC88" s="68"/>
      <c r="BD88" s="68"/>
      <c r="BE88" s="68"/>
      <c r="BF88" s="68"/>
      <c r="BG88" s="68"/>
      <c r="BH88" s="68"/>
      <c r="BI88" s="68"/>
      <c r="BJ88" s="69"/>
    </row>
    <row r="89" spans="1:62" s="5" customFormat="1" ht="30.6" customHeight="1">
      <c r="A89" s="44">
        <f t="shared" si="1"/>
        <v>83</v>
      </c>
      <c r="B89" s="45"/>
      <c r="C89" s="46"/>
      <c r="D89" s="47" t="s">
        <v>103</v>
      </c>
      <c r="E89" s="48"/>
      <c r="F89" s="48"/>
      <c r="G89" s="48"/>
      <c r="H89" s="48"/>
      <c r="I89" s="49"/>
      <c r="J89" s="50" t="s">
        <v>184</v>
      </c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6"/>
      <c r="X89" s="53"/>
      <c r="Y89" s="54"/>
      <c r="Z89" s="54"/>
      <c r="AA89" s="54"/>
      <c r="AB89" s="54"/>
      <c r="AC89" s="54"/>
      <c r="AD89" s="54"/>
      <c r="AE89" s="54"/>
      <c r="AF89" s="55"/>
      <c r="AG89" s="56">
        <v>23</v>
      </c>
      <c r="AH89" s="57"/>
      <c r="AI89" s="58"/>
      <c r="AJ89" s="44" t="s">
        <v>20</v>
      </c>
      <c r="AK89" s="45"/>
      <c r="AL89" s="46"/>
      <c r="AM89" s="59" t="s">
        <v>21</v>
      </c>
      <c r="AN89" s="60"/>
      <c r="AO89" s="61"/>
      <c r="AP89" s="62" t="s">
        <v>121</v>
      </c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  <c r="BB89" s="68"/>
      <c r="BC89" s="68"/>
      <c r="BD89" s="68"/>
      <c r="BE89" s="68"/>
      <c r="BF89" s="68"/>
      <c r="BG89" s="68"/>
      <c r="BH89" s="68"/>
      <c r="BI89" s="68"/>
      <c r="BJ89" s="69"/>
    </row>
    <row r="90" spans="1:62" s="5" customFormat="1" ht="30.6" customHeight="1">
      <c r="A90" s="44">
        <f t="shared" si="1"/>
        <v>84</v>
      </c>
      <c r="B90" s="45"/>
      <c r="C90" s="46"/>
      <c r="D90" s="47" t="s">
        <v>104</v>
      </c>
      <c r="E90" s="48"/>
      <c r="F90" s="48"/>
      <c r="G90" s="48"/>
      <c r="H90" s="48"/>
      <c r="I90" s="49"/>
      <c r="J90" s="50" t="s">
        <v>185</v>
      </c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6"/>
      <c r="X90" s="53"/>
      <c r="Y90" s="54"/>
      <c r="Z90" s="54"/>
      <c r="AA90" s="54"/>
      <c r="AB90" s="54"/>
      <c r="AC90" s="54"/>
      <c r="AD90" s="54"/>
      <c r="AE90" s="54"/>
      <c r="AF90" s="55"/>
      <c r="AG90" s="56">
        <v>34</v>
      </c>
      <c r="AH90" s="57"/>
      <c r="AI90" s="58"/>
      <c r="AJ90" s="44" t="s">
        <v>20</v>
      </c>
      <c r="AK90" s="45"/>
      <c r="AL90" s="46"/>
      <c r="AM90" s="59" t="s">
        <v>21</v>
      </c>
      <c r="AN90" s="60"/>
      <c r="AO90" s="61"/>
      <c r="AP90" s="62" t="s">
        <v>121</v>
      </c>
      <c r="AQ90" s="68"/>
      <c r="AR90" s="68"/>
      <c r="AS90" s="68"/>
      <c r="AT90" s="68"/>
      <c r="AU90" s="68"/>
      <c r="AV90" s="68"/>
      <c r="AW90" s="68"/>
      <c r="AX90" s="68"/>
      <c r="AY90" s="68"/>
      <c r="AZ90" s="68"/>
      <c r="BA90" s="68"/>
      <c r="BB90" s="68"/>
      <c r="BC90" s="68"/>
      <c r="BD90" s="68"/>
      <c r="BE90" s="68"/>
      <c r="BF90" s="68"/>
      <c r="BG90" s="68"/>
      <c r="BH90" s="68"/>
      <c r="BI90" s="68"/>
      <c r="BJ90" s="69"/>
    </row>
    <row r="91" spans="1:62" s="5" customFormat="1" ht="30.6" customHeight="1">
      <c r="A91" s="44">
        <f t="shared" si="1"/>
        <v>85</v>
      </c>
      <c r="B91" s="45"/>
      <c r="C91" s="46"/>
      <c r="D91" s="47" t="s">
        <v>105</v>
      </c>
      <c r="E91" s="48"/>
      <c r="F91" s="48"/>
      <c r="G91" s="48"/>
      <c r="H91" s="48"/>
      <c r="I91" s="49"/>
      <c r="J91" s="50" t="s">
        <v>186</v>
      </c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6"/>
      <c r="X91" s="53"/>
      <c r="Y91" s="54"/>
      <c r="Z91" s="54"/>
      <c r="AA91" s="54"/>
      <c r="AB91" s="54"/>
      <c r="AC91" s="54"/>
      <c r="AD91" s="54"/>
      <c r="AE91" s="54"/>
      <c r="AF91" s="55"/>
      <c r="AG91" s="56">
        <v>10</v>
      </c>
      <c r="AH91" s="57"/>
      <c r="AI91" s="58"/>
      <c r="AJ91" s="44" t="s">
        <v>20</v>
      </c>
      <c r="AK91" s="45"/>
      <c r="AL91" s="46"/>
      <c r="AM91" s="59" t="s">
        <v>21</v>
      </c>
      <c r="AN91" s="60"/>
      <c r="AO91" s="61"/>
      <c r="AP91" s="62" t="s">
        <v>121</v>
      </c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  <c r="BB91" s="68"/>
      <c r="BC91" s="68"/>
      <c r="BD91" s="68"/>
      <c r="BE91" s="68"/>
      <c r="BF91" s="68"/>
      <c r="BG91" s="68"/>
      <c r="BH91" s="68"/>
      <c r="BI91" s="68"/>
      <c r="BJ91" s="69"/>
    </row>
    <row r="92" spans="1:62" s="5" customFormat="1" ht="30.6" customHeight="1">
      <c r="A92" s="44">
        <f t="shared" si="1"/>
        <v>86</v>
      </c>
      <c r="B92" s="45"/>
      <c r="C92" s="46"/>
      <c r="D92" s="47" t="s">
        <v>106</v>
      </c>
      <c r="E92" s="48"/>
      <c r="F92" s="48"/>
      <c r="G92" s="48"/>
      <c r="H92" s="48"/>
      <c r="I92" s="49"/>
      <c r="J92" s="50" t="s">
        <v>187</v>
      </c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2"/>
      <c r="X92" s="53"/>
      <c r="Y92" s="54"/>
      <c r="Z92" s="54"/>
      <c r="AA92" s="54"/>
      <c r="AB92" s="54"/>
      <c r="AC92" s="54"/>
      <c r="AD92" s="54"/>
      <c r="AE92" s="54"/>
      <c r="AF92" s="55"/>
      <c r="AG92" s="56">
        <v>20</v>
      </c>
      <c r="AH92" s="57"/>
      <c r="AI92" s="58"/>
      <c r="AJ92" s="56" t="s">
        <v>20</v>
      </c>
      <c r="AK92" s="57"/>
      <c r="AL92" s="58"/>
      <c r="AM92" s="47" t="s">
        <v>21</v>
      </c>
      <c r="AN92" s="48"/>
      <c r="AO92" s="49"/>
      <c r="AP92" s="62" t="s">
        <v>121</v>
      </c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  <c r="BB92" s="68"/>
      <c r="BC92" s="68"/>
      <c r="BD92" s="68"/>
      <c r="BE92" s="68"/>
      <c r="BF92" s="68"/>
      <c r="BG92" s="68"/>
      <c r="BH92" s="68"/>
      <c r="BI92" s="68"/>
      <c r="BJ92" s="69"/>
    </row>
    <row r="93" spans="1:62" s="5" customFormat="1" ht="30.6" customHeight="1">
      <c r="A93" s="44">
        <f t="shared" si="1"/>
        <v>87</v>
      </c>
      <c r="B93" s="45"/>
      <c r="C93" s="46"/>
      <c r="D93" s="88" t="s">
        <v>233</v>
      </c>
      <c r="E93" s="48"/>
      <c r="F93" s="48"/>
      <c r="G93" s="48"/>
      <c r="H93" s="48"/>
      <c r="I93" s="49"/>
      <c r="J93" s="50" t="s">
        <v>234</v>
      </c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6"/>
      <c r="X93" s="53"/>
      <c r="Y93" s="54"/>
      <c r="Z93" s="54"/>
      <c r="AA93" s="54"/>
      <c r="AB93" s="54"/>
      <c r="AC93" s="54"/>
      <c r="AD93" s="54"/>
      <c r="AE93" s="54"/>
      <c r="AF93" s="55"/>
      <c r="AG93" s="56">
        <v>35</v>
      </c>
      <c r="AH93" s="57"/>
      <c r="AI93" s="58"/>
      <c r="AJ93" s="44" t="s">
        <v>21</v>
      </c>
      <c r="AK93" s="45"/>
      <c r="AL93" s="46"/>
      <c r="AM93" s="44" t="s">
        <v>20</v>
      </c>
      <c r="AN93" s="45"/>
      <c r="AO93" s="46"/>
      <c r="AP93" s="62" t="s">
        <v>235</v>
      </c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  <c r="BB93" s="68"/>
      <c r="BC93" s="68"/>
      <c r="BD93" s="68"/>
      <c r="BE93" s="68"/>
      <c r="BF93" s="68"/>
      <c r="BG93" s="68"/>
      <c r="BH93" s="68"/>
      <c r="BI93" s="68"/>
      <c r="BJ93" s="69"/>
    </row>
    <row r="94" spans="1:62" s="5" customFormat="1" ht="30.6" customHeight="1">
      <c r="A94" s="44">
        <f t="shared" si="1"/>
        <v>88</v>
      </c>
      <c r="B94" s="45"/>
      <c r="C94" s="46"/>
      <c r="D94" s="47" t="s">
        <v>211</v>
      </c>
      <c r="E94" s="48"/>
      <c r="F94" s="48"/>
      <c r="G94" s="48"/>
      <c r="H94" s="48"/>
      <c r="I94" s="49"/>
      <c r="J94" s="50" t="s">
        <v>212</v>
      </c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2"/>
      <c r="X94" s="53"/>
      <c r="Y94" s="54"/>
      <c r="Z94" s="54"/>
      <c r="AA94" s="54"/>
      <c r="AB94" s="54"/>
      <c r="AC94" s="54"/>
      <c r="AD94" s="54"/>
      <c r="AE94" s="54"/>
      <c r="AF94" s="55"/>
      <c r="AG94" s="56">
        <v>14</v>
      </c>
      <c r="AH94" s="57"/>
      <c r="AI94" s="58"/>
      <c r="AJ94" s="59" t="s">
        <v>41</v>
      </c>
      <c r="AK94" s="60"/>
      <c r="AL94" s="61"/>
      <c r="AM94" s="44" t="s">
        <v>213</v>
      </c>
      <c r="AN94" s="45"/>
      <c r="AO94" s="46"/>
      <c r="AP94" s="62" t="s">
        <v>121</v>
      </c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  <c r="BB94" s="68"/>
      <c r="BC94" s="68"/>
      <c r="BD94" s="68"/>
      <c r="BE94" s="68"/>
      <c r="BF94" s="68"/>
      <c r="BG94" s="68"/>
      <c r="BH94" s="68"/>
      <c r="BI94" s="68"/>
      <c r="BJ94" s="69"/>
    </row>
    <row r="95" spans="1:62" s="5" customFormat="1" ht="30.6" customHeight="1">
      <c r="A95" s="44">
        <f t="shared" si="1"/>
        <v>89</v>
      </c>
      <c r="B95" s="45"/>
      <c r="C95" s="46"/>
      <c r="D95" s="47" t="s">
        <v>279</v>
      </c>
      <c r="E95" s="48"/>
      <c r="F95" s="48"/>
      <c r="G95" s="48"/>
      <c r="H95" s="48"/>
      <c r="I95" s="49"/>
      <c r="J95" s="50" t="s">
        <v>214</v>
      </c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6"/>
      <c r="X95" s="53"/>
      <c r="Y95" s="54"/>
      <c r="Z95" s="54"/>
      <c r="AA95" s="54"/>
      <c r="AB95" s="54"/>
      <c r="AC95" s="54"/>
      <c r="AD95" s="54"/>
      <c r="AE95" s="54"/>
      <c r="AF95" s="55"/>
      <c r="AG95" s="56">
        <v>15</v>
      </c>
      <c r="AH95" s="57"/>
      <c r="AI95" s="58"/>
      <c r="AJ95" s="44" t="s">
        <v>41</v>
      </c>
      <c r="AK95" s="45"/>
      <c r="AL95" s="46"/>
      <c r="AM95" s="59" t="s">
        <v>21</v>
      </c>
      <c r="AN95" s="60"/>
      <c r="AO95" s="61"/>
      <c r="AP95" s="62" t="s">
        <v>121</v>
      </c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  <c r="BB95" s="68"/>
      <c r="BC95" s="68"/>
      <c r="BD95" s="68"/>
      <c r="BE95" s="68"/>
      <c r="BF95" s="68"/>
      <c r="BG95" s="68"/>
      <c r="BH95" s="68"/>
      <c r="BI95" s="68"/>
      <c r="BJ95" s="69"/>
    </row>
    <row r="96" spans="1:62" s="5" customFormat="1" ht="30.6" customHeight="1">
      <c r="A96" s="44">
        <f t="shared" si="1"/>
        <v>90</v>
      </c>
      <c r="B96" s="45"/>
      <c r="C96" s="46"/>
      <c r="D96" s="47" t="s">
        <v>280</v>
      </c>
      <c r="E96" s="48"/>
      <c r="F96" s="48"/>
      <c r="G96" s="48"/>
      <c r="H96" s="48"/>
      <c r="I96" s="49"/>
      <c r="J96" s="50" t="s">
        <v>215</v>
      </c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6"/>
      <c r="X96" s="53"/>
      <c r="Y96" s="54"/>
      <c r="Z96" s="54"/>
      <c r="AA96" s="54"/>
      <c r="AB96" s="54"/>
      <c r="AC96" s="54"/>
      <c r="AD96" s="54"/>
      <c r="AE96" s="54"/>
      <c r="AF96" s="55"/>
      <c r="AG96" s="56">
        <v>13</v>
      </c>
      <c r="AH96" s="57"/>
      <c r="AI96" s="58"/>
      <c r="AJ96" s="44" t="s">
        <v>41</v>
      </c>
      <c r="AK96" s="45"/>
      <c r="AL96" s="46"/>
      <c r="AM96" s="59" t="s">
        <v>21</v>
      </c>
      <c r="AN96" s="60"/>
      <c r="AO96" s="61"/>
      <c r="AP96" s="62" t="s">
        <v>121</v>
      </c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  <c r="BB96" s="68"/>
      <c r="BC96" s="68"/>
      <c r="BD96" s="68"/>
      <c r="BE96" s="68"/>
      <c r="BF96" s="68"/>
      <c r="BG96" s="68"/>
      <c r="BH96" s="68"/>
      <c r="BI96" s="68"/>
      <c r="BJ96" s="69"/>
    </row>
    <row r="97" spans="1:62" s="5" customFormat="1" ht="30.6" customHeight="1">
      <c r="A97" s="44">
        <f t="shared" si="1"/>
        <v>91</v>
      </c>
      <c r="B97" s="45"/>
      <c r="C97" s="46"/>
      <c r="D97" s="47" t="s">
        <v>232</v>
      </c>
      <c r="E97" s="48"/>
      <c r="F97" s="48"/>
      <c r="G97" s="48"/>
      <c r="H97" s="48"/>
      <c r="I97" s="49"/>
      <c r="J97" s="50" t="s">
        <v>216</v>
      </c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6"/>
      <c r="X97" s="53"/>
      <c r="Y97" s="54"/>
      <c r="Z97" s="54"/>
      <c r="AA97" s="54"/>
      <c r="AB97" s="54"/>
      <c r="AC97" s="54"/>
      <c r="AD97" s="54"/>
      <c r="AE97" s="54"/>
      <c r="AF97" s="55"/>
      <c r="AG97" s="56">
        <v>12</v>
      </c>
      <c r="AH97" s="57"/>
      <c r="AI97" s="58"/>
      <c r="AJ97" s="59" t="s">
        <v>21</v>
      </c>
      <c r="AK97" s="60"/>
      <c r="AL97" s="61"/>
      <c r="AM97" s="44" t="s">
        <v>41</v>
      </c>
      <c r="AN97" s="45"/>
      <c r="AO97" s="46"/>
      <c r="AP97" s="62" t="s">
        <v>217</v>
      </c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  <c r="BB97" s="68"/>
      <c r="BC97" s="68"/>
      <c r="BD97" s="68"/>
      <c r="BE97" s="68"/>
      <c r="BF97" s="68"/>
      <c r="BG97" s="68"/>
      <c r="BH97" s="68"/>
      <c r="BI97" s="68"/>
      <c r="BJ97" s="69"/>
    </row>
    <row r="98" spans="1:62" s="5" customFormat="1" ht="30.6" customHeight="1">
      <c r="A98" s="44">
        <f t="shared" si="1"/>
        <v>92</v>
      </c>
      <c r="B98" s="45"/>
      <c r="C98" s="46"/>
      <c r="D98" s="47" t="s">
        <v>281</v>
      </c>
      <c r="E98" s="48"/>
      <c r="F98" s="48"/>
      <c r="G98" s="48"/>
      <c r="H98" s="48"/>
      <c r="I98" s="49"/>
      <c r="J98" s="50" t="s">
        <v>219</v>
      </c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6"/>
      <c r="X98" s="53"/>
      <c r="Y98" s="54"/>
      <c r="Z98" s="54"/>
      <c r="AA98" s="54"/>
      <c r="AB98" s="54"/>
      <c r="AC98" s="54"/>
      <c r="AD98" s="54"/>
      <c r="AE98" s="54"/>
      <c r="AF98" s="55"/>
      <c r="AG98" s="56">
        <v>17</v>
      </c>
      <c r="AH98" s="57"/>
      <c r="AI98" s="58"/>
      <c r="AJ98" s="44" t="s">
        <v>41</v>
      </c>
      <c r="AK98" s="45"/>
      <c r="AL98" s="46"/>
      <c r="AM98" s="59" t="s">
        <v>21</v>
      </c>
      <c r="AN98" s="60"/>
      <c r="AO98" s="61"/>
      <c r="AP98" s="62" t="s">
        <v>121</v>
      </c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  <c r="BB98" s="68"/>
      <c r="BC98" s="68"/>
      <c r="BD98" s="68"/>
      <c r="BE98" s="68"/>
      <c r="BF98" s="68"/>
      <c r="BG98" s="68"/>
      <c r="BH98" s="68"/>
      <c r="BI98" s="68"/>
      <c r="BJ98" s="69"/>
    </row>
    <row r="99" spans="1:62" s="5" customFormat="1" ht="30.6" customHeight="1">
      <c r="A99" s="44">
        <f t="shared" si="1"/>
        <v>93</v>
      </c>
      <c r="B99" s="45"/>
      <c r="C99" s="46"/>
      <c r="D99" s="47" t="s">
        <v>218</v>
      </c>
      <c r="E99" s="48"/>
      <c r="F99" s="48"/>
      <c r="G99" s="48"/>
      <c r="H99" s="48"/>
      <c r="I99" s="49"/>
      <c r="J99" s="50" t="s">
        <v>221</v>
      </c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6"/>
      <c r="X99" s="53"/>
      <c r="Y99" s="54"/>
      <c r="Z99" s="54"/>
      <c r="AA99" s="54"/>
      <c r="AB99" s="54"/>
      <c r="AC99" s="54"/>
      <c r="AD99" s="54"/>
      <c r="AE99" s="54"/>
      <c r="AF99" s="55"/>
      <c r="AG99" s="56">
        <v>13</v>
      </c>
      <c r="AH99" s="57"/>
      <c r="AI99" s="58"/>
      <c r="AJ99" s="44" t="s">
        <v>41</v>
      </c>
      <c r="AK99" s="45"/>
      <c r="AL99" s="46"/>
      <c r="AM99" s="59" t="s">
        <v>21</v>
      </c>
      <c r="AN99" s="60"/>
      <c r="AO99" s="61"/>
      <c r="AP99" s="62" t="s">
        <v>121</v>
      </c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  <c r="BB99" s="68"/>
      <c r="BC99" s="68"/>
      <c r="BD99" s="68"/>
      <c r="BE99" s="68"/>
      <c r="BF99" s="68"/>
      <c r="BG99" s="68"/>
      <c r="BH99" s="68"/>
      <c r="BI99" s="68"/>
      <c r="BJ99" s="69"/>
    </row>
    <row r="100" spans="1:62" s="5" customFormat="1" ht="30.6" customHeight="1">
      <c r="A100" s="44">
        <f t="shared" si="1"/>
        <v>94</v>
      </c>
      <c r="B100" s="45"/>
      <c r="C100" s="46"/>
      <c r="D100" s="47" t="s">
        <v>220</v>
      </c>
      <c r="E100" s="48"/>
      <c r="F100" s="48"/>
      <c r="G100" s="48"/>
      <c r="H100" s="48"/>
      <c r="I100" s="49"/>
      <c r="J100" s="50" t="s">
        <v>222</v>
      </c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6"/>
      <c r="X100" s="53"/>
      <c r="Y100" s="54"/>
      <c r="Z100" s="54"/>
      <c r="AA100" s="54"/>
      <c r="AB100" s="54"/>
      <c r="AC100" s="54"/>
      <c r="AD100" s="54"/>
      <c r="AE100" s="54"/>
      <c r="AF100" s="55"/>
      <c r="AG100" s="56">
        <v>39</v>
      </c>
      <c r="AH100" s="57"/>
      <c r="AI100" s="58"/>
      <c r="AJ100" s="44" t="s">
        <v>41</v>
      </c>
      <c r="AK100" s="45"/>
      <c r="AL100" s="46"/>
      <c r="AM100" s="59" t="s">
        <v>21</v>
      </c>
      <c r="AN100" s="60"/>
      <c r="AO100" s="61"/>
      <c r="AP100" s="62" t="s">
        <v>121</v>
      </c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  <c r="BB100" s="68"/>
      <c r="BC100" s="68"/>
      <c r="BD100" s="68"/>
      <c r="BE100" s="68"/>
      <c r="BF100" s="68"/>
      <c r="BG100" s="68"/>
      <c r="BH100" s="68"/>
      <c r="BI100" s="68"/>
      <c r="BJ100" s="69"/>
    </row>
    <row r="101" spans="1:62" s="5" customFormat="1" ht="30.6" customHeight="1">
      <c r="A101" s="70">
        <f t="shared" si="1"/>
        <v>95</v>
      </c>
      <c r="B101" s="71"/>
      <c r="C101" s="72"/>
      <c r="D101" s="73" t="s">
        <v>282</v>
      </c>
      <c r="E101" s="74"/>
      <c r="F101" s="74"/>
      <c r="G101" s="74"/>
      <c r="H101" s="74"/>
      <c r="I101" s="75"/>
      <c r="J101" s="76" t="s">
        <v>223</v>
      </c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8"/>
      <c r="X101" s="79"/>
      <c r="Y101" s="80"/>
      <c r="Z101" s="80"/>
      <c r="AA101" s="80"/>
      <c r="AB101" s="80"/>
      <c r="AC101" s="80"/>
      <c r="AD101" s="80"/>
      <c r="AE101" s="80"/>
      <c r="AF101" s="81"/>
      <c r="AG101" s="82">
        <v>32</v>
      </c>
      <c r="AH101" s="83"/>
      <c r="AI101" s="84"/>
      <c r="AJ101" s="73" t="s">
        <v>21</v>
      </c>
      <c r="AK101" s="74"/>
      <c r="AL101" s="75"/>
      <c r="AM101" s="70" t="s">
        <v>41</v>
      </c>
      <c r="AN101" s="71"/>
      <c r="AO101" s="72"/>
      <c r="AP101" s="85" t="s">
        <v>224</v>
      </c>
      <c r="AQ101" s="86"/>
      <c r="AR101" s="86"/>
      <c r="AS101" s="86"/>
      <c r="AT101" s="86"/>
      <c r="AU101" s="86"/>
      <c r="AV101" s="86"/>
      <c r="AW101" s="86"/>
      <c r="AX101" s="86"/>
      <c r="AY101" s="86"/>
      <c r="AZ101" s="86"/>
      <c r="BA101" s="86"/>
      <c r="BB101" s="86"/>
      <c r="BC101" s="86"/>
      <c r="BD101" s="86"/>
      <c r="BE101" s="86"/>
      <c r="BF101" s="86"/>
      <c r="BG101" s="86"/>
      <c r="BH101" s="86"/>
      <c r="BI101" s="86"/>
      <c r="BJ101" s="87"/>
    </row>
    <row r="102" spans="1:62" s="4" customFormat="1" ht="6" customHeight="1"/>
    <row r="103" spans="1:62" s="4" customFormat="1" ht="13.5" customHeight="1"/>
    <row r="104" spans="1:62" ht="18" customHeight="1"/>
    <row r="105" spans="1:62" ht="18" customHeight="1"/>
    <row r="106" spans="1:62" ht="18" customHeight="1"/>
    <row r="107" spans="1:62" ht="18" customHeight="1"/>
    <row r="108" spans="1:62" ht="18" customHeight="1"/>
    <row r="109" spans="1:62" ht="18" customHeight="1"/>
  </sheetData>
  <mergeCells count="779">
    <mergeCell ref="AP39:BJ39"/>
    <mergeCell ref="A36:C36"/>
    <mergeCell ref="D36:I36"/>
    <mergeCell ref="J36:W36"/>
    <mergeCell ref="X36:AF36"/>
    <mergeCell ref="AG36:AI36"/>
    <mergeCell ref="AJ36:AL36"/>
    <mergeCell ref="AM36:AO36"/>
    <mergeCell ref="AP36:BJ36"/>
    <mergeCell ref="A38:C38"/>
    <mergeCell ref="D38:I38"/>
    <mergeCell ref="J38:W38"/>
    <mergeCell ref="X38:AF38"/>
    <mergeCell ref="AG38:AI38"/>
    <mergeCell ref="AJ38:AL38"/>
    <mergeCell ref="AM38:AO38"/>
    <mergeCell ref="AP38:BJ38"/>
    <mergeCell ref="AG63:AI63"/>
    <mergeCell ref="AP61:BJ61"/>
    <mergeCell ref="AM61:AO61"/>
    <mergeCell ref="A93:C93"/>
    <mergeCell ref="D93:I93"/>
    <mergeCell ref="J93:W93"/>
    <mergeCell ref="X93:AF93"/>
    <mergeCell ref="AG93:AI93"/>
    <mergeCell ref="AJ93:AL93"/>
    <mergeCell ref="AM93:AO93"/>
    <mergeCell ref="AP93:BJ93"/>
    <mergeCell ref="AM81:AO81"/>
    <mergeCell ref="AP81:BJ81"/>
    <mergeCell ref="AM83:AO83"/>
    <mergeCell ref="AP83:BJ83"/>
    <mergeCell ref="AJ87:AL87"/>
    <mergeCell ref="AM87:AO87"/>
    <mergeCell ref="A86:C86"/>
    <mergeCell ref="D86:I86"/>
    <mergeCell ref="AG91:AI91"/>
    <mergeCell ref="AJ91:AL91"/>
    <mergeCell ref="AM91:AO91"/>
    <mergeCell ref="AJ90:AL90"/>
    <mergeCell ref="AM90:AO90"/>
    <mergeCell ref="D84:I84"/>
    <mergeCell ref="J85:W85"/>
    <mergeCell ref="X85:AF85"/>
    <mergeCell ref="AG85:AI85"/>
    <mergeCell ref="AJ85:AL85"/>
    <mergeCell ref="AM85:AO85"/>
    <mergeCell ref="J81:W81"/>
    <mergeCell ref="X81:AF81"/>
    <mergeCell ref="AP82:BJ82"/>
    <mergeCell ref="J84:W84"/>
    <mergeCell ref="X84:AF84"/>
    <mergeCell ref="A89:C89"/>
    <mergeCell ref="AG89:AI89"/>
    <mergeCell ref="J90:W90"/>
    <mergeCell ref="X90:AF90"/>
    <mergeCell ref="AG90:AI90"/>
    <mergeCell ref="D89:I89"/>
    <mergeCell ref="J89:W89"/>
    <mergeCell ref="X89:AF89"/>
    <mergeCell ref="A90:C90"/>
    <mergeCell ref="D90:I90"/>
    <mergeCell ref="J87:W87"/>
    <mergeCell ref="X87:AF87"/>
    <mergeCell ref="X11:AF11"/>
    <mergeCell ref="X12:AF12"/>
    <mergeCell ref="AG8:AI8"/>
    <mergeCell ref="J49:W49"/>
    <mergeCell ref="X49:AF49"/>
    <mergeCell ref="J45:W45"/>
    <mergeCell ref="X45:AF45"/>
    <mergeCell ref="J47:W47"/>
    <mergeCell ref="AG83:AI83"/>
    <mergeCell ref="AG70:AI70"/>
    <mergeCell ref="AG66:AI66"/>
    <mergeCell ref="AG67:AI67"/>
    <mergeCell ref="AG68:AI68"/>
    <mergeCell ref="AG59:AI59"/>
    <mergeCell ref="AG71:AI71"/>
    <mergeCell ref="AG65:AI65"/>
    <mergeCell ref="AG75:AI75"/>
    <mergeCell ref="J79:W79"/>
    <mergeCell ref="AG60:AI60"/>
    <mergeCell ref="AG62:AI62"/>
    <mergeCell ref="AG64:AI64"/>
    <mergeCell ref="AG61:AI61"/>
    <mergeCell ref="AJ8:AL8"/>
    <mergeCell ref="A11:C11"/>
    <mergeCell ref="AG11:AI11"/>
    <mergeCell ref="AJ11:AL11"/>
    <mergeCell ref="A12:C12"/>
    <mergeCell ref="D12:I12"/>
    <mergeCell ref="A8:C8"/>
    <mergeCell ref="AG10:AI10"/>
    <mergeCell ref="AJ10:AL10"/>
    <mergeCell ref="X9:AF9"/>
    <mergeCell ref="AG9:AI9"/>
    <mergeCell ref="AJ9:AL9"/>
    <mergeCell ref="D11:I11"/>
    <mergeCell ref="AG12:AI12"/>
    <mergeCell ref="AJ12:AL12"/>
    <mergeCell ref="AM9:AO9"/>
    <mergeCell ref="AP9:BJ9"/>
    <mergeCell ref="AP7:BJ7"/>
    <mergeCell ref="AP8:BJ8"/>
    <mergeCell ref="AP11:BJ11"/>
    <mergeCell ref="AP12:BJ12"/>
    <mergeCell ref="AV2:AY2"/>
    <mergeCell ref="AZ2:BC2"/>
    <mergeCell ref="BD2:BG2"/>
    <mergeCell ref="BH2:BJ2"/>
    <mergeCell ref="H3:AU4"/>
    <mergeCell ref="AV3:AY3"/>
    <mergeCell ref="AZ3:BJ3"/>
    <mergeCell ref="AV4:AY4"/>
    <mergeCell ref="AZ4:BJ4"/>
    <mergeCell ref="D8:I8"/>
    <mergeCell ref="J8:W8"/>
    <mergeCell ref="J11:W11"/>
    <mergeCell ref="J12:W12"/>
    <mergeCell ref="AM8:AO8"/>
    <mergeCell ref="AM11:AO11"/>
    <mergeCell ref="A2:AU2"/>
    <mergeCell ref="D7:I7"/>
    <mergeCell ref="AG7:AI7"/>
    <mergeCell ref="AM7:AO7"/>
    <mergeCell ref="X7:AF7"/>
    <mergeCell ref="A6:C6"/>
    <mergeCell ref="D6:I6"/>
    <mergeCell ref="AP6:BJ6"/>
    <mergeCell ref="J6:W6"/>
    <mergeCell ref="X6:AF6"/>
    <mergeCell ref="AG6:AI6"/>
    <mergeCell ref="AJ6:AL6"/>
    <mergeCell ref="AM6:AO6"/>
    <mergeCell ref="A22:C22"/>
    <mergeCell ref="X22:AF22"/>
    <mergeCell ref="X20:AF20"/>
    <mergeCell ref="X21:AF21"/>
    <mergeCell ref="AG20:AI20"/>
    <mergeCell ref="AJ20:AL20"/>
    <mergeCell ref="J22:W22"/>
    <mergeCell ref="AG21:AI21"/>
    <mergeCell ref="A20:C20"/>
    <mergeCell ref="A3:G4"/>
    <mergeCell ref="J7:W7"/>
    <mergeCell ref="A7:C7"/>
    <mergeCell ref="A13:C13"/>
    <mergeCell ref="D13:I13"/>
    <mergeCell ref="J15:W15"/>
    <mergeCell ref="X15:AF15"/>
    <mergeCell ref="AG15:AI15"/>
    <mergeCell ref="AJ15:AL15"/>
    <mergeCell ref="J13:W13"/>
    <mergeCell ref="J14:W14"/>
    <mergeCell ref="X13:AF13"/>
    <mergeCell ref="X14:AF14"/>
    <mergeCell ref="A9:C9"/>
    <mergeCell ref="D9:I9"/>
    <mergeCell ref="J9:W9"/>
    <mergeCell ref="AG13:AI13"/>
    <mergeCell ref="AJ13:AL13"/>
    <mergeCell ref="AJ7:AL7"/>
    <mergeCell ref="A10:C10"/>
    <mergeCell ref="D10:I10"/>
    <mergeCell ref="J10:W10"/>
    <mergeCell ref="X10:AF10"/>
    <mergeCell ref="X8:AF8"/>
    <mergeCell ref="AJ27:AL27"/>
    <mergeCell ref="AM21:AO21"/>
    <mergeCell ref="J20:W20"/>
    <mergeCell ref="J21:W21"/>
    <mergeCell ref="D20:I20"/>
    <mergeCell ref="AM20:AO20"/>
    <mergeCell ref="D24:I24"/>
    <mergeCell ref="X32:AF32"/>
    <mergeCell ref="J24:W24"/>
    <mergeCell ref="X23:AF23"/>
    <mergeCell ref="X24:AF24"/>
    <mergeCell ref="AM22:AO22"/>
    <mergeCell ref="AM27:AO27"/>
    <mergeCell ref="AM26:AO26"/>
    <mergeCell ref="AM23:AO23"/>
    <mergeCell ref="AJ24:AL24"/>
    <mergeCell ref="AM24:AO24"/>
    <mergeCell ref="AJ22:AL22"/>
    <mergeCell ref="AJ26:AL26"/>
    <mergeCell ref="AJ23:AL23"/>
    <mergeCell ref="AJ25:AL25"/>
    <mergeCell ref="X48:AF48"/>
    <mergeCell ref="D34:I34"/>
    <mergeCell ref="J34:W34"/>
    <mergeCell ref="X34:AF34"/>
    <mergeCell ref="AG34:AI34"/>
    <mergeCell ref="A23:C23"/>
    <mergeCell ref="D23:I23"/>
    <mergeCell ref="AG23:AI23"/>
    <mergeCell ref="A25:C25"/>
    <mergeCell ref="AG25:AI25"/>
    <mergeCell ref="J25:W25"/>
    <mergeCell ref="X25:AF25"/>
    <mergeCell ref="J23:W23"/>
    <mergeCell ref="D43:I43"/>
    <mergeCell ref="J43:W43"/>
    <mergeCell ref="X43:AF43"/>
    <mergeCell ref="AG24:AI24"/>
    <mergeCell ref="D42:I42"/>
    <mergeCell ref="J42:W42"/>
    <mergeCell ref="D40:I40"/>
    <mergeCell ref="D47:I47"/>
    <mergeCell ref="A39:C39"/>
    <mergeCell ref="D39:I39"/>
    <mergeCell ref="J39:W39"/>
    <mergeCell ref="A92:C92"/>
    <mergeCell ref="X73:AF73"/>
    <mergeCell ref="A74:C74"/>
    <mergeCell ref="D74:I74"/>
    <mergeCell ref="D88:I88"/>
    <mergeCell ref="J88:W88"/>
    <mergeCell ref="X88:AF88"/>
    <mergeCell ref="X92:AF92"/>
    <mergeCell ref="J92:W92"/>
    <mergeCell ref="A88:C88"/>
    <mergeCell ref="A85:C85"/>
    <mergeCell ref="D85:I85"/>
    <mergeCell ref="A84:C84"/>
    <mergeCell ref="A87:C87"/>
    <mergeCell ref="A76:C76"/>
    <mergeCell ref="A75:C75"/>
    <mergeCell ref="A91:C91"/>
    <mergeCell ref="D91:I91"/>
    <mergeCell ref="J91:W91"/>
    <mergeCell ref="X91:AF91"/>
    <mergeCell ref="D92:I92"/>
    <mergeCell ref="J86:W86"/>
    <mergeCell ref="X86:AF86"/>
    <mergeCell ref="D87:I87"/>
    <mergeCell ref="J83:W83"/>
    <mergeCell ref="X83:AF83"/>
    <mergeCell ref="J60:W60"/>
    <mergeCell ref="J62:W62"/>
    <mergeCell ref="A61:C61"/>
    <mergeCell ref="D61:I61"/>
    <mergeCell ref="J61:W61"/>
    <mergeCell ref="A80:C80"/>
    <mergeCell ref="A82:C82"/>
    <mergeCell ref="A81:C81"/>
    <mergeCell ref="D81:I81"/>
    <mergeCell ref="D82:I82"/>
    <mergeCell ref="J82:W82"/>
    <mergeCell ref="X82:AF82"/>
    <mergeCell ref="D80:I80"/>
    <mergeCell ref="A83:C83"/>
    <mergeCell ref="D83:I83"/>
    <mergeCell ref="D79:I79"/>
    <mergeCell ref="A79:C79"/>
    <mergeCell ref="A78:C78"/>
    <mergeCell ref="X75:AF75"/>
    <mergeCell ref="J64:W64"/>
    <mergeCell ref="D60:I60"/>
    <mergeCell ref="D62:I62"/>
    <mergeCell ref="J80:W80"/>
    <mergeCell ref="X80:AF80"/>
    <mergeCell ref="J78:W78"/>
    <mergeCell ref="A44:C44"/>
    <mergeCell ref="D44:I44"/>
    <mergeCell ref="AP28:BJ28"/>
    <mergeCell ref="AJ28:AL28"/>
    <mergeCell ref="AM28:AO28"/>
    <mergeCell ref="AJ32:AL32"/>
    <mergeCell ref="AM32:AO32"/>
    <mergeCell ref="AP32:BJ32"/>
    <mergeCell ref="D32:I32"/>
    <mergeCell ref="J32:W32"/>
    <mergeCell ref="X52:AF52"/>
    <mergeCell ref="J52:W52"/>
    <mergeCell ref="X51:AF51"/>
    <mergeCell ref="AJ52:AL52"/>
    <mergeCell ref="AG52:AI52"/>
    <mergeCell ref="J51:W51"/>
    <mergeCell ref="AG51:AI51"/>
    <mergeCell ref="AJ58:AL58"/>
    <mergeCell ref="A60:C60"/>
    <mergeCell ref="A62:C62"/>
    <mergeCell ref="AM41:AO41"/>
    <mergeCell ref="A24:C24"/>
    <mergeCell ref="AM17:AO17"/>
    <mergeCell ref="J17:W17"/>
    <mergeCell ref="X17:AF17"/>
    <mergeCell ref="X18:AF18"/>
    <mergeCell ref="A19:C19"/>
    <mergeCell ref="D19:I19"/>
    <mergeCell ref="A21:C21"/>
    <mergeCell ref="D21:I21"/>
    <mergeCell ref="AG19:AI19"/>
    <mergeCell ref="AJ19:AL19"/>
    <mergeCell ref="J19:W19"/>
    <mergeCell ref="X19:AF19"/>
    <mergeCell ref="AJ21:AL21"/>
    <mergeCell ref="A18:C18"/>
    <mergeCell ref="D18:I18"/>
    <mergeCell ref="AG18:AI18"/>
    <mergeCell ref="AJ18:AL18"/>
    <mergeCell ref="AM18:AO18"/>
    <mergeCell ref="A17:C17"/>
    <mergeCell ref="D17:I17"/>
    <mergeCell ref="AG17:AI17"/>
    <mergeCell ref="AM19:AO19"/>
    <mergeCell ref="J18:W18"/>
    <mergeCell ref="AM16:AO16"/>
    <mergeCell ref="J16:W16"/>
    <mergeCell ref="X16:AF16"/>
    <mergeCell ref="A14:C14"/>
    <mergeCell ref="D14:I14"/>
    <mergeCell ref="AG14:AI14"/>
    <mergeCell ref="AJ14:AL14"/>
    <mergeCell ref="AM14:AO14"/>
    <mergeCell ref="A15:C15"/>
    <mergeCell ref="D15:I15"/>
    <mergeCell ref="AM15:AO15"/>
    <mergeCell ref="A16:C16"/>
    <mergeCell ref="D16:I16"/>
    <mergeCell ref="AG16:AI16"/>
    <mergeCell ref="AJ16:AL16"/>
    <mergeCell ref="AP10:BJ10"/>
    <mergeCell ref="AP70:BJ70"/>
    <mergeCell ref="AP72:BJ72"/>
    <mergeCell ref="AM75:AO75"/>
    <mergeCell ref="AP75:BJ75"/>
    <mergeCell ref="AM56:AO56"/>
    <mergeCell ref="AM69:AO69"/>
    <mergeCell ref="AP54:BJ54"/>
    <mergeCell ref="AP52:BJ52"/>
    <mergeCell ref="AP22:BJ22"/>
    <mergeCell ref="AP26:BJ26"/>
    <mergeCell ref="AP23:BJ23"/>
    <mergeCell ref="AP24:BJ24"/>
    <mergeCell ref="AM25:AO25"/>
    <mergeCell ref="AP27:BJ27"/>
    <mergeCell ref="AP33:BJ33"/>
    <mergeCell ref="AP41:BJ41"/>
    <mergeCell ref="AM43:AO43"/>
    <mergeCell ref="AM12:AO12"/>
    <mergeCell ref="AM13:AO13"/>
    <mergeCell ref="AM10:AO10"/>
    <mergeCell ref="AP25:BJ25"/>
    <mergeCell ref="AP34:BJ34"/>
    <mergeCell ref="AP13:BJ13"/>
    <mergeCell ref="AP14:BJ14"/>
    <mergeCell ref="AP15:BJ15"/>
    <mergeCell ref="AP16:BJ16"/>
    <mergeCell ref="AP17:BJ17"/>
    <mergeCell ref="X33:AF33"/>
    <mergeCell ref="AG42:AI42"/>
    <mergeCell ref="AG46:AI46"/>
    <mergeCell ref="X47:AF47"/>
    <mergeCell ref="AG47:AI47"/>
    <mergeCell ref="X46:AF46"/>
    <mergeCell ref="AJ42:AL42"/>
    <mergeCell ref="AJ33:AL33"/>
    <mergeCell ref="AM42:AO42"/>
    <mergeCell ref="AP42:BJ42"/>
    <mergeCell ref="AP40:BJ40"/>
    <mergeCell ref="X28:AF28"/>
    <mergeCell ref="AG28:AI28"/>
    <mergeCell ref="AP19:BJ19"/>
    <mergeCell ref="AP20:BJ20"/>
    <mergeCell ref="AP18:BJ18"/>
    <mergeCell ref="AP21:BJ21"/>
    <mergeCell ref="AP43:BJ43"/>
    <mergeCell ref="AP44:BJ44"/>
    <mergeCell ref="AJ17:AL17"/>
    <mergeCell ref="J53:W53"/>
    <mergeCell ref="X53:AF53"/>
    <mergeCell ref="AG53:AI53"/>
    <mergeCell ref="AM58:AO58"/>
    <mergeCell ref="J54:W54"/>
    <mergeCell ref="AG58:AI58"/>
    <mergeCell ref="AG57:AI57"/>
    <mergeCell ref="AG56:AI56"/>
    <mergeCell ref="X55:AF55"/>
    <mergeCell ref="AG55:AI55"/>
    <mergeCell ref="X54:AF54"/>
    <mergeCell ref="AG54:AI54"/>
    <mergeCell ref="J58:W58"/>
    <mergeCell ref="X58:AF58"/>
    <mergeCell ref="J56:W56"/>
    <mergeCell ref="J55:W55"/>
    <mergeCell ref="AP49:BJ49"/>
    <mergeCell ref="AM57:AO57"/>
    <mergeCell ref="AJ48:AL48"/>
    <mergeCell ref="AJ53:AL53"/>
    <mergeCell ref="AP46:BJ46"/>
    <mergeCell ref="AM47:AO47"/>
    <mergeCell ref="AP47:BJ47"/>
    <mergeCell ref="AM48:AO48"/>
    <mergeCell ref="AP48:BJ48"/>
    <mergeCell ref="AJ47:AL47"/>
    <mergeCell ref="AM49:AO49"/>
    <mergeCell ref="AJ49:AL49"/>
    <mergeCell ref="AP55:BJ55"/>
    <mergeCell ref="AM46:AO46"/>
    <mergeCell ref="AJ46:AL46"/>
    <mergeCell ref="AM55:AO55"/>
    <mergeCell ref="AJ55:AL55"/>
    <mergeCell ref="AJ56:AL56"/>
    <mergeCell ref="AP58:BJ58"/>
    <mergeCell ref="AP57:BJ57"/>
    <mergeCell ref="AJ50:AL50"/>
    <mergeCell ref="AM50:AO50"/>
    <mergeCell ref="AP50:BJ50"/>
    <mergeCell ref="AP53:BJ53"/>
    <mergeCell ref="AJ57:AL57"/>
    <mergeCell ref="AP56:BJ56"/>
    <mergeCell ref="AJ51:AL51"/>
    <mergeCell ref="AM52:AO52"/>
    <mergeCell ref="AJ54:AL54"/>
    <mergeCell ref="AM54:AO54"/>
    <mergeCell ref="AP51:BJ51"/>
    <mergeCell ref="AM53:AO53"/>
    <mergeCell ref="AM51:AO51"/>
    <mergeCell ref="AG88:AI88"/>
    <mergeCell ref="AG80:AI80"/>
    <mergeCell ref="AP79:BJ79"/>
    <mergeCell ref="AP85:BJ85"/>
    <mergeCell ref="AP87:BJ87"/>
    <mergeCell ref="AM84:AO84"/>
    <mergeCell ref="AP84:BJ84"/>
    <mergeCell ref="AJ74:AL74"/>
    <mergeCell ref="AM80:AO80"/>
    <mergeCell ref="AM74:AO74"/>
    <mergeCell ref="AJ77:AL77"/>
    <mergeCell ref="AM77:AO77"/>
    <mergeCell ref="AG82:AI82"/>
    <mergeCell ref="AG76:AI76"/>
    <mergeCell ref="AP76:BJ76"/>
    <mergeCell ref="AG87:AI87"/>
    <mergeCell ref="AJ86:AL86"/>
    <mergeCell ref="AG86:AI86"/>
    <mergeCell ref="AJ76:AL76"/>
    <mergeCell ref="AM78:AO78"/>
    <mergeCell ref="AM76:AO76"/>
    <mergeCell ref="AP86:BJ86"/>
    <mergeCell ref="AP73:BJ73"/>
    <mergeCell ref="AJ75:AL75"/>
    <mergeCell ref="AJ72:AL72"/>
    <mergeCell ref="AM72:AO72"/>
    <mergeCell ref="AP80:BJ80"/>
    <mergeCell ref="AP74:BJ74"/>
    <mergeCell ref="AP66:BJ66"/>
    <mergeCell ref="AP91:BJ91"/>
    <mergeCell ref="AP88:BJ88"/>
    <mergeCell ref="AP89:BJ89"/>
    <mergeCell ref="AJ81:AL81"/>
    <mergeCell ref="AJ73:AL73"/>
    <mergeCell ref="AM73:AO73"/>
    <mergeCell ref="AP78:BJ78"/>
    <mergeCell ref="AP90:BJ90"/>
    <mergeCell ref="AP69:BJ69"/>
    <mergeCell ref="AJ71:AL71"/>
    <mergeCell ref="AM71:AO71"/>
    <mergeCell ref="AP71:BJ71"/>
    <mergeCell ref="AM67:AO67"/>
    <mergeCell ref="AP67:BJ67"/>
    <mergeCell ref="AJ70:AL70"/>
    <mergeCell ref="AJ68:AL68"/>
    <mergeCell ref="AM66:AO66"/>
    <mergeCell ref="AP92:BJ92"/>
    <mergeCell ref="AG92:AI92"/>
    <mergeCell ref="AP65:BJ65"/>
    <mergeCell ref="AM70:AO70"/>
    <mergeCell ref="AM82:AO82"/>
    <mergeCell ref="AJ69:AL69"/>
    <mergeCell ref="AG69:AI69"/>
    <mergeCell ref="AJ88:AL88"/>
    <mergeCell ref="AM88:AO88"/>
    <mergeCell ref="AG72:AI72"/>
    <mergeCell ref="AG84:AI84"/>
    <mergeCell ref="AG81:AI81"/>
    <mergeCell ref="AM92:AO92"/>
    <mergeCell ref="AJ92:AL92"/>
    <mergeCell ref="AJ79:AL79"/>
    <mergeCell ref="AM79:AO79"/>
    <mergeCell ref="AM86:AO86"/>
    <mergeCell ref="AP77:BJ77"/>
    <mergeCell ref="AJ89:AL89"/>
    <mergeCell ref="AM89:AO89"/>
    <mergeCell ref="AJ83:AL83"/>
    <mergeCell ref="AJ80:AL80"/>
    <mergeCell ref="AJ84:AL84"/>
    <mergeCell ref="AJ82:AL82"/>
    <mergeCell ref="AJ59:AL59"/>
    <mergeCell ref="AM59:AO59"/>
    <mergeCell ref="AP59:BJ59"/>
    <mergeCell ref="AM68:AO68"/>
    <mergeCell ref="AP68:BJ68"/>
    <mergeCell ref="AJ67:AL67"/>
    <mergeCell ref="AJ65:AL65"/>
    <mergeCell ref="AM65:AO65"/>
    <mergeCell ref="AJ63:AL63"/>
    <mergeCell ref="AM63:AO63"/>
    <mergeCell ref="AJ61:AL61"/>
    <mergeCell ref="AJ66:AL66"/>
    <mergeCell ref="AP63:BJ63"/>
    <mergeCell ref="AP60:BJ60"/>
    <mergeCell ref="AJ60:AL60"/>
    <mergeCell ref="AM60:AO60"/>
    <mergeCell ref="AJ62:AL62"/>
    <mergeCell ref="AM62:AO62"/>
    <mergeCell ref="AP62:BJ62"/>
    <mergeCell ref="AP64:BJ64"/>
    <mergeCell ref="AJ64:AL64"/>
    <mergeCell ref="AM64:AO64"/>
    <mergeCell ref="AG73:AI73"/>
    <mergeCell ref="AG74:AI74"/>
    <mergeCell ref="X79:AF79"/>
    <mergeCell ref="AG79:AI79"/>
    <mergeCell ref="D77:I77"/>
    <mergeCell ref="J77:W77"/>
    <mergeCell ref="X77:AF77"/>
    <mergeCell ref="AG77:AI77"/>
    <mergeCell ref="AJ78:AL78"/>
    <mergeCell ref="D78:I78"/>
    <mergeCell ref="AG78:AI78"/>
    <mergeCell ref="D76:I76"/>
    <mergeCell ref="J76:W76"/>
    <mergeCell ref="D75:I75"/>
    <mergeCell ref="J74:W74"/>
    <mergeCell ref="X74:AF74"/>
    <mergeCell ref="X78:AF78"/>
    <mergeCell ref="A47:C47"/>
    <mergeCell ref="A35:C35"/>
    <mergeCell ref="J28:W28"/>
    <mergeCell ref="AG50:AI50"/>
    <mergeCell ref="D26:I26"/>
    <mergeCell ref="D22:I22"/>
    <mergeCell ref="AG22:AI22"/>
    <mergeCell ref="D25:I25"/>
    <mergeCell ref="A50:C50"/>
    <mergeCell ref="D50:I50"/>
    <mergeCell ref="J50:W50"/>
    <mergeCell ref="X50:AF50"/>
    <mergeCell ref="AG49:AI49"/>
    <mergeCell ref="A41:C41"/>
    <mergeCell ref="A42:C42"/>
    <mergeCell ref="A43:C43"/>
    <mergeCell ref="A45:C45"/>
    <mergeCell ref="A46:C46"/>
    <mergeCell ref="D46:I46"/>
    <mergeCell ref="J46:W46"/>
    <mergeCell ref="D45:I45"/>
    <mergeCell ref="J40:W40"/>
    <mergeCell ref="J41:W41"/>
    <mergeCell ref="AG26:AI26"/>
    <mergeCell ref="A28:C28"/>
    <mergeCell ref="AM35:AO35"/>
    <mergeCell ref="D28:I28"/>
    <mergeCell ref="J26:W26"/>
    <mergeCell ref="X26:AF26"/>
    <mergeCell ref="AM37:AO37"/>
    <mergeCell ref="AJ40:AL40"/>
    <mergeCell ref="AM40:AO40"/>
    <mergeCell ref="A34:C34"/>
    <mergeCell ref="AM33:AO33"/>
    <mergeCell ref="J33:W33"/>
    <mergeCell ref="A33:C33"/>
    <mergeCell ref="D33:I33"/>
    <mergeCell ref="AG33:AI33"/>
    <mergeCell ref="A37:C37"/>
    <mergeCell ref="A26:C26"/>
    <mergeCell ref="A27:C27"/>
    <mergeCell ref="D27:I27"/>
    <mergeCell ref="AG27:AI27"/>
    <mergeCell ref="J27:W27"/>
    <mergeCell ref="X27:AF27"/>
    <mergeCell ref="A32:C32"/>
    <mergeCell ref="A40:C40"/>
    <mergeCell ref="AG32:AI32"/>
    <mergeCell ref="AJ34:AL34"/>
    <mergeCell ref="AM34:AO34"/>
    <mergeCell ref="X40:AF40"/>
    <mergeCell ref="AG40:AI40"/>
    <mergeCell ref="AG44:AI44"/>
    <mergeCell ref="AG45:AI45"/>
    <mergeCell ref="X41:AF41"/>
    <mergeCell ref="AG41:AI41"/>
    <mergeCell ref="AJ41:AL41"/>
    <mergeCell ref="AG43:AI43"/>
    <mergeCell ref="X39:AF39"/>
    <mergeCell ref="AG39:AI39"/>
    <mergeCell ref="AJ39:AL39"/>
    <mergeCell ref="AM39:AO39"/>
    <mergeCell ref="AG48:AI48"/>
    <mergeCell ref="AJ43:AL43"/>
    <mergeCell ref="X42:AF42"/>
    <mergeCell ref="AM44:AO44"/>
    <mergeCell ref="AM45:AO45"/>
    <mergeCell ref="AP37:BJ37"/>
    <mergeCell ref="D35:I35"/>
    <mergeCell ref="J35:W35"/>
    <mergeCell ref="X35:AF35"/>
    <mergeCell ref="AG35:AI35"/>
    <mergeCell ref="AJ35:AL35"/>
    <mergeCell ref="D37:I37"/>
    <mergeCell ref="J37:W37"/>
    <mergeCell ref="X37:AF37"/>
    <mergeCell ref="AG37:AI37"/>
    <mergeCell ref="AJ37:AL37"/>
    <mergeCell ref="AP35:BJ35"/>
    <mergeCell ref="AP45:BJ45"/>
    <mergeCell ref="AJ45:AL45"/>
    <mergeCell ref="AJ44:AL44"/>
    <mergeCell ref="D41:I41"/>
    <mergeCell ref="J44:W44"/>
    <mergeCell ref="X44:AF44"/>
    <mergeCell ref="J48:W48"/>
    <mergeCell ref="X59:AF59"/>
    <mergeCell ref="X63:AF63"/>
    <mergeCell ref="J57:W57"/>
    <mergeCell ref="X57:AF57"/>
    <mergeCell ref="X61:AF61"/>
    <mergeCell ref="D66:I66"/>
    <mergeCell ref="J66:W66"/>
    <mergeCell ref="X66:AF66"/>
    <mergeCell ref="X56:AF56"/>
    <mergeCell ref="J63:W63"/>
    <mergeCell ref="J59:W59"/>
    <mergeCell ref="X60:AF60"/>
    <mergeCell ref="X62:AF62"/>
    <mergeCell ref="X64:AF64"/>
    <mergeCell ref="D65:I65"/>
    <mergeCell ref="J65:W65"/>
    <mergeCell ref="D64:I64"/>
    <mergeCell ref="A69:C69"/>
    <mergeCell ref="D69:I69"/>
    <mergeCell ref="X65:AF65"/>
    <mergeCell ref="A68:C68"/>
    <mergeCell ref="D68:I68"/>
    <mergeCell ref="J68:W68"/>
    <mergeCell ref="X68:AF68"/>
    <mergeCell ref="A65:C65"/>
    <mergeCell ref="D63:I63"/>
    <mergeCell ref="A67:C67"/>
    <mergeCell ref="A66:C66"/>
    <mergeCell ref="J69:W69"/>
    <mergeCell ref="X69:AF69"/>
    <mergeCell ref="A63:C63"/>
    <mergeCell ref="D67:I67"/>
    <mergeCell ref="J67:W67"/>
    <mergeCell ref="X67:AF67"/>
    <mergeCell ref="A64:C64"/>
    <mergeCell ref="A58:C58"/>
    <mergeCell ref="A54:C54"/>
    <mergeCell ref="A59:C59"/>
    <mergeCell ref="A56:C56"/>
    <mergeCell ref="A48:C48"/>
    <mergeCell ref="A57:C57"/>
    <mergeCell ref="D57:I57"/>
    <mergeCell ref="A52:C52"/>
    <mergeCell ref="D56:I56"/>
    <mergeCell ref="A53:C53"/>
    <mergeCell ref="A55:C55"/>
    <mergeCell ref="D53:I53"/>
    <mergeCell ref="D52:I52"/>
    <mergeCell ref="D58:I58"/>
    <mergeCell ref="D59:I59"/>
    <mergeCell ref="D48:I48"/>
    <mergeCell ref="D55:I55"/>
    <mergeCell ref="A51:C51"/>
    <mergeCell ref="D51:I51"/>
    <mergeCell ref="A49:C49"/>
    <mergeCell ref="D49:I49"/>
    <mergeCell ref="D54:I54"/>
    <mergeCell ref="A70:C70"/>
    <mergeCell ref="A77:C77"/>
    <mergeCell ref="X76:AF76"/>
    <mergeCell ref="A72:C72"/>
    <mergeCell ref="D70:I70"/>
    <mergeCell ref="D72:I72"/>
    <mergeCell ref="A73:C73"/>
    <mergeCell ref="D73:I73"/>
    <mergeCell ref="J73:W73"/>
    <mergeCell ref="J75:W75"/>
    <mergeCell ref="J70:W70"/>
    <mergeCell ref="X70:AF70"/>
    <mergeCell ref="J72:W72"/>
    <mergeCell ref="X72:AF72"/>
    <mergeCell ref="D71:I71"/>
    <mergeCell ref="J71:W71"/>
    <mergeCell ref="X71:AF71"/>
    <mergeCell ref="A71:C71"/>
    <mergeCell ref="A94:C94"/>
    <mergeCell ref="D94:I94"/>
    <mergeCell ref="J94:W94"/>
    <mergeCell ref="X94:AF94"/>
    <mergeCell ref="AG94:AI94"/>
    <mergeCell ref="AJ94:AL94"/>
    <mergeCell ref="AM94:AO94"/>
    <mergeCell ref="AP94:BJ94"/>
    <mergeCell ref="A95:C95"/>
    <mergeCell ref="D95:I95"/>
    <mergeCell ref="J95:W95"/>
    <mergeCell ref="X95:AF95"/>
    <mergeCell ref="AG95:AI95"/>
    <mergeCell ref="AJ95:AL95"/>
    <mergeCell ref="AM95:AO95"/>
    <mergeCell ref="AP95:BJ95"/>
    <mergeCell ref="A101:C101"/>
    <mergeCell ref="D101:I101"/>
    <mergeCell ref="J101:W101"/>
    <mergeCell ref="X101:AF101"/>
    <mergeCell ref="AG101:AI101"/>
    <mergeCell ref="AJ101:AL101"/>
    <mergeCell ref="AM101:AO101"/>
    <mergeCell ref="AP101:BJ101"/>
    <mergeCell ref="A98:C98"/>
    <mergeCell ref="D98:I98"/>
    <mergeCell ref="J98:W98"/>
    <mergeCell ref="X98:AF98"/>
    <mergeCell ref="AG98:AI98"/>
    <mergeCell ref="AJ98:AL98"/>
    <mergeCell ref="AM98:AO98"/>
    <mergeCell ref="AP98:BJ98"/>
    <mergeCell ref="A99:C99"/>
    <mergeCell ref="D99:I99"/>
    <mergeCell ref="J99:W99"/>
    <mergeCell ref="X99:AF99"/>
    <mergeCell ref="AG99:AI99"/>
    <mergeCell ref="AJ99:AL99"/>
    <mergeCell ref="AM99:AO99"/>
    <mergeCell ref="AP99:BJ99"/>
    <mergeCell ref="A100:C100"/>
    <mergeCell ref="D100:I100"/>
    <mergeCell ref="J100:W100"/>
    <mergeCell ref="X100:AF100"/>
    <mergeCell ref="AG100:AI100"/>
    <mergeCell ref="AJ100:AL100"/>
    <mergeCell ref="AM100:AO100"/>
    <mergeCell ref="AP100:BJ100"/>
    <mergeCell ref="A96:C96"/>
    <mergeCell ref="D96:I96"/>
    <mergeCell ref="J96:W96"/>
    <mergeCell ref="X96:AF96"/>
    <mergeCell ref="AG96:AI96"/>
    <mergeCell ref="AJ96:AL96"/>
    <mergeCell ref="AM96:AO96"/>
    <mergeCell ref="AP96:BJ96"/>
    <mergeCell ref="A97:C97"/>
    <mergeCell ref="D97:I97"/>
    <mergeCell ref="J97:W97"/>
    <mergeCell ref="X97:AF97"/>
    <mergeCell ref="AG97:AI97"/>
    <mergeCell ref="AJ97:AL97"/>
    <mergeCell ref="AM97:AO97"/>
    <mergeCell ref="AP97:BJ97"/>
    <mergeCell ref="A31:C31"/>
    <mergeCell ref="D31:I31"/>
    <mergeCell ref="J31:W31"/>
    <mergeCell ref="X31:AF31"/>
    <mergeCell ref="AG31:AI31"/>
    <mergeCell ref="AJ31:AL31"/>
    <mergeCell ref="AM31:AO31"/>
    <mergeCell ref="AP31:BJ31"/>
    <mergeCell ref="A29:C29"/>
    <mergeCell ref="D29:I29"/>
    <mergeCell ref="J29:W29"/>
    <mergeCell ref="X29:AF29"/>
    <mergeCell ref="AG29:AI29"/>
    <mergeCell ref="AJ29:AL29"/>
    <mergeCell ref="AM29:AO29"/>
    <mergeCell ref="AP29:BJ29"/>
    <mergeCell ref="A30:C30"/>
    <mergeCell ref="D30:I30"/>
    <mergeCell ref="J30:W30"/>
    <mergeCell ref="X30:AF30"/>
    <mergeCell ref="AG30:AI30"/>
    <mergeCell ref="AJ30:AL30"/>
    <mergeCell ref="AM30:AO30"/>
    <mergeCell ref="AP30:BJ30"/>
  </mergeCells>
  <phoneticPr fontId="1"/>
  <conditionalFormatting sqref="D7:W30 AG7:BJ101 D31 J31 D32:W101">
    <cfRule type="cellIs" dxfId="0" priority="1" operator="equal">
      <formula>""</formula>
    </cfRule>
  </conditionalFormatting>
  <pageMargins left="0.6692913385826772" right="0.27559055118110237" top="0.6692913385826772" bottom="0.35433070866141736" header="0.86614173228346458" footer="0.19685039370078741"/>
  <pageSetup paperSize="9" scale="68" fitToHeight="0" orientation="portrait" useFirstPageNumber="1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84DEB2-C2D4-4A87-81C4-607B6000D5CB}">
  <ds:schemaRefs>
    <ds:schemaRef ds:uri="http://schemas.microsoft.com/office/2006/documentManagement/types"/>
    <ds:schemaRef ds:uri="b9cc7365-e218-4624-aedb-0a55e821af1f"/>
    <ds:schemaRef ds:uri="http://www.w3.org/XML/1998/namespace"/>
    <ds:schemaRef ds:uri="http://purl.org/dc/dcmitype/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  <ds:schemaRef ds:uri="4a1f72ec-30b8-4383-892a-fcacdd251f13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08FEFA5-D0BB-421F-A89C-F922FCF0A4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E7B942E-83AC-43BD-BE05-30B40434F7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 </vt:lpstr>
      <vt:lpstr>csvファイル一覧</vt:lpstr>
      <vt:lpstr>csvファイル一覧!Print_Area</vt:lpstr>
      <vt:lpstr>'変更履歴 '!Print_Area</vt:lpstr>
      <vt:lpstr>csvファイル一覧!Print_Titles</vt:lpstr>
      <vt:lpstr>'変更履歴 '!Print_Titles</vt:lpstr>
    </vt:vector>
  </TitlesOfParts>
  <Manager/>
  <Company>ﾎｸﾚﾝ情報ｻｰﾋﾞｽ株式会社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管理システム課</dc:creator>
  <cp:keywords/>
  <dc:description/>
  <cp:lastModifiedBy>北原 司</cp:lastModifiedBy>
  <cp:revision/>
  <cp:lastPrinted>2025-06-26T09:40:43Z</cp:lastPrinted>
  <dcterms:created xsi:type="dcterms:W3CDTF">1998-06-10T05:09:54Z</dcterms:created>
  <dcterms:modified xsi:type="dcterms:W3CDTF">2025-09-09T08:59:59Z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