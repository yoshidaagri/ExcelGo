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10_CSVファイル設計書\9.共計\9.1.共計精算入力\"/>
    </mc:Choice>
  </mc:AlternateContent>
  <xr:revisionPtr revIDLastSave="0" documentId="13_ncr:1_{A3DC2861-7959-4639-B7C2-49038BA32201}" xr6:coauthVersionLast="47" xr6:coauthVersionMax="47" xr10:uidLastSave="{00000000-0000-0000-0000-000000000000}"/>
  <bookViews>
    <workbookView xWindow="-110" yWindow="-110" windowWidth="19420" windowHeight="1150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CSVイメージ!$A$1:$BJ$32</definedName>
    <definedName name="_xlnm.Print_Area" localSheetId="1">項目定義書!$A$1:$BJ$42</definedName>
    <definedName name="_xlnm.Print_Area" localSheetId="4">取込チェック・関連!$A$1:$BJ$24</definedName>
    <definedName name="_xlnm.Print_Area" localSheetId="3">取込チェック・単体!$A$1:$BJ$54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2" l="1"/>
  <c r="A10" i="22"/>
  <c r="A15" i="23" l="1"/>
  <c r="A14" i="23"/>
  <c r="A17" i="23"/>
  <c r="A21" i="23"/>
  <c r="A16" i="23"/>
  <c r="A25" i="22"/>
  <c r="A32" i="22"/>
  <c r="A31" i="22"/>
  <c r="A29" i="22" l="1"/>
  <c r="A26" i="22"/>
  <c r="A16" i="22"/>
  <c r="A18" i="23" l="1"/>
  <c r="A19" i="23"/>
  <c r="A12" i="23" l="1"/>
  <c r="A13" i="23"/>
  <c r="A11" i="23"/>
  <c r="A41" i="22"/>
  <c r="A23" i="31"/>
  <c r="A31" i="28"/>
  <c r="A33" i="28"/>
  <c r="A34" i="28"/>
  <c r="A35" i="28"/>
  <c r="A40" i="22"/>
  <c r="A39" i="22"/>
  <c r="A38" i="22"/>
  <c r="A37" i="22"/>
  <c r="A36" i="22"/>
  <c r="A35" i="22"/>
  <c r="A21" i="28" l="1"/>
  <c r="A22" i="28"/>
  <c r="A23" i="28"/>
  <c r="A24" i="28"/>
  <c r="A25" i="28"/>
  <c r="A26" i="28"/>
  <c r="A27" i="28"/>
  <c r="A28" i="28"/>
  <c r="A29" i="28"/>
  <c r="A30" i="28"/>
  <c r="A32" i="28"/>
  <c r="A20" i="28"/>
  <c r="A19" i="28"/>
  <c r="A45" i="22" l="1"/>
  <c r="A44" i="22"/>
  <c r="A25" i="31"/>
  <c r="A12" i="31" l="1"/>
  <c r="A20" i="23"/>
  <c r="A10" i="23"/>
  <c r="A9" i="23"/>
  <c r="A51" i="22" l="1"/>
  <c r="A50" i="22"/>
  <c r="A34" i="22"/>
  <c r="A42" i="22"/>
  <c r="A43" i="22"/>
  <c r="A46" i="22"/>
  <c r="A47" i="22"/>
  <c r="A48" i="22"/>
  <c r="A49" i="22"/>
  <c r="A13" i="22"/>
  <c r="A14" i="22"/>
  <c r="A15" i="22"/>
  <c r="A17" i="22"/>
  <c r="A18" i="22"/>
  <c r="A19" i="22"/>
  <c r="A20" i="22"/>
  <c r="A21" i="22"/>
  <c r="A22" i="22"/>
  <c r="A23" i="22"/>
  <c r="A24" i="22"/>
  <c r="A27" i="22"/>
  <c r="A28" i="22"/>
  <c r="A30" i="22"/>
  <c r="A33" i="22"/>
  <c r="A12" i="22"/>
  <c r="A11" i="22"/>
  <c r="A14" i="31" l="1"/>
  <c r="A15" i="31"/>
  <c r="A16" i="31"/>
  <c r="A17" i="31"/>
  <c r="A18" i="31"/>
  <c r="A19" i="31"/>
  <c r="A20" i="31"/>
  <c r="A21" i="31"/>
  <c r="A22" i="31"/>
  <c r="A24" i="31"/>
  <c r="A26" i="31"/>
  <c r="A27" i="31"/>
  <c r="A13" i="31"/>
  <c r="A1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<sst xmlns="http://schemas.openxmlformats.org/spreadsheetml/2006/main" count="389" uniqueCount="196">
  <si>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</si>
  <si>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</si>
  <si>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</si>
  <si>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</si>
  <si>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</si>
  <si>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</si>
  <si>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</si>
  <si>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</si>
  <si>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</si>
  <si>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</si>
  <si>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</si>
  <si>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</si>
  <si>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</si>
  <si>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</si>
  <si>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あり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</si>
  <si>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</si>
  <si>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</si>
  <si>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</si>
  <si>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</si>
  <si>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〇</t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</si>
  <si>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</si>
  <si>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</si>
  <si>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</si>
  <si>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</si>
  <si>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</si>
  <si>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</si>
  <si>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</si>
  <si>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</si>
  <si>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</si>
  <si>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</si>
  <si>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</si>
  <si>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</si>
  <si>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漢字</t>
    <rPh sb="0" eb="2">
      <t>カンジ</t>
    </rPh>
    <phoneticPr fontId="2"/>
  </si>
  <si>
    <t>英数字</t>
    <rPh sb="0" eb="3">
      <t>エイスウジ</t>
    </rPh>
    <phoneticPr fontId="2"/>
  </si>
  <si>
    <t>ＣＳＶファイル　データイメージ</t>
    <phoneticPr fontId="2"/>
  </si>
  <si>
    <t>F4110-2</t>
    <phoneticPr fontId="2"/>
  </si>
  <si>
    <t>なし</t>
  </si>
  <si>
    <t>項目名称</t>
    <phoneticPr fontId="2"/>
  </si>
  <si>
    <t>データ格納イメージ</t>
    <rPh sb="3" eb="5">
      <t>カクノウ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</si>
  <si>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</si>
  <si>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</si>
  <si>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</si>
  <si>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</si>
  <si>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</si>
  <si>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</si>
  <si>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</si>
  <si>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</si>
  <si>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ＣＳＶ取込みチェック（関連）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</si>
  <si>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</si>
  <si>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</si>
  <si>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数字</t>
    <rPh sb="0" eb="2">
      <t>スウジ</t>
    </rPh>
    <phoneticPr fontId="2"/>
  </si>
  <si>
    <t>ＣＳＶ取込みチェック（単体）</t>
    <rPh sb="3" eb="5">
      <t>トリコ</t>
    </rPh>
    <rPh sb="11" eb="13">
      <t>タンタイ</t>
    </rPh>
    <phoneticPr fontId="2"/>
  </si>
  <si>
    <t>共計区分</t>
    <rPh sb="0" eb="2">
      <t>キョウケイ</t>
    </rPh>
    <rPh sb="2" eb="4">
      <t>クブン</t>
    </rPh>
    <phoneticPr fontId="3"/>
  </si>
  <si>
    <t>収支管理品目</t>
    <rPh sb="0" eb="2">
      <t>シュウシ</t>
    </rPh>
    <rPh sb="2" eb="4">
      <t>カンリ</t>
    </rPh>
    <rPh sb="4" eb="6">
      <t>ヒンモク</t>
    </rPh>
    <phoneticPr fontId="3"/>
  </si>
  <si>
    <t>年産</t>
    <rPh sb="0" eb="2">
      <t>ネンサン</t>
    </rPh>
    <phoneticPr fontId="3"/>
  </si>
  <si>
    <t>共計次数</t>
    <rPh sb="0" eb="2">
      <t>キョウケイ</t>
    </rPh>
    <rPh sb="2" eb="4">
      <t>ジスウ</t>
    </rPh>
    <phoneticPr fontId="3"/>
  </si>
  <si>
    <t>支払予定日</t>
    <rPh sb="0" eb="2">
      <t>シハライ</t>
    </rPh>
    <rPh sb="2" eb="5">
      <t>ヨテイビ</t>
    </rPh>
    <phoneticPr fontId="3"/>
  </si>
  <si>
    <t>支払方法</t>
    <rPh sb="0" eb="2">
      <t>シハラ</t>
    </rPh>
    <rPh sb="2" eb="4">
      <t>ホウホウ</t>
    </rPh>
    <phoneticPr fontId="3"/>
  </si>
  <si>
    <t>精算金額
（基本入力本体）</t>
    <rPh sb="2" eb="4">
      <t>キンガク</t>
    </rPh>
    <rPh sb="6" eb="8">
      <t>キホン</t>
    </rPh>
    <rPh sb="8" eb="10">
      <t>ニュウリョク</t>
    </rPh>
    <rPh sb="10" eb="12">
      <t>ホンタイ</t>
    </rPh>
    <phoneticPr fontId="3"/>
  </si>
  <si>
    <t>精算金額
（基本入力消費税）</t>
    <rPh sb="2" eb="4">
      <t>キンガク</t>
    </rPh>
    <rPh sb="6" eb="8">
      <t>キホン</t>
    </rPh>
    <rPh sb="8" eb="10">
      <t>ニュウリョク</t>
    </rPh>
    <rPh sb="10" eb="13">
      <t>ショウヒゼイ</t>
    </rPh>
    <phoneticPr fontId="3"/>
  </si>
  <si>
    <t>農協コード</t>
    <rPh sb="0" eb="1">
      <t>ノウキョウ</t>
    </rPh>
    <phoneticPr fontId="3"/>
  </si>
  <si>
    <t>農協への支払金額</t>
    <rPh sb="0" eb="1">
      <t>ノウキョウ</t>
    </rPh>
    <rPh sb="3" eb="7">
      <t>シハライキンガク</t>
    </rPh>
    <phoneticPr fontId="3"/>
  </si>
  <si>
    <t>農協への支払金額（消費税）</t>
    <rPh sb="0" eb="1">
      <t>ノウキョウ</t>
    </rPh>
    <rPh sb="3" eb="7">
      <t>シハライキンガク</t>
    </rPh>
    <rPh sb="8" eb="11">
      <t>ショウヒゼイ</t>
    </rPh>
    <phoneticPr fontId="3"/>
  </si>
  <si>
    <t>001</t>
    <phoneticPr fontId="2"/>
  </si>
  <si>
    <t>01</t>
    <phoneticPr fontId="2"/>
  </si>
  <si>
    <t>00107</t>
    <phoneticPr fontId="2"/>
  </si>
  <si>
    <t>業種</t>
    <rPh sb="0" eb="2">
      <t>ギョウシュ</t>
    </rPh>
    <phoneticPr fontId="2"/>
  </si>
  <si>
    <t>共計組織</t>
    <rPh sb="0" eb="4">
      <t>キョウケイソシキ</t>
    </rPh>
    <phoneticPr fontId="2"/>
  </si>
  <si>
    <t>共計区分</t>
    <rPh sb="0" eb="4">
      <t>キョウケイクブン</t>
    </rPh>
    <phoneticPr fontId="2"/>
  </si>
  <si>
    <t>収支管理品目</t>
    <rPh sb="0" eb="2">
      <t>シュウシ</t>
    </rPh>
    <rPh sb="2" eb="4">
      <t>カンリ</t>
    </rPh>
    <rPh sb="4" eb="6">
      <t>ヒンモク</t>
    </rPh>
    <phoneticPr fontId="2"/>
  </si>
  <si>
    <t>年産</t>
    <rPh sb="0" eb="2">
      <t>ネンサン</t>
    </rPh>
    <phoneticPr fontId="2"/>
  </si>
  <si>
    <t>共計次数</t>
    <rPh sb="0" eb="2">
      <t>キョウケイ</t>
    </rPh>
    <rPh sb="2" eb="4">
      <t>ジスウ</t>
    </rPh>
    <phoneticPr fontId="2"/>
  </si>
  <si>
    <t>支払予定日</t>
    <rPh sb="0" eb="2">
      <t>シハライ</t>
    </rPh>
    <rPh sb="2" eb="4">
      <t>ヨテイ</t>
    </rPh>
    <rPh sb="4" eb="5">
      <t>ビ</t>
    </rPh>
    <phoneticPr fontId="2"/>
  </si>
  <si>
    <t>支払方法</t>
    <rPh sb="0" eb="4">
      <t>シハライホウホウ</t>
    </rPh>
    <phoneticPr fontId="2"/>
  </si>
  <si>
    <t>業種マスタに存在しない場合、エラー
／業種はマスタに存在しません</t>
    <rPh sb="0" eb="2">
      <t>ギョウシュ</t>
    </rPh>
    <rPh sb="6" eb="8">
      <t>ソンザイ</t>
    </rPh>
    <rPh sb="11" eb="13">
      <t>バアイ</t>
    </rPh>
    <rPh sb="19" eb="21">
      <t>ギョウシュ</t>
    </rPh>
    <phoneticPr fontId="2"/>
  </si>
  <si>
    <t>収支管理品目マスタに存在しない場合、エラー
／収支管理品目はマスタに存在しません</t>
    <rPh sb="0" eb="2">
      <t>シュウシ</t>
    </rPh>
    <rPh sb="2" eb="4">
      <t>カンリ</t>
    </rPh>
    <rPh sb="4" eb="6">
      <t>ヒンモク</t>
    </rPh>
    <rPh sb="10" eb="12">
      <t>ソンザイ</t>
    </rPh>
    <rPh sb="15" eb="17">
      <t>バアイ</t>
    </rPh>
    <rPh sb="23" eb="29">
      <t>シュウシカンリヒンモク</t>
    </rPh>
    <phoneticPr fontId="2"/>
  </si>
  <si>
    <t>20250121</t>
    <phoneticPr fontId="2"/>
  </si>
  <si>
    <t>共計組織</t>
    <rPh sb="0" eb="2">
      <t>キョウケイ</t>
    </rPh>
    <rPh sb="2" eb="4">
      <t>ソシキ</t>
    </rPh>
    <phoneticPr fontId="2"/>
  </si>
  <si>
    <t>業種</t>
    <rPh sb="0" eb="2">
      <t>ギョウシュ</t>
    </rPh>
    <phoneticPr fontId="3"/>
  </si>
  <si>
    <t>農協支所コード</t>
    <rPh sb="0" eb="1">
      <t>ノウキョウ</t>
    </rPh>
    <rPh sb="2" eb="4">
      <t>シショ</t>
    </rPh>
    <phoneticPr fontId="3"/>
  </si>
  <si>
    <t>関連チェック概要</t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</si>
  <si>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</si>
  <si>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</si>
  <si>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</si>
  <si>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文字コード</t>
    <rPh sb="0" eb="2">
      <t>モジ</t>
    </rPh>
    <phoneticPr fontId="2"/>
  </si>
  <si>
    <t>Shift jis</t>
  </si>
  <si>
    <t>業者コードを設定する</t>
    <rPh sb="0" eb="1">
      <t>ギョウシャ</t>
    </rPh>
    <rPh sb="5" eb="7">
      <t>セッテイ</t>
    </rPh>
    <phoneticPr fontId="2"/>
  </si>
  <si>
    <t>共計区分を設定する</t>
    <rPh sb="0" eb="4">
      <t>キョウケイクブン</t>
    </rPh>
    <rPh sb="5" eb="7">
      <t>セッテイ</t>
    </rPh>
    <phoneticPr fontId="2"/>
  </si>
  <si>
    <t>収支管理品目コードを設定する</t>
    <rPh sb="0" eb="5">
      <t>シュウシカンリヒンモク</t>
    </rPh>
    <rPh sb="9" eb="11">
      <t>セッテイ</t>
    </rPh>
    <phoneticPr fontId="2"/>
  </si>
  <si>
    <t>年産を設定する</t>
    <rPh sb="0" eb="1">
      <t>ネンサン</t>
    </rPh>
    <rPh sb="2" eb="4">
      <t>セッテイ</t>
    </rPh>
    <phoneticPr fontId="2"/>
  </si>
  <si>
    <t>共計次数を設定する</t>
    <rPh sb="0" eb="3">
      <t>キョウケイジスウ</t>
    </rPh>
    <rPh sb="4" eb="6">
      <t>セッテイ</t>
    </rPh>
    <phoneticPr fontId="2"/>
  </si>
  <si>
    <t>支払予定日を設定する
書式はyyyymmddとする</t>
    <rPh sb="0" eb="5">
      <t>シハライヨテイビ</t>
    </rPh>
    <rPh sb="6" eb="8">
      <t>セッテイ</t>
    </rPh>
    <rPh sb="11" eb="13">
      <t>ショシキ</t>
    </rPh>
    <phoneticPr fontId="2"/>
  </si>
  <si>
    <t>支払方法を設定する</t>
    <rPh sb="0" eb="4">
      <t>シハライホウホウ</t>
    </rPh>
    <rPh sb="5" eb="7">
      <t>セッテイ</t>
    </rPh>
    <phoneticPr fontId="2"/>
  </si>
  <si>
    <t>全体の精算金額を設定する</t>
    <rPh sb="0" eb="2">
      <t>ゼンタイ</t>
    </rPh>
    <rPh sb="3" eb="7">
      <t>セイサンキンガク</t>
    </rPh>
    <rPh sb="8" eb="10">
      <t>セッテイ</t>
    </rPh>
    <phoneticPr fontId="2"/>
  </si>
  <si>
    <t>全体の精算金額に対する消費税金額を設定する</t>
    <rPh sb="0" eb="2">
      <t>ゼンタイ</t>
    </rPh>
    <rPh sb="3" eb="7">
      <t>セイサンキンガク</t>
    </rPh>
    <rPh sb="8" eb="9">
      <t>タイ</t>
    </rPh>
    <rPh sb="11" eb="14">
      <t>ショウヒゼイ</t>
    </rPh>
    <rPh sb="14" eb="16">
      <t>キンガク</t>
    </rPh>
    <rPh sb="17" eb="19">
      <t>セッテイ</t>
    </rPh>
    <phoneticPr fontId="2"/>
  </si>
  <si>
    <t>農協コードを設定する</t>
    <rPh sb="0" eb="2">
      <t>ノウキョウ</t>
    </rPh>
    <rPh sb="6" eb="8">
      <t>セッテイ</t>
    </rPh>
    <phoneticPr fontId="2"/>
  </si>
  <si>
    <t>農協支所コードを設定する</t>
    <rPh sb="0" eb="2">
      <t>ノウキョウ</t>
    </rPh>
    <rPh sb="2" eb="4">
      <t>シショ</t>
    </rPh>
    <rPh sb="8" eb="10">
      <t>セッテイ</t>
    </rPh>
    <phoneticPr fontId="2"/>
  </si>
  <si>
    <t>農協への支払金額を設定する</t>
    <rPh sb="0" eb="2">
      <t>ノウキョウ</t>
    </rPh>
    <rPh sb="4" eb="8">
      <t>シハライキンガク</t>
    </rPh>
    <rPh sb="9" eb="11">
      <t>セッテイ</t>
    </rPh>
    <phoneticPr fontId="2"/>
  </si>
  <si>
    <t>農協への支払金額に対する消費税金額を設定する</t>
    <rPh sb="0" eb="2">
      <t>ノウキョウ</t>
    </rPh>
    <rPh sb="4" eb="8">
      <t>シハライキンガク</t>
    </rPh>
    <rPh sb="9" eb="10">
      <t>タイ</t>
    </rPh>
    <rPh sb="12" eb="17">
      <t>ショウヒゼイキンガク</t>
    </rPh>
    <rPh sb="18" eb="20">
      <t>セッテイ</t>
    </rPh>
    <phoneticPr fontId="2"/>
  </si>
  <si>
    <t>精算金額（基本入力本体）</t>
    <rPh sb="0" eb="2">
      <t>セイサン</t>
    </rPh>
    <rPh sb="2" eb="4">
      <t>キンガク</t>
    </rPh>
    <rPh sb="5" eb="7">
      <t>キホン</t>
    </rPh>
    <rPh sb="7" eb="9">
      <t>ニュウリョク</t>
    </rPh>
    <rPh sb="9" eb="11">
      <t>ホンタイ</t>
    </rPh>
    <phoneticPr fontId="2"/>
  </si>
  <si>
    <t>精算金額（基本入力本体）</t>
    <rPh sb="2" eb="4">
      <t>キンガク</t>
    </rPh>
    <rPh sb="5" eb="7">
      <t>キホン</t>
    </rPh>
    <rPh sb="7" eb="9">
      <t>ニュウリョク</t>
    </rPh>
    <rPh sb="9" eb="11">
      <t>ホンタイ</t>
    </rPh>
    <phoneticPr fontId="3"/>
  </si>
  <si>
    <t>精算金額（基本入力消費税）</t>
    <rPh sb="2" eb="4">
      <t>キンガク</t>
    </rPh>
    <rPh sb="5" eb="7">
      <t>キホン</t>
    </rPh>
    <rPh sb="7" eb="9">
      <t>ニュウリョク</t>
    </rPh>
    <rPh sb="9" eb="12">
      <t>ショウヒゼイ</t>
    </rPh>
    <phoneticPr fontId="3"/>
  </si>
  <si>
    <t>精算金額（基本入力消費税）</t>
    <phoneticPr fontId="2"/>
  </si>
  <si>
    <t>農協コード</t>
    <rPh sb="0" eb="2">
      <t>ノウキョウ</t>
    </rPh>
    <phoneticPr fontId="2"/>
  </si>
  <si>
    <t>農協支所コード</t>
    <rPh sb="0" eb="2">
      <t>ノウキョウ</t>
    </rPh>
    <rPh sb="2" eb="4">
      <t>シショ</t>
    </rPh>
    <phoneticPr fontId="2"/>
  </si>
  <si>
    <t>農協への支払金額</t>
    <rPh sb="0" eb="2">
      <t>ノウキョウ</t>
    </rPh>
    <rPh sb="4" eb="8">
      <t>シハライキンガク</t>
    </rPh>
    <phoneticPr fontId="2"/>
  </si>
  <si>
    <t>農協への支払金額（消費税）</t>
    <rPh sb="0" eb="2">
      <t>ノウキョウ</t>
    </rPh>
    <rPh sb="4" eb="8">
      <t>シハライキンガク</t>
    </rPh>
    <rPh sb="9" eb="12">
      <t>ショウヒゼイ</t>
    </rPh>
    <phoneticPr fontId="2"/>
  </si>
  <si>
    <t>○</t>
  </si>
  <si>
    <t>○</t>
    <phoneticPr fontId="2"/>
  </si>
  <si>
    <t>2025/08/29</t>
    <phoneticPr fontId="2"/>
  </si>
  <si>
    <t>統合会計システム</t>
    <phoneticPr fontId="2"/>
  </si>
  <si>
    <t>支店コード</t>
    <rPh sb="0" eb="2">
      <t>シテン</t>
    </rPh>
    <phoneticPr fontId="3"/>
  </si>
  <si>
    <t>支店コードを設定する</t>
    <rPh sb="0" eb="2">
      <t>シテン</t>
    </rPh>
    <rPh sb="6" eb="8">
      <t>セッテイ</t>
    </rPh>
    <phoneticPr fontId="2"/>
  </si>
  <si>
    <t>支店コード</t>
    <rPh sb="0" eb="2">
      <t>シテン</t>
    </rPh>
    <phoneticPr fontId="2"/>
  </si>
  <si>
    <t>共計精算パターン</t>
    <rPh sb="0" eb="2">
      <t>キョウケイ</t>
    </rPh>
    <rPh sb="2" eb="4">
      <t>セイサン</t>
    </rPh>
    <phoneticPr fontId="3"/>
  </si>
  <si>
    <t>共計精算パターン</t>
    <rPh sb="0" eb="2">
      <t>キョウケイ</t>
    </rPh>
    <rPh sb="2" eb="4">
      <t>セイサン</t>
    </rPh>
    <phoneticPr fontId="2"/>
  </si>
  <si>
    <t>共計精算パターンを設定する</t>
    <rPh sb="0" eb="2">
      <t>キョウケイ</t>
    </rPh>
    <rPh sb="2" eb="4">
      <t>セイサン</t>
    </rPh>
    <rPh sb="9" eb="11">
      <t>セッテイ</t>
    </rPh>
    <phoneticPr fontId="2"/>
  </si>
  <si>
    <t>取引日</t>
    <phoneticPr fontId="3"/>
  </si>
  <si>
    <t>取引日</t>
    <phoneticPr fontId="2"/>
  </si>
  <si>
    <t>取引日を設定する
書式はyyyymmddとする</t>
    <rPh sb="4" eb="6">
      <t>セッテイ</t>
    </rPh>
    <phoneticPr fontId="2"/>
  </si>
  <si>
    <t>20250105</t>
    <phoneticPr fontId="2"/>
  </si>
  <si>
    <t>ＶＢ期間中に取引日が当月日付の場合、該当行を表示し、警告する。
／取引日が入力月となっているため、入力月の経理となりますが、よろしいですか？
前月経理とする場合は、取引日に前月末日以前を入力してください。
（該当行：〇,×,△行目）</t>
    <rPh sb="18" eb="20">
      <t>ガイトウ</t>
    </rPh>
    <rPh sb="20" eb="21">
      <t>ギョウ</t>
    </rPh>
    <rPh sb="22" eb="24">
      <t>ヒョウジ</t>
    </rPh>
    <rPh sb="104" eb="106">
      <t>ガイトウ</t>
    </rPh>
    <rPh sb="106" eb="107">
      <t>ギョウ</t>
    </rPh>
    <rPh sb="113" eb="115">
      <t>ギョウメ</t>
    </rPh>
    <phoneticPr fontId="2"/>
  </si>
  <si>
    <t>共計区分と入力項目のチェック</t>
    <phoneticPr fontId="2"/>
  </si>
  <si>
    <t>共計区分が４（購買在庫）５（購買直送）で、精算金額（基本入力本体）及び、精算金額（基本入力消費税）にマイナス値が入力されている場合、エラー
／精算金額にマイナス入力はできません。</t>
    <phoneticPr fontId="2"/>
  </si>
  <si>
    <t>精算金額（基本入力本体）
精算金額
（基本入力消費税）
農協への支払金額
農協への支払金額（消費税）</t>
    <phoneticPr fontId="2"/>
  </si>
  <si>
    <t xml:space="preserve">農協コード+農協支所コード
</t>
    <rPh sb="8" eb="10">
      <t>シショ</t>
    </rPh>
    <phoneticPr fontId="2"/>
  </si>
  <si>
    <t>農協+農協枝番が重複入力されている場合、エラー
／農協コード+農協支所コードが重複しています。</t>
    <phoneticPr fontId="2"/>
  </si>
  <si>
    <t>精算金額（基本入力本体）- 合算した農協への支払金額、または精算金額（基本入力消費税）- 合算した農協への支払金額（消費税）が0円になっていない場合エラー
／未振分残高が残っています。精算金額、農協への支払金額を確認してください。</t>
    <rPh sb="14" eb="16">
      <t>ガッサン</t>
    </rPh>
    <rPh sb="39" eb="42">
      <t>ショウヒゼイ</t>
    </rPh>
    <rPh sb="97" eb="99">
      <t>ノウキョウ</t>
    </rPh>
    <rPh sb="101" eb="103">
      <t>シハライ</t>
    </rPh>
    <rPh sb="103" eb="105">
      <t>キンガク</t>
    </rPh>
    <phoneticPr fontId="2"/>
  </si>
  <si>
    <t>入力組織と共計組織</t>
    <phoneticPr fontId="2"/>
  </si>
  <si>
    <t>業種と共計組織</t>
    <phoneticPr fontId="2"/>
  </si>
  <si>
    <t>支払予定日と支払方法のチェック</t>
    <rPh sb="0" eb="2">
      <t>シハライ</t>
    </rPh>
    <rPh sb="2" eb="5">
      <t>ヨテイビ</t>
    </rPh>
    <rPh sb="6" eb="8">
      <t>シハライ</t>
    </rPh>
    <rPh sb="8" eb="10">
      <t>ホウホウ</t>
    </rPh>
    <phoneticPr fontId="2"/>
  </si>
  <si>
    <t>支払方法が「振込」かつ、入力当日から支払入金予定日までの期間が３営業日確保できない場合、エラー
／支払予定日には３営業日以上先の日を入力してください。</t>
    <rPh sb="0" eb="2">
      <t>シハライ</t>
    </rPh>
    <rPh sb="2" eb="4">
      <t>ホウホウ</t>
    </rPh>
    <rPh sb="6" eb="8">
      <t>フリコミ</t>
    </rPh>
    <rPh sb="12" eb="14">
      <t>ニュウリョク</t>
    </rPh>
    <rPh sb="14" eb="16">
      <t>トウジツ</t>
    </rPh>
    <rPh sb="18" eb="20">
      <t>シハラ</t>
    </rPh>
    <rPh sb="20" eb="22">
      <t>ニュウキン</t>
    </rPh>
    <rPh sb="22" eb="24">
      <t>ヨテイ</t>
    </rPh>
    <rPh sb="24" eb="25">
      <t>ビ</t>
    </rPh>
    <rPh sb="28" eb="30">
      <t>キカン</t>
    </rPh>
    <rPh sb="32" eb="35">
      <t>エイギョウビ</t>
    </rPh>
    <rPh sb="35" eb="37">
      <t>カクホ</t>
    </rPh>
    <rPh sb="41" eb="43">
      <t>バアイ</t>
    </rPh>
    <phoneticPr fontId="2"/>
  </si>
  <si>
    <t>F4110-1D</t>
    <phoneticPr fontId="2"/>
  </si>
  <si>
    <t>４文字である事を確認する。
／年産は４文字で入力してください。</t>
    <rPh sb="1" eb="3">
      <t>モジ</t>
    </rPh>
    <rPh sb="6" eb="7">
      <t>コト</t>
    </rPh>
    <rPh sb="8" eb="10">
      <t>カクニン</t>
    </rPh>
    <rPh sb="15" eb="17">
      <t>ネンサン</t>
    </rPh>
    <rPh sb="19" eb="21">
      <t>モジ</t>
    </rPh>
    <rPh sb="22" eb="24">
      <t>ニュウリョク</t>
    </rPh>
    <phoneticPr fontId="2"/>
  </si>
  <si>
    <t>２文字である事を確認する。
／共計次数は２文字で入力してください。</t>
    <rPh sb="1" eb="3">
      <t>モジ</t>
    </rPh>
    <rPh sb="6" eb="7">
      <t>コト</t>
    </rPh>
    <rPh sb="8" eb="10">
      <t>カクニン</t>
    </rPh>
    <rPh sb="15" eb="19">
      <t>キョウケイジスウ</t>
    </rPh>
    <rPh sb="21" eb="23">
      <t>モジ</t>
    </rPh>
    <rPh sb="24" eb="26">
      <t>ニュウリョク</t>
    </rPh>
    <phoneticPr fontId="2"/>
  </si>
  <si>
    <t>取引日が未来日の場合、エラーとする。
／取引日には未来日を入力できません。</t>
    <phoneticPr fontId="2"/>
  </si>
  <si>
    <t>精算金額（基本入力本体）に入力した値が -9,999,999,999,999 ～ 9,999,999,999,999の範囲内であることを確認する。
／精算金額（基本入力本体）は-9,999,999,999,999 ～ 9,999,999,999,999の範囲内で入力してください。</t>
    <phoneticPr fontId="2"/>
  </si>
  <si>
    <t>精算金額（基本入力消費税）に入力した値が -9,999,999,999,999 ～ 9,999,999,999,999の範囲内であることを確認する。
／精算金額（基本入力消費税）は-9,999,999,999,999 ～ 9,999,999,999,999の範囲内で入力してください。</t>
    <phoneticPr fontId="2"/>
  </si>
  <si>
    <t>農協への支払金額（消費税）に入力した値が -9,999,999,999,999 ～ 9,999,999,999,999の範囲内であることを確認する。
／農協への支払金額（消費税）は-9,999,999,999,999 ～ 9,999,999,999,999の範囲内で入力してください。</t>
    <phoneticPr fontId="2"/>
  </si>
  <si>
    <t>農協への支払金額に入力した値が -9,999,999,999,999 ～ 9,999,999,999,999の範囲内であることを確認する。
／農協への支払金額は-9,999,999,999,999 ～ 9,999,999,999,999の範囲内で入力してください。</t>
    <phoneticPr fontId="2"/>
  </si>
  <si>
    <t>取引日が未来日の場合、エラーとする。
／支払予定日には未来日を入力できません。</t>
    <phoneticPr fontId="2"/>
  </si>
  <si>
    <t>取引日とVB期間の
チェック</t>
    <phoneticPr fontId="2"/>
  </si>
  <si>
    <t>入力組織と共計区分</t>
    <rPh sb="7" eb="9">
      <t>クブン</t>
    </rPh>
    <phoneticPr fontId="2"/>
  </si>
  <si>
    <t>入力者の所属する組織が支所　かつ　全道共計・全国共計を入力した場合エラー
／所属組織が支所の場合、全道共計・全国共計は入力できません。</t>
    <rPh sb="27" eb="29">
      <t>ニュウリョク</t>
    </rPh>
    <phoneticPr fontId="2"/>
  </si>
  <si>
    <t>入力者の所属する組織が本所　かつ　地区共計を入力した場合エラー
／所属組織が本所の場合、地区共計は入力できません。</t>
    <rPh sb="22" eb="24">
      <t>ニュウリョク</t>
    </rPh>
    <phoneticPr fontId="2"/>
  </si>
  <si>
    <t>24058</t>
  </si>
  <si>
    <t>基幹システム再構築　会計システム外部設計</t>
  </si>
  <si>
    <t>共計組織コードを設定する
("4"+課コード）</t>
    <rPh sb="0" eb="3">
      <t>キョウケイソシキ</t>
    </rPh>
    <rPh sb="7" eb="9">
      <t>セッテイ</t>
    </rPh>
    <rPh sb="18" eb="19">
      <t>カ</t>
    </rPh>
    <phoneticPr fontId="2"/>
  </si>
  <si>
    <t>共計組織マスタに存在しない場合、エラー
／共計組織はマスタに存在しません。</t>
    <rPh sb="0" eb="4">
      <t>キョウケイソシキ</t>
    </rPh>
    <rPh sb="8" eb="10">
      <t>ソンザイ</t>
    </rPh>
    <rPh sb="13" eb="15">
      <t>バアイ</t>
    </rPh>
    <rPh sb="23" eb="25">
      <t>ソシキ</t>
    </rPh>
    <phoneticPr fontId="2"/>
  </si>
  <si>
    <t>共計精算パターンマスタに存在しない場合、エラー
／共計精算パターンコードはマスタに存在しません。</t>
    <rPh sb="0" eb="2">
      <t>キョウケイ</t>
    </rPh>
    <rPh sb="2" eb="4">
      <t>セイサン</t>
    </rPh>
    <rPh sb="12" eb="14">
      <t>ソンザイ</t>
    </rPh>
    <rPh sb="17" eb="19">
      <t>バアイ</t>
    </rPh>
    <rPh sb="25" eb="27">
      <t>キョウケイ</t>
    </rPh>
    <rPh sb="27" eb="29">
      <t>セイサン</t>
    </rPh>
    <phoneticPr fontId="2"/>
  </si>
  <si>
    <t>マスタに存在しない場合、エラー
／支払方法はマスタに存在しません。</t>
    <rPh sb="4" eb="6">
      <t>ソンザイ</t>
    </rPh>
    <rPh sb="9" eb="11">
      <t>バアイ</t>
    </rPh>
    <rPh sb="17" eb="21">
      <t>シハライホウホウ</t>
    </rPh>
    <phoneticPr fontId="2"/>
  </si>
  <si>
    <t>事業所マスタに存在しない場合、エラー
／支店コードはマスタに存在しません。</t>
    <rPh sb="0" eb="3">
      <t>ジギョウショ</t>
    </rPh>
    <rPh sb="7" eb="9">
      <t>ソンザイ</t>
    </rPh>
    <rPh sb="12" eb="14">
      <t>バアイ</t>
    </rPh>
    <rPh sb="20" eb="22">
      <t>シテン</t>
    </rPh>
    <phoneticPr fontId="2"/>
  </si>
  <si>
    <t>農協マスタに存在しない場合、エラー
／農協コードはマスタに存在しません。</t>
    <rPh sb="0" eb="2">
      <t>ノウキョウ</t>
    </rPh>
    <rPh sb="6" eb="8">
      <t>ソンザイ</t>
    </rPh>
    <rPh sb="11" eb="13">
      <t>バアイ</t>
    </rPh>
    <rPh sb="19" eb="21">
      <t>ノウキョウ</t>
    </rPh>
    <phoneticPr fontId="2"/>
  </si>
  <si>
    <t>農協マスタに存在しない場合、エラー
／農協支所コードはマスタに存在しません。</t>
    <rPh sb="0" eb="2">
      <t>ノウキョウ</t>
    </rPh>
    <rPh sb="6" eb="8">
      <t>ソンザイ</t>
    </rPh>
    <rPh sb="11" eb="13">
      <t>バアイ</t>
    </rPh>
    <rPh sb="19" eb="21">
      <t>ノウキョウ</t>
    </rPh>
    <phoneticPr fontId="2"/>
  </si>
  <si>
    <t>／年産は半角数値で入力してください。</t>
  </si>
  <si>
    <t>／共計次数は半角数値で入力してください。</t>
  </si>
  <si>
    <t>／精算金額（基本入力本体）は半角数値で入力してください。</t>
  </si>
  <si>
    <t>／精算金額（基本入力消費税）は半角数値で入力してください。</t>
  </si>
  <si>
    <t>／農協への支払金額は半角数値で入力してください。</t>
  </si>
  <si>
    <t>／農協への支払金額（消費税）は半角数値で入力してください。</t>
  </si>
  <si>
    <t>／業種を設定してください。</t>
    <rPh sb="1" eb="3">
      <t>ギョウシュ</t>
    </rPh>
    <phoneticPr fontId="2"/>
  </si>
  <si>
    <t>／共計組織を設定してください。</t>
    <rPh sb="1" eb="5">
      <t>キョウケイソシキ</t>
    </rPh>
    <phoneticPr fontId="2"/>
  </si>
  <si>
    <t>／共計精算パターンを設定してください。</t>
    <rPh sb="1" eb="3">
      <t>キョウケイ</t>
    </rPh>
    <rPh sb="3" eb="5">
      <t>セイサン</t>
    </rPh>
    <phoneticPr fontId="2"/>
  </si>
  <si>
    <t>／共計区分を設定してください。</t>
    <rPh sb="1" eb="5">
      <t>キョウケイクブン</t>
    </rPh>
    <phoneticPr fontId="2"/>
  </si>
  <si>
    <t>／収支管理品目を設定してください。</t>
    <rPh sb="1" eb="7">
      <t>シュウシカンリヒンモク</t>
    </rPh>
    <phoneticPr fontId="2"/>
  </si>
  <si>
    <t>／年産を設定してください。</t>
    <rPh sb="1" eb="3">
      <t>ネンサン</t>
    </rPh>
    <phoneticPr fontId="2"/>
  </si>
  <si>
    <t>／共計次数を設定してください。</t>
    <rPh sb="1" eb="5">
      <t>キョウケイジスウ</t>
    </rPh>
    <phoneticPr fontId="2"/>
  </si>
  <si>
    <t>／取引日を設定してください。</t>
  </si>
  <si>
    <t>実在日でない場合、エラーとする。
／取引日は有効な日付を設定してください。</t>
  </si>
  <si>
    <t>／支払予定日を設定してください。</t>
    <rPh sb="1" eb="5">
      <t>シハライヨテイ</t>
    </rPh>
    <rPh sb="5" eb="6">
      <t>ビ</t>
    </rPh>
    <phoneticPr fontId="2"/>
  </si>
  <si>
    <t>実在日でない場合、エラーとする。
／支払予定日は有効な日付を設定してください。</t>
  </si>
  <si>
    <t>／支払方法を設定してください。</t>
    <rPh sb="1" eb="5">
      <t>シハライホウホウ</t>
    </rPh>
    <phoneticPr fontId="2"/>
  </si>
  <si>
    <t>／農協への支払金額を設定してください。</t>
    <rPh sb="1" eb="3">
      <t>ノウキョウ</t>
    </rPh>
    <rPh sb="5" eb="9">
      <t>シハライキンガク</t>
    </rPh>
    <phoneticPr fontId="2"/>
  </si>
  <si>
    <t>／精算金額（基本入力消費税）を設定してください。</t>
  </si>
  <si>
    <t>／農協コードを設定してください。</t>
    <rPh sb="1" eb="3">
      <t>ノウキョウ</t>
    </rPh>
    <phoneticPr fontId="2"/>
  </si>
  <si>
    <t>／農協支所コードを設定してください。</t>
    <rPh sb="1" eb="3">
      <t>ノウキョウ</t>
    </rPh>
    <phoneticPr fontId="2"/>
  </si>
  <si>
    <t>／農協への支払金額（消費税）を設定してください。</t>
    <rPh sb="1" eb="3">
      <t>ノウキョウ</t>
    </rPh>
    <rPh sb="5" eb="9">
      <t>シハライキンガク</t>
    </rPh>
    <rPh sb="10" eb="13">
      <t>ショウヒゼイ</t>
    </rPh>
    <phoneticPr fontId="2"/>
  </si>
  <si>
    <t>共計区分が４（購買在庫）５（購買直送）で、年産・共計次数が入力された場合、エラー
／年産・共計次数がは入力できません。</t>
    <phoneticPr fontId="2"/>
  </si>
  <si>
    <t>共計区分が１（全道共計）または２（地区共計）または３（全国共計）で、年産・共計次数が未入力の場合、エラー
／年産・共計次数を入力してください。</t>
    <phoneticPr fontId="2"/>
  </si>
  <si>
    <t>共計精算入力CSV取込情報</t>
    <rPh sb="0" eb="2">
      <t>キョウケイ</t>
    </rPh>
    <rPh sb="2" eb="4">
      <t>セイサン</t>
    </rPh>
    <rPh sb="4" eb="6">
      <t>ニュウリョク</t>
    </rPh>
    <rPh sb="9" eb="11">
      <t>トリコミ</t>
    </rPh>
    <rPh sb="11" eb="13">
      <t>ジョウホウ</t>
    </rPh>
    <phoneticPr fontId="2"/>
  </si>
  <si>
    <t>D09010102</t>
    <phoneticPr fontId="2"/>
  </si>
  <si>
    <t>共計精算入力CSV取込情報</t>
    <phoneticPr fontId="2"/>
  </si>
  <si>
    <t>外部コードに存在しない場合、エラー
／共計区分はマスタに存在しません。</t>
    <rPh sb="0" eb="2">
      <t>ガイブ</t>
    </rPh>
    <rPh sb="6" eb="8">
      <t>ソンザイ</t>
    </rPh>
    <rPh sb="11" eb="13">
      <t>バアイ</t>
    </rPh>
    <rPh sb="21" eb="23">
      <t>クブン</t>
    </rPh>
    <phoneticPr fontId="2"/>
  </si>
  <si>
    <t>入力した共計組織コードが「9.1.2_共計精算入力CSV取込_6．画面機能補足説明　＜共計組織入力可能範囲＞」で定める共計組織以外の場合エラー
／共計組織は担当の所属コードを入力してください。</t>
  </si>
  <si>
    <t>入力した業種と入力者の所属する組織の組み合わせが「9.1.2_共計精算入力CSV取込_6．画面機能補足説明　＜業種入力可能範囲＞」で定める業種以外の場合エラー
／業種は共計組織に応じた業種を入力してください。</t>
  </si>
  <si>
    <t>共計精算パターンが「9.1.2_共計精算入力CSV取込_6．画面機能補足説明　＜共計精算パターン入力可能範囲＞」で定める共計精算パターン以外の場合エラー
／共計精算パターンは自組織に応じたパターンを入力してください。
／業種・共計組織・共計精算パターンコード・収支管理品目の組み合わせの共計精算パターンが存在しません。</t>
    <phoneticPr fontId="2"/>
  </si>
  <si>
    <t>D09010201</t>
    <phoneticPr fontId="2"/>
  </si>
  <si>
    <t>共計精算入力情報</t>
    <rPh sb="0" eb="2">
      <t>キョウケイ</t>
    </rPh>
    <rPh sb="2" eb="4">
      <t>セイサン</t>
    </rPh>
    <rPh sb="4" eb="6">
      <t>ニュウリョク</t>
    </rPh>
    <rPh sb="6" eb="8">
      <t>ジョウホウ</t>
    </rPh>
    <phoneticPr fontId="2"/>
  </si>
  <si>
    <t>データ番号</t>
    <phoneticPr fontId="2"/>
  </si>
  <si>
    <t>英数字</t>
  </si>
  <si>
    <t>123456</t>
    <phoneticPr fontId="2"/>
  </si>
  <si>
    <t>当該伝票を判別するコード
同一番号を指定している場合は同一伝票とする。</t>
    <rPh sb="0" eb="2">
      <t>トウガイ</t>
    </rPh>
    <rPh sb="2" eb="4">
      <t>デンピョウ</t>
    </rPh>
    <rPh sb="5" eb="7">
      <t>ハンベツ</t>
    </rPh>
    <rPh sb="12" eb="14">
      <t>バンゴウ</t>
    </rPh>
    <rPh sb="15" eb="16">
      <t>ユビ</t>
    </rPh>
    <rPh sb="18" eb="20">
      <t>シテイ</t>
    </rPh>
    <rPh sb="23" eb="25">
      <t>バアイ</t>
    </rPh>
    <rPh sb="27" eb="29">
      <t>ドウイツ</t>
    </rPh>
    <rPh sb="29" eb="31">
      <t>デンピョウ</t>
    </rPh>
    <phoneticPr fontId="2"/>
  </si>
  <si>
    <t>／XX行目：データ番号を入力してください。</t>
    <phoneticPr fontId="2"/>
  </si>
  <si>
    <t>21文字以内であることを確認する。
／XX行目：データ番号は２１文字以内で入力してください。</t>
    <rPh sb="2" eb="4">
      <t>モジ</t>
    </rPh>
    <rPh sb="4" eb="6">
      <t>イナイ</t>
    </rPh>
    <rPh sb="12" eb="14">
      <t>カクニン</t>
    </rPh>
    <phoneticPr fontId="2"/>
  </si>
  <si>
    <t>取込時チェック
（ヘッダ行チェック）</t>
    <rPh sb="0" eb="3">
      <t>トリコミジ</t>
    </rPh>
    <rPh sb="12" eb="13">
      <t>ギョウ</t>
    </rPh>
    <phoneticPr fontId="2"/>
  </si>
  <si>
    <t>同一データ番号内でヘッダ部が異なる場合はエラーとする。
／同一データ番号のヘッダ部は全項目が同じ値である必要があります。</t>
    <rPh sb="12" eb="13">
      <t>ブ</t>
    </rPh>
    <rPh sb="14" eb="15">
      <t>コト</t>
    </rPh>
    <rPh sb="17" eb="19">
      <t>バアイ</t>
    </rPh>
    <rPh sb="40" eb="41">
      <t>ブ</t>
    </rPh>
    <rPh sb="52" eb="54">
      <t>ヒツヨウ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</si>
</sst>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6" fillId="0" borderId="0">
      <alignment vertical="center"/>
    </xf>
    <xf numFmtId="0" fontId="1" fillId="0" borderId="0">
      <alignment vertical="center"/>
    </xf>
  </cellStyleXfs>
  <cellXfs count="164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0" xfId="1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2" fillId="0" borderId="0" xfId="0" applyFont="1"/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13" xfId="0" quotePrefix="1" applyFont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3" fillId="0" borderId="14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5" xfId="0" quotePrefix="1" applyFont="1" applyBorder="1" applyAlignment="1">
      <alignment horizontal="left" vertical="center" wrapText="1"/>
    </xf>
    <xf numFmtId="0" fontId="3" fillId="0" borderId="26" xfId="0" quotePrefix="1" applyFont="1" applyBorder="1" applyAlignment="1">
      <alignment horizontal="left" vertical="center" wrapText="1"/>
    </xf>
    <xf numFmtId="0" fontId="3" fillId="0" borderId="27" xfId="0" quotePrefix="1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7" xfId="0" quotePrefix="1" applyFont="1" applyBorder="1" applyAlignment="1">
      <alignment horizontal="left" vertical="center"/>
    </xf>
    <xf numFmtId="55" fontId="3" fillId="0" borderId="7" xfId="0" quotePrefix="1" applyNumberFormat="1" applyFont="1" applyBorder="1" applyAlignment="1">
      <alignment horizontal="left" vertical="center"/>
    </xf>
    <xf numFmtId="14" fontId="3" fillId="0" borderId="7" xfId="0" quotePrefix="1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quotePrefix="1" applyNumberFormat="1" applyFont="1" applyBorder="1" applyAlignment="1">
      <alignment horizontal="left" vertical="center" wrapText="1"/>
    </xf>
    <xf numFmtId="49" fontId="3" fillId="0" borderId="9" xfId="0" quotePrefix="1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left" vertical="center" wrapText="1"/>
    </xf>
    <xf numFmtId="49" fontId="3" fillId="0" borderId="26" xfId="0" applyNumberFormat="1" applyFont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left" vertical="center" wrapText="1"/>
    </xf>
    <xf numFmtId="49" fontId="3" fillId="0" borderId="31" xfId="0" applyNumberFormat="1" applyFont="1" applyBorder="1" applyAlignment="1">
      <alignment horizontal="left" vertical="center" wrapText="1"/>
    </xf>
    <xf numFmtId="49" fontId="3" fillId="0" borderId="3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F9BCD3F6-FCE7-472D-81FF-170CE7422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28" customWidth="1"/>
    <col min="63" max="159" width="1.63281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4" t="s">
        <v>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6"/>
      <c r="AT2" s="38" t="s">
        <v>3</v>
      </c>
      <c r="AU2" s="39"/>
      <c r="AV2" s="39"/>
      <c r="AW2" s="39"/>
      <c r="AX2" s="40"/>
      <c r="AY2" s="38" t="s">
        <v>4</v>
      </c>
      <c r="AZ2" s="39"/>
      <c r="BA2" s="39"/>
      <c r="BB2" s="40"/>
      <c r="BC2" s="38" t="s">
        <v>5</v>
      </c>
      <c r="BD2" s="39"/>
      <c r="BE2" s="39"/>
      <c r="BF2" s="40"/>
      <c r="BG2" s="38"/>
      <c r="BH2" s="39"/>
      <c r="BI2" s="39"/>
      <c r="BJ2" s="40"/>
    </row>
    <row r="3" spans="1:62" s="1" customFormat="1" ht="18" customHeight="1">
      <c r="A3" s="47" t="s">
        <v>6</v>
      </c>
      <c r="B3" s="48"/>
      <c r="C3" s="48"/>
      <c r="D3" s="48"/>
      <c r="E3" s="48"/>
      <c r="F3" s="48"/>
      <c r="G3" s="48"/>
      <c r="H3" s="49"/>
      <c r="I3" s="53" t="s">
        <v>110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5"/>
      <c r="AT3" s="38" t="s">
        <v>7</v>
      </c>
      <c r="AU3" s="39"/>
      <c r="AV3" s="39"/>
      <c r="AW3" s="39"/>
      <c r="AX3" s="40"/>
      <c r="AY3" s="38" t="s">
        <v>109</v>
      </c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40"/>
    </row>
    <row r="4" spans="1:62" s="1" customFormat="1" ht="18" customHeight="1">
      <c r="A4" s="50"/>
      <c r="B4" s="51"/>
      <c r="C4" s="51"/>
      <c r="D4" s="51"/>
      <c r="E4" s="51"/>
      <c r="F4" s="51"/>
      <c r="G4" s="51"/>
      <c r="H4" s="52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8"/>
      <c r="AT4" s="38" t="s">
        <v>8</v>
      </c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40"/>
    </row>
    <row r="5" spans="1:62" s="16" customFormat="1" ht="9" customHeight="1"/>
    <row r="6" spans="1:62" s="20" customFormat="1" ht="15.75" customHeight="1">
      <c r="A6" s="41" t="s">
        <v>9</v>
      </c>
      <c r="B6" s="42"/>
      <c r="C6" s="42"/>
      <c r="D6" s="42"/>
      <c r="E6" s="42"/>
      <c r="F6" s="42"/>
      <c r="G6" s="43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145</v>
      </c>
      <c r="C8" s="15"/>
      <c r="D8" s="15"/>
      <c r="E8" s="15"/>
      <c r="F8" s="15"/>
      <c r="G8" s="15"/>
      <c r="H8" s="22"/>
      <c r="I8" s="20" t="s">
        <v>146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2"/>
  <sheetViews>
    <sheetView view="pageBreakPreview" zoomScaleNormal="100" zoomScaleSheetLayoutView="100" workbookViewId="0"/>
  </sheetViews>
  <sheetFormatPr defaultColWidth="2.08984375" defaultRowHeight="13"/>
  <cols>
    <col min="1" max="16384" width="2.08984375" style="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4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6"/>
      <c r="AT2" s="38" t="s">
        <v>3</v>
      </c>
      <c r="AU2" s="39"/>
      <c r="AV2" s="39"/>
      <c r="AW2" s="39"/>
      <c r="AX2" s="40"/>
      <c r="AY2" s="38" t="s">
        <v>132</v>
      </c>
      <c r="AZ2" s="39"/>
      <c r="BA2" s="39"/>
      <c r="BB2" s="40"/>
      <c r="BC2" s="38" t="s">
        <v>5</v>
      </c>
      <c r="BD2" s="39"/>
      <c r="BE2" s="39"/>
      <c r="BF2" s="40"/>
      <c r="BG2" s="38"/>
      <c r="BH2" s="39"/>
      <c r="BI2" s="39"/>
      <c r="BJ2" s="40"/>
    </row>
    <row r="3" spans="1:62" s="1" customFormat="1" ht="18" customHeight="1">
      <c r="A3" s="47" t="s">
        <v>6</v>
      </c>
      <c r="B3" s="48"/>
      <c r="C3" s="48"/>
      <c r="D3" s="48"/>
      <c r="E3" s="48"/>
      <c r="F3" s="48"/>
      <c r="G3" s="48"/>
      <c r="H3" s="49"/>
      <c r="I3" s="53" t="s">
        <v>110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5"/>
      <c r="AT3" s="38" t="s">
        <v>7</v>
      </c>
      <c r="AU3" s="39"/>
      <c r="AV3" s="39"/>
      <c r="AW3" s="39"/>
      <c r="AX3" s="40"/>
      <c r="AY3" s="38" t="s">
        <v>109</v>
      </c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40"/>
    </row>
    <row r="4" spans="1:62" s="1" customFormat="1" ht="18" customHeight="1">
      <c r="A4" s="50"/>
      <c r="B4" s="51"/>
      <c r="C4" s="51"/>
      <c r="D4" s="51"/>
      <c r="E4" s="51"/>
      <c r="F4" s="51"/>
      <c r="G4" s="51"/>
      <c r="H4" s="52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8"/>
      <c r="AT4" s="38" t="s">
        <v>8</v>
      </c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40"/>
    </row>
    <row r="5" spans="1:62" s="34" customFormat="1" ht="6" customHeight="1"/>
    <row r="6" spans="1:62" s="14" customFormat="1" ht="20.25" customHeight="1">
      <c r="A6" s="97" t="s">
        <v>12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186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13</v>
      </c>
      <c r="AC6" s="98"/>
      <c r="AD6" s="98"/>
      <c r="AE6" s="98"/>
      <c r="AF6" s="98"/>
      <c r="AG6" s="98"/>
      <c r="AH6" s="98"/>
      <c r="AI6" s="98"/>
      <c r="AJ6" s="99"/>
      <c r="AK6" s="97" t="s">
        <v>36</v>
      </c>
      <c r="AL6" s="98"/>
      <c r="AM6" s="98"/>
      <c r="AN6" s="99"/>
      <c r="AO6" s="97" t="s">
        <v>15</v>
      </c>
      <c r="AP6" s="98"/>
      <c r="AQ6" s="98"/>
      <c r="AR6" s="98"/>
      <c r="AS6" s="98"/>
      <c r="AT6" s="98"/>
      <c r="AU6" s="98"/>
      <c r="AV6" s="98"/>
      <c r="AW6" s="99"/>
      <c r="AX6" s="97" t="s">
        <v>14</v>
      </c>
      <c r="AY6" s="98"/>
      <c r="AZ6" s="98"/>
      <c r="BA6" s="99"/>
      <c r="BB6" s="106" t="s">
        <v>16</v>
      </c>
      <c r="BC6" s="106"/>
      <c r="BD6" s="106"/>
      <c r="BE6" s="106"/>
      <c r="BF6" s="106">
        <v>18</v>
      </c>
      <c r="BG6" s="106"/>
      <c r="BH6" s="106"/>
      <c r="BI6" s="106"/>
      <c r="BJ6" s="106"/>
    </row>
    <row r="7" spans="1:62" s="14" customFormat="1" ht="20.25" customHeight="1">
      <c r="A7" s="97" t="s">
        <v>17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97" t="s">
        <v>187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9"/>
      <c r="AK7" s="97" t="s">
        <v>84</v>
      </c>
      <c r="AL7" s="98"/>
      <c r="AM7" s="98"/>
      <c r="AN7" s="98"/>
      <c r="AO7" s="98"/>
      <c r="AP7" s="98"/>
      <c r="AQ7" s="98"/>
      <c r="AR7" s="99"/>
      <c r="AS7" s="97" t="s">
        <v>85</v>
      </c>
      <c r="AT7" s="98"/>
      <c r="AU7" s="98"/>
      <c r="AV7" s="98"/>
      <c r="AW7" s="98"/>
      <c r="AX7" s="99"/>
      <c r="AY7" s="30" t="s">
        <v>18</v>
      </c>
      <c r="AZ7" s="31"/>
      <c r="BA7" s="31"/>
      <c r="BB7" s="31"/>
      <c r="BC7" s="97"/>
      <c r="BD7" s="99"/>
      <c r="BE7" s="97" t="s">
        <v>20</v>
      </c>
      <c r="BF7" s="98"/>
      <c r="BG7" s="98"/>
      <c r="BH7" s="99"/>
      <c r="BI7" s="97" t="s">
        <v>19</v>
      </c>
      <c r="BJ7" s="99"/>
    </row>
    <row r="8" spans="1:62" s="14" customFormat="1" ht="11.4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</row>
    <row r="9" spans="1:62" s="14" customFormat="1" ht="20.25" customHeight="1">
      <c r="A9" s="36" t="s">
        <v>81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BC9" s="35"/>
      <c r="BD9" s="35"/>
      <c r="BE9" s="35"/>
      <c r="BF9" s="35"/>
      <c r="BG9" s="35"/>
      <c r="BH9" s="35"/>
      <c r="BI9" s="35"/>
      <c r="BJ9" s="35"/>
    </row>
    <row r="10" spans="1:62" s="14" customFormat="1" ht="20.25" customHeight="1">
      <c r="A10" s="106" t="s">
        <v>22</v>
      </c>
      <c r="B10" s="106"/>
      <c r="C10" s="106"/>
      <c r="D10" s="109" t="s">
        <v>82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6" t="s">
        <v>83</v>
      </c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</row>
    <row r="11" spans="1:62" s="14" customFormat="1" ht="20.25" customHeight="1">
      <c r="A11" s="96"/>
      <c r="B11" s="96"/>
      <c r="C11" s="96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</row>
    <row r="12" spans="1:62" s="14" customFormat="1" ht="20.25" customHeight="1">
      <c r="A12" s="111"/>
      <c r="B12" s="111"/>
      <c r="C12" s="111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3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5"/>
    </row>
    <row r="13" spans="1:62" s="14" customFormat="1" ht="20.25" customHeight="1">
      <c r="A13" s="75"/>
      <c r="B13" s="75"/>
      <c r="C13" s="75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69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1"/>
    </row>
    <row r="14" spans="1:62" s="14" customFormat="1" ht="20.25" customHeight="1">
      <c r="A14" s="79"/>
      <c r="B14" s="79"/>
      <c r="C14" s="79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83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5"/>
    </row>
    <row r="15" spans="1:62" s="14" customFormat="1" ht="13.4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</row>
    <row r="16" spans="1:62">
      <c r="B16" s="29" t="s">
        <v>21</v>
      </c>
      <c r="G16" s="5"/>
    </row>
    <row r="17" spans="1:62" s="14" customFormat="1" ht="42" customHeight="1">
      <c r="A17" s="97" t="s">
        <v>22</v>
      </c>
      <c r="B17" s="98"/>
      <c r="C17" s="99"/>
      <c r="D17" s="97" t="s">
        <v>23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9"/>
      <c r="U17" s="93" t="s">
        <v>24</v>
      </c>
      <c r="V17" s="94"/>
      <c r="W17" s="94"/>
      <c r="X17" s="94"/>
      <c r="Y17" s="95"/>
      <c r="Z17" s="93" t="s">
        <v>25</v>
      </c>
      <c r="AA17" s="94"/>
      <c r="AB17" s="95"/>
      <c r="AC17" s="93" t="s">
        <v>26</v>
      </c>
      <c r="AD17" s="94"/>
      <c r="AE17" s="95"/>
      <c r="AF17" s="93" t="s">
        <v>27</v>
      </c>
      <c r="AG17" s="94"/>
      <c r="AH17" s="95"/>
      <c r="AI17" s="93" t="s">
        <v>28</v>
      </c>
      <c r="AJ17" s="94"/>
      <c r="AK17" s="95"/>
      <c r="AL17" s="93" t="s">
        <v>29</v>
      </c>
      <c r="AM17" s="94"/>
      <c r="AN17" s="95"/>
      <c r="AO17" s="93" t="s">
        <v>30</v>
      </c>
      <c r="AP17" s="94"/>
      <c r="AQ17" s="95"/>
      <c r="AR17" s="97" t="s">
        <v>31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9"/>
    </row>
    <row r="18" spans="1:62" s="13" customFormat="1" ht="56.5" customHeight="1">
      <c r="A18" s="62">
        <v>1</v>
      </c>
      <c r="B18" s="62"/>
      <c r="C18" s="62"/>
      <c r="D18" s="63" t="s">
        <v>188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5"/>
      <c r="U18" s="66" t="s">
        <v>189</v>
      </c>
      <c r="V18" s="67"/>
      <c r="W18" s="67"/>
      <c r="X18" s="67"/>
      <c r="Y18" s="68"/>
      <c r="Z18" s="66">
        <v>21</v>
      </c>
      <c r="AA18" s="67"/>
      <c r="AB18" s="68"/>
      <c r="AC18" s="66"/>
      <c r="AD18" s="67"/>
      <c r="AE18" s="68"/>
      <c r="AF18" s="66"/>
      <c r="AG18" s="67"/>
      <c r="AH18" s="68"/>
      <c r="AI18" s="66"/>
      <c r="AJ18" s="67"/>
      <c r="AK18" s="68"/>
      <c r="AL18" s="66" t="s">
        <v>19</v>
      </c>
      <c r="AM18" s="67"/>
      <c r="AN18" s="68"/>
      <c r="AO18" s="66" t="s">
        <v>19</v>
      </c>
      <c r="AP18" s="67"/>
      <c r="AQ18" s="68"/>
      <c r="AR18" s="59" t="s">
        <v>191</v>
      </c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1"/>
    </row>
    <row r="19" spans="1:62" s="14" customFormat="1" ht="36" customHeight="1">
      <c r="A19" s="96">
        <f>ROW()-17</f>
        <v>2</v>
      </c>
      <c r="B19" s="96"/>
      <c r="C19" s="96"/>
      <c r="D19" s="100" t="s">
        <v>78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103" t="s">
        <v>33</v>
      </c>
      <c r="V19" s="104"/>
      <c r="W19" s="104"/>
      <c r="X19" s="104"/>
      <c r="Y19" s="105"/>
      <c r="Z19" s="103">
        <v>2</v>
      </c>
      <c r="AA19" s="104"/>
      <c r="AB19" s="105"/>
      <c r="AC19" s="103"/>
      <c r="AD19" s="104"/>
      <c r="AE19" s="105"/>
      <c r="AF19" s="103"/>
      <c r="AG19" s="104"/>
      <c r="AH19" s="105"/>
      <c r="AI19" s="103"/>
      <c r="AJ19" s="104"/>
      <c r="AK19" s="105"/>
      <c r="AL19" s="103" t="s">
        <v>108</v>
      </c>
      <c r="AM19" s="104"/>
      <c r="AN19" s="105"/>
      <c r="AO19" s="103" t="s">
        <v>108</v>
      </c>
      <c r="AP19" s="104"/>
      <c r="AQ19" s="105"/>
      <c r="AR19" s="89" t="s">
        <v>86</v>
      </c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1"/>
    </row>
    <row r="20" spans="1:62" s="14" customFormat="1" ht="36" customHeight="1">
      <c r="A20" s="75">
        <f>ROW()-17</f>
        <v>3</v>
      </c>
      <c r="B20" s="75"/>
      <c r="C20" s="75"/>
      <c r="D20" s="76" t="s">
        <v>67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69" t="s">
        <v>33</v>
      </c>
      <c r="V20" s="70"/>
      <c r="W20" s="70"/>
      <c r="X20" s="70"/>
      <c r="Y20" s="71"/>
      <c r="Z20" s="69">
        <v>4</v>
      </c>
      <c r="AA20" s="70"/>
      <c r="AB20" s="71"/>
      <c r="AC20" s="69"/>
      <c r="AD20" s="70"/>
      <c r="AE20" s="71"/>
      <c r="AF20" s="69"/>
      <c r="AG20" s="70"/>
      <c r="AH20" s="71"/>
      <c r="AI20" s="69"/>
      <c r="AJ20" s="70"/>
      <c r="AK20" s="71"/>
      <c r="AL20" s="69" t="s">
        <v>108</v>
      </c>
      <c r="AM20" s="70"/>
      <c r="AN20" s="71"/>
      <c r="AO20" s="69" t="s">
        <v>108</v>
      </c>
      <c r="AP20" s="70"/>
      <c r="AQ20" s="71"/>
      <c r="AR20" s="89" t="s">
        <v>147</v>
      </c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1"/>
    </row>
    <row r="21" spans="1:62" s="14" customFormat="1" ht="36" customHeight="1">
      <c r="A21" s="75">
        <f t="shared" ref="A21:A35" si="0">ROW()-17</f>
        <v>4</v>
      </c>
      <c r="B21" s="75"/>
      <c r="C21" s="75"/>
      <c r="D21" s="76" t="s">
        <v>114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8"/>
      <c r="U21" s="69" t="s">
        <v>33</v>
      </c>
      <c r="V21" s="70"/>
      <c r="W21" s="70"/>
      <c r="X21" s="70"/>
      <c r="Y21" s="71"/>
      <c r="Z21" s="69">
        <v>3</v>
      </c>
      <c r="AA21" s="70"/>
      <c r="AB21" s="71"/>
      <c r="AC21" s="69"/>
      <c r="AD21" s="70"/>
      <c r="AE21" s="71"/>
      <c r="AF21" s="69"/>
      <c r="AG21" s="70"/>
      <c r="AH21" s="71"/>
      <c r="AI21" s="69"/>
      <c r="AJ21" s="70"/>
      <c r="AK21" s="71"/>
      <c r="AL21" s="69" t="s">
        <v>108</v>
      </c>
      <c r="AM21" s="70"/>
      <c r="AN21" s="71"/>
      <c r="AO21" s="69" t="s">
        <v>108</v>
      </c>
      <c r="AP21" s="70"/>
      <c r="AQ21" s="71"/>
      <c r="AR21" s="72" t="s">
        <v>116</v>
      </c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4"/>
    </row>
    <row r="22" spans="1:62" s="14" customFormat="1" ht="36" customHeight="1">
      <c r="A22" s="75">
        <f t="shared" si="0"/>
        <v>5</v>
      </c>
      <c r="B22" s="75"/>
      <c r="C22" s="75"/>
      <c r="D22" s="76" t="s">
        <v>52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69" t="s">
        <v>33</v>
      </c>
      <c r="V22" s="70"/>
      <c r="W22" s="70"/>
      <c r="X22" s="70"/>
      <c r="Y22" s="71"/>
      <c r="Z22" s="69">
        <v>1</v>
      </c>
      <c r="AA22" s="70"/>
      <c r="AB22" s="71"/>
      <c r="AC22" s="69"/>
      <c r="AD22" s="70"/>
      <c r="AE22" s="71"/>
      <c r="AF22" s="69"/>
      <c r="AG22" s="70"/>
      <c r="AH22" s="71"/>
      <c r="AI22" s="69"/>
      <c r="AJ22" s="70"/>
      <c r="AK22" s="71"/>
      <c r="AL22" s="69" t="s">
        <v>108</v>
      </c>
      <c r="AM22" s="70"/>
      <c r="AN22" s="71"/>
      <c r="AO22" s="69" t="s">
        <v>108</v>
      </c>
      <c r="AP22" s="70"/>
      <c r="AQ22" s="71"/>
      <c r="AR22" s="72" t="s">
        <v>87</v>
      </c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4"/>
    </row>
    <row r="23" spans="1:62" s="14" customFormat="1" ht="36" customHeight="1">
      <c r="A23" s="75">
        <f t="shared" si="0"/>
        <v>6</v>
      </c>
      <c r="B23" s="75"/>
      <c r="C23" s="75"/>
      <c r="D23" s="76" t="s">
        <v>53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69" t="s">
        <v>33</v>
      </c>
      <c r="V23" s="70"/>
      <c r="W23" s="70"/>
      <c r="X23" s="70"/>
      <c r="Y23" s="71"/>
      <c r="Z23" s="69">
        <v>6</v>
      </c>
      <c r="AA23" s="70"/>
      <c r="AB23" s="71"/>
      <c r="AC23" s="69"/>
      <c r="AD23" s="70"/>
      <c r="AE23" s="71"/>
      <c r="AF23" s="69"/>
      <c r="AG23" s="70"/>
      <c r="AH23" s="71"/>
      <c r="AI23" s="69"/>
      <c r="AJ23" s="70"/>
      <c r="AK23" s="71"/>
      <c r="AL23" s="69" t="s">
        <v>108</v>
      </c>
      <c r="AM23" s="70"/>
      <c r="AN23" s="71"/>
      <c r="AO23" s="69" t="s">
        <v>108</v>
      </c>
      <c r="AP23" s="70"/>
      <c r="AQ23" s="71"/>
      <c r="AR23" s="92" t="s">
        <v>88</v>
      </c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4"/>
    </row>
    <row r="24" spans="1:62" s="14" customFormat="1" ht="36" customHeight="1">
      <c r="A24" s="75">
        <f t="shared" si="0"/>
        <v>7</v>
      </c>
      <c r="B24" s="75"/>
      <c r="C24" s="75"/>
      <c r="D24" s="76" t="s">
        <v>54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69" t="s">
        <v>50</v>
      </c>
      <c r="V24" s="70"/>
      <c r="W24" s="70"/>
      <c r="X24" s="70"/>
      <c r="Y24" s="71"/>
      <c r="Z24" s="69">
        <v>4</v>
      </c>
      <c r="AA24" s="70"/>
      <c r="AB24" s="71"/>
      <c r="AC24" s="69"/>
      <c r="AD24" s="70"/>
      <c r="AE24" s="71"/>
      <c r="AF24" s="69"/>
      <c r="AG24" s="70"/>
      <c r="AH24" s="71"/>
      <c r="AI24" s="69"/>
      <c r="AJ24" s="70"/>
      <c r="AK24" s="71"/>
      <c r="AL24" s="69" t="s">
        <v>108</v>
      </c>
      <c r="AM24" s="70"/>
      <c r="AN24" s="71"/>
      <c r="AO24" s="69" t="s">
        <v>108</v>
      </c>
      <c r="AP24" s="70"/>
      <c r="AQ24" s="71"/>
      <c r="AR24" s="92" t="s">
        <v>89</v>
      </c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4"/>
    </row>
    <row r="25" spans="1:62" s="14" customFormat="1" ht="36" customHeight="1">
      <c r="A25" s="75">
        <f t="shared" si="0"/>
        <v>8</v>
      </c>
      <c r="B25" s="75"/>
      <c r="C25" s="75"/>
      <c r="D25" s="76" t="s">
        <v>55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69" t="s">
        <v>33</v>
      </c>
      <c r="V25" s="70"/>
      <c r="W25" s="70"/>
      <c r="X25" s="70"/>
      <c r="Y25" s="71"/>
      <c r="Z25" s="69">
        <v>2</v>
      </c>
      <c r="AA25" s="70"/>
      <c r="AB25" s="71"/>
      <c r="AC25" s="69"/>
      <c r="AD25" s="70"/>
      <c r="AE25" s="71"/>
      <c r="AF25" s="69"/>
      <c r="AG25" s="70"/>
      <c r="AH25" s="71"/>
      <c r="AI25" s="69"/>
      <c r="AJ25" s="70"/>
      <c r="AK25" s="71"/>
      <c r="AL25" s="69" t="s">
        <v>108</v>
      </c>
      <c r="AM25" s="70"/>
      <c r="AN25" s="71"/>
      <c r="AO25" s="69" t="s">
        <v>108</v>
      </c>
      <c r="AP25" s="70"/>
      <c r="AQ25" s="71"/>
      <c r="AR25" s="92" t="s">
        <v>90</v>
      </c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4"/>
    </row>
    <row r="26" spans="1:62" s="14" customFormat="1" ht="36" customHeight="1">
      <c r="A26" s="75">
        <f t="shared" si="0"/>
        <v>9</v>
      </c>
      <c r="B26" s="75"/>
      <c r="C26" s="75"/>
      <c r="D26" s="76" t="s">
        <v>117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69" t="s">
        <v>50</v>
      </c>
      <c r="V26" s="70"/>
      <c r="W26" s="70"/>
      <c r="X26" s="70"/>
      <c r="Y26" s="71"/>
      <c r="Z26" s="69">
        <v>8</v>
      </c>
      <c r="AA26" s="70"/>
      <c r="AB26" s="71"/>
      <c r="AC26" s="69"/>
      <c r="AD26" s="70"/>
      <c r="AE26" s="71"/>
      <c r="AF26" s="69"/>
      <c r="AG26" s="70"/>
      <c r="AH26" s="71"/>
      <c r="AI26" s="69"/>
      <c r="AJ26" s="70"/>
      <c r="AK26" s="71"/>
      <c r="AL26" s="69" t="s">
        <v>108</v>
      </c>
      <c r="AM26" s="70"/>
      <c r="AN26" s="71"/>
      <c r="AO26" s="69" t="s">
        <v>108</v>
      </c>
      <c r="AP26" s="70"/>
      <c r="AQ26" s="71"/>
      <c r="AR26" s="72" t="s">
        <v>119</v>
      </c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4"/>
    </row>
    <row r="27" spans="1:62" s="14" customFormat="1" ht="36" customHeight="1">
      <c r="A27" s="75">
        <f t="shared" si="0"/>
        <v>10</v>
      </c>
      <c r="B27" s="75"/>
      <c r="C27" s="75"/>
      <c r="D27" s="76" t="s">
        <v>56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8"/>
      <c r="U27" s="69" t="s">
        <v>50</v>
      </c>
      <c r="V27" s="70"/>
      <c r="W27" s="70"/>
      <c r="X27" s="70"/>
      <c r="Y27" s="71"/>
      <c r="Z27" s="69">
        <v>8</v>
      </c>
      <c r="AA27" s="70"/>
      <c r="AB27" s="71"/>
      <c r="AC27" s="69"/>
      <c r="AD27" s="70"/>
      <c r="AE27" s="71"/>
      <c r="AF27" s="69"/>
      <c r="AG27" s="70"/>
      <c r="AH27" s="71"/>
      <c r="AI27" s="69"/>
      <c r="AJ27" s="70"/>
      <c r="AK27" s="71"/>
      <c r="AL27" s="69" t="s">
        <v>108</v>
      </c>
      <c r="AM27" s="70"/>
      <c r="AN27" s="71"/>
      <c r="AO27" s="69" t="s">
        <v>108</v>
      </c>
      <c r="AP27" s="70"/>
      <c r="AQ27" s="71"/>
      <c r="AR27" s="72" t="s">
        <v>91</v>
      </c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4"/>
    </row>
    <row r="28" spans="1:62" s="14" customFormat="1" ht="36" customHeight="1">
      <c r="A28" s="75">
        <f t="shared" si="0"/>
        <v>11</v>
      </c>
      <c r="B28" s="75"/>
      <c r="C28" s="75"/>
      <c r="D28" s="76" t="s">
        <v>57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  <c r="U28" s="69" t="s">
        <v>33</v>
      </c>
      <c r="V28" s="70"/>
      <c r="W28" s="70"/>
      <c r="X28" s="70"/>
      <c r="Y28" s="71"/>
      <c r="Z28" s="69">
        <v>1</v>
      </c>
      <c r="AA28" s="70"/>
      <c r="AB28" s="71"/>
      <c r="AC28" s="69"/>
      <c r="AD28" s="70"/>
      <c r="AE28" s="71"/>
      <c r="AF28" s="69"/>
      <c r="AG28" s="70"/>
      <c r="AH28" s="71"/>
      <c r="AI28" s="69"/>
      <c r="AJ28" s="70"/>
      <c r="AK28" s="71"/>
      <c r="AL28" s="69" t="s">
        <v>108</v>
      </c>
      <c r="AM28" s="70"/>
      <c r="AN28" s="71"/>
      <c r="AO28" s="69" t="s">
        <v>108</v>
      </c>
      <c r="AP28" s="70"/>
      <c r="AQ28" s="71"/>
      <c r="AR28" s="72" t="s">
        <v>92</v>
      </c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4"/>
    </row>
    <row r="29" spans="1:62" s="14" customFormat="1" ht="36" customHeight="1">
      <c r="A29" s="75">
        <f t="shared" si="0"/>
        <v>12</v>
      </c>
      <c r="B29" s="75"/>
      <c r="C29" s="75"/>
      <c r="D29" s="72" t="s">
        <v>100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8"/>
      <c r="U29" s="69" t="s">
        <v>50</v>
      </c>
      <c r="V29" s="70"/>
      <c r="W29" s="70"/>
      <c r="X29" s="70"/>
      <c r="Y29" s="71"/>
      <c r="Z29" s="69">
        <v>14</v>
      </c>
      <c r="AA29" s="70"/>
      <c r="AB29" s="71"/>
      <c r="AC29" s="69" t="s">
        <v>108</v>
      </c>
      <c r="AD29" s="70"/>
      <c r="AE29" s="71"/>
      <c r="AF29" s="69"/>
      <c r="AG29" s="70"/>
      <c r="AH29" s="71"/>
      <c r="AI29" s="69"/>
      <c r="AJ29" s="70"/>
      <c r="AK29" s="71"/>
      <c r="AL29" s="69" t="s">
        <v>108</v>
      </c>
      <c r="AM29" s="70"/>
      <c r="AN29" s="71"/>
      <c r="AO29" s="69" t="s">
        <v>108</v>
      </c>
      <c r="AP29" s="70"/>
      <c r="AQ29" s="71"/>
      <c r="AR29" s="72" t="s">
        <v>93</v>
      </c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4"/>
    </row>
    <row r="30" spans="1:62" s="14" customFormat="1" ht="36" customHeight="1">
      <c r="A30" s="75">
        <f t="shared" si="0"/>
        <v>13</v>
      </c>
      <c r="B30" s="75"/>
      <c r="C30" s="75"/>
      <c r="D30" s="76" t="s">
        <v>101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8"/>
      <c r="U30" s="69" t="s">
        <v>50</v>
      </c>
      <c r="V30" s="70"/>
      <c r="W30" s="70"/>
      <c r="X30" s="70"/>
      <c r="Y30" s="71"/>
      <c r="Z30" s="69">
        <v>14</v>
      </c>
      <c r="AA30" s="70"/>
      <c r="AB30" s="71"/>
      <c r="AC30" s="69" t="s">
        <v>108</v>
      </c>
      <c r="AD30" s="70"/>
      <c r="AE30" s="71"/>
      <c r="AF30" s="69"/>
      <c r="AG30" s="70"/>
      <c r="AH30" s="71"/>
      <c r="AI30" s="69"/>
      <c r="AJ30" s="70"/>
      <c r="AK30" s="71"/>
      <c r="AL30" s="69" t="s">
        <v>108</v>
      </c>
      <c r="AM30" s="70"/>
      <c r="AN30" s="71"/>
      <c r="AO30" s="69" t="s">
        <v>108</v>
      </c>
      <c r="AP30" s="70"/>
      <c r="AQ30" s="71"/>
      <c r="AR30" s="72" t="s">
        <v>94</v>
      </c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4"/>
    </row>
    <row r="31" spans="1:62" s="14" customFormat="1" ht="36" customHeight="1">
      <c r="A31" s="75">
        <f t="shared" si="0"/>
        <v>14</v>
      </c>
      <c r="B31" s="75"/>
      <c r="C31" s="75"/>
      <c r="D31" s="76" t="s">
        <v>111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8"/>
      <c r="U31" s="69" t="s">
        <v>33</v>
      </c>
      <c r="V31" s="70"/>
      <c r="W31" s="70"/>
      <c r="X31" s="70"/>
      <c r="Y31" s="71"/>
      <c r="Z31" s="69">
        <v>2</v>
      </c>
      <c r="AA31" s="70"/>
      <c r="AB31" s="71"/>
      <c r="AC31" s="69"/>
      <c r="AD31" s="70"/>
      <c r="AE31" s="71"/>
      <c r="AF31" s="69"/>
      <c r="AG31" s="70"/>
      <c r="AH31" s="71"/>
      <c r="AI31" s="69"/>
      <c r="AJ31" s="70"/>
      <c r="AK31" s="71"/>
      <c r="AL31" s="69"/>
      <c r="AM31" s="70"/>
      <c r="AN31" s="71"/>
      <c r="AO31" s="69"/>
      <c r="AP31" s="70"/>
      <c r="AQ31" s="71"/>
      <c r="AR31" s="72" t="s">
        <v>112</v>
      </c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4"/>
    </row>
    <row r="32" spans="1:62" s="14" customFormat="1" ht="36" customHeight="1">
      <c r="A32" s="75">
        <f t="shared" si="0"/>
        <v>15</v>
      </c>
      <c r="B32" s="75"/>
      <c r="C32" s="75"/>
      <c r="D32" s="76" t="s">
        <v>60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8"/>
      <c r="U32" s="69" t="s">
        <v>33</v>
      </c>
      <c r="V32" s="70"/>
      <c r="W32" s="70"/>
      <c r="X32" s="70"/>
      <c r="Y32" s="71"/>
      <c r="Z32" s="69">
        <v>5</v>
      </c>
      <c r="AA32" s="70"/>
      <c r="AB32" s="71"/>
      <c r="AC32" s="69"/>
      <c r="AD32" s="70"/>
      <c r="AE32" s="71"/>
      <c r="AF32" s="69"/>
      <c r="AG32" s="70"/>
      <c r="AH32" s="71"/>
      <c r="AI32" s="69"/>
      <c r="AJ32" s="70"/>
      <c r="AK32" s="71"/>
      <c r="AL32" s="69" t="s">
        <v>108</v>
      </c>
      <c r="AM32" s="70"/>
      <c r="AN32" s="71"/>
      <c r="AO32" s="69" t="s">
        <v>108</v>
      </c>
      <c r="AP32" s="70"/>
      <c r="AQ32" s="71"/>
      <c r="AR32" s="72" t="s">
        <v>95</v>
      </c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4"/>
    </row>
    <row r="33" spans="1:62" s="14" customFormat="1" ht="36" customHeight="1">
      <c r="A33" s="75">
        <f t="shared" si="0"/>
        <v>16</v>
      </c>
      <c r="B33" s="75"/>
      <c r="C33" s="75"/>
      <c r="D33" s="76" t="s">
        <v>79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8"/>
      <c r="U33" s="69" t="s">
        <v>33</v>
      </c>
      <c r="V33" s="70"/>
      <c r="W33" s="70"/>
      <c r="X33" s="70"/>
      <c r="Y33" s="71"/>
      <c r="Z33" s="69">
        <v>3</v>
      </c>
      <c r="AA33" s="70"/>
      <c r="AB33" s="71"/>
      <c r="AC33" s="69"/>
      <c r="AD33" s="70"/>
      <c r="AE33" s="71"/>
      <c r="AF33" s="69"/>
      <c r="AG33" s="70"/>
      <c r="AH33" s="71"/>
      <c r="AI33" s="69"/>
      <c r="AJ33" s="70"/>
      <c r="AK33" s="71"/>
      <c r="AL33" s="69" t="s">
        <v>108</v>
      </c>
      <c r="AM33" s="70"/>
      <c r="AN33" s="71"/>
      <c r="AO33" s="69" t="s">
        <v>108</v>
      </c>
      <c r="AP33" s="70"/>
      <c r="AQ33" s="71"/>
      <c r="AR33" s="72" t="s">
        <v>96</v>
      </c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4"/>
    </row>
    <row r="34" spans="1:62" s="14" customFormat="1" ht="36" customHeight="1">
      <c r="A34" s="75">
        <f t="shared" si="0"/>
        <v>17</v>
      </c>
      <c r="B34" s="75"/>
      <c r="C34" s="75"/>
      <c r="D34" s="76" t="s">
        <v>61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8"/>
      <c r="U34" s="69" t="s">
        <v>50</v>
      </c>
      <c r="V34" s="70"/>
      <c r="W34" s="70"/>
      <c r="X34" s="70"/>
      <c r="Y34" s="71"/>
      <c r="Z34" s="69">
        <v>14</v>
      </c>
      <c r="AA34" s="70"/>
      <c r="AB34" s="71"/>
      <c r="AC34" s="69" t="s">
        <v>108</v>
      </c>
      <c r="AD34" s="70"/>
      <c r="AE34" s="71"/>
      <c r="AF34" s="69"/>
      <c r="AG34" s="70"/>
      <c r="AH34" s="71"/>
      <c r="AI34" s="69"/>
      <c r="AJ34" s="70"/>
      <c r="AK34" s="71"/>
      <c r="AL34" s="69" t="s">
        <v>108</v>
      </c>
      <c r="AM34" s="70"/>
      <c r="AN34" s="71"/>
      <c r="AO34" s="69" t="s">
        <v>108</v>
      </c>
      <c r="AP34" s="70"/>
      <c r="AQ34" s="71"/>
      <c r="AR34" s="72" t="s">
        <v>97</v>
      </c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4"/>
    </row>
    <row r="35" spans="1:62" s="14" customFormat="1" ht="36" customHeight="1">
      <c r="A35" s="75">
        <f t="shared" si="0"/>
        <v>18</v>
      </c>
      <c r="B35" s="75"/>
      <c r="C35" s="75"/>
      <c r="D35" s="76" t="s">
        <v>62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8"/>
      <c r="U35" s="69" t="s">
        <v>50</v>
      </c>
      <c r="V35" s="70"/>
      <c r="W35" s="70"/>
      <c r="X35" s="70"/>
      <c r="Y35" s="71"/>
      <c r="Z35" s="69">
        <v>14</v>
      </c>
      <c r="AA35" s="70"/>
      <c r="AB35" s="71"/>
      <c r="AC35" s="69" t="s">
        <v>108</v>
      </c>
      <c r="AD35" s="70"/>
      <c r="AE35" s="71"/>
      <c r="AF35" s="69"/>
      <c r="AG35" s="70"/>
      <c r="AH35" s="71"/>
      <c r="AI35" s="69"/>
      <c r="AJ35" s="70"/>
      <c r="AK35" s="71"/>
      <c r="AL35" s="69" t="s">
        <v>108</v>
      </c>
      <c r="AM35" s="70"/>
      <c r="AN35" s="71"/>
      <c r="AO35" s="69" t="s">
        <v>108</v>
      </c>
      <c r="AP35" s="70"/>
      <c r="AQ35" s="71"/>
      <c r="AR35" s="72" t="s">
        <v>98</v>
      </c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/>
    </row>
    <row r="36" spans="1:62" s="14" customFormat="1" ht="36" customHeight="1">
      <c r="A36" s="75"/>
      <c r="B36" s="75"/>
      <c r="C36" s="75"/>
      <c r="D36" s="76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8"/>
      <c r="U36" s="69"/>
      <c r="V36" s="70"/>
      <c r="W36" s="70"/>
      <c r="X36" s="70"/>
      <c r="Y36" s="71"/>
      <c r="Z36" s="69"/>
      <c r="AA36" s="70"/>
      <c r="AB36" s="71"/>
      <c r="AC36" s="69"/>
      <c r="AD36" s="70"/>
      <c r="AE36" s="71"/>
      <c r="AF36" s="69"/>
      <c r="AG36" s="70"/>
      <c r="AH36" s="71"/>
      <c r="AI36" s="69"/>
      <c r="AJ36" s="70"/>
      <c r="AK36" s="71"/>
      <c r="AL36" s="69"/>
      <c r="AM36" s="70"/>
      <c r="AN36" s="71"/>
      <c r="AO36" s="69"/>
      <c r="AP36" s="70"/>
      <c r="AQ36" s="71"/>
      <c r="AR36" s="72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4"/>
    </row>
    <row r="37" spans="1:62" s="14" customFormat="1" ht="36" customHeight="1">
      <c r="A37" s="75"/>
      <c r="B37" s="75"/>
      <c r="C37" s="75"/>
      <c r="D37" s="76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8"/>
      <c r="U37" s="69"/>
      <c r="V37" s="70"/>
      <c r="W37" s="70"/>
      <c r="X37" s="70"/>
      <c r="Y37" s="71"/>
      <c r="Z37" s="69"/>
      <c r="AA37" s="70"/>
      <c r="AB37" s="71"/>
      <c r="AC37" s="69"/>
      <c r="AD37" s="70"/>
      <c r="AE37" s="71"/>
      <c r="AF37" s="69"/>
      <c r="AG37" s="70"/>
      <c r="AH37" s="71"/>
      <c r="AI37" s="69"/>
      <c r="AJ37" s="70"/>
      <c r="AK37" s="71"/>
      <c r="AL37" s="69"/>
      <c r="AM37" s="70"/>
      <c r="AN37" s="71"/>
      <c r="AO37" s="69"/>
      <c r="AP37" s="70"/>
      <c r="AQ37" s="71"/>
      <c r="AR37" s="72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4"/>
    </row>
    <row r="38" spans="1:62" s="14" customFormat="1" ht="36" customHeight="1">
      <c r="A38" s="75"/>
      <c r="B38" s="75"/>
      <c r="C38" s="75"/>
      <c r="D38" s="76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69"/>
      <c r="V38" s="70"/>
      <c r="W38" s="70"/>
      <c r="X38" s="70"/>
      <c r="Y38" s="71"/>
      <c r="Z38" s="69"/>
      <c r="AA38" s="70"/>
      <c r="AB38" s="71"/>
      <c r="AC38" s="69"/>
      <c r="AD38" s="70"/>
      <c r="AE38" s="71"/>
      <c r="AF38" s="69"/>
      <c r="AG38" s="70"/>
      <c r="AH38" s="71"/>
      <c r="AI38" s="69"/>
      <c r="AJ38" s="70"/>
      <c r="AK38" s="71"/>
      <c r="AL38" s="69"/>
      <c r="AM38" s="70"/>
      <c r="AN38" s="71"/>
      <c r="AO38" s="69"/>
      <c r="AP38" s="70"/>
      <c r="AQ38" s="71"/>
      <c r="AR38" s="72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4"/>
    </row>
    <row r="39" spans="1:62" s="14" customFormat="1" ht="36" customHeight="1">
      <c r="A39" s="75"/>
      <c r="B39" s="75"/>
      <c r="C39" s="75"/>
      <c r="D39" s="76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8"/>
      <c r="U39" s="69"/>
      <c r="V39" s="70"/>
      <c r="W39" s="70"/>
      <c r="X39" s="70"/>
      <c r="Y39" s="71"/>
      <c r="Z39" s="69"/>
      <c r="AA39" s="70"/>
      <c r="AB39" s="71"/>
      <c r="AC39" s="69"/>
      <c r="AD39" s="70"/>
      <c r="AE39" s="71"/>
      <c r="AF39" s="69"/>
      <c r="AG39" s="70"/>
      <c r="AH39" s="71"/>
      <c r="AI39" s="69"/>
      <c r="AJ39" s="70"/>
      <c r="AK39" s="71"/>
      <c r="AL39" s="69"/>
      <c r="AM39" s="70"/>
      <c r="AN39" s="71"/>
      <c r="AO39" s="69"/>
      <c r="AP39" s="70"/>
      <c r="AQ39" s="71"/>
      <c r="AR39" s="72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4"/>
    </row>
    <row r="40" spans="1:62" s="14" customFormat="1" ht="36" customHeight="1">
      <c r="A40" s="75"/>
      <c r="B40" s="75"/>
      <c r="C40" s="75"/>
      <c r="D40" s="76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8"/>
      <c r="U40" s="69"/>
      <c r="V40" s="70"/>
      <c r="W40" s="70"/>
      <c r="X40" s="70"/>
      <c r="Y40" s="71"/>
      <c r="Z40" s="69"/>
      <c r="AA40" s="70"/>
      <c r="AB40" s="71"/>
      <c r="AC40" s="69"/>
      <c r="AD40" s="70"/>
      <c r="AE40" s="71"/>
      <c r="AF40" s="69"/>
      <c r="AG40" s="70"/>
      <c r="AH40" s="71"/>
      <c r="AI40" s="69"/>
      <c r="AJ40" s="70"/>
      <c r="AK40" s="71"/>
      <c r="AL40" s="69"/>
      <c r="AM40" s="70"/>
      <c r="AN40" s="71"/>
      <c r="AO40" s="69"/>
      <c r="AP40" s="70"/>
      <c r="AQ40" s="71"/>
      <c r="AR40" s="72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4"/>
    </row>
    <row r="41" spans="1:62" s="14" customFormat="1" ht="36" customHeight="1">
      <c r="A41" s="79"/>
      <c r="B41" s="79"/>
      <c r="C41" s="79"/>
      <c r="D41" s="80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2"/>
      <c r="U41" s="83"/>
      <c r="V41" s="84"/>
      <c r="W41" s="84"/>
      <c r="X41" s="84"/>
      <c r="Y41" s="85"/>
      <c r="Z41" s="83"/>
      <c r="AA41" s="84"/>
      <c r="AB41" s="85"/>
      <c r="AC41" s="83"/>
      <c r="AD41" s="84"/>
      <c r="AE41" s="85"/>
      <c r="AF41" s="83"/>
      <c r="AG41" s="84"/>
      <c r="AH41" s="85"/>
      <c r="AI41" s="83"/>
      <c r="AJ41" s="84"/>
      <c r="AK41" s="85"/>
      <c r="AL41" s="83"/>
      <c r="AM41" s="84"/>
      <c r="AN41" s="85"/>
      <c r="AO41" s="83"/>
      <c r="AP41" s="84"/>
      <c r="AQ41" s="85"/>
      <c r="AR41" s="86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8"/>
    </row>
    <row r="42" spans="1:62" ht="6.65" customHeight="1"/>
  </sheetData>
  <mergeCells count="291">
    <mergeCell ref="AR31:BJ31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14:C14"/>
    <mergeCell ref="D14:AR14"/>
    <mergeCell ref="AS14:BJ14"/>
    <mergeCell ref="A13:C13"/>
    <mergeCell ref="D13:AR13"/>
    <mergeCell ref="AS13:BJ13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R22:BJ22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O24:AQ24"/>
    <mergeCell ref="AF19:AH19"/>
    <mergeCell ref="AI19:AK19"/>
    <mergeCell ref="AL19:AN19"/>
    <mergeCell ref="AO19:AQ19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K7:AR7"/>
    <mergeCell ref="AS7:AX7"/>
    <mergeCell ref="BC7:BD7"/>
    <mergeCell ref="BE7:BH7"/>
    <mergeCell ref="L7:AJ7"/>
    <mergeCell ref="A23:C23"/>
    <mergeCell ref="AR23:BJ23"/>
    <mergeCell ref="A24:C24"/>
    <mergeCell ref="AR24:BJ24"/>
    <mergeCell ref="A25:C25"/>
    <mergeCell ref="AR25:BJ25"/>
    <mergeCell ref="AI17:AK17"/>
    <mergeCell ref="AL17:AN17"/>
    <mergeCell ref="AO17:AQ17"/>
    <mergeCell ref="A19:C19"/>
    <mergeCell ref="AR19:BJ19"/>
    <mergeCell ref="A21:C21"/>
    <mergeCell ref="AR21:BJ21"/>
    <mergeCell ref="A17:C17"/>
    <mergeCell ref="D17:T17"/>
    <mergeCell ref="U17:Y17"/>
    <mergeCell ref="Z17:AB17"/>
    <mergeCell ref="AC17:AE17"/>
    <mergeCell ref="AF17:AH17"/>
    <mergeCell ref="AR17:BJ17"/>
    <mergeCell ref="D19:T19"/>
    <mergeCell ref="U19:Y19"/>
    <mergeCell ref="Z19:AB19"/>
    <mergeCell ref="AC19:AE19"/>
    <mergeCell ref="A32:C32"/>
    <mergeCell ref="A27:C27"/>
    <mergeCell ref="A28:C28"/>
    <mergeCell ref="A26:C26"/>
    <mergeCell ref="AR26:BJ26"/>
    <mergeCell ref="AR27:BJ27"/>
    <mergeCell ref="AR28:BJ28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30:C30"/>
    <mergeCell ref="AR30:BJ30"/>
    <mergeCell ref="A29:C29"/>
    <mergeCell ref="AR29:BJ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4:BJ34"/>
    <mergeCell ref="AR32:BJ32"/>
    <mergeCell ref="AR33:BJ33"/>
    <mergeCell ref="AR35:BJ35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6:BJ36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20:BJ20"/>
    <mergeCell ref="Z39:AB39"/>
    <mergeCell ref="AC39:AE39"/>
    <mergeCell ref="AF39:AH39"/>
    <mergeCell ref="AI39:AK39"/>
    <mergeCell ref="AL39:AN39"/>
    <mergeCell ref="AO39:AQ39"/>
    <mergeCell ref="AR39:BJ39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39:C39"/>
    <mergeCell ref="D39:T39"/>
    <mergeCell ref="U39:Y39"/>
    <mergeCell ref="AR37:BJ37"/>
    <mergeCell ref="A38:C38"/>
    <mergeCell ref="D38:T38"/>
    <mergeCell ref="U38:Y38"/>
    <mergeCell ref="AR40:BJ40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18:BJ18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</mergeCells>
  <phoneticPr fontId="2"/>
  <dataValidations count="6">
    <dataValidation type="list" allowBlank="1" showInputMessage="1" showErrorMessage="1" sqref="AZ15 AZ8 BC7 BI7:BI9 BC9 BI15 AC18:AH18 AL18:AQ18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9A6448CD-B222-426D-BD10-B5730E945E3F}">
      <formula1>"昇順, 降順"</formula1>
    </dataValidation>
    <dataValidation type="list" allowBlank="1" showInputMessage="1" sqref="AS12:BJ14" xr:uid="{2EDE069F-8DB5-4BC9-8002-58CA4CF69E89}">
      <formula1>"昇順,降順"</formula1>
    </dataValidation>
    <dataValidation type="list" allowBlank="1" showInputMessage="1" sqref="AT9:AX9 AS9:AS10 AS7:AX7" xr:uid="{4208A2E9-9376-48D4-8A1C-0C2078983002}">
      <formula1>"utf-8,Shift jis"</formula1>
    </dataValidation>
    <dataValidation type="list" allowBlank="1" showInputMessage="1" showErrorMessage="1" sqref="AI18:AK18" xr:uid="{195C98FF-5FCC-4581-9D92-EC20AD857777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2"/>
  <sheetViews>
    <sheetView view="pageBreakPreview" zoomScaleNormal="100" zoomScaleSheetLayoutView="100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4" t="s">
        <v>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6"/>
      <c r="AT2" s="38" t="s">
        <v>3</v>
      </c>
      <c r="AU2" s="39"/>
      <c r="AV2" s="39"/>
      <c r="AW2" s="39"/>
      <c r="AX2" s="40"/>
      <c r="AY2" s="38" t="s">
        <v>35</v>
      </c>
      <c r="AZ2" s="39"/>
      <c r="BA2" s="39"/>
      <c r="BB2" s="40"/>
      <c r="BC2" s="38" t="s">
        <v>5</v>
      </c>
      <c r="BD2" s="39"/>
      <c r="BE2" s="39"/>
      <c r="BF2" s="40"/>
      <c r="BG2" s="38"/>
      <c r="BH2" s="39"/>
      <c r="BI2" s="39"/>
      <c r="BJ2" s="40"/>
    </row>
    <row r="3" spans="1:62" s="1" customFormat="1" ht="18" customHeight="1">
      <c r="A3" s="47" t="s">
        <v>6</v>
      </c>
      <c r="B3" s="48"/>
      <c r="C3" s="48"/>
      <c r="D3" s="48"/>
      <c r="E3" s="48"/>
      <c r="F3" s="48"/>
      <c r="G3" s="48"/>
      <c r="H3" s="49"/>
      <c r="I3" s="53" t="s">
        <v>110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5"/>
      <c r="AT3" s="38" t="s">
        <v>7</v>
      </c>
      <c r="AU3" s="39"/>
      <c r="AV3" s="39"/>
      <c r="AW3" s="39"/>
      <c r="AX3" s="40"/>
      <c r="AY3" s="38" t="s">
        <v>109</v>
      </c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40"/>
    </row>
    <row r="4" spans="1:62" s="1" customFormat="1" ht="18" customHeight="1">
      <c r="A4" s="50"/>
      <c r="B4" s="51"/>
      <c r="C4" s="51"/>
      <c r="D4" s="51"/>
      <c r="E4" s="51"/>
      <c r="F4" s="51"/>
      <c r="G4" s="51"/>
      <c r="H4" s="52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8"/>
      <c r="AT4" s="38" t="s">
        <v>8</v>
      </c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40"/>
    </row>
    <row r="5" spans="1:62" s="12" customFormat="1" ht="6" customHeight="1"/>
    <row r="6" spans="1:62" s="14" customFormat="1" ht="20.25" customHeight="1">
      <c r="A6" s="97" t="s">
        <v>12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180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7" t="s">
        <v>13</v>
      </c>
      <c r="AC6" s="98"/>
      <c r="AD6" s="98"/>
      <c r="AE6" s="98"/>
      <c r="AF6" s="98"/>
      <c r="AG6" s="98"/>
      <c r="AH6" s="98"/>
      <c r="AI6" s="98"/>
      <c r="AJ6" s="99"/>
      <c r="AK6" s="97" t="s">
        <v>36</v>
      </c>
      <c r="AL6" s="98"/>
      <c r="AM6" s="98"/>
      <c r="AN6" s="99"/>
      <c r="AO6" s="97" t="s">
        <v>15</v>
      </c>
      <c r="AP6" s="98"/>
      <c r="AQ6" s="98"/>
      <c r="AR6" s="98"/>
      <c r="AS6" s="98"/>
      <c r="AT6" s="98"/>
      <c r="AU6" s="98"/>
      <c r="AV6" s="98"/>
      <c r="AW6" s="99"/>
      <c r="AX6" s="97" t="s">
        <v>14</v>
      </c>
      <c r="AY6" s="98"/>
      <c r="AZ6" s="98"/>
      <c r="BA6" s="99"/>
      <c r="BB6" s="106" t="s">
        <v>16</v>
      </c>
      <c r="BC6" s="106"/>
      <c r="BD6" s="106"/>
      <c r="BE6" s="106"/>
      <c r="BF6" s="106">
        <v>18</v>
      </c>
      <c r="BG6" s="106"/>
      <c r="BH6" s="106"/>
      <c r="BI6" s="106"/>
      <c r="BJ6" s="106"/>
    </row>
    <row r="7" spans="1:62" s="14" customFormat="1" ht="20.25" customHeight="1">
      <c r="A7" s="97" t="s">
        <v>17</v>
      </c>
      <c r="B7" s="98"/>
      <c r="C7" s="98"/>
      <c r="D7" s="98"/>
      <c r="E7" s="98"/>
      <c r="F7" s="98"/>
      <c r="G7" s="98"/>
      <c r="H7" s="98"/>
      <c r="I7" s="98"/>
      <c r="J7" s="98"/>
      <c r="K7" s="99"/>
      <c r="L7" s="116" t="s">
        <v>179</v>
      </c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97" t="s">
        <v>84</v>
      </c>
      <c r="AL7" s="98"/>
      <c r="AM7" s="98"/>
      <c r="AN7" s="98"/>
      <c r="AO7" s="98"/>
      <c r="AP7" s="98"/>
      <c r="AQ7" s="98"/>
      <c r="AR7" s="99"/>
      <c r="AS7" s="97" t="s">
        <v>85</v>
      </c>
      <c r="AT7" s="98"/>
      <c r="AU7" s="98"/>
      <c r="AV7" s="98"/>
      <c r="AW7" s="98"/>
      <c r="AX7" s="99"/>
      <c r="AY7" s="30" t="s">
        <v>18</v>
      </c>
      <c r="AZ7" s="31"/>
      <c r="BA7" s="31"/>
      <c r="BB7" s="31"/>
      <c r="BC7" s="97"/>
      <c r="BD7" s="99"/>
      <c r="BE7" s="97" t="s">
        <v>20</v>
      </c>
      <c r="BF7" s="98"/>
      <c r="BG7" s="98"/>
      <c r="BH7" s="99"/>
      <c r="BI7" s="97" t="s">
        <v>19</v>
      </c>
      <c r="BJ7" s="99"/>
    </row>
    <row r="8" spans="1:62" s="4" customFormat="1">
      <c r="B8" s="29" t="s">
        <v>21</v>
      </c>
      <c r="G8" s="5"/>
    </row>
    <row r="9" spans="1:62" s="14" customFormat="1" ht="42" customHeight="1">
      <c r="A9" s="97" t="s">
        <v>22</v>
      </c>
      <c r="B9" s="98"/>
      <c r="C9" s="99"/>
      <c r="D9" s="97" t="s">
        <v>37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9"/>
      <c r="U9" s="93" t="s">
        <v>24</v>
      </c>
      <c r="V9" s="94"/>
      <c r="W9" s="94"/>
      <c r="X9" s="94"/>
      <c r="Y9" s="95"/>
      <c r="Z9" s="93" t="s">
        <v>25</v>
      </c>
      <c r="AA9" s="94"/>
      <c r="AB9" s="95"/>
      <c r="AC9" s="97" t="s">
        <v>38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9"/>
    </row>
    <row r="10" spans="1:62" s="13" customFormat="1" ht="30" customHeight="1">
      <c r="A10" s="62">
        <v>1</v>
      </c>
      <c r="B10" s="62"/>
      <c r="C10" s="62"/>
      <c r="D10" s="63" t="s">
        <v>188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5"/>
      <c r="U10" s="66" t="s">
        <v>189</v>
      </c>
      <c r="V10" s="67"/>
      <c r="W10" s="67"/>
      <c r="X10" s="67"/>
      <c r="Y10" s="68"/>
      <c r="Z10" s="66">
        <v>21</v>
      </c>
      <c r="AA10" s="67"/>
      <c r="AB10" s="68"/>
      <c r="AC10" s="63" t="s">
        <v>190</v>
      </c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5"/>
    </row>
    <row r="11" spans="1:62" s="13" customFormat="1" ht="30" customHeight="1">
      <c r="A11" s="96">
        <f>ROW()-9</f>
        <v>2</v>
      </c>
      <c r="B11" s="96"/>
      <c r="C11" s="96"/>
      <c r="D11" s="100" t="s">
        <v>78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103" t="s">
        <v>33</v>
      </c>
      <c r="V11" s="104"/>
      <c r="W11" s="104"/>
      <c r="X11" s="104"/>
      <c r="Y11" s="105"/>
      <c r="Z11" s="103">
        <v>2</v>
      </c>
      <c r="AA11" s="104"/>
      <c r="AB11" s="105"/>
      <c r="AC11" s="100">
        <v>10</v>
      </c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2"/>
    </row>
    <row r="12" spans="1:62" s="13" customFormat="1" ht="30" customHeight="1">
      <c r="A12" s="75">
        <f>ROW()-9</f>
        <v>3</v>
      </c>
      <c r="B12" s="75"/>
      <c r="C12" s="75"/>
      <c r="D12" s="76" t="s">
        <v>77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8"/>
      <c r="U12" s="69" t="s">
        <v>33</v>
      </c>
      <c r="V12" s="70"/>
      <c r="W12" s="70"/>
      <c r="X12" s="70"/>
      <c r="Y12" s="71"/>
      <c r="Z12" s="69">
        <v>4</v>
      </c>
      <c r="AA12" s="70"/>
      <c r="AB12" s="71"/>
      <c r="AC12" s="76">
        <v>4137</v>
      </c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8"/>
    </row>
    <row r="13" spans="1:62" s="13" customFormat="1" ht="30" customHeight="1">
      <c r="A13" s="75">
        <f>ROW()-9</f>
        <v>4</v>
      </c>
      <c r="B13" s="75"/>
      <c r="C13" s="75"/>
      <c r="D13" s="76" t="s">
        <v>114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8"/>
      <c r="U13" s="69" t="s">
        <v>32</v>
      </c>
      <c r="V13" s="70"/>
      <c r="W13" s="70"/>
      <c r="X13" s="70"/>
      <c r="Y13" s="71"/>
      <c r="Z13" s="69">
        <v>3</v>
      </c>
      <c r="AA13" s="70"/>
      <c r="AB13" s="71"/>
      <c r="AC13" s="120" t="s">
        <v>63</v>
      </c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8"/>
    </row>
    <row r="14" spans="1:62" s="13" customFormat="1" ht="30" customHeight="1">
      <c r="A14" s="75">
        <f t="shared" ref="A14:A27" si="0">ROW()-9</f>
        <v>5</v>
      </c>
      <c r="B14" s="75"/>
      <c r="C14" s="75"/>
      <c r="D14" s="76" t="s">
        <v>52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8"/>
      <c r="U14" s="69" t="s">
        <v>33</v>
      </c>
      <c r="V14" s="70"/>
      <c r="W14" s="70"/>
      <c r="X14" s="70"/>
      <c r="Y14" s="71"/>
      <c r="Z14" s="69">
        <v>1</v>
      </c>
      <c r="AA14" s="70"/>
      <c r="AB14" s="71"/>
      <c r="AC14" s="119">
        <v>1</v>
      </c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8"/>
    </row>
    <row r="15" spans="1:62" s="13" customFormat="1" ht="30" customHeight="1">
      <c r="A15" s="75">
        <f t="shared" si="0"/>
        <v>6</v>
      </c>
      <c r="B15" s="75"/>
      <c r="C15" s="75"/>
      <c r="D15" s="76" t="s">
        <v>53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8"/>
      <c r="U15" s="69" t="s">
        <v>33</v>
      </c>
      <c r="V15" s="70"/>
      <c r="W15" s="70"/>
      <c r="X15" s="70"/>
      <c r="Y15" s="71"/>
      <c r="Z15" s="69">
        <v>6</v>
      </c>
      <c r="AA15" s="70"/>
      <c r="AB15" s="71"/>
      <c r="AC15" s="76">
        <v>191113</v>
      </c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8"/>
    </row>
    <row r="16" spans="1:62" s="13" customFormat="1" ht="30" customHeight="1">
      <c r="A16" s="75">
        <f t="shared" si="0"/>
        <v>7</v>
      </c>
      <c r="B16" s="75"/>
      <c r="C16" s="75"/>
      <c r="D16" s="76" t="s">
        <v>54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8"/>
      <c r="U16" s="69" t="s">
        <v>50</v>
      </c>
      <c r="V16" s="70"/>
      <c r="W16" s="70"/>
      <c r="X16" s="70"/>
      <c r="Y16" s="71"/>
      <c r="Z16" s="69">
        <v>4</v>
      </c>
      <c r="AA16" s="70"/>
      <c r="AB16" s="71"/>
      <c r="AC16" s="76">
        <v>2024</v>
      </c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</row>
    <row r="17" spans="1:62" s="13" customFormat="1" ht="30" customHeight="1">
      <c r="A17" s="75">
        <f t="shared" si="0"/>
        <v>8</v>
      </c>
      <c r="B17" s="75"/>
      <c r="C17" s="75"/>
      <c r="D17" s="76" t="s">
        <v>55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8"/>
      <c r="U17" s="69" t="s">
        <v>33</v>
      </c>
      <c r="V17" s="70"/>
      <c r="W17" s="70"/>
      <c r="X17" s="70"/>
      <c r="Y17" s="71"/>
      <c r="Z17" s="69">
        <v>2</v>
      </c>
      <c r="AA17" s="70"/>
      <c r="AB17" s="71"/>
      <c r="AC17" s="119" t="s">
        <v>64</v>
      </c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8"/>
    </row>
    <row r="18" spans="1:62" s="13" customFormat="1" ht="30" customHeight="1">
      <c r="A18" s="75">
        <f t="shared" si="0"/>
        <v>9</v>
      </c>
      <c r="B18" s="75"/>
      <c r="C18" s="75"/>
      <c r="D18" s="76" t="s">
        <v>117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  <c r="U18" s="69" t="s">
        <v>50</v>
      </c>
      <c r="V18" s="70"/>
      <c r="W18" s="70"/>
      <c r="X18" s="70"/>
      <c r="Y18" s="71"/>
      <c r="Z18" s="69">
        <v>8</v>
      </c>
      <c r="AA18" s="70"/>
      <c r="AB18" s="71"/>
      <c r="AC18" s="121" t="s">
        <v>120</v>
      </c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8"/>
    </row>
    <row r="19" spans="1:62" s="13" customFormat="1" ht="30" customHeight="1">
      <c r="A19" s="75">
        <f t="shared" si="0"/>
        <v>10</v>
      </c>
      <c r="B19" s="75"/>
      <c r="C19" s="75"/>
      <c r="D19" s="76" t="s">
        <v>56</v>
      </c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69" t="s">
        <v>50</v>
      </c>
      <c r="V19" s="70"/>
      <c r="W19" s="70"/>
      <c r="X19" s="70"/>
      <c r="Y19" s="71"/>
      <c r="Z19" s="69">
        <v>8</v>
      </c>
      <c r="AA19" s="70"/>
      <c r="AB19" s="71"/>
      <c r="AC19" s="121" t="s">
        <v>76</v>
      </c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8"/>
    </row>
    <row r="20" spans="1:62" s="13" customFormat="1" ht="30" customHeight="1">
      <c r="A20" s="75">
        <f t="shared" si="0"/>
        <v>11</v>
      </c>
      <c r="B20" s="75"/>
      <c r="C20" s="75"/>
      <c r="D20" s="76" t="s">
        <v>57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8"/>
      <c r="U20" s="69" t="s">
        <v>33</v>
      </c>
      <c r="V20" s="70"/>
      <c r="W20" s="70"/>
      <c r="X20" s="70"/>
      <c r="Y20" s="71"/>
      <c r="Z20" s="69">
        <v>1</v>
      </c>
      <c r="AA20" s="70"/>
      <c r="AB20" s="71"/>
      <c r="AC20" s="76">
        <v>2</v>
      </c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8"/>
    </row>
    <row r="21" spans="1:62" s="13" customFormat="1" ht="30" customHeight="1">
      <c r="A21" s="75">
        <f t="shared" si="0"/>
        <v>12</v>
      </c>
      <c r="B21" s="75"/>
      <c r="C21" s="75"/>
      <c r="D21" s="76" t="s">
        <v>58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8"/>
      <c r="U21" s="69" t="s">
        <v>50</v>
      </c>
      <c r="V21" s="70"/>
      <c r="W21" s="70"/>
      <c r="X21" s="70"/>
      <c r="Y21" s="71"/>
      <c r="Z21" s="69">
        <v>14</v>
      </c>
      <c r="AA21" s="70"/>
      <c r="AB21" s="71"/>
      <c r="AC21" s="76">
        <v>43000</v>
      </c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8"/>
    </row>
    <row r="22" spans="1:62" s="13" customFormat="1" ht="30" customHeight="1">
      <c r="A22" s="75">
        <f t="shared" si="0"/>
        <v>13</v>
      </c>
      <c r="B22" s="75"/>
      <c r="C22" s="75"/>
      <c r="D22" s="72" t="s">
        <v>59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8"/>
      <c r="U22" s="69" t="s">
        <v>50</v>
      </c>
      <c r="V22" s="70"/>
      <c r="W22" s="70"/>
      <c r="X22" s="70"/>
      <c r="Y22" s="71"/>
      <c r="Z22" s="69">
        <v>14</v>
      </c>
      <c r="AA22" s="70"/>
      <c r="AB22" s="71"/>
      <c r="AC22" s="76">
        <v>3440</v>
      </c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8"/>
    </row>
    <row r="23" spans="1:62" s="13" customFormat="1" ht="30" customHeight="1">
      <c r="A23" s="75">
        <f t="shared" si="0"/>
        <v>14</v>
      </c>
      <c r="B23" s="75"/>
      <c r="C23" s="75"/>
      <c r="D23" s="76" t="s">
        <v>111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8"/>
      <c r="U23" s="69" t="s">
        <v>33</v>
      </c>
      <c r="V23" s="70"/>
      <c r="W23" s="70"/>
      <c r="X23" s="70"/>
      <c r="Y23" s="71"/>
      <c r="Z23" s="69">
        <v>2</v>
      </c>
      <c r="AA23" s="70"/>
      <c r="AB23" s="71"/>
      <c r="AC23" s="119">
        <v>10</v>
      </c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8"/>
    </row>
    <row r="24" spans="1:62" s="13" customFormat="1" ht="30" customHeight="1">
      <c r="A24" s="75">
        <f t="shared" si="0"/>
        <v>15</v>
      </c>
      <c r="B24" s="75"/>
      <c r="C24" s="75"/>
      <c r="D24" s="76" t="s">
        <v>60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8"/>
      <c r="U24" s="69" t="s">
        <v>33</v>
      </c>
      <c r="V24" s="70"/>
      <c r="W24" s="70"/>
      <c r="X24" s="70"/>
      <c r="Y24" s="71"/>
      <c r="Z24" s="69">
        <v>5</v>
      </c>
      <c r="AA24" s="70"/>
      <c r="AB24" s="71"/>
      <c r="AC24" s="119" t="s">
        <v>65</v>
      </c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8"/>
    </row>
    <row r="25" spans="1:62" s="13" customFormat="1" ht="30" customHeight="1">
      <c r="A25" s="75">
        <f t="shared" si="0"/>
        <v>16</v>
      </c>
      <c r="B25" s="75"/>
      <c r="C25" s="75"/>
      <c r="D25" s="76" t="s">
        <v>79</v>
      </c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69" t="s">
        <v>33</v>
      </c>
      <c r="V25" s="70"/>
      <c r="W25" s="70"/>
      <c r="X25" s="70"/>
      <c r="Y25" s="71"/>
      <c r="Z25" s="69">
        <v>3</v>
      </c>
      <c r="AA25" s="70"/>
      <c r="AB25" s="71"/>
      <c r="AC25" s="119" t="s">
        <v>63</v>
      </c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8"/>
    </row>
    <row r="26" spans="1:62" s="13" customFormat="1" ht="30" customHeight="1">
      <c r="A26" s="75">
        <f t="shared" si="0"/>
        <v>17</v>
      </c>
      <c r="B26" s="75"/>
      <c r="C26" s="75"/>
      <c r="D26" s="76" t="s">
        <v>61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69" t="s">
        <v>50</v>
      </c>
      <c r="V26" s="70"/>
      <c r="W26" s="70"/>
      <c r="X26" s="70"/>
      <c r="Y26" s="71"/>
      <c r="Z26" s="69">
        <v>14</v>
      </c>
      <c r="AA26" s="70"/>
      <c r="AB26" s="71"/>
      <c r="AC26" s="76">
        <v>10000</v>
      </c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8"/>
    </row>
    <row r="27" spans="1:62" s="13" customFormat="1" ht="30" customHeight="1">
      <c r="A27" s="75">
        <f t="shared" si="0"/>
        <v>18</v>
      </c>
      <c r="B27" s="75"/>
      <c r="C27" s="75"/>
      <c r="D27" s="76" t="s">
        <v>62</v>
      </c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8"/>
      <c r="U27" s="69" t="s">
        <v>50</v>
      </c>
      <c r="V27" s="70"/>
      <c r="W27" s="70"/>
      <c r="X27" s="70"/>
      <c r="Y27" s="71"/>
      <c r="Z27" s="69">
        <v>14</v>
      </c>
      <c r="AA27" s="70"/>
      <c r="AB27" s="71"/>
      <c r="AC27" s="119">
        <v>800</v>
      </c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8"/>
    </row>
    <row r="28" spans="1:62" s="13" customFormat="1" ht="30" customHeight="1">
      <c r="A28" s="75"/>
      <c r="B28" s="75"/>
      <c r="C28" s="75"/>
      <c r="D28" s="76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  <c r="U28" s="69"/>
      <c r="V28" s="70"/>
      <c r="W28" s="70"/>
      <c r="X28" s="70"/>
      <c r="Y28" s="71"/>
      <c r="Z28" s="69"/>
      <c r="AA28" s="70"/>
      <c r="AB28" s="71"/>
      <c r="AC28" s="119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8"/>
    </row>
    <row r="29" spans="1:62" s="13" customFormat="1" ht="30" customHeight="1">
      <c r="A29" s="75"/>
      <c r="B29" s="75"/>
      <c r="C29" s="75"/>
      <c r="D29" s="76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8"/>
      <c r="U29" s="69"/>
      <c r="V29" s="70"/>
      <c r="W29" s="70"/>
      <c r="X29" s="70"/>
      <c r="Y29" s="71"/>
      <c r="Z29" s="69"/>
      <c r="AA29" s="70"/>
      <c r="AB29" s="71"/>
      <c r="AC29" s="76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8"/>
    </row>
    <row r="30" spans="1:62" s="13" customFormat="1" ht="30" customHeight="1">
      <c r="A30" s="75"/>
      <c r="B30" s="75"/>
      <c r="C30" s="75"/>
      <c r="D30" s="76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8"/>
      <c r="U30" s="69"/>
      <c r="V30" s="70"/>
      <c r="W30" s="70"/>
      <c r="X30" s="70"/>
      <c r="Y30" s="71"/>
      <c r="Z30" s="69"/>
      <c r="AA30" s="70"/>
      <c r="AB30" s="71"/>
      <c r="AC30" s="76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8"/>
    </row>
    <row r="31" spans="1:62" s="13" customFormat="1" ht="30" customHeight="1">
      <c r="A31" s="79"/>
      <c r="B31" s="79"/>
      <c r="C31" s="79"/>
      <c r="D31" s="80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2"/>
      <c r="U31" s="83"/>
      <c r="V31" s="84"/>
      <c r="W31" s="84"/>
      <c r="X31" s="84"/>
      <c r="Y31" s="85"/>
      <c r="Z31" s="83"/>
      <c r="AA31" s="84"/>
      <c r="AB31" s="85"/>
      <c r="AC31" s="80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2"/>
    </row>
    <row r="32" spans="1:62" ht="6.65" customHeight="1"/>
  </sheetData>
  <mergeCells count="141">
    <mergeCell ref="AC23:BJ23"/>
    <mergeCell ref="AC25:BJ25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13:C13"/>
    <mergeCell ref="U13:Y13"/>
    <mergeCell ref="Z13:AB13"/>
    <mergeCell ref="A14:C14"/>
    <mergeCell ref="U14:Y14"/>
    <mergeCell ref="Z14:AB14"/>
    <mergeCell ref="A9:C9"/>
    <mergeCell ref="D9:T9"/>
    <mergeCell ref="U9:Y9"/>
    <mergeCell ref="Z9:AB9"/>
    <mergeCell ref="A11:C11"/>
    <mergeCell ref="U11:Y11"/>
    <mergeCell ref="Z11:AB11"/>
    <mergeCell ref="D11:T11"/>
    <mergeCell ref="D13:T13"/>
    <mergeCell ref="A12:C12"/>
    <mergeCell ref="D12:T12"/>
    <mergeCell ref="U12:Y12"/>
    <mergeCell ref="Z12:AB12"/>
    <mergeCell ref="D14:T14"/>
    <mergeCell ref="A10:C10"/>
    <mergeCell ref="D10:T10"/>
    <mergeCell ref="U10:Y10"/>
    <mergeCell ref="Z10:AB10"/>
    <mergeCell ref="A18:C18"/>
    <mergeCell ref="U18:Y18"/>
    <mergeCell ref="Z18:AB18"/>
    <mergeCell ref="A15:C15"/>
    <mergeCell ref="U15:Y15"/>
    <mergeCell ref="Z15:AB15"/>
    <mergeCell ref="A16:C16"/>
    <mergeCell ref="U16:Y16"/>
    <mergeCell ref="Z16:AB16"/>
    <mergeCell ref="A17:C17"/>
    <mergeCell ref="U17:Y17"/>
    <mergeCell ref="Z17:AB17"/>
    <mergeCell ref="D15:T15"/>
    <mergeCell ref="D16:T16"/>
    <mergeCell ref="D17:T17"/>
    <mergeCell ref="D18:T18"/>
    <mergeCell ref="A21:C21"/>
    <mergeCell ref="U21:Y21"/>
    <mergeCell ref="Z21:AB21"/>
    <mergeCell ref="A19:C19"/>
    <mergeCell ref="U19:Y19"/>
    <mergeCell ref="Z19:AB19"/>
    <mergeCell ref="A20:C20"/>
    <mergeCell ref="U20:Y20"/>
    <mergeCell ref="Z20:AB20"/>
    <mergeCell ref="D21:T21"/>
    <mergeCell ref="D19:T19"/>
    <mergeCell ref="D20:T20"/>
    <mergeCell ref="A28:C28"/>
    <mergeCell ref="D28:T28"/>
    <mergeCell ref="U28:Y28"/>
    <mergeCell ref="Z28:AB28"/>
    <mergeCell ref="A24:C24"/>
    <mergeCell ref="U24:Y24"/>
    <mergeCell ref="Z24:AB24"/>
    <mergeCell ref="D24:T24"/>
    <mergeCell ref="A22:C22"/>
    <mergeCell ref="U22:Y22"/>
    <mergeCell ref="Z22:AB22"/>
    <mergeCell ref="D22:T22"/>
    <mergeCell ref="A25:C25"/>
    <mergeCell ref="D25:T25"/>
    <mergeCell ref="U25:Y25"/>
    <mergeCell ref="Z25:AB25"/>
    <mergeCell ref="A23:C23"/>
    <mergeCell ref="D23:T23"/>
    <mergeCell ref="U23:Y23"/>
    <mergeCell ref="Z23:AB23"/>
    <mergeCell ref="AC18:BJ18"/>
    <mergeCell ref="AC19:BJ19"/>
    <mergeCell ref="AC20:BJ20"/>
    <mergeCell ref="AC9:BJ9"/>
    <mergeCell ref="A31:C31"/>
    <mergeCell ref="U31:Y31"/>
    <mergeCell ref="Z31:AB31"/>
    <mergeCell ref="D31:T31"/>
    <mergeCell ref="A29:C29"/>
    <mergeCell ref="U29:Y29"/>
    <mergeCell ref="Z29:AB29"/>
    <mergeCell ref="A30:C30"/>
    <mergeCell ref="U30:Y30"/>
    <mergeCell ref="Z30:AB30"/>
    <mergeCell ref="D30:T30"/>
    <mergeCell ref="A26:C26"/>
    <mergeCell ref="U26:Y26"/>
    <mergeCell ref="Z26:AB26"/>
    <mergeCell ref="A27:C27"/>
    <mergeCell ref="U27:Y27"/>
    <mergeCell ref="Z27:AB27"/>
    <mergeCell ref="D26:T26"/>
    <mergeCell ref="D27:T27"/>
    <mergeCell ref="D29:T29"/>
    <mergeCell ref="AC10:BJ10"/>
    <mergeCell ref="AK7:AR7"/>
    <mergeCell ref="L7:AJ7"/>
    <mergeCell ref="A7:K7"/>
    <mergeCell ref="BI7:BJ7"/>
    <mergeCell ref="AS7:AX7"/>
    <mergeCell ref="BC7:BD7"/>
    <mergeCell ref="BE7:BH7"/>
    <mergeCell ref="AC31:BJ31"/>
    <mergeCell ref="AC21:BJ21"/>
    <mergeCell ref="AC22:BJ22"/>
    <mergeCell ref="AC24:BJ24"/>
    <mergeCell ref="AC26:BJ26"/>
    <mergeCell ref="AC27:BJ27"/>
    <mergeCell ref="AC29:BJ29"/>
    <mergeCell ref="AC28:BJ28"/>
    <mergeCell ref="AC12:BJ12"/>
    <mergeCell ref="AC30:BJ30"/>
    <mergeCell ref="AC11:BJ11"/>
    <mergeCell ref="AC13:BJ13"/>
    <mergeCell ref="AC14:BJ14"/>
    <mergeCell ref="AC15:BJ15"/>
    <mergeCell ref="AC16:BJ16"/>
    <mergeCell ref="AC17:BJ17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0406A9EF-7428-4B4B-B7EE-983AC3E77353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63"/>
  <sheetViews>
    <sheetView view="pageBreakPreview" zoomScaleNormal="100" zoomScaleSheetLayoutView="100" workbookViewId="0"/>
  </sheetViews>
  <sheetFormatPr defaultColWidth="2.08984375" defaultRowHeight="14"/>
  <cols>
    <col min="1" max="1" width="2.453125" style="15" bestFit="1" customWidth="1"/>
    <col min="2" max="16384" width="2.08984375" style="15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4" t="s">
        <v>51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6"/>
      <c r="AT2" s="38" t="s">
        <v>3</v>
      </c>
      <c r="AU2" s="39"/>
      <c r="AV2" s="39"/>
      <c r="AW2" s="39"/>
      <c r="AX2" s="40"/>
      <c r="AY2" s="38" t="s">
        <v>39</v>
      </c>
      <c r="AZ2" s="39"/>
      <c r="BA2" s="39"/>
      <c r="BB2" s="40"/>
      <c r="BC2" s="38" t="s">
        <v>5</v>
      </c>
      <c r="BD2" s="39"/>
      <c r="BE2" s="39"/>
      <c r="BF2" s="40"/>
      <c r="BG2" s="38"/>
      <c r="BH2" s="39"/>
      <c r="BI2" s="39"/>
      <c r="BJ2" s="40"/>
    </row>
    <row r="3" spans="1:63" s="1" customFormat="1" ht="18" customHeight="1">
      <c r="A3" s="47" t="s">
        <v>6</v>
      </c>
      <c r="B3" s="48"/>
      <c r="C3" s="48"/>
      <c r="D3" s="48"/>
      <c r="E3" s="48"/>
      <c r="F3" s="48"/>
      <c r="G3" s="48"/>
      <c r="H3" s="49"/>
      <c r="I3" s="53" t="s">
        <v>110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5"/>
      <c r="AT3" s="38" t="s">
        <v>7</v>
      </c>
      <c r="AU3" s="39"/>
      <c r="AV3" s="39"/>
      <c r="AW3" s="39"/>
      <c r="AX3" s="40"/>
      <c r="AY3" s="38" t="s">
        <v>109</v>
      </c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40"/>
    </row>
    <row r="4" spans="1:63" s="1" customFormat="1" ht="18" customHeight="1">
      <c r="A4" s="50"/>
      <c r="B4" s="51"/>
      <c r="C4" s="51"/>
      <c r="D4" s="51"/>
      <c r="E4" s="51"/>
      <c r="F4" s="51"/>
      <c r="G4" s="51"/>
      <c r="H4" s="52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8"/>
      <c r="AT4" s="38" t="s">
        <v>8</v>
      </c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4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17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181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8" t="s">
        <v>22</v>
      </c>
      <c r="B8" s="39"/>
      <c r="C8" s="40"/>
      <c r="D8" s="38" t="s">
        <v>40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0"/>
      <c r="R8" s="143" t="s">
        <v>41</v>
      </c>
      <c r="S8" s="144"/>
      <c r="T8" s="144"/>
      <c r="U8" s="145"/>
      <c r="V8" s="143" t="s">
        <v>42</v>
      </c>
      <c r="W8" s="144"/>
      <c r="X8" s="144"/>
      <c r="Y8" s="145"/>
      <c r="Z8" s="143" t="s">
        <v>43</v>
      </c>
      <c r="AA8" s="144"/>
      <c r="AB8" s="144"/>
      <c r="AC8" s="145"/>
      <c r="AD8" s="143" t="s">
        <v>44</v>
      </c>
      <c r="AE8" s="144"/>
      <c r="AF8" s="144"/>
      <c r="AG8" s="145"/>
      <c r="AH8" s="38" t="s">
        <v>45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40"/>
      <c r="BD8" s="143" t="s">
        <v>46</v>
      </c>
      <c r="BE8" s="144"/>
      <c r="BF8" s="144"/>
      <c r="BG8" s="144"/>
      <c r="BH8" s="144"/>
      <c r="BI8" s="144"/>
      <c r="BJ8" s="145"/>
    </row>
    <row r="9" spans="1:63" s="11" customFormat="1" ht="60.65" customHeight="1">
      <c r="A9" s="103">
        <f t="shared" ref="A9:A10" si="0">ROW()-8</f>
        <v>1</v>
      </c>
      <c r="B9" s="104"/>
      <c r="C9" s="105"/>
      <c r="D9" s="152" t="s">
        <v>188</v>
      </c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4"/>
      <c r="R9" s="155" t="s">
        <v>107</v>
      </c>
      <c r="S9" s="156"/>
      <c r="T9" s="156"/>
      <c r="U9" s="157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2" t="s">
        <v>192</v>
      </c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4"/>
      <c r="BD9" s="155"/>
      <c r="BE9" s="156"/>
      <c r="BF9" s="156"/>
      <c r="BG9" s="156"/>
      <c r="BH9" s="156"/>
      <c r="BI9" s="156"/>
      <c r="BJ9" s="157"/>
      <c r="BK9" s="37"/>
    </row>
    <row r="10" spans="1:63" s="6" customFormat="1" ht="60.65" customHeight="1">
      <c r="A10" s="103">
        <f t="shared" si="0"/>
        <v>2</v>
      </c>
      <c r="B10" s="104"/>
      <c r="C10" s="105"/>
      <c r="D10" s="125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7"/>
      <c r="R10" s="122"/>
      <c r="S10" s="123"/>
      <c r="T10" s="123"/>
      <c r="U10" s="124"/>
      <c r="V10" s="122"/>
      <c r="W10" s="123"/>
      <c r="X10" s="123"/>
      <c r="Y10" s="124"/>
      <c r="Z10" s="122" t="s">
        <v>107</v>
      </c>
      <c r="AA10" s="123"/>
      <c r="AB10" s="123"/>
      <c r="AC10" s="124"/>
      <c r="AD10" s="122"/>
      <c r="AE10" s="123"/>
      <c r="AF10" s="123"/>
      <c r="AG10" s="124"/>
      <c r="AH10" s="125" t="s">
        <v>193</v>
      </c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7"/>
      <c r="BD10" s="122"/>
      <c r="BE10" s="123"/>
      <c r="BF10" s="123"/>
      <c r="BG10" s="123"/>
      <c r="BH10" s="123"/>
      <c r="BI10" s="123"/>
      <c r="BJ10" s="124"/>
      <c r="BK10" s="37"/>
    </row>
    <row r="11" spans="1:63" s="32" customFormat="1" ht="40.5" customHeight="1">
      <c r="A11" s="103">
        <f>ROW()-8</f>
        <v>3</v>
      </c>
      <c r="B11" s="104"/>
      <c r="C11" s="105"/>
      <c r="D11" s="146" t="s">
        <v>66</v>
      </c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8"/>
      <c r="R11" s="149" t="s">
        <v>107</v>
      </c>
      <c r="S11" s="150"/>
      <c r="T11" s="150"/>
      <c r="U11" s="151"/>
      <c r="V11" s="149"/>
      <c r="W11" s="150"/>
      <c r="X11" s="150"/>
      <c r="Y11" s="151"/>
      <c r="Z11" s="149"/>
      <c r="AA11" s="150"/>
      <c r="AB11" s="150"/>
      <c r="AC11" s="151"/>
      <c r="AD11" s="149"/>
      <c r="AE11" s="150"/>
      <c r="AF11" s="150"/>
      <c r="AG11" s="151"/>
      <c r="AH11" s="146" t="s">
        <v>160</v>
      </c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8"/>
      <c r="BD11" s="149"/>
      <c r="BE11" s="150"/>
      <c r="BF11" s="150"/>
      <c r="BG11" s="150"/>
      <c r="BH11" s="150"/>
      <c r="BI11" s="150"/>
      <c r="BJ11" s="151"/>
    </row>
    <row r="12" spans="1:63" s="32" customFormat="1" ht="40.5" customHeight="1">
      <c r="A12" s="69">
        <f>ROW()-8</f>
        <v>4</v>
      </c>
      <c r="B12" s="70"/>
      <c r="C12" s="71"/>
      <c r="D12" s="125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7"/>
      <c r="R12" s="122"/>
      <c r="S12" s="123"/>
      <c r="T12" s="123"/>
      <c r="U12" s="124"/>
      <c r="V12" s="122"/>
      <c r="W12" s="123"/>
      <c r="X12" s="123"/>
      <c r="Y12" s="124"/>
      <c r="Z12" s="122"/>
      <c r="AA12" s="123"/>
      <c r="AB12" s="123"/>
      <c r="AC12" s="124"/>
      <c r="AD12" s="122" t="s">
        <v>107</v>
      </c>
      <c r="AE12" s="123"/>
      <c r="AF12" s="123"/>
      <c r="AG12" s="124"/>
      <c r="AH12" s="125" t="s">
        <v>74</v>
      </c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7"/>
      <c r="BD12" s="122"/>
      <c r="BE12" s="123"/>
      <c r="BF12" s="123"/>
      <c r="BG12" s="123"/>
      <c r="BH12" s="123"/>
      <c r="BI12" s="123"/>
      <c r="BJ12" s="124"/>
    </row>
    <row r="13" spans="1:63" s="32" customFormat="1" ht="40.5" customHeight="1">
      <c r="A13" s="69">
        <f t="shared" ref="A13:A51" si="1">ROW()-8</f>
        <v>5</v>
      </c>
      <c r="B13" s="70"/>
      <c r="C13" s="71"/>
      <c r="D13" s="125" t="s">
        <v>67</v>
      </c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7"/>
      <c r="R13" s="122" t="s">
        <v>107</v>
      </c>
      <c r="S13" s="123"/>
      <c r="T13" s="123"/>
      <c r="U13" s="124"/>
      <c r="V13" s="122"/>
      <c r="W13" s="123"/>
      <c r="X13" s="123"/>
      <c r="Y13" s="124"/>
      <c r="Z13" s="122"/>
      <c r="AA13" s="123"/>
      <c r="AB13" s="123"/>
      <c r="AC13" s="124"/>
      <c r="AD13" s="122"/>
      <c r="AE13" s="123"/>
      <c r="AF13" s="123"/>
      <c r="AG13" s="124"/>
      <c r="AH13" s="125" t="s">
        <v>161</v>
      </c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7"/>
      <c r="BD13" s="122"/>
      <c r="BE13" s="123"/>
      <c r="BF13" s="123"/>
      <c r="BG13" s="123"/>
      <c r="BH13" s="123"/>
      <c r="BI13" s="123"/>
      <c r="BJ13" s="124"/>
    </row>
    <row r="14" spans="1:63" s="32" customFormat="1" ht="40.5" customHeight="1">
      <c r="A14" s="69">
        <f t="shared" si="1"/>
        <v>6</v>
      </c>
      <c r="B14" s="70"/>
      <c r="C14" s="71"/>
      <c r="D14" s="125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7"/>
      <c r="R14" s="122"/>
      <c r="S14" s="123"/>
      <c r="T14" s="123"/>
      <c r="U14" s="124"/>
      <c r="V14" s="122"/>
      <c r="W14" s="123"/>
      <c r="X14" s="123"/>
      <c r="Y14" s="124"/>
      <c r="Z14" s="122"/>
      <c r="AA14" s="123"/>
      <c r="AB14" s="123"/>
      <c r="AC14" s="124"/>
      <c r="AD14" s="122" t="s">
        <v>107</v>
      </c>
      <c r="AE14" s="123"/>
      <c r="AF14" s="123"/>
      <c r="AG14" s="124"/>
      <c r="AH14" s="125" t="s">
        <v>148</v>
      </c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122"/>
      <c r="BE14" s="123"/>
      <c r="BF14" s="123"/>
      <c r="BG14" s="123"/>
      <c r="BH14" s="123"/>
      <c r="BI14" s="123"/>
      <c r="BJ14" s="124"/>
    </row>
    <row r="15" spans="1:63" s="32" customFormat="1" ht="40.5" customHeight="1">
      <c r="A15" s="69">
        <f t="shared" si="1"/>
        <v>7</v>
      </c>
      <c r="B15" s="70"/>
      <c r="C15" s="71"/>
      <c r="D15" s="125" t="s">
        <v>115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22" t="s">
        <v>107</v>
      </c>
      <c r="S15" s="123"/>
      <c r="T15" s="123"/>
      <c r="U15" s="124"/>
      <c r="V15" s="122"/>
      <c r="W15" s="123"/>
      <c r="X15" s="123"/>
      <c r="Y15" s="124"/>
      <c r="Z15" s="122"/>
      <c r="AA15" s="123"/>
      <c r="AB15" s="123"/>
      <c r="AC15" s="124"/>
      <c r="AD15" s="122"/>
      <c r="AE15" s="123"/>
      <c r="AF15" s="123"/>
      <c r="AG15" s="124"/>
      <c r="AH15" s="125" t="s">
        <v>162</v>
      </c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122"/>
      <c r="BE15" s="123"/>
      <c r="BF15" s="123"/>
      <c r="BG15" s="123"/>
      <c r="BH15" s="123"/>
      <c r="BI15" s="123"/>
      <c r="BJ15" s="124"/>
    </row>
    <row r="16" spans="1:63" s="32" customFormat="1" ht="63" customHeight="1">
      <c r="A16" s="69">
        <f t="shared" si="1"/>
        <v>8</v>
      </c>
      <c r="B16" s="70"/>
      <c r="C16" s="71"/>
      <c r="D16" s="125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22"/>
      <c r="S16" s="123"/>
      <c r="T16" s="123"/>
      <c r="U16" s="124"/>
      <c r="V16" s="122"/>
      <c r="W16" s="123"/>
      <c r="X16" s="123"/>
      <c r="Y16" s="124"/>
      <c r="Z16" s="122"/>
      <c r="AA16" s="123"/>
      <c r="AB16" s="123"/>
      <c r="AC16" s="124"/>
      <c r="AD16" s="122" t="s">
        <v>107</v>
      </c>
      <c r="AE16" s="123"/>
      <c r="AF16" s="123"/>
      <c r="AG16" s="124"/>
      <c r="AH16" s="125" t="s">
        <v>149</v>
      </c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122"/>
      <c r="BE16" s="123"/>
      <c r="BF16" s="123"/>
      <c r="BG16" s="123"/>
      <c r="BH16" s="123"/>
      <c r="BI16" s="123"/>
      <c r="BJ16" s="124"/>
    </row>
    <row r="17" spans="1:62" s="32" customFormat="1" ht="40.5" customHeight="1">
      <c r="A17" s="69">
        <f t="shared" si="1"/>
        <v>9</v>
      </c>
      <c r="B17" s="70"/>
      <c r="C17" s="71"/>
      <c r="D17" s="125" t="s">
        <v>68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22" t="s">
        <v>107</v>
      </c>
      <c r="S17" s="123"/>
      <c r="T17" s="123"/>
      <c r="U17" s="124"/>
      <c r="V17" s="122"/>
      <c r="W17" s="123"/>
      <c r="X17" s="123"/>
      <c r="Y17" s="124"/>
      <c r="Z17" s="122"/>
      <c r="AA17" s="123"/>
      <c r="AB17" s="123"/>
      <c r="AC17" s="124"/>
      <c r="AD17" s="122"/>
      <c r="AE17" s="123"/>
      <c r="AF17" s="123"/>
      <c r="AG17" s="124"/>
      <c r="AH17" s="125" t="s">
        <v>163</v>
      </c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  <c r="BD17" s="122"/>
      <c r="BE17" s="123"/>
      <c r="BF17" s="123"/>
      <c r="BG17" s="123"/>
      <c r="BH17" s="123"/>
      <c r="BI17" s="123"/>
      <c r="BJ17" s="124"/>
    </row>
    <row r="18" spans="1:62" s="32" customFormat="1" ht="40.5" customHeight="1">
      <c r="A18" s="69">
        <f t="shared" si="1"/>
        <v>10</v>
      </c>
      <c r="B18" s="70"/>
      <c r="C18" s="71"/>
      <c r="D18" s="125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22"/>
      <c r="S18" s="123"/>
      <c r="T18" s="123"/>
      <c r="U18" s="124"/>
      <c r="V18" s="122"/>
      <c r="W18" s="123"/>
      <c r="X18" s="123"/>
      <c r="Y18" s="124"/>
      <c r="Z18" s="122"/>
      <c r="AA18" s="123"/>
      <c r="AB18" s="123"/>
      <c r="AC18" s="124"/>
      <c r="AD18" s="122" t="s">
        <v>107</v>
      </c>
      <c r="AE18" s="123"/>
      <c r="AF18" s="123"/>
      <c r="AG18" s="124"/>
      <c r="AH18" s="125" t="s">
        <v>182</v>
      </c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  <c r="BD18" s="122"/>
      <c r="BE18" s="123"/>
      <c r="BF18" s="123"/>
      <c r="BG18" s="123"/>
      <c r="BH18" s="123"/>
      <c r="BI18" s="123"/>
      <c r="BJ18" s="124"/>
    </row>
    <row r="19" spans="1:62" s="32" customFormat="1" ht="40.5" customHeight="1">
      <c r="A19" s="69">
        <f t="shared" si="1"/>
        <v>11</v>
      </c>
      <c r="B19" s="70"/>
      <c r="C19" s="71"/>
      <c r="D19" s="125" t="s">
        <v>69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7"/>
      <c r="R19" s="122" t="s">
        <v>107</v>
      </c>
      <c r="S19" s="123"/>
      <c r="T19" s="123"/>
      <c r="U19" s="124"/>
      <c r="V19" s="122"/>
      <c r="W19" s="123"/>
      <c r="X19" s="123"/>
      <c r="Y19" s="124"/>
      <c r="Z19" s="122"/>
      <c r="AA19" s="123"/>
      <c r="AB19" s="123"/>
      <c r="AC19" s="124"/>
      <c r="AD19" s="122"/>
      <c r="AE19" s="123"/>
      <c r="AF19" s="123"/>
      <c r="AG19" s="124"/>
      <c r="AH19" s="125" t="s">
        <v>164</v>
      </c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7"/>
      <c r="BD19" s="122"/>
      <c r="BE19" s="123"/>
      <c r="BF19" s="123"/>
      <c r="BG19" s="123"/>
      <c r="BH19" s="123"/>
      <c r="BI19" s="123"/>
      <c r="BJ19" s="124"/>
    </row>
    <row r="20" spans="1:62" s="32" customFormat="1" ht="54.65" customHeight="1">
      <c r="A20" s="69">
        <f t="shared" si="1"/>
        <v>12</v>
      </c>
      <c r="B20" s="70"/>
      <c r="C20" s="71"/>
      <c r="D20" s="125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7"/>
      <c r="R20" s="122"/>
      <c r="S20" s="123"/>
      <c r="T20" s="123"/>
      <c r="U20" s="124"/>
      <c r="V20" s="122"/>
      <c r="W20" s="123"/>
      <c r="X20" s="123"/>
      <c r="Y20" s="124"/>
      <c r="Z20" s="122"/>
      <c r="AA20" s="123"/>
      <c r="AB20" s="123"/>
      <c r="AC20" s="124"/>
      <c r="AD20" s="122" t="s">
        <v>107</v>
      </c>
      <c r="AE20" s="123"/>
      <c r="AF20" s="123"/>
      <c r="AG20" s="124"/>
      <c r="AH20" s="125" t="s">
        <v>75</v>
      </c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7"/>
      <c r="BD20" s="122"/>
      <c r="BE20" s="123"/>
      <c r="BF20" s="123"/>
      <c r="BG20" s="123"/>
      <c r="BH20" s="123"/>
      <c r="BI20" s="123"/>
      <c r="BJ20" s="124"/>
    </row>
    <row r="21" spans="1:62" s="32" customFormat="1" ht="40.5" customHeight="1">
      <c r="A21" s="69">
        <f t="shared" si="1"/>
        <v>13</v>
      </c>
      <c r="B21" s="70"/>
      <c r="C21" s="71"/>
      <c r="D21" s="125" t="s">
        <v>70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  <c r="R21" s="122" t="s">
        <v>107</v>
      </c>
      <c r="S21" s="123"/>
      <c r="T21" s="123"/>
      <c r="U21" s="124"/>
      <c r="V21" s="122"/>
      <c r="W21" s="123"/>
      <c r="X21" s="123"/>
      <c r="Y21" s="124"/>
      <c r="Z21" s="122"/>
      <c r="AA21" s="123"/>
      <c r="AB21" s="123"/>
      <c r="AC21" s="124"/>
      <c r="AD21" s="122"/>
      <c r="AE21" s="123"/>
      <c r="AF21" s="123"/>
      <c r="AG21" s="124"/>
      <c r="AH21" s="125" t="s">
        <v>165</v>
      </c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7"/>
      <c r="BD21" s="122"/>
      <c r="BE21" s="123"/>
      <c r="BF21" s="123"/>
      <c r="BG21" s="123"/>
      <c r="BH21" s="123"/>
      <c r="BI21" s="123"/>
      <c r="BJ21" s="124"/>
    </row>
    <row r="22" spans="1:62" s="32" customFormat="1" ht="40.5" customHeight="1">
      <c r="A22" s="69">
        <f t="shared" si="1"/>
        <v>14</v>
      </c>
      <c r="B22" s="70"/>
      <c r="C22" s="71"/>
      <c r="D22" s="125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2"/>
      <c r="S22" s="123"/>
      <c r="T22" s="123"/>
      <c r="U22" s="124"/>
      <c r="V22" s="122" t="s">
        <v>107</v>
      </c>
      <c r="W22" s="123"/>
      <c r="X22" s="123"/>
      <c r="Y22" s="124"/>
      <c r="Z22" s="122"/>
      <c r="AA22" s="123"/>
      <c r="AB22" s="123"/>
      <c r="AC22" s="124"/>
      <c r="AD22" s="122"/>
      <c r="AE22" s="123"/>
      <c r="AF22" s="123"/>
      <c r="AG22" s="124"/>
      <c r="AH22" s="128" t="s">
        <v>154</v>
      </c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7"/>
      <c r="BD22" s="122"/>
      <c r="BE22" s="123"/>
      <c r="BF22" s="123"/>
      <c r="BG22" s="123"/>
      <c r="BH22" s="123"/>
      <c r="BI22" s="123"/>
      <c r="BJ22" s="124"/>
    </row>
    <row r="23" spans="1:62" s="32" customFormat="1" ht="40.5" customHeight="1">
      <c r="A23" s="69">
        <f t="shared" si="1"/>
        <v>15</v>
      </c>
      <c r="B23" s="70"/>
      <c r="C23" s="71"/>
      <c r="D23" s="125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2"/>
      <c r="S23" s="123"/>
      <c r="T23" s="123"/>
      <c r="U23" s="124"/>
      <c r="V23" s="122"/>
      <c r="W23" s="123"/>
      <c r="X23" s="123"/>
      <c r="Y23" s="124"/>
      <c r="Z23" s="122" t="s">
        <v>108</v>
      </c>
      <c r="AA23" s="123"/>
      <c r="AB23" s="123"/>
      <c r="AC23" s="124"/>
      <c r="AD23" s="122"/>
      <c r="AE23" s="123"/>
      <c r="AF23" s="123"/>
      <c r="AG23" s="124"/>
      <c r="AH23" s="128" t="s">
        <v>133</v>
      </c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7"/>
      <c r="BD23" s="122"/>
      <c r="BE23" s="123"/>
      <c r="BF23" s="123"/>
      <c r="BG23" s="123"/>
      <c r="BH23" s="123"/>
      <c r="BI23" s="123"/>
      <c r="BJ23" s="124"/>
    </row>
    <row r="24" spans="1:62" s="32" customFormat="1" ht="40.5" customHeight="1">
      <c r="A24" s="69">
        <f t="shared" si="1"/>
        <v>16</v>
      </c>
      <c r="B24" s="70"/>
      <c r="C24" s="71"/>
      <c r="D24" s="125" t="s">
        <v>71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2" t="s">
        <v>107</v>
      </c>
      <c r="S24" s="123"/>
      <c r="T24" s="123"/>
      <c r="U24" s="124"/>
      <c r="V24" s="122"/>
      <c r="W24" s="123"/>
      <c r="X24" s="123"/>
      <c r="Y24" s="124"/>
      <c r="Z24" s="122"/>
      <c r="AA24" s="123"/>
      <c r="AB24" s="123"/>
      <c r="AC24" s="124"/>
      <c r="AD24" s="122"/>
      <c r="AE24" s="123"/>
      <c r="AF24" s="123"/>
      <c r="AG24" s="124"/>
      <c r="AH24" s="125" t="s">
        <v>166</v>
      </c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7"/>
      <c r="BD24" s="122"/>
      <c r="BE24" s="123"/>
      <c r="BF24" s="123"/>
      <c r="BG24" s="123"/>
      <c r="BH24" s="123"/>
      <c r="BI24" s="123"/>
      <c r="BJ24" s="124"/>
    </row>
    <row r="25" spans="1:62" s="32" customFormat="1" ht="40.5" customHeight="1">
      <c r="A25" s="69">
        <f t="shared" si="1"/>
        <v>17</v>
      </c>
      <c r="B25" s="70"/>
      <c r="C25" s="71"/>
      <c r="D25" s="125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  <c r="R25" s="122"/>
      <c r="S25" s="123"/>
      <c r="T25" s="123"/>
      <c r="U25" s="124"/>
      <c r="V25" s="122" t="s">
        <v>107</v>
      </c>
      <c r="W25" s="123"/>
      <c r="X25" s="123"/>
      <c r="Y25" s="124"/>
      <c r="Z25" s="122"/>
      <c r="AA25" s="123"/>
      <c r="AB25" s="123"/>
      <c r="AC25" s="124"/>
      <c r="AD25" s="122"/>
      <c r="AE25" s="123"/>
      <c r="AF25" s="123"/>
      <c r="AG25" s="124"/>
      <c r="AH25" s="128" t="s">
        <v>155</v>
      </c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7"/>
      <c r="BD25" s="122"/>
      <c r="BE25" s="123"/>
      <c r="BF25" s="123"/>
      <c r="BG25" s="123"/>
      <c r="BH25" s="123"/>
      <c r="BI25" s="123"/>
      <c r="BJ25" s="124"/>
    </row>
    <row r="26" spans="1:62" s="32" customFormat="1" ht="40.5" customHeight="1">
      <c r="A26" s="69">
        <f t="shared" si="1"/>
        <v>18</v>
      </c>
      <c r="B26" s="70"/>
      <c r="C26" s="71"/>
      <c r="D26" s="125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7"/>
      <c r="R26" s="122"/>
      <c r="S26" s="123"/>
      <c r="T26" s="123"/>
      <c r="U26" s="124"/>
      <c r="V26" s="122"/>
      <c r="W26" s="123"/>
      <c r="X26" s="123"/>
      <c r="Y26" s="124"/>
      <c r="Z26" s="122" t="s">
        <v>107</v>
      </c>
      <c r="AA26" s="123"/>
      <c r="AB26" s="123"/>
      <c r="AC26" s="124"/>
      <c r="AD26" s="122"/>
      <c r="AE26" s="123"/>
      <c r="AF26" s="123"/>
      <c r="AG26" s="124"/>
      <c r="AH26" s="128" t="s">
        <v>134</v>
      </c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7"/>
      <c r="BD26" s="122"/>
      <c r="BE26" s="123"/>
      <c r="BF26" s="123"/>
      <c r="BG26" s="123"/>
      <c r="BH26" s="123"/>
      <c r="BI26" s="123"/>
      <c r="BJ26" s="124"/>
    </row>
    <row r="27" spans="1:62" s="32" customFormat="1" ht="40.5" customHeight="1">
      <c r="A27" s="69">
        <f t="shared" si="1"/>
        <v>19</v>
      </c>
      <c r="B27" s="70"/>
      <c r="C27" s="71"/>
      <c r="D27" s="125" t="s">
        <v>118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7"/>
      <c r="R27" s="122" t="s">
        <v>107</v>
      </c>
      <c r="S27" s="123"/>
      <c r="T27" s="123"/>
      <c r="U27" s="124"/>
      <c r="V27" s="122"/>
      <c r="W27" s="123"/>
      <c r="X27" s="123"/>
      <c r="Y27" s="124"/>
      <c r="Z27" s="122"/>
      <c r="AA27" s="123"/>
      <c r="AB27" s="123"/>
      <c r="AC27" s="124"/>
      <c r="AD27" s="122"/>
      <c r="AE27" s="123"/>
      <c r="AF27" s="123"/>
      <c r="AG27" s="124"/>
      <c r="AH27" s="125" t="s">
        <v>167</v>
      </c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7"/>
      <c r="BD27" s="122"/>
      <c r="BE27" s="123"/>
      <c r="BF27" s="123"/>
      <c r="BG27" s="123"/>
      <c r="BH27" s="123"/>
      <c r="BI27" s="123"/>
      <c r="BJ27" s="124"/>
    </row>
    <row r="28" spans="1:62" s="32" customFormat="1" ht="40.5" customHeight="1">
      <c r="A28" s="69">
        <f t="shared" si="1"/>
        <v>20</v>
      </c>
      <c r="B28" s="70"/>
      <c r="C28" s="71"/>
      <c r="D28" s="125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  <c r="R28" s="122"/>
      <c r="S28" s="123"/>
      <c r="T28" s="123"/>
      <c r="U28" s="124"/>
      <c r="V28" s="122" t="s">
        <v>108</v>
      </c>
      <c r="W28" s="123"/>
      <c r="X28" s="123"/>
      <c r="Y28" s="124"/>
      <c r="Z28" s="122"/>
      <c r="AA28" s="123"/>
      <c r="AB28" s="123"/>
      <c r="AC28" s="124"/>
      <c r="AD28" s="122"/>
      <c r="AE28" s="123"/>
      <c r="AF28" s="123"/>
      <c r="AG28" s="124"/>
      <c r="AH28" s="128" t="s">
        <v>168</v>
      </c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30"/>
      <c r="BD28" s="122"/>
      <c r="BE28" s="123"/>
      <c r="BF28" s="123"/>
      <c r="BG28" s="123"/>
      <c r="BH28" s="123"/>
      <c r="BI28" s="123"/>
      <c r="BJ28" s="124"/>
    </row>
    <row r="29" spans="1:62" s="32" customFormat="1" ht="40.5" customHeight="1">
      <c r="A29" s="69">
        <f t="shared" si="1"/>
        <v>21</v>
      </c>
      <c r="B29" s="70"/>
      <c r="C29" s="71"/>
      <c r="D29" s="125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7"/>
      <c r="R29" s="122"/>
      <c r="S29" s="123"/>
      <c r="T29" s="123"/>
      <c r="U29" s="124"/>
      <c r="V29" s="122"/>
      <c r="W29" s="123"/>
      <c r="X29" s="123"/>
      <c r="Y29" s="124"/>
      <c r="Z29" s="122"/>
      <c r="AA29" s="123"/>
      <c r="AB29" s="123"/>
      <c r="AC29" s="124"/>
      <c r="AD29" s="122" t="s">
        <v>108</v>
      </c>
      <c r="AE29" s="123"/>
      <c r="AF29" s="123"/>
      <c r="AG29" s="124"/>
      <c r="AH29" s="128" t="s">
        <v>135</v>
      </c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30"/>
      <c r="BD29" s="122"/>
      <c r="BE29" s="123"/>
      <c r="BF29" s="123"/>
      <c r="BG29" s="123"/>
      <c r="BH29" s="123"/>
      <c r="BI29" s="123"/>
      <c r="BJ29" s="124"/>
    </row>
    <row r="30" spans="1:62" ht="40.5" customHeight="1">
      <c r="A30" s="69">
        <f t="shared" si="1"/>
        <v>22</v>
      </c>
      <c r="B30" s="70"/>
      <c r="C30" s="71"/>
      <c r="D30" s="125" t="s">
        <v>72</v>
      </c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7"/>
      <c r="R30" s="122" t="s">
        <v>107</v>
      </c>
      <c r="S30" s="123"/>
      <c r="T30" s="123"/>
      <c r="U30" s="124"/>
      <c r="V30" s="122"/>
      <c r="W30" s="123"/>
      <c r="X30" s="123"/>
      <c r="Y30" s="124"/>
      <c r="Z30" s="122"/>
      <c r="AA30" s="123"/>
      <c r="AB30" s="123"/>
      <c r="AC30" s="124"/>
      <c r="AD30" s="122"/>
      <c r="AE30" s="123"/>
      <c r="AF30" s="123"/>
      <c r="AG30" s="124"/>
      <c r="AH30" s="125" t="s">
        <v>169</v>
      </c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7"/>
      <c r="BD30" s="122"/>
      <c r="BE30" s="123"/>
      <c r="BF30" s="123"/>
      <c r="BG30" s="123"/>
      <c r="BH30" s="123"/>
      <c r="BI30" s="123"/>
      <c r="BJ30" s="124"/>
    </row>
    <row r="31" spans="1:62" s="32" customFormat="1" ht="52.65" customHeight="1">
      <c r="A31" s="69">
        <f t="shared" si="1"/>
        <v>23</v>
      </c>
      <c r="B31" s="70"/>
      <c r="C31" s="71"/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7"/>
      <c r="R31" s="122"/>
      <c r="S31" s="123"/>
      <c r="T31" s="123"/>
      <c r="U31" s="124"/>
      <c r="V31" s="122" t="s">
        <v>108</v>
      </c>
      <c r="W31" s="123"/>
      <c r="X31" s="123"/>
      <c r="Y31" s="124"/>
      <c r="Z31" s="122"/>
      <c r="AA31" s="123"/>
      <c r="AB31" s="123"/>
      <c r="AC31" s="124"/>
      <c r="AD31" s="122"/>
      <c r="AE31" s="123"/>
      <c r="AF31" s="123"/>
      <c r="AG31" s="124"/>
      <c r="AH31" s="128" t="s">
        <v>170</v>
      </c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30"/>
      <c r="BD31" s="122"/>
      <c r="BE31" s="123"/>
      <c r="BF31" s="123"/>
      <c r="BG31" s="123"/>
      <c r="BH31" s="123"/>
      <c r="BI31" s="123"/>
      <c r="BJ31" s="124"/>
    </row>
    <row r="32" spans="1:62" s="32" customFormat="1" ht="40.5" customHeight="1">
      <c r="A32" s="69">
        <f t="shared" si="1"/>
        <v>24</v>
      </c>
      <c r="B32" s="70"/>
      <c r="C32" s="71"/>
      <c r="D32" s="125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2"/>
      <c r="S32" s="123"/>
      <c r="T32" s="123"/>
      <c r="U32" s="124"/>
      <c r="V32" s="122"/>
      <c r="W32" s="123"/>
      <c r="X32" s="123"/>
      <c r="Y32" s="124"/>
      <c r="Z32" s="122"/>
      <c r="AA32" s="123"/>
      <c r="AB32" s="123"/>
      <c r="AC32" s="124"/>
      <c r="AD32" s="122" t="s">
        <v>108</v>
      </c>
      <c r="AE32" s="123"/>
      <c r="AF32" s="123"/>
      <c r="AG32" s="124"/>
      <c r="AH32" s="128" t="s">
        <v>140</v>
      </c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30"/>
      <c r="BD32" s="122"/>
      <c r="BE32" s="123"/>
      <c r="BF32" s="123"/>
      <c r="BG32" s="123"/>
      <c r="BH32" s="123"/>
      <c r="BI32" s="123"/>
      <c r="BJ32" s="124"/>
    </row>
    <row r="33" spans="1:62" ht="40.5" customHeight="1">
      <c r="A33" s="69">
        <f t="shared" si="1"/>
        <v>25</v>
      </c>
      <c r="B33" s="70"/>
      <c r="C33" s="71"/>
      <c r="D33" s="125" t="s">
        <v>73</v>
      </c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7"/>
      <c r="R33" s="122" t="s">
        <v>107</v>
      </c>
      <c r="S33" s="123"/>
      <c r="T33" s="123"/>
      <c r="U33" s="124"/>
      <c r="V33" s="122"/>
      <c r="W33" s="123"/>
      <c r="X33" s="123"/>
      <c r="Y33" s="124"/>
      <c r="Z33" s="122"/>
      <c r="AA33" s="123"/>
      <c r="AB33" s="123"/>
      <c r="AC33" s="124"/>
      <c r="AD33" s="122"/>
      <c r="AE33" s="123"/>
      <c r="AF33" s="123"/>
      <c r="AG33" s="124"/>
      <c r="AH33" s="125" t="s">
        <v>171</v>
      </c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7"/>
      <c r="BD33" s="122"/>
      <c r="BE33" s="123"/>
      <c r="BF33" s="123"/>
      <c r="BG33" s="123"/>
      <c r="BH33" s="123"/>
      <c r="BI33" s="123"/>
      <c r="BJ33" s="124"/>
    </row>
    <row r="34" spans="1:62" ht="40.5" customHeight="1">
      <c r="A34" s="69">
        <f t="shared" si="1"/>
        <v>26</v>
      </c>
      <c r="B34" s="70"/>
      <c r="C34" s="71"/>
      <c r="D34" s="125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7"/>
      <c r="R34" s="122"/>
      <c r="S34" s="123"/>
      <c r="T34" s="123"/>
      <c r="U34" s="124"/>
      <c r="V34" s="122"/>
      <c r="W34" s="123"/>
      <c r="X34" s="123"/>
      <c r="Y34" s="124"/>
      <c r="Z34" s="122"/>
      <c r="AA34" s="123"/>
      <c r="AB34" s="123"/>
      <c r="AC34" s="124"/>
      <c r="AD34" s="122" t="s">
        <v>107</v>
      </c>
      <c r="AE34" s="123"/>
      <c r="AF34" s="123"/>
      <c r="AG34" s="124"/>
      <c r="AH34" s="125" t="s">
        <v>150</v>
      </c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7"/>
      <c r="BD34" s="122"/>
      <c r="BE34" s="123"/>
      <c r="BF34" s="123"/>
      <c r="BG34" s="123"/>
      <c r="BH34" s="123"/>
      <c r="BI34" s="123"/>
      <c r="BJ34" s="124"/>
    </row>
    <row r="35" spans="1:62" ht="40.5" customHeight="1">
      <c r="A35" s="69">
        <f t="shared" si="1"/>
        <v>27</v>
      </c>
      <c r="B35" s="70"/>
      <c r="C35" s="71"/>
      <c r="D35" s="125" t="s">
        <v>99</v>
      </c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7"/>
      <c r="R35" s="122" t="s">
        <v>107</v>
      </c>
      <c r="S35" s="123"/>
      <c r="T35" s="123"/>
      <c r="U35" s="124"/>
      <c r="V35" s="122"/>
      <c r="W35" s="123"/>
      <c r="X35" s="123"/>
      <c r="Y35" s="124"/>
      <c r="Z35" s="122"/>
      <c r="AA35" s="123"/>
      <c r="AB35" s="123"/>
      <c r="AC35" s="124"/>
      <c r="AD35" s="122"/>
      <c r="AE35" s="123"/>
      <c r="AF35" s="123"/>
      <c r="AG35" s="124"/>
      <c r="AH35" s="125" t="s">
        <v>172</v>
      </c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7"/>
      <c r="BD35" s="122"/>
      <c r="BE35" s="123"/>
      <c r="BF35" s="123"/>
      <c r="BG35" s="123"/>
      <c r="BH35" s="123"/>
      <c r="BI35" s="123"/>
      <c r="BJ35" s="124"/>
    </row>
    <row r="36" spans="1:62" ht="40.5" customHeight="1">
      <c r="A36" s="69">
        <f t="shared" si="1"/>
        <v>28</v>
      </c>
      <c r="B36" s="70"/>
      <c r="C36" s="71"/>
      <c r="D36" s="125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7"/>
      <c r="R36" s="122"/>
      <c r="S36" s="123"/>
      <c r="T36" s="123"/>
      <c r="U36" s="124"/>
      <c r="V36" s="122" t="s">
        <v>107</v>
      </c>
      <c r="W36" s="123"/>
      <c r="X36" s="123"/>
      <c r="Y36" s="124"/>
      <c r="Z36" s="122"/>
      <c r="AA36" s="123"/>
      <c r="AB36" s="123"/>
      <c r="AC36" s="124"/>
      <c r="AD36" s="122"/>
      <c r="AE36" s="123"/>
      <c r="AF36" s="123"/>
      <c r="AG36" s="124"/>
      <c r="AH36" s="125" t="s">
        <v>156</v>
      </c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7"/>
      <c r="BD36" s="122"/>
      <c r="BE36" s="123"/>
      <c r="BF36" s="123"/>
      <c r="BG36" s="123"/>
      <c r="BH36" s="123"/>
      <c r="BI36" s="123"/>
      <c r="BJ36" s="124"/>
    </row>
    <row r="37" spans="1:62" ht="104.4" customHeight="1">
      <c r="A37" s="69">
        <f t="shared" si="1"/>
        <v>29</v>
      </c>
      <c r="B37" s="70"/>
      <c r="C37" s="71"/>
      <c r="D37" s="125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7"/>
      <c r="R37" s="122"/>
      <c r="S37" s="123"/>
      <c r="T37" s="123"/>
      <c r="U37" s="124"/>
      <c r="V37" s="122"/>
      <c r="W37" s="123"/>
      <c r="X37" s="123"/>
      <c r="Y37" s="124"/>
      <c r="Z37" s="122" t="s">
        <v>107</v>
      </c>
      <c r="AA37" s="123"/>
      <c r="AB37" s="123"/>
      <c r="AC37" s="124"/>
      <c r="AD37" s="122"/>
      <c r="AE37" s="123"/>
      <c r="AF37" s="123"/>
      <c r="AG37" s="124"/>
      <c r="AH37" s="128" t="s">
        <v>136</v>
      </c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7"/>
      <c r="BD37" s="122"/>
      <c r="BE37" s="123"/>
      <c r="BF37" s="123"/>
      <c r="BG37" s="123"/>
      <c r="BH37" s="123"/>
      <c r="BI37" s="123"/>
      <c r="BJ37" s="124"/>
    </row>
    <row r="38" spans="1:62" ht="40.5" customHeight="1">
      <c r="A38" s="69">
        <f t="shared" si="1"/>
        <v>30</v>
      </c>
      <c r="B38" s="70"/>
      <c r="C38" s="71"/>
      <c r="D38" s="125" t="s">
        <v>102</v>
      </c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7"/>
      <c r="R38" s="122" t="s">
        <v>107</v>
      </c>
      <c r="S38" s="123"/>
      <c r="T38" s="123"/>
      <c r="U38" s="124"/>
      <c r="V38" s="122"/>
      <c r="W38" s="123"/>
      <c r="X38" s="123"/>
      <c r="Y38" s="124"/>
      <c r="Z38" s="122"/>
      <c r="AA38" s="123"/>
      <c r="AB38" s="123"/>
      <c r="AC38" s="124"/>
      <c r="AD38" s="122"/>
      <c r="AE38" s="123"/>
      <c r="AF38" s="123"/>
      <c r="AG38" s="124"/>
      <c r="AH38" s="125" t="s">
        <v>173</v>
      </c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7"/>
      <c r="BD38" s="122"/>
      <c r="BE38" s="123"/>
      <c r="BF38" s="123"/>
      <c r="BG38" s="123"/>
      <c r="BH38" s="123"/>
      <c r="BI38" s="123"/>
      <c r="BJ38" s="124"/>
    </row>
    <row r="39" spans="1:62" ht="40.5" customHeight="1">
      <c r="A39" s="69">
        <f t="shared" si="1"/>
        <v>31</v>
      </c>
      <c r="B39" s="70"/>
      <c r="C39" s="71"/>
      <c r="D39" s="125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7"/>
      <c r="R39" s="122"/>
      <c r="S39" s="123"/>
      <c r="T39" s="123"/>
      <c r="U39" s="124"/>
      <c r="V39" s="122" t="s">
        <v>107</v>
      </c>
      <c r="W39" s="123"/>
      <c r="X39" s="123"/>
      <c r="Y39" s="124"/>
      <c r="Z39" s="122"/>
      <c r="AA39" s="123"/>
      <c r="AB39" s="123"/>
      <c r="AC39" s="124"/>
      <c r="AD39" s="122"/>
      <c r="AE39" s="123"/>
      <c r="AF39" s="123"/>
      <c r="AG39" s="124"/>
      <c r="AH39" s="125" t="s">
        <v>157</v>
      </c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7"/>
      <c r="BD39" s="122"/>
      <c r="BE39" s="123"/>
      <c r="BF39" s="123"/>
      <c r="BG39" s="123"/>
      <c r="BH39" s="123"/>
      <c r="BI39" s="123"/>
      <c r="BJ39" s="124"/>
    </row>
    <row r="40" spans="1:62" ht="98.4" customHeight="1">
      <c r="A40" s="69">
        <f t="shared" si="1"/>
        <v>32</v>
      </c>
      <c r="B40" s="70"/>
      <c r="C40" s="71"/>
      <c r="D40" s="125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7"/>
      <c r="R40" s="122"/>
      <c r="S40" s="123"/>
      <c r="T40" s="123"/>
      <c r="U40" s="124"/>
      <c r="V40" s="122"/>
      <c r="W40" s="123"/>
      <c r="X40" s="123"/>
      <c r="Y40" s="124"/>
      <c r="Z40" s="122" t="s">
        <v>107</v>
      </c>
      <c r="AA40" s="123"/>
      <c r="AB40" s="123"/>
      <c r="AC40" s="124"/>
      <c r="AD40" s="122"/>
      <c r="AE40" s="123"/>
      <c r="AF40" s="123"/>
      <c r="AG40" s="124"/>
      <c r="AH40" s="128" t="s">
        <v>137</v>
      </c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7"/>
      <c r="BD40" s="122"/>
      <c r="BE40" s="123"/>
      <c r="BF40" s="123"/>
      <c r="BG40" s="123"/>
      <c r="BH40" s="123"/>
      <c r="BI40" s="123"/>
      <c r="BJ40" s="124"/>
    </row>
    <row r="41" spans="1:62" ht="40.5" customHeight="1">
      <c r="A41" s="69">
        <f t="shared" si="1"/>
        <v>33</v>
      </c>
      <c r="B41" s="70"/>
      <c r="C41" s="71"/>
      <c r="D41" s="125" t="s">
        <v>113</v>
      </c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7"/>
      <c r="R41" s="122"/>
      <c r="S41" s="123"/>
      <c r="T41" s="123"/>
      <c r="U41" s="124"/>
      <c r="V41" s="122"/>
      <c r="W41" s="123"/>
      <c r="X41" s="123"/>
      <c r="Y41" s="124"/>
      <c r="Z41" s="122"/>
      <c r="AA41" s="123"/>
      <c r="AB41" s="123"/>
      <c r="AC41" s="124"/>
      <c r="AD41" s="122" t="s">
        <v>107</v>
      </c>
      <c r="AE41" s="123"/>
      <c r="AF41" s="123"/>
      <c r="AG41" s="124"/>
      <c r="AH41" s="125" t="s">
        <v>151</v>
      </c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7"/>
      <c r="BD41" s="122"/>
      <c r="BE41" s="123"/>
      <c r="BF41" s="123"/>
      <c r="BG41" s="123"/>
      <c r="BH41" s="123"/>
      <c r="BI41" s="123"/>
      <c r="BJ41" s="124"/>
    </row>
    <row r="42" spans="1:62" ht="40.5" customHeight="1">
      <c r="A42" s="69">
        <f t="shared" si="1"/>
        <v>34</v>
      </c>
      <c r="B42" s="70"/>
      <c r="C42" s="71"/>
      <c r="D42" s="125" t="s">
        <v>103</v>
      </c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7"/>
      <c r="R42" s="122" t="s">
        <v>107</v>
      </c>
      <c r="S42" s="123"/>
      <c r="T42" s="123"/>
      <c r="U42" s="124"/>
      <c r="V42" s="122"/>
      <c r="W42" s="123"/>
      <c r="X42" s="123"/>
      <c r="Y42" s="124"/>
      <c r="Z42" s="122"/>
      <c r="AA42" s="123"/>
      <c r="AB42" s="123"/>
      <c r="AC42" s="124"/>
      <c r="AD42" s="122"/>
      <c r="AE42" s="123"/>
      <c r="AF42" s="123"/>
      <c r="AG42" s="124"/>
      <c r="AH42" s="125" t="s">
        <v>174</v>
      </c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7"/>
      <c r="BD42" s="122"/>
      <c r="BE42" s="123"/>
      <c r="BF42" s="123"/>
      <c r="BG42" s="123"/>
      <c r="BH42" s="123"/>
      <c r="BI42" s="123"/>
      <c r="BJ42" s="124"/>
    </row>
    <row r="43" spans="1:62" ht="40.5" customHeight="1">
      <c r="A43" s="69">
        <f t="shared" si="1"/>
        <v>35</v>
      </c>
      <c r="B43" s="70"/>
      <c r="C43" s="71"/>
      <c r="D43" s="125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7"/>
      <c r="R43" s="122"/>
      <c r="S43" s="123"/>
      <c r="T43" s="123"/>
      <c r="U43" s="124"/>
      <c r="V43" s="122"/>
      <c r="W43" s="123"/>
      <c r="X43" s="123"/>
      <c r="Y43" s="124"/>
      <c r="Z43" s="122"/>
      <c r="AA43" s="123"/>
      <c r="AB43" s="123"/>
      <c r="AC43" s="124"/>
      <c r="AD43" s="122" t="s">
        <v>107</v>
      </c>
      <c r="AE43" s="123"/>
      <c r="AF43" s="123"/>
      <c r="AG43" s="124"/>
      <c r="AH43" s="125" t="s">
        <v>152</v>
      </c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7"/>
      <c r="BD43" s="122"/>
      <c r="BE43" s="123"/>
      <c r="BF43" s="123"/>
      <c r="BG43" s="123"/>
      <c r="BH43" s="123"/>
      <c r="BI43" s="123"/>
      <c r="BJ43" s="124"/>
    </row>
    <row r="44" spans="1:62" ht="40.5" customHeight="1">
      <c r="A44" s="69">
        <f t="shared" si="1"/>
        <v>36</v>
      </c>
      <c r="B44" s="70"/>
      <c r="C44" s="71"/>
      <c r="D44" s="125" t="s">
        <v>104</v>
      </c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7"/>
      <c r="R44" s="122" t="s">
        <v>107</v>
      </c>
      <c r="S44" s="123"/>
      <c r="T44" s="123"/>
      <c r="U44" s="124"/>
      <c r="V44" s="122"/>
      <c r="W44" s="123"/>
      <c r="X44" s="123"/>
      <c r="Y44" s="124"/>
      <c r="Z44" s="122"/>
      <c r="AA44" s="123"/>
      <c r="AB44" s="123"/>
      <c r="AC44" s="124"/>
      <c r="AD44" s="122"/>
      <c r="AE44" s="123"/>
      <c r="AF44" s="123"/>
      <c r="AG44" s="124"/>
      <c r="AH44" s="125" t="s">
        <v>175</v>
      </c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7"/>
      <c r="BD44" s="122"/>
      <c r="BE44" s="123"/>
      <c r="BF44" s="123"/>
      <c r="BG44" s="123"/>
      <c r="BH44" s="123"/>
      <c r="BI44" s="123"/>
      <c r="BJ44" s="124"/>
    </row>
    <row r="45" spans="1:62" ht="40.5" customHeight="1">
      <c r="A45" s="69">
        <f t="shared" si="1"/>
        <v>37</v>
      </c>
      <c r="B45" s="70"/>
      <c r="C45" s="71"/>
      <c r="D45" s="125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7"/>
      <c r="R45" s="122"/>
      <c r="S45" s="123"/>
      <c r="T45" s="123"/>
      <c r="U45" s="124"/>
      <c r="V45" s="122"/>
      <c r="W45" s="123"/>
      <c r="X45" s="123"/>
      <c r="Y45" s="124"/>
      <c r="Z45" s="122"/>
      <c r="AA45" s="123"/>
      <c r="AB45" s="123"/>
      <c r="AC45" s="124"/>
      <c r="AD45" s="122" t="s">
        <v>107</v>
      </c>
      <c r="AE45" s="123"/>
      <c r="AF45" s="123"/>
      <c r="AG45" s="124"/>
      <c r="AH45" s="125" t="s">
        <v>153</v>
      </c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7"/>
      <c r="BD45" s="122"/>
      <c r="BE45" s="123"/>
      <c r="BF45" s="123"/>
      <c r="BG45" s="123"/>
      <c r="BH45" s="123"/>
      <c r="BI45" s="123"/>
      <c r="BJ45" s="124"/>
    </row>
    <row r="46" spans="1:62" ht="40.5" customHeight="1">
      <c r="A46" s="69">
        <f t="shared" si="1"/>
        <v>38</v>
      </c>
      <c r="B46" s="70"/>
      <c r="C46" s="71"/>
      <c r="D46" s="125" t="s">
        <v>105</v>
      </c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7"/>
      <c r="R46" s="122" t="s">
        <v>107</v>
      </c>
      <c r="S46" s="123"/>
      <c r="T46" s="123"/>
      <c r="U46" s="124"/>
      <c r="V46" s="122"/>
      <c r="W46" s="123"/>
      <c r="X46" s="123"/>
      <c r="Y46" s="124"/>
      <c r="Z46" s="122"/>
      <c r="AA46" s="123"/>
      <c r="AB46" s="123"/>
      <c r="AC46" s="124"/>
      <c r="AD46" s="122"/>
      <c r="AE46" s="123"/>
      <c r="AF46" s="123"/>
      <c r="AG46" s="124"/>
      <c r="AH46" s="125" t="s">
        <v>172</v>
      </c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7"/>
      <c r="BD46" s="122"/>
      <c r="BE46" s="123"/>
      <c r="BF46" s="123"/>
      <c r="BG46" s="123"/>
      <c r="BH46" s="123"/>
      <c r="BI46" s="123"/>
      <c r="BJ46" s="124"/>
    </row>
    <row r="47" spans="1:62" ht="40.5" customHeight="1">
      <c r="A47" s="69">
        <f t="shared" si="1"/>
        <v>39</v>
      </c>
      <c r="B47" s="70"/>
      <c r="C47" s="71"/>
      <c r="D47" s="125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7"/>
      <c r="R47" s="122"/>
      <c r="S47" s="123"/>
      <c r="T47" s="123"/>
      <c r="U47" s="124"/>
      <c r="V47" s="122" t="s">
        <v>107</v>
      </c>
      <c r="W47" s="123"/>
      <c r="X47" s="123"/>
      <c r="Y47" s="124"/>
      <c r="Z47" s="122"/>
      <c r="AA47" s="123"/>
      <c r="AB47" s="123"/>
      <c r="AC47" s="124"/>
      <c r="AD47" s="122"/>
      <c r="AE47" s="123"/>
      <c r="AF47" s="123"/>
      <c r="AG47" s="124"/>
      <c r="AH47" s="125" t="s">
        <v>158</v>
      </c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7"/>
      <c r="BD47" s="122"/>
      <c r="BE47" s="123"/>
      <c r="BF47" s="123"/>
      <c r="BG47" s="123"/>
      <c r="BH47" s="123"/>
      <c r="BI47" s="123"/>
      <c r="BJ47" s="124"/>
    </row>
    <row r="48" spans="1:62" ht="90.65" customHeight="1">
      <c r="A48" s="69">
        <f t="shared" si="1"/>
        <v>40</v>
      </c>
      <c r="B48" s="70"/>
      <c r="C48" s="71"/>
      <c r="D48" s="125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7"/>
      <c r="R48" s="122"/>
      <c r="S48" s="123"/>
      <c r="T48" s="123"/>
      <c r="U48" s="124"/>
      <c r="V48" s="122"/>
      <c r="W48" s="123"/>
      <c r="X48" s="123"/>
      <c r="Y48" s="124"/>
      <c r="Z48" s="122" t="s">
        <v>107</v>
      </c>
      <c r="AA48" s="123"/>
      <c r="AB48" s="123"/>
      <c r="AC48" s="124"/>
      <c r="AD48" s="122"/>
      <c r="AE48" s="123"/>
      <c r="AF48" s="123"/>
      <c r="AG48" s="124"/>
      <c r="AH48" s="128" t="s">
        <v>139</v>
      </c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7"/>
      <c r="BD48" s="122"/>
      <c r="BE48" s="123"/>
      <c r="BF48" s="123"/>
      <c r="BG48" s="123"/>
      <c r="BH48" s="123"/>
      <c r="BI48" s="123"/>
      <c r="BJ48" s="124"/>
    </row>
    <row r="49" spans="1:62" ht="40.5" customHeight="1">
      <c r="A49" s="69">
        <f t="shared" si="1"/>
        <v>41</v>
      </c>
      <c r="B49" s="70"/>
      <c r="C49" s="71"/>
      <c r="D49" s="125" t="s">
        <v>106</v>
      </c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7"/>
      <c r="R49" s="122" t="s">
        <v>107</v>
      </c>
      <c r="S49" s="123"/>
      <c r="T49" s="123"/>
      <c r="U49" s="124"/>
      <c r="V49" s="122"/>
      <c r="W49" s="123"/>
      <c r="X49" s="123"/>
      <c r="Y49" s="124"/>
      <c r="Z49" s="122"/>
      <c r="AA49" s="123"/>
      <c r="AB49" s="123"/>
      <c r="AC49" s="124"/>
      <c r="AD49" s="122"/>
      <c r="AE49" s="123"/>
      <c r="AF49" s="123"/>
      <c r="AG49" s="124"/>
      <c r="AH49" s="125" t="s">
        <v>176</v>
      </c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7"/>
      <c r="BD49" s="122"/>
      <c r="BE49" s="123"/>
      <c r="BF49" s="123"/>
      <c r="BG49" s="123"/>
      <c r="BH49" s="123"/>
      <c r="BI49" s="123"/>
      <c r="BJ49" s="124"/>
    </row>
    <row r="50" spans="1:62" ht="40.5" customHeight="1">
      <c r="A50" s="69">
        <f t="shared" si="1"/>
        <v>42</v>
      </c>
      <c r="B50" s="70"/>
      <c r="C50" s="71"/>
      <c r="D50" s="125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7"/>
      <c r="R50" s="122"/>
      <c r="S50" s="123"/>
      <c r="T50" s="123"/>
      <c r="U50" s="124"/>
      <c r="V50" s="122" t="s">
        <v>107</v>
      </c>
      <c r="W50" s="123"/>
      <c r="X50" s="123"/>
      <c r="Y50" s="124"/>
      <c r="Z50" s="122"/>
      <c r="AA50" s="123"/>
      <c r="AB50" s="123"/>
      <c r="AC50" s="124"/>
      <c r="AD50" s="122"/>
      <c r="AE50" s="123"/>
      <c r="AF50" s="123"/>
      <c r="AG50" s="124"/>
      <c r="AH50" s="125" t="s">
        <v>159</v>
      </c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7"/>
      <c r="BD50" s="122"/>
      <c r="BE50" s="123"/>
      <c r="BF50" s="123"/>
      <c r="BG50" s="123"/>
      <c r="BH50" s="123"/>
      <c r="BI50" s="123"/>
      <c r="BJ50" s="124"/>
    </row>
    <row r="51" spans="1:62" ht="93" customHeight="1">
      <c r="A51" s="69">
        <f t="shared" si="1"/>
        <v>43</v>
      </c>
      <c r="B51" s="70"/>
      <c r="C51" s="71"/>
      <c r="D51" s="125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7"/>
      <c r="R51" s="122"/>
      <c r="S51" s="123"/>
      <c r="T51" s="123"/>
      <c r="U51" s="124"/>
      <c r="V51" s="122"/>
      <c r="W51" s="123"/>
      <c r="X51" s="123"/>
      <c r="Y51" s="124"/>
      <c r="Z51" s="122" t="s">
        <v>107</v>
      </c>
      <c r="AA51" s="123"/>
      <c r="AB51" s="123"/>
      <c r="AC51" s="124"/>
      <c r="AD51" s="122"/>
      <c r="AE51" s="123"/>
      <c r="AF51" s="123"/>
      <c r="AG51" s="124"/>
      <c r="AH51" s="128" t="s">
        <v>138</v>
      </c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7"/>
      <c r="BD51" s="122"/>
      <c r="BE51" s="123"/>
      <c r="BF51" s="123"/>
      <c r="BG51" s="123"/>
      <c r="BH51" s="123"/>
      <c r="BI51" s="123"/>
      <c r="BJ51" s="124"/>
    </row>
    <row r="52" spans="1:62" ht="40.5" customHeight="1">
      <c r="A52" s="69"/>
      <c r="B52" s="70"/>
      <c r="C52" s="71"/>
      <c r="D52" s="125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7"/>
      <c r="R52" s="122"/>
      <c r="S52" s="123"/>
      <c r="T52" s="123"/>
      <c r="U52" s="124"/>
      <c r="V52" s="122"/>
      <c r="W52" s="123"/>
      <c r="X52" s="123"/>
      <c r="Y52" s="124"/>
      <c r="Z52" s="122"/>
      <c r="AA52" s="123"/>
      <c r="AB52" s="123"/>
      <c r="AC52" s="124"/>
      <c r="AD52" s="122"/>
      <c r="AE52" s="123"/>
      <c r="AF52" s="123"/>
      <c r="AG52" s="124"/>
      <c r="AH52" s="134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6"/>
      <c r="BD52" s="122"/>
      <c r="BE52" s="123"/>
      <c r="BF52" s="123"/>
      <c r="BG52" s="123"/>
      <c r="BH52" s="123"/>
      <c r="BI52" s="123"/>
      <c r="BJ52" s="124"/>
    </row>
    <row r="53" spans="1:62" ht="40.5" customHeight="1">
      <c r="A53" s="137"/>
      <c r="B53" s="138"/>
      <c r="C53" s="139"/>
      <c r="D53" s="140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2"/>
      <c r="R53" s="137"/>
      <c r="S53" s="138"/>
      <c r="T53" s="138"/>
      <c r="U53" s="139"/>
      <c r="V53" s="137"/>
      <c r="W53" s="138"/>
      <c r="X53" s="138"/>
      <c r="Y53" s="139"/>
      <c r="Z53" s="137"/>
      <c r="AA53" s="138"/>
      <c r="AB53" s="138"/>
      <c r="AC53" s="139"/>
      <c r="AD53" s="137"/>
      <c r="AE53" s="138"/>
      <c r="AF53" s="138"/>
      <c r="AG53" s="139"/>
      <c r="AH53" s="131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3"/>
      <c r="BD53" s="137"/>
      <c r="BE53" s="138"/>
      <c r="BF53" s="138"/>
      <c r="BG53" s="138"/>
      <c r="BH53" s="138"/>
      <c r="BI53" s="138"/>
      <c r="BJ53" s="139"/>
    </row>
    <row r="54" spans="1:62" s="16" customFormat="1" ht="6" customHeight="1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62" ht="24" customHeight="1"/>
    <row r="56" spans="1:62" ht="24" customHeight="1"/>
    <row r="57" spans="1:62" ht="24" customHeight="1"/>
    <row r="58" spans="1:62" ht="24" customHeight="1"/>
    <row r="59" spans="1:62" ht="24" customHeight="1"/>
    <row r="60" spans="1:62" ht="17.149999999999999" customHeight="1"/>
    <row r="61" spans="1:62" ht="17.149999999999999" customHeight="1"/>
    <row r="62" spans="1:62" ht="17.149999999999999" customHeight="1"/>
    <row r="63" spans="1:62" ht="17.149999999999999" customHeight="1"/>
  </sheetData>
  <mergeCells count="381">
    <mergeCell ref="AH41:BC41"/>
    <mergeCell ref="BD41:BJ41"/>
    <mergeCell ref="D44:Q44"/>
    <mergeCell ref="R44:U44"/>
    <mergeCell ref="V44:Y44"/>
    <mergeCell ref="Z44:AC44"/>
    <mergeCell ref="AD44:AG44"/>
    <mergeCell ref="AH44:BC44"/>
    <mergeCell ref="BD44:BJ44"/>
    <mergeCell ref="R42:U42"/>
    <mergeCell ref="V42:Y42"/>
    <mergeCell ref="Z42:AC42"/>
    <mergeCell ref="AD42:AG42"/>
    <mergeCell ref="BD42:BJ42"/>
    <mergeCell ref="D43:Q43"/>
    <mergeCell ref="R43:U43"/>
    <mergeCell ref="V43:Y43"/>
    <mergeCell ref="D11:Q11"/>
    <mergeCell ref="R11:U11"/>
    <mergeCell ref="V11:Y11"/>
    <mergeCell ref="Z11:AC11"/>
    <mergeCell ref="AD11:AG11"/>
    <mergeCell ref="AH11:BC11"/>
    <mergeCell ref="BD11:BJ11"/>
    <mergeCell ref="A8:C8"/>
    <mergeCell ref="D8:Q8"/>
    <mergeCell ref="R8:U8"/>
    <mergeCell ref="V8:Y8"/>
    <mergeCell ref="Z8:AC8"/>
    <mergeCell ref="AD8:AG8"/>
    <mergeCell ref="A9:C9"/>
    <mergeCell ref="D9:Q9"/>
    <mergeCell ref="R9:U9"/>
    <mergeCell ref="V9:Y9"/>
    <mergeCell ref="Z9:AC9"/>
    <mergeCell ref="AD9:AG9"/>
    <mergeCell ref="AH9:BC9"/>
    <mergeCell ref="BD9:BJ9"/>
    <mergeCell ref="A10:C10"/>
    <mergeCell ref="D10:Q10"/>
    <mergeCell ref="R10:U10"/>
    <mergeCell ref="AH30:BC30"/>
    <mergeCell ref="BD30:BJ30"/>
    <mergeCell ref="A30:C30"/>
    <mergeCell ref="D30:Q30"/>
    <mergeCell ref="R30:U30"/>
    <mergeCell ref="V30:Y30"/>
    <mergeCell ref="Z30:AC30"/>
    <mergeCell ref="AD30:AG30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AH8:BC8"/>
    <mergeCell ref="BD8:BJ8"/>
    <mergeCell ref="A11:C11"/>
    <mergeCell ref="BD53:BJ53"/>
    <mergeCell ref="A53:C53"/>
    <mergeCell ref="D53:Q53"/>
    <mergeCell ref="R53:U53"/>
    <mergeCell ref="V53:Y53"/>
    <mergeCell ref="Z53:AC53"/>
    <mergeCell ref="AD53:AG53"/>
    <mergeCell ref="AH33:BC33"/>
    <mergeCell ref="BD33:BJ33"/>
    <mergeCell ref="A34:C34"/>
    <mergeCell ref="D34:Q34"/>
    <mergeCell ref="R34:U34"/>
    <mergeCell ref="V34:Y34"/>
    <mergeCell ref="Z34:AC34"/>
    <mergeCell ref="AD34:AG34"/>
    <mergeCell ref="AH34:BC34"/>
    <mergeCell ref="BD34:BJ34"/>
    <mergeCell ref="A33:C33"/>
    <mergeCell ref="D33:Q33"/>
    <mergeCell ref="R33:U33"/>
    <mergeCell ref="R41:U41"/>
    <mergeCell ref="V41:Y41"/>
    <mergeCell ref="Z41:AC41"/>
    <mergeCell ref="AD41:AG41"/>
    <mergeCell ref="D28:Q28"/>
    <mergeCell ref="A42:C42"/>
    <mergeCell ref="D42:Q42"/>
    <mergeCell ref="A35:C35"/>
    <mergeCell ref="D35:Q35"/>
    <mergeCell ref="A12:C12"/>
    <mergeCell ref="A13:C13"/>
    <mergeCell ref="A14:C14"/>
    <mergeCell ref="A15:C15"/>
    <mergeCell ref="D38:Q38"/>
    <mergeCell ref="D12:Q12"/>
    <mergeCell ref="D13:Q13"/>
    <mergeCell ref="D14:Q14"/>
    <mergeCell ref="D15:Q15"/>
    <mergeCell ref="D17:Q17"/>
    <mergeCell ref="D18:Q18"/>
    <mergeCell ref="D19:Q19"/>
    <mergeCell ref="D20:Q20"/>
    <mergeCell ref="D36:Q36"/>
    <mergeCell ref="A16:C16"/>
    <mergeCell ref="D16:Q16"/>
    <mergeCell ref="D29:Q29"/>
    <mergeCell ref="D21:Q21"/>
    <mergeCell ref="D22:Q22"/>
    <mergeCell ref="A44:C44"/>
    <mergeCell ref="A17:C17"/>
    <mergeCell ref="A18:C18"/>
    <mergeCell ref="A19:C19"/>
    <mergeCell ref="A20:C20"/>
    <mergeCell ref="A21:C21"/>
    <mergeCell ref="A22:C22"/>
    <mergeCell ref="A23:C23"/>
    <mergeCell ref="A24:C24"/>
    <mergeCell ref="A27:C27"/>
    <mergeCell ref="A28:C28"/>
    <mergeCell ref="A38:C38"/>
    <mergeCell ref="A36:C36"/>
    <mergeCell ref="A29:C29"/>
    <mergeCell ref="A32:C32"/>
    <mergeCell ref="A26:C26"/>
    <mergeCell ref="R35:U35"/>
    <mergeCell ref="V35:Y35"/>
    <mergeCell ref="Z35:AC35"/>
    <mergeCell ref="AD35:AG35"/>
    <mergeCell ref="AH35:BC35"/>
    <mergeCell ref="BD35:BJ35"/>
    <mergeCell ref="R36:U36"/>
    <mergeCell ref="V36:Y36"/>
    <mergeCell ref="Z36:AC36"/>
    <mergeCell ref="AD36:AG36"/>
    <mergeCell ref="AH36:BC36"/>
    <mergeCell ref="BD36:BJ36"/>
    <mergeCell ref="A45:C45"/>
    <mergeCell ref="D45:Q45"/>
    <mergeCell ref="R45:U45"/>
    <mergeCell ref="V45:Y45"/>
    <mergeCell ref="Z45:AC45"/>
    <mergeCell ref="AD45:AG45"/>
    <mergeCell ref="AH45:BC45"/>
    <mergeCell ref="BD45:BJ45"/>
    <mergeCell ref="A37:C37"/>
    <mergeCell ref="D37:Q37"/>
    <mergeCell ref="A39:C39"/>
    <mergeCell ref="D39:Q39"/>
    <mergeCell ref="A41:C41"/>
    <mergeCell ref="D41:Q41"/>
    <mergeCell ref="Z43:AC43"/>
    <mergeCell ref="AD43:AG43"/>
    <mergeCell ref="BD43:BJ43"/>
    <mergeCell ref="AH43:BC43"/>
    <mergeCell ref="A43:C43"/>
    <mergeCell ref="R37:U37"/>
    <mergeCell ref="V37:Y37"/>
    <mergeCell ref="Z37:AC37"/>
    <mergeCell ref="AD37:AG37"/>
    <mergeCell ref="BD37:BJ37"/>
    <mergeCell ref="AH46:BC46"/>
    <mergeCell ref="AH47:BC47"/>
    <mergeCell ref="A46:C46"/>
    <mergeCell ref="D46:Q46"/>
    <mergeCell ref="R46:U46"/>
    <mergeCell ref="V46:Y46"/>
    <mergeCell ref="Z46:AC46"/>
    <mergeCell ref="AD46:AG46"/>
    <mergeCell ref="BD46:BJ46"/>
    <mergeCell ref="BD49:BJ49"/>
    <mergeCell ref="AH48:BC48"/>
    <mergeCell ref="AH49:BC49"/>
    <mergeCell ref="A47:C47"/>
    <mergeCell ref="D47:Q47"/>
    <mergeCell ref="R47:U47"/>
    <mergeCell ref="V47:Y47"/>
    <mergeCell ref="Z47:AC47"/>
    <mergeCell ref="AD47:AG47"/>
    <mergeCell ref="BD47:BJ47"/>
    <mergeCell ref="R48:U48"/>
    <mergeCell ref="V48:Y48"/>
    <mergeCell ref="R27:U27"/>
    <mergeCell ref="BD52:BJ52"/>
    <mergeCell ref="AH52:BC52"/>
    <mergeCell ref="BD50:BJ50"/>
    <mergeCell ref="A51:C51"/>
    <mergeCell ref="D51:Q51"/>
    <mergeCell ref="R51:U51"/>
    <mergeCell ref="V51:Y51"/>
    <mergeCell ref="Z51:AC51"/>
    <mergeCell ref="AD51:AG51"/>
    <mergeCell ref="BD51:BJ51"/>
    <mergeCell ref="AH50:BC50"/>
    <mergeCell ref="AH51:BC51"/>
    <mergeCell ref="Z48:AC48"/>
    <mergeCell ref="AD48:AG48"/>
    <mergeCell ref="BD48:BJ48"/>
    <mergeCell ref="A49:C49"/>
    <mergeCell ref="D49:Q49"/>
    <mergeCell ref="R49:U49"/>
    <mergeCell ref="V49:Y49"/>
    <mergeCell ref="Z49:AC49"/>
    <mergeCell ref="AD49:AG49"/>
    <mergeCell ref="D23:Q23"/>
    <mergeCell ref="D24:Q24"/>
    <mergeCell ref="R28:U28"/>
    <mergeCell ref="V12:Y12"/>
    <mergeCell ref="V13:Y13"/>
    <mergeCell ref="V14:Y14"/>
    <mergeCell ref="V15:Y15"/>
    <mergeCell ref="V17:Y17"/>
    <mergeCell ref="V18:Y18"/>
    <mergeCell ref="V19:Y19"/>
    <mergeCell ref="V20:Y20"/>
    <mergeCell ref="V21:Y21"/>
    <mergeCell ref="V22:Y22"/>
    <mergeCell ref="V23:Y23"/>
    <mergeCell ref="V24:Y24"/>
    <mergeCell ref="V27:Y27"/>
    <mergeCell ref="V28:Y28"/>
    <mergeCell ref="R12:U12"/>
    <mergeCell ref="R13:U13"/>
    <mergeCell ref="R14:U14"/>
    <mergeCell ref="R15:U15"/>
    <mergeCell ref="D27:Q27"/>
    <mergeCell ref="D26:Q26"/>
    <mergeCell ref="R26:U26"/>
    <mergeCell ref="AH12:BC12"/>
    <mergeCell ref="AH37:BC37"/>
    <mergeCell ref="Z12:AC12"/>
    <mergeCell ref="Z13:AC13"/>
    <mergeCell ref="Z14:AC14"/>
    <mergeCell ref="Z15:AC15"/>
    <mergeCell ref="Z17:AC17"/>
    <mergeCell ref="Z18:AC18"/>
    <mergeCell ref="Z19:AC19"/>
    <mergeCell ref="Z20:AC20"/>
    <mergeCell ref="Z23:AC23"/>
    <mergeCell ref="AD12:AG12"/>
    <mergeCell ref="AD13:AG13"/>
    <mergeCell ref="AD14:AG14"/>
    <mergeCell ref="AD15:AG15"/>
    <mergeCell ref="AD17:AG17"/>
    <mergeCell ref="AD18:AG18"/>
    <mergeCell ref="AD19:AG19"/>
    <mergeCell ref="AD20:AG20"/>
    <mergeCell ref="AD21:AG21"/>
    <mergeCell ref="AH13:BC13"/>
    <mergeCell ref="AH14:BC14"/>
    <mergeCell ref="AH15:BC15"/>
    <mergeCell ref="AH17:BC17"/>
    <mergeCell ref="BD12:BJ12"/>
    <mergeCell ref="BD13:BJ13"/>
    <mergeCell ref="BD14:BJ14"/>
    <mergeCell ref="BD15:BJ15"/>
    <mergeCell ref="BD17:BJ17"/>
    <mergeCell ref="BD18:BJ18"/>
    <mergeCell ref="BD19:BJ19"/>
    <mergeCell ref="BD20:BJ20"/>
    <mergeCell ref="BD21:BJ21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H53:BC53"/>
    <mergeCell ref="AH42:BC42"/>
    <mergeCell ref="A52:C52"/>
    <mergeCell ref="D52:Q52"/>
    <mergeCell ref="R52:U52"/>
    <mergeCell ref="V52:Y52"/>
    <mergeCell ref="Z52:AC52"/>
    <mergeCell ref="AD52:AG52"/>
    <mergeCell ref="A50:C50"/>
    <mergeCell ref="D50:Q50"/>
    <mergeCell ref="R50:U50"/>
    <mergeCell ref="V50:Y50"/>
    <mergeCell ref="Z50:AC50"/>
    <mergeCell ref="AD50:AG50"/>
    <mergeCell ref="A48:C48"/>
    <mergeCell ref="D48:Q48"/>
    <mergeCell ref="AD29:AG29"/>
    <mergeCell ref="AH29:BC29"/>
    <mergeCell ref="BD29:BJ29"/>
    <mergeCell ref="AD27:AG27"/>
    <mergeCell ref="AD28:AG28"/>
    <mergeCell ref="R39:U39"/>
    <mergeCell ref="V39:Y39"/>
    <mergeCell ref="Z39:AC39"/>
    <mergeCell ref="AD39:AG39"/>
    <mergeCell ref="AH39:BC39"/>
    <mergeCell ref="BD39:BJ39"/>
    <mergeCell ref="BD27:BJ27"/>
    <mergeCell ref="BD28:BJ28"/>
    <mergeCell ref="AH27:BC27"/>
    <mergeCell ref="AH28:BC28"/>
    <mergeCell ref="R38:U38"/>
    <mergeCell ref="V38:Y38"/>
    <mergeCell ref="Z38:AC38"/>
    <mergeCell ref="AD38:AG38"/>
    <mergeCell ref="AH38:BC38"/>
    <mergeCell ref="BD38:BJ38"/>
    <mergeCell ref="V33:Y33"/>
    <mergeCell ref="Z33:AC33"/>
    <mergeCell ref="AD33:AG33"/>
    <mergeCell ref="AH16:BC16"/>
    <mergeCell ref="BD16:BJ16"/>
    <mergeCell ref="R17:U17"/>
    <mergeCell ref="R21:U21"/>
    <mergeCell ref="R22:U22"/>
    <mergeCell ref="AH26:BC26"/>
    <mergeCell ref="BD26:BJ26"/>
    <mergeCell ref="Z24:AC24"/>
    <mergeCell ref="AD24:AG24"/>
    <mergeCell ref="R24:U24"/>
    <mergeCell ref="BD22:BJ22"/>
    <mergeCell ref="BD23:BJ23"/>
    <mergeCell ref="BD24:BJ24"/>
    <mergeCell ref="AH21:BC21"/>
    <mergeCell ref="AH22:BC22"/>
    <mergeCell ref="AH23:BC23"/>
    <mergeCell ref="AH24:BC24"/>
    <mergeCell ref="AH18:BC18"/>
    <mergeCell ref="AH19:BC19"/>
    <mergeCell ref="AH20:BC20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31:C31"/>
    <mergeCell ref="D31:Q31"/>
    <mergeCell ref="R31:U31"/>
    <mergeCell ref="V31:Y31"/>
    <mergeCell ref="Z31:AC31"/>
    <mergeCell ref="AD31:AG31"/>
    <mergeCell ref="AH31:BC31"/>
    <mergeCell ref="BD31:BJ31"/>
    <mergeCell ref="R29:U29"/>
    <mergeCell ref="Z27:AC27"/>
    <mergeCell ref="Z28:AC28"/>
    <mergeCell ref="V26:Y26"/>
    <mergeCell ref="Z26:AC26"/>
    <mergeCell ref="AD26:AG26"/>
    <mergeCell ref="V29:Y29"/>
    <mergeCell ref="Z29:AC29"/>
    <mergeCell ref="V10:Y10"/>
    <mergeCell ref="Z10:AC10"/>
    <mergeCell ref="AD10:AG10"/>
    <mergeCell ref="AH10:BC10"/>
    <mergeCell ref="BD10:BJ10"/>
    <mergeCell ref="D32:Q32"/>
    <mergeCell ref="R32:U32"/>
    <mergeCell ref="V32:Y32"/>
    <mergeCell ref="Z32:AC32"/>
    <mergeCell ref="AD32:AG32"/>
    <mergeCell ref="AH32:BC32"/>
    <mergeCell ref="BD32:BJ32"/>
    <mergeCell ref="R23:U23"/>
    <mergeCell ref="R18:U18"/>
    <mergeCell ref="R19:U19"/>
    <mergeCell ref="R20:U20"/>
    <mergeCell ref="Z21:AC21"/>
    <mergeCell ref="Z22:AC22"/>
    <mergeCell ref="AD22:AG22"/>
    <mergeCell ref="AD23:AG23"/>
    <mergeCell ref="R16:U16"/>
    <mergeCell ref="V16:Y16"/>
    <mergeCell ref="Z16:AC16"/>
    <mergeCell ref="AD16:AG16"/>
  </mergeCells>
  <phoneticPr fontId="2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6"/>
  <sheetViews>
    <sheetView view="pageBreakPreview" zoomScaleNormal="100" zoomScaleSheetLayoutView="100" workbookViewId="0"/>
  </sheetViews>
  <sheetFormatPr defaultColWidth="2.08984375" defaultRowHeight="14"/>
  <cols>
    <col min="1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4" t="s">
        <v>47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6"/>
      <c r="AT2" s="38" t="s">
        <v>3</v>
      </c>
      <c r="AU2" s="39"/>
      <c r="AV2" s="39"/>
      <c r="AW2" s="39"/>
      <c r="AX2" s="40"/>
      <c r="AY2" s="38" t="s">
        <v>48</v>
      </c>
      <c r="AZ2" s="39"/>
      <c r="BA2" s="39"/>
      <c r="BB2" s="40"/>
      <c r="BC2" s="38" t="s">
        <v>5</v>
      </c>
      <c r="BD2" s="39"/>
      <c r="BE2" s="39"/>
      <c r="BF2" s="40"/>
      <c r="BG2" s="38"/>
      <c r="BH2" s="39"/>
      <c r="BI2" s="39"/>
      <c r="BJ2" s="40"/>
    </row>
    <row r="3" spans="1:63" s="1" customFormat="1" ht="18" customHeight="1">
      <c r="A3" s="47" t="s">
        <v>6</v>
      </c>
      <c r="B3" s="48"/>
      <c r="C3" s="48"/>
      <c r="D3" s="48"/>
      <c r="E3" s="48"/>
      <c r="F3" s="48"/>
      <c r="G3" s="48"/>
      <c r="H3" s="49"/>
      <c r="I3" s="53" t="s">
        <v>110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5"/>
      <c r="AT3" s="38" t="s">
        <v>7</v>
      </c>
      <c r="AU3" s="39"/>
      <c r="AV3" s="39"/>
      <c r="AW3" s="39"/>
      <c r="AX3" s="40"/>
      <c r="AY3" s="38" t="s">
        <v>109</v>
      </c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40"/>
    </row>
    <row r="4" spans="1:63" s="1" customFormat="1" ht="18" customHeight="1">
      <c r="A4" s="50"/>
      <c r="B4" s="51"/>
      <c r="C4" s="51"/>
      <c r="D4" s="51"/>
      <c r="E4" s="51"/>
      <c r="F4" s="51"/>
      <c r="G4" s="51"/>
      <c r="H4" s="52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8"/>
      <c r="AT4" s="38" t="s">
        <v>8</v>
      </c>
      <c r="AU4" s="39"/>
      <c r="AV4" s="39"/>
      <c r="AW4" s="39"/>
      <c r="AX4" s="40"/>
      <c r="AY4" s="38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4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7" t="s">
        <v>17</v>
      </c>
      <c r="B6" s="98"/>
      <c r="C6" s="98"/>
      <c r="D6" s="98"/>
      <c r="E6" s="98"/>
      <c r="F6" s="98"/>
      <c r="G6" s="98"/>
      <c r="H6" s="98"/>
      <c r="I6" s="98"/>
      <c r="J6" s="98"/>
      <c r="K6" s="99"/>
      <c r="L6" s="97" t="s">
        <v>181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8" t="s">
        <v>22</v>
      </c>
      <c r="B8" s="39"/>
      <c r="C8" s="40"/>
      <c r="D8" s="38" t="s">
        <v>80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0"/>
      <c r="R8" s="38" t="s">
        <v>49</v>
      </c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40"/>
      <c r="BD8" s="143" t="s">
        <v>46</v>
      </c>
      <c r="BE8" s="144"/>
      <c r="BF8" s="144"/>
      <c r="BG8" s="144"/>
      <c r="BH8" s="144"/>
      <c r="BI8" s="144"/>
      <c r="BJ8" s="145"/>
    </row>
    <row r="9" spans="1:63" s="11" customFormat="1" ht="77.400000000000006" customHeight="1">
      <c r="A9" s="69">
        <f>ROW()-8</f>
        <v>1</v>
      </c>
      <c r="B9" s="70"/>
      <c r="C9" s="71"/>
      <c r="D9" s="161" t="s">
        <v>141</v>
      </c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3"/>
      <c r="R9" s="161" t="s">
        <v>121</v>
      </c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3"/>
      <c r="BD9" s="122"/>
      <c r="BE9" s="123"/>
      <c r="BF9" s="123"/>
      <c r="BG9" s="123"/>
      <c r="BH9" s="123"/>
      <c r="BI9" s="123"/>
      <c r="BJ9" s="124"/>
    </row>
    <row r="10" spans="1:63" ht="66.900000000000006" customHeight="1">
      <c r="A10" s="69">
        <f t="shared" ref="A10:A21" si="0">ROW()-8</f>
        <v>2</v>
      </c>
      <c r="B10" s="70"/>
      <c r="C10" s="71"/>
      <c r="D10" s="125" t="s">
        <v>130</v>
      </c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7"/>
      <c r="R10" s="125" t="s">
        <v>131</v>
      </c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7"/>
      <c r="BD10" s="122"/>
      <c r="BE10" s="123"/>
      <c r="BF10" s="123"/>
      <c r="BG10" s="123"/>
      <c r="BH10" s="123"/>
      <c r="BI10" s="123"/>
      <c r="BJ10" s="124"/>
    </row>
    <row r="11" spans="1:63" ht="53.25" customHeight="1">
      <c r="A11" s="69">
        <f t="shared" si="0"/>
        <v>3</v>
      </c>
      <c r="B11" s="70"/>
      <c r="C11" s="71"/>
      <c r="D11" s="125" t="s">
        <v>122</v>
      </c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25" t="s">
        <v>123</v>
      </c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  <c r="BD11" s="122"/>
      <c r="BE11" s="123"/>
      <c r="BF11" s="123"/>
      <c r="BG11" s="123"/>
      <c r="BH11" s="123"/>
      <c r="BI11" s="123"/>
      <c r="BJ11" s="124"/>
    </row>
    <row r="12" spans="1:63" ht="53.25" customHeight="1">
      <c r="A12" s="69">
        <f t="shared" si="0"/>
        <v>4</v>
      </c>
      <c r="B12" s="70"/>
      <c r="C12" s="71"/>
      <c r="D12" s="125" t="s">
        <v>122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7"/>
      <c r="R12" s="125" t="s">
        <v>177</v>
      </c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7"/>
      <c r="BD12" s="122"/>
      <c r="BE12" s="123"/>
      <c r="BF12" s="123"/>
      <c r="BG12" s="123"/>
      <c r="BH12" s="123"/>
      <c r="BI12" s="123"/>
      <c r="BJ12" s="124"/>
    </row>
    <row r="13" spans="1:63" ht="72.75" customHeight="1">
      <c r="A13" s="69">
        <f t="shared" si="0"/>
        <v>5</v>
      </c>
      <c r="B13" s="70"/>
      <c r="C13" s="71"/>
      <c r="D13" s="125" t="s">
        <v>122</v>
      </c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7"/>
      <c r="R13" s="125" t="s">
        <v>178</v>
      </c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7"/>
      <c r="BD13" s="122"/>
      <c r="BE13" s="123"/>
      <c r="BF13" s="123"/>
      <c r="BG13" s="123"/>
      <c r="BH13" s="123"/>
      <c r="BI13" s="123"/>
      <c r="BJ13" s="124"/>
    </row>
    <row r="14" spans="1:63" ht="53.25" customHeight="1">
      <c r="A14" s="69">
        <f t="shared" si="0"/>
        <v>6</v>
      </c>
      <c r="B14" s="70"/>
      <c r="C14" s="71"/>
      <c r="D14" s="125" t="s">
        <v>142</v>
      </c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7"/>
      <c r="R14" s="125" t="s">
        <v>143</v>
      </c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122"/>
      <c r="BE14" s="123"/>
      <c r="BF14" s="123"/>
      <c r="BG14" s="123"/>
      <c r="BH14" s="123"/>
      <c r="BI14" s="123"/>
      <c r="BJ14" s="124"/>
    </row>
    <row r="15" spans="1:63" ht="53.25" customHeight="1">
      <c r="A15" s="69">
        <f t="shared" si="0"/>
        <v>7</v>
      </c>
      <c r="B15" s="70"/>
      <c r="C15" s="71"/>
      <c r="D15" s="125" t="s">
        <v>142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25" t="s">
        <v>144</v>
      </c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122"/>
      <c r="BE15" s="123"/>
      <c r="BF15" s="123"/>
      <c r="BG15" s="123"/>
      <c r="BH15" s="123"/>
      <c r="BI15" s="123"/>
      <c r="BJ15" s="124"/>
    </row>
    <row r="16" spans="1:63" ht="53.25" customHeight="1">
      <c r="A16" s="69">
        <f t="shared" si="0"/>
        <v>8</v>
      </c>
      <c r="B16" s="70"/>
      <c r="C16" s="71"/>
      <c r="D16" s="125" t="s">
        <v>128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25" t="s">
        <v>183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122"/>
      <c r="BE16" s="123"/>
      <c r="BF16" s="123"/>
      <c r="BG16" s="123"/>
      <c r="BH16" s="123"/>
      <c r="BI16" s="123"/>
      <c r="BJ16" s="124"/>
    </row>
    <row r="17" spans="1:62" ht="53.4" customHeight="1">
      <c r="A17" s="113">
        <f t="shared" si="0"/>
        <v>9</v>
      </c>
      <c r="B17" s="114"/>
      <c r="C17" s="115"/>
      <c r="D17" s="125" t="s">
        <v>129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25" t="s">
        <v>184</v>
      </c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  <c r="BD17" s="158"/>
      <c r="BE17" s="159"/>
      <c r="BF17" s="159"/>
      <c r="BG17" s="159"/>
      <c r="BH17" s="159"/>
      <c r="BI17" s="159"/>
      <c r="BJ17" s="160"/>
    </row>
    <row r="18" spans="1:62" ht="72.75" customHeight="1">
      <c r="A18" s="69">
        <f t="shared" si="0"/>
        <v>10</v>
      </c>
      <c r="B18" s="70"/>
      <c r="C18" s="71"/>
      <c r="D18" s="125" t="s">
        <v>125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25" t="s">
        <v>126</v>
      </c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  <c r="BD18" s="122"/>
      <c r="BE18" s="123"/>
      <c r="BF18" s="123"/>
      <c r="BG18" s="123"/>
      <c r="BH18" s="123"/>
      <c r="BI18" s="123"/>
      <c r="BJ18" s="124"/>
    </row>
    <row r="19" spans="1:62" ht="87.65" customHeight="1">
      <c r="A19" s="69">
        <f t="shared" si="0"/>
        <v>11</v>
      </c>
      <c r="B19" s="70"/>
      <c r="C19" s="71"/>
      <c r="D19" s="125" t="s">
        <v>124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7"/>
      <c r="R19" s="125" t="s">
        <v>127</v>
      </c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7"/>
      <c r="BD19" s="122"/>
      <c r="BE19" s="123"/>
      <c r="BF19" s="123"/>
      <c r="BG19" s="123"/>
      <c r="BH19" s="123"/>
      <c r="BI19" s="123"/>
      <c r="BJ19" s="124"/>
    </row>
    <row r="20" spans="1:62" ht="98.25" customHeight="1">
      <c r="A20" s="69">
        <f t="shared" si="0"/>
        <v>12</v>
      </c>
      <c r="B20" s="70"/>
      <c r="C20" s="71"/>
      <c r="D20" s="125" t="s">
        <v>115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7"/>
      <c r="R20" s="125" t="s">
        <v>185</v>
      </c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7"/>
      <c r="BD20" s="122"/>
      <c r="BE20" s="123"/>
      <c r="BF20" s="123"/>
      <c r="BG20" s="123"/>
      <c r="BH20" s="123"/>
      <c r="BI20" s="123"/>
      <c r="BJ20" s="124"/>
    </row>
    <row r="21" spans="1:62" ht="53.25" customHeight="1">
      <c r="A21" s="69">
        <f t="shared" si="0"/>
        <v>13</v>
      </c>
      <c r="B21" s="70"/>
      <c r="C21" s="71"/>
      <c r="D21" s="125" t="s">
        <v>194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  <c r="R21" s="125" t="s">
        <v>195</v>
      </c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7"/>
      <c r="BD21" s="122"/>
      <c r="BE21" s="123"/>
      <c r="BF21" s="123"/>
      <c r="BG21" s="123"/>
      <c r="BH21" s="123"/>
      <c r="BI21" s="123"/>
      <c r="BJ21" s="124"/>
    </row>
    <row r="22" spans="1:62" ht="40.5" customHeight="1">
      <c r="A22" s="69"/>
      <c r="B22" s="70"/>
      <c r="C22" s="71"/>
      <c r="D22" s="125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5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7"/>
      <c r="BD22" s="122"/>
      <c r="BE22" s="123"/>
      <c r="BF22" s="123"/>
      <c r="BG22" s="123"/>
      <c r="BH22" s="123"/>
      <c r="BI22" s="123"/>
      <c r="BJ22" s="124"/>
    </row>
    <row r="23" spans="1:62" ht="40.5" customHeight="1">
      <c r="A23" s="83"/>
      <c r="B23" s="84"/>
      <c r="C23" s="85"/>
      <c r="D23" s="140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0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2"/>
      <c r="BD23" s="137"/>
      <c r="BE23" s="138"/>
      <c r="BF23" s="138"/>
      <c r="BG23" s="138"/>
      <c r="BH23" s="138"/>
      <c r="BI23" s="138"/>
      <c r="BJ23" s="139"/>
    </row>
    <row r="24" spans="1:62" s="10" customFormat="1" ht="6" customHeight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62" ht="21" customHeight="1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62" ht="24" customHeight="1"/>
    <row r="27" spans="1:62" ht="24" customHeight="1"/>
    <row r="28" spans="1:62" ht="24" customHeight="1"/>
    <row r="29" spans="1:62" ht="24" customHeight="1"/>
    <row r="30" spans="1:62" ht="24" customHeight="1"/>
    <row r="31" spans="1:62" ht="24" customHeight="1"/>
    <row r="32" spans="1:62" ht="24" customHeight="1"/>
    <row r="33" ht="17.149999999999999" customHeight="1"/>
    <row r="34" ht="17.149999999999999" customHeight="1"/>
    <row r="35" ht="17.149999999999999" customHeight="1"/>
    <row r="36" ht="17.149999999999999" customHeight="1"/>
  </sheetData>
  <mergeCells count="77">
    <mergeCell ref="A9:C9"/>
    <mergeCell ref="D9:Q9"/>
    <mergeCell ref="R9:BC9"/>
    <mergeCell ref="BD9:BJ9"/>
    <mergeCell ref="A6:K6"/>
    <mergeCell ref="L6:BJ6"/>
    <mergeCell ref="A8:C8"/>
    <mergeCell ref="D8:Q8"/>
    <mergeCell ref="R8:BC8"/>
    <mergeCell ref="BD8:BJ8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T4:AX4"/>
    <mergeCell ref="AY4:BJ4"/>
    <mergeCell ref="A20:C20"/>
    <mergeCell ref="D20:Q20"/>
    <mergeCell ref="R20:BC20"/>
    <mergeCell ref="BD20:BJ20"/>
    <mergeCell ref="D10:Q10"/>
    <mergeCell ref="R10:BC10"/>
    <mergeCell ref="A10:C10"/>
    <mergeCell ref="BD10:BJ10"/>
    <mergeCell ref="A11:C11"/>
    <mergeCell ref="D11:Q11"/>
    <mergeCell ref="R11:BC11"/>
    <mergeCell ref="BD11:BJ11"/>
    <mergeCell ref="A18:C18"/>
    <mergeCell ref="D18:Q18"/>
    <mergeCell ref="R18:BC18"/>
    <mergeCell ref="BD18:BJ18"/>
    <mergeCell ref="A23:C23"/>
    <mergeCell ref="D23:Q23"/>
    <mergeCell ref="R23:BC23"/>
    <mergeCell ref="BD23:BJ23"/>
    <mergeCell ref="A22:C22"/>
    <mergeCell ref="D22:Q22"/>
    <mergeCell ref="R22:BC22"/>
    <mergeCell ref="BD22:BJ22"/>
    <mergeCell ref="A13:C13"/>
    <mergeCell ref="D13:Q13"/>
    <mergeCell ref="R13:BC13"/>
    <mergeCell ref="BD13:BJ13"/>
    <mergeCell ref="A12:C12"/>
    <mergeCell ref="D12:Q12"/>
    <mergeCell ref="R12:BC12"/>
    <mergeCell ref="BD12:BJ12"/>
    <mergeCell ref="A16:C16"/>
    <mergeCell ref="D16:Q16"/>
    <mergeCell ref="R16:BC16"/>
    <mergeCell ref="BD16:BJ16"/>
    <mergeCell ref="BD21:BJ21"/>
    <mergeCell ref="R21:BC21"/>
    <mergeCell ref="D21:Q21"/>
    <mergeCell ref="A21:C21"/>
    <mergeCell ref="A17:C17"/>
    <mergeCell ref="D17:Q17"/>
    <mergeCell ref="R17:BC17"/>
    <mergeCell ref="BD17:BJ17"/>
    <mergeCell ref="A19:C19"/>
    <mergeCell ref="D19:Q19"/>
    <mergeCell ref="R19:BC19"/>
    <mergeCell ref="BD19:BJ19"/>
    <mergeCell ref="A15:C15"/>
    <mergeCell ref="D15:Q15"/>
    <mergeCell ref="R15:BC15"/>
    <mergeCell ref="BD15:BJ15"/>
    <mergeCell ref="A14:C14"/>
    <mergeCell ref="BD14:BJ14"/>
    <mergeCell ref="D14:Q14"/>
    <mergeCell ref="R14:BC14"/>
  </mergeCells>
  <phoneticPr fontId="2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1C8524-FB96-40FC-A4D8-32E2E3F640D9}"/>
</file>

<file path=customXml/itemProps3.xml><?xml version="1.0" encoding="utf-8"?>
<ds:datastoreItem xmlns:ds="http://schemas.openxmlformats.org/officeDocument/2006/customXml" ds:itemID="{011DAE9A-7E43-4B8A-A380-4C7F6BA6A403}">
  <ds:schemaRefs>
    <ds:schemaRef ds:uri="b9cc7365-e218-4624-aedb-0a55e821af1f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4a1f72ec-30b8-4383-892a-fcacdd251f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武田 瑠璃</cp:lastModifiedBy>
  <cp:revision/>
  <cp:lastPrinted>2025-06-16T13:37:15Z</cp:lastPrinted>
  <dcterms:created xsi:type="dcterms:W3CDTF">2001-03-06T02:20:07Z</dcterms:created>
  <dcterms:modified xsi:type="dcterms:W3CDTF">2025-08-27T01:03:06Z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