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7.棚卸資産管理\7.5.棚卸資産振替\"/>
    </mc:Choice>
  </mc:AlternateContent>
  <xr:revisionPtr revIDLastSave="0" documentId="13_ncr:1_{5FF3674D-0256-440F-9B39-202C42B5818C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項目定義書!$A$20:$BJ$20</definedName>
    <definedName name="_xlnm.Print_Area" localSheetId="2">CSVイメージ!$A$1:$BJ$36</definedName>
    <definedName name="_xlnm.Print_Area" localSheetId="1">項目定義書!$A$1:$BJ$47</definedName>
    <definedName name="_xlnm.Print_Area" localSheetId="4">取込チェック・関連!$A$1:$BJ$19</definedName>
    <definedName name="_xlnm.Print_Area" localSheetId="3">取込チェック・単体!$A$1:$BJ$19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項目定義書!$1:$20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8" l="1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22" i="28"/>
  <c r="A24" i="31"/>
  <c r="A21" i="28" l="1"/>
  <c r="L6" i="23"/>
  <c r="L6" i="22"/>
  <c r="L7" i="31"/>
  <c r="A34" i="31"/>
  <c r="A33" i="31"/>
  <c r="A32" i="31"/>
  <c r="A31" i="31"/>
  <c r="A30" i="31"/>
  <c r="A29" i="31"/>
  <c r="A21" i="31"/>
  <c r="A27" i="31"/>
  <c r="A25" i="31"/>
  <c r="A28" i="31" l="1"/>
  <c r="A26" i="31"/>
  <c r="A12" i="31" l="1"/>
  <c r="A13" i="31"/>
  <c r="A14" i="31"/>
  <c r="A15" i="31"/>
  <c r="A16" i="31"/>
  <c r="A17" i="31"/>
  <c r="A18" i="31"/>
  <c r="A19" i="31"/>
  <c r="A20" i="31"/>
  <c r="A22" i="31"/>
  <c r="A23" i="31"/>
  <c r="BF6" i="28" l="1"/>
  <c r="A11" i="31" l="1"/>
  <c r="A10" i="3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0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0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0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0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0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0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<sst xmlns="http://schemas.openxmlformats.org/spreadsheetml/2006/main" count="255" uniqueCount="115">
  <si>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</si>
  <si>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</si>
  <si>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</si>
  <si>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</si>
  <si>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</si>
  <si>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</si>
  <si>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</si>
  <si>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</si>
  <si>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</si>
  <si>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</si>
  <si>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</si>
  <si>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</si>
  <si>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</si>
  <si>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</si>
  <si>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</si>
  <si>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</si>
  <si>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</si>
  <si>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</si>
  <si>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</si>
  <si>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</si>
  <si>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</si>
  <si>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</si>
  <si>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</si>
  <si>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</si>
  <si>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</si>
  <si>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</si>
  <si>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</si>
  <si>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</si>
  <si>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</si>
  <si>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</si>
  <si>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</si>
  <si>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</si>
  <si>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</si>
  <si>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</si>
  <si>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</si>
  <si>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</si>
  <si>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</si>
  <si>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</si>
  <si>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</si>
  <si>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</si>
  <si>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</si>
  <si>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</si>
  <si>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</si>
  <si>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</si>
  <si>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</si>
  <si>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</si>
  <si>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</si>
  <si>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</si>
  <si>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漢字</t>
    <rPh sb="0" eb="2">
      <t>カンジ</t>
    </rPh>
    <phoneticPr fontId="1"/>
  </si>
  <si>
    <t>ＣＳＶ取込みチェック（関連）</t>
    <rPh sb="3" eb="5">
      <t>トリコ</t>
    </rPh>
    <rPh sb="11" eb="13">
      <t>カンレン</t>
    </rPh>
    <phoneticPr fontId="1"/>
  </si>
  <si>
    <t>数字</t>
    <rPh sb="0" eb="2">
      <t>スウジ</t>
    </rPh>
    <phoneticPr fontId="1"/>
  </si>
  <si>
    <t>事業所コード</t>
    <rPh sb="0" eb="3">
      <t>ジギョウショ</t>
    </rPh>
    <phoneticPr fontId="1"/>
  </si>
  <si>
    <t>事業所名称</t>
    <rPh sb="0" eb="3">
      <t>ジギョウショ</t>
    </rPh>
    <rPh sb="3" eb="5">
      <t>メイショウ</t>
    </rPh>
    <phoneticPr fontId="1"/>
  </si>
  <si>
    <t>業種コード</t>
    <rPh sb="0" eb="2">
      <t>ギョウシュ</t>
    </rPh>
    <phoneticPr fontId="1"/>
  </si>
  <si>
    <t>業種名称</t>
    <rPh sb="0" eb="2">
      <t>ギョウシュ</t>
    </rPh>
    <rPh sb="2" eb="4">
      <t>メイショウ</t>
    </rPh>
    <phoneticPr fontId="1"/>
  </si>
  <si>
    <t>本所</t>
    <rPh sb="0" eb="2">
      <t>ホンショ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</si>
  <si>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</si>
  <si>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保管場所区分コード</t>
    <rPh sb="0" eb="6">
      <t>ホカンバショクブン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</si>
  <si>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</si>
  <si>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</si>
  <si>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</si>
  <si>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対象年月</t>
    <rPh sb="0" eb="4">
      <t>タイショウネンゲツ</t>
    </rPh>
    <phoneticPr fontId="1"/>
  </si>
  <si>
    <t>勘定科目コード</t>
    <rPh sb="0" eb="4">
      <t>カンジョウカモク</t>
    </rPh>
    <phoneticPr fontId="1"/>
  </si>
  <si>
    <t>勘定科目名</t>
    <rPh sb="0" eb="2">
      <t>カンジョウ</t>
    </rPh>
    <rPh sb="2" eb="4">
      <t>カモク</t>
    </rPh>
    <rPh sb="4" eb="5">
      <t>メイ</t>
    </rPh>
    <phoneticPr fontId="1"/>
  </si>
  <si>
    <t>数位</t>
    <rPh sb="0" eb="2">
      <t>スウイ</t>
    </rPh>
    <phoneticPr fontId="1"/>
  </si>
  <si>
    <t>年産・規格・型番等</t>
    <phoneticPr fontId="1"/>
  </si>
  <si>
    <t>畜産</t>
    <rPh sb="0" eb="2">
      <t>チクサン</t>
    </rPh>
    <phoneticPr fontId="1"/>
  </si>
  <si>
    <t>ビーフ課</t>
    <rPh sb="3" eb="4">
      <t>カ</t>
    </rPh>
    <phoneticPr fontId="1"/>
  </si>
  <si>
    <t>施設費</t>
    <phoneticPr fontId="1"/>
  </si>
  <si>
    <t>材料</t>
    <rPh sb="0" eb="2">
      <t>ザイリョウ</t>
    </rPh>
    <phoneticPr fontId="1"/>
  </si>
  <si>
    <t>○○センター</t>
    <phoneticPr fontId="1"/>
  </si>
  <si>
    <t>月末在庫金額</t>
    <rPh sb="0" eb="2">
      <t>ゲツマツ</t>
    </rPh>
    <rPh sb="2" eb="4">
      <t>ザイコ</t>
    </rPh>
    <rPh sb="4" eb="6">
      <t>キンガク</t>
    </rPh>
    <phoneticPr fontId="1"/>
  </si>
  <si>
    <t>Aランク</t>
    <phoneticPr fontId="1"/>
  </si>
  <si>
    <t>152822 黒毛和牛Fロース</t>
    <phoneticPr fontId="1"/>
  </si>
  <si>
    <t>数字</t>
    <phoneticPr fontId="1"/>
  </si>
  <si>
    <t>事業所コード</t>
    <phoneticPr fontId="1"/>
  </si>
  <si>
    <t>昇順</t>
  </si>
  <si>
    <t>勘定科目コード</t>
    <phoneticPr fontId="1"/>
  </si>
  <si>
    <t>保管場所区分</t>
    <rPh sb="0" eb="6">
      <t>ホカンバショクブン</t>
    </rPh>
    <phoneticPr fontId="1"/>
  </si>
  <si>
    <t>全角</t>
    <rPh sb="0" eb="2">
      <t>ゼンカク</t>
    </rPh>
    <phoneticPr fontId="1"/>
  </si>
  <si>
    <t>倉庫</t>
    <rPh sb="0" eb="2">
      <t>ソウコ</t>
    </rPh>
    <phoneticPr fontId="1"/>
  </si>
  <si>
    <t>Ｋｇ</t>
    <phoneticPr fontId="1"/>
  </si>
  <si>
    <t>00206000</t>
    <phoneticPr fontId="1"/>
  </si>
  <si>
    <t>受払組織コード</t>
    <rPh sb="0" eb="4">
      <t>ウケハライソシキ</t>
    </rPh>
    <phoneticPr fontId="1"/>
  </si>
  <si>
    <t>受払組織名称</t>
    <rPh sb="0" eb="2">
      <t>ウケハライ</t>
    </rPh>
    <rPh sb="2" eb="4">
      <t>ソシキ</t>
    </rPh>
    <rPh sb="4" eb="6">
      <t>メイショウ</t>
    </rPh>
    <phoneticPr fontId="1"/>
  </si>
  <si>
    <t>棚卸資産種類コード</t>
    <rPh sb="0" eb="6">
      <t>タナオロシシサンシュルイ</t>
    </rPh>
    <phoneticPr fontId="1"/>
  </si>
  <si>
    <t>棚卸資産種類名</t>
    <rPh sb="0" eb="2">
      <t>タナオロシ</t>
    </rPh>
    <rPh sb="2" eb="4">
      <t>シサン</t>
    </rPh>
    <rPh sb="4" eb="6">
      <t>シュルイ</t>
    </rPh>
    <phoneticPr fontId="1"/>
  </si>
  <si>
    <t>部門品目</t>
    <rPh sb="0" eb="4">
      <t>ブモンヒンモク</t>
    </rPh>
    <phoneticPr fontId="1"/>
  </si>
  <si>
    <t>チェックなし</t>
    <phoneticPr fontId="1"/>
  </si>
  <si>
    <t>在庫金額</t>
    <rPh sb="0" eb="4">
      <t>ザイコキンガク</t>
    </rPh>
    <phoneticPr fontId="1"/>
  </si>
  <si>
    <t>1:内部／2:倉庫／3:輸送</t>
    <phoneticPr fontId="1"/>
  </si>
  <si>
    <t>保管場所（施設コード）</t>
    <rPh sb="0" eb="4">
      <t>ホカンバショ</t>
    </rPh>
    <rPh sb="5" eb="7">
      <t>シセツ</t>
    </rPh>
    <phoneticPr fontId="1"/>
  </si>
  <si>
    <t>保管場所（施設名）</t>
    <rPh sb="0" eb="4">
      <t>ホカンバショ</t>
    </rPh>
    <rPh sb="5" eb="7">
      <t>シセツ</t>
    </rPh>
    <rPh sb="7" eb="8">
      <t>メイ</t>
    </rPh>
    <phoneticPr fontId="1"/>
  </si>
  <si>
    <t>保管場所（取引先コード）</t>
    <rPh sb="0" eb="4">
      <t>ホカンバショ</t>
    </rPh>
    <rPh sb="5" eb="8">
      <t>トリヒキサキ</t>
    </rPh>
    <phoneticPr fontId="1"/>
  </si>
  <si>
    <t>保管場所（取引先名）</t>
    <rPh sb="0" eb="4">
      <t>ホカンバショ</t>
    </rPh>
    <rPh sb="5" eb="8">
      <t>トリヒキサキ</t>
    </rPh>
    <rPh sb="8" eb="9">
      <t>メイ</t>
    </rPh>
    <phoneticPr fontId="1"/>
  </si>
  <si>
    <t>保管場所（施設名）</t>
    <rPh sb="0" eb="4">
      <t>ホカンバショ</t>
    </rPh>
    <rPh sb="5" eb="8">
      <t>シセツメイ</t>
    </rPh>
    <phoneticPr fontId="1"/>
  </si>
  <si>
    <t>食肉加工工場</t>
    <phoneticPr fontId="1"/>
  </si>
  <si>
    <t>3：原材料／4：仕掛品／5：貯蔵品</t>
    <rPh sb="2" eb="5">
      <t>ゲンザイリョウ</t>
    </rPh>
    <rPh sb="3" eb="5">
      <t>ザイリョウ</t>
    </rPh>
    <rPh sb="8" eb="11">
      <t>シカカリヒン</t>
    </rPh>
    <rPh sb="14" eb="17">
      <t>チョゾウヒン</t>
    </rPh>
    <phoneticPr fontId="1"/>
  </si>
  <si>
    <t>Shift jis</t>
  </si>
  <si>
    <t>関連チェック概要</t>
    <phoneticPr fontId="1"/>
  </si>
  <si>
    <t>(棚卸資産振替入力リストのCSV取込時)棚卸資産振替明細入力時の登録順</t>
    <rPh sb="20" eb="22">
      <t>タナオロシ</t>
    </rPh>
    <rPh sb="22" eb="24">
      <t>シサン</t>
    </rPh>
    <rPh sb="24" eb="26">
      <t>フリカエ</t>
    </rPh>
    <rPh sb="26" eb="28">
      <t>メイサイ</t>
    </rPh>
    <rPh sb="28" eb="30">
      <t>ニュウリョク</t>
    </rPh>
    <rPh sb="30" eb="31">
      <t>ジ</t>
    </rPh>
    <phoneticPr fontId="1"/>
  </si>
  <si>
    <t>2025/08/29</t>
    <phoneticPr fontId="1"/>
  </si>
  <si>
    <t>統合会計システム</t>
    <phoneticPr fontId="1"/>
  </si>
  <si>
    <t>棚卸資産振替データ</t>
    <rPh sb="0" eb="2">
      <t>タナオロシ</t>
    </rPh>
    <rPh sb="2" eb="4">
      <t>シサン</t>
    </rPh>
    <rPh sb="4" eb="6">
      <t>フリカエ</t>
    </rPh>
    <phoneticPr fontId="1"/>
  </si>
  <si>
    <t>月末在庫数量（仮数）</t>
    <rPh sb="0" eb="2">
      <t>ゲツマツ</t>
    </rPh>
    <rPh sb="2" eb="4">
      <t>ザイコ</t>
    </rPh>
    <rPh sb="4" eb="6">
      <t>スウリョウ</t>
    </rPh>
    <rPh sb="7" eb="9">
      <t>カスウ</t>
    </rPh>
    <phoneticPr fontId="1"/>
  </si>
  <si>
    <t>月末在庫数量（分子）</t>
    <rPh sb="0" eb="6">
      <t>ゲツマツザイコスウリョウ</t>
    </rPh>
    <rPh sb="7" eb="9">
      <t>ブンシ</t>
    </rPh>
    <phoneticPr fontId="1"/>
  </si>
  <si>
    <t>D07050103</t>
    <phoneticPr fontId="1"/>
  </si>
  <si>
    <t>原材料・仕掛品・貯蔵品の単位名（仮数）</t>
    <phoneticPr fontId="1"/>
  </si>
  <si>
    <t>原材料・仕掛品・貯蔵品の単位名（分子）</t>
    <phoneticPr fontId="1"/>
  </si>
  <si>
    <t>F4110-1D</t>
    <phoneticPr fontId="1"/>
  </si>
  <si>
    <t>24058</t>
  </si>
  <si>
    <t>基幹システム再構築　会計システム外部設計</t>
  </si>
  <si>
    <t>"4"+課コード</t>
    <rPh sb="4" eb="5">
      <t>カ</t>
    </rPh>
    <phoneticPr fontId="1"/>
  </si>
  <si>
    <t>8,3</t>
    <phoneticPr fontId="1"/>
  </si>
  <si>
    <t>英数字</t>
    <rPh sb="0" eb="3">
      <t>エイスウジ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</si>
</sst>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2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quotePrefix="1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9" xfId="0" quotePrefix="1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5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102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101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110</v>
      </c>
      <c r="C8" s="15"/>
      <c r="D8" s="15"/>
      <c r="E8" s="15"/>
      <c r="F8" s="15"/>
      <c r="G8" s="15"/>
      <c r="H8" s="22"/>
      <c r="I8" s="20" t="s">
        <v>111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7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109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102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101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4" t="s">
        <v>12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4" t="s">
        <v>106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6"/>
      <c r="AB6" s="64" t="s">
        <v>13</v>
      </c>
      <c r="AC6" s="65"/>
      <c r="AD6" s="65"/>
      <c r="AE6" s="65"/>
      <c r="AF6" s="65"/>
      <c r="AG6" s="65"/>
      <c r="AH6" s="65"/>
      <c r="AI6" s="65"/>
      <c r="AJ6" s="66"/>
      <c r="AK6" s="64" t="s">
        <v>32</v>
      </c>
      <c r="AL6" s="65"/>
      <c r="AM6" s="65"/>
      <c r="AN6" s="66"/>
      <c r="AO6" s="64" t="s">
        <v>14</v>
      </c>
      <c r="AP6" s="65"/>
      <c r="AQ6" s="65"/>
      <c r="AR6" s="65"/>
      <c r="AS6" s="65"/>
      <c r="AT6" s="65"/>
      <c r="AU6" s="65"/>
      <c r="AV6" s="65"/>
      <c r="AW6" s="66"/>
      <c r="AX6" s="64" t="s">
        <v>33</v>
      </c>
      <c r="AY6" s="65"/>
      <c r="AZ6" s="65"/>
      <c r="BA6" s="66"/>
      <c r="BB6" s="70" t="s">
        <v>15</v>
      </c>
      <c r="BC6" s="70"/>
      <c r="BD6" s="70"/>
      <c r="BE6" s="70"/>
      <c r="BF6" s="70">
        <f>COUNTA(D21:D417)</f>
        <v>25</v>
      </c>
      <c r="BG6" s="70"/>
      <c r="BH6" s="70"/>
      <c r="BI6" s="70"/>
      <c r="BJ6" s="70"/>
    </row>
    <row r="7" spans="1:62" s="14" customFormat="1" ht="20.25" customHeight="1">
      <c r="A7" s="64" t="s">
        <v>16</v>
      </c>
      <c r="B7" s="65"/>
      <c r="C7" s="65"/>
      <c r="D7" s="65"/>
      <c r="E7" s="65"/>
      <c r="F7" s="65"/>
      <c r="G7" s="65"/>
      <c r="H7" s="65"/>
      <c r="I7" s="65"/>
      <c r="J7" s="65"/>
      <c r="K7" s="66"/>
      <c r="L7" s="64" t="s">
        <v>103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6"/>
      <c r="AK7" s="64" t="s">
        <v>34</v>
      </c>
      <c r="AL7" s="65"/>
      <c r="AM7" s="65"/>
      <c r="AN7" s="65"/>
      <c r="AO7" s="65"/>
      <c r="AP7" s="65"/>
      <c r="AQ7" s="65"/>
      <c r="AR7" s="66"/>
      <c r="AS7" s="64" t="s">
        <v>98</v>
      </c>
      <c r="AT7" s="65"/>
      <c r="AU7" s="65"/>
      <c r="AV7" s="65"/>
      <c r="AW7" s="65"/>
      <c r="AX7" s="66"/>
      <c r="AY7" s="30" t="s">
        <v>17</v>
      </c>
      <c r="AZ7" s="31"/>
      <c r="BA7" s="31"/>
      <c r="BB7" s="31"/>
      <c r="BC7" s="64" t="s">
        <v>35</v>
      </c>
      <c r="BD7" s="66"/>
      <c r="BE7" s="64" t="s">
        <v>18</v>
      </c>
      <c r="BF7" s="65"/>
      <c r="BG7" s="65"/>
      <c r="BH7" s="66"/>
      <c r="BI7" s="64"/>
      <c r="BJ7" s="66"/>
    </row>
    <row r="8" spans="1:62" s="14" customFormat="1" ht="5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58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6.25" customHeight="1">
      <c r="A10" s="70" t="s">
        <v>20</v>
      </c>
      <c r="B10" s="70"/>
      <c r="C10" s="70"/>
      <c r="D10" s="84" t="s">
        <v>59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70" t="s">
        <v>60</v>
      </c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</row>
    <row r="11" spans="1:62" s="14" customFormat="1" ht="26.25" customHeight="1">
      <c r="A11" s="85">
        <v>1</v>
      </c>
      <c r="B11" s="85"/>
      <c r="C11" s="85"/>
      <c r="D11" s="86" t="s">
        <v>75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5" t="s">
        <v>76</v>
      </c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</row>
    <row r="12" spans="1:62" s="14" customFormat="1" ht="26.25" customHeight="1">
      <c r="A12" s="88">
        <v>2</v>
      </c>
      <c r="B12" s="88"/>
      <c r="C12" s="88"/>
      <c r="D12" s="89" t="s">
        <v>53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8" t="s">
        <v>76</v>
      </c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</row>
    <row r="13" spans="1:62" s="14" customFormat="1" ht="26.25" customHeight="1">
      <c r="A13" s="88">
        <v>3</v>
      </c>
      <c r="B13" s="88"/>
      <c r="C13" s="88"/>
      <c r="D13" s="60" t="s">
        <v>83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2"/>
      <c r="AS13" s="58" t="s">
        <v>76</v>
      </c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63"/>
    </row>
    <row r="14" spans="1:62" s="14" customFormat="1" ht="26.25" customHeight="1">
      <c r="A14" s="88">
        <v>4</v>
      </c>
      <c r="B14" s="88"/>
      <c r="C14" s="88"/>
      <c r="D14" s="60" t="s">
        <v>77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2"/>
      <c r="AS14" s="58" t="s">
        <v>76</v>
      </c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63"/>
    </row>
    <row r="15" spans="1:62" s="14" customFormat="1" ht="26.25" customHeight="1">
      <c r="A15" s="88">
        <v>5</v>
      </c>
      <c r="B15" s="88"/>
      <c r="C15" s="88"/>
      <c r="D15" s="60" t="s">
        <v>85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2"/>
      <c r="AS15" s="58" t="s">
        <v>76</v>
      </c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63"/>
    </row>
    <row r="16" spans="1:62" s="14" customFormat="1" ht="26.25" customHeight="1">
      <c r="A16" s="58">
        <v>6</v>
      </c>
      <c r="B16" s="59"/>
      <c r="C16" s="63"/>
      <c r="D16" s="60" t="s">
        <v>100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58" t="s">
        <v>76</v>
      </c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63"/>
    </row>
    <row r="17" spans="1:62" s="14" customFormat="1" ht="26.25" customHeight="1">
      <c r="A17" s="77">
        <v>7</v>
      </c>
      <c r="B17" s="77"/>
      <c r="C17" s="7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</row>
    <row r="18" spans="1:62" s="14" customFormat="1" ht="10.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BC18" s="32"/>
      <c r="BD18" s="32"/>
      <c r="BE18" s="32"/>
      <c r="BF18" s="32"/>
      <c r="BG18" s="32"/>
      <c r="BH18" s="32"/>
      <c r="BI18" s="32"/>
      <c r="BJ18" s="32"/>
    </row>
    <row r="19" spans="1:62" s="4" customFormat="1">
      <c r="B19" s="29" t="s">
        <v>19</v>
      </c>
      <c r="G19" s="5"/>
    </row>
    <row r="20" spans="1:62" s="14" customFormat="1" ht="42" customHeight="1">
      <c r="A20" s="64" t="s">
        <v>20</v>
      </c>
      <c r="B20" s="65"/>
      <c r="C20" s="66"/>
      <c r="D20" s="64" t="s">
        <v>21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6"/>
      <c r="U20" s="67" t="s">
        <v>22</v>
      </c>
      <c r="V20" s="68"/>
      <c r="W20" s="68"/>
      <c r="X20" s="68"/>
      <c r="Y20" s="69"/>
      <c r="Z20" s="67" t="s">
        <v>23</v>
      </c>
      <c r="AA20" s="68"/>
      <c r="AB20" s="69"/>
      <c r="AC20" s="67" t="s">
        <v>24</v>
      </c>
      <c r="AD20" s="68"/>
      <c r="AE20" s="69"/>
      <c r="AF20" s="67" t="s">
        <v>25</v>
      </c>
      <c r="AG20" s="68"/>
      <c r="AH20" s="69"/>
      <c r="AI20" s="67" t="s">
        <v>26</v>
      </c>
      <c r="AJ20" s="68"/>
      <c r="AK20" s="69"/>
      <c r="AL20" s="67" t="s">
        <v>27</v>
      </c>
      <c r="AM20" s="68"/>
      <c r="AN20" s="69"/>
      <c r="AO20" s="67" t="s">
        <v>28</v>
      </c>
      <c r="AP20" s="68"/>
      <c r="AQ20" s="69"/>
      <c r="AR20" s="64" t="s">
        <v>29</v>
      </c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6"/>
    </row>
    <row r="21" spans="1:62" s="13" customFormat="1" ht="36" customHeight="1">
      <c r="A21" s="81">
        <f>ROW()-20</f>
        <v>1</v>
      </c>
      <c r="B21" s="82"/>
      <c r="C21" s="83"/>
      <c r="D21" s="60" t="s">
        <v>61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58" t="s">
        <v>50</v>
      </c>
      <c r="V21" s="59"/>
      <c r="W21" s="59"/>
      <c r="X21" s="59"/>
      <c r="Y21" s="63"/>
      <c r="Z21" s="58">
        <v>6</v>
      </c>
      <c r="AA21" s="59"/>
      <c r="AB21" s="63"/>
      <c r="AC21" s="58"/>
      <c r="AD21" s="59"/>
      <c r="AE21" s="63"/>
      <c r="AF21" s="58"/>
      <c r="AG21" s="59"/>
      <c r="AH21" s="63"/>
      <c r="AI21" s="58"/>
      <c r="AJ21" s="59"/>
      <c r="AK21" s="63"/>
      <c r="AL21" s="58"/>
      <c r="AM21" s="59"/>
      <c r="AN21" s="63"/>
      <c r="AO21" s="58"/>
      <c r="AP21" s="59"/>
      <c r="AQ21" s="63"/>
      <c r="AR21" s="55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7"/>
    </row>
    <row r="22" spans="1:62" s="13" customFormat="1" ht="36" customHeight="1">
      <c r="A22" s="58">
        <f t="shared" ref="A22:A45" si="0">ROW()-20</f>
        <v>2</v>
      </c>
      <c r="B22" s="59"/>
      <c r="C22" s="59"/>
      <c r="D22" s="60" t="s">
        <v>51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58" t="s">
        <v>50</v>
      </c>
      <c r="V22" s="59"/>
      <c r="W22" s="59"/>
      <c r="X22" s="59"/>
      <c r="Y22" s="63"/>
      <c r="Z22" s="58">
        <v>2</v>
      </c>
      <c r="AA22" s="59"/>
      <c r="AB22" s="63"/>
      <c r="AC22" s="58"/>
      <c r="AD22" s="59"/>
      <c r="AE22" s="63"/>
      <c r="AF22" s="58"/>
      <c r="AG22" s="59"/>
      <c r="AH22" s="63"/>
      <c r="AI22" s="58"/>
      <c r="AJ22" s="59"/>
      <c r="AK22" s="63"/>
      <c r="AL22" s="58"/>
      <c r="AM22" s="59"/>
      <c r="AN22" s="63"/>
      <c r="AO22" s="58"/>
      <c r="AP22" s="59"/>
      <c r="AQ22" s="63"/>
      <c r="AR22" s="55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7"/>
    </row>
    <row r="23" spans="1:62" s="13" customFormat="1" ht="36" customHeight="1">
      <c r="A23" s="58">
        <f t="shared" si="0"/>
        <v>3</v>
      </c>
      <c r="B23" s="59"/>
      <c r="C23" s="59"/>
      <c r="D23" s="60" t="s">
        <v>52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58" t="s">
        <v>48</v>
      </c>
      <c r="V23" s="59"/>
      <c r="W23" s="59"/>
      <c r="X23" s="59"/>
      <c r="Y23" s="63"/>
      <c r="Z23" s="58">
        <v>15</v>
      </c>
      <c r="AA23" s="59"/>
      <c r="AB23" s="63"/>
      <c r="AC23" s="58"/>
      <c r="AD23" s="59"/>
      <c r="AE23" s="63"/>
      <c r="AF23" s="58"/>
      <c r="AG23" s="59"/>
      <c r="AH23" s="63"/>
      <c r="AI23" s="58"/>
      <c r="AJ23" s="59"/>
      <c r="AK23" s="63"/>
      <c r="AL23" s="58"/>
      <c r="AM23" s="59"/>
      <c r="AN23" s="63"/>
      <c r="AO23" s="58"/>
      <c r="AP23" s="59"/>
      <c r="AQ23" s="63"/>
      <c r="AR23" s="55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</row>
    <row r="24" spans="1:62" s="13" customFormat="1" ht="36" customHeight="1">
      <c r="A24" s="58">
        <f t="shared" si="0"/>
        <v>4</v>
      </c>
      <c r="B24" s="59"/>
      <c r="C24" s="59"/>
      <c r="D24" s="60" t="s">
        <v>53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58" t="s">
        <v>114</v>
      </c>
      <c r="V24" s="59"/>
      <c r="W24" s="59"/>
      <c r="X24" s="59"/>
      <c r="Y24" s="63"/>
      <c r="Z24" s="58">
        <v>2</v>
      </c>
      <c r="AA24" s="59"/>
      <c r="AB24" s="63"/>
      <c r="AC24" s="58"/>
      <c r="AD24" s="59"/>
      <c r="AE24" s="63"/>
      <c r="AF24" s="58"/>
      <c r="AG24" s="59"/>
      <c r="AH24" s="63"/>
      <c r="AI24" s="58"/>
      <c r="AJ24" s="59"/>
      <c r="AK24" s="63"/>
      <c r="AL24" s="58"/>
      <c r="AM24" s="59"/>
      <c r="AN24" s="63"/>
      <c r="AO24" s="58"/>
      <c r="AP24" s="59"/>
      <c r="AQ24" s="63"/>
      <c r="AR24" s="55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7"/>
    </row>
    <row r="25" spans="1:62" s="13" customFormat="1" ht="36" customHeight="1">
      <c r="A25" s="58">
        <f t="shared" si="0"/>
        <v>5</v>
      </c>
      <c r="B25" s="59"/>
      <c r="C25" s="59"/>
      <c r="D25" s="60" t="s">
        <v>54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58" t="s">
        <v>48</v>
      </c>
      <c r="V25" s="59"/>
      <c r="W25" s="59"/>
      <c r="X25" s="59"/>
      <c r="Y25" s="63"/>
      <c r="Z25" s="58">
        <v>20</v>
      </c>
      <c r="AA25" s="59"/>
      <c r="AB25" s="63"/>
      <c r="AC25" s="58"/>
      <c r="AD25" s="59"/>
      <c r="AE25" s="63"/>
      <c r="AF25" s="58"/>
      <c r="AG25" s="59"/>
      <c r="AH25" s="63"/>
      <c r="AI25" s="58"/>
      <c r="AJ25" s="59"/>
      <c r="AK25" s="63"/>
      <c r="AL25" s="58"/>
      <c r="AM25" s="59"/>
      <c r="AN25" s="63"/>
      <c r="AO25" s="58"/>
      <c r="AP25" s="59"/>
      <c r="AQ25" s="63"/>
      <c r="AR25" s="55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7"/>
    </row>
    <row r="26" spans="1:62" s="13" customFormat="1" ht="36" customHeight="1">
      <c r="A26" s="58">
        <f t="shared" si="0"/>
        <v>6</v>
      </c>
      <c r="B26" s="59"/>
      <c r="C26" s="59"/>
      <c r="D26" s="60" t="s">
        <v>83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58" t="s">
        <v>74</v>
      </c>
      <c r="V26" s="59"/>
      <c r="W26" s="59"/>
      <c r="X26" s="59"/>
      <c r="Y26" s="63"/>
      <c r="Z26" s="58">
        <v>4</v>
      </c>
      <c r="AA26" s="59"/>
      <c r="AB26" s="63"/>
      <c r="AC26" s="58"/>
      <c r="AD26" s="59"/>
      <c r="AE26" s="63"/>
      <c r="AF26" s="58"/>
      <c r="AG26" s="59"/>
      <c r="AH26" s="63"/>
      <c r="AI26" s="58"/>
      <c r="AJ26" s="59"/>
      <c r="AK26" s="63"/>
      <c r="AL26" s="58"/>
      <c r="AM26" s="59"/>
      <c r="AN26" s="63"/>
      <c r="AO26" s="58"/>
      <c r="AP26" s="59"/>
      <c r="AQ26" s="63"/>
      <c r="AR26" s="55" t="s">
        <v>112</v>
      </c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7"/>
    </row>
    <row r="27" spans="1:62" s="13" customFormat="1" ht="36" customHeight="1">
      <c r="A27" s="58">
        <f t="shared" si="0"/>
        <v>7</v>
      </c>
      <c r="B27" s="59"/>
      <c r="C27" s="59"/>
      <c r="D27" s="60" t="s">
        <v>84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58" t="s">
        <v>48</v>
      </c>
      <c r="V27" s="59"/>
      <c r="W27" s="59"/>
      <c r="X27" s="59"/>
      <c r="Y27" s="63"/>
      <c r="Z27" s="58">
        <v>15</v>
      </c>
      <c r="AA27" s="59"/>
      <c r="AB27" s="63"/>
      <c r="AC27" s="58"/>
      <c r="AD27" s="59"/>
      <c r="AE27" s="63"/>
      <c r="AF27" s="58"/>
      <c r="AG27" s="59"/>
      <c r="AH27" s="63"/>
      <c r="AI27" s="58"/>
      <c r="AJ27" s="59"/>
      <c r="AK27" s="63"/>
      <c r="AL27" s="58"/>
      <c r="AM27" s="59"/>
      <c r="AN27" s="63"/>
      <c r="AO27" s="58"/>
      <c r="AP27" s="59"/>
      <c r="AQ27" s="63"/>
      <c r="AR27" s="55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7"/>
    </row>
    <row r="28" spans="1:62" s="13" customFormat="1" ht="36" customHeight="1">
      <c r="A28" s="58">
        <f t="shared" si="0"/>
        <v>8</v>
      </c>
      <c r="B28" s="59"/>
      <c r="C28" s="59"/>
      <c r="D28" s="60" t="s">
        <v>62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58" t="s">
        <v>74</v>
      </c>
      <c r="V28" s="59"/>
      <c r="W28" s="59"/>
      <c r="X28" s="59"/>
      <c r="Y28" s="63"/>
      <c r="Z28" s="58">
        <v>10</v>
      </c>
      <c r="AA28" s="59"/>
      <c r="AB28" s="63"/>
      <c r="AC28" s="58"/>
      <c r="AD28" s="59"/>
      <c r="AE28" s="63"/>
      <c r="AF28" s="58"/>
      <c r="AG28" s="59"/>
      <c r="AH28" s="63"/>
      <c r="AI28" s="58"/>
      <c r="AJ28" s="59"/>
      <c r="AK28" s="63"/>
      <c r="AL28" s="58"/>
      <c r="AM28" s="59"/>
      <c r="AN28" s="63"/>
      <c r="AO28" s="58"/>
      <c r="AP28" s="59"/>
      <c r="AQ28" s="63"/>
      <c r="AR28" s="55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7"/>
    </row>
    <row r="29" spans="1:62" s="13" customFormat="1" ht="36" customHeight="1">
      <c r="A29" s="58">
        <f t="shared" si="0"/>
        <v>9</v>
      </c>
      <c r="B29" s="59"/>
      <c r="C29" s="59"/>
      <c r="D29" s="60" t="s">
        <v>63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58" t="s">
        <v>48</v>
      </c>
      <c r="V29" s="59"/>
      <c r="W29" s="59"/>
      <c r="X29" s="59"/>
      <c r="Y29" s="63"/>
      <c r="Z29" s="58">
        <v>20</v>
      </c>
      <c r="AA29" s="59"/>
      <c r="AB29" s="63"/>
      <c r="AC29" s="58"/>
      <c r="AD29" s="59"/>
      <c r="AE29" s="63"/>
      <c r="AF29" s="58"/>
      <c r="AG29" s="59"/>
      <c r="AH29" s="63"/>
      <c r="AI29" s="58"/>
      <c r="AJ29" s="59"/>
      <c r="AK29" s="63"/>
      <c r="AL29" s="58"/>
      <c r="AM29" s="59"/>
      <c r="AN29" s="63"/>
      <c r="AO29" s="58"/>
      <c r="AP29" s="59"/>
      <c r="AQ29" s="63"/>
      <c r="AR29" s="55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</row>
    <row r="30" spans="1:62" s="13" customFormat="1" ht="36" customHeight="1">
      <c r="A30" s="58">
        <f t="shared" si="0"/>
        <v>10</v>
      </c>
      <c r="B30" s="59"/>
      <c r="C30" s="59"/>
      <c r="D30" s="60" t="s">
        <v>85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58" t="s">
        <v>74</v>
      </c>
      <c r="V30" s="59"/>
      <c r="W30" s="59"/>
      <c r="X30" s="59"/>
      <c r="Y30" s="63"/>
      <c r="Z30" s="58">
        <v>1</v>
      </c>
      <c r="AA30" s="59"/>
      <c r="AB30" s="63"/>
      <c r="AC30" s="58"/>
      <c r="AD30" s="59"/>
      <c r="AE30" s="63"/>
      <c r="AF30" s="58"/>
      <c r="AG30" s="59"/>
      <c r="AH30" s="63"/>
      <c r="AI30" s="58"/>
      <c r="AJ30" s="59"/>
      <c r="AK30" s="63"/>
      <c r="AL30" s="58"/>
      <c r="AM30" s="59"/>
      <c r="AN30" s="63"/>
      <c r="AO30" s="58"/>
      <c r="AP30" s="59"/>
      <c r="AQ30" s="63"/>
      <c r="AR30" s="55" t="s">
        <v>97</v>
      </c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7"/>
    </row>
    <row r="31" spans="1:62" s="13" customFormat="1" ht="36" customHeight="1">
      <c r="A31" s="58">
        <f t="shared" si="0"/>
        <v>11</v>
      </c>
      <c r="B31" s="59"/>
      <c r="C31" s="59"/>
      <c r="D31" s="60" t="s">
        <v>86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58" t="s">
        <v>48</v>
      </c>
      <c r="V31" s="59"/>
      <c r="W31" s="59"/>
      <c r="X31" s="59"/>
      <c r="Y31" s="63"/>
      <c r="Z31" s="58">
        <v>3</v>
      </c>
      <c r="AA31" s="59"/>
      <c r="AB31" s="63"/>
      <c r="AC31" s="58"/>
      <c r="AD31" s="59"/>
      <c r="AE31" s="63"/>
      <c r="AF31" s="58"/>
      <c r="AG31" s="59"/>
      <c r="AH31" s="63"/>
      <c r="AI31" s="58"/>
      <c r="AJ31" s="59"/>
      <c r="AK31" s="63"/>
      <c r="AL31" s="58"/>
      <c r="AM31" s="59"/>
      <c r="AN31" s="63"/>
      <c r="AO31" s="58"/>
      <c r="AP31" s="59"/>
      <c r="AQ31" s="63"/>
      <c r="AR31" s="55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7"/>
    </row>
    <row r="32" spans="1:62" s="13" customFormat="1" ht="36" customHeight="1">
      <c r="A32" s="58">
        <f t="shared" si="0"/>
        <v>12</v>
      </c>
      <c r="B32" s="59"/>
      <c r="C32" s="59"/>
      <c r="D32" s="60" t="s">
        <v>89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58" t="s">
        <v>50</v>
      </c>
      <c r="V32" s="59"/>
      <c r="W32" s="59"/>
      <c r="X32" s="59"/>
      <c r="Y32" s="63"/>
      <c r="Z32" s="58">
        <v>13</v>
      </c>
      <c r="AA32" s="59"/>
      <c r="AB32" s="63"/>
      <c r="AC32" s="58"/>
      <c r="AD32" s="59"/>
      <c r="AE32" s="63"/>
      <c r="AF32" s="58"/>
      <c r="AG32" s="59"/>
      <c r="AH32" s="63"/>
      <c r="AI32" s="58"/>
      <c r="AJ32" s="59"/>
      <c r="AK32" s="63"/>
      <c r="AL32" s="58"/>
      <c r="AM32" s="59"/>
      <c r="AN32" s="63"/>
      <c r="AO32" s="58"/>
      <c r="AP32" s="59"/>
      <c r="AQ32" s="63"/>
      <c r="AR32" s="55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7"/>
    </row>
    <row r="33" spans="1:62" s="13" customFormat="1" ht="36" customHeight="1">
      <c r="A33" s="58">
        <f t="shared" si="0"/>
        <v>13</v>
      </c>
      <c r="B33" s="59"/>
      <c r="C33" s="59"/>
      <c r="D33" s="60" t="s">
        <v>87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58" t="s">
        <v>48</v>
      </c>
      <c r="V33" s="59"/>
      <c r="W33" s="59"/>
      <c r="X33" s="59"/>
      <c r="Y33" s="63"/>
      <c r="Z33" s="58">
        <v>40</v>
      </c>
      <c r="AA33" s="59"/>
      <c r="AB33" s="63"/>
      <c r="AC33" s="58"/>
      <c r="AD33" s="59"/>
      <c r="AE33" s="63"/>
      <c r="AF33" s="58"/>
      <c r="AG33" s="59"/>
      <c r="AH33" s="63"/>
      <c r="AI33" s="58"/>
      <c r="AJ33" s="59"/>
      <c r="AK33" s="63"/>
      <c r="AL33" s="58"/>
      <c r="AM33" s="59"/>
      <c r="AN33" s="63"/>
      <c r="AO33" s="58"/>
      <c r="AP33" s="59"/>
      <c r="AQ33" s="63"/>
      <c r="AR33" s="55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7"/>
    </row>
    <row r="34" spans="1:62" s="13" customFormat="1" ht="36" customHeight="1">
      <c r="A34" s="58">
        <f t="shared" si="0"/>
        <v>14</v>
      </c>
      <c r="B34" s="59"/>
      <c r="C34" s="59"/>
      <c r="D34" s="60" t="s">
        <v>65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58" t="s">
        <v>48</v>
      </c>
      <c r="V34" s="59"/>
      <c r="W34" s="59"/>
      <c r="X34" s="59"/>
      <c r="Y34" s="63"/>
      <c r="Z34" s="58">
        <v>40</v>
      </c>
      <c r="AA34" s="59"/>
      <c r="AB34" s="63"/>
      <c r="AC34" s="58"/>
      <c r="AD34" s="59"/>
      <c r="AE34" s="63"/>
      <c r="AF34" s="58"/>
      <c r="AG34" s="59"/>
      <c r="AH34" s="63"/>
      <c r="AI34" s="58"/>
      <c r="AJ34" s="59"/>
      <c r="AK34" s="63"/>
      <c r="AL34" s="58"/>
      <c r="AM34" s="59"/>
      <c r="AN34" s="63"/>
      <c r="AO34" s="58"/>
      <c r="AP34" s="59"/>
      <c r="AQ34" s="63"/>
      <c r="AR34" s="55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</row>
    <row r="35" spans="1:62" s="13" customFormat="1" ht="36" customHeight="1">
      <c r="A35" s="58">
        <f t="shared" si="0"/>
        <v>15</v>
      </c>
      <c r="B35" s="59"/>
      <c r="C35" s="59"/>
      <c r="D35" s="55" t="s">
        <v>107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/>
      <c r="U35" s="58" t="s">
        <v>48</v>
      </c>
      <c r="V35" s="59"/>
      <c r="W35" s="59"/>
      <c r="X35" s="59"/>
      <c r="Y35" s="63"/>
      <c r="Z35" s="58">
        <v>6</v>
      </c>
      <c r="AA35" s="59"/>
      <c r="AB35" s="63"/>
      <c r="AC35" s="58"/>
      <c r="AD35" s="59"/>
      <c r="AE35" s="63"/>
      <c r="AF35" s="58"/>
      <c r="AG35" s="59"/>
      <c r="AH35" s="63"/>
      <c r="AI35" s="58"/>
      <c r="AJ35" s="59"/>
      <c r="AK35" s="63"/>
      <c r="AL35" s="58"/>
      <c r="AM35" s="59"/>
      <c r="AN35" s="63"/>
      <c r="AO35" s="58"/>
      <c r="AP35" s="59"/>
      <c r="AQ35" s="63"/>
      <c r="AR35" s="55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</row>
    <row r="36" spans="1:62" s="13" customFormat="1" ht="36" customHeight="1">
      <c r="A36" s="58">
        <f t="shared" si="0"/>
        <v>16</v>
      </c>
      <c r="B36" s="59"/>
      <c r="C36" s="59"/>
      <c r="D36" s="55" t="s">
        <v>108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7"/>
      <c r="U36" s="58" t="s">
        <v>48</v>
      </c>
      <c r="V36" s="59"/>
      <c r="W36" s="59"/>
      <c r="X36" s="59"/>
      <c r="Y36" s="63"/>
      <c r="Z36" s="58">
        <v>6</v>
      </c>
      <c r="AA36" s="59"/>
      <c r="AB36" s="63"/>
      <c r="AC36" s="58"/>
      <c r="AD36" s="59"/>
      <c r="AE36" s="63"/>
      <c r="AF36" s="58"/>
      <c r="AG36" s="59"/>
      <c r="AH36" s="63"/>
      <c r="AI36" s="58"/>
      <c r="AJ36" s="59"/>
      <c r="AK36" s="63"/>
      <c r="AL36" s="58"/>
      <c r="AM36" s="59"/>
      <c r="AN36" s="63"/>
      <c r="AO36" s="58"/>
      <c r="AP36" s="59"/>
      <c r="AQ36" s="63"/>
      <c r="AR36" s="55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7"/>
    </row>
    <row r="37" spans="1:62" s="13" customFormat="1" ht="36" customHeight="1">
      <c r="A37" s="58">
        <f t="shared" si="0"/>
        <v>17</v>
      </c>
      <c r="B37" s="59"/>
      <c r="C37" s="59"/>
      <c r="D37" s="60" t="s">
        <v>105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58" t="s">
        <v>50</v>
      </c>
      <c r="V37" s="59"/>
      <c r="W37" s="59"/>
      <c r="X37" s="59"/>
      <c r="Y37" s="63"/>
      <c r="Z37" s="58" t="s">
        <v>113</v>
      </c>
      <c r="AA37" s="59"/>
      <c r="AB37" s="63"/>
      <c r="AC37" s="58"/>
      <c r="AD37" s="59"/>
      <c r="AE37" s="63"/>
      <c r="AF37" s="58"/>
      <c r="AG37" s="59"/>
      <c r="AH37" s="63"/>
      <c r="AI37" s="58"/>
      <c r="AJ37" s="59"/>
      <c r="AK37" s="63"/>
      <c r="AL37" s="58"/>
      <c r="AM37" s="59"/>
      <c r="AN37" s="63"/>
      <c r="AO37" s="58"/>
      <c r="AP37" s="59"/>
      <c r="AQ37" s="63"/>
      <c r="AR37" s="55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7"/>
    </row>
    <row r="38" spans="1:62" s="13" customFormat="1" ht="36" customHeight="1">
      <c r="A38" s="58">
        <f t="shared" si="0"/>
        <v>18</v>
      </c>
      <c r="B38" s="59"/>
      <c r="C38" s="59"/>
      <c r="D38" s="60" t="s">
        <v>104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  <c r="U38" s="58" t="s">
        <v>50</v>
      </c>
      <c r="V38" s="59"/>
      <c r="W38" s="59"/>
      <c r="X38" s="59"/>
      <c r="Y38" s="63"/>
      <c r="Z38" s="58" t="s">
        <v>113</v>
      </c>
      <c r="AA38" s="59"/>
      <c r="AB38" s="63"/>
      <c r="AC38" s="58"/>
      <c r="AD38" s="59"/>
      <c r="AE38" s="63"/>
      <c r="AF38" s="58"/>
      <c r="AG38" s="59"/>
      <c r="AH38" s="63"/>
      <c r="AI38" s="58"/>
      <c r="AJ38" s="59"/>
      <c r="AK38" s="63"/>
      <c r="AL38" s="58"/>
      <c r="AM38" s="59"/>
      <c r="AN38" s="63"/>
      <c r="AO38" s="58"/>
      <c r="AP38" s="59"/>
      <c r="AQ38" s="63"/>
      <c r="AR38" s="55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7"/>
    </row>
    <row r="39" spans="1:62" s="13" customFormat="1" ht="36" customHeight="1">
      <c r="A39" s="58">
        <f t="shared" si="0"/>
        <v>19</v>
      </c>
      <c r="B39" s="59"/>
      <c r="C39" s="59"/>
      <c r="D39" s="60" t="s">
        <v>71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58" t="s">
        <v>50</v>
      </c>
      <c r="V39" s="59"/>
      <c r="W39" s="59"/>
      <c r="X39" s="59"/>
      <c r="Y39" s="63"/>
      <c r="Z39" s="58">
        <v>13</v>
      </c>
      <c r="AA39" s="59"/>
      <c r="AB39" s="63"/>
      <c r="AC39" s="58"/>
      <c r="AD39" s="59"/>
      <c r="AE39" s="63"/>
      <c r="AF39" s="58"/>
      <c r="AG39" s="59"/>
      <c r="AH39" s="63"/>
      <c r="AI39" s="58"/>
      <c r="AJ39" s="59"/>
      <c r="AK39" s="63"/>
      <c r="AL39" s="58"/>
      <c r="AM39" s="59"/>
      <c r="AN39" s="63"/>
      <c r="AO39" s="58"/>
      <c r="AP39" s="59"/>
      <c r="AQ39" s="63"/>
      <c r="AR39" s="55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7"/>
    </row>
    <row r="40" spans="1:62" s="13" customFormat="1" ht="36" customHeight="1">
      <c r="A40" s="58">
        <f t="shared" si="0"/>
        <v>20</v>
      </c>
      <c r="B40" s="59"/>
      <c r="C40" s="59"/>
      <c r="D40" s="60" t="s">
        <v>57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  <c r="U40" s="58" t="s">
        <v>50</v>
      </c>
      <c r="V40" s="59"/>
      <c r="W40" s="59"/>
      <c r="X40" s="59"/>
      <c r="Y40" s="63"/>
      <c r="Z40" s="58">
        <v>1</v>
      </c>
      <c r="AA40" s="59"/>
      <c r="AB40" s="63"/>
      <c r="AC40" s="58"/>
      <c r="AD40" s="59"/>
      <c r="AE40" s="63"/>
      <c r="AF40" s="58"/>
      <c r="AG40" s="59"/>
      <c r="AH40" s="63"/>
      <c r="AI40" s="58"/>
      <c r="AJ40" s="59"/>
      <c r="AK40" s="63"/>
      <c r="AL40" s="58"/>
      <c r="AM40" s="59"/>
      <c r="AN40" s="63"/>
      <c r="AO40" s="58"/>
      <c r="AP40" s="59"/>
      <c r="AQ40" s="63"/>
      <c r="AR40" s="55" t="s">
        <v>90</v>
      </c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7"/>
    </row>
    <row r="41" spans="1:62" s="13" customFormat="1" ht="36" customHeight="1">
      <c r="A41" s="58">
        <f t="shared" si="0"/>
        <v>21</v>
      </c>
      <c r="B41" s="59"/>
      <c r="C41" s="59"/>
      <c r="D41" s="60" t="s">
        <v>78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58" t="s">
        <v>79</v>
      </c>
      <c r="V41" s="59"/>
      <c r="W41" s="59"/>
      <c r="X41" s="59"/>
      <c r="Y41" s="63"/>
      <c r="Z41" s="58">
        <v>3</v>
      </c>
      <c r="AA41" s="59"/>
      <c r="AB41" s="63"/>
      <c r="AC41" s="58"/>
      <c r="AD41" s="59"/>
      <c r="AE41" s="63"/>
      <c r="AF41" s="58"/>
      <c r="AG41" s="59"/>
      <c r="AH41" s="63"/>
      <c r="AI41" s="58"/>
      <c r="AJ41" s="59"/>
      <c r="AK41" s="63"/>
      <c r="AL41" s="58"/>
      <c r="AM41" s="59"/>
      <c r="AN41" s="63"/>
      <c r="AO41" s="58"/>
      <c r="AP41" s="59"/>
      <c r="AQ41" s="63"/>
      <c r="AR41" s="55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</row>
    <row r="42" spans="1:62" s="13" customFormat="1" ht="36" customHeight="1">
      <c r="A42" s="58">
        <f t="shared" si="0"/>
        <v>22</v>
      </c>
      <c r="B42" s="59"/>
      <c r="C42" s="59"/>
      <c r="D42" s="60" t="s">
        <v>91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  <c r="U42" s="58" t="s">
        <v>50</v>
      </c>
      <c r="V42" s="59"/>
      <c r="W42" s="59"/>
      <c r="X42" s="59"/>
      <c r="Y42" s="63"/>
      <c r="Z42" s="58">
        <v>3</v>
      </c>
      <c r="AA42" s="59"/>
      <c r="AB42" s="63"/>
      <c r="AC42" s="58"/>
      <c r="AD42" s="59"/>
      <c r="AE42" s="63"/>
      <c r="AF42" s="58"/>
      <c r="AG42" s="59"/>
      <c r="AH42" s="63"/>
      <c r="AI42" s="58"/>
      <c r="AJ42" s="59"/>
      <c r="AK42" s="63"/>
      <c r="AL42" s="58"/>
      <c r="AM42" s="59"/>
      <c r="AN42" s="63"/>
      <c r="AO42" s="58"/>
      <c r="AP42" s="59"/>
      <c r="AQ42" s="63"/>
      <c r="AR42" s="55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7"/>
    </row>
    <row r="43" spans="1:62" s="13" customFormat="1" ht="36" customHeight="1">
      <c r="A43" s="58">
        <f t="shared" si="0"/>
        <v>23</v>
      </c>
      <c r="B43" s="59"/>
      <c r="C43" s="59"/>
      <c r="D43" s="60" t="s">
        <v>92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  <c r="U43" s="58" t="s">
        <v>79</v>
      </c>
      <c r="V43" s="59"/>
      <c r="W43" s="59"/>
      <c r="X43" s="59"/>
      <c r="Y43" s="63"/>
      <c r="Z43" s="58">
        <v>10</v>
      </c>
      <c r="AA43" s="59"/>
      <c r="AB43" s="63"/>
      <c r="AC43" s="58"/>
      <c r="AD43" s="59"/>
      <c r="AE43" s="63"/>
      <c r="AF43" s="58"/>
      <c r="AG43" s="59"/>
      <c r="AH43" s="63"/>
      <c r="AI43" s="58"/>
      <c r="AJ43" s="59"/>
      <c r="AK43" s="63"/>
      <c r="AL43" s="58"/>
      <c r="AM43" s="59"/>
      <c r="AN43" s="63"/>
      <c r="AO43" s="58"/>
      <c r="AP43" s="59"/>
      <c r="AQ43" s="63"/>
      <c r="AR43" s="55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7"/>
    </row>
    <row r="44" spans="1:62" s="13" customFormat="1" ht="36" customHeight="1">
      <c r="A44" s="58">
        <f t="shared" si="0"/>
        <v>24</v>
      </c>
      <c r="B44" s="59"/>
      <c r="C44" s="59"/>
      <c r="D44" s="60" t="s">
        <v>93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2"/>
      <c r="U44" s="58" t="s">
        <v>50</v>
      </c>
      <c r="V44" s="59"/>
      <c r="W44" s="59"/>
      <c r="X44" s="59"/>
      <c r="Y44" s="63"/>
      <c r="Z44" s="58">
        <v>8</v>
      </c>
      <c r="AA44" s="59"/>
      <c r="AB44" s="63"/>
      <c r="AC44" s="58"/>
      <c r="AD44" s="59"/>
      <c r="AE44" s="63"/>
      <c r="AF44" s="58"/>
      <c r="AG44" s="59"/>
      <c r="AH44" s="63"/>
      <c r="AI44" s="58"/>
      <c r="AJ44" s="59"/>
      <c r="AK44" s="63"/>
      <c r="AL44" s="58"/>
      <c r="AM44" s="59"/>
      <c r="AN44" s="63"/>
      <c r="AO44" s="58"/>
      <c r="AP44" s="59"/>
      <c r="AQ44" s="63"/>
      <c r="AR44" s="55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7"/>
    </row>
    <row r="45" spans="1:62" s="13" customFormat="1" ht="36" customHeight="1">
      <c r="A45" s="58">
        <f t="shared" si="0"/>
        <v>25</v>
      </c>
      <c r="B45" s="59"/>
      <c r="C45" s="59"/>
      <c r="D45" s="60" t="s">
        <v>94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58" t="s">
        <v>79</v>
      </c>
      <c r="V45" s="59"/>
      <c r="W45" s="59"/>
      <c r="X45" s="59"/>
      <c r="Y45" s="63"/>
      <c r="Z45" s="58">
        <v>40</v>
      </c>
      <c r="AA45" s="59"/>
      <c r="AB45" s="63"/>
      <c r="AC45" s="58"/>
      <c r="AD45" s="59"/>
      <c r="AE45" s="63"/>
      <c r="AF45" s="58"/>
      <c r="AG45" s="59"/>
      <c r="AH45" s="63"/>
      <c r="AI45" s="58"/>
      <c r="AJ45" s="59"/>
      <c r="AK45" s="63"/>
      <c r="AL45" s="58"/>
      <c r="AM45" s="59"/>
      <c r="AN45" s="63"/>
      <c r="AO45" s="58"/>
      <c r="AP45" s="59"/>
      <c r="AQ45" s="63"/>
      <c r="AR45" s="55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7"/>
    </row>
    <row r="46" spans="1:62" s="13" customFormat="1" ht="36" customHeight="1">
      <c r="A46" s="77"/>
      <c r="B46" s="77"/>
      <c r="C46" s="77"/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80"/>
      <c r="U46" s="71"/>
      <c r="V46" s="72"/>
      <c r="W46" s="72"/>
      <c r="X46" s="72"/>
      <c r="Y46" s="73"/>
      <c r="Z46" s="71"/>
      <c r="AA46" s="72"/>
      <c r="AB46" s="73"/>
      <c r="AC46" s="71"/>
      <c r="AD46" s="72"/>
      <c r="AE46" s="73"/>
      <c r="AF46" s="71"/>
      <c r="AG46" s="72"/>
      <c r="AH46" s="73"/>
      <c r="AI46" s="71"/>
      <c r="AJ46" s="72"/>
      <c r="AK46" s="73"/>
      <c r="AL46" s="71"/>
      <c r="AM46" s="72"/>
      <c r="AN46" s="73"/>
      <c r="AO46" s="71"/>
      <c r="AP46" s="72"/>
      <c r="AQ46" s="73"/>
      <c r="AR46" s="74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6"/>
    </row>
    <row r="47" spans="1:62" ht="6.6" customHeight="1"/>
  </sheetData>
  <mergeCells count="320">
    <mergeCell ref="AR38:BJ38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O34:AQ34"/>
    <mergeCell ref="AI32:AK32"/>
    <mergeCell ref="AL32:AN32"/>
    <mergeCell ref="A39:C39"/>
    <mergeCell ref="D39:T39"/>
    <mergeCell ref="U39:Y39"/>
    <mergeCell ref="Z39:AB39"/>
    <mergeCell ref="AC39:AE39"/>
    <mergeCell ref="AF39:AH39"/>
    <mergeCell ref="AL37:AN37"/>
    <mergeCell ref="AO37:AQ37"/>
    <mergeCell ref="AO32:AQ32"/>
    <mergeCell ref="AL33:AN33"/>
    <mergeCell ref="AO33:AQ33"/>
    <mergeCell ref="AF34:AH34"/>
    <mergeCell ref="AI34:AK34"/>
    <mergeCell ref="AL34:AN34"/>
    <mergeCell ref="AR32:BJ32"/>
    <mergeCell ref="A32:C32"/>
    <mergeCell ref="D32:T32"/>
    <mergeCell ref="U32:Y32"/>
    <mergeCell ref="Z32:AB32"/>
    <mergeCell ref="AC32:AE32"/>
    <mergeCell ref="AF32:AH32"/>
    <mergeCell ref="AI39:AK39"/>
    <mergeCell ref="AL39:AN39"/>
    <mergeCell ref="AO39:AQ39"/>
    <mergeCell ref="AR39:BJ39"/>
    <mergeCell ref="AR36:BJ36"/>
    <mergeCell ref="AR33:BJ33"/>
    <mergeCell ref="AC33:AE33"/>
    <mergeCell ref="AF33:AH33"/>
    <mergeCell ref="AI33:AK33"/>
    <mergeCell ref="AR37:BJ37"/>
    <mergeCell ref="U34:Y34"/>
    <mergeCell ref="Z34:AB34"/>
    <mergeCell ref="AC34:AE34"/>
    <mergeCell ref="Z33:AB33"/>
    <mergeCell ref="A33:C33"/>
    <mergeCell ref="D33:T33"/>
    <mergeCell ref="U33:Y33"/>
    <mergeCell ref="AR31:BJ3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I21:AK21"/>
    <mergeCell ref="AL21:AN21"/>
    <mergeCell ref="AO21:AQ21"/>
    <mergeCell ref="A10:C10"/>
    <mergeCell ref="D10:AR10"/>
    <mergeCell ref="AS10:BJ10"/>
    <mergeCell ref="A11:C11"/>
    <mergeCell ref="D11:AR11"/>
    <mergeCell ref="AS11:BJ11"/>
    <mergeCell ref="A17:C17"/>
    <mergeCell ref="D17:AR17"/>
    <mergeCell ref="AS17:BJ17"/>
    <mergeCell ref="A16:C16"/>
    <mergeCell ref="D16:AR16"/>
    <mergeCell ref="AS16:BJ16"/>
    <mergeCell ref="A13:C13"/>
    <mergeCell ref="D13:AR13"/>
    <mergeCell ref="AS13:BJ13"/>
    <mergeCell ref="A12:C12"/>
    <mergeCell ref="D12:AR12"/>
    <mergeCell ref="AS12:BJ12"/>
    <mergeCell ref="A14:C14"/>
    <mergeCell ref="A15:C15"/>
    <mergeCell ref="A20:C20"/>
    <mergeCell ref="A30:C30"/>
    <mergeCell ref="Z30:AB30"/>
    <mergeCell ref="AC30:AE30"/>
    <mergeCell ref="A21:C21"/>
    <mergeCell ref="D21:T21"/>
    <mergeCell ref="U21:Y21"/>
    <mergeCell ref="Z21:AB21"/>
    <mergeCell ref="AC21:AE21"/>
    <mergeCell ref="AF21:AH21"/>
    <mergeCell ref="A22:C22"/>
    <mergeCell ref="D25:T25"/>
    <mergeCell ref="U25:Y25"/>
    <mergeCell ref="A23:C23"/>
    <mergeCell ref="AO30:AQ30"/>
    <mergeCell ref="AL30:AN30"/>
    <mergeCell ref="AI30:AK30"/>
    <mergeCell ref="AF30:AH30"/>
    <mergeCell ref="U30:Y30"/>
    <mergeCell ref="D30:T30"/>
    <mergeCell ref="AR46:BJ46"/>
    <mergeCell ref="A46:C46"/>
    <mergeCell ref="D46:T46"/>
    <mergeCell ref="U46:Y46"/>
    <mergeCell ref="Z46:AB46"/>
    <mergeCell ref="AC46:AE46"/>
    <mergeCell ref="AF46:AH46"/>
    <mergeCell ref="AI46:AK4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34:C34"/>
    <mergeCell ref="AR22:BJ22"/>
    <mergeCell ref="Z25:AB25"/>
    <mergeCell ref="AC25:AE25"/>
    <mergeCell ref="AF25:AH25"/>
    <mergeCell ref="AI25:AK25"/>
    <mergeCell ref="AL25:AN25"/>
    <mergeCell ref="AO25:AQ25"/>
    <mergeCell ref="AR25:BJ25"/>
    <mergeCell ref="D22:T22"/>
    <mergeCell ref="U22:Y22"/>
    <mergeCell ref="Z22:AB22"/>
    <mergeCell ref="AC22:AE22"/>
    <mergeCell ref="AF22:AH22"/>
    <mergeCell ref="D23:T23"/>
    <mergeCell ref="U23:Y23"/>
    <mergeCell ref="Z23:AB23"/>
    <mergeCell ref="D20:T20"/>
    <mergeCell ref="U20:Y20"/>
    <mergeCell ref="Z20:AB20"/>
    <mergeCell ref="AC20:AE20"/>
    <mergeCell ref="AF20:AH20"/>
    <mergeCell ref="A25:C25"/>
    <mergeCell ref="AL46:AN46"/>
    <mergeCell ref="AO46:AQ46"/>
    <mergeCell ref="A37:C37"/>
    <mergeCell ref="D37:T37"/>
    <mergeCell ref="U37:Y37"/>
    <mergeCell ref="Z37:AB37"/>
    <mergeCell ref="AC37:AE37"/>
    <mergeCell ref="AF37:AH37"/>
    <mergeCell ref="AI37:AK37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Z42:AB42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26:C26"/>
    <mergeCell ref="D26:T26"/>
    <mergeCell ref="U26:Y26"/>
    <mergeCell ref="Z26:AB26"/>
    <mergeCell ref="AC26:AE26"/>
    <mergeCell ref="AF26:AH26"/>
    <mergeCell ref="AT2:AX2"/>
    <mergeCell ref="AY2:BB2"/>
    <mergeCell ref="BC2:BF2"/>
    <mergeCell ref="AR24:BJ24"/>
    <mergeCell ref="AR21:BJ21"/>
    <mergeCell ref="D14:AR14"/>
    <mergeCell ref="AS14:BJ14"/>
    <mergeCell ref="D15:AR15"/>
    <mergeCell ref="AS15:BJ15"/>
    <mergeCell ref="AI22:AK22"/>
    <mergeCell ref="AL22:AN22"/>
    <mergeCell ref="AO22:AQ22"/>
    <mergeCell ref="BG2:BJ2"/>
    <mergeCell ref="I3:AS4"/>
    <mergeCell ref="AT3:AX3"/>
    <mergeCell ref="AY3:BJ3"/>
    <mergeCell ref="AT4:AX4"/>
    <mergeCell ref="A2:AS2"/>
    <mergeCell ref="AY4:BJ4"/>
    <mergeCell ref="A3:H4"/>
    <mergeCell ref="AI23:AK23"/>
    <mergeCell ref="AO6:AW6"/>
    <mergeCell ref="AX6:BA6"/>
    <mergeCell ref="BB6:BE6"/>
    <mergeCell ref="A6:K6"/>
    <mergeCell ref="L6:AA6"/>
    <mergeCell ref="AB6:AJ6"/>
    <mergeCell ref="AK6:AN6"/>
    <mergeCell ref="AC36:AE36"/>
    <mergeCell ref="AF36:AH36"/>
    <mergeCell ref="AI36:AK36"/>
    <mergeCell ref="AL36:AN36"/>
    <mergeCell ref="AO36:AQ36"/>
    <mergeCell ref="L7:AJ7"/>
    <mergeCell ref="AK7:AR7"/>
    <mergeCell ref="D34:T34"/>
    <mergeCell ref="AR23:BJ23"/>
    <mergeCell ref="A24:C24"/>
    <mergeCell ref="D24:T24"/>
    <mergeCell ref="U24:Y24"/>
    <mergeCell ref="A36:C36"/>
    <mergeCell ref="D36:T36"/>
    <mergeCell ref="U36:Y36"/>
    <mergeCell ref="Z36:AB36"/>
    <mergeCell ref="BF6:BJ6"/>
    <mergeCell ref="A7:K7"/>
    <mergeCell ref="BI7:BJ7"/>
    <mergeCell ref="BE7:BH7"/>
    <mergeCell ref="AS7:AX7"/>
    <mergeCell ref="BC7:BD7"/>
    <mergeCell ref="AR35:BJ35"/>
    <mergeCell ref="Z24:AB24"/>
    <mergeCell ref="AC24:AE24"/>
    <mergeCell ref="AF24:AH24"/>
    <mergeCell ref="AI24:AK24"/>
    <mergeCell ref="AL24:AN24"/>
    <mergeCell ref="AO24:AQ24"/>
    <mergeCell ref="AR34:BJ34"/>
    <mergeCell ref="AC23:AE23"/>
    <mergeCell ref="AF23:AH23"/>
    <mergeCell ref="AL23:AN23"/>
    <mergeCell ref="AO23:AQ23"/>
    <mergeCell ref="AL26:AN26"/>
    <mergeCell ref="AO26:AQ26"/>
    <mergeCell ref="AR20:BJ20"/>
    <mergeCell ref="AI20:AK20"/>
    <mergeCell ref="AL20:AN20"/>
    <mergeCell ref="AO20:AQ20"/>
    <mergeCell ref="AO27:AQ27"/>
    <mergeCell ref="AR27:BJ27"/>
    <mergeCell ref="AI26:AK26"/>
    <mergeCell ref="AR30:BJ30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O40:AQ40"/>
    <mergeCell ref="AC42:AE42"/>
    <mergeCell ref="AF42:AH42"/>
    <mergeCell ref="AI42:AK42"/>
    <mergeCell ref="AL42:AN42"/>
    <mergeCell ref="AO42:AQ42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</mergeCells>
  <phoneticPr fontId="1"/>
  <dataValidations count="6">
    <dataValidation type="list" allowBlank="1" showInputMessage="1" showErrorMessage="1" sqref="BI18 BC7:BC9 BC18 BI7:BI9 AC21:AH46 AL21:AQ46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E6051CBD-B548-44DD-A217-890AE019F3A4}">
      <formula1>"昇順, 降順"</formula1>
    </dataValidation>
    <dataValidation type="list" allowBlank="1" showInputMessage="1" sqref="AS18:AX18 AT8:AX9 AS8:AS10 AS7:AX7" xr:uid="{EFE0E854-6CAD-4FF8-AADB-C4C0EB996905}">
      <formula1>"utf-8,Shift jis"</formula1>
    </dataValidation>
    <dataValidation type="list" allowBlank="1" showInputMessage="1" sqref="AS12:BJ17" xr:uid="{4D11BAB6-F81E-42EB-B7E3-A9A01A469031}">
      <formula1>"昇順,降順"</formula1>
    </dataValidation>
    <dataValidation type="list" allowBlank="1" showInputMessage="1" showErrorMessage="1" sqref="AI21:AK46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6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102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101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4" t="s">
        <v>12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4" t="s">
        <v>106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6"/>
      <c r="AB6" s="64" t="s">
        <v>13</v>
      </c>
      <c r="AC6" s="65"/>
      <c r="AD6" s="65"/>
      <c r="AE6" s="65"/>
      <c r="AF6" s="65"/>
      <c r="AG6" s="65"/>
      <c r="AH6" s="65"/>
      <c r="AI6" s="65"/>
      <c r="AJ6" s="66"/>
      <c r="AK6" s="64" t="s">
        <v>32</v>
      </c>
      <c r="AL6" s="65"/>
      <c r="AM6" s="65"/>
      <c r="AN6" s="66"/>
      <c r="AO6" s="64" t="s">
        <v>14</v>
      </c>
      <c r="AP6" s="65"/>
      <c r="AQ6" s="65"/>
      <c r="AR6" s="65"/>
      <c r="AS6" s="65"/>
      <c r="AT6" s="65"/>
      <c r="AU6" s="65"/>
      <c r="AV6" s="65"/>
      <c r="AW6" s="66"/>
      <c r="AX6" s="64" t="s">
        <v>33</v>
      </c>
      <c r="AY6" s="65"/>
      <c r="AZ6" s="65"/>
      <c r="BA6" s="66"/>
      <c r="BB6" s="70" t="s">
        <v>15</v>
      </c>
      <c r="BC6" s="70"/>
      <c r="BD6" s="70"/>
      <c r="BE6" s="70"/>
      <c r="BF6" s="70">
        <f>COUNTA(D10:D408)</f>
        <v>25</v>
      </c>
      <c r="BG6" s="70"/>
      <c r="BH6" s="70"/>
      <c r="BI6" s="70"/>
      <c r="BJ6" s="70"/>
    </row>
    <row r="7" spans="1:62" s="14" customFormat="1" ht="20.25" customHeight="1">
      <c r="A7" s="64" t="s">
        <v>16</v>
      </c>
      <c r="B7" s="65"/>
      <c r="C7" s="65"/>
      <c r="D7" s="65"/>
      <c r="E7" s="65"/>
      <c r="F7" s="65"/>
      <c r="G7" s="65"/>
      <c r="H7" s="65"/>
      <c r="I7" s="65"/>
      <c r="J7" s="65"/>
      <c r="K7" s="66"/>
      <c r="L7" s="64" t="str">
        <f>項目定義書!L7</f>
        <v>棚卸資産振替データ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6"/>
      <c r="AK7" s="64" t="s">
        <v>34</v>
      </c>
      <c r="AL7" s="65"/>
      <c r="AM7" s="65"/>
      <c r="AN7" s="65"/>
      <c r="AO7" s="65"/>
      <c r="AP7" s="65"/>
      <c r="AQ7" s="65"/>
      <c r="AR7" s="66"/>
      <c r="AS7" s="64" t="s">
        <v>98</v>
      </c>
      <c r="AT7" s="65"/>
      <c r="AU7" s="65"/>
      <c r="AV7" s="65"/>
      <c r="AW7" s="65"/>
      <c r="AX7" s="66"/>
      <c r="AY7" s="30" t="s">
        <v>17</v>
      </c>
      <c r="AZ7" s="31"/>
      <c r="BA7" s="31"/>
      <c r="BB7" s="31"/>
      <c r="BC7" s="64" t="s">
        <v>35</v>
      </c>
      <c r="BD7" s="66"/>
      <c r="BE7" s="64" t="s">
        <v>18</v>
      </c>
      <c r="BF7" s="65"/>
      <c r="BG7" s="65"/>
      <c r="BH7" s="66"/>
      <c r="BI7" s="64"/>
      <c r="BJ7" s="66"/>
    </row>
    <row r="8" spans="1:62" s="4" customFormat="1">
      <c r="B8" s="29" t="s">
        <v>19</v>
      </c>
      <c r="G8" s="5"/>
    </row>
    <row r="9" spans="1:62" s="14" customFormat="1" ht="42" customHeight="1">
      <c r="A9" s="64" t="s">
        <v>20</v>
      </c>
      <c r="B9" s="65"/>
      <c r="C9" s="66"/>
      <c r="D9" s="64" t="s">
        <v>36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6"/>
      <c r="U9" s="67" t="s">
        <v>22</v>
      </c>
      <c r="V9" s="68"/>
      <c r="W9" s="68"/>
      <c r="X9" s="68"/>
      <c r="Y9" s="69"/>
      <c r="Z9" s="67" t="s">
        <v>23</v>
      </c>
      <c r="AA9" s="68"/>
      <c r="AB9" s="69"/>
      <c r="AC9" s="64" t="s">
        <v>37</v>
      </c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6"/>
    </row>
    <row r="10" spans="1:62" s="13" customFormat="1" ht="30" customHeight="1">
      <c r="A10" s="91">
        <f>ROW()-9</f>
        <v>1</v>
      </c>
      <c r="B10" s="91"/>
      <c r="C10" s="91"/>
      <c r="D10" s="60" t="s">
        <v>61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2"/>
      <c r="U10" s="58" t="s">
        <v>50</v>
      </c>
      <c r="V10" s="59"/>
      <c r="W10" s="59"/>
      <c r="X10" s="59"/>
      <c r="Y10" s="63"/>
      <c r="Z10" s="58">
        <v>6</v>
      </c>
      <c r="AA10" s="59"/>
      <c r="AB10" s="63"/>
      <c r="AC10" s="92">
        <v>202502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4"/>
    </row>
    <row r="11" spans="1:62" s="13" customFormat="1" ht="30" customHeight="1">
      <c r="A11" s="88">
        <f>ROW()-9</f>
        <v>2</v>
      </c>
      <c r="B11" s="88"/>
      <c r="C11" s="88"/>
      <c r="D11" s="60" t="s">
        <v>51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58" t="s">
        <v>50</v>
      </c>
      <c r="V11" s="59"/>
      <c r="W11" s="59"/>
      <c r="X11" s="59"/>
      <c r="Y11" s="63"/>
      <c r="Z11" s="58">
        <v>2</v>
      </c>
      <c r="AA11" s="59"/>
      <c r="AB11" s="63"/>
      <c r="AC11" s="60">
        <v>90</v>
      </c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2"/>
    </row>
    <row r="12" spans="1:62" s="13" customFormat="1" ht="30" customHeight="1">
      <c r="A12" s="88">
        <f t="shared" ref="A12:A34" si="0">ROW()-9</f>
        <v>3</v>
      </c>
      <c r="B12" s="88"/>
      <c r="C12" s="88"/>
      <c r="D12" s="60" t="s">
        <v>52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2"/>
      <c r="U12" s="58" t="s">
        <v>48</v>
      </c>
      <c r="V12" s="59"/>
      <c r="W12" s="59"/>
      <c r="X12" s="59"/>
      <c r="Y12" s="63"/>
      <c r="Z12" s="58">
        <v>15</v>
      </c>
      <c r="AA12" s="59"/>
      <c r="AB12" s="63"/>
      <c r="AC12" s="60" t="s">
        <v>55</v>
      </c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2"/>
    </row>
    <row r="13" spans="1:62" s="13" customFormat="1" ht="30" customHeight="1">
      <c r="A13" s="88">
        <f t="shared" si="0"/>
        <v>4</v>
      </c>
      <c r="B13" s="88"/>
      <c r="C13" s="88"/>
      <c r="D13" s="60" t="s">
        <v>53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2"/>
      <c r="U13" s="58" t="s">
        <v>114</v>
      </c>
      <c r="V13" s="59"/>
      <c r="W13" s="59"/>
      <c r="X13" s="59"/>
      <c r="Y13" s="63"/>
      <c r="Z13" s="58">
        <v>2</v>
      </c>
      <c r="AA13" s="59"/>
      <c r="AB13" s="63"/>
      <c r="AC13" s="60">
        <v>45</v>
      </c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2"/>
    </row>
    <row r="14" spans="1:62" s="13" customFormat="1" ht="30" customHeight="1">
      <c r="A14" s="88">
        <f t="shared" si="0"/>
        <v>5</v>
      </c>
      <c r="B14" s="88"/>
      <c r="C14" s="88"/>
      <c r="D14" s="60" t="s">
        <v>54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2"/>
      <c r="U14" s="58" t="s">
        <v>48</v>
      </c>
      <c r="V14" s="59"/>
      <c r="W14" s="59"/>
      <c r="X14" s="59"/>
      <c r="Y14" s="63"/>
      <c r="Z14" s="58">
        <v>20</v>
      </c>
      <c r="AA14" s="59"/>
      <c r="AB14" s="63"/>
      <c r="AC14" s="60" t="s">
        <v>66</v>
      </c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2"/>
    </row>
    <row r="15" spans="1:62" s="13" customFormat="1" ht="30" customHeight="1">
      <c r="A15" s="88">
        <f t="shared" si="0"/>
        <v>6</v>
      </c>
      <c r="B15" s="88"/>
      <c r="C15" s="88"/>
      <c r="D15" s="60" t="s">
        <v>83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2"/>
      <c r="U15" s="58" t="s">
        <v>64</v>
      </c>
      <c r="V15" s="59"/>
      <c r="W15" s="59"/>
      <c r="X15" s="59"/>
      <c r="Y15" s="63"/>
      <c r="Z15" s="58">
        <v>4</v>
      </c>
      <c r="AA15" s="59"/>
      <c r="AB15" s="63"/>
      <c r="AC15" s="60">
        <v>4167</v>
      </c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/>
    </row>
    <row r="16" spans="1:62" s="13" customFormat="1" ht="30" customHeight="1">
      <c r="A16" s="88">
        <f t="shared" si="0"/>
        <v>7</v>
      </c>
      <c r="B16" s="88"/>
      <c r="C16" s="88"/>
      <c r="D16" s="60" t="s">
        <v>84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58" t="s">
        <v>48</v>
      </c>
      <c r="V16" s="59"/>
      <c r="W16" s="59"/>
      <c r="X16" s="59"/>
      <c r="Y16" s="63"/>
      <c r="Z16" s="58">
        <v>15</v>
      </c>
      <c r="AA16" s="59"/>
      <c r="AB16" s="63"/>
      <c r="AC16" s="60" t="s">
        <v>67</v>
      </c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2"/>
    </row>
    <row r="17" spans="1:62" s="13" customFormat="1" ht="30" customHeight="1">
      <c r="A17" s="88">
        <f t="shared" si="0"/>
        <v>8</v>
      </c>
      <c r="B17" s="88"/>
      <c r="C17" s="88"/>
      <c r="D17" s="60" t="s">
        <v>62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58" t="s">
        <v>64</v>
      </c>
      <c r="V17" s="59"/>
      <c r="W17" s="59"/>
      <c r="X17" s="59"/>
      <c r="Y17" s="63"/>
      <c r="Z17" s="58">
        <v>10</v>
      </c>
      <c r="AA17" s="59"/>
      <c r="AB17" s="63"/>
      <c r="AC17" s="90" t="s">
        <v>82</v>
      </c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2"/>
    </row>
    <row r="18" spans="1:62" s="13" customFormat="1" ht="30" customHeight="1">
      <c r="A18" s="88">
        <f t="shared" si="0"/>
        <v>9</v>
      </c>
      <c r="B18" s="88"/>
      <c r="C18" s="88"/>
      <c r="D18" s="60" t="s">
        <v>63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58" t="s">
        <v>48</v>
      </c>
      <c r="V18" s="59"/>
      <c r="W18" s="59"/>
      <c r="X18" s="59"/>
      <c r="Y18" s="63"/>
      <c r="Z18" s="58">
        <v>20</v>
      </c>
      <c r="AA18" s="59"/>
      <c r="AB18" s="63"/>
      <c r="AC18" s="60" t="s">
        <v>68</v>
      </c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2"/>
    </row>
    <row r="19" spans="1:62" s="13" customFormat="1" ht="30" customHeight="1">
      <c r="A19" s="88">
        <f t="shared" si="0"/>
        <v>10</v>
      </c>
      <c r="B19" s="88"/>
      <c r="C19" s="88"/>
      <c r="D19" s="60" t="s">
        <v>85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58" t="s">
        <v>64</v>
      </c>
      <c r="V19" s="59"/>
      <c r="W19" s="59"/>
      <c r="X19" s="59"/>
      <c r="Y19" s="63"/>
      <c r="Z19" s="58">
        <v>1</v>
      </c>
      <c r="AA19" s="59"/>
      <c r="AB19" s="63"/>
      <c r="AC19" s="60">
        <v>2</v>
      </c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2"/>
    </row>
    <row r="20" spans="1:62" s="13" customFormat="1" ht="30" customHeight="1">
      <c r="A20" s="88">
        <f t="shared" si="0"/>
        <v>11</v>
      </c>
      <c r="B20" s="88"/>
      <c r="C20" s="88"/>
      <c r="D20" s="60" t="s">
        <v>86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58" t="s">
        <v>48</v>
      </c>
      <c r="V20" s="59"/>
      <c r="W20" s="59"/>
      <c r="X20" s="59"/>
      <c r="Y20" s="63"/>
      <c r="Z20" s="58">
        <v>20</v>
      </c>
      <c r="AA20" s="59"/>
      <c r="AB20" s="63"/>
      <c r="AC20" s="60" t="s">
        <v>69</v>
      </c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2"/>
    </row>
    <row r="21" spans="1:62" s="13" customFormat="1" ht="30" customHeight="1">
      <c r="A21" s="88">
        <f t="shared" si="0"/>
        <v>12</v>
      </c>
      <c r="B21" s="88"/>
      <c r="C21" s="88"/>
      <c r="D21" s="60" t="s">
        <v>89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58" t="s">
        <v>50</v>
      </c>
      <c r="V21" s="59"/>
      <c r="W21" s="59"/>
      <c r="X21" s="59"/>
      <c r="Y21" s="63"/>
      <c r="Z21" s="58">
        <v>13</v>
      </c>
      <c r="AA21" s="59"/>
      <c r="AB21" s="63"/>
      <c r="AC21" s="90">
        <v>135000</v>
      </c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2"/>
    </row>
    <row r="22" spans="1:62" s="13" customFormat="1" ht="30" customHeight="1">
      <c r="A22" s="88">
        <f t="shared" si="0"/>
        <v>13</v>
      </c>
      <c r="B22" s="88"/>
      <c r="C22" s="88"/>
      <c r="D22" s="60" t="s">
        <v>87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58" t="s">
        <v>48</v>
      </c>
      <c r="V22" s="59"/>
      <c r="W22" s="59"/>
      <c r="X22" s="59"/>
      <c r="Y22" s="63"/>
      <c r="Z22" s="58">
        <v>40</v>
      </c>
      <c r="AA22" s="59"/>
      <c r="AB22" s="63"/>
      <c r="AC22" s="60" t="s">
        <v>73</v>
      </c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2"/>
    </row>
    <row r="23" spans="1:62" s="13" customFormat="1" ht="30" customHeight="1">
      <c r="A23" s="88">
        <f t="shared" si="0"/>
        <v>14</v>
      </c>
      <c r="B23" s="88"/>
      <c r="C23" s="88"/>
      <c r="D23" s="60" t="s">
        <v>65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58" t="s">
        <v>48</v>
      </c>
      <c r="V23" s="59"/>
      <c r="W23" s="59"/>
      <c r="X23" s="59"/>
      <c r="Y23" s="63"/>
      <c r="Z23" s="58">
        <v>40</v>
      </c>
      <c r="AA23" s="59"/>
      <c r="AB23" s="63"/>
      <c r="AC23" s="60" t="s">
        <v>72</v>
      </c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2"/>
    </row>
    <row r="24" spans="1:62" s="13" customFormat="1" ht="30" customHeight="1">
      <c r="A24" s="88">
        <f t="shared" si="0"/>
        <v>15</v>
      </c>
      <c r="B24" s="88"/>
      <c r="C24" s="88"/>
      <c r="D24" s="55" t="s">
        <v>107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7"/>
      <c r="U24" s="58" t="s">
        <v>48</v>
      </c>
      <c r="V24" s="59"/>
      <c r="W24" s="59"/>
      <c r="X24" s="59"/>
      <c r="Y24" s="63"/>
      <c r="Z24" s="58">
        <v>6</v>
      </c>
      <c r="AA24" s="59"/>
      <c r="AB24" s="63"/>
      <c r="AC24" s="90" t="s">
        <v>81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2"/>
    </row>
    <row r="25" spans="1:62" s="13" customFormat="1" ht="30" customHeight="1">
      <c r="A25" s="88">
        <f t="shared" si="0"/>
        <v>16</v>
      </c>
      <c r="B25" s="88"/>
      <c r="C25" s="88"/>
      <c r="D25" s="55" t="s">
        <v>108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7"/>
      <c r="U25" s="58" t="s">
        <v>48</v>
      </c>
      <c r="V25" s="59"/>
      <c r="W25" s="59"/>
      <c r="X25" s="59"/>
      <c r="Y25" s="63"/>
      <c r="Z25" s="58">
        <v>6</v>
      </c>
      <c r="AA25" s="59"/>
      <c r="AB25" s="63"/>
      <c r="AC25" s="90" t="s">
        <v>81</v>
      </c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2"/>
    </row>
    <row r="26" spans="1:62" s="13" customFormat="1" ht="30" customHeight="1">
      <c r="A26" s="88">
        <f t="shared" si="0"/>
        <v>17</v>
      </c>
      <c r="B26" s="88"/>
      <c r="C26" s="88"/>
      <c r="D26" s="60" t="s">
        <v>105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58" t="s">
        <v>50</v>
      </c>
      <c r="V26" s="59"/>
      <c r="W26" s="59"/>
      <c r="X26" s="59"/>
      <c r="Y26" s="63"/>
      <c r="Z26" s="58" t="s">
        <v>113</v>
      </c>
      <c r="AA26" s="59"/>
      <c r="AB26" s="63"/>
      <c r="AC26" s="60">
        <v>1100</v>
      </c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2"/>
    </row>
    <row r="27" spans="1:62" s="13" customFormat="1" ht="30" customHeight="1">
      <c r="A27" s="88">
        <f t="shared" si="0"/>
        <v>18</v>
      </c>
      <c r="B27" s="88"/>
      <c r="C27" s="88"/>
      <c r="D27" s="60" t="s">
        <v>104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58" t="s">
        <v>50</v>
      </c>
      <c r="V27" s="59"/>
      <c r="W27" s="59"/>
      <c r="X27" s="59"/>
      <c r="Y27" s="63"/>
      <c r="Z27" s="58" t="s">
        <v>113</v>
      </c>
      <c r="AA27" s="59"/>
      <c r="AB27" s="63"/>
      <c r="AC27" s="60">
        <v>1100</v>
      </c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2"/>
    </row>
    <row r="28" spans="1:62" s="13" customFormat="1" ht="30" customHeight="1">
      <c r="A28" s="88">
        <f t="shared" si="0"/>
        <v>19</v>
      </c>
      <c r="B28" s="88"/>
      <c r="C28" s="88"/>
      <c r="D28" s="60" t="s">
        <v>71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58" t="s">
        <v>50</v>
      </c>
      <c r="V28" s="59"/>
      <c r="W28" s="59"/>
      <c r="X28" s="59"/>
      <c r="Y28" s="63"/>
      <c r="Z28" s="58">
        <v>13</v>
      </c>
      <c r="AA28" s="59"/>
      <c r="AB28" s="63"/>
      <c r="AC28" s="60">
        <v>67000</v>
      </c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2" s="13" customFormat="1" ht="30" customHeight="1">
      <c r="A29" s="88">
        <f t="shared" si="0"/>
        <v>20</v>
      </c>
      <c r="B29" s="88"/>
      <c r="C29" s="88"/>
      <c r="D29" s="60" t="s">
        <v>57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58" t="s">
        <v>50</v>
      </c>
      <c r="V29" s="59"/>
      <c r="W29" s="59"/>
      <c r="X29" s="59"/>
      <c r="Y29" s="63"/>
      <c r="Z29" s="58">
        <v>1</v>
      </c>
      <c r="AA29" s="59"/>
      <c r="AB29" s="63"/>
      <c r="AC29" s="60">
        <v>2</v>
      </c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2"/>
    </row>
    <row r="30" spans="1:62" s="13" customFormat="1" ht="30" customHeight="1">
      <c r="A30" s="88">
        <f t="shared" si="0"/>
        <v>21</v>
      </c>
      <c r="B30" s="88"/>
      <c r="C30" s="88"/>
      <c r="D30" s="60" t="s">
        <v>78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58" t="s">
        <v>79</v>
      </c>
      <c r="V30" s="59"/>
      <c r="W30" s="59"/>
      <c r="X30" s="59"/>
      <c r="Y30" s="63"/>
      <c r="Z30" s="58">
        <v>3</v>
      </c>
      <c r="AA30" s="59"/>
      <c r="AB30" s="63"/>
      <c r="AC30" s="60" t="s">
        <v>80</v>
      </c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2"/>
    </row>
    <row r="31" spans="1:62" s="13" customFormat="1" ht="30" customHeight="1">
      <c r="A31" s="88">
        <f t="shared" si="0"/>
        <v>22</v>
      </c>
      <c r="B31" s="88"/>
      <c r="C31" s="88"/>
      <c r="D31" s="60" t="s">
        <v>91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58" t="s">
        <v>50</v>
      </c>
      <c r="V31" s="59"/>
      <c r="W31" s="59"/>
      <c r="X31" s="59"/>
      <c r="Y31" s="63"/>
      <c r="Z31" s="58">
        <v>3</v>
      </c>
      <c r="AA31" s="59"/>
      <c r="AB31" s="63"/>
      <c r="AC31" s="60">
        <v>648</v>
      </c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2"/>
    </row>
    <row r="32" spans="1:62" s="13" customFormat="1" ht="30" customHeight="1">
      <c r="A32" s="88">
        <f t="shared" si="0"/>
        <v>23</v>
      </c>
      <c r="B32" s="88"/>
      <c r="C32" s="88"/>
      <c r="D32" s="60" t="s">
        <v>95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58" t="s">
        <v>79</v>
      </c>
      <c r="V32" s="59"/>
      <c r="W32" s="59"/>
      <c r="X32" s="59"/>
      <c r="Y32" s="63"/>
      <c r="Z32" s="58">
        <v>10</v>
      </c>
      <c r="AA32" s="59"/>
      <c r="AB32" s="63"/>
      <c r="AC32" s="60" t="s">
        <v>96</v>
      </c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2"/>
    </row>
    <row r="33" spans="1:62" s="13" customFormat="1" ht="30" customHeight="1">
      <c r="A33" s="88">
        <f t="shared" si="0"/>
        <v>24</v>
      </c>
      <c r="B33" s="88"/>
      <c r="C33" s="88"/>
      <c r="D33" s="60" t="s">
        <v>93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58" t="s">
        <v>50</v>
      </c>
      <c r="V33" s="59"/>
      <c r="W33" s="59"/>
      <c r="X33" s="59"/>
      <c r="Y33" s="63"/>
      <c r="Z33" s="58">
        <v>8</v>
      </c>
      <c r="AA33" s="59"/>
      <c r="AB33" s="63"/>
      <c r="AC33" s="60">
        <v>12345000</v>
      </c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2"/>
    </row>
    <row r="34" spans="1:62" s="13" customFormat="1" ht="30" customHeight="1">
      <c r="A34" s="88">
        <f t="shared" si="0"/>
        <v>25</v>
      </c>
      <c r="B34" s="88"/>
      <c r="C34" s="88"/>
      <c r="D34" s="60" t="s">
        <v>94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58" t="s">
        <v>79</v>
      </c>
      <c r="V34" s="59"/>
      <c r="W34" s="59"/>
      <c r="X34" s="59"/>
      <c r="Y34" s="63"/>
      <c r="Z34" s="58">
        <v>40</v>
      </c>
      <c r="AA34" s="59"/>
      <c r="AB34" s="63"/>
      <c r="AC34" s="60" t="s">
        <v>70</v>
      </c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2"/>
    </row>
    <row r="35" spans="1:62" s="13" customFormat="1" ht="30" customHeight="1">
      <c r="A35" s="77"/>
      <c r="B35" s="77"/>
      <c r="C35" s="77"/>
      <c r="D35" s="7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71"/>
      <c r="V35" s="72"/>
      <c r="W35" s="72"/>
      <c r="X35" s="72"/>
      <c r="Y35" s="73"/>
      <c r="Z35" s="71"/>
      <c r="AA35" s="72"/>
      <c r="AB35" s="73"/>
      <c r="AC35" s="78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80"/>
    </row>
    <row r="36" spans="1:62" ht="6.6" customHeight="1"/>
  </sheetData>
  <mergeCells count="161">
    <mergeCell ref="A24:C24"/>
    <mergeCell ref="D24:T24"/>
    <mergeCell ref="U24:Y24"/>
    <mergeCell ref="Z24:AB24"/>
    <mergeCell ref="AC24:BJ24"/>
    <mergeCell ref="D22:T22"/>
    <mergeCell ref="D23:T23"/>
    <mergeCell ref="A21:C21"/>
    <mergeCell ref="D21:T21"/>
    <mergeCell ref="U21:Y21"/>
    <mergeCell ref="Z21:AB21"/>
    <mergeCell ref="AC21:BJ21"/>
    <mergeCell ref="A22:C22"/>
    <mergeCell ref="U22:Y22"/>
    <mergeCell ref="Z22:AB22"/>
    <mergeCell ref="A23:C23"/>
    <mergeCell ref="AC35:BJ35"/>
    <mergeCell ref="AC18:BJ18"/>
    <mergeCell ref="AC17:BJ17"/>
    <mergeCell ref="AC19:BJ19"/>
    <mergeCell ref="AC20:BJ20"/>
    <mergeCell ref="AC22:BJ22"/>
    <mergeCell ref="AC23:BJ23"/>
    <mergeCell ref="AC28:BJ28"/>
    <mergeCell ref="AC26:BJ26"/>
    <mergeCell ref="A35:C35"/>
    <mergeCell ref="U35:Y35"/>
    <mergeCell ref="Z35:AB35"/>
    <mergeCell ref="D35:T35"/>
    <mergeCell ref="U23:Y23"/>
    <mergeCell ref="Z23:AB23"/>
    <mergeCell ref="A17:C17"/>
    <mergeCell ref="AC10:BJ10"/>
    <mergeCell ref="AC11:BJ11"/>
    <mergeCell ref="AC12:BJ12"/>
    <mergeCell ref="AC13:BJ13"/>
    <mergeCell ref="AC14:BJ14"/>
    <mergeCell ref="AC15:BJ15"/>
    <mergeCell ref="AC16:BJ16"/>
    <mergeCell ref="D10:T10"/>
    <mergeCell ref="D11:T11"/>
    <mergeCell ref="D12:T12"/>
    <mergeCell ref="D13:T13"/>
    <mergeCell ref="D14:T14"/>
    <mergeCell ref="D15:T15"/>
    <mergeCell ref="D16:T16"/>
    <mergeCell ref="U17:Y17"/>
    <mergeCell ref="Z17:AB17"/>
    <mergeCell ref="D18:T18"/>
    <mergeCell ref="D17:T17"/>
    <mergeCell ref="D19:T19"/>
    <mergeCell ref="D20:T20"/>
    <mergeCell ref="A19:C19"/>
    <mergeCell ref="U19:Y19"/>
    <mergeCell ref="Z19:AB19"/>
    <mergeCell ref="A20:C20"/>
    <mergeCell ref="U20:Y20"/>
    <mergeCell ref="Z20:AB20"/>
    <mergeCell ref="A18:C18"/>
    <mergeCell ref="U18:Y18"/>
    <mergeCell ref="Z18:AB18"/>
    <mergeCell ref="A10:C10"/>
    <mergeCell ref="U10:Y10"/>
    <mergeCell ref="Z10:AB10"/>
    <mergeCell ref="A16:C16"/>
    <mergeCell ref="U16:Y16"/>
    <mergeCell ref="Z16:AB16"/>
    <mergeCell ref="A15:C15"/>
    <mergeCell ref="U15:Y15"/>
    <mergeCell ref="Z15:AB15"/>
    <mergeCell ref="A11:C11"/>
    <mergeCell ref="U11:Y11"/>
    <mergeCell ref="Z11:AB11"/>
    <mergeCell ref="A12:C12"/>
    <mergeCell ref="U12:Y12"/>
    <mergeCell ref="Z12:AB12"/>
    <mergeCell ref="A13:C13"/>
    <mergeCell ref="U13:Y13"/>
    <mergeCell ref="Z13:AB13"/>
    <mergeCell ref="A14:C14"/>
    <mergeCell ref="U14:Y14"/>
    <mergeCell ref="Z14:AB14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28:C28"/>
    <mergeCell ref="Z25:AB25"/>
    <mergeCell ref="AC25:BJ25"/>
    <mergeCell ref="A27:C27"/>
    <mergeCell ref="D27:T27"/>
    <mergeCell ref="U27:Y27"/>
    <mergeCell ref="Z27:AB27"/>
    <mergeCell ref="AC27:BJ27"/>
    <mergeCell ref="D28:T28"/>
    <mergeCell ref="U28:Y28"/>
    <mergeCell ref="Z28:AB28"/>
    <mergeCell ref="A25:C25"/>
    <mergeCell ref="D25:T25"/>
    <mergeCell ref="U25:Y25"/>
    <mergeCell ref="A26:C26"/>
    <mergeCell ref="D26:T26"/>
    <mergeCell ref="U26:Y26"/>
    <mergeCell ref="Z26:AB26"/>
    <mergeCell ref="A29:C29"/>
    <mergeCell ref="D29:T29"/>
    <mergeCell ref="U29:Y29"/>
    <mergeCell ref="Z29:AB29"/>
    <mergeCell ref="AC29:BJ29"/>
    <mergeCell ref="A30:C30"/>
    <mergeCell ref="D30:T30"/>
    <mergeCell ref="U30:Y30"/>
    <mergeCell ref="Z30:AB30"/>
    <mergeCell ref="AC30:BJ30"/>
    <mergeCell ref="A31:C31"/>
    <mergeCell ref="D31:T31"/>
    <mergeCell ref="U31:Y31"/>
    <mergeCell ref="Z31:AB31"/>
    <mergeCell ref="AC31:BJ31"/>
    <mergeCell ref="A32:C32"/>
    <mergeCell ref="D32:T32"/>
    <mergeCell ref="U32:Y32"/>
    <mergeCell ref="Z32:AB32"/>
    <mergeCell ref="AC32:BJ32"/>
    <mergeCell ref="A33:C33"/>
    <mergeCell ref="D33:T33"/>
    <mergeCell ref="U33:Y33"/>
    <mergeCell ref="Z33:AB33"/>
    <mergeCell ref="AC33:BJ33"/>
    <mergeCell ref="A34:C34"/>
    <mergeCell ref="D34:T34"/>
    <mergeCell ref="U34:Y34"/>
    <mergeCell ref="Z34:AB34"/>
    <mergeCell ref="AC34:BJ34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28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56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102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101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4" t="s">
        <v>16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4" t="str">
        <f>項目定義書!L7</f>
        <v>棚卸資産振替データ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39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95" t="s">
        <v>40</v>
      </c>
      <c r="S8" s="96"/>
      <c r="T8" s="96"/>
      <c r="U8" s="97"/>
      <c r="V8" s="95" t="s">
        <v>41</v>
      </c>
      <c r="W8" s="96"/>
      <c r="X8" s="96"/>
      <c r="Y8" s="97"/>
      <c r="Z8" s="95" t="s">
        <v>42</v>
      </c>
      <c r="AA8" s="96"/>
      <c r="AB8" s="96"/>
      <c r="AC8" s="97"/>
      <c r="AD8" s="95" t="s">
        <v>43</v>
      </c>
      <c r="AE8" s="96"/>
      <c r="AF8" s="96"/>
      <c r="AG8" s="97"/>
      <c r="AH8" s="34" t="s">
        <v>44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95" t="s">
        <v>45</v>
      </c>
      <c r="BE8" s="96"/>
      <c r="BF8" s="96"/>
      <c r="BG8" s="96"/>
      <c r="BH8" s="96"/>
      <c r="BI8" s="96"/>
      <c r="BJ8" s="97"/>
    </row>
    <row r="9" spans="1:63" ht="40.5" customHeight="1">
      <c r="A9" s="81"/>
      <c r="B9" s="82"/>
      <c r="C9" s="83"/>
      <c r="D9" s="119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1"/>
      <c r="R9" s="122"/>
      <c r="S9" s="123"/>
      <c r="T9" s="123"/>
      <c r="U9" s="124"/>
      <c r="V9" s="122"/>
      <c r="W9" s="123"/>
      <c r="X9" s="123"/>
      <c r="Y9" s="124"/>
      <c r="Z9" s="122"/>
      <c r="AA9" s="123"/>
      <c r="AB9" s="123"/>
      <c r="AC9" s="124"/>
      <c r="AD9" s="122"/>
      <c r="AE9" s="123"/>
      <c r="AF9" s="123"/>
      <c r="AG9" s="124"/>
      <c r="AH9" s="125" t="s">
        <v>88</v>
      </c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7"/>
      <c r="BD9" s="122"/>
      <c r="BE9" s="123"/>
      <c r="BF9" s="123"/>
      <c r="BG9" s="123"/>
      <c r="BH9" s="123"/>
      <c r="BI9" s="123"/>
      <c r="BJ9" s="124"/>
    </row>
    <row r="10" spans="1:63" ht="40.5" customHeight="1">
      <c r="A10" s="58"/>
      <c r="B10" s="59"/>
      <c r="C10" s="63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00"/>
      <c r="R10" s="101"/>
      <c r="S10" s="102"/>
      <c r="T10" s="102"/>
      <c r="U10" s="103"/>
      <c r="V10" s="101"/>
      <c r="W10" s="102"/>
      <c r="X10" s="102"/>
      <c r="Y10" s="103"/>
      <c r="Z10" s="101"/>
      <c r="AA10" s="102"/>
      <c r="AB10" s="102"/>
      <c r="AC10" s="103"/>
      <c r="AD10" s="101"/>
      <c r="AE10" s="102"/>
      <c r="AF10" s="102"/>
      <c r="AG10" s="103"/>
      <c r="AH10" s="107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6"/>
      <c r="BD10" s="101"/>
      <c r="BE10" s="102"/>
      <c r="BF10" s="102"/>
      <c r="BG10" s="102"/>
      <c r="BH10" s="102"/>
      <c r="BI10" s="102"/>
      <c r="BJ10" s="103"/>
    </row>
    <row r="11" spans="1:63" ht="40.5" customHeight="1">
      <c r="A11" s="58"/>
      <c r="B11" s="59"/>
      <c r="C11" s="63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00"/>
      <c r="R11" s="101"/>
      <c r="S11" s="102"/>
      <c r="T11" s="102"/>
      <c r="U11" s="103"/>
      <c r="V11" s="101"/>
      <c r="W11" s="102"/>
      <c r="X11" s="102"/>
      <c r="Y11" s="103"/>
      <c r="Z11" s="101"/>
      <c r="AA11" s="102"/>
      <c r="AB11" s="102"/>
      <c r="AC11" s="103"/>
      <c r="AD11" s="101"/>
      <c r="AE11" s="102"/>
      <c r="AF11" s="102"/>
      <c r="AG11" s="103"/>
      <c r="AH11" s="107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6"/>
      <c r="BD11" s="101"/>
      <c r="BE11" s="102"/>
      <c r="BF11" s="102"/>
      <c r="BG11" s="102"/>
      <c r="BH11" s="102"/>
      <c r="BI11" s="102"/>
      <c r="BJ11" s="103"/>
    </row>
    <row r="12" spans="1:63" ht="40.5" customHeight="1">
      <c r="A12" s="58"/>
      <c r="B12" s="59"/>
      <c r="C12" s="63"/>
      <c r="D12" s="98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00"/>
      <c r="R12" s="101"/>
      <c r="S12" s="102"/>
      <c r="T12" s="102"/>
      <c r="U12" s="103"/>
      <c r="V12" s="101"/>
      <c r="W12" s="102"/>
      <c r="X12" s="102"/>
      <c r="Y12" s="103"/>
      <c r="Z12" s="101"/>
      <c r="AA12" s="102"/>
      <c r="AB12" s="102"/>
      <c r="AC12" s="103"/>
      <c r="AD12" s="101"/>
      <c r="AE12" s="102"/>
      <c r="AF12" s="102"/>
      <c r="AG12" s="103"/>
      <c r="AH12" s="10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8"/>
      <c r="BD12" s="101"/>
      <c r="BE12" s="102"/>
      <c r="BF12" s="102"/>
      <c r="BG12" s="102"/>
      <c r="BH12" s="102"/>
      <c r="BI12" s="102"/>
      <c r="BJ12" s="103"/>
    </row>
    <row r="13" spans="1:63" ht="60" customHeight="1">
      <c r="A13" s="58"/>
      <c r="B13" s="59"/>
      <c r="C13" s="63"/>
      <c r="D13" s="98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00"/>
      <c r="R13" s="101"/>
      <c r="S13" s="102"/>
      <c r="T13" s="102"/>
      <c r="U13" s="103"/>
      <c r="V13" s="101"/>
      <c r="W13" s="102"/>
      <c r="X13" s="102"/>
      <c r="Y13" s="103"/>
      <c r="Z13" s="101"/>
      <c r="AA13" s="102"/>
      <c r="AB13" s="102"/>
      <c r="AC13" s="103"/>
      <c r="AD13" s="101"/>
      <c r="AE13" s="102"/>
      <c r="AF13" s="102"/>
      <c r="AG13" s="103"/>
      <c r="AH13" s="107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6"/>
      <c r="BD13" s="101"/>
      <c r="BE13" s="102"/>
      <c r="BF13" s="102"/>
      <c r="BG13" s="102"/>
      <c r="BH13" s="102"/>
      <c r="BI13" s="102"/>
      <c r="BJ13" s="103"/>
    </row>
    <row r="14" spans="1:63" ht="40.5" customHeight="1">
      <c r="A14" s="58"/>
      <c r="B14" s="59"/>
      <c r="C14" s="63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00"/>
      <c r="R14" s="101"/>
      <c r="S14" s="102"/>
      <c r="T14" s="102"/>
      <c r="U14" s="103"/>
      <c r="V14" s="101"/>
      <c r="W14" s="102"/>
      <c r="X14" s="102"/>
      <c r="Y14" s="103"/>
      <c r="Z14" s="101"/>
      <c r="AA14" s="102"/>
      <c r="AB14" s="102"/>
      <c r="AC14" s="103"/>
      <c r="AD14" s="101"/>
      <c r="AE14" s="102"/>
      <c r="AF14" s="102"/>
      <c r="AG14" s="103"/>
      <c r="AH14" s="104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6"/>
      <c r="BD14" s="101"/>
      <c r="BE14" s="102"/>
      <c r="BF14" s="102"/>
      <c r="BG14" s="102"/>
      <c r="BH14" s="102"/>
      <c r="BI14" s="102"/>
      <c r="BJ14" s="103"/>
    </row>
    <row r="15" spans="1:63" ht="40.5" customHeight="1">
      <c r="A15" s="58"/>
      <c r="B15" s="59"/>
      <c r="C15" s="63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00"/>
      <c r="R15" s="101"/>
      <c r="S15" s="102"/>
      <c r="T15" s="102"/>
      <c r="U15" s="103"/>
      <c r="V15" s="101"/>
      <c r="W15" s="102"/>
      <c r="X15" s="102"/>
      <c r="Y15" s="103"/>
      <c r="Z15" s="101"/>
      <c r="AA15" s="102"/>
      <c r="AB15" s="102"/>
      <c r="AC15" s="103"/>
      <c r="AD15" s="101"/>
      <c r="AE15" s="102"/>
      <c r="AF15" s="102"/>
      <c r="AG15" s="103"/>
      <c r="AH15" s="104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6"/>
      <c r="BD15" s="101"/>
      <c r="BE15" s="102"/>
      <c r="BF15" s="102"/>
      <c r="BG15" s="102"/>
      <c r="BH15" s="102"/>
      <c r="BI15" s="102"/>
      <c r="BJ15" s="103"/>
    </row>
    <row r="16" spans="1:63" ht="40.5" customHeight="1">
      <c r="A16" s="58"/>
      <c r="B16" s="59"/>
      <c r="C16" s="63"/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00"/>
      <c r="R16" s="101"/>
      <c r="S16" s="102"/>
      <c r="T16" s="102"/>
      <c r="U16" s="103"/>
      <c r="V16" s="101"/>
      <c r="W16" s="102"/>
      <c r="X16" s="102"/>
      <c r="Y16" s="103"/>
      <c r="Z16" s="101"/>
      <c r="AA16" s="102"/>
      <c r="AB16" s="102"/>
      <c r="AC16" s="103"/>
      <c r="AD16" s="101"/>
      <c r="AE16" s="102"/>
      <c r="AF16" s="102"/>
      <c r="AG16" s="103"/>
      <c r="AH16" s="107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6"/>
      <c r="BD16" s="101"/>
      <c r="BE16" s="102"/>
      <c r="BF16" s="102"/>
      <c r="BG16" s="102"/>
      <c r="BH16" s="102"/>
      <c r="BI16" s="102"/>
      <c r="BJ16" s="103"/>
    </row>
    <row r="17" spans="1:62" s="11" customFormat="1" ht="40.5" customHeight="1">
      <c r="A17" s="58"/>
      <c r="B17" s="59"/>
      <c r="C17" s="63"/>
      <c r="D17" s="98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00"/>
      <c r="R17" s="101"/>
      <c r="S17" s="102"/>
      <c r="T17" s="102"/>
      <c r="U17" s="103"/>
      <c r="V17" s="101"/>
      <c r="W17" s="102"/>
      <c r="X17" s="102"/>
      <c r="Y17" s="103"/>
      <c r="Z17" s="101"/>
      <c r="AA17" s="102"/>
      <c r="AB17" s="102"/>
      <c r="AC17" s="103"/>
      <c r="AD17" s="101"/>
      <c r="AE17" s="102"/>
      <c r="AF17" s="102"/>
      <c r="AG17" s="103"/>
      <c r="AH17" s="104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6"/>
      <c r="BD17" s="101"/>
      <c r="BE17" s="102"/>
      <c r="BF17" s="102"/>
      <c r="BG17" s="102"/>
      <c r="BH17" s="102"/>
      <c r="BI17" s="102"/>
      <c r="BJ17" s="103"/>
    </row>
    <row r="18" spans="1:62" ht="40.5" customHeight="1">
      <c r="A18" s="71"/>
      <c r="B18" s="72"/>
      <c r="C18" s="7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111"/>
      <c r="S18" s="112"/>
      <c r="T18" s="112"/>
      <c r="U18" s="113"/>
      <c r="V18" s="111"/>
      <c r="W18" s="112"/>
      <c r="X18" s="112"/>
      <c r="Y18" s="113"/>
      <c r="Z18" s="111"/>
      <c r="AA18" s="112"/>
      <c r="AB18" s="112"/>
      <c r="AC18" s="113"/>
      <c r="AD18" s="111"/>
      <c r="AE18" s="112"/>
      <c r="AF18" s="112"/>
      <c r="AG18" s="113"/>
      <c r="AH18" s="108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10"/>
      <c r="BD18" s="111"/>
      <c r="BE18" s="112"/>
      <c r="BF18" s="112"/>
      <c r="BG18" s="112"/>
      <c r="BH18" s="112"/>
      <c r="BI18" s="112"/>
      <c r="BJ18" s="113"/>
    </row>
    <row r="19" spans="1:62" s="10" customFormat="1" ht="6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62" ht="24" customHeight="1"/>
    <row r="21" spans="1:62" ht="24" customHeight="1"/>
    <row r="22" spans="1:62" ht="24" customHeight="1"/>
    <row r="23" spans="1:62" ht="24" customHeight="1"/>
    <row r="24" spans="1:62" ht="24" customHeight="1"/>
    <row r="25" spans="1:62" ht="17.100000000000001" customHeight="1"/>
    <row r="26" spans="1:62" ht="17.100000000000001" customHeight="1"/>
    <row r="27" spans="1:62" ht="17.100000000000001" customHeight="1"/>
    <row r="28" spans="1:62" ht="17.100000000000001" customHeight="1"/>
  </sheetData>
  <mergeCells count="101"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6:BC16"/>
    <mergeCell ref="BD16:BJ16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9:C9"/>
    <mergeCell ref="D9:Q9"/>
    <mergeCell ref="R9:U9"/>
    <mergeCell ref="V9:Y9"/>
    <mergeCell ref="Z9:AC9"/>
    <mergeCell ref="AD9:AG9"/>
    <mergeCell ref="AH9:BC9"/>
    <mergeCell ref="BD9:BJ9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H18:BC18"/>
    <mergeCell ref="BD18:BJ18"/>
    <mergeCell ref="A18:C18"/>
    <mergeCell ref="D18:Q18"/>
    <mergeCell ref="R18:U18"/>
    <mergeCell ref="V18:Y18"/>
    <mergeCell ref="Z18:AC18"/>
    <mergeCell ref="AD18:AG18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8:BC8"/>
    <mergeCell ref="BD8:BJ8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8:C8"/>
    <mergeCell ref="D8:Q8"/>
    <mergeCell ref="R8:U8"/>
    <mergeCell ref="V8:Y8"/>
    <mergeCell ref="Z8:AC8"/>
    <mergeCell ref="AD8:AG8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46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102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34" t="s">
        <v>101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4" t="s">
        <v>16</v>
      </c>
      <c r="B6" s="65"/>
      <c r="C6" s="65"/>
      <c r="D6" s="65"/>
      <c r="E6" s="65"/>
      <c r="F6" s="65"/>
      <c r="G6" s="65"/>
      <c r="H6" s="65"/>
      <c r="I6" s="65"/>
      <c r="J6" s="65"/>
      <c r="K6" s="66"/>
      <c r="L6" s="64" t="str">
        <f>項目定義書!L7</f>
        <v>棚卸資産振替データ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99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47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95" t="s">
        <v>45</v>
      </c>
      <c r="BE8" s="96"/>
      <c r="BF8" s="96"/>
      <c r="BG8" s="96"/>
      <c r="BH8" s="96"/>
      <c r="BI8" s="96"/>
      <c r="BJ8" s="97"/>
    </row>
    <row r="9" spans="1:63" ht="40.5" customHeight="1">
      <c r="A9" s="58"/>
      <c r="B9" s="59"/>
      <c r="C9" s="63"/>
      <c r="D9" s="98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100"/>
      <c r="R9" s="98" t="s">
        <v>88</v>
      </c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100"/>
      <c r="BD9" s="101"/>
      <c r="BE9" s="102"/>
      <c r="BF9" s="102"/>
      <c r="BG9" s="102"/>
      <c r="BH9" s="102"/>
      <c r="BI9" s="102"/>
      <c r="BJ9" s="103"/>
    </row>
    <row r="10" spans="1:63" ht="40.5" customHeight="1">
      <c r="A10" s="58"/>
      <c r="B10" s="59"/>
      <c r="C10" s="63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00"/>
      <c r="R10" s="98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100"/>
      <c r="BD10" s="101"/>
      <c r="BE10" s="102"/>
      <c r="BF10" s="102"/>
      <c r="BG10" s="102"/>
      <c r="BH10" s="102"/>
      <c r="BI10" s="102"/>
      <c r="BJ10" s="103"/>
    </row>
    <row r="11" spans="1:63" ht="40.5" customHeight="1">
      <c r="A11" s="58"/>
      <c r="B11" s="59"/>
      <c r="C11" s="63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00"/>
      <c r="R11" s="98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100"/>
      <c r="BD11" s="101"/>
      <c r="BE11" s="102"/>
      <c r="BF11" s="102"/>
      <c r="BG11" s="102"/>
      <c r="BH11" s="102"/>
      <c r="BI11" s="102"/>
      <c r="BJ11" s="103"/>
    </row>
    <row r="12" spans="1:63" ht="40.5" customHeight="1">
      <c r="A12" s="58"/>
      <c r="B12" s="59"/>
      <c r="C12" s="63"/>
      <c r="D12" s="98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00"/>
      <c r="R12" s="98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100"/>
      <c r="BD12" s="101"/>
      <c r="BE12" s="102"/>
      <c r="BF12" s="102"/>
      <c r="BG12" s="102"/>
      <c r="BH12" s="102"/>
      <c r="BI12" s="102"/>
      <c r="BJ12" s="103"/>
    </row>
    <row r="13" spans="1:63" ht="40.5" customHeight="1">
      <c r="A13" s="58"/>
      <c r="B13" s="59"/>
      <c r="C13" s="63"/>
      <c r="D13" s="98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00"/>
      <c r="R13" s="98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100"/>
      <c r="BD13" s="101"/>
      <c r="BE13" s="102"/>
      <c r="BF13" s="102"/>
      <c r="BG13" s="102"/>
      <c r="BH13" s="102"/>
      <c r="BI13" s="102"/>
      <c r="BJ13" s="103"/>
    </row>
    <row r="14" spans="1:63" ht="40.5" customHeight="1">
      <c r="A14" s="58"/>
      <c r="B14" s="59"/>
      <c r="C14" s="63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00"/>
      <c r="R14" s="98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100"/>
      <c r="BD14" s="101"/>
      <c r="BE14" s="102"/>
      <c r="BF14" s="102"/>
      <c r="BG14" s="102"/>
      <c r="BH14" s="102"/>
      <c r="BI14" s="102"/>
      <c r="BJ14" s="103"/>
    </row>
    <row r="15" spans="1:63" ht="40.5" customHeight="1">
      <c r="A15" s="58"/>
      <c r="B15" s="59"/>
      <c r="C15" s="63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00"/>
      <c r="R15" s="98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100"/>
      <c r="BD15" s="101"/>
      <c r="BE15" s="102"/>
      <c r="BF15" s="102"/>
      <c r="BG15" s="102"/>
      <c r="BH15" s="102"/>
      <c r="BI15" s="102"/>
      <c r="BJ15" s="103"/>
    </row>
    <row r="16" spans="1:63" ht="40.5" customHeight="1">
      <c r="A16" s="58"/>
      <c r="B16" s="59"/>
      <c r="C16" s="63"/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00"/>
      <c r="R16" s="98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100"/>
      <c r="BD16" s="101"/>
      <c r="BE16" s="102"/>
      <c r="BF16" s="102"/>
      <c r="BG16" s="102"/>
      <c r="BH16" s="102"/>
      <c r="BI16" s="102"/>
      <c r="BJ16" s="103"/>
    </row>
    <row r="17" spans="1:62" ht="40.5" customHeight="1">
      <c r="A17" s="58"/>
      <c r="B17" s="59"/>
      <c r="C17" s="63"/>
      <c r="D17" s="98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00"/>
      <c r="R17" s="98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100"/>
      <c r="BD17" s="101"/>
      <c r="BE17" s="102"/>
      <c r="BF17" s="102"/>
      <c r="BG17" s="102"/>
      <c r="BH17" s="102"/>
      <c r="BI17" s="102"/>
      <c r="BJ17" s="103"/>
    </row>
    <row r="18" spans="1:62" ht="40.5" customHeight="1">
      <c r="A18" s="71"/>
      <c r="B18" s="72"/>
      <c r="C18" s="7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114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  <c r="BD18" s="111"/>
      <c r="BE18" s="112"/>
      <c r="BF18" s="112"/>
      <c r="BG18" s="112"/>
      <c r="BH18" s="112"/>
      <c r="BI18" s="112"/>
      <c r="BJ18" s="113"/>
    </row>
    <row r="19" spans="1:62" s="10" customFormat="1" ht="6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62" ht="21" customHeight="1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17.100000000000001" customHeight="1"/>
    <row r="30" spans="1:62" ht="17.100000000000001" customHeight="1"/>
    <row r="31" spans="1:62" ht="17.100000000000001" customHeight="1"/>
    <row r="32" spans="1:62" ht="17.100000000000001" customHeight="1"/>
  </sheetData>
  <mergeCells count="57">
    <mergeCell ref="A18:C18"/>
    <mergeCell ref="D18:Q18"/>
    <mergeCell ref="R18:BC18"/>
    <mergeCell ref="BD18:BJ18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0:C10"/>
    <mergeCell ref="D10:Q10"/>
    <mergeCell ref="R10:BC10"/>
    <mergeCell ref="BD10:BJ10"/>
    <mergeCell ref="A13:C13"/>
    <mergeCell ref="D13:Q13"/>
    <mergeCell ref="R13:BC13"/>
    <mergeCell ref="BD13:BJ13"/>
    <mergeCell ref="A11:C11"/>
    <mergeCell ref="D11:Q11"/>
    <mergeCell ref="R11:BC11"/>
    <mergeCell ref="BD11:BJ11"/>
    <mergeCell ref="A12:C12"/>
    <mergeCell ref="D12:Q12"/>
    <mergeCell ref="R12:BC12"/>
    <mergeCell ref="BD12:BJ12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896B3A-48CA-44F2-A631-51CD74693BB3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4a1f72ec-30b8-4383-892a-fcacdd251f13"/>
    <ds:schemaRef ds:uri="http://schemas.openxmlformats.org/package/2006/metadata/core-properties"/>
    <ds:schemaRef ds:uri="b9cc7365-e218-4624-aedb-0a55e821af1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2025-08-25T03:36:45Z</cp:lastPrinted>
  <dcterms:created xsi:type="dcterms:W3CDTF">2001-03-06T02:20:07Z</dcterms:created>
  <dcterms:modified xsi:type="dcterms:W3CDTF">2025-08-26T06:39:03Z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