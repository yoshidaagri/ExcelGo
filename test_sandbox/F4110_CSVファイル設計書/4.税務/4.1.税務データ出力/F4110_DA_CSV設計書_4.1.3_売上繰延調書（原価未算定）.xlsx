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4.税務\4.1.税務データ出力\"/>
    </mc:Choice>
  </mc:AlternateContent>
  <xr:revisionPtr revIDLastSave="0" documentId="13_ncr:1_{6217E14E-CCB8-407D-929A-FEEA72C46048}" xr6:coauthVersionLast="47" xr6:coauthVersionMax="47" xr10:uidLastSave="{00000000-0000-0000-0000-000000000000}"/>
  <bookViews>
    <workbookView xWindow="-108" yWindow="-108" windowWidth="23256" windowHeight="13896" xr2:uid="{DCB1B4D9-B041-463C-ACAE-93A706C955C4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3" hidden="1">CSVイメージ_データ!$A$3:$AB$3</definedName>
    <definedName name="_xlnm._FilterDatabase" localSheetId="1" hidden="1">項目定義書!$A$24:$BJ$52</definedName>
    <definedName name="_xlnm.Print_Area" localSheetId="2">CSVイメージ!$A$1:$BJ$42</definedName>
    <definedName name="_xlnm.Print_Area" localSheetId="1">項目定義書!$A$1:$BJ$58</definedName>
    <definedName name="_xlnm.Print_Area" localSheetId="5">取込チェック・関連!$A$1:$BJ$42</definedName>
    <definedName name="_xlnm.Print_Area" localSheetId="4">取込チェック・単体!$A$1:$BJ$42</definedName>
    <definedName name="_xlnm.Print_Area" localSheetId="0">変更履歴!$A$1:$BJ$58</definedName>
    <definedName name="_xlnm.Print_Titles" localSheetId="2">CSVイメージ!$1:$9</definedName>
    <definedName name="_xlnm.Print_Titles" localSheetId="1">項目定義書!$1:$24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32" l="1"/>
  <c r="Z5" i="32"/>
  <c r="Z4" i="32"/>
  <c r="BF6" i="3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4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4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4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4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4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4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<sst xmlns="http://schemas.openxmlformats.org/spreadsheetml/2006/main" count="478" uniqueCount="213">
  <si>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</si>
  <si>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</si>
  <si>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</si>
  <si>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</si>
  <si>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</si>
  <si>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</si>
  <si>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</si>
  <si>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</si>
  <si>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</si>
  <si>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</si>
  <si>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</si>
  <si>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</si>
  <si>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</si>
  <si>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</si>
  <si>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</si>
  <si>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</si>
  <si>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</si>
  <si>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</si>
  <si>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</si>
  <si>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</si>
  <si>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</si>
  <si>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</si>
  <si>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</si>
  <si>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</si>
  <si>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</si>
  <si>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</si>
  <si>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</si>
  <si>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</si>
  <si>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</si>
  <si>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</si>
  <si>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</si>
  <si>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</si>
  <si>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</si>
  <si>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</si>
  <si>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</si>
  <si>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</si>
  <si>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</si>
  <si>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</si>
  <si>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</si>
  <si>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</si>
  <si>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</si>
  <si>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</si>
  <si>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</si>
  <si>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</si>
  <si>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</si>
  <si>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</si>
  <si>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</si>
  <si>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</si>
  <si>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</si>
  <si>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</si>
  <si>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</si>
  <si>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</si>
  <si>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</si>
  <si>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漢字</t>
    <rPh sb="0" eb="2">
      <t>カンジ</t>
    </rPh>
    <phoneticPr fontId="1"/>
  </si>
  <si>
    <t>取扱区分名称</t>
    <rPh sb="0" eb="6">
      <t>トリアツカイクブンメイショウ</t>
    </rPh>
    <phoneticPr fontId="1"/>
  </si>
  <si>
    <t>収支管理品目コード</t>
    <rPh sb="0" eb="6">
      <t>シュウシカンリヒンモク</t>
    </rPh>
    <phoneticPr fontId="1"/>
  </si>
  <si>
    <t>収支管理品目名称</t>
    <rPh sb="0" eb="6">
      <t>シュウシカンリヒンモク</t>
    </rPh>
    <rPh sb="6" eb="8">
      <t>メイショウ</t>
    </rPh>
    <phoneticPr fontId="1"/>
  </si>
  <si>
    <t>年産</t>
    <rPh sb="0" eb="2">
      <t>ネンサン</t>
    </rPh>
    <phoneticPr fontId="1"/>
  </si>
  <si>
    <t>売上金額</t>
    <rPh sb="0" eb="4">
      <t>ウリアゲキンガク</t>
    </rPh>
    <phoneticPr fontId="1"/>
  </si>
  <si>
    <t>売上原価</t>
    <rPh sb="0" eb="4">
      <t>ウリアゲゲンカ</t>
    </rPh>
    <phoneticPr fontId="1"/>
  </si>
  <si>
    <t>差引手数料</t>
    <rPh sb="0" eb="5">
      <t>サシヒキテスウリョウ</t>
    </rPh>
    <phoneticPr fontId="1"/>
  </si>
  <si>
    <t>英数字</t>
  </si>
  <si>
    <t>漢字</t>
  </si>
  <si>
    <t>勘定科目コード</t>
    <rPh sb="0" eb="4">
      <t>カンジョウカモク</t>
    </rPh>
    <phoneticPr fontId="1"/>
  </si>
  <si>
    <t>勘定科目名称</t>
    <rPh sb="0" eb="6">
      <t>カンジョウカモクメイショウ</t>
    </rPh>
    <phoneticPr fontId="1"/>
  </si>
  <si>
    <t>業種コード</t>
    <rPh sb="0" eb="2">
      <t>ギョウシュ</t>
    </rPh>
    <phoneticPr fontId="1"/>
  </si>
  <si>
    <t>業種名称</t>
    <rPh sb="0" eb="4">
      <t>ギョウシュメイショウ</t>
    </rPh>
    <phoneticPr fontId="1"/>
  </si>
  <si>
    <t>202504</t>
  </si>
  <si>
    <t>購買品</t>
    <rPh sb="0" eb="3">
      <t>コウバイヒン</t>
    </rPh>
    <phoneticPr fontId="1"/>
  </si>
  <si>
    <t>農薬</t>
    <rPh sb="0" eb="2">
      <t>ノウヤク</t>
    </rPh>
    <phoneticPr fontId="1"/>
  </si>
  <si>
    <t>52</t>
  </si>
  <si>
    <t>143494</t>
  </si>
  <si>
    <t>パワーガイザー液剤　３Ｘ６</t>
  </si>
  <si>
    <t>本所</t>
    <rPh sb="0" eb="2">
      <t>ホンショ</t>
    </rPh>
    <phoneticPr fontId="1"/>
  </si>
  <si>
    <t>売上繰延調書（原価未算定）</t>
    <phoneticPr fontId="1"/>
  </si>
  <si>
    <t>事業所名称</t>
    <rPh sb="0" eb="3">
      <t>ジギョウショ</t>
    </rPh>
    <rPh sb="3" eb="5">
      <t>メイショウ</t>
    </rPh>
    <phoneticPr fontId="1"/>
  </si>
  <si>
    <t>業種計</t>
    <rPh sb="0" eb="3">
      <t>ギョウシュケイ</t>
    </rPh>
    <phoneticPr fontId="1"/>
  </si>
  <si>
    <t>明細</t>
    <rPh sb="0" eb="2">
      <t>メイサイ</t>
    </rPh>
    <phoneticPr fontId="1"/>
  </si>
  <si>
    <t>クルーザーＦＳ３０　２５０×２０</t>
    <phoneticPr fontId="1"/>
  </si>
  <si>
    <t>オイルエレメント建機用</t>
    <phoneticPr fontId="1"/>
  </si>
  <si>
    <t>小豆　２５０Ｇ／２０×２</t>
    <phoneticPr fontId="1"/>
  </si>
  <si>
    <t>193230</t>
    <phoneticPr fontId="1"/>
  </si>
  <si>
    <t>販売品</t>
    <rPh sb="0" eb="3">
      <t>ハンバイヒン</t>
    </rPh>
    <phoneticPr fontId="1"/>
  </si>
  <si>
    <t>53</t>
    <phoneticPr fontId="1"/>
  </si>
  <si>
    <t>雑穀</t>
    <phoneticPr fontId="1"/>
  </si>
  <si>
    <t>農機自動車</t>
    <rPh sb="0" eb="2">
      <t>ノウキ</t>
    </rPh>
    <rPh sb="2" eb="5">
      <t>ジドウシャ</t>
    </rPh>
    <phoneticPr fontId="1"/>
  </si>
  <si>
    <t>54</t>
  </si>
  <si>
    <t>名古屋支店</t>
    <phoneticPr fontId="1"/>
  </si>
  <si>
    <t>255094</t>
  </si>
  <si>
    <t>255094</t>
    <phoneticPr fontId="1"/>
  </si>
  <si>
    <t>248461</t>
    <phoneticPr fontId="1"/>
  </si>
  <si>
    <t>購買諸口（岩見沢）滝川種苗</t>
  </si>
  <si>
    <t>愛知県生活協同組合連合会</t>
    <phoneticPr fontId="1"/>
  </si>
  <si>
    <t>広川（株）岡山支店</t>
    <phoneticPr fontId="1"/>
  </si>
  <si>
    <t>宗谷南農協枝幸ＳＳ</t>
    <phoneticPr fontId="1"/>
  </si>
  <si>
    <t>事業所コード</t>
    <phoneticPr fontId="1"/>
  </si>
  <si>
    <t>90</t>
    <phoneticPr fontId="1"/>
  </si>
  <si>
    <t>91</t>
    <phoneticPr fontId="1"/>
  </si>
  <si>
    <t>※値は全てサンプルです</t>
    <rPh sb="1" eb="2">
      <t>アタイ</t>
    </rPh>
    <rPh sb="3" eb="4">
      <t>スベ</t>
    </rPh>
    <phoneticPr fontId="1"/>
  </si>
  <si>
    <t>取引先コード</t>
    <rPh sb="0" eb="3">
      <t>トリヒキサキ</t>
    </rPh>
    <phoneticPr fontId="1"/>
  </si>
  <si>
    <t>対象年月</t>
    <phoneticPr fontId="1"/>
  </si>
  <si>
    <t>集計区分</t>
    <rPh sb="0" eb="4">
      <t>シュウケイクブン</t>
    </rPh>
    <phoneticPr fontId="1"/>
  </si>
  <si>
    <t>集計区分名称</t>
    <rPh sb="0" eb="6">
      <t>シュウケイクブンメイショウ</t>
    </rPh>
    <phoneticPr fontId="1"/>
  </si>
  <si>
    <t>02</t>
    <phoneticPr fontId="1"/>
  </si>
  <si>
    <t>kg</t>
    <phoneticPr fontId="1"/>
  </si>
  <si>
    <t>集計区分</t>
    <rPh sb="0" eb="2">
      <t>シュウケイ</t>
    </rPh>
    <rPh sb="2" eb="4">
      <t>クブン</t>
    </rPh>
    <phoneticPr fontId="1"/>
  </si>
  <si>
    <t>集計区分名称</t>
    <rPh sb="0" eb="2">
      <t>シュウケイ</t>
    </rPh>
    <rPh sb="2" eb="4">
      <t>クブン</t>
    </rPh>
    <rPh sb="4" eb="6">
      <t>メイショウ</t>
    </rPh>
    <phoneticPr fontId="1"/>
  </si>
  <si>
    <t>雑穀</t>
  </si>
  <si>
    <t>91</t>
  </si>
  <si>
    <t>名古屋支店</t>
  </si>
  <si>
    <t>広川（株）岡山支店</t>
  </si>
  <si>
    <t>小豆　２５０Ｇ／２０×２</t>
  </si>
  <si>
    <t>kg</t>
  </si>
  <si>
    <t>6000</t>
  </si>
  <si>
    <t>取扱区分</t>
    <rPh sb="0" eb="2">
      <t>トリアツカイ</t>
    </rPh>
    <rPh sb="2" eb="4">
      <t>クブン</t>
    </rPh>
    <phoneticPr fontId="1"/>
  </si>
  <si>
    <t>20250301</t>
    <phoneticPr fontId="1"/>
  </si>
  <si>
    <t>20250401</t>
    <phoneticPr fontId="1"/>
  </si>
  <si>
    <t>20250302</t>
    <phoneticPr fontId="1"/>
  </si>
  <si>
    <t>20250402</t>
    <phoneticPr fontId="1"/>
  </si>
  <si>
    <t>20250303</t>
    <phoneticPr fontId="1"/>
  </si>
  <si>
    <t>20250403</t>
    <phoneticPr fontId="1"/>
  </si>
  <si>
    <t>20250304</t>
    <phoneticPr fontId="1"/>
  </si>
  <si>
    <t>20250404</t>
    <phoneticPr fontId="1"/>
  </si>
  <si>
    <t>20250305</t>
    <phoneticPr fontId="1"/>
  </si>
  <si>
    <t>20250405</t>
    <phoneticPr fontId="1"/>
  </si>
  <si>
    <t>20250306</t>
    <phoneticPr fontId="1"/>
  </si>
  <si>
    <t>20250406</t>
    <phoneticPr fontId="1"/>
  </si>
  <si>
    <t>受払組織コード</t>
    <rPh sb="0" eb="4">
      <t>ウケハライソシキ</t>
    </rPh>
    <phoneticPr fontId="1"/>
  </si>
  <si>
    <t>受払組織名称</t>
    <rPh sb="0" eb="4">
      <t>ウケハライソシキ</t>
    </rPh>
    <rPh sb="4" eb="6">
      <t>メイショウ</t>
    </rPh>
    <phoneticPr fontId="1"/>
  </si>
  <si>
    <t>買取</t>
    <rPh sb="0" eb="2">
      <t>カイトリ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</si>
  <si>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</si>
  <si>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</si>
  <si>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</si>
  <si>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</si>
  <si>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事業所コード</t>
  </si>
  <si>
    <t>事業所コード</t>
    <rPh sb="0" eb="3">
      <t>ジギョウショ</t>
    </rPh>
    <phoneticPr fontId="1"/>
  </si>
  <si>
    <t>受払組織コード</t>
    <rPh sb="0" eb="4">
      <t>ウケハライソシキ</t>
    </rPh>
    <phoneticPr fontId="1"/>
  </si>
  <si>
    <t>取引先コード</t>
    <rPh sb="0" eb="3">
      <t>トリヒキサキ</t>
    </rPh>
    <phoneticPr fontId="1"/>
  </si>
  <si>
    <t>取扱区分</t>
    <rPh sb="0" eb="4">
      <t>トリアツカイクブン</t>
    </rPh>
    <phoneticPr fontId="1"/>
  </si>
  <si>
    <t>収支管理品目コード</t>
    <rPh sb="0" eb="6">
      <t>シュウシカンリヒンモク</t>
    </rPh>
    <phoneticPr fontId="1"/>
  </si>
  <si>
    <t>年産</t>
    <rPh sb="0" eb="2">
      <t>ネンサン</t>
    </rPh>
    <phoneticPr fontId="1"/>
  </si>
  <si>
    <t>経理日</t>
    <rPh sb="0" eb="3">
      <t>ケイリビ</t>
    </rPh>
    <phoneticPr fontId="1"/>
  </si>
  <si>
    <t>入出荷日</t>
    <rPh sb="0" eb="4">
      <t>ニュウシュッカビ</t>
    </rPh>
    <phoneticPr fontId="1"/>
  </si>
  <si>
    <t>入出荷日</t>
    <rPh sb="0" eb="4">
      <t>ニュウシュッカビ</t>
    </rPh>
    <phoneticPr fontId="1"/>
  </si>
  <si>
    <t>経理日</t>
    <rPh sb="0" eb="3">
      <t>ケイリビ</t>
    </rPh>
    <phoneticPr fontId="1"/>
  </si>
  <si>
    <t>取引先名称</t>
    <rPh sb="0" eb="5">
      <t>トリヒキサキメイショウ</t>
    </rPh>
    <phoneticPr fontId="1"/>
  </si>
  <si>
    <t>事業所名称</t>
  </si>
  <si>
    <t>取扱区分</t>
    <rPh sb="0" eb="4">
      <t>トリアツカイクブン</t>
    </rPh>
    <phoneticPr fontId="1"/>
  </si>
  <si>
    <t>20250306</t>
  </si>
  <si>
    <t>20250406</t>
  </si>
  <si>
    <t>空欄で表示</t>
    <rPh sb="0" eb="2">
      <t>クウラン</t>
    </rPh>
    <rPh sb="3" eb="5">
      <t>ヒョウジ</t>
    </rPh>
    <phoneticPr fontId="1"/>
  </si>
  <si>
    <t>202504</t>
    <phoneticPr fontId="1"/>
  </si>
  <si>
    <t>税務関連帳票作成で入力した対象年月</t>
    <phoneticPr fontId="1"/>
  </si>
  <si>
    <t>4112</t>
    <phoneticPr fontId="1"/>
  </si>
  <si>
    <t>人事課</t>
    <rPh sb="0" eb="2">
      <t>ジンジカ</t>
    </rPh>
    <phoneticPr fontId="1"/>
  </si>
  <si>
    <t>人事課</t>
    <rPh sb="0" eb="3">
      <t>ジンジカ</t>
    </rPh>
    <phoneticPr fontId="1"/>
  </si>
  <si>
    <t>管理課</t>
    <rPh sb="0" eb="3">
      <t>カンリカ</t>
    </rPh>
    <phoneticPr fontId="1"/>
  </si>
  <si>
    <t>受払組織コードに紐づく、課マスタ.課名称（漢字）または施設マスタ.施設名称（漢字）</t>
    <rPh sb="0" eb="4">
      <t>ウケハライソシキ</t>
    </rPh>
    <rPh sb="8" eb="9">
      <t>ヒモ</t>
    </rPh>
    <rPh sb="12" eb="13">
      <t>カ</t>
    </rPh>
    <rPh sb="17" eb="20">
      <t>カメイショウ</t>
    </rPh>
    <rPh sb="21" eb="23">
      <t>カンジ</t>
    </rPh>
    <rPh sb="27" eb="29">
      <t>シセツ</t>
    </rPh>
    <rPh sb="33" eb="37">
      <t>シセツメイショウ</t>
    </rPh>
    <rPh sb="38" eb="40">
      <t>カンジ</t>
    </rPh>
    <phoneticPr fontId="1"/>
  </si>
  <si>
    <t>Shift jis</t>
  </si>
  <si>
    <t>関連チェック概要</t>
    <phoneticPr fontId="1"/>
  </si>
  <si>
    <t>110702</t>
    <phoneticPr fontId="1"/>
  </si>
  <si>
    <t>値は以下
・業種計
・明細</t>
    <rPh sb="0" eb="1">
      <t>アタイ</t>
    </rPh>
    <rPh sb="2" eb="4">
      <t>イカ</t>
    </rPh>
    <rPh sb="6" eb="8">
      <t>ギョウシュ</t>
    </rPh>
    <rPh sb="8" eb="9">
      <t>ケイ</t>
    </rPh>
    <phoneticPr fontId="1"/>
  </si>
  <si>
    <t>01234567</t>
    <phoneticPr fontId="1"/>
  </si>
  <si>
    <t>01234566</t>
    <phoneticPr fontId="1"/>
  </si>
  <si>
    <t>01234565</t>
  </si>
  <si>
    <t>01234564</t>
  </si>
  <si>
    <t>01234563</t>
  </si>
  <si>
    <t>01234562</t>
  </si>
  <si>
    <t>52023040970020000000</t>
  </si>
  <si>
    <t>52023040970020000000</t>
    <phoneticPr fontId="1"/>
  </si>
  <si>
    <t>2025/08/29</t>
    <phoneticPr fontId="1"/>
  </si>
  <si>
    <t>統合会計システム</t>
    <phoneticPr fontId="1"/>
  </si>
  <si>
    <t>D04010302</t>
    <phoneticPr fontId="1"/>
  </si>
  <si>
    <t>発生元システム取引番号</t>
  </si>
  <si>
    <t>仮数</t>
    <rPh sb="0" eb="2">
      <t>カリスウ</t>
    </rPh>
    <phoneticPr fontId="1"/>
  </si>
  <si>
    <t>分子</t>
    <rPh sb="0" eb="2">
      <t>ブンシ</t>
    </rPh>
    <phoneticPr fontId="1"/>
  </si>
  <si>
    <t>数字</t>
    <rPh sb="0" eb="2">
      <t>スウジ</t>
    </rPh>
    <phoneticPr fontId="1"/>
  </si>
  <si>
    <t>分子</t>
    <rPh sb="0" eb="2">
      <t>ブンシ</t>
    </rPh>
    <phoneticPr fontId="1"/>
  </si>
  <si>
    <t>1</t>
    <phoneticPr fontId="1"/>
  </si>
  <si>
    <t>10</t>
    <phoneticPr fontId="1"/>
  </si>
  <si>
    <t>仮数単位</t>
    <rPh sb="0" eb="4">
      <t>カリスウタンイ</t>
    </rPh>
    <phoneticPr fontId="1"/>
  </si>
  <si>
    <t>分子単位</t>
    <rPh sb="0" eb="4">
      <t>ブンシタンイ</t>
    </rPh>
    <phoneticPr fontId="1"/>
  </si>
  <si>
    <t>俵</t>
    <rPh sb="0" eb="1">
      <t>タワラ</t>
    </rPh>
    <phoneticPr fontId="1"/>
  </si>
  <si>
    <t>仮数単位</t>
    <rPh sb="0" eb="4">
      <t>カリスウタンイ</t>
    </rPh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</si>
  <si>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</si>
  <si>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</si>
  <si>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</si>
  <si>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売上繰延調書データ.業種コード</t>
    <rPh sb="13" eb="14">
      <t>ゲツ</t>
    </rPh>
    <phoneticPr fontId="1"/>
  </si>
  <si>
    <t>売上繰延調書データ.業種コードに紐づく、業種マスタ.業種名（漢字）</t>
    <rPh sb="10" eb="12">
      <t>ギョウシュ</t>
    </rPh>
    <rPh sb="16" eb="17">
      <t>ヒモ</t>
    </rPh>
    <rPh sb="20" eb="22">
      <t>ギョウシュ</t>
    </rPh>
    <rPh sb="26" eb="28">
      <t>ギョウシュ</t>
    </rPh>
    <rPh sb="30" eb="32">
      <t>カンジ</t>
    </rPh>
    <phoneticPr fontId="1"/>
  </si>
  <si>
    <t>売上繰延調書データ.事業所コード</t>
    <rPh sb="10" eb="13">
      <t>ジギョウショ</t>
    </rPh>
    <phoneticPr fontId="1"/>
  </si>
  <si>
    <t>売上繰延調書データ.事業所コードに紐づく、事業所マスタ.事業所名（漢字）</t>
    <rPh sb="10" eb="13">
      <t>ジギョウショ</t>
    </rPh>
    <rPh sb="17" eb="18">
      <t>ヒモ</t>
    </rPh>
    <rPh sb="21" eb="24">
      <t>ジギョウショ</t>
    </rPh>
    <rPh sb="28" eb="31">
      <t>ジギョウショ</t>
    </rPh>
    <rPh sb="31" eb="32">
      <t>メイ</t>
    </rPh>
    <rPh sb="33" eb="35">
      <t>カンジ</t>
    </rPh>
    <phoneticPr fontId="1"/>
  </si>
  <si>
    <t>売上繰延調書データ.課コードまたは、売上繰延調書データ.施設コードが存在する場合は施設コードを優先させて表示</t>
    <rPh sb="10" eb="11">
      <t>カ</t>
    </rPh>
    <rPh sb="28" eb="30">
      <t>シセツ</t>
    </rPh>
    <rPh sb="34" eb="36">
      <t>ソンザイ</t>
    </rPh>
    <rPh sb="38" eb="40">
      <t>バアイ</t>
    </rPh>
    <rPh sb="41" eb="43">
      <t>シセツ</t>
    </rPh>
    <rPh sb="47" eb="49">
      <t>ユウセン</t>
    </rPh>
    <rPh sb="52" eb="54">
      <t>ヒョウジ</t>
    </rPh>
    <phoneticPr fontId="1"/>
  </si>
  <si>
    <t>売上繰延調書データ.発生元システム取引番号</t>
  </si>
  <si>
    <t>売上繰延調書データ.取引先コ－ドに紐づく、名称住所マスタ.取引先名称（漢字）</t>
    <rPh sb="10" eb="13">
      <t>トリヒキサキ</t>
    </rPh>
    <rPh sb="17" eb="18">
      <t>ヒモ</t>
    </rPh>
    <phoneticPr fontId="1"/>
  </si>
  <si>
    <t>売上繰延調書データ.取扱区分</t>
    <rPh sb="10" eb="14">
      <t>トリアツカイクブン</t>
    </rPh>
    <phoneticPr fontId="1"/>
  </si>
  <si>
    <t>売上繰延調書データ.取扱区分に紐づく、内部コードマスタ.取扱区分名称</t>
    <rPh sb="10" eb="14">
      <t>トリアツカイクブン</t>
    </rPh>
    <rPh sb="15" eb="16">
      <t>ヒモ</t>
    </rPh>
    <rPh sb="19" eb="21">
      <t>ナイブ</t>
    </rPh>
    <rPh sb="28" eb="34">
      <t>トリアツカイクブンメイショウ</t>
    </rPh>
    <phoneticPr fontId="1"/>
  </si>
  <si>
    <t>売上繰延調書データ.収支管理品目コード</t>
    <rPh sb="10" eb="16">
      <t>シュウシカンリヒンモク</t>
    </rPh>
    <phoneticPr fontId="1"/>
  </si>
  <si>
    <t>売上繰延調書データ.収支管理品目コードに紐づく、収支管理品目マスタ.収支管理品目名（漢字）</t>
    <rPh sb="10" eb="12">
      <t>シュウシ</t>
    </rPh>
    <rPh sb="12" eb="14">
      <t>カンリ</t>
    </rPh>
    <rPh sb="14" eb="16">
      <t>ヒンモク</t>
    </rPh>
    <rPh sb="20" eb="21">
      <t>ヒモ</t>
    </rPh>
    <rPh sb="24" eb="30">
      <t>シュウシカンリヒンモク</t>
    </rPh>
    <rPh sb="34" eb="40">
      <t>シュウシカンリヒンモク</t>
    </rPh>
    <rPh sb="40" eb="41">
      <t>メイ</t>
    </rPh>
    <rPh sb="42" eb="44">
      <t>カンジ</t>
    </rPh>
    <phoneticPr fontId="1"/>
  </si>
  <si>
    <t>売上繰延調書データ.仮数
例：9,999,999,999</t>
    <rPh sb="13" eb="14">
      <t>レイ</t>
    </rPh>
    <phoneticPr fontId="1"/>
  </si>
  <si>
    <t>売上繰延調書データ.分子
例：9,999,999,999.999</t>
    <rPh sb="10" eb="12">
      <t>ブンシ</t>
    </rPh>
    <phoneticPr fontId="1"/>
  </si>
  <si>
    <t>売上繰延調書データ.年産</t>
    <rPh sb="10" eb="12">
      <t>ネンサン</t>
    </rPh>
    <phoneticPr fontId="1"/>
  </si>
  <si>
    <t>売上繰延調書データ.入出荷日</t>
    <rPh sb="10" eb="14">
      <t>ニュウシュッカビ</t>
    </rPh>
    <phoneticPr fontId="1"/>
  </si>
  <si>
    <t>売上繰延調書データ.経理日</t>
    <rPh sb="10" eb="13">
      <t>ケイリビ</t>
    </rPh>
    <phoneticPr fontId="1"/>
  </si>
  <si>
    <t>売上繰延調書データ.売上金額
符号＋13桁
例：-9999999999999</t>
    <rPh sb="10" eb="14">
      <t>ウリアゲキンガク</t>
    </rPh>
    <phoneticPr fontId="1"/>
  </si>
  <si>
    <t>取引先名称</t>
    <phoneticPr fontId="1"/>
  </si>
  <si>
    <t>集計を表す区分
「01：業種計」、「02：明細」</t>
    <rPh sb="0" eb="2">
      <t>シュウケイ</t>
    </rPh>
    <rPh sb="3" eb="4">
      <t>アラワ</t>
    </rPh>
    <rPh sb="5" eb="7">
      <t>クブン</t>
    </rPh>
    <rPh sb="12" eb="14">
      <t>ギョウシュ</t>
    </rPh>
    <phoneticPr fontId="1"/>
  </si>
  <si>
    <t>01</t>
    <phoneticPr fontId="1"/>
  </si>
  <si>
    <t>11,3</t>
    <phoneticPr fontId="1"/>
  </si>
  <si>
    <t>売上繰延調書データ.相手先コード</t>
    <rPh sb="10" eb="12">
      <t>アイテ</t>
    </rPh>
    <rPh sb="12" eb="13">
      <t>サキ</t>
    </rPh>
    <phoneticPr fontId="1"/>
  </si>
  <si>
    <t>収支管理品目コードに紐づく、収支管理品目マスタ.収支管理品目単位区分</t>
    <rPh sb="0" eb="6">
      <t>シュウシカンリヒンモク</t>
    </rPh>
    <rPh sb="10" eb="11">
      <t>ヒモ</t>
    </rPh>
    <rPh sb="14" eb="20">
      <t>シュウシカンリヒンモク</t>
    </rPh>
    <phoneticPr fontId="1"/>
  </si>
  <si>
    <t>収支管理品目コードに紐づく、収支管理品目マスタ.収支管理品目入数単位区分</t>
    <rPh sb="0" eb="2">
      <t>シュウシ</t>
    </rPh>
    <rPh sb="2" eb="4">
      <t>カンリ</t>
    </rPh>
    <rPh sb="4" eb="6">
      <t>ヒンモク</t>
    </rPh>
    <rPh sb="10" eb="11">
      <t>ヒモ</t>
    </rPh>
    <rPh sb="14" eb="16">
      <t>シュウシ</t>
    </rPh>
    <rPh sb="16" eb="18">
      <t>カンリ</t>
    </rPh>
    <rPh sb="18" eb="20">
      <t>ヒンモク</t>
    </rPh>
    <rPh sb="24" eb="26">
      <t>シュウシ</t>
    </rPh>
    <rPh sb="26" eb="28">
      <t>カンリ</t>
    </rPh>
    <rPh sb="28" eb="30">
      <t>ヒンモク</t>
    </rPh>
    <rPh sb="30" eb="32">
      <t>イリスウ</t>
    </rPh>
    <rPh sb="32" eb="34">
      <t>タンイ</t>
    </rPh>
    <rPh sb="34" eb="36">
      <t>クブン</t>
    </rPh>
    <phoneticPr fontId="1"/>
  </si>
  <si>
    <t>売上繰延調書データ.項科目コード</t>
    <rPh sb="10" eb="11">
      <t>コウ</t>
    </rPh>
    <rPh sb="11" eb="13">
      <t>カモク</t>
    </rPh>
    <phoneticPr fontId="1"/>
  </si>
  <si>
    <t>売上繰延調書データ.項科目コードに紐づく、勘定科目マスタ.勘定科目名称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</si>
</sst>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/>
    <xf numFmtId="0" fontId="0" fillId="0" borderId="1" xfId="0" quotePrefix="1" applyBorder="1"/>
    <xf numFmtId="49" fontId="18" fillId="0" borderId="1" xfId="1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7" xfId="0" quotePrefix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21" fillId="0" borderId="0" xfId="0" applyFont="1"/>
    <xf numFmtId="49" fontId="18" fillId="0" borderId="1" xfId="1" quotePrefix="1" applyNumberFormat="1" applyFont="1" applyBorder="1" applyAlignment="1">
      <alignment horizontal="left" vertical="center"/>
    </xf>
    <xf numFmtId="0" fontId="18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19" fillId="0" borderId="0" xfId="0" applyFont="1"/>
    <xf numFmtId="0" fontId="7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0" xfId="1" applyNumberFormat="1" applyFont="1" applyAlignment="1">
      <alignment vertical="center" wrapText="1"/>
    </xf>
    <xf numFmtId="0" fontId="2" fillId="0" borderId="10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 vertical="center"/>
    </xf>
    <xf numFmtId="49" fontId="2" fillId="0" borderId="0" xfId="1" applyNumberFormat="1" applyFont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176" fontId="0" fillId="0" borderId="1" xfId="0" applyNumberFormat="1" applyBorder="1"/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6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1" customWidth="1"/>
    <col min="63" max="159" width="1.6640625" style="31" customWidth="1"/>
    <col min="160" max="16384" width="9" style="3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7" t="s">
        <v>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3</v>
      </c>
      <c r="AU2" s="82"/>
      <c r="AV2" s="82"/>
      <c r="AW2" s="82"/>
      <c r="AX2" s="83"/>
      <c r="AY2" s="81" t="s">
        <v>4</v>
      </c>
      <c r="AZ2" s="82"/>
      <c r="BA2" s="82"/>
      <c r="BB2" s="83"/>
      <c r="BC2" s="81" t="s">
        <v>5</v>
      </c>
      <c r="BD2" s="82"/>
      <c r="BE2" s="82"/>
      <c r="BF2" s="83"/>
      <c r="BG2" s="81"/>
      <c r="BH2" s="82"/>
      <c r="BI2" s="82"/>
      <c r="BJ2" s="83"/>
    </row>
    <row r="3" spans="1:62" s="1" customFormat="1" ht="18" customHeight="1">
      <c r="A3" s="90" t="s">
        <v>6</v>
      </c>
      <c r="B3" s="91"/>
      <c r="C3" s="91"/>
      <c r="D3" s="91"/>
      <c r="E3" s="91"/>
      <c r="F3" s="91"/>
      <c r="G3" s="91"/>
      <c r="H3" s="92"/>
      <c r="I3" s="96" t="s">
        <v>171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8"/>
      <c r="AT3" s="81" t="s">
        <v>7</v>
      </c>
      <c r="AU3" s="82"/>
      <c r="AV3" s="82"/>
      <c r="AW3" s="82"/>
      <c r="AX3" s="83"/>
      <c r="AY3" s="81" t="s">
        <v>170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2" s="1" customFormat="1" ht="18" customHeight="1">
      <c r="A4" s="93"/>
      <c r="B4" s="94"/>
      <c r="C4" s="94"/>
      <c r="D4" s="94"/>
      <c r="E4" s="94"/>
      <c r="F4" s="94"/>
      <c r="G4" s="94"/>
      <c r="H4" s="95"/>
      <c r="I4" s="99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1"/>
      <c r="AT4" s="81" t="s">
        <v>8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2" s="20" customFormat="1" ht="9" customHeight="1"/>
    <row r="6" spans="1:62" s="24" customFormat="1" ht="15.75" customHeight="1">
      <c r="A6" s="84" t="s">
        <v>9</v>
      </c>
      <c r="B6" s="85"/>
      <c r="C6" s="85"/>
      <c r="D6" s="85"/>
      <c r="E6" s="85"/>
      <c r="F6" s="85"/>
      <c r="G6" s="86"/>
      <c r="H6" s="21"/>
      <c r="I6" s="22" t="s">
        <v>10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24" customFormat="1" ht="20.25" customHeight="1">
      <c r="A7" s="25"/>
      <c r="C7" s="70"/>
      <c r="D7" s="70"/>
      <c r="E7" s="70"/>
      <c r="F7" s="70"/>
      <c r="G7" s="70"/>
      <c r="H7" s="26"/>
      <c r="O7" s="66"/>
      <c r="P7" s="66"/>
      <c r="Q7" s="66"/>
      <c r="R7" s="66"/>
      <c r="S7" s="66"/>
      <c r="T7" s="66"/>
      <c r="U7" s="66"/>
      <c r="V7" s="66"/>
      <c r="W7" s="66"/>
      <c r="X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BJ7" s="27"/>
    </row>
    <row r="8" spans="1:62" s="24" customFormat="1" ht="20.25" customHeight="1">
      <c r="A8" s="25"/>
      <c r="B8" s="24" t="s">
        <v>185</v>
      </c>
      <c r="C8" s="70"/>
      <c r="D8" s="70"/>
      <c r="E8" s="70"/>
      <c r="F8" s="70"/>
      <c r="G8" s="70"/>
      <c r="H8" s="26"/>
      <c r="I8" s="24" t="s">
        <v>186</v>
      </c>
      <c r="O8" s="66"/>
      <c r="P8" s="66"/>
      <c r="Q8" s="66"/>
      <c r="R8" s="66"/>
      <c r="S8" s="66"/>
      <c r="T8" s="66"/>
      <c r="U8" s="66"/>
      <c r="V8" s="66"/>
      <c r="W8" s="66"/>
      <c r="X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BJ8" s="27"/>
    </row>
    <row r="9" spans="1:62" s="24" customFormat="1" ht="20.25" customHeight="1">
      <c r="A9" s="25"/>
      <c r="H9" s="25"/>
      <c r="BJ9" s="27"/>
    </row>
    <row r="10" spans="1:62" s="24" customFormat="1" ht="20.25" customHeight="1">
      <c r="A10" s="25"/>
      <c r="H10" s="25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BJ10" s="27"/>
    </row>
    <row r="11" spans="1:62" s="24" customFormat="1" ht="20.25" customHeight="1">
      <c r="A11" s="25"/>
      <c r="H11" s="25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BJ11" s="27"/>
    </row>
    <row r="12" spans="1:62" s="24" customFormat="1" ht="20.25" customHeight="1">
      <c r="A12" s="25"/>
      <c r="H12" s="25"/>
      <c r="BJ12" s="27"/>
    </row>
    <row r="13" spans="1:62" s="24" customFormat="1" ht="20.25" customHeight="1">
      <c r="A13" s="25"/>
      <c r="H13" s="25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BJ13" s="27"/>
    </row>
    <row r="14" spans="1:62" s="24" customFormat="1" ht="20.25" customHeight="1">
      <c r="A14" s="25"/>
      <c r="H14" s="25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BJ14" s="27"/>
    </row>
    <row r="15" spans="1:62" s="24" customFormat="1" ht="20.25" customHeight="1">
      <c r="A15" s="25"/>
      <c r="H15" s="25"/>
      <c r="BJ15" s="27"/>
    </row>
    <row r="16" spans="1:62" s="24" customFormat="1" ht="20.25" customHeight="1">
      <c r="A16" s="25"/>
      <c r="H16" s="25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BJ16" s="27"/>
    </row>
    <row r="17" spans="1:62" s="24" customFormat="1" ht="20.25" customHeight="1">
      <c r="A17" s="25"/>
      <c r="H17" s="25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BJ17" s="27"/>
    </row>
    <row r="18" spans="1:62" s="24" customFormat="1" ht="20.25" customHeight="1">
      <c r="A18" s="25"/>
      <c r="H18" s="25"/>
      <c r="BJ18" s="27"/>
    </row>
    <row r="19" spans="1:62" s="24" customFormat="1" ht="20.25" customHeight="1">
      <c r="A19" s="25"/>
      <c r="H19" s="25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BJ19" s="27"/>
    </row>
    <row r="20" spans="1:62" s="24" customFormat="1" ht="20.25" customHeight="1">
      <c r="A20" s="25"/>
      <c r="H20" s="25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BJ20" s="27"/>
    </row>
    <row r="21" spans="1:62" s="24" customFormat="1" ht="20.25" customHeight="1">
      <c r="A21" s="25"/>
      <c r="H21" s="25"/>
      <c r="BJ21" s="27"/>
    </row>
    <row r="22" spans="1:62" s="24" customFormat="1" ht="20.25" customHeight="1">
      <c r="A22" s="25"/>
      <c r="H22" s="25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BJ22" s="27"/>
    </row>
    <row r="23" spans="1:62" s="24" customFormat="1" ht="20.25" customHeight="1">
      <c r="A23" s="25"/>
      <c r="H23" s="25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BJ23" s="27"/>
    </row>
    <row r="24" spans="1:62" s="24" customFormat="1" ht="20.25" customHeight="1">
      <c r="A24" s="25"/>
      <c r="H24" s="25"/>
      <c r="BJ24" s="27"/>
    </row>
    <row r="25" spans="1:62" s="24" customFormat="1" ht="20.25" customHeight="1">
      <c r="A25" s="25"/>
      <c r="H25" s="25"/>
      <c r="O25" s="66"/>
      <c r="P25" s="66"/>
      <c r="Q25" s="66"/>
      <c r="R25" s="66"/>
      <c r="S25" s="66"/>
      <c r="T25" s="66"/>
      <c r="U25" s="66"/>
      <c r="V25" s="66"/>
      <c r="W25" s="66"/>
      <c r="X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BJ25" s="27"/>
    </row>
    <row r="26" spans="1:62" s="24" customFormat="1" ht="20.25" customHeight="1">
      <c r="A26" s="25"/>
      <c r="H26" s="25"/>
      <c r="O26" s="66"/>
      <c r="P26" s="66"/>
      <c r="Q26" s="66"/>
      <c r="R26" s="66"/>
      <c r="S26" s="66"/>
      <c r="T26" s="66"/>
      <c r="U26" s="66"/>
      <c r="V26" s="66"/>
      <c r="W26" s="66"/>
      <c r="X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BJ26" s="27"/>
    </row>
    <row r="27" spans="1:62" s="24" customFormat="1" ht="20.25" customHeight="1">
      <c r="A27" s="25"/>
      <c r="H27" s="25"/>
      <c r="BJ27" s="27"/>
    </row>
    <row r="28" spans="1:62" s="24" customFormat="1" ht="20.25" customHeight="1">
      <c r="A28" s="25"/>
      <c r="H28" s="25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BJ28" s="27"/>
    </row>
    <row r="29" spans="1:62" s="24" customFormat="1" ht="20.25" customHeight="1">
      <c r="A29" s="25"/>
      <c r="H29" s="25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BJ29" s="27"/>
    </row>
    <row r="30" spans="1:62" s="24" customFormat="1" ht="20.25" customHeight="1">
      <c r="A30" s="25"/>
      <c r="H30" s="25"/>
      <c r="BJ30" s="27"/>
    </row>
    <row r="31" spans="1:62" s="24" customFormat="1" ht="20.25" customHeight="1">
      <c r="A31" s="25"/>
      <c r="H31" s="25"/>
      <c r="BJ31" s="27"/>
    </row>
    <row r="32" spans="1:62" s="24" customFormat="1" ht="20.25" customHeight="1">
      <c r="A32" s="25"/>
      <c r="H32" s="25"/>
      <c r="BJ32" s="27"/>
    </row>
    <row r="33" spans="1:62" s="24" customFormat="1" ht="20.25" customHeight="1">
      <c r="A33" s="25"/>
      <c r="H33" s="25"/>
      <c r="BJ33" s="27"/>
    </row>
    <row r="34" spans="1:62" s="24" customFormat="1" ht="20.25" customHeight="1">
      <c r="A34" s="25"/>
      <c r="H34" s="25"/>
      <c r="BJ34" s="27"/>
    </row>
    <row r="35" spans="1:62" s="24" customFormat="1" ht="20.25" customHeight="1">
      <c r="A35" s="25"/>
      <c r="H35" s="25"/>
      <c r="BJ35" s="27"/>
    </row>
    <row r="36" spans="1:62" s="24" customFormat="1" ht="20.25" customHeight="1">
      <c r="A36" s="25"/>
      <c r="H36" s="25"/>
      <c r="BJ36" s="27"/>
    </row>
    <row r="37" spans="1:62" s="24" customFormat="1" ht="20.25" customHeight="1">
      <c r="A37" s="25"/>
      <c r="H37" s="25"/>
      <c r="BJ37" s="27"/>
    </row>
    <row r="38" spans="1:62" s="24" customFormat="1" ht="20.25" customHeight="1">
      <c r="A38" s="25"/>
      <c r="H38" s="25"/>
      <c r="BJ38" s="27"/>
    </row>
    <row r="39" spans="1:62" s="24" customFormat="1" ht="20.25" customHeight="1">
      <c r="A39" s="25"/>
      <c r="H39" s="25"/>
      <c r="BJ39" s="27"/>
    </row>
    <row r="40" spans="1:62" s="24" customFormat="1" ht="20.25" customHeight="1">
      <c r="A40" s="25"/>
      <c r="H40" s="25"/>
      <c r="BJ40" s="27"/>
    </row>
    <row r="41" spans="1:62" s="24" customFormat="1" ht="20.25" customHeight="1">
      <c r="A41" s="25"/>
      <c r="H41" s="25"/>
      <c r="BJ41" s="27"/>
    </row>
    <row r="42" spans="1:62" s="24" customFormat="1" ht="20.25" customHeight="1">
      <c r="A42" s="25"/>
      <c r="H42" s="25"/>
      <c r="BJ42" s="27"/>
    </row>
    <row r="43" spans="1:62" s="24" customFormat="1" ht="20.25" customHeight="1">
      <c r="A43" s="25"/>
      <c r="H43" s="25"/>
      <c r="BJ43" s="27"/>
    </row>
    <row r="44" spans="1:62" s="24" customFormat="1" ht="20.25" customHeight="1">
      <c r="A44" s="25"/>
      <c r="H44" s="25"/>
      <c r="BJ44" s="27"/>
    </row>
    <row r="45" spans="1:62" s="24" customFormat="1" ht="20.25" customHeight="1">
      <c r="A45" s="25"/>
      <c r="H45" s="25"/>
      <c r="BJ45" s="27"/>
    </row>
    <row r="46" spans="1:62" s="24" customFormat="1" ht="20.25" customHeight="1">
      <c r="A46" s="25"/>
      <c r="H46" s="25"/>
      <c r="BJ46" s="27"/>
    </row>
    <row r="47" spans="1:62" s="24" customFormat="1" ht="20.25" customHeight="1">
      <c r="A47" s="25"/>
      <c r="H47" s="25"/>
      <c r="BJ47" s="27"/>
    </row>
    <row r="48" spans="1:62" s="24" customFormat="1" ht="20.25" customHeight="1">
      <c r="A48" s="25"/>
      <c r="H48" s="25"/>
      <c r="BJ48" s="27"/>
    </row>
    <row r="49" spans="1:62" s="24" customFormat="1" ht="20.25" customHeight="1">
      <c r="A49" s="25"/>
      <c r="H49" s="25"/>
      <c r="BJ49" s="27"/>
    </row>
    <row r="50" spans="1:62" s="24" customFormat="1" ht="20.25" customHeight="1">
      <c r="A50" s="25"/>
      <c r="H50" s="25"/>
      <c r="BJ50" s="27"/>
    </row>
    <row r="51" spans="1:62" s="24" customFormat="1" ht="20.25" customHeight="1">
      <c r="A51" s="25"/>
      <c r="H51" s="25"/>
      <c r="BJ51" s="27"/>
    </row>
    <row r="52" spans="1:62" s="24" customFormat="1" ht="20.25" customHeight="1">
      <c r="A52" s="25"/>
      <c r="H52" s="25"/>
      <c r="BJ52" s="27"/>
    </row>
    <row r="53" spans="1:62" s="24" customFormat="1" ht="20.25" customHeight="1">
      <c r="A53" s="25"/>
      <c r="H53" s="25"/>
      <c r="BJ53" s="27"/>
    </row>
    <row r="54" spans="1:62" s="24" customFormat="1" ht="20.25" customHeight="1">
      <c r="A54" s="25"/>
      <c r="H54" s="25"/>
      <c r="BJ54" s="27"/>
    </row>
    <row r="55" spans="1:62" s="24" customFormat="1" ht="20.25" customHeight="1">
      <c r="A55" s="25"/>
      <c r="H55" s="25"/>
      <c r="BJ55" s="27"/>
    </row>
    <row r="56" spans="1:62" s="24" customFormat="1" ht="20.25" customHeight="1">
      <c r="A56" s="25"/>
      <c r="H56" s="25"/>
      <c r="BJ56" s="27"/>
    </row>
    <row r="57" spans="1:62" s="24" customFormat="1" ht="20.25" customHeight="1">
      <c r="A57" s="28"/>
      <c r="B57" s="29"/>
      <c r="C57" s="29"/>
      <c r="D57" s="29"/>
      <c r="E57" s="29"/>
      <c r="F57" s="29"/>
      <c r="G57" s="29"/>
      <c r="H57" s="28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30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58"/>
  <sheetViews>
    <sheetView view="pageBreakPreview" zoomScaleNormal="85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7" t="s">
        <v>11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3</v>
      </c>
      <c r="AU2" s="82"/>
      <c r="AV2" s="82"/>
      <c r="AW2" s="82"/>
      <c r="AX2" s="83"/>
      <c r="AY2" s="81" t="s">
        <v>184</v>
      </c>
      <c r="AZ2" s="82"/>
      <c r="BA2" s="82"/>
      <c r="BB2" s="83"/>
      <c r="BC2" s="81" t="s">
        <v>5</v>
      </c>
      <c r="BD2" s="82"/>
      <c r="BE2" s="82"/>
      <c r="BF2" s="83"/>
      <c r="BG2" s="81"/>
      <c r="BH2" s="82"/>
      <c r="BI2" s="82"/>
      <c r="BJ2" s="83"/>
    </row>
    <row r="3" spans="1:62" s="1" customFormat="1" ht="18" customHeight="1">
      <c r="A3" s="90" t="s">
        <v>6</v>
      </c>
      <c r="B3" s="91"/>
      <c r="C3" s="91"/>
      <c r="D3" s="91"/>
      <c r="E3" s="91"/>
      <c r="F3" s="91"/>
      <c r="G3" s="91"/>
      <c r="H3" s="92"/>
      <c r="I3" s="96" t="s">
        <v>171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8"/>
      <c r="AT3" s="81" t="s">
        <v>7</v>
      </c>
      <c r="AU3" s="82"/>
      <c r="AV3" s="82"/>
      <c r="AW3" s="82"/>
      <c r="AX3" s="83"/>
      <c r="AY3" s="81" t="s">
        <v>170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2" s="1" customFormat="1" ht="18" customHeight="1">
      <c r="A4" s="93"/>
      <c r="B4" s="94"/>
      <c r="C4" s="94"/>
      <c r="D4" s="94"/>
      <c r="E4" s="94"/>
      <c r="F4" s="94"/>
      <c r="G4" s="94"/>
      <c r="H4" s="95"/>
      <c r="I4" s="99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1"/>
      <c r="AT4" s="81" t="s">
        <v>8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2" s="48" customFormat="1" ht="6" customHeight="1"/>
    <row r="6" spans="1:62" s="18" customFormat="1" ht="20.25" customHeight="1">
      <c r="A6" s="121" t="s">
        <v>12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172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3"/>
      <c r="AB6" s="121" t="s">
        <v>13</v>
      </c>
      <c r="AC6" s="122"/>
      <c r="AD6" s="122"/>
      <c r="AE6" s="122"/>
      <c r="AF6" s="122"/>
      <c r="AG6" s="122"/>
      <c r="AH6" s="122"/>
      <c r="AI6" s="122"/>
      <c r="AJ6" s="123"/>
      <c r="AK6" s="121" t="s">
        <v>32</v>
      </c>
      <c r="AL6" s="122"/>
      <c r="AM6" s="122"/>
      <c r="AN6" s="123"/>
      <c r="AO6" s="121" t="s">
        <v>14</v>
      </c>
      <c r="AP6" s="122"/>
      <c r="AQ6" s="122"/>
      <c r="AR6" s="122"/>
      <c r="AS6" s="122"/>
      <c r="AT6" s="122"/>
      <c r="AU6" s="122"/>
      <c r="AV6" s="122"/>
      <c r="AW6" s="123"/>
      <c r="AX6" s="121" t="s">
        <v>33</v>
      </c>
      <c r="AY6" s="122"/>
      <c r="AZ6" s="122"/>
      <c r="BA6" s="123"/>
      <c r="BB6" s="112" t="s">
        <v>15</v>
      </c>
      <c r="BC6" s="112"/>
      <c r="BD6" s="112"/>
      <c r="BE6" s="112"/>
      <c r="BF6" s="112">
        <f>COUNTA(D25:D430)</f>
        <v>28</v>
      </c>
      <c r="BG6" s="112"/>
      <c r="BH6" s="112"/>
      <c r="BI6" s="112"/>
      <c r="BJ6" s="112"/>
    </row>
    <row r="7" spans="1:62" s="18" customFormat="1" ht="20.25" customHeight="1">
      <c r="A7" s="121" t="s">
        <v>16</v>
      </c>
      <c r="B7" s="122"/>
      <c r="C7" s="122"/>
      <c r="D7" s="122"/>
      <c r="E7" s="122"/>
      <c r="F7" s="122"/>
      <c r="G7" s="122"/>
      <c r="H7" s="122"/>
      <c r="I7" s="122"/>
      <c r="J7" s="122"/>
      <c r="K7" s="123"/>
      <c r="L7" s="121" t="s">
        <v>74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3"/>
      <c r="AK7" s="121" t="s">
        <v>34</v>
      </c>
      <c r="AL7" s="122"/>
      <c r="AM7" s="122"/>
      <c r="AN7" s="122"/>
      <c r="AO7" s="122"/>
      <c r="AP7" s="122"/>
      <c r="AQ7" s="122"/>
      <c r="AR7" s="123"/>
      <c r="AS7" s="121" t="s">
        <v>158</v>
      </c>
      <c r="AT7" s="122"/>
      <c r="AU7" s="122"/>
      <c r="AV7" s="122"/>
      <c r="AW7" s="122"/>
      <c r="AX7" s="123"/>
      <c r="AY7" s="35" t="s">
        <v>17</v>
      </c>
      <c r="AZ7" s="36"/>
      <c r="BA7" s="36"/>
      <c r="BB7" s="36"/>
      <c r="BC7" s="121" t="s">
        <v>35</v>
      </c>
      <c r="BD7" s="123"/>
      <c r="BE7" s="121" t="s">
        <v>18</v>
      </c>
      <c r="BF7" s="122"/>
      <c r="BG7" s="122"/>
      <c r="BH7" s="123"/>
      <c r="BI7" s="121"/>
      <c r="BJ7" s="123"/>
    </row>
    <row r="8" spans="1:62" s="18" customFormat="1" ht="12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BC8" s="49"/>
      <c r="BD8" s="49"/>
      <c r="BE8" s="49"/>
      <c r="BF8" s="49"/>
      <c r="BG8" s="49"/>
      <c r="BH8" s="49"/>
      <c r="BI8" s="49"/>
      <c r="BJ8" s="49"/>
    </row>
    <row r="9" spans="1:62" s="18" customFormat="1" ht="20.25" customHeight="1">
      <c r="A9" s="50" t="s">
        <v>130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BC9" s="49"/>
      <c r="BD9" s="49"/>
      <c r="BE9" s="49"/>
      <c r="BF9" s="49"/>
      <c r="BG9" s="49"/>
      <c r="BH9" s="49"/>
      <c r="BI9" s="49"/>
      <c r="BJ9" s="49"/>
    </row>
    <row r="10" spans="1:62" s="18" customFormat="1" ht="26.25" customHeight="1">
      <c r="A10" s="112" t="s">
        <v>20</v>
      </c>
      <c r="B10" s="112"/>
      <c r="C10" s="112"/>
      <c r="D10" s="139" t="s">
        <v>131</v>
      </c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12" t="s">
        <v>132</v>
      </c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</row>
    <row r="11" spans="1:62" s="18" customFormat="1" ht="26.25" customHeight="1">
      <c r="A11" s="130">
        <v>1</v>
      </c>
      <c r="B11" s="130"/>
      <c r="C11" s="130"/>
      <c r="D11" s="129" t="s">
        <v>101</v>
      </c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30" t="s">
        <v>133</v>
      </c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</row>
    <row r="12" spans="1:62" s="18" customFormat="1" ht="26.25" customHeight="1">
      <c r="A12" s="113">
        <v>2</v>
      </c>
      <c r="B12" s="113"/>
      <c r="C12" s="113"/>
      <c r="D12" s="131" t="s">
        <v>63</v>
      </c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09" t="s">
        <v>133</v>
      </c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1"/>
    </row>
    <row r="13" spans="1:62" s="18" customFormat="1" ht="26.25" customHeight="1">
      <c r="A13" s="105">
        <v>3</v>
      </c>
      <c r="B13" s="105"/>
      <c r="C13" s="105"/>
      <c r="D13" s="131" t="s">
        <v>65</v>
      </c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09" t="s">
        <v>133</v>
      </c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1"/>
    </row>
    <row r="14" spans="1:62" s="18" customFormat="1" ht="26.25" customHeight="1">
      <c r="A14" s="113">
        <v>4</v>
      </c>
      <c r="B14" s="113"/>
      <c r="C14" s="113"/>
      <c r="D14" s="106" t="s">
        <v>135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8"/>
      <c r="AS14" s="109" t="s">
        <v>133</v>
      </c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1"/>
    </row>
    <row r="15" spans="1:62" s="18" customFormat="1" ht="26.25" customHeight="1">
      <c r="A15" s="105">
        <v>5</v>
      </c>
      <c r="B15" s="105"/>
      <c r="C15" s="105"/>
      <c r="D15" s="106" t="s">
        <v>136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8"/>
      <c r="AS15" s="109" t="s">
        <v>133</v>
      </c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1"/>
    </row>
    <row r="16" spans="1:62" s="18" customFormat="1" ht="26.25" customHeight="1">
      <c r="A16" s="113">
        <v>6</v>
      </c>
      <c r="B16" s="113"/>
      <c r="C16" s="113"/>
      <c r="D16" s="106" t="s">
        <v>137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8"/>
      <c r="AS16" s="109" t="s">
        <v>133</v>
      </c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1"/>
    </row>
    <row r="17" spans="1:62" s="18" customFormat="1" ht="26.25" customHeight="1">
      <c r="A17" s="105">
        <v>7</v>
      </c>
      <c r="B17" s="105"/>
      <c r="C17" s="105"/>
      <c r="D17" s="106" t="s">
        <v>138</v>
      </c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8"/>
      <c r="AS17" s="109" t="s">
        <v>133</v>
      </c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1"/>
    </row>
    <row r="18" spans="1:62" s="18" customFormat="1" ht="26.25" customHeight="1">
      <c r="A18" s="113">
        <v>8</v>
      </c>
      <c r="B18" s="113"/>
      <c r="C18" s="113"/>
      <c r="D18" s="106" t="s">
        <v>139</v>
      </c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8"/>
      <c r="AS18" s="109" t="s">
        <v>133</v>
      </c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1"/>
    </row>
    <row r="19" spans="1:62" s="18" customFormat="1" ht="26.25" customHeight="1">
      <c r="A19" s="105">
        <v>9</v>
      </c>
      <c r="B19" s="105"/>
      <c r="C19" s="105"/>
      <c r="D19" s="131" t="s">
        <v>140</v>
      </c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09" t="s">
        <v>133</v>
      </c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1"/>
    </row>
    <row r="20" spans="1:62" s="18" customFormat="1" ht="26.25" customHeight="1">
      <c r="A20" s="113">
        <v>10</v>
      </c>
      <c r="B20" s="113"/>
      <c r="C20" s="113"/>
      <c r="D20" s="131" t="s">
        <v>143</v>
      </c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09" t="s">
        <v>133</v>
      </c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1"/>
    </row>
    <row r="21" spans="1:62" s="18" customFormat="1" ht="26.25" customHeight="1">
      <c r="A21" s="124">
        <v>11</v>
      </c>
      <c r="B21" s="124"/>
      <c r="C21" s="124"/>
      <c r="D21" s="125" t="s">
        <v>144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6" t="s">
        <v>133</v>
      </c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8"/>
    </row>
    <row r="22" spans="1:62" s="18" customFormat="1" ht="10.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BC22" s="49"/>
      <c r="BD22" s="49"/>
      <c r="BE22" s="49"/>
      <c r="BF22" s="49"/>
      <c r="BG22" s="49"/>
      <c r="BH22" s="49"/>
      <c r="BI22" s="49"/>
      <c r="BJ22" s="49"/>
    </row>
    <row r="23" spans="1:62" s="51" customFormat="1">
      <c r="B23" s="52" t="s">
        <v>19</v>
      </c>
      <c r="G23" s="53"/>
    </row>
    <row r="24" spans="1:62" s="18" customFormat="1" ht="42" customHeight="1">
      <c r="A24" s="121" t="s">
        <v>20</v>
      </c>
      <c r="B24" s="122"/>
      <c r="C24" s="123"/>
      <c r="D24" s="121" t="s">
        <v>21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3"/>
      <c r="U24" s="136" t="s">
        <v>22</v>
      </c>
      <c r="V24" s="137"/>
      <c r="W24" s="137"/>
      <c r="X24" s="137"/>
      <c r="Y24" s="138"/>
      <c r="Z24" s="136" t="s">
        <v>23</v>
      </c>
      <c r="AA24" s="137"/>
      <c r="AB24" s="138"/>
      <c r="AC24" s="136" t="s">
        <v>24</v>
      </c>
      <c r="AD24" s="137"/>
      <c r="AE24" s="138"/>
      <c r="AF24" s="136" t="s">
        <v>25</v>
      </c>
      <c r="AG24" s="137"/>
      <c r="AH24" s="138"/>
      <c r="AI24" s="136" t="s">
        <v>26</v>
      </c>
      <c r="AJ24" s="137"/>
      <c r="AK24" s="138"/>
      <c r="AL24" s="136" t="s">
        <v>27</v>
      </c>
      <c r="AM24" s="137"/>
      <c r="AN24" s="138"/>
      <c r="AO24" s="136" t="s">
        <v>28</v>
      </c>
      <c r="AP24" s="137"/>
      <c r="AQ24" s="138"/>
      <c r="AR24" s="121" t="s">
        <v>29</v>
      </c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3"/>
    </row>
    <row r="25" spans="1:62" s="10" customFormat="1" ht="30" customHeight="1">
      <c r="A25" s="132">
        <v>1</v>
      </c>
      <c r="B25" s="132"/>
      <c r="C25" s="132"/>
      <c r="D25" s="133" t="s">
        <v>100</v>
      </c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5"/>
      <c r="U25" s="115" t="s">
        <v>50</v>
      </c>
      <c r="V25" s="116"/>
      <c r="W25" s="116"/>
      <c r="X25" s="116"/>
      <c r="Y25" s="117"/>
      <c r="Z25" s="115">
        <v>6</v>
      </c>
      <c r="AA25" s="116"/>
      <c r="AB25" s="117"/>
      <c r="AC25" s="115"/>
      <c r="AD25" s="116"/>
      <c r="AE25" s="117"/>
      <c r="AF25" s="115"/>
      <c r="AG25" s="116"/>
      <c r="AH25" s="117"/>
      <c r="AI25" s="115"/>
      <c r="AJ25" s="116"/>
      <c r="AK25" s="117"/>
      <c r="AL25" s="115"/>
      <c r="AM25" s="116"/>
      <c r="AN25" s="117"/>
      <c r="AO25" s="115"/>
      <c r="AP25" s="116"/>
      <c r="AQ25" s="117"/>
      <c r="AR25" s="118" t="s">
        <v>152</v>
      </c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20"/>
    </row>
    <row r="26" spans="1:62" s="10" customFormat="1" ht="30" customHeight="1">
      <c r="A26" s="105">
        <v>2</v>
      </c>
      <c r="B26" s="105"/>
      <c r="C26" s="105"/>
      <c r="D26" s="106" t="s">
        <v>101</v>
      </c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8"/>
      <c r="U26" s="109" t="s">
        <v>52</v>
      </c>
      <c r="V26" s="110"/>
      <c r="W26" s="110"/>
      <c r="X26" s="110"/>
      <c r="Y26" s="111"/>
      <c r="Z26" s="109">
        <v>2</v>
      </c>
      <c r="AA26" s="110"/>
      <c r="AB26" s="111"/>
      <c r="AC26" s="109"/>
      <c r="AD26" s="110"/>
      <c r="AE26" s="111"/>
      <c r="AF26" s="109"/>
      <c r="AG26" s="110"/>
      <c r="AH26" s="111"/>
      <c r="AI26" s="109"/>
      <c r="AJ26" s="110"/>
      <c r="AK26" s="111"/>
      <c r="AL26" s="109"/>
      <c r="AM26" s="110"/>
      <c r="AN26" s="111"/>
      <c r="AO26" s="109"/>
      <c r="AP26" s="110"/>
      <c r="AQ26" s="111"/>
      <c r="AR26" s="114" t="s">
        <v>205</v>
      </c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4"/>
    </row>
    <row r="27" spans="1:62" s="10" customFormat="1" ht="60" customHeight="1">
      <c r="A27" s="105">
        <v>3</v>
      </c>
      <c r="B27" s="105"/>
      <c r="C27" s="105"/>
      <c r="D27" s="106" t="s">
        <v>102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8"/>
      <c r="U27" s="109" t="s">
        <v>53</v>
      </c>
      <c r="V27" s="110"/>
      <c r="W27" s="110"/>
      <c r="X27" s="110"/>
      <c r="Y27" s="111"/>
      <c r="Z27" s="109">
        <v>10</v>
      </c>
      <c r="AA27" s="110"/>
      <c r="AB27" s="111"/>
      <c r="AC27" s="109"/>
      <c r="AD27" s="110"/>
      <c r="AE27" s="111"/>
      <c r="AF27" s="109"/>
      <c r="AG27" s="110"/>
      <c r="AH27" s="111"/>
      <c r="AI27" s="109"/>
      <c r="AJ27" s="110"/>
      <c r="AK27" s="111"/>
      <c r="AL27" s="109"/>
      <c r="AM27" s="110"/>
      <c r="AN27" s="111"/>
      <c r="AO27" s="109"/>
      <c r="AP27" s="110"/>
      <c r="AQ27" s="111"/>
      <c r="AR27" s="102" t="s">
        <v>161</v>
      </c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4"/>
    </row>
    <row r="28" spans="1:62" s="10" customFormat="1" ht="30" customHeight="1">
      <c r="A28" s="105">
        <v>4</v>
      </c>
      <c r="B28" s="105"/>
      <c r="C28" s="105"/>
      <c r="D28" s="106" t="s">
        <v>63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09" t="s">
        <v>52</v>
      </c>
      <c r="V28" s="110"/>
      <c r="W28" s="110"/>
      <c r="X28" s="110"/>
      <c r="Y28" s="111"/>
      <c r="Z28" s="109">
        <v>6</v>
      </c>
      <c r="AA28" s="110"/>
      <c r="AB28" s="111"/>
      <c r="AC28" s="109"/>
      <c r="AD28" s="110"/>
      <c r="AE28" s="111"/>
      <c r="AF28" s="109"/>
      <c r="AG28" s="110"/>
      <c r="AH28" s="111"/>
      <c r="AI28" s="109"/>
      <c r="AJ28" s="110"/>
      <c r="AK28" s="111"/>
      <c r="AL28" s="109"/>
      <c r="AM28" s="110"/>
      <c r="AN28" s="111"/>
      <c r="AO28" s="109"/>
      <c r="AP28" s="110"/>
      <c r="AQ28" s="111"/>
      <c r="AR28" s="114" t="s">
        <v>211</v>
      </c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4"/>
    </row>
    <row r="29" spans="1:62" s="10" customFormat="1" ht="30" customHeight="1">
      <c r="A29" s="105">
        <v>5</v>
      </c>
      <c r="B29" s="105"/>
      <c r="C29" s="105"/>
      <c r="D29" s="106" t="s">
        <v>64</v>
      </c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8"/>
      <c r="U29" s="109" t="s">
        <v>53</v>
      </c>
      <c r="V29" s="110"/>
      <c r="W29" s="110"/>
      <c r="X29" s="110"/>
      <c r="Y29" s="111"/>
      <c r="Z29" s="109">
        <v>12</v>
      </c>
      <c r="AA29" s="110"/>
      <c r="AB29" s="111"/>
      <c r="AC29" s="109"/>
      <c r="AD29" s="110"/>
      <c r="AE29" s="111"/>
      <c r="AF29" s="109"/>
      <c r="AG29" s="110"/>
      <c r="AH29" s="111"/>
      <c r="AI29" s="109"/>
      <c r="AJ29" s="110"/>
      <c r="AK29" s="111"/>
      <c r="AL29" s="109"/>
      <c r="AM29" s="110"/>
      <c r="AN29" s="111"/>
      <c r="AO29" s="109"/>
      <c r="AP29" s="110"/>
      <c r="AQ29" s="111"/>
      <c r="AR29" s="114" t="s">
        <v>212</v>
      </c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4"/>
    </row>
    <row r="30" spans="1:62" s="10" customFormat="1" ht="30" customHeight="1">
      <c r="A30" s="105">
        <v>6</v>
      </c>
      <c r="B30" s="105"/>
      <c r="C30" s="105"/>
      <c r="D30" s="106" t="s">
        <v>65</v>
      </c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8"/>
      <c r="U30" s="109" t="s">
        <v>52</v>
      </c>
      <c r="V30" s="110"/>
      <c r="W30" s="110"/>
      <c r="X30" s="110"/>
      <c r="Y30" s="111"/>
      <c r="Z30" s="109">
        <v>2</v>
      </c>
      <c r="AA30" s="110"/>
      <c r="AB30" s="111"/>
      <c r="AC30" s="109"/>
      <c r="AD30" s="110"/>
      <c r="AE30" s="111"/>
      <c r="AF30" s="109"/>
      <c r="AG30" s="110"/>
      <c r="AH30" s="111"/>
      <c r="AI30" s="109"/>
      <c r="AJ30" s="110"/>
      <c r="AK30" s="111"/>
      <c r="AL30" s="109"/>
      <c r="AM30" s="110"/>
      <c r="AN30" s="111"/>
      <c r="AO30" s="109"/>
      <c r="AP30" s="110"/>
      <c r="AQ30" s="111"/>
      <c r="AR30" s="114" t="s">
        <v>187</v>
      </c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4"/>
    </row>
    <row r="31" spans="1:62" s="10" customFormat="1" ht="30" customHeight="1">
      <c r="A31" s="105">
        <v>7</v>
      </c>
      <c r="B31" s="105"/>
      <c r="C31" s="105"/>
      <c r="D31" s="106" t="s">
        <v>66</v>
      </c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09" t="s">
        <v>53</v>
      </c>
      <c r="V31" s="110"/>
      <c r="W31" s="110"/>
      <c r="X31" s="110"/>
      <c r="Y31" s="111"/>
      <c r="Z31" s="109">
        <v>10</v>
      </c>
      <c r="AA31" s="110"/>
      <c r="AB31" s="111"/>
      <c r="AC31" s="109"/>
      <c r="AD31" s="110"/>
      <c r="AE31" s="111"/>
      <c r="AF31" s="109"/>
      <c r="AG31" s="110"/>
      <c r="AH31" s="111"/>
      <c r="AI31" s="109"/>
      <c r="AJ31" s="110"/>
      <c r="AK31" s="111"/>
      <c r="AL31" s="109"/>
      <c r="AM31" s="110"/>
      <c r="AN31" s="111"/>
      <c r="AO31" s="109"/>
      <c r="AP31" s="110"/>
      <c r="AQ31" s="111"/>
      <c r="AR31" s="102" t="s">
        <v>188</v>
      </c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4"/>
    </row>
    <row r="32" spans="1:62" s="10" customFormat="1" ht="30" customHeight="1">
      <c r="A32" s="105">
        <v>8</v>
      </c>
      <c r="B32" s="105"/>
      <c r="C32" s="105"/>
      <c r="D32" s="106" t="s">
        <v>134</v>
      </c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8"/>
      <c r="U32" s="109" t="s">
        <v>52</v>
      </c>
      <c r="V32" s="110"/>
      <c r="W32" s="110"/>
      <c r="X32" s="110"/>
      <c r="Y32" s="111"/>
      <c r="Z32" s="109">
        <v>2</v>
      </c>
      <c r="AA32" s="110"/>
      <c r="AB32" s="111"/>
      <c r="AC32" s="109"/>
      <c r="AD32" s="110"/>
      <c r="AE32" s="111"/>
      <c r="AF32" s="109"/>
      <c r="AG32" s="110"/>
      <c r="AH32" s="111"/>
      <c r="AI32" s="109"/>
      <c r="AJ32" s="110"/>
      <c r="AK32" s="111"/>
      <c r="AL32" s="109"/>
      <c r="AM32" s="110"/>
      <c r="AN32" s="111"/>
      <c r="AO32" s="109"/>
      <c r="AP32" s="110"/>
      <c r="AQ32" s="111"/>
      <c r="AR32" s="102" t="s">
        <v>189</v>
      </c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4"/>
    </row>
    <row r="33" spans="1:62" s="10" customFormat="1" ht="30" customHeight="1">
      <c r="A33" s="105">
        <v>9</v>
      </c>
      <c r="B33" s="105"/>
      <c r="C33" s="105"/>
      <c r="D33" s="106" t="s">
        <v>146</v>
      </c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8"/>
      <c r="U33" s="109" t="s">
        <v>53</v>
      </c>
      <c r="V33" s="110"/>
      <c r="W33" s="110"/>
      <c r="X33" s="110"/>
      <c r="Y33" s="111"/>
      <c r="Z33" s="109">
        <v>15</v>
      </c>
      <c r="AA33" s="110"/>
      <c r="AB33" s="111"/>
      <c r="AC33" s="109"/>
      <c r="AD33" s="110"/>
      <c r="AE33" s="111"/>
      <c r="AF33" s="109"/>
      <c r="AG33" s="110"/>
      <c r="AH33" s="111"/>
      <c r="AI33" s="109"/>
      <c r="AJ33" s="110"/>
      <c r="AK33" s="111"/>
      <c r="AL33" s="109"/>
      <c r="AM33" s="110"/>
      <c r="AN33" s="111"/>
      <c r="AO33" s="109"/>
      <c r="AP33" s="110"/>
      <c r="AQ33" s="111"/>
      <c r="AR33" s="102" t="s">
        <v>190</v>
      </c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4"/>
    </row>
    <row r="34" spans="1:62" s="10" customFormat="1" ht="60" customHeight="1">
      <c r="A34" s="105">
        <v>10</v>
      </c>
      <c r="B34" s="105"/>
      <c r="C34" s="105"/>
      <c r="D34" s="106" t="s">
        <v>127</v>
      </c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8"/>
      <c r="U34" s="109" t="s">
        <v>52</v>
      </c>
      <c r="V34" s="110"/>
      <c r="W34" s="110"/>
      <c r="X34" s="110"/>
      <c r="Y34" s="111"/>
      <c r="Z34" s="109">
        <v>4</v>
      </c>
      <c r="AA34" s="110"/>
      <c r="AB34" s="111"/>
      <c r="AC34" s="109"/>
      <c r="AD34" s="110"/>
      <c r="AE34" s="111"/>
      <c r="AF34" s="109"/>
      <c r="AG34" s="110"/>
      <c r="AH34" s="111"/>
      <c r="AI34" s="109"/>
      <c r="AJ34" s="110"/>
      <c r="AK34" s="111"/>
      <c r="AL34" s="109"/>
      <c r="AM34" s="110"/>
      <c r="AN34" s="111"/>
      <c r="AO34" s="109"/>
      <c r="AP34" s="110"/>
      <c r="AQ34" s="111"/>
      <c r="AR34" s="102" t="s">
        <v>191</v>
      </c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4"/>
    </row>
    <row r="35" spans="1:62" s="10" customFormat="1" ht="60" customHeight="1">
      <c r="A35" s="105">
        <v>11</v>
      </c>
      <c r="B35" s="105"/>
      <c r="C35" s="105"/>
      <c r="D35" s="106" t="s">
        <v>128</v>
      </c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8"/>
      <c r="U35" s="109" t="s">
        <v>53</v>
      </c>
      <c r="V35" s="110"/>
      <c r="W35" s="110"/>
      <c r="X35" s="110"/>
      <c r="Y35" s="111"/>
      <c r="Z35" s="109">
        <v>25</v>
      </c>
      <c r="AA35" s="110"/>
      <c r="AB35" s="111"/>
      <c r="AC35" s="109"/>
      <c r="AD35" s="110"/>
      <c r="AE35" s="111"/>
      <c r="AF35" s="109"/>
      <c r="AG35" s="110"/>
      <c r="AH35" s="111"/>
      <c r="AI35" s="109"/>
      <c r="AJ35" s="110"/>
      <c r="AK35" s="111"/>
      <c r="AL35" s="109"/>
      <c r="AM35" s="110"/>
      <c r="AN35" s="111"/>
      <c r="AO35" s="109"/>
      <c r="AP35" s="110"/>
      <c r="AQ35" s="111"/>
      <c r="AR35" s="102" t="s">
        <v>157</v>
      </c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4"/>
    </row>
    <row r="36" spans="1:62" s="10" customFormat="1" ht="30" customHeight="1">
      <c r="A36" s="105">
        <v>12</v>
      </c>
      <c r="B36" s="105"/>
      <c r="C36" s="105"/>
      <c r="D36" s="106" t="s">
        <v>173</v>
      </c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8"/>
      <c r="U36" s="109" t="s">
        <v>52</v>
      </c>
      <c r="V36" s="110"/>
      <c r="W36" s="110"/>
      <c r="X36" s="110"/>
      <c r="Y36" s="111"/>
      <c r="Z36" s="109">
        <v>24</v>
      </c>
      <c r="AA36" s="110"/>
      <c r="AB36" s="111"/>
      <c r="AC36" s="109"/>
      <c r="AD36" s="110"/>
      <c r="AE36" s="111"/>
      <c r="AF36" s="109"/>
      <c r="AG36" s="110"/>
      <c r="AH36" s="111"/>
      <c r="AI36" s="109"/>
      <c r="AJ36" s="110"/>
      <c r="AK36" s="111"/>
      <c r="AL36" s="109"/>
      <c r="AM36" s="110"/>
      <c r="AN36" s="111"/>
      <c r="AO36" s="109"/>
      <c r="AP36" s="110"/>
      <c r="AQ36" s="111"/>
      <c r="AR36" s="102" t="s">
        <v>192</v>
      </c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4"/>
    </row>
    <row r="37" spans="1:62" s="10" customFormat="1" ht="30" customHeight="1">
      <c r="A37" s="105">
        <v>13</v>
      </c>
      <c r="B37" s="105"/>
      <c r="C37" s="105"/>
      <c r="D37" s="106" t="s">
        <v>99</v>
      </c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8"/>
      <c r="U37" s="109" t="s">
        <v>52</v>
      </c>
      <c r="V37" s="110"/>
      <c r="W37" s="110"/>
      <c r="X37" s="110"/>
      <c r="Y37" s="111"/>
      <c r="Z37" s="109">
        <v>8</v>
      </c>
      <c r="AA37" s="110"/>
      <c r="AB37" s="111"/>
      <c r="AC37" s="109"/>
      <c r="AD37" s="110"/>
      <c r="AE37" s="111"/>
      <c r="AF37" s="109"/>
      <c r="AG37" s="110"/>
      <c r="AH37" s="111"/>
      <c r="AI37" s="109"/>
      <c r="AJ37" s="110"/>
      <c r="AK37" s="111"/>
      <c r="AL37" s="109"/>
      <c r="AM37" s="110"/>
      <c r="AN37" s="111"/>
      <c r="AO37" s="109"/>
      <c r="AP37" s="110"/>
      <c r="AQ37" s="111"/>
      <c r="AR37" s="102" t="s">
        <v>208</v>
      </c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4"/>
    </row>
    <row r="38" spans="1:62" s="10" customFormat="1" ht="60" customHeight="1">
      <c r="A38" s="105">
        <v>14</v>
      </c>
      <c r="B38" s="105"/>
      <c r="C38" s="105"/>
      <c r="D38" s="106" t="s">
        <v>145</v>
      </c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8"/>
      <c r="U38" s="109" t="s">
        <v>53</v>
      </c>
      <c r="V38" s="110"/>
      <c r="W38" s="110"/>
      <c r="X38" s="110"/>
      <c r="Y38" s="111"/>
      <c r="Z38" s="109">
        <v>35</v>
      </c>
      <c r="AA38" s="110"/>
      <c r="AB38" s="111"/>
      <c r="AC38" s="109"/>
      <c r="AD38" s="110"/>
      <c r="AE38" s="111"/>
      <c r="AF38" s="109"/>
      <c r="AG38" s="110"/>
      <c r="AH38" s="111"/>
      <c r="AI38" s="109"/>
      <c r="AJ38" s="110"/>
      <c r="AK38" s="111"/>
      <c r="AL38" s="109"/>
      <c r="AM38" s="110"/>
      <c r="AN38" s="111"/>
      <c r="AO38" s="109"/>
      <c r="AP38" s="110"/>
      <c r="AQ38" s="111"/>
      <c r="AR38" s="102" t="s">
        <v>193</v>
      </c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4"/>
    </row>
    <row r="39" spans="1:62" s="10" customFormat="1" ht="30" customHeight="1">
      <c r="A39" s="105">
        <v>15</v>
      </c>
      <c r="B39" s="105"/>
      <c r="C39" s="105"/>
      <c r="D39" s="106" t="s">
        <v>147</v>
      </c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09" t="s">
        <v>61</v>
      </c>
      <c r="V39" s="110"/>
      <c r="W39" s="110"/>
      <c r="X39" s="110"/>
      <c r="Y39" s="111"/>
      <c r="Z39" s="109">
        <v>1</v>
      </c>
      <c r="AA39" s="110"/>
      <c r="AB39" s="111"/>
      <c r="AC39" s="109"/>
      <c r="AD39" s="110"/>
      <c r="AE39" s="111"/>
      <c r="AF39" s="109"/>
      <c r="AG39" s="110"/>
      <c r="AH39" s="111"/>
      <c r="AI39" s="109"/>
      <c r="AJ39" s="110"/>
      <c r="AK39" s="111"/>
      <c r="AL39" s="109"/>
      <c r="AM39" s="110"/>
      <c r="AN39" s="111"/>
      <c r="AO39" s="109"/>
      <c r="AP39" s="110"/>
      <c r="AQ39" s="111"/>
      <c r="AR39" s="102" t="s">
        <v>194</v>
      </c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4"/>
    </row>
    <row r="40" spans="1:62" s="10" customFormat="1" ht="30" customHeight="1">
      <c r="A40" s="105">
        <v>16</v>
      </c>
      <c r="B40" s="105"/>
      <c r="C40" s="105"/>
      <c r="D40" s="106" t="s">
        <v>54</v>
      </c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8"/>
      <c r="U40" s="109" t="s">
        <v>62</v>
      </c>
      <c r="V40" s="110"/>
      <c r="W40" s="110"/>
      <c r="X40" s="110"/>
      <c r="Y40" s="111"/>
      <c r="Z40" s="109">
        <v>2</v>
      </c>
      <c r="AA40" s="110"/>
      <c r="AB40" s="111"/>
      <c r="AC40" s="109"/>
      <c r="AD40" s="110"/>
      <c r="AE40" s="111"/>
      <c r="AF40" s="109"/>
      <c r="AG40" s="110"/>
      <c r="AH40" s="111"/>
      <c r="AI40" s="109"/>
      <c r="AJ40" s="110"/>
      <c r="AK40" s="111"/>
      <c r="AL40" s="109"/>
      <c r="AM40" s="110"/>
      <c r="AN40" s="111"/>
      <c r="AO40" s="109"/>
      <c r="AP40" s="110"/>
      <c r="AQ40" s="111"/>
      <c r="AR40" s="102" t="s">
        <v>195</v>
      </c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4"/>
    </row>
    <row r="41" spans="1:62" s="10" customFormat="1" ht="30" customHeight="1">
      <c r="A41" s="105">
        <v>17</v>
      </c>
      <c r="B41" s="105"/>
      <c r="C41" s="105"/>
      <c r="D41" s="106" t="s">
        <v>55</v>
      </c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8"/>
      <c r="U41" s="109" t="s">
        <v>61</v>
      </c>
      <c r="V41" s="110"/>
      <c r="W41" s="110"/>
      <c r="X41" s="110"/>
      <c r="Y41" s="111"/>
      <c r="Z41" s="109">
        <v>6</v>
      </c>
      <c r="AA41" s="110"/>
      <c r="AB41" s="111"/>
      <c r="AC41" s="109"/>
      <c r="AD41" s="110"/>
      <c r="AE41" s="111"/>
      <c r="AF41" s="109"/>
      <c r="AG41" s="110"/>
      <c r="AH41" s="111"/>
      <c r="AI41" s="109"/>
      <c r="AJ41" s="110"/>
      <c r="AK41" s="111"/>
      <c r="AL41" s="109"/>
      <c r="AM41" s="110"/>
      <c r="AN41" s="111"/>
      <c r="AO41" s="109"/>
      <c r="AP41" s="110"/>
      <c r="AQ41" s="111"/>
      <c r="AR41" s="102" t="s">
        <v>196</v>
      </c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4"/>
    </row>
    <row r="42" spans="1:62" s="10" customFormat="1" ht="60" customHeight="1">
      <c r="A42" s="105">
        <v>18</v>
      </c>
      <c r="B42" s="105"/>
      <c r="C42" s="105"/>
      <c r="D42" s="106" t="s">
        <v>56</v>
      </c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8"/>
      <c r="U42" s="109" t="s">
        <v>62</v>
      </c>
      <c r="V42" s="110"/>
      <c r="W42" s="110"/>
      <c r="X42" s="110"/>
      <c r="Y42" s="111"/>
      <c r="Z42" s="109">
        <v>22</v>
      </c>
      <c r="AA42" s="110"/>
      <c r="AB42" s="111"/>
      <c r="AC42" s="109"/>
      <c r="AD42" s="110"/>
      <c r="AE42" s="111"/>
      <c r="AF42" s="109"/>
      <c r="AG42" s="110"/>
      <c r="AH42" s="111"/>
      <c r="AI42" s="109"/>
      <c r="AJ42" s="110"/>
      <c r="AK42" s="111"/>
      <c r="AL42" s="109"/>
      <c r="AM42" s="110"/>
      <c r="AN42" s="111"/>
      <c r="AO42" s="109"/>
      <c r="AP42" s="110"/>
      <c r="AQ42" s="111"/>
      <c r="AR42" s="102" t="s">
        <v>197</v>
      </c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4"/>
    </row>
    <row r="43" spans="1:62" s="10" customFormat="1" ht="30" customHeight="1">
      <c r="A43" s="105">
        <v>19</v>
      </c>
      <c r="B43" s="105"/>
      <c r="C43" s="105"/>
      <c r="D43" s="106" t="s">
        <v>174</v>
      </c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8"/>
      <c r="U43" s="109" t="s">
        <v>176</v>
      </c>
      <c r="V43" s="110"/>
      <c r="W43" s="110"/>
      <c r="X43" s="110"/>
      <c r="Y43" s="111"/>
      <c r="Z43" s="109">
        <v>14</v>
      </c>
      <c r="AA43" s="110"/>
      <c r="AB43" s="111"/>
      <c r="AC43" s="109"/>
      <c r="AD43" s="110"/>
      <c r="AE43" s="111"/>
      <c r="AF43" s="109"/>
      <c r="AG43" s="110"/>
      <c r="AH43" s="111"/>
      <c r="AI43" s="109"/>
      <c r="AJ43" s="110"/>
      <c r="AK43" s="111"/>
      <c r="AL43" s="109"/>
      <c r="AM43" s="110"/>
      <c r="AN43" s="111"/>
      <c r="AO43" s="109"/>
      <c r="AP43" s="110"/>
      <c r="AQ43" s="111"/>
      <c r="AR43" s="102" t="s">
        <v>198</v>
      </c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4"/>
    </row>
    <row r="44" spans="1:62" s="10" customFormat="1" ht="30" customHeight="1">
      <c r="A44" s="105">
        <v>20</v>
      </c>
      <c r="B44" s="105"/>
      <c r="C44" s="105"/>
      <c r="D44" s="106" t="s">
        <v>180</v>
      </c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8"/>
      <c r="U44" s="109" t="s">
        <v>52</v>
      </c>
      <c r="V44" s="110"/>
      <c r="W44" s="110"/>
      <c r="X44" s="110"/>
      <c r="Y44" s="111"/>
      <c r="Z44" s="109">
        <v>12</v>
      </c>
      <c r="AA44" s="110"/>
      <c r="AB44" s="111"/>
      <c r="AC44" s="109"/>
      <c r="AD44" s="110"/>
      <c r="AE44" s="111"/>
      <c r="AF44" s="109"/>
      <c r="AG44" s="110"/>
      <c r="AH44" s="111"/>
      <c r="AI44" s="109"/>
      <c r="AJ44" s="110"/>
      <c r="AK44" s="111"/>
      <c r="AL44" s="109"/>
      <c r="AM44" s="110"/>
      <c r="AN44" s="111"/>
      <c r="AO44" s="109"/>
      <c r="AP44" s="110"/>
      <c r="AQ44" s="111"/>
      <c r="AR44" s="102" t="s">
        <v>209</v>
      </c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4"/>
    </row>
    <row r="45" spans="1:62" s="10" customFormat="1" ht="30" customHeight="1">
      <c r="A45" s="105">
        <v>21</v>
      </c>
      <c r="B45" s="105"/>
      <c r="C45" s="105"/>
      <c r="D45" s="106" t="s">
        <v>175</v>
      </c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8"/>
      <c r="U45" s="109" t="s">
        <v>176</v>
      </c>
      <c r="V45" s="110"/>
      <c r="W45" s="110"/>
      <c r="X45" s="110"/>
      <c r="Y45" s="111"/>
      <c r="Z45" s="109" t="s">
        <v>207</v>
      </c>
      <c r="AA45" s="110"/>
      <c r="AB45" s="111"/>
      <c r="AC45" s="109"/>
      <c r="AD45" s="110"/>
      <c r="AE45" s="111"/>
      <c r="AF45" s="109"/>
      <c r="AG45" s="110"/>
      <c r="AH45" s="111"/>
      <c r="AI45" s="109"/>
      <c r="AJ45" s="110"/>
      <c r="AK45" s="111"/>
      <c r="AL45" s="109"/>
      <c r="AM45" s="110"/>
      <c r="AN45" s="111"/>
      <c r="AO45" s="109"/>
      <c r="AP45" s="110"/>
      <c r="AQ45" s="111"/>
      <c r="AR45" s="102" t="s">
        <v>199</v>
      </c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4"/>
    </row>
    <row r="46" spans="1:62" s="10" customFormat="1" ht="54.6" customHeight="1">
      <c r="A46" s="105">
        <v>22</v>
      </c>
      <c r="B46" s="105"/>
      <c r="C46" s="105"/>
      <c r="D46" s="106" t="s">
        <v>181</v>
      </c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8"/>
      <c r="U46" s="109" t="s">
        <v>52</v>
      </c>
      <c r="V46" s="110"/>
      <c r="W46" s="110"/>
      <c r="X46" s="110"/>
      <c r="Y46" s="111"/>
      <c r="Z46" s="109">
        <v>12</v>
      </c>
      <c r="AA46" s="110"/>
      <c r="AB46" s="111"/>
      <c r="AC46" s="109"/>
      <c r="AD46" s="110"/>
      <c r="AE46" s="111"/>
      <c r="AF46" s="109"/>
      <c r="AG46" s="110"/>
      <c r="AH46" s="111"/>
      <c r="AI46" s="109"/>
      <c r="AJ46" s="110"/>
      <c r="AK46" s="111"/>
      <c r="AL46" s="109"/>
      <c r="AM46" s="110"/>
      <c r="AN46" s="111"/>
      <c r="AO46" s="109"/>
      <c r="AP46" s="110"/>
      <c r="AQ46" s="111"/>
      <c r="AR46" s="102" t="s">
        <v>210</v>
      </c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4"/>
    </row>
    <row r="47" spans="1:62" s="10" customFormat="1" ht="30" customHeight="1">
      <c r="A47" s="105">
        <v>23</v>
      </c>
      <c r="B47" s="105"/>
      <c r="C47" s="105"/>
      <c r="D47" s="106" t="s">
        <v>57</v>
      </c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8"/>
      <c r="U47" s="109" t="s">
        <v>52</v>
      </c>
      <c r="V47" s="110"/>
      <c r="W47" s="110"/>
      <c r="X47" s="110"/>
      <c r="Y47" s="111"/>
      <c r="Z47" s="109">
        <v>4</v>
      </c>
      <c r="AA47" s="110"/>
      <c r="AB47" s="111"/>
      <c r="AC47" s="109"/>
      <c r="AD47" s="110"/>
      <c r="AE47" s="111"/>
      <c r="AF47" s="109"/>
      <c r="AG47" s="110"/>
      <c r="AH47" s="111"/>
      <c r="AI47" s="109"/>
      <c r="AJ47" s="110"/>
      <c r="AK47" s="111"/>
      <c r="AL47" s="109"/>
      <c r="AM47" s="110"/>
      <c r="AN47" s="111"/>
      <c r="AO47" s="109"/>
      <c r="AP47" s="110"/>
      <c r="AQ47" s="111"/>
      <c r="AR47" s="102" t="s">
        <v>200</v>
      </c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4"/>
    </row>
    <row r="48" spans="1:62" s="10" customFormat="1" ht="30" customHeight="1">
      <c r="A48" s="105">
        <v>24</v>
      </c>
      <c r="B48" s="105"/>
      <c r="C48" s="105"/>
      <c r="D48" s="106" t="s">
        <v>142</v>
      </c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8"/>
      <c r="U48" s="109" t="s">
        <v>50</v>
      </c>
      <c r="V48" s="110"/>
      <c r="W48" s="110"/>
      <c r="X48" s="110"/>
      <c r="Y48" s="111"/>
      <c r="Z48" s="109">
        <v>8</v>
      </c>
      <c r="AA48" s="110"/>
      <c r="AB48" s="111"/>
      <c r="AC48" s="109"/>
      <c r="AD48" s="110"/>
      <c r="AE48" s="111"/>
      <c r="AF48" s="109"/>
      <c r="AG48" s="110"/>
      <c r="AH48" s="111"/>
      <c r="AI48" s="109"/>
      <c r="AJ48" s="110"/>
      <c r="AK48" s="111"/>
      <c r="AL48" s="109"/>
      <c r="AM48" s="110"/>
      <c r="AN48" s="111"/>
      <c r="AO48" s="109"/>
      <c r="AP48" s="110"/>
      <c r="AQ48" s="111"/>
      <c r="AR48" s="102" t="s">
        <v>201</v>
      </c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4"/>
    </row>
    <row r="49" spans="1:62" s="10" customFormat="1" ht="30" customHeight="1">
      <c r="A49" s="105">
        <v>25</v>
      </c>
      <c r="B49" s="105"/>
      <c r="C49" s="105"/>
      <c r="D49" s="106" t="s">
        <v>141</v>
      </c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8"/>
      <c r="U49" s="109" t="s">
        <v>50</v>
      </c>
      <c r="V49" s="110"/>
      <c r="W49" s="110"/>
      <c r="X49" s="110"/>
      <c r="Y49" s="111"/>
      <c r="Z49" s="109">
        <v>8</v>
      </c>
      <c r="AA49" s="110"/>
      <c r="AB49" s="111"/>
      <c r="AC49" s="109"/>
      <c r="AD49" s="110"/>
      <c r="AE49" s="111"/>
      <c r="AF49" s="109"/>
      <c r="AG49" s="110"/>
      <c r="AH49" s="111"/>
      <c r="AI49" s="109"/>
      <c r="AJ49" s="110"/>
      <c r="AK49" s="111"/>
      <c r="AL49" s="109"/>
      <c r="AM49" s="110"/>
      <c r="AN49" s="111"/>
      <c r="AO49" s="109"/>
      <c r="AP49" s="110"/>
      <c r="AQ49" s="111"/>
      <c r="AR49" s="102" t="s">
        <v>202</v>
      </c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4"/>
    </row>
    <row r="50" spans="1:62" s="10" customFormat="1" ht="60" customHeight="1">
      <c r="A50" s="105">
        <v>26</v>
      </c>
      <c r="B50" s="105"/>
      <c r="C50" s="105"/>
      <c r="D50" s="106" t="s">
        <v>58</v>
      </c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8"/>
      <c r="U50" s="109" t="s">
        <v>50</v>
      </c>
      <c r="V50" s="110"/>
      <c r="W50" s="110"/>
      <c r="X50" s="110"/>
      <c r="Y50" s="111"/>
      <c r="Z50" s="109">
        <v>14</v>
      </c>
      <c r="AA50" s="110"/>
      <c r="AB50" s="111"/>
      <c r="AC50" s="109" t="s">
        <v>35</v>
      </c>
      <c r="AD50" s="110"/>
      <c r="AE50" s="111"/>
      <c r="AF50" s="109"/>
      <c r="AG50" s="110"/>
      <c r="AH50" s="111"/>
      <c r="AI50" s="109"/>
      <c r="AJ50" s="110"/>
      <c r="AK50" s="111"/>
      <c r="AL50" s="109"/>
      <c r="AM50" s="110"/>
      <c r="AN50" s="111"/>
      <c r="AO50" s="109"/>
      <c r="AP50" s="110"/>
      <c r="AQ50" s="111"/>
      <c r="AR50" s="102" t="s">
        <v>203</v>
      </c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4"/>
    </row>
    <row r="51" spans="1:62" s="10" customFormat="1" ht="30" customHeight="1">
      <c r="A51" s="105">
        <v>27</v>
      </c>
      <c r="B51" s="105"/>
      <c r="C51" s="105"/>
      <c r="D51" s="106" t="s">
        <v>59</v>
      </c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8"/>
      <c r="U51" s="109" t="s">
        <v>50</v>
      </c>
      <c r="V51" s="110"/>
      <c r="W51" s="110"/>
      <c r="X51" s="110"/>
      <c r="Y51" s="111"/>
      <c r="Z51" s="109">
        <v>14</v>
      </c>
      <c r="AA51" s="110"/>
      <c r="AB51" s="111"/>
      <c r="AC51" s="109" t="s">
        <v>35</v>
      </c>
      <c r="AD51" s="110"/>
      <c r="AE51" s="111"/>
      <c r="AF51" s="109"/>
      <c r="AG51" s="110"/>
      <c r="AH51" s="111"/>
      <c r="AI51" s="109"/>
      <c r="AJ51" s="110"/>
      <c r="AK51" s="111"/>
      <c r="AL51" s="109"/>
      <c r="AM51" s="110"/>
      <c r="AN51" s="111"/>
      <c r="AO51" s="109"/>
      <c r="AP51" s="110"/>
      <c r="AQ51" s="111"/>
      <c r="AR51" s="102" t="s">
        <v>150</v>
      </c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4"/>
    </row>
    <row r="52" spans="1:62" s="10" customFormat="1" ht="30" customHeight="1">
      <c r="A52" s="105">
        <v>28</v>
      </c>
      <c r="B52" s="105"/>
      <c r="C52" s="105"/>
      <c r="D52" s="106" t="s">
        <v>60</v>
      </c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8"/>
      <c r="U52" s="109" t="s">
        <v>50</v>
      </c>
      <c r="V52" s="110"/>
      <c r="W52" s="110"/>
      <c r="X52" s="110"/>
      <c r="Y52" s="111"/>
      <c r="Z52" s="109">
        <v>14</v>
      </c>
      <c r="AA52" s="110"/>
      <c r="AB52" s="111"/>
      <c r="AC52" s="109" t="s">
        <v>35</v>
      </c>
      <c r="AD52" s="110"/>
      <c r="AE52" s="111"/>
      <c r="AF52" s="109"/>
      <c r="AG52" s="110"/>
      <c r="AH52" s="111"/>
      <c r="AI52" s="109"/>
      <c r="AJ52" s="110"/>
      <c r="AK52" s="111"/>
      <c r="AL52" s="109"/>
      <c r="AM52" s="110"/>
      <c r="AN52" s="111"/>
      <c r="AO52" s="109"/>
      <c r="AP52" s="110"/>
      <c r="AQ52" s="111"/>
      <c r="AR52" s="102" t="s">
        <v>150</v>
      </c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4"/>
    </row>
    <row r="53" spans="1:62" s="10" customFormat="1" ht="30" customHeight="1">
      <c r="A53" s="105"/>
      <c r="B53" s="105"/>
      <c r="C53" s="105"/>
      <c r="D53" s="74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6"/>
      <c r="U53" s="77"/>
      <c r="V53" s="78"/>
      <c r="W53" s="78"/>
      <c r="X53" s="78"/>
      <c r="Y53" s="79"/>
      <c r="Z53" s="77"/>
      <c r="AA53" s="78"/>
      <c r="AB53" s="79"/>
      <c r="AC53" s="77"/>
      <c r="AD53" s="78"/>
      <c r="AE53" s="79"/>
      <c r="AF53" s="77"/>
      <c r="AG53" s="78"/>
      <c r="AH53" s="79"/>
      <c r="AI53" s="77"/>
      <c r="AJ53" s="78"/>
      <c r="AK53" s="79"/>
      <c r="AL53" s="77"/>
      <c r="AM53" s="78"/>
      <c r="AN53" s="79"/>
      <c r="AO53" s="77"/>
      <c r="AP53" s="78"/>
      <c r="AQ53" s="79"/>
      <c r="AR53" s="80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2"/>
    </row>
    <row r="54" spans="1:62" s="10" customFormat="1" ht="30" customHeight="1">
      <c r="A54" s="105"/>
      <c r="B54" s="105"/>
      <c r="C54" s="105"/>
      <c r="D54" s="74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6"/>
      <c r="U54" s="77"/>
      <c r="V54" s="78"/>
      <c r="W54" s="78"/>
      <c r="X54" s="78"/>
      <c r="Y54" s="79"/>
      <c r="Z54" s="77"/>
      <c r="AA54" s="78"/>
      <c r="AB54" s="79"/>
      <c r="AC54" s="77"/>
      <c r="AD54" s="78"/>
      <c r="AE54" s="79"/>
      <c r="AF54" s="77"/>
      <c r="AG54" s="78"/>
      <c r="AH54" s="79"/>
      <c r="AI54" s="77"/>
      <c r="AJ54" s="78"/>
      <c r="AK54" s="79"/>
      <c r="AL54" s="77"/>
      <c r="AM54" s="78"/>
      <c r="AN54" s="79"/>
      <c r="AO54" s="77"/>
      <c r="AP54" s="78"/>
      <c r="AQ54" s="79"/>
      <c r="AR54" s="80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2"/>
    </row>
    <row r="55" spans="1:62" s="10" customFormat="1" ht="30" customHeight="1">
      <c r="A55" s="105"/>
      <c r="B55" s="105"/>
      <c r="C55" s="105"/>
      <c r="D55" s="74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6"/>
      <c r="U55" s="77"/>
      <c r="V55" s="78"/>
      <c r="W55" s="78"/>
      <c r="X55" s="78"/>
      <c r="Y55" s="79"/>
      <c r="Z55" s="77"/>
      <c r="AA55" s="78"/>
      <c r="AB55" s="79"/>
      <c r="AC55" s="77"/>
      <c r="AD55" s="78"/>
      <c r="AE55" s="79"/>
      <c r="AF55" s="77"/>
      <c r="AG55" s="78"/>
      <c r="AH55" s="79"/>
      <c r="AI55" s="77"/>
      <c r="AJ55" s="78"/>
      <c r="AK55" s="79"/>
      <c r="AL55" s="77"/>
      <c r="AM55" s="78"/>
      <c r="AN55" s="79"/>
      <c r="AO55" s="77"/>
      <c r="AP55" s="78"/>
      <c r="AQ55" s="79"/>
      <c r="AR55" s="80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2"/>
    </row>
    <row r="56" spans="1:62" s="10" customFormat="1" ht="30" customHeight="1">
      <c r="A56" s="105"/>
      <c r="B56" s="105"/>
      <c r="C56" s="105"/>
      <c r="D56" s="74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7"/>
      <c r="V56" s="78"/>
      <c r="W56" s="78"/>
      <c r="X56" s="78"/>
      <c r="Y56" s="79"/>
      <c r="Z56" s="77"/>
      <c r="AA56" s="78"/>
      <c r="AB56" s="79"/>
      <c r="AC56" s="77"/>
      <c r="AD56" s="78"/>
      <c r="AE56" s="79"/>
      <c r="AF56" s="77"/>
      <c r="AG56" s="78"/>
      <c r="AH56" s="79"/>
      <c r="AI56" s="77"/>
      <c r="AJ56" s="78"/>
      <c r="AK56" s="79"/>
      <c r="AL56" s="77"/>
      <c r="AM56" s="78"/>
      <c r="AN56" s="79"/>
      <c r="AO56" s="77"/>
      <c r="AP56" s="78"/>
      <c r="AQ56" s="79"/>
      <c r="AR56" s="80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2"/>
    </row>
    <row r="57" spans="1:62" s="10" customFormat="1" ht="30" customHeight="1">
      <c r="A57" s="124"/>
      <c r="B57" s="124"/>
      <c r="C57" s="124"/>
      <c r="D57" s="11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2"/>
      <c r="T57" s="13"/>
      <c r="U57" s="67"/>
      <c r="V57" s="68"/>
      <c r="W57" s="68"/>
      <c r="X57" s="68"/>
      <c r="Y57" s="69"/>
      <c r="Z57" s="67"/>
      <c r="AA57" s="68"/>
      <c r="AB57" s="69"/>
      <c r="AC57" s="67"/>
      <c r="AD57" s="68"/>
      <c r="AE57" s="69"/>
      <c r="AF57" s="67"/>
      <c r="AG57" s="68"/>
      <c r="AH57" s="69"/>
      <c r="AI57" s="67"/>
      <c r="AJ57" s="68"/>
      <c r="AK57" s="69"/>
      <c r="AL57" s="67"/>
      <c r="AM57" s="68"/>
      <c r="AN57" s="69"/>
      <c r="AO57" s="67"/>
      <c r="AP57" s="68"/>
      <c r="AQ57" s="69"/>
      <c r="AR57" s="140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2"/>
    </row>
    <row r="58" spans="1:62" ht="6.6" customHeight="1"/>
  </sheetData>
  <mergeCells count="358">
    <mergeCell ref="A53:C53"/>
    <mergeCell ref="A54:C54"/>
    <mergeCell ref="A55:C55"/>
    <mergeCell ref="A56:C56"/>
    <mergeCell ref="AR51:BJ51"/>
    <mergeCell ref="A47:C47"/>
    <mergeCell ref="AR49:BJ49"/>
    <mergeCell ref="D49:T49"/>
    <mergeCell ref="U49:Y49"/>
    <mergeCell ref="Z49:AB49"/>
    <mergeCell ref="D51:T51"/>
    <mergeCell ref="U51:Y51"/>
    <mergeCell ref="Z51:AB51"/>
    <mergeCell ref="AC51:AE51"/>
    <mergeCell ref="AC50:AE50"/>
    <mergeCell ref="A48:C48"/>
    <mergeCell ref="D48:T48"/>
    <mergeCell ref="U48:Y48"/>
    <mergeCell ref="Z48:AB48"/>
    <mergeCell ref="AC48:AE48"/>
    <mergeCell ref="AO48:AQ48"/>
    <mergeCell ref="AC44:AE44"/>
    <mergeCell ref="AF44:AH44"/>
    <mergeCell ref="AI44:AK44"/>
    <mergeCell ref="AI41:AK41"/>
    <mergeCell ref="AL41:AN41"/>
    <mergeCell ref="A57:C57"/>
    <mergeCell ref="AR57:BJ57"/>
    <mergeCell ref="AR47:BJ47"/>
    <mergeCell ref="A52:C52"/>
    <mergeCell ref="AR52:BJ52"/>
    <mergeCell ref="AC49:AE49"/>
    <mergeCell ref="A44:C44"/>
    <mergeCell ref="D44:T44"/>
    <mergeCell ref="A49:C49"/>
    <mergeCell ref="D52:T52"/>
    <mergeCell ref="U52:Y52"/>
    <mergeCell ref="Z52:AB52"/>
    <mergeCell ref="AC52:AE52"/>
    <mergeCell ref="AF52:AH52"/>
    <mergeCell ref="AI52:AK52"/>
    <mergeCell ref="AL52:AN52"/>
    <mergeCell ref="A51:C51"/>
    <mergeCell ref="A42:C42"/>
    <mergeCell ref="A41:C41"/>
    <mergeCell ref="Z38:AB38"/>
    <mergeCell ref="AC38:AE38"/>
    <mergeCell ref="AI39:AK39"/>
    <mergeCell ref="AL39:AN39"/>
    <mergeCell ref="AO39:AQ39"/>
    <mergeCell ref="AF41:AH41"/>
    <mergeCell ref="AO41:AQ41"/>
    <mergeCell ref="AF38:AH38"/>
    <mergeCell ref="AI38:AK38"/>
    <mergeCell ref="Z40:AB40"/>
    <mergeCell ref="AC40:AE40"/>
    <mergeCell ref="AF40:AH40"/>
    <mergeCell ref="AI40:AK40"/>
    <mergeCell ref="AL40:AN40"/>
    <mergeCell ref="AO40:AQ40"/>
    <mergeCell ref="A50:C50"/>
    <mergeCell ref="AR50:BJ50"/>
    <mergeCell ref="AR42:BJ42"/>
    <mergeCell ref="A40:C40"/>
    <mergeCell ref="AR40:BJ40"/>
    <mergeCell ref="D41:T41"/>
    <mergeCell ref="U41:Y41"/>
    <mergeCell ref="Z41:AB41"/>
    <mergeCell ref="AC41:AE41"/>
    <mergeCell ref="D40:T40"/>
    <mergeCell ref="U40:Y40"/>
    <mergeCell ref="D50:T50"/>
    <mergeCell ref="U50:Y50"/>
    <mergeCell ref="Z50:AB50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U44:Y44"/>
    <mergeCell ref="Z44:AB44"/>
    <mergeCell ref="Z36:AB36"/>
    <mergeCell ref="AC36:AE36"/>
    <mergeCell ref="A36:C36"/>
    <mergeCell ref="AR36:BJ36"/>
    <mergeCell ref="AO36:AQ36"/>
    <mergeCell ref="AL37:AN37"/>
    <mergeCell ref="AO37:AQ37"/>
    <mergeCell ref="AR37:BJ37"/>
    <mergeCell ref="A35:C35"/>
    <mergeCell ref="D37:T37"/>
    <mergeCell ref="U37:Y37"/>
    <mergeCell ref="Z37:AB37"/>
    <mergeCell ref="AC37:AE37"/>
    <mergeCell ref="AF37:AH37"/>
    <mergeCell ref="AI37:AK37"/>
    <mergeCell ref="A38:C38"/>
    <mergeCell ref="D38:T38"/>
    <mergeCell ref="U38:Y38"/>
    <mergeCell ref="D32:T32"/>
    <mergeCell ref="AO34:AQ34"/>
    <mergeCell ref="AL35:AN35"/>
    <mergeCell ref="AO35:AQ35"/>
    <mergeCell ref="A34:C34"/>
    <mergeCell ref="AR34:BJ34"/>
    <mergeCell ref="D34:T34"/>
    <mergeCell ref="U34:Y34"/>
    <mergeCell ref="Z34:AB34"/>
    <mergeCell ref="AC34:AE34"/>
    <mergeCell ref="AF34:AH34"/>
    <mergeCell ref="AI34:AK34"/>
    <mergeCell ref="AL34:AN34"/>
    <mergeCell ref="Z35:AB35"/>
    <mergeCell ref="AC35:AE35"/>
    <mergeCell ref="AF35:AH35"/>
    <mergeCell ref="AI35:AK35"/>
    <mergeCell ref="AF33:AH33"/>
    <mergeCell ref="AR35:BJ35"/>
    <mergeCell ref="D36:T36"/>
    <mergeCell ref="U36:Y36"/>
    <mergeCell ref="AC32:AE32"/>
    <mergeCell ref="AC33:AE33"/>
    <mergeCell ref="A32:C32"/>
    <mergeCell ref="U30:Y30"/>
    <mergeCell ref="Z30:AB30"/>
    <mergeCell ref="A31:C31"/>
    <mergeCell ref="D31:T31"/>
    <mergeCell ref="U31:Y31"/>
    <mergeCell ref="Z31:AB31"/>
    <mergeCell ref="AC31:AE31"/>
    <mergeCell ref="A30:C30"/>
    <mergeCell ref="D33:T33"/>
    <mergeCell ref="U33:Y33"/>
    <mergeCell ref="Z32:AB32"/>
    <mergeCell ref="A33:C33"/>
    <mergeCell ref="Z33:AB33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2:AS2"/>
    <mergeCell ref="AY4:BJ4"/>
    <mergeCell ref="AS10:BJ10"/>
    <mergeCell ref="A37:C37"/>
    <mergeCell ref="AF36:AH36"/>
    <mergeCell ref="AI36:AK36"/>
    <mergeCell ref="AL36:AN36"/>
    <mergeCell ref="AI24:AK24"/>
    <mergeCell ref="AL24:AN24"/>
    <mergeCell ref="AO24:AQ24"/>
    <mergeCell ref="AR28:BJ28"/>
    <mergeCell ref="AR27:BJ27"/>
    <mergeCell ref="D10:AR10"/>
    <mergeCell ref="AR32:BJ32"/>
    <mergeCell ref="D30:T30"/>
    <mergeCell ref="U32:Y32"/>
    <mergeCell ref="AF32:AH32"/>
    <mergeCell ref="D35:T35"/>
    <mergeCell ref="U35:Y35"/>
    <mergeCell ref="AC30:AE30"/>
    <mergeCell ref="A27:C27"/>
    <mergeCell ref="D27:T27"/>
    <mergeCell ref="U27:Y27"/>
    <mergeCell ref="Z27:AB27"/>
    <mergeCell ref="AC27:AE27"/>
    <mergeCell ref="AI33:AK33"/>
    <mergeCell ref="AX6:BA6"/>
    <mergeCell ref="BB6:BE6"/>
    <mergeCell ref="BF6:BJ6"/>
    <mergeCell ref="A7:K7"/>
    <mergeCell ref="L7:AJ7"/>
    <mergeCell ref="AK7:AR7"/>
    <mergeCell ref="AS7:AX7"/>
    <mergeCell ref="BC7:BD7"/>
    <mergeCell ref="BE7:BH7"/>
    <mergeCell ref="BI7:BJ7"/>
    <mergeCell ref="AI28:AK28"/>
    <mergeCell ref="AI29:AK29"/>
    <mergeCell ref="D19:AR19"/>
    <mergeCell ref="Z26:AB26"/>
    <mergeCell ref="U26:Y26"/>
    <mergeCell ref="D26:T26"/>
    <mergeCell ref="AF28:AH28"/>
    <mergeCell ref="A6:K6"/>
    <mergeCell ref="L6:AA6"/>
    <mergeCell ref="AB6:AJ6"/>
    <mergeCell ref="AK6:AN6"/>
    <mergeCell ref="AO6:AW6"/>
    <mergeCell ref="A24:C24"/>
    <mergeCell ref="D24:T24"/>
    <mergeCell ref="U24:Y24"/>
    <mergeCell ref="Z24:AB24"/>
    <mergeCell ref="AC24:AE24"/>
    <mergeCell ref="AF24:AH24"/>
    <mergeCell ref="A29:C29"/>
    <mergeCell ref="D29:T29"/>
    <mergeCell ref="U29:Y29"/>
    <mergeCell ref="Z29:AB29"/>
    <mergeCell ref="AC29:AE29"/>
    <mergeCell ref="A11:C11"/>
    <mergeCell ref="AR44:BJ44"/>
    <mergeCell ref="AL30:AN30"/>
    <mergeCell ref="AO30:AQ30"/>
    <mergeCell ref="AR33:BJ33"/>
    <mergeCell ref="AL32:AN32"/>
    <mergeCell ref="AO32:AQ32"/>
    <mergeCell ref="AO33:AQ33"/>
    <mergeCell ref="AR30:BJ30"/>
    <mergeCell ref="AL31:AN31"/>
    <mergeCell ref="AO31:AQ31"/>
    <mergeCell ref="AR31:BJ31"/>
    <mergeCell ref="AL33:AN33"/>
    <mergeCell ref="AL38:AN38"/>
    <mergeCell ref="AO38:AQ38"/>
    <mergeCell ref="AR38:BJ38"/>
    <mergeCell ref="AR41:BJ41"/>
    <mergeCell ref="AL44:AN44"/>
    <mergeCell ref="AO44:AQ44"/>
    <mergeCell ref="AI32:AK32"/>
    <mergeCell ref="AF31:AH31"/>
    <mergeCell ref="AI31:AK31"/>
    <mergeCell ref="AF30:AH30"/>
    <mergeCell ref="AI30:AK30"/>
    <mergeCell ref="AR43:BJ43"/>
    <mergeCell ref="AR39:BJ39"/>
    <mergeCell ref="AO52:AQ52"/>
    <mergeCell ref="AF50:AH50"/>
    <mergeCell ref="AI50:AK50"/>
    <mergeCell ref="AL50:AN50"/>
    <mergeCell ref="AO50:AQ50"/>
    <mergeCell ref="AF49:AH49"/>
    <mergeCell ref="AI49:AK49"/>
    <mergeCell ref="AL49:AN49"/>
    <mergeCell ref="AO49:AQ49"/>
    <mergeCell ref="AF51:AH51"/>
    <mergeCell ref="AI51:AK51"/>
    <mergeCell ref="AL51:AN51"/>
    <mergeCell ref="AO51:AQ51"/>
    <mergeCell ref="AR48:BJ48"/>
    <mergeCell ref="AF48:AH48"/>
    <mergeCell ref="AI48:AK48"/>
    <mergeCell ref="AL48:AN48"/>
    <mergeCell ref="U42:Y42"/>
    <mergeCell ref="Z42:AB42"/>
    <mergeCell ref="AC42:AE42"/>
    <mergeCell ref="AF42:AH42"/>
    <mergeCell ref="AI42:AK42"/>
    <mergeCell ref="AL42:AN42"/>
    <mergeCell ref="AI43:AK43"/>
    <mergeCell ref="AL43:AN43"/>
    <mergeCell ref="AO43:AQ43"/>
    <mergeCell ref="AO42:AQ42"/>
    <mergeCell ref="D11:AR11"/>
    <mergeCell ref="AS11:BJ11"/>
    <mergeCell ref="A12:C12"/>
    <mergeCell ref="D12:AR12"/>
    <mergeCell ref="AS12:BJ12"/>
    <mergeCell ref="A13:C13"/>
    <mergeCell ref="D13:AR13"/>
    <mergeCell ref="AS13:BJ13"/>
    <mergeCell ref="A26:C26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L26:AN26"/>
    <mergeCell ref="AI26:AK26"/>
    <mergeCell ref="AF26:AH26"/>
    <mergeCell ref="AC26:AE26"/>
    <mergeCell ref="AS14:BJ14"/>
    <mergeCell ref="A20:C20"/>
    <mergeCell ref="D20:AR20"/>
    <mergeCell ref="D21:AR21"/>
    <mergeCell ref="AS21:BJ21"/>
    <mergeCell ref="A15:C15"/>
    <mergeCell ref="D15:AR15"/>
    <mergeCell ref="AS15:BJ15"/>
    <mergeCell ref="A16:C16"/>
    <mergeCell ref="D16:AR16"/>
    <mergeCell ref="AS16:BJ16"/>
    <mergeCell ref="A17:C17"/>
    <mergeCell ref="D17:AR17"/>
    <mergeCell ref="AS17:BJ17"/>
    <mergeCell ref="A18:C18"/>
    <mergeCell ref="D18:AR18"/>
    <mergeCell ref="AS18:BJ18"/>
    <mergeCell ref="A19:C19"/>
    <mergeCell ref="AS19:BJ19"/>
    <mergeCell ref="Z39:AB39"/>
    <mergeCell ref="AC39:AE39"/>
    <mergeCell ref="AF39:AH39"/>
    <mergeCell ref="A39:C39"/>
    <mergeCell ref="A10:C10"/>
    <mergeCell ref="A14:C14"/>
    <mergeCell ref="D14:AR14"/>
    <mergeCell ref="AR26:BJ26"/>
    <mergeCell ref="AO26:AQ26"/>
    <mergeCell ref="AF29:AH29"/>
    <mergeCell ref="AF27:AH27"/>
    <mergeCell ref="AI27:AK27"/>
    <mergeCell ref="AL27:AN27"/>
    <mergeCell ref="AO27:AQ27"/>
    <mergeCell ref="AO25:AQ25"/>
    <mergeCell ref="AR25:BJ25"/>
    <mergeCell ref="AL28:AN28"/>
    <mergeCell ref="AO28:AQ28"/>
    <mergeCell ref="AL29:AN29"/>
    <mergeCell ref="AO29:AQ29"/>
    <mergeCell ref="AR24:BJ24"/>
    <mergeCell ref="AR29:BJ29"/>
    <mergeCell ref="AS20:BJ20"/>
    <mergeCell ref="A21:C21"/>
    <mergeCell ref="A28:C28"/>
    <mergeCell ref="D28:T28"/>
    <mergeCell ref="U28:Y28"/>
    <mergeCell ref="Z28:AB28"/>
    <mergeCell ref="AC28:AE28"/>
    <mergeCell ref="AR45:BJ45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43:C43"/>
    <mergeCell ref="D43:T43"/>
    <mergeCell ref="U43:Y43"/>
    <mergeCell ref="Z43:AB43"/>
    <mergeCell ref="AC43:AE43"/>
    <mergeCell ref="AF43:AH43"/>
    <mergeCell ref="D42:T42"/>
    <mergeCell ref="D39:T39"/>
    <mergeCell ref="U39:Y39"/>
    <mergeCell ref="AR46:BJ46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</mergeCells>
  <phoneticPr fontId="1"/>
  <dataValidations count="6">
    <dataValidation type="list" allowBlank="1" showInputMessage="1" showErrorMessage="1" sqref="BI7:BI9 BC7:BC9 BC22 BI22 AL25:AQ56 AC25:AH56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22:AX22 AT9:AX9 AS9:AS10 AS7:AX8" xr:uid="{397D69E7-BFA6-4F73-814A-CB17B54B7DBF}">
      <formula1>"utf-8,Shift jis"</formula1>
    </dataValidation>
    <dataValidation type="list" allowBlank="1" showInputMessage="1" sqref="AS11:BJ11" xr:uid="{DDE32082-0BE8-41FC-9C5A-A0463637ECD5}">
      <formula1>"昇順, 降順"</formula1>
    </dataValidation>
    <dataValidation type="list" allowBlank="1" showInputMessage="1" sqref="AS12:BJ21" xr:uid="{0AD2B2B2-BD57-454D-92EA-0683202B82AB}">
      <formula1>"昇順,降順"</formula1>
    </dataValidation>
    <dataValidation type="list" allowBlank="1" showInputMessage="1" showErrorMessage="1" sqref="AI25:AK56" xr:uid="{6739CC32-38D8-4C38-B8E8-426F03B3C0AE}">
      <formula1>"右,左"</formula1>
    </dataValidation>
  </dataValidations>
  <pageMargins left="0.6692913385826772" right="0.43307086614173229" top="0.6692913385826772" bottom="0.55118110236220474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42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5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87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3</v>
      </c>
      <c r="AU2" s="82"/>
      <c r="AV2" s="82"/>
      <c r="AW2" s="82"/>
      <c r="AX2" s="83"/>
      <c r="AY2" s="81" t="s">
        <v>31</v>
      </c>
      <c r="AZ2" s="82"/>
      <c r="BA2" s="82"/>
      <c r="BB2" s="83"/>
      <c r="BC2" s="81" t="s">
        <v>5</v>
      </c>
      <c r="BD2" s="82"/>
      <c r="BE2" s="82"/>
      <c r="BF2" s="83"/>
      <c r="BG2" s="81"/>
      <c r="BH2" s="82"/>
      <c r="BI2" s="82"/>
      <c r="BJ2" s="83"/>
    </row>
    <row r="3" spans="1:62" s="1" customFormat="1" ht="18" customHeight="1">
      <c r="A3" s="90" t="s">
        <v>6</v>
      </c>
      <c r="B3" s="91"/>
      <c r="C3" s="91"/>
      <c r="D3" s="91"/>
      <c r="E3" s="91"/>
      <c r="F3" s="91"/>
      <c r="G3" s="91"/>
      <c r="H3" s="92"/>
      <c r="I3" s="96" t="s">
        <v>171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8"/>
      <c r="AT3" s="81" t="s">
        <v>7</v>
      </c>
      <c r="AU3" s="82"/>
      <c r="AV3" s="82"/>
      <c r="AW3" s="82"/>
      <c r="AX3" s="83"/>
      <c r="AY3" s="81" t="s">
        <v>170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2" s="1" customFormat="1" ht="18" customHeight="1">
      <c r="A4" s="93"/>
      <c r="B4" s="94"/>
      <c r="C4" s="94"/>
      <c r="D4" s="94"/>
      <c r="E4" s="94"/>
      <c r="F4" s="94"/>
      <c r="G4" s="94"/>
      <c r="H4" s="95"/>
      <c r="I4" s="99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1"/>
      <c r="AT4" s="81" t="s">
        <v>8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2" s="10" customFormat="1" ht="6" customHeight="1"/>
    <row r="6" spans="1:62" s="18" customFormat="1" ht="20.25" customHeight="1">
      <c r="A6" s="121" t="s">
        <v>12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172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3"/>
      <c r="AB6" s="121" t="s">
        <v>13</v>
      </c>
      <c r="AC6" s="122"/>
      <c r="AD6" s="122"/>
      <c r="AE6" s="122"/>
      <c r="AF6" s="122"/>
      <c r="AG6" s="122"/>
      <c r="AH6" s="122"/>
      <c r="AI6" s="122"/>
      <c r="AJ6" s="123"/>
      <c r="AK6" s="121" t="s">
        <v>32</v>
      </c>
      <c r="AL6" s="122"/>
      <c r="AM6" s="122"/>
      <c r="AN6" s="123"/>
      <c r="AO6" s="121" t="s">
        <v>14</v>
      </c>
      <c r="AP6" s="122"/>
      <c r="AQ6" s="122"/>
      <c r="AR6" s="122"/>
      <c r="AS6" s="122"/>
      <c r="AT6" s="122"/>
      <c r="AU6" s="122"/>
      <c r="AV6" s="122"/>
      <c r="AW6" s="123"/>
      <c r="AX6" s="121" t="s">
        <v>33</v>
      </c>
      <c r="AY6" s="122"/>
      <c r="AZ6" s="122"/>
      <c r="BA6" s="123"/>
      <c r="BB6" s="112" t="s">
        <v>15</v>
      </c>
      <c r="BC6" s="112"/>
      <c r="BD6" s="112"/>
      <c r="BE6" s="112"/>
      <c r="BF6" s="112">
        <f>COUNTA(D10:D414)</f>
        <v>28</v>
      </c>
      <c r="BG6" s="112"/>
      <c r="BH6" s="112"/>
      <c r="BI6" s="112"/>
      <c r="BJ6" s="112"/>
    </row>
    <row r="7" spans="1:62" s="18" customFormat="1" ht="20.25" customHeight="1">
      <c r="A7" s="121" t="s">
        <v>16</v>
      </c>
      <c r="B7" s="122"/>
      <c r="C7" s="122"/>
      <c r="D7" s="122"/>
      <c r="E7" s="122"/>
      <c r="F7" s="122"/>
      <c r="G7" s="122"/>
      <c r="H7" s="122"/>
      <c r="I7" s="122"/>
      <c r="J7" s="122"/>
      <c r="K7" s="123"/>
      <c r="L7" s="121" t="s">
        <v>74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3"/>
      <c r="AK7" s="121" t="s">
        <v>34</v>
      </c>
      <c r="AL7" s="122"/>
      <c r="AM7" s="122"/>
      <c r="AN7" s="122"/>
      <c r="AO7" s="122"/>
      <c r="AP7" s="122"/>
      <c r="AQ7" s="122"/>
      <c r="AR7" s="123"/>
      <c r="AS7" s="121" t="s">
        <v>158</v>
      </c>
      <c r="AT7" s="122"/>
      <c r="AU7" s="122"/>
      <c r="AV7" s="122"/>
      <c r="AW7" s="122"/>
      <c r="AX7" s="123"/>
      <c r="AY7" s="35" t="s">
        <v>17</v>
      </c>
      <c r="AZ7" s="36"/>
      <c r="BA7" s="36"/>
      <c r="BB7" s="36"/>
      <c r="BC7" s="121" t="s">
        <v>35</v>
      </c>
      <c r="BD7" s="123"/>
      <c r="BE7" s="121" t="s">
        <v>18</v>
      </c>
      <c r="BF7" s="122"/>
      <c r="BG7" s="122"/>
      <c r="BH7" s="123"/>
      <c r="BI7" s="121"/>
      <c r="BJ7" s="123"/>
    </row>
    <row r="8" spans="1:62" s="40" customFormat="1">
      <c r="B8" s="41" t="s">
        <v>19</v>
      </c>
      <c r="G8" s="42"/>
    </row>
    <row r="9" spans="1:62" s="18" customFormat="1" ht="42" customHeight="1">
      <c r="A9" s="121" t="s">
        <v>20</v>
      </c>
      <c r="B9" s="122"/>
      <c r="C9" s="123"/>
      <c r="D9" s="121" t="s">
        <v>36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3"/>
      <c r="U9" s="136" t="s">
        <v>22</v>
      </c>
      <c r="V9" s="137"/>
      <c r="W9" s="137"/>
      <c r="X9" s="137"/>
      <c r="Y9" s="138"/>
      <c r="Z9" s="136" t="s">
        <v>23</v>
      </c>
      <c r="AA9" s="137"/>
      <c r="AB9" s="138"/>
      <c r="AC9" s="121" t="s">
        <v>37</v>
      </c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3"/>
    </row>
    <row r="10" spans="1:62" s="10" customFormat="1" ht="30" customHeight="1">
      <c r="A10" s="132">
        <v>1</v>
      </c>
      <c r="B10" s="132"/>
      <c r="C10" s="132"/>
      <c r="D10" s="133" t="s">
        <v>100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5"/>
      <c r="U10" s="115" t="s">
        <v>50</v>
      </c>
      <c r="V10" s="116"/>
      <c r="W10" s="116"/>
      <c r="X10" s="116"/>
      <c r="Y10" s="117"/>
      <c r="Z10" s="115">
        <v>6</v>
      </c>
      <c r="AA10" s="116"/>
      <c r="AB10" s="117"/>
      <c r="AC10" s="43" t="s">
        <v>151</v>
      </c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6"/>
    </row>
    <row r="11" spans="1:62" s="10" customFormat="1" ht="30" customHeight="1">
      <c r="A11" s="105">
        <v>2</v>
      </c>
      <c r="B11" s="105"/>
      <c r="C11" s="105"/>
      <c r="D11" s="106" t="s">
        <v>101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 t="s">
        <v>52</v>
      </c>
      <c r="V11" s="110"/>
      <c r="W11" s="110"/>
      <c r="X11" s="110"/>
      <c r="Y11" s="111"/>
      <c r="Z11" s="109">
        <v>2</v>
      </c>
      <c r="AA11" s="110"/>
      <c r="AB11" s="111"/>
      <c r="AC11" s="43" t="s">
        <v>103</v>
      </c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10" customFormat="1" ht="30" customHeight="1">
      <c r="A12" s="105">
        <v>3</v>
      </c>
      <c r="B12" s="105"/>
      <c r="C12" s="105"/>
      <c r="D12" s="106" t="s">
        <v>102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8"/>
      <c r="U12" s="109" t="s">
        <v>53</v>
      </c>
      <c r="V12" s="110"/>
      <c r="W12" s="110"/>
      <c r="X12" s="110"/>
      <c r="Y12" s="111"/>
      <c r="Z12" s="109">
        <v>10</v>
      </c>
      <c r="AA12" s="110"/>
      <c r="AB12" s="111"/>
      <c r="AC12" s="44" t="s">
        <v>77</v>
      </c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6"/>
    </row>
    <row r="13" spans="1:62" s="10" customFormat="1" ht="30" customHeight="1">
      <c r="A13" s="105">
        <v>4</v>
      </c>
      <c r="B13" s="105"/>
      <c r="C13" s="105"/>
      <c r="D13" s="106" t="s">
        <v>63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8"/>
      <c r="U13" s="109" t="s">
        <v>52</v>
      </c>
      <c r="V13" s="110"/>
      <c r="W13" s="110"/>
      <c r="X13" s="110"/>
      <c r="Y13" s="111"/>
      <c r="Z13" s="109">
        <v>6</v>
      </c>
      <c r="AA13" s="110"/>
      <c r="AB13" s="111"/>
      <c r="AC13" s="43" t="s">
        <v>160</v>
      </c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6"/>
    </row>
    <row r="14" spans="1:62" s="10" customFormat="1" ht="30" customHeight="1">
      <c r="A14" s="105">
        <v>5</v>
      </c>
      <c r="B14" s="105"/>
      <c r="C14" s="105"/>
      <c r="D14" s="106" t="s">
        <v>64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9" t="s">
        <v>53</v>
      </c>
      <c r="V14" s="110"/>
      <c r="W14" s="110"/>
      <c r="X14" s="110"/>
      <c r="Y14" s="111"/>
      <c r="Z14" s="109">
        <v>12</v>
      </c>
      <c r="AA14" s="110"/>
      <c r="AB14" s="111"/>
      <c r="AC14" s="44" t="s">
        <v>82</v>
      </c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6"/>
    </row>
    <row r="15" spans="1:62" s="10" customFormat="1" ht="30" customHeight="1">
      <c r="A15" s="105">
        <v>6</v>
      </c>
      <c r="B15" s="105"/>
      <c r="C15" s="105"/>
      <c r="D15" s="106" t="s">
        <v>65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8"/>
      <c r="U15" s="109" t="s">
        <v>52</v>
      </c>
      <c r="V15" s="110"/>
      <c r="W15" s="110"/>
      <c r="X15" s="110"/>
      <c r="Y15" s="111"/>
      <c r="Z15" s="109">
        <v>2</v>
      </c>
      <c r="AA15" s="110"/>
      <c r="AB15" s="111"/>
      <c r="AC15" s="43" t="s">
        <v>86</v>
      </c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6"/>
    </row>
    <row r="16" spans="1:62" s="10" customFormat="1" ht="30" customHeight="1">
      <c r="A16" s="105">
        <v>7</v>
      </c>
      <c r="B16" s="105"/>
      <c r="C16" s="105"/>
      <c r="D16" s="106" t="s">
        <v>66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8"/>
      <c r="U16" s="109" t="s">
        <v>53</v>
      </c>
      <c r="V16" s="110"/>
      <c r="W16" s="110"/>
      <c r="X16" s="110"/>
      <c r="Y16" s="111"/>
      <c r="Z16" s="109">
        <v>10</v>
      </c>
      <c r="AA16" s="110"/>
      <c r="AB16" s="111"/>
      <c r="AC16" s="44" t="s">
        <v>107</v>
      </c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6"/>
    </row>
    <row r="17" spans="1:62" s="10" customFormat="1" ht="30" customHeight="1">
      <c r="A17" s="105">
        <v>8</v>
      </c>
      <c r="B17" s="105"/>
      <c r="C17" s="105"/>
      <c r="D17" s="106" t="s">
        <v>134</v>
      </c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9" t="s">
        <v>52</v>
      </c>
      <c r="V17" s="110"/>
      <c r="W17" s="110"/>
      <c r="X17" s="110"/>
      <c r="Y17" s="111"/>
      <c r="Z17" s="109">
        <v>2</v>
      </c>
      <c r="AA17" s="110"/>
      <c r="AB17" s="111"/>
      <c r="AC17" s="44" t="s">
        <v>108</v>
      </c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6"/>
    </row>
    <row r="18" spans="1:62" s="10" customFormat="1" ht="30" customHeight="1">
      <c r="A18" s="105">
        <v>9</v>
      </c>
      <c r="B18" s="105"/>
      <c r="C18" s="105"/>
      <c r="D18" s="106" t="s">
        <v>146</v>
      </c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8"/>
      <c r="U18" s="109" t="s">
        <v>53</v>
      </c>
      <c r="V18" s="110"/>
      <c r="W18" s="110"/>
      <c r="X18" s="110"/>
      <c r="Y18" s="111"/>
      <c r="Z18" s="109">
        <v>15</v>
      </c>
      <c r="AA18" s="110"/>
      <c r="AB18" s="111"/>
      <c r="AC18" s="44" t="s">
        <v>109</v>
      </c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6"/>
    </row>
    <row r="19" spans="1:62" s="10" customFormat="1" ht="30" customHeight="1">
      <c r="A19" s="105">
        <v>10</v>
      </c>
      <c r="B19" s="105"/>
      <c r="C19" s="105"/>
      <c r="D19" s="106" t="s">
        <v>127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8"/>
      <c r="U19" s="109" t="s">
        <v>52</v>
      </c>
      <c r="V19" s="110"/>
      <c r="W19" s="110"/>
      <c r="X19" s="110"/>
      <c r="Y19" s="111"/>
      <c r="Z19" s="109">
        <v>4</v>
      </c>
      <c r="AA19" s="110"/>
      <c r="AB19" s="111"/>
      <c r="AC19" s="43" t="s">
        <v>153</v>
      </c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6"/>
    </row>
    <row r="20" spans="1:62" s="10" customFormat="1" ht="30" customHeight="1">
      <c r="A20" s="105">
        <v>11</v>
      </c>
      <c r="B20" s="105"/>
      <c r="C20" s="105"/>
      <c r="D20" s="106" t="s">
        <v>128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9" t="s">
        <v>53</v>
      </c>
      <c r="V20" s="110"/>
      <c r="W20" s="110"/>
      <c r="X20" s="110"/>
      <c r="Y20" s="111"/>
      <c r="Z20" s="109">
        <v>15</v>
      </c>
      <c r="AA20" s="110"/>
      <c r="AB20" s="111"/>
      <c r="AC20" s="43" t="s">
        <v>154</v>
      </c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6"/>
    </row>
    <row r="21" spans="1:62" s="10" customFormat="1" ht="30" customHeight="1">
      <c r="A21" s="105">
        <v>12</v>
      </c>
      <c r="B21" s="105"/>
      <c r="C21" s="105"/>
      <c r="D21" s="106" t="s">
        <v>173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8"/>
      <c r="U21" s="109" t="s">
        <v>52</v>
      </c>
      <c r="V21" s="110"/>
      <c r="W21" s="110"/>
      <c r="X21" s="110"/>
      <c r="Y21" s="111"/>
      <c r="Z21" s="109">
        <v>24</v>
      </c>
      <c r="AA21" s="110"/>
      <c r="AB21" s="111"/>
      <c r="AC21" s="43" t="s">
        <v>169</v>
      </c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6"/>
    </row>
    <row r="22" spans="1:62" s="10" customFormat="1" ht="30" customHeight="1">
      <c r="A22" s="105">
        <v>13</v>
      </c>
      <c r="B22" s="105"/>
      <c r="C22" s="105"/>
      <c r="D22" s="106" t="s">
        <v>99</v>
      </c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8"/>
      <c r="U22" s="109" t="s">
        <v>52</v>
      </c>
      <c r="V22" s="110"/>
      <c r="W22" s="110"/>
      <c r="X22" s="110"/>
      <c r="Y22" s="111"/>
      <c r="Z22" s="109">
        <v>8</v>
      </c>
      <c r="AA22" s="110"/>
      <c r="AB22" s="111"/>
      <c r="AC22" s="43" t="s">
        <v>162</v>
      </c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6"/>
    </row>
    <row r="23" spans="1:62" s="10" customFormat="1" ht="30" customHeight="1">
      <c r="A23" s="105">
        <v>14</v>
      </c>
      <c r="B23" s="105"/>
      <c r="C23" s="105"/>
      <c r="D23" s="106" t="s">
        <v>145</v>
      </c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8"/>
      <c r="U23" s="109" t="s">
        <v>53</v>
      </c>
      <c r="V23" s="110"/>
      <c r="W23" s="110"/>
      <c r="X23" s="110"/>
      <c r="Y23" s="111"/>
      <c r="Z23" s="109">
        <v>35</v>
      </c>
      <c r="AA23" s="110"/>
      <c r="AB23" s="111"/>
      <c r="AC23" s="44" t="s">
        <v>110</v>
      </c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6"/>
    </row>
    <row r="24" spans="1:62" s="10" customFormat="1" ht="30" customHeight="1">
      <c r="A24" s="105">
        <v>15</v>
      </c>
      <c r="B24" s="105"/>
      <c r="C24" s="105"/>
      <c r="D24" s="106" t="s">
        <v>138</v>
      </c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8"/>
      <c r="U24" s="109" t="s">
        <v>61</v>
      </c>
      <c r="V24" s="110"/>
      <c r="W24" s="110"/>
      <c r="X24" s="110"/>
      <c r="Y24" s="111"/>
      <c r="Z24" s="109">
        <v>1</v>
      </c>
      <c r="AA24" s="110"/>
      <c r="AB24" s="111"/>
      <c r="AC24" s="44">
        <v>5</v>
      </c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6"/>
    </row>
    <row r="25" spans="1:62" s="10" customFormat="1" ht="30" customHeight="1">
      <c r="A25" s="105">
        <v>16</v>
      </c>
      <c r="B25" s="105"/>
      <c r="C25" s="105"/>
      <c r="D25" s="106" t="s">
        <v>54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8"/>
      <c r="U25" s="109" t="s">
        <v>62</v>
      </c>
      <c r="V25" s="110"/>
      <c r="W25" s="110"/>
      <c r="X25" s="110"/>
      <c r="Y25" s="111"/>
      <c r="Z25" s="109">
        <v>2</v>
      </c>
      <c r="AA25" s="110"/>
      <c r="AB25" s="111"/>
      <c r="AC25" s="44" t="s">
        <v>129</v>
      </c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6"/>
    </row>
    <row r="26" spans="1:62" s="10" customFormat="1" ht="30" customHeight="1">
      <c r="A26" s="105">
        <v>17</v>
      </c>
      <c r="B26" s="105"/>
      <c r="C26" s="105"/>
      <c r="D26" s="106" t="s">
        <v>55</v>
      </c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8"/>
      <c r="U26" s="109" t="s">
        <v>61</v>
      </c>
      <c r="V26" s="110"/>
      <c r="W26" s="110"/>
      <c r="X26" s="110"/>
      <c r="Y26" s="111"/>
      <c r="Z26" s="109">
        <v>6</v>
      </c>
      <c r="AA26" s="110"/>
      <c r="AB26" s="111"/>
      <c r="AC26" s="44" t="s">
        <v>88</v>
      </c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6"/>
    </row>
    <row r="27" spans="1:62" s="10" customFormat="1" ht="30" customHeight="1">
      <c r="A27" s="105">
        <v>18</v>
      </c>
      <c r="B27" s="105"/>
      <c r="C27" s="105"/>
      <c r="D27" s="106" t="s">
        <v>56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8"/>
      <c r="U27" s="109" t="s">
        <v>62</v>
      </c>
      <c r="V27" s="110"/>
      <c r="W27" s="110"/>
      <c r="X27" s="110"/>
      <c r="Y27" s="111"/>
      <c r="Z27" s="109">
        <v>22</v>
      </c>
      <c r="AA27" s="110"/>
      <c r="AB27" s="111"/>
      <c r="AC27" s="44" t="s">
        <v>111</v>
      </c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6"/>
    </row>
    <row r="28" spans="1:62" s="10" customFormat="1" ht="30" customHeight="1">
      <c r="A28" s="105">
        <v>19</v>
      </c>
      <c r="B28" s="105"/>
      <c r="C28" s="105"/>
      <c r="D28" s="106" t="s">
        <v>174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09" t="s">
        <v>50</v>
      </c>
      <c r="V28" s="110"/>
      <c r="W28" s="110"/>
      <c r="X28" s="110"/>
      <c r="Y28" s="111"/>
      <c r="Z28" s="109">
        <v>14</v>
      </c>
      <c r="AA28" s="110"/>
      <c r="AB28" s="111"/>
      <c r="AC28" s="43" t="s">
        <v>178</v>
      </c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6"/>
    </row>
    <row r="29" spans="1:62" s="10" customFormat="1" ht="30" customHeight="1">
      <c r="A29" s="105">
        <v>20</v>
      </c>
      <c r="B29" s="105"/>
      <c r="C29" s="105"/>
      <c r="D29" s="106" t="s">
        <v>180</v>
      </c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8"/>
      <c r="U29" s="109" t="s">
        <v>52</v>
      </c>
      <c r="V29" s="110"/>
      <c r="W29" s="110"/>
      <c r="X29" s="110"/>
      <c r="Y29" s="111"/>
      <c r="Z29" s="109">
        <v>12</v>
      </c>
      <c r="AA29" s="110"/>
      <c r="AB29" s="111"/>
      <c r="AC29" s="44" t="s">
        <v>182</v>
      </c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6"/>
    </row>
    <row r="30" spans="1:62" s="10" customFormat="1" ht="30" customHeight="1">
      <c r="A30" s="105">
        <v>21</v>
      </c>
      <c r="B30" s="105"/>
      <c r="C30" s="105"/>
      <c r="D30" s="106" t="s">
        <v>175</v>
      </c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8"/>
      <c r="U30" s="109" t="s">
        <v>50</v>
      </c>
      <c r="V30" s="110"/>
      <c r="W30" s="110"/>
      <c r="X30" s="110"/>
      <c r="Y30" s="111"/>
      <c r="Z30" s="109" t="s">
        <v>207</v>
      </c>
      <c r="AA30" s="110"/>
      <c r="AB30" s="111"/>
      <c r="AC30" s="43" t="s">
        <v>179</v>
      </c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6"/>
    </row>
    <row r="31" spans="1:62" s="10" customFormat="1" ht="30" customHeight="1">
      <c r="A31" s="105">
        <v>22</v>
      </c>
      <c r="B31" s="105"/>
      <c r="C31" s="105"/>
      <c r="D31" s="106" t="s">
        <v>181</v>
      </c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09" t="s">
        <v>52</v>
      </c>
      <c r="V31" s="110"/>
      <c r="W31" s="110"/>
      <c r="X31" s="110"/>
      <c r="Y31" s="111"/>
      <c r="Z31" s="109">
        <v>12</v>
      </c>
      <c r="AA31" s="110"/>
      <c r="AB31" s="111"/>
      <c r="AC31" s="44" t="s">
        <v>112</v>
      </c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6"/>
    </row>
    <row r="32" spans="1:62" s="10" customFormat="1" ht="30" customHeight="1">
      <c r="A32" s="105">
        <v>23</v>
      </c>
      <c r="B32" s="105"/>
      <c r="C32" s="105"/>
      <c r="D32" s="106" t="s">
        <v>57</v>
      </c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8"/>
      <c r="U32" s="109" t="s">
        <v>52</v>
      </c>
      <c r="V32" s="110"/>
      <c r="W32" s="110"/>
      <c r="X32" s="110"/>
      <c r="Y32" s="111"/>
      <c r="Z32" s="109">
        <v>4</v>
      </c>
      <c r="AA32" s="110"/>
      <c r="AB32" s="111"/>
      <c r="AC32" s="44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6"/>
    </row>
    <row r="33" spans="1:62" s="10" customFormat="1" ht="30" customHeight="1">
      <c r="A33" s="105">
        <v>24</v>
      </c>
      <c r="B33" s="105"/>
      <c r="C33" s="105"/>
      <c r="D33" s="106" t="s">
        <v>142</v>
      </c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8"/>
      <c r="U33" s="109" t="s">
        <v>50</v>
      </c>
      <c r="V33" s="110"/>
      <c r="W33" s="110"/>
      <c r="X33" s="110"/>
      <c r="Y33" s="111"/>
      <c r="Z33" s="109">
        <v>8</v>
      </c>
      <c r="AA33" s="110"/>
      <c r="AB33" s="111"/>
      <c r="AC33" s="44" t="s">
        <v>148</v>
      </c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6"/>
    </row>
    <row r="34" spans="1:62" s="10" customFormat="1" ht="30" customHeight="1">
      <c r="A34" s="105">
        <v>25</v>
      </c>
      <c r="B34" s="105"/>
      <c r="C34" s="105"/>
      <c r="D34" s="106" t="s">
        <v>141</v>
      </c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8"/>
      <c r="U34" s="109" t="s">
        <v>50</v>
      </c>
      <c r="V34" s="110"/>
      <c r="W34" s="110"/>
      <c r="X34" s="110"/>
      <c r="Y34" s="111"/>
      <c r="Z34" s="109">
        <v>8</v>
      </c>
      <c r="AA34" s="110"/>
      <c r="AB34" s="111"/>
      <c r="AC34" s="44" t="s">
        <v>149</v>
      </c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6"/>
    </row>
    <row r="35" spans="1:62" s="10" customFormat="1" ht="30" customHeight="1">
      <c r="A35" s="105">
        <v>26</v>
      </c>
      <c r="B35" s="105"/>
      <c r="C35" s="105"/>
      <c r="D35" s="106" t="s">
        <v>58</v>
      </c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8"/>
      <c r="U35" s="109" t="s">
        <v>50</v>
      </c>
      <c r="V35" s="110"/>
      <c r="W35" s="110"/>
      <c r="X35" s="110"/>
      <c r="Y35" s="111"/>
      <c r="Z35" s="109">
        <v>14</v>
      </c>
      <c r="AA35" s="110"/>
      <c r="AB35" s="111"/>
      <c r="AC35" s="44" t="s">
        <v>113</v>
      </c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6"/>
    </row>
    <row r="36" spans="1:62" s="10" customFormat="1" ht="30" customHeight="1">
      <c r="A36" s="105">
        <v>27</v>
      </c>
      <c r="B36" s="105"/>
      <c r="C36" s="105"/>
      <c r="D36" s="106" t="s">
        <v>59</v>
      </c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8"/>
      <c r="U36" s="109" t="s">
        <v>50</v>
      </c>
      <c r="V36" s="110"/>
      <c r="W36" s="110"/>
      <c r="X36" s="110"/>
      <c r="Y36" s="111"/>
      <c r="Z36" s="109">
        <v>14</v>
      </c>
      <c r="AA36" s="110"/>
      <c r="AB36" s="111"/>
      <c r="AC36" s="44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6"/>
    </row>
    <row r="37" spans="1:62" s="10" customFormat="1" ht="30" customHeight="1">
      <c r="A37" s="105">
        <v>28</v>
      </c>
      <c r="B37" s="105"/>
      <c r="C37" s="105"/>
      <c r="D37" s="106" t="s">
        <v>60</v>
      </c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8"/>
      <c r="U37" s="109" t="s">
        <v>50</v>
      </c>
      <c r="V37" s="110"/>
      <c r="W37" s="110"/>
      <c r="X37" s="110"/>
      <c r="Y37" s="111"/>
      <c r="Z37" s="109">
        <v>14</v>
      </c>
      <c r="AA37" s="110"/>
      <c r="AB37" s="111"/>
      <c r="AC37" s="54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6"/>
    </row>
    <row r="38" spans="1:62" s="10" customFormat="1" ht="30" customHeight="1">
      <c r="A38" s="105"/>
      <c r="B38" s="105"/>
      <c r="C38" s="105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17"/>
      <c r="U38" s="109"/>
      <c r="V38" s="110"/>
      <c r="W38" s="110"/>
      <c r="X38" s="110"/>
      <c r="Y38" s="111"/>
      <c r="Z38" s="109"/>
      <c r="AA38" s="110"/>
      <c r="AB38" s="111"/>
      <c r="AC38" s="54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6"/>
    </row>
    <row r="39" spans="1:62" s="10" customFormat="1" ht="30" customHeight="1">
      <c r="A39" s="105"/>
      <c r="B39" s="105"/>
      <c r="C39" s="105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17"/>
      <c r="U39" s="109"/>
      <c r="V39" s="110"/>
      <c r="W39" s="110"/>
      <c r="X39" s="110"/>
      <c r="Y39" s="111"/>
      <c r="Z39" s="109"/>
      <c r="AA39" s="110"/>
      <c r="AB39" s="111"/>
      <c r="AC39" s="54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6"/>
    </row>
    <row r="40" spans="1:62" s="10" customFormat="1" ht="30" customHeight="1">
      <c r="A40" s="105"/>
      <c r="B40" s="105"/>
      <c r="C40" s="105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17"/>
      <c r="U40" s="109"/>
      <c r="V40" s="110"/>
      <c r="W40" s="110"/>
      <c r="X40" s="110"/>
      <c r="Y40" s="111"/>
      <c r="Z40" s="109"/>
      <c r="AA40" s="110"/>
      <c r="AB40" s="111"/>
      <c r="AC40" s="54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6"/>
    </row>
    <row r="41" spans="1:62" s="10" customFormat="1" ht="30" customHeight="1">
      <c r="A41" s="124"/>
      <c r="B41" s="124"/>
      <c r="C41" s="124"/>
      <c r="D41" s="11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2"/>
      <c r="T41" s="13"/>
      <c r="U41" s="126"/>
      <c r="V41" s="127"/>
      <c r="W41" s="127"/>
      <c r="X41" s="127"/>
      <c r="Y41" s="128"/>
      <c r="Z41" s="126"/>
      <c r="AA41" s="127"/>
      <c r="AB41" s="128"/>
      <c r="AC41" s="32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4"/>
    </row>
    <row r="42" spans="1:62" ht="6.6" customHeight="1"/>
  </sheetData>
  <mergeCells count="155">
    <mergeCell ref="A29:C29"/>
    <mergeCell ref="D29:T29"/>
    <mergeCell ref="U29:Y29"/>
    <mergeCell ref="Z29:AB29"/>
    <mergeCell ref="A27:C27"/>
    <mergeCell ref="A20:C20"/>
    <mergeCell ref="A14:C14"/>
    <mergeCell ref="U41:Y41"/>
    <mergeCell ref="Z41:AB41"/>
    <mergeCell ref="A41:C41"/>
    <mergeCell ref="A40:C40"/>
    <mergeCell ref="U40:Y40"/>
    <mergeCell ref="Z40:AB40"/>
    <mergeCell ref="U39:Y39"/>
    <mergeCell ref="Z39:AB39"/>
    <mergeCell ref="A37:C37"/>
    <mergeCell ref="U37:Y37"/>
    <mergeCell ref="Z37:AB37"/>
    <mergeCell ref="A38:C38"/>
    <mergeCell ref="U38:Y38"/>
    <mergeCell ref="Z38:AB38"/>
    <mergeCell ref="A39:C39"/>
    <mergeCell ref="U35:Y35"/>
    <mergeCell ref="Z35:AB35"/>
    <mergeCell ref="A36:C36"/>
    <mergeCell ref="U36:Y36"/>
    <mergeCell ref="Z36:AB36"/>
    <mergeCell ref="D35:T35"/>
    <mergeCell ref="D36:T36"/>
    <mergeCell ref="D37:T37"/>
    <mergeCell ref="A33:C33"/>
    <mergeCell ref="U33:Y33"/>
    <mergeCell ref="Z33:AB33"/>
    <mergeCell ref="A34:C34"/>
    <mergeCell ref="U34:Y34"/>
    <mergeCell ref="Z34:AB34"/>
    <mergeCell ref="A35:C35"/>
    <mergeCell ref="U31:Y31"/>
    <mergeCell ref="Z31:AB31"/>
    <mergeCell ref="A32:C32"/>
    <mergeCell ref="U32:Y32"/>
    <mergeCell ref="Z32:AB32"/>
    <mergeCell ref="D31:T31"/>
    <mergeCell ref="D32:T32"/>
    <mergeCell ref="D33:T33"/>
    <mergeCell ref="D34:T34"/>
    <mergeCell ref="A31:C31"/>
    <mergeCell ref="U27:Y27"/>
    <mergeCell ref="Z27:AB27"/>
    <mergeCell ref="A28:C28"/>
    <mergeCell ref="U28:Y28"/>
    <mergeCell ref="Z28:AB28"/>
    <mergeCell ref="A19:C19"/>
    <mergeCell ref="U19:Y19"/>
    <mergeCell ref="Z19:AB19"/>
    <mergeCell ref="A26:C26"/>
    <mergeCell ref="U26:Y26"/>
    <mergeCell ref="Z26:AB26"/>
    <mergeCell ref="D19:T19"/>
    <mergeCell ref="D26:T26"/>
    <mergeCell ref="D27:T27"/>
    <mergeCell ref="D28:T28"/>
    <mergeCell ref="A24:C24"/>
    <mergeCell ref="U24:Y24"/>
    <mergeCell ref="Z24:AB24"/>
    <mergeCell ref="A25:C25"/>
    <mergeCell ref="U25:Y25"/>
    <mergeCell ref="Z25:AB25"/>
    <mergeCell ref="Z22:AB22"/>
    <mergeCell ref="A21:C21"/>
    <mergeCell ref="U21:Y21"/>
    <mergeCell ref="Z21:AB21"/>
    <mergeCell ref="D21:T21"/>
    <mergeCell ref="D24:T24"/>
    <mergeCell ref="D25:T25"/>
    <mergeCell ref="D22:T22"/>
    <mergeCell ref="D23:T23"/>
    <mergeCell ref="A22:C22"/>
    <mergeCell ref="A23:C23"/>
    <mergeCell ref="U22:Y22"/>
    <mergeCell ref="U23:Y23"/>
    <mergeCell ref="Z23:AB23"/>
    <mergeCell ref="U20:Y20"/>
    <mergeCell ref="Z20:AB20"/>
    <mergeCell ref="A17:C17"/>
    <mergeCell ref="U17:Y17"/>
    <mergeCell ref="Z17:AB17"/>
    <mergeCell ref="A18:C18"/>
    <mergeCell ref="U18:Y18"/>
    <mergeCell ref="Z18:AB18"/>
    <mergeCell ref="D20:T20"/>
    <mergeCell ref="D17:T17"/>
    <mergeCell ref="D18:T18"/>
    <mergeCell ref="U14:Y14"/>
    <mergeCell ref="Z14:AB14"/>
    <mergeCell ref="A15:C15"/>
    <mergeCell ref="U15:Y15"/>
    <mergeCell ref="Z15:AB15"/>
    <mergeCell ref="A16:C16"/>
    <mergeCell ref="U16:Y16"/>
    <mergeCell ref="Z16:AB16"/>
    <mergeCell ref="AC9:BJ9"/>
    <mergeCell ref="D11:T11"/>
    <mergeCell ref="D12:T12"/>
    <mergeCell ref="D15:T15"/>
    <mergeCell ref="D16:T16"/>
    <mergeCell ref="D13:T13"/>
    <mergeCell ref="D14:T14"/>
    <mergeCell ref="BI7:BJ7"/>
    <mergeCell ref="L7:AJ7"/>
    <mergeCell ref="AK7:AR7"/>
    <mergeCell ref="AS7:AX7"/>
    <mergeCell ref="BC7:BD7"/>
    <mergeCell ref="BE7:BH7"/>
    <mergeCell ref="A13:C13"/>
    <mergeCell ref="U13:Y13"/>
    <mergeCell ref="Z13:AB13"/>
    <mergeCell ref="A11:C11"/>
    <mergeCell ref="U11:Y11"/>
    <mergeCell ref="Z11:AB11"/>
    <mergeCell ref="A12:C12"/>
    <mergeCell ref="U12:Y12"/>
    <mergeCell ref="Z12:AB12"/>
    <mergeCell ref="A9:C9"/>
    <mergeCell ref="D9:T9"/>
    <mergeCell ref="U9:Y9"/>
    <mergeCell ref="Z9:AB9"/>
    <mergeCell ref="A10:C10"/>
    <mergeCell ref="D10:T10"/>
    <mergeCell ref="U10:Y10"/>
    <mergeCell ref="Z10:AB10"/>
    <mergeCell ref="A30:C30"/>
    <mergeCell ref="D30:T30"/>
    <mergeCell ref="U30:Y30"/>
    <mergeCell ref="Z30:AB30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7:K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43307086614173229" top="0.6692913385826772" bottom="0.55118110236220474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226F-E22A-4B70-8EF1-87680D9935F9}">
  <sheetPr codeName="Sheet4"/>
  <dimension ref="A1:AB12"/>
  <sheetViews>
    <sheetView view="pageBreakPreview" zoomScaleNormal="100" zoomScaleSheetLayoutView="100" workbookViewId="0"/>
  </sheetViews>
  <sheetFormatPr defaultColWidth="8.88671875" defaultRowHeight="13.2"/>
  <cols>
    <col min="1" max="1" width="10.88671875" customWidth="1"/>
    <col min="2" max="2" width="10.109375" bestFit="1" customWidth="1"/>
    <col min="3" max="3" width="14.44140625" bestFit="1" customWidth="1"/>
    <col min="4" max="4" width="15.6640625" bestFit="1" customWidth="1"/>
    <col min="5" max="5" width="14.44140625" bestFit="1" customWidth="1"/>
    <col min="6" max="6" width="11.109375" bestFit="1" customWidth="1"/>
    <col min="7" max="7" width="12.33203125" bestFit="1" customWidth="1"/>
    <col min="8" max="8" width="13.44140625" bestFit="1" customWidth="1"/>
    <col min="9" max="9" width="12.33203125" bestFit="1" customWidth="1"/>
    <col min="10" max="10" width="15.6640625" bestFit="1" customWidth="1"/>
    <col min="11" max="11" width="14.44140625" bestFit="1" customWidth="1"/>
    <col min="12" max="12" width="25.21875" bestFit="1" customWidth="1"/>
    <col min="13" max="13" width="13.44140625" bestFit="1" customWidth="1"/>
    <col min="14" max="14" width="28.44140625" bestFit="1" customWidth="1"/>
    <col min="15" max="15" width="10.109375" bestFit="1" customWidth="1"/>
    <col min="16" max="16" width="14.44140625" bestFit="1" customWidth="1"/>
    <col min="17" max="17" width="20.33203125" bestFit="1" customWidth="1"/>
    <col min="18" max="18" width="30.109375" bestFit="1" customWidth="1"/>
    <col min="19" max="19" width="5.88671875" bestFit="1" customWidth="1"/>
    <col min="20" max="20" width="10.109375" bestFit="1" customWidth="1"/>
    <col min="21" max="21" width="5.88671875" bestFit="1" customWidth="1"/>
    <col min="22" max="22" width="10.109375" bestFit="1" customWidth="1"/>
    <col min="23" max="23" width="5.88671875" bestFit="1" customWidth="1"/>
    <col min="24" max="25" width="10.44140625" bestFit="1" customWidth="1"/>
    <col min="26" max="27" width="10.109375" bestFit="1" customWidth="1"/>
    <col min="28" max="28" width="12.33203125" bestFit="1" customWidth="1"/>
    <col min="29" max="29" width="10.44140625" bestFit="1" customWidth="1"/>
  </cols>
  <sheetData>
    <row r="1" spans="1:28">
      <c r="A1" s="46" t="s">
        <v>98</v>
      </c>
    </row>
    <row r="3" spans="1:28" ht="13.2" customHeight="1">
      <c r="A3" s="37" t="s">
        <v>100</v>
      </c>
      <c r="B3" s="37" t="s">
        <v>105</v>
      </c>
      <c r="C3" s="37" t="s">
        <v>106</v>
      </c>
      <c r="D3" s="37" t="s">
        <v>63</v>
      </c>
      <c r="E3" s="37" t="s">
        <v>64</v>
      </c>
      <c r="F3" s="37" t="s">
        <v>65</v>
      </c>
      <c r="G3" s="37" t="s">
        <v>66</v>
      </c>
      <c r="H3" s="37" t="s">
        <v>95</v>
      </c>
      <c r="I3" s="37" t="s">
        <v>75</v>
      </c>
      <c r="J3" s="37" t="s">
        <v>127</v>
      </c>
      <c r="K3" s="37" t="s">
        <v>128</v>
      </c>
      <c r="L3" s="37" t="s">
        <v>173</v>
      </c>
      <c r="M3" s="37" t="s">
        <v>99</v>
      </c>
      <c r="N3" s="37" t="s">
        <v>204</v>
      </c>
      <c r="O3" s="37" t="s">
        <v>114</v>
      </c>
      <c r="P3" s="37" t="s">
        <v>54</v>
      </c>
      <c r="Q3" s="37" t="s">
        <v>55</v>
      </c>
      <c r="R3" s="37" t="s">
        <v>56</v>
      </c>
      <c r="S3" s="37" t="s">
        <v>174</v>
      </c>
      <c r="T3" s="37" t="s">
        <v>183</v>
      </c>
      <c r="U3" s="37" t="s">
        <v>177</v>
      </c>
      <c r="V3" s="37" t="s">
        <v>181</v>
      </c>
      <c r="W3" s="37" t="s">
        <v>57</v>
      </c>
      <c r="X3" s="37" t="s">
        <v>142</v>
      </c>
      <c r="Y3" s="37" t="s">
        <v>141</v>
      </c>
      <c r="Z3" s="37" t="s">
        <v>58</v>
      </c>
      <c r="AA3" s="37" t="s">
        <v>59</v>
      </c>
      <c r="AB3" s="37" t="s">
        <v>60</v>
      </c>
    </row>
    <row r="4" spans="1:28" ht="13.2" customHeight="1">
      <c r="A4" s="37" t="s">
        <v>67</v>
      </c>
      <c r="B4" s="38" t="s">
        <v>206</v>
      </c>
      <c r="C4" s="37" t="s">
        <v>76</v>
      </c>
      <c r="D4" s="37">
        <v>110701</v>
      </c>
      <c r="E4" s="37" t="s">
        <v>68</v>
      </c>
      <c r="F4" s="37" t="s">
        <v>70</v>
      </c>
      <c r="G4" s="37" t="s">
        <v>69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>
        <f>SUM(Z7,Z8)</f>
        <v>3000</v>
      </c>
      <c r="AA4" s="37"/>
      <c r="AB4" s="37"/>
    </row>
    <row r="5" spans="1:28" ht="13.2" customHeight="1">
      <c r="A5" s="37" t="s">
        <v>67</v>
      </c>
      <c r="B5" s="38" t="s">
        <v>206</v>
      </c>
      <c r="C5" s="37" t="s">
        <v>76</v>
      </c>
      <c r="D5" s="37">
        <v>110701</v>
      </c>
      <c r="E5" s="37" t="s">
        <v>68</v>
      </c>
      <c r="F5" s="38" t="s">
        <v>83</v>
      </c>
      <c r="G5" s="37" t="s">
        <v>85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>
        <f>SUM(Z9)</f>
        <v>-3000</v>
      </c>
      <c r="AA5" s="37"/>
      <c r="AB5" s="37"/>
    </row>
    <row r="6" spans="1:28" ht="13.2" customHeight="1">
      <c r="A6" s="37" t="s">
        <v>67</v>
      </c>
      <c r="B6" s="38" t="s">
        <v>206</v>
      </c>
      <c r="C6" s="37" t="s">
        <v>76</v>
      </c>
      <c r="D6" s="37">
        <v>110702</v>
      </c>
      <c r="E6" s="37" t="s">
        <v>82</v>
      </c>
      <c r="F6" s="37" t="s">
        <v>86</v>
      </c>
      <c r="G6" s="37" t="s">
        <v>84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73">
        <f>SUM(Z10:Z12)</f>
        <v>7000</v>
      </c>
      <c r="AA6" s="37"/>
      <c r="AB6" s="37"/>
    </row>
    <row r="7" spans="1:28" ht="13.2" customHeight="1">
      <c r="A7" s="37" t="s">
        <v>67</v>
      </c>
      <c r="B7" s="38" t="s">
        <v>103</v>
      </c>
      <c r="C7" s="37" t="s">
        <v>77</v>
      </c>
      <c r="D7" s="37">
        <v>110701</v>
      </c>
      <c r="E7" s="37" t="s">
        <v>68</v>
      </c>
      <c r="F7" s="37" t="s">
        <v>70</v>
      </c>
      <c r="G7" s="37" t="s">
        <v>69</v>
      </c>
      <c r="H7" s="38" t="s">
        <v>96</v>
      </c>
      <c r="I7" s="37" t="s">
        <v>73</v>
      </c>
      <c r="J7" s="37">
        <v>4112</v>
      </c>
      <c r="K7" s="37" t="s">
        <v>155</v>
      </c>
      <c r="L7" s="37" t="s">
        <v>168</v>
      </c>
      <c r="M7" s="39" t="s">
        <v>162</v>
      </c>
      <c r="N7" s="37" t="s">
        <v>91</v>
      </c>
      <c r="O7" s="37">
        <v>5</v>
      </c>
      <c r="P7" s="37" t="s">
        <v>129</v>
      </c>
      <c r="Q7" s="37" t="s">
        <v>71</v>
      </c>
      <c r="R7" s="37" t="s">
        <v>72</v>
      </c>
      <c r="S7" s="37">
        <v>1</v>
      </c>
      <c r="T7" s="37" t="s">
        <v>182</v>
      </c>
      <c r="U7" s="37">
        <v>10</v>
      </c>
      <c r="V7" s="37" t="s">
        <v>104</v>
      </c>
      <c r="W7" s="37"/>
      <c r="X7" s="47" t="s">
        <v>115</v>
      </c>
      <c r="Y7" s="47" t="s">
        <v>116</v>
      </c>
      <c r="Z7" s="38">
        <v>1000</v>
      </c>
      <c r="AA7" s="37"/>
      <c r="AB7" s="37"/>
    </row>
    <row r="8" spans="1:28" ht="13.2" customHeight="1">
      <c r="A8" s="37" t="s">
        <v>67</v>
      </c>
      <c r="B8" s="38" t="s">
        <v>103</v>
      </c>
      <c r="C8" s="37" t="s">
        <v>77</v>
      </c>
      <c r="D8" s="37">
        <v>110701</v>
      </c>
      <c r="E8" s="37" t="s">
        <v>68</v>
      </c>
      <c r="F8" s="37" t="s">
        <v>70</v>
      </c>
      <c r="G8" s="37" t="s">
        <v>69</v>
      </c>
      <c r="H8" s="38" t="s">
        <v>96</v>
      </c>
      <c r="I8" s="37" t="s">
        <v>73</v>
      </c>
      <c r="J8" s="37">
        <v>4112</v>
      </c>
      <c r="K8" s="37" t="s">
        <v>155</v>
      </c>
      <c r="L8" s="37" t="s">
        <v>168</v>
      </c>
      <c r="M8" s="39" t="s">
        <v>163</v>
      </c>
      <c r="N8" s="37" t="s">
        <v>91</v>
      </c>
      <c r="O8" s="37">
        <v>5</v>
      </c>
      <c r="P8" s="37" t="s">
        <v>129</v>
      </c>
      <c r="Q8" s="38" t="s">
        <v>81</v>
      </c>
      <c r="R8" s="37" t="s">
        <v>78</v>
      </c>
      <c r="S8" s="37">
        <v>1</v>
      </c>
      <c r="T8" s="37" t="s">
        <v>182</v>
      </c>
      <c r="U8" s="37">
        <v>20</v>
      </c>
      <c r="V8" s="37" t="s">
        <v>104</v>
      </c>
      <c r="W8" s="37"/>
      <c r="X8" s="47" t="s">
        <v>117</v>
      </c>
      <c r="Y8" s="47" t="s">
        <v>118</v>
      </c>
      <c r="Z8" s="38">
        <v>2000</v>
      </c>
      <c r="AA8" s="37"/>
      <c r="AB8" s="37"/>
    </row>
    <row r="9" spans="1:28" ht="13.2" customHeight="1">
      <c r="A9" s="37" t="s">
        <v>67</v>
      </c>
      <c r="B9" s="38" t="s">
        <v>103</v>
      </c>
      <c r="C9" s="37" t="s">
        <v>77</v>
      </c>
      <c r="D9" s="37">
        <v>110701</v>
      </c>
      <c r="E9" s="37" t="s">
        <v>68</v>
      </c>
      <c r="F9" s="38" t="s">
        <v>83</v>
      </c>
      <c r="G9" s="37" t="s">
        <v>85</v>
      </c>
      <c r="H9" s="38" t="s">
        <v>96</v>
      </c>
      <c r="I9" s="37" t="s">
        <v>73</v>
      </c>
      <c r="J9" s="37">
        <v>4112</v>
      </c>
      <c r="K9" s="37" t="s">
        <v>155</v>
      </c>
      <c r="L9" s="37" t="s">
        <v>168</v>
      </c>
      <c r="M9" s="39" t="s">
        <v>164</v>
      </c>
      <c r="N9" s="37" t="s">
        <v>94</v>
      </c>
      <c r="O9" s="37">
        <v>5</v>
      </c>
      <c r="P9" s="37" t="s">
        <v>129</v>
      </c>
      <c r="Q9" s="38" t="s">
        <v>90</v>
      </c>
      <c r="R9" s="37" t="s">
        <v>79</v>
      </c>
      <c r="S9" s="37">
        <v>1</v>
      </c>
      <c r="T9" s="37" t="s">
        <v>182</v>
      </c>
      <c r="U9" s="37">
        <v>30</v>
      </c>
      <c r="V9" s="37" t="s">
        <v>104</v>
      </c>
      <c r="W9" s="37"/>
      <c r="X9" s="47" t="s">
        <v>119</v>
      </c>
      <c r="Y9" s="47" t="s">
        <v>120</v>
      </c>
      <c r="Z9" s="37">
        <v>-3000</v>
      </c>
      <c r="AA9" s="37"/>
      <c r="AB9" s="37"/>
    </row>
    <row r="10" spans="1:28" ht="13.2" customHeight="1">
      <c r="A10" s="37" t="s">
        <v>67</v>
      </c>
      <c r="B10" s="38" t="s">
        <v>103</v>
      </c>
      <c r="C10" s="37" t="s">
        <v>77</v>
      </c>
      <c r="D10" s="37">
        <v>110702</v>
      </c>
      <c r="E10" s="37" t="s">
        <v>82</v>
      </c>
      <c r="F10" s="37" t="s">
        <v>86</v>
      </c>
      <c r="G10" s="37" t="s">
        <v>84</v>
      </c>
      <c r="H10" s="38" t="s">
        <v>97</v>
      </c>
      <c r="I10" s="37" t="s">
        <v>87</v>
      </c>
      <c r="J10" s="37">
        <v>4400</v>
      </c>
      <c r="K10" s="37" t="s">
        <v>156</v>
      </c>
      <c r="L10" s="37" t="s">
        <v>168</v>
      </c>
      <c r="M10" s="39" t="s">
        <v>165</v>
      </c>
      <c r="N10" s="37" t="s">
        <v>92</v>
      </c>
      <c r="O10" s="37">
        <v>5</v>
      </c>
      <c r="P10" s="37" t="s">
        <v>129</v>
      </c>
      <c r="Q10" s="38" t="s">
        <v>89</v>
      </c>
      <c r="R10" s="37" t="s">
        <v>80</v>
      </c>
      <c r="S10" s="37">
        <v>1</v>
      </c>
      <c r="T10" s="37" t="s">
        <v>182</v>
      </c>
      <c r="U10" s="37">
        <v>30</v>
      </c>
      <c r="V10" s="37" t="s">
        <v>104</v>
      </c>
      <c r="W10" s="37"/>
      <c r="X10" s="47" t="s">
        <v>121</v>
      </c>
      <c r="Y10" s="47" t="s">
        <v>122</v>
      </c>
      <c r="Z10" s="38">
        <v>-4000</v>
      </c>
      <c r="AA10" s="37"/>
      <c r="AB10" s="37"/>
    </row>
    <row r="11" spans="1:28" ht="13.2" customHeight="1">
      <c r="A11" s="37" t="s">
        <v>67</v>
      </c>
      <c r="B11" s="38" t="s">
        <v>103</v>
      </c>
      <c r="C11" s="37" t="s">
        <v>77</v>
      </c>
      <c r="D11" s="37">
        <v>110702</v>
      </c>
      <c r="E11" s="37" t="s">
        <v>82</v>
      </c>
      <c r="F11" s="37" t="s">
        <v>86</v>
      </c>
      <c r="G11" s="37" t="s">
        <v>84</v>
      </c>
      <c r="H11" s="38" t="s">
        <v>97</v>
      </c>
      <c r="I11" s="37" t="s">
        <v>87</v>
      </c>
      <c r="J11" s="37">
        <v>4400</v>
      </c>
      <c r="K11" s="37" t="s">
        <v>156</v>
      </c>
      <c r="L11" s="37" t="s">
        <v>168</v>
      </c>
      <c r="M11" s="39" t="s">
        <v>166</v>
      </c>
      <c r="N11" s="37" t="s">
        <v>93</v>
      </c>
      <c r="O11" s="37">
        <v>5</v>
      </c>
      <c r="P11" s="37" t="s">
        <v>129</v>
      </c>
      <c r="Q11" s="37" t="s">
        <v>88</v>
      </c>
      <c r="R11" s="37" t="s">
        <v>80</v>
      </c>
      <c r="S11" s="37">
        <v>1</v>
      </c>
      <c r="T11" s="37" t="s">
        <v>182</v>
      </c>
      <c r="U11" s="37">
        <v>20</v>
      </c>
      <c r="V11" s="37" t="s">
        <v>104</v>
      </c>
      <c r="W11" s="37"/>
      <c r="X11" s="47" t="s">
        <v>123</v>
      </c>
      <c r="Y11" s="47" t="s">
        <v>124</v>
      </c>
      <c r="Z11" s="38">
        <v>5000</v>
      </c>
      <c r="AA11" s="37"/>
      <c r="AB11" s="37"/>
    </row>
    <row r="12" spans="1:28" ht="13.2" customHeight="1">
      <c r="A12" s="37" t="s">
        <v>67</v>
      </c>
      <c r="B12" s="38" t="s">
        <v>103</v>
      </c>
      <c r="C12" s="37" t="s">
        <v>77</v>
      </c>
      <c r="D12" s="37">
        <v>110702</v>
      </c>
      <c r="E12" s="37" t="s">
        <v>82</v>
      </c>
      <c r="F12" s="37" t="s">
        <v>86</v>
      </c>
      <c r="G12" s="37" t="s">
        <v>84</v>
      </c>
      <c r="H12" s="38" t="s">
        <v>97</v>
      </c>
      <c r="I12" s="37" t="s">
        <v>87</v>
      </c>
      <c r="J12" s="37">
        <v>4400</v>
      </c>
      <c r="K12" s="37" t="s">
        <v>156</v>
      </c>
      <c r="L12" s="37" t="s">
        <v>168</v>
      </c>
      <c r="M12" s="39" t="s">
        <v>167</v>
      </c>
      <c r="N12" s="37" t="s">
        <v>93</v>
      </c>
      <c r="O12" s="37">
        <v>5</v>
      </c>
      <c r="P12" s="37" t="s">
        <v>129</v>
      </c>
      <c r="Q12" s="37" t="s">
        <v>88</v>
      </c>
      <c r="R12" s="37" t="s">
        <v>80</v>
      </c>
      <c r="S12" s="37">
        <v>1</v>
      </c>
      <c r="T12" s="37" t="s">
        <v>182</v>
      </c>
      <c r="U12" s="37">
        <v>10</v>
      </c>
      <c r="V12" s="37" t="s">
        <v>104</v>
      </c>
      <c r="W12" s="37"/>
      <c r="X12" s="47" t="s">
        <v>125</v>
      </c>
      <c r="Y12" s="47" t="s">
        <v>126</v>
      </c>
      <c r="Z12" s="38">
        <v>6000</v>
      </c>
      <c r="AA12" s="37"/>
      <c r="AB12" s="37"/>
    </row>
  </sheetData>
  <autoFilter ref="A3:AB3" xr:uid="{4F91226F-E22A-4B70-8EF1-87680D9935F9}"/>
  <phoneticPr fontId="1"/>
  <pageMargins left="0.6692913385826772" right="0.43307086614173229" top="0.6692913385826772" bottom="0.55118110236220474" header="0.82677165354330717" footer="0.19685039370078741"/>
  <pageSetup paperSize="9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51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4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7" t="s">
        <v>38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3</v>
      </c>
      <c r="AU2" s="82"/>
      <c r="AV2" s="82"/>
      <c r="AW2" s="82"/>
      <c r="AX2" s="83"/>
      <c r="AY2" s="81" t="s">
        <v>39</v>
      </c>
      <c r="AZ2" s="82"/>
      <c r="BA2" s="82"/>
      <c r="BB2" s="83"/>
      <c r="BC2" s="81" t="s">
        <v>5</v>
      </c>
      <c r="BD2" s="82"/>
      <c r="BE2" s="82"/>
      <c r="BF2" s="83"/>
      <c r="BG2" s="81"/>
      <c r="BH2" s="82"/>
      <c r="BI2" s="82"/>
      <c r="BJ2" s="83"/>
    </row>
    <row r="3" spans="1:63" s="1" customFormat="1" ht="18" customHeight="1">
      <c r="A3" s="90" t="s">
        <v>6</v>
      </c>
      <c r="B3" s="91"/>
      <c r="C3" s="91"/>
      <c r="D3" s="91"/>
      <c r="E3" s="91"/>
      <c r="F3" s="91"/>
      <c r="G3" s="91"/>
      <c r="H3" s="92"/>
      <c r="I3" s="96" t="s">
        <v>171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8"/>
      <c r="AT3" s="81" t="s">
        <v>7</v>
      </c>
      <c r="AU3" s="82"/>
      <c r="AV3" s="82"/>
      <c r="AW3" s="82"/>
      <c r="AX3" s="83"/>
      <c r="AY3" s="81" t="s">
        <v>170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3" s="1" customFormat="1" ht="18" customHeight="1">
      <c r="A4" s="93"/>
      <c r="B4" s="94"/>
      <c r="C4" s="94"/>
      <c r="D4" s="94"/>
      <c r="E4" s="94"/>
      <c r="F4" s="94"/>
      <c r="G4" s="94"/>
      <c r="H4" s="95"/>
      <c r="I4" s="99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1"/>
      <c r="AT4" s="81" t="s">
        <v>8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1" customFormat="1" ht="19.5" customHeight="1">
      <c r="A6" s="121" t="s">
        <v>16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74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3"/>
      <c r="BK6" s="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81" t="s">
        <v>20</v>
      </c>
      <c r="B8" s="82"/>
      <c r="C8" s="83"/>
      <c r="D8" s="81" t="s">
        <v>40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3"/>
      <c r="R8" s="143" t="s">
        <v>41</v>
      </c>
      <c r="S8" s="144"/>
      <c r="T8" s="144"/>
      <c r="U8" s="145"/>
      <c r="V8" s="143" t="s">
        <v>42</v>
      </c>
      <c r="W8" s="144"/>
      <c r="X8" s="144"/>
      <c r="Y8" s="145"/>
      <c r="Z8" s="143" t="s">
        <v>43</v>
      </c>
      <c r="AA8" s="144"/>
      <c r="AB8" s="144"/>
      <c r="AC8" s="145"/>
      <c r="AD8" s="143" t="s">
        <v>44</v>
      </c>
      <c r="AE8" s="144"/>
      <c r="AF8" s="144"/>
      <c r="AG8" s="145"/>
      <c r="AH8" s="81" t="s">
        <v>45</v>
      </c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3"/>
      <c r="BD8" s="143" t="s">
        <v>46</v>
      </c>
      <c r="BE8" s="144"/>
      <c r="BF8" s="144"/>
      <c r="BG8" s="144"/>
      <c r="BH8" s="144"/>
      <c r="BI8" s="144"/>
      <c r="BJ8" s="145"/>
    </row>
    <row r="9" spans="1:63" s="9" customFormat="1" ht="30" customHeight="1">
      <c r="A9" s="146"/>
      <c r="B9" s="147"/>
      <c r="C9" s="148"/>
      <c r="D9" s="149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1"/>
      <c r="R9" s="146"/>
      <c r="S9" s="147"/>
      <c r="T9" s="147"/>
      <c r="U9" s="148"/>
      <c r="V9" s="146"/>
      <c r="W9" s="147"/>
      <c r="X9" s="147"/>
      <c r="Y9" s="148"/>
      <c r="Z9" s="146"/>
      <c r="AA9" s="147"/>
      <c r="AB9" s="147"/>
      <c r="AC9" s="148"/>
      <c r="AD9" s="146"/>
      <c r="AE9" s="147"/>
      <c r="AF9" s="147"/>
      <c r="AG9" s="148"/>
      <c r="AH9" s="152" t="s">
        <v>51</v>
      </c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4"/>
      <c r="BD9" s="146"/>
      <c r="BE9" s="147"/>
      <c r="BF9" s="147"/>
      <c r="BG9" s="147"/>
      <c r="BH9" s="147"/>
      <c r="BI9" s="147"/>
      <c r="BJ9" s="148"/>
    </row>
    <row r="10" spans="1:63" ht="30" customHeight="1">
      <c r="A10" s="158"/>
      <c r="B10" s="159"/>
      <c r="C10" s="160"/>
      <c r="D10" s="161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3"/>
      <c r="R10" s="158"/>
      <c r="S10" s="159"/>
      <c r="T10" s="159"/>
      <c r="U10" s="160"/>
      <c r="V10" s="158"/>
      <c r="W10" s="159"/>
      <c r="X10" s="159"/>
      <c r="Y10" s="160"/>
      <c r="Z10" s="158"/>
      <c r="AA10" s="159"/>
      <c r="AB10" s="159"/>
      <c r="AC10" s="160"/>
      <c r="AD10" s="158"/>
      <c r="AE10" s="159"/>
      <c r="AF10" s="159"/>
      <c r="AG10" s="160"/>
      <c r="AH10" s="155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7"/>
      <c r="BD10" s="158"/>
      <c r="BE10" s="159"/>
      <c r="BF10" s="159"/>
      <c r="BG10" s="159"/>
      <c r="BH10" s="159"/>
      <c r="BI10" s="159"/>
      <c r="BJ10" s="160"/>
    </row>
    <row r="11" spans="1:63" ht="30" customHeight="1">
      <c r="A11" s="158"/>
      <c r="B11" s="159"/>
      <c r="C11" s="160"/>
      <c r="D11" s="161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3"/>
      <c r="R11" s="158"/>
      <c r="S11" s="159"/>
      <c r="T11" s="159"/>
      <c r="U11" s="160"/>
      <c r="V11" s="158"/>
      <c r="W11" s="159"/>
      <c r="X11" s="159"/>
      <c r="Y11" s="160"/>
      <c r="Z11" s="158"/>
      <c r="AA11" s="159"/>
      <c r="AB11" s="159"/>
      <c r="AC11" s="160"/>
      <c r="AD11" s="158"/>
      <c r="AE11" s="159"/>
      <c r="AF11" s="159"/>
      <c r="AG11" s="160"/>
      <c r="AH11" s="155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7"/>
      <c r="BD11" s="158"/>
      <c r="BE11" s="159"/>
      <c r="BF11" s="159"/>
      <c r="BG11" s="159"/>
      <c r="BH11" s="159"/>
      <c r="BI11" s="159"/>
      <c r="BJ11" s="160"/>
    </row>
    <row r="12" spans="1:63" ht="30" customHeight="1">
      <c r="A12" s="158"/>
      <c r="B12" s="159"/>
      <c r="C12" s="160"/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3"/>
      <c r="R12" s="158"/>
      <c r="S12" s="159"/>
      <c r="T12" s="159"/>
      <c r="U12" s="160"/>
      <c r="V12" s="158"/>
      <c r="W12" s="159"/>
      <c r="X12" s="159"/>
      <c r="Y12" s="160"/>
      <c r="Z12" s="158"/>
      <c r="AA12" s="159"/>
      <c r="AB12" s="159"/>
      <c r="AC12" s="160"/>
      <c r="AD12" s="158"/>
      <c r="AE12" s="159"/>
      <c r="AF12" s="159"/>
      <c r="AG12" s="160"/>
      <c r="AH12" s="155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7"/>
      <c r="BD12" s="158"/>
      <c r="BE12" s="159"/>
      <c r="BF12" s="159"/>
      <c r="BG12" s="159"/>
      <c r="BH12" s="159"/>
      <c r="BI12" s="159"/>
      <c r="BJ12" s="160"/>
    </row>
    <row r="13" spans="1:63" ht="30" customHeight="1">
      <c r="A13" s="158"/>
      <c r="B13" s="159"/>
      <c r="C13" s="160"/>
      <c r="D13" s="161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3"/>
      <c r="R13" s="158"/>
      <c r="S13" s="159"/>
      <c r="T13" s="159"/>
      <c r="U13" s="160"/>
      <c r="V13" s="158"/>
      <c r="W13" s="159"/>
      <c r="X13" s="159"/>
      <c r="Y13" s="160"/>
      <c r="Z13" s="158"/>
      <c r="AA13" s="159"/>
      <c r="AB13" s="159"/>
      <c r="AC13" s="160"/>
      <c r="AD13" s="158"/>
      <c r="AE13" s="159"/>
      <c r="AF13" s="159"/>
      <c r="AG13" s="160"/>
      <c r="AH13" s="155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7"/>
      <c r="BD13" s="158"/>
      <c r="BE13" s="159"/>
      <c r="BF13" s="159"/>
      <c r="BG13" s="159"/>
      <c r="BH13" s="159"/>
      <c r="BI13" s="159"/>
      <c r="BJ13" s="160"/>
    </row>
    <row r="14" spans="1:63" ht="30" customHeight="1">
      <c r="A14" s="158"/>
      <c r="B14" s="159"/>
      <c r="C14" s="160"/>
      <c r="D14" s="161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3"/>
      <c r="R14" s="158"/>
      <c r="S14" s="159"/>
      <c r="T14" s="159"/>
      <c r="U14" s="160"/>
      <c r="V14" s="158"/>
      <c r="W14" s="159"/>
      <c r="X14" s="159"/>
      <c r="Y14" s="160"/>
      <c r="Z14" s="158"/>
      <c r="AA14" s="159"/>
      <c r="AB14" s="159"/>
      <c r="AC14" s="160"/>
      <c r="AD14" s="158"/>
      <c r="AE14" s="159"/>
      <c r="AF14" s="159"/>
      <c r="AG14" s="160"/>
      <c r="AH14" s="155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7"/>
      <c r="BD14" s="158"/>
      <c r="BE14" s="159"/>
      <c r="BF14" s="159"/>
      <c r="BG14" s="159"/>
      <c r="BH14" s="159"/>
      <c r="BI14" s="159"/>
      <c r="BJ14" s="160"/>
    </row>
    <row r="15" spans="1:63" ht="30" customHeight="1">
      <c r="A15" s="158"/>
      <c r="B15" s="159"/>
      <c r="C15" s="160"/>
      <c r="D15" s="161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3"/>
      <c r="R15" s="158"/>
      <c r="S15" s="159"/>
      <c r="T15" s="159"/>
      <c r="U15" s="160"/>
      <c r="V15" s="158"/>
      <c r="W15" s="159"/>
      <c r="X15" s="159"/>
      <c r="Y15" s="160"/>
      <c r="Z15" s="158"/>
      <c r="AA15" s="159"/>
      <c r="AB15" s="159"/>
      <c r="AC15" s="160"/>
      <c r="AD15" s="158"/>
      <c r="AE15" s="159"/>
      <c r="AF15" s="159"/>
      <c r="AG15" s="160"/>
      <c r="AH15" s="155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7"/>
      <c r="BD15" s="158"/>
      <c r="BE15" s="159"/>
      <c r="BF15" s="159"/>
      <c r="BG15" s="159"/>
      <c r="BH15" s="159"/>
      <c r="BI15" s="159"/>
      <c r="BJ15" s="160"/>
    </row>
    <row r="16" spans="1:63" ht="30" customHeight="1">
      <c r="A16" s="158"/>
      <c r="B16" s="159"/>
      <c r="C16" s="160"/>
      <c r="D16" s="161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3"/>
      <c r="R16" s="158"/>
      <c r="S16" s="159"/>
      <c r="T16" s="159"/>
      <c r="U16" s="160"/>
      <c r="V16" s="158"/>
      <c r="W16" s="159"/>
      <c r="X16" s="159"/>
      <c r="Y16" s="160"/>
      <c r="Z16" s="158"/>
      <c r="AA16" s="159"/>
      <c r="AB16" s="159"/>
      <c r="AC16" s="160"/>
      <c r="AD16" s="158"/>
      <c r="AE16" s="159"/>
      <c r="AF16" s="159"/>
      <c r="AG16" s="160"/>
      <c r="AH16" s="155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7"/>
      <c r="BD16" s="158"/>
      <c r="BE16" s="159"/>
      <c r="BF16" s="159"/>
      <c r="BG16" s="159"/>
      <c r="BH16" s="159"/>
      <c r="BI16" s="159"/>
      <c r="BJ16" s="160"/>
    </row>
    <row r="17" spans="1:62" ht="30" customHeight="1">
      <c r="A17" s="158"/>
      <c r="B17" s="159"/>
      <c r="C17" s="160"/>
      <c r="D17" s="161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3"/>
      <c r="R17" s="158"/>
      <c r="S17" s="159"/>
      <c r="T17" s="159"/>
      <c r="U17" s="160"/>
      <c r="V17" s="158"/>
      <c r="W17" s="159"/>
      <c r="X17" s="159"/>
      <c r="Y17" s="160"/>
      <c r="Z17" s="158"/>
      <c r="AA17" s="159"/>
      <c r="AB17" s="159"/>
      <c r="AC17" s="160"/>
      <c r="AD17" s="158"/>
      <c r="AE17" s="159"/>
      <c r="AF17" s="159"/>
      <c r="AG17" s="160"/>
      <c r="AH17" s="155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7"/>
      <c r="BD17" s="158"/>
      <c r="BE17" s="159"/>
      <c r="BF17" s="159"/>
      <c r="BG17" s="159"/>
      <c r="BH17" s="159"/>
      <c r="BI17" s="159"/>
      <c r="BJ17" s="160"/>
    </row>
    <row r="18" spans="1:62" ht="30" customHeight="1">
      <c r="A18" s="158"/>
      <c r="B18" s="159"/>
      <c r="C18" s="160"/>
      <c r="D18" s="161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3"/>
      <c r="R18" s="158"/>
      <c r="S18" s="159"/>
      <c r="T18" s="159"/>
      <c r="U18" s="160"/>
      <c r="V18" s="158"/>
      <c r="W18" s="159"/>
      <c r="X18" s="159"/>
      <c r="Y18" s="160"/>
      <c r="Z18" s="158"/>
      <c r="AA18" s="159"/>
      <c r="AB18" s="159"/>
      <c r="AC18" s="160"/>
      <c r="AD18" s="158"/>
      <c r="AE18" s="159"/>
      <c r="AF18" s="159"/>
      <c r="AG18" s="160"/>
      <c r="AH18" s="155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7"/>
      <c r="BD18" s="158"/>
      <c r="BE18" s="159"/>
      <c r="BF18" s="159"/>
      <c r="BG18" s="159"/>
      <c r="BH18" s="159"/>
      <c r="BI18" s="159"/>
      <c r="BJ18" s="160"/>
    </row>
    <row r="19" spans="1:62" ht="30" customHeight="1">
      <c r="A19" s="158"/>
      <c r="B19" s="159"/>
      <c r="C19" s="160"/>
      <c r="D19" s="161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3"/>
      <c r="R19" s="158"/>
      <c r="S19" s="159"/>
      <c r="T19" s="159"/>
      <c r="U19" s="160"/>
      <c r="V19" s="158"/>
      <c r="W19" s="159"/>
      <c r="X19" s="159"/>
      <c r="Y19" s="160"/>
      <c r="Z19" s="158"/>
      <c r="AA19" s="159"/>
      <c r="AB19" s="159"/>
      <c r="AC19" s="160"/>
      <c r="AD19" s="158"/>
      <c r="AE19" s="159"/>
      <c r="AF19" s="159"/>
      <c r="AG19" s="160"/>
      <c r="AH19" s="155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7"/>
      <c r="BD19" s="158"/>
      <c r="BE19" s="159"/>
      <c r="BF19" s="159"/>
      <c r="BG19" s="159"/>
      <c r="BH19" s="159"/>
      <c r="BI19" s="159"/>
      <c r="BJ19" s="160"/>
    </row>
    <row r="20" spans="1:62" ht="30" customHeight="1">
      <c r="A20" s="158"/>
      <c r="B20" s="159"/>
      <c r="C20" s="160"/>
      <c r="D20" s="161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3"/>
      <c r="R20" s="158"/>
      <c r="S20" s="159"/>
      <c r="T20" s="159"/>
      <c r="U20" s="160"/>
      <c r="V20" s="158"/>
      <c r="W20" s="159"/>
      <c r="X20" s="159"/>
      <c r="Y20" s="160"/>
      <c r="Z20" s="158"/>
      <c r="AA20" s="159"/>
      <c r="AB20" s="159"/>
      <c r="AC20" s="160"/>
      <c r="AD20" s="158"/>
      <c r="AE20" s="159"/>
      <c r="AF20" s="159"/>
      <c r="AG20" s="160"/>
      <c r="AH20" s="155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7"/>
      <c r="BD20" s="158"/>
      <c r="BE20" s="159"/>
      <c r="BF20" s="159"/>
      <c r="BG20" s="159"/>
      <c r="BH20" s="159"/>
      <c r="BI20" s="159"/>
      <c r="BJ20" s="160"/>
    </row>
    <row r="21" spans="1:62" ht="30" customHeight="1">
      <c r="A21" s="158"/>
      <c r="B21" s="159"/>
      <c r="C21" s="160"/>
      <c r="D21" s="161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3"/>
      <c r="R21" s="158"/>
      <c r="S21" s="159"/>
      <c r="T21" s="159"/>
      <c r="U21" s="160"/>
      <c r="V21" s="158"/>
      <c r="W21" s="159"/>
      <c r="X21" s="159"/>
      <c r="Y21" s="160"/>
      <c r="Z21" s="158"/>
      <c r="AA21" s="159"/>
      <c r="AB21" s="159"/>
      <c r="AC21" s="160"/>
      <c r="AD21" s="158"/>
      <c r="AE21" s="159"/>
      <c r="AF21" s="159"/>
      <c r="AG21" s="160"/>
      <c r="AH21" s="155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7"/>
      <c r="BD21" s="158"/>
      <c r="BE21" s="159"/>
      <c r="BF21" s="159"/>
      <c r="BG21" s="159"/>
      <c r="BH21" s="159"/>
      <c r="BI21" s="159"/>
      <c r="BJ21" s="160"/>
    </row>
    <row r="22" spans="1:62" ht="30" customHeight="1">
      <c r="A22" s="158"/>
      <c r="B22" s="159"/>
      <c r="C22" s="160"/>
      <c r="D22" s="161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3"/>
      <c r="R22" s="158"/>
      <c r="S22" s="159"/>
      <c r="T22" s="159"/>
      <c r="U22" s="160"/>
      <c r="V22" s="158"/>
      <c r="W22" s="159"/>
      <c r="X22" s="159"/>
      <c r="Y22" s="160"/>
      <c r="Z22" s="158"/>
      <c r="AA22" s="159"/>
      <c r="AB22" s="159"/>
      <c r="AC22" s="160"/>
      <c r="AD22" s="158"/>
      <c r="AE22" s="159"/>
      <c r="AF22" s="159"/>
      <c r="AG22" s="160"/>
      <c r="AH22" s="155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7"/>
      <c r="BD22" s="158"/>
      <c r="BE22" s="159"/>
      <c r="BF22" s="159"/>
      <c r="BG22" s="159"/>
      <c r="BH22" s="159"/>
      <c r="BI22" s="159"/>
      <c r="BJ22" s="160"/>
    </row>
    <row r="23" spans="1:62" ht="30" customHeight="1">
      <c r="A23" s="158"/>
      <c r="B23" s="159"/>
      <c r="C23" s="160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3"/>
      <c r="R23" s="158"/>
      <c r="S23" s="159"/>
      <c r="T23" s="159"/>
      <c r="U23" s="160"/>
      <c r="V23" s="158"/>
      <c r="W23" s="159"/>
      <c r="X23" s="159"/>
      <c r="Y23" s="160"/>
      <c r="Z23" s="158"/>
      <c r="AA23" s="159"/>
      <c r="AB23" s="159"/>
      <c r="AC23" s="160"/>
      <c r="AD23" s="158"/>
      <c r="AE23" s="159"/>
      <c r="AF23" s="159"/>
      <c r="AG23" s="160"/>
      <c r="AH23" s="155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7"/>
      <c r="BD23" s="158"/>
      <c r="BE23" s="159"/>
      <c r="BF23" s="159"/>
      <c r="BG23" s="159"/>
      <c r="BH23" s="159"/>
      <c r="BI23" s="159"/>
      <c r="BJ23" s="160"/>
    </row>
    <row r="24" spans="1:62" ht="30" customHeight="1">
      <c r="A24" s="158"/>
      <c r="B24" s="159"/>
      <c r="C24" s="160"/>
      <c r="D24" s="161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3"/>
      <c r="R24" s="158"/>
      <c r="S24" s="159"/>
      <c r="T24" s="159"/>
      <c r="U24" s="160"/>
      <c r="V24" s="158"/>
      <c r="W24" s="159"/>
      <c r="X24" s="159"/>
      <c r="Y24" s="160"/>
      <c r="Z24" s="158"/>
      <c r="AA24" s="159"/>
      <c r="AB24" s="159"/>
      <c r="AC24" s="160"/>
      <c r="AD24" s="158"/>
      <c r="AE24" s="159"/>
      <c r="AF24" s="159"/>
      <c r="AG24" s="160"/>
      <c r="AH24" s="155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7"/>
      <c r="BD24" s="158"/>
      <c r="BE24" s="159"/>
      <c r="BF24" s="159"/>
      <c r="BG24" s="159"/>
      <c r="BH24" s="159"/>
      <c r="BI24" s="159"/>
      <c r="BJ24" s="160"/>
    </row>
    <row r="25" spans="1:62" ht="30" customHeight="1">
      <c r="A25" s="158"/>
      <c r="B25" s="159"/>
      <c r="C25" s="160"/>
      <c r="D25" s="161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3"/>
      <c r="R25" s="158"/>
      <c r="S25" s="159"/>
      <c r="T25" s="159"/>
      <c r="U25" s="160"/>
      <c r="V25" s="158"/>
      <c r="W25" s="159"/>
      <c r="X25" s="159"/>
      <c r="Y25" s="160"/>
      <c r="Z25" s="158"/>
      <c r="AA25" s="159"/>
      <c r="AB25" s="159"/>
      <c r="AC25" s="160"/>
      <c r="AD25" s="158"/>
      <c r="AE25" s="159"/>
      <c r="AF25" s="159"/>
      <c r="AG25" s="160"/>
      <c r="AH25" s="155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7"/>
      <c r="BD25" s="158"/>
      <c r="BE25" s="159"/>
      <c r="BF25" s="159"/>
      <c r="BG25" s="159"/>
      <c r="BH25" s="159"/>
      <c r="BI25" s="159"/>
      <c r="BJ25" s="160"/>
    </row>
    <row r="26" spans="1:62" ht="30" customHeight="1">
      <c r="A26" s="158"/>
      <c r="B26" s="159"/>
      <c r="C26" s="160"/>
      <c r="D26" s="161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3"/>
      <c r="R26" s="158"/>
      <c r="S26" s="159"/>
      <c r="T26" s="159"/>
      <c r="U26" s="160"/>
      <c r="V26" s="158"/>
      <c r="W26" s="159"/>
      <c r="X26" s="159"/>
      <c r="Y26" s="160"/>
      <c r="Z26" s="158"/>
      <c r="AA26" s="159"/>
      <c r="AB26" s="159"/>
      <c r="AC26" s="160"/>
      <c r="AD26" s="158"/>
      <c r="AE26" s="159"/>
      <c r="AF26" s="159"/>
      <c r="AG26" s="160"/>
      <c r="AH26" s="155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7"/>
      <c r="BD26" s="158"/>
      <c r="BE26" s="159"/>
      <c r="BF26" s="159"/>
      <c r="BG26" s="159"/>
      <c r="BH26" s="159"/>
      <c r="BI26" s="159"/>
      <c r="BJ26" s="160"/>
    </row>
    <row r="27" spans="1:62" ht="30" customHeight="1">
      <c r="A27" s="158"/>
      <c r="B27" s="159"/>
      <c r="C27" s="160"/>
      <c r="D27" s="161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3"/>
      <c r="R27" s="158"/>
      <c r="S27" s="159"/>
      <c r="T27" s="159"/>
      <c r="U27" s="160"/>
      <c r="V27" s="158"/>
      <c r="W27" s="159"/>
      <c r="X27" s="159"/>
      <c r="Y27" s="160"/>
      <c r="Z27" s="158"/>
      <c r="AA27" s="159"/>
      <c r="AB27" s="159"/>
      <c r="AC27" s="160"/>
      <c r="AD27" s="158"/>
      <c r="AE27" s="159"/>
      <c r="AF27" s="159"/>
      <c r="AG27" s="160"/>
      <c r="AH27" s="155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7"/>
      <c r="BD27" s="158"/>
      <c r="BE27" s="159"/>
      <c r="BF27" s="159"/>
      <c r="BG27" s="159"/>
      <c r="BH27" s="159"/>
      <c r="BI27" s="159"/>
      <c r="BJ27" s="160"/>
    </row>
    <row r="28" spans="1:62" ht="30" customHeight="1">
      <c r="A28" s="158"/>
      <c r="B28" s="159"/>
      <c r="C28" s="160"/>
      <c r="D28" s="161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3"/>
      <c r="R28" s="158"/>
      <c r="S28" s="159"/>
      <c r="T28" s="159"/>
      <c r="U28" s="160"/>
      <c r="V28" s="158"/>
      <c r="W28" s="159"/>
      <c r="X28" s="159"/>
      <c r="Y28" s="160"/>
      <c r="Z28" s="158"/>
      <c r="AA28" s="159"/>
      <c r="AB28" s="159"/>
      <c r="AC28" s="160"/>
      <c r="AD28" s="158"/>
      <c r="AE28" s="159"/>
      <c r="AF28" s="159"/>
      <c r="AG28" s="160"/>
      <c r="AH28" s="155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7"/>
      <c r="BD28" s="158"/>
      <c r="BE28" s="159"/>
      <c r="BF28" s="159"/>
      <c r="BG28" s="159"/>
      <c r="BH28" s="159"/>
      <c r="BI28" s="159"/>
      <c r="BJ28" s="160"/>
    </row>
    <row r="29" spans="1:62" ht="30" customHeight="1">
      <c r="A29" s="158"/>
      <c r="B29" s="159"/>
      <c r="C29" s="160"/>
      <c r="D29" s="161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3"/>
      <c r="R29" s="158"/>
      <c r="S29" s="159"/>
      <c r="T29" s="159"/>
      <c r="U29" s="160"/>
      <c r="V29" s="158"/>
      <c r="W29" s="159"/>
      <c r="X29" s="159"/>
      <c r="Y29" s="160"/>
      <c r="Z29" s="158"/>
      <c r="AA29" s="159"/>
      <c r="AB29" s="159"/>
      <c r="AC29" s="160"/>
      <c r="AD29" s="158"/>
      <c r="AE29" s="159"/>
      <c r="AF29" s="159"/>
      <c r="AG29" s="160"/>
      <c r="AH29" s="155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7"/>
      <c r="BD29" s="158"/>
      <c r="BE29" s="159"/>
      <c r="BF29" s="159"/>
      <c r="BG29" s="159"/>
      <c r="BH29" s="159"/>
      <c r="BI29" s="159"/>
      <c r="BJ29" s="160"/>
    </row>
    <row r="30" spans="1:62" ht="30" customHeight="1">
      <c r="A30" s="158"/>
      <c r="B30" s="159"/>
      <c r="C30" s="160"/>
      <c r="D30" s="161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3"/>
      <c r="R30" s="158"/>
      <c r="S30" s="159"/>
      <c r="T30" s="159"/>
      <c r="U30" s="160"/>
      <c r="V30" s="158"/>
      <c r="W30" s="159"/>
      <c r="X30" s="159"/>
      <c r="Y30" s="160"/>
      <c r="Z30" s="158"/>
      <c r="AA30" s="159"/>
      <c r="AB30" s="159"/>
      <c r="AC30" s="160"/>
      <c r="AD30" s="158"/>
      <c r="AE30" s="159"/>
      <c r="AF30" s="159"/>
      <c r="AG30" s="160"/>
      <c r="AH30" s="155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7"/>
      <c r="BD30" s="158"/>
      <c r="BE30" s="159"/>
      <c r="BF30" s="159"/>
      <c r="BG30" s="159"/>
      <c r="BH30" s="159"/>
      <c r="BI30" s="159"/>
      <c r="BJ30" s="160"/>
    </row>
    <row r="31" spans="1:62" ht="30" customHeight="1">
      <c r="A31" s="60"/>
      <c r="B31" s="61"/>
      <c r="C31" s="62"/>
      <c r="D31" s="63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5"/>
      <c r="R31" s="60"/>
      <c r="S31" s="61"/>
      <c r="T31" s="61"/>
      <c r="U31" s="62"/>
      <c r="V31" s="60"/>
      <c r="W31" s="61"/>
      <c r="X31" s="61"/>
      <c r="Y31" s="62"/>
      <c r="Z31" s="60"/>
      <c r="AA31" s="61"/>
      <c r="AB31" s="61"/>
      <c r="AC31" s="62"/>
      <c r="AD31" s="60"/>
      <c r="AE31" s="61"/>
      <c r="AF31" s="61"/>
      <c r="AG31" s="62"/>
      <c r="AH31" s="57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9"/>
      <c r="BD31" s="60"/>
      <c r="BE31" s="61"/>
      <c r="BF31" s="61"/>
      <c r="BG31" s="61"/>
      <c r="BH31" s="61"/>
      <c r="BI31" s="61"/>
      <c r="BJ31" s="62"/>
    </row>
    <row r="32" spans="1:62" ht="30" customHeight="1">
      <c r="A32" s="60"/>
      <c r="B32" s="61"/>
      <c r="C32" s="62"/>
      <c r="D32" s="63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5"/>
      <c r="R32" s="60"/>
      <c r="S32" s="61"/>
      <c r="T32" s="61"/>
      <c r="U32" s="62"/>
      <c r="V32" s="60"/>
      <c r="W32" s="61"/>
      <c r="X32" s="61"/>
      <c r="Y32" s="62"/>
      <c r="Z32" s="60"/>
      <c r="AA32" s="61"/>
      <c r="AB32" s="61"/>
      <c r="AC32" s="62"/>
      <c r="AD32" s="60"/>
      <c r="AE32" s="61"/>
      <c r="AF32" s="61"/>
      <c r="AG32" s="62"/>
      <c r="AH32" s="57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9"/>
      <c r="BD32" s="60"/>
      <c r="BE32" s="61"/>
      <c r="BF32" s="61"/>
      <c r="BG32" s="61"/>
      <c r="BH32" s="61"/>
      <c r="BI32" s="61"/>
      <c r="BJ32" s="62"/>
    </row>
    <row r="33" spans="1:62" ht="30" customHeight="1">
      <c r="A33" s="60"/>
      <c r="B33" s="61"/>
      <c r="C33" s="62"/>
      <c r="D33" s="63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5"/>
      <c r="R33" s="60"/>
      <c r="S33" s="61"/>
      <c r="T33" s="61"/>
      <c r="U33" s="62"/>
      <c r="V33" s="60"/>
      <c r="W33" s="61"/>
      <c r="X33" s="61"/>
      <c r="Y33" s="62"/>
      <c r="Z33" s="60"/>
      <c r="AA33" s="61"/>
      <c r="AB33" s="61"/>
      <c r="AC33" s="62"/>
      <c r="AD33" s="60"/>
      <c r="AE33" s="61"/>
      <c r="AF33" s="61"/>
      <c r="AG33" s="62"/>
      <c r="AH33" s="57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9"/>
      <c r="BD33" s="60"/>
      <c r="BE33" s="61"/>
      <c r="BF33" s="61"/>
      <c r="BG33" s="61"/>
      <c r="BH33" s="61"/>
      <c r="BI33" s="61"/>
      <c r="BJ33" s="62"/>
    </row>
    <row r="34" spans="1:62" ht="30" customHeight="1">
      <c r="A34" s="60"/>
      <c r="B34" s="61"/>
      <c r="C34" s="62"/>
      <c r="D34" s="63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5"/>
      <c r="R34" s="60"/>
      <c r="S34" s="61"/>
      <c r="T34" s="61"/>
      <c r="U34" s="62"/>
      <c r="V34" s="60"/>
      <c r="W34" s="61"/>
      <c r="X34" s="61"/>
      <c r="Y34" s="62"/>
      <c r="Z34" s="60"/>
      <c r="AA34" s="61"/>
      <c r="AB34" s="61"/>
      <c r="AC34" s="62"/>
      <c r="AD34" s="60"/>
      <c r="AE34" s="61"/>
      <c r="AF34" s="61"/>
      <c r="AG34" s="62"/>
      <c r="AH34" s="57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9"/>
      <c r="BD34" s="60"/>
      <c r="BE34" s="61"/>
      <c r="BF34" s="61"/>
      <c r="BG34" s="61"/>
      <c r="BH34" s="61"/>
      <c r="BI34" s="61"/>
      <c r="BJ34" s="62"/>
    </row>
    <row r="35" spans="1:62" ht="30" customHeight="1">
      <c r="A35" s="60"/>
      <c r="B35" s="61"/>
      <c r="C35" s="62"/>
      <c r="D35" s="63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5"/>
      <c r="R35" s="60"/>
      <c r="S35" s="61"/>
      <c r="T35" s="61"/>
      <c r="U35" s="62"/>
      <c r="V35" s="60"/>
      <c r="W35" s="61"/>
      <c r="X35" s="61"/>
      <c r="Y35" s="62"/>
      <c r="Z35" s="60"/>
      <c r="AA35" s="61"/>
      <c r="AB35" s="61"/>
      <c r="AC35" s="62"/>
      <c r="AD35" s="60"/>
      <c r="AE35" s="61"/>
      <c r="AF35" s="61"/>
      <c r="AG35" s="62"/>
      <c r="AH35" s="57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9"/>
      <c r="BD35" s="60"/>
      <c r="BE35" s="61"/>
      <c r="BF35" s="61"/>
      <c r="BG35" s="61"/>
      <c r="BH35" s="61"/>
      <c r="BI35" s="61"/>
      <c r="BJ35" s="62"/>
    </row>
    <row r="36" spans="1:62" ht="30" customHeight="1">
      <c r="A36" s="60"/>
      <c r="B36" s="61"/>
      <c r="C36" s="62"/>
      <c r="D36" s="6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5"/>
      <c r="R36" s="60"/>
      <c r="S36" s="61"/>
      <c r="T36" s="61"/>
      <c r="U36" s="62"/>
      <c r="V36" s="60"/>
      <c r="W36" s="61"/>
      <c r="X36" s="61"/>
      <c r="Y36" s="62"/>
      <c r="Z36" s="60"/>
      <c r="AA36" s="61"/>
      <c r="AB36" s="61"/>
      <c r="AC36" s="62"/>
      <c r="AD36" s="60"/>
      <c r="AE36" s="61"/>
      <c r="AF36" s="61"/>
      <c r="AG36" s="62"/>
      <c r="AH36" s="57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9"/>
      <c r="BD36" s="60"/>
      <c r="BE36" s="61"/>
      <c r="BF36" s="61"/>
      <c r="BG36" s="61"/>
      <c r="BH36" s="61"/>
      <c r="BI36" s="61"/>
      <c r="BJ36" s="62"/>
    </row>
    <row r="37" spans="1:62" ht="30" customHeight="1">
      <c r="A37" s="60"/>
      <c r="B37" s="61"/>
      <c r="C37" s="62"/>
      <c r="D37" s="63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5"/>
      <c r="R37" s="60"/>
      <c r="S37" s="61"/>
      <c r="T37" s="61"/>
      <c r="U37" s="62"/>
      <c r="V37" s="60"/>
      <c r="W37" s="61"/>
      <c r="X37" s="61"/>
      <c r="Y37" s="62"/>
      <c r="Z37" s="60"/>
      <c r="AA37" s="61"/>
      <c r="AB37" s="61"/>
      <c r="AC37" s="62"/>
      <c r="AD37" s="60"/>
      <c r="AE37" s="61"/>
      <c r="AF37" s="61"/>
      <c r="AG37" s="62"/>
      <c r="AH37" s="57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9"/>
      <c r="BD37" s="60"/>
      <c r="BE37" s="61"/>
      <c r="BF37" s="61"/>
      <c r="BG37" s="61"/>
      <c r="BH37" s="61"/>
      <c r="BI37" s="61"/>
      <c r="BJ37" s="62"/>
    </row>
    <row r="38" spans="1:62" ht="30" customHeight="1">
      <c r="A38" s="60"/>
      <c r="B38" s="61"/>
      <c r="C38" s="62"/>
      <c r="D38" s="63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5"/>
      <c r="R38" s="60"/>
      <c r="S38" s="61"/>
      <c r="T38" s="61"/>
      <c r="U38" s="62"/>
      <c r="V38" s="60"/>
      <c r="W38" s="61"/>
      <c r="X38" s="61"/>
      <c r="Y38" s="62"/>
      <c r="Z38" s="60"/>
      <c r="AA38" s="61"/>
      <c r="AB38" s="61"/>
      <c r="AC38" s="62"/>
      <c r="AD38" s="60"/>
      <c r="AE38" s="61"/>
      <c r="AF38" s="61"/>
      <c r="AG38" s="62"/>
      <c r="AH38" s="57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9"/>
      <c r="BD38" s="60"/>
      <c r="BE38" s="61"/>
      <c r="BF38" s="61"/>
      <c r="BG38" s="61"/>
      <c r="BH38" s="61"/>
      <c r="BI38" s="61"/>
      <c r="BJ38" s="62"/>
    </row>
    <row r="39" spans="1:62" ht="30" customHeight="1">
      <c r="A39" s="158"/>
      <c r="B39" s="159"/>
      <c r="C39" s="160"/>
      <c r="D39" s="161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3"/>
      <c r="R39" s="158"/>
      <c r="S39" s="159"/>
      <c r="T39" s="159"/>
      <c r="U39" s="160"/>
      <c r="V39" s="158"/>
      <c r="W39" s="159"/>
      <c r="X39" s="159"/>
      <c r="Y39" s="160"/>
      <c r="Z39" s="158"/>
      <c r="AA39" s="159"/>
      <c r="AB39" s="159"/>
      <c r="AC39" s="160"/>
      <c r="AD39" s="158"/>
      <c r="AE39" s="159"/>
      <c r="AF39" s="159"/>
      <c r="AG39" s="160"/>
      <c r="AH39" s="155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7"/>
      <c r="BD39" s="158"/>
      <c r="BE39" s="159"/>
      <c r="BF39" s="159"/>
      <c r="BG39" s="159"/>
      <c r="BH39" s="159"/>
      <c r="BI39" s="159"/>
      <c r="BJ39" s="160"/>
    </row>
    <row r="40" spans="1:62" ht="30" customHeight="1">
      <c r="A40" s="158"/>
      <c r="B40" s="159"/>
      <c r="C40" s="160"/>
      <c r="D40" s="161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3"/>
      <c r="R40" s="158"/>
      <c r="S40" s="159"/>
      <c r="T40" s="159"/>
      <c r="U40" s="160"/>
      <c r="V40" s="158"/>
      <c r="W40" s="159"/>
      <c r="X40" s="159"/>
      <c r="Y40" s="160"/>
      <c r="Z40" s="158"/>
      <c r="AA40" s="159"/>
      <c r="AB40" s="159"/>
      <c r="AC40" s="160"/>
      <c r="AD40" s="158"/>
      <c r="AE40" s="159"/>
      <c r="AF40" s="159"/>
      <c r="AG40" s="160"/>
      <c r="AH40" s="155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7"/>
      <c r="BD40" s="158"/>
      <c r="BE40" s="159"/>
      <c r="BF40" s="159"/>
      <c r="BG40" s="159"/>
      <c r="BH40" s="159"/>
      <c r="BI40" s="159"/>
      <c r="BJ40" s="160"/>
    </row>
    <row r="41" spans="1:62" ht="30" customHeight="1">
      <c r="A41" s="167"/>
      <c r="B41" s="168"/>
      <c r="C41" s="169"/>
      <c r="D41" s="170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2"/>
      <c r="R41" s="167"/>
      <c r="S41" s="168"/>
      <c r="T41" s="168"/>
      <c r="U41" s="169"/>
      <c r="V41" s="167"/>
      <c r="W41" s="168"/>
      <c r="X41" s="168"/>
      <c r="Y41" s="169"/>
      <c r="Z41" s="167"/>
      <c r="AA41" s="168"/>
      <c r="AB41" s="168"/>
      <c r="AC41" s="169"/>
      <c r="AD41" s="167"/>
      <c r="AE41" s="168"/>
      <c r="AF41" s="168"/>
      <c r="AG41" s="169"/>
      <c r="AH41" s="164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6"/>
      <c r="BD41" s="167"/>
      <c r="BE41" s="168"/>
      <c r="BF41" s="168"/>
      <c r="BG41" s="168"/>
      <c r="BH41" s="168"/>
      <c r="BI41" s="168"/>
      <c r="BJ41" s="169"/>
    </row>
    <row r="42" spans="1:62" s="8" customFormat="1" ht="6" customHeight="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21">
    <mergeCell ref="AH40:BC40"/>
    <mergeCell ref="BD40:BJ40"/>
    <mergeCell ref="A40:C40"/>
    <mergeCell ref="D40:Q40"/>
    <mergeCell ref="R40:U40"/>
    <mergeCell ref="V40:Y40"/>
    <mergeCell ref="Z40:AC40"/>
    <mergeCell ref="AD40:AG40"/>
    <mergeCell ref="AH41:BC41"/>
    <mergeCell ref="BD41:BJ41"/>
    <mergeCell ref="A41:C41"/>
    <mergeCell ref="D41:Q41"/>
    <mergeCell ref="R41:U41"/>
    <mergeCell ref="V41:Y41"/>
    <mergeCell ref="Z41:AC41"/>
    <mergeCell ref="AD41:AG41"/>
    <mergeCell ref="AH30:BC30"/>
    <mergeCell ref="BD30:BJ30"/>
    <mergeCell ref="A39:C39"/>
    <mergeCell ref="D39:Q39"/>
    <mergeCell ref="R39:U39"/>
    <mergeCell ref="V39:Y39"/>
    <mergeCell ref="Z39:AC39"/>
    <mergeCell ref="AD39:AG39"/>
    <mergeCell ref="AH39:BC39"/>
    <mergeCell ref="BD39:BJ39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4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87" t="s">
        <v>47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9"/>
      <c r="AT2" s="81" t="s">
        <v>3</v>
      </c>
      <c r="AU2" s="82"/>
      <c r="AV2" s="82"/>
      <c r="AW2" s="82"/>
      <c r="AX2" s="83"/>
      <c r="AY2" s="81" t="s">
        <v>48</v>
      </c>
      <c r="AZ2" s="82"/>
      <c r="BA2" s="82"/>
      <c r="BB2" s="83"/>
      <c r="BC2" s="81" t="s">
        <v>5</v>
      </c>
      <c r="BD2" s="82"/>
      <c r="BE2" s="82"/>
      <c r="BF2" s="83"/>
      <c r="BG2" s="81"/>
      <c r="BH2" s="82"/>
      <c r="BI2" s="82"/>
      <c r="BJ2" s="83"/>
    </row>
    <row r="3" spans="1:63" s="1" customFormat="1" ht="18" customHeight="1">
      <c r="A3" s="90" t="s">
        <v>6</v>
      </c>
      <c r="B3" s="91"/>
      <c r="C3" s="91"/>
      <c r="D3" s="91"/>
      <c r="E3" s="91"/>
      <c r="F3" s="91"/>
      <c r="G3" s="91"/>
      <c r="H3" s="92"/>
      <c r="I3" s="96" t="s">
        <v>171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8"/>
      <c r="AT3" s="81" t="s">
        <v>7</v>
      </c>
      <c r="AU3" s="82"/>
      <c r="AV3" s="82"/>
      <c r="AW3" s="82"/>
      <c r="AX3" s="83"/>
      <c r="AY3" s="81" t="s">
        <v>170</v>
      </c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3" s="1" customFormat="1" ht="18" customHeight="1">
      <c r="A4" s="93"/>
      <c r="B4" s="94"/>
      <c r="C4" s="94"/>
      <c r="D4" s="94"/>
      <c r="E4" s="94"/>
      <c r="F4" s="94"/>
      <c r="G4" s="94"/>
      <c r="H4" s="95"/>
      <c r="I4" s="99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1"/>
      <c r="AT4" s="81" t="s">
        <v>8</v>
      </c>
      <c r="AU4" s="82"/>
      <c r="AV4" s="82"/>
      <c r="AW4" s="82"/>
      <c r="AX4" s="83"/>
      <c r="AY4" s="81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1" customFormat="1" ht="19.5" customHeight="1">
      <c r="A6" s="121" t="s">
        <v>16</v>
      </c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1" t="s">
        <v>74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3"/>
      <c r="BK6" s="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40.5" customHeight="1">
      <c r="A8" s="81" t="s">
        <v>20</v>
      </c>
      <c r="B8" s="82"/>
      <c r="C8" s="83"/>
      <c r="D8" s="81" t="s">
        <v>159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3"/>
      <c r="R8" s="81" t="s">
        <v>49</v>
      </c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3"/>
      <c r="BD8" s="143" t="s">
        <v>46</v>
      </c>
      <c r="BE8" s="144"/>
      <c r="BF8" s="144"/>
      <c r="BG8" s="144"/>
      <c r="BH8" s="144"/>
      <c r="BI8" s="144"/>
      <c r="BJ8" s="145"/>
    </row>
    <row r="9" spans="1:63" s="9" customFormat="1" ht="30" customHeight="1">
      <c r="A9" s="146"/>
      <c r="B9" s="147"/>
      <c r="C9" s="148"/>
      <c r="D9" s="149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1"/>
      <c r="R9" s="149" t="s">
        <v>51</v>
      </c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1"/>
      <c r="BD9" s="146"/>
      <c r="BE9" s="147"/>
      <c r="BF9" s="147"/>
      <c r="BG9" s="147"/>
      <c r="BH9" s="147"/>
      <c r="BI9" s="147"/>
      <c r="BJ9" s="148"/>
    </row>
    <row r="10" spans="1:63" ht="30" customHeight="1">
      <c r="A10" s="158"/>
      <c r="B10" s="159"/>
      <c r="C10" s="160"/>
      <c r="D10" s="161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3"/>
      <c r="R10" s="161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3"/>
      <c r="BD10" s="158"/>
      <c r="BE10" s="159"/>
      <c r="BF10" s="159"/>
      <c r="BG10" s="159"/>
      <c r="BH10" s="159"/>
      <c r="BI10" s="159"/>
      <c r="BJ10" s="160"/>
    </row>
    <row r="11" spans="1:63" ht="30" customHeight="1">
      <c r="A11" s="158"/>
      <c r="B11" s="159"/>
      <c r="C11" s="160"/>
      <c r="D11" s="161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3"/>
      <c r="R11" s="161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3"/>
      <c r="BD11" s="158"/>
      <c r="BE11" s="159"/>
      <c r="BF11" s="159"/>
      <c r="BG11" s="159"/>
      <c r="BH11" s="159"/>
      <c r="BI11" s="159"/>
      <c r="BJ11" s="160"/>
    </row>
    <row r="12" spans="1:63" ht="30" customHeight="1">
      <c r="A12" s="158"/>
      <c r="B12" s="159"/>
      <c r="C12" s="160"/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3"/>
      <c r="R12" s="161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3"/>
      <c r="BD12" s="158"/>
      <c r="BE12" s="159"/>
      <c r="BF12" s="159"/>
      <c r="BG12" s="159"/>
      <c r="BH12" s="159"/>
      <c r="BI12" s="159"/>
      <c r="BJ12" s="160"/>
    </row>
    <row r="13" spans="1:63" ht="30" customHeight="1">
      <c r="A13" s="158"/>
      <c r="B13" s="159"/>
      <c r="C13" s="160"/>
      <c r="D13" s="161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3"/>
      <c r="R13" s="161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3"/>
      <c r="BD13" s="158"/>
      <c r="BE13" s="159"/>
      <c r="BF13" s="159"/>
      <c r="BG13" s="159"/>
      <c r="BH13" s="159"/>
      <c r="BI13" s="159"/>
      <c r="BJ13" s="160"/>
    </row>
    <row r="14" spans="1:63" ht="30" customHeight="1">
      <c r="A14" s="158"/>
      <c r="B14" s="159"/>
      <c r="C14" s="160"/>
      <c r="D14" s="161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3"/>
      <c r="R14" s="161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3"/>
      <c r="BD14" s="158"/>
      <c r="BE14" s="159"/>
      <c r="BF14" s="159"/>
      <c r="BG14" s="159"/>
      <c r="BH14" s="159"/>
      <c r="BI14" s="159"/>
      <c r="BJ14" s="160"/>
    </row>
    <row r="15" spans="1:63" ht="30" customHeight="1">
      <c r="A15" s="158"/>
      <c r="B15" s="159"/>
      <c r="C15" s="160"/>
      <c r="D15" s="161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3"/>
      <c r="R15" s="161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3"/>
      <c r="BD15" s="158"/>
      <c r="BE15" s="159"/>
      <c r="BF15" s="159"/>
      <c r="BG15" s="159"/>
      <c r="BH15" s="159"/>
      <c r="BI15" s="159"/>
      <c r="BJ15" s="160"/>
    </row>
    <row r="16" spans="1:63" ht="30" customHeight="1">
      <c r="A16" s="158"/>
      <c r="B16" s="159"/>
      <c r="C16" s="160"/>
      <c r="D16" s="161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3"/>
      <c r="R16" s="161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3"/>
      <c r="BD16" s="158"/>
      <c r="BE16" s="159"/>
      <c r="BF16" s="159"/>
      <c r="BG16" s="159"/>
      <c r="BH16" s="159"/>
      <c r="BI16" s="159"/>
      <c r="BJ16" s="160"/>
    </row>
    <row r="17" spans="1:62" ht="30" customHeight="1">
      <c r="A17" s="158"/>
      <c r="B17" s="159"/>
      <c r="C17" s="160"/>
      <c r="D17" s="161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3"/>
      <c r="R17" s="161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3"/>
      <c r="BD17" s="158"/>
      <c r="BE17" s="159"/>
      <c r="BF17" s="159"/>
      <c r="BG17" s="159"/>
      <c r="BH17" s="159"/>
      <c r="BI17" s="159"/>
      <c r="BJ17" s="160"/>
    </row>
    <row r="18" spans="1:62" ht="30" customHeight="1">
      <c r="A18" s="158"/>
      <c r="B18" s="159"/>
      <c r="C18" s="160"/>
      <c r="D18" s="161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3"/>
      <c r="R18" s="161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3"/>
      <c r="BD18" s="158"/>
      <c r="BE18" s="159"/>
      <c r="BF18" s="159"/>
      <c r="BG18" s="159"/>
      <c r="BH18" s="159"/>
      <c r="BI18" s="159"/>
      <c r="BJ18" s="160"/>
    </row>
    <row r="19" spans="1:62" ht="30" customHeight="1">
      <c r="A19" s="158"/>
      <c r="B19" s="159"/>
      <c r="C19" s="160"/>
      <c r="D19" s="161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3"/>
      <c r="R19" s="161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3"/>
      <c r="BD19" s="158"/>
      <c r="BE19" s="159"/>
      <c r="BF19" s="159"/>
      <c r="BG19" s="159"/>
      <c r="BH19" s="159"/>
      <c r="BI19" s="159"/>
      <c r="BJ19" s="160"/>
    </row>
    <row r="20" spans="1:62" ht="30" customHeight="1">
      <c r="A20" s="158"/>
      <c r="B20" s="159"/>
      <c r="C20" s="160"/>
      <c r="D20" s="161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3"/>
      <c r="R20" s="161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3"/>
      <c r="BD20" s="158"/>
      <c r="BE20" s="159"/>
      <c r="BF20" s="159"/>
      <c r="BG20" s="159"/>
      <c r="BH20" s="159"/>
      <c r="BI20" s="159"/>
      <c r="BJ20" s="160"/>
    </row>
    <row r="21" spans="1:62" ht="30" customHeight="1">
      <c r="A21" s="158"/>
      <c r="B21" s="159"/>
      <c r="C21" s="160"/>
      <c r="D21" s="161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3"/>
      <c r="R21" s="161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3"/>
      <c r="BD21" s="158"/>
      <c r="BE21" s="159"/>
      <c r="BF21" s="159"/>
      <c r="BG21" s="159"/>
      <c r="BH21" s="159"/>
      <c r="BI21" s="159"/>
      <c r="BJ21" s="160"/>
    </row>
    <row r="22" spans="1:62" ht="30" customHeight="1">
      <c r="A22" s="158"/>
      <c r="B22" s="159"/>
      <c r="C22" s="160"/>
      <c r="D22" s="161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3"/>
      <c r="R22" s="161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3"/>
      <c r="BD22" s="158"/>
      <c r="BE22" s="159"/>
      <c r="BF22" s="159"/>
      <c r="BG22" s="159"/>
      <c r="BH22" s="159"/>
      <c r="BI22" s="159"/>
      <c r="BJ22" s="160"/>
    </row>
    <row r="23" spans="1:62" ht="30" customHeight="1">
      <c r="A23" s="158"/>
      <c r="B23" s="159"/>
      <c r="C23" s="160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3"/>
      <c r="R23" s="161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3"/>
      <c r="BD23" s="158"/>
      <c r="BE23" s="159"/>
      <c r="BF23" s="159"/>
      <c r="BG23" s="159"/>
      <c r="BH23" s="159"/>
      <c r="BI23" s="159"/>
      <c r="BJ23" s="160"/>
    </row>
    <row r="24" spans="1:62" ht="30" customHeight="1">
      <c r="A24" s="158"/>
      <c r="B24" s="159"/>
      <c r="C24" s="160"/>
      <c r="D24" s="161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3"/>
      <c r="R24" s="161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3"/>
      <c r="BD24" s="158"/>
      <c r="BE24" s="159"/>
      <c r="BF24" s="159"/>
      <c r="BG24" s="159"/>
      <c r="BH24" s="159"/>
      <c r="BI24" s="159"/>
      <c r="BJ24" s="160"/>
    </row>
    <row r="25" spans="1:62" ht="30" customHeight="1">
      <c r="A25" s="158"/>
      <c r="B25" s="159"/>
      <c r="C25" s="160"/>
      <c r="D25" s="161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3"/>
      <c r="R25" s="161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3"/>
      <c r="BD25" s="158"/>
      <c r="BE25" s="159"/>
      <c r="BF25" s="159"/>
      <c r="BG25" s="159"/>
      <c r="BH25" s="159"/>
      <c r="BI25" s="159"/>
      <c r="BJ25" s="160"/>
    </row>
    <row r="26" spans="1:62" ht="30" customHeight="1">
      <c r="A26" s="158"/>
      <c r="B26" s="159"/>
      <c r="C26" s="160"/>
      <c r="D26" s="161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3"/>
      <c r="R26" s="161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3"/>
      <c r="BD26" s="158"/>
      <c r="BE26" s="159"/>
      <c r="BF26" s="159"/>
      <c r="BG26" s="159"/>
      <c r="BH26" s="159"/>
      <c r="BI26" s="159"/>
      <c r="BJ26" s="160"/>
    </row>
    <row r="27" spans="1:62" ht="30" customHeight="1">
      <c r="A27" s="158"/>
      <c r="B27" s="159"/>
      <c r="C27" s="160"/>
      <c r="D27" s="161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3"/>
      <c r="R27" s="161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3"/>
      <c r="BD27" s="158"/>
      <c r="BE27" s="159"/>
      <c r="BF27" s="159"/>
      <c r="BG27" s="159"/>
      <c r="BH27" s="159"/>
      <c r="BI27" s="159"/>
      <c r="BJ27" s="160"/>
    </row>
    <row r="28" spans="1:62" ht="30" customHeight="1">
      <c r="A28" s="158"/>
      <c r="B28" s="159"/>
      <c r="C28" s="160"/>
      <c r="D28" s="161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3"/>
      <c r="R28" s="161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3"/>
      <c r="BD28" s="158"/>
      <c r="BE28" s="159"/>
      <c r="BF28" s="159"/>
      <c r="BG28" s="159"/>
      <c r="BH28" s="159"/>
      <c r="BI28" s="159"/>
      <c r="BJ28" s="160"/>
    </row>
    <row r="29" spans="1:62" ht="30" customHeight="1">
      <c r="A29" s="60"/>
      <c r="B29" s="61"/>
      <c r="C29" s="62"/>
      <c r="D29" s="63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5"/>
      <c r="R29" s="63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5"/>
      <c r="BD29" s="60"/>
      <c r="BE29" s="61"/>
      <c r="BF29" s="61"/>
      <c r="BG29" s="61"/>
      <c r="BH29" s="61"/>
      <c r="BI29" s="61"/>
      <c r="BJ29" s="62"/>
    </row>
    <row r="30" spans="1:62" ht="30" customHeight="1">
      <c r="A30" s="60"/>
      <c r="B30" s="61"/>
      <c r="C30" s="62"/>
      <c r="D30" s="63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5"/>
      <c r="R30" s="63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5"/>
      <c r="BD30" s="60"/>
      <c r="BE30" s="61"/>
      <c r="BF30" s="61"/>
      <c r="BG30" s="61"/>
      <c r="BH30" s="61"/>
      <c r="BI30" s="61"/>
      <c r="BJ30" s="62"/>
    </row>
    <row r="31" spans="1:62" ht="30" customHeight="1">
      <c r="A31" s="60"/>
      <c r="B31" s="61"/>
      <c r="C31" s="62"/>
      <c r="D31" s="63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5"/>
      <c r="R31" s="63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5"/>
      <c r="BD31" s="60"/>
      <c r="BE31" s="61"/>
      <c r="BF31" s="61"/>
      <c r="BG31" s="61"/>
      <c r="BH31" s="61"/>
      <c r="BI31" s="61"/>
      <c r="BJ31" s="62"/>
    </row>
    <row r="32" spans="1:62" ht="30" customHeight="1">
      <c r="A32" s="60"/>
      <c r="B32" s="61"/>
      <c r="C32" s="62"/>
      <c r="D32" s="63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5"/>
      <c r="R32" s="63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5"/>
      <c r="BD32" s="60"/>
      <c r="BE32" s="61"/>
      <c r="BF32" s="61"/>
      <c r="BG32" s="61"/>
      <c r="BH32" s="61"/>
      <c r="BI32" s="61"/>
      <c r="BJ32" s="62"/>
    </row>
    <row r="33" spans="1:62" ht="30" customHeight="1">
      <c r="A33" s="60"/>
      <c r="B33" s="61"/>
      <c r="C33" s="62"/>
      <c r="D33" s="63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5"/>
      <c r="R33" s="63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5"/>
      <c r="BD33" s="60"/>
      <c r="BE33" s="61"/>
      <c r="BF33" s="61"/>
      <c r="BG33" s="61"/>
      <c r="BH33" s="61"/>
      <c r="BI33" s="61"/>
      <c r="BJ33" s="62"/>
    </row>
    <row r="34" spans="1:62" ht="30" customHeight="1">
      <c r="A34" s="60"/>
      <c r="B34" s="61"/>
      <c r="C34" s="62"/>
      <c r="D34" s="63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5"/>
      <c r="R34" s="63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5"/>
      <c r="BD34" s="60"/>
      <c r="BE34" s="61"/>
      <c r="BF34" s="61"/>
      <c r="BG34" s="61"/>
      <c r="BH34" s="61"/>
      <c r="BI34" s="61"/>
      <c r="BJ34" s="62"/>
    </row>
    <row r="35" spans="1:62" ht="30" customHeight="1">
      <c r="A35" s="60"/>
      <c r="B35" s="61"/>
      <c r="C35" s="62"/>
      <c r="D35" s="63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5"/>
      <c r="R35" s="63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5"/>
      <c r="BD35" s="60"/>
      <c r="BE35" s="61"/>
      <c r="BF35" s="61"/>
      <c r="BG35" s="61"/>
      <c r="BH35" s="61"/>
      <c r="BI35" s="61"/>
      <c r="BJ35" s="62"/>
    </row>
    <row r="36" spans="1:62" ht="30" customHeight="1">
      <c r="A36" s="60"/>
      <c r="B36" s="61"/>
      <c r="C36" s="62"/>
      <c r="D36" s="6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5"/>
      <c r="R36" s="63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5"/>
      <c r="BD36" s="60"/>
      <c r="BE36" s="61"/>
      <c r="BF36" s="61"/>
      <c r="BG36" s="61"/>
      <c r="BH36" s="61"/>
      <c r="BI36" s="61"/>
      <c r="BJ36" s="62"/>
    </row>
    <row r="37" spans="1:62" ht="30" customHeight="1">
      <c r="A37" s="158"/>
      <c r="B37" s="159"/>
      <c r="C37" s="160"/>
      <c r="D37" s="161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3"/>
      <c r="R37" s="161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3"/>
      <c r="BD37" s="158"/>
      <c r="BE37" s="159"/>
      <c r="BF37" s="159"/>
      <c r="BG37" s="159"/>
      <c r="BH37" s="159"/>
      <c r="BI37" s="159"/>
      <c r="BJ37" s="160"/>
    </row>
    <row r="38" spans="1:62" ht="30" customHeight="1">
      <c r="A38" s="158"/>
      <c r="B38" s="159"/>
      <c r="C38" s="160"/>
      <c r="D38" s="161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3"/>
      <c r="R38" s="161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162"/>
      <c r="BB38" s="162"/>
      <c r="BC38" s="163"/>
      <c r="BD38" s="158"/>
      <c r="BE38" s="159"/>
      <c r="BF38" s="159"/>
      <c r="BG38" s="159"/>
      <c r="BH38" s="159"/>
      <c r="BI38" s="159"/>
      <c r="BJ38" s="160"/>
    </row>
    <row r="39" spans="1:62" ht="30" customHeight="1">
      <c r="A39" s="158"/>
      <c r="B39" s="159"/>
      <c r="C39" s="160"/>
      <c r="D39" s="161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3"/>
      <c r="R39" s="161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3"/>
      <c r="BD39" s="158"/>
      <c r="BE39" s="159"/>
      <c r="BF39" s="159"/>
      <c r="BG39" s="159"/>
      <c r="BH39" s="159"/>
      <c r="BI39" s="159"/>
      <c r="BJ39" s="160"/>
    </row>
    <row r="40" spans="1:62" ht="30" customHeight="1">
      <c r="A40" s="158"/>
      <c r="B40" s="159"/>
      <c r="C40" s="160"/>
      <c r="D40" s="161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3"/>
      <c r="R40" s="161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3"/>
      <c r="BD40" s="158"/>
      <c r="BE40" s="159"/>
      <c r="BF40" s="159"/>
      <c r="BG40" s="159"/>
      <c r="BH40" s="159"/>
      <c r="BI40" s="159"/>
      <c r="BJ40" s="160"/>
    </row>
    <row r="41" spans="1:62" ht="30" customHeight="1">
      <c r="A41" s="167"/>
      <c r="B41" s="168"/>
      <c r="C41" s="169"/>
      <c r="D41" s="170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2"/>
      <c r="R41" s="170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2"/>
      <c r="BD41" s="167"/>
      <c r="BE41" s="168"/>
      <c r="BF41" s="168"/>
      <c r="BG41" s="168"/>
      <c r="BH41" s="168"/>
      <c r="BI41" s="168"/>
      <c r="BJ41" s="169"/>
    </row>
    <row r="42" spans="1:62" s="8" customFormat="1" ht="6" customHeight="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62" ht="21" customHeight="1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17">
    <mergeCell ref="A39:C39"/>
    <mergeCell ref="D39:Q39"/>
    <mergeCell ref="R39:BC39"/>
    <mergeCell ref="BD39:BJ39"/>
    <mergeCell ref="A40:C40"/>
    <mergeCell ref="D40:Q40"/>
    <mergeCell ref="R40:BC40"/>
    <mergeCell ref="BD40:BJ40"/>
    <mergeCell ref="A41:C41"/>
    <mergeCell ref="D41:Q41"/>
    <mergeCell ref="R41:BC41"/>
    <mergeCell ref="BD41:BJ41"/>
    <mergeCell ref="A38:C38"/>
    <mergeCell ref="D38:Q38"/>
    <mergeCell ref="R38:BC38"/>
    <mergeCell ref="BD38:BJ38"/>
    <mergeCell ref="A28:C28"/>
    <mergeCell ref="D28:Q28"/>
    <mergeCell ref="R28:BC28"/>
    <mergeCell ref="BD28:BJ28"/>
    <mergeCell ref="A37:C37"/>
    <mergeCell ref="D37:Q37"/>
    <mergeCell ref="R37:BC37"/>
    <mergeCell ref="BD37:BJ37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BC1A1B-8193-4C9A-95D9-2F00BEEDE184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b9cc7365-e218-4624-aedb-0a55e821af1f"/>
    <ds:schemaRef ds:uri="4a1f72ec-30b8-4383-892a-fcacdd251f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2025-06-26T05:45:42Z</cp:lastPrinted>
  <dcterms:created xsi:type="dcterms:W3CDTF">2001-03-06T02:20:07Z</dcterms:created>
  <dcterms:modified xsi:type="dcterms:W3CDTF">2025-08-26T06:26:21Z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