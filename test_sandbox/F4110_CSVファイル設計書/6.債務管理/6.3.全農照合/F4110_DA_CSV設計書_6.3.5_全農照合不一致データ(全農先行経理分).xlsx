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6.債務管理\6.3.全農照合\"/>
    </mc:Choice>
  </mc:AlternateContent>
  <xr:revisionPtr revIDLastSave="0" documentId="13_ncr:1_{B9F37402-DBBB-4E3A-AB55-838FEF795028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CSVイメージ!$A$1:$BJ$60</definedName>
    <definedName name="_xlnm.Print_Area" localSheetId="1">項目定義書!$A$1:$BJ$68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8" l="1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18" i="28"/>
  <c r="A53" i="31"/>
  <c r="A15" i="31"/>
  <c r="A52" i="31" l="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BF6" i="28"/>
  <c r="A20" i="31" l="1"/>
  <c r="A19" i="31"/>
  <c r="A18" i="31"/>
  <c r="A17" i="31"/>
  <c r="A16" i="31"/>
  <c r="A14" i="31"/>
  <c r="A13" i="31"/>
  <c r="A12" i="31"/>
  <c r="A11" i="31"/>
  <c r="A10" i="3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<sst xmlns="http://schemas.openxmlformats.org/spreadsheetml/2006/main" count="528" uniqueCount="218">
  <si>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</si>
  <si>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</si>
  <si>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</si>
  <si>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</si>
  <si>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</si>
  <si>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</si>
  <si>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</si>
  <si>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</si>
  <si>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</si>
  <si>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</si>
  <si>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</si>
  <si>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</si>
  <si>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</si>
  <si>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</si>
  <si>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</si>
  <si>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</si>
  <si>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</si>
  <si>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</si>
  <si>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</si>
  <si>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</si>
  <si>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</si>
  <si>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</si>
  <si>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</si>
  <si>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</si>
  <si>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</si>
  <si>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</si>
  <si>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</si>
  <si>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</si>
  <si>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</si>
  <si>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</si>
  <si>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</si>
  <si>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</si>
  <si>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数字</t>
    <rPh sb="0" eb="2">
      <t>スウジ</t>
    </rPh>
    <phoneticPr fontId="1"/>
  </si>
  <si>
    <t>照合結果種類</t>
    <rPh sb="0" eb="2">
      <t>ショウゴウ</t>
    </rPh>
    <rPh sb="2" eb="4">
      <t>ケッカ</t>
    </rPh>
    <rPh sb="4" eb="6">
      <t>シュルイ</t>
    </rPh>
    <phoneticPr fontId="12"/>
  </si>
  <si>
    <t>漢字</t>
    <rPh sb="0" eb="2">
      <t>カンジ</t>
    </rPh>
    <phoneticPr fontId="1"/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</si>
  <si>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</si>
  <si>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</si>
  <si>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</si>
  <si>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</si>
  <si>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</si>
  <si>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</si>
  <si>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</si>
  <si>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</si>
  <si>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</si>
  <si>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</si>
  <si>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</si>
  <si>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</si>
  <si>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</si>
  <si>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</si>
  <si>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</si>
  <si>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</si>
  <si>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</si>
  <si>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</si>
  <si>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</si>
  <si>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処理年月</t>
    <rPh sb="0" eb="2">
      <t>ショリ</t>
    </rPh>
    <rPh sb="2" eb="4">
      <t>ネンゲツ</t>
    </rPh>
    <phoneticPr fontId="12"/>
  </si>
  <si>
    <t>処理年月
「yyyyMM」形式</t>
    <rPh sb="0" eb="2">
      <t>ショリ</t>
    </rPh>
    <rPh sb="2" eb="4">
      <t>ネンゲツ</t>
    </rPh>
    <rPh sb="13" eb="15">
      <t>ケイシキ</t>
    </rPh>
    <phoneticPr fontId="12"/>
  </si>
  <si>
    <t>処理旬</t>
    <rPh sb="0" eb="2">
      <t>ショリ</t>
    </rPh>
    <rPh sb="2" eb="3">
      <t>ジュン</t>
    </rPh>
    <phoneticPr fontId="12"/>
  </si>
  <si>
    <t>処理旬
「1」：1旬、「2」：2旬、「3」：3旬</t>
    <rPh sb="0" eb="2">
      <t>ショリ</t>
    </rPh>
    <rPh sb="2" eb="3">
      <t>ジュン</t>
    </rPh>
    <phoneticPr fontId="1"/>
  </si>
  <si>
    <t>連番</t>
    <rPh sb="0" eb="2">
      <t>レンバン</t>
    </rPh>
    <phoneticPr fontId="12"/>
  </si>
  <si>
    <t>処理連番
（処理年月＋処理旬毎の連番）</t>
    <phoneticPr fontId="1"/>
  </si>
  <si>
    <t>不一致区分</t>
    <phoneticPr fontId="12"/>
  </si>
  <si>
    <t>出荷元コード</t>
    <rPh sb="0" eb="2">
      <t>シュッカ</t>
    </rPh>
    <rPh sb="2" eb="3">
      <t>モト</t>
    </rPh>
    <phoneticPr fontId="12"/>
  </si>
  <si>
    <t>出荷元コード</t>
    <phoneticPr fontId="1"/>
  </si>
  <si>
    <t>出荷年月</t>
  </si>
  <si>
    <t>出荷年月
「yyyyMM」形式</t>
    <phoneticPr fontId="1"/>
  </si>
  <si>
    <t>出荷年月日</t>
  </si>
  <si>
    <t>出荷年月日
「yyyyMMdd」形式</t>
    <phoneticPr fontId="1"/>
  </si>
  <si>
    <t>数量</t>
  </si>
  <si>
    <t>数量
3桁区切り編集なし</t>
    <rPh sb="0" eb="1">
      <t>スウリョウ</t>
    </rPh>
    <phoneticPr fontId="1"/>
  </si>
  <si>
    <t>単価</t>
  </si>
  <si>
    <t>単価
3桁区切り編集なし</t>
    <rPh sb="0" eb="2">
      <t>タンカ</t>
    </rPh>
    <phoneticPr fontId="1"/>
  </si>
  <si>
    <t>金額（合計）</t>
  </si>
  <si>
    <t>荷姿・単位</t>
    <phoneticPr fontId="1"/>
  </si>
  <si>
    <t>荷姿・単位</t>
  </si>
  <si>
    <t>指図ＮＯ</t>
  </si>
  <si>
    <t>データ受信日</t>
  </si>
  <si>
    <t>データ受信日
「yyyyMMdd」形式</t>
    <phoneticPr fontId="1"/>
  </si>
  <si>
    <t>実支払年月</t>
  </si>
  <si>
    <t>実支払年月
「yyyyMM」形式</t>
    <phoneticPr fontId="1"/>
  </si>
  <si>
    <t>実支払年月日</t>
  </si>
  <si>
    <t>実支払年月日
「yyyyMMdd」形式</t>
    <phoneticPr fontId="1"/>
  </si>
  <si>
    <t>起票年月</t>
  </si>
  <si>
    <t>起票年月
「yyyyMM」形式</t>
    <phoneticPr fontId="1"/>
  </si>
  <si>
    <t>起票年月日</t>
  </si>
  <si>
    <t>起票年月日
「yyyyMMdd」形式</t>
    <phoneticPr fontId="1"/>
  </si>
  <si>
    <t>請求起算年月</t>
  </si>
  <si>
    <t>請求起算年月
「yyyyMM」形式</t>
    <phoneticPr fontId="1"/>
  </si>
  <si>
    <t>請求起算年月日</t>
  </si>
  <si>
    <t>請求起算年月日
「yyyyMMdd」形式</t>
    <phoneticPr fontId="1"/>
  </si>
  <si>
    <t>請求ＮＯ</t>
  </si>
  <si>
    <t>請求明細ＮＯ</t>
  </si>
  <si>
    <t>グループコード</t>
  </si>
  <si>
    <t>照合区分</t>
  </si>
  <si>
    <t>「ブランク」：初回、「1」赤黒相殺、　「2」：照合、「3」：緩照合、「4」：強制照合、「0」：未照合</t>
    <phoneticPr fontId="1"/>
  </si>
  <si>
    <t>「全農照合不一致データ(全農先行経理分)」</t>
    <rPh sb="12" eb="14">
      <t>ゼンノウ</t>
    </rPh>
    <phoneticPr fontId="1"/>
  </si>
  <si>
    <t>「4」：全農ｱﾝﾏｯﾁ、「7」：全農強制削除、「8」：全農赤黒相殺</t>
    <phoneticPr fontId="1"/>
  </si>
  <si>
    <t>供給消費税
3桁区切り編集なし</t>
    <rPh sb="0" eb="2">
      <t>キョウキュウ</t>
    </rPh>
    <rPh sb="2" eb="5">
      <t>ショウヒゼイ</t>
    </rPh>
    <phoneticPr fontId="1"/>
  </si>
  <si>
    <t>金額</t>
    <phoneticPr fontId="1"/>
  </si>
  <si>
    <t>消費税</t>
    <rPh sb="0" eb="3">
      <t>ショウヒゼイ</t>
    </rPh>
    <phoneticPr fontId="1"/>
  </si>
  <si>
    <t>金額
3桁区切り編集なし</t>
    <rPh sb="0" eb="2">
      <t>キンガク</t>
    </rPh>
    <phoneticPr fontId="1"/>
  </si>
  <si>
    <t>金額 ＋ 消費税
3桁区切り編集なし</t>
    <rPh sb="0" eb="2">
      <t>キンガク</t>
    </rPh>
    <phoneticPr fontId="1"/>
  </si>
  <si>
    <t>部門１コード</t>
    <rPh sb="0" eb="2">
      <t>ブモン</t>
    </rPh>
    <phoneticPr fontId="12"/>
  </si>
  <si>
    <t>部門２コード</t>
    <rPh sb="0" eb="2">
      <t>ブモン</t>
    </rPh>
    <phoneticPr fontId="12"/>
  </si>
  <si>
    <t>１桁部門コード</t>
    <rPh sb="0" eb="1">
      <t>ケタ</t>
    </rPh>
    <rPh sb="1" eb="3">
      <t>ブモン</t>
    </rPh>
    <phoneticPr fontId="1"/>
  </si>
  <si>
    <t>２桁部門コード</t>
    <rPh sb="1" eb="2">
      <t>ケタ</t>
    </rPh>
    <rPh sb="2" eb="4">
      <t>ブモン</t>
    </rPh>
    <phoneticPr fontId="1"/>
  </si>
  <si>
    <t>部門名称</t>
    <rPh sb="0" eb="2">
      <t>ブモン</t>
    </rPh>
    <rPh sb="2" eb="4">
      <t>メイショウ</t>
    </rPh>
    <phoneticPr fontId="12"/>
  </si>
  <si>
    <t>月報</t>
    <rPh sb="0" eb="2">
      <t>ゲッポウ</t>
    </rPh>
    <phoneticPr fontId="12"/>
  </si>
  <si>
    <t>元伝年月</t>
    <rPh sb="0" eb="1">
      <t>モト</t>
    </rPh>
    <rPh sb="1" eb="2">
      <t>デン</t>
    </rPh>
    <rPh sb="2" eb="4">
      <t>ネンゲツ</t>
    </rPh>
    <phoneticPr fontId="12"/>
  </si>
  <si>
    <t>元伝年月日</t>
    <rPh sb="0" eb="1">
      <t>モト</t>
    </rPh>
    <rPh sb="1" eb="2">
      <t>デン</t>
    </rPh>
    <rPh sb="2" eb="5">
      <t>ネンガッピ</t>
    </rPh>
    <phoneticPr fontId="12"/>
  </si>
  <si>
    <t>荷受人コード</t>
  </si>
  <si>
    <t>荷受人コード</t>
    <phoneticPr fontId="12"/>
  </si>
  <si>
    <t>貨車ＮＯ</t>
    <rPh sb="0" eb="2">
      <t>カシャ</t>
    </rPh>
    <phoneticPr fontId="12"/>
  </si>
  <si>
    <t>限月</t>
    <rPh sb="0" eb="2">
      <t>ゲンゲツ</t>
    </rPh>
    <phoneticPr fontId="12"/>
  </si>
  <si>
    <t>受渡条件</t>
  </si>
  <si>
    <t>受渡条件</t>
    <phoneticPr fontId="12"/>
  </si>
  <si>
    <t>品名コード</t>
    <rPh sb="0" eb="2">
      <t>ヒンメイ</t>
    </rPh>
    <phoneticPr fontId="12"/>
  </si>
  <si>
    <t>品名カナ</t>
    <rPh sb="0" eb="2">
      <t>ヒンメイ</t>
    </rPh>
    <phoneticPr fontId="1"/>
  </si>
  <si>
    <t>分送区分</t>
  </si>
  <si>
    <t>分送区分</t>
    <phoneticPr fontId="1"/>
  </si>
  <si>
    <t>出報ＮＯ</t>
  </si>
  <si>
    <t>出報ＮＯ</t>
    <phoneticPr fontId="1"/>
  </si>
  <si>
    <t>出荷元カナ</t>
    <phoneticPr fontId="1"/>
  </si>
  <si>
    <t>容量</t>
    <rPh sb="0" eb="2">
      <t>ヨウリョウ</t>
    </rPh>
    <phoneticPr fontId="1"/>
  </si>
  <si>
    <t>元伝年月
「yyyyMM」形式</t>
    <phoneticPr fontId="1"/>
  </si>
  <si>
    <t>元伝年月日
「yyyyMMdd」形式</t>
    <phoneticPr fontId="1"/>
  </si>
  <si>
    <t>出荷元カナ</t>
    <rPh sb="0" eb="2">
      <t>シュッカ</t>
    </rPh>
    <rPh sb="2" eb="3">
      <t>モト</t>
    </rPh>
    <phoneticPr fontId="1"/>
  </si>
  <si>
    <t>全農照合不一致データ(全農先行経理分)</t>
    <phoneticPr fontId="1"/>
  </si>
  <si>
    <t>202512</t>
    <phoneticPr fontId="1"/>
  </si>
  <si>
    <t>1</t>
    <phoneticPr fontId="1"/>
  </si>
  <si>
    <t>000001</t>
    <phoneticPr fontId="1"/>
  </si>
  <si>
    <t>全農照合不一致データ(全農先行経理分)</t>
  </si>
  <si>
    <t>4</t>
  </si>
  <si>
    <t>4</t>
    <phoneticPr fontId="1"/>
  </si>
  <si>
    <t>1</t>
  </si>
  <si>
    <t>72</t>
  </si>
  <si>
    <t>72</t>
    <phoneticPr fontId="1"/>
  </si>
  <si>
    <t>8</t>
  </si>
  <si>
    <t>8</t>
    <phoneticPr fontId="1"/>
  </si>
  <si>
    <t>米穀</t>
  </si>
  <si>
    <t>米穀</t>
    <phoneticPr fontId="1"/>
  </si>
  <si>
    <t>11</t>
  </si>
  <si>
    <t>11</t>
    <phoneticPr fontId="1"/>
  </si>
  <si>
    <t>202511</t>
  </si>
  <si>
    <t>202511</t>
    <phoneticPr fontId="1"/>
  </si>
  <si>
    <t>20251102</t>
  </si>
  <si>
    <t>20251102</t>
    <phoneticPr fontId="1"/>
  </si>
  <si>
    <t>20251110</t>
  </si>
  <si>
    <t>20251110</t>
    <phoneticPr fontId="1"/>
  </si>
  <si>
    <t>12345678</t>
  </si>
  <si>
    <t>12345678</t>
    <phoneticPr fontId="1"/>
  </si>
  <si>
    <t>0000000001</t>
  </si>
  <si>
    <t>0000000001</t>
    <phoneticPr fontId="1"/>
  </si>
  <si>
    <t>04</t>
  </si>
  <si>
    <t>2</t>
  </si>
  <si>
    <t>ﾌﾞﾂﾘﾕｳﾀｲｻｸﾋ    (BJ )</t>
  </si>
  <si>
    <t>877150</t>
  </si>
  <si>
    <t>100</t>
    <phoneticPr fontId="1"/>
  </si>
  <si>
    <t>1,000</t>
    <phoneticPr fontId="1"/>
  </si>
  <si>
    <t>100,000</t>
    <phoneticPr fontId="1"/>
  </si>
  <si>
    <t>10,000</t>
    <phoneticPr fontId="1"/>
  </si>
  <si>
    <t>110,000</t>
    <phoneticPr fontId="1"/>
  </si>
  <si>
    <t>1234567</t>
    <phoneticPr fontId="1"/>
  </si>
  <si>
    <t>9221</t>
  </si>
  <si>
    <t>13664004</t>
    <phoneticPr fontId="1"/>
  </si>
  <si>
    <t>ｵﾉﾀﾞｶｶﾞｸｺｳｷﾞｮｳ(ｶﾌﾞ)</t>
  </si>
  <si>
    <t>ｵﾉﾀﾞｶｶﾞｸｺｳｷﾞｮｳ(ｶﾌﾞ)</t>
    <phoneticPr fontId="1"/>
  </si>
  <si>
    <t>BJ</t>
  </si>
  <si>
    <t>BJ</t>
    <phoneticPr fontId="1"/>
  </si>
  <si>
    <t>20251201</t>
    <phoneticPr fontId="1"/>
  </si>
  <si>
    <t>20251210</t>
    <phoneticPr fontId="1"/>
  </si>
  <si>
    <t>20251101</t>
    <phoneticPr fontId="1"/>
  </si>
  <si>
    <t>1234</t>
    <phoneticPr fontId="1"/>
  </si>
  <si>
    <t>123</t>
    <phoneticPr fontId="1"/>
  </si>
  <si>
    <t>01</t>
    <phoneticPr fontId="1"/>
  </si>
  <si>
    <t>2</t>
    <phoneticPr fontId="1"/>
  </si>
  <si>
    <t>不一致区分</t>
  </si>
  <si>
    <t>202512</t>
  </si>
  <si>
    <t>000001</t>
  </si>
  <si>
    <t>13664004</t>
  </si>
  <si>
    <t>20251210</t>
  </si>
  <si>
    <t>01</t>
  </si>
  <si>
    <t>100</t>
  </si>
  <si>
    <t>1,000</t>
  </si>
  <si>
    <t>100,000</t>
  </si>
  <si>
    <t>10,000</t>
  </si>
  <si>
    <t>110,000</t>
  </si>
  <si>
    <t>1234567</t>
  </si>
  <si>
    <t>20251201</t>
  </si>
  <si>
    <t>20251101</t>
  </si>
  <si>
    <t>1234</t>
  </si>
  <si>
    <t>123</t>
  </si>
  <si>
    <t>hhh_全農照合不一致データ(全農先行経理分)("ユーザーID")_yyyyMMdd_HHmmss.csv</t>
    <rPh sb="4" eb="6">
      <t>ゼンノウ</t>
    </rPh>
    <rPh sb="6" eb="8">
      <t>ショウゴウ</t>
    </rPh>
    <rPh sb="8" eb="11">
      <t>フイッチ</t>
    </rPh>
    <rPh sb="15" eb="17">
      <t>ゼンノウ</t>
    </rPh>
    <rPh sb="17" eb="19">
      <t>センコウ</t>
    </rPh>
    <rPh sb="19" eb="21">
      <t>ケイリ</t>
    </rPh>
    <rPh sb="21" eb="22">
      <t>ブン</t>
    </rPh>
    <phoneticPr fontId="1"/>
  </si>
  <si>
    <t>金額</t>
  </si>
  <si>
    <t>出荷元カナ</t>
  </si>
  <si>
    <t>照合エラー内容</t>
    <phoneticPr fontId="1"/>
  </si>
  <si>
    <t>不一致区分の名称</t>
  </si>
  <si>
    <t>照合区分名称</t>
    <rPh sb="4" eb="6">
      <t>メイショウ</t>
    </rPh>
    <phoneticPr fontId="1"/>
  </si>
  <si>
    <t>照合区分の名称</t>
    <rPh sb="5" eb="7">
      <t>メイショウ</t>
    </rPh>
    <phoneticPr fontId="1"/>
  </si>
  <si>
    <t>照合エラー内容</t>
  </si>
  <si>
    <t>全農ｱﾝﾏｯﾁ</t>
  </si>
  <si>
    <t>照合</t>
    <rPh sb="0" eb="1">
      <t>ショウゴウ</t>
    </rPh>
    <phoneticPr fontId="1"/>
  </si>
  <si>
    <t>照合エラー内容</t>
    <rPh sb="0" eb="2">
      <t>ショウゴウ</t>
    </rPh>
    <rPh sb="5" eb="7">
      <t>ナイヨウ</t>
    </rPh>
    <phoneticPr fontId="12"/>
  </si>
  <si>
    <t>全農ｱﾝﾏｯﾁ</t>
    <phoneticPr fontId="1"/>
  </si>
  <si>
    <t>照合</t>
    <rPh sb="0" eb="2">
      <t>ショウゴウ</t>
    </rPh>
    <phoneticPr fontId="1"/>
  </si>
  <si>
    <t>文字コード</t>
    <rPh sb="0" eb="2">
      <t>モジ</t>
    </rPh>
    <phoneticPr fontId="1"/>
  </si>
  <si>
    <t>関連チェック概要</t>
    <phoneticPr fontId="1"/>
  </si>
  <si>
    <t>D06030505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</si>
  <si>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</si>
  <si>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</si>
  <si>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</si>
  <si>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処理年月</t>
    <phoneticPr fontId="1"/>
  </si>
  <si>
    <t>昇順</t>
  </si>
  <si>
    <t>2025/08/29</t>
    <phoneticPr fontId="1"/>
  </si>
  <si>
    <t>統合会計システム</t>
    <phoneticPr fontId="1"/>
  </si>
  <si>
    <t>Shift jis</t>
  </si>
  <si>
    <t>F4110-1D</t>
    <phoneticPr fontId="1"/>
  </si>
  <si>
    <t>24058</t>
    <phoneticPr fontId="1"/>
  </si>
  <si>
    <t>基幹システム再構築　会計システム外部設計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</si>
</sst>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</cellStyleXfs>
  <cellXfs count="13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1" xfId="1" applyNumberFormat="1" applyFont="1" applyBorder="1"/>
    <xf numFmtId="49" fontId="2" fillId="0" borderId="2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2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</cellXfs>
  <cellStyles count="5">
    <cellStyle name="通貨 2" xfId="4" xr:uid="{B1ADF78C-1D3C-454B-83AB-42FF71386853}"/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80BE9928-66A2-419B-B066-418E6E90D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7773437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213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44" t="s">
        <v>212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6" customFormat="1" ht="9" customHeight="1"/>
    <row r="6" spans="1:62" s="20" customFormat="1" ht="15.75" customHeight="1">
      <c r="A6" s="47" t="s">
        <v>9</v>
      </c>
      <c r="B6" s="48"/>
      <c r="C6" s="48"/>
      <c r="D6" s="48"/>
      <c r="E6" s="48"/>
      <c r="F6" s="48"/>
      <c r="G6" s="4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216</v>
      </c>
      <c r="C8" s="15"/>
      <c r="D8" s="15"/>
      <c r="E8" s="15"/>
      <c r="F8" s="15"/>
      <c r="G8" s="15"/>
      <c r="H8" s="22"/>
      <c r="I8" s="20" t="s">
        <v>217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6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11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215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213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44" t="s">
        <v>212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2" customFormat="1" ht="6" customHeight="1"/>
    <row r="6" spans="1:62" s="14" customFormat="1" ht="20.25" customHeight="1">
      <c r="A6" s="91" t="s">
        <v>12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206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3"/>
      <c r="AB6" s="91" t="s">
        <v>13</v>
      </c>
      <c r="AC6" s="92"/>
      <c r="AD6" s="92"/>
      <c r="AE6" s="92"/>
      <c r="AF6" s="92"/>
      <c r="AG6" s="92"/>
      <c r="AH6" s="92"/>
      <c r="AI6" s="92"/>
      <c r="AJ6" s="93"/>
      <c r="AK6" s="91" t="s">
        <v>38</v>
      </c>
      <c r="AL6" s="92"/>
      <c r="AM6" s="92"/>
      <c r="AN6" s="93"/>
      <c r="AO6" s="91" t="s">
        <v>15</v>
      </c>
      <c r="AP6" s="92"/>
      <c r="AQ6" s="92"/>
      <c r="AR6" s="92"/>
      <c r="AS6" s="92"/>
      <c r="AT6" s="92"/>
      <c r="AU6" s="92"/>
      <c r="AV6" s="92"/>
      <c r="AW6" s="93"/>
      <c r="AX6" s="91" t="s">
        <v>14</v>
      </c>
      <c r="AY6" s="92"/>
      <c r="AZ6" s="92"/>
      <c r="BA6" s="93"/>
      <c r="BB6" s="81" t="s">
        <v>16</v>
      </c>
      <c r="BC6" s="81"/>
      <c r="BD6" s="81"/>
      <c r="BE6" s="81"/>
      <c r="BF6" s="81">
        <f>COUNTA(D18:D440)</f>
        <v>44</v>
      </c>
      <c r="BG6" s="81"/>
      <c r="BH6" s="81"/>
      <c r="BI6" s="81"/>
      <c r="BJ6" s="81"/>
    </row>
    <row r="7" spans="1:62" s="14" customFormat="1" ht="20.25" customHeight="1">
      <c r="A7" s="91" t="s">
        <v>17</v>
      </c>
      <c r="B7" s="92"/>
      <c r="C7" s="92"/>
      <c r="D7" s="92"/>
      <c r="E7" s="92"/>
      <c r="F7" s="92"/>
      <c r="G7" s="92"/>
      <c r="H7" s="92"/>
      <c r="I7" s="92"/>
      <c r="J7" s="92"/>
      <c r="K7" s="93"/>
      <c r="L7" s="91" t="s">
        <v>126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3"/>
      <c r="AK7" s="91" t="s">
        <v>204</v>
      </c>
      <c r="AL7" s="92"/>
      <c r="AM7" s="92"/>
      <c r="AN7" s="92"/>
      <c r="AO7" s="92"/>
      <c r="AP7" s="92"/>
      <c r="AQ7" s="92"/>
      <c r="AR7" s="93"/>
      <c r="AS7" s="91" t="s">
        <v>214</v>
      </c>
      <c r="AT7" s="92"/>
      <c r="AU7" s="92"/>
      <c r="AV7" s="92"/>
      <c r="AW7" s="92"/>
      <c r="AX7" s="93"/>
      <c r="AY7" s="33" t="s">
        <v>18</v>
      </c>
      <c r="AZ7" s="34"/>
      <c r="BA7" s="34"/>
      <c r="BB7" s="34"/>
      <c r="BC7" s="91" t="s">
        <v>19</v>
      </c>
      <c r="BD7" s="93"/>
      <c r="BE7" s="91" t="s">
        <v>20</v>
      </c>
      <c r="BF7" s="92"/>
      <c r="BG7" s="92"/>
      <c r="BH7" s="93"/>
      <c r="BI7" s="91"/>
      <c r="BJ7" s="93"/>
    </row>
    <row r="8" spans="1:62" s="14" customFormat="1" ht="1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BC8" s="39"/>
      <c r="BD8" s="39"/>
      <c r="BE8" s="39"/>
      <c r="BF8" s="39"/>
      <c r="BG8" s="39"/>
      <c r="BH8" s="39"/>
      <c r="BI8" s="39"/>
      <c r="BJ8" s="39"/>
    </row>
    <row r="9" spans="1:62" s="14" customFormat="1" ht="20.25" customHeight="1">
      <c r="A9" s="40" t="s">
        <v>207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BC9" s="39"/>
      <c r="BD9" s="39"/>
      <c r="BE9" s="39"/>
      <c r="BF9" s="39"/>
      <c r="BG9" s="39"/>
      <c r="BH9" s="39"/>
      <c r="BI9" s="39"/>
      <c r="BJ9" s="39"/>
    </row>
    <row r="10" spans="1:62" s="14" customFormat="1" ht="20.25" customHeight="1">
      <c r="A10" s="81" t="s">
        <v>22</v>
      </c>
      <c r="B10" s="81"/>
      <c r="C10" s="81"/>
      <c r="D10" s="82" t="s">
        <v>208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1" t="s">
        <v>209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</row>
    <row r="11" spans="1:62" s="14" customFormat="1" ht="20.25" customHeight="1">
      <c r="A11" s="83">
        <v>1</v>
      </c>
      <c r="B11" s="83"/>
      <c r="C11" s="83"/>
      <c r="D11" s="84" t="s">
        <v>210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3" t="s">
        <v>211</v>
      </c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</row>
    <row r="12" spans="1:62" s="14" customFormat="1" ht="20.25" customHeight="1">
      <c r="A12" s="85"/>
      <c r="B12" s="85"/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7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9"/>
    </row>
    <row r="13" spans="1:62" s="14" customFormat="1" ht="20.25" customHeight="1">
      <c r="A13" s="68"/>
      <c r="B13" s="68"/>
      <c r="C13" s="68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2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4"/>
    </row>
    <row r="14" spans="1:62" s="14" customFormat="1" ht="20.25" customHeight="1">
      <c r="A14" s="76"/>
      <c r="B14" s="76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8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80"/>
    </row>
    <row r="15" spans="1:62" s="14" customFormat="1" ht="13.9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BC15" s="39"/>
      <c r="BD15" s="39"/>
      <c r="BE15" s="39"/>
      <c r="BF15" s="39"/>
      <c r="BG15" s="39"/>
      <c r="BH15" s="39"/>
      <c r="BI15" s="39"/>
      <c r="BJ15" s="39"/>
    </row>
    <row r="16" spans="1:62" s="4" customFormat="1">
      <c r="B16" s="29" t="s">
        <v>21</v>
      </c>
      <c r="G16" s="5"/>
    </row>
    <row r="17" spans="1:62" s="14" customFormat="1" ht="42" customHeight="1">
      <c r="A17" s="91" t="s">
        <v>22</v>
      </c>
      <c r="B17" s="92"/>
      <c r="C17" s="93"/>
      <c r="D17" s="91" t="s">
        <v>23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3"/>
      <c r="U17" s="102" t="s">
        <v>24</v>
      </c>
      <c r="V17" s="103"/>
      <c r="W17" s="103"/>
      <c r="X17" s="103"/>
      <c r="Y17" s="104"/>
      <c r="Z17" s="102" t="s">
        <v>25</v>
      </c>
      <c r="AA17" s="103"/>
      <c r="AB17" s="104"/>
      <c r="AC17" s="102" t="s">
        <v>26</v>
      </c>
      <c r="AD17" s="103"/>
      <c r="AE17" s="104"/>
      <c r="AF17" s="102" t="s">
        <v>27</v>
      </c>
      <c r="AG17" s="103"/>
      <c r="AH17" s="104"/>
      <c r="AI17" s="102" t="s">
        <v>28</v>
      </c>
      <c r="AJ17" s="103"/>
      <c r="AK17" s="104"/>
      <c r="AL17" s="102" t="s">
        <v>29</v>
      </c>
      <c r="AM17" s="103"/>
      <c r="AN17" s="104"/>
      <c r="AO17" s="102" t="s">
        <v>30</v>
      </c>
      <c r="AP17" s="103"/>
      <c r="AQ17" s="104"/>
      <c r="AR17" s="91" t="s">
        <v>31</v>
      </c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3"/>
    </row>
    <row r="18" spans="1:62" s="13" customFormat="1" ht="33" customHeight="1">
      <c r="A18" s="68">
        <f>ROW()-17</f>
        <v>1</v>
      </c>
      <c r="B18" s="68"/>
      <c r="C18" s="68"/>
      <c r="D18" s="69" t="s">
        <v>54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1"/>
      <c r="U18" s="72" t="s">
        <v>32</v>
      </c>
      <c r="V18" s="73"/>
      <c r="W18" s="73"/>
      <c r="X18" s="73"/>
      <c r="Y18" s="74"/>
      <c r="Z18" s="72">
        <v>6</v>
      </c>
      <c r="AA18" s="73"/>
      <c r="AB18" s="74"/>
      <c r="AC18" s="72"/>
      <c r="AD18" s="73"/>
      <c r="AE18" s="74"/>
      <c r="AF18" s="72"/>
      <c r="AG18" s="73"/>
      <c r="AH18" s="74"/>
      <c r="AI18" s="72"/>
      <c r="AJ18" s="73"/>
      <c r="AK18" s="74"/>
      <c r="AL18" s="72"/>
      <c r="AM18" s="73"/>
      <c r="AN18" s="74"/>
      <c r="AO18" s="72"/>
      <c r="AP18" s="73"/>
      <c r="AQ18" s="74"/>
      <c r="AR18" s="90" t="s">
        <v>55</v>
      </c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7"/>
    </row>
    <row r="19" spans="1:62" s="13" customFormat="1" ht="33" customHeight="1">
      <c r="A19" s="68">
        <f t="shared" ref="A19:A61" si="0">ROW()-17</f>
        <v>2</v>
      </c>
      <c r="B19" s="68"/>
      <c r="C19" s="68"/>
      <c r="D19" s="69" t="s">
        <v>56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1"/>
      <c r="U19" s="72" t="s">
        <v>32</v>
      </c>
      <c r="V19" s="73"/>
      <c r="W19" s="73"/>
      <c r="X19" s="73"/>
      <c r="Y19" s="74"/>
      <c r="Z19" s="72">
        <v>1</v>
      </c>
      <c r="AA19" s="73"/>
      <c r="AB19" s="74"/>
      <c r="AC19" s="72"/>
      <c r="AD19" s="73"/>
      <c r="AE19" s="74"/>
      <c r="AF19" s="72"/>
      <c r="AG19" s="73"/>
      <c r="AH19" s="74"/>
      <c r="AI19" s="72"/>
      <c r="AJ19" s="73"/>
      <c r="AK19" s="74"/>
      <c r="AL19" s="72"/>
      <c r="AM19" s="73"/>
      <c r="AN19" s="74"/>
      <c r="AO19" s="72"/>
      <c r="AP19" s="73"/>
      <c r="AQ19" s="74"/>
      <c r="AR19" s="90" t="s">
        <v>57</v>
      </c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7"/>
    </row>
    <row r="20" spans="1:62" s="13" customFormat="1" ht="33" customHeight="1">
      <c r="A20" s="68">
        <f t="shared" si="0"/>
        <v>3</v>
      </c>
      <c r="B20" s="68"/>
      <c r="C20" s="68"/>
      <c r="D20" s="69" t="s">
        <v>58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1"/>
      <c r="U20" s="72" t="s">
        <v>32</v>
      </c>
      <c r="V20" s="73"/>
      <c r="W20" s="73"/>
      <c r="X20" s="73"/>
      <c r="Y20" s="74"/>
      <c r="Z20" s="72">
        <v>6</v>
      </c>
      <c r="AA20" s="73"/>
      <c r="AB20" s="74"/>
      <c r="AC20" s="72"/>
      <c r="AD20" s="73"/>
      <c r="AE20" s="74"/>
      <c r="AF20" s="72"/>
      <c r="AG20" s="73"/>
      <c r="AH20" s="74"/>
      <c r="AI20" s="72"/>
      <c r="AJ20" s="73"/>
      <c r="AK20" s="74"/>
      <c r="AL20" s="72"/>
      <c r="AM20" s="73"/>
      <c r="AN20" s="74"/>
      <c r="AO20" s="72"/>
      <c r="AP20" s="73"/>
      <c r="AQ20" s="74"/>
      <c r="AR20" s="90" t="s">
        <v>59</v>
      </c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/>
    </row>
    <row r="21" spans="1:62" s="13" customFormat="1" ht="33" customHeight="1">
      <c r="A21" s="68">
        <f t="shared" si="0"/>
        <v>4</v>
      </c>
      <c r="B21" s="68"/>
      <c r="C21" s="68"/>
      <c r="D21" s="69" t="s">
        <v>33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1"/>
      <c r="U21" s="72" t="s">
        <v>34</v>
      </c>
      <c r="V21" s="73"/>
      <c r="W21" s="73"/>
      <c r="X21" s="73"/>
      <c r="Y21" s="74"/>
      <c r="Z21" s="72">
        <v>30</v>
      </c>
      <c r="AA21" s="73"/>
      <c r="AB21" s="74"/>
      <c r="AC21" s="72"/>
      <c r="AD21" s="73"/>
      <c r="AE21" s="74"/>
      <c r="AF21" s="72"/>
      <c r="AG21" s="73"/>
      <c r="AH21" s="74"/>
      <c r="AI21" s="72"/>
      <c r="AJ21" s="73"/>
      <c r="AK21" s="74"/>
      <c r="AL21" s="72"/>
      <c r="AM21" s="73"/>
      <c r="AN21" s="74"/>
      <c r="AO21" s="72"/>
      <c r="AP21" s="73"/>
      <c r="AQ21" s="74"/>
      <c r="AR21" s="65" t="s">
        <v>94</v>
      </c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/>
    </row>
    <row r="22" spans="1:62" s="13" customFormat="1" ht="46.2" customHeight="1">
      <c r="A22" s="68">
        <f t="shared" si="0"/>
        <v>5</v>
      </c>
      <c r="B22" s="68"/>
      <c r="C22" s="68"/>
      <c r="D22" s="69" t="s">
        <v>60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1"/>
      <c r="U22" s="72" t="s">
        <v>32</v>
      </c>
      <c r="V22" s="73"/>
      <c r="W22" s="73"/>
      <c r="X22" s="73"/>
      <c r="Y22" s="74"/>
      <c r="Z22" s="72">
        <v>1</v>
      </c>
      <c r="AA22" s="73"/>
      <c r="AB22" s="74"/>
      <c r="AC22" s="72"/>
      <c r="AD22" s="73"/>
      <c r="AE22" s="74"/>
      <c r="AF22" s="72"/>
      <c r="AG22" s="73"/>
      <c r="AH22" s="74"/>
      <c r="AI22" s="72"/>
      <c r="AJ22" s="73"/>
      <c r="AK22" s="74"/>
      <c r="AL22" s="72"/>
      <c r="AM22" s="73"/>
      <c r="AN22" s="74"/>
      <c r="AO22" s="72"/>
      <c r="AP22" s="73"/>
      <c r="AQ22" s="74"/>
      <c r="AR22" s="90" t="s">
        <v>95</v>
      </c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7"/>
    </row>
    <row r="23" spans="1:62" s="13" customFormat="1" ht="46.2" customHeight="1">
      <c r="A23" s="68">
        <f t="shared" si="0"/>
        <v>6</v>
      </c>
      <c r="B23" s="68"/>
      <c r="C23" s="68"/>
      <c r="D23" s="69" t="s">
        <v>194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1"/>
      <c r="U23" s="72" t="s">
        <v>34</v>
      </c>
      <c r="V23" s="73"/>
      <c r="W23" s="73"/>
      <c r="X23" s="73"/>
      <c r="Y23" s="74"/>
      <c r="Z23" s="72">
        <v>10</v>
      </c>
      <c r="AA23" s="73"/>
      <c r="AB23" s="74"/>
      <c r="AC23" s="72"/>
      <c r="AD23" s="73"/>
      <c r="AE23" s="74"/>
      <c r="AF23" s="72"/>
      <c r="AG23" s="73"/>
      <c r="AH23" s="74"/>
      <c r="AI23" s="72"/>
      <c r="AJ23" s="73"/>
      <c r="AK23" s="74"/>
      <c r="AL23" s="72"/>
      <c r="AM23" s="73"/>
      <c r="AN23" s="74"/>
      <c r="AO23" s="72"/>
      <c r="AP23" s="73"/>
      <c r="AQ23" s="74"/>
      <c r="AR23" s="65" t="s">
        <v>195</v>
      </c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/>
    </row>
    <row r="24" spans="1:62" s="13" customFormat="1" ht="33" customHeight="1">
      <c r="A24" s="68">
        <f t="shared" si="0"/>
        <v>7</v>
      </c>
      <c r="B24" s="68"/>
      <c r="C24" s="68"/>
      <c r="D24" s="69" t="s">
        <v>101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  <c r="U24" s="72" t="s">
        <v>35</v>
      </c>
      <c r="V24" s="73"/>
      <c r="W24" s="73"/>
      <c r="X24" s="73"/>
      <c r="Y24" s="74"/>
      <c r="Z24" s="72">
        <v>1</v>
      </c>
      <c r="AA24" s="73"/>
      <c r="AB24" s="74"/>
      <c r="AC24" s="72"/>
      <c r="AD24" s="73"/>
      <c r="AE24" s="74"/>
      <c r="AF24" s="72"/>
      <c r="AG24" s="73"/>
      <c r="AH24" s="74"/>
      <c r="AI24" s="72"/>
      <c r="AJ24" s="73"/>
      <c r="AK24" s="74"/>
      <c r="AL24" s="72"/>
      <c r="AM24" s="73"/>
      <c r="AN24" s="74"/>
      <c r="AO24" s="72"/>
      <c r="AP24" s="73"/>
      <c r="AQ24" s="74"/>
      <c r="AR24" s="90" t="s">
        <v>103</v>
      </c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/>
    </row>
    <row r="25" spans="1:62" s="13" customFormat="1" ht="33" customHeight="1">
      <c r="A25" s="68">
        <f t="shared" si="0"/>
        <v>8</v>
      </c>
      <c r="B25" s="68"/>
      <c r="C25" s="68"/>
      <c r="D25" s="69" t="s">
        <v>102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  <c r="U25" s="72" t="s">
        <v>35</v>
      </c>
      <c r="V25" s="73"/>
      <c r="W25" s="73"/>
      <c r="X25" s="73"/>
      <c r="Y25" s="74"/>
      <c r="Z25" s="72">
        <v>2</v>
      </c>
      <c r="AA25" s="73"/>
      <c r="AB25" s="74"/>
      <c r="AC25" s="72"/>
      <c r="AD25" s="73"/>
      <c r="AE25" s="74"/>
      <c r="AF25" s="72"/>
      <c r="AG25" s="73"/>
      <c r="AH25" s="74"/>
      <c r="AI25" s="72"/>
      <c r="AJ25" s="73"/>
      <c r="AK25" s="74"/>
      <c r="AL25" s="72"/>
      <c r="AM25" s="73"/>
      <c r="AN25" s="74"/>
      <c r="AO25" s="72"/>
      <c r="AP25" s="73"/>
      <c r="AQ25" s="74"/>
      <c r="AR25" s="90" t="s">
        <v>104</v>
      </c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7"/>
    </row>
    <row r="26" spans="1:62" s="13" customFormat="1" ht="33" customHeight="1">
      <c r="A26" s="68">
        <f t="shared" si="0"/>
        <v>9</v>
      </c>
      <c r="B26" s="68"/>
      <c r="C26" s="68"/>
      <c r="D26" s="69" t="s">
        <v>105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1"/>
      <c r="U26" s="72" t="s">
        <v>34</v>
      </c>
      <c r="V26" s="73"/>
      <c r="W26" s="73"/>
      <c r="X26" s="73"/>
      <c r="Y26" s="74"/>
      <c r="Z26" s="72">
        <v>10</v>
      </c>
      <c r="AA26" s="73"/>
      <c r="AB26" s="74"/>
      <c r="AC26" s="72"/>
      <c r="AD26" s="73"/>
      <c r="AE26" s="74"/>
      <c r="AF26" s="72"/>
      <c r="AG26" s="73"/>
      <c r="AH26" s="74"/>
      <c r="AI26" s="72"/>
      <c r="AJ26" s="73"/>
      <c r="AK26" s="74"/>
      <c r="AL26" s="72"/>
      <c r="AM26" s="73"/>
      <c r="AN26" s="74"/>
      <c r="AO26" s="72"/>
      <c r="AP26" s="73"/>
      <c r="AQ26" s="74"/>
      <c r="AR26" s="65" t="s">
        <v>105</v>
      </c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7"/>
    </row>
    <row r="27" spans="1:62" s="13" customFormat="1" ht="33" customHeight="1">
      <c r="A27" s="68">
        <f t="shared" si="0"/>
        <v>10</v>
      </c>
      <c r="B27" s="68"/>
      <c r="C27" s="68"/>
      <c r="D27" s="69" t="s">
        <v>106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1"/>
      <c r="U27" s="72" t="s">
        <v>35</v>
      </c>
      <c r="V27" s="73"/>
      <c r="W27" s="73"/>
      <c r="X27" s="73"/>
      <c r="Y27" s="74"/>
      <c r="Z27" s="72">
        <v>2</v>
      </c>
      <c r="AA27" s="73"/>
      <c r="AB27" s="74"/>
      <c r="AC27" s="72"/>
      <c r="AD27" s="73"/>
      <c r="AE27" s="74"/>
      <c r="AF27" s="72"/>
      <c r="AG27" s="73"/>
      <c r="AH27" s="74"/>
      <c r="AI27" s="72"/>
      <c r="AJ27" s="73"/>
      <c r="AK27" s="74"/>
      <c r="AL27" s="72"/>
      <c r="AM27" s="73"/>
      <c r="AN27" s="74"/>
      <c r="AO27" s="72"/>
      <c r="AP27" s="73"/>
      <c r="AQ27" s="74"/>
      <c r="AR27" s="90" t="s">
        <v>106</v>
      </c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7"/>
    </row>
    <row r="28" spans="1:62" s="13" customFormat="1" ht="33" customHeight="1">
      <c r="A28" s="68">
        <f t="shared" si="0"/>
        <v>11</v>
      </c>
      <c r="B28" s="68"/>
      <c r="C28" s="68"/>
      <c r="D28" s="69" t="s">
        <v>107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1"/>
      <c r="U28" s="72" t="s">
        <v>32</v>
      </c>
      <c r="V28" s="73"/>
      <c r="W28" s="73"/>
      <c r="X28" s="73"/>
      <c r="Y28" s="74"/>
      <c r="Z28" s="72">
        <v>6</v>
      </c>
      <c r="AA28" s="73"/>
      <c r="AB28" s="74"/>
      <c r="AC28" s="72"/>
      <c r="AD28" s="73"/>
      <c r="AE28" s="74"/>
      <c r="AF28" s="72"/>
      <c r="AG28" s="73"/>
      <c r="AH28" s="74"/>
      <c r="AI28" s="72"/>
      <c r="AJ28" s="73"/>
      <c r="AK28" s="74"/>
      <c r="AL28" s="72"/>
      <c r="AM28" s="73"/>
      <c r="AN28" s="74"/>
      <c r="AO28" s="72"/>
      <c r="AP28" s="73"/>
      <c r="AQ28" s="74"/>
      <c r="AR28" s="90" t="s">
        <v>123</v>
      </c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5"/>
    </row>
    <row r="29" spans="1:62" s="13" customFormat="1" ht="33" customHeight="1">
      <c r="A29" s="68">
        <f t="shared" si="0"/>
        <v>12</v>
      </c>
      <c r="B29" s="68"/>
      <c r="C29" s="68"/>
      <c r="D29" s="69" t="s">
        <v>108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1"/>
      <c r="U29" s="72" t="s">
        <v>32</v>
      </c>
      <c r="V29" s="73"/>
      <c r="W29" s="73"/>
      <c r="X29" s="73"/>
      <c r="Y29" s="74"/>
      <c r="Z29" s="72">
        <v>8</v>
      </c>
      <c r="AA29" s="73"/>
      <c r="AB29" s="74"/>
      <c r="AC29" s="72"/>
      <c r="AD29" s="73"/>
      <c r="AE29" s="74"/>
      <c r="AF29" s="72"/>
      <c r="AG29" s="73"/>
      <c r="AH29" s="74"/>
      <c r="AI29" s="72"/>
      <c r="AJ29" s="73"/>
      <c r="AK29" s="74"/>
      <c r="AL29" s="72"/>
      <c r="AM29" s="73"/>
      <c r="AN29" s="74"/>
      <c r="AO29" s="72"/>
      <c r="AP29" s="73"/>
      <c r="AQ29" s="74"/>
      <c r="AR29" s="90" t="s">
        <v>124</v>
      </c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5"/>
    </row>
    <row r="30" spans="1:62" s="13" customFormat="1" ht="33" customHeight="1">
      <c r="A30" s="68">
        <f t="shared" si="0"/>
        <v>13</v>
      </c>
      <c r="B30" s="68"/>
      <c r="C30" s="68"/>
      <c r="D30" s="69" t="s">
        <v>110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1"/>
      <c r="U30" s="72" t="s">
        <v>35</v>
      </c>
      <c r="V30" s="73"/>
      <c r="W30" s="73"/>
      <c r="X30" s="73"/>
      <c r="Y30" s="74"/>
      <c r="Z30" s="72">
        <v>8</v>
      </c>
      <c r="AA30" s="73"/>
      <c r="AB30" s="74"/>
      <c r="AC30" s="72"/>
      <c r="AD30" s="73"/>
      <c r="AE30" s="74"/>
      <c r="AF30" s="72"/>
      <c r="AG30" s="73"/>
      <c r="AH30" s="74"/>
      <c r="AI30" s="72"/>
      <c r="AJ30" s="73"/>
      <c r="AK30" s="74"/>
      <c r="AL30" s="72"/>
      <c r="AM30" s="73"/>
      <c r="AN30" s="74"/>
      <c r="AO30" s="72"/>
      <c r="AP30" s="73"/>
      <c r="AQ30" s="74"/>
      <c r="AR30" s="90" t="s">
        <v>109</v>
      </c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7"/>
    </row>
    <row r="31" spans="1:62" s="13" customFormat="1" ht="33" customHeight="1">
      <c r="A31" s="68">
        <f t="shared" si="0"/>
        <v>14</v>
      </c>
      <c r="B31" s="68"/>
      <c r="C31" s="68"/>
      <c r="D31" s="69" t="s">
        <v>111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1"/>
      <c r="U31" s="72" t="s">
        <v>35</v>
      </c>
      <c r="V31" s="73"/>
      <c r="W31" s="73"/>
      <c r="X31" s="73"/>
      <c r="Y31" s="74"/>
      <c r="Z31" s="72">
        <v>10</v>
      </c>
      <c r="AA31" s="73"/>
      <c r="AB31" s="74"/>
      <c r="AC31" s="72"/>
      <c r="AD31" s="73"/>
      <c r="AE31" s="74"/>
      <c r="AF31" s="72"/>
      <c r="AG31" s="73"/>
      <c r="AH31" s="74"/>
      <c r="AI31" s="72"/>
      <c r="AJ31" s="73"/>
      <c r="AK31" s="74"/>
      <c r="AL31" s="72"/>
      <c r="AM31" s="73"/>
      <c r="AN31" s="74"/>
      <c r="AO31" s="72"/>
      <c r="AP31" s="73"/>
      <c r="AQ31" s="74"/>
      <c r="AR31" s="90" t="s">
        <v>111</v>
      </c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7"/>
    </row>
    <row r="32" spans="1:62" s="13" customFormat="1" ht="33" customHeight="1">
      <c r="A32" s="68">
        <f t="shared" si="0"/>
        <v>15</v>
      </c>
      <c r="B32" s="68"/>
      <c r="C32" s="68"/>
      <c r="D32" s="69" t="s">
        <v>112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1"/>
      <c r="U32" s="72" t="s">
        <v>32</v>
      </c>
      <c r="V32" s="73"/>
      <c r="W32" s="73"/>
      <c r="X32" s="73"/>
      <c r="Y32" s="74"/>
      <c r="Z32" s="72">
        <v>2</v>
      </c>
      <c r="AA32" s="73"/>
      <c r="AB32" s="74"/>
      <c r="AC32" s="72"/>
      <c r="AD32" s="73"/>
      <c r="AE32" s="74"/>
      <c r="AF32" s="72"/>
      <c r="AG32" s="73"/>
      <c r="AH32" s="74"/>
      <c r="AI32" s="72"/>
      <c r="AJ32" s="73"/>
      <c r="AK32" s="74"/>
      <c r="AL32" s="72"/>
      <c r="AM32" s="73"/>
      <c r="AN32" s="74"/>
      <c r="AO32" s="72"/>
      <c r="AP32" s="73"/>
      <c r="AQ32" s="74"/>
      <c r="AR32" s="90" t="s">
        <v>112</v>
      </c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7"/>
    </row>
    <row r="33" spans="1:62" s="13" customFormat="1" ht="33" customHeight="1">
      <c r="A33" s="68">
        <f t="shared" si="0"/>
        <v>16</v>
      </c>
      <c r="B33" s="68"/>
      <c r="C33" s="68"/>
      <c r="D33" s="69" t="s">
        <v>114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1"/>
      <c r="U33" s="72" t="s">
        <v>35</v>
      </c>
      <c r="V33" s="73"/>
      <c r="W33" s="73"/>
      <c r="X33" s="73"/>
      <c r="Y33" s="74"/>
      <c r="Z33" s="72">
        <v>1</v>
      </c>
      <c r="AA33" s="73"/>
      <c r="AB33" s="74"/>
      <c r="AC33" s="72"/>
      <c r="AD33" s="73"/>
      <c r="AE33" s="74"/>
      <c r="AF33" s="72"/>
      <c r="AG33" s="73"/>
      <c r="AH33" s="74"/>
      <c r="AI33" s="72"/>
      <c r="AJ33" s="73"/>
      <c r="AK33" s="74"/>
      <c r="AL33" s="72"/>
      <c r="AM33" s="73"/>
      <c r="AN33" s="74"/>
      <c r="AO33" s="72"/>
      <c r="AP33" s="73"/>
      <c r="AQ33" s="74"/>
      <c r="AR33" s="90" t="s">
        <v>113</v>
      </c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7"/>
    </row>
    <row r="34" spans="1:62" s="13" customFormat="1" ht="33" customHeight="1">
      <c r="A34" s="68">
        <f t="shared" si="0"/>
        <v>17</v>
      </c>
      <c r="B34" s="68"/>
      <c r="C34" s="68"/>
      <c r="D34" s="69" t="s">
        <v>115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1"/>
      <c r="U34" s="72" t="s">
        <v>35</v>
      </c>
      <c r="V34" s="73"/>
      <c r="W34" s="73"/>
      <c r="X34" s="73"/>
      <c r="Y34" s="74"/>
      <c r="Z34" s="72">
        <v>6</v>
      </c>
      <c r="AA34" s="73"/>
      <c r="AB34" s="74"/>
      <c r="AC34" s="72"/>
      <c r="AD34" s="73"/>
      <c r="AE34" s="74"/>
      <c r="AF34" s="72"/>
      <c r="AG34" s="73"/>
      <c r="AH34" s="74"/>
      <c r="AI34" s="72"/>
      <c r="AJ34" s="73"/>
      <c r="AK34" s="74"/>
      <c r="AL34" s="72"/>
      <c r="AM34" s="73"/>
      <c r="AN34" s="74"/>
      <c r="AO34" s="72"/>
      <c r="AP34" s="73"/>
      <c r="AQ34" s="74"/>
      <c r="AR34" s="90" t="s">
        <v>115</v>
      </c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7"/>
    </row>
    <row r="35" spans="1:62" s="13" customFormat="1" ht="33" customHeight="1">
      <c r="A35" s="68">
        <f t="shared" si="0"/>
        <v>18</v>
      </c>
      <c r="B35" s="68"/>
      <c r="C35" s="68"/>
      <c r="D35" s="69" t="s">
        <v>72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1"/>
      <c r="U35" s="72" t="s">
        <v>35</v>
      </c>
      <c r="V35" s="73"/>
      <c r="W35" s="73"/>
      <c r="X35" s="73"/>
      <c r="Y35" s="74"/>
      <c r="Z35" s="72">
        <v>1</v>
      </c>
      <c r="AA35" s="73"/>
      <c r="AB35" s="74"/>
      <c r="AC35" s="72"/>
      <c r="AD35" s="73"/>
      <c r="AE35" s="74"/>
      <c r="AF35" s="72"/>
      <c r="AG35" s="73"/>
      <c r="AH35" s="74"/>
      <c r="AI35" s="72"/>
      <c r="AJ35" s="73"/>
      <c r="AK35" s="74"/>
      <c r="AL35" s="72"/>
      <c r="AM35" s="73"/>
      <c r="AN35" s="74"/>
      <c r="AO35" s="72"/>
      <c r="AP35" s="73"/>
      <c r="AQ35" s="74"/>
      <c r="AR35" s="90" t="s">
        <v>73</v>
      </c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7"/>
    </row>
    <row r="36" spans="1:62" s="13" customFormat="1" ht="33" customHeight="1">
      <c r="A36" s="68">
        <f t="shared" si="0"/>
        <v>19</v>
      </c>
      <c r="B36" s="68"/>
      <c r="C36" s="68"/>
      <c r="D36" s="69" t="s">
        <v>116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1"/>
      <c r="U36" s="72" t="s">
        <v>35</v>
      </c>
      <c r="V36" s="73"/>
      <c r="W36" s="73"/>
      <c r="X36" s="73"/>
      <c r="Y36" s="74"/>
      <c r="Z36" s="72">
        <v>20</v>
      </c>
      <c r="AA36" s="73"/>
      <c r="AB36" s="74"/>
      <c r="AC36" s="72"/>
      <c r="AD36" s="73"/>
      <c r="AE36" s="74"/>
      <c r="AF36" s="72"/>
      <c r="AG36" s="73"/>
      <c r="AH36" s="74"/>
      <c r="AI36" s="72"/>
      <c r="AJ36" s="73"/>
      <c r="AK36" s="74"/>
      <c r="AL36" s="72"/>
      <c r="AM36" s="73"/>
      <c r="AN36" s="74"/>
      <c r="AO36" s="72"/>
      <c r="AP36" s="73"/>
      <c r="AQ36" s="74"/>
      <c r="AR36" s="90" t="s">
        <v>116</v>
      </c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7"/>
    </row>
    <row r="37" spans="1:62" s="13" customFormat="1" ht="33" customHeight="1">
      <c r="A37" s="68">
        <f t="shared" si="0"/>
        <v>20</v>
      </c>
      <c r="B37" s="68"/>
      <c r="C37" s="68"/>
      <c r="D37" s="69" t="s">
        <v>67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1"/>
      <c r="U37" s="72" t="s">
        <v>32</v>
      </c>
      <c r="V37" s="73"/>
      <c r="W37" s="73"/>
      <c r="X37" s="73"/>
      <c r="Y37" s="74"/>
      <c r="Z37" s="72">
        <v>13</v>
      </c>
      <c r="AA37" s="73"/>
      <c r="AB37" s="74"/>
      <c r="AC37" s="72"/>
      <c r="AD37" s="73"/>
      <c r="AE37" s="74"/>
      <c r="AF37" s="72"/>
      <c r="AG37" s="73"/>
      <c r="AH37" s="74"/>
      <c r="AI37" s="72"/>
      <c r="AJ37" s="73"/>
      <c r="AK37" s="74"/>
      <c r="AL37" s="72"/>
      <c r="AM37" s="73"/>
      <c r="AN37" s="74"/>
      <c r="AO37" s="72"/>
      <c r="AP37" s="73"/>
      <c r="AQ37" s="74"/>
      <c r="AR37" s="90" t="s">
        <v>68</v>
      </c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7"/>
    </row>
    <row r="38" spans="1:62" s="13" customFormat="1" ht="33" customHeight="1">
      <c r="A38" s="68">
        <f t="shared" si="0"/>
        <v>21</v>
      </c>
      <c r="B38" s="68"/>
      <c r="C38" s="68"/>
      <c r="D38" s="69" t="s">
        <v>69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2" t="s">
        <v>32</v>
      </c>
      <c r="V38" s="73"/>
      <c r="W38" s="73"/>
      <c r="X38" s="73"/>
      <c r="Y38" s="74"/>
      <c r="Z38" s="72">
        <v>13</v>
      </c>
      <c r="AA38" s="73"/>
      <c r="AB38" s="74"/>
      <c r="AC38" s="72"/>
      <c r="AD38" s="73"/>
      <c r="AE38" s="74"/>
      <c r="AF38" s="72"/>
      <c r="AG38" s="73"/>
      <c r="AH38" s="74"/>
      <c r="AI38" s="72"/>
      <c r="AJ38" s="73"/>
      <c r="AK38" s="74"/>
      <c r="AL38" s="72"/>
      <c r="AM38" s="73"/>
      <c r="AN38" s="74"/>
      <c r="AO38" s="72"/>
      <c r="AP38" s="73"/>
      <c r="AQ38" s="74"/>
      <c r="AR38" s="90" t="s">
        <v>70</v>
      </c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7"/>
    </row>
    <row r="39" spans="1:62" s="13" customFormat="1" ht="33" customHeight="1">
      <c r="A39" s="68">
        <f t="shared" si="0"/>
        <v>22</v>
      </c>
      <c r="B39" s="68"/>
      <c r="C39" s="68"/>
      <c r="D39" s="69" t="s">
        <v>97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1"/>
      <c r="U39" s="72" t="s">
        <v>32</v>
      </c>
      <c r="V39" s="73"/>
      <c r="W39" s="73"/>
      <c r="X39" s="73"/>
      <c r="Y39" s="74"/>
      <c r="Z39" s="72">
        <v>14</v>
      </c>
      <c r="AA39" s="73"/>
      <c r="AB39" s="74"/>
      <c r="AC39" s="72" t="s">
        <v>19</v>
      </c>
      <c r="AD39" s="73"/>
      <c r="AE39" s="74"/>
      <c r="AF39" s="72"/>
      <c r="AG39" s="73"/>
      <c r="AH39" s="74"/>
      <c r="AI39" s="72"/>
      <c r="AJ39" s="73"/>
      <c r="AK39" s="74"/>
      <c r="AL39" s="72"/>
      <c r="AM39" s="73"/>
      <c r="AN39" s="74"/>
      <c r="AO39" s="72"/>
      <c r="AP39" s="73"/>
      <c r="AQ39" s="74"/>
      <c r="AR39" s="90" t="s">
        <v>99</v>
      </c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7"/>
    </row>
    <row r="40" spans="1:62" s="13" customFormat="1" ht="33" customHeight="1">
      <c r="A40" s="68">
        <f t="shared" si="0"/>
        <v>23</v>
      </c>
      <c r="B40" s="68"/>
      <c r="C40" s="68"/>
      <c r="D40" s="69" t="s">
        <v>98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1"/>
      <c r="U40" s="72" t="s">
        <v>32</v>
      </c>
      <c r="V40" s="73"/>
      <c r="W40" s="73"/>
      <c r="X40" s="73"/>
      <c r="Y40" s="74"/>
      <c r="Z40" s="72">
        <v>14</v>
      </c>
      <c r="AA40" s="73"/>
      <c r="AB40" s="74"/>
      <c r="AC40" s="72" t="s">
        <v>19</v>
      </c>
      <c r="AD40" s="73"/>
      <c r="AE40" s="74"/>
      <c r="AF40" s="72"/>
      <c r="AG40" s="73"/>
      <c r="AH40" s="74"/>
      <c r="AI40" s="72"/>
      <c r="AJ40" s="73"/>
      <c r="AK40" s="74"/>
      <c r="AL40" s="72"/>
      <c r="AM40" s="73"/>
      <c r="AN40" s="74"/>
      <c r="AO40" s="72"/>
      <c r="AP40" s="73"/>
      <c r="AQ40" s="74"/>
      <c r="AR40" s="90" t="s">
        <v>96</v>
      </c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7"/>
    </row>
    <row r="41" spans="1:62" s="13" customFormat="1" ht="33" customHeight="1">
      <c r="A41" s="68">
        <f t="shared" si="0"/>
        <v>24</v>
      </c>
      <c r="B41" s="68"/>
      <c r="C41" s="68"/>
      <c r="D41" s="69" t="s">
        <v>71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1"/>
      <c r="U41" s="72" t="s">
        <v>32</v>
      </c>
      <c r="V41" s="73"/>
      <c r="W41" s="73"/>
      <c r="X41" s="73"/>
      <c r="Y41" s="74"/>
      <c r="Z41" s="72">
        <v>14</v>
      </c>
      <c r="AA41" s="73"/>
      <c r="AB41" s="74"/>
      <c r="AC41" s="72" t="s">
        <v>19</v>
      </c>
      <c r="AD41" s="73"/>
      <c r="AE41" s="74"/>
      <c r="AF41" s="72"/>
      <c r="AG41" s="73"/>
      <c r="AH41" s="74"/>
      <c r="AI41" s="72"/>
      <c r="AJ41" s="73"/>
      <c r="AK41" s="74"/>
      <c r="AL41" s="72"/>
      <c r="AM41" s="73"/>
      <c r="AN41" s="74"/>
      <c r="AO41" s="72"/>
      <c r="AP41" s="73"/>
      <c r="AQ41" s="74"/>
      <c r="AR41" s="90" t="s">
        <v>100</v>
      </c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7"/>
    </row>
    <row r="42" spans="1:62" s="13" customFormat="1" ht="33" customHeight="1">
      <c r="A42" s="68">
        <f t="shared" si="0"/>
        <v>25</v>
      </c>
      <c r="B42" s="68"/>
      <c r="C42" s="68"/>
      <c r="D42" s="69" t="s">
        <v>74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1"/>
      <c r="U42" s="72" t="s">
        <v>35</v>
      </c>
      <c r="V42" s="73"/>
      <c r="W42" s="73"/>
      <c r="X42" s="73"/>
      <c r="Y42" s="74"/>
      <c r="Z42" s="72">
        <v>7</v>
      </c>
      <c r="AA42" s="73"/>
      <c r="AB42" s="74"/>
      <c r="AC42" s="72"/>
      <c r="AD42" s="73"/>
      <c r="AE42" s="74"/>
      <c r="AF42" s="72"/>
      <c r="AG42" s="73"/>
      <c r="AH42" s="74"/>
      <c r="AI42" s="72"/>
      <c r="AJ42" s="73"/>
      <c r="AK42" s="74"/>
      <c r="AL42" s="72"/>
      <c r="AM42" s="73"/>
      <c r="AN42" s="74"/>
      <c r="AO42" s="72"/>
      <c r="AP42" s="73"/>
      <c r="AQ42" s="74"/>
      <c r="AR42" s="90" t="s">
        <v>74</v>
      </c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7"/>
    </row>
    <row r="43" spans="1:62" s="13" customFormat="1" ht="33" customHeight="1">
      <c r="A43" s="68">
        <f t="shared" si="0"/>
        <v>26</v>
      </c>
      <c r="B43" s="68"/>
      <c r="C43" s="68"/>
      <c r="D43" s="69" t="s">
        <v>118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1"/>
      <c r="U43" s="72" t="s">
        <v>35</v>
      </c>
      <c r="V43" s="73"/>
      <c r="W43" s="73"/>
      <c r="X43" s="73"/>
      <c r="Y43" s="74"/>
      <c r="Z43" s="72">
        <v>1</v>
      </c>
      <c r="AA43" s="73"/>
      <c r="AB43" s="74"/>
      <c r="AC43" s="72"/>
      <c r="AD43" s="73"/>
      <c r="AE43" s="74"/>
      <c r="AF43" s="72"/>
      <c r="AG43" s="73"/>
      <c r="AH43" s="74"/>
      <c r="AI43" s="72"/>
      <c r="AJ43" s="73"/>
      <c r="AK43" s="74"/>
      <c r="AL43" s="72"/>
      <c r="AM43" s="73"/>
      <c r="AN43" s="74"/>
      <c r="AO43" s="72"/>
      <c r="AP43" s="73"/>
      <c r="AQ43" s="74"/>
      <c r="AR43" s="90" t="s">
        <v>117</v>
      </c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7"/>
    </row>
    <row r="44" spans="1:62" s="13" customFormat="1" ht="33" customHeight="1">
      <c r="A44" s="68">
        <f t="shared" si="0"/>
        <v>27</v>
      </c>
      <c r="B44" s="68"/>
      <c r="C44" s="68"/>
      <c r="D44" s="69" t="s">
        <v>120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1"/>
      <c r="U44" s="72" t="s">
        <v>35</v>
      </c>
      <c r="V44" s="73"/>
      <c r="W44" s="73"/>
      <c r="X44" s="73"/>
      <c r="Y44" s="74"/>
      <c r="Z44" s="72">
        <v>4</v>
      </c>
      <c r="AA44" s="73"/>
      <c r="AB44" s="74"/>
      <c r="AC44" s="72"/>
      <c r="AD44" s="73"/>
      <c r="AE44" s="74"/>
      <c r="AF44" s="72"/>
      <c r="AG44" s="73"/>
      <c r="AH44" s="74"/>
      <c r="AI44" s="72"/>
      <c r="AJ44" s="73"/>
      <c r="AK44" s="74"/>
      <c r="AL44" s="72"/>
      <c r="AM44" s="73"/>
      <c r="AN44" s="74"/>
      <c r="AO44" s="72"/>
      <c r="AP44" s="73"/>
      <c r="AQ44" s="74"/>
      <c r="AR44" s="90" t="s">
        <v>119</v>
      </c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7"/>
    </row>
    <row r="45" spans="1:62" s="13" customFormat="1" ht="33" customHeight="1">
      <c r="A45" s="68">
        <f t="shared" si="0"/>
        <v>28</v>
      </c>
      <c r="B45" s="68"/>
      <c r="C45" s="68"/>
      <c r="D45" s="69" t="s">
        <v>63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1"/>
      <c r="U45" s="72" t="s">
        <v>32</v>
      </c>
      <c r="V45" s="73"/>
      <c r="W45" s="73"/>
      <c r="X45" s="73"/>
      <c r="Y45" s="74"/>
      <c r="Z45" s="72">
        <v>6</v>
      </c>
      <c r="AA45" s="73"/>
      <c r="AB45" s="74"/>
      <c r="AC45" s="72"/>
      <c r="AD45" s="73"/>
      <c r="AE45" s="74"/>
      <c r="AF45" s="72"/>
      <c r="AG45" s="73"/>
      <c r="AH45" s="74"/>
      <c r="AI45" s="72"/>
      <c r="AJ45" s="73"/>
      <c r="AK45" s="74"/>
      <c r="AL45" s="72"/>
      <c r="AM45" s="73"/>
      <c r="AN45" s="74"/>
      <c r="AO45" s="72"/>
      <c r="AP45" s="73"/>
      <c r="AQ45" s="74"/>
      <c r="AR45" s="90" t="s">
        <v>64</v>
      </c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5"/>
    </row>
    <row r="46" spans="1:62" s="13" customFormat="1" ht="33" customHeight="1">
      <c r="A46" s="68">
        <f t="shared" si="0"/>
        <v>29</v>
      </c>
      <c r="B46" s="68"/>
      <c r="C46" s="68"/>
      <c r="D46" s="69" t="s">
        <v>65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1"/>
      <c r="U46" s="72" t="s">
        <v>32</v>
      </c>
      <c r="V46" s="73"/>
      <c r="W46" s="73"/>
      <c r="X46" s="73"/>
      <c r="Y46" s="74"/>
      <c r="Z46" s="72">
        <v>8</v>
      </c>
      <c r="AA46" s="73"/>
      <c r="AB46" s="74"/>
      <c r="AC46" s="72"/>
      <c r="AD46" s="73"/>
      <c r="AE46" s="74"/>
      <c r="AF46" s="72"/>
      <c r="AG46" s="73"/>
      <c r="AH46" s="74"/>
      <c r="AI46" s="72"/>
      <c r="AJ46" s="73"/>
      <c r="AK46" s="74"/>
      <c r="AL46" s="72"/>
      <c r="AM46" s="73"/>
      <c r="AN46" s="74"/>
      <c r="AO46" s="72"/>
      <c r="AP46" s="73"/>
      <c r="AQ46" s="74"/>
      <c r="AR46" s="90" t="s">
        <v>66</v>
      </c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5"/>
    </row>
    <row r="47" spans="1:62" s="13" customFormat="1" ht="33" customHeight="1">
      <c r="A47" s="68">
        <f t="shared" si="0"/>
        <v>30</v>
      </c>
      <c r="B47" s="68"/>
      <c r="C47" s="68"/>
      <c r="D47" s="69" t="s">
        <v>61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1"/>
      <c r="U47" s="72" t="s">
        <v>35</v>
      </c>
      <c r="V47" s="73"/>
      <c r="W47" s="73"/>
      <c r="X47" s="73"/>
      <c r="Y47" s="74"/>
      <c r="Z47" s="72">
        <v>4</v>
      </c>
      <c r="AA47" s="73"/>
      <c r="AB47" s="74"/>
      <c r="AC47" s="72"/>
      <c r="AD47" s="73"/>
      <c r="AE47" s="74"/>
      <c r="AF47" s="72"/>
      <c r="AG47" s="73"/>
      <c r="AH47" s="74"/>
      <c r="AI47" s="72"/>
      <c r="AJ47" s="73"/>
      <c r="AK47" s="74"/>
      <c r="AL47" s="72"/>
      <c r="AM47" s="73"/>
      <c r="AN47" s="74"/>
      <c r="AO47" s="72"/>
      <c r="AP47" s="73"/>
      <c r="AQ47" s="74"/>
      <c r="AR47" s="90" t="s">
        <v>62</v>
      </c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7"/>
    </row>
    <row r="48" spans="1:62" s="13" customFormat="1" ht="33" customHeight="1">
      <c r="A48" s="68">
        <f t="shared" si="0"/>
        <v>31</v>
      </c>
      <c r="B48" s="68"/>
      <c r="C48" s="68"/>
      <c r="D48" s="69" t="s">
        <v>121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1"/>
      <c r="U48" s="72" t="s">
        <v>35</v>
      </c>
      <c r="V48" s="73"/>
      <c r="W48" s="73"/>
      <c r="X48" s="73"/>
      <c r="Y48" s="74"/>
      <c r="Z48" s="72">
        <v>20</v>
      </c>
      <c r="AA48" s="73"/>
      <c r="AB48" s="74"/>
      <c r="AC48" s="72"/>
      <c r="AD48" s="73"/>
      <c r="AE48" s="74"/>
      <c r="AF48" s="72"/>
      <c r="AG48" s="73"/>
      <c r="AH48" s="74"/>
      <c r="AI48" s="72"/>
      <c r="AJ48" s="73"/>
      <c r="AK48" s="74"/>
      <c r="AL48" s="72"/>
      <c r="AM48" s="73"/>
      <c r="AN48" s="74"/>
      <c r="AO48" s="72"/>
      <c r="AP48" s="73"/>
      <c r="AQ48" s="74"/>
      <c r="AR48" s="90" t="s">
        <v>125</v>
      </c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7"/>
    </row>
    <row r="49" spans="1:62" s="13" customFormat="1" ht="33" customHeight="1">
      <c r="A49" s="68">
        <f t="shared" si="0"/>
        <v>32</v>
      </c>
      <c r="B49" s="68"/>
      <c r="C49" s="68"/>
      <c r="D49" s="69" t="s">
        <v>122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1"/>
      <c r="U49" s="72" t="s">
        <v>35</v>
      </c>
      <c r="V49" s="73"/>
      <c r="W49" s="73"/>
      <c r="X49" s="73"/>
      <c r="Y49" s="74"/>
      <c r="Z49" s="72">
        <v>2</v>
      </c>
      <c r="AA49" s="73"/>
      <c r="AB49" s="74"/>
      <c r="AC49" s="72"/>
      <c r="AD49" s="73"/>
      <c r="AE49" s="74"/>
      <c r="AF49" s="72"/>
      <c r="AG49" s="73"/>
      <c r="AH49" s="74"/>
      <c r="AI49" s="72"/>
      <c r="AJ49" s="73"/>
      <c r="AK49" s="74"/>
      <c r="AL49" s="72"/>
      <c r="AM49" s="73"/>
      <c r="AN49" s="74"/>
      <c r="AO49" s="72"/>
      <c r="AP49" s="73"/>
      <c r="AQ49" s="74"/>
      <c r="AR49" s="90" t="s">
        <v>122</v>
      </c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7"/>
    </row>
    <row r="50" spans="1:62" s="13" customFormat="1" ht="33" customHeight="1">
      <c r="A50" s="68">
        <f t="shared" si="0"/>
        <v>33</v>
      </c>
      <c r="B50" s="68"/>
      <c r="C50" s="68"/>
      <c r="D50" s="69" t="s">
        <v>75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1"/>
      <c r="U50" s="72" t="s">
        <v>32</v>
      </c>
      <c r="V50" s="73"/>
      <c r="W50" s="73"/>
      <c r="X50" s="73"/>
      <c r="Y50" s="74"/>
      <c r="Z50" s="72">
        <v>8</v>
      </c>
      <c r="AA50" s="73"/>
      <c r="AB50" s="74"/>
      <c r="AC50" s="72"/>
      <c r="AD50" s="73"/>
      <c r="AE50" s="74"/>
      <c r="AF50" s="72"/>
      <c r="AG50" s="73"/>
      <c r="AH50" s="74"/>
      <c r="AI50" s="72"/>
      <c r="AJ50" s="73"/>
      <c r="AK50" s="74"/>
      <c r="AL50" s="72"/>
      <c r="AM50" s="73"/>
      <c r="AN50" s="74"/>
      <c r="AO50" s="72"/>
      <c r="AP50" s="73"/>
      <c r="AQ50" s="74"/>
      <c r="AR50" s="90" t="s">
        <v>76</v>
      </c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7"/>
    </row>
    <row r="51" spans="1:62" s="13" customFormat="1" ht="33" customHeight="1">
      <c r="A51" s="68">
        <f t="shared" si="0"/>
        <v>34</v>
      </c>
      <c r="B51" s="68"/>
      <c r="C51" s="68"/>
      <c r="D51" s="69" t="s">
        <v>77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1"/>
      <c r="U51" s="72" t="s">
        <v>32</v>
      </c>
      <c r="V51" s="73"/>
      <c r="W51" s="73"/>
      <c r="X51" s="73"/>
      <c r="Y51" s="74"/>
      <c r="Z51" s="72">
        <v>6</v>
      </c>
      <c r="AA51" s="73"/>
      <c r="AB51" s="74"/>
      <c r="AC51" s="72"/>
      <c r="AD51" s="73"/>
      <c r="AE51" s="74"/>
      <c r="AF51" s="72"/>
      <c r="AG51" s="73"/>
      <c r="AH51" s="74"/>
      <c r="AI51" s="72"/>
      <c r="AJ51" s="73"/>
      <c r="AK51" s="74"/>
      <c r="AL51" s="72"/>
      <c r="AM51" s="73"/>
      <c r="AN51" s="74"/>
      <c r="AO51" s="72"/>
      <c r="AP51" s="73"/>
      <c r="AQ51" s="74"/>
      <c r="AR51" s="90" t="s">
        <v>78</v>
      </c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7"/>
    </row>
    <row r="52" spans="1:62" s="13" customFormat="1" ht="33" customHeight="1">
      <c r="A52" s="68">
        <f t="shared" si="0"/>
        <v>35</v>
      </c>
      <c r="B52" s="68"/>
      <c r="C52" s="68"/>
      <c r="D52" s="69" t="s">
        <v>79</v>
      </c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1"/>
      <c r="U52" s="72" t="s">
        <v>32</v>
      </c>
      <c r="V52" s="73"/>
      <c r="W52" s="73"/>
      <c r="X52" s="73"/>
      <c r="Y52" s="74"/>
      <c r="Z52" s="72">
        <v>8</v>
      </c>
      <c r="AA52" s="73"/>
      <c r="AB52" s="74"/>
      <c r="AC52" s="72"/>
      <c r="AD52" s="73"/>
      <c r="AE52" s="74"/>
      <c r="AF52" s="72"/>
      <c r="AG52" s="73"/>
      <c r="AH52" s="74"/>
      <c r="AI52" s="72"/>
      <c r="AJ52" s="73"/>
      <c r="AK52" s="74"/>
      <c r="AL52" s="72"/>
      <c r="AM52" s="73"/>
      <c r="AN52" s="74"/>
      <c r="AO52" s="72"/>
      <c r="AP52" s="73"/>
      <c r="AQ52" s="74"/>
      <c r="AR52" s="90" t="s">
        <v>80</v>
      </c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7"/>
    </row>
    <row r="53" spans="1:62" s="13" customFormat="1" ht="33" customHeight="1">
      <c r="A53" s="68">
        <f t="shared" si="0"/>
        <v>36</v>
      </c>
      <c r="B53" s="68"/>
      <c r="C53" s="68"/>
      <c r="D53" s="69" t="s">
        <v>81</v>
      </c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1"/>
      <c r="U53" s="72" t="s">
        <v>32</v>
      </c>
      <c r="V53" s="73"/>
      <c r="W53" s="73"/>
      <c r="X53" s="73"/>
      <c r="Y53" s="74"/>
      <c r="Z53" s="72">
        <v>6</v>
      </c>
      <c r="AA53" s="73"/>
      <c r="AB53" s="74"/>
      <c r="AC53" s="72"/>
      <c r="AD53" s="73"/>
      <c r="AE53" s="74"/>
      <c r="AF53" s="72"/>
      <c r="AG53" s="73"/>
      <c r="AH53" s="74"/>
      <c r="AI53" s="72"/>
      <c r="AJ53" s="73"/>
      <c r="AK53" s="74"/>
      <c r="AL53" s="72"/>
      <c r="AM53" s="73"/>
      <c r="AN53" s="74"/>
      <c r="AO53" s="72"/>
      <c r="AP53" s="73"/>
      <c r="AQ53" s="74"/>
      <c r="AR53" s="90" t="s">
        <v>82</v>
      </c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7"/>
    </row>
    <row r="54" spans="1:62" s="13" customFormat="1" ht="33" customHeight="1">
      <c r="A54" s="68">
        <f t="shared" si="0"/>
        <v>37</v>
      </c>
      <c r="B54" s="68"/>
      <c r="C54" s="68"/>
      <c r="D54" s="69" t="s">
        <v>83</v>
      </c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1"/>
      <c r="U54" s="72" t="s">
        <v>32</v>
      </c>
      <c r="V54" s="73"/>
      <c r="W54" s="73"/>
      <c r="X54" s="73"/>
      <c r="Y54" s="74"/>
      <c r="Z54" s="72">
        <v>8</v>
      </c>
      <c r="AA54" s="73"/>
      <c r="AB54" s="74"/>
      <c r="AC54" s="72"/>
      <c r="AD54" s="73"/>
      <c r="AE54" s="74"/>
      <c r="AF54" s="72"/>
      <c r="AG54" s="73"/>
      <c r="AH54" s="74"/>
      <c r="AI54" s="72"/>
      <c r="AJ54" s="73"/>
      <c r="AK54" s="74"/>
      <c r="AL54" s="72"/>
      <c r="AM54" s="73"/>
      <c r="AN54" s="74"/>
      <c r="AO54" s="72"/>
      <c r="AP54" s="73"/>
      <c r="AQ54" s="74"/>
      <c r="AR54" s="90" t="s">
        <v>84</v>
      </c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7"/>
    </row>
    <row r="55" spans="1:62" s="13" customFormat="1" ht="33" customHeight="1">
      <c r="A55" s="68">
        <f t="shared" si="0"/>
        <v>38</v>
      </c>
      <c r="B55" s="68"/>
      <c r="C55" s="68"/>
      <c r="D55" s="69" t="s">
        <v>85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1"/>
      <c r="U55" s="72" t="s">
        <v>32</v>
      </c>
      <c r="V55" s="73"/>
      <c r="W55" s="73"/>
      <c r="X55" s="73"/>
      <c r="Y55" s="74"/>
      <c r="Z55" s="72">
        <v>6</v>
      </c>
      <c r="AA55" s="73"/>
      <c r="AB55" s="74"/>
      <c r="AC55" s="72"/>
      <c r="AD55" s="73"/>
      <c r="AE55" s="74"/>
      <c r="AF55" s="72"/>
      <c r="AG55" s="73"/>
      <c r="AH55" s="74"/>
      <c r="AI55" s="72"/>
      <c r="AJ55" s="73"/>
      <c r="AK55" s="74"/>
      <c r="AL55" s="72"/>
      <c r="AM55" s="73"/>
      <c r="AN55" s="74"/>
      <c r="AO55" s="72"/>
      <c r="AP55" s="73"/>
      <c r="AQ55" s="74"/>
      <c r="AR55" s="90" t="s">
        <v>86</v>
      </c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7"/>
    </row>
    <row r="56" spans="1:62" s="13" customFormat="1" ht="33" customHeight="1">
      <c r="A56" s="68">
        <f t="shared" si="0"/>
        <v>39</v>
      </c>
      <c r="B56" s="68"/>
      <c r="C56" s="68"/>
      <c r="D56" s="69" t="s">
        <v>87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1"/>
      <c r="U56" s="72" t="s">
        <v>32</v>
      </c>
      <c r="V56" s="73"/>
      <c r="W56" s="73"/>
      <c r="X56" s="73"/>
      <c r="Y56" s="74"/>
      <c r="Z56" s="72">
        <v>8</v>
      </c>
      <c r="AA56" s="73"/>
      <c r="AB56" s="74"/>
      <c r="AC56" s="72"/>
      <c r="AD56" s="73"/>
      <c r="AE56" s="74"/>
      <c r="AF56" s="72"/>
      <c r="AG56" s="73"/>
      <c r="AH56" s="74"/>
      <c r="AI56" s="72"/>
      <c r="AJ56" s="73"/>
      <c r="AK56" s="74"/>
      <c r="AL56" s="72"/>
      <c r="AM56" s="73"/>
      <c r="AN56" s="74"/>
      <c r="AO56" s="72"/>
      <c r="AP56" s="73"/>
      <c r="AQ56" s="74"/>
      <c r="AR56" s="90" t="s">
        <v>88</v>
      </c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7"/>
    </row>
    <row r="57" spans="1:62" s="13" customFormat="1" ht="33" customHeight="1">
      <c r="A57" s="68">
        <f t="shared" si="0"/>
        <v>40</v>
      </c>
      <c r="B57" s="68"/>
      <c r="C57" s="68"/>
      <c r="D57" s="69" t="s">
        <v>89</v>
      </c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1"/>
      <c r="U57" s="72" t="s">
        <v>35</v>
      </c>
      <c r="V57" s="73"/>
      <c r="W57" s="73"/>
      <c r="X57" s="73"/>
      <c r="Y57" s="74"/>
      <c r="Z57" s="72">
        <v>4</v>
      </c>
      <c r="AA57" s="73"/>
      <c r="AB57" s="74"/>
      <c r="AC57" s="72"/>
      <c r="AD57" s="73"/>
      <c r="AE57" s="74"/>
      <c r="AF57" s="72"/>
      <c r="AG57" s="73"/>
      <c r="AH57" s="74"/>
      <c r="AI57" s="72"/>
      <c r="AJ57" s="73"/>
      <c r="AK57" s="74"/>
      <c r="AL57" s="72"/>
      <c r="AM57" s="73"/>
      <c r="AN57" s="74"/>
      <c r="AO57" s="72"/>
      <c r="AP57" s="73"/>
      <c r="AQ57" s="74"/>
      <c r="AR57" s="90" t="s">
        <v>89</v>
      </c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7"/>
    </row>
    <row r="58" spans="1:62" s="13" customFormat="1" ht="33" customHeight="1">
      <c r="A58" s="68">
        <f t="shared" si="0"/>
        <v>41</v>
      </c>
      <c r="B58" s="68"/>
      <c r="C58" s="68"/>
      <c r="D58" s="69" t="s">
        <v>90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1"/>
      <c r="U58" s="72" t="s">
        <v>35</v>
      </c>
      <c r="V58" s="73"/>
      <c r="W58" s="73"/>
      <c r="X58" s="73"/>
      <c r="Y58" s="74"/>
      <c r="Z58" s="72">
        <v>3</v>
      </c>
      <c r="AA58" s="73"/>
      <c r="AB58" s="74"/>
      <c r="AC58" s="72"/>
      <c r="AD58" s="73"/>
      <c r="AE58" s="74"/>
      <c r="AF58" s="72"/>
      <c r="AG58" s="73"/>
      <c r="AH58" s="74"/>
      <c r="AI58" s="72"/>
      <c r="AJ58" s="73"/>
      <c r="AK58" s="74"/>
      <c r="AL58" s="72"/>
      <c r="AM58" s="73"/>
      <c r="AN58" s="74"/>
      <c r="AO58" s="72"/>
      <c r="AP58" s="73"/>
      <c r="AQ58" s="74"/>
      <c r="AR58" s="90" t="s">
        <v>90</v>
      </c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7"/>
    </row>
    <row r="59" spans="1:62" s="13" customFormat="1" ht="33" customHeight="1">
      <c r="A59" s="68">
        <f t="shared" si="0"/>
        <v>42</v>
      </c>
      <c r="B59" s="68"/>
      <c r="C59" s="68"/>
      <c r="D59" s="69" t="s">
        <v>91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1"/>
      <c r="U59" s="72" t="s">
        <v>35</v>
      </c>
      <c r="V59" s="73"/>
      <c r="W59" s="73"/>
      <c r="X59" s="73"/>
      <c r="Y59" s="74"/>
      <c r="Z59" s="72">
        <v>2</v>
      </c>
      <c r="AA59" s="73"/>
      <c r="AB59" s="74"/>
      <c r="AC59" s="72"/>
      <c r="AD59" s="73"/>
      <c r="AE59" s="74"/>
      <c r="AF59" s="72"/>
      <c r="AG59" s="73"/>
      <c r="AH59" s="74"/>
      <c r="AI59" s="72"/>
      <c r="AJ59" s="73"/>
      <c r="AK59" s="74"/>
      <c r="AL59" s="72"/>
      <c r="AM59" s="73"/>
      <c r="AN59" s="74"/>
      <c r="AO59" s="72"/>
      <c r="AP59" s="73"/>
      <c r="AQ59" s="74"/>
      <c r="AR59" s="90" t="s">
        <v>91</v>
      </c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7"/>
    </row>
    <row r="60" spans="1:62" s="13" customFormat="1" ht="56.4" customHeight="1">
      <c r="A60" s="68">
        <f t="shared" si="0"/>
        <v>43</v>
      </c>
      <c r="B60" s="68"/>
      <c r="C60" s="68"/>
      <c r="D60" s="69" t="s">
        <v>92</v>
      </c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1"/>
      <c r="U60" s="72" t="s">
        <v>35</v>
      </c>
      <c r="V60" s="73"/>
      <c r="W60" s="73"/>
      <c r="X60" s="73"/>
      <c r="Y60" s="74"/>
      <c r="Z60" s="72">
        <v>1</v>
      </c>
      <c r="AA60" s="73"/>
      <c r="AB60" s="74"/>
      <c r="AC60" s="72"/>
      <c r="AD60" s="73"/>
      <c r="AE60" s="74"/>
      <c r="AF60" s="72"/>
      <c r="AG60" s="73"/>
      <c r="AH60" s="74"/>
      <c r="AI60" s="72"/>
      <c r="AJ60" s="73"/>
      <c r="AK60" s="74"/>
      <c r="AL60" s="72"/>
      <c r="AM60" s="73"/>
      <c r="AN60" s="74"/>
      <c r="AO60" s="72"/>
      <c r="AP60" s="73"/>
      <c r="AQ60" s="74"/>
      <c r="AR60" s="90" t="s">
        <v>93</v>
      </c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7"/>
    </row>
    <row r="61" spans="1:62" s="13" customFormat="1" ht="56.4" customHeight="1">
      <c r="A61" s="68">
        <f t="shared" si="0"/>
        <v>44</v>
      </c>
      <c r="B61" s="68"/>
      <c r="C61" s="68"/>
      <c r="D61" s="69" t="s">
        <v>196</v>
      </c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1"/>
      <c r="U61" s="72" t="s">
        <v>34</v>
      </c>
      <c r="V61" s="73"/>
      <c r="W61" s="73"/>
      <c r="X61" s="73"/>
      <c r="Y61" s="74"/>
      <c r="Z61" s="72">
        <v>4</v>
      </c>
      <c r="AA61" s="73"/>
      <c r="AB61" s="74"/>
      <c r="AC61" s="72"/>
      <c r="AD61" s="73"/>
      <c r="AE61" s="74"/>
      <c r="AF61" s="72"/>
      <c r="AG61" s="73"/>
      <c r="AH61" s="74"/>
      <c r="AI61" s="72"/>
      <c r="AJ61" s="73"/>
      <c r="AK61" s="74"/>
      <c r="AL61" s="72"/>
      <c r="AM61" s="73"/>
      <c r="AN61" s="74"/>
      <c r="AO61" s="72"/>
      <c r="AP61" s="73"/>
      <c r="AQ61" s="74"/>
      <c r="AR61" s="90" t="s">
        <v>197</v>
      </c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7"/>
    </row>
    <row r="62" spans="1:62" s="13" customFormat="1" ht="36" customHeight="1">
      <c r="A62" s="68"/>
      <c r="B62" s="68"/>
      <c r="C62" s="68"/>
      <c r="D62" s="69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1"/>
      <c r="U62" s="72"/>
      <c r="V62" s="73"/>
      <c r="W62" s="73"/>
      <c r="X62" s="73"/>
      <c r="Y62" s="74"/>
      <c r="Z62" s="72"/>
      <c r="AA62" s="73"/>
      <c r="AB62" s="74"/>
      <c r="AC62" s="72"/>
      <c r="AD62" s="73"/>
      <c r="AE62" s="74"/>
      <c r="AF62" s="72"/>
      <c r="AG62" s="73"/>
      <c r="AH62" s="74"/>
      <c r="AI62" s="72"/>
      <c r="AJ62" s="73"/>
      <c r="AK62" s="74"/>
      <c r="AL62" s="72"/>
      <c r="AM62" s="73"/>
      <c r="AN62" s="74"/>
      <c r="AO62" s="72"/>
      <c r="AP62" s="73"/>
      <c r="AQ62" s="74"/>
      <c r="AR62" s="65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7"/>
    </row>
    <row r="63" spans="1:62" s="13" customFormat="1" ht="36" customHeight="1">
      <c r="A63" s="68"/>
      <c r="B63" s="68"/>
      <c r="C63" s="68"/>
      <c r="D63" s="69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1"/>
      <c r="U63" s="72"/>
      <c r="V63" s="73"/>
      <c r="W63" s="73"/>
      <c r="X63" s="73"/>
      <c r="Y63" s="74"/>
      <c r="Z63" s="72"/>
      <c r="AA63" s="73"/>
      <c r="AB63" s="74"/>
      <c r="AC63" s="72"/>
      <c r="AD63" s="73"/>
      <c r="AE63" s="74"/>
      <c r="AF63" s="72"/>
      <c r="AG63" s="73"/>
      <c r="AH63" s="74"/>
      <c r="AI63" s="72"/>
      <c r="AJ63" s="73"/>
      <c r="AK63" s="74"/>
      <c r="AL63" s="72"/>
      <c r="AM63" s="73"/>
      <c r="AN63" s="74"/>
      <c r="AO63" s="72"/>
      <c r="AP63" s="73"/>
      <c r="AQ63" s="74"/>
      <c r="AR63" s="65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7"/>
    </row>
    <row r="64" spans="1:62" s="13" customFormat="1" ht="36" customHeight="1">
      <c r="A64" s="68"/>
      <c r="B64" s="68"/>
      <c r="C64" s="68"/>
      <c r="D64" s="69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1"/>
      <c r="U64" s="72"/>
      <c r="V64" s="73"/>
      <c r="W64" s="73"/>
      <c r="X64" s="73"/>
      <c r="Y64" s="74"/>
      <c r="Z64" s="72"/>
      <c r="AA64" s="73"/>
      <c r="AB64" s="74"/>
      <c r="AC64" s="72"/>
      <c r="AD64" s="73"/>
      <c r="AE64" s="74"/>
      <c r="AF64" s="72"/>
      <c r="AG64" s="73"/>
      <c r="AH64" s="74"/>
      <c r="AI64" s="72"/>
      <c r="AJ64" s="73"/>
      <c r="AK64" s="74"/>
      <c r="AL64" s="72"/>
      <c r="AM64" s="73"/>
      <c r="AN64" s="74"/>
      <c r="AO64" s="72"/>
      <c r="AP64" s="73"/>
      <c r="AQ64" s="74"/>
      <c r="AR64" s="65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7"/>
    </row>
    <row r="65" spans="1:62" s="13" customFormat="1" ht="36" customHeight="1">
      <c r="A65" s="68"/>
      <c r="B65" s="68"/>
      <c r="C65" s="68"/>
      <c r="D65" s="69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1"/>
      <c r="U65" s="72"/>
      <c r="V65" s="73"/>
      <c r="W65" s="73"/>
      <c r="X65" s="73"/>
      <c r="Y65" s="74"/>
      <c r="Z65" s="72"/>
      <c r="AA65" s="73"/>
      <c r="AB65" s="74"/>
      <c r="AC65" s="72"/>
      <c r="AD65" s="73"/>
      <c r="AE65" s="74"/>
      <c r="AF65" s="72"/>
      <c r="AG65" s="73"/>
      <c r="AH65" s="74"/>
      <c r="AI65" s="72"/>
      <c r="AJ65" s="73"/>
      <c r="AK65" s="74"/>
      <c r="AL65" s="72"/>
      <c r="AM65" s="73"/>
      <c r="AN65" s="74"/>
      <c r="AO65" s="72"/>
      <c r="AP65" s="73"/>
      <c r="AQ65" s="74"/>
      <c r="AR65" s="65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7"/>
    </row>
    <row r="66" spans="1:62" s="13" customFormat="1" ht="36" customHeight="1">
      <c r="A66" s="68"/>
      <c r="B66" s="68"/>
      <c r="C66" s="68"/>
      <c r="D66" s="69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1"/>
      <c r="U66" s="72"/>
      <c r="V66" s="73"/>
      <c r="W66" s="73"/>
      <c r="X66" s="73"/>
      <c r="Y66" s="74"/>
      <c r="Z66" s="72"/>
      <c r="AA66" s="73"/>
      <c r="AB66" s="74"/>
      <c r="AC66" s="72"/>
      <c r="AD66" s="73"/>
      <c r="AE66" s="74"/>
      <c r="AF66" s="72"/>
      <c r="AG66" s="73"/>
      <c r="AH66" s="74"/>
      <c r="AI66" s="72"/>
      <c r="AJ66" s="73"/>
      <c r="AK66" s="74"/>
      <c r="AL66" s="72"/>
      <c r="AM66" s="73"/>
      <c r="AN66" s="74"/>
      <c r="AO66" s="72"/>
      <c r="AP66" s="73"/>
      <c r="AQ66" s="74"/>
      <c r="AR66" s="65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7"/>
    </row>
    <row r="67" spans="1:62" s="13" customFormat="1" ht="36" customHeight="1">
      <c r="A67" s="76"/>
      <c r="B67" s="76"/>
      <c r="C67" s="76"/>
      <c r="D67" s="99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1"/>
      <c r="U67" s="78"/>
      <c r="V67" s="79"/>
      <c r="W67" s="79"/>
      <c r="X67" s="79"/>
      <c r="Y67" s="80"/>
      <c r="Z67" s="78"/>
      <c r="AA67" s="79"/>
      <c r="AB67" s="80"/>
      <c r="AC67" s="78"/>
      <c r="AD67" s="79"/>
      <c r="AE67" s="80"/>
      <c r="AF67" s="78"/>
      <c r="AG67" s="79"/>
      <c r="AH67" s="80"/>
      <c r="AI67" s="78"/>
      <c r="AJ67" s="79"/>
      <c r="AK67" s="80"/>
      <c r="AL67" s="78"/>
      <c r="AM67" s="79"/>
      <c r="AN67" s="80"/>
      <c r="AO67" s="78"/>
      <c r="AP67" s="79"/>
      <c r="AQ67" s="80"/>
      <c r="AR67" s="96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8"/>
    </row>
    <row r="68" spans="1:62" ht="6.6" customHeight="1"/>
  </sheetData>
  <mergeCells count="551">
    <mergeCell ref="AR61:BJ61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59:BJ59"/>
    <mergeCell ref="A60:C60"/>
    <mergeCell ref="D60:T60"/>
    <mergeCell ref="U60:Y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Z60:AB60"/>
    <mergeCell ref="AC60:AE60"/>
    <mergeCell ref="AF60:AH60"/>
    <mergeCell ref="AI60:AK60"/>
    <mergeCell ref="AL60:AN60"/>
    <mergeCell ref="AO60:AQ60"/>
    <mergeCell ref="AR60:BJ60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7:BJ57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5:BJ55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3:BJ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L50:AN50"/>
    <mergeCell ref="AO50:AQ50"/>
    <mergeCell ref="AR50:BJ50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44:C44"/>
    <mergeCell ref="D44:T44"/>
    <mergeCell ref="A50:C50"/>
    <mergeCell ref="D50:T50"/>
    <mergeCell ref="U50:Y50"/>
    <mergeCell ref="Z50:AB50"/>
    <mergeCell ref="AC50:AE50"/>
    <mergeCell ref="AF50:AH50"/>
    <mergeCell ref="AI50:AK50"/>
    <mergeCell ref="U44:Y44"/>
    <mergeCell ref="Z44:AB44"/>
    <mergeCell ref="AC44:AE44"/>
    <mergeCell ref="AF44:AH44"/>
    <mergeCell ref="AI44:AK44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C41:AE41"/>
    <mergeCell ref="AF41:AH41"/>
    <mergeCell ref="AI41:AK41"/>
    <mergeCell ref="AL41:AN41"/>
    <mergeCell ref="AO41:AQ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43:C43"/>
    <mergeCell ref="D43:T43"/>
    <mergeCell ref="U43:Y43"/>
    <mergeCell ref="Z43:AB43"/>
    <mergeCell ref="AR38:BJ38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45:BJ45"/>
    <mergeCell ref="AR46:BJ46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9:BJ49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6:K6"/>
    <mergeCell ref="L6:AA6"/>
    <mergeCell ref="AB6:AJ6"/>
    <mergeCell ref="AK6:AN6"/>
    <mergeCell ref="AO6:AW6"/>
    <mergeCell ref="AX6:BA6"/>
    <mergeCell ref="BB6:BE6"/>
    <mergeCell ref="BF6:BJ6"/>
    <mergeCell ref="AI17:AK17"/>
    <mergeCell ref="AL17:AN17"/>
    <mergeCell ref="AO17:AQ17"/>
    <mergeCell ref="A17:C17"/>
    <mergeCell ref="D17:T17"/>
    <mergeCell ref="U17:Y17"/>
    <mergeCell ref="Z17:AB17"/>
    <mergeCell ref="AC17:AE17"/>
    <mergeCell ref="AF17:AH17"/>
    <mergeCell ref="AR17:BJ17"/>
    <mergeCell ref="A7:K7"/>
    <mergeCell ref="BI7:BJ7"/>
    <mergeCell ref="L7:AJ7"/>
    <mergeCell ref="AK7:AR7"/>
    <mergeCell ref="AS7:AX7"/>
    <mergeCell ref="BC7:BD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7:C67"/>
    <mergeCell ref="AR67:BJ67"/>
    <mergeCell ref="AC67:AE67"/>
    <mergeCell ref="AF67:AH67"/>
    <mergeCell ref="AI67:AK67"/>
    <mergeCell ref="AL67:AN67"/>
    <mergeCell ref="AO67:AQ67"/>
    <mergeCell ref="D67:T67"/>
    <mergeCell ref="U67:Y67"/>
    <mergeCell ref="Z67:AB67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41:BJ41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41:C41"/>
    <mergeCell ref="D41:T41"/>
    <mergeCell ref="U41:Y41"/>
    <mergeCell ref="Z41:AB41"/>
    <mergeCell ref="BE7:BH7"/>
    <mergeCell ref="AC43:AE43"/>
    <mergeCell ref="AF43:AH43"/>
    <mergeCell ref="AI43:AK43"/>
    <mergeCell ref="AL43:AN43"/>
    <mergeCell ref="AR42:BJ42"/>
    <mergeCell ref="AO43:AQ43"/>
    <mergeCell ref="AR43:BJ43"/>
    <mergeCell ref="AR32:BJ32"/>
    <mergeCell ref="AR33:BJ33"/>
    <mergeCell ref="AR18:BJ18"/>
    <mergeCell ref="AR19:BJ19"/>
    <mergeCell ref="AR20:BJ20"/>
    <mergeCell ref="AR21:BJ21"/>
    <mergeCell ref="AR22:BJ22"/>
    <mergeCell ref="AR24:BJ24"/>
    <mergeCell ref="AR25:BJ25"/>
    <mergeCell ref="AR26:BJ26"/>
    <mergeCell ref="AR27:BJ27"/>
    <mergeCell ref="AR28:BJ28"/>
    <mergeCell ref="AR29:BJ29"/>
    <mergeCell ref="AR30:BJ30"/>
    <mergeCell ref="AR31:BJ31"/>
    <mergeCell ref="AR23:BJ23"/>
    <mergeCell ref="AL66:AN66"/>
    <mergeCell ref="AO66:AQ66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L44:AN44"/>
    <mergeCell ref="AO44:AQ44"/>
    <mergeCell ref="AR44:BJ44"/>
    <mergeCell ref="AR34:BJ34"/>
    <mergeCell ref="AR36:BJ36"/>
    <mergeCell ref="AR37:BJ37"/>
    <mergeCell ref="AR40:BJ40"/>
    <mergeCell ref="Z62:AB62"/>
    <mergeCell ref="AC62:AE62"/>
    <mergeCell ref="AF62:AH62"/>
    <mergeCell ref="AI62:AK62"/>
    <mergeCell ref="AL62:AN62"/>
    <mergeCell ref="AO62:AQ62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R62:BJ62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A62:C62"/>
    <mergeCell ref="D62:T62"/>
    <mergeCell ref="U62:Y62"/>
  </mergeCells>
  <phoneticPr fontId="1"/>
  <dataValidations count="6">
    <dataValidation type="list" allowBlank="1" showInputMessage="1" showErrorMessage="1" sqref="BC15 BC7:BC9 BI7:BI9 BI15 AL18:AQ67 AC18:AH6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BF7D8769-186C-47CD-B56E-3E6FA6CCFAF7}">
      <formula1>"utf-8,Shift jis"</formula1>
    </dataValidation>
    <dataValidation type="list" allowBlank="1" showInputMessage="1" sqref="AS11:BJ11" xr:uid="{11957C3D-1A86-4B0E-B6B0-DBF8BE0C0108}">
      <formula1>"昇順, 降順"</formula1>
    </dataValidation>
    <dataValidation type="list" allowBlank="1" showInputMessage="1" sqref="AS12:BJ14" xr:uid="{A490941B-3151-4EDB-A9F3-FD2FB845D0DA}">
      <formula1>"昇順,降順"</formula1>
    </dataValidation>
    <dataValidation type="list" allowBlank="1" showInputMessage="1" showErrorMessage="1" sqref="AI18:AK67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5"/>
  <dimension ref="A1:BJ6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36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37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213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44" t="s">
        <v>212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2" customFormat="1" ht="6" customHeight="1"/>
    <row r="6" spans="1:62" s="14" customFormat="1" ht="20.25" customHeight="1">
      <c r="A6" s="91" t="s">
        <v>12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206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3"/>
      <c r="AB6" s="91" t="s">
        <v>13</v>
      </c>
      <c r="AC6" s="92"/>
      <c r="AD6" s="92"/>
      <c r="AE6" s="92"/>
      <c r="AF6" s="92"/>
      <c r="AG6" s="92"/>
      <c r="AH6" s="92"/>
      <c r="AI6" s="92"/>
      <c r="AJ6" s="93"/>
      <c r="AK6" s="91" t="s">
        <v>38</v>
      </c>
      <c r="AL6" s="92"/>
      <c r="AM6" s="92"/>
      <c r="AN6" s="93"/>
      <c r="AO6" s="91" t="s">
        <v>15</v>
      </c>
      <c r="AP6" s="92"/>
      <c r="AQ6" s="92"/>
      <c r="AR6" s="92"/>
      <c r="AS6" s="92"/>
      <c r="AT6" s="92"/>
      <c r="AU6" s="92"/>
      <c r="AV6" s="92"/>
      <c r="AW6" s="93"/>
      <c r="AX6" s="91" t="s">
        <v>14</v>
      </c>
      <c r="AY6" s="92"/>
      <c r="AZ6" s="92"/>
      <c r="BA6" s="93"/>
      <c r="BB6" s="81" t="s">
        <v>16</v>
      </c>
      <c r="BC6" s="81"/>
      <c r="BD6" s="81"/>
      <c r="BE6" s="81"/>
      <c r="BF6" s="81">
        <f>COUNTA(D10:D432)</f>
        <v>44</v>
      </c>
      <c r="BG6" s="81"/>
      <c r="BH6" s="81"/>
      <c r="BI6" s="81"/>
      <c r="BJ6" s="81"/>
    </row>
    <row r="7" spans="1:62" s="14" customFormat="1" ht="20.25" customHeight="1">
      <c r="A7" s="91" t="s">
        <v>17</v>
      </c>
      <c r="B7" s="92"/>
      <c r="C7" s="92"/>
      <c r="D7" s="92"/>
      <c r="E7" s="92"/>
      <c r="F7" s="92"/>
      <c r="G7" s="92"/>
      <c r="H7" s="92"/>
      <c r="I7" s="92"/>
      <c r="J7" s="92"/>
      <c r="K7" s="93"/>
      <c r="L7" s="91" t="s">
        <v>126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3"/>
      <c r="AK7" s="91" t="s">
        <v>204</v>
      </c>
      <c r="AL7" s="92"/>
      <c r="AM7" s="92"/>
      <c r="AN7" s="92"/>
      <c r="AO7" s="92"/>
      <c r="AP7" s="92"/>
      <c r="AQ7" s="92"/>
      <c r="AR7" s="93"/>
      <c r="AS7" s="91" t="s">
        <v>214</v>
      </c>
      <c r="AT7" s="92"/>
      <c r="AU7" s="92"/>
      <c r="AV7" s="92"/>
      <c r="AW7" s="92"/>
      <c r="AX7" s="93"/>
      <c r="AY7" s="33" t="s">
        <v>18</v>
      </c>
      <c r="AZ7" s="34"/>
      <c r="BA7" s="34"/>
      <c r="BB7" s="34"/>
      <c r="BC7" s="91" t="s">
        <v>19</v>
      </c>
      <c r="BD7" s="93"/>
      <c r="BE7" s="91" t="s">
        <v>20</v>
      </c>
      <c r="BF7" s="92"/>
      <c r="BG7" s="92"/>
      <c r="BH7" s="93"/>
      <c r="BI7" s="91"/>
      <c r="BJ7" s="93"/>
    </row>
    <row r="8" spans="1:62" s="4" customFormat="1">
      <c r="B8" s="29" t="s">
        <v>21</v>
      </c>
      <c r="G8" s="5"/>
    </row>
    <row r="9" spans="1:62" s="14" customFormat="1" ht="42" customHeight="1">
      <c r="A9" s="91" t="s">
        <v>22</v>
      </c>
      <c r="B9" s="92"/>
      <c r="C9" s="93"/>
      <c r="D9" s="91" t="s">
        <v>39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3"/>
      <c r="U9" s="102" t="s">
        <v>24</v>
      </c>
      <c r="V9" s="103"/>
      <c r="W9" s="103"/>
      <c r="X9" s="103"/>
      <c r="Y9" s="104"/>
      <c r="Z9" s="102" t="s">
        <v>25</v>
      </c>
      <c r="AA9" s="103"/>
      <c r="AB9" s="104"/>
      <c r="AC9" s="91" t="s">
        <v>40</v>
      </c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3"/>
    </row>
    <row r="10" spans="1:62" s="13" customFormat="1" ht="40.200000000000003" customHeight="1">
      <c r="A10" s="68">
        <f t="shared" ref="A10:A53" si="0">ROW()-9</f>
        <v>1</v>
      </c>
      <c r="B10" s="68"/>
      <c r="C10" s="68"/>
      <c r="D10" s="69" t="s">
        <v>54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1"/>
      <c r="U10" s="72" t="s">
        <v>32</v>
      </c>
      <c r="V10" s="73"/>
      <c r="W10" s="73"/>
      <c r="X10" s="73"/>
      <c r="Y10" s="74"/>
      <c r="Z10" s="72">
        <v>6</v>
      </c>
      <c r="AA10" s="73"/>
      <c r="AB10" s="74"/>
      <c r="AC10" s="35" t="s">
        <v>127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40.200000000000003" customHeight="1">
      <c r="A11" s="68">
        <f t="shared" si="0"/>
        <v>2</v>
      </c>
      <c r="B11" s="68"/>
      <c r="C11" s="68"/>
      <c r="D11" s="69" t="s">
        <v>56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1"/>
      <c r="U11" s="72" t="s">
        <v>32</v>
      </c>
      <c r="V11" s="73"/>
      <c r="W11" s="73"/>
      <c r="X11" s="73"/>
      <c r="Y11" s="74"/>
      <c r="Z11" s="72">
        <v>1</v>
      </c>
      <c r="AA11" s="73"/>
      <c r="AB11" s="74"/>
      <c r="AC11" s="36" t="s">
        <v>128</v>
      </c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3" customFormat="1" ht="40.200000000000003" customHeight="1">
      <c r="A12" s="68">
        <f t="shared" si="0"/>
        <v>3</v>
      </c>
      <c r="B12" s="68"/>
      <c r="C12" s="68"/>
      <c r="D12" s="69" t="s">
        <v>58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1"/>
      <c r="U12" s="72" t="s">
        <v>32</v>
      </c>
      <c r="V12" s="73"/>
      <c r="W12" s="73"/>
      <c r="X12" s="73"/>
      <c r="Y12" s="74"/>
      <c r="Z12" s="72">
        <v>6</v>
      </c>
      <c r="AA12" s="73"/>
      <c r="AB12" s="74"/>
      <c r="AC12" s="36" t="s">
        <v>129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2"/>
    </row>
    <row r="13" spans="1:62" s="13" customFormat="1" ht="40.200000000000003" customHeight="1">
      <c r="A13" s="68">
        <f t="shared" si="0"/>
        <v>4</v>
      </c>
      <c r="B13" s="68"/>
      <c r="C13" s="68"/>
      <c r="D13" s="69" t="s">
        <v>33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1"/>
      <c r="U13" s="72" t="s">
        <v>34</v>
      </c>
      <c r="V13" s="73"/>
      <c r="W13" s="73"/>
      <c r="X13" s="73"/>
      <c r="Y13" s="74"/>
      <c r="Z13" s="72">
        <v>30</v>
      </c>
      <c r="AA13" s="73"/>
      <c r="AB13" s="74"/>
      <c r="AC13" s="30" t="s">
        <v>126</v>
      </c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</row>
    <row r="14" spans="1:62" s="13" customFormat="1" ht="40.200000000000003" customHeight="1">
      <c r="A14" s="68">
        <f t="shared" si="0"/>
        <v>5</v>
      </c>
      <c r="B14" s="68"/>
      <c r="C14" s="68"/>
      <c r="D14" s="69" t="s">
        <v>60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1"/>
      <c r="U14" s="72" t="s">
        <v>32</v>
      </c>
      <c r="V14" s="73"/>
      <c r="W14" s="73"/>
      <c r="X14" s="73"/>
      <c r="Y14" s="74"/>
      <c r="Z14" s="72">
        <v>1</v>
      </c>
      <c r="AA14" s="73"/>
      <c r="AB14" s="74"/>
      <c r="AC14" s="36" t="s">
        <v>132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2"/>
    </row>
    <row r="15" spans="1:62" s="13" customFormat="1" ht="40.200000000000003" customHeight="1">
      <c r="A15" s="68">
        <f t="shared" si="0"/>
        <v>6</v>
      </c>
      <c r="B15" s="68"/>
      <c r="C15" s="68"/>
      <c r="D15" s="69" t="s">
        <v>198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1"/>
      <c r="U15" s="72" t="s">
        <v>34</v>
      </c>
      <c r="V15" s="73"/>
      <c r="W15" s="73"/>
      <c r="X15" s="73"/>
      <c r="Y15" s="74"/>
      <c r="Z15" s="72">
        <v>10</v>
      </c>
      <c r="AA15" s="73"/>
      <c r="AB15" s="74"/>
      <c r="AC15" s="36" t="s">
        <v>199</v>
      </c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2"/>
    </row>
    <row r="16" spans="1:62" s="13" customFormat="1" ht="40.200000000000003" customHeight="1">
      <c r="A16" s="68">
        <f t="shared" si="0"/>
        <v>7</v>
      </c>
      <c r="B16" s="68"/>
      <c r="C16" s="68"/>
      <c r="D16" s="69" t="s">
        <v>101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72" t="s">
        <v>35</v>
      </c>
      <c r="V16" s="73"/>
      <c r="W16" s="73"/>
      <c r="X16" s="73"/>
      <c r="Y16" s="74"/>
      <c r="Z16" s="72">
        <v>1</v>
      </c>
      <c r="AA16" s="73"/>
      <c r="AB16" s="74"/>
      <c r="AC16" s="36" t="s">
        <v>137</v>
      </c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2"/>
    </row>
    <row r="17" spans="1:62" s="13" customFormat="1" ht="40.200000000000003" customHeight="1">
      <c r="A17" s="72">
        <f t="shared" si="0"/>
        <v>8</v>
      </c>
      <c r="B17" s="73"/>
      <c r="C17" s="74"/>
      <c r="D17" s="69" t="s">
        <v>102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1"/>
      <c r="U17" s="72" t="s">
        <v>35</v>
      </c>
      <c r="V17" s="73"/>
      <c r="W17" s="73"/>
      <c r="X17" s="73"/>
      <c r="Y17" s="74"/>
      <c r="Z17" s="72">
        <v>2</v>
      </c>
      <c r="AA17" s="73"/>
      <c r="AB17" s="74"/>
      <c r="AC17" s="36" t="s">
        <v>135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</row>
    <row r="18" spans="1:62" s="13" customFormat="1" ht="40.200000000000003" customHeight="1">
      <c r="A18" s="72">
        <f t="shared" si="0"/>
        <v>9</v>
      </c>
      <c r="B18" s="73"/>
      <c r="C18" s="74"/>
      <c r="D18" s="69" t="s">
        <v>105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1"/>
      <c r="U18" s="72" t="s">
        <v>34</v>
      </c>
      <c r="V18" s="73"/>
      <c r="W18" s="73"/>
      <c r="X18" s="73"/>
      <c r="Y18" s="74"/>
      <c r="Z18" s="72">
        <v>10</v>
      </c>
      <c r="AA18" s="73"/>
      <c r="AB18" s="74"/>
      <c r="AC18" s="30" t="s">
        <v>139</v>
      </c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2"/>
    </row>
    <row r="19" spans="1:62" s="13" customFormat="1" ht="40.200000000000003" customHeight="1">
      <c r="A19" s="72">
        <f t="shared" si="0"/>
        <v>10</v>
      </c>
      <c r="B19" s="73"/>
      <c r="C19" s="74"/>
      <c r="D19" s="69" t="s">
        <v>106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1"/>
      <c r="U19" s="72" t="s">
        <v>35</v>
      </c>
      <c r="V19" s="73"/>
      <c r="W19" s="73"/>
      <c r="X19" s="73"/>
      <c r="Y19" s="74"/>
      <c r="Z19" s="72">
        <v>2</v>
      </c>
      <c r="AA19" s="73"/>
      <c r="AB19" s="74"/>
      <c r="AC19" s="36" t="s">
        <v>141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2"/>
    </row>
    <row r="20" spans="1:62" s="13" customFormat="1" ht="40.200000000000003" customHeight="1">
      <c r="A20" s="72">
        <f t="shared" si="0"/>
        <v>11</v>
      </c>
      <c r="B20" s="73"/>
      <c r="C20" s="74"/>
      <c r="D20" s="69" t="s">
        <v>107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1"/>
      <c r="U20" s="72" t="s">
        <v>32</v>
      </c>
      <c r="V20" s="73"/>
      <c r="W20" s="73"/>
      <c r="X20" s="73"/>
      <c r="Y20" s="74"/>
      <c r="Z20" s="72">
        <v>6</v>
      </c>
      <c r="AA20" s="73"/>
      <c r="AB20" s="74"/>
      <c r="AC20" s="36" t="s">
        <v>143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2"/>
    </row>
    <row r="21" spans="1:62" s="13" customFormat="1" ht="40.200000000000003" customHeight="1">
      <c r="A21" s="68">
        <f t="shared" si="0"/>
        <v>12</v>
      </c>
      <c r="B21" s="68"/>
      <c r="C21" s="68"/>
      <c r="D21" s="69" t="s">
        <v>108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1"/>
      <c r="U21" s="72" t="s">
        <v>32</v>
      </c>
      <c r="V21" s="73"/>
      <c r="W21" s="73"/>
      <c r="X21" s="73"/>
      <c r="Y21" s="74"/>
      <c r="Z21" s="72">
        <v>8</v>
      </c>
      <c r="AA21" s="73"/>
      <c r="AB21" s="74"/>
      <c r="AC21" s="36" t="s">
        <v>147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2"/>
    </row>
    <row r="22" spans="1:62" s="13" customFormat="1" ht="40.200000000000003" customHeight="1">
      <c r="A22" s="72">
        <f t="shared" si="0"/>
        <v>13</v>
      </c>
      <c r="B22" s="73"/>
      <c r="C22" s="74"/>
      <c r="D22" s="69" t="s">
        <v>110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1"/>
      <c r="U22" s="72" t="s">
        <v>35</v>
      </c>
      <c r="V22" s="73"/>
      <c r="W22" s="73"/>
      <c r="X22" s="73"/>
      <c r="Y22" s="74"/>
      <c r="Z22" s="72">
        <v>8</v>
      </c>
      <c r="AA22" s="73"/>
      <c r="AB22" s="74"/>
      <c r="AC22" s="36" t="s">
        <v>149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2"/>
    </row>
    <row r="23" spans="1:62" s="13" customFormat="1" ht="40.200000000000003" customHeight="1">
      <c r="A23" s="72">
        <f t="shared" si="0"/>
        <v>14</v>
      </c>
      <c r="B23" s="73"/>
      <c r="C23" s="74"/>
      <c r="D23" s="69" t="s">
        <v>111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1"/>
      <c r="U23" s="72" t="s">
        <v>35</v>
      </c>
      <c r="V23" s="73"/>
      <c r="W23" s="73"/>
      <c r="X23" s="73"/>
      <c r="Y23" s="74"/>
      <c r="Z23" s="72">
        <v>10</v>
      </c>
      <c r="AA23" s="73"/>
      <c r="AB23" s="74"/>
      <c r="AC23" s="36" t="s">
        <v>151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2"/>
    </row>
    <row r="24" spans="1:62" s="13" customFormat="1" ht="40.200000000000003" customHeight="1">
      <c r="A24" s="72">
        <f t="shared" si="0"/>
        <v>15</v>
      </c>
      <c r="B24" s="73"/>
      <c r="C24" s="74"/>
      <c r="D24" s="69" t="s">
        <v>112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  <c r="U24" s="72" t="s">
        <v>32</v>
      </c>
      <c r="V24" s="73"/>
      <c r="W24" s="73"/>
      <c r="X24" s="73"/>
      <c r="Y24" s="74"/>
      <c r="Z24" s="72">
        <v>2</v>
      </c>
      <c r="AA24" s="73"/>
      <c r="AB24" s="74"/>
      <c r="AC24" s="30" t="s">
        <v>152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2"/>
    </row>
    <row r="25" spans="1:62" s="13" customFormat="1" ht="40.200000000000003" customHeight="1">
      <c r="A25" s="72">
        <f t="shared" si="0"/>
        <v>16</v>
      </c>
      <c r="B25" s="73"/>
      <c r="C25" s="74"/>
      <c r="D25" s="69" t="s">
        <v>114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  <c r="U25" s="72" t="s">
        <v>35</v>
      </c>
      <c r="V25" s="73"/>
      <c r="W25" s="73"/>
      <c r="X25" s="73"/>
      <c r="Y25" s="74"/>
      <c r="Z25" s="72">
        <v>1</v>
      </c>
      <c r="AA25" s="73"/>
      <c r="AB25" s="74"/>
      <c r="AC25" s="30" t="s">
        <v>153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2"/>
    </row>
    <row r="26" spans="1:62" s="13" customFormat="1" ht="40.200000000000003" customHeight="1">
      <c r="A26" s="68">
        <f t="shared" si="0"/>
        <v>17</v>
      </c>
      <c r="B26" s="68"/>
      <c r="C26" s="68"/>
      <c r="D26" s="69" t="s">
        <v>115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1"/>
      <c r="U26" s="72" t="s">
        <v>35</v>
      </c>
      <c r="V26" s="73"/>
      <c r="W26" s="73"/>
      <c r="X26" s="73"/>
      <c r="Y26" s="74"/>
      <c r="Z26" s="72">
        <v>6</v>
      </c>
      <c r="AA26" s="73"/>
      <c r="AB26" s="74"/>
      <c r="AC26" s="30" t="s">
        <v>155</v>
      </c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</row>
    <row r="27" spans="1:62" s="13" customFormat="1" ht="40.200000000000003" customHeight="1">
      <c r="A27" s="68">
        <f t="shared" si="0"/>
        <v>18</v>
      </c>
      <c r="B27" s="68"/>
      <c r="C27" s="68"/>
      <c r="D27" s="69" t="s">
        <v>72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1"/>
      <c r="U27" s="72" t="s">
        <v>35</v>
      </c>
      <c r="V27" s="73"/>
      <c r="W27" s="73"/>
      <c r="X27" s="73"/>
      <c r="Y27" s="74"/>
      <c r="Z27" s="72">
        <v>1</v>
      </c>
      <c r="AA27" s="73"/>
      <c r="AB27" s="74"/>
      <c r="AC27" s="36" t="s">
        <v>128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2"/>
    </row>
    <row r="28" spans="1:62" s="13" customFormat="1" ht="40.200000000000003" customHeight="1">
      <c r="A28" s="68">
        <f t="shared" si="0"/>
        <v>19</v>
      </c>
      <c r="B28" s="68"/>
      <c r="C28" s="68"/>
      <c r="D28" s="69" t="s">
        <v>116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1"/>
      <c r="U28" s="72" t="s">
        <v>35</v>
      </c>
      <c r="V28" s="73"/>
      <c r="W28" s="73"/>
      <c r="X28" s="73"/>
      <c r="Y28" s="74"/>
      <c r="Z28" s="72">
        <v>20</v>
      </c>
      <c r="AA28" s="73"/>
      <c r="AB28" s="74"/>
      <c r="AC28" s="30" t="s">
        <v>154</v>
      </c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2"/>
    </row>
    <row r="29" spans="1:62" s="13" customFormat="1" ht="40.200000000000003" customHeight="1">
      <c r="A29" s="68">
        <f t="shared" si="0"/>
        <v>20</v>
      </c>
      <c r="B29" s="68"/>
      <c r="C29" s="68"/>
      <c r="D29" s="69" t="s">
        <v>67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1"/>
      <c r="U29" s="72" t="s">
        <v>32</v>
      </c>
      <c r="V29" s="73"/>
      <c r="W29" s="73"/>
      <c r="X29" s="73"/>
      <c r="Y29" s="74"/>
      <c r="Z29" s="72">
        <v>14</v>
      </c>
      <c r="AA29" s="73"/>
      <c r="AB29" s="74"/>
      <c r="AC29" s="36" t="s">
        <v>156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</row>
    <row r="30" spans="1:62" s="13" customFormat="1" ht="40.200000000000003" customHeight="1">
      <c r="A30" s="72">
        <f t="shared" si="0"/>
        <v>21</v>
      </c>
      <c r="B30" s="73"/>
      <c r="C30" s="74"/>
      <c r="D30" s="69" t="s">
        <v>69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1"/>
      <c r="U30" s="72" t="s">
        <v>32</v>
      </c>
      <c r="V30" s="73"/>
      <c r="W30" s="73"/>
      <c r="X30" s="73"/>
      <c r="Y30" s="74"/>
      <c r="Z30" s="72">
        <v>14</v>
      </c>
      <c r="AA30" s="73"/>
      <c r="AB30" s="74"/>
      <c r="AC30" s="36" t="s">
        <v>157</v>
      </c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</row>
    <row r="31" spans="1:62" s="13" customFormat="1" ht="40.200000000000003" customHeight="1">
      <c r="A31" s="72">
        <f t="shared" si="0"/>
        <v>22</v>
      </c>
      <c r="B31" s="73"/>
      <c r="C31" s="74"/>
      <c r="D31" s="69" t="s">
        <v>97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1"/>
      <c r="U31" s="72" t="s">
        <v>32</v>
      </c>
      <c r="V31" s="73"/>
      <c r="W31" s="73"/>
      <c r="X31" s="73"/>
      <c r="Y31" s="74"/>
      <c r="Z31" s="72">
        <v>14</v>
      </c>
      <c r="AA31" s="73"/>
      <c r="AB31" s="74"/>
      <c r="AC31" s="36" t="s">
        <v>158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</row>
    <row r="32" spans="1:62" s="13" customFormat="1" ht="40.200000000000003" customHeight="1">
      <c r="A32" s="72">
        <f t="shared" si="0"/>
        <v>23</v>
      </c>
      <c r="B32" s="73"/>
      <c r="C32" s="74"/>
      <c r="D32" s="69" t="s">
        <v>98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1"/>
      <c r="U32" s="72" t="s">
        <v>32</v>
      </c>
      <c r="V32" s="73"/>
      <c r="W32" s="73"/>
      <c r="X32" s="73"/>
      <c r="Y32" s="74"/>
      <c r="Z32" s="72">
        <v>14</v>
      </c>
      <c r="AA32" s="73"/>
      <c r="AB32" s="74"/>
      <c r="AC32" s="36" t="s">
        <v>159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</row>
    <row r="33" spans="1:62" s="13" customFormat="1" ht="40.200000000000003" customHeight="1">
      <c r="A33" s="72">
        <f t="shared" si="0"/>
        <v>24</v>
      </c>
      <c r="B33" s="73"/>
      <c r="C33" s="74"/>
      <c r="D33" s="69" t="s">
        <v>71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1"/>
      <c r="U33" s="72" t="s">
        <v>32</v>
      </c>
      <c r="V33" s="73"/>
      <c r="W33" s="73"/>
      <c r="X33" s="73"/>
      <c r="Y33" s="74"/>
      <c r="Z33" s="72">
        <v>13</v>
      </c>
      <c r="AA33" s="73"/>
      <c r="AB33" s="74"/>
      <c r="AC33" s="36" t="s">
        <v>160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</row>
    <row r="34" spans="1:62" s="13" customFormat="1" ht="40.200000000000003" customHeight="1">
      <c r="A34" s="68">
        <f t="shared" si="0"/>
        <v>25</v>
      </c>
      <c r="B34" s="68"/>
      <c r="C34" s="68"/>
      <c r="D34" s="69" t="s">
        <v>74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1"/>
      <c r="U34" s="72" t="s">
        <v>35</v>
      </c>
      <c r="V34" s="73"/>
      <c r="W34" s="73"/>
      <c r="X34" s="73"/>
      <c r="Y34" s="74"/>
      <c r="Z34" s="72">
        <v>7</v>
      </c>
      <c r="AA34" s="73"/>
      <c r="AB34" s="74"/>
      <c r="AC34" s="36" t="s">
        <v>161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2"/>
    </row>
    <row r="35" spans="1:62" s="13" customFormat="1" ht="40.200000000000003" customHeight="1">
      <c r="A35" s="72">
        <f t="shared" si="0"/>
        <v>26</v>
      </c>
      <c r="B35" s="73"/>
      <c r="C35" s="74"/>
      <c r="D35" s="69" t="s">
        <v>118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1"/>
      <c r="U35" s="72" t="s">
        <v>35</v>
      </c>
      <c r="V35" s="73"/>
      <c r="W35" s="73"/>
      <c r="X35" s="73"/>
      <c r="Y35" s="74"/>
      <c r="Z35" s="72">
        <v>1</v>
      </c>
      <c r="AA35" s="73"/>
      <c r="AB35" s="74"/>
      <c r="AC35" s="36" t="s">
        <v>128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2"/>
    </row>
    <row r="36" spans="1:62" s="13" customFormat="1" ht="40.200000000000003" customHeight="1">
      <c r="A36" s="72">
        <f t="shared" si="0"/>
        <v>27</v>
      </c>
      <c r="B36" s="73"/>
      <c r="C36" s="74"/>
      <c r="D36" s="69" t="s">
        <v>120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1"/>
      <c r="U36" s="72" t="s">
        <v>35</v>
      </c>
      <c r="V36" s="73"/>
      <c r="W36" s="73"/>
      <c r="X36" s="73"/>
      <c r="Y36" s="74"/>
      <c r="Z36" s="72">
        <v>4</v>
      </c>
      <c r="AA36" s="73"/>
      <c r="AB36" s="74"/>
      <c r="AC36" s="30" t="s">
        <v>162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2"/>
    </row>
    <row r="37" spans="1:62" s="13" customFormat="1" ht="40.200000000000003" customHeight="1">
      <c r="A37" s="72">
        <f t="shared" si="0"/>
        <v>28</v>
      </c>
      <c r="B37" s="73"/>
      <c r="C37" s="74"/>
      <c r="D37" s="69" t="s">
        <v>63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1"/>
      <c r="U37" s="72" t="s">
        <v>32</v>
      </c>
      <c r="V37" s="73"/>
      <c r="W37" s="73"/>
      <c r="X37" s="73"/>
      <c r="Y37" s="74"/>
      <c r="Z37" s="72">
        <v>6</v>
      </c>
      <c r="AA37" s="73"/>
      <c r="AB37" s="74"/>
      <c r="AC37" s="36" t="s">
        <v>143</v>
      </c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2"/>
    </row>
    <row r="38" spans="1:62" s="13" customFormat="1" ht="40.200000000000003" customHeight="1">
      <c r="A38" s="72">
        <f t="shared" si="0"/>
        <v>29</v>
      </c>
      <c r="B38" s="73"/>
      <c r="C38" s="74"/>
      <c r="D38" s="69" t="s">
        <v>65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2" t="s">
        <v>32</v>
      </c>
      <c r="V38" s="73"/>
      <c r="W38" s="73"/>
      <c r="X38" s="73"/>
      <c r="Y38" s="74"/>
      <c r="Z38" s="72">
        <v>8</v>
      </c>
      <c r="AA38" s="73"/>
      <c r="AB38" s="74"/>
      <c r="AC38" s="36" t="s">
        <v>145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2"/>
    </row>
    <row r="39" spans="1:62" s="13" customFormat="1" ht="40.200000000000003" customHeight="1">
      <c r="A39" s="68">
        <f t="shared" si="0"/>
        <v>30</v>
      </c>
      <c r="B39" s="68"/>
      <c r="C39" s="68"/>
      <c r="D39" s="69" t="s">
        <v>61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1"/>
      <c r="U39" s="72" t="s">
        <v>35</v>
      </c>
      <c r="V39" s="73"/>
      <c r="W39" s="73"/>
      <c r="X39" s="73"/>
      <c r="Y39" s="74"/>
      <c r="Z39" s="72">
        <v>4</v>
      </c>
      <c r="AA39" s="73"/>
      <c r="AB39" s="74"/>
      <c r="AC39" s="36" t="s">
        <v>163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2"/>
    </row>
    <row r="40" spans="1:62" s="13" customFormat="1" ht="40.200000000000003" customHeight="1">
      <c r="A40" s="68">
        <f t="shared" si="0"/>
        <v>31</v>
      </c>
      <c r="B40" s="68"/>
      <c r="C40" s="68"/>
      <c r="D40" s="69" t="s">
        <v>121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1"/>
      <c r="U40" s="72" t="s">
        <v>35</v>
      </c>
      <c r="V40" s="73"/>
      <c r="W40" s="73"/>
      <c r="X40" s="73"/>
      <c r="Y40" s="74"/>
      <c r="Z40" s="72">
        <v>20</v>
      </c>
      <c r="AA40" s="73"/>
      <c r="AB40" s="74"/>
      <c r="AC40" s="30" t="s">
        <v>165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2"/>
    </row>
    <row r="41" spans="1:62" s="13" customFormat="1" ht="40.200000000000003" customHeight="1">
      <c r="A41" s="68">
        <f t="shared" si="0"/>
        <v>32</v>
      </c>
      <c r="B41" s="68"/>
      <c r="C41" s="68"/>
      <c r="D41" s="69" t="s">
        <v>122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1"/>
      <c r="U41" s="72" t="s">
        <v>35</v>
      </c>
      <c r="V41" s="73"/>
      <c r="W41" s="73"/>
      <c r="X41" s="73"/>
      <c r="Y41" s="74"/>
      <c r="Z41" s="72">
        <v>2</v>
      </c>
      <c r="AA41" s="73"/>
      <c r="AB41" s="74"/>
      <c r="AC41" s="30" t="s">
        <v>167</v>
      </c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</row>
    <row r="42" spans="1:62" s="13" customFormat="1" ht="40.200000000000003" customHeight="1">
      <c r="A42" s="68">
        <f t="shared" si="0"/>
        <v>33</v>
      </c>
      <c r="B42" s="68"/>
      <c r="C42" s="68"/>
      <c r="D42" s="69" t="s">
        <v>75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1"/>
      <c r="U42" s="72" t="s">
        <v>32</v>
      </c>
      <c r="V42" s="73"/>
      <c r="W42" s="73"/>
      <c r="X42" s="73"/>
      <c r="Y42" s="74"/>
      <c r="Z42" s="72">
        <v>8</v>
      </c>
      <c r="AA42" s="73"/>
      <c r="AB42" s="74"/>
      <c r="AC42" s="36" t="s">
        <v>168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2"/>
    </row>
    <row r="43" spans="1:62" s="13" customFormat="1" ht="40.200000000000003" customHeight="1">
      <c r="A43" s="72">
        <f t="shared" si="0"/>
        <v>34</v>
      </c>
      <c r="B43" s="73"/>
      <c r="C43" s="74"/>
      <c r="D43" s="69" t="s">
        <v>77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1"/>
      <c r="U43" s="72" t="s">
        <v>32</v>
      </c>
      <c r="V43" s="73"/>
      <c r="W43" s="73"/>
      <c r="X43" s="73"/>
      <c r="Y43" s="74"/>
      <c r="Z43" s="72">
        <v>6</v>
      </c>
      <c r="AA43" s="73"/>
      <c r="AB43" s="74"/>
      <c r="AC43" s="36" t="s">
        <v>127</v>
      </c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2"/>
    </row>
    <row r="44" spans="1:62" s="13" customFormat="1" ht="40.200000000000003" customHeight="1">
      <c r="A44" s="72">
        <f t="shared" si="0"/>
        <v>35</v>
      </c>
      <c r="B44" s="73"/>
      <c r="C44" s="74"/>
      <c r="D44" s="69" t="s">
        <v>79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1"/>
      <c r="U44" s="72" t="s">
        <v>32</v>
      </c>
      <c r="V44" s="73"/>
      <c r="W44" s="73"/>
      <c r="X44" s="73"/>
      <c r="Y44" s="74"/>
      <c r="Z44" s="72">
        <v>8</v>
      </c>
      <c r="AA44" s="73"/>
      <c r="AB44" s="74"/>
      <c r="AC44" s="36" t="s">
        <v>169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2"/>
    </row>
    <row r="45" spans="1:62" s="13" customFormat="1" ht="40.200000000000003" customHeight="1">
      <c r="A45" s="72">
        <f t="shared" si="0"/>
        <v>36</v>
      </c>
      <c r="B45" s="73"/>
      <c r="C45" s="74"/>
      <c r="D45" s="69" t="s">
        <v>81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1"/>
      <c r="U45" s="72" t="s">
        <v>32</v>
      </c>
      <c r="V45" s="73"/>
      <c r="W45" s="73"/>
      <c r="X45" s="73"/>
      <c r="Y45" s="74"/>
      <c r="Z45" s="72">
        <v>6</v>
      </c>
      <c r="AA45" s="73"/>
      <c r="AB45" s="74"/>
      <c r="AC45" s="36" t="s">
        <v>143</v>
      </c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2"/>
    </row>
    <row r="46" spans="1:62" s="13" customFormat="1" ht="40.200000000000003" customHeight="1">
      <c r="A46" s="72">
        <f t="shared" si="0"/>
        <v>37</v>
      </c>
      <c r="B46" s="73"/>
      <c r="C46" s="74"/>
      <c r="D46" s="69" t="s">
        <v>83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1"/>
      <c r="U46" s="72" t="s">
        <v>32</v>
      </c>
      <c r="V46" s="73"/>
      <c r="W46" s="73"/>
      <c r="X46" s="73"/>
      <c r="Y46" s="74"/>
      <c r="Z46" s="72">
        <v>8</v>
      </c>
      <c r="AA46" s="73"/>
      <c r="AB46" s="74"/>
      <c r="AC46" s="36" t="s">
        <v>170</v>
      </c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2"/>
    </row>
    <row r="47" spans="1:62" s="13" customFormat="1" ht="40.200000000000003" customHeight="1">
      <c r="A47" s="68">
        <f t="shared" si="0"/>
        <v>38</v>
      </c>
      <c r="B47" s="68"/>
      <c r="C47" s="68"/>
      <c r="D47" s="69" t="s">
        <v>85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1"/>
      <c r="U47" s="72" t="s">
        <v>32</v>
      </c>
      <c r="V47" s="73"/>
      <c r="W47" s="73"/>
      <c r="X47" s="73"/>
      <c r="Y47" s="74"/>
      <c r="Z47" s="72">
        <v>6</v>
      </c>
      <c r="AA47" s="73"/>
      <c r="AB47" s="74"/>
      <c r="AC47" s="36" t="s">
        <v>143</v>
      </c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2"/>
    </row>
    <row r="48" spans="1:62" s="13" customFormat="1" ht="40.200000000000003" customHeight="1">
      <c r="A48" s="72">
        <f t="shared" si="0"/>
        <v>39</v>
      </c>
      <c r="B48" s="73"/>
      <c r="C48" s="74"/>
      <c r="D48" s="69" t="s">
        <v>87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1"/>
      <c r="U48" s="72" t="s">
        <v>32</v>
      </c>
      <c r="V48" s="73"/>
      <c r="W48" s="73"/>
      <c r="X48" s="73"/>
      <c r="Y48" s="74"/>
      <c r="Z48" s="72">
        <v>8</v>
      </c>
      <c r="AA48" s="73"/>
      <c r="AB48" s="74"/>
      <c r="AC48" s="36" t="s">
        <v>170</v>
      </c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2"/>
    </row>
    <row r="49" spans="1:62" s="13" customFormat="1" ht="40.200000000000003" customHeight="1">
      <c r="A49" s="72">
        <f t="shared" si="0"/>
        <v>40</v>
      </c>
      <c r="B49" s="73"/>
      <c r="C49" s="74"/>
      <c r="D49" s="69" t="s">
        <v>89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1"/>
      <c r="U49" s="72" t="s">
        <v>35</v>
      </c>
      <c r="V49" s="73"/>
      <c r="W49" s="73"/>
      <c r="X49" s="73"/>
      <c r="Y49" s="74"/>
      <c r="Z49" s="72">
        <v>4</v>
      </c>
      <c r="AA49" s="73"/>
      <c r="AB49" s="74"/>
      <c r="AC49" s="36" t="s">
        <v>171</v>
      </c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2"/>
    </row>
    <row r="50" spans="1:62" s="13" customFormat="1" ht="40.200000000000003" customHeight="1">
      <c r="A50" s="72">
        <f t="shared" si="0"/>
        <v>41</v>
      </c>
      <c r="B50" s="73"/>
      <c r="C50" s="74"/>
      <c r="D50" s="69" t="s">
        <v>90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1"/>
      <c r="U50" s="72" t="s">
        <v>35</v>
      </c>
      <c r="V50" s="73"/>
      <c r="W50" s="73"/>
      <c r="X50" s="73"/>
      <c r="Y50" s="74"/>
      <c r="Z50" s="72">
        <v>3</v>
      </c>
      <c r="AA50" s="73"/>
      <c r="AB50" s="74"/>
      <c r="AC50" s="36" t="s">
        <v>172</v>
      </c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2"/>
    </row>
    <row r="51" spans="1:62" s="13" customFormat="1" ht="40.200000000000003" customHeight="1">
      <c r="A51" s="72">
        <f t="shared" si="0"/>
        <v>42</v>
      </c>
      <c r="B51" s="73"/>
      <c r="C51" s="74"/>
      <c r="D51" s="69" t="s">
        <v>91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1"/>
      <c r="U51" s="72" t="s">
        <v>35</v>
      </c>
      <c r="V51" s="73"/>
      <c r="W51" s="73"/>
      <c r="X51" s="73"/>
      <c r="Y51" s="74"/>
      <c r="Z51" s="72">
        <v>2</v>
      </c>
      <c r="AA51" s="73"/>
      <c r="AB51" s="74"/>
      <c r="AC51" s="36" t="s">
        <v>173</v>
      </c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2"/>
    </row>
    <row r="52" spans="1:62" s="13" customFormat="1" ht="40.200000000000003" customHeight="1">
      <c r="A52" s="72">
        <f t="shared" si="0"/>
        <v>43</v>
      </c>
      <c r="B52" s="73"/>
      <c r="C52" s="74"/>
      <c r="D52" s="69" t="s">
        <v>92</v>
      </c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1"/>
      <c r="U52" s="72" t="s">
        <v>35</v>
      </c>
      <c r="V52" s="73"/>
      <c r="W52" s="73"/>
      <c r="X52" s="73"/>
      <c r="Y52" s="74"/>
      <c r="Z52" s="72">
        <v>1</v>
      </c>
      <c r="AA52" s="73"/>
      <c r="AB52" s="74"/>
      <c r="AC52" s="36" t="s">
        <v>174</v>
      </c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2"/>
    </row>
    <row r="53" spans="1:62" s="13" customFormat="1" ht="40.200000000000003" customHeight="1">
      <c r="A53" s="68">
        <f t="shared" si="0"/>
        <v>44</v>
      </c>
      <c r="B53" s="68"/>
      <c r="C53" s="68"/>
      <c r="D53" s="69" t="s">
        <v>196</v>
      </c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1"/>
      <c r="U53" s="72" t="s">
        <v>34</v>
      </c>
      <c r="V53" s="73"/>
      <c r="W53" s="73"/>
      <c r="X53" s="73"/>
      <c r="Y53" s="74"/>
      <c r="Z53" s="72">
        <v>4</v>
      </c>
      <c r="AA53" s="73"/>
      <c r="AB53" s="74"/>
      <c r="AC53" s="36" t="s">
        <v>200</v>
      </c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2"/>
    </row>
    <row r="54" spans="1:62" s="13" customFormat="1" ht="40.200000000000003" customHeight="1">
      <c r="A54" s="68"/>
      <c r="B54" s="68"/>
      <c r="C54" s="68"/>
      <c r="D54" s="69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1"/>
      <c r="U54" s="72"/>
      <c r="V54" s="73"/>
      <c r="W54" s="73"/>
      <c r="X54" s="73"/>
      <c r="Y54" s="74"/>
      <c r="Z54" s="72"/>
      <c r="AA54" s="73"/>
      <c r="AB54" s="74"/>
      <c r="AC54" s="30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2"/>
    </row>
    <row r="55" spans="1:62" s="13" customFormat="1" ht="40.200000000000003" customHeight="1">
      <c r="A55" s="68"/>
      <c r="B55" s="68"/>
      <c r="C55" s="68"/>
      <c r="D55" s="69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1"/>
      <c r="U55" s="72"/>
      <c r="V55" s="73"/>
      <c r="W55" s="73"/>
      <c r="X55" s="73"/>
      <c r="Y55" s="74"/>
      <c r="Z55" s="72"/>
      <c r="AA55" s="73"/>
      <c r="AB55" s="74"/>
      <c r="AC55" s="30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2"/>
    </row>
    <row r="56" spans="1:62" s="13" customFormat="1" ht="40.200000000000003" customHeight="1">
      <c r="A56" s="68"/>
      <c r="B56" s="68"/>
      <c r="C56" s="68"/>
      <c r="D56" s="69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1"/>
      <c r="U56" s="72"/>
      <c r="V56" s="73"/>
      <c r="W56" s="73"/>
      <c r="X56" s="73"/>
      <c r="Y56" s="74"/>
      <c r="Z56" s="72"/>
      <c r="AA56" s="73"/>
      <c r="AB56" s="74"/>
      <c r="AC56" s="30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2"/>
    </row>
    <row r="57" spans="1:62" s="13" customFormat="1" ht="40.200000000000003" customHeight="1">
      <c r="A57" s="68"/>
      <c r="B57" s="68"/>
      <c r="C57" s="68"/>
      <c r="D57" s="69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1"/>
      <c r="U57" s="72"/>
      <c r="V57" s="73"/>
      <c r="W57" s="73"/>
      <c r="X57" s="73"/>
      <c r="Y57" s="74"/>
      <c r="Z57" s="72"/>
      <c r="AA57" s="73"/>
      <c r="AB57" s="74"/>
      <c r="AC57" s="30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2"/>
    </row>
    <row r="58" spans="1:62" s="13" customFormat="1" ht="40.200000000000003" customHeight="1">
      <c r="A58" s="68"/>
      <c r="B58" s="68"/>
      <c r="C58" s="68"/>
      <c r="D58" s="69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1"/>
      <c r="U58" s="72"/>
      <c r="V58" s="73"/>
      <c r="W58" s="73"/>
      <c r="X58" s="73"/>
      <c r="Y58" s="74"/>
      <c r="Z58" s="72"/>
      <c r="AA58" s="73"/>
      <c r="AB58" s="74"/>
      <c r="AC58" s="30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2"/>
    </row>
    <row r="59" spans="1:62" s="13" customFormat="1" ht="40.200000000000003" customHeight="1">
      <c r="A59" s="76"/>
      <c r="B59" s="76"/>
      <c r="C59" s="76"/>
      <c r="D59" s="99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1"/>
      <c r="U59" s="78"/>
      <c r="V59" s="79"/>
      <c r="W59" s="79"/>
      <c r="X59" s="79"/>
      <c r="Y59" s="80"/>
      <c r="Z59" s="78"/>
      <c r="AA59" s="79"/>
      <c r="AB59" s="80"/>
      <c r="AC59" s="41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3"/>
    </row>
    <row r="60" spans="1:62" ht="6.6" customHeight="1"/>
  </sheetData>
  <mergeCells count="231">
    <mergeCell ref="A15:C15"/>
    <mergeCell ref="D15:T15"/>
    <mergeCell ref="U15:Y15"/>
    <mergeCell ref="Z15:AB15"/>
    <mergeCell ref="A53:C53"/>
    <mergeCell ref="D53:T53"/>
    <mergeCell ref="U53:Y53"/>
    <mergeCell ref="Z53:AB53"/>
    <mergeCell ref="AX6:BA6"/>
    <mergeCell ref="AC9:BJ9"/>
    <mergeCell ref="A7:K7"/>
    <mergeCell ref="BI7:BJ7"/>
    <mergeCell ref="AS7:AX7"/>
    <mergeCell ref="BC7:BD7"/>
    <mergeCell ref="BE7:BH7"/>
    <mergeCell ref="A9:C9"/>
    <mergeCell ref="D9:T9"/>
    <mergeCell ref="U9:Y9"/>
    <mergeCell ref="Z9:AB9"/>
    <mergeCell ref="Z19:AB19"/>
    <mergeCell ref="A20:C20"/>
    <mergeCell ref="D20:T20"/>
    <mergeCell ref="U20:Y20"/>
    <mergeCell ref="BB6:BE6"/>
    <mergeCell ref="BF6:BJ6"/>
    <mergeCell ref="A6:K6"/>
    <mergeCell ref="L6:AA6"/>
    <mergeCell ref="AB6:AJ6"/>
    <mergeCell ref="AK6:AN6"/>
    <mergeCell ref="AO6:AW6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Z20:AB20"/>
    <mergeCell ref="A16:C16"/>
    <mergeCell ref="D16:T16"/>
    <mergeCell ref="U16:Y16"/>
    <mergeCell ref="Z16:AB16"/>
    <mergeCell ref="A17:C17"/>
    <mergeCell ref="D17:T17"/>
    <mergeCell ref="U17:Y17"/>
    <mergeCell ref="Z17:AB17"/>
    <mergeCell ref="A18:C18"/>
    <mergeCell ref="D18:T18"/>
    <mergeCell ref="U18:Y18"/>
    <mergeCell ref="Z18:AB18"/>
    <mergeCell ref="A19:C19"/>
    <mergeCell ref="D19:T19"/>
    <mergeCell ref="U19:Y19"/>
    <mergeCell ref="D10:T10"/>
    <mergeCell ref="D11:T11"/>
    <mergeCell ref="D13:T13"/>
    <mergeCell ref="D14:T14"/>
    <mergeCell ref="A12:C12"/>
    <mergeCell ref="D12:T12"/>
    <mergeCell ref="U12:Y12"/>
    <mergeCell ref="Z12:AB12"/>
    <mergeCell ref="A14:C14"/>
    <mergeCell ref="U14:Y14"/>
    <mergeCell ref="Z14:AB14"/>
    <mergeCell ref="A13:C13"/>
    <mergeCell ref="U13:Y13"/>
    <mergeCell ref="Z13:AB13"/>
    <mergeCell ref="A10:C10"/>
    <mergeCell ref="U10:Y10"/>
    <mergeCell ref="Z10:AB10"/>
    <mergeCell ref="A11:C11"/>
    <mergeCell ref="U11:Y11"/>
    <mergeCell ref="Z11:AB11"/>
    <mergeCell ref="A59:C59"/>
    <mergeCell ref="U59:Y59"/>
    <mergeCell ref="Z59:AB59"/>
    <mergeCell ref="A25:C25"/>
    <mergeCell ref="D25:T25"/>
    <mergeCell ref="U25:Y25"/>
    <mergeCell ref="Z25:AB25"/>
    <mergeCell ref="A26:C26"/>
    <mergeCell ref="D26:T26"/>
    <mergeCell ref="U26:Y26"/>
    <mergeCell ref="Z26:AB26"/>
    <mergeCell ref="D28:T28"/>
    <mergeCell ref="U28:Y28"/>
    <mergeCell ref="Z28:AB28"/>
    <mergeCell ref="A28:C28"/>
    <mergeCell ref="A35:C35"/>
    <mergeCell ref="D35:T35"/>
    <mergeCell ref="U35:Y35"/>
    <mergeCell ref="Z35:AB35"/>
    <mergeCell ref="A36:C36"/>
    <mergeCell ref="D36:T36"/>
    <mergeCell ref="U36:Y36"/>
    <mergeCell ref="Z36:AB36"/>
    <mergeCell ref="A33:C33"/>
    <mergeCell ref="A21:C21"/>
    <mergeCell ref="D21:T21"/>
    <mergeCell ref="U21:Y21"/>
    <mergeCell ref="Z21:AB21"/>
    <mergeCell ref="A22:C22"/>
    <mergeCell ref="D22:T22"/>
    <mergeCell ref="U22:Y22"/>
    <mergeCell ref="Z22:AB22"/>
    <mergeCell ref="A23:C23"/>
    <mergeCell ref="D23:T23"/>
    <mergeCell ref="U23:Y23"/>
    <mergeCell ref="Z23:AB23"/>
    <mergeCell ref="A24:C24"/>
    <mergeCell ref="A31:C31"/>
    <mergeCell ref="D31:T31"/>
    <mergeCell ref="U31:Y31"/>
    <mergeCell ref="Z31:AB31"/>
    <mergeCell ref="A32:C32"/>
    <mergeCell ref="D32:T32"/>
    <mergeCell ref="U32:Y32"/>
    <mergeCell ref="Z32:AB32"/>
    <mergeCell ref="D24:T24"/>
    <mergeCell ref="U24:Y24"/>
    <mergeCell ref="Z24:AB24"/>
    <mergeCell ref="A29:C29"/>
    <mergeCell ref="D29:T29"/>
    <mergeCell ref="U29:Y29"/>
    <mergeCell ref="Z29:AB29"/>
    <mergeCell ref="A30:C30"/>
    <mergeCell ref="D30:T30"/>
    <mergeCell ref="U30:Y30"/>
    <mergeCell ref="Z30:AB30"/>
    <mergeCell ref="A27:C27"/>
    <mergeCell ref="D27:T27"/>
    <mergeCell ref="U27:Y27"/>
    <mergeCell ref="Z27:AB27"/>
    <mergeCell ref="D33:T33"/>
    <mergeCell ref="U33:Y33"/>
    <mergeCell ref="Z33:AB33"/>
    <mergeCell ref="A34:C34"/>
    <mergeCell ref="D34:T34"/>
    <mergeCell ref="U34:Y34"/>
    <mergeCell ref="Z34:AB34"/>
    <mergeCell ref="A39:C39"/>
    <mergeCell ref="D39:T39"/>
    <mergeCell ref="U39:Y39"/>
    <mergeCell ref="Z39:AB39"/>
    <mergeCell ref="A40:C40"/>
    <mergeCell ref="D40:T40"/>
    <mergeCell ref="U40:Y40"/>
    <mergeCell ref="Z40:AB40"/>
    <mergeCell ref="A37:C37"/>
    <mergeCell ref="D37:T37"/>
    <mergeCell ref="U37:Y37"/>
    <mergeCell ref="Z37:AB37"/>
    <mergeCell ref="A38:C38"/>
    <mergeCell ref="D38:T38"/>
    <mergeCell ref="U38:Y38"/>
    <mergeCell ref="Z38:AB38"/>
    <mergeCell ref="A43:C43"/>
    <mergeCell ref="D43:T43"/>
    <mergeCell ref="U43:Y43"/>
    <mergeCell ref="Z43:AB43"/>
    <mergeCell ref="A44:C44"/>
    <mergeCell ref="D44:T44"/>
    <mergeCell ref="U44:Y44"/>
    <mergeCell ref="Z44:AB44"/>
    <mergeCell ref="A41:C41"/>
    <mergeCell ref="D41:T41"/>
    <mergeCell ref="U41:Y41"/>
    <mergeCell ref="Z41:AB41"/>
    <mergeCell ref="A42:C42"/>
    <mergeCell ref="D42:T42"/>
    <mergeCell ref="U42:Y42"/>
    <mergeCell ref="Z42:AB42"/>
    <mergeCell ref="D48:T48"/>
    <mergeCell ref="U48:Y48"/>
    <mergeCell ref="Z48:AB48"/>
    <mergeCell ref="A45:C45"/>
    <mergeCell ref="D45:T45"/>
    <mergeCell ref="U45:Y45"/>
    <mergeCell ref="Z45:AB45"/>
    <mergeCell ref="A46:C46"/>
    <mergeCell ref="D46:T46"/>
    <mergeCell ref="U46:Y46"/>
    <mergeCell ref="Z46:AB46"/>
    <mergeCell ref="L7:AJ7"/>
    <mergeCell ref="AK7:AR7"/>
    <mergeCell ref="D59:T59"/>
    <mergeCell ref="A51:C51"/>
    <mergeCell ref="D51:T51"/>
    <mergeCell ref="U51:Y51"/>
    <mergeCell ref="Z51:AB51"/>
    <mergeCell ref="A52:C52"/>
    <mergeCell ref="D52:T52"/>
    <mergeCell ref="U52:Y52"/>
    <mergeCell ref="Z52:AB52"/>
    <mergeCell ref="A49:C49"/>
    <mergeCell ref="D49:T49"/>
    <mergeCell ref="U49:Y49"/>
    <mergeCell ref="Z49:AB49"/>
    <mergeCell ref="A50:C50"/>
    <mergeCell ref="D50:T50"/>
    <mergeCell ref="U50:Y50"/>
    <mergeCell ref="Z50:AB50"/>
    <mergeCell ref="A47:C47"/>
    <mergeCell ref="D47:T47"/>
    <mergeCell ref="U47:Y47"/>
    <mergeCell ref="Z47:AB47"/>
    <mergeCell ref="A48:C48"/>
    <mergeCell ref="A58:C58"/>
    <mergeCell ref="D58:T58"/>
    <mergeCell ref="U58:Y58"/>
    <mergeCell ref="Z58:AB58"/>
    <mergeCell ref="A57:C57"/>
    <mergeCell ref="D57:T57"/>
    <mergeCell ref="U57:Y57"/>
    <mergeCell ref="Z57:AB57"/>
    <mergeCell ref="A54:C54"/>
    <mergeCell ref="D54:T54"/>
    <mergeCell ref="U54:Y54"/>
    <mergeCell ref="Z54:AB54"/>
    <mergeCell ref="A56:C56"/>
    <mergeCell ref="D56:T56"/>
    <mergeCell ref="U56:Y56"/>
    <mergeCell ref="Z56:AB56"/>
    <mergeCell ref="A55:C55"/>
    <mergeCell ref="D55:T55"/>
    <mergeCell ref="U55:Y55"/>
    <mergeCell ref="Z55:AB55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BBB470C-E472-45EC-ADA0-6D92DAED27A9}">
      <formula1>"〇"</formula1>
    </dataValidation>
    <dataValidation type="list" allowBlank="1" showInputMessage="1" sqref="AS7:AX7" xr:uid="{261D5B05-ADE0-43CB-AE56-AE9C04F4A9F7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D58A-81D4-4378-BBC5-5BFE02BDA28C}">
  <sheetPr codeName="Sheet6">
    <pageSetUpPr fitToPage="1"/>
  </sheetPr>
  <dimension ref="A1:AR5"/>
  <sheetViews>
    <sheetView zoomScaleNormal="100" workbookViewId="0"/>
  </sheetViews>
  <sheetFormatPr defaultColWidth="18.44140625" defaultRowHeight="13.2"/>
  <cols>
    <col min="1" max="1" width="9.77734375" customWidth="1"/>
    <col min="2" max="2" width="7.88671875" bestFit="1" customWidth="1"/>
    <col min="3" max="3" width="8.33203125" bestFit="1" customWidth="1"/>
    <col min="4" max="4" width="40.44140625" bestFit="1" customWidth="1"/>
    <col min="5" max="5" width="12.21875" bestFit="1" customWidth="1"/>
    <col min="6" max="6" width="15.33203125" bestFit="1" customWidth="1"/>
    <col min="7" max="8" width="12.44140625" bestFit="1" customWidth="1"/>
    <col min="9" max="9" width="10" bestFit="1" customWidth="1"/>
    <col min="10" max="10" width="5.77734375" bestFit="1" customWidth="1"/>
    <col min="11" max="11" width="10" bestFit="1" customWidth="1"/>
    <col min="12" max="12" width="12.21875" bestFit="1" customWidth="1"/>
    <col min="13" max="13" width="13.21875" bestFit="1" customWidth="1"/>
    <col min="14" max="14" width="12.88671875" bestFit="1" customWidth="1"/>
    <col min="15" max="15" width="5.77734375" bestFit="1" customWidth="1"/>
    <col min="16" max="16" width="10" bestFit="1" customWidth="1"/>
    <col min="17" max="17" width="11" bestFit="1" customWidth="1"/>
    <col min="18" max="18" width="11.109375" bestFit="1" customWidth="1"/>
    <col min="19" max="19" width="22.33203125" bestFit="1" customWidth="1"/>
    <col min="20" max="20" width="5.77734375" bestFit="1" customWidth="1"/>
    <col min="21" max="21" width="6.44140625" bestFit="1" customWidth="1"/>
    <col min="22" max="22" width="8.77734375" bestFit="1" customWidth="1"/>
    <col min="23" max="23" width="7.88671875" bestFit="1" customWidth="1"/>
    <col min="24" max="24" width="12.33203125" bestFit="1" customWidth="1"/>
    <col min="25" max="25" width="9.44140625" bestFit="1" customWidth="1"/>
    <col min="26" max="26" width="10" bestFit="1" customWidth="1"/>
    <col min="27" max="27" width="9.109375" bestFit="1" customWidth="1"/>
    <col min="28" max="28" width="10" bestFit="1" customWidth="1"/>
    <col min="29" max="29" width="12.21875" bestFit="1" customWidth="1"/>
    <col min="30" max="30" width="13.21875" bestFit="1" customWidth="1"/>
    <col min="31" max="31" width="21" bestFit="1" customWidth="1"/>
    <col min="32" max="32" width="5.77734375" bestFit="1" customWidth="1"/>
    <col min="33" max="33" width="13.44140625" bestFit="1" customWidth="1"/>
    <col min="34" max="34" width="12.21875" bestFit="1" customWidth="1"/>
    <col min="35" max="35" width="14.44140625" bestFit="1" customWidth="1"/>
    <col min="36" max="36" width="10" bestFit="1" customWidth="1"/>
    <col min="37" max="37" width="12.21875" bestFit="1" customWidth="1"/>
    <col min="38" max="38" width="14.44140625" bestFit="1" customWidth="1"/>
    <col min="39" max="39" width="16.77734375" bestFit="1" customWidth="1"/>
    <col min="40" max="40" width="9.109375" bestFit="1" customWidth="1"/>
    <col min="41" max="41" width="13.44140625" bestFit="1" customWidth="1"/>
    <col min="42" max="42" width="14.88671875" bestFit="1" customWidth="1"/>
    <col min="43" max="43" width="10" bestFit="1" customWidth="1"/>
    <col min="44" max="44" width="13.44140625" customWidth="1"/>
    <col min="45" max="45" width="14.44140625" bestFit="1" customWidth="1"/>
    <col min="46" max="46" width="10" bestFit="1" customWidth="1"/>
    <col min="47" max="47" width="12.21875" bestFit="1" customWidth="1"/>
    <col min="48" max="48" width="14.44140625" bestFit="1" customWidth="1"/>
    <col min="49" max="49" width="16.77734375" bestFit="1" customWidth="1"/>
    <col min="50" max="50" width="9.109375" bestFit="1" customWidth="1"/>
    <col min="51" max="51" width="13.44140625" bestFit="1" customWidth="1"/>
    <col min="52" max="52" width="14.88671875" bestFit="1" customWidth="1"/>
    <col min="53" max="53" width="10" bestFit="1" customWidth="1"/>
    <col min="54" max="54" width="19.109375" bestFit="1" customWidth="1"/>
  </cols>
  <sheetData>
    <row r="1" spans="1:44">
      <c r="A1" t="s">
        <v>191</v>
      </c>
    </row>
    <row r="3" spans="1:44">
      <c r="A3" s="37" t="s">
        <v>54</v>
      </c>
      <c r="B3" s="37" t="s">
        <v>56</v>
      </c>
      <c r="C3" s="37" t="s">
        <v>58</v>
      </c>
      <c r="D3" s="37" t="s">
        <v>33</v>
      </c>
      <c r="E3" s="37" t="s">
        <v>175</v>
      </c>
      <c r="F3" s="37" t="s">
        <v>201</v>
      </c>
      <c r="G3" s="37" t="s">
        <v>101</v>
      </c>
      <c r="H3" s="37" t="s">
        <v>102</v>
      </c>
      <c r="I3" s="37" t="s">
        <v>105</v>
      </c>
      <c r="J3" s="37" t="s">
        <v>106</v>
      </c>
      <c r="K3" s="37" t="s">
        <v>107</v>
      </c>
      <c r="L3" s="37" t="s">
        <v>108</v>
      </c>
      <c r="M3" s="37" t="s">
        <v>109</v>
      </c>
      <c r="N3" s="37" t="s">
        <v>111</v>
      </c>
      <c r="O3" s="37" t="s">
        <v>112</v>
      </c>
      <c r="P3" s="37" t="s">
        <v>113</v>
      </c>
      <c r="Q3" s="37" t="s">
        <v>115</v>
      </c>
      <c r="R3" s="37" t="s">
        <v>73</v>
      </c>
      <c r="S3" s="37" t="s">
        <v>116</v>
      </c>
      <c r="T3" s="37" t="s">
        <v>67</v>
      </c>
      <c r="U3" s="37" t="s">
        <v>69</v>
      </c>
      <c r="V3" s="37" t="s">
        <v>192</v>
      </c>
      <c r="W3" s="37" t="s">
        <v>98</v>
      </c>
      <c r="X3" s="37" t="s">
        <v>71</v>
      </c>
      <c r="Y3" s="37" t="s">
        <v>74</v>
      </c>
      <c r="Z3" s="37" t="s">
        <v>117</v>
      </c>
      <c r="AA3" s="37" t="s">
        <v>119</v>
      </c>
      <c r="AB3" s="37" t="s">
        <v>63</v>
      </c>
      <c r="AC3" s="37" t="s">
        <v>65</v>
      </c>
      <c r="AD3" s="37" t="s">
        <v>61</v>
      </c>
      <c r="AE3" s="37" t="s">
        <v>193</v>
      </c>
      <c r="AF3" s="37" t="s">
        <v>122</v>
      </c>
      <c r="AG3" s="37" t="s">
        <v>75</v>
      </c>
      <c r="AH3" s="37" t="s">
        <v>77</v>
      </c>
      <c r="AI3" s="37" t="s">
        <v>79</v>
      </c>
      <c r="AJ3" s="37" t="s">
        <v>81</v>
      </c>
      <c r="AK3" s="37" t="s">
        <v>83</v>
      </c>
      <c r="AL3" s="37" t="s">
        <v>85</v>
      </c>
      <c r="AM3" s="37" t="s">
        <v>87</v>
      </c>
      <c r="AN3" s="37" t="s">
        <v>89</v>
      </c>
      <c r="AO3" s="37" t="s">
        <v>90</v>
      </c>
      <c r="AP3" s="37" t="s">
        <v>91</v>
      </c>
      <c r="AQ3" s="37" t="s">
        <v>92</v>
      </c>
      <c r="AR3" s="37" t="s">
        <v>196</v>
      </c>
    </row>
    <row r="4" spans="1:44">
      <c r="A4" s="38" t="s">
        <v>176</v>
      </c>
      <c r="B4" s="38" t="s">
        <v>133</v>
      </c>
      <c r="C4" s="38" t="s">
        <v>177</v>
      </c>
      <c r="D4" s="38" t="s">
        <v>130</v>
      </c>
      <c r="E4" s="38" t="s">
        <v>131</v>
      </c>
      <c r="F4" s="38" t="s">
        <v>202</v>
      </c>
      <c r="G4" s="38" t="s">
        <v>136</v>
      </c>
      <c r="H4" s="38" t="s">
        <v>134</v>
      </c>
      <c r="I4" s="38" t="s">
        <v>138</v>
      </c>
      <c r="J4" s="38" t="s">
        <v>140</v>
      </c>
      <c r="K4" s="38" t="s">
        <v>142</v>
      </c>
      <c r="L4" s="38" t="s">
        <v>146</v>
      </c>
      <c r="M4" s="38" t="s">
        <v>148</v>
      </c>
      <c r="N4" s="38" t="s">
        <v>150</v>
      </c>
      <c r="O4" s="38" t="s">
        <v>152</v>
      </c>
      <c r="P4" s="38" t="s">
        <v>153</v>
      </c>
      <c r="Q4" s="38" t="s">
        <v>155</v>
      </c>
      <c r="R4" s="38" t="s">
        <v>133</v>
      </c>
      <c r="S4" s="38" t="s">
        <v>154</v>
      </c>
      <c r="T4" s="38" t="s">
        <v>181</v>
      </c>
      <c r="U4" s="38" t="s">
        <v>182</v>
      </c>
      <c r="V4" s="38" t="s">
        <v>183</v>
      </c>
      <c r="W4" s="38" t="s">
        <v>184</v>
      </c>
      <c r="X4" s="38" t="s">
        <v>185</v>
      </c>
      <c r="Y4" s="38" t="s">
        <v>186</v>
      </c>
      <c r="Z4" s="38" t="s">
        <v>133</v>
      </c>
      <c r="AA4" s="38" t="s">
        <v>162</v>
      </c>
      <c r="AB4" s="38" t="s">
        <v>142</v>
      </c>
      <c r="AC4" s="38" t="s">
        <v>144</v>
      </c>
      <c r="AD4" s="38" t="s">
        <v>178</v>
      </c>
      <c r="AE4" s="38" t="s">
        <v>164</v>
      </c>
      <c r="AF4" s="38" t="s">
        <v>166</v>
      </c>
      <c r="AG4" s="38" t="s">
        <v>187</v>
      </c>
      <c r="AH4" s="38" t="s">
        <v>176</v>
      </c>
      <c r="AI4" s="38" t="s">
        <v>179</v>
      </c>
      <c r="AJ4" s="38" t="s">
        <v>142</v>
      </c>
      <c r="AK4" s="38" t="s">
        <v>188</v>
      </c>
      <c r="AL4" s="38" t="s">
        <v>142</v>
      </c>
      <c r="AM4" s="38" t="s">
        <v>188</v>
      </c>
      <c r="AN4" s="38" t="s">
        <v>189</v>
      </c>
      <c r="AO4" s="38" t="s">
        <v>190</v>
      </c>
      <c r="AP4" s="38" t="s">
        <v>180</v>
      </c>
      <c r="AQ4" s="38" t="s">
        <v>153</v>
      </c>
      <c r="AR4" s="38" t="s">
        <v>203</v>
      </c>
    </row>
    <row r="5" spans="1:44">
      <c r="A5" s="38" t="s">
        <v>176</v>
      </c>
      <c r="B5" s="38" t="s">
        <v>133</v>
      </c>
      <c r="C5" s="38" t="s">
        <v>177</v>
      </c>
      <c r="D5" s="38" t="s">
        <v>130</v>
      </c>
      <c r="E5" s="38" t="s">
        <v>131</v>
      </c>
      <c r="F5" s="38" t="s">
        <v>202</v>
      </c>
      <c r="G5" s="38" t="s">
        <v>136</v>
      </c>
      <c r="H5" s="38" t="s">
        <v>134</v>
      </c>
      <c r="I5" s="38" t="s">
        <v>138</v>
      </c>
      <c r="J5" s="38" t="s">
        <v>140</v>
      </c>
      <c r="K5" s="38" t="s">
        <v>142</v>
      </c>
      <c r="L5" s="38" t="s">
        <v>146</v>
      </c>
      <c r="M5" s="38" t="s">
        <v>148</v>
      </c>
      <c r="N5" s="38" t="s">
        <v>150</v>
      </c>
      <c r="O5" s="38" t="s">
        <v>152</v>
      </c>
      <c r="P5" s="38" t="s">
        <v>153</v>
      </c>
      <c r="Q5" s="38" t="s">
        <v>155</v>
      </c>
      <c r="R5" s="38" t="s">
        <v>133</v>
      </c>
      <c r="S5" s="38" t="s">
        <v>154</v>
      </c>
      <c r="T5" s="38" t="s">
        <v>181</v>
      </c>
      <c r="U5" s="38" t="s">
        <v>182</v>
      </c>
      <c r="V5" s="38" t="s">
        <v>183</v>
      </c>
      <c r="W5" s="38" t="s">
        <v>184</v>
      </c>
      <c r="X5" s="38" t="s">
        <v>185</v>
      </c>
      <c r="Y5" s="38" t="s">
        <v>186</v>
      </c>
      <c r="Z5" s="38" t="s">
        <v>133</v>
      </c>
      <c r="AA5" s="38" t="s">
        <v>162</v>
      </c>
      <c r="AB5" s="38" t="s">
        <v>142</v>
      </c>
      <c r="AC5" s="38" t="s">
        <v>144</v>
      </c>
      <c r="AD5" s="38" t="s">
        <v>178</v>
      </c>
      <c r="AE5" s="38" t="s">
        <v>164</v>
      </c>
      <c r="AF5" s="38" t="s">
        <v>166</v>
      </c>
      <c r="AG5" s="38" t="s">
        <v>187</v>
      </c>
      <c r="AH5" s="38" t="s">
        <v>176</v>
      </c>
      <c r="AI5" s="38" t="s">
        <v>179</v>
      </c>
      <c r="AJ5" s="38" t="s">
        <v>142</v>
      </c>
      <c r="AK5" s="38" t="s">
        <v>188</v>
      </c>
      <c r="AL5" s="38" t="s">
        <v>142</v>
      </c>
      <c r="AM5" s="38" t="s">
        <v>188</v>
      </c>
      <c r="AN5" s="38" t="s">
        <v>189</v>
      </c>
      <c r="AO5" s="38" t="s">
        <v>190</v>
      </c>
      <c r="AP5" s="38" t="s">
        <v>180</v>
      </c>
      <c r="AQ5" s="38" t="s">
        <v>153</v>
      </c>
      <c r="AR5" s="38" t="s">
        <v>203</v>
      </c>
    </row>
  </sheetData>
  <phoneticPr fontId="1"/>
  <pageMargins left="0.70866141732283472" right="0.35433070866141736" top="0.62992125984251968" bottom="0.39370078740157483" header="0.82677165354330717" footer="0.19685039370078741"/>
  <pageSetup paperSize="9" scale="26" fitToHeight="0" orientation="landscape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7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0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42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3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213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44" t="s">
        <v>212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3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1" t="s">
        <v>17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126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44" t="s">
        <v>22</v>
      </c>
      <c r="B8" s="45"/>
      <c r="C8" s="46"/>
      <c r="D8" s="44" t="s">
        <v>43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123" t="s">
        <v>44</v>
      </c>
      <c r="S8" s="124"/>
      <c r="T8" s="124"/>
      <c r="U8" s="125"/>
      <c r="V8" s="123" t="s">
        <v>45</v>
      </c>
      <c r="W8" s="124"/>
      <c r="X8" s="124"/>
      <c r="Y8" s="125"/>
      <c r="Z8" s="123" t="s">
        <v>46</v>
      </c>
      <c r="AA8" s="124"/>
      <c r="AB8" s="124"/>
      <c r="AC8" s="125"/>
      <c r="AD8" s="123" t="s">
        <v>47</v>
      </c>
      <c r="AE8" s="124"/>
      <c r="AF8" s="124"/>
      <c r="AG8" s="125"/>
      <c r="AH8" s="44" t="s">
        <v>48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  <c r="BD8" s="123" t="s">
        <v>49</v>
      </c>
      <c r="BE8" s="124"/>
      <c r="BF8" s="124"/>
      <c r="BG8" s="124"/>
      <c r="BH8" s="124"/>
      <c r="BI8" s="124"/>
      <c r="BJ8" s="125"/>
    </row>
    <row r="9" spans="1:63" s="11" customFormat="1" ht="40.5" customHeight="1">
      <c r="A9" s="126"/>
      <c r="B9" s="127"/>
      <c r="C9" s="128"/>
      <c r="D9" s="129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1"/>
      <c r="R9" s="126"/>
      <c r="S9" s="127"/>
      <c r="T9" s="127"/>
      <c r="U9" s="128"/>
      <c r="V9" s="126"/>
      <c r="W9" s="127"/>
      <c r="X9" s="127"/>
      <c r="Y9" s="128"/>
      <c r="Z9" s="126"/>
      <c r="AA9" s="127"/>
      <c r="AB9" s="127"/>
      <c r="AC9" s="128"/>
      <c r="AD9" s="126"/>
      <c r="AE9" s="127"/>
      <c r="AF9" s="127"/>
      <c r="AG9" s="128"/>
      <c r="AH9" s="132" t="s">
        <v>50</v>
      </c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4"/>
      <c r="BD9" s="126"/>
      <c r="BE9" s="127"/>
      <c r="BF9" s="127"/>
      <c r="BG9" s="127"/>
      <c r="BH9" s="127"/>
      <c r="BI9" s="127"/>
      <c r="BJ9" s="128"/>
    </row>
    <row r="10" spans="1:63" ht="40.5" customHeight="1">
      <c r="A10" s="108"/>
      <c r="B10" s="109"/>
      <c r="C10" s="110"/>
      <c r="D10" s="111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3"/>
      <c r="R10" s="108"/>
      <c r="S10" s="109"/>
      <c r="T10" s="109"/>
      <c r="U10" s="110"/>
      <c r="V10" s="108"/>
      <c r="W10" s="109"/>
      <c r="X10" s="109"/>
      <c r="Y10" s="110"/>
      <c r="Z10" s="108"/>
      <c r="AA10" s="109"/>
      <c r="AB10" s="109"/>
      <c r="AC10" s="110"/>
      <c r="AD10" s="108"/>
      <c r="AE10" s="109"/>
      <c r="AF10" s="109"/>
      <c r="AG10" s="110"/>
      <c r="AH10" s="105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7"/>
      <c r="BD10" s="108"/>
      <c r="BE10" s="109"/>
      <c r="BF10" s="109"/>
      <c r="BG10" s="109"/>
      <c r="BH10" s="109"/>
      <c r="BI10" s="109"/>
      <c r="BJ10" s="110"/>
    </row>
    <row r="11" spans="1:63" ht="40.5" customHeight="1">
      <c r="A11" s="108"/>
      <c r="B11" s="109"/>
      <c r="C11" s="110"/>
      <c r="D11" s="1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3"/>
      <c r="R11" s="108"/>
      <c r="S11" s="109"/>
      <c r="T11" s="109"/>
      <c r="U11" s="110"/>
      <c r="V11" s="108"/>
      <c r="W11" s="109"/>
      <c r="X11" s="109"/>
      <c r="Y11" s="110"/>
      <c r="Z11" s="108"/>
      <c r="AA11" s="109"/>
      <c r="AB11" s="109"/>
      <c r="AC11" s="110"/>
      <c r="AD11" s="108"/>
      <c r="AE11" s="109"/>
      <c r="AF11" s="109"/>
      <c r="AG11" s="110"/>
      <c r="AH11" s="105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7"/>
      <c r="BD11" s="108"/>
      <c r="BE11" s="109"/>
      <c r="BF11" s="109"/>
      <c r="BG11" s="109"/>
      <c r="BH11" s="109"/>
      <c r="BI11" s="109"/>
      <c r="BJ11" s="110"/>
    </row>
    <row r="12" spans="1:63" ht="40.5" customHeight="1">
      <c r="A12" s="108"/>
      <c r="B12" s="109"/>
      <c r="C12" s="110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3"/>
      <c r="R12" s="108"/>
      <c r="S12" s="109"/>
      <c r="T12" s="109"/>
      <c r="U12" s="110"/>
      <c r="V12" s="108"/>
      <c r="W12" s="109"/>
      <c r="X12" s="109"/>
      <c r="Y12" s="110"/>
      <c r="Z12" s="108"/>
      <c r="AA12" s="109"/>
      <c r="AB12" s="109"/>
      <c r="AC12" s="110"/>
      <c r="AD12" s="108"/>
      <c r="AE12" s="109"/>
      <c r="AF12" s="109"/>
      <c r="AG12" s="110"/>
      <c r="AH12" s="105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7"/>
      <c r="BD12" s="108"/>
      <c r="BE12" s="109"/>
      <c r="BF12" s="109"/>
      <c r="BG12" s="109"/>
      <c r="BH12" s="109"/>
      <c r="BI12" s="109"/>
      <c r="BJ12" s="110"/>
    </row>
    <row r="13" spans="1:63" ht="40.5" customHeight="1">
      <c r="A13" s="108"/>
      <c r="B13" s="109"/>
      <c r="C13" s="110"/>
      <c r="D13" s="111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3"/>
      <c r="R13" s="108"/>
      <c r="S13" s="109"/>
      <c r="T13" s="109"/>
      <c r="U13" s="110"/>
      <c r="V13" s="108"/>
      <c r="W13" s="109"/>
      <c r="X13" s="109"/>
      <c r="Y13" s="110"/>
      <c r="Z13" s="108"/>
      <c r="AA13" s="109"/>
      <c r="AB13" s="109"/>
      <c r="AC13" s="110"/>
      <c r="AD13" s="108"/>
      <c r="AE13" s="109"/>
      <c r="AF13" s="109"/>
      <c r="AG13" s="110"/>
      <c r="AH13" s="105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7"/>
      <c r="BD13" s="108"/>
      <c r="BE13" s="109"/>
      <c r="BF13" s="109"/>
      <c r="BG13" s="109"/>
      <c r="BH13" s="109"/>
      <c r="BI13" s="109"/>
      <c r="BJ13" s="110"/>
    </row>
    <row r="14" spans="1:63" ht="40.5" customHeight="1">
      <c r="A14" s="108"/>
      <c r="B14" s="109"/>
      <c r="C14" s="110"/>
      <c r="D14" s="111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3"/>
      <c r="R14" s="108"/>
      <c r="S14" s="109"/>
      <c r="T14" s="109"/>
      <c r="U14" s="110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5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7"/>
      <c r="BD14" s="108"/>
      <c r="BE14" s="109"/>
      <c r="BF14" s="109"/>
      <c r="BG14" s="109"/>
      <c r="BH14" s="109"/>
      <c r="BI14" s="109"/>
      <c r="BJ14" s="110"/>
    </row>
    <row r="15" spans="1:63" ht="40.5" customHeight="1">
      <c r="A15" s="108"/>
      <c r="B15" s="109"/>
      <c r="C15" s="110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108"/>
      <c r="S15" s="109"/>
      <c r="T15" s="109"/>
      <c r="U15" s="110"/>
      <c r="V15" s="108"/>
      <c r="W15" s="109"/>
      <c r="X15" s="109"/>
      <c r="Y15" s="110"/>
      <c r="Z15" s="108"/>
      <c r="AA15" s="109"/>
      <c r="AB15" s="109"/>
      <c r="AC15" s="110"/>
      <c r="AD15" s="108"/>
      <c r="AE15" s="109"/>
      <c r="AF15" s="109"/>
      <c r="AG15" s="110"/>
      <c r="AH15" s="105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7"/>
      <c r="BD15" s="108"/>
      <c r="BE15" s="109"/>
      <c r="BF15" s="109"/>
      <c r="BG15" s="109"/>
      <c r="BH15" s="109"/>
      <c r="BI15" s="109"/>
      <c r="BJ15" s="110"/>
    </row>
    <row r="16" spans="1:63" ht="40.5" customHeight="1">
      <c r="A16" s="108"/>
      <c r="B16" s="109"/>
      <c r="C16" s="110"/>
      <c r="D16" s="111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3"/>
      <c r="R16" s="108"/>
      <c r="S16" s="109"/>
      <c r="T16" s="109"/>
      <c r="U16" s="110"/>
      <c r="V16" s="108"/>
      <c r="W16" s="109"/>
      <c r="X16" s="109"/>
      <c r="Y16" s="110"/>
      <c r="Z16" s="108"/>
      <c r="AA16" s="109"/>
      <c r="AB16" s="109"/>
      <c r="AC16" s="110"/>
      <c r="AD16" s="108"/>
      <c r="AE16" s="109"/>
      <c r="AF16" s="109"/>
      <c r="AG16" s="110"/>
      <c r="AH16" s="105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7"/>
      <c r="BD16" s="108"/>
      <c r="BE16" s="109"/>
      <c r="BF16" s="109"/>
      <c r="BG16" s="109"/>
      <c r="BH16" s="109"/>
      <c r="BI16" s="109"/>
      <c r="BJ16" s="110"/>
    </row>
    <row r="17" spans="1:62" ht="40.5" customHeight="1">
      <c r="A17" s="108"/>
      <c r="B17" s="109"/>
      <c r="C17" s="110"/>
      <c r="D17" s="111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108"/>
      <c r="S17" s="109"/>
      <c r="T17" s="109"/>
      <c r="U17" s="110"/>
      <c r="V17" s="108"/>
      <c r="W17" s="109"/>
      <c r="X17" s="109"/>
      <c r="Y17" s="110"/>
      <c r="Z17" s="108"/>
      <c r="AA17" s="109"/>
      <c r="AB17" s="109"/>
      <c r="AC17" s="110"/>
      <c r="AD17" s="108"/>
      <c r="AE17" s="109"/>
      <c r="AF17" s="109"/>
      <c r="AG17" s="110"/>
      <c r="AH17" s="105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7"/>
      <c r="BD17" s="108"/>
      <c r="BE17" s="109"/>
      <c r="BF17" s="109"/>
      <c r="BG17" s="109"/>
      <c r="BH17" s="109"/>
      <c r="BI17" s="109"/>
      <c r="BJ17" s="110"/>
    </row>
    <row r="18" spans="1:62" ht="40.5" customHeight="1">
      <c r="A18" s="108"/>
      <c r="B18" s="109"/>
      <c r="C18" s="110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3"/>
      <c r="R18" s="108"/>
      <c r="S18" s="109"/>
      <c r="T18" s="109"/>
      <c r="U18" s="110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5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7"/>
      <c r="BD18" s="108"/>
      <c r="BE18" s="109"/>
      <c r="BF18" s="109"/>
      <c r="BG18" s="109"/>
      <c r="BH18" s="109"/>
      <c r="BI18" s="109"/>
      <c r="BJ18" s="110"/>
    </row>
    <row r="19" spans="1:62" ht="40.5" customHeight="1">
      <c r="A19" s="108"/>
      <c r="B19" s="109"/>
      <c r="C19" s="110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08"/>
      <c r="S19" s="109"/>
      <c r="T19" s="109"/>
      <c r="U19" s="110"/>
      <c r="V19" s="108"/>
      <c r="W19" s="109"/>
      <c r="X19" s="109"/>
      <c r="Y19" s="110"/>
      <c r="Z19" s="108"/>
      <c r="AA19" s="109"/>
      <c r="AB19" s="109"/>
      <c r="AC19" s="110"/>
      <c r="AD19" s="108"/>
      <c r="AE19" s="109"/>
      <c r="AF19" s="109"/>
      <c r="AG19" s="110"/>
      <c r="AH19" s="105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7"/>
      <c r="BD19" s="108"/>
      <c r="BE19" s="109"/>
      <c r="BF19" s="109"/>
      <c r="BG19" s="109"/>
      <c r="BH19" s="109"/>
      <c r="BI19" s="109"/>
      <c r="BJ19" s="110"/>
    </row>
    <row r="20" spans="1:62" ht="40.5" customHeight="1">
      <c r="A20" s="108"/>
      <c r="B20" s="109"/>
      <c r="C20" s="110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108"/>
      <c r="S20" s="109"/>
      <c r="T20" s="109"/>
      <c r="U20" s="110"/>
      <c r="V20" s="108"/>
      <c r="W20" s="109"/>
      <c r="X20" s="109"/>
      <c r="Y20" s="110"/>
      <c r="Z20" s="108"/>
      <c r="AA20" s="109"/>
      <c r="AB20" s="109"/>
      <c r="AC20" s="110"/>
      <c r="AD20" s="108"/>
      <c r="AE20" s="109"/>
      <c r="AF20" s="109"/>
      <c r="AG20" s="110"/>
      <c r="AH20" s="105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7"/>
      <c r="BD20" s="108"/>
      <c r="BE20" s="109"/>
      <c r="BF20" s="109"/>
      <c r="BG20" s="109"/>
      <c r="BH20" s="109"/>
      <c r="BI20" s="109"/>
      <c r="BJ20" s="110"/>
    </row>
    <row r="21" spans="1:62" ht="40.5" customHeight="1">
      <c r="A21" s="108"/>
      <c r="B21" s="109"/>
      <c r="C21" s="110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3"/>
      <c r="R21" s="108"/>
      <c r="S21" s="109"/>
      <c r="T21" s="109"/>
      <c r="U21" s="110"/>
      <c r="V21" s="108"/>
      <c r="W21" s="109"/>
      <c r="X21" s="109"/>
      <c r="Y21" s="110"/>
      <c r="Z21" s="108"/>
      <c r="AA21" s="109"/>
      <c r="AB21" s="109"/>
      <c r="AC21" s="110"/>
      <c r="AD21" s="108"/>
      <c r="AE21" s="109"/>
      <c r="AF21" s="109"/>
      <c r="AG21" s="110"/>
      <c r="AH21" s="105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7"/>
      <c r="BD21" s="108"/>
      <c r="BE21" s="109"/>
      <c r="BF21" s="109"/>
      <c r="BG21" s="109"/>
      <c r="BH21" s="109"/>
      <c r="BI21" s="109"/>
      <c r="BJ21" s="110"/>
    </row>
    <row r="22" spans="1:62" ht="40.5" customHeight="1">
      <c r="A22" s="108"/>
      <c r="B22" s="109"/>
      <c r="C22" s="110"/>
      <c r="D22" s="111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3"/>
      <c r="R22" s="108"/>
      <c r="S22" s="109"/>
      <c r="T22" s="109"/>
      <c r="U22" s="110"/>
      <c r="V22" s="108"/>
      <c r="W22" s="109"/>
      <c r="X22" s="109"/>
      <c r="Y22" s="110"/>
      <c r="Z22" s="108"/>
      <c r="AA22" s="109"/>
      <c r="AB22" s="109"/>
      <c r="AC22" s="110"/>
      <c r="AD22" s="108"/>
      <c r="AE22" s="109"/>
      <c r="AF22" s="109"/>
      <c r="AG22" s="110"/>
      <c r="AH22" s="105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7"/>
      <c r="BD22" s="108"/>
      <c r="BE22" s="109"/>
      <c r="BF22" s="109"/>
      <c r="BG22" s="109"/>
      <c r="BH22" s="109"/>
      <c r="BI22" s="109"/>
      <c r="BJ22" s="110"/>
    </row>
    <row r="23" spans="1:62" ht="40.5" customHeight="1">
      <c r="A23" s="108"/>
      <c r="B23" s="109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3"/>
      <c r="R23" s="108"/>
      <c r="S23" s="109"/>
      <c r="T23" s="109"/>
      <c r="U23" s="110"/>
      <c r="V23" s="108"/>
      <c r="W23" s="109"/>
      <c r="X23" s="109"/>
      <c r="Y23" s="110"/>
      <c r="Z23" s="108"/>
      <c r="AA23" s="109"/>
      <c r="AB23" s="109"/>
      <c r="AC23" s="110"/>
      <c r="AD23" s="108"/>
      <c r="AE23" s="109"/>
      <c r="AF23" s="109"/>
      <c r="AG23" s="110"/>
      <c r="AH23" s="105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7"/>
      <c r="BD23" s="108"/>
      <c r="BE23" s="109"/>
      <c r="BF23" s="109"/>
      <c r="BG23" s="109"/>
      <c r="BH23" s="109"/>
      <c r="BI23" s="109"/>
      <c r="BJ23" s="110"/>
    </row>
    <row r="24" spans="1:62" ht="40.5" customHeight="1">
      <c r="A24" s="108"/>
      <c r="B24" s="109"/>
      <c r="C24" s="110"/>
      <c r="D24" s="11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3"/>
      <c r="R24" s="108"/>
      <c r="S24" s="109"/>
      <c r="T24" s="109"/>
      <c r="U24" s="110"/>
      <c r="V24" s="108"/>
      <c r="W24" s="109"/>
      <c r="X24" s="109"/>
      <c r="Y24" s="110"/>
      <c r="Z24" s="108"/>
      <c r="AA24" s="109"/>
      <c r="AB24" s="109"/>
      <c r="AC24" s="110"/>
      <c r="AD24" s="108"/>
      <c r="AE24" s="109"/>
      <c r="AF24" s="109"/>
      <c r="AG24" s="110"/>
      <c r="AH24" s="105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7"/>
      <c r="BD24" s="108"/>
      <c r="BE24" s="109"/>
      <c r="BF24" s="109"/>
      <c r="BG24" s="109"/>
      <c r="BH24" s="109"/>
      <c r="BI24" s="109"/>
      <c r="BJ24" s="110"/>
    </row>
    <row r="25" spans="1:62" ht="40.5" customHeight="1">
      <c r="A25" s="108"/>
      <c r="B25" s="109"/>
      <c r="C25" s="110"/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3"/>
      <c r="R25" s="108"/>
      <c r="S25" s="109"/>
      <c r="T25" s="109"/>
      <c r="U25" s="110"/>
      <c r="V25" s="108"/>
      <c r="W25" s="109"/>
      <c r="X25" s="109"/>
      <c r="Y25" s="110"/>
      <c r="Z25" s="108"/>
      <c r="AA25" s="109"/>
      <c r="AB25" s="109"/>
      <c r="AC25" s="110"/>
      <c r="AD25" s="108"/>
      <c r="AE25" s="109"/>
      <c r="AF25" s="109"/>
      <c r="AG25" s="110"/>
      <c r="AH25" s="105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7"/>
      <c r="BD25" s="108"/>
      <c r="BE25" s="109"/>
      <c r="BF25" s="109"/>
      <c r="BG25" s="109"/>
      <c r="BH25" s="109"/>
      <c r="BI25" s="109"/>
      <c r="BJ25" s="110"/>
    </row>
    <row r="26" spans="1:62" ht="40.5" customHeight="1">
      <c r="A26" s="108"/>
      <c r="B26" s="109"/>
      <c r="C26" s="110"/>
      <c r="D26" s="111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3"/>
      <c r="R26" s="108"/>
      <c r="S26" s="109"/>
      <c r="T26" s="109"/>
      <c r="U26" s="110"/>
      <c r="V26" s="108"/>
      <c r="W26" s="109"/>
      <c r="X26" s="109"/>
      <c r="Y26" s="110"/>
      <c r="Z26" s="108"/>
      <c r="AA26" s="109"/>
      <c r="AB26" s="109"/>
      <c r="AC26" s="110"/>
      <c r="AD26" s="108"/>
      <c r="AE26" s="109"/>
      <c r="AF26" s="109"/>
      <c r="AG26" s="110"/>
      <c r="AH26" s="105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7"/>
      <c r="BD26" s="108"/>
      <c r="BE26" s="109"/>
      <c r="BF26" s="109"/>
      <c r="BG26" s="109"/>
      <c r="BH26" s="109"/>
      <c r="BI26" s="109"/>
      <c r="BJ26" s="110"/>
    </row>
    <row r="27" spans="1:62" ht="40.5" customHeight="1">
      <c r="A27" s="108"/>
      <c r="B27" s="109"/>
      <c r="C27" s="110"/>
      <c r="D27" s="111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3"/>
      <c r="R27" s="108"/>
      <c r="S27" s="109"/>
      <c r="T27" s="109"/>
      <c r="U27" s="110"/>
      <c r="V27" s="108"/>
      <c r="W27" s="109"/>
      <c r="X27" s="109"/>
      <c r="Y27" s="110"/>
      <c r="Z27" s="108"/>
      <c r="AA27" s="109"/>
      <c r="AB27" s="109"/>
      <c r="AC27" s="110"/>
      <c r="AD27" s="108"/>
      <c r="AE27" s="109"/>
      <c r="AF27" s="109"/>
      <c r="AG27" s="110"/>
      <c r="AH27" s="105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7"/>
      <c r="BD27" s="108"/>
      <c r="BE27" s="109"/>
      <c r="BF27" s="109"/>
      <c r="BG27" s="109"/>
      <c r="BH27" s="109"/>
      <c r="BI27" s="109"/>
      <c r="BJ27" s="110"/>
    </row>
    <row r="28" spans="1:62" ht="40.5" customHeight="1">
      <c r="A28" s="108"/>
      <c r="B28" s="109"/>
      <c r="C28" s="110"/>
      <c r="D28" s="111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3"/>
      <c r="R28" s="108"/>
      <c r="S28" s="109"/>
      <c r="T28" s="109"/>
      <c r="U28" s="110"/>
      <c r="V28" s="108"/>
      <c r="W28" s="109"/>
      <c r="X28" s="109"/>
      <c r="Y28" s="110"/>
      <c r="Z28" s="108"/>
      <c r="AA28" s="109"/>
      <c r="AB28" s="109"/>
      <c r="AC28" s="110"/>
      <c r="AD28" s="108"/>
      <c r="AE28" s="109"/>
      <c r="AF28" s="109"/>
      <c r="AG28" s="110"/>
      <c r="AH28" s="105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7"/>
      <c r="BD28" s="108"/>
      <c r="BE28" s="109"/>
      <c r="BF28" s="109"/>
      <c r="BG28" s="109"/>
      <c r="BH28" s="109"/>
      <c r="BI28" s="109"/>
      <c r="BJ28" s="110"/>
    </row>
    <row r="29" spans="1:62" ht="40.5" customHeight="1">
      <c r="A29" s="108"/>
      <c r="B29" s="109"/>
      <c r="C29" s="110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3"/>
      <c r="R29" s="108"/>
      <c r="S29" s="109"/>
      <c r="T29" s="109"/>
      <c r="U29" s="110"/>
      <c r="V29" s="108"/>
      <c r="W29" s="109"/>
      <c r="X29" s="109"/>
      <c r="Y29" s="110"/>
      <c r="Z29" s="108"/>
      <c r="AA29" s="109"/>
      <c r="AB29" s="109"/>
      <c r="AC29" s="110"/>
      <c r="AD29" s="108"/>
      <c r="AE29" s="109"/>
      <c r="AF29" s="109"/>
      <c r="AG29" s="110"/>
      <c r="AH29" s="105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7"/>
      <c r="BD29" s="108"/>
      <c r="BE29" s="109"/>
      <c r="BF29" s="109"/>
      <c r="BG29" s="109"/>
      <c r="BH29" s="109"/>
      <c r="BI29" s="109"/>
      <c r="BJ29" s="110"/>
    </row>
    <row r="30" spans="1:62" ht="40.5" customHeight="1">
      <c r="A30" s="108"/>
      <c r="B30" s="109"/>
      <c r="C30" s="110"/>
      <c r="D30" s="111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3"/>
      <c r="R30" s="108"/>
      <c r="S30" s="109"/>
      <c r="T30" s="109"/>
      <c r="U30" s="110"/>
      <c r="V30" s="108"/>
      <c r="W30" s="109"/>
      <c r="X30" s="109"/>
      <c r="Y30" s="110"/>
      <c r="Z30" s="108"/>
      <c r="AA30" s="109"/>
      <c r="AB30" s="109"/>
      <c r="AC30" s="110"/>
      <c r="AD30" s="108"/>
      <c r="AE30" s="109"/>
      <c r="AF30" s="109"/>
      <c r="AG30" s="110"/>
      <c r="AH30" s="105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7"/>
      <c r="BD30" s="108"/>
      <c r="BE30" s="109"/>
      <c r="BF30" s="109"/>
      <c r="BG30" s="109"/>
      <c r="BH30" s="109"/>
      <c r="BI30" s="109"/>
      <c r="BJ30" s="110"/>
    </row>
    <row r="31" spans="1:62" ht="40.5" customHeight="1">
      <c r="A31" s="108"/>
      <c r="B31" s="109"/>
      <c r="C31" s="110"/>
      <c r="D31" s="11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3"/>
      <c r="R31" s="108"/>
      <c r="S31" s="109"/>
      <c r="T31" s="109"/>
      <c r="U31" s="110"/>
      <c r="V31" s="108"/>
      <c r="W31" s="109"/>
      <c r="X31" s="109"/>
      <c r="Y31" s="110"/>
      <c r="Z31" s="108"/>
      <c r="AA31" s="109"/>
      <c r="AB31" s="109"/>
      <c r="AC31" s="110"/>
      <c r="AD31" s="108"/>
      <c r="AE31" s="109"/>
      <c r="AF31" s="109"/>
      <c r="AG31" s="110"/>
      <c r="AH31" s="105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7"/>
      <c r="BD31" s="108"/>
      <c r="BE31" s="109"/>
      <c r="BF31" s="109"/>
      <c r="BG31" s="109"/>
      <c r="BH31" s="109"/>
      <c r="BI31" s="109"/>
      <c r="BJ31" s="110"/>
    </row>
    <row r="32" spans="1:62" ht="40.5" customHeight="1">
      <c r="A32" s="108"/>
      <c r="B32" s="109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3"/>
      <c r="R32" s="108"/>
      <c r="S32" s="109"/>
      <c r="T32" s="109"/>
      <c r="U32" s="110"/>
      <c r="V32" s="108"/>
      <c r="W32" s="109"/>
      <c r="X32" s="109"/>
      <c r="Y32" s="110"/>
      <c r="Z32" s="108"/>
      <c r="AA32" s="109"/>
      <c r="AB32" s="109"/>
      <c r="AC32" s="110"/>
      <c r="AD32" s="108"/>
      <c r="AE32" s="109"/>
      <c r="AF32" s="109"/>
      <c r="AG32" s="110"/>
      <c r="AH32" s="105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7"/>
      <c r="BD32" s="108"/>
      <c r="BE32" s="109"/>
      <c r="BF32" s="109"/>
      <c r="BG32" s="109"/>
      <c r="BH32" s="109"/>
      <c r="BI32" s="109"/>
      <c r="BJ32" s="110"/>
    </row>
    <row r="33" spans="1:62" ht="40.5" customHeight="1">
      <c r="A33" s="117"/>
      <c r="B33" s="118"/>
      <c r="C33" s="119"/>
      <c r="D33" s="120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2"/>
      <c r="R33" s="117"/>
      <c r="S33" s="118"/>
      <c r="T33" s="118"/>
      <c r="U33" s="119"/>
      <c r="V33" s="117"/>
      <c r="W33" s="118"/>
      <c r="X33" s="118"/>
      <c r="Y33" s="119"/>
      <c r="Z33" s="117"/>
      <c r="AA33" s="118"/>
      <c r="AB33" s="118"/>
      <c r="AC33" s="119"/>
      <c r="AD33" s="117"/>
      <c r="AE33" s="118"/>
      <c r="AF33" s="118"/>
      <c r="AG33" s="119"/>
      <c r="AH33" s="114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6"/>
      <c r="BD33" s="117"/>
      <c r="BE33" s="118"/>
      <c r="BF33" s="118"/>
      <c r="BG33" s="118"/>
      <c r="BH33" s="118"/>
      <c r="BI33" s="118"/>
      <c r="BJ33" s="119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8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0" t="s">
        <v>51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52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3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213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44" t="s">
        <v>212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3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1" t="s">
        <v>17</v>
      </c>
      <c r="B6" s="92"/>
      <c r="C6" s="92"/>
      <c r="D6" s="92"/>
      <c r="E6" s="92"/>
      <c r="F6" s="92"/>
      <c r="G6" s="92"/>
      <c r="H6" s="92"/>
      <c r="I6" s="92"/>
      <c r="J6" s="92"/>
      <c r="K6" s="93"/>
      <c r="L6" s="91" t="s">
        <v>126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44" t="s">
        <v>22</v>
      </c>
      <c r="B8" s="45"/>
      <c r="C8" s="46"/>
      <c r="D8" s="44" t="s">
        <v>205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44" t="s">
        <v>53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  <c r="BD8" s="123" t="s">
        <v>49</v>
      </c>
      <c r="BE8" s="124"/>
      <c r="BF8" s="124"/>
      <c r="BG8" s="124"/>
      <c r="BH8" s="124"/>
      <c r="BI8" s="124"/>
      <c r="BJ8" s="125"/>
    </row>
    <row r="9" spans="1:63" s="11" customFormat="1" ht="40.5" customHeight="1">
      <c r="A9" s="126"/>
      <c r="B9" s="127"/>
      <c r="C9" s="128"/>
      <c r="D9" s="129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1"/>
      <c r="R9" s="129" t="s">
        <v>50</v>
      </c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1"/>
      <c r="BD9" s="126"/>
      <c r="BE9" s="127"/>
      <c r="BF9" s="127"/>
      <c r="BG9" s="127"/>
      <c r="BH9" s="127"/>
      <c r="BI9" s="127"/>
      <c r="BJ9" s="128"/>
    </row>
    <row r="10" spans="1:63" ht="40.5" customHeight="1">
      <c r="A10" s="108"/>
      <c r="B10" s="109"/>
      <c r="C10" s="110"/>
      <c r="D10" s="111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3"/>
      <c r="R10" s="111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3"/>
      <c r="BD10" s="108"/>
      <c r="BE10" s="109"/>
      <c r="BF10" s="109"/>
      <c r="BG10" s="109"/>
      <c r="BH10" s="109"/>
      <c r="BI10" s="109"/>
      <c r="BJ10" s="110"/>
    </row>
    <row r="11" spans="1:63" ht="40.5" customHeight="1">
      <c r="A11" s="108"/>
      <c r="B11" s="109"/>
      <c r="C11" s="110"/>
      <c r="D11" s="111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3"/>
      <c r="R11" s="111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3"/>
      <c r="BD11" s="108"/>
      <c r="BE11" s="109"/>
      <c r="BF11" s="109"/>
      <c r="BG11" s="109"/>
      <c r="BH11" s="109"/>
      <c r="BI11" s="109"/>
      <c r="BJ11" s="110"/>
    </row>
    <row r="12" spans="1:63" ht="40.5" customHeight="1">
      <c r="A12" s="108"/>
      <c r="B12" s="109"/>
      <c r="C12" s="110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3"/>
      <c r="R12" s="111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3"/>
      <c r="BD12" s="108"/>
      <c r="BE12" s="109"/>
      <c r="BF12" s="109"/>
      <c r="BG12" s="109"/>
      <c r="BH12" s="109"/>
      <c r="BI12" s="109"/>
      <c r="BJ12" s="110"/>
    </row>
    <row r="13" spans="1:63" ht="40.5" customHeight="1">
      <c r="A13" s="108"/>
      <c r="B13" s="109"/>
      <c r="C13" s="110"/>
      <c r="D13" s="111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3"/>
      <c r="R13" s="111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3"/>
      <c r="BD13" s="108"/>
      <c r="BE13" s="109"/>
      <c r="BF13" s="109"/>
      <c r="BG13" s="109"/>
      <c r="BH13" s="109"/>
      <c r="BI13" s="109"/>
      <c r="BJ13" s="110"/>
    </row>
    <row r="14" spans="1:63" ht="40.5" customHeight="1">
      <c r="A14" s="108"/>
      <c r="B14" s="109"/>
      <c r="C14" s="110"/>
      <c r="D14" s="111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3"/>
      <c r="R14" s="111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3"/>
      <c r="BD14" s="108"/>
      <c r="BE14" s="109"/>
      <c r="BF14" s="109"/>
      <c r="BG14" s="109"/>
      <c r="BH14" s="109"/>
      <c r="BI14" s="109"/>
      <c r="BJ14" s="110"/>
    </row>
    <row r="15" spans="1:63" ht="40.5" customHeight="1">
      <c r="A15" s="108"/>
      <c r="B15" s="109"/>
      <c r="C15" s="110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111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3"/>
      <c r="BD15" s="108"/>
      <c r="BE15" s="109"/>
      <c r="BF15" s="109"/>
      <c r="BG15" s="109"/>
      <c r="BH15" s="109"/>
      <c r="BI15" s="109"/>
      <c r="BJ15" s="110"/>
    </row>
    <row r="16" spans="1:63" ht="40.5" customHeight="1">
      <c r="A16" s="108"/>
      <c r="B16" s="109"/>
      <c r="C16" s="110"/>
      <c r="D16" s="111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3"/>
      <c r="R16" s="111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3"/>
      <c r="BD16" s="108"/>
      <c r="BE16" s="109"/>
      <c r="BF16" s="109"/>
      <c r="BG16" s="109"/>
      <c r="BH16" s="109"/>
      <c r="BI16" s="109"/>
      <c r="BJ16" s="110"/>
    </row>
    <row r="17" spans="1:62" ht="40.5" customHeight="1">
      <c r="A17" s="108"/>
      <c r="B17" s="109"/>
      <c r="C17" s="110"/>
      <c r="D17" s="111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111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3"/>
      <c r="BD17" s="108"/>
      <c r="BE17" s="109"/>
      <c r="BF17" s="109"/>
      <c r="BG17" s="109"/>
      <c r="BH17" s="109"/>
      <c r="BI17" s="109"/>
      <c r="BJ17" s="110"/>
    </row>
    <row r="18" spans="1:62" ht="40.5" customHeight="1">
      <c r="A18" s="108"/>
      <c r="B18" s="109"/>
      <c r="C18" s="110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3"/>
      <c r="R18" s="111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3"/>
      <c r="BD18" s="108"/>
      <c r="BE18" s="109"/>
      <c r="BF18" s="109"/>
      <c r="BG18" s="109"/>
      <c r="BH18" s="109"/>
      <c r="BI18" s="109"/>
      <c r="BJ18" s="110"/>
    </row>
    <row r="19" spans="1:62" ht="40.5" customHeight="1">
      <c r="A19" s="108"/>
      <c r="B19" s="109"/>
      <c r="C19" s="110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11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3"/>
      <c r="BD19" s="108"/>
      <c r="BE19" s="109"/>
      <c r="BF19" s="109"/>
      <c r="BG19" s="109"/>
      <c r="BH19" s="109"/>
      <c r="BI19" s="109"/>
      <c r="BJ19" s="110"/>
    </row>
    <row r="20" spans="1:62" ht="40.5" customHeight="1">
      <c r="A20" s="108"/>
      <c r="B20" s="109"/>
      <c r="C20" s="110"/>
      <c r="D20" s="111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111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3"/>
      <c r="BD20" s="108"/>
      <c r="BE20" s="109"/>
      <c r="BF20" s="109"/>
      <c r="BG20" s="109"/>
      <c r="BH20" s="109"/>
      <c r="BI20" s="109"/>
      <c r="BJ20" s="110"/>
    </row>
    <row r="21" spans="1:62" ht="40.5" customHeight="1">
      <c r="A21" s="108"/>
      <c r="B21" s="109"/>
      <c r="C21" s="110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3"/>
      <c r="R21" s="111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3"/>
      <c r="BD21" s="108"/>
      <c r="BE21" s="109"/>
      <c r="BF21" s="109"/>
      <c r="BG21" s="109"/>
      <c r="BH21" s="109"/>
      <c r="BI21" s="109"/>
      <c r="BJ21" s="110"/>
    </row>
    <row r="22" spans="1:62" ht="40.5" customHeight="1">
      <c r="A22" s="108"/>
      <c r="B22" s="109"/>
      <c r="C22" s="110"/>
      <c r="D22" s="111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3"/>
      <c r="R22" s="111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3"/>
      <c r="BD22" s="108"/>
      <c r="BE22" s="109"/>
      <c r="BF22" s="109"/>
      <c r="BG22" s="109"/>
      <c r="BH22" s="109"/>
      <c r="BI22" s="109"/>
      <c r="BJ22" s="110"/>
    </row>
    <row r="23" spans="1:62" ht="40.5" customHeight="1">
      <c r="A23" s="108"/>
      <c r="B23" s="109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3"/>
      <c r="R23" s="111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3"/>
      <c r="BD23" s="108"/>
      <c r="BE23" s="109"/>
      <c r="BF23" s="109"/>
      <c r="BG23" s="109"/>
      <c r="BH23" s="109"/>
      <c r="BI23" s="109"/>
      <c r="BJ23" s="110"/>
    </row>
    <row r="24" spans="1:62" ht="40.5" customHeight="1">
      <c r="A24" s="108"/>
      <c r="B24" s="109"/>
      <c r="C24" s="110"/>
      <c r="D24" s="11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3"/>
      <c r="R24" s="111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3"/>
      <c r="BD24" s="108"/>
      <c r="BE24" s="109"/>
      <c r="BF24" s="109"/>
      <c r="BG24" s="109"/>
      <c r="BH24" s="109"/>
      <c r="BI24" s="109"/>
      <c r="BJ24" s="110"/>
    </row>
    <row r="25" spans="1:62" ht="40.5" customHeight="1">
      <c r="A25" s="108"/>
      <c r="B25" s="109"/>
      <c r="C25" s="110"/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3"/>
      <c r="R25" s="111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3"/>
      <c r="BD25" s="108"/>
      <c r="BE25" s="109"/>
      <c r="BF25" s="109"/>
      <c r="BG25" s="109"/>
      <c r="BH25" s="109"/>
      <c r="BI25" s="109"/>
      <c r="BJ25" s="110"/>
    </row>
    <row r="26" spans="1:62" ht="40.5" customHeight="1">
      <c r="A26" s="108"/>
      <c r="B26" s="109"/>
      <c r="C26" s="110"/>
      <c r="D26" s="111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3"/>
      <c r="R26" s="111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3"/>
      <c r="BD26" s="108"/>
      <c r="BE26" s="109"/>
      <c r="BF26" s="109"/>
      <c r="BG26" s="109"/>
      <c r="BH26" s="109"/>
      <c r="BI26" s="109"/>
      <c r="BJ26" s="110"/>
    </row>
    <row r="27" spans="1:62" ht="40.5" customHeight="1">
      <c r="A27" s="108"/>
      <c r="B27" s="109"/>
      <c r="C27" s="110"/>
      <c r="D27" s="111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3"/>
      <c r="R27" s="111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3"/>
      <c r="BD27" s="108"/>
      <c r="BE27" s="109"/>
      <c r="BF27" s="109"/>
      <c r="BG27" s="109"/>
      <c r="BH27" s="109"/>
      <c r="BI27" s="109"/>
      <c r="BJ27" s="110"/>
    </row>
    <row r="28" spans="1:62" ht="40.5" customHeight="1">
      <c r="A28" s="108"/>
      <c r="B28" s="109"/>
      <c r="C28" s="110"/>
      <c r="D28" s="111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3"/>
      <c r="R28" s="111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3"/>
      <c r="BD28" s="108"/>
      <c r="BE28" s="109"/>
      <c r="BF28" s="109"/>
      <c r="BG28" s="109"/>
      <c r="BH28" s="109"/>
      <c r="BI28" s="109"/>
      <c r="BJ28" s="110"/>
    </row>
    <row r="29" spans="1:62" ht="40.5" customHeight="1">
      <c r="A29" s="108"/>
      <c r="B29" s="109"/>
      <c r="C29" s="110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3"/>
      <c r="R29" s="111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3"/>
      <c r="BD29" s="108"/>
      <c r="BE29" s="109"/>
      <c r="BF29" s="109"/>
      <c r="BG29" s="109"/>
      <c r="BH29" s="109"/>
      <c r="BI29" s="109"/>
      <c r="BJ29" s="110"/>
    </row>
    <row r="30" spans="1:62" ht="40.5" customHeight="1">
      <c r="A30" s="108"/>
      <c r="B30" s="109"/>
      <c r="C30" s="110"/>
      <c r="D30" s="111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3"/>
      <c r="R30" s="111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3"/>
      <c r="BD30" s="108"/>
      <c r="BE30" s="109"/>
      <c r="BF30" s="109"/>
      <c r="BG30" s="109"/>
      <c r="BH30" s="109"/>
      <c r="BI30" s="109"/>
      <c r="BJ30" s="110"/>
    </row>
    <row r="31" spans="1:62" ht="40.5" customHeight="1">
      <c r="A31" s="108"/>
      <c r="B31" s="109"/>
      <c r="C31" s="110"/>
      <c r="D31" s="11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3"/>
      <c r="R31" s="111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3"/>
      <c r="BD31" s="108"/>
      <c r="BE31" s="109"/>
      <c r="BF31" s="109"/>
      <c r="BG31" s="109"/>
      <c r="BH31" s="109"/>
      <c r="BI31" s="109"/>
      <c r="BJ31" s="110"/>
    </row>
    <row r="32" spans="1:62" ht="40.5" customHeight="1">
      <c r="A32" s="108"/>
      <c r="B32" s="109"/>
      <c r="C32" s="110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3"/>
      <c r="R32" s="111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3"/>
      <c r="BD32" s="108"/>
      <c r="BE32" s="109"/>
      <c r="BF32" s="109"/>
      <c r="BG32" s="109"/>
      <c r="BH32" s="109"/>
      <c r="BI32" s="109"/>
      <c r="BJ32" s="110"/>
    </row>
    <row r="33" spans="1:62" ht="40.5" customHeight="1">
      <c r="A33" s="117"/>
      <c r="B33" s="118"/>
      <c r="C33" s="119"/>
      <c r="D33" s="120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2"/>
      <c r="R33" s="120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2"/>
      <c r="BD33" s="117"/>
      <c r="BE33" s="118"/>
      <c r="BF33" s="118"/>
      <c r="BG33" s="118"/>
      <c r="BH33" s="118"/>
      <c r="BI33" s="118"/>
      <c r="BJ33" s="119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75B2B-8D92-4C7B-9C03-DCE809A8F0FF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elements/1.1/"/>
    <ds:schemaRef ds:uri="b9cc7365-e218-4624-aedb-0a55e821af1f"/>
    <ds:schemaRef ds:uri="http://www.w3.org/XML/1998/namespace"/>
    <ds:schemaRef ds:uri="4a1f72ec-30b8-4383-892a-fcacdd251f13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2025-08-25T01:23:58Z</cp:lastPrinted>
  <dcterms:created xsi:type="dcterms:W3CDTF">2001-03-06T02:20:07Z</dcterms:created>
  <dcterms:modified xsi:type="dcterms:W3CDTF">2025-08-26T06:34:44Z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