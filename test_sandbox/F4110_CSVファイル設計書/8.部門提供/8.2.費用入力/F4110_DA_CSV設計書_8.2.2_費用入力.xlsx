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8.部門提供\8.2.費用入力\"/>
    </mc:Choice>
  </mc:AlternateContent>
  <xr:revisionPtr revIDLastSave="0" documentId="13_ncr:1_{5F55BF83-C3BD-4DAB-B3CC-E97B37729266}" xr6:coauthVersionLast="47" xr6:coauthVersionMax="47" xr10:uidLastSave="{00000000-0000-0000-0000-000000000000}"/>
  <bookViews>
    <workbookView xWindow="28680" yWindow="-120" windowWidth="29040" windowHeight="15720" tabRatio="862" activeTab="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CSVイメージ!$A$1:$BJ$45</definedName>
    <definedName name="_xlnm.Print_Area" localSheetId="1">項目定義書!$A$1:$BJ$54</definedName>
    <definedName name="_xlnm.Print_Area" localSheetId="4">取込チェック・関連!$A$1:$BJ$20</definedName>
    <definedName name="_xlnm.Print_Area" localSheetId="3">取込チェック・単体!$A$1:$BJ$49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28" l="1"/>
  <c r="A18" i="23" l="1"/>
  <c r="A10" i="22"/>
  <c r="A9" i="22"/>
  <c r="A16" i="23"/>
  <c r="A17" i="23"/>
  <c r="A13" i="23"/>
  <c r="A14" i="23"/>
  <c r="A15" i="23"/>
  <c r="A44" i="31"/>
  <c r="A13" i="22"/>
  <c r="A12" i="22"/>
  <c r="A26" i="28"/>
  <c r="A22" i="28"/>
  <c r="A23" i="28"/>
  <c r="A24" i="28"/>
  <c r="A25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21" i="28"/>
  <c r="A20" i="28"/>
  <c r="A47" i="22"/>
  <c r="A46" i="22"/>
  <c r="A45" i="22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44" i="22" l="1"/>
  <c r="A43" i="22"/>
  <c r="A42" i="22"/>
  <c r="A41" i="22"/>
  <c r="A40" i="22"/>
  <c r="A39" i="22"/>
  <c r="A38" i="22"/>
  <c r="A37" i="22"/>
  <c r="A36" i="22"/>
  <c r="A35" i="22"/>
  <c r="A11" i="31"/>
  <c r="A12" i="31"/>
  <c r="A17" i="31"/>
  <c r="A13" i="31"/>
  <c r="A14" i="31"/>
  <c r="A15" i="31"/>
  <c r="A16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11" i="22"/>
  <c r="A14" i="22" l="1"/>
  <c r="A12" i="23" l="1"/>
  <c r="A9" i="23"/>
  <c r="A10" i="23"/>
  <c r="A11" i="23"/>
  <c r="A34" i="22" l="1"/>
  <c r="A33" i="22"/>
  <c r="A27" i="22"/>
  <c r="A28" i="22"/>
  <c r="A29" i="22"/>
  <c r="A30" i="22"/>
  <c r="A31" i="22"/>
  <c r="A32" i="22"/>
  <c r="A15" i="22"/>
  <c r="A16" i="22"/>
  <c r="A17" i="22"/>
  <c r="A18" i="22"/>
  <c r="A19" i="22"/>
  <c r="A20" i="22"/>
  <c r="A21" i="22"/>
  <c r="A22" i="22"/>
  <c r="A23" i="22"/>
  <c r="A24" i="22"/>
  <c r="A25" i="22"/>
  <c r="A2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4F2365EE-BB24-4ED2-A37C-067B9EF1263F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<sst xmlns="http://schemas.openxmlformats.org/spreadsheetml/2006/main" count="490" uniqueCount="234">
  <si>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</si>
  <si>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</si>
  <si>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</si>
  <si>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</si>
  <si>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</si>
  <si>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</si>
  <si>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</si>
  <si>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</si>
  <si>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</si>
  <si>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</si>
  <si>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</si>
  <si>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</si>
  <si>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</si>
  <si>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</si>
  <si>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</si>
  <si>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</si>
  <si>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</si>
  <si>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</si>
  <si>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</si>
  <si>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</si>
  <si>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</si>
  <si>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</si>
  <si>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</si>
  <si>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</si>
  <si>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</si>
  <si>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</si>
  <si>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</si>
  <si>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</si>
  <si>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</si>
  <si>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</si>
  <si>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</si>
  <si>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</si>
  <si>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</si>
  <si>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</si>
  <si>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</si>
  <si>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</si>
  <si>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</si>
  <si>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</si>
  <si>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</si>
  <si>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</si>
  <si>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</si>
  <si>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</si>
  <si>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</si>
  <si>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</si>
  <si>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</si>
  <si>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</si>
  <si>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</si>
  <si>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</si>
  <si>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</si>
  <si>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</si>
  <si>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取引日</t>
    <rPh sb="0" eb="3">
      <t>トリヒキビ</t>
    </rPh>
    <phoneticPr fontId="1"/>
  </si>
  <si>
    <t>漢字</t>
    <rPh sb="0" eb="2">
      <t>カンジ</t>
    </rPh>
    <phoneticPr fontId="1"/>
  </si>
  <si>
    <t>科目摘要細目</t>
    <rPh sb="0" eb="2">
      <t>カモク</t>
    </rPh>
    <rPh sb="2" eb="4">
      <t>テキヨウ</t>
    </rPh>
    <rPh sb="4" eb="6">
      <t>サイモク</t>
    </rPh>
    <phoneticPr fontId="1"/>
  </si>
  <si>
    <t>科目摘要補足</t>
    <rPh sb="0" eb="6">
      <t>カモクテキヨウホソク</t>
    </rPh>
    <phoneticPr fontId="1"/>
  </si>
  <si>
    <t>合計額</t>
    <rPh sb="0" eb="2">
      <t>ゴウケイ</t>
    </rPh>
    <rPh sb="2" eb="3">
      <t>ガク</t>
    </rPh>
    <phoneticPr fontId="1"/>
  </si>
  <si>
    <t>相手先明細　控除額</t>
    <rPh sb="6" eb="9">
      <t>コウジョガク</t>
    </rPh>
    <phoneticPr fontId="1"/>
  </si>
  <si>
    <t>相手先明細　仮払金</t>
    <rPh sb="6" eb="9">
      <t>カリバライキン</t>
    </rPh>
    <phoneticPr fontId="1"/>
  </si>
  <si>
    <t>相手先明細　合計金額</t>
    <rPh sb="0" eb="5">
      <t>アイテサキメイサイ</t>
    </rPh>
    <rPh sb="6" eb="10">
      <t>ゴウケイキンガク</t>
    </rPh>
    <phoneticPr fontId="1"/>
  </si>
  <si>
    <t>相手先明細　支払入金予定日</t>
    <rPh sb="6" eb="13">
      <t>シハライニュウキンヨテイビ</t>
    </rPh>
    <phoneticPr fontId="1"/>
  </si>
  <si>
    <t>控除額を設定する</t>
    <rPh sb="0" eb="3">
      <t>コウジョガク</t>
    </rPh>
    <rPh sb="4" eb="6">
      <t>セッテイ</t>
    </rPh>
    <phoneticPr fontId="1"/>
  </si>
  <si>
    <t>仮払金を設定する</t>
    <rPh sb="0" eb="3">
      <t>カリバライキン</t>
    </rPh>
    <rPh sb="4" eb="6">
      <t>セッテイ</t>
    </rPh>
    <phoneticPr fontId="1"/>
  </si>
  <si>
    <t>相手先明細の合計金額を設定する</t>
    <rPh sb="0" eb="5">
      <t>アイテサキメイサイ</t>
    </rPh>
    <rPh sb="6" eb="10">
      <t>ゴウケイキンガク</t>
    </rPh>
    <rPh sb="11" eb="13">
      <t>セッテイ</t>
    </rPh>
    <phoneticPr fontId="1"/>
  </si>
  <si>
    <t>支払入金予定日を設定する</t>
    <rPh sb="0" eb="7">
      <t>シハライニュウキンヨテイビ</t>
    </rPh>
    <rPh sb="8" eb="10">
      <t>セッテイ</t>
    </rPh>
    <phoneticPr fontId="1"/>
  </si>
  <si>
    <t>1001</t>
    <phoneticPr fontId="1"/>
  </si>
  <si>
    <t>関係先懇親会　札幌</t>
    <rPh sb="0" eb="1">
      <t>カンケイ</t>
    </rPh>
    <rPh sb="1" eb="2">
      <t>サキ</t>
    </rPh>
    <rPh sb="2" eb="4">
      <t>コンシン</t>
    </rPh>
    <rPh sb="4" eb="5">
      <t>カイ</t>
    </rPh>
    <rPh sb="6" eb="8">
      <t>サッポロ</t>
    </rPh>
    <phoneticPr fontId="1"/>
  </si>
  <si>
    <t>9999999999999</t>
    <phoneticPr fontId="1"/>
  </si>
  <si>
    <t>ホクレン農協連</t>
    <rPh sb="3" eb="5">
      <t>ノウキョウ</t>
    </rPh>
    <rPh sb="5" eb="6">
      <t>レン</t>
    </rPh>
    <phoneticPr fontId="1"/>
  </si>
  <si>
    <t>業種コード</t>
    <phoneticPr fontId="1"/>
  </si>
  <si>
    <t>合計額</t>
    <phoneticPr fontId="1"/>
  </si>
  <si>
    <t>相手先明細　消費税取引区分</t>
    <phoneticPr fontId="1"/>
  </si>
  <si>
    <t>相手先明細　免税区分</t>
    <phoneticPr fontId="1"/>
  </si>
  <si>
    <t>相手先明細　控除額</t>
    <phoneticPr fontId="1"/>
  </si>
  <si>
    <t>相手先明細　仮払金</t>
    <phoneticPr fontId="1"/>
  </si>
  <si>
    <t>相手先明細　合計金額</t>
    <phoneticPr fontId="1"/>
  </si>
  <si>
    <t>相手先明細　支払入金予定日</t>
    <phoneticPr fontId="1"/>
  </si>
  <si>
    <t>一括償却資産　品名</t>
    <rPh sb="0" eb="4">
      <t>イッカツショウキャク</t>
    </rPh>
    <rPh sb="4" eb="6">
      <t>シサン</t>
    </rPh>
    <rPh sb="7" eb="9">
      <t>ヒンメイ</t>
    </rPh>
    <phoneticPr fontId="1"/>
  </si>
  <si>
    <t>一括償却資産　単価</t>
    <rPh sb="0" eb="4">
      <t>イッカツショウキャク</t>
    </rPh>
    <rPh sb="4" eb="6">
      <t>シサン</t>
    </rPh>
    <rPh sb="7" eb="9">
      <t>タンカ</t>
    </rPh>
    <phoneticPr fontId="1"/>
  </si>
  <si>
    <t>一括償却資産　数量</t>
    <rPh sb="0" eb="4">
      <t>イッカツショウキャク</t>
    </rPh>
    <rPh sb="4" eb="6">
      <t>シサン</t>
    </rPh>
    <rPh sb="7" eb="9">
      <t>スウリョウ</t>
    </rPh>
    <phoneticPr fontId="1"/>
  </si>
  <si>
    <t>一括償却資産　金額</t>
    <rPh sb="0" eb="4">
      <t>イッカツショウキャク</t>
    </rPh>
    <rPh sb="4" eb="6">
      <t>シサン</t>
    </rPh>
    <rPh sb="7" eb="9">
      <t>キンガク</t>
    </rPh>
    <phoneticPr fontId="1"/>
  </si>
  <si>
    <t>一括償却資産　納品日</t>
    <rPh sb="0" eb="4">
      <t>イッカツショウキャク</t>
    </rPh>
    <rPh sb="4" eb="6">
      <t>シサン</t>
    </rPh>
    <rPh sb="7" eb="10">
      <t>ノウヒンビ</t>
    </rPh>
    <phoneticPr fontId="1"/>
  </si>
  <si>
    <t>一括償却資産の品名を設定する</t>
    <rPh sb="0" eb="4">
      <t>イッカツショウキャク</t>
    </rPh>
    <rPh sb="4" eb="6">
      <t>シサン</t>
    </rPh>
    <rPh sb="7" eb="9">
      <t>ヒンメイ</t>
    </rPh>
    <rPh sb="10" eb="12">
      <t>セッテイ</t>
    </rPh>
    <phoneticPr fontId="1"/>
  </si>
  <si>
    <t>一括償却資産の単価を設定する</t>
    <rPh sb="0" eb="6">
      <t>イッカツショウキャクシサン</t>
    </rPh>
    <rPh sb="7" eb="9">
      <t>タンカ</t>
    </rPh>
    <rPh sb="10" eb="12">
      <t>セッテイ</t>
    </rPh>
    <phoneticPr fontId="1"/>
  </si>
  <si>
    <t>一括償却資産の数量を設定する</t>
    <rPh sb="0" eb="6">
      <t>イッカツショウキャクシサン</t>
    </rPh>
    <rPh sb="7" eb="9">
      <t>スウリョウ</t>
    </rPh>
    <rPh sb="10" eb="12">
      <t>セッテイ</t>
    </rPh>
    <phoneticPr fontId="1"/>
  </si>
  <si>
    <t>一括償却資産の金額を設定する</t>
    <rPh sb="0" eb="6">
      <t>イッカツショウキャクシサン</t>
    </rPh>
    <rPh sb="7" eb="9">
      <t>キンガク</t>
    </rPh>
    <rPh sb="10" eb="12">
      <t>セッテイ</t>
    </rPh>
    <phoneticPr fontId="1"/>
  </si>
  <si>
    <t>一括償却資産の納品日を設定する</t>
    <rPh sb="0" eb="6">
      <t>イッカツショウキャクシサン</t>
    </rPh>
    <rPh sb="7" eb="10">
      <t>ノウヒンビ</t>
    </rPh>
    <rPh sb="11" eb="13">
      <t>セッテイ</t>
    </rPh>
    <phoneticPr fontId="1"/>
  </si>
  <si>
    <t>デジタルカメラ</t>
    <phoneticPr fontId="1"/>
  </si>
  <si>
    <t>処理区分コード</t>
    <rPh sb="0" eb="4">
      <t>ショリクブン</t>
    </rPh>
    <phoneticPr fontId="1"/>
  </si>
  <si>
    <t>処理区分名称</t>
    <rPh sb="0" eb="6">
      <t>ショリクブンメイショウ</t>
    </rPh>
    <phoneticPr fontId="1"/>
  </si>
  <si>
    <t>業種コード</t>
    <rPh sb="0" eb="2">
      <t>ギョウシュ</t>
    </rPh>
    <phoneticPr fontId="1"/>
  </si>
  <si>
    <t>業種名称</t>
    <rPh sb="0" eb="2">
      <t>ギョウシュ</t>
    </rPh>
    <rPh sb="2" eb="4">
      <t>メイショウ</t>
    </rPh>
    <phoneticPr fontId="1"/>
  </si>
  <si>
    <t>予算組織コード</t>
    <rPh sb="0" eb="4">
      <t>ヨサンソシキ</t>
    </rPh>
    <phoneticPr fontId="1"/>
  </si>
  <si>
    <t>予算組織名称</t>
    <rPh sb="0" eb="4">
      <t>ヨサンソシキ</t>
    </rPh>
    <rPh sb="4" eb="6">
      <t>メイショウ</t>
    </rPh>
    <phoneticPr fontId="1"/>
  </si>
  <si>
    <t>支払入金方法名称</t>
    <rPh sb="0" eb="6">
      <t>シハライニュウキンホウホウ</t>
    </rPh>
    <rPh sb="6" eb="8">
      <t>メイショウ</t>
    </rPh>
    <phoneticPr fontId="1"/>
  </si>
  <si>
    <t>支払入金方法コード</t>
    <rPh sb="0" eb="6">
      <t>シハライニュウキンホウホウ</t>
    </rPh>
    <phoneticPr fontId="1"/>
  </si>
  <si>
    <t>勘定科目コード</t>
    <rPh sb="0" eb="4">
      <t>カンジョウカモク</t>
    </rPh>
    <phoneticPr fontId="1"/>
  </si>
  <si>
    <t>勘定科目名称</t>
    <rPh sb="0" eb="4">
      <t>カンジョウカモク</t>
    </rPh>
    <rPh sb="4" eb="6">
      <t>メイショウ</t>
    </rPh>
    <phoneticPr fontId="1"/>
  </si>
  <si>
    <t>科目摘要コード</t>
    <rPh sb="0" eb="4">
      <t>カモクテキヨウ</t>
    </rPh>
    <phoneticPr fontId="1"/>
  </si>
  <si>
    <t>科目摘要名称</t>
    <rPh sb="0" eb="4">
      <t>カモクテキヨウ</t>
    </rPh>
    <rPh sb="4" eb="6">
      <t>メイショウ</t>
    </rPh>
    <phoneticPr fontId="1"/>
  </si>
  <si>
    <t>相手先明細　相手先コード</t>
    <rPh sb="0" eb="5">
      <t>アイテサキメイサイ</t>
    </rPh>
    <rPh sb="6" eb="9">
      <t>アイテサキ</t>
    </rPh>
    <phoneticPr fontId="1"/>
  </si>
  <si>
    <t>相手先明細　相手先名称</t>
    <rPh sb="0" eb="5">
      <t>アイテサキメイサイ</t>
    </rPh>
    <rPh sb="6" eb="9">
      <t>アイテサキ</t>
    </rPh>
    <rPh sb="9" eb="11">
      <t>メイショウ</t>
    </rPh>
    <phoneticPr fontId="1"/>
  </si>
  <si>
    <t>相手先明細　消費税取引区分コード</t>
    <rPh sb="6" eb="9">
      <t>ショウヒゼイ</t>
    </rPh>
    <rPh sb="9" eb="13">
      <t>トリヒキクブン</t>
    </rPh>
    <phoneticPr fontId="1"/>
  </si>
  <si>
    <t>相手先明細　消費税取引区分名称</t>
    <rPh sb="6" eb="9">
      <t>ショウヒゼイ</t>
    </rPh>
    <rPh sb="9" eb="13">
      <t>トリヒキクブン</t>
    </rPh>
    <rPh sb="13" eb="15">
      <t>メイショウ</t>
    </rPh>
    <phoneticPr fontId="1"/>
  </si>
  <si>
    <t>相手先明細　免税区分コード</t>
    <rPh sb="6" eb="10">
      <t>メンゼイクブン</t>
    </rPh>
    <phoneticPr fontId="1"/>
  </si>
  <si>
    <t>相手先明細　免税区分名称</t>
    <rPh sb="6" eb="10">
      <t>メンゼイクブン</t>
    </rPh>
    <rPh sb="10" eb="12">
      <t>メイショウ</t>
    </rPh>
    <phoneticPr fontId="1"/>
  </si>
  <si>
    <t>処理区分コードを設定する（1：費用入力　2：費用戻入）</t>
    <rPh sb="0" eb="4">
      <t>ショリクブン</t>
    </rPh>
    <rPh sb="8" eb="10">
      <t>セッテイ</t>
    </rPh>
    <rPh sb="15" eb="19">
      <t>ヒヨウニュウリョク</t>
    </rPh>
    <rPh sb="22" eb="26">
      <t>ヒヨウモドシイレ</t>
    </rPh>
    <phoneticPr fontId="1"/>
  </si>
  <si>
    <t>業種コードに対する名称を設定する</t>
    <rPh sb="0" eb="2">
      <t>ギョウシュ</t>
    </rPh>
    <rPh sb="6" eb="7">
      <t>タイ</t>
    </rPh>
    <rPh sb="9" eb="11">
      <t>メイショウ</t>
    </rPh>
    <rPh sb="12" eb="14">
      <t>セッテイ</t>
    </rPh>
    <phoneticPr fontId="1"/>
  </si>
  <si>
    <t>予算組織コードに対する名称を設定する</t>
    <rPh sb="0" eb="4">
      <t>ヨサンソシキ</t>
    </rPh>
    <rPh sb="8" eb="9">
      <t>タイ</t>
    </rPh>
    <rPh sb="11" eb="13">
      <t>メイショウ</t>
    </rPh>
    <rPh sb="14" eb="16">
      <t>セッテイ</t>
    </rPh>
    <phoneticPr fontId="1"/>
  </si>
  <si>
    <t>処理区分コードに対する名称を設定する（1：費用入力　2：費用戻入）</t>
    <rPh sb="0" eb="4">
      <t>ショリクブン</t>
    </rPh>
    <rPh sb="8" eb="9">
      <t>タイ</t>
    </rPh>
    <rPh sb="11" eb="13">
      <t>メイショウ</t>
    </rPh>
    <rPh sb="14" eb="16">
      <t>セッテイ</t>
    </rPh>
    <rPh sb="21" eb="25">
      <t>ヒヨウニュウリョク</t>
    </rPh>
    <rPh sb="28" eb="32">
      <t>ヒヨウモドシイレ</t>
    </rPh>
    <phoneticPr fontId="1"/>
  </si>
  <si>
    <t>勘定科目コードに対する名称を設定する</t>
    <rPh sb="0" eb="4">
      <t>カンジョウカモク</t>
    </rPh>
    <rPh sb="8" eb="9">
      <t>タイ</t>
    </rPh>
    <rPh sb="11" eb="13">
      <t>メイショウ</t>
    </rPh>
    <rPh sb="14" eb="16">
      <t>セッテイ</t>
    </rPh>
    <phoneticPr fontId="1"/>
  </si>
  <si>
    <t>科目摘要コードに対する名称を設定する</t>
    <rPh sb="0" eb="2">
      <t>カモク</t>
    </rPh>
    <rPh sb="2" eb="4">
      <t>テキヨウ</t>
    </rPh>
    <rPh sb="8" eb="9">
      <t>タイ</t>
    </rPh>
    <rPh sb="11" eb="13">
      <t>メイショウ</t>
    </rPh>
    <rPh sb="14" eb="16">
      <t>セッテイ</t>
    </rPh>
    <phoneticPr fontId="1"/>
  </si>
  <si>
    <t>相手先コードを設定する</t>
    <rPh sb="0" eb="3">
      <t>アイテサキ</t>
    </rPh>
    <rPh sb="7" eb="9">
      <t>セッテイ</t>
    </rPh>
    <phoneticPr fontId="1"/>
  </si>
  <si>
    <t>相手先コードに対する名称を設定する</t>
    <rPh sb="0" eb="3">
      <t>アイテサキ</t>
    </rPh>
    <rPh sb="7" eb="8">
      <t>タイ</t>
    </rPh>
    <rPh sb="10" eb="12">
      <t>メイショウ</t>
    </rPh>
    <rPh sb="13" eb="15">
      <t>セッテイ</t>
    </rPh>
    <phoneticPr fontId="1"/>
  </si>
  <si>
    <t>消費税取引区分コードを設定する</t>
    <rPh sb="0" eb="7">
      <t>ショウヒゼイトリヒキクブン</t>
    </rPh>
    <rPh sb="11" eb="13">
      <t>セッテイ</t>
    </rPh>
    <phoneticPr fontId="1"/>
  </si>
  <si>
    <t>消費税取引区分コードに対する名称を設定する</t>
    <rPh sb="0" eb="7">
      <t>ショウヒゼイトリヒキクブン</t>
    </rPh>
    <rPh sb="11" eb="12">
      <t>タイ</t>
    </rPh>
    <rPh sb="14" eb="16">
      <t>メイショウ</t>
    </rPh>
    <rPh sb="17" eb="19">
      <t>セッテイ</t>
    </rPh>
    <phoneticPr fontId="1"/>
  </si>
  <si>
    <t>管理</t>
    <rPh sb="0" eb="2">
      <t>カンリ</t>
    </rPh>
    <phoneticPr fontId="1"/>
  </si>
  <si>
    <t>経理</t>
    <rPh sb="0" eb="1">
      <t>ケイリ</t>
    </rPh>
    <phoneticPr fontId="1"/>
  </si>
  <si>
    <t>振込</t>
    <rPh sb="0" eb="1">
      <t>フリコミ</t>
    </rPh>
    <phoneticPr fontId="1"/>
  </si>
  <si>
    <t>現金</t>
    <rPh sb="0" eb="1">
      <t>ゲンキン</t>
    </rPh>
    <phoneticPr fontId="1"/>
  </si>
  <si>
    <t>委員会出席者旅費　　</t>
    <phoneticPr fontId="1"/>
  </si>
  <si>
    <t>課税仕入</t>
    <rPh sb="0" eb="4">
      <t>カゼイシイ</t>
    </rPh>
    <phoneticPr fontId="1"/>
  </si>
  <si>
    <t>対象</t>
    <rPh sb="0" eb="2">
      <t>タイショウ</t>
    </rPh>
    <phoneticPr fontId="1"/>
  </si>
  <si>
    <t>費用入力</t>
    <rPh sb="0" eb="2">
      <t>ヒヨウ</t>
    </rPh>
    <rPh sb="2" eb="4">
      <t>ニュウリョク</t>
    </rPh>
    <phoneticPr fontId="1"/>
  </si>
  <si>
    <t>一括償却資産　単価</t>
    <rPh sb="0" eb="6">
      <t>イッカツショウキャクシサン</t>
    </rPh>
    <rPh sb="7" eb="9">
      <t>タンカ</t>
    </rPh>
    <phoneticPr fontId="1"/>
  </si>
  <si>
    <t>一括償却資産　数量</t>
    <rPh sb="0" eb="6">
      <t>イッカツショウキャクシサン</t>
    </rPh>
    <rPh sb="7" eb="9">
      <t>スウリョウ</t>
    </rPh>
    <phoneticPr fontId="1"/>
  </si>
  <si>
    <t>一括償却資産　金額</t>
    <rPh sb="0" eb="6">
      <t>イッカツショウキャクシサン</t>
    </rPh>
    <rPh sb="7" eb="9">
      <t>キンガク</t>
    </rPh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</si>
  <si>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</si>
  <si>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</si>
  <si>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</si>
  <si>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</si>
  <si>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文字コード</t>
    <rPh sb="0" eb="2">
      <t>モジ</t>
    </rPh>
    <phoneticPr fontId="1"/>
  </si>
  <si>
    <t>品目
単価
数量
金額
納品日</t>
    <phoneticPr fontId="1"/>
  </si>
  <si>
    <t>すべて入力されているかまたはすべて入力されていないこと／一括償却資産項目に未入力の項目があります。</t>
    <phoneticPr fontId="1"/>
  </si>
  <si>
    <t>業種コードを設定する
業種コードが切り替わった場合、伝票を分ける</t>
    <rPh sb="0" eb="2">
      <t>ギョウシュ</t>
    </rPh>
    <rPh sb="6" eb="8">
      <t>セッテイ</t>
    </rPh>
    <rPh sb="11" eb="13">
      <t>ギョウシュ</t>
    </rPh>
    <rPh sb="17" eb="18">
      <t>キ</t>
    </rPh>
    <rPh sb="19" eb="20">
      <t>カ</t>
    </rPh>
    <rPh sb="23" eb="25">
      <t>バアイ</t>
    </rPh>
    <rPh sb="26" eb="28">
      <t>デンヒョウ</t>
    </rPh>
    <rPh sb="29" eb="30">
      <t>ワ</t>
    </rPh>
    <phoneticPr fontId="1"/>
  </si>
  <si>
    <t>勘定科目コードを設定する
勘定科目コードが切り替わった場合、伝票を分ける</t>
    <rPh sb="0" eb="4">
      <t>カンジョウカモク</t>
    </rPh>
    <rPh sb="8" eb="10">
      <t>セッテイ</t>
    </rPh>
    <rPh sb="13" eb="17">
      <t>カンジョウカモク</t>
    </rPh>
    <phoneticPr fontId="1"/>
  </si>
  <si>
    <t>科目摘要コードを設定する
科目摘要コードが切り替わった場合、伝票を分ける</t>
    <rPh sb="0" eb="2">
      <t>カモク</t>
    </rPh>
    <rPh sb="2" eb="4">
      <t>テキヨウ</t>
    </rPh>
    <rPh sb="8" eb="10">
      <t>セッテイ</t>
    </rPh>
    <rPh sb="13" eb="17">
      <t>カモクテキヨウ</t>
    </rPh>
    <phoneticPr fontId="1"/>
  </si>
  <si>
    <t>科目摘要細目を設定する
科目摘要細目が切り替わった場合、伝票を分ける</t>
    <rPh sb="0" eb="4">
      <t>カモクテキヨウ</t>
    </rPh>
    <rPh sb="4" eb="6">
      <t>サイモク</t>
    </rPh>
    <rPh sb="7" eb="9">
      <t>セッテイ</t>
    </rPh>
    <rPh sb="16" eb="18">
      <t>サイモク</t>
    </rPh>
    <phoneticPr fontId="1"/>
  </si>
  <si>
    <t>科目摘要補足を設定する
科目摘要補足が切り替わった場合、伝票を分ける</t>
    <rPh sb="0" eb="4">
      <t>カモクテキヨウ</t>
    </rPh>
    <rPh sb="4" eb="6">
      <t>ホソク</t>
    </rPh>
    <rPh sb="7" eb="9">
      <t>セッテイ</t>
    </rPh>
    <rPh sb="16" eb="18">
      <t>ホソク</t>
    </rPh>
    <phoneticPr fontId="1"/>
  </si>
  <si>
    <t>合計額を設定する
合計額が切り替わった場合、伝票を分ける</t>
    <rPh sb="0" eb="1">
      <t>ゴウケイ</t>
    </rPh>
    <rPh sb="1" eb="2">
      <t>ガク</t>
    </rPh>
    <rPh sb="2" eb="4">
      <t>セッテイ</t>
    </rPh>
    <rPh sb="9" eb="12">
      <t>ゴウケイガク</t>
    </rPh>
    <phoneticPr fontId="1"/>
  </si>
  <si>
    <t>○</t>
  </si>
  <si>
    <t>2025/08/29</t>
    <phoneticPr fontId="1"/>
  </si>
  <si>
    <t>統合会計システム</t>
    <phoneticPr fontId="1"/>
  </si>
  <si>
    <t>Shift jis</t>
  </si>
  <si>
    <t>数字</t>
    <rPh sb="0" eb="2">
      <t>スウジ</t>
    </rPh>
    <phoneticPr fontId="1"/>
  </si>
  <si>
    <t>取引日を設定する
ＶＢ期間であれば前月末日、ＶＢ期間外であれば運用管理日（当日）を設定
取引日が切り替わった場合、伝票を分ける</t>
    <rPh sb="0" eb="3">
      <t>トリヒキビ</t>
    </rPh>
    <rPh sb="3" eb="5">
      <t>セッテイ</t>
    </rPh>
    <rPh sb="44" eb="47">
      <t>トリヒキビ</t>
    </rPh>
    <phoneticPr fontId="1"/>
  </si>
  <si>
    <t>決済方法に「振込」を指定しており、かつ、入力当日から支払入金予定日までの期間が３営業日確保できない場合
／支払入金予定日には３営業日以上先の日を入力してください。</t>
    <phoneticPr fontId="1"/>
  </si>
  <si>
    <t>諸口
諸口取引先名称</t>
    <phoneticPr fontId="1"/>
  </si>
  <si>
    <t>相手先に諸口コードを入力、かつ、諸口取引先名称が未入力の場合、エラーとする
／諸口取引先名称を入力してください。</t>
    <phoneticPr fontId="1"/>
  </si>
  <si>
    <t>支払入金予定日
決済方法コード</t>
    <phoneticPr fontId="1"/>
  </si>
  <si>
    <t>諸口取引先名称</t>
    <rPh sb="0" eb="2">
      <t>ショクチ</t>
    </rPh>
    <rPh sb="2" eb="5">
      <t>トリヒキサキ</t>
    </rPh>
    <rPh sb="5" eb="7">
      <t>メイショウ</t>
    </rPh>
    <phoneticPr fontId="1"/>
  </si>
  <si>
    <t>諸口取引先名称を設定する</t>
    <rPh sb="0" eb="2">
      <t>ショクチ</t>
    </rPh>
    <rPh sb="2" eb="5">
      <t>トリヒキサキ</t>
    </rPh>
    <rPh sb="5" eb="7">
      <t>メイショウ</t>
    </rPh>
    <rPh sb="8" eb="10">
      <t>セッテイ</t>
    </rPh>
    <phoneticPr fontId="1"/>
  </si>
  <si>
    <t>F4110-1D</t>
    <phoneticPr fontId="1"/>
  </si>
  <si>
    <t>24058</t>
  </si>
  <si>
    <t>基幹システム再構築　会計システム外部設計</t>
  </si>
  <si>
    <t>予算組織コードを設定する
("4"+課コード）
予算組織コードが切り替わった場合、伝票を分ける</t>
    <rPh sb="0" eb="4">
      <t>ヨサンソシキ</t>
    </rPh>
    <rPh sb="8" eb="10">
      <t>セッテイ</t>
    </rPh>
    <rPh sb="18" eb="19">
      <t>カ</t>
    </rPh>
    <rPh sb="24" eb="26">
      <t>ヨサン</t>
    </rPh>
    <rPh sb="26" eb="28">
      <t>ソシキ</t>
    </rPh>
    <phoneticPr fontId="1"/>
  </si>
  <si>
    <t>相手先明細の合計金額が本体額＋消費税額－控除額＋仮払金の金額と一致していること／番号XXXの入力金額と合計金額が一致していません。</t>
    <phoneticPr fontId="1"/>
  </si>
  <si>
    <t>予算組織コード</t>
    <phoneticPr fontId="1"/>
  </si>
  <si>
    <t>業種コード
予算組織コード</t>
    <phoneticPr fontId="1"/>
  </si>
  <si>
    <t>相手先明細　本体額</t>
  </si>
  <si>
    <t>相手先明細　本体額</t>
    <rPh sb="6" eb="8">
      <t>ホンタイ</t>
    </rPh>
    <rPh sb="8" eb="9">
      <t>ガク</t>
    </rPh>
    <phoneticPr fontId="1"/>
  </si>
  <si>
    <t>相手先明細　消費税額</t>
  </si>
  <si>
    <t>相手先明細　消費税額</t>
    <rPh sb="6" eb="9">
      <t>ショウヒゼイ</t>
    </rPh>
    <rPh sb="9" eb="10">
      <t>ガク</t>
    </rPh>
    <phoneticPr fontId="1"/>
  </si>
  <si>
    <t>本体額を設定する</t>
    <rPh sb="0" eb="2">
      <t>ホンタイ</t>
    </rPh>
    <rPh sb="2" eb="3">
      <t>ガク</t>
    </rPh>
    <rPh sb="3" eb="5">
      <t>セッテイ</t>
    </rPh>
    <phoneticPr fontId="1"/>
  </si>
  <si>
    <t>〇</t>
    <phoneticPr fontId="1"/>
  </si>
  <si>
    <t>消費税額を設定する</t>
    <rPh sb="0" eb="3">
      <t>ショウヒゼイ</t>
    </rPh>
    <rPh sb="3" eb="4">
      <t>ガク</t>
    </rPh>
    <rPh sb="4" eb="6">
      <t>セッテイ</t>
    </rPh>
    <phoneticPr fontId="1"/>
  </si>
  <si>
    <t>本体額
消費税額
控除額
仮払金
合計</t>
    <rPh sb="7" eb="8">
      <t>ガク</t>
    </rPh>
    <phoneticPr fontId="1"/>
  </si>
  <si>
    <t>084811621</t>
    <phoneticPr fontId="1"/>
  </si>
  <si>
    <t>勘定科目コード
勘定科目の消費税取引区分要否区分</t>
    <phoneticPr fontId="1"/>
  </si>
  <si>
    <t>勘定科目コードに入力した勘定科目の消費税取引区分要否区分が「要」である且つ、消費税取引区分が未選択の場合、エラーとする。
／消費税取引区分を入力してください。</t>
    <phoneticPr fontId="1"/>
  </si>
  <si>
    <t>業種コード
入力者情報</t>
    <rPh sb="9" eb="11">
      <t>ジョウホウ</t>
    </rPh>
    <phoneticPr fontId="1"/>
  </si>
  <si>
    <t>予算組織コードと業種の組み合わせが、組織・業種マスタに無い場合エラーとする。
/業種は予算組織に応じた業種を入力してください。</t>
    <phoneticPr fontId="1"/>
  </si>
  <si>
    <t>「F4106_DA_画面設計_8.2.1_費用入力 費用戻入入力.xlsx 6．画面機能補足説明　＜業種入力可能範囲＞」で定める業種ではない場合、エラーとする。
/業種は担当の業種を入力してください。</t>
    <phoneticPr fontId="1"/>
  </si>
  <si>
    <t>勘定科目コードに入力した勘定科目が科目摘要の入力を指定している且つ、
科目摘要が未入力である場合、エラーとする。
/勘定科目の科目摘要は必須です。科目摘要を入力してください。</t>
    <rPh sb="31" eb="32">
      <t>カ</t>
    </rPh>
    <phoneticPr fontId="1"/>
  </si>
  <si>
    <t>勘定科目コードに入力した勘定科目が科目摘要が指定している且つ、
科目摘要が勘定科目コード・業種に入力した指定値と異なる。
/勘定科目に対する科目摘要を入力して下さい。</t>
    <rPh sb="0" eb="4">
      <t>カンジョウカモク</t>
    </rPh>
    <rPh sb="28" eb="29">
      <t>カ</t>
    </rPh>
    <rPh sb="37" eb="39">
      <t>カンジョウ</t>
    </rPh>
    <rPh sb="45" eb="47">
      <t>ギョウシュ</t>
    </rPh>
    <phoneticPr fontId="1"/>
  </si>
  <si>
    <t>勘定科目コードに入力した勘定科目が科目摘要の入力を指定している且つ、科目摘要が未入力である場合、エラーとする。
/勘定科目の科目摘要は必須です。科目摘要を入力してください。（明細番号：&amp;1）
※　&amp;1 には、エラーが発生した明細の番号を設定する。</t>
    <rPh sb="31" eb="32">
      <t>カ</t>
    </rPh>
    <phoneticPr fontId="1"/>
  </si>
  <si>
    <t>支払入金方法コードを設定する
「１：現金」「２：振込」「６：自動引き落とし」「７：振替」「８：納付書払払」「９：外国送金」「A：締め後振込」
支払入金方法コードが切り替わった場合、伝票を分ける</t>
    <rPh sb="0" eb="6">
      <t>シハライニュウキンホウホウ</t>
    </rPh>
    <rPh sb="10" eb="12">
      <t>セッテイ</t>
    </rPh>
    <rPh sb="71" eb="77">
      <t>シハライニュウキンホウホウ</t>
    </rPh>
    <phoneticPr fontId="1"/>
  </si>
  <si>
    <t>支払入金方法コードに対する名称を設定する
「１：現金」「２：振込」「６：自動引き落とし」「７：振替」「８：納付書払払」「９：外国送金」「A：締め後振込」</t>
    <rPh sb="0" eb="6">
      <t>シハライニュウキンホウホウ</t>
    </rPh>
    <rPh sb="10" eb="11">
      <t>タイ</t>
    </rPh>
    <rPh sb="13" eb="15">
      <t>メイショウ</t>
    </rPh>
    <rPh sb="16" eb="18">
      <t>セッテイ</t>
    </rPh>
    <phoneticPr fontId="1"/>
  </si>
  <si>
    <t>勘定科目コード</t>
    <phoneticPr fontId="1"/>
  </si>
  <si>
    <t>科目摘要コード</t>
    <phoneticPr fontId="1"/>
  </si>
  <si>
    <t>科目摘要細目コード</t>
    <phoneticPr fontId="1"/>
  </si>
  <si>
    <t>相手先明細　相手先コード</t>
    <phoneticPr fontId="1"/>
  </si>
  <si>
    <t>勘定科目コード
科目摘要コード</t>
    <rPh sb="0" eb="2">
      <t>カンジョウ</t>
    </rPh>
    <rPh sb="2" eb="4">
      <t>カモク</t>
    </rPh>
    <phoneticPr fontId="1"/>
  </si>
  <si>
    <t>業種業種コード
勘定科目コード
科目摘要コード</t>
    <rPh sb="0" eb="2">
      <t>ギョウシュ</t>
    </rPh>
    <rPh sb="8" eb="10">
      <t>カンジョウ</t>
    </rPh>
    <rPh sb="10" eb="12">
      <t>カモク</t>
    </rPh>
    <rPh sb="16" eb="18">
      <t>カモク</t>
    </rPh>
    <rPh sb="18" eb="20">
      <t>テキヨウ</t>
    </rPh>
    <phoneticPr fontId="1"/>
  </si>
  <si>
    <t>／取引日を設定してください。</t>
  </si>
  <si>
    <t>／勘定科目コードを設定してください。</t>
  </si>
  <si>
    <t>／合計額を設定してください。</t>
  </si>
  <si>
    <t>／相手先コードを設定してください。</t>
  </si>
  <si>
    <t>／本体額を設定してください。</t>
  </si>
  <si>
    <t>／消費税額を設定してください。</t>
  </si>
  <si>
    <t>／取引日は半角数値で入力してください。</t>
  </si>
  <si>
    <t>／合計額は半角数値で入力してください。</t>
  </si>
  <si>
    <t>／本体額は半角数値で入力してください。</t>
  </si>
  <si>
    <t>／消費税額は半角数値で入力してください。</t>
  </si>
  <si>
    <t>／仮払金は半角数値で入力してください。</t>
  </si>
  <si>
    <t>／合計は半角数値で入力してください。</t>
  </si>
  <si>
    <t>／支払入金予定日は半角数値で入力してください。</t>
  </si>
  <si>
    <t>／一括償却資産　単価は半角数値で入力してください。</t>
    <rPh sb="0" eb="1">
      <t>イッカツ</t>
    </rPh>
    <rPh sb="1" eb="3">
      <t>ショウキャク</t>
    </rPh>
    <rPh sb="3" eb="5">
      <t>シサン</t>
    </rPh>
    <rPh sb="6" eb="8">
      <t>タンカ</t>
    </rPh>
    <phoneticPr fontId="1"/>
  </si>
  <si>
    <t>／一括償却資産　数量は半角数値で入力してください。</t>
    <rPh sb="0" eb="1">
      <t>イッカツ</t>
    </rPh>
    <rPh sb="1" eb="3">
      <t>ショウキャク</t>
    </rPh>
    <rPh sb="3" eb="5">
      <t>シサン</t>
    </rPh>
    <rPh sb="6" eb="8">
      <t>スウリョウ</t>
    </rPh>
    <phoneticPr fontId="1"/>
  </si>
  <si>
    <t>／一括償却資産　金額は半角数値で入力してください。</t>
  </si>
  <si>
    <t>取引日が実在しない年月の場合、エラーとする。
／取引日は有効な日付を入力してください。</t>
    <phoneticPr fontId="1"/>
  </si>
  <si>
    <t>／予算組織コードを設定してください。</t>
    <phoneticPr fontId="1"/>
  </si>
  <si>
    <t>／業種コードを設定してください。</t>
  </si>
  <si>
    <t>／処理区分コードを設定してください。</t>
    <rPh sb="0" eb="3">
      <t>ショリクブン</t>
    </rPh>
    <phoneticPr fontId="1"/>
  </si>
  <si>
    <t>マスタに存在しない場合、エラー
／相手先コードはマスタに存在しません。</t>
    <phoneticPr fontId="1"/>
  </si>
  <si>
    <t>4桁以上入力されている場合、エラー
／科目摘要細目コードに4桁以上入力されています。</t>
    <phoneticPr fontId="1"/>
  </si>
  <si>
    <t>マスタに存在しない場合、エラー
／科目摘要コードはマスタに存在しません。</t>
    <phoneticPr fontId="1"/>
  </si>
  <si>
    <t>マスタに存在しない場合、エラー
／勘定科目コードはマスタに存在しません。</t>
    <phoneticPr fontId="1"/>
  </si>
  <si>
    <t>マスタに存在しない場合、エラー
／予算組織コードはマスタに存在しません。</t>
    <phoneticPr fontId="1"/>
  </si>
  <si>
    <t>マスタに存在しない場合、エラー
／業種コードはマスタに存在しません。</t>
    <phoneticPr fontId="1"/>
  </si>
  <si>
    <t>実在日でない場合、エラー
／支払入金予定日に存在しない日付が入力されています。</t>
    <phoneticPr fontId="1"/>
  </si>
  <si>
    <t>勘定科目コードに入力した勘定科目が科目摘要が指定している且つ、科目摘要が勘定科目コード・業種に入力した指定値と異なる。
/勘定科目に対する科目摘要を入力してください。（明細番号：&amp;1）
※　&amp;1 には、エラーが発生した明細の番号を設定する。</t>
    <rPh sb="1" eb="3">
      <t>カンジョウ</t>
    </rPh>
    <rPh sb="3" eb="5">
      <t>カモク</t>
    </rPh>
    <rPh sb="6" eb="7">
      <t>タイ</t>
    </rPh>
    <rPh sb="9" eb="11">
      <t>カモク</t>
    </rPh>
    <rPh sb="11" eb="13">
      <t>テキヨウ</t>
    </rPh>
    <rPh sb="14" eb="16">
      <t>ニュウリョク</t>
    </rPh>
    <rPh sb="18" eb="19">
      <t>クダ</t>
    </rPh>
    <rPh sb="23" eb="25">
      <t>メイサイ</t>
    </rPh>
    <rPh sb="25" eb="27">
      <t>バンゴウ</t>
    </rPh>
    <rPh sb="44" eb="46">
      <t>ハッセイ</t>
    </rPh>
    <rPh sb="48" eb="50">
      <t>メイサイ</t>
    </rPh>
    <rPh sb="51" eb="53">
      <t>バンゴウ</t>
    </rPh>
    <rPh sb="54" eb="56">
      <t>セッテイ</t>
    </rPh>
    <phoneticPr fontId="1"/>
  </si>
  <si>
    <t>費用入力申請情報</t>
  </si>
  <si>
    <t>D08020201</t>
    <phoneticPr fontId="1"/>
  </si>
  <si>
    <t>消費税取引区分が外部コードに存在しない場合、エラー
／消費税取引区分はマスタに存在しません。</t>
    <rPh sb="8" eb="10">
      <t>ガイブ</t>
    </rPh>
    <rPh sb="14" eb="16">
      <t>ソンザイ</t>
    </rPh>
    <rPh sb="27" eb="34">
      <t>ショウヒゼイトリヒキクブン</t>
    </rPh>
    <phoneticPr fontId="1"/>
  </si>
  <si>
    <t>免税区分コードに対する名称を設定する
免税の対象：対象
免税の対象以外：空欄</t>
    <rPh sb="0" eb="3">
      <t>メンゼイクブン</t>
    </rPh>
    <rPh sb="8" eb="9">
      <t>タイ</t>
    </rPh>
    <rPh sb="11" eb="13">
      <t>メイショウ</t>
    </rPh>
    <rPh sb="13" eb="15">
      <t>セッテイ</t>
    </rPh>
    <phoneticPr fontId="1"/>
  </si>
  <si>
    <t>／控除額は半角数値で入力してください。</t>
    <phoneticPr fontId="1"/>
  </si>
  <si>
    <t>免税区分コードを設定する
「0：対象以外」「1：対象」</t>
    <rPh sb="0" eb="1">
      <t>メンゼイクブン</t>
    </rPh>
    <rPh sb="5" eb="7">
      <t>セッテイ</t>
    </rPh>
    <phoneticPr fontId="1"/>
  </si>
  <si>
    <t>免税区分が入力されていることを確認する。
／（xx行目） 免税区分は0か1を入力してください。</t>
    <rPh sb="0" eb="2">
      <t>メンゼイ</t>
    </rPh>
    <rPh sb="2" eb="4">
      <t>クブン</t>
    </rPh>
    <rPh sb="5" eb="7">
      <t>ニュウリョク</t>
    </rPh>
    <rPh sb="15" eb="17">
      <t>カクニン</t>
    </rPh>
    <rPh sb="29" eb="31">
      <t>メンゼイ</t>
    </rPh>
    <rPh sb="31" eb="33">
      <t>クブン</t>
    </rPh>
    <rPh sb="38" eb="40">
      <t>ニュウリョク</t>
    </rPh>
    <phoneticPr fontId="1"/>
  </si>
  <si>
    <t>合計金額に入力した値が -9,999,999,999,999 ～ 9,999,999,999,999の範囲内であることを確認する。
／XX行目：合計は-9,999,999,999,999 ～ 9,999,999,999,999の範囲内で入力してください。</t>
    <phoneticPr fontId="1"/>
  </si>
  <si>
    <t>一括償却資産　金額に入力した値が -9,999,999,999,999 ～ 9,999,999,999,999の範囲内であることを確認する。
／XX行目：一括償却資産　金額は-9,999,999,999,999 ～ 9,999,999,999,999の範囲内で入力してください。</t>
    <rPh sb="7" eb="9">
      <t>キンガク</t>
    </rPh>
    <rPh sb="84" eb="86">
      <t>キンガク</t>
    </rPh>
    <phoneticPr fontId="1"/>
  </si>
  <si>
    <t>仮払金に入力した値が -9,999,999,999,999 ～ 9,999,999,999,999の範囲内であることを確認する。
／XX行目：仮払金は-9,999,999,999,999 ～ 9,999,999,999,999の範囲内で入力してください。</t>
    <rPh sb="0" eb="2">
      <t>カリバラ</t>
    </rPh>
    <rPh sb="2" eb="3">
      <t>キン</t>
    </rPh>
    <phoneticPr fontId="1"/>
  </si>
  <si>
    <t>控除額に入力した値が -9,999,999,999,999 ～ 9,999,999,999,999の範囲内であることを確認する。
／XX行目：控除額は-9,999,999,999,999 ～ 9,999,999,999,999の範囲内で入力してください。</t>
    <rPh sb="0" eb="3">
      <t>コウジョガク</t>
    </rPh>
    <rPh sb="71" eb="74">
      <t>コウジョガク</t>
    </rPh>
    <phoneticPr fontId="1"/>
  </si>
  <si>
    <t>合計額に入力した値が -9,999,999,999,999 ～ 9,999,999,999,999の範囲内であることを確認する。
／XX行目：合計額は-9,999,999,999,999 ～ 9,999,999,999,999の範囲内で入力してください。</t>
    <phoneticPr fontId="1"/>
  </si>
  <si>
    <t>一括償却資産　数量に入力した値が -9,999,999,999,999.999 ～ 9,999,999,999,999.999の範囲内であることを確認する。
／XX行目：一括償却資産　数量は-9,999,999,999,999.999 ～ 9,999,999,999,999.999の範囲内で入力してください。</t>
    <rPh sb="7" eb="9">
      <t>スウリョウ</t>
    </rPh>
    <rPh sb="92" eb="94">
      <t>スウリョウ</t>
    </rPh>
    <phoneticPr fontId="1"/>
  </si>
  <si>
    <t>一括償却資産　単価に入力した値が -9,999,999,999,999.999 ～ 9,999,999,999,999.999の範囲内であることを確認する。
／XX行目：一括償却資産　単価は-9,999,999,999,999.999 ～ 9,999,999,999,999.999の範囲内で入力してください。</t>
    <phoneticPr fontId="1"/>
  </si>
  <si>
    <t>14,3</t>
  </si>
  <si>
    <t>○</t>
    <phoneticPr fontId="1"/>
  </si>
  <si>
    <t>データ番号</t>
    <phoneticPr fontId="1"/>
  </si>
  <si>
    <t>英数字</t>
  </si>
  <si>
    <t>当該伝票を判別するコード
同一番号を指定している場合は同一伝票とする。</t>
    <rPh sb="0" eb="2">
      <t>トウガイ</t>
    </rPh>
    <rPh sb="2" eb="4">
      <t>デンピョウ</t>
    </rPh>
    <rPh sb="5" eb="7">
      <t>ハンベツ</t>
    </rPh>
    <rPh sb="12" eb="14">
      <t>バンゴウ</t>
    </rPh>
    <rPh sb="15" eb="16">
      <t>ユビ</t>
    </rPh>
    <rPh sb="18" eb="20">
      <t>シテイ</t>
    </rPh>
    <rPh sb="23" eb="25">
      <t>バアイ</t>
    </rPh>
    <rPh sb="27" eb="29">
      <t>ドウイツ</t>
    </rPh>
    <rPh sb="29" eb="31">
      <t>デンピョウ</t>
    </rPh>
    <phoneticPr fontId="1"/>
  </si>
  <si>
    <t>123456</t>
    <phoneticPr fontId="1"/>
  </si>
  <si>
    <t>／XX行目：データ番号を入力してください。</t>
    <phoneticPr fontId="1"/>
  </si>
  <si>
    <t>21文字以内であることを確認する。
／XX行目：データ番号は２１文字以内で入力してください。</t>
    <rPh sb="2" eb="4">
      <t>モジ</t>
    </rPh>
    <rPh sb="4" eb="6">
      <t>イナイ</t>
    </rPh>
    <rPh sb="12" eb="14">
      <t>カクニン</t>
    </rPh>
    <phoneticPr fontId="1"/>
  </si>
  <si>
    <t>取込時チェック
（ヘッダ行チェック）</t>
    <rPh sb="0" eb="3">
      <t>トリコミジ</t>
    </rPh>
    <rPh sb="12" eb="13">
      <t>ギョウ</t>
    </rPh>
    <phoneticPr fontId="1"/>
  </si>
  <si>
    <t>同一データ番号内でヘッダ部が異なる場合はエラーとする。
／同一データ番号のヘッダ部は全項目が同じ値である必要があります。</t>
    <rPh sb="12" eb="13">
      <t>ブ</t>
    </rPh>
    <rPh sb="14" eb="15">
      <t>コト</t>
    </rPh>
    <rPh sb="17" eb="19">
      <t>バアイ</t>
    </rPh>
    <rPh sb="40" eb="41">
      <t>ブ</t>
    </rPh>
    <rPh sb="52" eb="54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</si>
</sst>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6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6" fillId="2" borderId="0" xfId="1" applyNumberFormat="1" applyFont="1" applyFill="1" applyAlignment="1">
      <alignment vertical="center"/>
    </xf>
    <xf numFmtId="0" fontId="21" fillId="0" borderId="0" xfId="0" applyFont="1"/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left" vertical="center" wrapText="1"/>
    </xf>
    <xf numFmtId="0" fontId="2" fillId="0" borderId="25" xfId="0" quotePrefix="1" applyFont="1" applyBorder="1" applyAlignment="1">
      <alignment horizontal="left" vertical="center" wrapText="1"/>
    </xf>
    <xf numFmtId="0" fontId="2" fillId="0" borderId="26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14" fontId="2" fillId="0" borderId="8" xfId="0" quotePrefix="1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33" xfId="0" applyNumberFormat="1" applyFont="1" applyBorder="1" applyAlignment="1">
      <alignment horizontal="left" vertical="center"/>
    </xf>
    <xf numFmtId="49" fontId="2" fillId="0" borderId="34" xfId="0" applyNumberFormat="1" applyFont="1" applyBorder="1" applyAlignment="1">
      <alignment horizontal="left" vertical="center"/>
    </xf>
    <xf numFmtId="49" fontId="2" fillId="0" borderId="35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140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139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6" customFormat="1" ht="9" customHeight="1"/>
    <row r="6" spans="1:62" s="20" customFormat="1" ht="15.75" customHeight="1">
      <c r="A6" s="39" t="s">
        <v>9</v>
      </c>
      <c r="B6" s="40"/>
      <c r="C6" s="40"/>
      <c r="D6" s="40"/>
      <c r="E6" s="40"/>
      <c r="F6" s="40"/>
      <c r="G6" s="4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151</v>
      </c>
      <c r="C8" s="15"/>
      <c r="D8" s="15"/>
      <c r="E8" s="15"/>
      <c r="F8" s="15"/>
      <c r="G8" s="15"/>
      <c r="H8" s="22"/>
      <c r="I8" s="20" t="s">
        <v>152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4"/>
  <sheetViews>
    <sheetView view="pageBreakPreview" zoomScale="85" zoomScaleNormal="100" zoomScaleSheetLayoutView="85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11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150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140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139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98" t="s">
        <v>12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211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13</v>
      </c>
      <c r="AC6" s="99"/>
      <c r="AD6" s="99"/>
      <c r="AE6" s="99"/>
      <c r="AF6" s="99"/>
      <c r="AG6" s="99"/>
      <c r="AH6" s="99"/>
      <c r="AI6" s="99"/>
      <c r="AJ6" s="100"/>
      <c r="AK6" s="98" t="s">
        <v>35</v>
      </c>
      <c r="AL6" s="99"/>
      <c r="AM6" s="99"/>
      <c r="AN6" s="100"/>
      <c r="AO6" s="98" t="s">
        <v>15</v>
      </c>
      <c r="AP6" s="99"/>
      <c r="AQ6" s="99"/>
      <c r="AR6" s="99"/>
      <c r="AS6" s="99"/>
      <c r="AT6" s="99"/>
      <c r="AU6" s="99"/>
      <c r="AV6" s="99"/>
      <c r="AW6" s="100"/>
      <c r="AX6" s="98" t="s">
        <v>14</v>
      </c>
      <c r="AY6" s="99"/>
      <c r="AZ6" s="99"/>
      <c r="BA6" s="100"/>
      <c r="BB6" s="108" t="s">
        <v>16</v>
      </c>
      <c r="BC6" s="108"/>
      <c r="BD6" s="108"/>
      <c r="BE6" s="108"/>
      <c r="BF6" s="108">
        <v>35</v>
      </c>
      <c r="BG6" s="108"/>
      <c r="BH6" s="108"/>
      <c r="BI6" s="108"/>
      <c r="BJ6" s="108"/>
    </row>
    <row r="7" spans="1:62" s="14" customFormat="1" ht="20.25" customHeight="1">
      <c r="A7" s="98" t="s">
        <v>17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210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129</v>
      </c>
      <c r="AL7" s="99"/>
      <c r="AM7" s="99"/>
      <c r="AN7" s="99"/>
      <c r="AO7" s="99"/>
      <c r="AP7" s="99"/>
      <c r="AQ7" s="99"/>
      <c r="AR7" s="100"/>
      <c r="AS7" s="98" t="s">
        <v>141</v>
      </c>
      <c r="AT7" s="99"/>
      <c r="AU7" s="99"/>
      <c r="AV7" s="99"/>
      <c r="AW7" s="99"/>
      <c r="AX7" s="100"/>
      <c r="AY7" s="30" t="s">
        <v>18</v>
      </c>
      <c r="AZ7" s="31"/>
      <c r="BA7" s="31"/>
      <c r="BB7" s="31"/>
      <c r="BC7" s="98"/>
      <c r="BD7" s="100"/>
      <c r="BE7" s="98" t="s">
        <v>20</v>
      </c>
      <c r="BF7" s="99"/>
      <c r="BG7" s="99"/>
      <c r="BH7" s="100"/>
      <c r="BI7" s="98" t="s">
        <v>19</v>
      </c>
      <c r="BJ7" s="100"/>
    </row>
    <row r="8" spans="1:62" s="14" customFormat="1" ht="12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126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108" t="s">
        <v>22</v>
      </c>
      <c r="B10" s="108"/>
      <c r="C10" s="108"/>
      <c r="D10" s="118" t="s">
        <v>127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08" t="s">
        <v>128</v>
      </c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</row>
    <row r="11" spans="1:62" s="14" customFormat="1" ht="20.25" customHeight="1">
      <c r="A11" s="104">
        <v>1</v>
      </c>
      <c r="B11" s="104"/>
      <c r="C11" s="104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</row>
    <row r="12" spans="1:62" s="14" customFormat="1" ht="20.25" customHeight="1">
      <c r="A12" s="109">
        <v>2</v>
      </c>
      <c r="B12" s="109"/>
      <c r="C12" s="10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10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2"/>
    </row>
    <row r="13" spans="1:62" s="14" customFormat="1" ht="20.25" customHeight="1">
      <c r="A13" s="109">
        <v>3</v>
      </c>
      <c r="B13" s="109"/>
      <c r="C13" s="109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110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2"/>
    </row>
    <row r="14" spans="1:62" s="14" customFormat="1" ht="20.25" customHeight="1">
      <c r="A14" s="73">
        <v>4</v>
      </c>
      <c r="B14" s="73"/>
      <c r="C14" s="73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67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9"/>
    </row>
    <row r="15" spans="1:62" s="14" customFormat="1" ht="20.25" customHeight="1">
      <c r="A15" s="113"/>
      <c r="B15" s="113"/>
      <c r="C15" s="11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5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7"/>
    </row>
    <row r="16" spans="1:62" s="14" customFormat="1" ht="13.4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7" spans="1:62" s="4" customFormat="1">
      <c r="B17" s="29" t="s">
        <v>21</v>
      </c>
      <c r="G17" s="5"/>
    </row>
    <row r="18" spans="1:62" s="14" customFormat="1" ht="42" customHeight="1">
      <c r="A18" s="98" t="s">
        <v>22</v>
      </c>
      <c r="B18" s="99"/>
      <c r="C18" s="100"/>
      <c r="D18" s="98" t="s">
        <v>23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100"/>
      <c r="U18" s="101" t="s">
        <v>24</v>
      </c>
      <c r="V18" s="102"/>
      <c r="W18" s="102"/>
      <c r="X18" s="102"/>
      <c r="Y18" s="103"/>
      <c r="Z18" s="101" t="s">
        <v>25</v>
      </c>
      <c r="AA18" s="102"/>
      <c r="AB18" s="103"/>
      <c r="AC18" s="101" t="s">
        <v>26</v>
      </c>
      <c r="AD18" s="102"/>
      <c r="AE18" s="103"/>
      <c r="AF18" s="101" t="s">
        <v>27</v>
      </c>
      <c r="AG18" s="102"/>
      <c r="AH18" s="103"/>
      <c r="AI18" s="101" t="s">
        <v>28</v>
      </c>
      <c r="AJ18" s="102"/>
      <c r="AK18" s="103"/>
      <c r="AL18" s="101" t="s">
        <v>29</v>
      </c>
      <c r="AM18" s="102"/>
      <c r="AN18" s="103"/>
      <c r="AO18" s="101" t="s">
        <v>30</v>
      </c>
      <c r="AP18" s="102"/>
      <c r="AQ18" s="103"/>
      <c r="AR18" s="98" t="s">
        <v>31</v>
      </c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100"/>
    </row>
    <row r="19" spans="1:62" s="13" customFormat="1" ht="56.5" customHeight="1">
      <c r="A19" s="60">
        <v>1</v>
      </c>
      <c r="B19" s="60"/>
      <c r="C19" s="60"/>
      <c r="D19" s="61" t="s">
        <v>226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3"/>
      <c r="U19" s="64" t="s">
        <v>227</v>
      </c>
      <c r="V19" s="65"/>
      <c r="W19" s="65"/>
      <c r="X19" s="65"/>
      <c r="Y19" s="66"/>
      <c r="Z19" s="64">
        <v>21</v>
      </c>
      <c r="AA19" s="65"/>
      <c r="AB19" s="66"/>
      <c r="AC19" s="64"/>
      <c r="AD19" s="65"/>
      <c r="AE19" s="66"/>
      <c r="AF19" s="64"/>
      <c r="AG19" s="65"/>
      <c r="AH19" s="66"/>
      <c r="AI19" s="64"/>
      <c r="AJ19" s="65"/>
      <c r="AK19" s="66"/>
      <c r="AL19" s="64" t="s">
        <v>19</v>
      </c>
      <c r="AM19" s="65"/>
      <c r="AN19" s="66"/>
      <c r="AO19" s="64" t="s">
        <v>19</v>
      </c>
      <c r="AP19" s="65"/>
      <c r="AQ19" s="66"/>
      <c r="AR19" s="57" t="s">
        <v>228</v>
      </c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6" customHeight="1">
      <c r="A20" s="104">
        <f>ROW()-18</f>
        <v>2</v>
      </c>
      <c r="B20" s="104"/>
      <c r="C20" s="104"/>
      <c r="D20" s="80" t="s">
        <v>86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70" t="s">
        <v>32</v>
      </c>
      <c r="V20" s="71"/>
      <c r="W20" s="71"/>
      <c r="X20" s="71"/>
      <c r="Y20" s="72"/>
      <c r="Z20" s="104">
        <v>1</v>
      </c>
      <c r="AA20" s="104"/>
      <c r="AB20" s="104"/>
      <c r="AC20" s="70"/>
      <c r="AD20" s="71"/>
      <c r="AE20" s="72"/>
      <c r="AF20" s="70"/>
      <c r="AG20" s="71"/>
      <c r="AH20" s="72"/>
      <c r="AI20" s="70"/>
      <c r="AJ20" s="71"/>
      <c r="AK20" s="72"/>
      <c r="AL20" s="70" t="s">
        <v>19</v>
      </c>
      <c r="AM20" s="71"/>
      <c r="AN20" s="72"/>
      <c r="AO20" s="70" t="s">
        <v>19</v>
      </c>
      <c r="AP20" s="71"/>
      <c r="AQ20" s="72"/>
      <c r="AR20" s="77" t="s">
        <v>104</v>
      </c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9"/>
    </row>
    <row r="21" spans="1:62" s="13" customFormat="1" ht="36" customHeight="1">
      <c r="A21" s="73">
        <f>ROW()-18</f>
        <v>3</v>
      </c>
      <c r="B21" s="73"/>
      <c r="C21" s="73"/>
      <c r="D21" s="74" t="s">
        <v>87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67" t="s">
        <v>51</v>
      </c>
      <c r="V21" s="68"/>
      <c r="W21" s="68"/>
      <c r="X21" s="68"/>
      <c r="Y21" s="69"/>
      <c r="Z21" s="73">
        <v>4</v>
      </c>
      <c r="AA21" s="73"/>
      <c r="AB21" s="73"/>
      <c r="AC21" s="67"/>
      <c r="AD21" s="68"/>
      <c r="AE21" s="69"/>
      <c r="AF21" s="67"/>
      <c r="AG21" s="68"/>
      <c r="AH21" s="69"/>
      <c r="AI21" s="67"/>
      <c r="AJ21" s="68"/>
      <c r="AK21" s="69"/>
      <c r="AL21" s="67"/>
      <c r="AM21" s="68"/>
      <c r="AN21" s="69"/>
      <c r="AO21" s="67"/>
      <c r="AP21" s="68"/>
      <c r="AQ21" s="69"/>
      <c r="AR21" s="77" t="s">
        <v>107</v>
      </c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9"/>
    </row>
    <row r="22" spans="1:62" s="13" customFormat="1" ht="48.75" customHeight="1">
      <c r="A22" s="73">
        <f t="shared" ref="A22:A53" si="0">ROW()-18</f>
        <v>4</v>
      </c>
      <c r="B22" s="73"/>
      <c r="C22" s="73"/>
      <c r="D22" s="80" t="s">
        <v>88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67" t="s">
        <v>32</v>
      </c>
      <c r="V22" s="68"/>
      <c r="W22" s="68"/>
      <c r="X22" s="68"/>
      <c r="Y22" s="69"/>
      <c r="Z22" s="73">
        <v>2</v>
      </c>
      <c r="AA22" s="73"/>
      <c r="AB22" s="73"/>
      <c r="AC22" s="70"/>
      <c r="AD22" s="71"/>
      <c r="AE22" s="72"/>
      <c r="AF22" s="70"/>
      <c r="AG22" s="71"/>
      <c r="AH22" s="72"/>
      <c r="AI22" s="70"/>
      <c r="AJ22" s="71"/>
      <c r="AK22" s="72"/>
      <c r="AL22" s="70" t="s">
        <v>19</v>
      </c>
      <c r="AM22" s="71"/>
      <c r="AN22" s="72"/>
      <c r="AO22" s="67" t="s">
        <v>19</v>
      </c>
      <c r="AP22" s="68"/>
      <c r="AQ22" s="69"/>
      <c r="AR22" s="77" t="s">
        <v>132</v>
      </c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9"/>
    </row>
    <row r="23" spans="1:62" s="13" customFormat="1" ht="36" customHeight="1">
      <c r="A23" s="73">
        <f t="shared" si="0"/>
        <v>5</v>
      </c>
      <c r="B23" s="73"/>
      <c r="C23" s="73"/>
      <c r="D23" s="80" t="s">
        <v>89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67" t="s">
        <v>51</v>
      </c>
      <c r="V23" s="68"/>
      <c r="W23" s="68"/>
      <c r="X23" s="68"/>
      <c r="Y23" s="69"/>
      <c r="Z23" s="73">
        <v>10</v>
      </c>
      <c r="AA23" s="73"/>
      <c r="AB23" s="73"/>
      <c r="AC23" s="70"/>
      <c r="AD23" s="71"/>
      <c r="AE23" s="72"/>
      <c r="AF23" s="70"/>
      <c r="AG23" s="71"/>
      <c r="AH23" s="72"/>
      <c r="AI23" s="70"/>
      <c r="AJ23" s="71"/>
      <c r="AK23" s="72"/>
      <c r="AL23" s="70"/>
      <c r="AM23" s="71"/>
      <c r="AN23" s="72"/>
      <c r="AO23" s="67"/>
      <c r="AP23" s="68"/>
      <c r="AQ23" s="69"/>
      <c r="AR23" s="77" t="s">
        <v>105</v>
      </c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9"/>
    </row>
    <row r="24" spans="1:62" s="13" customFormat="1" ht="69.75" customHeight="1">
      <c r="A24" s="73">
        <f t="shared" si="0"/>
        <v>6</v>
      </c>
      <c r="B24" s="73"/>
      <c r="C24" s="73"/>
      <c r="D24" s="80" t="s">
        <v>90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70" t="s">
        <v>32</v>
      </c>
      <c r="V24" s="71"/>
      <c r="W24" s="71"/>
      <c r="X24" s="71"/>
      <c r="Y24" s="72"/>
      <c r="Z24" s="73">
        <v>4</v>
      </c>
      <c r="AA24" s="73"/>
      <c r="AB24" s="73"/>
      <c r="AC24" s="70"/>
      <c r="AD24" s="71"/>
      <c r="AE24" s="72"/>
      <c r="AF24" s="70"/>
      <c r="AG24" s="71"/>
      <c r="AH24" s="72"/>
      <c r="AI24" s="70"/>
      <c r="AJ24" s="71"/>
      <c r="AK24" s="72"/>
      <c r="AL24" s="70" t="s">
        <v>19</v>
      </c>
      <c r="AM24" s="71"/>
      <c r="AN24" s="72"/>
      <c r="AO24" s="67" t="s">
        <v>19</v>
      </c>
      <c r="AP24" s="68"/>
      <c r="AQ24" s="69"/>
      <c r="AR24" s="77" t="s">
        <v>153</v>
      </c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9"/>
    </row>
    <row r="25" spans="1:62" s="13" customFormat="1" ht="36" customHeight="1">
      <c r="A25" s="73">
        <f t="shared" si="0"/>
        <v>7</v>
      </c>
      <c r="B25" s="73"/>
      <c r="C25" s="73"/>
      <c r="D25" s="80" t="s">
        <v>91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67" t="s">
        <v>51</v>
      </c>
      <c r="V25" s="68"/>
      <c r="W25" s="68"/>
      <c r="X25" s="68"/>
      <c r="Y25" s="69"/>
      <c r="Z25" s="73">
        <v>10</v>
      </c>
      <c r="AA25" s="73"/>
      <c r="AB25" s="73"/>
      <c r="AC25" s="70"/>
      <c r="AD25" s="71"/>
      <c r="AE25" s="72"/>
      <c r="AF25" s="70"/>
      <c r="AG25" s="71"/>
      <c r="AH25" s="72"/>
      <c r="AI25" s="70"/>
      <c r="AJ25" s="71"/>
      <c r="AK25" s="72"/>
      <c r="AL25" s="70"/>
      <c r="AM25" s="71"/>
      <c r="AN25" s="72"/>
      <c r="AO25" s="67"/>
      <c r="AP25" s="68"/>
      <c r="AQ25" s="69"/>
      <c r="AR25" s="77" t="s">
        <v>106</v>
      </c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</row>
    <row r="26" spans="1:62" s="13" customFormat="1" ht="66" customHeight="1">
      <c r="A26" s="73">
        <f t="shared" si="0"/>
        <v>8</v>
      </c>
      <c r="B26" s="73"/>
      <c r="C26" s="73"/>
      <c r="D26" s="74" t="s">
        <v>50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6"/>
      <c r="U26" s="67" t="s">
        <v>142</v>
      </c>
      <c r="V26" s="68"/>
      <c r="W26" s="68"/>
      <c r="X26" s="68"/>
      <c r="Y26" s="69"/>
      <c r="Z26" s="73">
        <v>8</v>
      </c>
      <c r="AA26" s="73"/>
      <c r="AB26" s="73"/>
      <c r="AC26" s="67"/>
      <c r="AD26" s="68"/>
      <c r="AE26" s="69"/>
      <c r="AF26" s="67"/>
      <c r="AG26" s="68"/>
      <c r="AH26" s="69"/>
      <c r="AI26" s="67"/>
      <c r="AJ26" s="68"/>
      <c r="AK26" s="69"/>
      <c r="AL26" s="70" t="s">
        <v>19</v>
      </c>
      <c r="AM26" s="71"/>
      <c r="AN26" s="72"/>
      <c r="AO26" s="67" t="s">
        <v>19</v>
      </c>
      <c r="AP26" s="68"/>
      <c r="AQ26" s="69"/>
      <c r="AR26" s="105" t="s">
        <v>143</v>
      </c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7"/>
    </row>
    <row r="27" spans="1:62" s="13" customFormat="1" ht="102" customHeight="1">
      <c r="A27" s="73">
        <f t="shared" si="0"/>
        <v>9</v>
      </c>
      <c r="B27" s="73"/>
      <c r="C27" s="73"/>
      <c r="D27" s="80" t="s">
        <v>93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70" t="s">
        <v>32</v>
      </c>
      <c r="V27" s="71"/>
      <c r="W27" s="71"/>
      <c r="X27" s="71"/>
      <c r="Y27" s="72"/>
      <c r="Z27" s="73">
        <v>1</v>
      </c>
      <c r="AA27" s="73"/>
      <c r="AB27" s="73"/>
      <c r="AC27" s="70"/>
      <c r="AD27" s="71"/>
      <c r="AE27" s="72"/>
      <c r="AF27" s="70"/>
      <c r="AG27" s="71"/>
      <c r="AH27" s="72"/>
      <c r="AI27" s="70"/>
      <c r="AJ27" s="71"/>
      <c r="AK27" s="72"/>
      <c r="AL27" s="70" t="s">
        <v>19</v>
      </c>
      <c r="AM27" s="71"/>
      <c r="AN27" s="72"/>
      <c r="AO27" s="67" t="s">
        <v>19</v>
      </c>
      <c r="AP27" s="68"/>
      <c r="AQ27" s="69"/>
      <c r="AR27" s="77" t="s">
        <v>174</v>
      </c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9"/>
    </row>
    <row r="28" spans="1:62" s="13" customFormat="1" ht="103.65" customHeight="1">
      <c r="A28" s="73">
        <f t="shared" si="0"/>
        <v>10</v>
      </c>
      <c r="B28" s="73"/>
      <c r="C28" s="73"/>
      <c r="D28" s="80" t="s">
        <v>92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67" t="s">
        <v>51</v>
      </c>
      <c r="V28" s="68"/>
      <c r="W28" s="68"/>
      <c r="X28" s="68"/>
      <c r="Y28" s="69"/>
      <c r="Z28" s="73">
        <v>6</v>
      </c>
      <c r="AA28" s="73"/>
      <c r="AB28" s="73"/>
      <c r="AC28" s="70"/>
      <c r="AD28" s="71"/>
      <c r="AE28" s="72"/>
      <c r="AF28" s="70"/>
      <c r="AG28" s="71"/>
      <c r="AH28" s="72"/>
      <c r="AI28" s="70"/>
      <c r="AJ28" s="71"/>
      <c r="AK28" s="72"/>
      <c r="AL28" s="70"/>
      <c r="AM28" s="71"/>
      <c r="AN28" s="72"/>
      <c r="AO28" s="67"/>
      <c r="AP28" s="68"/>
      <c r="AQ28" s="69"/>
      <c r="AR28" s="77" t="s">
        <v>175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2" s="13" customFormat="1" ht="48" customHeight="1">
      <c r="A29" s="73">
        <f t="shared" si="0"/>
        <v>11</v>
      </c>
      <c r="B29" s="73"/>
      <c r="C29" s="73"/>
      <c r="D29" s="80" t="s">
        <v>94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70" t="s">
        <v>32</v>
      </c>
      <c r="V29" s="71"/>
      <c r="W29" s="71"/>
      <c r="X29" s="71"/>
      <c r="Y29" s="72"/>
      <c r="Z29" s="73">
        <v>8</v>
      </c>
      <c r="AA29" s="73"/>
      <c r="AB29" s="73"/>
      <c r="AC29" s="70"/>
      <c r="AD29" s="71"/>
      <c r="AE29" s="72"/>
      <c r="AF29" s="70"/>
      <c r="AG29" s="71"/>
      <c r="AH29" s="72"/>
      <c r="AI29" s="70"/>
      <c r="AJ29" s="71"/>
      <c r="AK29" s="72"/>
      <c r="AL29" s="70" t="s">
        <v>19</v>
      </c>
      <c r="AM29" s="71"/>
      <c r="AN29" s="72"/>
      <c r="AO29" s="67" t="s">
        <v>19</v>
      </c>
      <c r="AP29" s="68"/>
      <c r="AQ29" s="69"/>
      <c r="AR29" s="77" t="s">
        <v>133</v>
      </c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2" s="13" customFormat="1" ht="36" customHeight="1">
      <c r="A30" s="73">
        <f t="shared" si="0"/>
        <v>12</v>
      </c>
      <c r="B30" s="73"/>
      <c r="C30" s="73"/>
      <c r="D30" s="80" t="s">
        <v>95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2"/>
      <c r="U30" s="67" t="s">
        <v>51</v>
      </c>
      <c r="V30" s="68"/>
      <c r="W30" s="68"/>
      <c r="X30" s="68"/>
      <c r="Y30" s="69"/>
      <c r="Z30" s="73">
        <v>19</v>
      </c>
      <c r="AA30" s="73"/>
      <c r="AB30" s="73"/>
      <c r="AC30" s="70"/>
      <c r="AD30" s="71"/>
      <c r="AE30" s="72"/>
      <c r="AF30" s="70"/>
      <c r="AG30" s="71"/>
      <c r="AH30" s="72"/>
      <c r="AI30" s="70"/>
      <c r="AJ30" s="71"/>
      <c r="AK30" s="72"/>
      <c r="AL30" s="70"/>
      <c r="AM30" s="71"/>
      <c r="AN30" s="72"/>
      <c r="AO30" s="67"/>
      <c r="AP30" s="68"/>
      <c r="AQ30" s="69"/>
      <c r="AR30" s="77" t="s">
        <v>108</v>
      </c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9"/>
    </row>
    <row r="31" spans="1:62" s="13" customFormat="1" ht="48" customHeight="1">
      <c r="A31" s="73">
        <f t="shared" si="0"/>
        <v>13</v>
      </c>
      <c r="B31" s="73"/>
      <c r="C31" s="73"/>
      <c r="D31" s="74" t="s">
        <v>96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67" t="s">
        <v>32</v>
      </c>
      <c r="V31" s="68"/>
      <c r="W31" s="68"/>
      <c r="X31" s="68"/>
      <c r="Y31" s="69"/>
      <c r="Z31" s="73">
        <v>4</v>
      </c>
      <c r="AA31" s="73"/>
      <c r="AB31" s="73"/>
      <c r="AC31" s="67"/>
      <c r="AD31" s="68"/>
      <c r="AE31" s="69"/>
      <c r="AF31" s="67"/>
      <c r="AG31" s="68"/>
      <c r="AH31" s="69"/>
      <c r="AI31" s="67"/>
      <c r="AJ31" s="68"/>
      <c r="AK31" s="69"/>
      <c r="AL31" s="70" t="s">
        <v>19</v>
      </c>
      <c r="AM31" s="71"/>
      <c r="AN31" s="72"/>
      <c r="AO31" s="67"/>
      <c r="AP31" s="68"/>
      <c r="AQ31" s="69"/>
      <c r="AR31" s="83" t="s">
        <v>134</v>
      </c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5"/>
    </row>
    <row r="32" spans="1:62" s="13" customFormat="1" ht="36" customHeight="1">
      <c r="A32" s="73">
        <f t="shared" si="0"/>
        <v>14</v>
      </c>
      <c r="B32" s="73"/>
      <c r="C32" s="73"/>
      <c r="D32" s="74" t="s">
        <v>97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67" t="s">
        <v>51</v>
      </c>
      <c r="V32" s="68"/>
      <c r="W32" s="68"/>
      <c r="X32" s="68"/>
      <c r="Y32" s="69"/>
      <c r="Z32" s="73">
        <v>10</v>
      </c>
      <c r="AA32" s="73"/>
      <c r="AB32" s="73"/>
      <c r="AC32" s="67"/>
      <c r="AD32" s="68"/>
      <c r="AE32" s="69"/>
      <c r="AF32" s="67"/>
      <c r="AG32" s="68"/>
      <c r="AH32" s="69"/>
      <c r="AI32" s="67"/>
      <c r="AJ32" s="68"/>
      <c r="AK32" s="69"/>
      <c r="AL32" s="67"/>
      <c r="AM32" s="68"/>
      <c r="AN32" s="69"/>
      <c r="AO32" s="67"/>
      <c r="AP32" s="68"/>
      <c r="AQ32" s="69"/>
      <c r="AR32" s="83" t="s">
        <v>109</v>
      </c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5"/>
    </row>
    <row r="33" spans="1:62" s="13" customFormat="1" ht="52.5" customHeight="1">
      <c r="A33" s="73">
        <f t="shared" si="0"/>
        <v>15</v>
      </c>
      <c r="B33" s="73"/>
      <c r="C33" s="73"/>
      <c r="D33" s="74" t="s">
        <v>52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67" t="s">
        <v>32</v>
      </c>
      <c r="V33" s="68"/>
      <c r="W33" s="68"/>
      <c r="X33" s="68"/>
      <c r="Y33" s="69"/>
      <c r="Z33" s="73">
        <v>4</v>
      </c>
      <c r="AA33" s="73"/>
      <c r="AB33" s="73"/>
      <c r="AC33" s="67"/>
      <c r="AD33" s="68"/>
      <c r="AE33" s="69"/>
      <c r="AF33" s="67"/>
      <c r="AG33" s="68"/>
      <c r="AH33" s="69"/>
      <c r="AI33" s="67"/>
      <c r="AJ33" s="68"/>
      <c r="AK33" s="69"/>
      <c r="AL33" s="70" t="s">
        <v>19</v>
      </c>
      <c r="AM33" s="71"/>
      <c r="AN33" s="72"/>
      <c r="AO33" s="67"/>
      <c r="AP33" s="68"/>
      <c r="AQ33" s="69"/>
      <c r="AR33" s="83" t="s">
        <v>135</v>
      </c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5"/>
    </row>
    <row r="34" spans="1:62" s="13" customFormat="1" ht="48" customHeight="1">
      <c r="A34" s="73">
        <f t="shared" si="0"/>
        <v>16</v>
      </c>
      <c r="B34" s="73"/>
      <c r="C34" s="73"/>
      <c r="D34" s="74" t="s">
        <v>53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67" t="s">
        <v>51</v>
      </c>
      <c r="V34" s="68"/>
      <c r="W34" s="68"/>
      <c r="X34" s="68"/>
      <c r="Y34" s="69"/>
      <c r="Z34" s="73">
        <v>20</v>
      </c>
      <c r="AA34" s="73"/>
      <c r="AB34" s="73"/>
      <c r="AC34" s="67"/>
      <c r="AD34" s="68"/>
      <c r="AE34" s="69"/>
      <c r="AF34" s="67"/>
      <c r="AG34" s="68"/>
      <c r="AH34" s="69"/>
      <c r="AI34" s="67"/>
      <c r="AJ34" s="68"/>
      <c r="AK34" s="69"/>
      <c r="AL34" s="70" t="s">
        <v>19</v>
      </c>
      <c r="AM34" s="71"/>
      <c r="AN34" s="72"/>
      <c r="AO34" s="67"/>
      <c r="AP34" s="68"/>
      <c r="AQ34" s="69"/>
      <c r="AR34" s="83" t="s">
        <v>136</v>
      </c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5"/>
    </row>
    <row r="35" spans="1:62" s="13" customFormat="1" ht="36" customHeight="1">
      <c r="A35" s="73">
        <f t="shared" si="0"/>
        <v>17</v>
      </c>
      <c r="B35" s="73"/>
      <c r="C35" s="73"/>
      <c r="D35" s="74" t="s">
        <v>54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67" t="s">
        <v>32</v>
      </c>
      <c r="V35" s="68"/>
      <c r="W35" s="68"/>
      <c r="X35" s="68"/>
      <c r="Y35" s="69"/>
      <c r="Z35" s="73">
        <v>14</v>
      </c>
      <c r="AA35" s="73"/>
      <c r="AB35" s="73"/>
      <c r="AC35" s="67" t="s">
        <v>19</v>
      </c>
      <c r="AD35" s="68"/>
      <c r="AE35" s="69"/>
      <c r="AF35" s="67"/>
      <c r="AG35" s="68"/>
      <c r="AH35" s="69"/>
      <c r="AI35" s="67"/>
      <c r="AJ35" s="68"/>
      <c r="AK35" s="69"/>
      <c r="AL35" s="70" t="s">
        <v>19</v>
      </c>
      <c r="AM35" s="71"/>
      <c r="AN35" s="72"/>
      <c r="AO35" s="67" t="s">
        <v>19</v>
      </c>
      <c r="AP35" s="68"/>
      <c r="AQ35" s="69"/>
      <c r="AR35" s="86" t="s">
        <v>137</v>
      </c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5"/>
    </row>
    <row r="36" spans="1:62" s="13" customFormat="1" ht="36" customHeight="1">
      <c r="A36" s="73">
        <f t="shared" si="0"/>
        <v>18</v>
      </c>
      <c r="B36" s="73"/>
      <c r="C36" s="73"/>
      <c r="D36" s="74" t="s">
        <v>98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67" t="s">
        <v>32</v>
      </c>
      <c r="V36" s="68"/>
      <c r="W36" s="68"/>
      <c r="X36" s="68"/>
      <c r="Y36" s="69"/>
      <c r="Z36" s="73">
        <v>9</v>
      </c>
      <c r="AA36" s="73"/>
      <c r="AB36" s="73"/>
      <c r="AC36" s="67"/>
      <c r="AD36" s="68"/>
      <c r="AE36" s="69"/>
      <c r="AF36" s="67"/>
      <c r="AG36" s="68"/>
      <c r="AH36" s="69"/>
      <c r="AI36" s="67"/>
      <c r="AJ36" s="68"/>
      <c r="AK36" s="69"/>
      <c r="AL36" s="70" t="s">
        <v>19</v>
      </c>
      <c r="AM36" s="71"/>
      <c r="AN36" s="72"/>
      <c r="AO36" s="67" t="s">
        <v>19</v>
      </c>
      <c r="AP36" s="68"/>
      <c r="AQ36" s="69"/>
      <c r="AR36" s="83" t="s">
        <v>110</v>
      </c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5"/>
    </row>
    <row r="37" spans="1:62" s="13" customFormat="1" ht="36" customHeight="1">
      <c r="A37" s="73">
        <f t="shared" si="0"/>
        <v>19</v>
      </c>
      <c r="B37" s="73"/>
      <c r="C37" s="73"/>
      <c r="D37" s="74" t="s">
        <v>99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6"/>
      <c r="U37" s="67" t="s">
        <v>51</v>
      </c>
      <c r="V37" s="68"/>
      <c r="W37" s="68"/>
      <c r="X37" s="68"/>
      <c r="Y37" s="69"/>
      <c r="Z37" s="73">
        <v>10</v>
      </c>
      <c r="AA37" s="73"/>
      <c r="AB37" s="73"/>
      <c r="AC37" s="67"/>
      <c r="AD37" s="68"/>
      <c r="AE37" s="69"/>
      <c r="AF37" s="67"/>
      <c r="AG37" s="68"/>
      <c r="AH37" s="69"/>
      <c r="AI37" s="67"/>
      <c r="AJ37" s="68"/>
      <c r="AK37" s="69"/>
      <c r="AL37" s="67"/>
      <c r="AM37" s="68"/>
      <c r="AN37" s="69"/>
      <c r="AO37" s="67"/>
      <c r="AP37" s="68"/>
      <c r="AQ37" s="69"/>
      <c r="AR37" s="83" t="s">
        <v>111</v>
      </c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5"/>
    </row>
    <row r="38" spans="1:62" s="13" customFormat="1" ht="36" customHeight="1">
      <c r="A38" s="73">
        <f t="shared" si="0"/>
        <v>20</v>
      </c>
      <c r="B38" s="73"/>
      <c r="C38" s="73"/>
      <c r="D38" s="74" t="s">
        <v>158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67" t="s">
        <v>32</v>
      </c>
      <c r="V38" s="68"/>
      <c r="W38" s="68"/>
      <c r="X38" s="68"/>
      <c r="Y38" s="69"/>
      <c r="Z38" s="73">
        <v>14</v>
      </c>
      <c r="AA38" s="73"/>
      <c r="AB38" s="73"/>
      <c r="AC38" s="67" t="s">
        <v>19</v>
      </c>
      <c r="AD38" s="68"/>
      <c r="AE38" s="69"/>
      <c r="AF38" s="67"/>
      <c r="AG38" s="68"/>
      <c r="AH38" s="69"/>
      <c r="AI38" s="67"/>
      <c r="AJ38" s="68"/>
      <c r="AK38" s="69"/>
      <c r="AL38" s="70" t="s">
        <v>19</v>
      </c>
      <c r="AM38" s="71"/>
      <c r="AN38" s="72"/>
      <c r="AO38" s="67" t="s">
        <v>19</v>
      </c>
      <c r="AP38" s="68"/>
      <c r="AQ38" s="69"/>
      <c r="AR38" s="86" t="s">
        <v>161</v>
      </c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5"/>
    </row>
    <row r="39" spans="1:62" s="13" customFormat="1" ht="36" customHeight="1">
      <c r="A39" s="73">
        <f t="shared" si="0"/>
        <v>21</v>
      </c>
      <c r="B39" s="73"/>
      <c r="C39" s="73"/>
      <c r="D39" s="74" t="s">
        <v>160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67" t="s">
        <v>32</v>
      </c>
      <c r="V39" s="68"/>
      <c r="W39" s="68"/>
      <c r="X39" s="68"/>
      <c r="Y39" s="69"/>
      <c r="Z39" s="73">
        <v>14</v>
      </c>
      <c r="AA39" s="73"/>
      <c r="AB39" s="73"/>
      <c r="AC39" s="67" t="s">
        <v>19</v>
      </c>
      <c r="AD39" s="68"/>
      <c r="AE39" s="69"/>
      <c r="AF39" s="67"/>
      <c r="AG39" s="68"/>
      <c r="AH39" s="69"/>
      <c r="AI39" s="67"/>
      <c r="AJ39" s="68"/>
      <c r="AK39" s="69"/>
      <c r="AL39" s="70" t="s">
        <v>19</v>
      </c>
      <c r="AM39" s="71"/>
      <c r="AN39" s="72"/>
      <c r="AO39" s="67" t="s">
        <v>162</v>
      </c>
      <c r="AP39" s="68"/>
      <c r="AQ39" s="69"/>
      <c r="AR39" s="86" t="s">
        <v>163</v>
      </c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5"/>
    </row>
    <row r="40" spans="1:62" s="13" customFormat="1" ht="36" customHeight="1">
      <c r="A40" s="73">
        <f t="shared" si="0"/>
        <v>22</v>
      </c>
      <c r="B40" s="73"/>
      <c r="C40" s="73"/>
      <c r="D40" s="74" t="s">
        <v>100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6"/>
      <c r="U40" s="67" t="s">
        <v>32</v>
      </c>
      <c r="V40" s="68"/>
      <c r="W40" s="68"/>
      <c r="X40" s="68"/>
      <c r="Y40" s="69"/>
      <c r="Z40" s="73">
        <v>2</v>
      </c>
      <c r="AA40" s="73"/>
      <c r="AB40" s="73"/>
      <c r="AC40" s="67"/>
      <c r="AD40" s="68"/>
      <c r="AE40" s="69"/>
      <c r="AF40" s="67"/>
      <c r="AG40" s="68"/>
      <c r="AH40" s="69"/>
      <c r="AI40" s="67"/>
      <c r="AJ40" s="68"/>
      <c r="AK40" s="69"/>
      <c r="AL40" s="70" t="s">
        <v>19</v>
      </c>
      <c r="AM40" s="71"/>
      <c r="AN40" s="72"/>
      <c r="AO40" s="67" t="s">
        <v>19</v>
      </c>
      <c r="AP40" s="68"/>
      <c r="AQ40" s="69"/>
      <c r="AR40" s="83" t="s">
        <v>112</v>
      </c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5"/>
    </row>
    <row r="41" spans="1:62" s="13" customFormat="1" ht="36" customHeight="1">
      <c r="A41" s="73">
        <f t="shared" si="0"/>
        <v>23</v>
      </c>
      <c r="B41" s="73"/>
      <c r="C41" s="73"/>
      <c r="D41" s="74" t="s">
        <v>101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67" t="s">
        <v>51</v>
      </c>
      <c r="V41" s="68"/>
      <c r="W41" s="68"/>
      <c r="X41" s="68"/>
      <c r="Y41" s="69"/>
      <c r="Z41" s="73">
        <v>12</v>
      </c>
      <c r="AA41" s="73"/>
      <c r="AB41" s="73"/>
      <c r="AC41" s="67"/>
      <c r="AD41" s="68"/>
      <c r="AE41" s="69"/>
      <c r="AF41" s="67"/>
      <c r="AG41" s="68"/>
      <c r="AH41" s="69"/>
      <c r="AI41" s="67"/>
      <c r="AJ41" s="68"/>
      <c r="AK41" s="69"/>
      <c r="AL41" s="67"/>
      <c r="AM41" s="68"/>
      <c r="AN41" s="69"/>
      <c r="AO41" s="67"/>
      <c r="AP41" s="68"/>
      <c r="AQ41" s="69"/>
      <c r="AR41" s="83" t="s">
        <v>113</v>
      </c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5"/>
    </row>
    <row r="42" spans="1:62" s="13" customFormat="1" ht="69" customHeight="1">
      <c r="A42" s="73">
        <f t="shared" si="0"/>
        <v>24</v>
      </c>
      <c r="B42" s="73"/>
      <c r="C42" s="73"/>
      <c r="D42" s="74" t="s">
        <v>102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67" t="s">
        <v>51</v>
      </c>
      <c r="V42" s="68"/>
      <c r="W42" s="68"/>
      <c r="X42" s="68"/>
      <c r="Y42" s="69"/>
      <c r="Z42" s="73">
        <v>2</v>
      </c>
      <c r="AA42" s="73"/>
      <c r="AB42" s="73"/>
      <c r="AC42" s="67"/>
      <c r="AD42" s="68"/>
      <c r="AE42" s="69"/>
      <c r="AF42" s="67"/>
      <c r="AG42" s="68"/>
      <c r="AH42" s="69"/>
      <c r="AI42" s="67"/>
      <c r="AJ42" s="68"/>
      <c r="AK42" s="69"/>
      <c r="AL42" s="70" t="s">
        <v>19</v>
      </c>
      <c r="AM42" s="71"/>
      <c r="AN42" s="72"/>
      <c r="AO42" s="67"/>
      <c r="AP42" s="68"/>
      <c r="AQ42" s="69"/>
      <c r="AR42" s="86" t="s">
        <v>215</v>
      </c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5"/>
    </row>
    <row r="43" spans="1:62" s="13" customFormat="1" ht="81.900000000000006" customHeight="1">
      <c r="A43" s="73">
        <f t="shared" si="0"/>
        <v>25</v>
      </c>
      <c r="B43" s="73"/>
      <c r="C43" s="73"/>
      <c r="D43" s="74" t="s">
        <v>103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67" t="s">
        <v>51</v>
      </c>
      <c r="V43" s="68"/>
      <c r="W43" s="68"/>
      <c r="X43" s="68"/>
      <c r="Y43" s="69"/>
      <c r="Z43" s="73">
        <v>3</v>
      </c>
      <c r="AA43" s="73"/>
      <c r="AB43" s="73"/>
      <c r="AC43" s="67"/>
      <c r="AD43" s="68"/>
      <c r="AE43" s="69"/>
      <c r="AF43" s="67"/>
      <c r="AG43" s="68"/>
      <c r="AH43" s="69"/>
      <c r="AI43" s="67"/>
      <c r="AJ43" s="68"/>
      <c r="AK43" s="69"/>
      <c r="AL43" s="67"/>
      <c r="AM43" s="68"/>
      <c r="AN43" s="69"/>
      <c r="AO43" s="67"/>
      <c r="AP43" s="68"/>
      <c r="AQ43" s="69"/>
      <c r="AR43" s="86" t="s">
        <v>213</v>
      </c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5"/>
    </row>
    <row r="44" spans="1:62" s="13" customFormat="1" ht="36" customHeight="1">
      <c r="A44" s="73">
        <f t="shared" si="0"/>
        <v>26</v>
      </c>
      <c r="B44" s="73"/>
      <c r="C44" s="73"/>
      <c r="D44" s="74" t="s">
        <v>55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6"/>
      <c r="U44" s="67" t="s">
        <v>32</v>
      </c>
      <c r="V44" s="68"/>
      <c r="W44" s="68"/>
      <c r="X44" s="68"/>
      <c r="Y44" s="69"/>
      <c r="Z44" s="73">
        <v>14</v>
      </c>
      <c r="AA44" s="73"/>
      <c r="AB44" s="73"/>
      <c r="AC44" s="67" t="s">
        <v>19</v>
      </c>
      <c r="AD44" s="68"/>
      <c r="AE44" s="69"/>
      <c r="AF44" s="67"/>
      <c r="AG44" s="68"/>
      <c r="AH44" s="69"/>
      <c r="AI44" s="67"/>
      <c r="AJ44" s="68"/>
      <c r="AK44" s="69"/>
      <c r="AL44" s="70" t="s">
        <v>19</v>
      </c>
      <c r="AM44" s="71"/>
      <c r="AN44" s="72"/>
      <c r="AO44" s="67"/>
      <c r="AP44" s="68"/>
      <c r="AQ44" s="69"/>
      <c r="AR44" s="83" t="s">
        <v>59</v>
      </c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5"/>
    </row>
    <row r="45" spans="1:62" s="13" customFormat="1" ht="36" customHeight="1">
      <c r="A45" s="73">
        <f t="shared" si="0"/>
        <v>27</v>
      </c>
      <c r="B45" s="73"/>
      <c r="C45" s="73"/>
      <c r="D45" s="74" t="s">
        <v>56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6"/>
      <c r="U45" s="67" t="s">
        <v>32</v>
      </c>
      <c r="V45" s="68"/>
      <c r="W45" s="68"/>
      <c r="X45" s="68"/>
      <c r="Y45" s="69"/>
      <c r="Z45" s="73">
        <v>14</v>
      </c>
      <c r="AA45" s="73"/>
      <c r="AB45" s="73"/>
      <c r="AC45" s="67" t="s">
        <v>19</v>
      </c>
      <c r="AD45" s="68"/>
      <c r="AE45" s="69"/>
      <c r="AF45" s="67"/>
      <c r="AG45" s="68"/>
      <c r="AH45" s="69"/>
      <c r="AI45" s="67"/>
      <c r="AJ45" s="68"/>
      <c r="AK45" s="69"/>
      <c r="AL45" s="70" t="s">
        <v>19</v>
      </c>
      <c r="AM45" s="71"/>
      <c r="AN45" s="72"/>
      <c r="AO45" s="67"/>
      <c r="AP45" s="68"/>
      <c r="AQ45" s="69"/>
      <c r="AR45" s="83" t="s">
        <v>60</v>
      </c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5"/>
    </row>
    <row r="46" spans="1:62" s="13" customFormat="1" ht="36" customHeight="1">
      <c r="A46" s="73">
        <f t="shared" si="0"/>
        <v>28</v>
      </c>
      <c r="B46" s="73"/>
      <c r="C46" s="73"/>
      <c r="D46" s="74" t="s">
        <v>57</v>
      </c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6"/>
      <c r="U46" s="67" t="s">
        <v>32</v>
      </c>
      <c r="V46" s="68"/>
      <c r="W46" s="68"/>
      <c r="X46" s="68"/>
      <c r="Y46" s="69"/>
      <c r="Z46" s="73">
        <v>14</v>
      </c>
      <c r="AA46" s="73"/>
      <c r="AB46" s="73"/>
      <c r="AC46" s="67" t="s">
        <v>19</v>
      </c>
      <c r="AD46" s="68"/>
      <c r="AE46" s="69"/>
      <c r="AF46" s="67"/>
      <c r="AG46" s="68"/>
      <c r="AH46" s="69"/>
      <c r="AI46" s="67"/>
      <c r="AJ46" s="68"/>
      <c r="AK46" s="69"/>
      <c r="AL46" s="70"/>
      <c r="AM46" s="71"/>
      <c r="AN46" s="72"/>
      <c r="AO46" s="67"/>
      <c r="AP46" s="68"/>
      <c r="AQ46" s="69"/>
      <c r="AR46" s="83" t="s">
        <v>61</v>
      </c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5"/>
    </row>
    <row r="47" spans="1:62" s="13" customFormat="1" ht="36" customHeight="1">
      <c r="A47" s="73">
        <f t="shared" si="0"/>
        <v>29</v>
      </c>
      <c r="B47" s="73"/>
      <c r="C47" s="73"/>
      <c r="D47" s="74" t="s">
        <v>58</v>
      </c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6"/>
      <c r="U47" s="67" t="s">
        <v>142</v>
      </c>
      <c r="V47" s="68"/>
      <c r="W47" s="68"/>
      <c r="X47" s="68"/>
      <c r="Y47" s="69"/>
      <c r="Z47" s="73">
        <v>8</v>
      </c>
      <c r="AA47" s="73"/>
      <c r="AB47" s="73"/>
      <c r="AC47" s="67"/>
      <c r="AD47" s="68"/>
      <c r="AE47" s="69"/>
      <c r="AF47" s="67"/>
      <c r="AG47" s="68"/>
      <c r="AH47" s="69"/>
      <c r="AI47" s="67"/>
      <c r="AJ47" s="68"/>
      <c r="AK47" s="69"/>
      <c r="AL47" s="70" t="s">
        <v>19</v>
      </c>
      <c r="AM47" s="71"/>
      <c r="AN47" s="72"/>
      <c r="AO47" s="67"/>
      <c r="AP47" s="68"/>
      <c r="AQ47" s="69"/>
      <c r="AR47" s="83" t="s">
        <v>62</v>
      </c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5"/>
    </row>
    <row r="48" spans="1:62" s="13" customFormat="1" ht="36" customHeight="1">
      <c r="A48" s="73">
        <f t="shared" si="0"/>
        <v>30</v>
      </c>
      <c r="B48" s="73"/>
      <c r="C48" s="73"/>
      <c r="D48" s="74" t="s">
        <v>75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6"/>
      <c r="U48" s="67" t="s">
        <v>51</v>
      </c>
      <c r="V48" s="68"/>
      <c r="W48" s="68"/>
      <c r="X48" s="68"/>
      <c r="Y48" s="69"/>
      <c r="Z48" s="73">
        <v>10</v>
      </c>
      <c r="AA48" s="73"/>
      <c r="AB48" s="73"/>
      <c r="AC48" s="67"/>
      <c r="AD48" s="68"/>
      <c r="AE48" s="69"/>
      <c r="AF48" s="67"/>
      <c r="AG48" s="68"/>
      <c r="AH48" s="69"/>
      <c r="AI48" s="67"/>
      <c r="AJ48" s="68"/>
      <c r="AK48" s="69"/>
      <c r="AL48" s="70" t="s">
        <v>19</v>
      </c>
      <c r="AM48" s="71"/>
      <c r="AN48" s="72"/>
      <c r="AO48" s="67"/>
      <c r="AP48" s="68"/>
      <c r="AQ48" s="69"/>
      <c r="AR48" s="83" t="s">
        <v>80</v>
      </c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5"/>
    </row>
    <row r="49" spans="1:62" s="13" customFormat="1" ht="36" customHeight="1">
      <c r="A49" s="73">
        <f t="shared" si="0"/>
        <v>31</v>
      </c>
      <c r="B49" s="73"/>
      <c r="C49" s="73"/>
      <c r="D49" s="74" t="s">
        <v>76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6"/>
      <c r="U49" s="67" t="s">
        <v>32</v>
      </c>
      <c r="V49" s="68"/>
      <c r="W49" s="68"/>
      <c r="X49" s="68"/>
      <c r="Y49" s="69"/>
      <c r="Z49" s="73" t="s">
        <v>224</v>
      </c>
      <c r="AA49" s="73"/>
      <c r="AB49" s="73"/>
      <c r="AC49" s="67" t="s">
        <v>19</v>
      </c>
      <c r="AD49" s="68"/>
      <c r="AE49" s="69"/>
      <c r="AF49" s="67"/>
      <c r="AG49" s="68"/>
      <c r="AH49" s="69"/>
      <c r="AI49" s="67"/>
      <c r="AJ49" s="68"/>
      <c r="AK49" s="69"/>
      <c r="AL49" s="70" t="s">
        <v>19</v>
      </c>
      <c r="AM49" s="71"/>
      <c r="AN49" s="72"/>
      <c r="AO49" s="67"/>
      <c r="AP49" s="68"/>
      <c r="AQ49" s="69"/>
      <c r="AR49" s="83" t="s">
        <v>81</v>
      </c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5"/>
    </row>
    <row r="50" spans="1:62" s="13" customFormat="1" ht="36" customHeight="1">
      <c r="A50" s="73">
        <f t="shared" si="0"/>
        <v>32</v>
      </c>
      <c r="B50" s="73"/>
      <c r="C50" s="73"/>
      <c r="D50" s="74" t="s">
        <v>77</v>
      </c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6"/>
      <c r="U50" s="67" t="s">
        <v>32</v>
      </c>
      <c r="V50" s="68"/>
      <c r="W50" s="68"/>
      <c r="X50" s="68"/>
      <c r="Y50" s="69"/>
      <c r="Z50" s="73" t="s">
        <v>224</v>
      </c>
      <c r="AA50" s="73"/>
      <c r="AB50" s="73"/>
      <c r="AC50" s="67" t="s">
        <v>19</v>
      </c>
      <c r="AD50" s="68"/>
      <c r="AE50" s="69"/>
      <c r="AF50" s="67"/>
      <c r="AG50" s="68"/>
      <c r="AH50" s="69"/>
      <c r="AI50" s="67"/>
      <c r="AJ50" s="68"/>
      <c r="AK50" s="69"/>
      <c r="AL50" s="70" t="s">
        <v>19</v>
      </c>
      <c r="AM50" s="71"/>
      <c r="AN50" s="72"/>
      <c r="AO50" s="67"/>
      <c r="AP50" s="68"/>
      <c r="AQ50" s="69"/>
      <c r="AR50" s="83" t="s">
        <v>82</v>
      </c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5"/>
    </row>
    <row r="51" spans="1:62" s="13" customFormat="1" ht="36" customHeight="1">
      <c r="A51" s="73">
        <f t="shared" si="0"/>
        <v>33</v>
      </c>
      <c r="B51" s="73"/>
      <c r="C51" s="73"/>
      <c r="D51" s="74" t="s">
        <v>78</v>
      </c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67" t="s">
        <v>32</v>
      </c>
      <c r="V51" s="68"/>
      <c r="W51" s="68"/>
      <c r="X51" s="68"/>
      <c r="Y51" s="69"/>
      <c r="Z51" s="73">
        <v>14</v>
      </c>
      <c r="AA51" s="73"/>
      <c r="AB51" s="73"/>
      <c r="AC51" s="67" t="s">
        <v>19</v>
      </c>
      <c r="AD51" s="68"/>
      <c r="AE51" s="69"/>
      <c r="AF51" s="67"/>
      <c r="AG51" s="68"/>
      <c r="AH51" s="69"/>
      <c r="AI51" s="67"/>
      <c r="AJ51" s="68"/>
      <c r="AK51" s="69"/>
      <c r="AL51" s="70" t="s">
        <v>19</v>
      </c>
      <c r="AM51" s="71"/>
      <c r="AN51" s="72"/>
      <c r="AO51" s="67"/>
      <c r="AP51" s="68"/>
      <c r="AQ51" s="69"/>
      <c r="AR51" s="83" t="s">
        <v>83</v>
      </c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5"/>
    </row>
    <row r="52" spans="1:62" s="13" customFormat="1" ht="36" customHeight="1">
      <c r="A52" s="73">
        <f t="shared" si="0"/>
        <v>34</v>
      </c>
      <c r="B52" s="73"/>
      <c r="C52" s="73"/>
      <c r="D52" s="74" t="s">
        <v>79</v>
      </c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6"/>
      <c r="U52" s="67" t="s">
        <v>142</v>
      </c>
      <c r="V52" s="68"/>
      <c r="W52" s="68"/>
      <c r="X52" s="68"/>
      <c r="Y52" s="69"/>
      <c r="Z52" s="73">
        <v>8</v>
      </c>
      <c r="AA52" s="73"/>
      <c r="AB52" s="73"/>
      <c r="AC52" s="67"/>
      <c r="AD52" s="68"/>
      <c r="AE52" s="69"/>
      <c r="AF52" s="67"/>
      <c r="AG52" s="68"/>
      <c r="AH52" s="69"/>
      <c r="AI52" s="67"/>
      <c r="AJ52" s="68"/>
      <c r="AK52" s="69"/>
      <c r="AL52" s="70" t="s">
        <v>19</v>
      </c>
      <c r="AM52" s="71"/>
      <c r="AN52" s="72"/>
      <c r="AO52" s="67"/>
      <c r="AP52" s="68"/>
      <c r="AQ52" s="69"/>
      <c r="AR52" s="83" t="s">
        <v>84</v>
      </c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5"/>
    </row>
    <row r="53" spans="1:62" s="13" customFormat="1" ht="36" customHeight="1">
      <c r="A53" s="93">
        <f t="shared" si="0"/>
        <v>35</v>
      </c>
      <c r="B53" s="93"/>
      <c r="C53" s="93"/>
      <c r="D53" s="87" t="s">
        <v>148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9"/>
      <c r="U53" s="90" t="s">
        <v>51</v>
      </c>
      <c r="V53" s="91"/>
      <c r="W53" s="91"/>
      <c r="X53" s="91"/>
      <c r="Y53" s="92"/>
      <c r="Z53" s="93">
        <v>20</v>
      </c>
      <c r="AA53" s="93"/>
      <c r="AB53" s="93"/>
      <c r="AC53" s="90"/>
      <c r="AD53" s="91"/>
      <c r="AE53" s="92"/>
      <c r="AF53" s="90"/>
      <c r="AG53" s="91"/>
      <c r="AH53" s="92"/>
      <c r="AI53" s="90"/>
      <c r="AJ53" s="91"/>
      <c r="AK53" s="92"/>
      <c r="AL53" s="90" t="s">
        <v>19</v>
      </c>
      <c r="AM53" s="91"/>
      <c r="AN53" s="92"/>
      <c r="AO53" s="90"/>
      <c r="AP53" s="91"/>
      <c r="AQ53" s="92"/>
      <c r="AR53" s="94" t="s">
        <v>149</v>
      </c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6"/>
    </row>
    <row r="54" spans="1:62" ht="6.65" customHeight="1"/>
  </sheetData>
  <mergeCells count="404">
    <mergeCell ref="AK7:AR7"/>
    <mergeCell ref="AS7:AX7"/>
    <mergeCell ref="BC7:BD7"/>
    <mergeCell ref="BE7:BH7"/>
    <mergeCell ref="A13:C13"/>
    <mergeCell ref="D13:AR13"/>
    <mergeCell ref="AS13:BJ13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4:C14"/>
    <mergeCell ref="BI7:BJ7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R36:BJ36"/>
    <mergeCell ref="AR39:BJ39"/>
    <mergeCell ref="AI35:AK35"/>
    <mergeCell ref="AL35:AN35"/>
    <mergeCell ref="U51:Y51"/>
    <mergeCell ref="Z51:AB51"/>
    <mergeCell ref="AC51:AE51"/>
    <mergeCell ref="AF51:AH51"/>
    <mergeCell ref="AI51:AK51"/>
    <mergeCell ref="AL51:AN51"/>
    <mergeCell ref="AO51:AQ51"/>
    <mergeCell ref="Z46:AB46"/>
    <mergeCell ref="AC46:AE46"/>
    <mergeCell ref="AF46:AH46"/>
    <mergeCell ref="AI46:AK46"/>
    <mergeCell ref="AL46:AN46"/>
    <mergeCell ref="AO46:AQ46"/>
    <mergeCell ref="U38:Y38"/>
    <mergeCell ref="Z38:AB38"/>
    <mergeCell ref="AC38:AE38"/>
    <mergeCell ref="AF38:AH38"/>
    <mergeCell ref="AI38:AK38"/>
    <mergeCell ref="AL38:AN38"/>
    <mergeCell ref="AO38:AQ38"/>
    <mergeCell ref="AO35:AQ35"/>
    <mergeCell ref="AI29:AK29"/>
    <mergeCell ref="AL29:AN29"/>
    <mergeCell ref="AO29:AQ29"/>
    <mergeCell ref="AR46:BJ46"/>
    <mergeCell ref="AR45:BJ45"/>
    <mergeCell ref="Z40:AB40"/>
    <mergeCell ref="AC40:AE40"/>
    <mergeCell ref="AF40:AH40"/>
    <mergeCell ref="AI40:AK40"/>
    <mergeCell ref="AL40:AN40"/>
    <mergeCell ref="AR38:BJ38"/>
    <mergeCell ref="AR29:BJ29"/>
    <mergeCell ref="AL31:AN31"/>
    <mergeCell ref="AO31:AQ31"/>
    <mergeCell ref="AO42:AQ42"/>
    <mergeCell ref="AR40:BJ40"/>
    <mergeCell ref="AR44:BJ44"/>
    <mergeCell ref="AF35:AH35"/>
    <mergeCell ref="AC32:AE32"/>
    <mergeCell ref="AF32:AH32"/>
    <mergeCell ref="AO36:AQ36"/>
    <mergeCell ref="AO40:AQ40"/>
    <mergeCell ref="AR37:BJ37"/>
    <mergeCell ref="AR41:BJ41"/>
    <mergeCell ref="D45:T45"/>
    <mergeCell ref="U45:Y45"/>
    <mergeCell ref="A24:C24"/>
    <mergeCell ref="D24:T24"/>
    <mergeCell ref="U24:Y24"/>
    <mergeCell ref="Z24:AB24"/>
    <mergeCell ref="AC24:AE24"/>
    <mergeCell ref="A27:C27"/>
    <mergeCell ref="D27:T27"/>
    <mergeCell ref="U27:Y27"/>
    <mergeCell ref="Z27:AB27"/>
    <mergeCell ref="AC27:AE27"/>
    <mergeCell ref="Z42:AB42"/>
    <mergeCell ref="AC42:AE42"/>
    <mergeCell ref="A44:C44"/>
    <mergeCell ref="U28:Y28"/>
    <mergeCell ref="A42:C42"/>
    <mergeCell ref="A43:C43"/>
    <mergeCell ref="A25:C25"/>
    <mergeCell ref="D25:T25"/>
    <mergeCell ref="U25:Y25"/>
    <mergeCell ref="A46:C46"/>
    <mergeCell ref="D46:T46"/>
    <mergeCell ref="U46:Y46"/>
    <mergeCell ref="A26:C26"/>
    <mergeCell ref="D26:T26"/>
    <mergeCell ref="U26:Y26"/>
    <mergeCell ref="Z26:AB26"/>
    <mergeCell ref="AC26:AE26"/>
    <mergeCell ref="A35:C35"/>
    <mergeCell ref="D35:T35"/>
    <mergeCell ref="U35:Y35"/>
    <mergeCell ref="Z35:AB35"/>
    <mergeCell ref="AC35:AE35"/>
    <mergeCell ref="A29:C29"/>
    <mergeCell ref="D29:T29"/>
    <mergeCell ref="U29:Y29"/>
    <mergeCell ref="Z29:AB29"/>
    <mergeCell ref="AC29:AE29"/>
    <mergeCell ref="A38:C38"/>
    <mergeCell ref="D38:T38"/>
    <mergeCell ref="A45:C45"/>
    <mergeCell ref="A34:C34"/>
    <mergeCell ref="A32:C32"/>
    <mergeCell ref="D28:T28"/>
    <mergeCell ref="AR34:BJ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I27:AK27"/>
    <mergeCell ref="A33:C33"/>
    <mergeCell ref="A31:C31"/>
    <mergeCell ref="AR31:BJ31"/>
    <mergeCell ref="AR33:BJ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1:T31"/>
    <mergeCell ref="U31:Y31"/>
    <mergeCell ref="Z31:AB31"/>
    <mergeCell ref="AC31:AE31"/>
    <mergeCell ref="AF31:AH31"/>
    <mergeCell ref="AI31:AK31"/>
    <mergeCell ref="D32:T32"/>
    <mergeCell ref="U32:Y32"/>
    <mergeCell ref="Z32:AB32"/>
    <mergeCell ref="AI32:AK32"/>
    <mergeCell ref="AF29:AH29"/>
    <mergeCell ref="AO18:AQ18"/>
    <mergeCell ref="A22:C22"/>
    <mergeCell ref="AR22:BJ22"/>
    <mergeCell ref="A18:C18"/>
    <mergeCell ref="D18:T18"/>
    <mergeCell ref="U18:Y18"/>
    <mergeCell ref="Z18:AB18"/>
    <mergeCell ref="AC18:AE18"/>
    <mergeCell ref="AF18:AH18"/>
    <mergeCell ref="AR18:BJ18"/>
    <mergeCell ref="D22:T22"/>
    <mergeCell ref="U22:Y22"/>
    <mergeCell ref="Z22:AB22"/>
    <mergeCell ref="AC22:AE22"/>
    <mergeCell ref="AR21:BJ21"/>
    <mergeCell ref="AR20:BJ20"/>
    <mergeCell ref="U21:Y21"/>
    <mergeCell ref="Z21:AB21"/>
    <mergeCell ref="AC21:AE21"/>
    <mergeCell ref="AF21:AH21"/>
    <mergeCell ref="AI21:AK21"/>
    <mergeCell ref="AL21:AN21"/>
    <mergeCell ref="AO22:AQ22"/>
    <mergeCell ref="AL22:AN22"/>
    <mergeCell ref="AY4:BJ4"/>
    <mergeCell ref="A6:K6"/>
    <mergeCell ref="L6:AA6"/>
    <mergeCell ref="AB6:AJ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K6:AN6"/>
    <mergeCell ref="AO6:AW6"/>
    <mergeCell ref="AX6:BA6"/>
    <mergeCell ref="BB6:BE6"/>
    <mergeCell ref="BF6:BJ6"/>
    <mergeCell ref="AI26:AK26"/>
    <mergeCell ref="AL26:AN26"/>
    <mergeCell ref="AO26:AQ26"/>
    <mergeCell ref="AF26:AH26"/>
    <mergeCell ref="AF24:AH24"/>
    <mergeCell ref="AI24:AK24"/>
    <mergeCell ref="AL24:AN24"/>
    <mergeCell ref="AO24:AQ24"/>
    <mergeCell ref="AR24:BJ24"/>
    <mergeCell ref="AR25:BJ25"/>
    <mergeCell ref="AR26:BJ26"/>
    <mergeCell ref="AO25:AQ25"/>
    <mergeCell ref="AR23:BJ23"/>
    <mergeCell ref="D14:AR14"/>
    <mergeCell ref="AS14:BJ14"/>
    <mergeCell ref="A7:K7"/>
    <mergeCell ref="AI18:AK18"/>
    <mergeCell ref="AL18:AN18"/>
    <mergeCell ref="AO21:AQ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F22:AH22"/>
    <mergeCell ref="AI22:AK22"/>
    <mergeCell ref="L7:AJ7"/>
    <mergeCell ref="A23:C23"/>
    <mergeCell ref="D23:T23"/>
    <mergeCell ref="U23:Y23"/>
    <mergeCell ref="A21:C21"/>
    <mergeCell ref="D21:T21"/>
    <mergeCell ref="AR53:BJ53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51:BJ51"/>
    <mergeCell ref="A51:C51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39:AQ39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40:C40"/>
    <mergeCell ref="D40:T40"/>
    <mergeCell ref="U40:Y40"/>
    <mergeCell ref="Z45:AB45"/>
    <mergeCell ref="AC45:AE45"/>
    <mergeCell ref="AF45:AH45"/>
    <mergeCell ref="AI45:AK45"/>
    <mergeCell ref="AO53:AQ53"/>
    <mergeCell ref="Z52:AB52"/>
    <mergeCell ref="AC52:AE52"/>
    <mergeCell ref="AF52:AH52"/>
    <mergeCell ref="AI52:AK52"/>
    <mergeCell ref="AL52:AN52"/>
    <mergeCell ref="AO52:AQ52"/>
    <mergeCell ref="Z23:AB23"/>
    <mergeCell ref="AC23:AE23"/>
    <mergeCell ref="AF23:AH23"/>
    <mergeCell ref="AI23:AK23"/>
    <mergeCell ref="AL23:AN23"/>
    <mergeCell ref="AO23:AQ23"/>
    <mergeCell ref="Z25:AB25"/>
    <mergeCell ref="AC25:AE25"/>
    <mergeCell ref="AF25:AH25"/>
    <mergeCell ref="AI25:AK25"/>
    <mergeCell ref="AL25:AN25"/>
    <mergeCell ref="Z28:AB28"/>
    <mergeCell ref="AC28:AE28"/>
    <mergeCell ref="AF28:AH28"/>
    <mergeCell ref="AI28:AK28"/>
    <mergeCell ref="AL28:AN28"/>
    <mergeCell ref="AO28:AQ28"/>
    <mergeCell ref="AL27:AN27"/>
    <mergeCell ref="A52:C52"/>
    <mergeCell ref="D52:T52"/>
    <mergeCell ref="U52:Y52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D51:T51"/>
    <mergeCell ref="AR52:BJ52"/>
    <mergeCell ref="AR32:BJ32"/>
    <mergeCell ref="AL45:AN45"/>
    <mergeCell ref="AO45:AQ45"/>
    <mergeCell ref="AL32:AN32"/>
    <mergeCell ref="AO32:AQ32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D42:T42"/>
    <mergeCell ref="U42:Y42"/>
    <mergeCell ref="AO41:AQ41"/>
    <mergeCell ref="AR42:BJ42"/>
    <mergeCell ref="AR43:BJ43"/>
    <mergeCell ref="D43:T43"/>
    <mergeCell ref="U43:Y43"/>
    <mergeCell ref="Z43:AB43"/>
    <mergeCell ref="AC43:AE43"/>
    <mergeCell ref="AF43:AH43"/>
    <mergeCell ref="AO27:AQ27"/>
    <mergeCell ref="AR27:BJ27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28:BJ28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8:C28"/>
    <mergeCell ref="AF27:AH27"/>
    <mergeCell ref="AI43:AK43"/>
    <mergeCell ref="AL43:AN43"/>
    <mergeCell ref="AO43:AQ43"/>
    <mergeCell ref="AF42:AH42"/>
    <mergeCell ref="AI42:AK42"/>
    <mergeCell ref="AL42:AN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</mergeCells>
  <phoneticPr fontId="1"/>
  <dataValidations count="6">
    <dataValidation type="list" allowBlank="1" showInputMessage="1" showErrorMessage="1" sqref="AZ16 AZ8 BI16 BC9 AC19:AH53 BC7 BI7:BI9 AL19:AQ5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A499ED7D-5681-47A3-9752-8D77F38D2CD3}">
      <formula1>"昇順, 降順"</formula1>
    </dataValidation>
    <dataValidation type="list" allowBlank="1" showInputMessage="1" sqref="AT9:AX9 AS9:AS10 AS7:AX7" xr:uid="{A4A5D17A-191E-4DA0-8EE2-C6F28460E571}">
      <formula1>"utf-8,Shift jis"</formula1>
    </dataValidation>
    <dataValidation type="list" allowBlank="1" showInputMessage="1" sqref="AS12:BJ15" xr:uid="{0ECEEEFF-E578-4CBC-ADE7-0B89E1651479}">
      <formula1>"昇順,降順"</formula1>
    </dataValidation>
    <dataValidation type="list" allowBlank="1" showInputMessage="1" showErrorMessage="1" sqref="AI19:AK53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5"/>
  <sheetViews>
    <sheetView tabSelected="1"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140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139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98" t="s">
        <v>12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211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13</v>
      </c>
      <c r="AC6" s="99"/>
      <c r="AD6" s="99"/>
      <c r="AE6" s="99"/>
      <c r="AF6" s="99"/>
      <c r="AG6" s="99"/>
      <c r="AH6" s="99"/>
      <c r="AI6" s="99"/>
      <c r="AJ6" s="100"/>
      <c r="AK6" s="98" t="s">
        <v>35</v>
      </c>
      <c r="AL6" s="99"/>
      <c r="AM6" s="99"/>
      <c r="AN6" s="100"/>
      <c r="AO6" s="98" t="s">
        <v>15</v>
      </c>
      <c r="AP6" s="99"/>
      <c r="AQ6" s="99"/>
      <c r="AR6" s="99"/>
      <c r="AS6" s="99"/>
      <c r="AT6" s="99"/>
      <c r="AU6" s="99"/>
      <c r="AV6" s="99"/>
      <c r="AW6" s="100"/>
      <c r="AX6" s="98" t="s">
        <v>14</v>
      </c>
      <c r="AY6" s="99"/>
      <c r="AZ6" s="99"/>
      <c r="BA6" s="100"/>
      <c r="BB6" s="108" t="s">
        <v>16</v>
      </c>
      <c r="BC6" s="108"/>
      <c r="BD6" s="108"/>
      <c r="BE6" s="108"/>
      <c r="BF6" s="108">
        <v>35</v>
      </c>
      <c r="BG6" s="108"/>
      <c r="BH6" s="108"/>
      <c r="BI6" s="108"/>
      <c r="BJ6" s="108"/>
    </row>
    <row r="7" spans="1:62" s="14" customFormat="1" ht="20.25" customHeight="1">
      <c r="A7" s="98" t="s">
        <v>17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210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129</v>
      </c>
      <c r="AL7" s="99"/>
      <c r="AM7" s="99"/>
      <c r="AN7" s="99"/>
      <c r="AO7" s="99"/>
      <c r="AP7" s="99"/>
      <c r="AQ7" s="99"/>
      <c r="AR7" s="100"/>
      <c r="AS7" s="98" t="s">
        <v>141</v>
      </c>
      <c r="AT7" s="99"/>
      <c r="AU7" s="99"/>
      <c r="AV7" s="99"/>
      <c r="AW7" s="99"/>
      <c r="AX7" s="100"/>
      <c r="AY7" s="30" t="s">
        <v>18</v>
      </c>
      <c r="AZ7" s="31"/>
      <c r="BA7" s="31"/>
      <c r="BB7" s="31"/>
      <c r="BC7" s="98"/>
      <c r="BD7" s="100"/>
      <c r="BE7" s="98" t="s">
        <v>20</v>
      </c>
      <c r="BF7" s="99"/>
      <c r="BG7" s="99"/>
      <c r="BH7" s="100"/>
      <c r="BI7" s="98" t="s">
        <v>19</v>
      </c>
      <c r="BJ7" s="100"/>
    </row>
    <row r="8" spans="1:62" s="4" customFormat="1">
      <c r="B8" s="29" t="s">
        <v>21</v>
      </c>
      <c r="G8" s="5"/>
    </row>
    <row r="9" spans="1:62" s="14" customFormat="1" ht="42" customHeight="1">
      <c r="A9" s="98" t="s">
        <v>22</v>
      </c>
      <c r="B9" s="99"/>
      <c r="C9" s="100"/>
      <c r="D9" s="98" t="s">
        <v>36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0"/>
      <c r="U9" s="101" t="s">
        <v>24</v>
      </c>
      <c r="V9" s="102"/>
      <c r="W9" s="102"/>
      <c r="X9" s="102"/>
      <c r="Y9" s="103"/>
      <c r="Z9" s="101" t="s">
        <v>25</v>
      </c>
      <c r="AA9" s="102"/>
      <c r="AB9" s="103"/>
      <c r="AC9" s="98" t="s">
        <v>37</v>
      </c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00"/>
    </row>
    <row r="10" spans="1:62" s="13" customFormat="1" ht="30" customHeight="1">
      <c r="A10" s="60">
        <v>1</v>
      </c>
      <c r="B10" s="60"/>
      <c r="C10" s="60"/>
      <c r="D10" s="61" t="s">
        <v>226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4" t="s">
        <v>227</v>
      </c>
      <c r="V10" s="65"/>
      <c r="W10" s="65"/>
      <c r="X10" s="65"/>
      <c r="Y10" s="66"/>
      <c r="Z10" s="64">
        <v>21</v>
      </c>
      <c r="AA10" s="65"/>
      <c r="AB10" s="66"/>
      <c r="AC10" s="61" t="s">
        <v>229</v>
      </c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3"/>
    </row>
    <row r="11" spans="1:62" s="13" customFormat="1" ht="30" customHeight="1">
      <c r="A11" s="70">
        <f>ROW()-9</f>
        <v>2</v>
      </c>
      <c r="B11" s="71"/>
      <c r="C11" s="72"/>
      <c r="D11" s="80" t="s">
        <v>86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2"/>
      <c r="U11" s="70" t="s">
        <v>32</v>
      </c>
      <c r="V11" s="71"/>
      <c r="W11" s="71"/>
      <c r="X11" s="71"/>
      <c r="Y11" s="72"/>
      <c r="Z11" s="104">
        <v>1</v>
      </c>
      <c r="AA11" s="104"/>
      <c r="AB11" s="104"/>
      <c r="AC11" s="80">
        <v>1</v>
      </c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2"/>
    </row>
    <row r="12" spans="1:62" s="13" customFormat="1" ht="30" customHeight="1">
      <c r="A12" s="67">
        <f>ROW()-9</f>
        <v>3</v>
      </c>
      <c r="B12" s="68"/>
      <c r="C12" s="69"/>
      <c r="D12" s="74" t="s">
        <v>87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6"/>
      <c r="U12" s="67" t="s">
        <v>51</v>
      </c>
      <c r="V12" s="68"/>
      <c r="W12" s="68"/>
      <c r="X12" s="68"/>
      <c r="Y12" s="69"/>
      <c r="Z12" s="73">
        <v>4</v>
      </c>
      <c r="AA12" s="73"/>
      <c r="AB12" s="73"/>
      <c r="AC12" s="74" t="s">
        <v>121</v>
      </c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6"/>
    </row>
    <row r="13" spans="1:62" s="13" customFormat="1" ht="30" customHeight="1">
      <c r="A13" s="67">
        <f t="shared" ref="A13:A44" si="0">ROW()-9</f>
        <v>4</v>
      </c>
      <c r="B13" s="68"/>
      <c r="C13" s="69"/>
      <c r="D13" s="80" t="s">
        <v>88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67" t="s">
        <v>32</v>
      </c>
      <c r="V13" s="68"/>
      <c r="W13" s="68"/>
      <c r="X13" s="68"/>
      <c r="Y13" s="69"/>
      <c r="Z13" s="73">
        <v>2</v>
      </c>
      <c r="AA13" s="73"/>
      <c r="AB13" s="73"/>
      <c r="AC13" s="124">
        <v>90</v>
      </c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6"/>
    </row>
    <row r="14" spans="1:62" s="13" customFormat="1" ht="30" customHeight="1">
      <c r="A14" s="67">
        <f t="shared" si="0"/>
        <v>5</v>
      </c>
      <c r="B14" s="68"/>
      <c r="C14" s="69"/>
      <c r="D14" s="80" t="s">
        <v>89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67" t="s">
        <v>51</v>
      </c>
      <c r="V14" s="68"/>
      <c r="W14" s="68"/>
      <c r="X14" s="68"/>
      <c r="Y14" s="69"/>
      <c r="Z14" s="73">
        <v>10</v>
      </c>
      <c r="AA14" s="73"/>
      <c r="AB14" s="73"/>
      <c r="AC14" s="74" t="s">
        <v>114</v>
      </c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6"/>
    </row>
    <row r="15" spans="1:62" s="13" customFormat="1" ht="30" customHeight="1">
      <c r="A15" s="67">
        <f t="shared" si="0"/>
        <v>6</v>
      </c>
      <c r="B15" s="68"/>
      <c r="C15" s="69"/>
      <c r="D15" s="80" t="s">
        <v>90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70" t="s">
        <v>32</v>
      </c>
      <c r="V15" s="71"/>
      <c r="W15" s="71"/>
      <c r="X15" s="71"/>
      <c r="Y15" s="72"/>
      <c r="Z15" s="73">
        <v>4</v>
      </c>
      <c r="AA15" s="73"/>
      <c r="AB15" s="73"/>
      <c r="AC15" s="74">
        <v>4120</v>
      </c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13" customFormat="1" ht="30" customHeight="1">
      <c r="A16" s="67">
        <f t="shared" si="0"/>
        <v>7</v>
      </c>
      <c r="B16" s="68"/>
      <c r="C16" s="69"/>
      <c r="D16" s="80" t="s">
        <v>91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2"/>
      <c r="U16" s="67" t="s">
        <v>51</v>
      </c>
      <c r="V16" s="68"/>
      <c r="W16" s="68"/>
      <c r="X16" s="68"/>
      <c r="Y16" s="69"/>
      <c r="Z16" s="73">
        <v>10</v>
      </c>
      <c r="AA16" s="73"/>
      <c r="AB16" s="73"/>
      <c r="AC16" s="127" t="s">
        <v>115</v>
      </c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9"/>
    </row>
    <row r="17" spans="1:62" s="13" customFormat="1" ht="30" customHeight="1">
      <c r="A17" s="67">
        <f t="shared" si="0"/>
        <v>8</v>
      </c>
      <c r="B17" s="68"/>
      <c r="C17" s="69"/>
      <c r="D17" s="74" t="s">
        <v>50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67" t="s">
        <v>142</v>
      </c>
      <c r="V17" s="68"/>
      <c r="W17" s="68"/>
      <c r="X17" s="68"/>
      <c r="Y17" s="69"/>
      <c r="Z17" s="73">
        <v>8</v>
      </c>
      <c r="AA17" s="73"/>
      <c r="AB17" s="73"/>
      <c r="AC17" s="74">
        <v>20250430</v>
      </c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6"/>
    </row>
    <row r="18" spans="1:62" s="13" customFormat="1" ht="30" customHeight="1">
      <c r="A18" s="67">
        <f t="shared" si="0"/>
        <v>9</v>
      </c>
      <c r="B18" s="68"/>
      <c r="C18" s="69"/>
      <c r="D18" s="80" t="s">
        <v>93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2"/>
      <c r="U18" s="70" t="s">
        <v>32</v>
      </c>
      <c r="V18" s="71"/>
      <c r="W18" s="71"/>
      <c r="X18" s="71"/>
      <c r="Y18" s="72"/>
      <c r="Z18" s="73">
        <v>1</v>
      </c>
      <c r="AA18" s="73"/>
      <c r="AB18" s="73"/>
      <c r="AC18" s="74">
        <v>2</v>
      </c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6"/>
    </row>
    <row r="19" spans="1:62" s="13" customFormat="1" ht="30" customHeight="1">
      <c r="A19" s="67">
        <f t="shared" si="0"/>
        <v>10</v>
      </c>
      <c r="B19" s="68"/>
      <c r="C19" s="69"/>
      <c r="D19" s="80" t="s">
        <v>92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67" t="s">
        <v>51</v>
      </c>
      <c r="V19" s="68"/>
      <c r="W19" s="68"/>
      <c r="X19" s="68"/>
      <c r="Y19" s="69"/>
      <c r="Z19" s="73">
        <v>6</v>
      </c>
      <c r="AA19" s="73"/>
      <c r="AB19" s="73"/>
      <c r="AC19" s="124" t="s">
        <v>116</v>
      </c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6"/>
    </row>
    <row r="20" spans="1:62" s="13" customFormat="1" ht="30" customHeight="1">
      <c r="A20" s="67">
        <f t="shared" si="0"/>
        <v>11</v>
      </c>
      <c r="B20" s="68"/>
      <c r="C20" s="69"/>
      <c r="D20" s="80" t="s">
        <v>94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70" t="s">
        <v>32</v>
      </c>
      <c r="V20" s="71"/>
      <c r="W20" s="71"/>
      <c r="X20" s="71"/>
      <c r="Y20" s="72"/>
      <c r="Z20" s="73">
        <v>8</v>
      </c>
      <c r="AA20" s="73"/>
      <c r="AB20" s="73"/>
      <c r="AC20" s="124">
        <v>11010100</v>
      </c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6"/>
    </row>
    <row r="21" spans="1:62" s="13" customFormat="1" ht="30" customHeight="1">
      <c r="A21" s="67">
        <f t="shared" si="0"/>
        <v>12</v>
      </c>
      <c r="B21" s="68"/>
      <c r="C21" s="69"/>
      <c r="D21" s="80" t="s">
        <v>95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2"/>
      <c r="U21" s="67" t="s">
        <v>51</v>
      </c>
      <c r="V21" s="68"/>
      <c r="W21" s="68"/>
      <c r="X21" s="68"/>
      <c r="Y21" s="69"/>
      <c r="Z21" s="73">
        <v>19</v>
      </c>
      <c r="AA21" s="73"/>
      <c r="AB21" s="73"/>
      <c r="AC21" s="124" t="s">
        <v>117</v>
      </c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6"/>
    </row>
    <row r="22" spans="1:62" s="13" customFormat="1" ht="30" customHeight="1">
      <c r="A22" s="67">
        <f t="shared" si="0"/>
        <v>13</v>
      </c>
      <c r="B22" s="68"/>
      <c r="C22" s="69"/>
      <c r="D22" s="74" t="s">
        <v>96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67" t="s">
        <v>32</v>
      </c>
      <c r="V22" s="68"/>
      <c r="W22" s="68"/>
      <c r="X22" s="68"/>
      <c r="Y22" s="69"/>
      <c r="Z22" s="73">
        <v>4</v>
      </c>
      <c r="AA22" s="73"/>
      <c r="AB22" s="73"/>
      <c r="AC22" s="127" t="s">
        <v>63</v>
      </c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9"/>
    </row>
    <row r="23" spans="1:62" s="13" customFormat="1" ht="30" customHeight="1">
      <c r="A23" s="67">
        <f t="shared" si="0"/>
        <v>14</v>
      </c>
      <c r="B23" s="68"/>
      <c r="C23" s="69"/>
      <c r="D23" s="74" t="s">
        <v>97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67" t="s">
        <v>51</v>
      </c>
      <c r="V23" s="68"/>
      <c r="W23" s="68"/>
      <c r="X23" s="68"/>
      <c r="Y23" s="69"/>
      <c r="Z23" s="73">
        <v>10</v>
      </c>
      <c r="AA23" s="73"/>
      <c r="AB23" s="73"/>
      <c r="AC23" s="127" t="s">
        <v>118</v>
      </c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9"/>
    </row>
    <row r="24" spans="1:62" s="13" customFormat="1" ht="30" customHeight="1">
      <c r="A24" s="67">
        <f t="shared" si="0"/>
        <v>15</v>
      </c>
      <c r="B24" s="68"/>
      <c r="C24" s="69"/>
      <c r="D24" s="74" t="s">
        <v>52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67" t="s">
        <v>32</v>
      </c>
      <c r="V24" s="68"/>
      <c r="W24" s="68"/>
      <c r="X24" s="68"/>
      <c r="Y24" s="69"/>
      <c r="Z24" s="73">
        <v>4</v>
      </c>
      <c r="AA24" s="73"/>
      <c r="AB24" s="73"/>
      <c r="AC24" s="74">
        <v>1000</v>
      </c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6"/>
    </row>
    <row r="25" spans="1:62" s="13" customFormat="1" ht="30" customHeight="1">
      <c r="A25" s="67">
        <f t="shared" si="0"/>
        <v>16</v>
      </c>
      <c r="B25" s="68"/>
      <c r="C25" s="69"/>
      <c r="D25" s="74" t="s">
        <v>53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67" t="s">
        <v>51</v>
      </c>
      <c r="V25" s="68"/>
      <c r="W25" s="68"/>
      <c r="X25" s="68"/>
      <c r="Y25" s="69"/>
      <c r="Z25" s="73">
        <v>20</v>
      </c>
      <c r="AA25" s="73"/>
      <c r="AB25" s="73"/>
      <c r="AC25" s="124" t="s">
        <v>64</v>
      </c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6"/>
    </row>
    <row r="26" spans="1:62" s="13" customFormat="1" ht="30" customHeight="1">
      <c r="A26" s="67">
        <f t="shared" si="0"/>
        <v>17</v>
      </c>
      <c r="B26" s="68"/>
      <c r="C26" s="69"/>
      <c r="D26" s="74" t="s">
        <v>54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6"/>
      <c r="U26" s="67" t="s">
        <v>32</v>
      </c>
      <c r="V26" s="68"/>
      <c r="W26" s="68"/>
      <c r="X26" s="68"/>
      <c r="Y26" s="69"/>
      <c r="Z26" s="73">
        <v>14</v>
      </c>
      <c r="AA26" s="73"/>
      <c r="AB26" s="73"/>
      <c r="AC26" s="124" t="s">
        <v>65</v>
      </c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6"/>
    </row>
    <row r="27" spans="1:62" s="13" customFormat="1" ht="30" customHeight="1">
      <c r="A27" s="67">
        <f t="shared" si="0"/>
        <v>18</v>
      </c>
      <c r="B27" s="68"/>
      <c r="C27" s="69"/>
      <c r="D27" s="74" t="s">
        <v>98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6"/>
      <c r="U27" s="67" t="s">
        <v>32</v>
      </c>
      <c r="V27" s="68"/>
      <c r="W27" s="68"/>
      <c r="X27" s="68"/>
      <c r="Y27" s="69"/>
      <c r="Z27" s="73">
        <v>9</v>
      </c>
      <c r="AA27" s="73"/>
      <c r="AB27" s="73"/>
      <c r="AC27" s="124" t="s">
        <v>165</v>
      </c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6"/>
    </row>
    <row r="28" spans="1:62" s="13" customFormat="1" ht="30" customHeight="1">
      <c r="A28" s="67">
        <f t="shared" si="0"/>
        <v>19</v>
      </c>
      <c r="B28" s="68"/>
      <c r="C28" s="69"/>
      <c r="D28" s="74" t="s">
        <v>99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6"/>
      <c r="U28" s="67" t="s">
        <v>51</v>
      </c>
      <c r="V28" s="68"/>
      <c r="W28" s="68"/>
      <c r="X28" s="68"/>
      <c r="Y28" s="69"/>
      <c r="Z28" s="73">
        <v>10</v>
      </c>
      <c r="AA28" s="73"/>
      <c r="AB28" s="73"/>
      <c r="AC28" s="124" t="s">
        <v>66</v>
      </c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6"/>
    </row>
    <row r="29" spans="1:62" s="13" customFormat="1" ht="30" customHeight="1">
      <c r="A29" s="67">
        <f t="shared" si="0"/>
        <v>20</v>
      </c>
      <c r="B29" s="68"/>
      <c r="C29" s="69"/>
      <c r="D29" s="74" t="s">
        <v>158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67" t="s">
        <v>32</v>
      </c>
      <c r="V29" s="68"/>
      <c r="W29" s="68"/>
      <c r="X29" s="68"/>
      <c r="Y29" s="69"/>
      <c r="Z29" s="73">
        <v>14</v>
      </c>
      <c r="AA29" s="73"/>
      <c r="AB29" s="73"/>
      <c r="AC29" s="124" t="s">
        <v>65</v>
      </c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6"/>
    </row>
    <row r="30" spans="1:62" s="13" customFormat="1" ht="30" customHeight="1">
      <c r="A30" s="67">
        <f t="shared" si="0"/>
        <v>21</v>
      </c>
      <c r="B30" s="68"/>
      <c r="C30" s="69"/>
      <c r="D30" s="74" t="s">
        <v>160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6"/>
      <c r="U30" s="67" t="s">
        <v>32</v>
      </c>
      <c r="V30" s="68"/>
      <c r="W30" s="68"/>
      <c r="X30" s="68"/>
      <c r="Y30" s="69"/>
      <c r="Z30" s="73">
        <v>14</v>
      </c>
      <c r="AA30" s="73"/>
      <c r="AB30" s="73"/>
      <c r="AC30" s="124" t="s">
        <v>65</v>
      </c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6"/>
    </row>
    <row r="31" spans="1:62" s="13" customFormat="1" ht="30" customHeight="1">
      <c r="A31" s="67">
        <f t="shared" si="0"/>
        <v>22</v>
      </c>
      <c r="B31" s="68"/>
      <c r="C31" s="69"/>
      <c r="D31" s="74" t="s">
        <v>100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67" t="s">
        <v>32</v>
      </c>
      <c r="V31" s="68"/>
      <c r="W31" s="68"/>
      <c r="X31" s="68"/>
      <c r="Y31" s="69"/>
      <c r="Z31" s="73">
        <v>2</v>
      </c>
      <c r="AA31" s="73"/>
      <c r="AB31" s="73"/>
      <c r="AC31" s="124">
        <v>11</v>
      </c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6"/>
    </row>
    <row r="32" spans="1:62" s="13" customFormat="1" ht="30" customHeight="1">
      <c r="A32" s="67">
        <f t="shared" si="0"/>
        <v>23</v>
      </c>
      <c r="B32" s="68"/>
      <c r="C32" s="69"/>
      <c r="D32" s="74" t="s">
        <v>101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67" t="s">
        <v>51</v>
      </c>
      <c r="V32" s="68"/>
      <c r="W32" s="68"/>
      <c r="X32" s="68"/>
      <c r="Y32" s="69"/>
      <c r="Z32" s="73">
        <v>12</v>
      </c>
      <c r="AA32" s="73"/>
      <c r="AB32" s="73"/>
      <c r="AC32" s="74" t="s">
        <v>119</v>
      </c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6"/>
    </row>
    <row r="33" spans="1:62" s="13" customFormat="1" ht="30" customHeight="1">
      <c r="A33" s="67">
        <f t="shared" si="0"/>
        <v>24</v>
      </c>
      <c r="B33" s="68"/>
      <c r="C33" s="69"/>
      <c r="D33" s="74" t="s">
        <v>102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67" t="s">
        <v>51</v>
      </c>
      <c r="V33" s="68"/>
      <c r="W33" s="68"/>
      <c r="X33" s="68"/>
      <c r="Y33" s="69"/>
      <c r="Z33" s="73">
        <v>2</v>
      </c>
      <c r="AA33" s="73"/>
      <c r="AB33" s="73"/>
      <c r="AC33" s="74">
        <v>1</v>
      </c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6"/>
    </row>
    <row r="34" spans="1:62" s="13" customFormat="1" ht="30" customHeight="1">
      <c r="A34" s="67">
        <f t="shared" si="0"/>
        <v>25</v>
      </c>
      <c r="B34" s="68"/>
      <c r="C34" s="69"/>
      <c r="D34" s="74" t="s">
        <v>103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67" t="s">
        <v>51</v>
      </c>
      <c r="V34" s="68"/>
      <c r="W34" s="68"/>
      <c r="X34" s="68"/>
      <c r="Y34" s="69"/>
      <c r="Z34" s="73">
        <v>3</v>
      </c>
      <c r="AA34" s="73"/>
      <c r="AB34" s="73"/>
      <c r="AC34" s="74" t="s">
        <v>120</v>
      </c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6"/>
    </row>
    <row r="35" spans="1:62" s="13" customFormat="1" ht="30" customHeight="1">
      <c r="A35" s="67">
        <f t="shared" si="0"/>
        <v>26</v>
      </c>
      <c r="B35" s="68"/>
      <c r="C35" s="69"/>
      <c r="D35" s="74" t="s">
        <v>55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67" t="s">
        <v>32</v>
      </c>
      <c r="V35" s="68"/>
      <c r="W35" s="68"/>
      <c r="X35" s="68"/>
      <c r="Y35" s="69"/>
      <c r="Z35" s="73">
        <v>14</v>
      </c>
      <c r="AA35" s="73"/>
      <c r="AB35" s="73"/>
      <c r="AC35" s="124" t="s">
        <v>65</v>
      </c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6"/>
    </row>
    <row r="36" spans="1:62" s="13" customFormat="1" ht="30" customHeight="1">
      <c r="A36" s="67">
        <f t="shared" si="0"/>
        <v>27</v>
      </c>
      <c r="B36" s="68"/>
      <c r="C36" s="69"/>
      <c r="D36" s="74" t="s">
        <v>56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67" t="s">
        <v>32</v>
      </c>
      <c r="V36" s="68"/>
      <c r="W36" s="68"/>
      <c r="X36" s="68"/>
      <c r="Y36" s="69"/>
      <c r="Z36" s="73">
        <v>14</v>
      </c>
      <c r="AA36" s="73"/>
      <c r="AB36" s="73"/>
      <c r="AC36" s="124" t="s">
        <v>65</v>
      </c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6"/>
    </row>
    <row r="37" spans="1:62" s="13" customFormat="1" ht="30" customHeight="1">
      <c r="A37" s="67">
        <f t="shared" si="0"/>
        <v>28</v>
      </c>
      <c r="B37" s="68"/>
      <c r="C37" s="69"/>
      <c r="D37" s="74" t="s">
        <v>57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6"/>
      <c r="U37" s="67" t="s">
        <v>32</v>
      </c>
      <c r="V37" s="68"/>
      <c r="W37" s="68"/>
      <c r="X37" s="68"/>
      <c r="Y37" s="69"/>
      <c r="Z37" s="73">
        <v>14</v>
      </c>
      <c r="AA37" s="73"/>
      <c r="AB37" s="73"/>
      <c r="AC37" s="124" t="s">
        <v>65</v>
      </c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6"/>
    </row>
    <row r="38" spans="1:62" s="13" customFormat="1" ht="30" customHeight="1">
      <c r="A38" s="67">
        <f t="shared" si="0"/>
        <v>29</v>
      </c>
      <c r="B38" s="68"/>
      <c r="C38" s="69"/>
      <c r="D38" s="74" t="s">
        <v>58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67" t="s">
        <v>142</v>
      </c>
      <c r="V38" s="68"/>
      <c r="W38" s="68"/>
      <c r="X38" s="68"/>
      <c r="Y38" s="69"/>
      <c r="Z38" s="73">
        <v>8</v>
      </c>
      <c r="AA38" s="73"/>
      <c r="AB38" s="73"/>
      <c r="AC38" s="74">
        <v>20250314</v>
      </c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6"/>
    </row>
    <row r="39" spans="1:62" s="13" customFormat="1" ht="30" customHeight="1">
      <c r="A39" s="67">
        <f t="shared" si="0"/>
        <v>30</v>
      </c>
      <c r="B39" s="68"/>
      <c r="C39" s="69"/>
      <c r="D39" s="74" t="s">
        <v>75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67" t="s">
        <v>51</v>
      </c>
      <c r="V39" s="68"/>
      <c r="W39" s="68"/>
      <c r="X39" s="68"/>
      <c r="Y39" s="69"/>
      <c r="Z39" s="73">
        <v>10</v>
      </c>
      <c r="AA39" s="73"/>
      <c r="AB39" s="73"/>
      <c r="AC39" s="74" t="s">
        <v>85</v>
      </c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6"/>
    </row>
    <row r="40" spans="1:62" s="13" customFormat="1" ht="30" customHeight="1">
      <c r="A40" s="67">
        <f t="shared" si="0"/>
        <v>31</v>
      </c>
      <c r="B40" s="68"/>
      <c r="C40" s="69"/>
      <c r="D40" s="74" t="s">
        <v>76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6"/>
      <c r="U40" s="67" t="s">
        <v>32</v>
      </c>
      <c r="V40" s="68"/>
      <c r="W40" s="68"/>
      <c r="X40" s="68"/>
      <c r="Y40" s="69"/>
      <c r="Z40" s="73" t="s">
        <v>224</v>
      </c>
      <c r="AA40" s="73"/>
      <c r="AB40" s="73"/>
      <c r="AC40" s="74">
        <v>15000</v>
      </c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6"/>
    </row>
    <row r="41" spans="1:62" s="13" customFormat="1" ht="30" customHeight="1">
      <c r="A41" s="67">
        <f t="shared" si="0"/>
        <v>32</v>
      </c>
      <c r="B41" s="68"/>
      <c r="C41" s="69"/>
      <c r="D41" s="74" t="s">
        <v>77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67" t="s">
        <v>32</v>
      </c>
      <c r="V41" s="68"/>
      <c r="W41" s="68"/>
      <c r="X41" s="68"/>
      <c r="Y41" s="69"/>
      <c r="Z41" s="73" t="s">
        <v>224</v>
      </c>
      <c r="AA41" s="73"/>
      <c r="AB41" s="73"/>
      <c r="AC41" s="74">
        <v>2</v>
      </c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6"/>
    </row>
    <row r="42" spans="1:62" s="13" customFormat="1" ht="30" customHeight="1">
      <c r="A42" s="67">
        <f t="shared" si="0"/>
        <v>33</v>
      </c>
      <c r="B42" s="68"/>
      <c r="C42" s="69"/>
      <c r="D42" s="74" t="s">
        <v>78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67" t="s">
        <v>32</v>
      </c>
      <c r="V42" s="68"/>
      <c r="W42" s="68"/>
      <c r="X42" s="68"/>
      <c r="Y42" s="69"/>
      <c r="Z42" s="73">
        <v>14</v>
      </c>
      <c r="AA42" s="73"/>
      <c r="AB42" s="73"/>
      <c r="AC42" s="74">
        <v>30000</v>
      </c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6"/>
    </row>
    <row r="43" spans="1:62" s="13" customFormat="1" ht="30" customHeight="1">
      <c r="A43" s="67">
        <f t="shared" si="0"/>
        <v>34</v>
      </c>
      <c r="B43" s="68"/>
      <c r="C43" s="69"/>
      <c r="D43" s="74" t="s">
        <v>79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67" t="s">
        <v>142</v>
      </c>
      <c r="V43" s="68"/>
      <c r="W43" s="68"/>
      <c r="X43" s="68"/>
      <c r="Y43" s="69"/>
      <c r="Z43" s="73">
        <v>8</v>
      </c>
      <c r="AA43" s="73"/>
      <c r="AB43" s="73"/>
      <c r="AC43" s="74">
        <v>20031105</v>
      </c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6"/>
    </row>
    <row r="44" spans="1:62" s="13" customFormat="1" ht="30" customHeight="1">
      <c r="A44" s="90">
        <f t="shared" si="0"/>
        <v>35</v>
      </c>
      <c r="B44" s="91"/>
      <c r="C44" s="92"/>
      <c r="D44" s="121" t="s">
        <v>148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3"/>
      <c r="U44" s="110" t="s">
        <v>51</v>
      </c>
      <c r="V44" s="111"/>
      <c r="W44" s="111"/>
      <c r="X44" s="111"/>
      <c r="Y44" s="112"/>
      <c r="Z44" s="73">
        <v>20</v>
      </c>
      <c r="AA44" s="73"/>
      <c r="AB44" s="73"/>
      <c r="AC44" s="87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9"/>
    </row>
    <row r="45" spans="1:62" ht="6.65" customHeight="1"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/>
      <c r="V45" s="131"/>
      <c r="W45" s="131"/>
      <c r="X45" s="131"/>
      <c r="Y45" s="131"/>
      <c r="Z45" s="131"/>
      <c r="AA45" s="131"/>
      <c r="AB45" s="131"/>
    </row>
  </sheetData>
  <mergeCells count="209">
    <mergeCell ref="Z34:AB34"/>
    <mergeCell ref="AC34:BJ34"/>
    <mergeCell ref="Z32:AB32"/>
    <mergeCell ref="AC32:BJ32"/>
    <mergeCell ref="A33:C33"/>
    <mergeCell ref="A29:C29"/>
    <mergeCell ref="D29:T29"/>
    <mergeCell ref="U29:Y29"/>
    <mergeCell ref="Z29:AB29"/>
    <mergeCell ref="AC29:BJ29"/>
    <mergeCell ref="A30:C30"/>
    <mergeCell ref="D30:T30"/>
    <mergeCell ref="U30:Y30"/>
    <mergeCell ref="Z30:AB30"/>
    <mergeCell ref="AC30:BJ30"/>
    <mergeCell ref="D33:T33"/>
    <mergeCell ref="U33:Y33"/>
    <mergeCell ref="Z33:AB33"/>
    <mergeCell ref="AC33:BJ33"/>
    <mergeCell ref="A27:C27"/>
    <mergeCell ref="D45:T45"/>
    <mergeCell ref="U45:Y45"/>
    <mergeCell ref="Z45:AB45"/>
    <mergeCell ref="AC27:BJ27"/>
    <mergeCell ref="A28:C28"/>
    <mergeCell ref="D28:T28"/>
    <mergeCell ref="U28:Y28"/>
    <mergeCell ref="Z28:AB28"/>
    <mergeCell ref="AC28:BJ28"/>
    <mergeCell ref="D27:T27"/>
    <mergeCell ref="U27:Y27"/>
    <mergeCell ref="Z27:AB27"/>
    <mergeCell ref="A31:C31"/>
    <mergeCell ref="D31:T31"/>
    <mergeCell ref="U31:Y31"/>
    <mergeCell ref="Z31:AB31"/>
    <mergeCell ref="AC31:BJ31"/>
    <mergeCell ref="A32:C32"/>
    <mergeCell ref="D32:T32"/>
    <mergeCell ref="U32:Y32"/>
    <mergeCell ref="A34:C34"/>
    <mergeCell ref="D34:T34"/>
    <mergeCell ref="U34:Y34"/>
    <mergeCell ref="AC17:BJ17"/>
    <mergeCell ref="AC13:BJ13"/>
    <mergeCell ref="D23:T23"/>
    <mergeCell ref="Z19:AB19"/>
    <mergeCell ref="Z17:AB17"/>
    <mergeCell ref="AC19:BJ19"/>
    <mergeCell ref="AC20:BJ20"/>
    <mergeCell ref="AC21:BJ21"/>
    <mergeCell ref="AC22:BJ22"/>
    <mergeCell ref="AC14:BJ14"/>
    <mergeCell ref="AC15:BJ15"/>
    <mergeCell ref="AC16:BJ16"/>
    <mergeCell ref="AC18:BJ18"/>
    <mergeCell ref="D22:T22"/>
    <mergeCell ref="D16:T16"/>
    <mergeCell ref="D18:T18"/>
    <mergeCell ref="AC23:BJ23"/>
    <mergeCell ref="D13:T13"/>
    <mergeCell ref="D14:T14"/>
    <mergeCell ref="D15:T15"/>
    <mergeCell ref="U21:Y21"/>
    <mergeCell ref="Z15:AB15"/>
    <mergeCell ref="Z20:AB20"/>
    <mergeCell ref="D19:T19"/>
    <mergeCell ref="Z22:AB22"/>
    <mergeCell ref="D21:T21"/>
    <mergeCell ref="A21:C21"/>
    <mergeCell ref="U13:Y13"/>
    <mergeCell ref="Z13:AB13"/>
    <mergeCell ref="A19:C19"/>
    <mergeCell ref="U19:Y19"/>
    <mergeCell ref="A20:C20"/>
    <mergeCell ref="U20:Y20"/>
    <mergeCell ref="A2:AS2"/>
    <mergeCell ref="AT2:AX2"/>
    <mergeCell ref="AY2:BB2"/>
    <mergeCell ref="A16:C16"/>
    <mergeCell ref="U16:Y16"/>
    <mergeCell ref="Z16:AB16"/>
    <mergeCell ref="A18:C18"/>
    <mergeCell ref="U18:Y18"/>
    <mergeCell ref="Z18:AB18"/>
    <mergeCell ref="A17:C17"/>
    <mergeCell ref="U17:Y17"/>
    <mergeCell ref="A9:C9"/>
    <mergeCell ref="D9:T9"/>
    <mergeCell ref="U9:Y9"/>
    <mergeCell ref="Z9:AB9"/>
    <mergeCell ref="A11:C11"/>
    <mergeCell ref="U11:Y11"/>
    <mergeCell ref="Z11:AB11"/>
    <mergeCell ref="D11:T11"/>
    <mergeCell ref="D17:T17"/>
    <mergeCell ref="A12:C12"/>
    <mergeCell ref="D12:T12"/>
    <mergeCell ref="U12:Y12"/>
    <mergeCell ref="Z12:AB12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Z25:AB25"/>
    <mergeCell ref="BC2:BF2"/>
    <mergeCell ref="U39:Y39"/>
    <mergeCell ref="Z39:AB39"/>
    <mergeCell ref="AC39:BJ39"/>
    <mergeCell ref="A40:C40"/>
    <mergeCell ref="D40:T40"/>
    <mergeCell ref="U40:Y40"/>
    <mergeCell ref="Z40:AB40"/>
    <mergeCell ref="AC40:BJ40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7:K7"/>
    <mergeCell ref="L7:AJ7"/>
    <mergeCell ref="BG2:BJ2"/>
    <mergeCell ref="A3:H4"/>
    <mergeCell ref="U22:Y22"/>
    <mergeCell ref="A42:C42"/>
    <mergeCell ref="D42:T42"/>
    <mergeCell ref="U42:Y42"/>
    <mergeCell ref="Z42:AB42"/>
    <mergeCell ref="AC42:BJ42"/>
    <mergeCell ref="BE7:BH7"/>
    <mergeCell ref="BI7:BJ7"/>
    <mergeCell ref="A14:C14"/>
    <mergeCell ref="U14:Y14"/>
    <mergeCell ref="Z14:AB14"/>
    <mergeCell ref="A15:C15"/>
    <mergeCell ref="U15:Y15"/>
    <mergeCell ref="AC12:BJ12"/>
    <mergeCell ref="AC11:BJ11"/>
    <mergeCell ref="AC9:BJ9"/>
    <mergeCell ref="A13:C13"/>
    <mergeCell ref="AC25:BJ25"/>
    <mergeCell ref="AC26:BJ26"/>
    <mergeCell ref="A23:C23"/>
    <mergeCell ref="U23:Y23"/>
    <mergeCell ref="Z23:AB23"/>
    <mergeCell ref="A25:C25"/>
    <mergeCell ref="U25:Y25"/>
    <mergeCell ref="AC38:BJ38"/>
    <mergeCell ref="A39:C39"/>
    <mergeCell ref="D39:T39"/>
    <mergeCell ref="AK7:AR7"/>
    <mergeCell ref="AS7:AX7"/>
    <mergeCell ref="BC7:BD7"/>
    <mergeCell ref="A41:C41"/>
    <mergeCell ref="D41:T41"/>
    <mergeCell ref="U41:Y41"/>
    <mergeCell ref="Z41:AB41"/>
    <mergeCell ref="AC41:BJ41"/>
    <mergeCell ref="D25:T25"/>
    <mergeCell ref="A24:C24"/>
    <mergeCell ref="D24:T24"/>
    <mergeCell ref="U24:Y24"/>
    <mergeCell ref="Z24:AB24"/>
    <mergeCell ref="AC24:BJ24"/>
    <mergeCell ref="A26:C26"/>
    <mergeCell ref="U26:Y26"/>
    <mergeCell ref="Z26:AB26"/>
    <mergeCell ref="D26:T26"/>
    <mergeCell ref="D20:T20"/>
    <mergeCell ref="Z21:AB21"/>
    <mergeCell ref="A22:C22"/>
    <mergeCell ref="A10:C10"/>
    <mergeCell ref="D10:T10"/>
    <mergeCell ref="U10:Y10"/>
    <mergeCell ref="Z10:AB10"/>
    <mergeCell ref="AC10:BJ10"/>
    <mergeCell ref="A44:C44"/>
    <mergeCell ref="D44:T44"/>
    <mergeCell ref="U44:Y44"/>
    <mergeCell ref="Z44:AB44"/>
    <mergeCell ref="AC44:BJ44"/>
    <mergeCell ref="A43:C43"/>
    <mergeCell ref="D43:T43"/>
    <mergeCell ref="U43:Y43"/>
    <mergeCell ref="Z43:AB43"/>
    <mergeCell ref="AC43:BJ43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</mergeCells>
  <phoneticPr fontId="1"/>
  <dataValidations count="3">
    <dataValidation type="list" allowBlank="1" showInputMessage="1" showErrorMessage="1" sqref="AX6 AK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CR58"/>
  <sheetViews>
    <sheetView view="pageBreakPreview" zoomScaleNormal="100" zoomScaleSheetLayoutView="100" workbookViewId="0"/>
  </sheetViews>
  <sheetFormatPr defaultColWidth="2.08984375" defaultRowHeight="14"/>
  <cols>
    <col min="1" max="1" width="2.453125" style="6" bestFit="1" customWidth="1"/>
    <col min="2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49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38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140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139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17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210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6" t="s">
        <v>22</v>
      </c>
      <c r="B8" s="37"/>
      <c r="C8" s="38"/>
      <c r="D8" s="36" t="s">
        <v>39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147" t="s">
        <v>40</v>
      </c>
      <c r="S8" s="148"/>
      <c r="T8" s="148"/>
      <c r="U8" s="149"/>
      <c r="V8" s="147" t="s">
        <v>41</v>
      </c>
      <c r="W8" s="148"/>
      <c r="X8" s="148"/>
      <c r="Y8" s="149"/>
      <c r="Z8" s="147" t="s">
        <v>42</v>
      </c>
      <c r="AA8" s="148"/>
      <c r="AB8" s="148"/>
      <c r="AC8" s="149"/>
      <c r="AD8" s="147" t="s">
        <v>43</v>
      </c>
      <c r="AE8" s="148"/>
      <c r="AF8" s="148"/>
      <c r="AG8" s="149"/>
      <c r="AH8" s="36" t="s">
        <v>44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7" t="s">
        <v>45</v>
      </c>
      <c r="BE8" s="148"/>
      <c r="BF8" s="148"/>
      <c r="BG8" s="148"/>
      <c r="BH8" s="148"/>
      <c r="BI8" s="148"/>
      <c r="BJ8" s="149"/>
    </row>
    <row r="9" spans="1:63" s="11" customFormat="1" ht="60.65" customHeight="1">
      <c r="A9" s="70">
        <f t="shared" ref="A9:A10" si="0">ROW()-8</f>
        <v>1</v>
      </c>
      <c r="B9" s="71"/>
      <c r="C9" s="72"/>
      <c r="D9" s="132" t="s">
        <v>226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4"/>
      <c r="R9" s="135" t="s">
        <v>138</v>
      </c>
      <c r="S9" s="136"/>
      <c r="T9" s="136"/>
      <c r="U9" s="137"/>
      <c r="V9" s="135"/>
      <c r="W9" s="136"/>
      <c r="X9" s="136"/>
      <c r="Y9" s="137"/>
      <c r="Z9" s="135"/>
      <c r="AA9" s="136"/>
      <c r="AB9" s="136"/>
      <c r="AC9" s="137"/>
      <c r="AD9" s="135"/>
      <c r="AE9" s="136"/>
      <c r="AF9" s="136"/>
      <c r="AG9" s="137"/>
      <c r="AH9" s="132" t="s">
        <v>230</v>
      </c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4"/>
      <c r="BD9" s="135"/>
      <c r="BE9" s="136"/>
      <c r="BF9" s="136"/>
      <c r="BG9" s="136"/>
      <c r="BH9" s="136"/>
      <c r="BI9" s="136"/>
      <c r="BJ9" s="137"/>
      <c r="BK9" s="35"/>
    </row>
    <row r="10" spans="1:63" ht="60.65" customHeight="1">
      <c r="A10" s="70">
        <f t="shared" si="0"/>
        <v>2</v>
      </c>
      <c r="B10" s="71"/>
      <c r="C10" s="72"/>
      <c r="D10" s="138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41"/>
      <c r="S10" s="142"/>
      <c r="T10" s="142"/>
      <c r="U10" s="143"/>
      <c r="V10" s="141"/>
      <c r="W10" s="142"/>
      <c r="X10" s="142"/>
      <c r="Y10" s="143"/>
      <c r="Z10" s="141" t="s">
        <v>138</v>
      </c>
      <c r="AA10" s="142"/>
      <c r="AB10" s="142"/>
      <c r="AC10" s="143"/>
      <c r="AD10" s="141"/>
      <c r="AE10" s="142"/>
      <c r="AF10" s="142"/>
      <c r="AG10" s="143"/>
      <c r="AH10" s="138" t="s">
        <v>231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41"/>
      <c r="BE10" s="142"/>
      <c r="BF10" s="142"/>
      <c r="BG10" s="142"/>
      <c r="BH10" s="142"/>
      <c r="BI10" s="142"/>
      <c r="BJ10" s="143"/>
      <c r="BK10" s="35"/>
    </row>
    <row r="11" spans="1:63" s="11" customFormat="1" ht="40.5" customHeight="1">
      <c r="A11" s="67">
        <f>ROW()-8</f>
        <v>3</v>
      </c>
      <c r="B11" s="68"/>
      <c r="C11" s="69"/>
      <c r="D11" s="138" t="s">
        <v>50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41" t="s">
        <v>138</v>
      </c>
      <c r="S11" s="142"/>
      <c r="T11" s="142"/>
      <c r="U11" s="143"/>
      <c r="V11" s="141"/>
      <c r="W11" s="142"/>
      <c r="X11" s="142"/>
      <c r="Y11" s="143"/>
      <c r="Z11" s="141"/>
      <c r="AA11" s="142"/>
      <c r="AB11" s="142"/>
      <c r="AC11" s="143"/>
      <c r="AD11" s="141"/>
      <c r="AE11" s="142"/>
      <c r="AF11" s="142"/>
      <c r="AG11" s="143"/>
      <c r="AH11" s="144" t="s">
        <v>182</v>
      </c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6"/>
      <c r="BD11" s="141"/>
      <c r="BE11" s="142"/>
      <c r="BF11" s="142"/>
      <c r="BG11" s="142"/>
      <c r="BH11" s="142"/>
      <c r="BI11" s="142"/>
      <c r="BJ11" s="143"/>
    </row>
    <row r="12" spans="1:63" s="11" customFormat="1" ht="40.5" customHeight="1">
      <c r="A12" s="67">
        <f t="shared" ref="A12:A47" si="1">ROW()-8</f>
        <v>4</v>
      </c>
      <c r="B12" s="68"/>
      <c r="C12" s="69"/>
      <c r="D12" s="138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41"/>
      <c r="S12" s="142"/>
      <c r="T12" s="142"/>
      <c r="U12" s="143"/>
      <c r="V12" s="141" t="s">
        <v>138</v>
      </c>
      <c r="W12" s="142"/>
      <c r="X12" s="142"/>
      <c r="Y12" s="143"/>
      <c r="Z12" s="141"/>
      <c r="AA12" s="142"/>
      <c r="AB12" s="142"/>
      <c r="AC12" s="143"/>
      <c r="AD12" s="141"/>
      <c r="AE12" s="142"/>
      <c r="AF12" s="142"/>
      <c r="AG12" s="143"/>
      <c r="AH12" s="144" t="s">
        <v>188</v>
      </c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  <c r="BD12" s="141"/>
      <c r="BE12" s="142"/>
      <c r="BF12" s="142"/>
      <c r="BG12" s="142"/>
      <c r="BH12" s="142"/>
      <c r="BI12" s="142"/>
      <c r="BJ12" s="143"/>
    </row>
    <row r="13" spans="1:63" s="11" customFormat="1" ht="55.4" customHeight="1">
      <c r="A13" s="67">
        <f t="shared" si="1"/>
        <v>5</v>
      </c>
      <c r="B13" s="68"/>
      <c r="C13" s="69"/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41"/>
      <c r="S13" s="142"/>
      <c r="T13" s="142"/>
      <c r="U13" s="143"/>
      <c r="V13" s="141" t="s">
        <v>225</v>
      </c>
      <c r="W13" s="142"/>
      <c r="X13" s="142"/>
      <c r="Y13" s="143"/>
      <c r="Z13" s="141"/>
      <c r="AA13" s="142"/>
      <c r="AB13" s="142"/>
      <c r="AC13" s="143"/>
      <c r="AD13" s="141"/>
      <c r="AE13" s="142"/>
      <c r="AF13" s="142"/>
      <c r="AG13" s="143"/>
      <c r="AH13" s="144" t="s">
        <v>198</v>
      </c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6"/>
      <c r="BD13" s="141"/>
      <c r="BE13" s="142"/>
      <c r="BF13" s="142"/>
      <c r="BG13" s="142"/>
      <c r="BH13" s="142"/>
      <c r="BI13" s="142"/>
      <c r="BJ13" s="143"/>
    </row>
    <row r="14" spans="1:63" s="11" customFormat="1" ht="40.5" customHeight="1">
      <c r="A14" s="67">
        <f t="shared" si="1"/>
        <v>6</v>
      </c>
      <c r="B14" s="68"/>
      <c r="C14" s="69"/>
      <c r="D14" s="138" t="s">
        <v>67</v>
      </c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41" t="s">
        <v>138</v>
      </c>
      <c r="S14" s="142"/>
      <c r="T14" s="142"/>
      <c r="U14" s="143"/>
      <c r="V14" s="141"/>
      <c r="W14" s="142"/>
      <c r="X14" s="142"/>
      <c r="Y14" s="143"/>
      <c r="Z14" s="141"/>
      <c r="AA14" s="142"/>
      <c r="AB14" s="142"/>
      <c r="AC14" s="143"/>
      <c r="AD14" s="141"/>
      <c r="AE14" s="142"/>
      <c r="AF14" s="142"/>
      <c r="AG14" s="143"/>
      <c r="AH14" s="144" t="s">
        <v>200</v>
      </c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6"/>
      <c r="BD14" s="141"/>
      <c r="BE14" s="142"/>
      <c r="BF14" s="142"/>
      <c r="BG14" s="142"/>
      <c r="BH14" s="142"/>
      <c r="BI14" s="142"/>
      <c r="BJ14" s="143"/>
    </row>
    <row r="15" spans="1:63" s="11" customFormat="1" ht="40.5" customHeight="1">
      <c r="A15" s="67">
        <f t="shared" si="1"/>
        <v>7</v>
      </c>
      <c r="B15" s="68"/>
      <c r="C15" s="69"/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41"/>
      <c r="S15" s="142"/>
      <c r="T15" s="142"/>
      <c r="U15" s="143"/>
      <c r="V15" s="141"/>
      <c r="W15" s="142"/>
      <c r="X15" s="142"/>
      <c r="Y15" s="143"/>
      <c r="Z15" s="141"/>
      <c r="AA15" s="142"/>
      <c r="AB15" s="142"/>
      <c r="AC15" s="143"/>
      <c r="AD15" s="141" t="s">
        <v>138</v>
      </c>
      <c r="AE15" s="142"/>
      <c r="AF15" s="142"/>
      <c r="AG15" s="143"/>
      <c r="AH15" s="144" t="s">
        <v>207</v>
      </c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6"/>
      <c r="BD15" s="141"/>
      <c r="BE15" s="142"/>
      <c r="BF15" s="142"/>
      <c r="BG15" s="142"/>
      <c r="BH15" s="142"/>
      <c r="BI15" s="142"/>
      <c r="BJ15" s="143"/>
    </row>
    <row r="16" spans="1:63" s="11" customFormat="1" ht="40.5" customHeight="1">
      <c r="A16" s="67">
        <f t="shared" si="1"/>
        <v>8</v>
      </c>
      <c r="B16" s="68"/>
      <c r="C16" s="69"/>
      <c r="D16" s="138" t="s">
        <v>155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R16" s="141" t="s">
        <v>138</v>
      </c>
      <c r="S16" s="142"/>
      <c r="T16" s="142"/>
      <c r="U16" s="143"/>
      <c r="V16" s="141"/>
      <c r="W16" s="142"/>
      <c r="X16" s="142"/>
      <c r="Y16" s="143"/>
      <c r="Z16" s="141"/>
      <c r="AA16" s="142"/>
      <c r="AB16" s="142"/>
      <c r="AC16" s="143"/>
      <c r="AD16" s="141"/>
      <c r="AE16" s="142"/>
      <c r="AF16" s="142"/>
      <c r="AG16" s="143"/>
      <c r="AH16" s="144" t="s">
        <v>199</v>
      </c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6"/>
      <c r="BD16" s="141"/>
      <c r="BE16" s="142"/>
      <c r="BF16" s="142"/>
      <c r="BG16" s="142"/>
      <c r="BH16" s="142"/>
      <c r="BI16" s="142"/>
      <c r="BJ16" s="143"/>
    </row>
    <row r="17" spans="1:62" s="11" customFormat="1" ht="40.5" customHeight="1">
      <c r="A17" s="67">
        <f t="shared" si="1"/>
        <v>9</v>
      </c>
      <c r="B17" s="68"/>
      <c r="C17" s="69"/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/>
      <c r="R17" s="141"/>
      <c r="S17" s="142"/>
      <c r="T17" s="142"/>
      <c r="U17" s="143"/>
      <c r="V17" s="141"/>
      <c r="W17" s="142"/>
      <c r="X17" s="142"/>
      <c r="Y17" s="143"/>
      <c r="Z17" s="141"/>
      <c r="AA17" s="142"/>
      <c r="AB17" s="142"/>
      <c r="AC17" s="143"/>
      <c r="AD17" s="141" t="s">
        <v>138</v>
      </c>
      <c r="AE17" s="142"/>
      <c r="AF17" s="142"/>
      <c r="AG17" s="143"/>
      <c r="AH17" s="144" t="s">
        <v>206</v>
      </c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6"/>
      <c r="BD17" s="141"/>
      <c r="BE17" s="142"/>
      <c r="BF17" s="142"/>
      <c r="BG17" s="142"/>
      <c r="BH17" s="142"/>
      <c r="BI17" s="142"/>
      <c r="BJ17" s="143"/>
    </row>
    <row r="18" spans="1:62" s="11" customFormat="1" ht="40.5" customHeight="1">
      <c r="A18" s="67">
        <f t="shared" si="1"/>
        <v>10</v>
      </c>
      <c r="B18" s="68"/>
      <c r="C18" s="69"/>
      <c r="D18" s="138" t="s">
        <v>176</v>
      </c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41" t="s">
        <v>138</v>
      </c>
      <c r="S18" s="142"/>
      <c r="T18" s="142"/>
      <c r="U18" s="143"/>
      <c r="V18" s="141"/>
      <c r="W18" s="142"/>
      <c r="X18" s="142"/>
      <c r="Y18" s="143"/>
      <c r="Z18" s="141"/>
      <c r="AA18" s="142"/>
      <c r="AB18" s="142"/>
      <c r="AC18" s="143"/>
      <c r="AD18" s="141"/>
      <c r="AE18" s="142"/>
      <c r="AF18" s="142"/>
      <c r="AG18" s="143"/>
      <c r="AH18" s="144" t="s">
        <v>183</v>
      </c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6"/>
      <c r="BD18" s="141"/>
      <c r="BE18" s="142"/>
      <c r="BF18" s="142"/>
      <c r="BG18" s="142"/>
      <c r="BH18" s="142"/>
      <c r="BI18" s="142"/>
      <c r="BJ18" s="143"/>
    </row>
    <row r="19" spans="1:62" s="11" customFormat="1" ht="40.5" customHeight="1">
      <c r="A19" s="67">
        <f t="shared" si="1"/>
        <v>11</v>
      </c>
      <c r="B19" s="68"/>
      <c r="C19" s="69"/>
      <c r="D19" s="13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  <c r="R19" s="141"/>
      <c r="S19" s="142"/>
      <c r="T19" s="142"/>
      <c r="U19" s="143"/>
      <c r="V19" s="141"/>
      <c r="W19" s="142"/>
      <c r="X19" s="142"/>
      <c r="Y19" s="143"/>
      <c r="Z19" s="141"/>
      <c r="AA19" s="142"/>
      <c r="AB19" s="142"/>
      <c r="AC19" s="143"/>
      <c r="AD19" s="141" t="s">
        <v>138</v>
      </c>
      <c r="AE19" s="142"/>
      <c r="AF19" s="142"/>
      <c r="AG19" s="143"/>
      <c r="AH19" s="144" t="s">
        <v>205</v>
      </c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40"/>
      <c r="BD19" s="141"/>
      <c r="BE19" s="142"/>
      <c r="BF19" s="142"/>
      <c r="BG19" s="142"/>
      <c r="BH19" s="142"/>
      <c r="BI19" s="142"/>
      <c r="BJ19" s="143"/>
    </row>
    <row r="20" spans="1:62" s="11" customFormat="1" ht="40.5" customHeight="1">
      <c r="A20" s="67">
        <f t="shared" si="1"/>
        <v>12</v>
      </c>
      <c r="B20" s="68"/>
      <c r="C20" s="69"/>
      <c r="D20" s="138" t="s">
        <v>177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40"/>
      <c r="R20" s="141"/>
      <c r="S20" s="142"/>
      <c r="T20" s="142"/>
      <c r="U20" s="143"/>
      <c r="V20" s="141"/>
      <c r="W20" s="142"/>
      <c r="X20" s="142"/>
      <c r="Y20" s="143"/>
      <c r="Z20" s="141"/>
      <c r="AA20" s="142"/>
      <c r="AB20" s="142"/>
      <c r="AC20" s="143"/>
      <c r="AD20" s="141" t="s">
        <v>138</v>
      </c>
      <c r="AE20" s="142"/>
      <c r="AF20" s="142"/>
      <c r="AG20" s="143"/>
      <c r="AH20" s="144" t="s">
        <v>204</v>
      </c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40"/>
      <c r="BD20" s="141"/>
      <c r="BE20" s="142"/>
      <c r="BF20" s="142"/>
      <c r="BG20" s="142"/>
      <c r="BH20" s="142"/>
      <c r="BI20" s="142"/>
      <c r="BJ20" s="143"/>
    </row>
    <row r="21" spans="1:62" s="11" customFormat="1" ht="52.65" customHeight="1">
      <c r="A21" s="67">
        <f t="shared" si="1"/>
        <v>13</v>
      </c>
      <c r="B21" s="68"/>
      <c r="C21" s="69"/>
      <c r="D21" s="138" t="s">
        <v>178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40"/>
      <c r="R21" s="141"/>
      <c r="S21" s="142"/>
      <c r="T21" s="142"/>
      <c r="U21" s="143"/>
      <c r="V21" s="141"/>
      <c r="W21" s="142"/>
      <c r="X21" s="142"/>
      <c r="Y21" s="143"/>
      <c r="Z21" s="141" t="s">
        <v>138</v>
      </c>
      <c r="AA21" s="142"/>
      <c r="AB21" s="142"/>
      <c r="AC21" s="143"/>
      <c r="AD21" s="141"/>
      <c r="AE21" s="142"/>
      <c r="AF21" s="142"/>
      <c r="AG21" s="143"/>
      <c r="AH21" s="144" t="s">
        <v>203</v>
      </c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40"/>
      <c r="BD21" s="141"/>
      <c r="BE21" s="142"/>
      <c r="BF21" s="142"/>
      <c r="BG21" s="142"/>
      <c r="BH21" s="142"/>
      <c r="BI21" s="142"/>
      <c r="BJ21" s="143"/>
    </row>
    <row r="22" spans="1:62" s="11" customFormat="1" ht="40.5" customHeight="1">
      <c r="A22" s="67">
        <f t="shared" si="1"/>
        <v>14</v>
      </c>
      <c r="B22" s="68"/>
      <c r="C22" s="69"/>
      <c r="D22" s="138" t="s">
        <v>68</v>
      </c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  <c r="R22" s="141" t="s">
        <v>138</v>
      </c>
      <c r="S22" s="142"/>
      <c r="T22" s="142"/>
      <c r="U22" s="143"/>
      <c r="V22" s="141"/>
      <c r="W22" s="142"/>
      <c r="X22" s="142"/>
      <c r="Y22" s="143"/>
      <c r="Z22" s="141"/>
      <c r="AA22" s="142"/>
      <c r="AB22" s="142"/>
      <c r="AC22" s="143"/>
      <c r="AD22" s="141"/>
      <c r="AE22" s="142"/>
      <c r="AF22" s="142"/>
      <c r="AG22" s="143"/>
      <c r="AH22" s="144" t="s">
        <v>184</v>
      </c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40"/>
      <c r="BD22" s="141"/>
      <c r="BE22" s="142"/>
      <c r="BF22" s="142"/>
      <c r="BG22" s="142"/>
      <c r="BH22" s="142"/>
      <c r="BI22" s="142"/>
      <c r="BJ22" s="143"/>
    </row>
    <row r="23" spans="1:62" s="11" customFormat="1" ht="40.5" customHeight="1">
      <c r="A23" s="67">
        <f t="shared" si="1"/>
        <v>15</v>
      </c>
      <c r="B23" s="68"/>
      <c r="C23" s="69"/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1"/>
      <c r="S23" s="142"/>
      <c r="T23" s="142"/>
      <c r="U23" s="143"/>
      <c r="V23" s="141" t="s">
        <v>138</v>
      </c>
      <c r="W23" s="142"/>
      <c r="X23" s="142"/>
      <c r="Y23" s="143"/>
      <c r="Z23" s="141"/>
      <c r="AA23" s="142"/>
      <c r="AB23" s="142"/>
      <c r="AC23" s="143"/>
      <c r="AD23" s="141"/>
      <c r="AE23" s="142"/>
      <c r="AF23" s="142"/>
      <c r="AG23" s="143"/>
      <c r="AH23" s="144" t="s">
        <v>189</v>
      </c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40"/>
      <c r="BD23" s="141"/>
      <c r="BE23" s="142"/>
      <c r="BF23" s="142"/>
      <c r="BG23" s="142"/>
      <c r="BH23" s="142"/>
      <c r="BI23" s="142"/>
      <c r="BJ23" s="143"/>
    </row>
    <row r="24" spans="1:62" s="11" customFormat="1" ht="86.15" customHeight="1">
      <c r="A24" s="67">
        <f t="shared" si="1"/>
        <v>16</v>
      </c>
      <c r="B24" s="68"/>
      <c r="C24" s="69"/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40"/>
      <c r="R24" s="141"/>
      <c r="S24" s="142"/>
      <c r="T24" s="142"/>
      <c r="U24" s="143"/>
      <c r="V24" s="141"/>
      <c r="W24" s="142"/>
      <c r="X24" s="142"/>
      <c r="Y24" s="143"/>
      <c r="Z24" s="141" t="s">
        <v>138</v>
      </c>
      <c r="AA24" s="142"/>
      <c r="AB24" s="142"/>
      <c r="AC24" s="143"/>
      <c r="AD24" s="141"/>
      <c r="AE24" s="142"/>
      <c r="AF24" s="142"/>
      <c r="AG24" s="143"/>
      <c r="AH24" s="144" t="s">
        <v>221</v>
      </c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40"/>
      <c r="BD24" s="141"/>
      <c r="BE24" s="142"/>
      <c r="BF24" s="142"/>
      <c r="BG24" s="142"/>
      <c r="BH24" s="142"/>
      <c r="BI24" s="142"/>
      <c r="BJ24" s="143"/>
    </row>
    <row r="25" spans="1:62" ht="40.5" customHeight="1">
      <c r="A25" s="67">
        <f t="shared" si="1"/>
        <v>17</v>
      </c>
      <c r="B25" s="68"/>
      <c r="C25" s="69"/>
      <c r="D25" s="138" t="s">
        <v>179</v>
      </c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  <c r="R25" s="141" t="s">
        <v>138</v>
      </c>
      <c r="S25" s="142"/>
      <c r="T25" s="142"/>
      <c r="U25" s="143"/>
      <c r="V25" s="141"/>
      <c r="W25" s="142"/>
      <c r="X25" s="142"/>
      <c r="Y25" s="143"/>
      <c r="Z25" s="141"/>
      <c r="AA25" s="142"/>
      <c r="AB25" s="142"/>
      <c r="AC25" s="143"/>
      <c r="AD25" s="141"/>
      <c r="AE25" s="142"/>
      <c r="AF25" s="142"/>
      <c r="AG25" s="143"/>
      <c r="AH25" s="144" t="s">
        <v>185</v>
      </c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40"/>
      <c r="BD25" s="141"/>
      <c r="BE25" s="142"/>
      <c r="BF25" s="142"/>
      <c r="BG25" s="142"/>
      <c r="BH25" s="142"/>
      <c r="BI25" s="142"/>
      <c r="BJ25" s="143"/>
    </row>
    <row r="26" spans="1:62" ht="40.5" customHeight="1">
      <c r="A26" s="67">
        <f t="shared" si="1"/>
        <v>18</v>
      </c>
      <c r="B26" s="68"/>
      <c r="C26" s="69"/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40"/>
      <c r="R26" s="141"/>
      <c r="S26" s="142"/>
      <c r="T26" s="142"/>
      <c r="U26" s="143"/>
      <c r="V26" s="141"/>
      <c r="W26" s="142"/>
      <c r="X26" s="142"/>
      <c r="Y26" s="143"/>
      <c r="Z26" s="141"/>
      <c r="AA26" s="142"/>
      <c r="AB26" s="142"/>
      <c r="AC26" s="143"/>
      <c r="AD26" s="141" t="s">
        <v>138</v>
      </c>
      <c r="AE26" s="142"/>
      <c r="AF26" s="142"/>
      <c r="AG26" s="143"/>
      <c r="AH26" s="144" t="s">
        <v>202</v>
      </c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40"/>
      <c r="BD26" s="141"/>
      <c r="BE26" s="142"/>
      <c r="BF26" s="142"/>
      <c r="BG26" s="142"/>
      <c r="BH26" s="142"/>
      <c r="BI26" s="142"/>
      <c r="BJ26" s="143"/>
    </row>
    <row r="27" spans="1:62" ht="40.5" customHeight="1">
      <c r="A27" s="67">
        <f t="shared" si="1"/>
        <v>19</v>
      </c>
      <c r="B27" s="68"/>
      <c r="C27" s="69"/>
      <c r="D27" s="138" t="s">
        <v>157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40"/>
      <c r="R27" s="141" t="s">
        <v>138</v>
      </c>
      <c r="S27" s="142"/>
      <c r="T27" s="142"/>
      <c r="U27" s="143"/>
      <c r="V27" s="141"/>
      <c r="W27" s="142"/>
      <c r="X27" s="142"/>
      <c r="Y27" s="143"/>
      <c r="Z27" s="141"/>
      <c r="AA27" s="142"/>
      <c r="AB27" s="142"/>
      <c r="AC27" s="143"/>
      <c r="AD27" s="141"/>
      <c r="AE27" s="142"/>
      <c r="AF27" s="142"/>
      <c r="AG27" s="143"/>
      <c r="AH27" s="144" t="s">
        <v>186</v>
      </c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40"/>
      <c r="BD27" s="141"/>
      <c r="BE27" s="142"/>
      <c r="BF27" s="142"/>
      <c r="BG27" s="142"/>
      <c r="BH27" s="142"/>
      <c r="BI27" s="142"/>
      <c r="BJ27" s="143"/>
    </row>
    <row r="28" spans="1:62" ht="40.5" customHeight="1">
      <c r="A28" s="67">
        <f t="shared" si="1"/>
        <v>20</v>
      </c>
      <c r="B28" s="68"/>
      <c r="C28" s="69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40"/>
      <c r="R28" s="141"/>
      <c r="S28" s="142"/>
      <c r="T28" s="142"/>
      <c r="U28" s="143"/>
      <c r="V28" s="141" t="s">
        <v>138</v>
      </c>
      <c r="W28" s="142"/>
      <c r="X28" s="142"/>
      <c r="Y28" s="143"/>
      <c r="Z28" s="141"/>
      <c r="AA28" s="142"/>
      <c r="AB28" s="142"/>
      <c r="AC28" s="143"/>
      <c r="AD28" s="141"/>
      <c r="AE28" s="142"/>
      <c r="AF28" s="142"/>
      <c r="AG28" s="143"/>
      <c r="AH28" s="144" t="s">
        <v>190</v>
      </c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40"/>
      <c r="BD28" s="141"/>
      <c r="BE28" s="142"/>
      <c r="BF28" s="142"/>
      <c r="BG28" s="142"/>
      <c r="BH28" s="142"/>
      <c r="BI28" s="142"/>
      <c r="BJ28" s="143"/>
    </row>
    <row r="29" spans="1:62" ht="40.5" customHeight="1">
      <c r="A29" s="67">
        <f t="shared" si="1"/>
        <v>21</v>
      </c>
      <c r="B29" s="68"/>
      <c r="C29" s="69"/>
      <c r="D29" s="138" t="s">
        <v>159</v>
      </c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40"/>
      <c r="R29" s="141" t="s">
        <v>138</v>
      </c>
      <c r="S29" s="142"/>
      <c r="T29" s="142"/>
      <c r="U29" s="143"/>
      <c r="V29" s="141"/>
      <c r="W29" s="142"/>
      <c r="X29" s="142"/>
      <c r="Y29" s="143"/>
      <c r="Z29" s="141"/>
      <c r="AA29" s="142"/>
      <c r="AB29" s="142"/>
      <c r="AC29" s="143"/>
      <c r="AD29" s="141"/>
      <c r="AE29" s="142"/>
      <c r="AF29" s="142"/>
      <c r="AG29" s="143"/>
      <c r="AH29" s="144" t="s">
        <v>187</v>
      </c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40"/>
      <c r="BD29" s="141"/>
      <c r="BE29" s="142"/>
      <c r="BF29" s="142"/>
      <c r="BG29" s="142"/>
      <c r="BH29" s="142"/>
      <c r="BI29" s="142"/>
      <c r="BJ29" s="143"/>
    </row>
    <row r="30" spans="1:62" ht="40.5" customHeight="1">
      <c r="A30" s="67">
        <f t="shared" si="1"/>
        <v>22</v>
      </c>
      <c r="B30" s="68"/>
      <c r="C30" s="69"/>
      <c r="D30" s="138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40"/>
      <c r="R30" s="141"/>
      <c r="S30" s="142"/>
      <c r="T30" s="142"/>
      <c r="U30" s="143"/>
      <c r="V30" s="141" t="s">
        <v>138</v>
      </c>
      <c r="W30" s="142"/>
      <c r="X30" s="142"/>
      <c r="Y30" s="143"/>
      <c r="Z30" s="141"/>
      <c r="AA30" s="142"/>
      <c r="AB30" s="142"/>
      <c r="AC30" s="143"/>
      <c r="AD30" s="141"/>
      <c r="AE30" s="142"/>
      <c r="AF30" s="142"/>
      <c r="AG30" s="143"/>
      <c r="AH30" s="144" t="s">
        <v>191</v>
      </c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40"/>
      <c r="BD30" s="141"/>
      <c r="BE30" s="142"/>
      <c r="BF30" s="142"/>
      <c r="BG30" s="142"/>
      <c r="BH30" s="142"/>
      <c r="BI30" s="142"/>
      <c r="BJ30" s="143"/>
    </row>
    <row r="31" spans="1:62" ht="72" customHeight="1">
      <c r="A31" s="67">
        <f t="shared" si="1"/>
        <v>23</v>
      </c>
      <c r="B31" s="68"/>
      <c r="C31" s="69"/>
      <c r="D31" s="138" t="s">
        <v>69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40"/>
      <c r="R31" s="141"/>
      <c r="S31" s="142"/>
      <c r="T31" s="142"/>
      <c r="U31" s="143"/>
      <c r="V31" s="141"/>
      <c r="W31" s="142"/>
      <c r="X31" s="142"/>
      <c r="Y31" s="143"/>
      <c r="Z31" s="141"/>
      <c r="AA31" s="142"/>
      <c r="AB31" s="142"/>
      <c r="AC31" s="143"/>
      <c r="AD31" s="141" t="s">
        <v>138</v>
      </c>
      <c r="AE31" s="142"/>
      <c r="AF31" s="142"/>
      <c r="AG31" s="143"/>
      <c r="AH31" s="144" t="s">
        <v>212</v>
      </c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40"/>
      <c r="BD31" s="141"/>
      <c r="BE31" s="142"/>
      <c r="BF31" s="142"/>
      <c r="BG31" s="142"/>
      <c r="BH31" s="142"/>
      <c r="BI31" s="142"/>
      <c r="BJ31" s="143"/>
    </row>
    <row r="32" spans="1:62" ht="40.5" customHeight="1">
      <c r="A32" s="67">
        <f t="shared" si="1"/>
        <v>24</v>
      </c>
      <c r="B32" s="68"/>
      <c r="C32" s="69"/>
      <c r="D32" s="138" t="s">
        <v>70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41"/>
      <c r="S32" s="142"/>
      <c r="T32" s="142"/>
      <c r="U32" s="143"/>
      <c r="V32" s="141"/>
      <c r="W32" s="142"/>
      <c r="X32" s="142"/>
      <c r="Y32" s="143"/>
      <c r="Z32" s="141"/>
      <c r="AA32" s="142"/>
      <c r="AB32" s="142"/>
      <c r="AC32" s="143"/>
      <c r="AD32" s="141" t="s">
        <v>138</v>
      </c>
      <c r="AE32" s="142"/>
      <c r="AF32" s="142"/>
      <c r="AG32" s="143"/>
      <c r="AH32" s="138" t="s">
        <v>216</v>
      </c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41"/>
      <c r="BE32" s="142"/>
      <c r="BF32" s="142"/>
      <c r="BG32" s="142"/>
      <c r="BH32" s="142"/>
      <c r="BI32" s="142"/>
      <c r="BJ32" s="143"/>
    </row>
    <row r="33" spans="1:62" ht="40.5" customHeight="1">
      <c r="A33" s="67">
        <f t="shared" si="1"/>
        <v>25</v>
      </c>
      <c r="B33" s="68"/>
      <c r="C33" s="69"/>
      <c r="D33" s="138" t="s">
        <v>71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40"/>
      <c r="R33" s="141"/>
      <c r="S33" s="142"/>
      <c r="T33" s="142"/>
      <c r="U33" s="143"/>
      <c r="V33" s="141" t="s">
        <v>138</v>
      </c>
      <c r="W33" s="142"/>
      <c r="X33" s="142"/>
      <c r="Y33" s="143"/>
      <c r="Z33" s="141"/>
      <c r="AA33" s="142"/>
      <c r="AB33" s="142"/>
      <c r="AC33" s="143"/>
      <c r="AD33" s="141"/>
      <c r="AE33" s="142"/>
      <c r="AF33" s="142"/>
      <c r="AG33" s="143"/>
      <c r="AH33" s="144" t="s">
        <v>214</v>
      </c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40"/>
      <c r="BD33" s="141"/>
      <c r="BE33" s="142"/>
      <c r="BF33" s="142"/>
      <c r="BG33" s="142"/>
      <c r="BH33" s="142"/>
      <c r="BI33" s="142"/>
      <c r="BJ33" s="143"/>
    </row>
    <row r="34" spans="1:62" ht="87.9" customHeight="1">
      <c r="A34" s="67">
        <f t="shared" si="1"/>
        <v>26</v>
      </c>
      <c r="B34" s="68"/>
      <c r="C34" s="69"/>
      <c r="D34" s="138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40"/>
      <c r="R34" s="141"/>
      <c r="S34" s="142"/>
      <c r="T34" s="142"/>
      <c r="U34" s="143"/>
      <c r="V34" s="141"/>
      <c r="W34" s="142"/>
      <c r="X34" s="142"/>
      <c r="Y34" s="143"/>
      <c r="Z34" s="141" t="s">
        <v>138</v>
      </c>
      <c r="AA34" s="142"/>
      <c r="AB34" s="142"/>
      <c r="AC34" s="143"/>
      <c r="AD34" s="141"/>
      <c r="AE34" s="142"/>
      <c r="AF34" s="142"/>
      <c r="AG34" s="143"/>
      <c r="AH34" s="144" t="s">
        <v>220</v>
      </c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40"/>
      <c r="BD34" s="141"/>
      <c r="BE34" s="142"/>
      <c r="BF34" s="142"/>
      <c r="BG34" s="142"/>
      <c r="BH34" s="142"/>
      <c r="BI34" s="142"/>
      <c r="BJ34" s="143"/>
    </row>
    <row r="35" spans="1:62" ht="40.5" customHeight="1">
      <c r="A35" s="67">
        <f t="shared" si="1"/>
        <v>27</v>
      </c>
      <c r="B35" s="68"/>
      <c r="C35" s="69"/>
      <c r="D35" s="138" t="s">
        <v>72</v>
      </c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40"/>
      <c r="R35" s="141"/>
      <c r="S35" s="142"/>
      <c r="T35" s="142"/>
      <c r="U35" s="143"/>
      <c r="V35" s="141" t="s">
        <v>138</v>
      </c>
      <c r="W35" s="142"/>
      <c r="X35" s="142"/>
      <c r="Y35" s="143"/>
      <c r="Z35" s="141"/>
      <c r="AA35" s="142"/>
      <c r="AB35" s="142"/>
      <c r="AC35" s="143"/>
      <c r="AD35" s="141"/>
      <c r="AE35" s="142"/>
      <c r="AF35" s="142"/>
      <c r="AG35" s="143"/>
      <c r="AH35" s="144" t="s">
        <v>192</v>
      </c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40"/>
      <c r="BD35" s="141"/>
      <c r="BE35" s="142"/>
      <c r="BF35" s="142"/>
      <c r="BG35" s="142"/>
      <c r="BH35" s="142"/>
      <c r="BI35" s="142"/>
      <c r="BJ35" s="143"/>
    </row>
    <row r="36" spans="1:62" ht="83.4" customHeight="1">
      <c r="A36" s="67">
        <f t="shared" si="1"/>
        <v>28</v>
      </c>
      <c r="B36" s="68"/>
      <c r="C36" s="69"/>
      <c r="D36" s="138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40"/>
      <c r="R36" s="141"/>
      <c r="S36" s="142"/>
      <c r="T36" s="142"/>
      <c r="U36" s="143"/>
      <c r="V36" s="141"/>
      <c r="W36" s="142"/>
      <c r="X36" s="142"/>
      <c r="Y36" s="143"/>
      <c r="Z36" s="141" t="s">
        <v>138</v>
      </c>
      <c r="AA36" s="142"/>
      <c r="AB36" s="142"/>
      <c r="AC36" s="143"/>
      <c r="AD36" s="141"/>
      <c r="AE36" s="142"/>
      <c r="AF36" s="142"/>
      <c r="AG36" s="143"/>
      <c r="AH36" s="144" t="s">
        <v>219</v>
      </c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40"/>
      <c r="BD36" s="141"/>
      <c r="BE36" s="142"/>
      <c r="BF36" s="142"/>
      <c r="BG36" s="142"/>
      <c r="BH36" s="142"/>
      <c r="BI36" s="142"/>
      <c r="BJ36" s="143"/>
    </row>
    <row r="37" spans="1:62" ht="40.5" customHeight="1">
      <c r="A37" s="67">
        <f t="shared" si="1"/>
        <v>29</v>
      </c>
      <c r="B37" s="68"/>
      <c r="C37" s="69"/>
      <c r="D37" s="138" t="s">
        <v>73</v>
      </c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40"/>
      <c r="R37" s="141"/>
      <c r="S37" s="142"/>
      <c r="T37" s="142"/>
      <c r="U37" s="143"/>
      <c r="V37" s="141" t="s">
        <v>138</v>
      </c>
      <c r="W37" s="142"/>
      <c r="X37" s="142"/>
      <c r="Y37" s="143"/>
      <c r="Z37" s="141"/>
      <c r="AA37" s="142"/>
      <c r="AB37" s="142"/>
      <c r="AC37" s="143"/>
      <c r="AD37" s="141"/>
      <c r="AE37" s="142"/>
      <c r="AF37" s="142"/>
      <c r="AG37" s="143"/>
      <c r="AH37" s="144" t="s">
        <v>193</v>
      </c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40"/>
      <c r="BD37" s="141"/>
      <c r="BE37" s="142"/>
      <c r="BF37" s="142"/>
      <c r="BG37" s="142"/>
      <c r="BH37" s="142"/>
      <c r="BI37" s="142"/>
      <c r="BJ37" s="143"/>
    </row>
    <row r="38" spans="1:62" ht="89.15" customHeight="1">
      <c r="A38" s="67">
        <f t="shared" si="1"/>
        <v>30</v>
      </c>
      <c r="B38" s="68"/>
      <c r="C38" s="69"/>
      <c r="D38" s="138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40"/>
      <c r="R38" s="141"/>
      <c r="S38" s="142"/>
      <c r="T38" s="142"/>
      <c r="U38" s="143"/>
      <c r="V38" s="141"/>
      <c r="W38" s="142"/>
      <c r="X38" s="142"/>
      <c r="Y38" s="143"/>
      <c r="Z38" s="141" t="s">
        <v>138</v>
      </c>
      <c r="AA38" s="142"/>
      <c r="AB38" s="142"/>
      <c r="AC38" s="143"/>
      <c r="AD38" s="141"/>
      <c r="AE38" s="142"/>
      <c r="AF38" s="142"/>
      <c r="AG38" s="143"/>
      <c r="AH38" s="144" t="s">
        <v>217</v>
      </c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40"/>
      <c r="BD38" s="141"/>
      <c r="BE38" s="142"/>
      <c r="BF38" s="142"/>
      <c r="BG38" s="142"/>
      <c r="BH38" s="142"/>
      <c r="BI38" s="142"/>
      <c r="BJ38" s="143"/>
    </row>
    <row r="39" spans="1:62" ht="40.5" customHeight="1">
      <c r="A39" s="67">
        <f t="shared" si="1"/>
        <v>31</v>
      </c>
      <c r="B39" s="68"/>
      <c r="C39" s="69"/>
      <c r="D39" s="138" t="s">
        <v>74</v>
      </c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40"/>
      <c r="R39" s="141"/>
      <c r="S39" s="142"/>
      <c r="T39" s="142"/>
      <c r="U39" s="143"/>
      <c r="V39" s="141" t="s">
        <v>138</v>
      </c>
      <c r="W39" s="142"/>
      <c r="X39" s="142"/>
      <c r="Y39" s="143"/>
      <c r="Z39" s="141"/>
      <c r="AA39" s="142"/>
      <c r="AB39" s="142"/>
      <c r="AC39" s="143"/>
      <c r="AD39" s="141"/>
      <c r="AE39" s="142"/>
      <c r="AF39" s="142"/>
      <c r="AG39" s="143"/>
      <c r="AH39" s="144" t="s">
        <v>194</v>
      </c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40"/>
      <c r="BD39" s="141"/>
      <c r="BE39" s="142"/>
      <c r="BF39" s="142"/>
      <c r="BG39" s="142"/>
      <c r="BH39" s="142"/>
      <c r="BI39" s="142"/>
      <c r="BJ39" s="143"/>
    </row>
    <row r="40" spans="1:62" ht="56.4" customHeight="1">
      <c r="A40" s="67">
        <f t="shared" si="1"/>
        <v>32</v>
      </c>
      <c r="B40" s="68"/>
      <c r="C40" s="69"/>
      <c r="D40" s="138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40"/>
      <c r="R40" s="141"/>
      <c r="S40" s="142"/>
      <c r="T40" s="142"/>
      <c r="U40" s="143"/>
      <c r="V40" s="141"/>
      <c r="W40" s="142"/>
      <c r="X40" s="142"/>
      <c r="Y40" s="143"/>
      <c r="Z40" s="141"/>
      <c r="AA40" s="142"/>
      <c r="AB40" s="142"/>
      <c r="AC40" s="143"/>
      <c r="AD40" s="141" t="s">
        <v>138</v>
      </c>
      <c r="AE40" s="142"/>
      <c r="AF40" s="142"/>
      <c r="AG40" s="143"/>
      <c r="AH40" s="144" t="s">
        <v>208</v>
      </c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40"/>
      <c r="BD40" s="141"/>
      <c r="BE40" s="142"/>
      <c r="BF40" s="142"/>
      <c r="BG40" s="142"/>
      <c r="BH40" s="142"/>
      <c r="BI40" s="142"/>
      <c r="BJ40" s="143"/>
    </row>
    <row r="41" spans="1:62" ht="40.5" customHeight="1">
      <c r="A41" s="67">
        <f t="shared" si="1"/>
        <v>33</v>
      </c>
      <c r="B41" s="68"/>
      <c r="C41" s="69"/>
      <c r="D41" s="138" t="s">
        <v>122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40"/>
      <c r="R41" s="141"/>
      <c r="S41" s="142"/>
      <c r="T41" s="142"/>
      <c r="U41" s="143"/>
      <c r="V41" s="141" t="s">
        <v>138</v>
      </c>
      <c r="W41" s="142"/>
      <c r="X41" s="142"/>
      <c r="Y41" s="143"/>
      <c r="Z41" s="141"/>
      <c r="AA41" s="142"/>
      <c r="AB41" s="142"/>
      <c r="AC41" s="143"/>
      <c r="AD41" s="141"/>
      <c r="AE41" s="142"/>
      <c r="AF41" s="142"/>
      <c r="AG41" s="143"/>
      <c r="AH41" s="144" t="s">
        <v>195</v>
      </c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40"/>
      <c r="BD41" s="141"/>
      <c r="BE41" s="142"/>
      <c r="BF41" s="142"/>
      <c r="BG41" s="142"/>
      <c r="BH41" s="142"/>
      <c r="BI41" s="142"/>
      <c r="BJ41" s="143"/>
    </row>
    <row r="42" spans="1:62" ht="122.15" customHeight="1">
      <c r="A42" s="67">
        <f t="shared" si="1"/>
        <v>34</v>
      </c>
      <c r="B42" s="68"/>
      <c r="C42" s="69"/>
      <c r="D42" s="138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40"/>
      <c r="R42" s="141"/>
      <c r="S42" s="142"/>
      <c r="T42" s="142"/>
      <c r="U42" s="143"/>
      <c r="V42" s="141"/>
      <c r="W42" s="142"/>
      <c r="X42" s="142"/>
      <c r="Y42" s="143"/>
      <c r="Z42" s="141" t="s">
        <v>138</v>
      </c>
      <c r="AA42" s="142"/>
      <c r="AB42" s="142"/>
      <c r="AC42" s="143"/>
      <c r="AD42" s="141"/>
      <c r="AE42" s="142"/>
      <c r="AF42" s="142"/>
      <c r="AG42" s="143"/>
      <c r="AH42" s="144" t="s">
        <v>223</v>
      </c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40"/>
      <c r="BD42" s="141"/>
      <c r="BE42" s="142"/>
      <c r="BF42" s="142"/>
      <c r="BG42" s="142"/>
      <c r="BH42" s="142"/>
      <c r="BI42" s="142"/>
      <c r="BJ42" s="143"/>
    </row>
    <row r="43" spans="1:62" ht="40.5" customHeight="1">
      <c r="A43" s="67">
        <f t="shared" si="1"/>
        <v>35</v>
      </c>
      <c r="B43" s="68"/>
      <c r="C43" s="69"/>
      <c r="D43" s="138" t="s">
        <v>123</v>
      </c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40"/>
      <c r="R43" s="141"/>
      <c r="S43" s="142"/>
      <c r="T43" s="142"/>
      <c r="U43" s="143"/>
      <c r="V43" s="141" t="s">
        <v>138</v>
      </c>
      <c r="W43" s="142"/>
      <c r="X43" s="142"/>
      <c r="Y43" s="143"/>
      <c r="Z43" s="141"/>
      <c r="AA43" s="142"/>
      <c r="AB43" s="142"/>
      <c r="AC43" s="143"/>
      <c r="AD43" s="141"/>
      <c r="AE43" s="142"/>
      <c r="AF43" s="142"/>
      <c r="AG43" s="143"/>
      <c r="AH43" s="144" t="s">
        <v>196</v>
      </c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40"/>
      <c r="BD43" s="141"/>
      <c r="BE43" s="142"/>
      <c r="BF43" s="142"/>
      <c r="BG43" s="142"/>
      <c r="BH43" s="142"/>
      <c r="BI43" s="142"/>
      <c r="BJ43" s="143"/>
    </row>
    <row r="44" spans="1:62" ht="116.15" customHeight="1">
      <c r="A44" s="67">
        <f t="shared" si="1"/>
        <v>36</v>
      </c>
      <c r="B44" s="68"/>
      <c r="C44" s="69"/>
      <c r="D44" s="138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40"/>
      <c r="R44" s="141"/>
      <c r="S44" s="142"/>
      <c r="T44" s="142"/>
      <c r="U44" s="143"/>
      <c r="V44" s="141"/>
      <c r="W44" s="142"/>
      <c r="X44" s="142"/>
      <c r="Y44" s="143"/>
      <c r="Z44" s="141" t="s">
        <v>138</v>
      </c>
      <c r="AA44" s="142"/>
      <c r="AB44" s="142"/>
      <c r="AC44" s="143"/>
      <c r="AD44" s="141"/>
      <c r="AE44" s="142"/>
      <c r="AF44" s="142"/>
      <c r="AG44" s="143"/>
      <c r="AH44" s="144" t="s">
        <v>222</v>
      </c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40"/>
      <c r="BD44" s="141"/>
      <c r="BE44" s="142"/>
      <c r="BF44" s="142"/>
      <c r="BG44" s="142"/>
      <c r="BH44" s="142"/>
      <c r="BI44" s="142"/>
      <c r="BJ44" s="143"/>
    </row>
    <row r="45" spans="1:62" ht="40.5" customHeight="1">
      <c r="A45" s="67">
        <f t="shared" si="1"/>
        <v>37</v>
      </c>
      <c r="B45" s="68"/>
      <c r="C45" s="69"/>
      <c r="D45" s="138" t="s">
        <v>124</v>
      </c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40"/>
      <c r="R45" s="141"/>
      <c r="S45" s="142"/>
      <c r="T45" s="142"/>
      <c r="U45" s="143"/>
      <c r="V45" s="141" t="s">
        <v>138</v>
      </c>
      <c r="W45" s="142"/>
      <c r="X45" s="142"/>
      <c r="Y45" s="143"/>
      <c r="Z45" s="141"/>
      <c r="AA45" s="142"/>
      <c r="AB45" s="142"/>
      <c r="AC45" s="143"/>
      <c r="AD45" s="141"/>
      <c r="AE45" s="142"/>
      <c r="AF45" s="142"/>
      <c r="AG45" s="143"/>
      <c r="AH45" s="144" t="s">
        <v>197</v>
      </c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40"/>
      <c r="BD45" s="141"/>
      <c r="BE45" s="142"/>
      <c r="BF45" s="142"/>
      <c r="BG45" s="142"/>
      <c r="BH45" s="142"/>
      <c r="BI45" s="142"/>
      <c r="BJ45" s="143"/>
    </row>
    <row r="46" spans="1:62" ht="99" customHeight="1">
      <c r="A46" s="67">
        <f t="shared" si="1"/>
        <v>38</v>
      </c>
      <c r="B46" s="68"/>
      <c r="C46" s="69"/>
      <c r="D46" s="138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40"/>
      <c r="R46" s="141"/>
      <c r="S46" s="142"/>
      <c r="T46" s="142"/>
      <c r="U46" s="143"/>
      <c r="V46" s="141"/>
      <c r="W46" s="142"/>
      <c r="X46" s="142"/>
      <c r="Y46" s="143"/>
      <c r="Z46" s="141" t="s">
        <v>138</v>
      </c>
      <c r="AA46" s="142"/>
      <c r="AB46" s="142"/>
      <c r="AC46" s="143"/>
      <c r="AD46" s="141"/>
      <c r="AE46" s="142"/>
      <c r="AF46" s="142"/>
      <c r="AG46" s="143"/>
      <c r="AH46" s="144" t="s">
        <v>218</v>
      </c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40"/>
      <c r="BD46" s="141"/>
      <c r="BE46" s="142"/>
      <c r="BF46" s="142"/>
      <c r="BG46" s="142"/>
      <c r="BH46" s="142"/>
      <c r="BI46" s="142"/>
      <c r="BJ46" s="143"/>
    </row>
    <row r="47" spans="1:62" ht="40.5" customHeight="1">
      <c r="A47" s="67">
        <f t="shared" si="1"/>
        <v>39</v>
      </c>
      <c r="B47" s="68"/>
      <c r="C47" s="69"/>
      <c r="D47" s="138" t="s">
        <v>86</v>
      </c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40"/>
      <c r="R47" s="141" t="s">
        <v>138</v>
      </c>
      <c r="S47" s="142"/>
      <c r="T47" s="142"/>
      <c r="U47" s="143"/>
      <c r="V47" s="141"/>
      <c r="W47" s="142"/>
      <c r="X47" s="142"/>
      <c r="Y47" s="143"/>
      <c r="Z47" s="141"/>
      <c r="AA47" s="142"/>
      <c r="AB47" s="142"/>
      <c r="AC47" s="143"/>
      <c r="AD47" s="141"/>
      <c r="AE47" s="142"/>
      <c r="AF47" s="142"/>
      <c r="AG47" s="143"/>
      <c r="AH47" s="144" t="s">
        <v>201</v>
      </c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6"/>
      <c r="BD47" s="141"/>
      <c r="BE47" s="142"/>
      <c r="BF47" s="142"/>
      <c r="BG47" s="142"/>
      <c r="BH47" s="142"/>
      <c r="BI47" s="142"/>
      <c r="BJ47" s="143"/>
    </row>
    <row r="48" spans="1:62" ht="40.5" customHeight="1">
      <c r="A48" s="150"/>
      <c r="B48" s="151"/>
      <c r="C48" s="152"/>
      <c r="D48" s="153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5"/>
      <c r="R48" s="150"/>
      <c r="S48" s="151"/>
      <c r="T48" s="151"/>
      <c r="U48" s="152"/>
      <c r="V48" s="150"/>
      <c r="W48" s="151"/>
      <c r="X48" s="151"/>
      <c r="Y48" s="152"/>
      <c r="Z48" s="150"/>
      <c r="AA48" s="151"/>
      <c r="AB48" s="151"/>
      <c r="AC48" s="152"/>
      <c r="AD48" s="150"/>
      <c r="AE48" s="151"/>
      <c r="AF48" s="151"/>
      <c r="AG48" s="152"/>
      <c r="AH48" s="156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8"/>
      <c r="BD48" s="150"/>
      <c r="BE48" s="151"/>
      <c r="BF48" s="151"/>
      <c r="BG48" s="151"/>
      <c r="BH48" s="151"/>
      <c r="BI48" s="151"/>
      <c r="BJ48" s="152"/>
    </row>
    <row r="49" spans="2:96" s="10" customFormat="1" ht="6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</row>
    <row r="50" spans="2:96" ht="24" customHeight="1"/>
    <row r="51" spans="2:96" ht="24" customHeight="1"/>
    <row r="52" spans="2:96" ht="24" customHeight="1"/>
    <row r="53" spans="2:96" ht="24" customHeight="1"/>
    <row r="54" spans="2:96" ht="24" customHeight="1"/>
    <row r="55" spans="2:96" ht="17.149999999999999" customHeight="1"/>
    <row r="56" spans="2:96" ht="17.149999999999999" customHeight="1"/>
    <row r="57" spans="2:96" ht="17.149999999999999" customHeight="1"/>
    <row r="58" spans="2:96" ht="17.149999999999999" customHeight="1"/>
  </sheetData>
  <mergeCells count="341">
    <mergeCell ref="A43:C43"/>
    <mergeCell ref="D43:Q43"/>
    <mergeCell ref="R43:U43"/>
    <mergeCell ref="V43:Y43"/>
    <mergeCell ref="Z43:AC43"/>
    <mergeCell ref="AD43:AG43"/>
    <mergeCell ref="AH43:BC43"/>
    <mergeCell ref="BD43:BJ43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41:C41"/>
    <mergeCell ref="D41:Q41"/>
    <mergeCell ref="R41:U41"/>
    <mergeCell ref="V41:Y41"/>
    <mergeCell ref="Z41:AC41"/>
    <mergeCell ref="AD41:AG41"/>
    <mergeCell ref="AH41:BC41"/>
    <mergeCell ref="BD41:BJ41"/>
    <mergeCell ref="A44:C44"/>
    <mergeCell ref="D44:Q44"/>
    <mergeCell ref="R44:U44"/>
    <mergeCell ref="V44:Y44"/>
    <mergeCell ref="Z44:AC44"/>
    <mergeCell ref="AD44:AG44"/>
    <mergeCell ref="AH44:BC44"/>
    <mergeCell ref="BD44:BJ44"/>
    <mergeCell ref="A42:C42"/>
    <mergeCell ref="D42:Q42"/>
    <mergeCell ref="R42:U42"/>
    <mergeCell ref="V42:Y42"/>
    <mergeCell ref="Z42:AC42"/>
    <mergeCell ref="AD42:AG42"/>
    <mergeCell ref="AH42:BC42"/>
    <mergeCell ref="BD42:BJ42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H48:BC48"/>
    <mergeCell ref="BD15:BJ15"/>
    <mergeCell ref="BD16:BJ16"/>
    <mergeCell ref="BD17:BJ17"/>
    <mergeCell ref="BD18:BJ18"/>
    <mergeCell ref="BD19:BJ19"/>
    <mergeCell ref="BD20:BJ20"/>
    <mergeCell ref="BD21:BJ21"/>
    <mergeCell ref="BD22:BJ22"/>
    <mergeCell ref="BD23:BJ23"/>
    <mergeCell ref="BD24:BJ24"/>
    <mergeCell ref="AH20:BC20"/>
    <mergeCell ref="AH21:BC21"/>
    <mergeCell ref="AH22:BC22"/>
    <mergeCell ref="AH23:BC23"/>
    <mergeCell ref="AH24:BC24"/>
    <mergeCell ref="AH29:BC29"/>
    <mergeCell ref="AH15:BC15"/>
    <mergeCell ref="AH16:BC16"/>
    <mergeCell ref="AH19:BC19"/>
    <mergeCell ref="BD48:BJ48"/>
    <mergeCell ref="AH46:BC46"/>
    <mergeCell ref="BD46:BJ46"/>
    <mergeCell ref="A33:C33"/>
    <mergeCell ref="D33:Q33"/>
    <mergeCell ref="R33:U33"/>
    <mergeCell ref="V33:Y33"/>
    <mergeCell ref="Z33:AC33"/>
    <mergeCell ref="AD33:AG33"/>
    <mergeCell ref="BD33:BJ33"/>
    <mergeCell ref="AH33:BC33"/>
    <mergeCell ref="A34:C34"/>
    <mergeCell ref="D34:Q34"/>
    <mergeCell ref="R34:U34"/>
    <mergeCell ref="V34:Y34"/>
    <mergeCell ref="Z34:AC34"/>
    <mergeCell ref="AD34:AG34"/>
    <mergeCell ref="BD34:BJ34"/>
    <mergeCell ref="AH34:BC34"/>
    <mergeCell ref="Z32:AC32"/>
    <mergeCell ref="AD32:AG32"/>
    <mergeCell ref="A32:C32"/>
    <mergeCell ref="D32:Q32"/>
    <mergeCell ref="R32:U32"/>
    <mergeCell ref="V32:Y32"/>
    <mergeCell ref="BD32:BJ32"/>
    <mergeCell ref="AH32:BC32"/>
    <mergeCell ref="A30:C30"/>
    <mergeCell ref="D30:Q30"/>
    <mergeCell ref="R30:U30"/>
    <mergeCell ref="V30:Y30"/>
    <mergeCell ref="Z30:AC30"/>
    <mergeCell ref="AD30:AG30"/>
    <mergeCell ref="BD30:BJ30"/>
    <mergeCell ref="AH30:BC30"/>
    <mergeCell ref="A31:C31"/>
    <mergeCell ref="D31:Q31"/>
    <mergeCell ref="R31:U31"/>
    <mergeCell ref="V31:Y31"/>
    <mergeCell ref="Z31:AC31"/>
    <mergeCell ref="AD31:AG31"/>
    <mergeCell ref="BD31:BJ31"/>
    <mergeCell ref="AH31:BC31"/>
    <mergeCell ref="A29:C29"/>
    <mergeCell ref="D29:Q29"/>
    <mergeCell ref="R29:U29"/>
    <mergeCell ref="V29:Y29"/>
    <mergeCell ref="Z29:AC29"/>
    <mergeCell ref="AD29:AG29"/>
    <mergeCell ref="BD29:BJ29"/>
    <mergeCell ref="A28:C28"/>
    <mergeCell ref="D28:Q28"/>
    <mergeCell ref="A48:C48"/>
    <mergeCell ref="D48:Q48"/>
    <mergeCell ref="R48:U48"/>
    <mergeCell ref="V48:Y48"/>
    <mergeCell ref="Z48:AC48"/>
    <mergeCell ref="AD48:AG4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R28:U28"/>
    <mergeCell ref="A47:C47"/>
    <mergeCell ref="A14:C14"/>
    <mergeCell ref="A20:C20"/>
    <mergeCell ref="A21:C21"/>
    <mergeCell ref="A22:C22"/>
    <mergeCell ref="A23:C23"/>
    <mergeCell ref="A24:C24"/>
    <mergeCell ref="AH17:BC17"/>
    <mergeCell ref="AH18:BC18"/>
    <mergeCell ref="D20:Q20"/>
    <mergeCell ref="D21:Q21"/>
    <mergeCell ref="D22:Q22"/>
    <mergeCell ref="D23:Q23"/>
    <mergeCell ref="D24:Q24"/>
    <mergeCell ref="R22:U22"/>
    <mergeCell ref="R23:U23"/>
    <mergeCell ref="R24:U24"/>
    <mergeCell ref="V20:Y20"/>
    <mergeCell ref="V21:Y21"/>
    <mergeCell ref="V22:Y22"/>
    <mergeCell ref="V23:Y23"/>
    <mergeCell ref="V24:Y24"/>
    <mergeCell ref="R20:U20"/>
    <mergeCell ref="R21:U21"/>
    <mergeCell ref="D15:Q15"/>
    <mergeCell ref="A25:C25"/>
    <mergeCell ref="D25:Q25"/>
    <mergeCell ref="R25:U25"/>
    <mergeCell ref="V25:Y25"/>
    <mergeCell ref="Z25:AC25"/>
    <mergeCell ref="AD25:AG25"/>
    <mergeCell ref="A15:C15"/>
    <mergeCell ref="A16:C16"/>
    <mergeCell ref="A17:C17"/>
    <mergeCell ref="A18:C18"/>
    <mergeCell ref="A19:C19"/>
    <mergeCell ref="D16:Q16"/>
    <mergeCell ref="D17:Q17"/>
    <mergeCell ref="D18:Q18"/>
    <mergeCell ref="D19:Q19"/>
    <mergeCell ref="Z18:AC18"/>
    <mergeCell ref="Z19:AC19"/>
    <mergeCell ref="R19:U19"/>
    <mergeCell ref="V15:Y15"/>
    <mergeCell ref="V16:Y16"/>
    <mergeCell ref="V17:Y17"/>
    <mergeCell ref="V18:Y18"/>
    <mergeCell ref="V19:Y19"/>
    <mergeCell ref="R15:U15"/>
    <mergeCell ref="A11:C11"/>
    <mergeCell ref="D11:Q11"/>
    <mergeCell ref="R11:U11"/>
    <mergeCell ref="V11:Y11"/>
    <mergeCell ref="Z11:AC11"/>
    <mergeCell ref="AD11:AG11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11:BC11"/>
    <mergeCell ref="BD11:BJ11"/>
    <mergeCell ref="AT4:AX4"/>
    <mergeCell ref="AY4:BJ4"/>
    <mergeCell ref="A6:K6"/>
    <mergeCell ref="AH8:BC8"/>
    <mergeCell ref="BD8:BJ8"/>
    <mergeCell ref="A8:C8"/>
    <mergeCell ref="D8:Q8"/>
    <mergeCell ref="R8:U8"/>
    <mergeCell ref="V8:Y8"/>
    <mergeCell ref="Z8:AC8"/>
    <mergeCell ref="AD8:AG8"/>
    <mergeCell ref="D46:Q46"/>
    <mergeCell ref="R46:U46"/>
    <mergeCell ref="V46:Y46"/>
    <mergeCell ref="Z46:AC46"/>
    <mergeCell ref="AD46:AG46"/>
    <mergeCell ref="R14:U14"/>
    <mergeCell ref="V14:Y14"/>
    <mergeCell ref="Z14:AC14"/>
    <mergeCell ref="AD14:AG14"/>
    <mergeCell ref="Z20:AC20"/>
    <mergeCell ref="Z21:AC21"/>
    <mergeCell ref="Z22:AC22"/>
    <mergeCell ref="Z23:AC23"/>
    <mergeCell ref="Z24:AC24"/>
    <mergeCell ref="AD15:AG15"/>
    <mergeCell ref="AD16:AG16"/>
    <mergeCell ref="AD17:AG17"/>
    <mergeCell ref="AD18:AG18"/>
    <mergeCell ref="AD19:AG19"/>
    <mergeCell ref="AH14:BC14"/>
    <mergeCell ref="BD14:BJ14"/>
    <mergeCell ref="D14:Q14"/>
    <mergeCell ref="AH25:BC25"/>
    <mergeCell ref="BD25:BJ25"/>
    <mergeCell ref="V28:Y28"/>
    <mergeCell ref="Z28:AC28"/>
    <mergeCell ref="AD28:AG28"/>
    <mergeCell ref="BD28:BJ28"/>
    <mergeCell ref="AH28:BC28"/>
    <mergeCell ref="R16:U16"/>
    <mergeCell ref="R17:U17"/>
    <mergeCell ref="R18:U18"/>
    <mergeCell ref="AD20:AG20"/>
    <mergeCell ref="AD21:AG21"/>
    <mergeCell ref="AD22:AG22"/>
    <mergeCell ref="AD23:AG23"/>
    <mergeCell ref="AD24:AG24"/>
    <mergeCell ref="Z15:AC15"/>
    <mergeCell ref="Z16:AC16"/>
    <mergeCell ref="Z17:AC17"/>
    <mergeCell ref="D47:Q47"/>
    <mergeCell ref="R47:U47"/>
    <mergeCell ref="V47:Y47"/>
    <mergeCell ref="Z47:AC47"/>
    <mergeCell ref="AD47:AG47"/>
    <mergeCell ref="AH47:BC47"/>
    <mergeCell ref="BD47:BJ47"/>
    <mergeCell ref="A45:C45"/>
    <mergeCell ref="D45:Q45"/>
    <mergeCell ref="R45:U45"/>
    <mergeCell ref="V45:Y45"/>
    <mergeCell ref="Z45:AC45"/>
    <mergeCell ref="AD45:AG45"/>
    <mergeCell ref="AH45:BC45"/>
    <mergeCell ref="BD45:BJ45"/>
    <mergeCell ref="A46:C46"/>
    <mergeCell ref="A9:C9"/>
    <mergeCell ref="D9:Q9"/>
    <mergeCell ref="R9:U9"/>
    <mergeCell ref="V9:Y9"/>
    <mergeCell ref="Z9:AC9"/>
    <mergeCell ref="AD9:AG9"/>
    <mergeCell ref="AH9:BC9"/>
    <mergeCell ref="BD9:BJ9"/>
    <mergeCell ref="A10:C10"/>
    <mergeCell ref="D10:Q10"/>
    <mergeCell ref="R10:U10"/>
    <mergeCell ref="V10:Y10"/>
    <mergeCell ref="Z10:AC10"/>
    <mergeCell ref="AD10:AG10"/>
    <mergeCell ref="AH10:BC10"/>
    <mergeCell ref="BD10:BJ10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3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46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47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140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139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17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210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6" t="s">
        <v>22</v>
      </c>
      <c r="B8" s="37"/>
      <c r="C8" s="38"/>
      <c r="D8" s="36" t="s">
        <v>125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36" t="s">
        <v>48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47" t="s">
        <v>45</v>
      </c>
      <c r="BE8" s="148"/>
      <c r="BF8" s="148"/>
      <c r="BG8" s="148"/>
      <c r="BH8" s="148"/>
      <c r="BI8" s="148"/>
      <c r="BJ8" s="149"/>
    </row>
    <row r="9" spans="1:63" ht="90.75" customHeight="1">
      <c r="A9" s="67">
        <f t="shared" ref="A9:A18" si="0">ROW()-8</f>
        <v>1</v>
      </c>
      <c r="B9" s="68"/>
      <c r="C9" s="69"/>
      <c r="D9" s="138" t="s">
        <v>164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0"/>
      <c r="R9" s="138" t="s">
        <v>154</v>
      </c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40"/>
      <c r="BD9" s="141"/>
      <c r="BE9" s="142"/>
      <c r="BF9" s="142"/>
      <c r="BG9" s="142"/>
      <c r="BH9" s="142"/>
      <c r="BI9" s="142"/>
      <c r="BJ9" s="143"/>
    </row>
    <row r="10" spans="1:63" ht="93" customHeight="1">
      <c r="A10" s="67">
        <f t="shared" si="0"/>
        <v>2</v>
      </c>
      <c r="B10" s="68"/>
      <c r="C10" s="69"/>
      <c r="D10" s="138" t="s">
        <v>130</v>
      </c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38" t="s">
        <v>131</v>
      </c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41"/>
      <c r="BE10" s="142"/>
      <c r="BF10" s="142"/>
      <c r="BG10" s="142"/>
      <c r="BH10" s="142"/>
      <c r="BI10" s="142"/>
      <c r="BJ10" s="143"/>
    </row>
    <row r="11" spans="1:63" ht="81.75" customHeight="1">
      <c r="A11" s="67">
        <f t="shared" si="0"/>
        <v>3</v>
      </c>
      <c r="B11" s="68"/>
      <c r="C11" s="69"/>
      <c r="D11" s="138" t="s">
        <v>156</v>
      </c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  <c r="R11" s="138" t="s">
        <v>169</v>
      </c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40"/>
      <c r="BD11" s="141"/>
      <c r="BE11" s="142"/>
      <c r="BF11" s="142"/>
      <c r="BG11" s="142"/>
      <c r="BH11" s="142"/>
      <c r="BI11" s="142"/>
      <c r="BJ11" s="143"/>
    </row>
    <row r="12" spans="1:63" ht="62.25" customHeight="1">
      <c r="A12" s="67">
        <f t="shared" si="0"/>
        <v>4</v>
      </c>
      <c r="B12" s="68"/>
      <c r="C12" s="69"/>
      <c r="D12" s="138" t="s">
        <v>168</v>
      </c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  <c r="R12" s="138" t="s">
        <v>170</v>
      </c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0"/>
      <c r="BD12" s="141"/>
      <c r="BE12" s="142"/>
      <c r="BF12" s="142"/>
      <c r="BG12" s="142"/>
      <c r="BH12" s="142"/>
      <c r="BI12" s="142"/>
      <c r="BJ12" s="143"/>
    </row>
    <row r="13" spans="1:63" ht="107.25" customHeight="1">
      <c r="A13" s="67">
        <f t="shared" si="0"/>
        <v>5</v>
      </c>
      <c r="B13" s="68"/>
      <c r="C13" s="69"/>
      <c r="D13" s="138" t="s">
        <v>147</v>
      </c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40"/>
      <c r="R13" s="138" t="s">
        <v>144</v>
      </c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40"/>
      <c r="BD13" s="141"/>
      <c r="BE13" s="142"/>
      <c r="BF13" s="142"/>
      <c r="BG13" s="142"/>
      <c r="BH13" s="142"/>
      <c r="BI13" s="142"/>
      <c r="BJ13" s="143"/>
    </row>
    <row r="14" spans="1:63" ht="66" customHeight="1">
      <c r="A14" s="67">
        <f t="shared" si="0"/>
        <v>6</v>
      </c>
      <c r="B14" s="68"/>
      <c r="C14" s="69"/>
      <c r="D14" s="138" t="s">
        <v>145</v>
      </c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  <c r="R14" s="138" t="s">
        <v>146</v>
      </c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40"/>
      <c r="BD14" s="141"/>
      <c r="BE14" s="142"/>
      <c r="BF14" s="142"/>
      <c r="BG14" s="142"/>
      <c r="BH14" s="142"/>
      <c r="BI14" s="142"/>
      <c r="BJ14" s="143"/>
    </row>
    <row r="15" spans="1:63" ht="54" customHeight="1">
      <c r="A15" s="67">
        <f t="shared" si="0"/>
        <v>7</v>
      </c>
      <c r="B15" s="68"/>
      <c r="C15" s="69"/>
      <c r="D15" s="138" t="s">
        <v>166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40"/>
      <c r="R15" s="138" t="s">
        <v>167</v>
      </c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40"/>
      <c r="BD15" s="141"/>
      <c r="BE15" s="142"/>
      <c r="BF15" s="142"/>
      <c r="BG15" s="142"/>
      <c r="BH15" s="142"/>
      <c r="BI15" s="142"/>
      <c r="BJ15" s="143"/>
    </row>
    <row r="16" spans="1:63" ht="87" customHeight="1">
      <c r="A16" s="67">
        <f t="shared" si="0"/>
        <v>8</v>
      </c>
      <c r="B16" s="68"/>
      <c r="C16" s="69"/>
      <c r="D16" s="138" t="s">
        <v>180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40" t="s">
        <v>171</v>
      </c>
      <c r="R16" s="138" t="s">
        <v>173</v>
      </c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40"/>
      <c r="BD16" s="159"/>
      <c r="BE16" s="160"/>
      <c r="BF16" s="160"/>
      <c r="BG16" s="160"/>
      <c r="BH16" s="160"/>
      <c r="BI16" s="160"/>
      <c r="BJ16" s="161"/>
    </row>
    <row r="17" spans="1:63" ht="76.400000000000006" customHeight="1">
      <c r="A17" s="67">
        <f t="shared" si="0"/>
        <v>9</v>
      </c>
      <c r="B17" s="68"/>
      <c r="C17" s="69"/>
      <c r="D17" s="138" t="s">
        <v>181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40" t="s">
        <v>172</v>
      </c>
      <c r="R17" s="138" t="s">
        <v>209</v>
      </c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40"/>
      <c r="BD17" s="159"/>
      <c r="BE17" s="160"/>
      <c r="BF17" s="160"/>
      <c r="BG17" s="160"/>
      <c r="BH17" s="160"/>
      <c r="BI17" s="160"/>
      <c r="BJ17" s="161"/>
      <c r="BK17" s="34"/>
    </row>
    <row r="18" spans="1:63" ht="53.25" customHeight="1">
      <c r="A18" s="67">
        <f t="shared" si="0"/>
        <v>10</v>
      </c>
      <c r="B18" s="68"/>
      <c r="C18" s="69"/>
      <c r="D18" s="138" t="s">
        <v>232</v>
      </c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  <c r="R18" s="138" t="s">
        <v>233</v>
      </c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40"/>
      <c r="BD18" s="141"/>
      <c r="BE18" s="142"/>
      <c r="BF18" s="142"/>
      <c r="BG18" s="142"/>
      <c r="BH18" s="142"/>
      <c r="BI18" s="142"/>
      <c r="BJ18" s="143"/>
    </row>
    <row r="19" spans="1:63" ht="40.5" customHeight="1">
      <c r="A19" s="90"/>
      <c r="B19" s="91"/>
      <c r="C19" s="92"/>
      <c r="D19" s="153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5"/>
      <c r="R19" s="153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5"/>
      <c r="BD19" s="150"/>
      <c r="BE19" s="151"/>
      <c r="BF19" s="151"/>
      <c r="BG19" s="151"/>
      <c r="BH19" s="151"/>
      <c r="BI19" s="151"/>
      <c r="BJ19" s="152"/>
    </row>
    <row r="20" spans="1:63" s="10" customFormat="1" ht="6" customHeight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63" ht="21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63" ht="24" customHeight="1"/>
    <row r="23" spans="1:63" ht="24" customHeight="1"/>
    <row r="24" spans="1:63" ht="24" customHeight="1"/>
    <row r="25" spans="1:63" ht="24" customHeight="1"/>
    <row r="26" spans="1:63" ht="24" customHeight="1"/>
    <row r="27" spans="1:63" ht="24" customHeight="1"/>
    <row r="28" spans="1:63" ht="24" customHeight="1"/>
    <row r="29" spans="1:63" ht="24" customHeight="1"/>
    <row r="30" spans="1:63" ht="17.149999999999999" customHeight="1"/>
    <row r="31" spans="1:63" ht="17.149999999999999" customHeight="1"/>
    <row r="32" spans="1:63" ht="17.149999999999999" customHeight="1"/>
    <row r="33" ht="17.149999999999999" customHeight="1"/>
  </sheetData>
  <mergeCells count="61">
    <mergeCell ref="A13:C13"/>
    <mergeCell ref="A19:C19"/>
    <mergeCell ref="D19:Q19"/>
    <mergeCell ref="R19:BC19"/>
    <mergeCell ref="BD19:BJ19"/>
    <mergeCell ref="D13:Q13"/>
    <mergeCell ref="R13:BC13"/>
    <mergeCell ref="BD13:BJ13"/>
    <mergeCell ref="A18:C18"/>
    <mergeCell ref="D18:Q18"/>
    <mergeCell ref="R18:BC18"/>
    <mergeCell ref="BD18:BJ18"/>
    <mergeCell ref="A14:C14"/>
    <mergeCell ref="D14:Q14"/>
    <mergeCell ref="R14:BC14"/>
    <mergeCell ref="BD14:BJ14"/>
    <mergeCell ref="BD12:BJ12"/>
    <mergeCell ref="A8:C8"/>
    <mergeCell ref="D8:Q8"/>
    <mergeCell ref="R8:BC8"/>
    <mergeCell ref="BD8:BJ8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5:C15"/>
    <mergeCell ref="D15:Q15"/>
    <mergeCell ref="R15:BC15"/>
    <mergeCell ref="BD15:BJ15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2:C12"/>
    <mergeCell ref="D12:Q12"/>
    <mergeCell ref="R12:BC12"/>
    <mergeCell ref="AT4:AX4"/>
    <mergeCell ref="AY4:BJ4"/>
    <mergeCell ref="A6:K6"/>
    <mergeCell ref="L6:BJ6"/>
    <mergeCell ref="A9:C9"/>
    <mergeCell ref="D9:Q9"/>
    <mergeCell ref="R9:BC9"/>
    <mergeCell ref="BD9:BJ9"/>
    <mergeCell ref="A16:C16"/>
    <mergeCell ref="D16:Q16"/>
    <mergeCell ref="R16:BC16"/>
    <mergeCell ref="BD16:BJ16"/>
    <mergeCell ref="A17:C17"/>
    <mergeCell ref="D17:Q17"/>
    <mergeCell ref="R17:BC17"/>
    <mergeCell ref="BD17:BJ17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  <ds:schemaRef ds:uri="http://purl.org/dc/dcmitype/"/>
    <ds:schemaRef ds:uri="http://purl.org/dc/elements/1.1/"/>
    <ds:schemaRef ds:uri="997974fb-d42a-4ca7-9833-f051674eacb0"/>
    <ds:schemaRef ds:uri="899f1e7e-8fd6-442c-bf5f-5fd48d441c4a"/>
  </ds:schemaRefs>
</ds:datastoreItem>
</file>

<file path=customXml/itemProps3.xml><?xml version="1.0" encoding="utf-8"?>
<ds:datastoreItem xmlns:ds="http://schemas.openxmlformats.org/officeDocument/2006/customXml" ds:itemID="{26DD6ED0-4346-4126-8A5D-0BB787C06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2025-08-25T04:45:03Z</cp:lastPrinted>
  <dcterms:created xsi:type="dcterms:W3CDTF">2001-03-06T02:20:07Z</dcterms:created>
  <dcterms:modified xsi:type="dcterms:W3CDTF">2025-08-27T01:07:06Z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