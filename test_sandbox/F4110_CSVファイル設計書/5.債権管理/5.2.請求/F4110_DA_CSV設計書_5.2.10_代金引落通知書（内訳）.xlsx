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10_CSVファイル設計書\5.債権管理\5.2.請求\"/>
    </mc:Choice>
  </mc:AlternateContent>
  <xr:revisionPtr revIDLastSave="0" documentId="13_ncr:1_{78495EE9-0E1E-4D5F-88E5-1D50CA220EB0}" xr6:coauthVersionLast="47" xr6:coauthVersionMax="47" xr10:uidLastSave="{00000000-0000-0000-0000-000000000000}"/>
  <bookViews>
    <workbookView xWindow="-108" yWindow="-108" windowWidth="23256" windowHeight="13896" xr2:uid="{34653581-01D4-4656-8CE7-5233BC48CA44}"/>
  </bookViews>
  <sheets>
    <sheet name="変更履歴" sheetId="27" r:id="rId1"/>
    <sheet name="項目定義書" sheetId="37" r:id="rId2"/>
    <sheet name="CSVイメージ" sheetId="31" r:id="rId3"/>
    <sheet name="CSVイメージ_データ" sheetId="44" r:id="rId4"/>
    <sheet name="取込チェック・単体" sheetId="39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項目定義書!$A$20:$BJ$20</definedName>
    <definedName name="_xlnm.Print_Area" localSheetId="2">CSVイメージ!$A$1:$BJ$42</definedName>
    <definedName name="_xlnm.Print_Area" localSheetId="1">項目定義書!$A$1:$BJ$49</definedName>
    <definedName name="_xlnm.Print_Area" localSheetId="5">取込チェック・関連!$A$1:$BJ$42</definedName>
    <definedName name="_xlnm.Print_Area" localSheetId="4">取込チェック・単体!$A$1:$BJ$42</definedName>
    <definedName name="_xlnm.Print_Titles" localSheetId="2">CSVイメージ!$1:$9</definedName>
    <definedName name="_xlnm.Print_Titles" localSheetId="1">項目定義書!$1:$20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7" l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12" i="3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11" i="31"/>
  <c r="Q20" i="44"/>
  <c r="Q14" i="44"/>
  <c r="Q13" i="44"/>
  <c r="Q16" i="44"/>
  <c r="Q8" i="44"/>
  <c r="Q10" i="44"/>
  <c r="Q3" i="44"/>
  <c r="Q7" i="44" l="1"/>
  <c r="Q23" i="44"/>
  <c r="Q22" i="44"/>
  <c r="Q21" i="44"/>
  <c r="Q19" i="44"/>
  <c r="Q18" i="44"/>
  <c r="Q17" i="44"/>
  <c r="Q12" i="44"/>
  <c r="Q11" i="44"/>
  <c r="Q9" i="44"/>
  <c r="Q6" i="44"/>
  <c r="Q5" i="44"/>
  <c r="Q4" i="44"/>
  <c r="Q2" i="44"/>
  <c r="Q15" i="44" l="1"/>
  <c r="BF6" i="31"/>
  <c r="BF6" i="3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B06A89F-50B6-4CA6-98D7-C9EB7C7B8D57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0" authorId="1" shapeId="0" xr:uid="{4C24FC74-0CBB-45E4-9844-4D9C49A01E79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20" authorId="0" shapeId="0" xr:uid="{2C9C9763-E7F6-4575-A0E3-EF0BC8C28D05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0" authorId="0" shapeId="0" xr:uid="{516D3D05-990B-4FC0-B1E0-C66B1D69A9D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0" authorId="0" shapeId="0" xr:uid="{7B626877-67ED-4BA4-9096-9A2D514D9259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0" authorId="0" shapeId="0" xr:uid="{D28890A4-E416-43C9-B2E1-3C19C004C0C5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0" authorId="0" shapeId="0" xr:uid="{00410C22-FF79-4D8C-8C6D-CBC3FEAA8C5B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F771F18F-78D8-4569-A7AB-7B2DB08D63E9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F5B8E454-E82A-4121-9D6F-675454B5C46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96181FFF-505A-4A7C-9B2E-280EC883939A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573C9C95-406E-4688-906E-4126082DD3E2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0F4ACFB4-CBAA-478D-ACF4-F15D5E554F2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33FCDB4B-7F36-488B-BC7C-17EA428E0B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796B03BA-979B-4209-8984-CDA410782E5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<sst xmlns="http://schemas.openxmlformats.org/spreadsheetml/2006/main" count="581" uniqueCount="219">
  <si>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</si>
  <si>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</si>
  <si>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</si>
  <si>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</si>
  <si>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</si>
  <si>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</si>
  <si>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</si>
  <si>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</si>
  <si>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</si>
  <si>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</si>
  <si>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</si>
  <si>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</si>
  <si>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</si>
  <si>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</si>
  <si>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</si>
  <si>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</si>
  <si>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</si>
  <si>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</si>
  <si>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</si>
  <si>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</si>
  <si>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</si>
  <si>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</si>
  <si>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</si>
  <si>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</si>
  <si>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</si>
  <si>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</si>
  <si>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</si>
  <si>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</si>
  <si>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</si>
  <si>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</si>
  <si>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ＣＳＶファイル　データイメージ</t>
    <phoneticPr fontId="2"/>
  </si>
  <si>
    <t>F4110-2</t>
    <phoneticPr fontId="2"/>
  </si>
  <si>
    <t>なし</t>
  </si>
  <si>
    <t>あり</t>
  </si>
  <si>
    <t>文字コード</t>
    <rPh sb="0" eb="2">
      <t>モジ</t>
    </rPh>
    <phoneticPr fontId="2"/>
  </si>
  <si>
    <t>〇</t>
  </si>
  <si>
    <t>項目名称</t>
    <phoneticPr fontId="2"/>
  </si>
  <si>
    <t>データ格納イメージ</t>
    <rPh sb="3" eb="5">
      <t>カクノウ</t>
    </rPh>
    <phoneticPr fontId="2"/>
  </si>
  <si>
    <t>ＣＳＶ取込みチェック（単体 ）</t>
    <rPh sb="3" eb="5">
      <t>トリコ</t>
    </rPh>
    <rPh sb="11" eb="13">
      <t>タンタイ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</si>
  <si>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</si>
  <si>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</si>
  <si>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</si>
  <si>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</si>
  <si>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</si>
  <si>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</si>
  <si>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</si>
  <si>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</si>
  <si>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ＣＳＶ取込みチェック（関連 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</si>
  <si>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</si>
  <si>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</si>
  <si>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関連チェック概要</t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</si>
  <si>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</si>
  <si>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</si>
  <si>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</si>
  <si>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2025/08/29</t>
    <phoneticPr fontId="2"/>
  </si>
  <si>
    <t>統合会計システム</t>
    <phoneticPr fontId="2"/>
  </si>
  <si>
    <t>F4110-1D</t>
  </si>
  <si>
    <t>24058</t>
    <phoneticPr fontId="21"/>
  </si>
  <si>
    <t>基幹システム再構築　会計システム外部設計</t>
    <phoneticPr fontId="21"/>
  </si>
  <si>
    <t>チェックなし</t>
    <phoneticPr fontId="2"/>
  </si>
  <si>
    <t>SEQ</t>
  </si>
  <si>
    <t>**</t>
  </si>
  <si>
    <t>00222</t>
  </si>
  <si>
    <t>001</t>
  </si>
  <si>
    <t>002</t>
  </si>
  <si>
    <t>英数字</t>
    <rPh sb="0" eb="3">
      <t>エイスウジ</t>
    </rPh>
    <phoneticPr fontId="2"/>
  </si>
  <si>
    <t>漢字</t>
    <rPh sb="0" eb="2">
      <t>カンジ</t>
    </rPh>
    <phoneticPr fontId="2"/>
  </si>
  <si>
    <t>データ種別</t>
  </si>
  <si>
    <t>レコード識別</t>
  </si>
  <si>
    <t>農協コード</t>
  </si>
  <si>
    <t>回収サイト</t>
  </si>
  <si>
    <t>口座区分</t>
  </si>
  <si>
    <t>口座区分名称</t>
  </si>
  <si>
    <t>消費税合計</t>
  </si>
  <si>
    <t>軽減税率</t>
  </si>
  <si>
    <t>一般資材</t>
  </si>
  <si>
    <t>肥料</t>
  </si>
  <si>
    <t>生活</t>
  </si>
  <si>
    <t>卸米穀</t>
  </si>
  <si>
    <t>摘要区分</t>
  </si>
  <si>
    <t>消費税区分</t>
  </si>
  <si>
    <t>消費税区分名称</t>
  </si>
  <si>
    <t>消費税率</t>
  </si>
  <si>
    <t>商品体系識別コード</t>
  </si>
  <si>
    <t>業種コード</t>
  </si>
  <si>
    <t>業種名称</t>
  </si>
  <si>
    <t>飼料</t>
  </si>
  <si>
    <t>資材</t>
  </si>
  <si>
    <t>農機</t>
  </si>
  <si>
    <t>データ種別</t>
    <rPh sb="3" eb="5">
      <t>シュベツ</t>
    </rPh>
    <phoneticPr fontId="1"/>
  </si>
  <si>
    <t>レコード識別</t>
    <rPh sb="4" eb="6">
      <t>シキベツ</t>
    </rPh>
    <phoneticPr fontId="1"/>
  </si>
  <si>
    <t>農協コード</t>
    <rPh sb="0" eb="1">
      <t>ノウキョウ</t>
    </rPh>
    <phoneticPr fontId="2"/>
  </si>
  <si>
    <t>回収サイト</t>
    <rPh sb="0" eb="2">
      <t>カイシュウ</t>
    </rPh>
    <phoneticPr fontId="1"/>
  </si>
  <si>
    <t>数字</t>
  </si>
  <si>
    <t>口座区分</t>
    <rPh sb="0" eb="2">
      <t>コウザ</t>
    </rPh>
    <rPh sb="2" eb="4">
      <t>クブン</t>
    </rPh>
    <phoneticPr fontId="1"/>
  </si>
  <si>
    <t>英数字</t>
  </si>
  <si>
    <t>口座区分名称</t>
    <rPh sb="0" eb="2">
      <t>コウザ</t>
    </rPh>
    <rPh sb="2" eb="4">
      <t>クブン</t>
    </rPh>
    <rPh sb="4" eb="6">
      <t>メイショウ</t>
    </rPh>
    <phoneticPr fontId="1"/>
  </si>
  <si>
    <t>品代合計</t>
    <rPh sb="0" eb="2">
      <t>シナダイ</t>
    </rPh>
    <rPh sb="2" eb="4">
      <t>ゴウケイ</t>
    </rPh>
    <phoneticPr fontId="1"/>
  </si>
  <si>
    <t>消費税合計</t>
    <rPh sb="0" eb="3">
      <t>ショウヒゼイ</t>
    </rPh>
    <rPh sb="3" eb="5">
      <t>ゴウケイ</t>
    </rPh>
    <phoneticPr fontId="1"/>
  </si>
  <si>
    <t>引落額</t>
    <rPh sb="0" eb="2">
      <t>ヒキオトシ</t>
    </rPh>
    <rPh sb="2" eb="3">
      <t>ガク</t>
    </rPh>
    <phoneticPr fontId="1"/>
  </si>
  <si>
    <t>消費税区分</t>
    <rPh sb="0" eb="5">
      <t>ショウヒゼイクブン</t>
    </rPh>
    <phoneticPr fontId="1"/>
  </si>
  <si>
    <t>消費税区分名称</t>
    <rPh sb="0" eb="3">
      <t>ショウヒゼイ</t>
    </rPh>
    <rPh sb="3" eb="5">
      <t>クブン</t>
    </rPh>
    <rPh sb="5" eb="7">
      <t>メイショウ</t>
    </rPh>
    <phoneticPr fontId="1"/>
  </si>
  <si>
    <t>消費税率</t>
    <rPh sb="0" eb="3">
      <t>ショウヒゼイ</t>
    </rPh>
    <rPh sb="3" eb="4">
      <t>リツ</t>
    </rPh>
    <phoneticPr fontId="1"/>
  </si>
  <si>
    <t>○</t>
  </si>
  <si>
    <t>農協コードに紐づく名称</t>
    <rPh sb="5" eb="6">
      <t>ヒモ</t>
    </rPh>
    <rPh sb="8" eb="10">
      <t>メイショウ</t>
    </rPh>
    <phoneticPr fontId="2"/>
  </si>
  <si>
    <t>品代合計</t>
    <phoneticPr fontId="2"/>
  </si>
  <si>
    <t>引落額</t>
    <phoneticPr fontId="2"/>
  </si>
  <si>
    <t>00444</t>
    <phoneticPr fontId="2"/>
  </si>
  <si>
    <t>003</t>
    <phoneticPr fontId="2"/>
  </si>
  <si>
    <t>004</t>
    <phoneticPr fontId="2"/>
  </si>
  <si>
    <t>D05021001</t>
    <phoneticPr fontId="2"/>
  </si>
  <si>
    <t>商品体系識別名称</t>
    <phoneticPr fontId="2"/>
  </si>
  <si>
    <t>米麦種子</t>
  </si>
  <si>
    <t>農産種子</t>
  </si>
  <si>
    <t>野菜種子</t>
  </si>
  <si>
    <t>花き種子</t>
  </si>
  <si>
    <t>通知書№</t>
    <rPh sb="0" eb="3">
      <t>ツウチショ</t>
    </rPh>
    <phoneticPr fontId="2"/>
  </si>
  <si>
    <t>通知書№</t>
    <rPh sb="0" eb="3">
      <t>ツウチショナンバー</t>
    </rPh>
    <phoneticPr fontId="1"/>
  </si>
  <si>
    <t>数字</t>
    <phoneticPr fontId="2"/>
  </si>
  <si>
    <t>農協コード枝番に紐づく名称</t>
    <rPh sb="5" eb="7">
      <t>エダバン</t>
    </rPh>
    <rPh sb="7" eb="8">
      <t>ヒモ</t>
    </rPh>
    <rPh sb="10" eb="12">
      <t>メイショウ</t>
    </rPh>
    <phoneticPr fontId="2"/>
  </si>
  <si>
    <t>納品書№</t>
  </si>
  <si>
    <t>納品書№</t>
    <rPh sb="0" eb="2">
      <t>ノウヒンショ</t>
    </rPh>
    <phoneticPr fontId="1"/>
  </si>
  <si>
    <t>農協コード枝番</t>
    <phoneticPr fontId="1"/>
  </si>
  <si>
    <t>摘要区分</t>
    <phoneticPr fontId="1"/>
  </si>
  <si>
    <t>商品体系識別コード</t>
    <phoneticPr fontId="1"/>
  </si>
  <si>
    <t>商品体系識別名称</t>
    <phoneticPr fontId="1"/>
  </si>
  <si>
    <t>業種コード</t>
    <phoneticPr fontId="1"/>
  </si>
  <si>
    <t>業種名称</t>
    <phoneticPr fontId="1"/>
  </si>
  <si>
    <t>農協コード枝番</t>
    <phoneticPr fontId="2"/>
  </si>
  <si>
    <t>農協コード</t>
    <rPh sb="0" eb="2">
      <t>ノウキョウ</t>
    </rPh>
    <phoneticPr fontId="2"/>
  </si>
  <si>
    <t>農協コード枝番</t>
    <rPh sb="0" eb="2">
      <t>ノウキョウ</t>
    </rPh>
    <rPh sb="5" eb="7">
      <t>エダバン</t>
    </rPh>
    <phoneticPr fontId="2"/>
  </si>
  <si>
    <t>通知書№</t>
    <phoneticPr fontId="2"/>
  </si>
  <si>
    <t>口座区分</t>
    <phoneticPr fontId="2"/>
  </si>
  <si>
    <t>レコード識別</t>
    <rPh sb="4" eb="6">
      <t>シキベツ</t>
    </rPh>
    <phoneticPr fontId="2"/>
  </si>
  <si>
    <t>回収サイト</t>
    <rPh sb="0" eb="2">
      <t>カイシュウ</t>
    </rPh>
    <phoneticPr fontId="2"/>
  </si>
  <si>
    <t>納品書№</t>
    <rPh sb="0" eb="4">
      <t>ノウヒンショナンバー</t>
    </rPh>
    <phoneticPr fontId="2"/>
  </si>
  <si>
    <t>昇順</t>
  </si>
  <si>
    <t>19423461</t>
    <phoneticPr fontId="2"/>
  </si>
  <si>
    <t>1942348</t>
    <phoneticPr fontId="2"/>
  </si>
  <si>
    <t>21365809</t>
    <phoneticPr fontId="2"/>
  </si>
  <si>
    <t>10010</t>
    <phoneticPr fontId="2"/>
  </si>
  <si>
    <t>11</t>
    <phoneticPr fontId="2"/>
  </si>
  <si>
    <t>取引先（農協）を分類するコード</t>
    <rPh sb="4" eb="6">
      <t>ノウキョウ</t>
    </rPh>
    <phoneticPr fontId="2"/>
  </si>
  <si>
    <t>回収予定日（yyyy/MM/dd形式）</t>
    <rPh sb="0" eb="4">
      <t>カイシュウヨテイビ</t>
    </rPh>
    <rPh sb="16" eb="18">
      <t>ケイシキ</t>
    </rPh>
    <phoneticPr fontId="2"/>
  </si>
  <si>
    <t>2024/11/15</t>
    <phoneticPr fontId="2"/>
  </si>
  <si>
    <t>一般資材</t>
    <phoneticPr fontId="2"/>
  </si>
  <si>
    <t>乳代</t>
    <rPh sb="0" eb="1">
      <t>ニュウ</t>
    </rPh>
    <rPh sb="1" eb="2">
      <t>ダイ</t>
    </rPh>
    <phoneticPr fontId="2"/>
  </si>
  <si>
    <t>肥料利息</t>
    <rPh sb="0" eb="2">
      <t>ヒリョウ</t>
    </rPh>
    <rPh sb="2" eb="4">
      <t>リソク</t>
    </rPh>
    <phoneticPr fontId="2"/>
  </si>
  <si>
    <t>生活利息</t>
    <rPh sb="0" eb="2">
      <t>セイカツ</t>
    </rPh>
    <rPh sb="2" eb="4">
      <t>リソク</t>
    </rPh>
    <phoneticPr fontId="2"/>
  </si>
  <si>
    <t>卸米穀利息</t>
    <rPh sb="0" eb="1">
      <t>オロシ</t>
    </rPh>
    <rPh sb="1" eb="3">
      <t>ベイコク</t>
    </rPh>
    <rPh sb="3" eb="5">
      <t>リソク</t>
    </rPh>
    <phoneticPr fontId="2"/>
  </si>
  <si>
    <t>12</t>
    <phoneticPr fontId="2"/>
  </si>
  <si>
    <t>摘要区分</t>
    <rPh sb="0" eb="2">
      <t>テキヨウ</t>
    </rPh>
    <rPh sb="2" eb="4">
      <t>クブン</t>
    </rPh>
    <phoneticPr fontId="2"/>
  </si>
  <si>
    <t>摘要区分名称</t>
  </si>
  <si>
    <t>摘要区分名称</t>
    <phoneticPr fontId="1"/>
  </si>
  <si>
    <t>取引先支店（農協）を分類するコード</t>
    <rPh sb="3" eb="5">
      <t>シテン</t>
    </rPh>
    <phoneticPr fontId="2"/>
  </si>
  <si>
    <t>請求先区分＋請求先コード(先頭5桁）＋"-"＋引落回収予定日＋"-"＋連番(01から）とする。
（XXXXXX-XXXXXXXX-XX）</t>
    <rPh sb="13" eb="15">
      <t>セントウ</t>
    </rPh>
    <rPh sb="16" eb="17">
      <t>ケタ</t>
    </rPh>
    <rPh sb="35" eb="37">
      <t>レンバン</t>
    </rPh>
    <phoneticPr fontId="2"/>
  </si>
  <si>
    <t>レコード識別
1：口座引落総合計
2：請求箇所別摘要別集計
3：明細
9：引落対象外</t>
    <rPh sb="3" eb="5">
      <t>シキベツ</t>
    </rPh>
    <rPh sb="9" eb="11">
      <t>コウザ</t>
    </rPh>
    <rPh sb="11" eb="13">
      <t>ヒキオトシ</t>
    </rPh>
    <rPh sb="13" eb="16">
      <t>ソウゴウケイ</t>
    </rPh>
    <rPh sb="19" eb="23">
      <t>セイキュウカショ</t>
    </rPh>
    <rPh sb="23" eb="24">
      <t>ベツ</t>
    </rPh>
    <rPh sb="24" eb="26">
      <t>テキヨウ</t>
    </rPh>
    <rPh sb="26" eb="27">
      <t>ベツ</t>
    </rPh>
    <rPh sb="27" eb="29">
      <t>シュウケイ</t>
    </rPh>
    <rPh sb="32" eb="34">
      <t>メイサイ</t>
    </rPh>
    <rPh sb="37" eb="39">
      <t>ヒキオトシ</t>
    </rPh>
    <rPh sb="39" eb="42">
      <t>タイショウガイ</t>
    </rPh>
    <phoneticPr fontId="2"/>
  </si>
  <si>
    <t>各レコードの「品代合計」と「消費税合計」の合計値</t>
    <rPh sb="6" eb="8">
      <t>シナダイ</t>
    </rPh>
    <rPh sb="8" eb="10">
      <t>ゴウケイ</t>
    </rPh>
    <rPh sb="13" eb="16">
      <t>ショウヒゼイ</t>
    </rPh>
    <rPh sb="16" eb="18">
      <t>ゴウケイ</t>
    </rPh>
    <rPh sb="20" eb="23">
      <t>ゴウケイチ</t>
    </rPh>
    <phoneticPr fontId="2"/>
  </si>
  <si>
    <t>口座区分に紐づく名称
※レコード識別が1の場合は空欄を設定する。</t>
    <rPh sb="0" eb="1">
      <t>ヒモ</t>
    </rPh>
    <rPh sb="3" eb="5">
      <t>メイショウ</t>
    </rPh>
    <phoneticPr fontId="2"/>
  </si>
  <si>
    <t>摘要区分に紐づく名称
※レコード識別が1の場合は空欄を設定する。</t>
    <rPh sb="1" eb="2">
      <t>ヒモ</t>
    </rPh>
    <rPh sb="4" eb="6">
      <t>メイショウ</t>
    </rPh>
    <phoneticPr fontId="2"/>
  </si>
  <si>
    <t>各部門システムの取引情報とを紐づけ出来るコード
※レコード識別が1か2の場合は空欄を設定する。</t>
    <rPh sb="40" eb="42">
      <t>クウラン</t>
    </rPh>
    <phoneticPr fontId="2"/>
  </si>
  <si>
    <t>消費税区分に紐づく名称
※レコード識別が1か2の場合は空欄を設定する。</t>
    <phoneticPr fontId="2"/>
  </si>
  <si>
    <t>消費税の利率を表す
※レコード識別が1か2の場合は空欄を設定する。</t>
    <rPh sb="0" eb="3">
      <t>ショウヒゼイ</t>
    </rPh>
    <rPh sb="4" eb="6">
      <t>リリツ</t>
    </rPh>
    <rPh sb="7" eb="8">
      <t>アラワ</t>
    </rPh>
    <phoneticPr fontId="2"/>
  </si>
  <si>
    <t>商品コードのコード体系の分類
※レコード識別が1か2の場合は空欄を設定する。　　　　　　　　　　　　　　　　　　</t>
    <phoneticPr fontId="2"/>
  </si>
  <si>
    <t>商品体系識別コードに紐づく名称
※レコード識別が1か2の場合は空欄を設定する。</t>
    <rPh sb="10" eb="11">
      <t>ヒモ</t>
    </rPh>
    <rPh sb="13" eb="15">
      <t>メイショウ</t>
    </rPh>
    <phoneticPr fontId="2"/>
  </si>
  <si>
    <t>当該仕訳の勘定科目が帰属する組織の業種コード
※レコード識別が1か2の場合は空欄を設定する。</t>
    <phoneticPr fontId="2"/>
  </si>
  <si>
    <t>業種コードに紐づく名称
※レコード識別が1か2の場合は空欄を設定する。</t>
    <rPh sb="0" eb="2">
      <t>ギョウシュ</t>
    </rPh>
    <rPh sb="6" eb="7">
      <t>ヒモ</t>
    </rPh>
    <rPh sb="9" eb="11">
      <t>メイショウ</t>
    </rPh>
    <phoneticPr fontId="2"/>
  </si>
  <si>
    <t>100222-20241115-01</t>
    <phoneticPr fontId="2"/>
  </si>
  <si>
    <t>100444-20241115-01</t>
    <phoneticPr fontId="2"/>
  </si>
  <si>
    <t>一般資材</t>
    <rPh sb="0" eb="2">
      <t>イッパン</t>
    </rPh>
    <rPh sb="2" eb="4">
      <t>シザイ</t>
    </rPh>
    <phoneticPr fontId="2"/>
  </si>
  <si>
    <t>シーケンス番号（1ファイル全体で1から自動採番）</t>
    <rPh sb="4" eb="6">
      <t>バンゴウ</t>
    </rPh>
    <phoneticPr fontId="2"/>
  </si>
  <si>
    <t>数字</t>
    <rPh sb="0" eb="2">
      <t>スウジ</t>
    </rPh>
    <phoneticPr fontId="2"/>
  </si>
  <si>
    <t>Shift jis</t>
  </si>
  <si>
    <t>Shift jis</t>
    <phoneticPr fontId="2"/>
  </si>
  <si>
    <t>"**"固定（※HIS様の情報提供によっては変更の可能性あり）</t>
    <rPh sb="3" eb="5">
      <t>コテイ</t>
    </rPh>
    <rPh sb="11" eb="12">
      <t>サマ</t>
    </rPh>
    <phoneticPr fontId="2"/>
  </si>
  <si>
    <t>3,4</t>
    <phoneticPr fontId="2"/>
  </si>
  <si>
    <t>8.0000</t>
  </si>
  <si>
    <t>8.0000</t>
    <phoneticPr fontId="2"/>
  </si>
  <si>
    <t>10.0000</t>
    <phoneticPr fontId="2"/>
  </si>
  <si>
    <t>代金引落額の括りを表す区分
※レコード識別が1の場合は空欄を設定する。</t>
    <rPh sb="0" eb="2">
      <t>ダイキン</t>
    </rPh>
    <rPh sb="2" eb="4">
      <t>ヒキオトシ</t>
    </rPh>
    <rPh sb="4" eb="5">
      <t>ガク</t>
    </rPh>
    <phoneticPr fontId="2"/>
  </si>
  <si>
    <t>受付No</t>
    <phoneticPr fontId="2"/>
  </si>
  <si>
    <t>11025080100000001000</t>
    <phoneticPr fontId="2"/>
  </si>
  <si>
    <t>受付№</t>
    <rPh sb="0" eb="2">
      <t>ウケツケ</t>
    </rPh>
    <phoneticPr fontId="2"/>
  </si>
  <si>
    <t>11025080100000002000</t>
    <phoneticPr fontId="2"/>
  </si>
  <si>
    <t>11025080100000003000</t>
    <phoneticPr fontId="2"/>
  </si>
  <si>
    <t>11025080100000004000</t>
    <phoneticPr fontId="2"/>
  </si>
  <si>
    <t>12025080100000001000</t>
    <phoneticPr fontId="2"/>
  </si>
  <si>
    <t>13025080100000001000</t>
    <phoneticPr fontId="2"/>
  </si>
  <si>
    <t>14025080100000001000</t>
    <phoneticPr fontId="2"/>
  </si>
  <si>
    <t>12025080100000002000</t>
    <phoneticPr fontId="2"/>
  </si>
  <si>
    <t>12025080100000003000</t>
    <phoneticPr fontId="2"/>
  </si>
  <si>
    <t>13025080100000002000</t>
    <phoneticPr fontId="2"/>
  </si>
  <si>
    <t>14025080100000005000</t>
    <phoneticPr fontId="2"/>
  </si>
  <si>
    <t>代金引落通知書（内訳）</t>
    <phoneticPr fontId="2"/>
  </si>
  <si>
    <t>発生元のシステムが原取引に採番した番号
発生元システム取引ＮＯ+発生元システム取引ＮＯ枝番
※レコード識別が1か2の場合は空欄を設定する。</t>
    <phoneticPr fontId="2"/>
  </si>
  <si>
    <t>レコード識別名称</t>
    <rPh sb="4" eb="6">
      <t>シキベツ</t>
    </rPh>
    <rPh sb="6" eb="8">
      <t>メイショウ</t>
    </rPh>
    <phoneticPr fontId="1"/>
  </si>
  <si>
    <t>レコード識別名称</t>
    <rPh sb="4" eb="6">
      <t>シキベツ</t>
    </rPh>
    <rPh sb="6" eb="8">
      <t>メイショウ</t>
    </rPh>
    <phoneticPr fontId="2"/>
  </si>
  <si>
    <t>レコード識別に紐づく名称</t>
    <rPh sb="3" eb="5">
      <t>シキベツ</t>
    </rPh>
    <rPh sb="7" eb="8">
      <t>ヒモ</t>
    </rPh>
    <rPh sb="10" eb="12">
      <t>メイショウ</t>
    </rPh>
    <phoneticPr fontId="2"/>
  </si>
  <si>
    <t>口座引落総合計</t>
  </si>
  <si>
    <t>請求箇所別摘要別集計</t>
  </si>
  <si>
    <t>明細</t>
  </si>
  <si>
    <t>引落対象外</t>
    <phoneticPr fontId="2"/>
  </si>
  <si>
    <t>発生した取引における消費税を分類する区分（1：標準税率、2：軽減税率、5：非課税、6：不課税）
※レコード識別が1か2の場合は空欄を設定する。</t>
    <phoneticPr fontId="2"/>
  </si>
  <si>
    <t>1</t>
    <phoneticPr fontId="2"/>
  </si>
  <si>
    <t>農協名称</t>
    <rPh sb="0" eb="2">
      <t>ノウキョウ</t>
    </rPh>
    <rPh sb="2" eb="3">
      <t>メイ</t>
    </rPh>
    <phoneticPr fontId="1"/>
  </si>
  <si>
    <t>農協枝番名称</t>
    <phoneticPr fontId="1"/>
  </si>
  <si>
    <t>農協名称</t>
    <phoneticPr fontId="2"/>
  </si>
  <si>
    <t>農協枝番名称</t>
    <phoneticPr fontId="2"/>
  </si>
  <si>
    <t>夕張市農協</t>
  </si>
  <si>
    <t>旭川市農協</t>
    <rPh sb="0" eb="3">
      <t>アサヒカワシ</t>
    </rPh>
    <rPh sb="3" eb="5">
      <t>ノウキョウ</t>
    </rPh>
    <phoneticPr fontId="2"/>
  </si>
  <si>
    <t>本所</t>
  </si>
  <si>
    <t>Ａコープ</t>
  </si>
  <si>
    <t>本所</t>
    <phoneticPr fontId="2"/>
  </si>
  <si>
    <t>Ａコープ</t>
    <phoneticPr fontId="2"/>
  </si>
  <si>
    <t>夕張市農協</t>
    <phoneticPr fontId="2"/>
  </si>
  <si>
    <t>標準税率</t>
    <phoneticPr fontId="2"/>
  </si>
  <si>
    <t>レコード識別が1以外の場合は、摘要区分の1桁目を設定する。
※レコード識別が1の場合は空欄を設定する。
※レコード識別が1以外の場合、口座区分・摘要区分単位で集計したとき、該当の口座区分が存在しない場合はレコード全体を表示しない。</t>
    <phoneticPr fontId="2"/>
  </si>
  <si>
    <t>レコード識別が1の場合は以下で集計した品代
・請求先コード（先頭５桁）
・回収予定日
レコード識別が2の場合は以下で集計した品代
・請求先コード
・回収予定日
・摘要区分
レコード識別が3・9の場合は以下で集計した品代
・請求先コード
・回収予定日
・摘要区分
・発生元システム取引ＮＯ
・発生元システム取引ＮＯ枝番
・納品書ＮＯ
・摘要区分
・消費税取引区分
・商品体系識別コード
・業種コード
※集計した際に金額が0の場合は0を設定する。</t>
    <rPh sb="4" eb="6">
      <t>シキベツ</t>
    </rPh>
    <rPh sb="9" eb="11">
      <t>バアイ</t>
    </rPh>
    <rPh sb="13" eb="15">
      <t>シュウケイ</t>
    </rPh>
    <rPh sb="18" eb="20">
      <t>シナダイ</t>
    </rPh>
    <rPh sb="30" eb="32">
      <t>セントウ</t>
    </rPh>
    <rPh sb="33" eb="34">
      <t>ケタ</t>
    </rPh>
    <rPh sb="47" eb="49">
      <t>シキベツ</t>
    </rPh>
    <rPh sb="52" eb="54">
      <t>バアイ</t>
    </rPh>
    <rPh sb="56" eb="58">
      <t>シュウケイ</t>
    </rPh>
    <rPh sb="60" eb="62">
      <t>シナダイ</t>
    </rPh>
    <rPh sb="81" eb="83">
      <t>テキヨウ</t>
    </rPh>
    <rPh sb="83" eb="85">
      <t>クブン</t>
    </rPh>
    <rPh sb="199" eb="201">
      <t>シュウケイ</t>
    </rPh>
    <rPh sb="203" eb="204">
      <t>サイ</t>
    </rPh>
    <rPh sb="205" eb="207">
      <t>キンガク</t>
    </rPh>
    <rPh sb="210" eb="212">
      <t>バアイ</t>
    </rPh>
    <rPh sb="215" eb="217">
      <t>セッテイ</t>
    </rPh>
    <phoneticPr fontId="2"/>
  </si>
  <si>
    <t>レコード識別が1の場合は以下で集計した消費税
・請求先コード（先頭５桁）
・回収予定日
レコード識別が2の場合は以下で集計した消費税
・請求先コード
・回収予定日
・摘要区分
レコード識別が3・9の場合は以下で集計した消費税
・請求先コード
・回収予定日
・摘要区分
・発生元システム取引ＮＯ
・発生元システム取引ＮＯ枝番
・納品書ＮＯ
・摘要区分
・消費税取引区分
・商品体系識別コード
・業種コード
※集計した際に金額が0の場合は0を設定する。</t>
    <rPh sb="19" eb="22">
      <t>ショウヒゼイ</t>
    </rPh>
    <rPh sb="63" eb="66">
      <t>ショウヒゼイ</t>
    </rPh>
    <rPh sb="83" eb="85">
      <t>テキヨウ</t>
    </rPh>
    <rPh sb="201" eb="203">
      <t>シュウケイ</t>
    </rPh>
    <rPh sb="205" eb="206">
      <t>サイ</t>
    </rPh>
    <rPh sb="207" eb="209">
      <t>キンガク</t>
    </rPh>
    <rPh sb="212" eb="214">
      <t>バアイ</t>
    </rPh>
    <rPh sb="217" eb="219">
      <t>セッテイ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</si>
</sst>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6" fillId="0" borderId="0"/>
    <xf numFmtId="0" fontId="16" fillId="0" borderId="0">
      <alignment vertical="center"/>
    </xf>
  </cellStyleXfs>
  <cellXfs count="168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19" xfId="1" applyNumberFormat="1" applyFont="1" applyBorder="1"/>
    <xf numFmtId="49" fontId="3" fillId="0" borderId="19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20" xfId="1" applyNumberFormat="1" applyFont="1" applyBorder="1"/>
    <xf numFmtId="49" fontId="3" fillId="0" borderId="16" xfId="1" applyNumberFormat="1" applyFont="1" applyBorder="1"/>
    <xf numFmtId="49" fontId="3" fillId="0" borderId="17" xfId="1" applyNumberFormat="1" applyFont="1" applyBorder="1"/>
    <xf numFmtId="49" fontId="3" fillId="0" borderId="18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22" fillId="0" borderId="0" xfId="0" applyNumberFormat="1" applyFont="1"/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6" fillId="0" borderId="14" xfId="0" applyFont="1" applyBorder="1"/>
    <xf numFmtId="49" fontId="3" fillId="0" borderId="7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2" fillId="0" borderId="0" xfId="0" applyFont="1"/>
    <xf numFmtId="0" fontId="22" fillId="3" borderId="1" xfId="0" applyFont="1" applyFill="1" applyBorder="1"/>
    <xf numFmtId="0" fontId="22" fillId="0" borderId="1" xfId="0" applyFont="1" applyBorder="1"/>
    <xf numFmtId="14" fontId="22" fillId="0" borderId="1" xfId="0" applyNumberFormat="1" applyFont="1" applyBorder="1"/>
    <xf numFmtId="0" fontId="22" fillId="0" borderId="1" xfId="0" quotePrefix="1" applyFont="1" applyBorder="1"/>
    <xf numFmtId="0" fontId="22" fillId="0" borderId="3" xfId="0" applyFont="1" applyBorder="1"/>
    <xf numFmtId="0" fontId="3" fillId="2" borderId="0" xfId="0" applyFont="1" applyFill="1" applyAlignment="1">
      <alignment vertical="center"/>
    </xf>
    <xf numFmtId="0" fontId="0" fillId="0" borderId="2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quotePrefix="1" applyBorder="1" applyAlignment="1">
      <alignment vertical="center"/>
    </xf>
    <xf numFmtId="0" fontId="22" fillId="0" borderId="1" xfId="0" quotePrefix="1" applyFont="1" applyBorder="1" applyAlignment="1">
      <alignment horizontal="right"/>
    </xf>
    <xf numFmtId="0" fontId="22" fillId="4" borderId="1" xfId="0" applyFont="1" applyFill="1" applyBorder="1"/>
    <xf numFmtId="49" fontId="3" fillId="0" borderId="7" xfId="0" quotePrefix="1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9" xfId="0" quotePrefix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quotePrefix="1" applyFont="1" applyBorder="1" applyAlignment="1">
      <alignment horizontal="left" vertical="center"/>
    </xf>
    <xf numFmtId="0" fontId="3" fillId="0" borderId="27" xfId="0" quotePrefix="1" applyFont="1" applyBorder="1" applyAlignment="1">
      <alignment horizontal="left" vertical="center"/>
    </xf>
    <xf numFmtId="0" fontId="3" fillId="0" borderId="28" xfId="0" quotePrefix="1" applyFont="1" applyBorder="1" applyAlignment="1">
      <alignment horizontal="left" vertical="center"/>
    </xf>
    <xf numFmtId="0" fontId="3" fillId="0" borderId="21" xfId="0" quotePrefix="1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7" xfId="0" quotePrefix="1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3" fillId="0" borderId="23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quotePrefix="1" applyNumberFormat="1" applyFont="1" applyBorder="1" applyAlignment="1">
      <alignment horizontal="left" vertical="center" wrapText="1"/>
    </xf>
    <xf numFmtId="49" fontId="3" fillId="0" borderId="9" xfId="0" quotePrefix="1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quotePrefix="1" applyNumberFormat="1" applyFont="1" applyBorder="1" applyAlignment="1">
      <alignment horizontal="left" vertical="center" wrapText="1"/>
    </xf>
    <xf numFmtId="49" fontId="3" fillId="0" borderId="11" xfId="0" quotePrefix="1" applyNumberFormat="1" applyFont="1" applyBorder="1" applyAlignment="1">
      <alignment horizontal="left" vertical="center" wrapText="1"/>
    </xf>
    <xf numFmtId="49" fontId="3" fillId="0" borderId="12" xfId="0" quotePrefix="1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quotePrefix="1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2" t="s">
        <v>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4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2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55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54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16" customFormat="1" ht="9" customHeight="1"/>
    <row r="6" spans="1:62" s="20" customFormat="1" ht="15.75" customHeight="1">
      <c r="A6" s="59" t="s">
        <v>9</v>
      </c>
      <c r="B6" s="60"/>
      <c r="C6" s="60"/>
      <c r="D6" s="60"/>
      <c r="E6" s="60"/>
      <c r="F6" s="60"/>
      <c r="G6" s="61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57</v>
      </c>
      <c r="C8" s="15"/>
      <c r="D8" s="15"/>
      <c r="E8" s="15"/>
      <c r="F8" s="15"/>
      <c r="G8" s="15"/>
      <c r="H8" s="22"/>
      <c r="I8" s="20" t="s">
        <v>58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BJ28" s="24"/>
    </row>
    <row r="29" spans="1:62" s="20" customFormat="1" ht="20.25" customHeight="1">
      <c r="A29" s="21"/>
      <c r="H29" s="21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5"/>
      <c r="B56" s="26"/>
      <c r="C56" s="26"/>
      <c r="D56" s="26"/>
      <c r="E56" s="26"/>
      <c r="F56" s="26"/>
      <c r="G56" s="26"/>
      <c r="H56" s="25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7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C824-4FBB-4F52-B98E-D50574E5EE41}">
  <sheetPr codeName="Sheet2">
    <pageSetUpPr fitToPage="1"/>
  </sheetPr>
  <dimension ref="A1:BJ49"/>
  <sheetViews>
    <sheetView view="pageBreakPreview" zoomScale="115" zoomScaleNormal="100" zoomScaleSheetLayoutView="115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2" t="s">
        <v>11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56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2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55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54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2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2" s="12" customFormat="1" ht="6" customHeight="1"/>
    <row r="6" spans="1:62" s="14" customFormat="1" ht="20.25" customHeight="1">
      <c r="A6" s="100" t="s">
        <v>12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">
        <v>110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1"/>
      <c r="AB6" s="100" t="s">
        <v>13</v>
      </c>
      <c r="AC6" s="102"/>
      <c r="AD6" s="102"/>
      <c r="AE6" s="102"/>
      <c r="AF6" s="102"/>
      <c r="AG6" s="102"/>
      <c r="AH6" s="102"/>
      <c r="AI6" s="102"/>
      <c r="AJ6" s="101"/>
      <c r="AK6" s="100" t="s">
        <v>32</v>
      </c>
      <c r="AL6" s="102"/>
      <c r="AM6" s="102"/>
      <c r="AN6" s="101"/>
      <c r="AO6" s="100" t="s">
        <v>14</v>
      </c>
      <c r="AP6" s="102"/>
      <c r="AQ6" s="102"/>
      <c r="AR6" s="102"/>
      <c r="AS6" s="102"/>
      <c r="AT6" s="102"/>
      <c r="AU6" s="102"/>
      <c r="AV6" s="102"/>
      <c r="AW6" s="101"/>
      <c r="AX6" s="100" t="s">
        <v>33</v>
      </c>
      <c r="AY6" s="102"/>
      <c r="AZ6" s="102"/>
      <c r="BA6" s="101"/>
      <c r="BB6" s="103" t="s">
        <v>15</v>
      </c>
      <c r="BC6" s="103"/>
      <c r="BD6" s="103"/>
      <c r="BE6" s="103"/>
      <c r="BF6" s="103">
        <f>COUNTA(D21:D421)</f>
        <v>26</v>
      </c>
      <c r="BG6" s="103"/>
      <c r="BH6" s="103"/>
      <c r="BI6" s="103"/>
      <c r="BJ6" s="103"/>
    </row>
    <row r="7" spans="1:62" s="14" customFormat="1" ht="20.25" customHeight="1">
      <c r="A7" s="100" t="s">
        <v>16</v>
      </c>
      <c r="B7" s="102"/>
      <c r="C7" s="102"/>
      <c r="D7" s="102"/>
      <c r="E7" s="102"/>
      <c r="F7" s="102"/>
      <c r="G7" s="102"/>
      <c r="H7" s="102"/>
      <c r="I7" s="102"/>
      <c r="J7" s="102"/>
      <c r="K7" s="101"/>
      <c r="L7" s="112" t="s">
        <v>193</v>
      </c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4"/>
      <c r="AK7" s="100" t="s">
        <v>34</v>
      </c>
      <c r="AL7" s="102"/>
      <c r="AM7" s="102"/>
      <c r="AN7" s="102"/>
      <c r="AO7" s="102"/>
      <c r="AP7" s="102"/>
      <c r="AQ7" s="102"/>
      <c r="AR7" s="101"/>
      <c r="AS7" s="100" t="s">
        <v>173</v>
      </c>
      <c r="AT7" s="102"/>
      <c r="AU7" s="102"/>
      <c r="AV7" s="102"/>
      <c r="AW7" s="102"/>
      <c r="AX7" s="101"/>
      <c r="AY7" s="30" t="s">
        <v>17</v>
      </c>
      <c r="AZ7" s="31"/>
      <c r="BA7" s="31"/>
      <c r="BB7" s="31"/>
      <c r="BC7" s="100" t="s">
        <v>103</v>
      </c>
      <c r="BD7" s="101"/>
      <c r="BE7" s="100" t="s">
        <v>18</v>
      </c>
      <c r="BF7" s="102"/>
      <c r="BG7" s="102"/>
      <c r="BH7" s="101"/>
      <c r="BI7" s="100"/>
      <c r="BJ7" s="101"/>
    </row>
    <row r="8" spans="1:62" s="14" customFormat="1" ht="13.2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BC8" s="35"/>
      <c r="BD8" s="35"/>
      <c r="BE8" s="35"/>
      <c r="BF8" s="35"/>
      <c r="BG8" s="35"/>
      <c r="BH8" s="35"/>
      <c r="BI8" s="35"/>
      <c r="BJ8" s="35"/>
    </row>
    <row r="9" spans="1:62" s="14" customFormat="1" ht="20.25" customHeight="1">
      <c r="A9" s="36" t="s">
        <v>51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6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BC9" s="35"/>
      <c r="BD9" s="35"/>
      <c r="BE9" s="35"/>
      <c r="BF9" s="35"/>
      <c r="BG9" s="35"/>
      <c r="BH9" s="35"/>
      <c r="BI9" s="35"/>
      <c r="BJ9" s="35"/>
    </row>
    <row r="10" spans="1:62" s="14" customFormat="1" ht="20.25" customHeight="1">
      <c r="A10" s="103" t="s">
        <v>20</v>
      </c>
      <c r="B10" s="103"/>
      <c r="C10" s="103"/>
      <c r="D10" s="104" t="s">
        <v>52</v>
      </c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3" t="s">
        <v>53</v>
      </c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</row>
    <row r="11" spans="1:62" s="14" customFormat="1" ht="20.25" customHeight="1">
      <c r="A11" s="108">
        <v>1</v>
      </c>
      <c r="B11" s="108"/>
      <c r="C11" s="108"/>
      <c r="D11" s="109" t="s">
        <v>131</v>
      </c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1"/>
      <c r="AS11" s="105" t="s">
        <v>136</v>
      </c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7"/>
    </row>
    <row r="12" spans="1:62" s="14" customFormat="1" ht="19.95" customHeight="1">
      <c r="A12" s="128">
        <v>2</v>
      </c>
      <c r="B12" s="128"/>
      <c r="C12" s="128"/>
      <c r="D12" s="129" t="s">
        <v>133</v>
      </c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1"/>
      <c r="AS12" s="84" t="s">
        <v>136</v>
      </c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6"/>
    </row>
    <row r="13" spans="1:62" s="14" customFormat="1" ht="19.95" customHeight="1">
      <c r="A13" s="128">
        <v>3</v>
      </c>
      <c r="B13" s="128"/>
      <c r="C13" s="128"/>
      <c r="D13" s="129" t="s">
        <v>129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1"/>
      <c r="AS13" s="84" t="s">
        <v>136</v>
      </c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6"/>
    </row>
    <row r="14" spans="1:62" s="14" customFormat="1" ht="19.95" customHeight="1">
      <c r="A14" s="128">
        <v>4</v>
      </c>
      <c r="B14" s="128"/>
      <c r="C14" s="128"/>
      <c r="D14" s="129" t="s">
        <v>130</v>
      </c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1"/>
      <c r="AS14" s="84" t="s">
        <v>136</v>
      </c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6"/>
    </row>
    <row r="15" spans="1:62" s="14" customFormat="1" ht="19.95" customHeight="1">
      <c r="A15" s="128">
        <v>5</v>
      </c>
      <c r="B15" s="128"/>
      <c r="C15" s="128"/>
      <c r="D15" s="129" t="s">
        <v>134</v>
      </c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1"/>
      <c r="AS15" s="84" t="s">
        <v>136</v>
      </c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6"/>
    </row>
    <row r="16" spans="1:62" s="14" customFormat="1" ht="19.95" customHeight="1">
      <c r="A16" s="128">
        <v>6</v>
      </c>
      <c r="B16" s="128"/>
      <c r="C16" s="128"/>
      <c r="D16" s="129" t="s">
        <v>132</v>
      </c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1"/>
      <c r="AS16" s="84" t="s">
        <v>136</v>
      </c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6"/>
    </row>
    <row r="17" spans="1:62" s="14" customFormat="1" ht="19.95" customHeight="1">
      <c r="A17" s="128">
        <v>7</v>
      </c>
      <c r="B17" s="128"/>
      <c r="C17" s="128"/>
      <c r="D17" s="129" t="s">
        <v>151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1"/>
      <c r="AS17" s="84" t="s">
        <v>136</v>
      </c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6"/>
    </row>
    <row r="18" spans="1:62" s="14" customFormat="1" ht="19.95" customHeight="1">
      <c r="A18" s="124">
        <v>8</v>
      </c>
      <c r="B18" s="124"/>
      <c r="C18" s="124"/>
      <c r="D18" s="125" t="s">
        <v>135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7"/>
      <c r="AS18" s="118" t="s">
        <v>136</v>
      </c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20"/>
    </row>
    <row r="19" spans="1:62" s="4" customFormat="1">
      <c r="B19" s="29" t="s">
        <v>19</v>
      </c>
      <c r="G19" s="5"/>
    </row>
    <row r="20" spans="1:62" s="14" customFormat="1" ht="42" customHeight="1">
      <c r="A20" s="100" t="s">
        <v>20</v>
      </c>
      <c r="B20" s="102"/>
      <c r="C20" s="101"/>
      <c r="D20" s="100" t="s">
        <v>21</v>
      </c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1"/>
      <c r="U20" s="115" t="s">
        <v>22</v>
      </c>
      <c r="V20" s="116"/>
      <c r="W20" s="116"/>
      <c r="X20" s="116"/>
      <c r="Y20" s="117"/>
      <c r="Z20" s="115" t="s">
        <v>23</v>
      </c>
      <c r="AA20" s="116"/>
      <c r="AB20" s="117"/>
      <c r="AC20" s="115" t="s">
        <v>24</v>
      </c>
      <c r="AD20" s="116"/>
      <c r="AE20" s="117"/>
      <c r="AF20" s="115" t="s">
        <v>25</v>
      </c>
      <c r="AG20" s="116"/>
      <c r="AH20" s="117"/>
      <c r="AI20" s="115" t="s">
        <v>26</v>
      </c>
      <c r="AJ20" s="116"/>
      <c r="AK20" s="117"/>
      <c r="AL20" s="115" t="s">
        <v>27</v>
      </c>
      <c r="AM20" s="116"/>
      <c r="AN20" s="117"/>
      <c r="AO20" s="115" t="s">
        <v>28</v>
      </c>
      <c r="AP20" s="116"/>
      <c r="AQ20" s="117"/>
      <c r="AR20" s="100" t="s">
        <v>29</v>
      </c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1"/>
    </row>
    <row r="21" spans="1:62" s="13" customFormat="1" ht="30.6" customHeight="1">
      <c r="A21" s="87">
        <v>1</v>
      </c>
      <c r="B21" s="87"/>
      <c r="C21" s="87"/>
      <c r="D21" s="94" t="s">
        <v>89</v>
      </c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6"/>
      <c r="U21" s="88" t="s">
        <v>65</v>
      </c>
      <c r="V21" s="89"/>
      <c r="W21" s="89"/>
      <c r="X21" s="89"/>
      <c r="Y21" s="90"/>
      <c r="Z21" s="88">
        <v>2</v>
      </c>
      <c r="AA21" s="89"/>
      <c r="AB21" s="90"/>
      <c r="AC21" s="91"/>
      <c r="AD21" s="92"/>
      <c r="AE21" s="93"/>
      <c r="AF21" s="91"/>
      <c r="AG21" s="92"/>
      <c r="AH21" s="93"/>
      <c r="AI21" s="91"/>
      <c r="AJ21" s="92"/>
      <c r="AK21" s="93"/>
      <c r="AL21" s="91"/>
      <c r="AM21" s="92"/>
      <c r="AN21" s="93"/>
      <c r="AO21" s="91" t="s">
        <v>35</v>
      </c>
      <c r="AP21" s="92"/>
      <c r="AQ21" s="93"/>
      <c r="AR21" s="97" t="s">
        <v>174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9"/>
    </row>
    <row r="22" spans="1:62" s="13" customFormat="1" ht="30.6" customHeight="1">
      <c r="A22" s="80">
        <f>A21+1</f>
        <v>2</v>
      </c>
      <c r="B22" s="80"/>
      <c r="C22" s="80"/>
      <c r="D22" s="81" t="s">
        <v>60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3"/>
      <c r="U22" s="84" t="s">
        <v>118</v>
      </c>
      <c r="V22" s="85"/>
      <c r="W22" s="85"/>
      <c r="X22" s="85"/>
      <c r="Y22" s="86"/>
      <c r="Z22" s="84">
        <v>8</v>
      </c>
      <c r="AA22" s="85"/>
      <c r="AB22" s="86"/>
      <c r="AC22" s="84"/>
      <c r="AD22" s="85"/>
      <c r="AE22" s="86"/>
      <c r="AF22" s="84"/>
      <c r="AG22" s="85"/>
      <c r="AH22" s="86"/>
      <c r="AI22" s="84"/>
      <c r="AJ22" s="85"/>
      <c r="AK22" s="86"/>
      <c r="AL22" s="84"/>
      <c r="AM22" s="85"/>
      <c r="AN22" s="86"/>
      <c r="AO22" s="84" t="s">
        <v>35</v>
      </c>
      <c r="AP22" s="85"/>
      <c r="AQ22" s="86"/>
      <c r="AR22" s="77" t="s">
        <v>170</v>
      </c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9"/>
    </row>
    <row r="23" spans="1:62" s="13" customFormat="1" ht="60" customHeight="1">
      <c r="A23" s="80">
        <f t="shared" ref="A23:A46" si="0">A22+1</f>
        <v>3</v>
      </c>
      <c r="B23" s="80"/>
      <c r="C23" s="80"/>
      <c r="D23" s="81" t="s">
        <v>117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3"/>
      <c r="U23" s="84" t="s">
        <v>65</v>
      </c>
      <c r="V23" s="85"/>
      <c r="W23" s="85"/>
      <c r="X23" s="85"/>
      <c r="Y23" s="86"/>
      <c r="Z23" s="84">
        <v>18</v>
      </c>
      <c r="AA23" s="85"/>
      <c r="AB23" s="86"/>
      <c r="AC23" s="84"/>
      <c r="AD23" s="85"/>
      <c r="AE23" s="86"/>
      <c r="AF23" s="84"/>
      <c r="AG23" s="85"/>
      <c r="AH23" s="86"/>
      <c r="AI23" s="84"/>
      <c r="AJ23" s="85"/>
      <c r="AK23" s="86"/>
      <c r="AL23" s="84"/>
      <c r="AM23" s="85"/>
      <c r="AN23" s="86"/>
      <c r="AO23" s="84" t="s">
        <v>35</v>
      </c>
      <c r="AP23" s="85"/>
      <c r="AQ23" s="86"/>
      <c r="AR23" s="77" t="s">
        <v>155</v>
      </c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9"/>
    </row>
    <row r="24" spans="1:62" s="13" customFormat="1" ht="84.6" customHeight="1">
      <c r="A24" s="80">
        <f t="shared" si="0"/>
        <v>4</v>
      </c>
      <c r="B24" s="80"/>
      <c r="C24" s="80"/>
      <c r="D24" s="81" t="s">
        <v>90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3"/>
      <c r="U24" s="84" t="s">
        <v>65</v>
      </c>
      <c r="V24" s="85"/>
      <c r="W24" s="85"/>
      <c r="X24" s="85"/>
      <c r="Y24" s="86"/>
      <c r="Z24" s="84">
        <v>1</v>
      </c>
      <c r="AA24" s="85"/>
      <c r="AB24" s="86"/>
      <c r="AC24" s="84"/>
      <c r="AD24" s="85"/>
      <c r="AE24" s="86"/>
      <c r="AF24" s="84"/>
      <c r="AG24" s="85"/>
      <c r="AH24" s="86"/>
      <c r="AI24" s="84"/>
      <c r="AJ24" s="85"/>
      <c r="AK24" s="86"/>
      <c r="AL24" s="84"/>
      <c r="AM24" s="85"/>
      <c r="AN24" s="86"/>
      <c r="AO24" s="84" t="s">
        <v>35</v>
      </c>
      <c r="AP24" s="85"/>
      <c r="AQ24" s="86"/>
      <c r="AR24" s="77" t="s">
        <v>156</v>
      </c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9"/>
    </row>
    <row r="25" spans="1:62" s="13" customFormat="1" ht="30" customHeight="1">
      <c r="A25" s="80">
        <f t="shared" si="0"/>
        <v>5</v>
      </c>
      <c r="B25" s="80"/>
      <c r="C25" s="80"/>
      <c r="D25" s="81" t="s">
        <v>195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3"/>
      <c r="U25" s="84" t="s">
        <v>66</v>
      </c>
      <c r="V25" s="85"/>
      <c r="W25" s="85"/>
      <c r="X25" s="85"/>
      <c r="Y25" s="86"/>
      <c r="Z25" s="84">
        <v>10</v>
      </c>
      <c r="AA25" s="85"/>
      <c r="AB25" s="86"/>
      <c r="AC25" s="84"/>
      <c r="AD25" s="85"/>
      <c r="AE25" s="86"/>
      <c r="AF25" s="84"/>
      <c r="AG25" s="85"/>
      <c r="AH25" s="86"/>
      <c r="AI25" s="84"/>
      <c r="AJ25" s="85"/>
      <c r="AK25" s="86"/>
      <c r="AL25" s="84"/>
      <c r="AM25" s="85"/>
      <c r="AN25" s="86"/>
      <c r="AO25" s="84" t="s">
        <v>35</v>
      </c>
      <c r="AP25" s="85"/>
      <c r="AQ25" s="86"/>
      <c r="AR25" s="77" t="s">
        <v>197</v>
      </c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9"/>
    </row>
    <row r="26" spans="1:62" s="13" customFormat="1" ht="30.6" customHeight="1">
      <c r="A26" s="80">
        <f t="shared" si="0"/>
        <v>6</v>
      </c>
      <c r="B26" s="80"/>
      <c r="C26" s="80"/>
      <c r="D26" s="81" t="s">
        <v>91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3"/>
      <c r="U26" s="84" t="s">
        <v>65</v>
      </c>
      <c r="V26" s="85"/>
      <c r="W26" s="85"/>
      <c r="X26" s="85"/>
      <c r="Y26" s="86"/>
      <c r="Z26" s="84">
        <v>5</v>
      </c>
      <c r="AA26" s="85"/>
      <c r="AB26" s="86"/>
      <c r="AC26" s="84"/>
      <c r="AD26" s="85"/>
      <c r="AE26" s="86"/>
      <c r="AF26" s="84"/>
      <c r="AG26" s="85"/>
      <c r="AH26" s="86"/>
      <c r="AI26" s="84"/>
      <c r="AJ26" s="85"/>
      <c r="AK26" s="86"/>
      <c r="AL26" s="84"/>
      <c r="AM26" s="85"/>
      <c r="AN26" s="86"/>
      <c r="AO26" s="84" t="s">
        <v>35</v>
      </c>
      <c r="AP26" s="85"/>
      <c r="AQ26" s="86"/>
      <c r="AR26" s="77" t="s">
        <v>142</v>
      </c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9"/>
    </row>
    <row r="27" spans="1:62" s="13" customFormat="1" ht="30.6" customHeight="1">
      <c r="A27" s="80">
        <f t="shared" si="0"/>
        <v>7</v>
      </c>
      <c r="B27" s="80"/>
      <c r="C27" s="80"/>
      <c r="D27" s="81" t="s">
        <v>204</v>
      </c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3"/>
      <c r="U27" s="84" t="s">
        <v>66</v>
      </c>
      <c r="V27" s="85"/>
      <c r="W27" s="85"/>
      <c r="X27" s="85"/>
      <c r="Y27" s="86"/>
      <c r="Z27" s="84">
        <v>30</v>
      </c>
      <c r="AA27" s="85"/>
      <c r="AB27" s="86"/>
      <c r="AC27" s="84"/>
      <c r="AD27" s="85"/>
      <c r="AE27" s="86"/>
      <c r="AF27" s="84"/>
      <c r="AG27" s="85"/>
      <c r="AH27" s="86"/>
      <c r="AI27" s="84"/>
      <c r="AJ27" s="85"/>
      <c r="AK27" s="86"/>
      <c r="AL27" s="84"/>
      <c r="AM27" s="85"/>
      <c r="AN27" s="86"/>
      <c r="AO27" s="84" t="s">
        <v>35</v>
      </c>
      <c r="AP27" s="85"/>
      <c r="AQ27" s="86"/>
      <c r="AR27" s="77" t="s">
        <v>104</v>
      </c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9"/>
    </row>
    <row r="28" spans="1:62" s="13" customFormat="1" ht="30.6" customHeight="1">
      <c r="A28" s="80">
        <f t="shared" si="0"/>
        <v>8</v>
      </c>
      <c r="B28" s="80"/>
      <c r="C28" s="80"/>
      <c r="D28" s="81" t="s">
        <v>122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3"/>
      <c r="U28" s="84" t="s">
        <v>95</v>
      </c>
      <c r="V28" s="85"/>
      <c r="W28" s="85"/>
      <c r="X28" s="85"/>
      <c r="Y28" s="86"/>
      <c r="Z28" s="84">
        <v>3</v>
      </c>
      <c r="AA28" s="85"/>
      <c r="AB28" s="86"/>
      <c r="AC28" s="84"/>
      <c r="AD28" s="85"/>
      <c r="AE28" s="86"/>
      <c r="AF28" s="84"/>
      <c r="AG28" s="85"/>
      <c r="AH28" s="86"/>
      <c r="AI28" s="84"/>
      <c r="AJ28" s="85"/>
      <c r="AK28" s="86"/>
      <c r="AL28" s="84"/>
      <c r="AM28" s="85"/>
      <c r="AN28" s="86"/>
      <c r="AO28" s="84"/>
      <c r="AP28" s="85"/>
      <c r="AQ28" s="86"/>
      <c r="AR28" s="77" t="s">
        <v>154</v>
      </c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9"/>
    </row>
    <row r="29" spans="1:62" s="13" customFormat="1" ht="30.6" customHeight="1">
      <c r="A29" s="80">
        <f t="shared" si="0"/>
        <v>9</v>
      </c>
      <c r="B29" s="80"/>
      <c r="C29" s="80"/>
      <c r="D29" s="81" t="s">
        <v>205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3"/>
      <c r="U29" s="84" t="s">
        <v>66</v>
      </c>
      <c r="V29" s="85"/>
      <c r="W29" s="85"/>
      <c r="X29" s="85"/>
      <c r="Y29" s="86"/>
      <c r="Z29" s="84">
        <v>20</v>
      </c>
      <c r="AA29" s="85"/>
      <c r="AB29" s="86"/>
      <c r="AC29" s="84"/>
      <c r="AD29" s="85"/>
      <c r="AE29" s="86"/>
      <c r="AF29" s="84"/>
      <c r="AG29" s="85"/>
      <c r="AH29" s="86"/>
      <c r="AI29" s="84"/>
      <c r="AJ29" s="85"/>
      <c r="AK29" s="86"/>
      <c r="AL29" s="84"/>
      <c r="AM29" s="85"/>
      <c r="AN29" s="86"/>
      <c r="AO29" s="84"/>
      <c r="AP29" s="85"/>
      <c r="AQ29" s="86"/>
      <c r="AR29" s="77" t="s">
        <v>119</v>
      </c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9"/>
    </row>
    <row r="30" spans="1:62" s="13" customFormat="1" ht="30.6" customHeight="1">
      <c r="A30" s="80">
        <f t="shared" si="0"/>
        <v>10</v>
      </c>
      <c r="B30" s="80"/>
      <c r="C30" s="80"/>
      <c r="D30" s="81" t="s">
        <v>92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3"/>
      <c r="U30" s="84" t="s">
        <v>118</v>
      </c>
      <c r="V30" s="85"/>
      <c r="W30" s="85"/>
      <c r="X30" s="85"/>
      <c r="Y30" s="86"/>
      <c r="Z30" s="84">
        <v>10</v>
      </c>
      <c r="AA30" s="85"/>
      <c r="AB30" s="86"/>
      <c r="AC30" s="84"/>
      <c r="AD30" s="85"/>
      <c r="AE30" s="86"/>
      <c r="AF30" s="84"/>
      <c r="AG30" s="85"/>
      <c r="AH30" s="86"/>
      <c r="AI30" s="84"/>
      <c r="AJ30" s="85"/>
      <c r="AK30" s="86"/>
      <c r="AL30" s="84"/>
      <c r="AM30" s="85"/>
      <c r="AN30" s="86"/>
      <c r="AO30" s="84" t="s">
        <v>35</v>
      </c>
      <c r="AP30" s="85"/>
      <c r="AQ30" s="86"/>
      <c r="AR30" s="77" t="s">
        <v>143</v>
      </c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9"/>
    </row>
    <row r="31" spans="1:62" s="13" customFormat="1" ht="153" customHeight="1">
      <c r="A31" s="80">
        <f t="shared" si="0"/>
        <v>11</v>
      </c>
      <c r="B31" s="80"/>
      <c r="C31" s="80"/>
      <c r="D31" s="81" t="s">
        <v>94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3"/>
      <c r="U31" s="84" t="s">
        <v>95</v>
      </c>
      <c r="V31" s="85"/>
      <c r="W31" s="85"/>
      <c r="X31" s="85"/>
      <c r="Y31" s="86"/>
      <c r="Z31" s="84">
        <v>1</v>
      </c>
      <c r="AA31" s="85"/>
      <c r="AB31" s="86"/>
      <c r="AC31" s="84"/>
      <c r="AD31" s="85"/>
      <c r="AE31" s="86"/>
      <c r="AF31" s="84"/>
      <c r="AG31" s="85"/>
      <c r="AH31" s="86"/>
      <c r="AI31" s="84"/>
      <c r="AJ31" s="85"/>
      <c r="AK31" s="86"/>
      <c r="AL31" s="84"/>
      <c r="AM31" s="85"/>
      <c r="AN31" s="86"/>
      <c r="AO31" s="84"/>
      <c r="AP31" s="85"/>
      <c r="AQ31" s="86"/>
      <c r="AR31" s="77" t="s">
        <v>216</v>
      </c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9"/>
    </row>
    <row r="32" spans="1:62" s="13" customFormat="1" ht="55.2" customHeight="1">
      <c r="A32" s="80">
        <f t="shared" si="0"/>
        <v>12</v>
      </c>
      <c r="B32" s="80"/>
      <c r="C32" s="80"/>
      <c r="D32" s="81" t="s">
        <v>96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3"/>
      <c r="U32" s="84" t="s">
        <v>66</v>
      </c>
      <c r="V32" s="85"/>
      <c r="W32" s="85"/>
      <c r="X32" s="85"/>
      <c r="Y32" s="86"/>
      <c r="Z32" s="84">
        <v>4</v>
      </c>
      <c r="AA32" s="85"/>
      <c r="AB32" s="86"/>
      <c r="AC32" s="84"/>
      <c r="AD32" s="85"/>
      <c r="AE32" s="86"/>
      <c r="AF32" s="84"/>
      <c r="AG32" s="85"/>
      <c r="AH32" s="86"/>
      <c r="AI32" s="84"/>
      <c r="AJ32" s="85"/>
      <c r="AK32" s="86"/>
      <c r="AL32" s="84"/>
      <c r="AM32" s="85"/>
      <c r="AN32" s="86"/>
      <c r="AO32" s="84"/>
      <c r="AP32" s="85"/>
      <c r="AQ32" s="86"/>
      <c r="AR32" s="77" t="s">
        <v>158</v>
      </c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9"/>
    </row>
    <row r="33" spans="1:62" s="13" customFormat="1" ht="58.2" customHeight="1">
      <c r="A33" s="80">
        <f t="shared" si="0"/>
        <v>13</v>
      </c>
      <c r="B33" s="80"/>
      <c r="C33" s="80"/>
      <c r="D33" s="81" t="s">
        <v>123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3"/>
      <c r="U33" s="84" t="s">
        <v>95</v>
      </c>
      <c r="V33" s="85"/>
      <c r="W33" s="85"/>
      <c r="X33" s="85"/>
      <c r="Y33" s="86"/>
      <c r="Z33" s="84">
        <v>2</v>
      </c>
      <c r="AA33" s="85"/>
      <c r="AB33" s="86"/>
      <c r="AC33" s="84"/>
      <c r="AD33" s="85"/>
      <c r="AE33" s="86"/>
      <c r="AF33" s="84"/>
      <c r="AG33" s="85"/>
      <c r="AH33" s="86"/>
      <c r="AI33" s="84"/>
      <c r="AJ33" s="85"/>
      <c r="AK33" s="86"/>
      <c r="AL33" s="84"/>
      <c r="AM33" s="85"/>
      <c r="AN33" s="86"/>
      <c r="AO33" s="84"/>
      <c r="AP33" s="85"/>
      <c r="AQ33" s="86"/>
      <c r="AR33" s="77" t="s">
        <v>179</v>
      </c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9"/>
    </row>
    <row r="34" spans="1:62" s="13" customFormat="1" ht="64.2" customHeight="1">
      <c r="A34" s="80">
        <f t="shared" si="0"/>
        <v>14</v>
      </c>
      <c r="B34" s="80"/>
      <c r="C34" s="80"/>
      <c r="D34" s="81" t="s">
        <v>153</v>
      </c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3"/>
      <c r="U34" s="84" t="s">
        <v>66</v>
      </c>
      <c r="V34" s="85"/>
      <c r="W34" s="85"/>
      <c r="X34" s="85"/>
      <c r="Y34" s="86"/>
      <c r="Z34" s="84">
        <v>10</v>
      </c>
      <c r="AA34" s="85"/>
      <c r="AB34" s="86"/>
      <c r="AC34" s="84"/>
      <c r="AD34" s="85"/>
      <c r="AE34" s="86"/>
      <c r="AF34" s="84"/>
      <c r="AG34" s="85"/>
      <c r="AH34" s="86"/>
      <c r="AI34" s="84"/>
      <c r="AJ34" s="85"/>
      <c r="AK34" s="86"/>
      <c r="AL34" s="84"/>
      <c r="AM34" s="85"/>
      <c r="AN34" s="86"/>
      <c r="AO34" s="84"/>
      <c r="AP34" s="85"/>
      <c r="AQ34" s="86"/>
      <c r="AR34" s="77" t="s">
        <v>159</v>
      </c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9"/>
    </row>
    <row r="35" spans="1:62" s="13" customFormat="1" ht="370.8" customHeight="1">
      <c r="A35" s="80">
        <f t="shared" si="0"/>
        <v>15</v>
      </c>
      <c r="B35" s="80"/>
      <c r="C35" s="80"/>
      <c r="D35" s="81" t="s">
        <v>97</v>
      </c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3"/>
      <c r="U35" s="84" t="s">
        <v>93</v>
      </c>
      <c r="V35" s="85"/>
      <c r="W35" s="85"/>
      <c r="X35" s="85"/>
      <c r="Y35" s="86"/>
      <c r="Z35" s="84">
        <v>14</v>
      </c>
      <c r="AA35" s="85"/>
      <c r="AB35" s="86"/>
      <c r="AC35" s="84" t="s">
        <v>103</v>
      </c>
      <c r="AD35" s="85"/>
      <c r="AE35" s="86"/>
      <c r="AF35" s="84"/>
      <c r="AG35" s="85"/>
      <c r="AH35" s="86"/>
      <c r="AI35" s="84"/>
      <c r="AJ35" s="85"/>
      <c r="AK35" s="86"/>
      <c r="AL35" s="84"/>
      <c r="AM35" s="85"/>
      <c r="AN35" s="86"/>
      <c r="AO35" s="84" t="s">
        <v>35</v>
      </c>
      <c r="AP35" s="85"/>
      <c r="AQ35" s="86"/>
      <c r="AR35" s="77" t="s">
        <v>217</v>
      </c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9"/>
    </row>
    <row r="36" spans="1:62" s="13" customFormat="1" ht="357.6" customHeight="1">
      <c r="A36" s="80">
        <f t="shared" si="0"/>
        <v>16</v>
      </c>
      <c r="B36" s="80"/>
      <c r="C36" s="80"/>
      <c r="D36" s="81" t="s">
        <v>98</v>
      </c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3"/>
      <c r="U36" s="84" t="s">
        <v>93</v>
      </c>
      <c r="V36" s="85"/>
      <c r="W36" s="85"/>
      <c r="X36" s="85"/>
      <c r="Y36" s="86"/>
      <c r="Z36" s="84">
        <v>14</v>
      </c>
      <c r="AA36" s="85"/>
      <c r="AB36" s="86"/>
      <c r="AC36" s="84" t="s">
        <v>103</v>
      </c>
      <c r="AD36" s="85"/>
      <c r="AE36" s="86"/>
      <c r="AF36" s="84"/>
      <c r="AG36" s="85"/>
      <c r="AH36" s="86"/>
      <c r="AI36" s="84"/>
      <c r="AJ36" s="85"/>
      <c r="AK36" s="86"/>
      <c r="AL36" s="84"/>
      <c r="AM36" s="85"/>
      <c r="AN36" s="86"/>
      <c r="AO36" s="84" t="s">
        <v>35</v>
      </c>
      <c r="AP36" s="85"/>
      <c r="AQ36" s="86"/>
      <c r="AR36" s="77" t="s">
        <v>218</v>
      </c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9"/>
    </row>
    <row r="37" spans="1:62" s="13" customFormat="1" ht="30.6" customHeight="1">
      <c r="A37" s="80">
        <f t="shared" si="0"/>
        <v>17</v>
      </c>
      <c r="B37" s="80"/>
      <c r="C37" s="80"/>
      <c r="D37" s="81" t="s">
        <v>99</v>
      </c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3"/>
      <c r="U37" s="84" t="s">
        <v>118</v>
      </c>
      <c r="V37" s="85"/>
      <c r="W37" s="85"/>
      <c r="X37" s="85"/>
      <c r="Y37" s="86"/>
      <c r="Z37" s="84">
        <v>14</v>
      </c>
      <c r="AA37" s="85"/>
      <c r="AB37" s="86"/>
      <c r="AC37" s="84" t="s">
        <v>103</v>
      </c>
      <c r="AD37" s="85"/>
      <c r="AE37" s="86"/>
      <c r="AF37" s="84"/>
      <c r="AG37" s="85"/>
      <c r="AH37" s="86"/>
      <c r="AI37" s="84"/>
      <c r="AJ37" s="85"/>
      <c r="AK37" s="86"/>
      <c r="AL37" s="84"/>
      <c r="AM37" s="85"/>
      <c r="AN37" s="86"/>
      <c r="AO37" s="84" t="s">
        <v>35</v>
      </c>
      <c r="AP37" s="85"/>
      <c r="AQ37" s="86"/>
      <c r="AR37" s="77" t="s">
        <v>157</v>
      </c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/>
    </row>
    <row r="38" spans="1:62" s="13" customFormat="1" ht="88.8" customHeight="1">
      <c r="A38" s="80">
        <f t="shared" si="0"/>
        <v>18</v>
      </c>
      <c r="B38" s="80"/>
      <c r="C38" s="80"/>
      <c r="D38" s="81" t="s">
        <v>180</v>
      </c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3"/>
      <c r="U38" s="84" t="s">
        <v>95</v>
      </c>
      <c r="V38" s="85"/>
      <c r="W38" s="85"/>
      <c r="X38" s="85"/>
      <c r="Y38" s="86"/>
      <c r="Z38" s="84">
        <v>20</v>
      </c>
      <c r="AA38" s="85"/>
      <c r="AB38" s="86"/>
      <c r="AC38" s="84"/>
      <c r="AD38" s="85"/>
      <c r="AE38" s="86"/>
      <c r="AF38" s="84"/>
      <c r="AG38" s="85"/>
      <c r="AH38" s="86"/>
      <c r="AI38" s="84"/>
      <c r="AJ38" s="85"/>
      <c r="AK38" s="86"/>
      <c r="AL38" s="84"/>
      <c r="AM38" s="85"/>
      <c r="AN38" s="86"/>
      <c r="AO38" s="84"/>
      <c r="AP38" s="85"/>
      <c r="AQ38" s="86"/>
      <c r="AR38" s="77" t="s">
        <v>194</v>
      </c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9"/>
    </row>
    <row r="39" spans="1:62" s="13" customFormat="1" ht="80.400000000000006" customHeight="1">
      <c r="A39" s="80">
        <f t="shared" si="0"/>
        <v>19</v>
      </c>
      <c r="B39" s="80"/>
      <c r="C39" s="80"/>
      <c r="D39" s="81" t="s">
        <v>121</v>
      </c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3"/>
      <c r="U39" s="84" t="s">
        <v>95</v>
      </c>
      <c r="V39" s="85"/>
      <c r="W39" s="85"/>
      <c r="X39" s="85"/>
      <c r="Y39" s="86"/>
      <c r="Z39" s="84">
        <v>10</v>
      </c>
      <c r="AA39" s="85"/>
      <c r="AB39" s="86"/>
      <c r="AC39" s="84"/>
      <c r="AD39" s="85"/>
      <c r="AE39" s="86"/>
      <c r="AF39" s="84"/>
      <c r="AG39" s="85"/>
      <c r="AH39" s="86"/>
      <c r="AI39" s="84"/>
      <c r="AJ39" s="85"/>
      <c r="AK39" s="86"/>
      <c r="AL39" s="84"/>
      <c r="AM39" s="85"/>
      <c r="AN39" s="86"/>
      <c r="AO39" s="84"/>
      <c r="AP39" s="85"/>
      <c r="AQ39" s="86"/>
      <c r="AR39" s="77" t="s">
        <v>160</v>
      </c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9"/>
    </row>
    <row r="40" spans="1:62" s="13" customFormat="1" ht="93.6" customHeight="1">
      <c r="A40" s="80">
        <f t="shared" si="0"/>
        <v>20</v>
      </c>
      <c r="B40" s="80"/>
      <c r="C40" s="80"/>
      <c r="D40" s="81" t="s">
        <v>100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3"/>
      <c r="U40" s="84" t="s">
        <v>95</v>
      </c>
      <c r="V40" s="85"/>
      <c r="W40" s="85"/>
      <c r="X40" s="85"/>
      <c r="Y40" s="86"/>
      <c r="Z40" s="84">
        <v>1</v>
      </c>
      <c r="AA40" s="85"/>
      <c r="AB40" s="86"/>
      <c r="AC40" s="84"/>
      <c r="AD40" s="85"/>
      <c r="AE40" s="86"/>
      <c r="AF40" s="84"/>
      <c r="AG40" s="85"/>
      <c r="AH40" s="86"/>
      <c r="AI40" s="84"/>
      <c r="AJ40" s="85"/>
      <c r="AK40" s="86"/>
      <c r="AL40" s="84"/>
      <c r="AM40" s="85"/>
      <c r="AN40" s="86"/>
      <c r="AO40" s="84"/>
      <c r="AP40" s="85"/>
      <c r="AQ40" s="86"/>
      <c r="AR40" s="77" t="s">
        <v>202</v>
      </c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9"/>
    </row>
    <row r="41" spans="1:62" s="13" customFormat="1" ht="63" customHeight="1">
      <c r="A41" s="80">
        <f t="shared" si="0"/>
        <v>21</v>
      </c>
      <c r="B41" s="80"/>
      <c r="C41" s="80"/>
      <c r="D41" s="81" t="s">
        <v>101</v>
      </c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3"/>
      <c r="U41" s="84" t="s">
        <v>66</v>
      </c>
      <c r="V41" s="85"/>
      <c r="W41" s="85"/>
      <c r="X41" s="85"/>
      <c r="Y41" s="86"/>
      <c r="Z41" s="84">
        <v>5</v>
      </c>
      <c r="AA41" s="85"/>
      <c r="AB41" s="86"/>
      <c r="AC41" s="84"/>
      <c r="AD41" s="85"/>
      <c r="AE41" s="86"/>
      <c r="AF41" s="84"/>
      <c r="AG41" s="85"/>
      <c r="AH41" s="86"/>
      <c r="AI41" s="84"/>
      <c r="AJ41" s="85"/>
      <c r="AK41" s="86"/>
      <c r="AL41" s="84"/>
      <c r="AM41" s="85"/>
      <c r="AN41" s="86"/>
      <c r="AO41" s="84"/>
      <c r="AP41" s="85"/>
      <c r="AQ41" s="86"/>
      <c r="AR41" s="77" t="s">
        <v>161</v>
      </c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9"/>
    </row>
    <row r="42" spans="1:62" s="13" customFormat="1" ht="63" customHeight="1">
      <c r="A42" s="80">
        <f t="shared" si="0"/>
        <v>22</v>
      </c>
      <c r="B42" s="80"/>
      <c r="C42" s="80"/>
      <c r="D42" s="81" t="s">
        <v>102</v>
      </c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3"/>
      <c r="U42" s="84" t="s">
        <v>93</v>
      </c>
      <c r="V42" s="85"/>
      <c r="W42" s="85"/>
      <c r="X42" s="85"/>
      <c r="Y42" s="86"/>
      <c r="Z42" s="84" t="s">
        <v>175</v>
      </c>
      <c r="AA42" s="85"/>
      <c r="AB42" s="86"/>
      <c r="AC42" s="84"/>
      <c r="AD42" s="85"/>
      <c r="AE42" s="86"/>
      <c r="AF42" s="84"/>
      <c r="AG42" s="85"/>
      <c r="AH42" s="86"/>
      <c r="AI42" s="84"/>
      <c r="AJ42" s="85"/>
      <c r="AK42" s="86"/>
      <c r="AL42" s="84"/>
      <c r="AM42" s="85"/>
      <c r="AN42" s="86"/>
      <c r="AO42" s="84"/>
      <c r="AP42" s="85"/>
      <c r="AQ42" s="86"/>
      <c r="AR42" s="77" t="s">
        <v>162</v>
      </c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9"/>
    </row>
    <row r="43" spans="1:62" s="13" customFormat="1" ht="63" customHeight="1">
      <c r="A43" s="80">
        <f t="shared" si="0"/>
        <v>23</v>
      </c>
      <c r="B43" s="80"/>
      <c r="C43" s="80"/>
      <c r="D43" s="81" t="s">
        <v>124</v>
      </c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3"/>
      <c r="U43" s="84" t="s">
        <v>95</v>
      </c>
      <c r="V43" s="85"/>
      <c r="W43" s="85"/>
      <c r="X43" s="85"/>
      <c r="Y43" s="86"/>
      <c r="Z43" s="84">
        <v>2</v>
      </c>
      <c r="AA43" s="85"/>
      <c r="AB43" s="86"/>
      <c r="AC43" s="84"/>
      <c r="AD43" s="85"/>
      <c r="AE43" s="86"/>
      <c r="AF43" s="84"/>
      <c r="AG43" s="85"/>
      <c r="AH43" s="86"/>
      <c r="AI43" s="84"/>
      <c r="AJ43" s="85"/>
      <c r="AK43" s="86"/>
      <c r="AL43" s="84"/>
      <c r="AM43" s="85"/>
      <c r="AN43" s="86"/>
      <c r="AO43" s="84"/>
      <c r="AP43" s="85"/>
      <c r="AQ43" s="86"/>
      <c r="AR43" s="77" t="s">
        <v>163</v>
      </c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9"/>
    </row>
    <row r="44" spans="1:62" s="13" customFormat="1" ht="80.400000000000006" customHeight="1">
      <c r="A44" s="80">
        <f t="shared" si="0"/>
        <v>24</v>
      </c>
      <c r="B44" s="80"/>
      <c r="C44" s="80"/>
      <c r="D44" s="81" t="s">
        <v>125</v>
      </c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3"/>
      <c r="U44" s="84" t="s">
        <v>66</v>
      </c>
      <c r="V44" s="85"/>
      <c r="W44" s="85"/>
      <c r="X44" s="85"/>
      <c r="Y44" s="86"/>
      <c r="Z44" s="84">
        <v>9</v>
      </c>
      <c r="AA44" s="85"/>
      <c r="AB44" s="86"/>
      <c r="AC44" s="84"/>
      <c r="AD44" s="85"/>
      <c r="AE44" s="86"/>
      <c r="AF44" s="84"/>
      <c r="AG44" s="85"/>
      <c r="AH44" s="86"/>
      <c r="AI44" s="84"/>
      <c r="AJ44" s="85"/>
      <c r="AK44" s="86"/>
      <c r="AL44" s="84"/>
      <c r="AM44" s="85"/>
      <c r="AN44" s="86"/>
      <c r="AO44" s="84"/>
      <c r="AP44" s="85"/>
      <c r="AQ44" s="86"/>
      <c r="AR44" s="77" t="s">
        <v>164</v>
      </c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9"/>
    </row>
    <row r="45" spans="1:62" s="13" customFormat="1" ht="79.8" customHeight="1">
      <c r="A45" s="80">
        <f t="shared" si="0"/>
        <v>25</v>
      </c>
      <c r="B45" s="80"/>
      <c r="C45" s="80"/>
      <c r="D45" s="81" t="s">
        <v>126</v>
      </c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3"/>
      <c r="U45" s="84" t="s">
        <v>95</v>
      </c>
      <c r="V45" s="85"/>
      <c r="W45" s="85"/>
      <c r="X45" s="85"/>
      <c r="Y45" s="86"/>
      <c r="Z45" s="84">
        <v>2</v>
      </c>
      <c r="AA45" s="85"/>
      <c r="AB45" s="86"/>
      <c r="AC45" s="84"/>
      <c r="AD45" s="85"/>
      <c r="AE45" s="86"/>
      <c r="AF45" s="84"/>
      <c r="AG45" s="85"/>
      <c r="AH45" s="86"/>
      <c r="AI45" s="84"/>
      <c r="AJ45" s="85"/>
      <c r="AK45" s="86"/>
      <c r="AL45" s="84"/>
      <c r="AM45" s="85"/>
      <c r="AN45" s="86"/>
      <c r="AO45" s="84"/>
      <c r="AP45" s="85"/>
      <c r="AQ45" s="86"/>
      <c r="AR45" s="77" t="s">
        <v>165</v>
      </c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9"/>
    </row>
    <row r="46" spans="1:62" s="13" customFormat="1" ht="73.2" customHeight="1">
      <c r="A46" s="80">
        <f t="shared" si="0"/>
        <v>26</v>
      </c>
      <c r="B46" s="80"/>
      <c r="C46" s="80"/>
      <c r="D46" s="81" t="s">
        <v>127</v>
      </c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3"/>
      <c r="U46" s="84" t="s">
        <v>66</v>
      </c>
      <c r="V46" s="85"/>
      <c r="W46" s="85"/>
      <c r="X46" s="85"/>
      <c r="Y46" s="86"/>
      <c r="Z46" s="84">
        <v>10</v>
      </c>
      <c r="AA46" s="85"/>
      <c r="AB46" s="86"/>
      <c r="AC46" s="84"/>
      <c r="AD46" s="85"/>
      <c r="AE46" s="86"/>
      <c r="AF46" s="84"/>
      <c r="AG46" s="85"/>
      <c r="AH46" s="86"/>
      <c r="AI46" s="84"/>
      <c r="AJ46" s="85"/>
      <c r="AK46" s="86"/>
      <c r="AL46" s="84"/>
      <c r="AM46" s="85"/>
      <c r="AN46" s="86"/>
      <c r="AO46" s="84"/>
      <c r="AP46" s="85"/>
      <c r="AQ46" s="86"/>
      <c r="AR46" s="77" t="s">
        <v>166</v>
      </c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9"/>
    </row>
    <row r="47" spans="1:62" s="13" customFormat="1" ht="30.6" customHeight="1">
      <c r="A47" s="80"/>
      <c r="B47" s="80"/>
      <c r="C47" s="80"/>
      <c r="D47" s="81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3"/>
      <c r="U47" s="84"/>
      <c r="V47" s="85"/>
      <c r="W47" s="85"/>
      <c r="X47" s="85"/>
      <c r="Y47" s="86"/>
      <c r="Z47" s="84"/>
      <c r="AA47" s="85"/>
      <c r="AB47" s="86"/>
      <c r="AC47" s="84"/>
      <c r="AD47" s="85"/>
      <c r="AE47" s="86"/>
      <c r="AF47" s="84"/>
      <c r="AG47" s="85"/>
      <c r="AH47" s="86"/>
      <c r="AI47" s="84"/>
      <c r="AJ47" s="85"/>
      <c r="AK47" s="86"/>
      <c r="AL47" s="84"/>
      <c r="AM47" s="85"/>
      <c r="AN47" s="86"/>
      <c r="AO47" s="84"/>
      <c r="AP47" s="85"/>
      <c r="AQ47" s="86"/>
      <c r="AR47" s="77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9"/>
    </row>
    <row r="48" spans="1:62" s="13" customFormat="1" ht="30.6" customHeight="1">
      <c r="A48" s="124"/>
      <c r="B48" s="124"/>
      <c r="C48" s="124"/>
      <c r="D48" s="125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7"/>
      <c r="U48" s="118"/>
      <c r="V48" s="119"/>
      <c r="W48" s="119"/>
      <c r="X48" s="119"/>
      <c r="Y48" s="120"/>
      <c r="Z48" s="118"/>
      <c r="AA48" s="119"/>
      <c r="AB48" s="120"/>
      <c r="AC48" s="118"/>
      <c r="AD48" s="119"/>
      <c r="AE48" s="120"/>
      <c r="AF48" s="118"/>
      <c r="AG48" s="119"/>
      <c r="AH48" s="120"/>
      <c r="AI48" s="118"/>
      <c r="AJ48" s="119"/>
      <c r="AK48" s="120"/>
      <c r="AL48" s="118"/>
      <c r="AM48" s="119"/>
      <c r="AN48" s="120"/>
      <c r="AO48" s="118"/>
      <c r="AP48" s="119"/>
      <c r="AQ48" s="120"/>
      <c r="AR48" s="121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3"/>
    </row>
    <row r="49" ht="6.6" customHeight="1"/>
  </sheetData>
  <mergeCells count="343">
    <mergeCell ref="AR26:BJ26"/>
    <mergeCell ref="AO24:AQ24"/>
    <mergeCell ref="AR24:BJ24"/>
    <mergeCell ref="AO26:AQ26"/>
    <mergeCell ref="AR23:BJ23"/>
    <mergeCell ref="U22:Y22"/>
    <mergeCell ref="Z22:AB22"/>
    <mergeCell ref="Z23:AB23"/>
    <mergeCell ref="AC23:AE23"/>
    <mergeCell ref="AI26:AK26"/>
    <mergeCell ref="AF26:AH26"/>
    <mergeCell ref="U26:Y26"/>
    <mergeCell ref="AL23:AN23"/>
    <mergeCell ref="AO23:AQ23"/>
    <mergeCell ref="AF23:AH23"/>
    <mergeCell ref="AI24:AK24"/>
    <mergeCell ref="AR22:BJ22"/>
    <mergeCell ref="AF25:AH25"/>
    <mergeCell ref="AI25:AK25"/>
    <mergeCell ref="AL25:AN25"/>
    <mergeCell ref="AO25:AQ25"/>
    <mergeCell ref="AR25:BJ25"/>
    <mergeCell ref="A13:C13"/>
    <mergeCell ref="D13:AR13"/>
    <mergeCell ref="AS13:BJ13"/>
    <mergeCell ref="A12:C12"/>
    <mergeCell ref="D12:AR12"/>
    <mergeCell ref="AS12:BJ12"/>
    <mergeCell ref="A14:C14"/>
    <mergeCell ref="D14:AR14"/>
    <mergeCell ref="AS14:BJ14"/>
    <mergeCell ref="D46:T46"/>
    <mergeCell ref="A15:C15"/>
    <mergeCell ref="D15:AR15"/>
    <mergeCell ref="AS15:BJ15"/>
    <mergeCell ref="A17:C17"/>
    <mergeCell ref="D17:AR17"/>
    <mergeCell ref="AS17:BJ17"/>
    <mergeCell ref="A16:C16"/>
    <mergeCell ref="A28:C28"/>
    <mergeCell ref="A34:C34"/>
    <mergeCell ref="AO29:AQ29"/>
    <mergeCell ref="D16:AR16"/>
    <mergeCell ref="AS16:BJ16"/>
    <mergeCell ref="A18:C18"/>
    <mergeCell ref="D18:AR18"/>
    <mergeCell ref="AS18:BJ18"/>
    <mergeCell ref="U28:Y28"/>
    <mergeCell ref="Z28:AB28"/>
    <mergeCell ref="AC28:AE28"/>
    <mergeCell ref="U29:Y29"/>
    <mergeCell ref="Z29:AB29"/>
    <mergeCell ref="AL28:AN28"/>
    <mergeCell ref="AR28:BJ28"/>
    <mergeCell ref="AI28:AK28"/>
    <mergeCell ref="Z41:AB41"/>
    <mergeCell ref="A45:C45"/>
    <mergeCell ref="D28:T28"/>
    <mergeCell ref="D29:T29"/>
    <mergeCell ref="D39:T39"/>
    <mergeCell ref="D33:T33"/>
    <mergeCell ref="D34:T34"/>
    <mergeCell ref="A44:C44"/>
    <mergeCell ref="A42:C42"/>
    <mergeCell ref="A43:C43"/>
    <mergeCell ref="A33:C33"/>
    <mergeCell ref="D40:T40"/>
    <mergeCell ref="D41:T41"/>
    <mergeCell ref="D42:T42"/>
    <mergeCell ref="D43:T43"/>
    <mergeCell ref="D44:T44"/>
    <mergeCell ref="A29:C29"/>
    <mergeCell ref="A38:C38"/>
    <mergeCell ref="A40:C40"/>
    <mergeCell ref="D45:T45"/>
    <mergeCell ref="A31:C31"/>
    <mergeCell ref="U31:Y31"/>
    <mergeCell ref="Z31:AB31"/>
    <mergeCell ref="A35:C35"/>
    <mergeCell ref="AI42:AK42"/>
    <mergeCell ref="AF43:AH43"/>
    <mergeCell ref="AR39:BJ39"/>
    <mergeCell ref="AF46:AH46"/>
    <mergeCell ref="AL44:AN44"/>
    <mergeCell ref="AO44:AQ44"/>
    <mergeCell ref="AR44:BJ44"/>
    <mergeCell ref="AL45:AN45"/>
    <mergeCell ref="AO45:AQ45"/>
    <mergeCell ref="AR45:BJ45"/>
    <mergeCell ref="AR46:BJ46"/>
    <mergeCell ref="AI45:AK45"/>
    <mergeCell ref="AL46:AN46"/>
    <mergeCell ref="AO46:AQ46"/>
    <mergeCell ref="AI46:AK46"/>
    <mergeCell ref="AI44:AK44"/>
    <mergeCell ref="AF45:AH45"/>
    <mergeCell ref="AI43:AK43"/>
    <mergeCell ref="AI41:AK41"/>
    <mergeCell ref="AF40:AH40"/>
    <mergeCell ref="AI40:AK40"/>
    <mergeCell ref="AF41:AH41"/>
    <mergeCell ref="AR43:BJ43"/>
    <mergeCell ref="AL40:AN40"/>
    <mergeCell ref="AL42:AN42"/>
    <mergeCell ref="AR40:BJ40"/>
    <mergeCell ref="AL41:AN41"/>
    <mergeCell ref="AO43:AQ43"/>
    <mergeCell ref="AO42:AQ42"/>
    <mergeCell ref="AO40:AQ40"/>
    <mergeCell ref="AL43:AN43"/>
    <mergeCell ref="AO41:AQ41"/>
    <mergeCell ref="AR41:BJ41"/>
    <mergeCell ref="AR42:BJ42"/>
    <mergeCell ref="AI39:AK39"/>
    <mergeCell ref="A39:C39"/>
    <mergeCell ref="AO39:AQ39"/>
    <mergeCell ref="AO32:AQ32"/>
    <mergeCell ref="AO30:AQ30"/>
    <mergeCell ref="AC32:AE32"/>
    <mergeCell ref="AC31:AE31"/>
    <mergeCell ref="AL39:AN39"/>
    <mergeCell ref="AF28:AH28"/>
    <mergeCell ref="AF29:AH29"/>
    <mergeCell ref="AC29:AE29"/>
    <mergeCell ref="AI33:AK33"/>
    <mergeCell ref="AL33:AN33"/>
    <mergeCell ref="A37:C37"/>
    <mergeCell ref="D37:T37"/>
    <mergeCell ref="U39:Y39"/>
    <mergeCell ref="Z39:AB39"/>
    <mergeCell ref="AC39:AE39"/>
    <mergeCell ref="AF39:AH39"/>
    <mergeCell ref="AL37:AN37"/>
    <mergeCell ref="AO37:AQ37"/>
    <mergeCell ref="AC30:AE30"/>
    <mergeCell ref="AF30:AH30"/>
    <mergeCell ref="AI34:AK34"/>
    <mergeCell ref="AO36:AQ36"/>
    <mergeCell ref="AO33:AQ33"/>
    <mergeCell ref="AO34:AQ34"/>
    <mergeCell ref="AI35:AK35"/>
    <mergeCell ref="AL35:AN35"/>
    <mergeCell ref="AL34:AN34"/>
    <mergeCell ref="AF34:AH34"/>
    <mergeCell ref="A26:C26"/>
    <mergeCell ref="D26:T26"/>
    <mergeCell ref="AC26:AE26"/>
    <mergeCell ref="A30:C30"/>
    <mergeCell ref="U30:Y30"/>
    <mergeCell ref="Z30:AB30"/>
    <mergeCell ref="AO27:AQ27"/>
    <mergeCell ref="AI27:AK27"/>
    <mergeCell ref="AL27:AN27"/>
    <mergeCell ref="U27:Y27"/>
    <mergeCell ref="AF27:AH27"/>
    <mergeCell ref="AO35:AQ35"/>
    <mergeCell ref="AF33:AH33"/>
    <mergeCell ref="AL30:AN30"/>
    <mergeCell ref="AO28:AQ28"/>
    <mergeCell ref="AI29:AK29"/>
    <mergeCell ref="D27:T27"/>
    <mergeCell ref="AR20:BJ20"/>
    <mergeCell ref="A20:C20"/>
    <mergeCell ref="D20:T20"/>
    <mergeCell ref="U20:Y20"/>
    <mergeCell ref="U46:Y46"/>
    <mergeCell ref="Z46:AB46"/>
    <mergeCell ref="AC46:AE46"/>
    <mergeCell ref="AF44:AH44"/>
    <mergeCell ref="U33:Y33"/>
    <mergeCell ref="Z33:AB33"/>
    <mergeCell ref="AC33:AE33"/>
    <mergeCell ref="U34:Y34"/>
    <mergeCell ref="Z34:AB34"/>
    <mergeCell ref="AC34:AE34"/>
    <mergeCell ref="Z37:AB37"/>
    <mergeCell ref="U37:Y37"/>
    <mergeCell ref="AC37:AE37"/>
    <mergeCell ref="AF36:AH36"/>
    <mergeCell ref="U42:Y42"/>
    <mergeCell ref="Z42:AB42"/>
    <mergeCell ref="AC42:AE42"/>
    <mergeCell ref="U45:Y45"/>
    <mergeCell ref="Z45:AB45"/>
    <mergeCell ref="AC45:AE45"/>
    <mergeCell ref="AR27:BJ27"/>
    <mergeCell ref="AL24:AN24"/>
    <mergeCell ref="AL26:AN26"/>
    <mergeCell ref="AI30:AK30"/>
    <mergeCell ref="AR33:BJ33"/>
    <mergeCell ref="AR34:BJ34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32:C32"/>
    <mergeCell ref="Z32:AB32"/>
    <mergeCell ref="AC36:AE36"/>
    <mergeCell ref="AF37:AH37"/>
    <mergeCell ref="U32:Y32"/>
    <mergeCell ref="AC35:AE35"/>
    <mergeCell ref="AF35:AH35"/>
    <mergeCell ref="Z35:AB35"/>
    <mergeCell ref="U44:Y44"/>
    <mergeCell ref="AF24:AH24"/>
    <mergeCell ref="AO48:AQ48"/>
    <mergeCell ref="AR48:BJ48"/>
    <mergeCell ref="AI23:AK23"/>
    <mergeCell ref="AL29:AN29"/>
    <mergeCell ref="AR30:BJ30"/>
    <mergeCell ref="AR32:BJ32"/>
    <mergeCell ref="AI37:AK37"/>
    <mergeCell ref="AL31:AN31"/>
    <mergeCell ref="AR31:BJ31"/>
    <mergeCell ref="AR36:BJ36"/>
    <mergeCell ref="AI36:AK36"/>
    <mergeCell ref="AL36:AN36"/>
    <mergeCell ref="AI32:AK32"/>
    <mergeCell ref="AL32:AN32"/>
    <mergeCell ref="AI31:AK31"/>
    <mergeCell ref="AR37:BJ37"/>
    <mergeCell ref="AR35:BJ35"/>
    <mergeCell ref="AO31:AQ31"/>
    <mergeCell ref="AR29:BJ29"/>
    <mergeCell ref="AI38:AK38"/>
    <mergeCell ref="AL38:AN38"/>
    <mergeCell ref="AO38:AQ38"/>
    <mergeCell ref="AR38:BJ38"/>
    <mergeCell ref="AI47:AK47"/>
    <mergeCell ref="Z20:AB20"/>
    <mergeCell ref="AC20:AE20"/>
    <mergeCell ref="AF20:AH20"/>
    <mergeCell ref="AI20:AK20"/>
    <mergeCell ref="AL20:AN20"/>
    <mergeCell ref="AF21:AH21"/>
    <mergeCell ref="AL21:AN21"/>
    <mergeCell ref="AO21:AQ21"/>
    <mergeCell ref="AI22:AK22"/>
    <mergeCell ref="AL22:AN22"/>
    <mergeCell ref="AO22:AQ22"/>
    <mergeCell ref="AF22:AH22"/>
    <mergeCell ref="AO20:AQ20"/>
    <mergeCell ref="AS10:BJ10"/>
    <mergeCell ref="AS11:BJ11"/>
    <mergeCell ref="A6:K6"/>
    <mergeCell ref="L6:AA6"/>
    <mergeCell ref="AB6:AJ6"/>
    <mergeCell ref="AK6:AN6"/>
    <mergeCell ref="BF6:BJ6"/>
    <mergeCell ref="A11:C11"/>
    <mergeCell ref="D11:AR11"/>
    <mergeCell ref="L7:AJ7"/>
    <mergeCell ref="AK7:AR7"/>
    <mergeCell ref="A10:C10"/>
    <mergeCell ref="AR21:BJ21"/>
    <mergeCell ref="BC7:BD7"/>
    <mergeCell ref="BE7:BH7"/>
    <mergeCell ref="AO6:AW6"/>
    <mergeCell ref="AI21:AK21"/>
    <mergeCell ref="A3:H4"/>
    <mergeCell ref="AT2:AX2"/>
    <mergeCell ref="AY2:BB2"/>
    <mergeCell ref="A22:C22"/>
    <mergeCell ref="AC22:AE22"/>
    <mergeCell ref="BB6:BE6"/>
    <mergeCell ref="AX6:BA6"/>
    <mergeCell ref="BC2:BF2"/>
    <mergeCell ref="I3:AS4"/>
    <mergeCell ref="BG2:BJ2"/>
    <mergeCell ref="A7:K7"/>
    <mergeCell ref="BI7:BJ7"/>
    <mergeCell ref="A2:AS2"/>
    <mergeCell ref="AT3:AX3"/>
    <mergeCell ref="AY3:BJ3"/>
    <mergeCell ref="AT4:AX4"/>
    <mergeCell ref="AY4:BJ4"/>
    <mergeCell ref="AS7:AX7"/>
    <mergeCell ref="D10:AR10"/>
    <mergeCell ref="D30:T30"/>
    <mergeCell ref="A23:C23"/>
    <mergeCell ref="U23:Y23"/>
    <mergeCell ref="A21:C21"/>
    <mergeCell ref="U21:Y21"/>
    <mergeCell ref="Z21:AB21"/>
    <mergeCell ref="AC21:AE21"/>
    <mergeCell ref="D22:T22"/>
    <mergeCell ref="D21:T21"/>
    <mergeCell ref="D23:T23"/>
    <mergeCell ref="A24:C24"/>
    <mergeCell ref="A27:C27"/>
    <mergeCell ref="Z26:AB26"/>
    <mergeCell ref="U24:Y24"/>
    <mergeCell ref="Z24:AB24"/>
    <mergeCell ref="AC24:AE24"/>
    <mergeCell ref="Z27:AB27"/>
    <mergeCell ref="AC27:AE27"/>
    <mergeCell ref="D24:T24"/>
    <mergeCell ref="A25:C25"/>
    <mergeCell ref="D25:T25"/>
    <mergeCell ref="U25:Y25"/>
    <mergeCell ref="Z25:AB25"/>
    <mergeCell ref="AC25:AE25"/>
    <mergeCell ref="U36:Y36"/>
    <mergeCell ref="Z36:AB36"/>
    <mergeCell ref="U35:Y35"/>
    <mergeCell ref="D31:T31"/>
    <mergeCell ref="D32:T32"/>
    <mergeCell ref="D35:T35"/>
    <mergeCell ref="D36:T36"/>
    <mergeCell ref="A36:C36"/>
    <mergeCell ref="AF31:AH31"/>
    <mergeCell ref="AF32:AH32"/>
    <mergeCell ref="AL47:AN47"/>
    <mergeCell ref="AO47:AQ47"/>
    <mergeCell ref="AR47:BJ47"/>
    <mergeCell ref="A46:C46"/>
    <mergeCell ref="D38:T38"/>
    <mergeCell ref="U38:Y38"/>
    <mergeCell ref="Z38:AB38"/>
    <mergeCell ref="AC38:AE38"/>
    <mergeCell ref="AF38:AH38"/>
    <mergeCell ref="A47:C47"/>
    <mergeCell ref="D47:T47"/>
    <mergeCell ref="U47:Y47"/>
    <mergeCell ref="Z47:AB47"/>
    <mergeCell ref="AC47:AE47"/>
    <mergeCell ref="AF47:AH47"/>
    <mergeCell ref="Z44:AB44"/>
    <mergeCell ref="AC44:AE44"/>
    <mergeCell ref="AC40:AE40"/>
    <mergeCell ref="A41:C41"/>
    <mergeCell ref="AC41:AE41"/>
    <mergeCell ref="AF42:AH42"/>
    <mergeCell ref="U40:Y40"/>
    <mergeCell ref="Z40:AB40"/>
    <mergeCell ref="Z43:AB43"/>
    <mergeCell ref="AC43:AE43"/>
    <mergeCell ref="U43:Y43"/>
    <mergeCell ref="U41:Y41"/>
  </mergeCells>
  <phoneticPr fontId="2"/>
  <dataValidations count="5">
    <dataValidation type="list" allowBlank="1" showInputMessage="1" showErrorMessage="1" sqref="AK6 AX6" xr:uid="{650A3C64-3196-48FB-977C-25157D2355CE}">
      <formula1>"あり,なし"</formula1>
    </dataValidation>
    <dataValidation type="list" allowBlank="1" showInputMessage="1" showErrorMessage="1" sqref="BC7:BC9 BI7:BI9 AC21:AH46 AL21:AQ46" xr:uid="{6B0763CC-BADC-4022-9F0B-396E4304B357}">
      <formula1>"〇"</formula1>
    </dataValidation>
    <dataValidation type="list" allowBlank="1" showInputMessage="1" sqref="AS7:AX8 AS9:AS10 AT9:AX9" xr:uid="{09D6F92F-638D-4BD5-89E2-5D04C2D224F7}">
      <formula1>"utf-8,Shift jis"</formula1>
    </dataValidation>
    <dataValidation type="list" allowBlank="1" showInputMessage="1" sqref="AS11:BJ18" xr:uid="{50A9F7BE-E5AE-448F-9BD5-401720AE0240}">
      <formula1>"昇順, 降順"</formula1>
    </dataValidation>
    <dataValidation type="list" allowBlank="1" showInputMessage="1" showErrorMessage="1" sqref="AI21:AK46" xr:uid="{BA661F27-096F-470C-B847-CA04ACD82464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P42"/>
  <sheetViews>
    <sheetView view="pageBreakPreview" zoomScaleNormal="100" zoomScaleSheetLayoutView="100" workbookViewId="0"/>
  </sheetViews>
  <sheetFormatPr defaultColWidth="2.109375" defaultRowHeight="13.2"/>
  <cols>
    <col min="1" max="16384" width="2.109375" style="4"/>
  </cols>
  <sheetData>
    <row r="1" spans="1:68" s="1" customFormat="1" ht="18" customHeight="1">
      <c r="A1" s="1" t="s">
        <v>0</v>
      </c>
      <c r="BJ1" s="2" t="s">
        <v>1</v>
      </c>
    </row>
    <row r="2" spans="1:68" s="3" customFormat="1" ht="18" customHeight="1">
      <c r="A2" s="62" t="s">
        <v>30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31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8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55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54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8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8" s="37" customFormat="1" ht="6" customHeight="1"/>
    <row r="6" spans="1:68" s="14" customFormat="1" ht="20.25" customHeight="1">
      <c r="A6" s="100" t="s">
        <v>12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">
        <v>110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1"/>
      <c r="AB6" s="100" t="s">
        <v>13</v>
      </c>
      <c r="AC6" s="102"/>
      <c r="AD6" s="102"/>
      <c r="AE6" s="102"/>
      <c r="AF6" s="102"/>
      <c r="AG6" s="102"/>
      <c r="AH6" s="102"/>
      <c r="AI6" s="102"/>
      <c r="AJ6" s="101"/>
      <c r="AK6" s="100" t="s">
        <v>32</v>
      </c>
      <c r="AL6" s="102"/>
      <c r="AM6" s="102"/>
      <c r="AN6" s="101"/>
      <c r="AO6" s="100" t="s">
        <v>14</v>
      </c>
      <c r="AP6" s="102"/>
      <c r="AQ6" s="102"/>
      <c r="AR6" s="102"/>
      <c r="AS6" s="102"/>
      <c r="AT6" s="102"/>
      <c r="AU6" s="102"/>
      <c r="AV6" s="102"/>
      <c r="AW6" s="101"/>
      <c r="AX6" s="100" t="s">
        <v>33</v>
      </c>
      <c r="AY6" s="102"/>
      <c r="AZ6" s="102"/>
      <c r="BA6" s="101"/>
      <c r="BB6" s="103" t="s">
        <v>15</v>
      </c>
      <c r="BC6" s="103"/>
      <c r="BD6" s="103"/>
      <c r="BE6" s="103"/>
      <c r="BF6" s="103">
        <f>COUNTA(A10:C411)</f>
        <v>26</v>
      </c>
      <c r="BG6" s="103"/>
      <c r="BH6" s="103"/>
      <c r="BI6" s="103"/>
      <c r="BJ6" s="103"/>
    </row>
    <row r="7" spans="1:68" s="14" customFormat="1" ht="20.25" customHeight="1">
      <c r="A7" s="100" t="s">
        <v>16</v>
      </c>
      <c r="B7" s="102"/>
      <c r="C7" s="102"/>
      <c r="D7" s="102"/>
      <c r="E7" s="102"/>
      <c r="F7" s="102"/>
      <c r="G7" s="102"/>
      <c r="H7" s="102"/>
      <c r="I7" s="102"/>
      <c r="J7" s="102"/>
      <c r="K7" s="101"/>
      <c r="L7" s="112" t="s">
        <v>193</v>
      </c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4"/>
      <c r="AK7" s="100" t="s">
        <v>34</v>
      </c>
      <c r="AL7" s="102"/>
      <c r="AM7" s="102"/>
      <c r="AN7" s="102"/>
      <c r="AO7" s="102"/>
      <c r="AP7" s="102"/>
      <c r="AQ7" s="102"/>
      <c r="AR7" s="101"/>
      <c r="AS7" s="100" t="s">
        <v>172</v>
      </c>
      <c r="AT7" s="102"/>
      <c r="AU7" s="102"/>
      <c r="AV7" s="102"/>
      <c r="AW7" s="102"/>
      <c r="AX7" s="101"/>
      <c r="AY7" s="30" t="s">
        <v>17</v>
      </c>
      <c r="AZ7" s="31"/>
      <c r="BA7" s="31"/>
      <c r="BB7" s="31"/>
      <c r="BC7" s="100" t="s">
        <v>35</v>
      </c>
      <c r="BD7" s="101"/>
      <c r="BE7" s="100" t="s">
        <v>18</v>
      </c>
      <c r="BF7" s="102"/>
      <c r="BG7" s="102"/>
      <c r="BH7" s="101"/>
      <c r="BI7" s="100"/>
      <c r="BJ7" s="101"/>
    </row>
    <row r="8" spans="1:68">
      <c r="B8" s="29" t="s">
        <v>19</v>
      </c>
      <c r="G8" s="5"/>
    </row>
    <row r="9" spans="1:68" s="14" customFormat="1" ht="42" customHeight="1">
      <c r="A9" s="100" t="s">
        <v>20</v>
      </c>
      <c r="B9" s="102"/>
      <c r="C9" s="101"/>
      <c r="D9" s="100" t="s">
        <v>36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1"/>
      <c r="U9" s="115" t="s">
        <v>22</v>
      </c>
      <c r="V9" s="116"/>
      <c r="W9" s="116"/>
      <c r="X9" s="116"/>
      <c r="Y9" s="117"/>
      <c r="Z9" s="115" t="s">
        <v>23</v>
      </c>
      <c r="AA9" s="116"/>
      <c r="AB9" s="117"/>
      <c r="AC9" s="100" t="s">
        <v>37</v>
      </c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1"/>
    </row>
    <row r="10" spans="1:68" s="14" customFormat="1" ht="30.6" customHeight="1">
      <c r="A10" s="87">
        <v>1</v>
      </c>
      <c r="B10" s="87"/>
      <c r="C10" s="87"/>
      <c r="D10" s="94" t="s">
        <v>89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6"/>
      <c r="U10" s="88" t="s">
        <v>65</v>
      </c>
      <c r="V10" s="89"/>
      <c r="W10" s="89"/>
      <c r="X10" s="89"/>
      <c r="Y10" s="90"/>
      <c r="Z10" s="88">
        <v>2</v>
      </c>
      <c r="AA10" s="89"/>
      <c r="AB10" s="90"/>
      <c r="AC10" s="50" t="s">
        <v>61</v>
      </c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4"/>
    </row>
    <row r="11" spans="1:68" s="14" customFormat="1" ht="30.6" customHeight="1">
      <c r="A11" s="80">
        <f>A10+1</f>
        <v>2</v>
      </c>
      <c r="B11" s="80"/>
      <c r="C11" s="80"/>
      <c r="D11" s="81" t="s">
        <v>60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3"/>
      <c r="U11" s="84" t="s">
        <v>118</v>
      </c>
      <c r="V11" s="85"/>
      <c r="W11" s="85"/>
      <c r="X11" s="85"/>
      <c r="Y11" s="86"/>
      <c r="Z11" s="84">
        <v>8</v>
      </c>
      <c r="AA11" s="85"/>
      <c r="AB11" s="86"/>
      <c r="AC11" s="51">
        <v>1</v>
      </c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4"/>
      <c r="BP11" s="49"/>
    </row>
    <row r="12" spans="1:68" s="14" customFormat="1" ht="30.6" customHeight="1">
      <c r="A12" s="80">
        <f t="shared" ref="A12:A35" si="0">A11+1</f>
        <v>3</v>
      </c>
      <c r="B12" s="80"/>
      <c r="C12" s="80"/>
      <c r="D12" s="81" t="s">
        <v>117</v>
      </c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3"/>
      <c r="U12" s="84" t="s">
        <v>65</v>
      </c>
      <c r="V12" s="85"/>
      <c r="W12" s="85"/>
      <c r="X12" s="85"/>
      <c r="Y12" s="86"/>
      <c r="Z12" s="84">
        <v>18</v>
      </c>
      <c r="AA12" s="85"/>
      <c r="AB12" s="86"/>
      <c r="AC12" s="52" t="s">
        <v>167</v>
      </c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4"/>
    </row>
    <row r="13" spans="1:68" s="14" customFormat="1" ht="30.6" customHeight="1">
      <c r="A13" s="80">
        <f t="shared" si="0"/>
        <v>4</v>
      </c>
      <c r="B13" s="80"/>
      <c r="C13" s="80"/>
      <c r="D13" s="81" t="s">
        <v>90</v>
      </c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  <c r="U13" s="84" t="s">
        <v>65</v>
      </c>
      <c r="V13" s="85"/>
      <c r="W13" s="85"/>
      <c r="X13" s="85"/>
      <c r="Y13" s="86"/>
      <c r="Z13" s="84">
        <v>1</v>
      </c>
      <c r="AA13" s="85"/>
      <c r="AB13" s="86"/>
      <c r="AC13" s="51">
        <v>1</v>
      </c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4"/>
    </row>
    <row r="14" spans="1:68" s="14" customFormat="1" ht="30.6" customHeight="1">
      <c r="A14" s="80">
        <f t="shared" si="0"/>
        <v>5</v>
      </c>
      <c r="B14" s="80"/>
      <c r="C14" s="80"/>
      <c r="D14" s="81" t="s">
        <v>195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3"/>
      <c r="U14" s="84" t="s">
        <v>66</v>
      </c>
      <c r="V14" s="85"/>
      <c r="W14" s="85"/>
      <c r="X14" s="85"/>
      <c r="Y14" s="86"/>
      <c r="Z14" s="84">
        <v>10</v>
      </c>
      <c r="AA14" s="85"/>
      <c r="AB14" s="86"/>
      <c r="AC14" s="51" t="s">
        <v>198</v>
      </c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4"/>
    </row>
    <row r="15" spans="1:68" s="14" customFormat="1" ht="30.6" customHeight="1">
      <c r="A15" s="80">
        <f t="shared" si="0"/>
        <v>6</v>
      </c>
      <c r="B15" s="80"/>
      <c r="C15" s="80"/>
      <c r="D15" s="81" t="s">
        <v>91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3"/>
      <c r="U15" s="84" t="s">
        <v>65</v>
      </c>
      <c r="V15" s="85"/>
      <c r="W15" s="85"/>
      <c r="X15" s="85"/>
      <c r="Y15" s="86"/>
      <c r="Z15" s="84">
        <v>5</v>
      </c>
      <c r="AA15" s="85"/>
      <c r="AB15" s="86"/>
      <c r="AC15" s="51" t="s">
        <v>62</v>
      </c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4"/>
    </row>
    <row r="16" spans="1:68" s="14" customFormat="1" ht="30.6" customHeight="1">
      <c r="A16" s="80">
        <f t="shared" si="0"/>
        <v>7</v>
      </c>
      <c r="B16" s="80"/>
      <c r="C16" s="80"/>
      <c r="D16" s="81" t="s">
        <v>204</v>
      </c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3"/>
      <c r="U16" s="84" t="s">
        <v>66</v>
      </c>
      <c r="V16" s="85"/>
      <c r="W16" s="85"/>
      <c r="X16" s="85"/>
      <c r="Y16" s="86"/>
      <c r="Z16" s="84">
        <v>30</v>
      </c>
      <c r="AA16" s="85"/>
      <c r="AB16" s="86"/>
      <c r="AC16" s="51" t="s">
        <v>214</v>
      </c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4"/>
    </row>
    <row r="17" spans="1:62" s="14" customFormat="1" ht="30.6" customHeight="1">
      <c r="A17" s="80">
        <f t="shared" si="0"/>
        <v>8</v>
      </c>
      <c r="B17" s="80"/>
      <c r="C17" s="80"/>
      <c r="D17" s="81" t="s">
        <v>122</v>
      </c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3"/>
      <c r="U17" s="84" t="s">
        <v>95</v>
      </c>
      <c r="V17" s="85"/>
      <c r="W17" s="85"/>
      <c r="X17" s="85"/>
      <c r="Y17" s="86"/>
      <c r="Z17" s="84">
        <v>3</v>
      </c>
      <c r="AA17" s="85"/>
      <c r="AB17" s="86"/>
      <c r="AC17" s="51" t="s">
        <v>63</v>
      </c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</row>
    <row r="18" spans="1:62" s="14" customFormat="1" ht="30.6" customHeight="1">
      <c r="A18" s="80">
        <f t="shared" si="0"/>
        <v>9</v>
      </c>
      <c r="B18" s="80"/>
      <c r="C18" s="80"/>
      <c r="D18" s="81" t="s">
        <v>205</v>
      </c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3"/>
      <c r="U18" s="84" t="s">
        <v>66</v>
      </c>
      <c r="V18" s="85"/>
      <c r="W18" s="85"/>
      <c r="X18" s="85"/>
      <c r="Y18" s="86"/>
      <c r="Z18" s="84">
        <v>20</v>
      </c>
      <c r="AA18" s="85"/>
      <c r="AB18" s="86"/>
      <c r="AC18" s="51" t="s">
        <v>212</v>
      </c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4"/>
    </row>
    <row r="19" spans="1:62" s="14" customFormat="1" ht="30.6" customHeight="1">
      <c r="A19" s="80">
        <f t="shared" si="0"/>
        <v>10</v>
      </c>
      <c r="B19" s="80"/>
      <c r="C19" s="80"/>
      <c r="D19" s="81" t="s">
        <v>92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3"/>
      <c r="U19" s="84" t="s">
        <v>171</v>
      </c>
      <c r="V19" s="85"/>
      <c r="W19" s="85"/>
      <c r="X19" s="85"/>
      <c r="Y19" s="86"/>
      <c r="Z19" s="84">
        <v>10</v>
      </c>
      <c r="AA19" s="85"/>
      <c r="AB19" s="86"/>
      <c r="AC19" s="52" t="s">
        <v>144</v>
      </c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4"/>
    </row>
    <row r="20" spans="1:62" s="14" customFormat="1" ht="30.6" customHeight="1">
      <c r="A20" s="80">
        <f t="shared" si="0"/>
        <v>11</v>
      </c>
      <c r="B20" s="80"/>
      <c r="C20" s="80"/>
      <c r="D20" s="81" t="s">
        <v>94</v>
      </c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3"/>
      <c r="U20" s="84" t="s">
        <v>95</v>
      </c>
      <c r="V20" s="85"/>
      <c r="W20" s="85"/>
      <c r="X20" s="85"/>
      <c r="Y20" s="86"/>
      <c r="Z20" s="84">
        <v>1</v>
      </c>
      <c r="AA20" s="85"/>
      <c r="AB20" s="86"/>
      <c r="AC20" s="51">
        <v>1</v>
      </c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4"/>
    </row>
    <row r="21" spans="1:62" s="14" customFormat="1" ht="30.6" customHeight="1">
      <c r="A21" s="80">
        <f t="shared" si="0"/>
        <v>12</v>
      </c>
      <c r="B21" s="80"/>
      <c r="C21" s="80"/>
      <c r="D21" s="81" t="s">
        <v>96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3"/>
      <c r="U21" s="84" t="s">
        <v>66</v>
      </c>
      <c r="V21" s="85"/>
      <c r="W21" s="85"/>
      <c r="X21" s="85"/>
      <c r="Y21" s="86"/>
      <c r="Z21" s="84">
        <v>4</v>
      </c>
      <c r="AA21" s="85"/>
      <c r="AB21" s="86"/>
      <c r="AC21" s="51" t="s">
        <v>145</v>
      </c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4"/>
    </row>
    <row r="22" spans="1:62" s="14" customFormat="1" ht="30.6" customHeight="1">
      <c r="A22" s="80">
        <f t="shared" si="0"/>
        <v>13</v>
      </c>
      <c r="B22" s="80"/>
      <c r="C22" s="80"/>
      <c r="D22" s="81" t="s">
        <v>123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3"/>
      <c r="U22" s="84" t="s">
        <v>95</v>
      </c>
      <c r="V22" s="85"/>
      <c r="W22" s="85"/>
      <c r="X22" s="85"/>
      <c r="Y22" s="86"/>
      <c r="Z22" s="84">
        <v>2</v>
      </c>
      <c r="AA22" s="85"/>
      <c r="AB22" s="86"/>
      <c r="AC22" s="52" t="s">
        <v>150</v>
      </c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4"/>
    </row>
    <row r="23" spans="1:62" s="14" customFormat="1" ht="30.6" customHeight="1">
      <c r="A23" s="80">
        <f t="shared" si="0"/>
        <v>14</v>
      </c>
      <c r="B23" s="80"/>
      <c r="C23" s="80"/>
      <c r="D23" s="81" t="s">
        <v>153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3"/>
      <c r="U23" s="84" t="s">
        <v>66</v>
      </c>
      <c r="V23" s="85"/>
      <c r="W23" s="85"/>
      <c r="X23" s="85"/>
      <c r="Y23" s="86"/>
      <c r="Z23" s="84">
        <v>10</v>
      </c>
      <c r="AA23" s="85"/>
      <c r="AB23" s="86"/>
      <c r="AC23" s="51" t="s">
        <v>146</v>
      </c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4"/>
    </row>
    <row r="24" spans="1:62" s="14" customFormat="1" ht="30.6" customHeight="1">
      <c r="A24" s="80">
        <f t="shared" si="0"/>
        <v>15</v>
      </c>
      <c r="B24" s="80"/>
      <c r="C24" s="80"/>
      <c r="D24" s="81" t="s">
        <v>97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3"/>
      <c r="U24" s="84" t="s">
        <v>93</v>
      </c>
      <c r="V24" s="85"/>
      <c r="W24" s="85"/>
      <c r="X24" s="85"/>
      <c r="Y24" s="86"/>
      <c r="Z24" s="84">
        <v>14</v>
      </c>
      <c r="AA24" s="85"/>
      <c r="AB24" s="86"/>
      <c r="AC24" s="52" t="s">
        <v>137</v>
      </c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4"/>
    </row>
    <row r="25" spans="1:62" s="14" customFormat="1" ht="30.6" customHeight="1">
      <c r="A25" s="80">
        <f t="shared" si="0"/>
        <v>16</v>
      </c>
      <c r="B25" s="80"/>
      <c r="C25" s="80"/>
      <c r="D25" s="81" t="s">
        <v>98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3"/>
      <c r="U25" s="84" t="s">
        <v>93</v>
      </c>
      <c r="V25" s="85"/>
      <c r="W25" s="85"/>
      <c r="X25" s="85"/>
      <c r="Y25" s="86"/>
      <c r="Z25" s="84">
        <v>14</v>
      </c>
      <c r="AA25" s="85"/>
      <c r="AB25" s="86"/>
      <c r="AC25" s="52" t="s">
        <v>138</v>
      </c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4"/>
    </row>
    <row r="26" spans="1:62" s="14" customFormat="1" ht="30.6" customHeight="1">
      <c r="A26" s="80">
        <f t="shared" si="0"/>
        <v>17</v>
      </c>
      <c r="B26" s="80"/>
      <c r="C26" s="80"/>
      <c r="D26" s="81" t="s">
        <v>99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3"/>
      <c r="U26" s="84" t="s">
        <v>118</v>
      </c>
      <c r="V26" s="85"/>
      <c r="W26" s="85"/>
      <c r="X26" s="85"/>
      <c r="Y26" s="86"/>
      <c r="Z26" s="84">
        <v>14</v>
      </c>
      <c r="AA26" s="85"/>
      <c r="AB26" s="86"/>
      <c r="AC26" s="52" t="s">
        <v>139</v>
      </c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4"/>
    </row>
    <row r="27" spans="1:62" s="14" customFormat="1" ht="30.6" customHeight="1">
      <c r="A27" s="80">
        <f t="shared" si="0"/>
        <v>18</v>
      </c>
      <c r="B27" s="80"/>
      <c r="C27" s="80"/>
      <c r="D27" s="129" t="s">
        <v>180</v>
      </c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1"/>
      <c r="U27" s="84" t="s">
        <v>95</v>
      </c>
      <c r="V27" s="85"/>
      <c r="W27" s="85"/>
      <c r="X27" s="85"/>
      <c r="Y27" s="86"/>
      <c r="Z27" s="84">
        <v>20</v>
      </c>
      <c r="AA27" s="85"/>
      <c r="AB27" s="86"/>
      <c r="AC27" s="55" t="s">
        <v>181</v>
      </c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4"/>
    </row>
    <row r="28" spans="1:62" s="14" customFormat="1" ht="30.6" customHeight="1">
      <c r="A28" s="80">
        <f t="shared" si="0"/>
        <v>19</v>
      </c>
      <c r="B28" s="80"/>
      <c r="C28" s="80"/>
      <c r="D28" s="81" t="s">
        <v>121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3"/>
      <c r="U28" s="84" t="s">
        <v>95</v>
      </c>
      <c r="V28" s="85"/>
      <c r="W28" s="85"/>
      <c r="X28" s="85"/>
      <c r="Y28" s="86"/>
      <c r="Z28" s="84">
        <v>10</v>
      </c>
      <c r="AA28" s="85"/>
      <c r="AB28" s="86"/>
      <c r="AC28" s="52" t="s">
        <v>140</v>
      </c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62" s="14" customFormat="1" ht="30.6" customHeight="1">
      <c r="A29" s="80">
        <f t="shared" si="0"/>
        <v>20</v>
      </c>
      <c r="B29" s="80"/>
      <c r="C29" s="80"/>
      <c r="D29" s="81" t="s">
        <v>100</v>
      </c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3"/>
      <c r="U29" s="84" t="s">
        <v>95</v>
      </c>
      <c r="V29" s="85"/>
      <c r="W29" s="85"/>
      <c r="X29" s="85"/>
      <c r="Y29" s="86"/>
      <c r="Z29" s="84">
        <v>1</v>
      </c>
      <c r="AA29" s="85"/>
      <c r="AB29" s="86"/>
      <c r="AC29" s="52" t="s">
        <v>203</v>
      </c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62" s="14" customFormat="1" ht="30.6" customHeight="1">
      <c r="A30" s="80">
        <f t="shared" si="0"/>
        <v>21</v>
      </c>
      <c r="B30" s="80"/>
      <c r="C30" s="80"/>
      <c r="D30" s="81" t="s">
        <v>101</v>
      </c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3"/>
      <c r="U30" s="84" t="s">
        <v>66</v>
      </c>
      <c r="V30" s="85"/>
      <c r="W30" s="85"/>
      <c r="X30" s="85"/>
      <c r="Y30" s="86"/>
      <c r="Z30" s="84">
        <v>5</v>
      </c>
      <c r="AA30" s="85"/>
      <c r="AB30" s="86"/>
      <c r="AC30" s="51" t="s">
        <v>215</v>
      </c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4" customFormat="1" ht="30.6" customHeight="1">
      <c r="A31" s="80">
        <f t="shared" si="0"/>
        <v>22</v>
      </c>
      <c r="B31" s="80"/>
      <c r="C31" s="80"/>
      <c r="D31" s="81" t="s">
        <v>102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3"/>
      <c r="U31" s="84" t="s">
        <v>93</v>
      </c>
      <c r="V31" s="85"/>
      <c r="W31" s="85"/>
      <c r="X31" s="85"/>
      <c r="Y31" s="86"/>
      <c r="Z31" s="84" t="s">
        <v>175</v>
      </c>
      <c r="AA31" s="85"/>
      <c r="AB31" s="86"/>
      <c r="AC31" s="52" t="s">
        <v>177</v>
      </c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62" s="14" customFormat="1" ht="30.6" customHeight="1">
      <c r="A32" s="80">
        <f t="shared" si="0"/>
        <v>23</v>
      </c>
      <c r="B32" s="80"/>
      <c r="C32" s="80"/>
      <c r="D32" s="81" t="s">
        <v>124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3"/>
      <c r="U32" s="84" t="s">
        <v>95</v>
      </c>
      <c r="V32" s="85"/>
      <c r="W32" s="85"/>
      <c r="X32" s="85"/>
      <c r="Y32" s="86"/>
      <c r="Z32" s="84">
        <v>2</v>
      </c>
      <c r="AA32" s="85"/>
      <c r="AB32" s="86"/>
      <c r="AC32" s="51">
        <v>1</v>
      </c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4" customFormat="1" ht="30.6" customHeight="1">
      <c r="A33" s="80">
        <f t="shared" si="0"/>
        <v>24</v>
      </c>
      <c r="B33" s="80"/>
      <c r="C33" s="80"/>
      <c r="D33" s="81" t="s">
        <v>125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3"/>
      <c r="U33" s="84" t="s">
        <v>66</v>
      </c>
      <c r="V33" s="85"/>
      <c r="W33" s="85"/>
      <c r="X33" s="85"/>
      <c r="Y33" s="86"/>
      <c r="Z33" s="84">
        <v>9</v>
      </c>
      <c r="AA33" s="85"/>
      <c r="AB33" s="86"/>
      <c r="AC33" s="51" t="s">
        <v>112</v>
      </c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4" customFormat="1" ht="30.6" customHeight="1">
      <c r="A34" s="80">
        <f t="shared" si="0"/>
        <v>25</v>
      </c>
      <c r="B34" s="80"/>
      <c r="C34" s="80"/>
      <c r="D34" s="81" t="s">
        <v>126</v>
      </c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3"/>
      <c r="U34" s="84" t="s">
        <v>95</v>
      </c>
      <c r="V34" s="85"/>
      <c r="W34" s="85"/>
      <c r="X34" s="85"/>
      <c r="Y34" s="86"/>
      <c r="Z34" s="84">
        <v>2</v>
      </c>
      <c r="AA34" s="85"/>
      <c r="AB34" s="86"/>
      <c r="AC34" s="52" t="s">
        <v>141</v>
      </c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4" customFormat="1" ht="30.6" customHeight="1">
      <c r="A35" s="80">
        <f t="shared" si="0"/>
        <v>26</v>
      </c>
      <c r="B35" s="80"/>
      <c r="C35" s="80"/>
      <c r="D35" s="81" t="s">
        <v>127</v>
      </c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3"/>
      <c r="U35" s="84" t="s">
        <v>66</v>
      </c>
      <c r="V35" s="85"/>
      <c r="W35" s="85"/>
      <c r="X35" s="85"/>
      <c r="Y35" s="86"/>
      <c r="Z35" s="84">
        <v>10</v>
      </c>
      <c r="AA35" s="85"/>
      <c r="AB35" s="86"/>
      <c r="AC35" s="51" t="s">
        <v>86</v>
      </c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4"/>
    </row>
    <row r="36" spans="1:62" s="14" customFormat="1" ht="30.6" customHeight="1">
      <c r="A36" s="128"/>
      <c r="B36" s="128"/>
      <c r="C36" s="128"/>
      <c r="D36" s="129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1"/>
      <c r="U36" s="84"/>
      <c r="V36" s="85"/>
      <c r="W36" s="85"/>
      <c r="X36" s="85"/>
      <c r="Y36" s="86"/>
      <c r="Z36" s="84"/>
      <c r="AA36" s="85"/>
      <c r="AB36" s="86"/>
      <c r="AC36" s="39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4"/>
    </row>
    <row r="37" spans="1:62" s="14" customFormat="1" ht="30.6" customHeight="1">
      <c r="A37" s="128"/>
      <c r="B37" s="128"/>
      <c r="C37" s="128"/>
      <c r="D37" s="129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1"/>
      <c r="U37" s="84"/>
      <c r="V37" s="85"/>
      <c r="W37" s="85"/>
      <c r="X37" s="85"/>
      <c r="Y37" s="86"/>
      <c r="Z37" s="84"/>
      <c r="AA37" s="85"/>
      <c r="AB37" s="86"/>
      <c r="AC37" s="39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4"/>
    </row>
    <row r="38" spans="1:62" s="14" customFormat="1" ht="30.6" customHeight="1">
      <c r="A38" s="128"/>
      <c r="B38" s="128"/>
      <c r="C38" s="128"/>
      <c r="D38" s="129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1"/>
      <c r="U38" s="84"/>
      <c r="V38" s="85"/>
      <c r="W38" s="85"/>
      <c r="X38" s="85"/>
      <c r="Y38" s="86"/>
      <c r="Z38" s="84"/>
      <c r="AA38" s="85"/>
      <c r="AB38" s="86"/>
      <c r="AC38" s="39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4"/>
    </row>
    <row r="39" spans="1:62" s="14" customFormat="1" ht="30.6" customHeight="1">
      <c r="A39" s="128"/>
      <c r="B39" s="128"/>
      <c r="C39" s="128"/>
      <c r="D39" s="129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1"/>
      <c r="U39" s="84"/>
      <c r="V39" s="85"/>
      <c r="W39" s="85"/>
      <c r="X39" s="85"/>
      <c r="Y39" s="86"/>
      <c r="Z39" s="84"/>
      <c r="AA39" s="85"/>
      <c r="AB39" s="86"/>
      <c r="AC39" s="39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4"/>
    </row>
    <row r="40" spans="1:62" s="14" customFormat="1" ht="30.6" customHeight="1">
      <c r="A40" s="128"/>
      <c r="B40" s="128"/>
      <c r="C40" s="128"/>
      <c r="D40" s="129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1"/>
      <c r="U40" s="84"/>
      <c r="V40" s="85"/>
      <c r="W40" s="85"/>
      <c r="X40" s="85"/>
      <c r="Y40" s="86"/>
      <c r="Z40" s="84"/>
      <c r="AA40" s="85"/>
      <c r="AB40" s="86"/>
      <c r="AC40" s="39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4"/>
    </row>
    <row r="41" spans="1:62" s="14" customFormat="1" ht="30.6" customHeight="1">
      <c r="A41" s="124"/>
      <c r="B41" s="124"/>
      <c r="C41" s="124"/>
      <c r="D41" s="125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7"/>
      <c r="U41" s="118"/>
      <c r="V41" s="119"/>
      <c r="W41" s="119"/>
      <c r="X41" s="119"/>
      <c r="Y41" s="120"/>
      <c r="Z41" s="118"/>
      <c r="AA41" s="119"/>
      <c r="AB41" s="120"/>
      <c r="AC41" s="40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2"/>
    </row>
    <row r="42" spans="1:62" ht="6.6" customHeight="1">
      <c r="A42" s="38"/>
      <c r="B42" s="38"/>
      <c r="C42" s="38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/>
      <c r="V42" s="133"/>
      <c r="W42" s="133"/>
      <c r="X42" s="133"/>
      <c r="Y42" s="133"/>
      <c r="Z42" s="133"/>
      <c r="AA42" s="133"/>
      <c r="AB42" s="133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</row>
  </sheetData>
  <mergeCells count="162">
    <mergeCell ref="D42:T42"/>
    <mergeCell ref="U42:Y42"/>
    <mergeCell ref="Z42:AB42"/>
    <mergeCell ref="A35:C35"/>
    <mergeCell ref="U27:Y27"/>
    <mergeCell ref="Z27:AB27"/>
    <mergeCell ref="A36:C36"/>
    <mergeCell ref="U36:Y36"/>
    <mergeCell ref="Z36:AB36"/>
    <mergeCell ref="D27:T27"/>
    <mergeCell ref="D36:T36"/>
    <mergeCell ref="A41:C41"/>
    <mergeCell ref="D41:T41"/>
    <mergeCell ref="U41:Y41"/>
    <mergeCell ref="Z41:AB41"/>
    <mergeCell ref="Z39:AB39"/>
    <mergeCell ref="D39:T39"/>
    <mergeCell ref="A39:C39"/>
    <mergeCell ref="U39:Y39"/>
    <mergeCell ref="A40:C40"/>
    <mergeCell ref="U40:Y40"/>
    <mergeCell ref="Z40:AB40"/>
    <mergeCell ref="D34:T34"/>
    <mergeCell ref="D40:T40"/>
    <mergeCell ref="Z17:AB17"/>
    <mergeCell ref="A18:C18"/>
    <mergeCell ref="U18:Y18"/>
    <mergeCell ref="Z18:AB18"/>
    <mergeCell ref="A14:C14"/>
    <mergeCell ref="D14:T14"/>
    <mergeCell ref="U14:Y14"/>
    <mergeCell ref="Z14:AB14"/>
    <mergeCell ref="D17:T17"/>
    <mergeCell ref="D18:T18"/>
    <mergeCell ref="A16:C16"/>
    <mergeCell ref="U16:Y16"/>
    <mergeCell ref="Z16:AB16"/>
    <mergeCell ref="A12:C12"/>
    <mergeCell ref="U12:Y12"/>
    <mergeCell ref="Z12:AB12"/>
    <mergeCell ref="U10:Y10"/>
    <mergeCell ref="Z10:AB10"/>
    <mergeCell ref="A11:C11"/>
    <mergeCell ref="A10:C10"/>
    <mergeCell ref="U11:Y11"/>
    <mergeCell ref="Z11:AB11"/>
    <mergeCell ref="D10:T10"/>
    <mergeCell ref="D11:T11"/>
    <mergeCell ref="A13:C13"/>
    <mergeCell ref="U13:Y13"/>
    <mergeCell ref="D12:T12"/>
    <mergeCell ref="A22:C22"/>
    <mergeCell ref="U22:Y22"/>
    <mergeCell ref="D29:T29"/>
    <mergeCell ref="D31:T31"/>
    <mergeCell ref="Z37:AB37"/>
    <mergeCell ref="AY4:BJ4"/>
    <mergeCell ref="AX6:BA6"/>
    <mergeCell ref="BB6:BE6"/>
    <mergeCell ref="BF6:BJ6"/>
    <mergeCell ref="U15:Y15"/>
    <mergeCell ref="Z15:AB15"/>
    <mergeCell ref="D19:T19"/>
    <mergeCell ref="D20:T20"/>
    <mergeCell ref="A17:C17"/>
    <mergeCell ref="U17:Y17"/>
    <mergeCell ref="A19:C19"/>
    <mergeCell ref="U19:Y19"/>
    <mergeCell ref="Z19:AB19"/>
    <mergeCell ref="A20:C20"/>
    <mergeCell ref="U20:Y20"/>
    <mergeCell ref="Z20:AB20"/>
    <mergeCell ref="AT2:AX2"/>
    <mergeCell ref="A6:K6"/>
    <mergeCell ref="L6:AA6"/>
    <mergeCell ref="AB6:AJ6"/>
    <mergeCell ref="AK6:AN6"/>
    <mergeCell ref="AO6:AW6"/>
    <mergeCell ref="A2:AS2"/>
    <mergeCell ref="AY2:BB2"/>
    <mergeCell ref="BC2:BF2"/>
    <mergeCell ref="BG2:BJ2"/>
    <mergeCell ref="A3:H4"/>
    <mergeCell ref="I3:AS4"/>
    <mergeCell ref="AT3:AX3"/>
    <mergeCell ref="AY3:BJ3"/>
    <mergeCell ref="AT4:AX4"/>
    <mergeCell ref="D33:T33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D13:T13"/>
    <mergeCell ref="D15:T15"/>
    <mergeCell ref="D16:T16"/>
    <mergeCell ref="Z13:AB13"/>
    <mergeCell ref="A15:C15"/>
    <mergeCell ref="D25:T25"/>
    <mergeCell ref="A23:C23"/>
    <mergeCell ref="A21:C21"/>
    <mergeCell ref="U21:Y21"/>
    <mergeCell ref="A26:C26"/>
    <mergeCell ref="D22:T22"/>
    <mergeCell ref="D23:T23"/>
    <mergeCell ref="Z23:AB23"/>
    <mergeCell ref="U23:Y23"/>
    <mergeCell ref="U33:Y33"/>
    <mergeCell ref="Z33:AB33"/>
    <mergeCell ref="U28:Y28"/>
    <mergeCell ref="Z28:AB28"/>
    <mergeCell ref="Z22:AB22"/>
    <mergeCell ref="D26:T26"/>
    <mergeCell ref="U26:Y26"/>
    <mergeCell ref="A38:C38"/>
    <mergeCell ref="U38:Y38"/>
    <mergeCell ref="Z38:AB38"/>
    <mergeCell ref="D38:T38"/>
    <mergeCell ref="A37:C37"/>
    <mergeCell ref="U37:Y37"/>
    <mergeCell ref="A27:C27"/>
    <mergeCell ref="D37:T37"/>
    <mergeCell ref="D28:T28"/>
    <mergeCell ref="A34:C34"/>
    <mergeCell ref="U35:Y35"/>
    <mergeCell ref="Z35:AB35"/>
    <mergeCell ref="D35:T35"/>
    <mergeCell ref="A33:C33"/>
    <mergeCell ref="U34:Y34"/>
    <mergeCell ref="Z34:AB34"/>
    <mergeCell ref="A31:C31"/>
    <mergeCell ref="U32:Y32"/>
    <mergeCell ref="Z32:AB32"/>
    <mergeCell ref="Z31:AB31"/>
    <mergeCell ref="Z21:AB21"/>
    <mergeCell ref="A32:C32"/>
    <mergeCell ref="A30:C30"/>
    <mergeCell ref="U31:Y31"/>
    <mergeCell ref="A28:C28"/>
    <mergeCell ref="U29:Y29"/>
    <mergeCell ref="Z29:AB29"/>
    <mergeCell ref="A29:C29"/>
    <mergeCell ref="D30:T30"/>
    <mergeCell ref="U30:Y30"/>
    <mergeCell ref="Z30:AB30"/>
    <mergeCell ref="D32:T32"/>
    <mergeCell ref="D21:T21"/>
    <mergeCell ref="Z26:AB26"/>
    <mergeCell ref="A24:C24"/>
    <mergeCell ref="U24:Y24"/>
    <mergeCell ref="Z24:AB24"/>
    <mergeCell ref="A25:C25"/>
    <mergeCell ref="U25:Y25"/>
    <mergeCell ref="Z25:AB25"/>
    <mergeCell ref="D24:T24"/>
  </mergeCells>
  <phoneticPr fontId="2"/>
  <dataValidations count="3">
    <dataValidation type="list" allowBlank="1" showInputMessage="1" showErrorMessage="1" sqref="AK6 AX6" xr:uid="{4F2A4ACD-EFF5-4C84-9B6A-0F1DAEF48F4B}">
      <formula1>"あり,なし"</formula1>
    </dataValidation>
    <dataValidation type="list" allowBlank="1" showInputMessage="1" showErrorMessage="1" sqref="BC7 BI7" xr:uid="{2C271DC7-50FD-497A-A6B3-8B3ED40C4FA3}">
      <formula1>"〇"</formula1>
    </dataValidation>
    <dataValidation type="list" allowBlank="1" showInputMessage="1" sqref="AS7:AX7" xr:uid="{F5AE8852-0F0C-4B9E-94A7-2CD5089E4446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9AB4-9471-4196-A95D-515E843613E5}">
  <sheetPr>
    <pageSetUpPr fitToPage="1"/>
  </sheetPr>
  <dimension ref="A1:AN23"/>
  <sheetViews>
    <sheetView zoomScaleNormal="100" workbookViewId="0"/>
  </sheetViews>
  <sheetFormatPr defaultColWidth="25.6640625" defaultRowHeight="16.2"/>
  <cols>
    <col min="1" max="1" width="17.21875" style="32" bestFit="1" customWidth="1"/>
    <col min="2" max="2" width="6.44140625" style="32" bestFit="1" customWidth="1"/>
    <col min="3" max="3" width="25.6640625" style="32" customWidth="1"/>
    <col min="4" max="4" width="20.44140625" style="32" bestFit="1" customWidth="1"/>
    <col min="5" max="5" width="30" style="32" bestFit="1" customWidth="1"/>
    <col min="6" max="6" width="15.33203125" style="32" bestFit="1" customWidth="1"/>
    <col min="7" max="7" width="21.21875" style="32" bestFit="1" customWidth="1"/>
    <col min="8" max="8" width="30.21875" style="32" bestFit="1" customWidth="1"/>
    <col min="9" max="9" width="18.88671875" style="32" customWidth="1"/>
    <col min="10" max="10" width="20.44140625" style="32" bestFit="1" customWidth="1"/>
    <col min="11" max="11" width="13.88671875" style="32" bestFit="1" customWidth="1"/>
    <col min="12" max="12" width="20.44140625" style="32" bestFit="1" customWidth="1"/>
    <col min="13" max="13" width="13.88671875" style="32" bestFit="1" customWidth="1"/>
    <col min="14" max="14" width="23.77734375" style="32" bestFit="1" customWidth="1"/>
    <col min="15" max="15" width="13.88671875" style="32" bestFit="1" customWidth="1"/>
    <col min="16" max="16" width="17.21875" style="32" bestFit="1" customWidth="1"/>
    <col min="17" max="17" width="13.88671875" style="32" bestFit="1" customWidth="1"/>
    <col min="18" max="18" width="30" style="32" bestFit="1" customWidth="1"/>
    <col min="19" max="19" width="17.21875" style="32" bestFit="1" customWidth="1"/>
    <col min="20" max="20" width="15.33203125" style="32" bestFit="1" customWidth="1"/>
    <col min="21" max="21" width="21.21875" style="32" bestFit="1" customWidth="1"/>
    <col min="22" max="22" width="12.44140625" style="32" bestFit="1" customWidth="1"/>
    <col min="23" max="23" width="26.88671875" style="32" bestFit="1" customWidth="1"/>
    <col min="24" max="24" width="24.109375" style="32" bestFit="1" customWidth="1"/>
    <col min="25" max="25" width="15.33203125" style="32" bestFit="1" customWidth="1"/>
    <col min="26" max="16384" width="25.6640625" style="32"/>
  </cols>
  <sheetData>
    <row r="1" spans="1:40">
      <c r="A1" s="44" t="s">
        <v>67</v>
      </c>
      <c r="B1" s="44" t="s">
        <v>60</v>
      </c>
      <c r="C1" s="44" t="s">
        <v>116</v>
      </c>
      <c r="D1" s="44" t="s">
        <v>68</v>
      </c>
      <c r="E1" s="44" t="s">
        <v>196</v>
      </c>
      <c r="F1" s="44" t="s">
        <v>69</v>
      </c>
      <c r="G1" s="44" t="s">
        <v>206</v>
      </c>
      <c r="H1" s="44" t="s">
        <v>128</v>
      </c>
      <c r="I1" s="44" t="s">
        <v>207</v>
      </c>
      <c r="J1" s="44" t="s">
        <v>70</v>
      </c>
      <c r="K1" s="44" t="s">
        <v>71</v>
      </c>
      <c r="L1" s="44" t="s">
        <v>72</v>
      </c>
      <c r="M1" s="44" t="s">
        <v>79</v>
      </c>
      <c r="N1" s="44" t="s">
        <v>152</v>
      </c>
      <c r="O1" s="44" t="s">
        <v>105</v>
      </c>
      <c r="P1" s="44" t="s">
        <v>73</v>
      </c>
      <c r="Q1" s="44" t="s">
        <v>106</v>
      </c>
      <c r="R1" s="44" t="s">
        <v>182</v>
      </c>
      <c r="S1" s="44" t="s">
        <v>120</v>
      </c>
      <c r="T1" s="44" t="s">
        <v>80</v>
      </c>
      <c r="U1" s="44" t="s">
        <v>81</v>
      </c>
      <c r="V1" s="44" t="s">
        <v>82</v>
      </c>
      <c r="W1" s="44" t="s">
        <v>83</v>
      </c>
      <c r="X1" s="44" t="s">
        <v>111</v>
      </c>
      <c r="Y1" s="44" t="s">
        <v>84</v>
      </c>
      <c r="Z1" s="44" t="s">
        <v>85</v>
      </c>
    </row>
    <row r="2" spans="1:40">
      <c r="A2" s="45" t="s">
        <v>61</v>
      </c>
      <c r="B2" s="45">
        <v>1</v>
      </c>
      <c r="C2" s="45" t="s">
        <v>167</v>
      </c>
      <c r="D2" s="45">
        <v>1</v>
      </c>
      <c r="E2" s="45" t="s">
        <v>198</v>
      </c>
      <c r="F2" s="45" t="s">
        <v>62</v>
      </c>
      <c r="G2" s="45" t="s">
        <v>208</v>
      </c>
      <c r="H2" s="54"/>
      <c r="I2" s="54"/>
      <c r="J2" s="46">
        <v>45611</v>
      </c>
      <c r="K2" s="54"/>
      <c r="L2" s="54"/>
      <c r="M2" s="54"/>
      <c r="N2" s="54"/>
      <c r="O2" s="45">
        <v>3275000</v>
      </c>
      <c r="P2" s="45">
        <v>327500</v>
      </c>
      <c r="Q2" s="45">
        <f t="shared" ref="Q2:Q7" si="0">SUM(O2,P2)</f>
        <v>3602500</v>
      </c>
      <c r="R2" s="54"/>
      <c r="S2" s="54"/>
      <c r="T2" s="54"/>
      <c r="U2" s="54"/>
      <c r="V2" s="54"/>
      <c r="W2" s="54"/>
      <c r="X2" s="54"/>
      <c r="Y2" s="54"/>
      <c r="Z2" s="54"/>
    </row>
    <row r="3" spans="1:40">
      <c r="A3" s="45" t="s">
        <v>61</v>
      </c>
      <c r="B3" s="45">
        <v>2</v>
      </c>
      <c r="C3" s="45" t="s">
        <v>167</v>
      </c>
      <c r="D3" s="45">
        <v>2</v>
      </c>
      <c r="E3" s="45" t="s">
        <v>199</v>
      </c>
      <c r="F3" s="45" t="s">
        <v>62</v>
      </c>
      <c r="G3" s="45" t="s">
        <v>214</v>
      </c>
      <c r="H3" s="45" t="s">
        <v>63</v>
      </c>
      <c r="I3" s="45" t="s">
        <v>212</v>
      </c>
      <c r="J3" s="46">
        <v>45611</v>
      </c>
      <c r="K3" s="45">
        <v>1</v>
      </c>
      <c r="L3" s="45" t="s">
        <v>75</v>
      </c>
      <c r="M3" s="45">
        <v>11</v>
      </c>
      <c r="N3" s="45" t="s">
        <v>169</v>
      </c>
      <c r="O3" s="45">
        <v>15000</v>
      </c>
      <c r="P3" s="45">
        <v>1500</v>
      </c>
      <c r="Q3" s="45">
        <f t="shared" ref="Q3" si="1">SUM(O3,P3)</f>
        <v>16500</v>
      </c>
      <c r="R3" s="54"/>
      <c r="S3" s="54"/>
      <c r="T3" s="54"/>
      <c r="U3" s="54"/>
      <c r="V3" s="54"/>
      <c r="W3" s="54"/>
      <c r="X3" s="54"/>
      <c r="Y3" s="54"/>
      <c r="Z3" s="54"/>
    </row>
    <row r="4" spans="1:40">
      <c r="A4" s="45" t="s">
        <v>61</v>
      </c>
      <c r="B4" s="45">
        <v>3</v>
      </c>
      <c r="C4" s="45" t="s">
        <v>167</v>
      </c>
      <c r="D4" s="45">
        <v>2</v>
      </c>
      <c r="E4" s="45" t="s">
        <v>199</v>
      </c>
      <c r="F4" s="45" t="s">
        <v>62</v>
      </c>
      <c r="G4" s="45" t="s">
        <v>208</v>
      </c>
      <c r="H4" s="45" t="s">
        <v>63</v>
      </c>
      <c r="I4" s="45" t="s">
        <v>210</v>
      </c>
      <c r="J4" s="46">
        <v>45611</v>
      </c>
      <c r="K4" s="45">
        <v>1</v>
      </c>
      <c r="L4" s="45" t="s">
        <v>75</v>
      </c>
      <c r="M4" s="45">
        <v>12</v>
      </c>
      <c r="N4" s="45" t="s">
        <v>146</v>
      </c>
      <c r="O4" s="45">
        <v>10000</v>
      </c>
      <c r="P4" s="45">
        <v>1000</v>
      </c>
      <c r="Q4" s="45">
        <f t="shared" si="0"/>
        <v>11000</v>
      </c>
      <c r="R4" s="54"/>
      <c r="S4" s="54"/>
      <c r="T4" s="54"/>
      <c r="U4" s="54"/>
      <c r="V4" s="54"/>
      <c r="W4" s="54"/>
      <c r="X4" s="54"/>
      <c r="Y4" s="54"/>
      <c r="Z4" s="54"/>
    </row>
    <row r="5" spans="1:40">
      <c r="A5" s="45" t="s">
        <v>61</v>
      </c>
      <c r="B5" s="45">
        <v>4</v>
      </c>
      <c r="C5" s="45" t="s">
        <v>167</v>
      </c>
      <c r="D5" s="45">
        <v>2</v>
      </c>
      <c r="E5" s="45" t="s">
        <v>199</v>
      </c>
      <c r="F5" s="45" t="s">
        <v>62</v>
      </c>
      <c r="G5" s="45" t="s">
        <v>208</v>
      </c>
      <c r="H5" s="45" t="s">
        <v>63</v>
      </c>
      <c r="I5" s="45" t="s">
        <v>210</v>
      </c>
      <c r="J5" s="46">
        <v>45611</v>
      </c>
      <c r="K5" s="45">
        <v>2</v>
      </c>
      <c r="L5" s="45" t="s">
        <v>76</v>
      </c>
      <c r="M5" s="45">
        <v>29</v>
      </c>
      <c r="N5" s="45" t="s">
        <v>147</v>
      </c>
      <c r="O5" s="45">
        <v>50000</v>
      </c>
      <c r="P5" s="45">
        <v>5000</v>
      </c>
      <c r="Q5" s="45">
        <f t="shared" si="0"/>
        <v>55000</v>
      </c>
      <c r="R5" s="54"/>
      <c r="S5" s="54"/>
      <c r="T5" s="54"/>
      <c r="U5" s="54"/>
      <c r="V5" s="54"/>
      <c r="W5" s="54"/>
      <c r="X5" s="54"/>
      <c r="Y5" s="54"/>
      <c r="Z5" s="54"/>
    </row>
    <row r="6" spans="1:40">
      <c r="A6" s="45" t="s">
        <v>61</v>
      </c>
      <c r="B6" s="45">
        <v>5</v>
      </c>
      <c r="C6" s="45" t="s">
        <v>167</v>
      </c>
      <c r="D6" s="45">
        <v>2</v>
      </c>
      <c r="E6" s="45" t="s">
        <v>199</v>
      </c>
      <c r="F6" s="45" t="s">
        <v>62</v>
      </c>
      <c r="G6" s="45" t="s">
        <v>208</v>
      </c>
      <c r="H6" s="45" t="s">
        <v>64</v>
      </c>
      <c r="I6" s="45" t="s">
        <v>211</v>
      </c>
      <c r="J6" s="46">
        <v>45611</v>
      </c>
      <c r="K6" s="45">
        <v>3</v>
      </c>
      <c r="L6" s="45" t="s">
        <v>77</v>
      </c>
      <c r="M6" s="45">
        <v>39</v>
      </c>
      <c r="N6" s="45" t="s">
        <v>148</v>
      </c>
      <c r="O6" s="45">
        <v>200000</v>
      </c>
      <c r="P6" s="45">
        <v>20000</v>
      </c>
      <c r="Q6" s="45">
        <f t="shared" si="0"/>
        <v>220000</v>
      </c>
      <c r="R6" s="54"/>
      <c r="S6" s="54"/>
      <c r="T6" s="54"/>
      <c r="U6" s="54"/>
      <c r="V6" s="54"/>
      <c r="W6" s="54"/>
      <c r="X6" s="54"/>
      <c r="Y6" s="54"/>
      <c r="Z6" s="54"/>
    </row>
    <row r="7" spans="1:40">
      <c r="A7" s="45" t="s">
        <v>61</v>
      </c>
      <c r="B7" s="45">
        <v>6</v>
      </c>
      <c r="C7" s="45" t="s">
        <v>167</v>
      </c>
      <c r="D7" s="45">
        <v>2</v>
      </c>
      <c r="E7" s="45" t="s">
        <v>199</v>
      </c>
      <c r="F7" s="45" t="s">
        <v>62</v>
      </c>
      <c r="G7" s="45" t="s">
        <v>208</v>
      </c>
      <c r="H7" s="45" t="s">
        <v>64</v>
      </c>
      <c r="I7" s="45" t="s">
        <v>211</v>
      </c>
      <c r="J7" s="46">
        <v>45611</v>
      </c>
      <c r="K7" s="45">
        <v>4</v>
      </c>
      <c r="L7" s="45" t="s">
        <v>78</v>
      </c>
      <c r="M7" s="45">
        <v>49</v>
      </c>
      <c r="N7" s="45" t="s">
        <v>149</v>
      </c>
      <c r="O7" s="45">
        <v>3000000</v>
      </c>
      <c r="P7" s="45">
        <v>300000</v>
      </c>
      <c r="Q7" s="45">
        <f t="shared" si="0"/>
        <v>3300000</v>
      </c>
      <c r="R7" s="54"/>
      <c r="S7" s="54"/>
      <c r="T7" s="54"/>
      <c r="U7" s="54"/>
      <c r="V7" s="54"/>
      <c r="W7" s="54"/>
      <c r="X7" s="54"/>
      <c r="Y7" s="54"/>
      <c r="Z7" s="54"/>
    </row>
    <row r="8" spans="1:40">
      <c r="A8" s="45" t="s">
        <v>61</v>
      </c>
      <c r="B8" s="45">
        <v>7</v>
      </c>
      <c r="C8" s="45" t="s">
        <v>167</v>
      </c>
      <c r="D8" s="45">
        <v>3</v>
      </c>
      <c r="E8" s="45" t="s">
        <v>200</v>
      </c>
      <c r="F8" s="45" t="s">
        <v>62</v>
      </c>
      <c r="G8" s="45" t="s">
        <v>208</v>
      </c>
      <c r="H8" s="45" t="s">
        <v>63</v>
      </c>
      <c r="I8" s="45" t="s">
        <v>210</v>
      </c>
      <c r="J8" s="46">
        <v>45611</v>
      </c>
      <c r="K8" s="45">
        <v>1</v>
      </c>
      <c r="L8" s="45" t="s">
        <v>75</v>
      </c>
      <c r="M8" s="45">
        <v>11</v>
      </c>
      <c r="N8" s="48" t="s">
        <v>169</v>
      </c>
      <c r="O8" s="45">
        <v>5000</v>
      </c>
      <c r="P8" s="45">
        <v>500</v>
      </c>
      <c r="Q8" s="45">
        <f>SUM(O8:P8)</f>
        <v>5500</v>
      </c>
      <c r="R8" s="47" t="s">
        <v>181</v>
      </c>
      <c r="S8" s="45">
        <v>10010</v>
      </c>
      <c r="T8" s="45">
        <v>2</v>
      </c>
      <c r="U8" s="45" t="s">
        <v>74</v>
      </c>
      <c r="V8" s="45" t="s">
        <v>176</v>
      </c>
      <c r="W8" s="45">
        <v>1</v>
      </c>
      <c r="X8" s="45" t="s">
        <v>112</v>
      </c>
      <c r="Y8" s="45">
        <v>11</v>
      </c>
      <c r="Z8" s="45" t="s">
        <v>86</v>
      </c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</row>
    <row r="9" spans="1:40">
      <c r="A9" s="45" t="s">
        <v>61</v>
      </c>
      <c r="B9" s="45">
        <v>8</v>
      </c>
      <c r="C9" s="45" t="s">
        <v>167</v>
      </c>
      <c r="D9" s="45">
        <v>3</v>
      </c>
      <c r="E9" s="45" t="s">
        <v>200</v>
      </c>
      <c r="F9" s="45" t="s">
        <v>62</v>
      </c>
      <c r="G9" s="45" t="s">
        <v>208</v>
      </c>
      <c r="H9" s="45" t="s">
        <v>63</v>
      </c>
      <c r="I9" s="45" t="s">
        <v>210</v>
      </c>
      <c r="J9" s="46">
        <v>45611</v>
      </c>
      <c r="K9" s="45">
        <v>1</v>
      </c>
      <c r="L9" s="45" t="s">
        <v>75</v>
      </c>
      <c r="M9" s="45">
        <v>11</v>
      </c>
      <c r="N9" s="48" t="s">
        <v>169</v>
      </c>
      <c r="O9" s="45">
        <v>10000</v>
      </c>
      <c r="P9" s="45">
        <v>1000</v>
      </c>
      <c r="Q9" s="45">
        <f>SUM(O9:P9)</f>
        <v>11000</v>
      </c>
      <c r="R9" s="47" t="s">
        <v>183</v>
      </c>
      <c r="S9" s="45">
        <v>10011</v>
      </c>
      <c r="T9" s="45">
        <v>2</v>
      </c>
      <c r="U9" s="45" t="s">
        <v>74</v>
      </c>
      <c r="V9" s="45" t="s">
        <v>176</v>
      </c>
      <c r="W9" s="45">
        <v>1</v>
      </c>
      <c r="X9" s="45" t="s">
        <v>112</v>
      </c>
      <c r="Y9" s="45">
        <v>11</v>
      </c>
      <c r="Z9" s="45" t="s">
        <v>86</v>
      </c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</row>
    <row r="10" spans="1:40">
      <c r="A10" s="45" t="s">
        <v>61</v>
      </c>
      <c r="B10" s="45">
        <v>9</v>
      </c>
      <c r="C10" s="45" t="s">
        <v>167</v>
      </c>
      <c r="D10" s="45">
        <v>3</v>
      </c>
      <c r="E10" s="45" t="s">
        <v>200</v>
      </c>
      <c r="F10" s="45" t="s">
        <v>62</v>
      </c>
      <c r="G10" s="45" t="s">
        <v>208</v>
      </c>
      <c r="H10" s="45" t="s">
        <v>63</v>
      </c>
      <c r="I10" s="45" t="s">
        <v>210</v>
      </c>
      <c r="J10" s="46">
        <v>45611</v>
      </c>
      <c r="K10" s="45">
        <v>1</v>
      </c>
      <c r="L10" s="45" t="s">
        <v>75</v>
      </c>
      <c r="M10" s="45">
        <v>12</v>
      </c>
      <c r="N10" s="48" t="s">
        <v>146</v>
      </c>
      <c r="O10" s="45">
        <v>10000</v>
      </c>
      <c r="P10" s="45">
        <v>1000</v>
      </c>
      <c r="Q10" s="45">
        <f>SUM(O10:P10)</f>
        <v>11000</v>
      </c>
      <c r="R10" s="47" t="s">
        <v>184</v>
      </c>
      <c r="S10" s="45">
        <v>10012</v>
      </c>
      <c r="T10" s="45">
        <v>2</v>
      </c>
      <c r="U10" s="45" t="s">
        <v>74</v>
      </c>
      <c r="V10" s="45" t="s">
        <v>176</v>
      </c>
      <c r="W10" s="45">
        <v>1</v>
      </c>
      <c r="X10" s="45" t="s">
        <v>112</v>
      </c>
      <c r="Y10" s="45">
        <v>11</v>
      </c>
      <c r="Z10" s="45" t="s">
        <v>86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</row>
    <row r="11" spans="1:40">
      <c r="A11" s="45" t="s">
        <v>61</v>
      </c>
      <c r="B11" s="45">
        <v>10</v>
      </c>
      <c r="C11" s="45" t="s">
        <v>167</v>
      </c>
      <c r="D11" s="45">
        <v>3</v>
      </c>
      <c r="E11" s="45" t="s">
        <v>200</v>
      </c>
      <c r="F11" s="45" t="s">
        <v>62</v>
      </c>
      <c r="G11" s="45" t="s">
        <v>208</v>
      </c>
      <c r="H11" s="45" t="s">
        <v>63</v>
      </c>
      <c r="I11" s="45" t="s">
        <v>210</v>
      </c>
      <c r="J11" s="46">
        <v>45611</v>
      </c>
      <c r="K11" s="45">
        <v>2</v>
      </c>
      <c r="L11" s="45" t="s">
        <v>76</v>
      </c>
      <c r="M11" s="45">
        <v>29</v>
      </c>
      <c r="N11" s="48" t="s">
        <v>147</v>
      </c>
      <c r="O11" s="45">
        <v>50000</v>
      </c>
      <c r="P11" s="45">
        <v>5000</v>
      </c>
      <c r="Q11" s="45">
        <f t="shared" ref="Q11:Q12" si="2">SUM(O11:P11)</f>
        <v>55000</v>
      </c>
      <c r="R11" s="47" t="s">
        <v>186</v>
      </c>
      <c r="S11" s="53">
        <v>10013</v>
      </c>
      <c r="T11" s="53">
        <v>1</v>
      </c>
      <c r="U11" s="45" t="s">
        <v>215</v>
      </c>
      <c r="V11" s="47" t="s">
        <v>178</v>
      </c>
      <c r="W11" s="45">
        <v>2</v>
      </c>
      <c r="X11" s="45" t="s">
        <v>113</v>
      </c>
      <c r="Y11" s="45">
        <v>12</v>
      </c>
      <c r="Z11" s="45" t="s">
        <v>76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</row>
    <row r="12" spans="1:40">
      <c r="A12" s="45" t="s">
        <v>61</v>
      </c>
      <c r="B12" s="45">
        <v>11</v>
      </c>
      <c r="C12" s="45" t="s">
        <v>167</v>
      </c>
      <c r="D12" s="45">
        <v>3</v>
      </c>
      <c r="E12" s="45" t="s">
        <v>200</v>
      </c>
      <c r="F12" s="45" t="s">
        <v>62</v>
      </c>
      <c r="G12" s="45" t="s">
        <v>208</v>
      </c>
      <c r="H12" s="45" t="s">
        <v>64</v>
      </c>
      <c r="I12" s="45" t="s">
        <v>211</v>
      </c>
      <c r="J12" s="46">
        <v>45611</v>
      </c>
      <c r="K12" s="45">
        <v>3</v>
      </c>
      <c r="L12" s="45" t="s">
        <v>77</v>
      </c>
      <c r="M12" s="45">
        <v>39</v>
      </c>
      <c r="N12" s="48" t="s">
        <v>148</v>
      </c>
      <c r="O12" s="45">
        <v>200000</v>
      </c>
      <c r="P12" s="45">
        <v>20000</v>
      </c>
      <c r="Q12" s="45">
        <f t="shared" si="2"/>
        <v>220000</v>
      </c>
      <c r="R12" s="47" t="s">
        <v>187</v>
      </c>
      <c r="S12" s="53">
        <v>10014</v>
      </c>
      <c r="T12" s="53">
        <v>1</v>
      </c>
      <c r="U12" s="45" t="s">
        <v>215</v>
      </c>
      <c r="V12" s="47" t="s">
        <v>178</v>
      </c>
      <c r="W12" s="45">
        <v>3</v>
      </c>
      <c r="X12" s="45" t="s">
        <v>114</v>
      </c>
      <c r="Y12" s="45">
        <v>13</v>
      </c>
      <c r="Z12" s="45" t="s">
        <v>87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</row>
    <row r="13" spans="1:40">
      <c r="A13" s="45" t="s">
        <v>61</v>
      </c>
      <c r="B13" s="45">
        <v>12</v>
      </c>
      <c r="C13" s="45" t="s">
        <v>167</v>
      </c>
      <c r="D13" s="45">
        <v>3</v>
      </c>
      <c r="E13" s="45" t="s">
        <v>200</v>
      </c>
      <c r="F13" s="45" t="s">
        <v>62</v>
      </c>
      <c r="G13" s="45" t="s">
        <v>208</v>
      </c>
      <c r="H13" s="45" t="s">
        <v>64</v>
      </c>
      <c r="I13" s="45" t="s">
        <v>211</v>
      </c>
      <c r="J13" s="46">
        <v>45611</v>
      </c>
      <c r="K13" s="45">
        <v>4</v>
      </c>
      <c r="L13" s="45" t="s">
        <v>78</v>
      </c>
      <c r="M13" s="45">
        <v>49</v>
      </c>
      <c r="N13" s="48" t="s">
        <v>149</v>
      </c>
      <c r="O13" s="45">
        <v>3000000</v>
      </c>
      <c r="P13" s="45">
        <v>300000</v>
      </c>
      <c r="Q13" s="45">
        <f t="shared" ref="Q13" si="3">SUM(O13:P13)</f>
        <v>3300000</v>
      </c>
      <c r="R13" s="47" t="s">
        <v>188</v>
      </c>
      <c r="S13" s="53">
        <v>10015</v>
      </c>
      <c r="T13" s="53">
        <v>1</v>
      </c>
      <c r="U13" s="45" t="s">
        <v>215</v>
      </c>
      <c r="V13" s="47" t="s">
        <v>178</v>
      </c>
      <c r="W13" s="45">
        <v>4</v>
      </c>
      <c r="X13" s="45" t="s">
        <v>115</v>
      </c>
      <c r="Y13" s="45">
        <v>14</v>
      </c>
      <c r="Z13" s="45" t="s">
        <v>88</v>
      </c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</row>
    <row r="14" spans="1:40">
      <c r="A14" s="45" t="s">
        <v>61</v>
      </c>
      <c r="B14" s="45">
        <v>13</v>
      </c>
      <c r="C14" s="45" t="s">
        <v>167</v>
      </c>
      <c r="D14" s="45">
        <v>9</v>
      </c>
      <c r="E14" s="45" t="s">
        <v>201</v>
      </c>
      <c r="F14" s="45" t="s">
        <v>62</v>
      </c>
      <c r="G14" s="45" t="s">
        <v>208</v>
      </c>
      <c r="H14" s="45" t="s">
        <v>63</v>
      </c>
      <c r="I14" s="45" t="s">
        <v>210</v>
      </c>
      <c r="J14" s="46">
        <v>45611</v>
      </c>
      <c r="K14" s="45">
        <v>1</v>
      </c>
      <c r="L14" s="45" t="s">
        <v>75</v>
      </c>
      <c r="M14" s="45">
        <v>11</v>
      </c>
      <c r="N14" s="48" t="s">
        <v>169</v>
      </c>
      <c r="O14" s="45">
        <v>-5000</v>
      </c>
      <c r="P14" s="45">
        <v>-500</v>
      </c>
      <c r="Q14" s="45">
        <f>SUM(O14:P14)</f>
        <v>-5500</v>
      </c>
      <c r="R14" s="47" t="s">
        <v>185</v>
      </c>
      <c r="S14" s="45">
        <v>10010</v>
      </c>
      <c r="T14" s="45">
        <v>2</v>
      </c>
      <c r="U14" s="45" t="s">
        <v>74</v>
      </c>
      <c r="V14" s="45" t="s">
        <v>176</v>
      </c>
      <c r="W14" s="45">
        <v>1</v>
      </c>
      <c r="X14" s="45" t="s">
        <v>112</v>
      </c>
      <c r="Y14" s="45">
        <v>11</v>
      </c>
      <c r="Z14" s="45" t="s">
        <v>86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</row>
    <row r="15" spans="1:40">
      <c r="A15" s="45" t="s">
        <v>61</v>
      </c>
      <c r="B15" s="45">
        <v>14</v>
      </c>
      <c r="C15" s="45" t="s">
        <v>168</v>
      </c>
      <c r="D15" s="45">
        <v>1</v>
      </c>
      <c r="E15" s="45" t="s">
        <v>198</v>
      </c>
      <c r="F15" s="47" t="s">
        <v>107</v>
      </c>
      <c r="G15" s="45" t="s">
        <v>209</v>
      </c>
      <c r="H15" s="54"/>
      <c r="I15" s="54"/>
      <c r="J15" s="46">
        <v>45611</v>
      </c>
      <c r="K15" s="54"/>
      <c r="L15" s="54"/>
      <c r="M15" s="54"/>
      <c r="N15" s="54"/>
      <c r="O15" s="45">
        <v>4024476</v>
      </c>
      <c r="P15" s="45">
        <v>402448</v>
      </c>
      <c r="Q15" s="45">
        <f t="shared" ref="Q15:Q19" si="4">SUM(O15,P15)</f>
        <v>4426924</v>
      </c>
      <c r="R15" s="54"/>
      <c r="S15" s="54"/>
      <c r="T15" s="54"/>
      <c r="U15" s="54"/>
      <c r="V15" s="54"/>
      <c r="W15" s="54"/>
      <c r="X15" s="54"/>
      <c r="Y15" s="54"/>
      <c r="Z15" s="54"/>
    </row>
    <row r="16" spans="1:40">
      <c r="A16" s="45" t="s">
        <v>61</v>
      </c>
      <c r="B16" s="45">
        <v>15</v>
      </c>
      <c r="C16" s="45" t="s">
        <v>168</v>
      </c>
      <c r="D16" s="45">
        <v>2</v>
      </c>
      <c r="E16" s="45" t="s">
        <v>199</v>
      </c>
      <c r="F16" s="47" t="s">
        <v>107</v>
      </c>
      <c r="G16" s="45" t="s">
        <v>209</v>
      </c>
      <c r="H16" s="47" t="s">
        <v>108</v>
      </c>
      <c r="I16" s="45" t="s">
        <v>212</v>
      </c>
      <c r="J16" s="46">
        <v>45611</v>
      </c>
      <c r="K16" s="45">
        <v>2</v>
      </c>
      <c r="L16" s="45" t="s">
        <v>76</v>
      </c>
      <c r="M16" s="45">
        <v>29</v>
      </c>
      <c r="N16" s="45" t="s">
        <v>147</v>
      </c>
      <c r="O16" s="45">
        <v>50000</v>
      </c>
      <c r="P16" s="45">
        <v>5000</v>
      </c>
      <c r="Q16" s="45">
        <f t="shared" ref="Q16" si="5">SUM(O16,P16)</f>
        <v>55000</v>
      </c>
      <c r="R16" s="54"/>
      <c r="S16" s="54"/>
      <c r="T16" s="54"/>
      <c r="U16" s="54"/>
      <c r="V16" s="54"/>
      <c r="W16" s="54"/>
      <c r="X16" s="54"/>
      <c r="Y16" s="54"/>
      <c r="Z16" s="54"/>
    </row>
    <row r="17" spans="1:40">
      <c r="A17" s="45" t="s">
        <v>61</v>
      </c>
      <c r="B17" s="45">
        <v>16</v>
      </c>
      <c r="C17" s="45" t="s">
        <v>168</v>
      </c>
      <c r="D17" s="45">
        <v>2</v>
      </c>
      <c r="E17" s="45" t="s">
        <v>199</v>
      </c>
      <c r="F17" s="47" t="s">
        <v>107</v>
      </c>
      <c r="G17" s="45" t="s">
        <v>209</v>
      </c>
      <c r="H17" s="47" t="s">
        <v>109</v>
      </c>
      <c r="I17" s="45" t="s">
        <v>213</v>
      </c>
      <c r="J17" s="46">
        <v>45611</v>
      </c>
      <c r="K17" s="45">
        <v>2</v>
      </c>
      <c r="L17" s="45" t="s">
        <v>76</v>
      </c>
      <c r="M17" s="45">
        <v>29</v>
      </c>
      <c r="N17" s="45" t="s">
        <v>147</v>
      </c>
      <c r="O17" s="45">
        <v>774476</v>
      </c>
      <c r="P17" s="45">
        <v>77448</v>
      </c>
      <c r="Q17" s="45">
        <f t="shared" si="4"/>
        <v>851924</v>
      </c>
      <c r="R17" s="54"/>
      <c r="S17" s="54"/>
      <c r="T17" s="54"/>
      <c r="U17" s="54"/>
      <c r="V17" s="54"/>
      <c r="W17" s="54"/>
      <c r="X17" s="54"/>
      <c r="Y17" s="54"/>
      <c r="Z17" s="54"/>
    </row>
    <row r="18" spans="1:40">
      <c r="A18" s="45" t="s">
        <v>61</v>
      </c>
      <c r="B18" s="45">
        <v>17</v>
      </c>
      <c r="C18" s="45" t="s">
        <v>168</v>
      </c>
      <c r="D18" s="45">
        <v>2</v>
      </c>
      <c r="E18" s="45" t="s">
        <v>199</v>
      </c>
      <c r="F18" s="47" t="s">
        <v>107</v>
      </c>
      <c r="G18" s="45" t="s">
        <v>209</v>
      </c>
      <c r="H18" s="47" t="s">
        <v>109</v>
      </c>
      <c r="I18" s="45" t="s">
        <v>213</v>
      </c>
      <c r="J18" s="46">
        <v>45611</v>
      </c>
      <c r="K18" s="45">
        <v>3</v>
      </c>
      <c r="L18" s="45" t="s">
        <v>77</v>
      </c>
      <c r="M18" s="45">
        <v>39</v>
      </c>
      <c r="N18" s="45" t="s">
        <v>148</v>
      </c>
      <c r="O18" s="45">
        <v>200000</v>
      </c>
      <c r="P18" s="45">
        <v>20000</v>
      </c>
      <c r="Q18" s="45">
        <f t="shared" si="4"/>
        <v>220000</v>
      </c>
      <c r="R18" s="54"/>
      <c r="S18" s="54"/>
      <c r="T18" s="54"/>
      <c r="U18" s="54"/>
      <c r="V18" s="54"/>
      <c r="W18" s="54"/>
      <c r="X18" s="54"/>
      <c r="Y18" s="54"/>
      <c r="Z18" s="54"/>
    </row>
    <row r="19" spans="1:40">
      <c r="A19" s="45" t="s">
        <v>61</v>
      </c>
      <c r="B19" s="45">
        <v>18</v>
      </c>
      <c r="C19" s="45" t="s">
        <v>168</v>
      </c>
      <c r="D19" s="45">
        <v>2</v>
      </c>
      <c r="E19" s="45" t="s">
        <v>199</v>
      </c>
      <c r="F19" s="47" t="s">
        <v>107</v>
      </c>
      <c r="G19" s="45" t="s">
        <v>209</v>
      </c>
      <c r="H19" s="47" t="s">
        <v>109</v>
      </c>
      <c r="I19" s="45" t="s">
        <v>213</v>
      </c>
      <c r="J19" s="46">
        <v>45611</v>
      </c>
      <c r="K19" s="45">
        <v>4</v>
      </c>
      <c r="L19" s="45" t="s">
        <v>78</v>
      </c>
      <c r="M19" s="45">
        <v>49</v>
      </c>
      <c r="N19" s="45" t="s">
        <v>149</v>
      </c>
      <c r="O19" s="45">
        <v>3000000</v>
      </c>
      <c r="P19" s="45">
        <v>300000</v>
      </c>
      <c r="Q19" s="45">
        <f t="shared" si="4"/>
        <v>3300000</v>
      </c>
      <c r="R19" s="54"/>
      <c r="S19" s="54"/>
      <c r="T19" s="54"/>
      <c r="U19" s="54"/>
      <c r="V19" s="54"/>
      <c r="W19" s="54"/>
      <c r="X19" s="54"/>
      <c r="Y19" s="54"/>
      <c r="Z19" s="54"/>
    </row>
    <row r="20" spans="1:40">
      <c r="A20" s="45" t="s">
        <v>61</v>
      </c>
      <c r="B20" s="45">
        <v>19</v>
      </c>
      <c r="C20" s="45" t="s">
        <v>168</v>
      </c>
      <c r="D20" s="45">
        <v>3</v>
      </c>
      <c r="E20" s="45" t="s">
        <v>200</v>
      </c>
      <c r="F20" s="47" t="s">
        <v>107</v>
      </c>
      <c r="G20" s="45" t="s">
        <v>209</v>
      </c>
      <c r="H20" s="47" t="s">
        <v>108</v>
      </c>
      <c r="I20" s="45" t="s">
        <v>212</v>
      </c>
      <c r="J20" s="46">
        <v>45611</v>
      </c>
      <c r="K20" s="45">
        <v>2</v>
      </c>
      <c r="L20" s="45" t="s">
        <v>76</v>
      </c>
      <c r="M20" s="45">
        <v>29</v>
      </c>
      <c r="N20" s="48" t="s">
        <v>147</v>
      </c>
      <c r="O20" s="45">
        <v>50000</v>
      </c>
      <c r="P20" s="45">
        <v>5000</v>
      </c>
      <c r="Q20" s="45">
        <f t="shared" ref="Q20" si="6">SUM(O20:P20)</f>
        <v>55000</v>
      </c>
      <c r="R20" s="47" t="s">
        <v>189</v>
      </c>
      <c r="S20" s="53">
        <v>10021</v>
      </c>
      <c r="T20" s="53">
        <v>1</v>
      </c>
      <c r="U20" s="45" t="s">
        <v>215</v>
      </c>
      <c r="V20" s="47" t="s">
        <v>178</v>
      </c>
      <c r="W20" s="45">
        <v>2</v>
      </c>
      <c r="X20" s="45" t="s">
        <v>113</v>
      </c>
      <c r="Y20" s="45">
        <v>12</v>
      </c>
      <c r="Z20" s="45" t="s">
        <v>76</v>
      </c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 spans="1:40">
      <c r="A21" s="45" t="s">
        <v>61</v>
      </c>
      <c r="B21" s="45">
        <v>20</v>
      </c>
      <c r="C21" s="45" t="s">
        <v>168</v>
      </c>
      <c r="D21" s="45">
        <v>3</v>
      </c>
      <c r="E21" s="45" t="s">
        <v>200</v>
      </c>
      <c r="F21" s="47" t="s">
        <v>107</v>
      </c>
      <c r="G21" s="45" t="s">
        <v>209</v>
      </c>
      <c r="H21" s="47" t="s">
        <v>109</v>
      </c>
      <c r="I21" s="45" t="s">
        <v>213</v>
      </c>
      <c r="J21" s="46">
        <v>45611</v>
      </c>
      <c r="K21" s="45">
        <v>2</v>
      </c>
      <c r="L21" s="45" t="s">
        <v>76</v>
      </c>
      <c r="M21" s="45">
        <v>29</v>
      </c>
      <c r="N21" s="48" t="s">
        <v>147</v>
      </c>
      <c r="O21" s="45">
        <v>774476</v>
      </c>
      <c r="P21" s="45">
        <v>77448</v>
      </c>
      <c r="Q21" s="45">
        <f t="shared" ref="Q21:Q23" si="7">SUM(O21:P21)</f>
        <v>851924</v>
      </c>
      <c r="R21" s="47" t="s">
        <v>190</v>
      </c>
      <c r="S21" s="53">
        <v>10022</v>
      </c>
      <c r="T21" s="53">
        <v>1</v>
      </c>
      <c r="U21" s="45" t="s">
        <v>215</v>
      </c>
      <c r="V21" s="47" t="s">
        <v>178</v>
      </c>
      <c r="W21" s="45">
        <v>2</v>
      </c>
      <c r="X21" s="45" t="s">
        <v>113</v>
      </c>
      <c r="Y21" s="45">
        <v>12</v>
      </c>
      <c r="Z21" s="45" t="s">
        <v>76</v>
      </c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</row>
    <row r="22" spans="1:40">
      <c r="A22" s="45" t="s">
        <v>61</v>
      </c>
      <c r="B22" s="45">
        <v>21</v>
      </c>
      <c r="C22" s="45" t="s">
        <v>168</v>
      </c>
      <c r="D22" s="45">
        <v>3</v>
      </c>
      <c r="E22" s="45" t="s">
        <v>200</v>
      </c>
      <c r="F22" s="47" t="s">
        <v>107</v>
      </c>
      <c r="G22" s="45" t="s">
        <v>209</v>
      </c>
      <c r="H22" s="47" t="s">
        <v>109</v>
      </c>
      <c r="I22" s="45" t="s">
        <v>213</v>
      </c>
      <c r="J22" s="46">
        <v>45611</v>
      </c>
      <c r="K22" s="45">
        <v>3</v>
      </c>
      <c r="L22" s="45" t="s">
        <v>77</v>
      </c>
      <c r="M22" s="45">
        <v>39</v>
      </c>
      <c r="N22" s="48" t="s">
        <v>148</v>
      </c>
      <c r="O22" s="45">
        <v>200000</v>
      </c>
      <c r="P22" s="45">
        <v>20000</v>
      </c>
      <c r="Q22" s="45">
        <f t="shared" si="7"/>
        <v>220000</v>
      </c>
      <c r="R22" s="47" t="s">
        <v>191</v>
      </c>
      <c r="S22" s="53">
        <v>10023</v>
      </c>
      <c r="T22" s="53">
        <v>1</v>
      </c>
      <c r="U22" s="45" t="s">
        <v>215</v>
      </c>
      <c r="V22" s="47" t="s">
        <v>178</v>
      </c>
      <c r="W22" s="45">
        <v>3</v>
      </c>
      <c r="X22" s="45" t="s">
        <v>114</v>
      </c>
      <c r="Y22" s="45">
        <v>13</v>
      </c>
      <c r="Z22" s="45" t="s">
        <v>87</v>
      </c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</row>
    <row r="23" spans="1:40">
      <c r="A23" s="45" t="s">
        <v>61</v>
      </c>
      <c r="B23" s="45">
        <v>22</v>
      </c>
      <c r="C23" s="45" t="s">
        <v>168</v>
      </c>
      <c r="D23" s="45">
        <v>3</v>
      </c>
      <c r="E23" s="45" t="s">
        <v>200</v>
      </c>
      <c r="F23" s="47" t="s">
        <v>107</v>
      </c>
      <c r="G23" s="45" t="s">
        <v>209</v>
      </c>
      <c r="H23" s="47" t="s">
        <v>109</v>
      </c>
      <c r="I23" s="45" t="s">
        <v>213</v>
      </c>
      <c r="J23" s="46">
        <v>45611</v>
      </c>
      <c r="K23" s="45">
        <v>4</v>
      </c>
      <c r="L23" s="45" t="s">
        <v>78</v>
      </c>
      <c r="M23" s="45">
        <v>49</v>
      </c>
      <c r="N23" s="48" t="s">
        <v>149</v>
      </c>
      <c r="O23" s="45">
        <v>3000000</v>
      </c>
      <c r="P23" s="45">
        <v>300000</v>
      </c>
      <c r="Q23" s="45">
        <f t="shared" si="7"/>
        <v>3300000</v>
      </c>
      <c r="R23" s="47" t="s">
        <v>192</v>
      </c>
      <c r="S23" s="53">
        <v>10024</v>
      </c>
      <c r="T23" s="53">
        <v>1</v>
      </c>
      <c r="U23" s="45" t="s">
        <v>215</v>
      </c>
      <c r="V23" s="47" t="s">
        <v>178</v>
      </c>
      <c r="W23" s="45">
        <v>4</v>
      </c>
      <c r="X23" s="45" t="s">
        <v>115</v>
      </c>
      <c r="Y23" s="45">
        <v>14</v>
      </c>
      <c r="Z23" s="45" t="s">
        <v>88</v>
      </c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</sheetData>
  <phoneticPr fontId="2"/>
  <pageMargins left="0.70866141732283472" right="0.70866141732283472" top="0.74803149606299213" bottom="0.74803149606299213" header="0.31496062992125984" footer="0.31496062992125984"/>
  <pageSetup paperSize="9" scale="59" fitToWidth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8C4D-6558-49DE-B01D-F122A9AE99C0}">
  <sheetPr codeName="Sheet7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2" t="s">
        <v>38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39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3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55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54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3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0" t="s">
        <v>16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">
        <v>193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6" t="s">
        <v>20</v>
      </c>
      <c r="B8" s="57"/>
      <c r="C8" s="58"/>
      <c r="D8" s="56" t="s">
        <v>40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  <c r="R8" s="134" t="s">
        <v>41</v>
      </c>
      <c r="S8" s="135"/>
      <c r="T8" s="135"/>
      <c r="U8" s="136"/>
      <c r="V8" s="134" t="s">
        <v>42</v>
      </c>
      <c r="W8" s="135"/>
      <c r="X8" s="135"/>
      <c r="Y8" s="136"/>
      <c r="Z8" s="134" t="s">
        <v>43</v>
      </c>
      <c r="AA8" s="135"/>
      <c r="AB8" s="135"/>
      <c r="AC8" s="136"/>
      <c r="AD8" s="134" t="s">
        <v>44</v>
      </c>
      <c r="AE8" s="135"/>
      <c r="AF8" s="135"/>
      <c r="AG8" s="136"/>
      <c r="AH8" s="56" t="s">
        <v>45</v>
      </c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8"/>
      <c r="BD8" s="134" t="s">
        <v>46</v>
      </c>
      <c r="BE8" s="135"/>
      <c r="BF8" s="135"/>
      <c r="BG8" s="135"/>
      <c r="BH8" s="135"/>
      <c r="BI8" s="135"/>
      <c r="BJ8" s="136"/>
    </row>
    <row r="9" spans="1:63" ht="30.6" customHeight="1">
      <c r="A9" s="137"/>
      <c r="B9" s="138"/>
      <c r="C9" s="139"/>
      <c r="D9" s="140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2"/>
      <c r="R9" s="143"/>
      <c r="S9" s="138"/>
      <c r="T9" s="138"/>
      <c r="U9" s="139"/>
      <c r="V9" s="143"/>
      <c r="W9" s="138"/>
      <c r="X9" s="138"/>
      <c r="Y9" s="139"/>
      <c r="Z9" s="143"/>
      <c r="AA9" s="138"/>
      <c r="AB9" s="138"/>
      <c r="AC9" s="139"/>
      <c r="AD9" s="143"/>
      <c r="AE9" s="138"/>
      <c r="AF9" s="138"/>
      <c r="AG9" s="139"/>
      <c r="AH9" s="144" t="s">
        <v>59</v>
      </c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6"/>
      <c r="BD9" s="147"/>
      <c r="BE9" s="148"/>
      <c r="BF9" s="148"/>
      <c r="BG9" s="148"/>
      <c r="BH9" s="148"/>
      <c r="BI9" s="148"/>
      <c r="BJ9" s="149"/>
    </row>
    <row r="10" spans="1:63" ht="30.6" customHeight="1">
      <c r="A10" s="137"/>
      <c r="B10" s="138"/>
      <c r="C10" s="139"/>
      <c r="D10" s="140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2"/>
      <c r="R10" s="143"/>
      <c r="S10" s="138"/>
      <c r="T10" s="138"/>
      <c r="U10" s="139"/>
      <c r="V10" s="143"/>
      <c r="W10" s="138"/>
      <c r="X10" s="138"/>
      <c r="Y10" s="139"/>
      <c r="Z10" s="143"/>
      <c r="AA10" s="138"/>
      <c r="AB10" s="138"/>
      <c r="AC10" s="139"/>
      <c r="AD10" s="143"/>
      <c r="AE10" s="138"/>
      <c r="AF10" s="138"/>
      <c r="AG10" s="139"/>
      <c r="AH10" s="144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6"/>
      <c r="BD10" s="147"/>
      <c r="BE10" s="148"/>
      <c r="BF10" s="148"/>
      <c r="BG10" s="148"/>
      <c r="BH10" s="148"/>
      <c r="BI10" s="148"/>
      <c r="BJ10" s="149"/>
    </row>
    <row r="11" spans="1:63" ht="30.6" customHeight="1">
      <c r="A11" s="137"/>
      <c r="B11" s="138"/>
      <c r="C11" s="139"/>
      <c r="D11" s="140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2"/>
      <c r="R11" s="143"/>
      <c r="S11" s="138"/>
      <c r="T11" s="138"/>
      <c r="U11" s="139"/>
      <c r="V11" s="143"/>
      <c r="W11" s="138"/>
      <c r="X11" s="138"/>
      <c r="Y11" s="139"/>
      <c r="Z11" s="143"/>
      <c r="AA11" s="138"/>
      <c r="AB11" s="138"/>
      <c r="AC11" s="139"/>
      <c r="AD11" s="143"/>
      <c r="AE11" s="138"/>
      <c r="AF11" s="138"/>
      <c r="AG11" s="139"/>
      <c r="AH11" s="144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6"/>
      <c r="BD11" s="147"/>
      <c r="BE11" s="148"/>
      <c r="BF11" s="148"/>
      <c r="BG11" s="148"/>
      <c r="BH11" s="148"/>
      <c r="BI11" s="148"/>
      <c r="BJ11" s="149"/>
    </row>
    <row r="12" spans="1:63" ht="30.6" customHeight="1">
      <c r="A12" s="137"/>
      <c r="B12" s="138"/>
      <c r="C12" s="139"/>
      <c r="D12" s="140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2"/>
      <c r="R12" s="143"/>
      <c r="S12" s="138"/>
      <c r="T12" s="138"/>
      <c r="U12" s="139"/>
      <c r="V12" s="143"/>
      <c r="W12" s="138"/>
      <c r="X12" s="138"/>
      <c r="Y12" s="139"/>
      <c r="Z12" s="143"/>
      <c r="AA12" s="138"/>
      <c r="AB12" s="138"/>
      <c r="AC12" s="139"/>
      <c r="AD12" s="143"/>
      <c r="AE12" s="138"/>
      <c r="AF12" s="138"/>
      <c r="AG12" s="139"/>
      <c r="AH12" s="144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6"/>
      <c r="BD12" s="147"/>
      <c r="BE12" s="148"/>
      <c r="BF12" s="148"/>
      <c r="BG12" s="148"/>
      <c r="BH12" s="148"/>
      <c r="BI12" s="148"/>
      <c r="BJ12" s="149"/>
    </row>
    <row r="13" spans="1:63" ht="30.6" customHeight="1">
      <c r="A13" s="137"/>
      <c r="B13" s="138"/>
      <c r="C13" s="139"/>
      <c r="D13" s="140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2"/>
      <c r="R13" s="143"/>
      <c r="S13" s="138"/>
      <c r="T13" s="138"/>
      <c r="U13" s="139"/>
      <c r="V13" s="143"/>
      <c r="W13" s="138"/>
      <c r="X13" s="138"/>
      <c r="Y13" s="139"/>
      <c r="Z13" s="143"/>
      <c r="AA13" s="138"/>
      <c r="AB13" s="138"/>
      <c r="AC13" s="139"/>
      <c r="AD13" s="143"/>
      <c r="AE13" s="138"/>
      <c r="AF13" s="138"/>
      <c r="AG13" s="139"/>
      <c r="AH13" s="144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6"/>
      <c r="BD13" s="147"/>
      <c r="BE13" s="148"/>
      <c r="BF13" s="148"/>
      <c r="BG13" s="148"/>
      <c r="BH13" s="148"/>
      <c r="BI13" s="148"/>
      <c r="BJ13" s="149"/>
    </row>
    <row r="14" spans="1:63" ht="30.6" customHeight="1">
      <c r="A14" s="137"/>
      <c r="B14" s="138"/>
      <c r="C14" s="139"/>
      <c r="D14" s="140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2"/>
      <c r="R14" s="143"/>
      <c r="S14" s="138"/>
      <c r="T14" s="138"/>
      <c r="U14" s="139"/>
      <c r="V14" s="143"/>
      <c r="W14" s="138"/>
      <c r="X14" s="138"/>
      <c r="Y14" s="139"/>
      <c r="Z14" s="143"/>
      <c r="AA14" s="138"/>
      <c r="AB14" s="138"/>
      <c r="AC14" s="139"/>
      <c r="AD14" s="143"/>
      <c r="AE14" s="138"/>
      <c r="AF14" s="138"/>
      <c r="AG14" s="139"/>
      <c r="AH14" s="144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6"/>
      <c r="BD14" s="147"/>
      <c r="BE14" s="148"/>
      <c r="BF14" s="148"/>
      <c r="BG14" s="148"/>
      <c r="BH14" s="148"/>
      <c r="BI14" s="148"/>
      <c r="BJ14" s="149"/>
    </row>
    <row r="15" spans="1:63" ht="30.6" customHeight="1">
      <c r="A15" s="137"/>
      <c r="B15" s="138"/>
      <c r="C15" s="139"/>
      <c r="D15" s="140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2"/>
      <c r="R15" s="143"/>
      <c r="S15" s="138"/>
      <c r="T15" s="138"/>
      <c r="U15" s="139"/>
      <c r="V15" s="143"/>
      <c r="W15" s="138"/>
      <c r="X15" s="138"/>
      <c r="Y15" s="139"/>
      <c r="Z15" s="143"/>
      <c r="AA15" s="138"/>
      <c r="AB15" s="138"/>
      <c r="AC15" s="139"/>
      <c r="AD15" s="143"/>
      <c r="AE15" s="138"/>
      <c r="AF15" s="138"/>
      <c r="AG15" s="139"/>
      <c r="AH15" s="144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6"/>
      <c r="BD15" s="147"/>
      <c r="BE15" s="148"/>
      <c r="BF15" s="148"/>
      <c r="BG15" s="148"/>
      <c r="BH15" s="148"/>
      <c r="BI15" s="148"/>
      <c r="BJ15" s="149"/>
    </row>
    <row r="16" spans="1:63" ht="30.6" customHeight="1">
      <c r="A16" s="137"/>
      <c r="B16" s="138"/>
      <c r="C16" s="139"/>
      <c r="D16" s="140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2"/>
      <c r="R16" s="143"/>
      <c r="S16" s="138"/>
      <c r="T16" s="138"/>
      <c r="U16" s="139"/>
      <c r="V16" s="143"/>
      <c r="W16" s="138"/>
      <c r="X16" s="138"/>
      <c r="Y16" s="139"/>
      <c r="Z16" s="143"/>
      <c r="AA16" s="138"/>
      <c r="AB16" s="138"/>
      <c r="AC16" s="139"/>
      <c r="AD16" s="143"/>
      <c r="AE16" s="138"/>
      <c r="AF16" s="138"/>
      <c r="AG16" s="139"/>
      <c r="AH16" s="144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6"/>
      <c r="BD16" s="147"/>
      <c r="BE16" s="148"/>
      <c r="BF16" s="148"/>
      <c r="BG16" s="148"/>
      <c r="BH16" s="148"/>
      <c r="BI16" s="148"/>
      <c r="BJ16" s="149"/>
    </row>
    <row r="17" spans="1:62" ht="30.6" customHeight="1">
      <c r="A17" s="137"/>
      <c r="B17" s="138"/>
      <c r="C17" s="139"/>
      <c r="D17" s="140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2"/>
      <c r="R17" s="143"/>
      <c r="S17" s="138"/>
      <c r="T17" s="138"/>
      <c r="U17" s="139"/>
      <c r="V17" s="143"/>
      <c r="W17" s="138"/>
      <c r="X17" s="138"/>
      <c r="Y17" s="139"/>
      <c r="Z17" s="143"/>
      <c r="AA17" s="138"/>
      <c r="AB17" s="138"/>
      <c r="AC17" s="139"/>
      <c r="AD17" s="143"/>
      <c r="AE17" s="138"/>
      <c r="AF17" s="138"/>
      <c r="AG17" s="139"/>
      <c r="AH17" s="144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6"/>
      <c r="BD17" s="147"/>
      <c r="BE17" s="148"/>
      <c r="BF17" s="148"/>
      <c r="BG17" s="148"/>
      <c r="BH17" s="148"/>
      <c r="BI17" s="148"/>
      <c r="BJ17" s="149"/>
    </row>
    <row r="18" spans="1:62" ht="30.6" customHeight="1">
      <c r="A18" s="137"/>
      <c r="B18" s="138"/>
      <c r="C18" s="139"/>
      <c r="D18" s="140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2"/>
      <c r="R18" s="143"/>
      <c r="S18" s="138"/>
      <c r="T18" s="138"/>
      <c r="U18" s="139"/>
      <c r="V18" s="143"/>
      <c r="W18" s="138"/>
      <c r="X18" s="138"/>
      <c r="Y18" s="139"/>
      <c r="Z18" s="143"/>
      <c r="AA18" s="138"/>
      <c r="AB18" s="138"/>
      <c r="AC18" s="139"/>
      <c r="AD18" s="143"/>
      <c r="AE18" s="138"/>
      <c r="AF18" s="138"/>
      <c r="AG18" s="139"/>
      <c r="AH18" s="144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6"/>
      <c r="BD18" s="147"/>
      <c r="BE18" s="148"/>
      <c r="BF18" s="148"/>
      <c r="BG18" s="148"/>
      <c r="BH18" s="148"/>
      <c r="BI18" s="148"/>
      <c r="BJ18" s="149"/>
    </row>
    <row r="19" spans="1:62" ht="30.6" customHeight="1">
      <c r="A19" s="137"/>
      <c r="B19" s="138"/>
      <c r="C19" s="139"/>
      <c r="D19" s="140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2"/>
      <c r="R19" s="143"/>
      <c r="S19" s="138"/>
      <c r="T19" s="138"/>
      <c r="U19" s="139"/>
      <c r="V19" s="143"/>
      <c r="W19" s="138"/>
      <c r="X19" s="138"/>
      <c r="Y19" s="139"/>
      <c r="Z19" s="143"/>
      <c r="AA19" s="138"/>
      <c r="AB19" s="138"/>
      <c r="AC19" s="139"/>
      <c r="AD19" s="143"/>
      <c r="AE19" s="138"/>
      <c r="AF19" s="138"/>
      <c r="AG19" s="139"/>
      <c r="AH19" s="144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6"/>
      <c r="BD19" s="147"/>
      <c r="BE19" s="148"/>
      <c r="BF19" s="148"/>
      <c r="BG19" s="148"/>
      <c r="BH19" s="148"/>
      <c r="BI19" s="148"/>
      <c r="BJ19" s="149"/>
    </row>
    <row r="20" spans="1:62" ht="30.6" customHeight="1">
      <c r="A20" s="137"/>
      <c r="B20" s="138"/>
      <c r="C20" s="139"/>
      <c r="D20" s="140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2"/>
      <c r="R20" s="143"/>
      <c r="S20" s="138"/>
      <c r="T20" s="138"/>
      <c r="U20" s="139"/>
      <c r="V20" s="143"/>
      <c r="W20" s="138"/>
      <c r="X20" s="138"/>
      <c r="Y20" s="139"/>
      <c r="Z20" s="143"/>
      <c r="AA20" s="138"/>
      <c r="AB20" s="138"/>
      <c r="AC20" s="139"/>
      <c r="AD20" s="143"/>
      <c r="AE20" s="138"/>
      <c r="AF20" s="138"/>
      <c r="AG20" s="139"/>
      <c r="AH20" s="144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6"/>
      <c r="BD20" s="147"/>
      <c r="BE20" s="148"/>
      <c r="BF20" s="148"/>
      <c r="BG20" s="148"/>
      <c r="BH20" s="148"/>
      <c r="BI20" s="148"/>
      <c r="BJ20" s="149"/>
    </row>
    <row r="21" spans="1:62" ht="30.6" customHeight="1">
      <c r="A21" s="137"/>
      <c r="B21" s="138"/>
      <c r="C21" s="139"/>
      <c r="D21" s="140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2"/>
      <c r="R21" s="143"/>
      <c r="S21" s="138"/>
      <c r="T21" s="138"/>
      <c r="U21" s="139"/>
      <c r="V21" s="143"/>
      <c r="W21" s="138"/>
      <c r="X21" s="138"/>
      <c r="Y21" s="139"/>
      <c r="Z21" s="143"/>
      <c r="AA21" s="138"/>
      <c r="AB21" s="138"/>
      <c r="AC21" s="139"/>
      <c r="AD21" s="143"/>
      <c r="AE21" s="138"/>
      <c r="AF21" s="138"/>
      <c r="AG21" s="139"/>
      <c r="AH21" s="144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6"/>
      <c r="BD21" s="147"/>
      <c r="BE21" s="148"/>
      <c r="BF21" s="148"/>
      <c r="BG21" s="148"/>
      <c r="BH21" s="148"/>
      <c r="BI21" s="148"/>
      <c r="BJ21" s="149"/>
    </row>
    <row r="22" spans="1:62" ht="30.6" customHeight="1">
      <c r="A22" s="137"/>
      <c r="B22" s="138"/>
      <c r="C22" s="139"/>
      <c r="D22" s="140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2"/>
      <c r="R22" s="143"/>
      <c r="S22" s="138"/>
      <c r="T22" s="138"/>
      <c r="U22" s="139"/>
      <c r="V22" s="143"/>
      <c r="W22" s="138"/>
      <c r="X22" s="138"/>
      <c r="Y22" s="139"/>
      <c r="Z22" s="143"/>
      <c r="AA22" s="138"/>
      <c r="AB22" s="138"/>
      <c r="AC22" s="139"/>
      <c r="AD22" s="143"/>
      <c r="AE22" s="138"/>
      <c r="AF22" s="138"/>
      <c r="AG22" s="139"/>
      <c r="AH22" s="144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6"/>
      <c r="BD22" s="147"/>
      <c r="BE22" s="148"/>
      <c r="BF22" s="148"/>
      <c r="BG22" s="148"/>
      <c r="BH22" s="148"/>
      <c r="BI22" s="148"/>
      <c r="BJ22" s="149"/>
    </row>
    <row r="23" spans="1:62" ht="30.6" customHeight="1">
      <c r="A23" s="137"/>
      <c r="B23" s="138"/>
      <c r="C23" s="139"/>
      <c r="D23" s="140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3"/>
      <c r="S23" s="138"/>
      <c r="T23" s="138"/>
      <c r="U23" s="139"/>
      <c r="V23" s="143"/>
      <c r="W23" s="138"/>
      <c r="X23" s="138"/>
      <c r="Y23" s="139"/>
      <c r="Z23" s="143"/>
      <c r="AA23" s="138"/>
      <c r="AB23" s="138"/>
      <c r="AC23" s="139"/>
      <c r="AD23" s="143"/>
      <c r="AE23" s="138"/>
      <c r="AF23" s="138"/>
      <c r="AG23" s="139"/>
      <c r="AH23" s="144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6"/>
      <c r="BD23" s="147"/>
      <c r="BE23" s="148"/>
      <c r="BF23" s="148"/>
      <c r="BG23" s="148"/>
      <c r="BH23" s="148"/>
      <c r="BI23" s="148"/>
      <c r="BJ23" s="149"/>
    </row>
    <row r="24" spans="1:62" ht="30.6" customHeight="1">
      <c r="A24" s="137"/>
      <c r="B24" s="138"/>
      <c r="C24" s="139"/>
      <c r="D24" s="140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2"/>
      <c r="R24" s="143"/>
      <c r="S24" s="138"/>
      <c r="T24" s="138"/>
      <c r="U24" s="139"/>
      <c r="V24" s="143"/>
      <c r="W24" s="138"/>
      <c r="X24" s="138"/>
      <c r="Y24" s="139"/>
      <c r="Z24" s="143"/>
      <c r="AA24" s="138"/>
      <c r="AB24" s="138"/>
      <c r="AC24" s="139"/>
      <c r="AD24" s="143"/>
      <c r="AE24" s="138"/>
      <c r="AF24" s="138"/>
      <c r="AG24" s="139"/>
      <c r="AH24" s="144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6"/>
      <c r="BD24" s="147"/>
      <c r="BE24" s="148"/>
      <c r="BF24" s="148"/>
      <c r="BG24" s="148"/>
      <c r="BH24" s="148"/>
      <c r="BI24" s="148"/>
      <c r="BJ24" s="149"/>
    </row>
    <row r="25" spans="1:62" ht="30.6" customHeight="1">
      <c r="A25" s="137"/>
      <c r="B25" s="138"/>
      <c r="C25" s="139"/>
      <c r="D25" s="140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2"/>
      <c r="R25" s="143"/>
      <c r="S25" s="138"/>
      <c r="T25" s="138"/>
      <c r="U25" s="139"/>
      <c r="V25" s="143"/>
      <c r="W25" s="138"/>
      <c r="X25" s="138"/>
      <c r="Y25" s="139"/>
      <c r="Z25" s="143"/>
      <c r="AA25" s="138"/>
      <c r="AB25" s="138"/>
      <c r="AC25" s="139"/>
      <c r="AD25" s="143"/>
      <c r="AE25" s="138"/>
      <c r="AF25" s="138"/>
      <c r="AG25" s="139"/>
      <c r="AH25" s="144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6"/>
      <c r="BD25" s="147"/>
      <c r="BE25" s="148"/>
      <c r="BF25" s="148"/>
      <c r="BG25" s="148"/>
      <c r="BH25" s="148"/>
      <c r="BI25" s="148"/>
      <c r="BJ25" s="149"/>
    </row>
    <row r="26" spans="1:62" ht="30.6" customHeight="1">
      <c r="A26" s="137"/>
      <c r="B26" s="138"/>
      <c r="C26" s="139"/>
      <c r="D26" s="140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2"/>
      <c r="R26" s="143"/>
      <c r="S26" s="138"/>
      <c r="T26" s="138"/>
      <c r="U26" s="139"/>
      <c r="V26" s="143"/>
      <c r="W26" s="138"/>
      <c r="X26" s="138"/>
      <c r="Y26" s="139"/>
      <c r="Z26" s="143"/>
      <c r="AA26" s="138"/>
      <c r="AB26" s="138"/>
      <c r="AC26" s="139"/>
      <c r="AD26" s="143"/>
      <c r="AE26" s="138"/>
      <c r="AF26" s="138"/>
      <c r="AG26" s="139"/>
      <c r="AH26" s="144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6"/>
      <c r="BD26" s="147"/>
      <c r="BE26" s="148"/>
      <c r="BF26" s="148"/>
      <c r="BG26" s="148"/>
      <c r="BH26" s="148"/>
      <c r="BI26" s="148"/>
      <c r="BJ26" s="149"/>
    </row>
    <row r="27" spans="1:62" ht="30.6" customHeight="1">
      <c r="A27" s="137"/>
      <c r="B27" s="138"/>
      <c r="C27" s="139"/>
      <c r="D27" s="140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2"/>
      <c r="R27" s="143"/>
      <c r="S27" s="138"/>
      <c r="T27" s="138"/>
      <c r="U27" s="139"/>
      <c r="V27" s="143"/>
      <c r="W27" s="138"/>
      <c r="X27" s="138"/>
      <c r="Y27" s="139"/>
      <c r="Z27" s="143"/>
      <c r="AA27" s="138"/>
      <c r="AB27" s="138"/>
      <c r="AC27" s="139"/>
      <c r="AD27" s="143"/>
      <c r="AE27" s="138"/>
      <c r="AF27" s="138"/>
      <c r="AG27" s="139"/>
      <c r="AH27" s="144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6"/>
      <c r="BD27" s="147"/>
      <c r="BE27" s="148"/>
      <c r="BF27" s="148"/>
      <c r="BG27" s="148"/>
      <c r="BH27" s="148"/>
      <c r="BI27" s="148"/>
      <c r="BJ27" s="149"/>
    </row>
    <row r="28" spans="1:62" ht="30.6" customHeight="1">
      <c r="A28" s="137"/>
      <c r="B28" s="138"/>
      <c r="C28" s="139"/>
      <c r="D28" s="140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2"/>
      <c r="R28" s="143"/>
      <c r="S28" s="138"/>
      <c r="T28" s="138"/>
      <c r="U28" s="139"/>
      <c r="V28" s="143"/>
      <c r="W28" s="138"/>
      <c r="X28" s="138"/>
      <c r="Y28" s="139"/>
      <c r="Z28" s="143"/>
      <c r="AA28" s="138"/>
      <c r="AB28" s="138"/>
      <c r="AC28" s="139"/>
      <c r="AD28" s="143"/>
      <c r="AE28" s="138"/>
      <c r="AF28" s="138"/>
      <c r="AG28" s="139"/>
      <c r="AH28" s="144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6"/>
      <c r="BD28" s="147"/>
      <c r="BE28" s="148"/>
      <c r="BF28" s="148"/>
      <c r="BG28" s="148"/>
      <c r="BH28" s="148"/>
      <c r="BI28" s="148"/>
      <c r="BJ28" s="149"/>
    </row>
    <row r="29" spans="1:62" ht="30.6" customHeight="1">
      <c r="A29" s="137"/>
      <c r="B29" s="138"/>
      <c r="C29" s="139"/>
      <c r="D29" s="140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2"/>
      <c r="R29" s="143"/>
      <c r="S29" s="138"/>
      <c r="T29" s="138"/>
      <c r="U29" s="139"/>
      <c r="V29" s="143"/>
      <c r="W29" s="138"/>
      <c r="X29" s="138"/>
      <c r="Y29" s="139"/>
      <c r="Z29" s="143"/>
      <c r="AA29" s="138"/>
      <c r="AB29" s="138"/>
      <c r="AC29" s="139"/>
      <c r="AD29" s="143"/>
      <c r="AE29" s="138"/>
      <c r="AF29" s="138"/>
      <c r="AG29" s="139"/>
      <c r="AH29" s="144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6"/>
      <c r="BD29" s="147"/>
      <c r="BE29" s="148"/>
      <c r="BF29" s="148"/>
      <c r="BG29" s="148"/>
      <c r="BH29" s="148"/>
      <c r="BI29" s="148"/>
      <c r="BJ29" s="149"/>
    </row>
    <row r="30" spans="1:62" ht="30.6" customHeight="1">
      <c r="A30" s="137"/>
      <c r="B30" s="138"/>
      <c r="C30" s="139"/>
      <c r="D30" s="140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2"/>
      <c r="R30" s="143"/>
      <c r="S30" s="138"/>
      <c r="T30" s="138"/>
      <c r="U30" s="139"/>
      <c r="V30" s="143"/>
      <c r="W30" s="138"/>
      <c r="X30" s="138"/>
      <c r="Y30" s="139"/>
      <c r="Z30" s="143"/>
      <c r="AA30" s="138"/>
      <c r="AB30" s="138"/>
      <c r="AC30" s="139"/>
      <c r="AD30" s="143"/>
      <c r="AE30" s="138"/>
      <c r="AF30" s="138"/>
      <c r="AG30" s="139"/>
      <c r="AH30" s="144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6"/>
      <c r="BD30" s="147"/>
      <c r="BE30" s="148"/>
      <c r="BF30" s="148"/>
      <c r="BG30" s="148"/>
      <c r="BH30" s="148"/>
      <c r="BI30" s="148"/>
      <c r="BJ30" s="149"/>
    </row>
    <row r="31" spans="1:62" ht="30.6" customHeight="1">
      <c r="A31" s="137"/>
      <c r="B31" s="138"/>
      <c r="C31" s="139"/>
      <c r="D31" s="140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2"/>
      <c r="R31" s="143"/>
      <c r="S31" s="138"/>
      <c r="T31" s="138"/>
      <c r="U31" s="139"/>
      <c r="V31" s="143"/>
      <c r="W31" s="138"/>
      <c r="X31" s="138"/>
      <c r="Y31" s="139"/>
      <c r="Z31" s="143"/>
      <c r="AA31" s="138"/>
      <c r="AB31" s="138"/>
      <c r="AC31" s="139"/>
      <c r="AD31" s="143"/>
      <c r="AE31" s="138"/>
      <c r="AF31" s="138"/>
      <c r="AG31" s="139"/>
      <c r="AH31" s="144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6"/>
      <c r="BD31" s="147"/>
      <c r="BE31" s="148"/>
      <c r="BF31" s="148"/>
      <c r="BG31" s="148"/>
      <c r="BH31" s="148"/>
      <c r="BI31" s="148"/>
      <c r="BJ31" s="149"/>
    </row>
    <row r="32" spans="1:62" ht="30.6" customHeight="1">
      <c r="A32" s="137"/>
      <c r="B32" s="138"/>
      <c r="C32" s="139"/>
      <c r="D32" s="140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2"/>
      <c r="R32" s="143"/>
      <c r="S32" s="138"/>
      <c r="T32" s="138"/>
      <c r="U32" s="139"/>
      <c r="V32" s="143"/>
      <c r="W32" s="138"/>
      <c r="X32" s="138"/>
      <c r="Y32" s="139"/>
      <c r="Z32" s="143"/>
      <c r="AA32" s="138"/>
      <c r="AB32" s="138"/>
      <c r="AC32" s="139"/>
      <c r="AD32" s="143"/>
      <c r="AE32" s="138"/>
      <c r="AF32" s="138"/>
      <c r="AG32" s="139"/>
      <c r="AH32" s="144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6"/>
      <c r="BD32" s="147"/>
      <c r="BE32" s="148"/>
      <c r="BF32" s="148"/>
      <c r="BG32" s="148"/>
      <c r="BH32" s="148"/>
      <c r="BI32" s="148"/>
      <c r="BJ32" s="149"/>
    </row>
    <row r="33" spans="1:62" ht="30.6" customHeight="1">
      <c r="A33" s="137"/>
      <c r="B33" s="138"/>
      <c r="C33" s="139"/>
      <c r="D33" s="140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2"/>
      <c r="R33" s="143"/>
      <c r="S33" s="138"/>
      <c r="T33" s="138"/>
      <c r="U33" s="139"/>
      <c r="V33" s="143"/>
      <c r="W33" s="138"/>
      <c r="X33" s="138"/>
      <c r="Y33" s="139"/>
      <c r="Z33" s="143"/>
      <c r="AA33" s="138"/>
      <c r="AB33" s="138"/>
      <c r="AC33" s="139"/>
      <c r="AD33" s="143"/>
      <c r="AE33" s="138"/>
      <c r="AF33" s="138"/>
      <c r="AG33" s="139"/>
      <c r="AH33" s="144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6"/>
      <c r="BD33" s="147"/>
      <c r="BE33" s="148"/>
      <c r="BF33" s="148"/>
      <c r="BG33" s="148"/>
      <c r="BH33" s="148"/>
      <c r="BI33" s="148"/>
      <c r="BJ33" s="149"/>
    </row>
    <row r="34" spans="1:62" ht="30.6" customHeight="1">
      <c r="A34" s="137"/>
      <c r="B34" s="138"/>
      <c r="C34" s="139"/>
      <c r="D34" s="140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2"/>
      <c r="R34" s="143"/>
      <c r="S34" s="138"/>
      <c r="T34" s="138"/>
      <c r="U34" s="139"/>
      <c r="V34" s="143"/>
      <c r="W34" s="138"/>
      <c r="X34" s="138"/>
      <c r="Y34" s="139"/>
      <c r="Z34" s="143"/>
      <c r="AA34" s="138"/>
      <c r="AB34" s="138"/>
      <c r="AC34" s="139"/>
      <c r="AD34" s="143"/>
      <c r="AE34" s="138"/>
      <c r="AF34" s="138"/>
      <c r="AG34" s="139"/>
      <c r="AH34" s="144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6"/>
      <c r="BD34" s="147"/>
      <c r="BE34" s="148"/>
      <c r="BF34" s="148"/>
      <c r="BG34" s="148"/>
      <c r="BH34" s="148"/>
      <c r="BI34" s="148"/>
      <c r="BJ34" s="149"/>
    </row>
    <row r="35" spans="1:62" ht="30.6" customHeight="1">
      <c r="A35" s="137"/>
      <c r="B35" s="138"/>
      <c r="C35" s="139"/>
      <c r="D35" s="140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2"/>
      <c r="R35" s="143"/>
      <c r="S35" s="138"/>
      <c r="T35" s="138"/>
      <c r="U35" s="139"/>
      <c r="V35" s="143"/>
      <c r="W35" s="138"/>
      <c r="X35" s="138"/>
      <c r="Y35" s="139"/>
      <c r="Z35" s="143"/>
      <c r="AA35" s="138"/>
      <c r="AB35" s="138"/>
      <c r="AC35" s="139"/>
      <c r="AD35" s="143"/>
      <c r="AE35" s="138"/>
      <c r="AF35" s="138"/>
      <c r="AG35" s="139"/>
      <c r="AH35" s="144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6"/>
      <c r="BD35" s="147"/>
      <c r="BE35" s="148"/>
      <c r="BF35" s="148"/>
      <c r="BG35" s="148"/>
      <c r="BH35" s="148"/>
      <c r="BI35" s="148"/>
      <c r="BJ35" s="149"/>
    </row>
    <row r="36" spans="1:62" ht="30.6" customHeight="1">
      <c r="A36" s="137"/>
      <c r="B36" s="138"/>
      <c r="C36" s="139"/>
      <c r="D36" s="140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2"/>
      <c r="R36" s="143"/>
      <c r="S36" s="138"/>
      <c r="T36" s="138"/>
      <c r="U36" s="139"/>
      <c r="V36" s="143"/>
      <c r="W36" s="138"/>
      <c r="X36" s="138"/>
      <c r="Y36" s="139"/>
      <c r="Z36" s="143"/>
      <c r="AA36" s="138"/>
      <c r="AB36" s="138"/>
      <c r="AC36" s="139"/>
      <c r="AD36" s="143"/>
      <c r="AE36" s="138"/>
      <c r="AF36" s="138"/>
      <c r="AG36" s="139"/>
      <c r="AH36" s="144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6"/>
      <c r="BD36" s="147"/>
      <c r="BE36" s="148"/>
      <c r="BF36" s="148"/>
      <c r="BG36" s="148"/>
      <c r="BH36" s="148"/>
      <c r="BI36" s="148"/>
      <c r="BJ36" s="149"/>
    </row>
    <row r="37" spans="1:62" ht="30.6" customHeight="1">
      <c r="A37" s="137"/>
      <c r="B37" s="138"/>
      <c r="C37" s="139"/>
      <c r="D37" s="140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2"/>
      <c r="R37" s="143"/>
      <c r="S37" s="138"/>
      <c r="T37" s="138"/>
      <c r="U37" s="139"/>
      <c r="V37" s="143"/>
      <c r="W37" s="138"/>
      <c r="X37" s="138"/>
      <c r="Y37" s="139"/>
      <c r="Z37" s="143"/>
      <c r="AA37" s="138"/>
      <c r="AB37" s="138"/>
      <c r="AC37" s="139"/>
      <c r="AD37" s="143"/>
      <c r="AE37" s="138"/>
      <c r="AF37" s="138"/>
      <c r="AG37" s="139"/>
      <c r="AH37" s="144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6"/>
      <c r="BD37" s="147"/>
      <c r="BE37" s="148"/>
      <c r="BF37" s="148"/>
      <c r="BG37" s="148"/>
      <c r="BH37" s="148"/>
      <c r="BI37" s="148"/>
      <c r="BJ37" s="149"/>
    </row>
    <row r="38" spans="1:62" ht="30.6" customHeight="1">
      <c r="A38" s="137"/>
      <c r="B38" s="138"/>
      <c r="C38" s="139"/>
      <c r="D38" s="140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2"/>
      <c r="R38" s="143"/>
      <c r="S38" s="138"/>
      <c r="T38" s="138"/>
      <c r="U38" s="139"/>
      <c r="V38" s="143"/>
      <c r="W38" s="138"/>
      <c r="X38" s="138"/>
      <c r="Y38" s="139"/>
      <c r="Z38" s="143"/>
      <c r="AA38" s="138"/>
      <c r="AB38" s="138"/>
      <c r="AC38" s="139"/>
      <c r="AD38" s="143"/>
      <c r="AE38" s="138"/>
      <c r="AF38" s="138"/>
      <c r="AG38" s="139"/>
      <c r="AH38" s="144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6"/>
      <c r="BD38" s="147"/>
      <c r="BE38" s="148"/>
      <c r="BF38" s="148"/>
      <c r="BG38" s="148"/>
      <c r="BH38" s="148"/>
      <c r="BI38" s="148"/>
      <c r="BJ38" s="149"/>
    </row>
    <row r="39" spans="1:62" ht="30.6" customHeight="1">
      <c r="A39" s="137"/>
      <c r="B39" s="138"/>
      <c r="C39" s="139"/>
      <c r="D39" s="140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2"/>
      <c r="R39" s="143"/>
      <c r="S39" s="138"/>
      <c r="T39" s="138"/>
      <c r="U39" s="139"/>
      <c r="V39" s="143"/>
      <c r="W39" s="138"/>
      <c r="X39" s="138"/>
      <c r="Y39" s="139"/>
      <c r="Z39" s="143"/>
      <c r="AA39" s="138"/>
      <c r="AB39" s="138"/>
      <c r="AC39" s="139"/>
      <c r="AD39" s="143"/>
      <c r="AE39" s="138"/>
      <c r="AF39" s="138"/>
      <c r="AG39" s="139"/>
      <c r="AH39" s="144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6"/>
      <c r="BD39" s="147"/>
      <c r="BE39" s="148"/>
      <c r="BF39" s="148"/>
      <c r="BG39" s="148"/>
      <c r="BH39" s="148"/>
      <c r="BI39" s="148"/>
      <c r="BJ39" s="149"/>
    </row>
    <row r="40" spans="1:62" ht="30.6" customHeight="1">
      <c r="A40" s="137"/>
      <c r="B40" s="138"/>
      <c r="C40" s="139"/>
      <c r="D40" s="140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2"/>
      <c r="R40" s="143"/>
      <c r="S40" s="138"/>
      <c r="T40" s="138"/>
      <c r="U40" s="139"/>
      <c r="V40" s="143"/>
      <c r="W40" s="138"/>
      <c r="X40" s="138"/>
      <c r="Y40" s="139"/>
      <c r="Z40" s="143"/>
      <c r="AA40" s="138"/>
      <c r="AB40" s="138"/>
      <c r="AC40" s="139"/>
      <c r="AD40" s="143"/>
      <c r="AE40" s="138"/>
      <c r="AF40" s="138"/>
      <c r="AG40" s="139"/>
      <c r="AH40" s="144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6"/>
      <c r="BD40" s="147"/>
      <c r="BE40" s="148"/>
      <c r="BF40" s="148"/>
      <c r="BG40" s="148"/>
      <c r="BH40" s="148"/>
      <c r="BI40" s="148"/>
      <c r="BJ40" s="149"/>
    </row>
    <row r="41" spans="1:62" ht="30.6" customHeight="1">
      <c r="A41" s="156"/>
      <c r="B41" s="157"/>
      <c r="C41" s="158"/>
      <c r="D41" s="159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1"/>
      <c r="R41" s="162"/>
      <c r="S41" s="157"/>
      <c r="T41" s="157"/>
      <c r="U41" s="158"/>
      <c r="V41" s="162"/>
      <c r="W41" s="157"/>
      <c r="X41" s="157"/>
      <c r="Y41" s="158"/>
      <c r="Z41" s="162"/>
      <c r="AA41" s="157"/>
      <c r="AB41" s="157"/>
      <c r="AC41" s="158"/>
      <c r="AD41" s="162"/>
      <c r="AE41" s="157"/>
      <c r="AF41" s="157"/>
      <c r="AG41" s="158"/>
      <c r="AH41" s="150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2"/>
      <c r="BD41" s="153"/>
      <c r="BE41" s="154"/>
      <c r="BF41" s="154"/>
      <c r="BG41" s="154"/>
      <c r="BH41" s="154"/>
      <c r="BI41" s="154"/>
      <c r="BJ41" s="155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</sheetData>
  <mergeCells count="285">
    <mergeCell ref="A31:C31"/>
    <mergeCell ref="D31:Q31"/>
    <mergeCell ref="R31:U31"/>
    <mergeCell ref="V31:Y31"/>
    <mergeCell ref="AH26:BC26"/>
    <mergeCell ref="BD26:BJ26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H27:BC27"/>
    <mergeCell ref="BD27:BJ27"/>
    <mergeCell ref="A22:C22"/>
    <mergeCell ref="D22:Q22"/>
    <mergeCell ref="R22:U22"/>
    <mergeCell ref="V22:Y22"/>
    <mergeCell ref="Z22:AC22"/>
    <mergeCell ref="AD22:AG22"/>
    <mergeCell ref="Z29:AC29"/>
    <mergeCell ref="AD29:AG29"/>
    <mergeCell ref="A27:C27"/>
    <mergeCell ref="D27:Q27"/>
    <mergeCell ref="R27:U27"/>
    <mergeCell ref="V27:Y27"/>
    <mergeCell ref="Z27:AC27"/>
    <mergeCell ref="AD27:AG27"/>
    <mergeCell ref="Z23:AC23"/>
    <mergeCell ref="AD23:AG23"/>
    <mergeCell ref="A28:C28"/>
    <mergeCell ref="D28:Q28"/>
    <mergeCell ref="R28:U28"/>
    <mergeCell ref="V28:Y28"/>
    <mergeCell ref="Z28:AC28"/>
    <mergeCell ref="AD28:AG28"/>
    <mergeCell ref="AH40:BC40"/>
    <mergeCell ref="BD40:BJ40"/>
    <mergeCell ref="AH24:BC24"/>
    <mergeCell ref="BD24:BJ24"/>
    <mergeCell ref="AH23:BC23"/>
    <mergeCell ref="BD23:BJ23"/>
    <mergeCell ref="A24:C24"/>
    <mergeCell ref="D24:Q24"/>
    <mergeCell ref="R24:U24"/>
    <mergeCell ref="V24:Y24"/>
    <mergeCell ref="Z24:AC24"/>
    <mergeCell ref="AD24:AG24"/>
    <mergeCell ref="A29:C29"/>
    <mergeCell ref="D29:Q29"/>
    <mergeCell ref="R29:U29"/>
    <mergeCell ref="V29:Y29"/>
    <mergeCell ref="A40:C40"/>
    <mergeCell ref="D40:Q40"/>
    <mergeCell ref="R40:U40"/>
    <mergeCell ref="V40:Y40"/>
    <mergeCell ref="Z40:AC40"/>
    <mergeCell ref="AD40:AG40"/>
    <mergeCell ref="AH29:BC29"/>
    <mergeCell ref="BD29:BJ29"/>
    <mergeCell ref="AH9:BC9"/>
    <mergeCell ref="BD9:BJ9"/>
    <mergeCell ref="A9:C9"/>
    <mergeCell ref="D9:Q9"/>
    <mergeCell ref="R9:U9"/>
    <mergeCell ref="V9:Y9"/>
    <mergeCell ref="Z9:AC9"/>
    <mergeCell ref="AD9:AG9"/>
    <mergeCell ref="AH41:BC41"/>
    <mergeCell ref="BD41:BJ41"/>
    <mergeCell ref="A41:C41"/>
    <mergeCell ref="D41:Q41"/>
    <mergeCell ref="R41:U41"/>
    <mergeCell ref="V41:Y41"/>
    <mergeCell ref="Z41:AC41"/>
    <mergeCell ref="AD41:AG41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38:BC38"/>
    <mergeCell ref="BD38:BJ38"/>
    <mergeCell ref="A38:C38"/>
    <mergeCell ref="D38:Q38"/>
    <mergeCell ref="R38:U38"/>
    <mergeCell ref="V38:Y38"/>
    <mergeCell ref="Z38:AC38"/>
    <mergeCell ref="AD38:AG38"/>
    <mergeCell ref="A39:C39"/>
    <mergeCell ref="D39:Q39"/>
    <mergeCell ref="R39:U39"/>
    <mergeCell ref="V39:Y39"/>
    <mergeCell ref="Z39:AC39"/>
    <mergeCell ref="AD39:AG39"/>
    <mergeCell ref="AH39:BC39"/>
    <mergeCell ref="BD39:BJ39"/>
    <mergeCell ref="AH36:BC36"/>
    <mergeCell ref="BD36:BJ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6:C36"/>
    <mergeCell ref="D36:Q36"/>
    <mergeCell ref="R36:U36"/>
    <mergeCell ref="V36:Y36"/>
    <mergeCell ref="Z36:AC36"/>
    <mergeCell ref="AD36:AG36"/>
    <mergeCell ref="AH34:BC34"/>
    <mergeCell ref="BD34:BJ34"/>
    <mergeCell ref="A35:C35"/>
    <mergeCell ref="D35:Q35"/>
    <mergeCell ref="R35:U35"/>
    <mergeCell ref="V35:Y35"/>
    <mergeCell ref="Z35:AC35"/>
    <mergeCell ref="AD35:AG35"/>
    <mergeCell ref="AH35:BC35"/>
    <mergeCell ref="BD35:BJ35"/>
    <mergeCell ref="A34:C34"/>
    <mergeCell ref="D34:Q34"/>
    <mergeCell ref="R34:U34"/>
    <mergeCell ref="V34:Y34"/>
    <mergeCell ref="Z34:AC34"/>
    <mergeCell ref="AD34:AG34"/>
    <mergeCell ref="AH32:BC32"/>
    <mergeCell ref="BD32:BJ32"/>
    <mergeCell ref="A33:C33"/>
    <mergeCell ref="D33:Q33"/>
    <mergeCell ref="R33:U33"/>
    <mergeCell ref="V33:Y33"/>
    <mergeCell ref="Z33:AC33"/>
    <mergeCell ref="AD33:AG33"/>
    <mergeCell ref="AH33:BC33"/>
    <mergeCell ref="BD33:BJ33"/>
    <mergeCell ref="A32:C32"/>
    <mergeCell ref="D32:Q32"/>
    <mergeCell ref="R32:U32"/>
    <mergeCell ref="V32:Y32"/>
    <mergeCell ref="Z32:AC32"/>
    <mergeCell ref="AD32:AG32"/>
    <mergeCell ref="Z31:AC31"/>
    <mergeCell ref="AD31:AG31"/>
    <mergeCell ref="AH31:BC31"/>
    <mergeCell ref="BD31:BJ31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0:BC10"/>
    <mergeCell ref="BD10:BJ10"/>
    <mergeCell ref="A6:K6"/>
    <mergeCell ref="L6:BJ6"/>
    <mergeCell ref="A8:C8"/>
    <mergeCell ref="D8:Q8"/>
    <mergeCell ref="R8:U8"/>
    <mergeCell ref="V8:Y8"/>
    <mergeCell ref="Z8:AC8"/>
    <mergeCell ref="AD8:AG8"/>
    <mergeCell ref="AH8:BC8"/>
    <mergeCell ref="BD8:BJ8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</mergeCells>
  <phoneticPr fontId="2"/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2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4"/>
      <c r="AT2" s="56" t="s">
        <v>3</v>
      </c>
      <c r="AU2" s="57"/>
      <c r="AV2" s="57"/>
      <c r="AW2" s="57"/>
      <c r="AX2" s="58"/>
      <c r="AY2" s="56" t="s">
        <v>48</v>
      </c>
      <c r="AZ2" s="57"/>
      <c r="BA2" s="57"/>
      <c r="BB2" s="58"/>
      <c r="BC2" s="56" t="s">
        <v>5</v>
      </c>
      <c r="BD2" s="57"/>
      <c r="BE2" s="57"/>
      <c r="BF2" s="58"/>
      <c r="BG2" s="56"/>
      <c r="BH2" s="57"/>
      <c r="BI2" s="57"/>
      <c r="BJ2" s="58"/>
    </row>
    <row r="3" spans="1:63" s="1" customFormat="1" ht="18" customHeight="1">
      <c r="A3" s="65" t="s">
        <v>6</v>
      </c>
      <c r="B3" s="66"/>
      <c r="C3" s="66"/>
      <c r="D3" s="66"/>
      <c r="E3" s="66"/>
      <c r="F3" s="66"/>
      <c r="G3" s="66"/>
      <c r="H3" s="67"/>
      <c r="I3" s="71" t="s">
        <v>55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3"/>
      <c r="AT3" s="56" t="s">
        <v>7</v>
      </c>
      <c r="AU3" s="57"/>
      <c r="AV3" s="57"/>
      <c r="AW3" s="57"/>
      <c r="AX3" s="58"/>
      <c r="AY3" s="56" t="s">
        <v>54</v>
      </c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8"/>
    </row>
    <row r="4" spans="1:63" s="1" customFormat="1" ht="18" customHeight="1">
      <c r="A4" s="68"/>
      <c r="B4" s="69"/>
      <c r="C4" s="69"/>
      <c r="D4" s="69"/>
      <c r="E4" s="69"/>
      <c r="F4" s="69"/>
      <c r="G4" s="69"/>
      <c r="H4" s="70"/>
      <c r="I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6"/>
      <c r="AT4" s="56" t="s">
        <v>8</v>
      </c>
      <c r="AU4" s="57"/>
      <c r="AV4" s="57"/>
      <c r="AW4" s="57"/>
      <c r="AX4" s="58"/>
      <c r="AY4" s="56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0" t="s">
        <v>16</v>
      </c>
      <c r="B6" s="102"/>
      <c r="C6" s="102"/>
      <c r="D6" s="102"/>
      <c r="E6" s="102"/>
      <c r="F6" s="102"/>
      <c r="G6" s="102"/>
      <c r="H6" s="102"/>
      <c r="I6" s="102"/>
      <c r="J6" s="102"/>
      <c r="K6" s="101"/>
      <c r="L6" s="100" t="s">
        <v>193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6" t="s">
        <v>20</v>
      </c>
      <c r="B8" s="57"/>
      <c r="C8" s="58"/>
      <c r="D8" s="56" t="s">
        <v>50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  <c r="R8" s="56" t="s">
        <v>49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8"/>
      <c r="BD8" s="134" t="s">
        <v>46</v>
      </c>
      <c r="BE8" s="135"/>
      <c r="BF8" s="135"/>
      <c r="BG8" s="135"/>
      <c r="BH8" s="135"/>
      <c r="BI8" s="135"/>
      <c r="BJ8" s="136"/>
    </row>
    <row r="9" spans="1:63" ht="30.6" customHeight="1">
      <c r="A9" s="128"/>
      <c r="B9" s="128"/>
      <c r="C9" s="128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 t="s">
        <v>59</v>
      </c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6"/>
      <c r="BE9" s="166"/>
      <c r="BF9" s="166"/>
      <c r="BG9" s="166"/>
      <c r="BH9" s="166"/>
      <c r="BI9" s="166"/>
      <c r="BJ9" s="166"/>
    </row>
    <row r="10" spans="1:63" ht="30.6" customHeight="1">
      <c r="A10" s="128"/>
      <c r="B10" s="128"/>
      <c r="C10" s="128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6"/>
      <c r="BE10" s="166"/>
      <c r="BF10" s="166"/>
      <c r="BG10" s="166"/>
      <c r="BH10" s="166"/>
      <c r="BI10" s="166"/>
      <c r="BJ10" s="166"/>
    </row>
    <row r="11" spans="1:63" ht="30.6" customHeight="1">
      <c r="A11" s="128"/>
      <c r="B11" s="128"/>
      <c r="C11" s="128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6"/>
      <c r="BE11" s="166"/>
      <c r="BF11" s="166"/>
      <c r="BG11" s="166"/>
      <c r="BH11" s="166"/>
      <c r="BI11" s="166"/>
      <c r="BJ11" s="166"/>
    </row>
    <row r="12" spans="1:63" ht="30.6" customHeight="1">
      <c r="A12" s="128"/>
      <c r="B12" s="128"/>
      <c r="C12" s="128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6"/>
      <c r="BE12" s="166"/>
      <c r="BF12" s="166"/>
      <c r="BG12" s="166"/>
      <c r="BH12" s="166"/>
      <c r="BI12" s="166"/>
      <c r="BJ12" s="166"/>
    </row>
    <row r="13" spans="1:63" ht="30.6" customHeight="1">
      <c r="A13" s="128"/>
      <c r="B13" s="128"/>
      <c r="C13" s="128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6"/>
      <c r="BE13" s="166"/>
      <c r="BF13" s="166"/>
      <c r="BG13" s="166"/>
      <c r="BH13" s="166"/>
      <c r="BI13" s="166"/>
      <c r="BJ13" s="166"/>
    </row>
    <row r="14" spans="1:63" ht="30.6" customHeight="1">
      <c r="A14" s="128"/>
      <c r="B14" s="128"/>
      <c r="C14" s="128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6"/>
      <c r="BE14" s="166"/>
      <c r="BF14" s="166"/>
      <c r="BG14" s="166"/>
      <c r="BH14" s="166"/>
      <c r="BI14" s="166"/>
      <c r="BJ14" s="166"/>
    </row>
    <row r="15" spans="1:63" ht="30.6" customHeight="1">
      <c r="A15" s="128"/>
      <c r="B15" s="128"/>
      <c r="C15" s="128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6"/>
      <c r="BE15" s="166"/>
      <c r="BF15" s="166"/>
      <c r="BG15" s="166"/>
      <c r="BH15" s="166"/>
      <c r="BI15" s="166"/>
      <c r="BJ15" s="166"/>
    </row>
    <row r="16" spans="1:63" ht="30.6" customHeight="1">
      <c r="A16" s="128"/>
      <c r="B16" s="128"/>
      <c r="C16" s="128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6"/>
      <c r="BE16" s="166"/>
      <c r="BF16" s="166"/>
      <c r="BG16" s="166"/>
      <c r="BH16" s="166"/>
      <c r="BI16" s="166"/>
      <c r="BJ16" s="166"/>
    </row>
    <row r="17" spans="1:62" ht="30.6" customHeight="1">
      <c r="A17" s="128"/>
      <c r="B17" s="128"/>
      <c r="C17" s="128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6"/>
      <c r="BE17" s="166"/>
      <c r="BF17" s="166"/>
      <c r="BG17" s="166"/>
      <c r="BH17" s="166"/>
      <c r="BI17" s="166"/>
      <c r="BJ17" s="166"/>
    </row>
    <row r="18" spans="1:62" ht="30.6" customHeight="1">
      <c r="A18" s="128"/>
      <c r="B18" s="128"/>
      <c r="C18" s="128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6"/>
      <c r="BE18" s="166"/>
      <c r="BF18" s="166"/>
      <c r="BG18" s="166"/>
      <c r="BH18" s="166"/>
      <c r="BI18" s="166"/>
      <c r="BJ18" s="166"/>
    </row>
    <row r="19" spans="1:62" ht="30.6" customHeight="1">
      <c r="A19" s="128"/>
      <c r="B19" s="128"/>
      <c r="C19" s="128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6"/>
      <c r="BE19" s="166"/>
      <c r="BF19" s="166"/>
      <c r="BG19" s="166"/>
      <c r="BH19" s="166"/>
      <c r="BI19" s="166"/>
      <c r="BJ19" s="166"/>
    </row>
    <row r="20" spans="1:62" ht="30.6" customHeight="1">
      <c r="A20" s="128"/>
      <c r="B20" s="128"/>
      <c r="C20" s="128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6"/>
      <c r="BE20" s="166"/>
      <c r="BF20" s="166"/>
      <c r="BG20" s="166"/>
      <c r="BH20" s="166"/>
      <c r="BI20" s="166"/>
      <c r="BJ20" s="166"/>
    </row>
    <row r="21" spans="1:62" ht="30.6" customHeight="1">
      <c r="A21" s="128"/>
      <c r="B21" s="128"/>
      <c r="C21" s="128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6"/>
      <c r="BE21" s="166"/>
      <c r="BF21" s="166"/>
      <c r="BG21" s="166"/>
      <c r="BH21" s="166"/>
      <c r="BI21" s="166"/>
      <c r="BJ21" s="166"/>
    </row>
    <row r="22" spans="1:62" ht="30.6" customHeight="1">
      <c r="A22" s="128"/>
      <c r="B22" s="128"/>
      <c r="C22" s="128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6"/>
      <c r="BE22" s="166"/>
      <c r="BF22" s="166"/>
      <c r="BG22" s="166"/>
      <c r="BH22" s="166"/>
      <c r="BI22" s="166"/>
      <c r="BJ22" s="166"/>
    </row>
    <row r="23" spans="1:62" ht="30.6" customHeight="1">
      <c r="A23" s="128"/>
      <c r="B23" s="128"/>
      <c r="C23" s="128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6"/>
      <c r="BE23" s="166"/>
      <c r="BF23" s="166"/>
      <c r="BG23" s="166"/>
      <c r="BH23" s="166"/>
      <c r="BI23" s="166"/>
      <c r="BJ23" s="166"/>
    </row>
    <row r="24" spans="1:62" ht="30.6" customHeight="1">
      <c r="A24" s="128"/>
      <c r="B24" s="128"/>
      <c r="C24" s="128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6"/>
      <c r="BE24" s="166"/>
      <c r="BF24" s="166"/>
      <c r="BG24" s="166"/>
      <c r="BH24" s="166"/>
      <c r="BI24" s="166"/>
      <c r="BJ24" s="166"/>
    </row>
    <row r="25" spans="1:62" ht="30.6" customHeight="1">
      <c r="A25" s="128"/>
      <c r="B25" s="128"/>
      <c r="C25" s="128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6"/>
      <c r="BE25" s="166"/>
      <c r="BF25" s="166"/>
      <c r="BG25" s="166"/>
      <c r="BH25" s="166"/>
      <c r="BI25" s="166"/>
      <c r="BJ25" s="166"/>
    </row>
    <row r="26" spans="1:62" ht="30.6" customHeight="1">
      <c r="A26" s="128"/>
      <c r="B26" s="128"/>
      <c r="C26" s="128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6"/>
      <c r="BE26" s="166"/>
      <c r="BF26" s="166"/>
      <c r="BG26" s="166"/>
      <c r="BH26" s="166"/>
      <c r="BI26" s="166"/>
      <c r="BJ26" s="166"/>
    </row>
    <row r="27" spans="1:62" ht="30.6" customHeight="1">
      <c r="A27" s="128"/>
      <c r="B27" s="128"/>
      <c r="C27" s="128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6"/>
      <c r="BE27" s="166"/>
      <c r="BF27" s="166"/>
      <c r="BG27" s="166"/>
      <c r="BH27" s="166"/>
      <c r="BI27" s="166"/>
      <c r="BJ27" s="166"/>
    </row>
    <row r="28" spans="1:62" ht="30.6" customHeight="1">
      <c r="A28" s="128"/>
      <c r="B28" s="128"/>
      <c r="C28" s="128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6"/>
      <c r="BE28" s="166"/>
      <c r="BF28" s="166"/>
      <c r="BG28" s="166"/>
      <c r="BH28" s="166"/>
      <c r="BI28" s="166"/>
      <c r="BJ28" s="166"/>
    </row>
    <row r="29" spans="1:62" ht="30.6" customHeight="1">
      <c r="A29" s="128"/>
      <c r="B29" s="128"/>
      <c r="C29" s="128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6"/>
      <c r="BE29" s="166"/>
      <c r="BF29" s="166"/>
      <c r="BG29" s="166"/>
      <c r="BH29" s="166"/>
      <c r="BI29" s="166"/>
      <c r="BJ29" s="166"/>
    </row>
    <row r="30" spans="1:62" ht="30.6" customHeight="1">
      <c r="A30" s="128"/>
      <c r="B30" s="128"/>
      <c r="C30" s="128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6"/>
      <c r="BE30" s="166"/>
      <c r="BF30" s="166"/>
      <c r="BG30" s="166"/>
      <c r="BH30" s="166"/>
      <c r="BI30" s="166"/>
      <c r="BJ30" s="166"/>
    </row>
    <row r="31" spans="1:62" ht="30.6" customHeight="1">
      <c r="A31" s="128"/>
      <c r="B31" s="128"/>
      <c r="C31" s="128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6"/>
      <c r="BE31" s="166"/>
      <c r="BF31" s="166"/>
      <c r="BG31" s="166"/>
      <c r="BH31" s="166"/>
      <c r="BI31" s="166"/>
      <c r="BJ31" s="166"/>
    </row>
    <row r="32" spans="1:62" ht="30.6" customHeight="1">
      <c r="A32" s="128"/>
      <c r="B32" s="128"/>
      <c r="C32" s="128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6"/>
      <c r="BE32" s="166"/>
      <c r="BF32" s="166"/>
      <c r="BG32" s="166"/>
      <c r="BH32" s="166"/>
      <c r="BI32" s="166"/>
      <c r="BJ32" s="166"/>
    </row>
    <row r="33" spans="1:62" ht="30.6" customHeight="1">
      <c r="A33" s="128"/>
      <c r="B33" s="128"/>
      <c r="C33" s="128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6"/>
      <c r="BE33" s="166"/>
      <c r="BF33" s="166"/>
      <c r="BG33" s="166"/>
      <c r="BH33" s="166"/>
      <c r="BI33" s="166"/>
      <c r="BJ33" s="166"/>
    </row>
    <row r="34" spans="1:62" ht="30.6" customHeight="1">
      <c r="A34" s="128"/>
      <c r="B34" s="128"/>
      <c r="C34" s="128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6"/>
      <c r="BE34" s="166"/>
      <c r="BF34" s="166"/>
      <c r="BG34" s="166"/>
      <c r="BH34" s="166"/>
      <c r="BI34" s="166"/>
      <c r="BJ34" s="166"/>
    </row>
    <row r="35" spans="1:62" ht="30.6" customHeight="1">
      <c r="A35" s="128"/>
      <c r="B35" s="128"/>
      <c r="C35" s="128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6"/>
      <c r="BE35" s="166"/>
      <c r="BF35" s="166"/>
      <c r="BG35" s="166"/>
      <c r="BH35" s="166"/>
      <c r="BI35" s="166"/>
      <c r="BJ35" s="166"/>
    </row>
    <row r="36" spans="1:62" ht="30.6" customHeight="1">
      <c r="A36" s="128"/>
      <c r="B36" s="128"/>
      <c r="C36" s="128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6"/>
      <c r="BE36" s="166"/>
      <c r="BF36" s="166"/>
      <c r="BG36" s="166"/>
      <c r="BH36" s="166"/>
      <c r="BI36" s="166"/>
      <c r="BJ36" s="166"/>
    </row>
    <row r="37" spans="1:62" ht="30.6" customHeight="1">
      <c r="A37" s="128"/>
      <c r="B37" s="128"/>
      <c r="C37" s="128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6"/>
      <c r="BE37" s="166"/>
      <c r="BF37" s="166"/>
      <c r="BG37" s="166"/>
      <c r="BH37" s="166"/>
      <c r="BI37" s="166"/>
      <c r="BJ37" s="166"/>
    </row>
    <row r="38" spans="1:62" ht="30.6" customHeight="1">
      <c r="A38" s="128"/>
      <c r="B38" s="128"/>
      <c r="C38" s="128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6"/>
      <c r="BE38" s="166"/>
      <c r="BF38" s="166"/>
      <c r="BG38" s="166"/>
      <c r="BH38" s="166"/>
      <c r="BI38" s="166"/>
      <c r="BJ38" s="166"/>
    </row>
    <row r="39" spans="1:62" ht="30.6" customHeight="1">
      <c r="A39" s="128"/>
      <c r="B39" s="128"/>
      <c r="C39" s="128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6"/>
      <c r="BE39" s="166"/>
      <c r="BF39" s="166"/>
      <c r="BG39" s="166"/>
      <c r="BH39" s="166"/>
      <c r="BI39" s="166"/>
      <c r="BJ39" s="166"/>
    </row>
    <row r="40" spans="1:62" ht="30.6" customHeight="1">
      <c r="A40" s="128"/>
      <c r="B40" s="128"/>
      <c r="C40" s="128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6"/>
      <c r="BE40" s="166"/>
      <c r="BF40" s="166"/>
      <c r="BG40" s="166"/>
      <c r="BH40" s="166"/>
      <c r="BI40" s="166"/>
      <c r="BJ40" s="166"/>
    </row>
    <row r="41" spans="1:62" ht="30.6" customHeight="1">
      <c r="A41" s="124"/>
      <c r="B41" s="124"/>
      <c r="C41" s="124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4"/>
      <c r="BE41" s="164"/>
      <c r="BF41" s="164"/>
      <c r="BG41" s="164"/>
      <c r="BH41" s="164"/>
      <c r="BI41" s="164"/>
      <c r="BJ41" s="164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1" customHeight="1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49">
    <mergeCell ref="A38:C38"/>
    <mergeCell ref="D38:Q38"/>
    <mergeCell ref="R38:BC38"/>
    <mergeCell ref="BD38:BJ38"/>
    <mergeCell ref="A39:C39"/>
    <mergeCell ref="D39:Q39"/>
    <mergeCell ref="R39:BC39"/>
    <mergeCell ref="BD39:BJ39"/>
    <mergeCell ref="A36:C36"/>
    <mergeCell ref="D36:Q36"/>
    <mergeCell ref="R36:BC36"/>
    <mergeCell ref="BD36:BJ36"/>
    <mergeCell ref="A37:C37"/>
    <mergeCell ref="D37:Q37"/>
    <mergeCell ref="R37:BC37"/>
    <mergeCell ref="BD37:BJ37"/>
    <mergeCell ref="A34:C34"/>
    <mergeCell ref="D34:Q34"/>
    <mergeCell ref="R34:BC34"/>
    <mergeCell ref="BD34:BJ34"/>
    <mergeCell ref="A35:C35"/>
    <mergeCell ref="D35:Q35"/>
    <mergeCell ref="R35:BC35"/>
    <mergeCell ref="BD35:BJ35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31:C31"/>
    <mergeCell ref="D31:Q31"/>
    <mergeCell ref="R31:BC31"/>
    <mergeCell ref="BD31:BJ31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T4:AX4"/>
    <mergeCell ref="AY4:BJ4"/>
    <mergeCell ref="A6:K6"/>
    <mergeCell ref="L6:BJ6"/>
    <mergeCell ref="A9:C9"/>
    <mergeCell ref="BD9:BJ9"/>
    <mergeCell ref="R9:BC9"/>
    <mergeCell ref="D9:Q9"/>
    <mergeCell ref="A8:C8"/>
    <mergeCell ref="D8:Q8"/>
    <mergeCell ref="R8:BC8"/>
    <mergeCell ref="BD8:BJ8"/>
    <mergeCell ref="BD17:BJ17"/>
    <mergeCell ref="R10:BC10"/>
    <mergeCell ref="R11:BC11"/>
    <mergeCell ref="R12:BC12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R15:BC15"/>
    <mergeCell ref="R16:BC16"/>
    <mergeCell ref="R13:BC13"/>
    <mergeCell ref="BD13:BJ13"/>
    <mergeCell ref="R14:BC14"/>
    <mergeCell ref="BD14:BJ14"/>
    <mergeCell ref="BD10:BJ10"/>
    <mergeCell ref="BD11:BJ11"/>
    <mergeCell ref="BD12:BJ12"/>
    <mergeCell ref="BD15:BJ15"/>
    <mergeCell ref="BD16:BJ16"/>
    <mergeCell ref="A16:C16"/>
    <mergeCell ref="D16:Q16"/>
    <mergeCell ref="A17:C17"/>
    <mergeCell ref="D17:Q17"/>
    <mergeCell ref="A10:C10"/>
    <mergeCell ref="D10:Q10"/>
    <mergeCell ref="A11:C11"/>
    <mergeCell ref="D11:Q11"/>
    <mergeCell ref="A12:C12"/>
    <mergeCell ref="D12:Q12"/>
    <mergeCell ref="A24:C24"/>
    <mergeCell ref="D24:Q24"/>
    <mergeCell ref="A25:C25"/>
    <mergeCell ref="D25:Q25"/>
    <mergeCell ref="BD18:BJ18"/>
    <mergeCell ref="BD19:BJ19"/>
    <mergeCell ref="BD20:BJ20"/>
    <mergeCell ref="BD21:BJ21"/>
    <mergeCell ref="BD22:BJ22"/>
    <mergeCell ref="A18:C18"/>
    <mergeCell ref="D18:Q18"/>
    <mergeCell ref="R23:BC23"/>
    <mergeCell ref="R24:BC24"/>
    <mergeCell ref="R25:BC25"/>
    <mergeCell ref="D19:Q19"/>
    <mergeCell ref="A20:C20"/>
    <mergeCell ref="BD24:BJ24"/>
    <mergeCell ref="BD25:BJ25"/>
    <mergeCell ref="R18:BC18"/>
    <mergeCell ref="R19:BC19"/>
    <mergeCell ref="R20:BC20"/>
    <mergeCell ref="R21:BC21"/>
    <mergeCell ref="R22:BC22"/>
    <mergeCell ref="R41:BC41"/>
    <mergeCell ref="BD41:BJ41"/>
    <mergeCell ref="A40:C40"/>
    <mergeCell ref="D40:Q40"/>
    <mergeCell ref="R40:BC40"/>
    <mergeCell ref="BD40:BJ40"/>
    <mergeCell ref="A41:C41"/>
    <mergeCell ref="D41:Q41"/>
    <mergeCell ref="A13:C13"/>
    <mergeCell ref="D13:Q13"/>
    <mergeCell ref="A14:C14"/>
    <mergeCell ref="D14:Q14"/>
    <mergeCell ref="BD23:BJ23"/>
    <mergeCell ref="R17:BC17"/>
    <mergeCell ref="D20:Q20"/>
    <mergeCell ref="A21:C21"/>
    <mergeCell ref="D21:Q21"/>
    <mergeCell ref="A19:C19"/>
    <mergeCell ref="A22:C22"/>
    <mergeCell ref="D22:Q22"/>
    <mergeCell ref="A23:C23"/>
    <mergeCell ref="D23:Q23"/>
    <mergeCell ref="A15:C15"/>
    <mergeCell ref="D15:Q15"/>
  </mergeCells>
  <phoneticPr fontId="2"/>
  <pageMargins left="0.70866141732283472" right="0.35433070866141736" top="0.62992125984251968" bottom="0.39370078740157483" header="0.82677165354330717" footer="0.19685039370078741"/>
  <pageSetup paperSize="9" scale="71" fitToHeight="0" orientation="portrait" useFirstPageNumber="1" r:id="rId1"/>
  <headerFooter>
    <oddHeader xml:space="preserve">&amp;R&amp;P   </oddHeader>
  </headerFooter>
  <colBreaks count="1" manualBreakCount="1">
    <brk id="62" max="36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www.w3.org/XML/1998/namespace"/>
    <ds:schemaRef ds:uri="http://purl.org/dc/terms/"/>
    <ds:schemaRef ds:uri="http://schemas.openxmlformats.org/package/2006/metadata/core-properties"/>
    <ds:schemaRef ds:uri="4a1f72ec-30b8-4383-892a-fcacdd251f13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37C81E7-C2EB-4FB4-991B-FFC101C10910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若尾 僚太</cp:lastModifiedBy>
  <cp:revision/>
  <cp:lastPrinted>2025-08-25T01:05:50Z</cp:lastPrinted>
  <dcterms:created xsi:type="dcterms:W3CDTF">2001-03-06T02:20:07Z</dcterms:created>
  <dcterms:modified xsi:type="dcterms:W3CDTF">2025-09-16T04:53:37Z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