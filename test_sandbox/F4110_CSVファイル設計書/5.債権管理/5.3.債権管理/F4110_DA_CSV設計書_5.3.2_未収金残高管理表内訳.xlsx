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10_CSVファイル設計書\5.債権管理\5.3.債権管理\"/>
    </mc:Choice>
  </mc:AlternateContent>
  <xr:revisionPtr revIDLastSave="0" documentId="13_ncr:1_{87E82788-0557-4727-A56C-C0E6A6AEAFA3}" xr6:coauthVersionLast="47" xr6:coauthVersionMax="47" xr10:uidLastSave="{00000000-0000-0000-0000-000000000000}"/>
  <bookViews>
    <workbookView xWindow="-108" yWindow="-108" windowWidth="23256" windowHeight="13896" tabRatio="597" xr2:uid="{00000000-000D-0000-FFFF-FFFF00000000}"/>
  </bookViews>
  <sheets>
    <sheet name="変更履歴" sheetId="27" r:id="rId1"/>
    <sheet name="項目定義書" sheetId="28" r:id="rId2"/>
    <sheet name="CSVイメージ" sheetId="31" r:id="rId3"/>
    <sheet name="CSVイメージ_データ" sheetId="33" r:id="rId4"/>
    <sheet name="取込チェック・単体" sheetId="22" r:id="rId5"/>
    <sheet name="取込チェック・関連" sheetId="23" r:id="rId6"/>
  </sheets>
  <definedNames>
    <definedName name="_xlnm._FilterDatabase" localSheetId="2" hidden="1">CSVイメージ!$A$9:$BJ$9</definedName>
    <definedName name="_xlnm._FilterDatabase" localSheetId="1" hidden="1">項目定義書!$A$21:$BJ$21</definedName>
    <definedName name="_Regression_X" hidden="1">#REF!</definedName>
    <definedName name="_xlnm.Print_Area" localSheetId="2">CSVイメージ!$A$1:$BJ$55</definedName>
    <definedName name="_xlnm.Print_Area" localSheetId="1">項目定義書!$A$1:$BJ$63</definedName>
    <definedName name="_xlnm.Print_Area" localSheetId="5">取込チェック・関連!$A$1:$BJ$31</definedName>
    <definedName name="_xlnm.Print_Area" localSheetId="4">取込チェック・単体!$A$1:$BJ$31</definedName>
    <definedName name="_xlnm.Print_Area" localSheetId="0">変更履歴!$A$1:$BJ$59</definedName>
    <definedName name="_xlnm.Print_Titles" localSheetId="2">CSVイメージ!$1:$9</definedName>
    <definedName name="_xlnm.Print_Titles" localSheetId="1">項目定義書!$1:$21</definedName>
    <definedName name="_xlnm.Print_Titles" localSheetId="5">取込チェック・関連!$1:$8</definedName>
    <definedName name="_xlnm.Print_Titles" localSheetId="4">取込チェック・単体!$1:$8</definedName>
    <definedName name="_xlnm.Print_Titles" localSheetId="0">変更履歴!$1:$5</definedName>
    <definedName name="ステータスリスト">#REF!</definedName>
    <definedName name="ね表紙" hidden="1">#REF!</definedName>
    <definedName name="ランク別売単価">#REF!</definedName>
    <definedName name="関連表" hidden="1">#REF!</definedName>
    <definedName name="顧客名">#REF!</definedName>
    <definedName name="顧客名・コード">#REF!</definedName>
    <definedName name="重要度リスト">#REF!</definedName>
    <definedName name="分類リス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31" l="1"/>
  <c r="A60" i="28" l="1"/>
  <c r="A50" i="31" l="1"/>
  <c r="A51" i="31"/>
  <c r="A62" i="28"/>
  <c r="A63" i="28"/>
  <c r="A14" i="31" l="1"/>
  <c r="A26" i="28"/>
  <c r="A61" i="28" l="1"/>
  <c r="A23" i="28"/>
  <c r="A24" i="28"/>
  <c r="A25" i="28"/>
  <c r="A27" i="28"/>
  <c r="A28" i="28"/>
  <c r="A29" i="28"/>
  <c r="A30" i="28"/>
  <c r="A31" i="28"/>
  <c r="A32" i="28"/>
  <c r="A33" i="28"/>
  <c r="A34" i="28"/>
  <c r="A35" i="28"/>
  <c r="A36" i="28"/>
  <c r="A37" i="28"/>
  <c r="A38" i="28"/>
  <c r="A39" i="28"/>
  <c r="A40" i="28"/>
  <c r="A41" i="28"/>
  <c r="A42" i="28"/>
  <c r="A43" i="28"/>
  <c r="A44" i="28"/>
  <c r="A45" i="28"/>
  <c r="A46" i="28"/>
  <c r="A47" i="28"/>
  <c r="A48" i="28"/>
  <c r="A49" i="28"/>
  <c r="A50" i="28"/>
  <c r="A51" i="28"/>
  <c r="A52" i="28"/>
  <c r="A53" i="28"/>
  <c r="A54" i="28"/>
  <c r="A55" i="28"/>
  <c r="A56" i="28"/>
  <c r="A57" i="28"/>
  <c r="A58" i="28"/>
  <c r="A59" i="28"/>
  <c r="A22" i="28"/>
  <c r="A18" i="28"/>
  <c r="A17" i="28"/>
  <c r="A16" i="28"/>
  <c r="A15" i="28"/>
  <c r="A14" i="28"/>
  <c r="A13" i="28"/>
  <c r="A12" i="28"/>
  <c r="A11" i="28"/>
  <c r="BF6" i="31" l="1"/>
  <c r="A44" i="31" l="1"/>
  <c r="A41" i="31"/>
  <c r="A42" i="31"/>
  <c r="A40" i="31"/>
  <c r="A37" i="31"/>
  <c r="A33" i="31"/>
  <c r="A34" i="31"/>
  <c r="A31" i="31"/>
  <c r="A11" i="31"/>
  <c r="A12" i="31"/>
  <c r="A13" i="31"/>
  <c r="A17" i="31"/>
  <c r="A18" i="31"/>
  <c r="A24" i="31"/>
  <c r="A21" i="31"/>
  <c r="A22" i="31"/>
  <c r="A23" i="31"/>
  <c r="A29" i="31"/>
  <c r="A30" i="31"/>
  <c r="A35" i="31"/>
  <c r="A36" i="31"/>
  <c r="A38" i="31"/>
  <c r="A39" i="31"/>
  <c r="A43" i="31"/>
  <c r="A45" i="31"/>
  <c r="A46" i="31"/>
  <c r="A15" i="31"/>
  <c r="A16" i="31"/>
  <c r="A19" i="31"/>
  <c r="A20" i="31"/>
  <c r="A25" i="31"/>
  <c r="A47" i="31"/>
  <c r="A49" i="31"/>
  <c r="A32" i="31"/>
  <c r="A26" i="31"/>
  <c r="A27" i="31"/>
  <c r="A28" i="31"/>
  <c r="A10" i="31"/>
  <c r="BF6"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07A14505-2917-430A-B159-771EF6758DCA}">
      <text>
        <r>
          <rPr>
            <sz val="11"/>
            <rFont val="ＭＳ Ｐゴシック"/>
            <family val="3"/>
            <charset val="128"/>
          </rPr>
          <t>CSVファイル名</t>
        </r>
      </text>
    </comment>
    <comment ref="U21" authorId="1" shapeId="0" xr:uid="{1B9ED0AB-884E-451C-B25B-FBA2288EFAD5}">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21" authorId="0" shapeId="0" xr:uid="{F4E251E0-1E18-47B9-A3FC-3AD54B1BC799}">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21" authorId="0" shapeId="0" xr:uid="{6E2264F7-F63E-4B17-8599-09496D832395}">
      <text>
        <r>
          <rPr>
            <b/>
            <sz val="9"/>
            <color indexed="81"/>
            <rFont val="MS P ゴシック"/>
            <family val="3"/>
            <charset val="128"/>
          </rPr>
          <t>固定長の時　・・〇</t>
        </r>
        <r>
          <rPr>
            <sz val="9"/>
            <color indexed="81"/>
            <rFont val="MS P ゴシック"/>
            <family val="3"/>
            <charset val="128"/>
          </rPr>
          <t xml:space="preserve">
</t>
        </r>
      </text>
    </comment>
    <comment ref="AI21" authorId="0" shapeId="0" xr:uid="{BD5E42F6-79EC-43C2-A528-0E0DA9941D64}">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21" authorId="0" shapeId="0" xr:uid="{8F8E851C-7AE4-4C3F-AB49-71351EEC2431}">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21" authorId="0" shapeId="0" xr:uid="{3566CFED-CC43-4468-B32D-A8FAB25E1B3E}">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8179821E-00E1-47C9-A5A8-8C659A679D2E}">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<sst xmlns="http://schemas.openxmlformats.org/spreadsheetml/2006/main" count="1084" uniqueCount="277">
  <si>
    <t>Ｐｈａｓｅ　外部設計工程</t>
    <rPh sb="6" eb="8">
      <t>ガイブ</t>
    </rPh>
    <rPh sb="8" eb="10">
      <t>セッケイ</t>
    </rPh>
    <rPh sb="10" eb="12">
      <t>コウテイ</t>
    </rPh>
    <phoneticPr fontId="8"/>
  </si>
  <si>
    <t>HOKUREN INTERNAL USE ONLY</t>
  </si>
  <si>
    <t>ＣＳＶファイル項目定義書　変更履歴</t>
    <rPh sb="7" eb="9">
      <t>コウモク</t>
    </rPh>
    <rPh sb="9" eb="12">
      <t>テイギショ</t>
    </rPh>
    <rPh sb="13" eb="15">
      <t>ヘンコウ</t>
    </rPh>
    <rPh sb="15" eb="17">
      <t>リレキ</t>
    </rPh>
    <phoneticPr fontId="8"/>
  </si>
  <si>
    <t>様式No.</t>
    <rPh sb="0" eb="2">
      <t>ヨウシキ</t>
    </rPh>
    <phoneticPr fontId="8"/>
  </si>
  <si>
    <t>F4110-0</t>
    <phoneticPr fontId="8"/>
  </si>
  <si>
    <t>PAGE</t>
    <phoneticPr fontId="8"/>
  </si>
  <si>
    <t>システム名</t>
    <rPh sb="4" eb="5">
      <t>メイ</t>
    </rPh>
    <phoneticPr fontId="8"/>
  </si>
  <si>
    <t>作成日</t>
    <rPh sb="0" eb="2">
      <t>サクセイ</t>
    </rPh>
    <rPh sb="2" eb="3">
      <t>ヒ</t>
    </rPh>
    <phoneticPr fontId="8"/>
  </si>
  <si>
    <t>更新日</t>
    <rPh sb="0" eb="3">
      <t>コウシンビ</t>
    </rPh>
    <phoneticPr fontId="8"/>
  </si>
  <si>
    <t>管理番号</t>
    <rPh sb="0" eb="2">
      <t>カンリ</t>
    </rPh>
    <rPh sb="2" eb="4">
      <t>バンゴウ</t>
    </rPh>
    <phoneticPr fontId="8"/>
  </si>
  <si>
    <t>案件名 / 障害・問合せ件名</t>
    <rPh sb="0" eb="3">
      <t>アンケンメイ</t>
    </rPh>
    <rPh sb="12" eb="14">
      <t>ケンメイ</t>
    </rPh>
    <phoneticPr fontId="26"/>
  </si>
  <si>
    <t>ＣＳＶファイル項目定義書</t>
    <rPh sb="7" eb="9">
      <t>コウモク</t>
    </rPh>
    <rPh sb="9" eb="12">
      <t>テイギショ</t>
    </rPh>
    <phoneticPr fontId="8"/>
  </si>
  <si>
    <t>データストア№</t>
    <phoneticPr fontId="8"/>
  </si>
  <si>
    <t>文字囲み（"　"）</t>
    <rPh sb="0" eb="2">
      <t>モジ</t>
    </rPh>
    <rPh sb="2" eb="3">
      <t>カコ</t>
    </rPh>
    <phoneticPr fontId="8"/>
  </si>
  <si>
    <t>あり</t>
  </si>
  <si>
    <t>ヘッダ行</t>
    <rPh sb="3" eb="4">
      <t>ギョウ</t>
    </rPh>
    <phoneticPr fontId="8"/>
  </si>
  <si>
    <t>項目数</t>
    <rPh sb="0" eb="2">
      <t>コウモク</t>
    </rPh>
    <rPh sb="2" eb="3">
      <t>スウ</t>
    </rPh>
    <phoneticPr fontId="8"/>
  </si>
  <si>
    <t>ファイル名</t>
    <phoneticPr fontId="8"/>
  </si>
  <si>
    <t>書出し</t>
    <rPh sb="0" eb="2">
      <t>カキダ</t>
    </rPh>
    <phoneticPr fontId="8"/>
  </si>
  <si>
    <t>〇</t>
  </si>
  <si>
    <t>取込</t>
    <rPh sb="0" eb="2">
      <t>トリコミ</t>
    </rPh>
    <phoneticPr fontId="8"/>
  </si>
  <si>
    <t>セパレータ（,）の記入は省略。</t>
    <rPh sb="9" eb="11">
      <t>キニュウ</t>
    </rPh>
    <rPh sb="12" eb="14">
      <t>ショウリャク</t>
    </rPh>
    <phoneticPr fontId="8"/>
  </si>
  <si>
    <t>No.</t>
    <phoneticPr fontId="8"/>
  </si>
  <si>
    <t>項目名称（日本語）</t>
    <rPh sb="5" eb="8">
      <t>ニホンゴ</t>
    </rPh>
    <phoneticPr fontId="8"/>
  </si>
  <si>
    <t>データ型</t>
    <rPh sb="3" eb="4">
      <t>カタ</t>
    </rPh>
    <phoneticPr fontId="8"/>
  </si>
  <si>
    <t>最大桁数</t>
    <rPh sb="0" eb="2">
      <t>サイダイ</t>
    </rPh>
    <rPh sb="2" eb="4">
      <t>ケタスウ</t>
    </rPh>
    <phoneticPr fontId="8"/>
  </si>
  <si>
    <t>符号</t>
    <phoneticPr fontId="8"/>
  </si>
  <si>
    <t>固定長</t>
    <rPh sb="0" eb="2">
      <t>コテイ</t>
    </rPh>
    <rPh sb="2" eb="3">
      <t>チョウ</t>
    </rPh>
    <phoneticPr fontId="8"/>
  </si>
  <si>
    <t>寄せ</t>
    <rPh sb="0" eb="1">
      <t>ヨ</t>
    </rPh>
    <phoneticPr fontId="8"/>
  </si>
  <si>
    <t>Up
Load</t>
    <phoneticPr fontId="8"/>
  </si>
  <si>
    <t>必須</t>
    <rPh sb="0" eb="2">
      <t>ヒッス</t>
    </rPh>
    <phoneticPr fontId="8"/>
  </si>
  <si>
    <t>項　目　説　明</t>
  </si>
  <si>
    <t>対象期間_経理日From</t>
    <rPh sb="0" eb="4">
      <t>タイショウキカン</t>
    </rPh>
    <rPh sb="5" eb="8">
      <t>ケイリビ</t>
    </rPh>
    <phoneticPr fontId="8"/>
  </si>
  <si>
    <t>数字</t>
    <rPh sb="0" eb="2">
      <t>スウジ</t>
    </rPh>
    <phoneticPr fontId="8"/>
  </si>
  <si>
    <t>未収金残高管理表照会画面で指定した経理日（From）。
「yyyyMMdd」形式。</t>
    <rPh sb="0" eb="3">
      <t>ミシュウキン</t>
    </rPh>
    <rPh sb="3" eb="5">
      <t>ザンダカ</t>
    </rPh>
    <rPh sb="5" eb="7">
      <t>カンリ</t>
    </rPh>
    <rPh sb="7" eb="8">
      <t>ヒョウ</t>
    </rPh>
    <rPh sb="8" eb="10">
      <t>ショウカイ</t>
    </rPh>
    <rPh sb="10" eb="12">
      <t>ガメン</t>
    </rPh>
    <rPh sb="13" eb="15">
      <t>シテイ</t>
    </rPh>
    <rPh sb="17" eb="19">
      <t>ケイリ</t>
    </rPh>
    <rPh sb="19" eb="20">
      <t>ビ</t>
    </rPh>
    <rPh sb="38" eb="40">
      <t>ケイシキ</t>
    </rPh>
    <phoneticPr fontId="8"/>
  </si>
  <si>
    <t>対象期間_経理日To</t>
    <rPh sb="0" eb="4">
      <t>タイショウキカン</t>
    </rPh>
    <rPh sb="5" eb="8">
      <t>ケイリビ</t>
    </rPh>
    <phoneticPr fontId="8"/>
  </si>
  <si>
    <t>未収金残高管理表照会画面で指定した経理日（To）。
「yyyyMMdd」形式。</t>
    <rPh sb="0" eb="3">
      <t>ミシュウキン</t>
    </rPh>
    <rPh sb="3" eb="5">
      <t>ザンダカ</t>
    </rPh>
    <rPh sb="5" eb="7">
      <t>カンリ</t>
    </rPh>
    <rPh sb="7" eb="8">
      <t>ヒョウ</t>
    </rPh>
    <rPh sb="8" eb="10">
      <t>ショウカイ</t>
    </rPh>
    <rPh sb="10" eb="12">
      <t>ガメン</t>
    </rPh>
    <rPh sb="13" eb="15">
      <t>シテイ</t>
    </rPh>
    <rPh sb="17" eb="19">
      <t>ケイリ</t>
    </rPh>
    <rPh sb="19" eb="20">
      <t>ビ</t>
    </rPh>
    <rPh sb="36" eb="38">
      <t>ケイシキ</t>
    </rPh>
    <phoneticPr fontId="8"/>
  </si>
  <si>
    <t>対象期間_実回収日From</t>
    <rPh sb="0" eb="4">
      <t>タイショウキカン</t>
    </rPh>
    <rPh sb="5" eb="9">
      <t>ジツカイシュウビ</t>
    </rPh>
    <phoneticPr fontId="8"/>
  </si>
  <si>
    <t>未収金残高管理表照会画面で指定した実回収日（From）。
「yyyyMMdd」形式。</t>
    <rPh sb="0" eb="3">
      <t>ミシュウキン</t>
    </rPh>
    <rPh sb="3" eb="5">
      <t>ザンダカ</t>
    </rPh>
    <rPh sb="5" eb="7">
      <t>カンリ</t>
    </rPh>
    <rPh sb="7" eb="8">
      <t>ヒョウ</t>
    </rPh>
    <rPh sb="8" eb="10">
      <t>ショウカイ</t>
    </rPh>
    <rPh sb="10" eb="12">
      <t>ガメン</t>
    </rPh>
    <rPh sb="13" eb="15">
      <t>シテイ</t>
    </rPh>
    <rPh sb="17" eb="21">
      <t>ジツカイシュウビ</t>
    </rPh>
    <rPh sb="39" eb="41">
      <t>ケイシキ</t>
    </rPh>
    <phoneticPr fontId="8"/>
  </si>
  <si>
    <t>対象期間_実回収日To</t>
    <rPh sb="0" eb="4">
      <t>タイショウキカン</t>
    </rPh>
    <rPh sb="5" eb="9">
      <t>ジツカイシュウビ</t>
    </rPh>
    <phoneticPr fontId="8"/>
  </si>
  <si>
    <t>未収金残高管理表照会画面で指定した実回収日（To）。
「yyyyMMdd」形式。</t>
    <rPh sb="0" eb="3">
      <t>ミシュウキン</t>
    </rPh>
    <rPh sb="3" eb="5">
      <t>ザンダカ</t>
    </rPh>
    <rPh sb="5" eb="7">
      <t>カンリ</t>
    </rPh>
    <rPh sb="7" eb="8">
      <t>ヒョウ</t>
    </rPh>
    <rPh sb="8" eb="10">
      <t>ショウカイ</t>
    </rPh>
    <rPh sb="10" eb="12">
      <t>ガメン</t>
    </rPh>
    <rPh sb="13" eb="15">
      <t>シテイ</t>
    </rPh>
    <rPh sb="17" eb="21">
      <t>ジツカイシュウビ</t>
    </rPh>
    <rPh sb="37" eb="39">
      <t>ケイシキ</t>
    </rPh>
    <phoneticPr fontId="8"/>
  </si>
  <si>
    <t>事業所コード</t>
    <phoneticPr fontId="8"/>
  </si>
  <si>
    <t>英数字</t>
    <rPh sb="0" eb="3">
      <t>エイスウジ</t>
    </rPh>
    <phoneticPr fontId="8"/>
  </si>
  <si>
    <t>未収金を管理している事業所を分類するコード。</t>
    <rPh sb="0" eb="2">
      <t>ミシュウキン</t>
    </rPh>
    <rPh sb="3" eb="5">
      <t>カンリ</t>
    </rPh>
    <rPh sb="9" eb="12">
      <t>ジギョウショ</t>
    </rPh>
    <rPh sb="13" eb="15">
      <t>ブンルイ</t>
    </rPh>
    <phoneticPr fontId="8"/>
  </si>
  <si>
    <t>漢字</t>
    <rPh sb="0" eb="2">
      <t>カンジ</t>
    </rPh>
    <phoneticPr fontId="8"/>
  </si>
  <si>
    <t>事業所コードに対応する事業所の名称。</t>
    <rPh sb="0" eb="3">
      <t>ジギョウショ</t>
    </rPh>
    <rPh sb="7" eb="9">
      <t>タイオウ</t>
    </rPh>
    <rPh sb="11" eb="14">
      <t>ジギョウショ</t>
    </rPh>
    <rPh sb="15" eb="17">
      <t>メイショウ</t>
    </rPh>
    <phoneticPr fontId="8"/>
  </si>
  <si>
    <t>所属コード</t>
    <phoneticPr fontId="8"/>
  </si>
  <si>
    <t>未収金を管理している組織を分類するコード。</t>
    <rPh sb="0" eb="2">
      <t>ミシュウキン</t>
    </rPh>
    <rPh sb="3" eb="5">
      <t>カンリ</t>
    </rPh>
    <rPh sb="9" eb="11">
      <t>ソシキ</t>
    </rPh>
    <phoneticPr fontId="8"/>
  </si>
  <si>
    <t>所属コードに対応する所属の名称。</t>
    <rPh sb="0" eb="2">
      <t>ウケツケ</t>
    </rPh>
    <rPh sb="6" eb="7">
      <t>ケタ</t>
    </rPh>
    <rPh sb="8" eb="10">
      <t>エダバン</t>
    </rPh>
    <rPh sb="11" eb="12">
      <t>ケタ</t>
    </rPh>
    <phoneticPr fontId="8"/>
  </si>
  <si>
    <t>業種コード</t>
    <phoneticPr fontId="8"/>
  </si>
  <si>
    <t>未収金を管理している業種を分類するコード。</t>
    <rPh sb="0" eb="2">
      <t>ミシュウキン</t>
    </rPh>
    <rPh sb="3" eb="5">
      <t>カンリ</t>
    </rPh>
    <rPh sb="9" eb="11">
      <t>ギョウシュ</t>
    </rPh>
    <phoneticPr fontId="8"/>
  </si>
  <si>
    <t>業種コードに対応する業種の名称。</t>
    <rPh sb="0" eb="2">
      <t>ギョウシュ</t>
    </rPh>
    <rPh sb="6" eb="8">
      <t>タイオウ</t>
    </rPh>
    <rPh sb="10" eb="12">
      <t>ギョウシュ</t>
    </rPh>
    <rPh sb="13" eb="15">
      <t>メイショウ</t>
    </rPh>
    <phoneticPr fontId="8"/>
  </si>
  <si>
    <t>相手先コード</t>
    <rPh sb="0" eb="3">
      <t>アイテサキ</t>
    </rPh>
    <phoneticPr fontId="8"/>
  </si>
  <si>
    <t>相手先（諸口カナ）</t>
    <rPh sb="0" eb="3">
      <t>アイテサキ</t>
    </rPh>
    <phoneticPr fontId="8"/>
  </si>
  <si>
    <t>回収予定日</t>
    <phoneticPr fontId="8"/>
  </si>
  <si>
    <t>未収金の回収予定日（満期日）。
「yyyyMMdd」形式。</t>
    <rPh sb="0" eb="3">
      <t>ミシュウキン</t>
    </rPh>
    <rPh sb="4" eb="6">
      <t>カイシュウ</t>
    </rPh>
    <rPh sb="6" eb="9">
      <t>ヨテイビ</t>
    </rPh>
    <rPh sb="10" eb="13">
      <t>マンキビ</t>
    </rPh>
    <rPh sb="26" eb="28">
      <t>ケイシキ</t>
    </rPh>
    <phoneticPr fontId="8"/>
  </si>
  <si>
    <t>回収予定金額</t>
    <rPh sb="4" eb="5">
      <t>キン</t>
    </rPh>
    <phoneticPr fontId="8"/>
  </si>
  <si>
    <t>実回収日</t>
    <rPh sb="0" eb="1">
      <t>ジツ</t>
    </rPh>
    <phoneticPr fontId="8"/>
  </si>
  <si>
    <t>実回収金額</t>
    <rPh sb="0" eb="3">
      <t>ジツカイシュウ</t>
    </rPh>
    <rPh sb="3" eb="5">
      <t>キンガク</t>
    </rPh>
    <phoneticPr fontId="8"/>
  </si>
  <si>
    <t>未収金残高</t>
    <rPh sb="0" eb="3">
      <t>ミシュウキン</t>
    </rPh>
    <phoneticPr fontId="8"/>
  </si>
  <si>
    <t>勘定科目コードに対応する勘定科目の名称。</t>
    <rPh sb="0" eb="4">
      <t>カンジョウカモク</t>
    </rPh>
    <rPh sb="8" eb="10">
      <t>タイオウ</t>
    </rPh>
    <rPh sb="12" eb="14">
      <t>カンジョウ</t>
    </rPh>
    <rPh sb="14" eb="16">
      <t>カモク</t>
    </rPh>
    <rPh sb="17" eb="19">
      <t>メイショウ</t>
    </rPh>
    <phoneticPr fontId="8"/>
  </si>
  <si>
    <t>経理日</t>
    <phoneticPr fontId="8"/>
  </si>
  <si>
    <t>未収金に対する経理日。
「yyyyMMdd」形式。</t>
    <rPh sb="0" eb="3">
      <t>ミシュウキン</t>
    </rPh>
    <rPh sb="4" eb="5">
      <t>タイ</t>
    </rPh>
    <rPh sb="7" eb="10">
      <t>ケイリビ</t>
    </rPh>
    <phoneticPr fontId="8"/>
  </si>
  <si>
    <t>出荷日付</t>
    <rPh sb="0" eb="4">
      <t>シュッカヒヅケ</t>
    </rPh>
    <phoneticPr fontId="8"/>
  </si>
  <si>
    <t>請求書No</t>
    <rPh sb="0" eb="3">
      <t>セイキュウショ</t>
    </rPh>
    <phoneticPr fontId="8"/>
  </si>
  <si>
    <t>取扱品目コード</t>
    <rPh sb="0" eb="4">
      <t>トリアツカイヒンモク</t>
    </rPh>
    <phoneticPr fontId="8"/>
  </si>
  <si>
    <t>債権債務で扱う品目を分類するコード。</t>
    <rPh sb="0" eb="2">
      <t>サイケン</t>
    </rPh>
    <rPh sb="2" eb="4">
      <t>サイム</t>
    </rPh>
    <rPh sb="5" eb="6">
      <t>アツカ</t>
    </rPh>
    <rPh sb="7" eb="9">
      <t>ヒンモク</t>
    </rPh>
    <rPh sb="10" eb="12">
      <t>ブンルイ</t>
    </rPh>
    <phoneticPr fontId="8"/>
  </si>
  <si>
    <t>取扱品目コードに対応する取扱品目の名称。</t>
    <rPh sb="0" eb="4">
      <t>トリアツカイヒンモク</t>
    </rPh>
    <rPh sb="8" eb="10">
      <t>タイオウ</t>
    </rPh>
    <rPh sb="12" eb="16">
      <t>トリアツカイヒンモク</t>
    </rPh>
    <rPh sb="17" eb="19">
      <t>メイショウ</t>
    </rPh>
    <phoneticPr fontId="8"/>
  </si>
  <si>
    <t>仕訳摘要</t>
    <rPh sb="0" eb="4">
      <t>シワケテキヨウ</t>
    </rPh>
    <phoneticPr fontId="8"/>
  </si>
  <si>
    <t>仕訳摘要。</t>
    <rPh sb="0" eb="4">
      <t>シワケテキヨウ</t>
    </rPh>
    <phoneticPr fontId="8"/>
  </si>
  <si>
    <t>数量</t>
    <rPh sb="0" eb="2">
      <t>スウリョウ</t>
    </rPh>
    <phoneticPr fontId="8"/>
  </si>
  <si>
    <t>単価</t>
    <rPh sb="0" eb="2">
      <t>タンカ</t>
    </rPh>
    <phoneticPr fontId="8"/>
  </si>
  <si>
    <t>取扱品目に対する本体金額。</t>
    <rPh sb="0" eb="2">
      <t>トリアツカイ</t>
    </rPh>
    <rPh sb="2" eb="3">
      <t>ヒン</t>
    </rPh>
    <rPh sb="3" eb="4">
      <t>モク</t>
    </rPh>
    <rPh sb="5" eb="6">
      <t>タイ</t>
    </rPh>
    <rPh sb="8" eb="12">
      <t>ホンタイキンガク</t>
    </rPh>
    <phoneticPr fontId="8"/>
  </si>
  <si>
    <t>消費税</t>
    <rPh sb="0" eb="3">
      <t>ショウヒゼイ</t>
    </rPh>
    <phoneticPr fontId="8"/>
  </si>
  <si>
    <t>取扱品目に対する消費税額。</t>
    <rPh sb="0" eb="2">
      <t>トリアツカイ</t>
    </rPh>
    <rPh sb="2" eb="3">
      <t>ヒン</t>
    </rPh>
    <rPh sb="3" eb="4">
      <t>モク</t>
    </rPh>
    <rPh sb="5" eb="6">
      <t>タイ</t>
    </rPh>
    <rPh sb="8" eb="11">
      <t>ショウヒゼイ</t>
    </rPh>
    <rPh sb="11" eb="12">
      <t>ガク</t>
    </rPh>
    <phoneticPr fontId="8"/>
  </si>
  <si>
    <t>合計金額</t>
    <rPh sb="0" eb="4">
      <t>ゴウケイキンガク</t>
    </rPh>
    <phoneticPr fontId="8"/>
  </si>
  <si>
    <t>取扱区分</t>
    <rPh sb="0" eb="2">
      <t>トリアツカイ</t>
    </rPh>
    <rPh sb="2" eb="4">
      <t>クブン</t>
    </rPh>
    <phoneticPr fontId="8"/>
  </si>
  <si>
    <t>ホクレンでの取扱を表す区分。</t>
    <rPh sb="6" eb="8">
      <t>トリアツカイ</t>
    </rPh>
    <rPh sb="9" eb="10">
      <t>アラワ</t>
    </rPh>
    <rPh sb="11" eb="13">
      <t>クブン</t>
    </rPh>
    <phoneticPr fontId="8"/>
  </si>
  <si>
    <t>年産</t>
    <rPh sb="0" eb="2">
      <t>ネンサン</t>
    </rPh>
    <phoneticPr fontId="8"/>
  </si>
  <si>
    <t>ホクレンでの収支を管理する単位を設定する。</t>
    <rPh sb="6" eb="8">
      <t>シュウシ</t>
    </rPh>
    <rPh sb="9" eb="11">
      <t>カンリ</t>
    </rPh>
    <rPh sb="13" eb="15">
      <t>タンイ</t>
    </rPh>
    <rPh sb="16" eb="18">
      <t>セッテイ</t>
    </rPh>
    <phoneticPr fontId="8"/>
  </si>
  <si>
    <t>共計次数</t>
    <rPh sb="0" eb="2">
      <t>キョウケイ</t>
    </rPh>
    <rPh sb="2" eb="3">
      <t>ツギ</t>
    </rPh>
    <rPh sb="3" eb="4">
      <t>スウ</t>
    </rPh>
    <phoneticPr fontId="8"/>
  </si>
  <si>
    <t>ある年産の中で何回目の取引かの次数を設定する。</t>
    <rPh sb="2" eb="4">
      <t>ネンサン</t>
    </rPh>
    <rPh sb="5" eb="6">
      <t>ナカ</t>
    </rPh>
    <rPh sb="7" eb="10">
      <t>ナンカイメ</t>
    </rPh>
    <rPh sb="11" eb="13">
      <t>トリヒキ</t>
    </rPh>
    <rPh sb="15" eb="16">
      <t>ジ</t>
    </rPh>
    <rPh sb="16" eb="17">
      <t>スウ</t>
    </rPh>
    <rPh sb="18" eb="20">
      <t>セッテイ</t>
    </rPh>
    <phoneticPr fontId="8"/>
  </si>
  <si>
    <t>ＣＳＶファイル　データイメージ</t>
    <phoneticPr fontId="8"/>
  </si>
  <si>
    <t>F4110-2</t>
    <phoneticPr fontId="8"/>
  </si>
  <si>
    <t>文字コード</t>
    <rPh sb="0" eb="2">
      <t>モジ</t>
    </rPh>
    <phoneticPr fontId="8"/>
  </si>
  <si>
    <t>項目名称</t>
    <phoneticPr fontId="8"/>
  </si>
  <si>
    <t>データ格納イメージ</t>
    <rPh sb="3" eb="5">
      <t>カクノウ</t>
    </rPh>
    <phoneticPr fontId="8"/>
  </si>
  <si>
    <t>01</t>
    <phoneticPr fontId="8"/>
  </si>
  <si>
    <t>種苗</t>
    <rPh sb="0" eb="2">
      <t>シュビョウ</t>
    </rPh>
    <phoneticPr fontId="8"/>
  </si>
  <si>
    <t>20250630</t>
    <phoneticPr fontId="8"/>
  </si>
  <si>
    <t>石狩市農業協同組合 本所</t>
    <phoneticPr fontId="8"/>
  </si>
  <si>
    <t>ｶｼｮｸﾞﾁ(ｶｾﾞｲ) ｿｳﾑﾌﾞｿｳﾑｶ</t>
    <phoneticPr fontId="8"/>
  </si>
  <si>
    <t>購買未収金</t>
    <rPh sb="0" eb="5">
      <t>コウバイミシュウキン</t>
    </rPh>
    <phoneticPr fontId="8"/>
  </si>
  <si>
    <t>123456</t>
    <phoneticPr fontId="8"/>
  </si>
  <si>
    <t>レタス段ボール</t>
    <rPh sb="3" eb="4">
      <t>ダン</t>
    </rPh>
    <phoneticPr fontId="8"/>
  </si>
  <si>
    <t>2025</t>
    <phoneticPr fontId="8"/>
  </si>
  <si>
    <t>10</t>
    <phoneticPr fontId="8"/>
  </si>
  <si>
    <t>05</t>
    <phoneticPr fontId="8"/>
  </si>
  <si>
    <t>札幌支所</t>
    <rPh sb="0" eb="4">
      <t>サッポロシショ</t>
    </rPh>
    <phoneticPr fontId="8"/>
  </si>
  <si>
    <t>4242</t>
    <phoneticPr fontId="8"/>
  </si>
  <si>
    <t>札幌支所米麦農産課</t>
    <rPh sb="0" eb="4">
      <t>サッポロシショ</t>
    </rPh>
    <rPh sb="4" eb="5">
      <t>コメ</t>
    </rPh>
    <rPh sb="5" eb="6">
      <t>ムギ</t>
    </rPh>
    <rPh sb="6" eb="9">
      <t>ノウサンカ</t>
    </rPh>
    <phoneticPr fontId="8"/>
  </si>
  <si>
    <t>12345678901234567890</t>
    <phoneticPr fontId="8"/>
  </si>
  <si>
    <t>123456789012345678</t>
    <phoneticPr fontId="8"/>
  </si>
  <si>
    <t>9999999999999</t>
    <phoneticPr fontId="8"/>
  </si>
  <si>
    <t>出力日時</t>
    <rPh sb="0" eb="4">
      <t>シュツリョクニチジ</t>
    </rPh>
    <phoneticPr fontId="27"/>
  </si>
  <si>
    <t>事業所</t>
    <rPh sb="0" eb="3">
      <t>ジギョウショ</t>
    </rPh>
    <phoneticPr fontId="27"/>
  </si>
  <si>
    <t>所属</t>
    <rPh sb="0" eb="2">
      <t>ショゾク</t>
    </rPh>
    <phoneticPr fontId="27"/>
  </si>
  <si>
    <t>業種</t>
    <rPh sb="0" eb="2">
      <t>ギョウシュ</t>
    </rPh>
    <phoneticPr fontId="27"/>
  </si>
  <si>
    <t>実回収日</t>
    <rPh sb="0" eb="1">
      <t>ジツ</t>
    </rPh>
    <rPh sb="1" eb="4">
      <t>カイシュウビ</t>
    </rPh>
    <phoneticPr fontId="27"/>
  </si>
  <si>
    <t>実回収金額</t>
    <rPh sb="0" eb="5">
      <t>ジツカイシュウキンガク</t>
    </rPh>
    <phoneticPr fontId="27"/>
  </si>
  <si>
    <t>未収金残高</t>
  </si>
  <si>
    <t>勘定科目</t>
    <rPh sb="0" eb="2">
      <t>カンジョウ</t>
    </rPh>
    <rPh sb="2" eb="4">
      <t>カモク</t>
    </rPh>
    <phoneticPr fontId="27"/>
  </si>
  <si>
    <t>経理日</t>
    <rPh sb="0" eb="3">
      <t>ケイリビ</t>
    </rPh>
    <phoneticPr fontId="27"/>
  </si>
  <si>
    <t>出荷日付</t>
    <rPh sb="0" eb="2">
      <t>シュッカ</t>
    </rPh>
    <rPh sb="2" eb="4">
      <t>ヒヅケ</t>
    </rPh>
    <phoneticPr fontId="27"/>
  </si>
  <si>
    <t>請求書No</t>
    <rPh sb="0" eb="3">
      <t>セイキュウショ</t>
    </rPh>
    <phoneticPr fontId="27"/>
  </si>
  <si>
    <t>取扱品目</t>
    <rPh sb="0" eb="1">
      <t>ト</t>
    </rPh>
    <rPh sb="1" eb="2">
      <t>アツカ</t>
    </rPh>
    <rPh sb="2" eb="4">
      <t>ヒンモク</t>
    </rPh>
    <phoneticPr fontId="27"/>
  </si>
  <si>
    <t>仕訳摘要</t>
    <rPh sb="0" eb="4">
      <t>シワケテキヨウ</t>
    </rPh>
    <phoneticPr fontId="27"/>
  </si>
  <si>
    <t>数量</t>
    <rPh sb="0" eb="2">
      <t>スウリョウ</t>
    </rPh>
    <phoneticPr fontId="27"/>
  </si>
  <si>
    <t>単価</t>
    <rPh sb="0" eb="2">
      <t>タンカ</t>
    </rPh>
    <phoneticPr fontId="27"/>
  </si>
  <si>
    <t>品代</t>
    <rPh sb="0" eb="2">
      <t>シナダイ</t>
    </rPh>
    <phoneticPr fontId="27"/>
  </si>
  <si>
    <t>消費税</t>
    <rPh sb="0" eb="3">
      <t>ショウヒゼイ</t>
    </rPh>
    <phoneticPr fontId="27"/>
  </si>
  <si>
    <t>合計金額</t>
    <rPh sb="0" eb="2">
      <t>ゴウケイ</t>
    </rPh>
    <rPh sb="2" eb="4">
      <t>キンガク</t>
    </rPh>
    <phoneticPr fontId="27"/>
  </si>
  <si>
    <t>取扱区分</t>
    <rPh sb="0" eb="1">
      <t>ト</t>
    </rPh>
    <rPh sb="1" eb="2">
      <t>アツカ</t>
    </rPh>
    <rPh sb="2" eb="4">
      <t>クブン</t>
    </rPh>
    <phoneticPr fontId="27"/>
  </si>
  <si>
    <t>年産</t>
    <rPh sb="0" eb="2">
      <t>ネンサン</t>
    </rPh>
    <phoneticPr fontId="27"/>
  </si>
  <si>
    <t>共計次数</t>
    <rPh sb="0" eb="2">
      <t>キョウケイ</t>
    </rPh>
    <rPh sb="2" eb="4">
      <t>ジスウ</t>
    </rPh>
    <phoneticPr fontId="27"/>
  </si>
  <si>
    <t>消込ID</t>
    <rPh sb="0" eb="2">
      <t>ケシコミ</t>
    </rPh>
    <phoneticPr fontId="27"/>
  </si>
  <si>
    <t>本所</t>
    <rPh sb="0" eb="2">
      <t>ホンショ</t>
    </rPh>
    <phoneticPr fontId="27"/>
  </si>
  <si>
    <t>生活用品課</t>
    <rPh sb="0" eb="2">
      <t>セイカツ</t>
    </rPh>
    <rPh sb="2" eb="4">
      <t>ヨウヒン</t>
    </rPh>
    <rPh sb="4" eb="5">
      <t>カ</t>
    </rPh>
    <phoneticPr fontId="27"/>
  </si>
  <si>
    <t>生活</t>
    <rPh sb="0" eb="2">
      <t>セイカツ</t>
    </rPh>
    <phoneticPr fontId="27"/>
  </si>
  <si>
    <t>ホクレン商事</t>
    <rPh sb="4" eb="6">
      <t>ショウジ</t>
    </rPh>
    <phoneticPr fontId="27"/>
  </si>
  <si>
    <t>ﾎｸﾚﾝｼﾖｳｼﾞ</t>
    <phoneticPr fontId="27"/>
  </si>
  <si>
    <t>購買未収金</t>
    <rPh sb="0" eb="2">
      <t>コウバイ</t>
    </rPh>
    <rPh sb="2" eb="5">
      <t>ミシュウキン</t>
    </rPh>
    <phoneticPr fontId="27"/>
  </si>
  <si>
    <t>ＣＳＶ取込みチェック（単体 ）</t>
    <rPh sb="3" eb="5">
      <t>トリコ</t>
    </rPh>
    <rPh sb="11" eb="13">
      <t>タンタイ</t>
    </rPh>
    <phoneticPr fontId="8"/>
  </si>
  <si>
    <t>F4110-3</t>
    <phoneticPr fontId="8"/>
  </si>
  <si>
    <t>項目名</t>
    <phoneticPr fontId="8"/>
  </si>
  <si>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</si>
  <si>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</si>
  <si>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</si>
  <si>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</si>
  <si>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チェック補足説明／メッセージ文言</t>
    <phoneticPr fontId="8"/>
  </si>
  <si>
    <t>メッセージ
コード</t>
    <phoneticPr fontId="8"/>
  </si>
  <si>
    <t>チェックなし</t>
    <phoneticPr fontId="8"/>
  </si>
  <si>
    <t>ＣＳＶ取込みチェック（関連 ）</t>
    <rPh sb="3" eb="5">
      <t>トリコ</t>
    </rPh>
    <rPh sb="11" eb="13">
      <t>カンレン</t>
    </rPh>
    <phoneticPr fontId="8"/>
  </si>
  <si>
    <t>F4110-4</t>
    <phoneticPr fontId="8"/>
  </si>
  <si>
    <t>チェック詳細／メッセージ文言</t>
    <rPh sb="4" eb="6">
      <t>ショウサイ</t>
    </rPh>
    <rPh sb="12" eb="14">
      <t>モンゴン</t>
    </rPh>
    <phoneticPr fontId="8"/>
  </si>
  <si>
    <t>事業所</t>
    <phoneticPr fontId="8"/>
  </si>
  <si>
    <t>所属</t>
    <phoneticPr fontId="8"/>
  </si>
  <si>
    <t>業種</t>
    <phoneticPr fontId="8"/>
  </si>
  <si>
    <t>相手先</t>
    <phoneticPr fontId="27"/>
  </si>
  <si>
    <t>相手先</t>
    <rPh sb="0" eb="3">
      <t>アイテサキ</t>
    </rPh>
    <phoneticPr fontId="8"/>
  </si>
  <si>
    <t>相手先コードに対応する相手先の名称。</t>
    <rPh sb="0" eb="3">
      <t>アイテサキ</t>
    </rPh>
    <rPh sb="7" eb="9">
      <t>タイオウ</t>
    </rPh>
    <rPh sb="11" eb="14">
      <t>アイテサキ</t>
    </rPh>
    <rPh sb="15" eb="17">
      <t>メイショウ</t>
    </rPh>
    <phoneticPr fontId="8"/>
  </si>
  <si>
    <t>回収予定日</t>
    <rPh sb="2" eb="5">
      <t>ヨテイビ</t>
    </rPh>
    <phoneticPr fontId="27"/>
  </si>
  <si>
    <t>回収予定金額</t>
    <rPh sb="2" eb="4">
      <t>ヨテイ</t>
    </rPh>
    <rPh sb="4" eb="6">
      <t>キンガク</t>
    </rPh>
    <phoneticPr fontId="27"/>
  </si>
  <si>
    <t>勘定科目</t>
    <phoneticPr fontId="8"/>
  </si>
  <si>
    <t>取扱品目</t>
    <rPh sb="0" eb="4">
      <t>トリアツカイヒンモク</t>
    </rPh>
    <phoneticPr fontId="8"/>
  </si>
  <si>
    <t>本体金額</t>
    <rPh sb="0" eb="4">
      <t>ホンタイキンガク</t>
    </rPh>
    <phoneticPr fontId="8"/>
  </si>
  <si>
    <t>未収金の相手先を分類するコード。
相手先種別1桁、相手先コード5桁、相手先枝番コード3桁をそれぞれ結合した状態で設定する。</t>
    <rPh sb="0" eb="3">
      <t>ミシュウキン</t>
    </rPh>
    <rPh sb="4" eb="7">
      <t>アイテサキ</t>
    </rPh>
    <rPh sb="8" eb="10">
      <t>ブンルイ</t>
    </rPh>
    <rPh sb="17" eb="20">
      <t>アイテサキ</t>
    </rPh>
    <rPh sb="20" eb="22">
      <t>シュベツ</t>
    </rPh>
    <rPh sb="23" eb="24">
      <t>ケタ</t>
    </rPh>
    <rPh sb="25" eb="28">
      <t>アイテサキ</t>
    </rPh>
    <rPh sb="32" eb="33">
      <t>ケタ</t>
    </rPh>
    <rPh sb="34" eb="37">
      <t>アイテサキ</t>
    </rPh>
    <rPh sb="37" eb="39">
      <t>エダバン</t>
    </rPh>
    <rPh sb="43" eb="44">
      <t>ケタ</t>
    </rPh>
    <rPh sb="49" eb="51">
      <t>ケツゴウ</t>
    </rPh>
    <rPh sb="53" eb="55">
      <t>ジョウタイ</t>
    </rPh>
    <phoneticPr fontId="8"/>
  </si>
  <si>
    <t>相手先が諸口の場合のみ、相手先コードに対応する取引先のカナ名称を設定する。</t>
    <rPh sb="0" eb="3">
      <t>アイテサキ</t>
    </rPh>
    <rPh sb="12" eb="15">
      <t>アイテサキ</t>
    </rPh>
    <rPh sb="19" eb="21">
      <t>タイオウ</t>
    </rPh>
    <rPh sb="23" eb="26">
      <t>トリヒキサキ</t>
    </rPh>
    <rPh sb="29" eb="31">
      <t>メイショウ</t>
    </rPh>
    <rPh sb="32" eb="34">
      <t>セッテイ</t>
    </rPh>
    <phoneticPr fontId="8"/>
  </si>
  <si>
    <t>勘定科目を分類するコード。
勘定科目コード、目節科目コードをそれぞれ結合した状態で設定する。
未収計上しない科目を含める。内部振替の科目は除外する。</t>
    <rPh sb="5" eb="7">
      <t>ブンルイ</t>
    </rPh>
    <rPh sb="14" eb="18">
      <t>カンジョウカモク</t>
    </rPh>
    <rPh sb="24" eb="26">
      <t>カモク</t>
    </rPh>
    <rPh sb="34" eb="36">
      <t>ケツゴウ</t>
    </rPh>
    <rPh sb="38" eb="40">
      <t>ジョウタイ</t>
    </rPh>
    <rPh sb="47" eb="49">
      <t>ミシュウ</t>
    </rPh>
    <rPh sb="49" eb="51">
      <t>ケイジョウ</t>
    </rPh>
    <rPh sb="54" eb="56">
      <t>カモク</t>
    </rPh>
    <rPh sb="57" eb="58">
      <t>フク</t>
    </rPh>
    <rPh sb="61" eb="65">
      <t>ナイブフリカエ</t>
    </rPh>
    <rPh sb="66" eb="68">
      <t>カモク</t>
    </rPh>
    <rPh sb="69" eb="71">
      <t>ジョガイ</t>
    </rPh>
    <phoneticPr fontId="8"/>
  </si>
  <si>
    <t>取扱品目に対する出荷日付。
「yyyyMMdd」形式。</t>
    <rPh sb="0" eb="4">
      <t>トリアツカイヒンモク</t>
    </rPh>
    <rPh sb="5" eb="6">
      <t>タイ</t>
    </rPh>
    <rPh sb="8" eb="12">
      <t>シュッカヒヅケ</t>
    </rPh>
    <phoneticPr fontId="8"/>
  </si>
  <si>
    <t>100536001</t>
    <phoneticPr fontId="8"/>
  </si>
  <si>
    <t>受付No</t>
    <rPh sb="0" eb="2">
      <t>ウケツケ</t>
    </rPh>
    <phoneticPr fontId="27"/>
  </si>
  <si>
    <t>11050100</t>
    <phoneticPr fontId="8"/>
  </si>
  <si>
    <t>1234567890</t>
    <phoneticPr fontId="8"/>
  </si>
  <si>
    <t>資材</t>
    <rPh sb="0" eb="2">
      <t>シザイ</t>
    </rPh>
    <phoneticPr fontId="27"/>
  </si>
  <si>
    <t>事業支援に係わる仕訳</t>
  </si>
  <si>
    <t>事業支援に係わる仕訳</t>
    <rPh sb="0" eb="4">
      <t>ジギョウシエン</t>
    </rPh>
    <rPh sb="5" eb="6">
      <t>カカ</t>
    </rPh>
    <rPh sb="8" eb="10">
      <t>シワケ</t>
    </rPh>
    <phoneticPr fontId="27"/>
  </si>
  <si>
    <t>資材</t>
    <rPh sb="0" eb="2">
      <t>シザイ</t>
    </rPh>
    <phoneticPr fontId="8"/>
  </si>
  <si>
    <t>レタス段ボール</t>
    <rPh sb="3" eb="4">
      <t>ダン</t>
    </rPh>
    <phoneticPr fontId="27"/>
  </si>
  <si>
    <t>999999999.999</t>
    <phoneticPr fontId="8"/>
  </si>
  <si>
    <t>買取</t>
    <rPh sb="0" eb="1">
      <t>カイトリ</t>
    </rPh>
    <phoneticPr fontId="8"/>
  </si>
  <si>
    <t>本体金額と消費税の合計。</t>
    <rPh sb="0" eb="4">
      <t>ホンタイキンガク</t>
    </rPh>
    <rPh sb="5" eb="8">
      <t>ショウヒゼイ</t>
    </rPh>
    <rPh sb="9" eb="11">
      <t>ゴウケイ</t>
    </rPh>
    <phoneticPr fontId="8"/>
  </si>
  <si>
    <t>13,3</t>
    <phoneticPr fontId="8"/>
  </si>
  <si>
    <t>CSVファイルソート順</t>
    <rPh sb="10" eb="11">
      <t>ジュン</t>
    </rPh>
    <phoneticPr fontId="8"/>
  </si>
  <si>
    <t>項目名（ソート項目順に列挙）</t>
    <rPh sb="0" eb="3">
      <t>コウモクメイ</t>
    </rPh>
    <rPh sb="7" eb="10">
      <t>コウモクジュン</t>
    </rPh>
    <rPh sb="11" eb="13">
      <t>レッキョ</t>
    </rPh>
    <phoneticPr fontId="8"/>
  </si>
  <si>
    <t>表示順</t>
    <rPh sb="0" eb="2">
      <t>ヒョウジ</t>
    </rPh>
    <rPh sb="2" eb="3">
      <t>ジュン</t>
    </rPh>
    <phoneticPr fontId="8"/>
  </si>
  <si>
    <t>事業所コード</t>
    <rPh sb="0" eb="3">
      <t>ジギョウショ</t>
    </rPh>
    <phoneticPr fontId="8"/>
  </si>
  <si>
    <t>昇順</t>
  </si>
  <si>
    <t>業種コード</t>
    <rPh sb="0" eb="2">
      <t>ギョウシュ</t>
    </rPh>
    <phoneticPr fontId="8"/>
  </si>
  <si>
    <t>所属コード</t>
    <rPh sb="0" eb="2">
      <t>ショゾク</t>
    </rPh>
    <phoneticPr fontId="8"/>
  </si>
  <si>
    <t>回収予定日</t>
    <rPh sb="0" eb="5">
      <t>カイシュウヨテイビ</t>
    </rPh>
    <phoneticPr fontId="8"/>
  </si>
  <si>
    <t>相手先照合番号</t>
    <rPh sb="0" eb="3">
      <t>アイテサキ</t>
    </rPh>
    <rPh sb="3" eb="5">
      <t>ショウゴウ</t>
    </rPh>
    <rPh sb="5" eb="7">
      <t>バンゴウ</t>
    </rPh>
    <phoneticPr fontId="8"/>
  </si>
  <si>
    <t>取引契約を結んだ際の契約書の番号、もしくは園芸口座入金分に付与する番号。（園芸市場入金照合処理で、入金実績データの送り状Noと債権明細データの送り状Noをキーにして照合する）</t>
    <phoneticPr fontId="8"/>
  </si>
  <si>
    <t>相手先照合番号</t>
    <phoneticPr fontId="8"/>
  </si>
  <si>
    <t>D05030202</t>
    <phoneticPr fontId="8"/>
  </si>
  <si>
    <t>部門品目を規定単位で受払するときの単価を設定する。
整数部9桁、小数部3桁、小数点を含む合計13桁。</t>
    <rPh sb="0" eb="4">
      <t>ブモンヒンモク</t>
    </rPh>
    <rPh sb="5" eb="7">
      <t>キテイ</t>
    </rPh>
    <rPh sb="7" eb="9">
      <t>タンイ</t>
    </rPh>
    <rPh sb="10" eb="12">
      <t>ウケハライ</t>
    </rPh>
    <rPh sb="17" eb="19">
      <t>タンカ</t>
    </rPh>
    <rPh sb="20" eb="22">
      <t>セッテイ</t>
    </rPh>
    <rPh sb="26" eb="28">
      <t>セイスウ</t>
    </rPh>
    <rPh sb="28" eb="29">
      <t>ブ</t>
    </rPh>
    <rPh sb="30" eb="31">
      <t>ケタ</t>
    </rPh>
    <rPh sb="32" eb="35">
      <t>ショウスウブ</t>
    </rPh>
    <rPh sb="36" eb="37">
      <t>ケタ</t>
    </rPh>
    <rPh sb="38" eb="41">
      <t>ショウスウテン</t>
    </rPh>
    <rPh sb="42" eb="43">
      <t>フク</t>
    </rPh>
    <rPh sb="44" eb="46">
      <t>ゴウケイ</t>
    </rPh>
    <rPh sb="48" eb="49">
      <t>ケタ</t>
    </rPh>
    <phoneticPr fontId="8"/>
  </si>
  <si>
    <t>部門品目を規定単位で受払するときの数量を設定する。
整数部9桁、小数部3桁、小数点を含む合計13桁。</t>
    <rPh sb="0" eb="4">
      <t>ブモンヒンモク</t>
    </rPh>
    <rPh sb="5" eb="7">
      <t>キテイ</t>
    </rPh>
    <rPh sb="7" eb="9">
      <t>タンイ</t>
    </rPh>
    <rPh sb="10" eb="12">
      <t>ウケハライ</t>
    </rPh>
    <rPh sb="17" eb="19">
      <t>スウリョウ</t>
    </rPh>
    <rPh sb="20" eb="22">
      <t>セッテイ</t>
    </rPh>
    <rPh sb="26" eb="28">
      <t>セイスウ</t>
    </rPh>
    <rPh sb="28" eb="29">
      <t>ブ</t>
    </rPh>
    <rPh sb="30" eb="31">
      <t>ケタ</t>
    </rPh>
    <rPh sb="32" eb="35">
      <t>ショウスウブ</t>
    </rPh>
    <rPh sb="36" eb="37">
      <t>ケタ</t>
    </rPh>
    <rPh sb="38" eb="41">
      <t>ショウスウテン</t>
    </rPh>
    <rPh sb="42" eb="43">
      <t>フク</t>
    </rPh>
    <rPh sb="44" eb="46">
      <t>ゴウケイ</t>
    </rPh>
    <rPh sb="48" eb="49">
      <t>ケタ</t>
    </rPh>
    <phoneticPr fontId="8"/>
  </si>
  <si>
    <t>回収予定金額－実回収金額の結果を設定する。</t>
    <rPh sb="0" eb="2">
      <t>カイシュウ</t>
    </rPh>
    <rPh sb="2" eb="4">
      <t>ヨテイ</t>
    </rPh>
    <rPh sb="4" eb="6">
      <t>キンガク</t>
    </rPh>
    <rPh sb="7" eb="8">
      <t>ジツ</t>
    </rPh>
    <rPh sb="8" eb="10">
      <t>カイシュウ</t>
    </rPh>
    <rPh sb="10" eb="12">
      <t>キンガク</t>
    </rPh>
    <rPh sb="13" eb="15">
      <t>ケッカ</t>
    </rPh>
    <rPh sb="16" eb="18">
      <t>セッテイ</t>
    </rPh>
    <phoneticPr fontId="8"/>
  </si>
  <si>
    <t>回収予定日で集計した未収金の回収予定金額を設定する。</t>
    <rPh sb="0" eb="2">
      <t>カイシュウ</t>
    </rPh>
    <rPh sb="2" eb="4">
      <t>ヨテイ</t>
    </rPh>
    <rPh sb="4" eb="5">
      <t>ビ</t>
    </rPh>
    <rPh sb="6" eb="8">
      <t>シュウケイ</t>
    </rPh>
    <rPh sb="10" eb="13">
      <t>ミシュウキン</t>
    </rPh>
    <rPh sb="14" eb="18">
      <t>カイシュウヨテイ</t>
    </rPh>
    <rPh sb="18" eb="20">
      <t>キンガク</t>
    </rPh>
    <rPh sb="21" eb="23">
      <t>セッテイ</t>
    </rPh>
    <phoneticPr fontId="8"/>
  </si>
  <si>
    <t>20250401</t>
    <phoneticPr fontId="8"/>
  </si>
  <si>
    <t>全角</t>
    <rPh sb="0" eb="2">
      <t>ゼンカク</t>
    </rPh>
    <phoneticPr fontId="8"/>
  </si>
  <si>
    <t>勘定科目コード（項目節）</t>
    <rPh sb="0" eb="4">
      <t>カンジョウカモク</t>
    </rPh>
    <phoneticPr fontId="8"/>
  </si>
  <si>
    <t>勘定科目コード（項目節）</t>
    <phoneticPr fontId="8"/>
  </si>
  <si>
    <t>関連チェック概要</t>
    <phoneticPr fontId="8"/>
  </si>
  <si>
    <t>なし</t>
  </si>
  <si>
    <t>発行した請求書の番号。</t>
    <phoneticPr fontId="8"/>
  </si>
  <si>
    <t>品名（科目摘要）</t>
    <rPh sb="0" eb="2">
      <t>ヒンメイ</t>
    </rPh>
    <phoneticPr fontId="8"/>
  </si>
  <si>
    <t>部門品目を設定している場合は、品目に紐づく名称を設定する。部門品目を設定していない場合は科目摘要名を設定する。</t>
    <rPh sb="0" eb="2">
      <t>ブモン</t>
    </rPh>
    <rPh sb="2" eb="4">
      <t>ヒンモク</t>
    </rPh>
    <rPh sb="5" eb="7">
      <t>セッテイ</t>
    </rPh>
    <rPh sb="11" eb="13">
      <t>バアイ</t>
    </rPh>
    <rPh sb="15" eb="17">
      <t>ヒンモク</t>
    </rPh>
    <rPh sb="18" eb="19">
      <t>ヒモ</t>
    </rPh>
    <rPh sb="21" eb="23">
      <t>メイショウ</t>
    </rPh>
    <rPh sb="24" eb="26">
      <t>セッテイ</t>
    </rPh>
    <rPh sb="29" eb="33">
      <t>ブモンヒンモク</t>
    </rPh>
    <rPh sb="34" eb="36">
      <t>セッテイ</t>
    </rPh>
    <rPh sb="41" eb="43">
      <t>バアイ</t>
    </rPh>
    <rPh sb="48" eb="49">
      <t>メイ</t>
    </rPh>
    <rPh sb="50" eb="52">
      <t>セッテイ</t>
    </rPh>
    <phoneticPr fontId="8"/>
  </si>
  <si>
    <t>2025/08/29</t>
    <phoneticPr fontId="8"/>
  </si>
  <si>
    <t>統合会計システム</t>
    <phoneticPr fontId="8"/>
  </si>
  <si>
    <t>未収金残高管理表内訳_yyyyMMdd_HHmmss</t>
    <rPh sb="0" eb="3">
      <t>ミシュウキン</t>
    </rPh>
    <rPh sb="3" eb="5">
      <t>ザンダカ</t>
    </rPh>
    <rPh sb="5" eb="7">
      <t>カンリ</t>
    </rPh>
    <rPh sb="7" eb="8">
      <t>ヒョウ</t>
    </rPh>
    <rPh sb="8" eb="10">
      <t>ウチワケ</t>
    </rPh>
    <phoneticPr fontId="8"/>
  </si>
  <si>
    <t>残高条件</t>
    <rPh sb="0" eb="2">
      <t>ザンダカ</t>
    </rPh>
    <rPh sb="2" eb="4">
      <t>ジョウケン</t>
    </rPh>
    <phoneticPr fontId="8"/>
  </si>
  <si>
    <t>未収金残高管理表照会画面で指定した残高の条件。
残高有のみ／赤残のみ／指定なし</t>
    <rPh sb="0" eb="8">
      <t>ミシュウキンザンダカカンリヒョウ</t>
    </rPh>
    <rPh sb="8" eb="10">
      <t>ショウカイ</t>
    </rPh>
    <rPh sb="10" eb="12">
      <t>ガメン</t>
    </rPh>
    <rPh sb="13" eb="15">
      <t>シテイ</t>
    </rPh>
    <rPh sb="17" eb="19">
      <t>ザンダカ</t>
    </rPh>
    <rPh sb="20" eb="22">
      <t>ジョウケン</t>
    </rPh>
    <rPh sb="24" eb="26">
      <t>ザンダカ</t>
    </rPh>
    <rPh sb="26" eb="27">
      <t>アリ</t>
    </rPh>
    <rPh sb="30" eb="32">
      <t>アカザン</t>
    </rPh>
    <rPh sb="35" eb="37">
      <t>シテイ</t>
    </rPh>
    <phoneticPr fontId="8"/>
  </si>
  <si>
    <t>残高条件</t>
    <rPh sb="0" eb="4">
      <t>ザンダカジョウケン</t>
    </rPh>
    <phoneticPr fontId="8"/>
  </si>
  <si>
    <t>残高有のみ</t>
    <rPh sb="0" eb="1">
      <t>ザンダカ</t>
    </rPh>
    <rPh sb="1" eb="2">
      <t>アリ</t>
    </rPh>
    <phoneticPr fontId="8"/>
  </si>
  <si>
    <t>指定なし</t>
    <rPh sb="0" eb="2">
      <t>シテイ</t>
    </rPh>
    <phoneticPr fontId="8"/>
  </si>
  <si>
    <t>Shift jis</t>
  </si>
  <si>
    <t>債権受付番号</t>
    <rPh sb="0" eb="6">
      <t>サイケンウケツケバンゴウ</t>
    </rPh>
    <phoneticPr fontId="8"/>
  </si>
  <si>
    <t>債権明細連番</t>
    <rPh sb="0" eb="4">
      <t>サイケンメイサイ</t>
    </rPh>
    <rPh sb="4" eb="6">
      <t>レンバン</t>
    </rPh>
    <phoneticPr fontId="8"/>
  </si>
  <si>
    <t>債権明細データのキー項目（債権受付番号）を設定する。</t>
    <rPh sb="0" eb="4">
      <t>サイケンメイサイ</t>
    </rPh>
    <rPh sb="10" eb="12">
      <t>コウモク</t>
    </rPh>
    <rPh sb="13" eb="19">
      <t>サイケンウケツケバンゴウ</t>
    </rPh>
    <rPh sb="21" eb="23">
      <t>セッテイ</t>
    </rPh>
    <phoneticPr fontId="8"/>
  </si>
  <si>
    <t>債権明細データのキー項目（債権明細連番）を設定する。</t>
    <rPh sb="0" eb="4">
      <t>サイケンメイサイ</t>
    </rPh>
    <rPh sb="10" eb="12">
      <t>コウモク</t>
    </rPh>
    <rPh sb="13" eb="15">
      <t>サイケン</t>
    </rPh>
    <rPh sb="15" eb="17">
      <t>メイサイ</t>
    </rPh>
    <rPh sb="17" eb="19">
      <t>レンバン</t>
    </rPh>
    <rPh sb="21" eb="23">
      <t>セッテイ</t>
    </rPh>
    <phoneticPr fontId="8"/>
  </si>
  <si>
    <t>202506300000001</t>
    <phoneticPr fontId="8"/>
  </si>
  <si>
    <t>債権受付番号</t>
    <rPh sb="0" eb="2">
      <t>サイケン</t>
    </rPh>
    <rPh sb="2" eb="4">
      <t>ウケツケ</t>
    </rPh>
    <rPh sb="4" eb="6">
      <t>バンゴウ</t>
    </rPh>
    <phoneticPr fontId="27"/>
  </si>
  <si>
    <t>債権明細連番</t>
    <rPh sb="0" eb="2">
      <t>サイケン</t>
    </rPh>
    <rPh sb="2" eb="4">
      <t>メイサイ</t>
    </rPh>
    <rPh sb="4" eb="6">
      <t>レンバン</t>
    </rPh>
    <phoneticPr fontId="27"/>
  </si>
  <si>
    <t>202412010000001</t>
    <phoneticPr fontId="8"/>
  </si>
  <si>
    <t>202412010000002</t>
    <phoneticPr fontId="8"/>
  </si>
  <si>
    <t>202412010000003</t>
    <phoneticPr fontId="8"/>
  </si>
  <si>
    <t>202412010000004</t>
    <phoneticPr fontId="8"/>
  </si>
  <si>
    <t>202412010000005</t>
    <phoneticPr fontId="8"/>
  </si>
  <si>
    <t>202412300000001</t>
  </si>
  <si>
    <t>202412300000002</t>
  </si>
  <si>
    <t>202412300000003</t>
  </si>
  <si>
    <t>202412300000004</t>
  </si>
  <si>
    <t>202412300000005</t>
  </si>
  <si>
    <t>＜出力パターン整理＞</t>
    <rPh sb="1" eb="3">
      <t>シュツリョク</t>
    </rPh>
    <rPh sb="7" eb="9">
      <t>セイリ</t>
    </rPh>
    <phoneticPr fontId="8"/>
  </si>
  <si>
    <t>１．一度も残高を回収していない場合</t>
    <rPh sb="2" eb="4">
      <t>イチド</t>
    </rPh>
    <rPh sb="5" eb="7">
      <t>ザンダカ</t>
    </rPh>
    <rPh sb="8" eb="10">
      <t>カイシュウ</t>
    </rPh>
    <rPh sb="15" eb="17">
      <t>バアイ</t>
    </rPh>
    <phoneticPr fontId="8"/>
  </si>
  <si>
    <t>対象期間_
経理日From</t>
    <rPh sb="0" eb="4">
      <t>タイショウキカン</t>
    </rPh>
    <rPh sb="6" eb="9">
      <t>ケイリビ</t>
    </rPh>
    <phoneticPr fontId="27"/>
  </si>
  <si>
    <t>対象期間_
経理日to</t>
    <rPh sb="0" eb="4">
      <t>タイショウキカン</t>
    </rPh>
    <rPh sb="6" eb="9">
      <t>ケイリビ</t>
    </rPh>
    <phoneticPr fontId="27"/>
  </si>
  <si>
    <t>対象期間_
実回収日From</t>
    <rPh sb="0" eb="4">
      <t>タイショウキカン</t>
    </rPh>
    <rPh sb="6" eb="10">
      <t>ジツカイシュウビ</t>
    </rPh>
    <phoneticPr fontId="27"/>
  </si>
  <si>
    <t>対象期間_
実回収日To</t>
    <rPh sb="0" eb="4">
      <t>タイショウキカン</t>
    </rPh>
    <rPh sb="6" eb="10">
      <t>ジツカイシュウビ</t>
    </rPh>
    <phoneticPr fontId="27"/>
  </si>
  <si>
    <t>事業所
コード</t>
    <rPh sb="0" eb="3">
      <t>ジギョウショ</t>
    </rPh>
    <phoneticPr fontId="27"/>
  </si>
  <si>
    <t>業種
コード</t>
    <rPh sb="0" eb="2">
      <t>ギョウシュ</t>
    </rPh>
    <phoneticPr fontId="27"/>
  </si>
  <si>
    <t>所属
コード</t>
    <rPh sb="0" eb="2">
      <t>ショゾク</t>
    </rPh>
    <phoneticPr fontId="27"/>
  </si>
  <si>
    <t>相手先
コード</t>
    <phoneticPr fontId="27"/>
  </si>
  <si>
    <t>相手先
（諸口カナ）</t>
    <rPh sb="5" eb="7">
      <t>ショグチ</t>
    </rPh>
    <phoneticPr fontId="27"/>
  </si>
  <si>
    <t>勘定科目コード
（項目節）</t>
    <rPh sb="0" eb="4">
      <t>カンジョウカモク</t>
    </rPh>
    <phoneticPr fontId="8"/>
  </si>
  <si>
    <t>取扱品目
コード</t>
    <rPh sb="0" eb="1">
      <t>ト</t>
    </rPh>
    <rPh sb="1" eb="2">
      <t>アツカ</t>
    </rPh>
    <rPh sb="2" eb="4">
      <t>ヒンモク</t>
    </rPh>
    <phoneticPr fontId="27"/>
  </si>
  <si>
    <t>相手先
照合番号</t>
    <phoneticPr fontId="8"/>
  </si>
  <si>
    <t>品名
（科目摘要）</t>
    <rPh sb="0" eb="2">
      <t>ヒンメイ</t>
    </rPh>
    <phoneticPr fontId="27"/>
  </si>
  <si>
    <t>２．全て残高を回収している場合</t>
    <rPh sb="2" eb="3">
      <t>スベ</t>
    </rPh>
    <rPh sb="4" eb="6">
      <t>ザンダカ</t>
    </rPh>
    <rPh sb="7" eb="9">
      <t>カイシュウ</t>
    </rPh>
    <rPh sb="13" eb="15">
      <t>バアイ</t>
    </rPh>
    <phoneticPr fontId="8"/>
  </si>
  <si>
    <t>・未収金残高は０となる</t>
    <rPh sb="1" eb="6">
      <t>ミシュウキンザンダカ</t>
    </rPh>
    <phoneticPr fontId="8"/>
  </si>
  <si>
    <t>３．回収予定金額より多く金額を貰っているような場合</t>
    <rPh sb="2" eb="4">
      <t>カイシュウ</t>
    </rPh>
    <rPh sb="4" eb="6">
      <t>ヨテイ</t>
    </rPh>
    <rPh sb="6" eb="8">
      <t>キンガク</t>
    </rPh>
    <rPh sb="10" eb="11">
      <t>オオ</t>
    </rPh>
    <rPh sb="12" eb="14">
      <t>キンガク</t>
    </rPh>
    <rPh sb="15" eb="16">
      <t>モラ</t>
    </rPh>
    <rPh sb="23" eb="25">
      <t>バアイ</t>
    </rPh>
    <phoneticPr fontId="8"/>
  </si>
  <si>
    <t>赤残のみ</t>
    <rPh sb="0" eb="2">
      <t>アカザン</t>
    </rPh>
    <phoneticPr fontId="8"/>
  </si>
  <si>
    <t>・「未収金残高」は回収予定金額－実回収金額で表示</t>
    <rPh sb="2" eb="7">
      <t>ミシュウキンザンダカ</t>
    </rPh>
    <rPh sb="9" eb="15">
      <t>カイシュウヨテイキンガク</t>
    </rPh>
    <rPh sb="16" eb="21">
      <t>ジツカイシュウキンガク</t>
    </rPh>
    <rPh sb="22" eb="24">
      <t>ヒョウジ</t>
    </rPh>
    <phoneticPr fontId="8"/>
  </si>
  <si>
    <t>13-1</t>
    <phoneticPr fontId="8"/>
  </si>
  <si>
    <t>13-2</t>
    <phoneticPr fontId="8"/>
  </si>
  <si>
    <t>・上記５．の状態から、相殺処理にて消し込まれた情報を基に、実回収日／実回収金額を更新</t>
    <rPh sb="1" eb="3">
      <t>ジョウキ</t>
    </rPh>
    <rPh sb="6" eb="8">
      <t>ジョウタイ</t>
    </rPh>
    <rPh sb="11" eb="13">
      <t>ソウサイ</t>
    </rPh>
    <rPh sb="13" eb="15">
      <t>ショリ</t>
    </rPh>
    <rPh sb="17" eb="18">
      <t>ケ</t>
    </rPh>
    <rPh sb="19" eb="20">
      <t>コ</t>
    </rPh>
    <rPh sb="23" eb="25">
      <t>ジョウホウ</t>
    </rPh>
    <rPh sb="26" eb="27">
      <t>モト</t>
    </rPh>
    <rPh sb="29" eb="30">
      <t>ジツ</t>
    </rPh>
    <rPh sb="30" eb="33">
      <t>カイシュウビ</t>
    </rPh>
    <rPh sb="34" eb="35">
      <t>ジツ</t>
    </rPh>
    <rPh sb="35" eb="37">
      <t>カイシュウ</t>
    </rPh>
    <rPh sb="37" eb="39">
      <t>キンガク</t>
    </rPh>
    <rPh sb="40" eb="42">
      <t>コウシン</t>
    </rPh>
    <phoneticPr fontId="8"/>
  </si>
  <si>
    <t>・実回収日／消込ID／実回収金額はブランクで表記する</t>
    <rPh sb="1" eb="5">
      <t>ジツカイシュウビ</t>
    </rPh>
    <rPh sb="6" eb="8">
      <t>ケシコミ</t>
    </rPh>
    <rPh sb="11" eb="16">
      <t>ジツカイシュウキンガク</t>
    </rPh>
    <rPh sb="22" eb="24">
      <t>ヒョウキ</t>
    </rPh>
    <phoneticPr fontId="8"/>
  </si>
  <si>
    <t>発生元システム取引ＮＯ</t>
    <rPh sb="0" eb="3">
      <t>ハッセイモト</t>
    </rPh>
    <rPh sb="7" eb="9">
      <t>トリヒキ</t>
    </rPh>
    <phoneticPr fontId="8"/>
  </si>
  <si>
    <t>発生元のシステムが現取引に採番した番号と紐づけるため、発生元システム取引ＮＯ、発生元システム取引ＮＯ枝番を結合した状態で設定する。</t>
    <rPh sb="0" eb="3">
      <t>ハッセイモト</t>
    </rPh>
    <rPh sb="9" eb="12">
      <t>ゲントリヒキ</t>
    </rPh>
    <rPh sb="13" eb="15">
      <t>サイバン</t>
    </rPh>
    <rPh sb="17" eb="19">
      <t>バンゴウ</t>
    </rPh>
    <rPh sb="27" eb="30">
      <t>ハッセイモト</t>
    </rPh>
    <rPh sb="34" eb="36">
      <t>トリヒキ</t>
    </rPh>
    <rPh sb="50" eb="52">
      <t>エダバン</t>
    </rPh>
    <rPh sb="53" eb="55">
      <t>ケツゴウ</t>
    </rPh>
    <rPh sb="57" eb="59">
      <t>ジョウタイ</t>
    </rPh>
    <phoneticPr fontId="8"/>
  </si>
  <si>
    <t>発生元システム取引ＮＯ</t>
    <phoneticPr fontId="8"/>
  </si>
  <si>
    <t>発生元システム取引ＮＯ</t>
    <rPh sb="0" eb="2">
      <t>ハッセイ</t>
    </rPh>
    <rPh sb="2" eb="3">
      <t>モト</t>
    </rPh>
    <rPh sb="7" eb="9">
      <t>トリヒキ</t>
    </rPh>
    <phoneticPr fontId="27"/>
  </si>
  <si>
    <t>入金ID</t>
  </si>
  <si>
    <t>入金ID</t>
    <rPh sb="0" eb="2">
      <t>ニュウキン</t>
    </rPh>
    <phoneticPr fontId="8"/>
  </si>
  <si>
    <t>V-ONEで発番した入金情報の管理番号を設定する。</t>
    <rPh sb="6" eb="8">
      <t>ハツバン</t>
    </rPh>
    <rPh sb="10" eb="14">
      <t>ニュウキンジョウホウ</t>
    </rPh>
    <rPh sb="15" eb="19">
      <t>カンリバンゴウ</t>
    </rPh>
    <rPh sb="20" eb="22">
      <t>セッテイ</t>
    </rPh>
    <phoneticPr fontId="8"/>
  </si>
  <si>
    <t>入金</t>
    <rPh sb="0" eb="2">
      <t>ニュウキン</t>
    </rPh>
    <phoneticPr fontId="8"/>
  </si>
  <si>
    <t>相殺</t>
    <rPh sb="0" eb="1">
      <t>ソウサイ</t>
    </rPh>
    <phoneticPr fontId="8"/>
  </si>
  <si>
    <t>振替</t>
    <rPh sb="0" eb="1">
      <t>フリカエ</t>
    </rPh>
    <phoneticPr fontId="8"/>
  </si>
  <si>
    <r>
      <t>・12/4の消込を</t>
    </r>
    <r>
      <rPr>
        <b/>
        <u/>
        <sz val="11"/>
        <rFont val="ＭＳ Ｐゴシック"/>
        <family val="3"/>
        <charset val="128"/>
      </rPr>
      <t>取消</t>
    </r>
    <r>
      <rPr>
        <b/>
        <sz val="11"/>
        <rFont val="ＭＳ Ｐゴシック"/>
        <family val="3"/>
        <charset val="128"/>
      </rPr>
      <t>した場合は、以下の様になる想定。</t>
    </r>
    <rPh sb="6" eb="8">
      <t>ケシコミ</t>
    </rPh>
    <rPh sb="9" eb="11">
      <t>トリケシ</t>
    </rPh>
    <rPh sb="13" eb="15">
      <t>バアイ</t>
    </rPh>
    <rPh sb="17" eb="19">
      <t>イカ</t>
    </rPh>
    <rPh sb="20" eb="21">
      <t>ヨウ</t>
    </rPh>
    <rPh sb="24" eb="26">
      <t>ソウテイ</t>
    </rPh>
    <phoneticPr fontId="8"/>
  </si>
  <si>
    <t>実回収日で集計した未収金の回収金額（消込金額）を設定する。相殺処理や振替処理を行った金額も本項目に設定する。
回収が発生していない場合はブランクを設定する。</t>
    <rPh sb="0" eb="1">
      <t>ジツ</t>
    </rPh>
    <rPh sb="1" eb="3">
      <t>カイシュウ</t>
    </rPh>
    <rPh sb="3" eb="4">
      <t>ビ</t>
    </rPh>
    <rPh sb="5" eb="7">
      <t>シュウケイ</t>
    </rPh>
    <rPh sb="9" eb="12">
      <t>ミシュウキン</t>
    </rPh>
    <rPh sb="13" eb="15">
      <t>カイシュウ</t>
    </rPh>
    <rPh sb="15" eb="17">
      <t>キンガク</t>
    </rPh>
    <rPh sb="18" eb="20">
      <t>ケシコミ</t>
    </rPh>
    <rPh sb="20" eb="22">
      <t>キンガク</t>
    </rPh>
    <rPh sb="24" eb="26">
      <t>セッテイ</t>
    </rPh>
    <rPh sb="29" eb="33">
      <t>ソウサイショリ</t>
    </rPh>
    <rPh sb="34" eb="38">
      <t>フリカエショリ</t>
    </rPh>
    <rPh sb="39" eb="40">
      <t>オコナ</t>
    </rPh>
    <rPh sb="42" eb="44">
      <t>キンガク</t>
    </rPh>
    <rPh sb="45" eb="46">
      <t>ホン</t>
    </rPh>
    <rPh sb="46" eb="48">
      <t>コウモク</t>
    </rPh>
    <rPh sb="49" eb="51">
      <t>セッテイ</t>
    </rPh>
    <rPh sb="55" eb="57">
      <t>カイシュウ</t>
    </rPh>
    <rPh sb="58" eb="60">
      <t>ハッセイ</t>
    </rPh>
    <rPh sb="65" eb="67">
      <t>バアイ</t>
    </rPh>
    <rPh sb="73" eb="75">
      <t>セッテイ</t>
    </rPh>
    <phoneticPr fontId="8"/>
  </si>
  <si>
    <t>未収金の実回収日。相殺処理を行った日や振替処理を行った経理日も本項目に設定する。
回収が発生していない場合はブランクを設定する。
「yyyyMMdd」形式。</t>
    <rPh sb="4" eb="5">
      <t>ジツ</t>
    </rPh>
    <rPh sb="14" eb="15">
      <t>オコナ</t>
    </rPh>
    <rPh sb="17" eb="18">
      <t>ヒ</t>
    </rPh>
    <rPh sb="27" eb="30">
      <t>ケイリビ</t>
    </rPh>
    <rPh sb="41" eb="43">
      <t>カイシュウ</t>
    </rPh>
    <rPh sb="44" eb="46">
      <t>ハッセイ</t>
    </rPh>
    <rPh sb="51" eb="53">
      <t>バアイ</t>
    </rPh>
    <rPh sb="59" eb="61">
      <t>セッテイ</t>
    </rPh>
    <phoneticPr fontId="8"/>
  </si>
  <si>
    <t>４．残高を途中まで回収している場合（例として上記１．の状態から、12/3に300入金が発生し消し込まれたとする）</t>
    <rPh sb="2" eb="4">
      <t>ザンダカ</t>
    </rPh>
    <rPh sb="5" eb="7">
      <t>トチュウ</t>
    </rPh>
    <rPh sb="9" eb="11">
      <t>カイシュウ</t>
    </rPh>
    <rPh sb="15" eb="17">
      <t>バアイ</t>
    </rPh>
    <rPh sb="18" eb="19">
      <t>レイ</t>
    </rPh>
    <rPh sb="22" eb="24">
      <t>ジョウキ</t>
    </rPh>
    <rPh sb="27" eb="29">
      <t>ジョウタイ</t>
    </rPh>
    <rPh sb="40" eb="42">
      <t>ニュウキン</t>
    </rPh>
    <rPh sb="43" eb="45">
      <t>ハッセイ</t>
    </rPh>
    <rPh sb="46" eb="47">
      <t>ケ</t>
    </rPh>
    <rPh sb="48" eb="49">
      <t>コ</t>
    </rPh>
    <phoneticPr fontId="8"/>
  </si>
  <si>
    <t>５．残高を途中まで回収している場合（例として上記４．の状態から、さらに12/4に300入金が発生し消し込まれたとする）</t>
    <rPh sb="2" eb="4">
      <t>ザンダカ</t>
    </rPh>
    <rPh sb="5" eb="7">
      <t>トチュウ</t>
    </rPh>
    <rPh sb="9" eb="11">
      <t>カイシュウ</t>
    </rPh>
    <rPh sb="15" eb="17">
      <t>バアイ</t>
    </rPh>
    <rPh sb="18" eb="19">
      <t>レイ</t>
    </rPh>
    <rPh sb="22" eb="24">
      <t>ジョウキ</t>
    </rPh>
    <rPh sb="27" eb="29">
      <t>ジョウタイ</t>
    </rPh>
    <rPh sb="43" eb="45">
      <t>ニュウキン</t>
    </rPh>
    <rPh sb="49" eb="50">
      <t>ケ</t>
    </rPh>
    <rPh sb="51" eb="52">
      <t>コ</t>
    </rPh>
    <phoneticPr fontId="8"/>
  </si>
  <si>
    <t>６．残高を一部相殺処理した場合（例として上記５．の状態から、さらに12/5に150相殺処理したとする）</t>
    <rPh sb="2" eb="4">
      <t>ザンダカ</t>
    </rPh>
    <rPh sb="5" eb="7">
      <t>イチブ</t>
    </rPh>
    <rPh sb="7" eb="9">
      <t>ソウサイ</t>
    </rPh>
    <rPh sb="9" eb="11">
      <t>ショリ</t>
    </rPh>
    <rPh sb="13" eb="15">
      <t>バアイ</t>
    </rPh>
    <rPh sb="16" eb="17">
      <t>レイ</t>
    </rPh>
    <rPh sb="20" eb="22">
      <t>ジョウキ</t>
    </rPh>
    <rPh sb="25" eb="27">
      <t>ジョウタイ</t>
    </rPh>
    <rPh sb="41" eb="45">
      <t>ソウサイショリ</t>
    </rPh>
    <phoneticPr fontId="8"/>
  </si>
  <si>
    <t>・消込情報を基に、実回収日／実回収金額を表示する</t>
    <rPh sb="1" eb="5">
      <t>ケシコミジョウホウ</t>
    </rPh>
    <rPh sb="6" eb="7">
      <t>モト</t>
    </rPh>
    <rPh sb="9" eb="13">
      <t>ジツカイシュウビ</t>
    </rPh>
    <rPh sb="14" eb="19">
      <t>ジツカイシュウキンガク</t>
    </rPh>
    <rPh sb="20" eb="22">
      <t>ヒョウジ</t>
    </rPh>
    <phoneticPr fontId="8"/>
  </si>
  <si>
    <t>・未収金残高はマイナス金額となる。画面条件で赤残を指定した場合、もしくは「指定なし」を選択していた場合、検索対象となる。</t>
    <rPh sb="1" eb="6">
      <t>ミシュウキンザンダカ</t>
    </rPh>
    <rPh sb="11" eb="13">
      <t>キンガク</t>
    </rPh>
    <rPh sb="17" eb="21">
      <t>ガメンジョウケン</t>
    </rPh>
    <rPh sb="22" eb="24">
      <t>アカザン</t>
    </rPh>
    <rPh sb="25" eb="27">
      <t>シテイ</t>
    </rPh>
    <rPh sb="29" eb="31">
      <t>バアイ</t>
    </rPh>
    <rPh sb="37" eb="39">
      <t>シテイ</t>
    </rPh>
    <rPh sb="43" eb="45">
      <t>センタク</t>
    </rPh>
    <rPh sb="49" eb="51">
      <t>バアイ</t>
    </rPh>
    <rPh sb="52" eb="54">
      <t>ケンサク</t>
    </rPh>
    <rPh sb="54" eb="56">
      <t>タイショウ</t>
    </rPh>
    <phoneticPr fontId="8"/>
  </si>
  <si>
    <t>・上記２．同様、消込情報を基に、実回収日／実回収金額を表示する</t>
    <rPh sb="1" eb="3">
      <t>ジョウキ</t>
    </rPh>
    <rPh sb="5" eb="7">
      <t>ドウヨウ</t>
    </rPh>
    <rPh sb="8" eb="12">
      <t>ケシコミジョウホウ</t>
    </rPh>
    <rPh sb="13" eb="14">
      <t>モト</t>
    </rPh>
    <rPh sb="16" eb="20">
      <t>ジツカイシュウビ</t>
    </rPh>
    <rPh sb="21" eb="26">
      <t>ジツカイシュウキンガク</t>
    </rPh>
    <rPh sb="27" eb="29">
      <t>ヒョウジ</t>
    </rPh>
    <phoneticPr fontId="8"/>
  </si>
  <si>
    <t>・振替処理にて消し込まれた情報を基に、実回収日／実回収金額を更新</t>
    <rPh sb="1" eb="3">
      <t>フリカエ</t>
    </rPh>
    <rPh sb="3" eb="5">
      <t>ショリ</t>
    </rPh>
    <rPh sb="7" eb="8">
      <t>ケ</t>
    </rPh>
    <rPh sb="9" eb="10">
      <t>コ</t>
    </rPh>
    <rPh sb="13" eb="15">
      <t>ジョウホウ</t>
    </rPh>
    <rPh sb="16" eb="17">
      <t>モト</t>
    </rPh>
    <rPh sb="19" eb="20">
      <t>ジツ</t>
    </rPh>
    <rPh sb="20" eb="23">
      <t>カイシュウビ</t>
    </rPh>
    <rPh sb="24" eb="25">
      <t>ジツ</t>
    </rPh>
    <rPh sb="25" eb="27">
      <t>カイシュウ</t>
    </rPh>
    <rPh sb="27" eb="29">
      <t>キンガク</t>
    </rPh>
    <rPh sb="30" eb="32">
      <t>コウシン</t>
    </rPh>
    <phoneticPr fontId="8"/>
  </si>
  <si>
    <t>消込区分</t>
    <rPh sb="0" eb="2">
      <t>ケシコミ</t>
    </rPh>
    <rPh sb="2" eb="4">
      <t>クブン</t>
    </rPh>
    <phoneticPr fontId="8"/>
  </si>
  <si>
    <t>未収金に対する消込方法を区別する。表示する種類は以下。
入金／相殺／振替</t>
    <rPh sb="4" eb="5">
      <t>タイ</t>
    </rPh>
    <rPh sb="7" eb="9">
      <t>ケシコミ</t>
    </rPh>
    <rPh sb="9" eb="11">
      <t>ホウホウ</t>
    </rPh>
    <rPh sb="12" eb="14">
      <t>クベツ</t>
    </rPh>
    <rPh sb="17" eb="19">
      <t>ヒョウジ</t>
    </rPh>
    <rPh sb="21" eb="23">
      <t>シュルイ</t>
    </rPh>
    <rPh sb="24" eb="26">
      <t>イカ</t>
    </rPh>
    <rPh sb="28" eb="30">
      <t>ニュウキン</t>
    </rPh>
    <rPh sb="31" eb="33">
      <t>ソウサイ</t>
    </rPh>
    <rPh sb="34" eb="36">
      <t>フリカエ</t>
    </rPh>
    <phoneticPr fontId="8"/>
  </si>
  <si>
    <t>入金</t>
    <rPh sb="0" eb="1">
      <t>ニュウキン</t>
    </rPh>
    <phoneticPr fontId="8"/>
  </si>
  <si>
    <t>消込区分</t>
    <rPh sb="0" eb="4">
      <t>ケシコミクブン</t>
    </rPh>
    <phoneticPr fontId="8"/>
  </si>
  <si>
    <t>７．全額振替した場合</t>
    <rPh sb="2" eb="4">
      <t>ゼンガク</t>
    </rPh>
    <rPh sb="4" eb="6">
      <t>フリカエ</t>
    </rPh>
    <rPh sb="8" eb="10">
      <t>バアイ</t>
    </rPh>
    <phoneticPr fontId="8"/>
  </si>
  <si>
    <t>F4110-1D</t>
  </si>
  <si>
    <t>24058</t>
    <phoneticPr fontId="26"/>
  </si>
  <si>
    <t>基幹システム再構築　会計システム外部設計</t>
    <phoneticPr fontId="26"/>
  </si>
  <si>
    <t>未収金残高管理表内訳</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</si>
</sst>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_);[Red]\(0\)"/>
  </numFmts>
  <fonts count="3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2"/>
      <name val="ＭＳ Ｐゴシック"/>
      <family val="3"/>
      <charset val="128"/>
    </font>
    <font>
      <sz val="9"/>
      <name val="ＭＳ 明朝"/>
      <family val="1"/>
      <charset val="128"/>
    </font>
    <font>
      <sz val="6"/>
      <name val="ＭＳ Ｐ明朝"/>
      <family val="1"/>
      <charset val="128"/>
    </font>
    <font>
      <sz val="6"/>
      <name val="ＭＳ Ｐゴシック"/>
      <family val="2"/>
      <charset val="128"/>
      <scheme val="minor"/>
    </font>
    <font>
      <b/>
      <sz val="11"/>
      <color theme="1"/>
      <name val="ＭＳ Ｐゴシック"/>
      <family val="3"/>
      <charset val="128"/>
      <scheme val="minor"/>
    </font>
    <font>
      <b/>
      <sz val="11"/>
      <color theme="1"/>
      <name val="ＭＳ 明朝"/>
      <family val="1"/>
      <charset val="128"/>
    </font>
    <font>
      <b/>
      <sz val="11"/>
      <name val="ＭＳ Ｐゴシック"/>
      <family val="3"/>
      <charset val="128"/>
    </font>
    <font>
      <b/>
      <sz val="11"/>
      <color rgb="FFFF0000"/>
      <name val="ＭＳ Ｐゴシック"/>
      <family val="3"/>
      <charset val="128"/>
    </font>
    <font>
      <b/>
      <u/>
      <sz val="11"/>
      <name val="ＭＳ Ｐゴシック"/>
      <family val="3"/>
      <charset val="128"/>
    </font>
  </fonts>
  <fills count="3">
    <fill>
      <patternFill patternType="none"/>
    </fill>
    <fill>
      <patternFill patternType="gray125"/>
    </fill>
    <fill>
      <patternFill patternType="solid">
        <fgColor theme="8"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5">
    <xf numFmtId="0" fontId="0" fillId="0" borderId="0"/>
    <xf numFmtId="0" fontId="22" fillId="0" borderId="0"/>
    <xf numFmtId="0" fontId="22" fillId="0" borderId="0">
      <alignment vertical="center"/>
    </xf>
    <xf numFmtId="0" fontId="7" fillId="0" borderId="0">
      <alignment vertical="center"/>
    </xf>
    <xf numFmtId="38" fontId="7" fillId="0" borderId="0" applyFont="0" applyFill="0" applyBorder="0" applyAlignment="0" applyProtection="0">
      <alignment vertical="center"/>
    </xf>
  </cellStyleXfs>
  <cellXfs count="173">
    <xf numFmtId="0" fontId="0" fillId="0" borderId="0" xfId="0"/>
    <xf numFmtId="49" fontId="9" fillId="0" borderId="0" xfId="0" applyNumberFormat="1" applyFont="1" applyAlignment="1">
      <alignment vertical="center"/>
    </xf>
    <xf numFmtId="49" fontId="9" fillId="0" borderId="0" xfId="0" applyNumberFormat="1" applyFont="1" applyAlignment="1">
      <alignment horizontal="right" vertical="center"/>
    </xf>
    <xf numFmtId="49" fontId="11" fillId="0" borderId="0" xfId="0" applyNumberFormat="1" applyFont="1" applyAlignment="1">
      <alignment vertical="center"/>
    </xf>
    <xf numFmtId="0" fontId="12" fillId="0" borderId="0" xfId="0" applyFont="1"/>
    <xf numFmtId="0" fontId="14" fillId="0" borderId="0" xfId="0" applyFont="1"/>
    <xf numFmtId="49" fontId="23" fillId="0" borderId="0" xfId="1" applyNumberFormat="1" applyFont="1" applyAlignment="1">
      <alignment vertical="center"/>
    </xf>
    <xf numFmtId="49" fontId="13" fillId="0" borderId="0" xfId="0" applyNumberFormat="1" applyFont="1" applyAlignment="1">
      <alignment vertical="center"/>
    </xf>
    <xf numFmtId="49" fontId="9" fillId="0" borderId="0" xfId="0" applyNumberFormat="1" applyFont="1" applyAlignment="1">
      <alignment horizontal="left" vertical="center"/>
    </xf>
    <xf numFmtId="49" fontId="23" fillId="0" borderId="0" xfId="1" applyNumberFormat="1" applyFont="1" applyAlignment="1">
      <alignment horizontal="left" vertical="center"/>
    </xf>
    <xf numFmtId="0" fontId="24" fillId="0" borderId="0" xfId="0" applyFont="1"/>
    <xf numFmtId="0" fontId="24" fillId="0" borderId="0" xfId="0" applyFont="1" applyAlignment="1">
      <alignment vertical="center"/>
    </xf>
    <xf numFmtId="0" fontId="9" fillId="0" borderId="0" xfId="0" applyFont="1" applyAlignment="1">
      <alignment vertical="center"/>
    </xf>
    <xf numFmtId="49" fontId="9" fillId="0" borderId="0" xfId="1" applyNumberFormat="1" applyFont="1" applyAlignment="1">
      <alignment vertical="center"/>
    </xf>
    <xf numFmtId="49" fontId="13" fillId="0" borderId="0" xfId="1" applyNumberFormat="1" applyFont="1" applyAlignment="1">
      <alignment vertical="center"/>
    </xf>
    <xf numFmtId="49" fontId="9" fillId="0" borderId="4" xfId="1" applyNumberFormat="1" applyFont="1" applyBorder="1"/>
    <xf numFmtId="49" fontId="9" fillId="0" borderId="2" xfId="1" applyNumberFormat="1" applyFont="1" applyBorder="1"/>
    <xf numFmtId="49" fontId="9" fillId="0" borderId="3" xfId="1" applyNumberFormat="1" applyFont="1" applyBorder="1"/>
    <xf numFmtId="49" fontId="9" fillId="0" borderId="0" xfId="1" applyNumberFormat="1" applyFont="1"/>
    <xf numFmtId="49" fontId="9" fillId="0" borderId="23" xfId="1" applyNumberFormat="1" applyFont="1" applyBorder="1"/>
    <xf numFmtId="49" fontId="9" fillId="0" borderId="23" xfId="1" applyNumberFormat="1" applyFont="1" applyBorder="1" applyAlignment="1">
      <alignment vertical="center"/>
    </xf>
    <xf numFmtId="49" fontId="9" fillId="0" borderId="0" xfId="1" applyNumberFormat="1" applyFont="1" applyAlignment="1">
      <alignment vertical="center" wrapText="1"/>
    </xf>
    <xf numFmtId="49" fontId="9" fillId="0" borderId="24" xfId="1" applyNumberFormat="1" applyFont="1" applyBorder="1"/>
    <xf numFmtId="49" fontId="9" fillId="0" borderId="20" xfId="1" applyNumberFormat="1" applyFont="1" applyBorder="1"/>
    <xf numFmtId="49" fontId="9" fillId="0" borderId="21" xfId="1" applyNumberFormat="1" applyFont="1" applyBorder="1"/>
    <xf numFmtId="49" fontId="9" fillId="0" borderId="22" xfId="1" applyNumberFormat="1" applyFont="1" applyBorder="1"/>
    <xf numFmtId="49" fontId="13" fillId="0" borderId="0" xfId="1" applyNumberFormat="1" applyFont="1"/>
    <xf numFmtId="0" fontId="25" fillId="0" borderId="0" xfId="0" applyFont="1"/>
    <xf numFmtId="0" fontId="9" fillId="0" borderId="8" xfId="0" applyFont="1" applyBorder="1" applyAlignment="1">
      <alignment horizontal="left" vertical="center"/>
    </xf>
    <xf numFmtId="0" fontId="9" fillId="0" borderId="9" xfId="0" applyFont="1" applyBorder="1" applyAlignment="1">
      <alignment horizontal="left"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9" fillId="0" borderId="4" xfId="0" applyFont="1" applyBorder="1" applyAlignment="1">
      <alignment vertical="center"/>
    </xf>
    <xf numFmtId="0" fontId="9" fillId="0" borderId="2" xfId="0" applyFont="1" applyBorder="1" applyAlignment="1">
      <alignment vertical="center"/>
    </xf>
    <xf numFmtId="0" fontId="9" fillId="0" borderId="7" xfId="0" applyFont="1" applyBorder="1" applyAlignment="1">
      <alignment horizontal="left" vertical="center"/>
    </xf>
    <xf numFmtId="0" fontId="9" fillId="0" borderId="7" xfId="0" quotePrefix="1" applyFont="1" applyBorder="1" applyAlignment="1">
      <alignment horizontal="left" vertical="center"/>
    </xf>
    <xf numFmtId="0" fontId="9" fillId="0" borderId="8" xfId="0" applyFont="1" applyBorder="1" applyAlignment="1">
      <alignment vertical="center" wrapText="1"/>
    </xf>
    <xf numFmtId="0" fontId="9" fillId="0" borderId="9" xfId="0" applyFont="1" applyBorder="1" applyAlignment="1">
      <alignment vertical="center" wrapText="1"/>
    </xf>
    <xf numFmtId="0" fontId="24" fillId="0" borderId="0" xfId="0" quotePrefix="1" applyFont="1" applyAlignment="1">
      <alignment vertical="center"/>
    </xf>
    <xf numFmtId="0" fontId="28" fillId="0" borderId="0" xfId="3" applyFont="1">
      <alignment vertical="center"/>
    </xf>
    <xf numFmtId="0" fontId="7" fillId="0" borderId="0" xfId="3">
      <alignment vertical="center"/>
    </xf>
    <xf numFmtId="0" fontId="7" fillId="0" borderId="1" xfId="3" applyBorder="1">
      <alignment vertical="center"/>
    </xf>
    <xf numFmtId="14" fontId="7" fillId="0" borderId="1" xfId="3" applyNumberFormat="1" applyBorder="1">
      <alignment vertical="center"/>
    </xf>
    <xf numFmtId="38" fontId="0" fillId="0" borderId="1" xfId="4" applyFont="1" applyBorder="1">
      <alignment vertical="center"/>
    </xf>
    <xf numFmtId="0" fontId="0" fillId="0" borderId="1" xfId="4" applyNumberFormat="1" applyFont="1" applyBorder="1">
      <alignment vertical="center"/>
    </xf>
    <xf numFmtId="0" fontId="9" fillId="0" borderId="26" xfId="0" applyFont="1" applyBorder="1" applyAlignment="1">
      <alignment horizontal="left" vertical="center"/>
    </xf>
    <xf numFmtId="0" fontId="29" fillId="2" borderId="1" xfId="3" applyFont="1" applyFill="1" applyBorder="1">
      <alignment vertical="center"/>
    </xf>
    <xf numFmtId="0" fontId="9" fillId="0" borderId="25" xfId="0" quotePrefix="1" applyFont="1" applyBorder="1" applyAlignment="1">
      <alignment horizontal="left" vertical="center"/>
    </xf>
    <xf numFmtId="0" fontId="9" fillId="0" borderId="26" xfId="0" quotePrefix="1" applyFont="1" applyBorder="1" applyAlignment="1">
      <alignment horizontal="left" vertical="center"/>
    </xf>
    <xf numFmtId="0" fontId="9" fillId="0" borderId="27" xfId="0" quotePrefix="1" applyFont="1" applyBorder="1" applyAlignment="1">
      <alignment horizontal="left" vertical="center"/>
    </xf>
    <xf numFmtId="176" fontId="7" fillId="0" borderId="1" xfId="3" applyNumberFormat="1" applyBorder="1">
      <alignment vertical="center"/>
    </xf>
    <xf numFmtId="0" fontId="6" fillId="0" borderId="1" xfId="3"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177" fontId="29" fillId="2" borderId="1" xfId="3" applyNumberFormat="1" applyFont="1" applyFill="1" applyBorder="1">
      <alignment vertical="center"/>
    </xf>
    <xf numFmtId="177" fontId="7" fillId="0" borderId="1" xfId="3" applyNumberFormat="1" applyBorder="1">
      <alignment vertical="center"/>
    </xf>
    <xf numFmtId="177" fontId="0" fillId="0" borderId="1" xfId="4" applyNumberFormat="1" applyFont="1" applyBorder="1">
      <alignment vertical="center"/>
    </xf>
    <xf numFmtId="177" fontId="7" fillId="0" borderId="0" xfId="3" applyNumberFormat="1">
      <alignment vertical="center"/>
    </xf>
    <xf numFmtId="14" fontId="5" fillId="0" borderId="1" xfId="3" quotePrefix="1" applyNumberFormat="1" applyFont="1" applyBorder="1">
      <alignment vertical="center"/>
    </xf>
    <xf numFmtId="0" fontId="9" fillId="0" borderId="8" xfId="0" quotePrefix="1" applyFont="1" applyBorder="1" applyAlignment="1">
      <alignment horizontal="left" vertical="center"/>
    </xf>
    <xf numFmtId="0" fontId="9" fillId="0" borderId="9" xfId="0" quotePrefix="1" applyFont="1" applyBorder="1" applyAlignment="1">
      <alignment horizontal="left" vertical="center"/>
    </xf>
    <xf numFmtId="176" fontId="4" fillId="0" borderId="1" xfId="3" applyNumberFormat="1" applyFont="1" applyBorder="1">
      <alignment vertical="center"/>
    </xf>
    <xf numFmtId="0" fontId="3" fillId="0" borderId="1" xfId="3" quotePrefix="1" applyFont="1" applyBorder="1">
      <alignment vertical="center"/>
    </xf>
    <xf numFmtId="0" fontId="22" fillId="0" borderId="0" xfId="0" applyFont="1"/>
    <xf numFmtId="0" fontId="29" fillId="2" borderId="1" xfId="3" applyFont="1" applyFill="1" applyBorder="1" applyAlignment="1">
      <alignment vertical="center" wrapText="1"/>
    </xf>
    <xf numFmtId="0" fontId="2" fillId="0" borderId="1" xfId="3" quotePrefix="1" applyFont="1" applyBorder="1" applyAlignment="1">
      <alignment horizontal="right" vertical="center"/>
    </xf>
    <xf numFmtId="0" fontId="30" fillId="0" borderId="0" xfId="0" applyFont="1"/>
    <xf numFmtId="0" fontId="31" fillId="0" borderId="0" xfId="0" applyFont="1"/>
    <xf numFmtId="0" fontId="2" fillId="0" borderId="0" xfId="3" applyFont="1">
      <alignment vertical="center"/>
    </xf>
    <xf numFmtId="176" fontId="2" fillId="0" borderId="1" xfId="3" applyNumberFormat="1" applyFont="1" applyBorder="1">
      <alignment vertical="center"/>
    </xf>
    <xf numFmtId="3" fontId="22" fillId="0" borderId="1" xfId="4" applyNumberFormat="1" applyFont="1" applyBorder="1">
      <alignment vertical="center"/>
    </xf>
    <xf numFmtId="3" fontId="0" fillId="0" borderId="1" xfId="4" applyNumberFormat="1" applyFont="1" applyBorder="1">
      <alignment vertical="center"/>
    </xf>
    <xf numFmtId="0" fontId="1" fillId="0" borderId="1" xfId="3" applyFont="1" applyBorder="1">
      <alignment vertical="center"/>
    </xf>
    <xf numFmtId="0" fontId="1" fillId="0" borderId="1" xfId="3" quotePrefix="1" applyFont="1" applyBorder="1">
      <alignment vertical="center"/>
    </xf>
    <xf numFmtId="0" fontId="30" fillId="0" borderId="0" xfId="0" applyFont="1" applyAlignment="1">
      <alignment vertical="center"/>
    </xf>
    <xf numFmtId="0" fontId="1" fillId="0" borderId="0" xfId="3" applyFont="1">
      <alignment vertical="center"/>
    </xf>
    <xf numFmtId="49" fontId="9" fillId="0" borderId="4" xfId="0" applyNumberFormat="1" applyFont="1" applyBorder="1" applyAlignment="1">
      <alignment horizontal="center" vertical="center"/>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4" xfId="1" applyNumberFormat="1" applyFont="1" applyBorder="1" applyAlignment="1">
      <alignment horizontal="center"/>
    </xf>
    <xf numFmtId="49" fontId="9" fillId="0" borderId="2" xfId="1" applyNumberFormat="1" applyFont="1" applyBorder="1" applyAlignment="1">
      <alignment horizontal="center"/>
    </xf>
    <xf numFmtId="49" fontId="9" fillId="0" borderId="3" xfId="1" applyNumberFormat="1" applyFont="1" applyBorder="1" applyAlignment="1">
      <alignment horizontal="center"/>
    </xf>
    <xf numFmtId="49" fontId="10" fillId="0" borderId="4" xfId="0" applyNumberFormat="1" applyFont="1" applyBorder="1" applyAlignment="1">
      <alignment horizontal="center" vertical="center"/>
    </xf>
    <xf numFmtId="49" fontId="10" fillId="0" borderId="2"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9" fillId="0" borderId="17" xfId="0" applyNumberFormat="1" applyFont="1" applyBorder="1" applyAlignment="1">
      <alignment horizontal="center" vertical="center"/>
    </xf>
    <xf numFmtId="49" fontId="9" fillId="0" borderId="18" xfId="0" applyNumberFormat="1" applyFont="1" applyBorder="1" applyAlignment="1">
      <alignment horizontal="center" vertical="center"/>
    </xf>
    <xf numFmtId="49" fontId="9" fillId="0" borderId="19" xfId="0" applyNumberFormat="1" applyFont="1" applyBorder="1" applyAlignment="1">
      <alignment horizontal="center" vertical="center"/>
    </xf>
    <xf numFmtId="49" fontId="9" fillId="0" borderId="20" xfId="0" applyNumberFormat="1" applyFont="1" applyBorder="1" applyAlignment="1">
      <alignment horizontal="center" vertical="center"/>
    </xf>
    <xf numFmtId="49" fontId="9" fillId="0" borderId="21" xfId="0" applyNumberFormat="1" applyFont="1" applyBorder="1" applyAlignment="1">
      <alignment horizontal="center" vertical="center"/>
    </xf>
    <xf numFmtId="49" fontId="9" fillId="0" borderId="22" xfId="0" applyNumberFormat="1" applyFont="1" applyBorder="1" applyAlignment="1">
      <alignment horizontal="center" vertical="center"/>
    </xf>
    <xf numFmtId="49" fontId="9" fillId="0" borderId="17" xfId="0" applyNumberFormat="1" applyFont="1" applyBorder="1" applyAlignment="1">
      <alignment horizontal="left" vertical="center"/>
    </xf>
    <xf numFmtId="49" fontId="9" fillId="0" borderId="18" xfId="0" applyNumberFormat="1" applyFont="1" applyBorder="1" applyAlignment="1">
      <alignment horizontal="left" vertical="center"/>
    </xf>
    <xf numFmtId="49" fontId="9" fillId="0" borderId="19" xfId="0" applyNumberFormat="1" applyFont="1" applyBorder="1" applyAlignment="1">
      <alignment horizontal="left" vertical="center"/>
    </xf>
    <xf numFmtId="49" fontId="9" fillId="0" borderId="20" xfId="0" applyNumberFormat="1" applyFont="1" applyBorder="1" applyAlignment="1">
      <alignment horizontal="left" vertical="center"/>
    </xf>
    <xf numFmtId="49" fontId="9" fillId="0" borderId="21" xfId="0" applyNumberFormat="1" applyFont="1" applyBorder="1" applyAlignment="1">
      <alignment horizontal="left" vertical="center"/>
    </xf>
    <xf numFmtId="49" fontId="9" fillId="0" borderId="22" xfId="0" applyNumberFormat="1" applyFont="1" applyBorder="1" applyAlignment="1">
      <alignment horizontal="left"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6" xfId="0" applyFont="1" applyBorder="1" applyAlignment="1">
      <alignment horizontal="center"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0" fontId="9" fillId="0" borderId="5" xfId="0" applyFont="1" applyBorder="1" applyAlignment="1">
      <alignment horizontal="center" vertical="center"/>
    </xf>
    <xf numFmtId="0" fontId="9" fillId="0" borderId="7" xfId="0" applyFont="1" applyBorder="1" applyAlignment="1">
      <alignment horizontal="left" vertical="center"/>
    </xf>
    <xf numFmtId="0" fontId="9" fillId="0" borderId="8" xfId="0" applyFont="1" applyBorder="1" applyAlignment="1">
      <alignment horizontal="left" vertical="center"/>
    </xf>
    <xf numFmtId="0" fontId="9" fillId="0" borderId="9" xfId="0" applyFont="1" applyBorder="1" applyAlignment="1">
      <alignment horizontal="left" vertical="center"/>
    </xf>
    <xf numFmtId="0" fontId="9" fillId="0" borderId="5" xfId="0" applyFont="1" applyBorder="1" applyAlignment="1">
      <alignment horizontal="left" vertical="center"/>
    </xf>
    <xf numFmtId="0" fontId="9" fillId="0" borderId="7" xfId="0" quotePrefix="1" applyFont="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9" fillId="0" borderId="6" xfId="0" applyFont="1" applyBorder="1" applyAlignment="1">
      <alignment horizontal="left" vertical="center"/>
    </xf>
    <xf numFmtId="0" fontId="9" fillId="0" borderId="16" xfId="0" applyFont="1" applyBorder="1" applyAlignment="1">
      <alignment horizontal="center" vertical="center"/>
    </xf>
    <xf numFmtId="0" fontId="9" fillId="0" borderId="16" xfId="0" applyFont="1" applyBorder="1" applyAlignment="1">
      <alignment horizontal="left"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25" xfId="0" quotePrefix="1" applyFont="1" applyBorder="1" applyAlignment="1">
      <alignment horizontal="left" vertical="center" wrapText="1"/>
    </xf>
    <xf numFmtId="0" fontId="9" fillId="0" borderId="26" xfId="0" quotePrefix="1" applyFont="1" applyBorder="1" applyAlignment="1">
      <alignment horizontal="left" vertical="center" wrapText="1"/>
    </xf>
    <xf numFmtId="0" fontId="9" fillId="0" borderId="27" xfId="0" quotePrefix="1" applyFont="1" applyBorder="1" applyAlignment="1">
      <alignment horizontal="left" vertical="center" wrapText="1"/>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25" xfId="0" applyFont="1" applyBorder="1" applyAlignment="1">
      <alignment horizontal="left" vertical="center"/>
    </xf>
    <xf numFmtId="0" fontId="9" fillId="0" borderId="26" xfId="0" applyFont="1" applyBorder="1" applyAlignment="1">
      <alignment horizontal="left" vertical="center"/>
    </xf>
    <xf numFmtId="0" fontId="9" fillId="0" borderId="27" xfId="0" applyFont="1" applyBorder="1" applyAlignment="1">
      <alignment horizontal="left" vertical="center"/>
    </xf>
    <xf numFmtId="0" fontId="9" fillId="0" borderId="7" xfId="0" applyFont="1" applyBorder="1" applyAlignment="1">
      <alignment vertical="center" wrapText="1"/>
    </xf>
    <xf numFmtId="0" fontId="9" fillId="0" borderId="8" xfId="0" applyFont="1" applyBorder="1" applyAlignment="1">
      <alignment vertical="center" wrapText="1"/>
    </xf>
    <xf numFmtId="0" fontId="9" fillId="0" borderId="9" xfId="0" applyFont="1" applyBorder="1" applyAlignment="1">
      <alignment vertical="center" wrapText="1"/>
    </xf>
    <xf numFmtId="49" fontId="9" fillId="0" borderId="10" xfId="0" applyNumberFormat="1" applyFont="1" applyBorder="1" applyAlignment="1">
      <alignment horizontal="left" vertical="center"/>
    </xf>
    <xf numFmtId="49" fontId="9" fillId="0" borderId="11" xfId="0" applyNumberFormat="1" applyFont="1" applyBorder="1" applyAlignment="1">
      <alignment horizontal="left" vertical="center"/>
    </xf>
    <xf numFmtId="49" fontId="9" fillId="0" borderId="12" xfId="0" applyNumberFormat="1" applyFont="1" applyBorder="1" applyAlignment="1">
      <alignment horizontal="left" vertical="center"/>
    </xf>
    <xf numFmtId="49" fontId="9" fillId="0" borderId="10"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0" borderId="12" xfId="0" applyNumberFormat="1" applyFont="1" applyBorder="1" applyAlignment="1">
      <alignment horizontal="center" vertical="center"/>
    </xf>
    <xf numFmtId="49" fontId="9" fillId="0" borderId="10" xfId="0" applyNumberFormat="1" applyFont="1" applyBorder="1" applyAlignment="1">
      <alignment horizontal="left" vertical="center" wrapText="1"/>
    </xf>
    <xf numFmtId="49" fontId="9" fillId="0" borderId="11" xfId="0" applyNumberFormat="1" applyFont="1" applyBorder="1" applyAlignment="1">
      <alignment horizontal="left" vertical="center" wrapText="1"/>
    </xf>
    <xf numFmtId="49" fontId="9" fillId="0" borderId="12" xfId="0" applyNumberFormat="1" applyFont="1" applyBorder="1" applyAlignment="1">
      <alignment horizontal="left" vertical="center" wrapText="1"/>
    </xf>
    <xf numFmtId="49" fontId="9" fillId="0" borderId="7" xfId="0" applyNumberFormat="1" applyFont="1" applyBorder="1" applyAlignment="1">
      <alignment horizontal="left" vertical="center"/>
    </xf>
    <xf numFmtId="49" fontId="9" fillId="0" borderId="8" xfId="0" applyNumberFormat="1" applyFont="1" applyBorder="1" applyAlignment="1">
      <alignment horizontal="left" vertical="center"/>
    </xf>
    <xf numFmtId="49" fontId="9" fillId="0" borderId="9" xfId="0" applyNumberFormat="1" applyFont="1" applyBorder="1" applyAlignment="1">
      <alignment horizontal="left" vertical="center"/>
    </xf>
    <xf numFmtId="49" fontId="9" fillId="0" borderId="7" xfId="0" applyNumberFormat="1" applyFont="1" applyBorder="1" applyAlignment="1">
      <alignment horizontal="center" vertical="center"/>
    </xf>
    <xf numFmtId="49" fontId="9" fillId="0" borderId="8" xfId="0" applyNumberFormat="1" applyFont="1" applyBorder="1" applyAlignment="1">
      <alignment horizontal="center" vertical="center"/>
    </xf>
    <xf numFmtId="49" fontId="9" fillId="0" borderId="9" xfId="0" applyNumberFormat="1" applyFont="1" applyBorder="1" applyAlignment="1">
      <alignment horizontal="center" vertical="center"/>
    </xf>
    <xf numFmtId="49" fontId="9" fillId="0" borderId="7" xfId="0" applyNumberFormat="1" applyFont="1" applyBorder="1" applyAlignment="1">
      <alignment horizontal="left" vertical="center" wrapText="1"/>
    </xf>
    <xf numFmtId="49" fontId="9" fillId="0" borderId="8" xfId="0" applyNumberFormat="1" applyFont="1" applyBorder="1" applyAlignment="1">
      <alignment horizontal="left" vertical="center" wrapText="1"/>
    </xf>
    <xf numFmtId="49" fontId="9" fillId="0" borderId="9" xfId="0" applyNumberFormat="1" applyFont="1" applyBorder="1" applyAlignment="1">
      <alignment horizontal="left" vertical="center" wrapText="1"/>
    </xf>
    <xf numFmtId="49" fontId="9" fillId="0" borderId="4" xfId="0" applyNumberFormat="1" applyFont="1" applyBorder="1" applyAlignment="1">
      <alignment horizontal="center" vertical="center" wrapText="1"/>
    </xf>
    <xf numFmtId="49" fontId="9" fillId="0" borderId="2" xfId="0" applyNumberFormat="1" applyFont="1" applyBorder="1" applyAlignment="1">
      <alignment horizontal="center" vertical="center" wrapText="1"/>
    </xf>
    <xf numFmtId="49" fontId="9" fillId="0" borderId="3" xfId="0" applyNumberFormat="1" applyFont="1" applyBorder="1" applyAlignment="1">
      <alignment horizontal="center" vertical="center" wrapText="1"/>
    </xf>
    <xf numFmtId="49" fontId="9" fillId="0" borderId="13" xfId="0" applyNumberFormat="1" applyFont="1" applyBorder="1" applyAlignment="1">
      <alignment horizontal="center" vertical="center"/>
    </xf>
    <xf numFmtId="49" fontId="9" fillId="0" borderId="15" xfId="0" applyNumberFormat="1" applyFont="1" applyBorder="1" applyAlignment="1">
      <alignment horizontal="center" vertical="center"/>
    </xf>
    <xf numFmtId="49" fontId="9" fillId="0" borderId="14" xfId="0" applyNumberFormat="1" applyFont="1" applyBorder="1" applyAlignment="1">
      <alignment horizontal="center" vertical="center"/>
    </xf>
    <xf numFmtId="49" fontId="9" fillId="0" borderId="13" xfId="0" applyNumberFormat="1" applyFont="1" applyBorder="1" applyAlignment="1">
      <alignment horizontal="left" vertical="center" wrapText="1"/>
    </xf>
    <xf numFmtId="49" fontId="9" fillId="0" borderId="15" xfId="0" applyNumberFormat="1" applyFont="1" applyBorder="1" applyAlignment="1">
      <alignment horizontal="left" vertical="center" wrapText="1"/>
    </xf>
    <xf numFmtId="49" fontId="9" fillId="0" borderId="14" xfId="0" applyNumberFormat="1" applyFont="1" applyBorder="1" applyAlignment="1">
      <alignment horizontal="left" vertical="center" wrapText="1"/>
    </xf>
    <xf numFmtId="49" fontId="9" fillId="0" borderId="13" xfId="0" applyNumberFormat="1" applyFont="1" applyBorder="1" applyAlignment="1">
      <alignment horizontal="left" vertical="center"/>
    </xf>
    <xf numFmtId="49" fontId="9" fillId="0" borderId="15" xfId="0" applyNumberFormat="1" applyFont="1" applyBorder="1" applyAlignment="1">
      <alignment horizontal="left" vertical="center"/>
    </xf>
    <xf numFmtId="49" fontId="9" fillId="0" borderId="14" xfId="0" applyNumberFormat="1" applyFont="1" applyBorder="1" applyAlignment="1">
      <alignment horizontal="left" vertical="center"/>
    </xf>
  </cellXfs>
  <cellStyles count="5">
    <cellStyle name="桁区切り 2" xfId="4" xr:uid="{948D2A18-F3DF-4A6E-8D79-E7B6B350A8A9}"/>
    <cellStyle name="標準" xfId="0" builtinId="0"/>
    <cellStyle name="標準 2" xfId="1" xr:uid="{F3DA1E75-CB94-4872-A43E-FD70FF50C795}"/>
    <cellStyle name="標準 3" xfId="2" xr:uid="{B510914E-5582-4FC2-8AAD-CAD5A78C9221}"/>
    <cellStyle name="標準 4" xfId="3" xr:uid="{C2B5EF4E-7DBC-478F-B025-C03A31D4EF8F}"/>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47624</xdr:colOff>
      <xdr:row>15</xdr:row>
      <xdr:rowOff>0</xdr:rowOff>
    </xdr:from>
    <xdr:to>
      <xdr:col>42</xdr:col>
      <xdr:colOff>1019175</xdr:colOff>
      <xdr:row>18</xdr:row>
      <xdr:rowOff>161925</xdr:rowOff>
    </xdr:to>
    <xdr:sp macro="" textlink="">
      <xdr:nvSpPr>
        <xdr:cNvPr id="3" name="正方形/長方形 2">
          <a:extLst>
            <a:ext uri="{FF2B5EF4-FFF2-40B4-BE49-F238E27FC236}">
              <a16:creationId xmlns:a16="http://schemas.microsoft.com/office/drawing/2014/main" id="{29807D70-52D1-5BEE-9FB5-0A6ED575916A}"/>
            </a:ext>
          </a:extLst>
        </xdr:cNvPr>
        <xdr:cNvSpPr/>
      </xdr:nvSpPr>
      <xdr:spPr bwMode="auto">
        <a:xfrm>
          <a:off x="733424" y="2914650"/>
          <a:ext cx="37766626" cy="847725"/>
        </a:xfrm>
        <a:prstGeom prst="rect">
          <a:avLst/>
        </a:prstGeom>
        <a:ln>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18288" tIns="0" rIns="0" bIns="0" rtlCol="0" anchor="ctr" upright="1"/>
        <a:lstStyle/>
        <a:p>
          <a:pPr algn="l"/>
          <a:r>
            <a:rPr kumimoji="1" lang="ja-JP" altLang="en-US" sz="1100"/>
            <a:t>このパターンは起こらないので考慮しない</a:t>
          </a:r>
          <a:endParaRPr kumimoji="1" lang="en-US" altLang="ja-JP"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pageSetUpPr fitToPage="1"/>
  </sheetPr>
  <dimension ref="A1:BJ507"/>
  <sheetViews>
    <sheetView tabSelected="1" view="pageBreakPreview" zoomScaleNormal="100" zoomScaleSheetLayoutView="100" workbookViewId="0"/>
  </sheetViews>
  <sheetFormatPr defaultColWidth="9" defaultRowHeight="12"/>
  <cols>
    <col min="1" max="62" width="2.109375" style="26" customWidth="1"/>
    <col min="63" max="159" width="1.6640625" style="26" customWidth="1"/>
    <col min="160" max="16384" width="9" style="26"/>
  </cols>
  <sheetData>
    <row r="1" spans="1:62" s="1" customFormat="1" ht="18" customHeight="1">
      <c r="A1" s="1" t="s">
        <v>0</v>
      </c>
      <c r="BJ1" s="2" t="s">
        <v>1</v>
      </c>
    </row>
    <row r="2" spans="1:62" s="3" customFormat="1" ht="18" customHeight="1">
      <c r="A2" s="83" t="s">
        <v>2</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5"/>
      <c r="AT2" s="77" t="s">
        <v>3</v>
      </c>
      <c r="AU2" s="78"/>
      <c r="AV2" s="78"/>
      <c r="AW2" s="78"/>
      <c r="AX2" s="79"/>
      <c r="AY2" s="77" t="s">
        <v>4</v>
      </c>
      <c r="AZ2" s="78"/>
      <c r="BA2" s="78"/>
      <c r="BB2" s="79"/>
      <c r="BC2" s="77" t="s">
        <v>5</v>
      </c>
      <c r="BD2" s="78"/>
      <c r="BE2" s="78"/>
      <c r="BF2" s="79"/>
      <c r="BG2" s="77"/>
      <c r="BH2" s="78"/>
      <c r="BI2" s="78"/>
      <c r="BJ2" s="79"/>
    </row>
    <row r="3" spans="1:62" s="1" customFormat="1" ht="18" customHeight="1">
      <c r="A3" s="86" t="s">
        <v>6</v>
      </c>
      <c r="B3" s="87"/>
      <c r="C3" s="87"/>
      <c r="D3" s="87"/>
      <c r="E3" s="87"/>
      <c r="F3" s="87"/>
      <c r="G3" s="87"/>
      <c r="H3" s="88"/>
      <c r="I3" s="92" t="s">
        <v>199</v>
      </c>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4"/>
      <c r="AT3" s="77" t="s">
        <v>7</v>
      </c>
      <c r="AU3" s="78"/>
      <c r="AV3" s="78"/>
      <c r="AW3" s="78"/>
      <c r="AX3" s="79"/>
      <c r="AY3" s="77" t="s">
        <v>198</v>
      </c>
      <c r="AZ3" s="78"/>
      <c r="BA3" s="78"/>
      <c r="BB3" s="78"/>
      <c r="BC3" s="78"/>
      <c r="BD3" s="78"/>
      <c r="BE3" s="78"/>
      <c r="BF3" s="78"/>
      <c r="BG3" s="78"/>
      <c r="BH3" s="78"/>
      <c r="BI3" s="78"/>
      <c r="BJ3" s="79"/>
    </row>
    <row r="4" spans="1:62" s="1" customFormat="1" ht="18" customHeight="1">
      <c r="A4" s="89"/>
      <c r="B4" s="90"/>
      <c r="C4" s="90"/>
      <c r="D4" s="90"/>
      <c r="E4" s="90"/>
      <c r="F4" s="90"/>
      <c r="G4" s="90"/>
      <c r="H4" s="91"/>
      <c r="I4" s="95"/>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7"/>
      <c r="AT4" s="77" t="s">
        <v>8</v>
      </c>
      <c r="AU4" s="78"/>
      <c r="AV4" s="78"/>
      <c r="AW4" s="78"/>
      <c r="AX4" s="79"/>
      <c r="AY4" s="77"/>
      <c r="AZ4" s="78"/>
      <c r="BA4" s="78"/>
      <c r="BB4" s="78"/>
      <c r="BC4" s="78"/>
      <c r="BD4" s="78"/>
      <c r="BE4" s="78"/>
      <c r="BF4" s="78"/>
      <c r="BG4" s="78"/>
      <c r="BH4" s="78"/>
      <c r="BI4" s="78"/>
      <c r="BJ4" s="79"/>
    </row>
    <row r="5" spans="1:62" s="14" customFormat="1" ht="9" customHeight="1"/>
    <row r="6" spans="1:62" s="18" customFormat="1" ht="15.75" customHeight="1">
      <c r="A6" s="80" t="s">
        <v>9</v>
      </c>
      <c r="B6" s="81"/>
      <c r="C6" s="81"/>
      <c r="D6" s="81"/>
      <c r="E6" s="81"/>
      <c r="F6" s="81"/>
      <c r="G6" s="82"/>
      <c r="H6" s="15"/>
      <c r="I6" s="16" t="s">
        <v>10</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row>
    <row r="7" spans="1:62" s="18" customFormat="1" ht="20.25" customHeight="1">
      <c r="A7" s="19"/>
      <c r="C7" s="13"/>
      <c r="D7" s="13"/>
      <c r="E7" s="13"/>
      <c r="F7" s="13"/>
      <c r="G7" s="13"/>
      <c r="H7" s="20"/>
      <c r="O7" s="21"/>
      <c r="P7" s="21"/>
      <c r="Q7" s="21"/>
      <c r="R7" s="21"/>
      <c r="S7" s="21"/>
      <c r="T7" s="21"/>
      <c r="U7" s="21"/>
      <c r="V7" s="21"/>
      <c r="W7" s="21"/>
      <c r="X7" s="21"/>
      <c r="AC7" s="21"/>
      <c r="AD7" s="21"/>
      <c r="AE7" s="21"/>
      <c r="AF7" s="21"/>
      <c r="AG7" s="21"/>
      <c r="AH7" s="21"/>
      <c r="AI7" s="21"/>
      <c r="AJ7" s="21"/>
      <c r="AK7" s="21"/>
      <c r="AL7" s="21"/>
      <c r="AM7" s="21"/>
      <c r="AN7" s="21"/>
      <c r="AO7" s="21"/>
      <c r="AP7" s="21"/>
      <c r="AQ7" s="21"/>
      <c r="AR7" s="21"/>
      <c r="AS7" s="21"/>
      <c r="AT7" s="21"/>
      <c r="AU7" s="21"/>
      <c r="AV7" s="21"/>
      <c r="AW7" s="21"/>
      <c r="BJ7" s="22"/>
    </row>
    <row r="8" spans="1:62" s="18" customFormat="1" ht="20.25" customHeight="1">
      <c r="A8" s="19"/>
      <c r="B8" s="18" t="s">
        <v>274</v>
      </c>
      <c r="C8" s="13"/>
      <c r="D8" s="13"/>
      <c r="E8" s="13"/>
      <c r="F8" s="13"/>
      <c r="G8" s="13"/>
      <c r="H8" s="20"/>
      <c r="I8" s="18" t="s">
        <v>275</v>
      </c>
      <c r="O8" s="21"/>
      <c r="P8" s="21"/>
      <c r="Q8" s="21"/>
      <c r="R8" s="21"/>
      <c r="S8" s="21"/>
      <c r="T8" s="21"/>
      <c r="U8" s="21"/>
      <c r="V8" s="21"/>
      <c r="W8" s="21"/>
      <c r="X8" s="21"/>
      <c r="AC8" s="21"/>
      <c r="AD8" s="21"/>
      <c r="AE8" s="21"/>
      <c r="AF8" s="21"/>
      <c r="AG8" s="21"/>
      <c r="AH8" s="21"/>
      <c r="AI8" s="21"/>
      <c r="AJ8" s="21"/>
      <c r="AK8" s="21"/>
      <c r="AL8" s="21"/>
      <c r="AM8" s="21"/>
      <c r="AN8" s="21"/>
      <c r="AO8" s="21"/>
      <c r="AP8" s="21"/>
      <c r="AQ8" s="21"/>
      <c r="AR8" s="21"/>
      <c r="AS8" s="21"/>
      <c r="AT8" s="21"/>
      <c r="AU8" s="21"/>
      <c r="AV8" s="21"/>
      <c r="AW8" s="21"/>
      <c r="AX8" s="21"/>
      <c r="BJ8" s="22"/>
    </row>
    <row r="9" spans="1:62" s="18" customFormat="1" ht="20.25" customHeight="1">
      <c r="A9" s="19"/>
      <c r="H9" s="19"/>
      <c r="BJ9" s="22"/>
    </row>
    <row r="10" spans="1:62" s="18" customFormat="1" ht="20.25" customHeight="1">
      <c r="A10" s="19"/>
      <c r="H10" s="19"/>
      <c r="AC10" s="21"/>
      <c r="AD10" s="21"/>
      <c r="AE10" s="21"/>
      <c r="AF10" s="21"/>
      <c r="AG10" s="21"/>
      <c r="AH10" s="21"/>
      <c r="AI10" s="21"/>
      <c r="AJ10" s="21"/>
      <c r="AK10" s="21"/>
      <c r="AL10" s="21"/>
      <c r="AM10" s="21"/>
      <c r="AN10" s="21"/>
      <c r="AO10" s="21"/>
      <c r="AP10" s="21"/>
      <c r="AQ10" s="21"/>
      <c r="AR10" s="21"/>
      <c r="AS10" s="21"/>
      <c r="AT10" s="21"/>
      <c r="AU10" s="21"/>
      <c r="AV10" s="21"/>
      <c r="AW10" s="21"/>
      <c r="BJ10" s="22"/>
    </row>
    <row r="11" spans="1:62" s="18" customFormat="1" ht="20.25" customHeight="1">
      <c r="A11" s="19"/>
      <c r="H11" s="19"/>
      <c r="AC11" s="21"/>
      <c r="AD11" s="21"/>
      <c r="AE11" s="21"/>
      <c r="AF11" s="21"/>
      <c r="AG11" s="21"/>
      <c r="AH11" s="21"/>
      <c r="AI11" s="21"/>
      <c r="AJ11" s="21"/>
      <c r="AK11" s="21"/>
      <c r="AL11" s="21"/>
      <c r="AM11" s="21"/>
      <c r="AN11" s="21"/>
      <c r="AO11" s="21"/>
      <c r="AP11" s="21"/>
      <c r="AQ11" s="21"/>
      <c r="AR11" s="21"/>
      <c r="AS11" s="21"/>
      <c r="AT11" s="21"/>
      <c r="AU11" s="21"/>
      <c r="AV11" s="21"/>
      <c r="AW11" s="21"/>
      <c r="BJ11" s="22"/>
    </row>
    <row r="12" spans="1:62" s="18" customFormat="1" ht="20.25" customHeight="1">
      <c r="A12" s="19"/>
      <c r="H12" s="19"/>
      <c r="BJ12" s="22"/>
    </row>
    <row r="13" spans="1:62" s="18" customFormat="1" ht="20.25" customHeight="1">
      <c r="A13" s="19"/>
      <c r="H13" s="19"/>
      <c r="AC13" s="21"/>
      <c r="AD13" s="21"/>
      <c r="AE13" s="21"/>
      <c r="AF13" s="21"/>
      <c r="AG13" s="21"/>
      <c r="AH13" s="21"/>
      <c r="AI13" s="21"/>
      <c r="AJ13" s="21"/>
      <c r="AK13" s="21"/>
      <c r="AL13" s="21"/>
      <c r="AM13" s="21"/>
      <c r="AN13" s="21"/>
      <c r="AO13" s="21"/>
      <c r="AP13" s="21"/>
      <c r="AQ13" s="21"/>
      <c r="AR13" s="21"/>
      <c r="AS13" s="21"/>
      <c r="AT13" s="21"/>
      <c r="AU13" s="21"/>
      <c r="AV13" s="21"/>
      <c r="AW13" s="21"/>
      <c r="BJ13" s="22"/>
    </row>
    <row r="14" spans="1:62" s="18" customFormat="1" ht="20.25" customHeight="1">
      <c r="A14" s="19"/>
      <c r="H14" s="19"/>
      <c r="AC14" s="21"/>
      <c r="AD14" s="21"/>
      <c r="AE14" s="21"/>
      <c r="AF14" s="21"/>
      <c r="AG14" s="21"/>
      <c r="AH14" s="21"/>
      <c r="AI14" s="21"/>
      <c r="AJ14" s="21"/>
      <c r="AK14" s="21"/>
      <c r="AL14" s="21"/>
      <c r="AM14" s="21"/>
      <c r="AN14" s="21"/>
      <c r="AO14" s="21"/>
      <c r="AP14" s="21"/>
      <c r="AQ14" s="21"/>
      <c r="AR14" s="21"/>
      <c r="AS14" s="21"/>
      <c r="AT14" s="21"/>
      <c r="AU14" s="21"/>
      <c r="AV14" s="21"/>
      <c r="AW14" s="21"/>
      <c r="BJ14" s="22"/>
    </row>
    <row r="15" spans="1:62" s="18" customFormat="1" ht="20.25" customHeight="1">
      <c r="A15" s="19"/>
      <c r="H15" s="19"/>
      <c r="BJ15" s="22"/>
    </row>
    <row r="16" spans="1:62" s="18" customFormat="1" ht="20.25" customHeight="1">
      <c r="A16" s="19"/>
      <c r="H16" s="19"/>
      <c r="AC16" s="21"/>
      <c r="AD16" s="21"/>
      <c r="AE16" s="21"/>
      <c r="AF16" s="21"/>
      <c r="AG16" s="21"/>
      <c r="AH16" s="21"/>
      <c r="AI16" s="21"/>
      <c r="AJ16" s="21"/>
      <c r="AK16" s="21"/>
      <c r="AL16" s="21"/>
      <c r="AM16" s="21"/>
      <c r="AN16" s="21"/>
      <c r="AO16" s="21"/>
      <c r="AP16" s="21"/>
      <c r="AQ16" s="21"/>
      <c r="AR16" s="21"/>
      <c r="AS16" s="21"/>
      <c r="AT16" s="21"/>
      <c r="AU16" s="21"/>
      <c r="AV16" s="21"/>
      <c r="AW16" s="21"/>
      <c r="BJ16" s="22"/>
    </row>
    <row r="17" spans="1:62" s="18" customFormat="1" ht="20.25" customHeight="1">
      <c r="A17" s="19"/>
      <c r="H17" s="19"/>
      <c r="AC17" s="21"/>
      <c r="AD17" s="21"/>
      <c r="AE17" s="21"/>
      <c r="AF17" s="21"/>
      <c r="AG17" s="21"/>
      <c r="AH17" s="21"/>
      <c r="AI17" s="21"/>
      <c r="AJ17" s="21"/>
      <c r="AK17" s="21"/>
      <c r="AL17" s="21"/>
      <c r="AM17" s="21"/>
      <c r="AN17" s="21"/>
      <c r="AO17" s="21"/>
      <c r="AP17" s="21"/>
      <c r="AQ17" s="21"/>
      <c r="AR17" s="21"/>
      <c r="AS17" s="21"/>
      <c r="AT17" s="21"/>
      <c r="AU17" s="21"/>
      <c r="AV17" s="21"/>
      <c r="AW17" s="21"/>
      <c r="BJ17" s="22"/>
    </row>
    <row r="18" spans="1:62" s="18" customFormat="1" ht="20.25" customHeight="1">
      <c r="A18" s="19"/>
      <c r="H18" s="19"/>
      <c r="BJ18" s="22"/>
    </row>
    <row r="19" spans="1:62" s="18" customFormat="1" ht="20.25" customHeight="1">
      <c r="A19" s="19"/>
      <c r="H19" s="19"/>
      <c r="AC19" s="21"/>
      <c r="AD19" s="21"/>
      <c r="AE19" s="21"/>
      <c r="AF19" s="21"/>
      <c r="AG19" s="21"/>
      <c r="AH19" s="21"/>
      <c r="AI19" s="21"/>
      <c r="AJ19" s="21"/>
      <c r="AK19" s="21"/>
      <c r="AL19" s="21"/>
      <c r="AM19" s="21"/>
      <c r="AN19" s="21"/>
      <c r="AO19" s="21"/>
      <c r="AP19" s="21"/>
      <c r="AQ19" s="21"/>
      <c r="AR19" s="21"/>
      <c r="AS19" s="21"/>
      <c r="AT19" s="21"/>
      <c r="AU19" s="21"/>
      <c r="AV19" s="21"/>
      <c r="AW19" s="21"/>
      <c r="BJ19" s="22"/>
    </row>
    <row r="20" spans="1:62" s="18" customFormat="1" ht="20.25" customHeight="1">
      <c r="A20" s="19"/>
      <c r="H20" s="19"/>
      <c r="AC20" s="21"/>
      <c r="AD20" s="21"/>
      <c r="AE20" s="21"/>
      <c r="AF20" s="21"/>
      <c r="AG20" s="21"/>
      <c r="AH20" s="21"/>
      <c r="AI20" s="21"/>
      <c r="AJ20" s="21"/>
      <c r="AK20" s="21"/>
      <c r="AL20" s="21"/>
      <c r="AM20" s="21"/>
      <c r="AN20" s="21"/>
      <c r="AO20" s="21"/>
      <c r="AP20" s="21"/>
      <c r="AQ20" s="21"/>
      <c r="AR20" s="21"/>
      <c r="AS20" s="21"/>
      <c r="AT20" s="21"/>
      <c r="AU20" s="21"/>
      <c r="AV20" s="21"/>
      <c r="AW20" s="21"/>
      <c r="BJ20" s="22"/>
    </row>
    <row r="21" spans="1:62" s="18" customFormat="1" ht="20.25" customHeight="1">
      <c r="A21" s="19"/>
      <c r="H21" s="19"/>
      <c r="BJ21" s="22"/>
    </row>
    <row r="22" spans="1:62" s="18" customFormat="1" ht="20.25" customHeight="1">
      <c r="A22" s="19"/>
      <c r="H22" s="19"/>
      <c r="AC22" s="21"/>
      <c r="AD22" s="21"/>
      <c r="AE22" s="21"/>
      <c r="AF22" s="21"/>
      <c r="AG22" s="21"/>
      <c r="AH22" s="21"/>
      <c r="AI22" s="21"/>
      <c r="AJ22" s="21"/>
      <c r="AK22" s="21"/>
      <c r="AL22" s="21"/>
      <c r="AM22" s="21"/>
      <c r="AN22" s="21"/>
      <c r="AO22" s="21"/>
      <c r="AP22" s="21"/>
      <c r="AQ22" s="21"/>
      <c r="AR22" s="21"/>
      <c r="AS22" s="21"/>
      <c r="AT22" s="21"/>
      <c r="AU22" s="21"/>
      <c r="AV22" s="21"/>
      <c r="AW22" s="21"/>
      <c r="BJ22" s="22"/>
    </row>
    <row r="23" spans="1:62" s="18" customFormat="1" ht="20.25" customHeight="1">
      <c r="A23" s="19"/>
      <c r="H23" s="19"/>
      <c r="AC23" s="21"/>
      <c r="AD23" s="21"/>
      <c r="AE23" s="21"/>
      <c r="AF23" s="21"/>
      <c r="AG23" s="21"/>
      <c r="AH23" s="21"/>
      <c r="AI23" s="21"/>
      <c r="AJ23" s="21"/>
      <c r="AK23" s="21"/>
      <c r="AL23" s="21"/>
      <c r="AM23" s="21"/>
      <c r="AN23" s="21"/>
      <c r="AO23" s="21"/>
      <c r="AP23" s="21"/>
      <c r="AQ23" s="21"/>
      <c r="AR23" s="21"/>
      <c r="AS23" s="21"/>
      <c r="AT23" s="21"/>
      <c r="AU23" s="21"/>
      <c r="AV23" s="21"/>
      <c r="AW23" s="21"/>
      <c r="BJ23" s="22"/>
    </row>
    <row r="24" spans="1:62" s="18" customFormat="1" ht="20.25" customHeight="1">
      <c r="A24" s="19"/>
      <c r="H24" s="19"/>
      <c r="BJ24" s="22"/>
    </row>
    <row r="25" spans="1:62" s="18" customFormat="1" ht="20.25" customHeight="1">
      <c r="A25" s="19"/>
      <c r="H25" s="19"/>
      <c r="O25" s="21"/>
      <c r="P25" s="21"/>
      <c r="Q25" s="21"/>
      <c r="R25" s="21"/>
      <c r="S25" s="21"/>
      <c r="T25" s="21"/>
      <c r="U25" s="21"/>
      <c r="V25" s="21"/>
      <c r="W25" s="21"/>
      <c r="X25" s="21"/>
      <c r="AC25" s="21"/>
      <c r="AD25" s="21"/>
      <c r="AE25" s="21"/>
      <c r="AF25" s="21"/>
      <c r="AG25" s="21"/>
      <c r="AH25" s="21"/>
      <c r="AI25" s="21"/>
      <c r="AJ25" s="21"/>
      <c r="AK25" s="21"/>
      <c r="AL25" s="21"/>
      <c r="AM25" s="21"/>
      <c r="AN25" s="21"/>
      <c r="AO25" s="21"/>
      <c r="AP25" s="21"/>
      <c r="AQ25" s="21"/>
      <c r="AR25" s="21"/>
      <c r="AS25" s="21"/>
      <c r="AT25" s="21"/>
      <c r="AU25" s="21"/>
      <c r="AV25" s="21"/>
      <c r="AW25" s="21"/>
      <c r="BJ25" s="22"/>
    </row>
    <row r="26" spans="1:62" s="18" customFormat="1" ht="20.25" customHeight="1">
      <c r="A26" s="19"/>
      <c r="H26" s="19"/>
      <c r="O26" s="21"/>
      <c r="P26" s="21"/>
      <c r="Q26" s="21"/>
      <c r="R26" s="21"/>
      <c r="S26" s="21"/>
      <c r="T26" s="21"/>
      <c r="U26" s="21"/>
      <c r="V26" s="21"/>
      <c r="W26" s="21"/>
      <c r="X26" s="21"/>
      <c r="AC26" s="21"/>
      <c r="AD26" s="21"/>
      <c r="AE26" s="21"/>
      <c r="AF26" s="21"/>
      <c r="AG26" s="21"/>
      <c r="AH26" s="21"/>
      <c r="AI26" s="21"/>
      <c r="AJ26" s="21"/>
      <c r="AK26" s="21"/>
      <c r="AL26" s="21"/>
      <c r="AM26" s="21"/>
      <c r="AN26" s="21"/>
      <c r="AO26" s="21"/>
      <c r="AP26" s="21"/>
      <c r="AQ26" s="21"/>
      <c r="AR26" s="21"/>
      <c r="AS26" s="21"/>
      <c r="AT26" s="21"/>
      <c r="AU26" s="21"/>
      <c r="AV26" s="21"/>
      <c r="AW26" s="21"/>
      <c r="BJ26" s="22"/>
    </row>
    <row r="27" spans="1:62" s="18" customFormat="1" ht="20.25" customHeight="1">
      <c r="A27" s="19"/>
      <c r="H27" s="19"/>
      <c r="BJ27" s="22"/>
    </row>
    <row r="28" spans="1:62" s="18" customFormat="1" ht="20.25" customHeight="1">
      <c r="A28" s="19"/>
      <c r="H28" s="19"/>
      <c r="AC28" s="21"/>
      <c r="AD28" s="21"/>
      <c r="AE28" s="21"/>
      <c r="AF28" s="21"/>
      <c r="AG28" s="21"/>
      <c r="AH28" s="21"/>
      <c r="AI28" s="21"/>
      <c r="AJ28" s="21"/>
      <c r="AK28" s="21"/>
      <c r="AL28" s="21"/>
      <c r="AM28" s="21"/>
      <c r="AN28" s="21"/>
      <c r="AO28" s="21"/>
      <c r="AP28" s="21"/>
      <c r="AQ28" s="21"/>
      <c r="AR28" s="21"/>
      <c r="AS28" s="21"/>
      <c r="AT28" s="21"/>
      <c r="AU28" s="21"/>
      <c r="AV28" s="21"/>
      <c r="AW28" s="21"/>
      <c r="BJ28" s="22"/>
    </row>
    <row r="29" spans="1:62" s="18" customFormat="1" ht="20.25" customHeight="1">
      <c r="A29" s="19"/>
      <c r="H29" s="19"/>
      <c r="AC29" s="21"/>
      <c r="AD29" s="21"/>
      <c r="AE29" s="21"/>
      <c r="AF29" s="21"/>
      <c r="AG29" s="21"/>
      <c r="AH29" s="21"/>
      <c r="AI29" s="21"/>
      <c r="AJ29" s="21"/>
      <c r="AK29" s="21"/>
      <c r="AL29" s="21"/>
      <c r="AM29" s="21"/>
      <c r="AN29" s="21"/>
      <c r="AO29" s="21"/>
      <c r="AP29" s="21"/>
      <c r="AQ29" s="21"/>
      <c r="AR29" s="21"/>
      <c r="AS29" s="21"/>
      <c r="AT29" s="21"/>
      <c r="AU29" s="21"/>
      <c r="AV29" s="21"/>
      <c r="AW29" s="21"/>
      <c r="BJ29" s="22"/>
    </row>
    <row r="30" spans="1:62" s="18" customFormat="1" ht="20.25" customHeight="1">
      <c r="A30" s="19"/>
      <c r="H30" s="19"/>
      <c r="BJ30" s="22"/>
    </row>
    <row r="31" spans="1:62" s="18" customFormat="1" ht="20.25" customHeight="1">
      <c r="A31" s="19"/>
      <c r="H31" s="19"/>
      <c r="BJ31" s="22"/>
    </row>
    <row r="32" spans="1:62" s="18" customFormat="1" ht="20.25" customHeight="1">
      <c r="A32" s="19"/>
      <c r="H32" s="19"/>
      <c r="BJ32" s="22"/>
    </row>
    <row r="33" spans="1:62" s="18" customFormat="1" ht="20.25" customHeight="1">
      <c r="A33" s="19"/>
      <c r="H33" s="19"/>
      <c r="BJ33" s="22"/>
    </row>
    <row r="34" spans="1:62" s="18" customFormat="1" ht="20.25" customHeight="1">
      <c r="A34" s="19"/>
      <c r="H34" s="19"/>
      <c r="BJ34" s="22"/>
    </row>
    <row r="35" spans="1:62" s="18" customFormat="1" ht="20.25" customHeight="1">
      <c r="A35" s="19"/>
      <c r="H35" s="19"/>
      <c r="BJ35" s="22"/>
    </row>
    <row r="36" spans="1:62" s="18" customFormat="1" ht="20.25" customHeight="1">
      <c r="A36" s="19"/>
      <c r="H36" s="19"/>
      <c r="BJ36" s="22"/>
    </row>
    <row r="37" spans="1:62" s="18" customFormat="1" ht="20.25" customHeight="1">
      <c r="A37" s="19"/>
      <c r="H37" s="19"/>
      <c r="BJ37" s="22"/>
    </row>
    <row r="38" spans="1:62" s="18" customFormat="1" ht="20.25" customHeight="1">
      <c r="A38" s="19"/>
      <c r="H38" s="19"/>
      <c r="BJ38" s="22"/>
    </row>
    <row r="39" spans="1:62" s="18" customFormat="1" ht="20.25" customHeight="1">
      <c r="A39" s="19"/>
      <c r="H39" s="19"/>
      <c r="BJ39" s="22"/>
    </row>
    <row r="40" spans="1:62" s="18" customFormat="1" ht="20.25" customHeight="1">
      <c r="A40" s="19"/>
      <c r="H40" s="19"/>
      <c r="BJ40" s="22"/>
    </row>
    <row r="41" spans="1:62" s="18" customFormat="1" ht="20.25" customHeight="1">
      <c r="A41" s="19"/>
      <c r="H41" s="19"/>
      <c r="BJ41" s="22"/>
    </row>
    <row r="42" spans="1:62" s="18" customFormat="1" ht="20.25" customHeight="1">
      <c r="A42" s="19"/>
      <c r="H42" s="19"/>
      <c r="BJ42" s="22"/>
    </row>
    <row r="43" spans="1:62" s="18" customFormat="1" ht="20.25" customHeight="1">
      <c r="A43" s="19"/>
      <c r="H43" s="19"/>
      <c r="BJ43" s="22"/>
    </row>
    <row r="44" spans="1:62" s="18" customFormat="1" ht="20.25" customHeight="1">
      <c r="A44" s="19"/>
      <c r="H44" s="19"/>
      <c r="BJ44" s="22"/>
    </row>
    <row r="45" spans="1:62" s="18" customFormat="1" ht="20.25" customHeight="1">
      <c r="A45" s="19"/>
      <c r="H45" s="19"/>
      <c r="BJ45" s="22"/>
    </row>
    <row r="46" spans="1:62" s="18" customFormat="1" ht="20.25" customHeight="1">
      <c r="A46" s="19"/>
      <c r="H46" s="19"/>
      <c r="BJ46" s="22"/>
    </row>
    <row r="47" spans="1:62" s="18" customFormat="1" ht="20.25" customHeight="1">
      <c r="A47" s="19"/>
      <c r="H47" s="19"/>
      <c r="BJ47" s="22"/>
    </row>
    <row r="48" spans="1:62" s="18" customFormat="1" ht="20.25" customHeight="1">
      <c r="A48" s="19"/>
      <c r="H48" s="19"/>
      <c r="BJ48" s="22"/>
    </row>
    <row r="49" spans="1:62" s="18" customFormat="1" ht="20.25" customHeight="1">
      <c r="A49" s="19"/>
      <c r="H49" s="19"/>
      <c r="BJ49" s="22"/>
    </row>
    <row r="50" spans="1:62" s="18" customFormat="1" ht="20.25" customHeight="1">
      <c r="A50" s="19"/>
      <c r="H50" s="19"/>
      <c r="BJ50" s="22"/>
    </row>
    <row r="51" spans="1:62" s="18" customFormat="1" ht="20.25" customHeight="1">
      <c r="A51" s="19"/>
      <c r="H51" s="19"/>
      <c r="BJ51" s="22"/>
    </row>
    <row r="52" spans="1:62" s="18" customFormat="1" ht="20.25" customHeight="1">
      <c r="A52" s="19"/>
      <c r="H52" s="19"/>
      <c r="BJ52" s="22"/>
    </row>
    <row r="53" spans="1:62" s="18" customFormat="1" ht="20.25" customHeight="1">
      <c r="A53" s="19"/>
      <c r="H53" s="19"/>
      <c r="BJ53" s="22"/>
    </row>
    <row r="54" spans="1:62" s="18" customFormat="1" ht="20.25" customHeight="1">
      <c r="A54" s="19"/>
      <c r="H54" s="19"/>
      <c r="BJ54" s="22"/>
    </row>
    <row r="55" spans="1:62" s="18" customFormat="1" ht="20.25" customHeight="1">
      <c r="A55" s="19"/>
      <c r="H55" s="19"/>
      <c r="BJ55" s="22"/>
    </row>
    <row r="56" spans="1:62" s="18" customFormat="1" ht="20.25" customHeight="1">
      <c r="A56" s="19"/>
      <c r="H56" s="19"/>
      <c r="BJ56" s="22"/>
    </row>
    <row r="57" spans="1:62" s="18" customFormat="1" ht="20.25" customHeight="1">
      <c r="A57" s="19"/>
      <c r="H57" s="19"/>
      <c r="BJ57" s="22"/>
    </row>
    <row r="58" spans="1:62" s="18" customFormat="1" ht="20.25" customHeight="1">
      <c r="A58" s="23"/>
      <c r="B58" s="24"/>
      <c r="C58" s="24"/>
      <c r="D58" s="24"/>
      <c r="E58" s="24"/>
      <c r="F58" s="24"/>
      <c r="G58" s="24"/>
      <c r="H58" s="23"/>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5"/>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8"/>
  <pageMargins left="0.67" right="0.39" top="0.39370078740157483" bottom="0.39370078740157483" header="0.56000000000000005" footer="0.51181102362204722"/>
  <pageSetup paperSize="9" scale="71" fitToHeight="0" orientation="portrait" horizontalDpi="360" verticalDpi="360"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043-C3B7-4D33-8D3E-A90D27B0564A}">
  <sheetPr codeName="Sheet2">
    <pageSetUpPr fitToPage="1"/>
  </sheetPr>
  <dimension ref="A1:BY63"/>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83" t="s">
        <v>11</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5"/>
      <c r="AT2" s="77" t="s">
        <v>3</v>
      </c>
      <c r="AU2" s="78"/>
      <c r="AV2" s="78"/>
      <c r="AW2" s="78"/>
      <c r="AX2" s="79"/>
      <c r="AY2" s="77" t="s">
        <v>273</v>
      </c>
      <c r="AZ2" s="78"/>
      <c r="BA2" s="78"/>
      <c r="BB2" s="79"/>
      <c r="BC2" s="77" t="s">
        <v>5</v>
      </c>
      <c r="BD2" s="78"/>
      <c r="BE2" s="78"/>
      <c r="BF2" s="79"/>
      <c r="BG2" s="77"/>
      <c r="BH2" s="78"/>
      <c r="BI2" s="78"/>
      <c r="BJ2" s="79"/>
    </row>
    <row r="3" spans="1:62" s="1" customFormat="1" ht="18" customHeight="1">
      <c r="A3" s="86" t="s">
        <v>6</v>
      </c>
      <c r="B3" s="87"/>
      <c r="C3" s="87"/>
      <c r="D3" s="87"/>
      <c r="E3" s="87"/>
      <c r="F3" s="87"/>
      <c r="G3" s="87"/>
      <c r="H3" s="88"/>
      <c r="I3" s="92" t="s">
        <v>199</v>
      </c>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4"/>
      <c r="AT3" s="77" t="s">
        <v>7</v>
      </c>
      <c r="AU3" s="78"/>
      <c r="AV3" s="78"/>
      <c r="AW3" s="78"/>
      <c r="AX3" s="79"/>
      <c r="AY3" s="77" t="s">
        <v>198</v>
      </c>
      <c r="AZ3" s="78"/>
      <c r="BA3" s="78"/>
      <c r="BB3" s="78"/>
      <c r="BC3" s="78"/>
      <c r="BD3" s="78"/>
      <c r="BE3" s="78"/>
      <c r="BF3" s="78"/>
      <c r="BG3" s="78"/>
      <c r="BH3" s="78"/>
      <c r="BI3" s="78"/>
      <c r="BJ3" s="79"/>
    </row>
    <row r="4" spans="1:62" s="1" customFormat="1" ht="18" customHeight="1">
      <c r="A4" s="89"/>
      <c r="B4" s="90"/>
      <c r="C4" s="90"/>
      <c r="D4" s="90"/>
      <c r="E4" s="90"/>
      <c r="F4" s="90"/>
      <c r="G4" s="90"/>
      <c r="H4" s="91"/>
      <c r="I4" s="95"/>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7"/>
      <c r="AT4" s="77" t="s">
        <v>8</v>
      </c>
      <c r="AU4" s="78"/>
      <c r="AV4" s="78"/>
      <c r="AW4" s="78"/>
      <c r="AX4" s="79"/>
      <c r="AY4" s="77"/>
      <c r="AZ4" s="78"/>
      <c r="BA4" s="78"/>
      <c r="BB4" s="78"/>
      <c r="BC4" s="78"/>
      <c r="BD4" s="78"/>
      <c r="BE4" s="78"/>
      <c r="BF4" s="78"/>
      <c r="BG4" s="78"/>
      <c r="BH4" s="78"/>
      <c r="BI4" s="78"/>
      <c r="BJ4" s="79"/>
    </row>
    <row r="5" spans="1:62" s="10" customFormat="1" ht="6" customHeight="1"/>
    <row r="6" spans="1:62" s="12" customFormat="1" ht="20.25" customHeight="1">
      <c r="A6" s="134" t="s">
        <v>12</v>
      </c>
      <c r="B6" s="135"/>
      <c r="C6" s="135"/>
      <c r="D6" s="135"/>
      <c r="E6" s="135"/>
      <c r="F6" s="135"/>
      <c r="G6" s="135"/>
      <c r="H6" s="135"/>
      <c r="I6" s="135"/>
      <c r="J6" s="135"/>
      <c r="K6" s="136"/>
      <c r="L6" s="134" t="s">
        <v>184</v>
      </c>
      <c r="M6" s="135"/>
      <c r="N6" s="135"/>
      <c r="O6" s="135"/>
      <c r="P6" s="135"/>
      <c r="Q6" s="135"/>
      <c r="R6" s="135"/>
      <c r="S6" s="135"/>
      <c r="T6" s="135"/>
      <c r="U6" s="135"/>
      <c r="V6" s="135"/>
      <c r="W6" s="135"/>
      <c r="X6" s="135"/>
      <c r="Y6" s="135"/>
      <c r="Z6" s="135"/>
      <c r="AA6" s="136"/>
      <c r="AB6" s="134" t="s">
        <v>13</v>
      </c>
      <c r="AC6" s="135"/>
      <c r="AD6" s="135"/>
      <c r="AE6" s="135"/>
      <c r="AF6" s="135"/>
      <c r="AG6" s="135"/>
      <c r="AH6" s="135"/>
      <c r="AI6" s="135"/>
      <c r="AJ6" s="136"/>
      <c r="AK6" s="134" t="s">
        <v>194</v>
      </c>
      <c r="AL6" s="135"/>
      <c r="AM6" s="135"/>
      <c r="AN6" s="136"/>
      <c r="AO6" s="134" t="s">
        <v>15</v>
      </c>
      <c r="AP6" s="135"/>
      <c r="AQ6" s="135"/>
      <c r="AR6" s="135"/>
      <c r="AS6" s="135"/>
      <c r="AT6" s="135"/>
      <c r="AU6" s="135"/>
      <c r="AV6" s="135"/>
      <c r="AW6" s="136"/>
      <c r="AX6" s="134" t="s">
        <v>14</v>
      </c>
      <c r="AY6" s="135"/>
      <c r="AZ6" s="135"/>
      <c r="BA6" s="136"/>
      <c r="BB6" s="121" t="s">
        <v>16</v>
      </c>
      <c r="BC6" s="121"/>
      <c r="BD6" s="121"/>
      <c r="BE6" s="121"/>
      <c r="BF6" s="121">
        <f>COUNTA(D22:D435)</f>
        <v>42</v>
      </c>
      <c r="BG6" s="121"/>
      <c r="BH6" s="121"/>
      <c r="BI6" s="121"/>
      <c r="BJ6" s="121"/>
    </row>
    <row r="7" spans="1:62" s="12" customFormat="1" ht="20.25" customHeight="1">
      <c r="A7" s="134" t="s">
        <v>17</v>
      </c>
      <c r="B7" s="135"/>
      <c r="C7" s="135"/>
      <c r="D7" s="135"/>
      <c r="E7" s="135"/>
      <c r="F7" s="135"/>
      <c r="G7" s="135"/>
      <c r="H7" s="135"/>
      <c r="I7" s="135"/>
      <c r="J7" s="135"/>
      <c r="K7" s="136"/>
      <c r="L7" s="134" t="s">
        <v>276</v>
      </c>
      <c r="M7" s="135"/>
      <c r="N7" s="135"/>
      <c r="O7" s="135"/>
      <c r="P7" s="135"/>
      <c r="Q7" s="135"/>
      <c r="R7" s="135"/>
      <c r="S7" s="135"/>
      <c r="T7" s="135"/>
      <c r="U7" s="135"/>
      <c r="V7" s="135"/>
      <c r="W7" s="135"/>
      <c r="X7" s="135"/>
      <c r="Y7" s="135"/>
      <c r="Z7" s="135"/>
      <c r="AA7" s="135"/>
      <c r="AB7" s="135"/>
      <c r="AC7" s="135"/>
      <c r="AD7" s="135"/>
      <c r="AE7" s="135"/>
      <c r="AF7" s="135"/>
      <c r="AG7" s="135"/>
      <c r="AH7" s="135"/>
      <c r="AI7" s="135"/>
      <c r="AJ7" s="136"/>
      <c r="AK7" s="134" t="s">
        <v>84</v>
      </c>
      <c r="AL7" s="135"/>
      <c r="AM7" s="135"/>
      <c r="AN7" s="135"/>
      <c r="AO7" s="135"/>
      <c r="AP7" s="135"/>
      <c r="AQ7" s="135"/>
      <c r="AR7" s="136"/>
      <c r="AS7" s="134" t="s">
        <v>206</v>
      </c>
      <c r="AT7" s="135"/>
      <c r="AU7" s="135"/>
      <c r="AV7" s="135"/>
      <c r="AW7" s="135"/>
      <c r="AX7" s="136"/>
      <c r="AY7" s="33" t="s">
        <v>18</v>
      </c>
      <c r="AZ7" s="34"/>
      <c r="BA7" s="34"/>
      <c r="BB7" s="34"/>
      <c r="BC7" s="134" t="s">
        <v>19</v>
      </c>
      <c r="BD7" s="136"/>
      <c r="BE7" s="134" t="s">
        <v>20</v>
      </c>
      <c r="BF7" s="135"/>
      <c r="BG7" s="135"/>
      <c r="BH7" s="136"/>
      <c r="BI7" s="134"/>
      <c r="BJ7" s="136"/>
    </row>
    <row r="8" spans="1:62" s="12" customFormat="1" ht="5.25" customHeight="1">
      <c r="A8" s="53"/>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BC8" s="53"/>
      <c r="BD8" s="53"/>
      <c r="BE8" s="53"/>
      <c r="BF8" s="53"/>
      <c r="BG8" s="53"/>
      <c r="BH8" s="53"/>
      <c r="BI8" s="53"/>
      <c r="BJ8" s="53"/>
    </row>
    <row r="9" spans="1:62" s="12" customFormat="1" ht="20.25" customHeight="1">
      <c r="A9" s="54" t="s">
        <v>173</v>
      </c>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BC9" s="53"/>
      <c r="BD9" s="53"/>
      <c r="BE9" s="53"/>
      <c r="BF9" s="53"/>
      <c r="BG9" s="53"/>
      <c r="BH9" s="53"/>
      <c r="BI9" s="53"/>
      <c r="BJ9" s="53"/>
    </row>
    <row r="10" spans="1:62" s="12" customFormat="1" ht="26.25" customHeight="1">
      <c r="A10" s="121" t="s">
        <v>22</v>
      </c>
      <c r="B10" s="121"/>
      <c r="C10" s="121"/>
      <c r="D10" s="120" t="s">
        <v>174</v>
      </c>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1" t="s">
        <v>175</v>
      </c>
      <c r="AT10" s="121"/>
      <c r="AU10" s="121"/>
      <c r="AV10" s="121"/>
      <c r="AW10" s="121"/>
      <c r="AX10" s="121"/>
      <c r="AY10" s="121"/>
      <c r="AZ10" s="121"/>
      <c r="BA10" s="121"/>
      <c r="BB10" s="121"/>
      <c r="BC10" s="121"/>
      <c r="BD10" s="121"/>
      <c r="BE10" s="121"/>
      <c r="BF10" s="121"/>
      <c r="BG10" s="121"/>
      <c r="BH10" s="121"/>
      <c r="BI10" s="121"/>
      <c r="BJ10" s="121"/>
    </row>
    <row r="11" spans="1:62" s="12" customFormat="1" ht="26.25" customHeight="1">
      <c r="A11" s="123">
        <f>ROW()-10</f>
        <v>1</v>
      </c>
      <c r="B11" s="123"/>
      <c r="C11" s="123"/>
      <c r="D11" s="124" t="s">
        <v>176</v>
      </c>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3" t="s">
        <v>177</v>
      </c>
      <c r="AT11" s="123"/>
      <c r="AU11" s="123"/>
      <c r="AV11" s="123"/>
      <c r="AW11" s="123"/>
      <c r="AX11" s="123"/>
      <c r="AY11" s="123"/>
      <c r="AZ11" s="123"/>
      <c r="BA11" s="123"/>
      <c r="BB11" s="123"/>
      <c r="BC11" s="123"/>
      <c r="BD11" s="123"/>
      <c r="BE11" s="123"/>
      <c r="BF11" s="123"/>
      <c r="BG11" s="123"/>
      <c r="BH11" s="123"/>
      <c r="BI11" s="123"/>
      <c r="BJ11" s="123"/>
    </row>
    <row r="12" spans="1:62" s="12" customFormat="1" ht="26.25" customHeight="1">
      <c r="A12" s="114">
        <f>ROW()-10</f>
        <v>2</v>
      </c>
      <c r="B12" s="114"/>
      <c r="C12" s="114"/>
      <c r="D12" s="118" t="s">
        <v>178</v>
      </c>
      <c r="E12" s="118"/>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4" t="s">
        <v>177</v>
      </c>
      <c r="AT12" s="114"/>
      <c r="AU12" s="114"/>
      <c r="AV12" s="114"/>
      <c r="AW12" s="114"/>
      <c r="AX12" s="114"/>
      <c r="AY12" s="114"/>
      <c r="AZ12" s="114"/>
      <c r="BA12" s="114"/>
      <c r="BB12" s="114"/>
      <c r="BC12" s="114"/>
      <c r="BD12" s="114"/>
      <c r="BE12" s="114"/>
      <c r="BF12" s="114"/>
      <c r="BG12" s="114"/>
      <c r="BH12" s="114"/>
      <c r="BI12" s="114"/>
      <c r="BJ12" s="114"/>
    </row>
    <row r="13" spans="1:62" s="12" customFormat="1" ht="26.25" customHeight="1">
      <c r="A13" s="114">
        <f t="shared" ref="A13:A18" si="0">ROW()-10</f>
        <v>3</v>
      </c>
      <c r="B13" s="114"/>
      <c r="C13" s="114"/>
      <c r="D13" s="118" t="s">
        <v>179</v>
      </c>
      <c r="E13" s="11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4" t="s">
        <v>177</v>
      </c>
      <c r="AT13" s="114"/>
      <c r="AU13" s="114"/>
      <c r="AV13" s="114"/>
      <c r="AW13" s="114"/>
      <c r="AX13" s="114"/>
      <c r="AY13" s="114"/>
      <c r="AZ13" s="114"/>
      <c r="BA13" s="114"/>
      <c r="BB13" s="114"/>
      <c r="BC13" s="114"/>
      <c r="BD13" s="114"/>
      <c r="BE13" s="114"/>
      <c r="BF13" s="114"/>
      <c r="BG13" s="114"/>
      <c r="BH13" s="114"/>
      <c r="BI13" s="114"/>
      <c r="BJ13" s="114"/>
    </row>
    <row r="14" spans="1:62" s="12" customFormat="1" ht="26.25" customHeight="1">
      <c r="A14" s="114">
        <f>ROW()-10</f>
        <v>4</v>
      </c>
      <c r="B14" s="114"/>
      <c r="C14" s="114"/>
      <c r="D14" s="118" t="s">
        <v>52</v>
      </c>
      <c r="E14" s="11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4" t="s">
        <v>177</v>
      </c>
      <c r="AT14" s="114"/>
      <c r="AU14" s="114"/>
      <c r="AV14" s="114"/>
      <c r="AW14" s="114"/>
      <c r="AX14" s="114"/>
      <c r="AY14" s="114"/>
      <c r="AZ14" s="114"/>
      <c r="BA14" s="114"/>
      <c r="BB14" s="114"/>
      <c r="BC14" s="114"/>
      <c r="BD14" s="114"/>
      <c r="BE14" s="114"/>
      <c r="BF14" s="114"/>
      <c r="BG14" s="114"/>
      <c r="BH14" s="114"/>
      <c r="BI14" s="114"/>
      <c r="BJ14" s="114"/>
    </row>
    <row r="15" spans="1:62" s="12" customFormat="1" ht="26.25" customHeight="1">
      <c r="A15" s="114">
        <f t="shared" si="0"/>
        <v>5</v>
      </c>
      <c r="B15" s="114"/>
      <c r="C15" s="114"/>
      <c r="D15" s="118" t="s">
        <v>180</v>
      </c>
      <c r="E15" s="118"/>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4" t="s">
        <v>177</v>
      </c>
      <c r="AT15" s="114"/>
      <c r="AU15" s="114"/>
      <c r="AV15" s="114"/>
      <c r="AW15" s="114"/>
      <c r="AX15" s="114"/>
      <c r="AY15" s="114"/>
      <c r="AZ15" s="114"/>
      <c r="BA15" s="114"/>
      <c r="BB15" s="114"/>
      <c r="BC15" s="114"/>
      <c r="BD15" s="114"/>
      <c r="BE15" s="114"/>
      <c r="BF15" s="114"/>
      <c r="BG15" s="114"/>
      <c r="BH15" s="114"/>
      <c r="BI15" s="114"/>
      <c r="BJ15" s="114"/>
    </row>
    <row r="16" spans="1:62" s="12" customFormat="1" ht="26.25" customHeight="1">
      <c r="A16" s="114">
        <f>ROW()-10</f>
        <v>6</v>
      </c>
      <c r="B16" s="114"/>
      <c r="C16" s="114"/>
      <c r="D16" s="118" t="s">
        <v>191</v>
      </c>
      <c r="E16" s="118"/>
      <c r="F16" s="118"/>
      <c r="G16" s="118"/>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4" t="s">
        <v>177</v>
      </c>
      <c r="AT16" s="114"/>
      <c r="AU16" s="114"/>
      <c r="AV16" s="114"/>
      <c r="AW16" s="114"/>
      <c r="AX16" s="114"/>
      <c r="AY16" s="114"/>
      <c r="AZ16" s="114"/>
      <c r="BA16" s="114"/>
      <c r="BB16" s="114"/>
      <c r="BC16" s="114"/>
      <c r="BD16" s="114"/>
      <c r="BE16" s="114"/>
      <c r="BF16" s="114"/>
      <c r="BG16" s="114"/>
      <c r="BH16" s="114"/>
      <c r="BI16" s="114"/>
      <c r="BJ16" s="114"/>
    </row>
    <row r="17" spans="1:62" s="12" customFormat="1" ht="26.25" customHeight="1">
      <c r="A17" s="114">
        <f t="shared" si="0"/>
        <v>7</v>
      </c>
      <c r="B17" s="114"/>
      <c r="C17" s="114"/>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4"/>
      <c r="AT17" s="114"/>
      <c r="AU17" s="114"/>
      <c r="AV17" s="114"/>
      <c r="AW17" s="114"/>
      <c r="AX17" s="114"/>
      <c r="AY17" s="114"/>
      <c r="AZ17" s="114"/>
      <c r="BA17" s="114"/>
      <c r="BB17" s="114"/>
      <c r="BC17" s="114"/>
      <c r="BD17" s="114"/>
      <c r="BE17" s="114"/>
      <c r="BF17" s="114"/>
      <c r="BG17" s="114"/>
      <c r="BH17" s="114"/>
      <c r="BI17" s="114"/>
      <c r="BJ17" s="114"/>
    </row>
    <row r="18" spans="1:62" s="12" customFormat="1" ht="26.25" customHeight="1">
      <c r="A18" s="104">
        <f t="shared" si="0"/>
        <v>8</v>
      </c>
      <c r="B18" s="104"/>
      <c r="C18" s="104"/>
      <c r="D18" s="122"/>
      <c r="E18" s="122"/>
      <c r="F18" s="122"/>
      <c r="G18" s="122"/>
      <c r="H18" s="122"/>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04"/>
      <c r="AT18" s="104"/>
      <c r="AU18" s="104"/>
      <c r="AV18" s="104"/>
      <c r="AW18" s="104"/>
      <c r="AX18" s="104"/>
      <c r="AY18" s="104"/>
      <c r="AZ18" s="104"/>
      <c r="BA18" s="104"/>
      <c r="BB18" s="104"/>
      <c r="BC18" s="104"/>
      <c r="BD18" s="104"/>
      <c r="BE18" s="104"/>
      <c r="BF18" s="104"/>
      <c r="BG18" s="104"/>
      <c r="BH18" s="104"/>
      <c r="BI18" s="104"/>
      <c r="BJ18" s="104"/>
    </row>
    <row r="19" spans="1:62" s="12" customFormat="1" ht="10.5" customHeight="1">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BC19" s="53"/>
      <c r="BD19" s="53"/>
      <c r="BE19" s="53"/>
      <c r="BF19" s="53"/>
      <c r="BG19" s="53"/>
      <c r="BH19" s="53"/>
      <c r="BI19" s="53"/>
      <c r="BJ19" s="53"/>
    </row>
    <row r="20" spans="1:62" s="4" customFormat="1">
      <c r="B20" s="27" t="s">
        <v>21</v>
      </c>
      <c r="G20" s="5"/>
    </row>
    <row r="21" spans="1:62" s="12" customFormat="1" ht="42" customHeight="1">
      <c r="A21" s="134" t="s">
        <v>22</v>
      </c>
      <c r="B21" s="135"/>
      <c r="C21" s="136"/>
      <c r="D21" s="134" t="s">
        <v>23</v>
      </c>
      <c r="E21" s="135"/>
      <c r="F21" s="135"/>
      <c r="G21" s="135"/>
      <c r="H21" s="135"/>
      <c r="I21" s="135"/>
      <c r="J21" s="135"/>
      <c r="K21" s="135"/>
      <c r="L21" s="135"/>
      <c r="M21" s="135"/>
      <c r="N21" s="135"/>
      <c r="O21" s="135"/>
      <c r="P21" s="135"/>
      <c r="Q21" s="135"/>
      <c r="R21" s="135"/>
      <c r="S21" s="135"/>
      <c r="T21" s="136"/>
      <c r="U21" s="128" t="s">
        <v>24</v>
      </c>
      <c r="V21" s="129"/>
      <c r="W21" s="129"/>
      <c r="X21" s="129"/>
      <c r="Y21" s="130"/>
      <c r="Z21" s="128" t="s">
        <v>25</v>
      </c>
      <c r="AA21" s="129"/>
      <c r="AB21" s="130"/>
      <c r="AC21" s="128" t="s">
        <v>26</v>
      </c>
      <c r="AD21" s="129"/>
      <c r="AE21" s="130"/>
      <c r="AF21" s="128" t="s">
        <v>27</v>
      </c>
      <c r="AG21" s="129"/>
      <c r="AH21" s="130"/>
      <c r="AI21" s="128" t="s">
        <v>28</v>
      </c>
      <c r="AJ21" s="129"/>
      <c r="AK21" s="130"/>
      <c r="AL21" s="128" t="s">
        <v>29</v>
      </c>
      <c r="AM21" s="129"/>
      <c r="AN21" s="130"/>
      <c r="AO21" s="128" t="s">
        <v>30</v>
      </c>
      <c r="AP21" s="129"/>
      <c r="AQ21" s="130"/>
      <c r="AR21" s="134" t="s">
        <v>31</v>
      </c>
      <c r="AS21" s="135"/>
      <c r="AT21" s="135"/>
      <c r="AU21" s="135"/>
      <c r="AV21" s="135"/>
      <c r="AW21" s="135"/>
      <c r="AX21" s="135"/>
      <c r="AY21" s="135"/>
      <c r="AZ21" s="135"/>
      <c r="BA21" s="135"/>
      <c r="BB21" s="135"/>
      <c r="BC21" s="135"/>
      <c r="BD21" s="135"/>
      <c r="BE21" s="135"/>
      <c r="BF21" s="135"/>
      <c r="BG21" s="135"/>
      <c r="BH21" s="135"/>
      <c r="BI21" s="135"/>
      <c r="BJ21" s="136"/>
    </row>
    <row r="22" spans="1:62" s="11" customFormat="1" ht="49.5" customHeight="1">
      <c r="A22" s="114">
        <f>ROW()-21</f>
        <v>1</v>
      </c>
      <c r="B22" s="114"/>
      <c r="C22" s="114"/>
      <c r="D22" s="115" t="s">
        <v>32</v>
      </c>
      <c r="E22" s="116"/>
      <c r="F22" s="116"/>
      <c r="G22" s="116"/>
      <c r="H22" s="116"/>
      <c r="I22" s="116"/>
      <c r="J22" s="116"/>
      <c r="K22" s="116"/>
      <c r="L22" s="116"/>
      <c r="M22" s="116"/>
      <c r="N22" s="116"/>
      <c r="O22" s="116"/>
      <c r="P22" s="116"/>
      <c r="Q22" s="116"/>
      <c r="R22" s="116"/>
      <c r="S22" s="116"/>
      <c r="T22" s="117"/>
      <c r="U22" s="98" t="s">
        <v>33</v>
      </c>
      <c r="V22" s="99"/>
      <c r="W22" s="99"/>
      <c r="X22" s="99"/>
      <c r="Y22" s="100"/>
      <c r="Z22" s="98">
        <v>8</v>
      </c>
      <c r="AA22" s="99"/>
      <c r="AB22" s="100"/>
      <c r="AC22" s="98"/>
      <c r="AD22" s="99"/>
      <c r="AE22" s="100"/>
      <c r="AF22" s="98"/>
      <c r="AG22" s="99"/>
      <c r="AH22" s="100"/>
      <c r="AI22" s="98"/>
      <c r="AJ22" s="99"/>
      <c r="AK22" s="100"/>
      <c r="AL22" s="98"/>
      <c r="AM22" s="99"/>
      <c r="AN22" s="100"/>
      <c r="AO22" s="98"/>
      <c r="AP22" s="99"/>
      <c r="AQ22" s="100"/>
      <c r="AR22" s="101" t="s">
        <v>34</v>
      </c>
      <c r="AS22" s="102"/>
      <c r="AT22" s="102"/>
      <c r="AU22" s="102"/>
      <c r="AV22" s="102"/>
      <c r="AW22" s="102"/>
      <c r="AX22" s="102"/>
      <c r="AY22" s="102"/>
      <c r="AZ22" s="102"/>
      <c r="BA22" s="102"/>
      <c r="BB22" s="102"/>
      <c r="BC22" s="102"/>
      <c r="BD22" s="102"/>
      <c r="BE22" s="102"/>
      <c r="BF22" s="102"/>
      <c r="BG22" s="102"/>
      <c r="BH22" s="102"/>
      <c r="BI22" s="102"/>
      <c r="BJ22" s="103"/>
    </row>
    <row r="23" spans="1:62" s="11" customFormat="1" ht="54.75" customHeight="1">
      <c r="A23" s="114">
        <f t="shared" ref="A23:A63" si="1">ROW()-21</f>
        <v>2</v>
      </c>
      <c r="B23" s="114"/>
      <c r="C23" s="114"/>
      <c r="D23" s="115" t="s">
        <v>35</v>
      </c>
      <c r="E23" s="116"/>
      <c r="F23" s="116"/>
      <c r="G23" s="116"/>
      <c r="H23" s="116"/>
      <c r="I23" s="116"/>
      <c r="J23" s="116"/>
      <c r="K23" s="116"/>
      <c r="L23" s="116"/>
      <c r="M23" s="116"/>
      <c r="N23" s="116"/>
      <c r="O23" s="116"/>
      <c r="P23" s="116"/>
      <c r="Q23" s="116"/>
      <c r="R23" s="116"/>
      <c r="S23" s="116"/>
      <c r="T23" s="117"/>
      <c r="U23" s="98" t="s">
        <v>33</v>
      </c>
      <c r="V23" s="99"/>
      <c r="W23" s="99"/>
      <c r="X23" s="99"/>
      <c r="Y23" s="100"/>
      <c r="Z23" s="98">
        <v>8</v>
      </c>
      <c r="AA23" s="99"/>
      <c r="AB23" s="100"/>
      <c r="AC23" s="98"/>
      <c r="AD23" s="99"/>
      <c r="AE23" s="100"/>
      <c r="AF23" s="98"/>
      <c r="AG23" s="99"/>
      <c r="AH23" s="100"/>
      <c r="AI23" s="98"/>
      <c r="AJ23" s="99"/>
      <c r="AK23" s="100"/>
      <c r="AL23" s="98"/>
      <c r="AM23" s="99"/>
      <c r="AN23" s="100"/>
      <c r="AO23" s="98"/>
      <c r="AP23" s="99"/>
      <c r="AQ23" s="100"/>
      <c r="AR23" s="101" t="s">
        <v>36</v>
      </c>
      <c r="AS23" s="102"/>
      <c r="AT23" s="102"/>
      <c r="AU23" s="102"/>
      <c r="AV23" s="102"/>
      <c r="AW23" s="102"/>
      <c r="AX23" s="102"/>
      <c r="AY23" s="102"/>
      <c r="AZ23" s="102"/>
      <c r="BA23" s="102"/>
      <c r="BB23" s="102"/>
      <c r="BC23" s="102"/>
      <c r="BD23" s="102"/>
      <c r="BE23" s="102"/>
      <c r="BF23" s="102"/>
      <c r="BG23" s="102"/>
      <c r="BH23" s="102"/>
      <c r="BI23" s="102"/>
      <c r="BJ23" s="103"/>
    </row>
    <row r="24" spans="1:62" s="11" customFormat="1" ht="55.5" customHeight="1">
      <c r="A24" s="114">
        <f t="shared" si="1"/>
        <v>3</v>
      </c>
      <c r="B24" s="114"/>
      <c r="C24" s="114"/>
      <c r="D24" s="115" t="s">
        <v>37</v>
      </c>
      <c r="E24" s="116"/>
      <c r="F24" s="116"/>
      <c r="G24" s="116"/>
      <c r="H24" s="116"/>
      <c r="I24" s="116"/>
      <c r="J24" s="116"/>
      <c r="K24" s="116"/>
      <c r="L24" s="116"/>
      <c r="M24" s="116"/>
      <c r="N24" s="116"/>
      <c r="O24" s="116"/>
      <c r="P24" s="116"/>
      <c r="Q24" s="116"/>
      <c r="R24" s="116"/>
      <c r="S24" s="116"/>
      <c r="T24" s="117"/>
      <c r="U24" s="98" t="s">
        <v>33</v>
      </c>
      <c r="V24" s="99"/>
      <c r="W24" s="99"/>
      <c r="X24" s="99"/>
      <c r="Y24" s="100"/>
      <c r="Z24" s="98">
        <v>8</v>
      </c>
      <c r="AA24" s="99"/>
      <c r="AB24" s="100"/>
      <c r="AC24" s="98"/>
      <c r="AD24" s="99"/>
      <c r="AE24" s="100"/>
      <c r="AF24" s="98"/>
      <c r="AG24" s="99"/>
      <c r="AH24" s="100"/>
      <c r="AI24" s="98"/>
      <c r="AJ24" s="99"/>
      <c r="AK24" s="100"/>
      <c r="AL24" s="98"/>
      <c r="AM24" s="99"/>
      <c r="AN24" s="100"/>
      <c r="AO24" s="98"/>
      <c r="AP24" s="99"/>
      <c r="AQ24" s="100"/>
      <c r="AR24" s="101" t="s">
        <v>38</v>
      </c>
      <c r="AS24" s="102"/>
      <c r="AT24" s="102"/>
      <c r="AU24" s="102"/>
      <c r="AV24" s="102"/>
      <c r="AW24" s="102"/>
      <c r="AX24" s="102"/>
      <c r="AY24" s="102"/>
      <c r="AZ24" s="102"/>
      <c r="BA24" s="102"/>
      <c r="BB24" s="102"/>
      <c r="BC24" s="102"/>
      <c r="BD24" s="102"/>
      <c r="BE24" s="102"/>
      <c r="BF24" s="102"/>
      <c r="BG24" s="102"/>
      <c r="BH24" s="102"/>
      <c r="BI24" s="102"/>
      <c r="BJ24" s="103"/>
    </row>
    <row r="25" spans="1:62" s="11" customFormat="1" ht="57.75" customHeight="1">
      <c r="A25" s="114">
        <f t="shared" si="1"/>
        <v>4</v>
      </c>
      <c r="B25" s="114"/>
      <c r="C25" s="114"/>
      <c r="D25" s="115" t="s">
        <v>39</v>
      </c>
      <c r="E25" s="116"/>
      <c r="F25" s="116"/>
      <c r="G25" s="116"/>
      <c r="H25" s="116"/>
      <c r="I25" s="116"/>
      <c r="J25" s="116"/>
      <c r="K25" s="116"/>
      <c r="L25" s="116"/>
      <c r="M25" s="116"/>
      <c r="N25" s="116"/>
      <c r="O25" s="116"/>
      <c r="P25" s="116"/>
      <c r="Q25" s="116"/>
      <c r="R25" s="116"/>
      <c r="S25" s="116"/>
      <c r="T25" s="117"/>
      <c r="U25" s="98" t="s">
        <v>33</v>
      </c>
      <c r="V25" s="99"/>
      <c r="W25" s="99"/>
      <c r="X25" s="99"/>
      <c r="Y25" s="100"/>
      <c r="Z25" s="98">
        <v>8</v>
      </c>
      <c r="AA25" s="99"/>
      <c r="AB25" s="100"/>
      <c r="AC25" s="98"/>
      <c r="AD25" s="99"/>
      <c r="AE25" s="100"/>
      <c r="AF25" s="98"/>
      <c r="AG25" s="99"/>
      <c r="AH25" s="100"/>
      <c r="AI25" s="98"/>
      <c r="AJ25" s="99"/>
      <c r="AK25" s="100"/>
      <c r="AL25" s="98"/>
      <c r="AM25" s="99"/>
      <c r="AN25" s="100"/>
      <c r="AO25" s="98"/>
      <c r="AP25" s="99"/>
      <c r="AQ25" s="100"/>
      <c r="AR25" s="101" t="s">
        <v>40</v>
      </c>
      <c r="AS25" s="102"/>
      <c r="AT25" s="102"/>
      <c r="AU25" s="102"/>
      <c r="AV25" s="102"/>
      <c r="AW25" s="102"/>
      <c r="AX25" s="102"/>
      <c r="AY25" s="102"/>
      <c r="AZ25" s="102"/>
      <c r="BA25" s="102"/>
      <c r="BB25" s="102"/>
      <c r="BC25" s="102"/>
      <c r="BD25" s="102"/>
      <c r="BE25" s="102"/>
      <c r="BF25" s="102"/>
      <c r="BG25" s="102"/>
      <c r="BH25" s="102"/>
      <c r="BI25" s="102"/>
      <c r="BJ25" s="103"/>
    </row>
    <row r="26" spans="1:62" s="11" customFormat="1" ht="54" customHeight="1">
      <c r="A26" s="114">
        <f>ROW()-21</f>
        <v>5</v>
      </c>
      <c r="B26" s="114"/>
      <c r="C26" s="114"/>
      <c r="D26" s="115" t="s">
        <v>201</v>
      </c>
      <c r="E26" s="116"/>
      <c r="F26" s="116"/>
      <c r="G26" s="116"/>
      <c r="H26" s="116"/>
      <c r="I26" s="116"/>
      <c r="J26" s="116"/>
      <c r="K26" s="116"/>
      <c r="L26" s="116"/>
      <c r="M26" s="116"/>
      <c r="N26" s="116"/>
      <c r="O26" s="116"/>
      <c r="P26" s="116"/>
      <c r="Q26" s="116"/>
      <c r="R26" s="116"/>
      <c r="S26" s="116"/>
      <c r="T26" s="117"/>
      <c r="U26" s="98" t="s">
        <v>44</v>
      </c>
      <c r="V26" s="99"/>
      <c r="W26" s="99"/>
      <c r="X26" s="99"/>
      <c r="Y26" s="100"/>
      <c r="Z26" s="98">
        <v>5</v>
      </c>
      <c r="AA26" s="99"/>
      <c r="AB26" s="100"/>
      <c r="AC26" s="98"/>
      <c r="AD26" s="99"/>
      <c r="AE26" s="100"/>
      <c r="AF26" s="98"/>
      <c r="AG26" s="99"/>
      <c r="AH26" s="100"/>
      <c r="AI26" s="98"/>
      <c r="AJ26" s="99"/>
      <c r="AK26" s="100"/>
      <c r="AL26" s="98"/>
      <c r="AM26" s="99"/>
      <c r="AN26" s="100"/>
      <c r="AO26" s="98"/>
      <c r="AP26" s="99"/>
      <c r="AQ26" s="100"/>
      <c r="AR26" s="119" t="s">
        <v>202</v>
      </c>
      <c r="AS26" s="102"/>
      <c r="AT26" s="102"/>
      <c r="AU26" s="102"/>
      <c r="AV26" s="102"/>
      <c r="AW26" s="102"/>
      <c r="AX26" s="102"/>
      <c r="AY26" s="102"/>
      <c r="AZ26" s="102"/>
      <c r="BA26" s="102"/>
      <c r="BB26" s="102"/>
      <c r="BC26" s="102"/>
      <c r="BD26" s="102"/>
      <c r="BE26" s="102"/>
      <c r="BF26" s="102"/>
      <c r="BG26" s="102"/>
      <c r="BH26" s="102"/>
      <c r="BI26" s="102"/>
      <c r="BJ26" s="103"/>
    </row>
    <row r="27" spans="1:62" s="11" customFormat="1" ht="36" customHeight="1">
      <c r="A27" s="114">
        <f t="shared" si="1"/>
        <v>6</v>
      </c>
      <c r="B27" s="114"/>
      <c r="C27" s="114"/>
      <c r="D27" s="137" t="s">
        <v>41</v>
      </c>
      <c r="E27" s="138"/>
      <c r="F27" s="138"/>
      <c r="G27" s="138"/>
      <c r="H27" s="138"/>
      <c r="I27" s="138"/>
      <c r="J27" s="138"/>
      <c r="K27" s="138"/>
      <c r="L27" s="138"/>
      <c r="M27" s="138"/>
      <c r="N27" s="138"/>
      <c r="O27" s="138"/>
      <c r="P27" s="138"/>
      <c r="Q27" s="138"/>
      <c r="R27" s="138"/>
      <c r="S27" s="138"/>
      <c r="T27" s="139"/>
      <c r="U27" s="125" t="s">
        <v>42</v>
      </c>
      <c r="V27" s="126"/>
      <c r="W27" s="126"/>
      <c r="X27" s="126"/>
      <c r="Y27" s="127"/>
      <c r="Z27" s="125">
        <v>2</v>
      </c>
      <c r="AA27" s="126"/>
      <c r="AB27" s="127"/>
      <c r="AC27" s="125"/>
      <c r="AD27" s="126"/>
      <c r="AE27" s="127"/>
      <c r="AF27" s="125"/>
      <c r="AG27" s="126"/>
      <c r="AH27" s="127"/>
      <c r="AI27" s="125"/>
      <c r="AJ27" s="126"/>
      <c r="AK27" s="127"/>
      <c r="AL27" s="125"/>
      <c r="AM27" s="126"/>
      <c r="AN27" s="127"/>
      <c r="AO27" s="125"/>
      <c r="AP27" s="126"/>
      <c r="AQ27" s="127"/>
      <c r="AR27" s="131" t="s">
        <v>43</v>
      </c>
      <c r="AS27" s="132"/>
      <c r="AT27" s="132"/>
      <c r="AU27" s="132"/>
      <c r="AV27" s="132"/>
      <c r="AW27" s="132"/>
      <c r="AX27" s="132"/>
      <c r="AY27" s="132"/>
      <c r="AZ27" s="132"/>
      <c r="BA27" s="132"/>
      <c r="BB27" s="132"/>
      <c r="BC27" s="132"/>
      <c r="BD27" s="132"/>
      <c r="BE27" s="132"/>
      <c r="BF27" s="132"/>
      <c r="BG27" s="132"/>
      <c r="BH27" s="132"/>
      <c r="BI27" s="132"/>
      <c r="BJ27" s="133"/>
    </row>
    <row r="28" spans="1:62" s="11" customFormat="1" ht="36" customHeight="1">
      <c r="A28" s="114">
        <f t="shared" si="1"/>
        <v>7</v>
      </c>
      <c r="B28" s="114"/>
      <c r="C28" s="114"/>
      <c r="D28" s="115" t="s">
        <v>145</v>
      </c>
      <c r="E28" s="116"/>
      <c r="F28" s="116"/>
      <c r="G28" s="116"/>
      <c r="H28" s="116"/>
      <c r="I28" s="116"/>
      <c r="J28" s="116"/>
      <c r="K28" s="116"/>
      <c r="L28" s="116"/>
      <c r="M28" s="116"/>
      <c r="N28" s="116"/>
      <c r="O28" s="116"/>
      <c r="P28" s="116"/>
      <c r="Q28" s="116"/>
      <c r="R28" s="116"/>
      <c r="S28" s="116"/>
      <c r="T28" s="117"/>
      <c r="U28" s="98" t="s">
        <v>44</v>
      </c>
      <c r="V28" s="99"/>
      <c r="W28" s="99"/>
      <c r="X28" s="99"/>
      <c r="Y28" s="100"/>
      <c r="Z28" s="98">
        <v>15</v>
      </c>
      <c r="AA28" s="99"/>
      <c r="AB28" s="100"/>
      <c r="AC28" s="98"/>
      <c r="AD28" s="99"/>
      <c r="AE28" s="100"/>
      <c r="AF28" s="98"/>
      <c r="AG28" s="99"/>
      <c r="AH28" s="100"/>
      <c r="AI28" s="98"/>
      <c r="AJ28" s="99"/>
      <c r="AK28" s="100"/>
      <c r="AL28" s="98"/>
      <c r="AM28" s="99"/>
      <c r="AN28" s="100"/>
      <c r="AO28" s="98"/>
      <c r="AP28" s="99"/>
      <c r="AQ28" s="100"/>
      <c r="AR28" s="101" t="s">
        <v>45</v>
      </c>
      <c r="AS28" s="102"/>
      <c r="AT28" s="102"/>
      <c r="AU28" s="102"/>
      <c r="AV28" s="102"/>
      <c r="AW28" s="102"/>
      <c r="AX28" s="102"/>
      <c r="AY28" s="102"/>
      <c r="AZ28" s="102"/>
      <c r="BA28" s="102"/>
      <c r="BB28" s="102"/>
      <c r="BC28" s="102"/>
      <c r="BD28" s="102"/>
      <c r="BE28" s="102"/>
      <c r="BF28" s="102"/>
      <c r="BG28" s="102"/>
      <c r="BH28" s="102"/>
      <c r="BI28" s="102"/>
      <c r="BJ28" s="103"/>
    </row>
    <row r="29" spans="1:62" s="11" customFormat="1" ht="36" customHeight="1">
      <c r="A29" s="114">
        <f t="shared" si="1"/>
        <v>8</v>
      </c>
      <c r="B29" s="114"/>
      <c r="C29" s="114"/>
      <c r="D29" s="115" t="s">
        <v>49</v>
      </c>
      <c r="E29" s="116"/>
      <c r="F29" s="116"/>
      <c r="G29" s="116"/>
      <c r="H29" s="116"/>
      <c r="I29" s="116"/>
      <c r="J29" s="116"/>
      <c r="K29" s="116"/>
      <c r="L29" s="116"/>
      <c r="M29" s="116"/>
      <c r="N29" s="116"/>
      <c r="O29" s="116"/>
      <c r="P29" s="116"/>
      <c r="Q29" s="116"/>
      <c r="R29" s="116"/>
      <c r="S29" s="116"/>
      <c r="T29" s="117"/>
      <c r="U29" s="98" t="s">
        <v>42</v>
      </c>
      <c r="V29" s="99"/>
      <c r="W29" s="99"/>
      <c r="X29" s="99"/>
      <c r="Y29" s="100"/>
      <c r="Z29" s="98">
        <v>2</v>
      </c>
      <c r="AA29" s="99"/>
      <c r="AB29" s="100"/>
      <c r="AC29" s="98"/>
      <c r="AD29" s="99"/>
      <c r="AE29" s="100"/>
      <c r="AF29" s="98"/>
      <c r="AG29" s="99"/>
      <c r="AH29" s="100"/>
      <c r="AI29" s="98"/>
      <c r="AJ29" s="99"/>
      <c r="AK29" s="100"/>
      <c r="AL29" s="98"/>
      <c r="AM29" s="99"/>
      <c r="AN29" s="100"/>
      <c r="AO29" s="98"/>
      <c r="AP29" s="99"/>
      <c r="AQ29" s="100"/>
      <c r="AR29" s="119" t="s">
        <v>50</v>
      </c>
      <c r="AS29" s="102"/>
      <c r="AT29" s="102"/>
      <c r="AU29" s="102"/>
      <c r="AV29" s="102"/>
      <c r="AW29" s="102"/>
      <c r="AX29" s="102"/>
      <c r="AY29" s="102"/>
      <c r="AZ29" s="102"/>
      <c r="BA29" s="102"/>
      <c r="BB29" s="102"/>
      <c r="BC29" s="102"/>
      <c r="BD29" s="102"/>
      <c r="BE29" s="102"/>
      <c r="BF29" s="102"/>
      <c r="BG29" s="102"/>
      <c r="BH29" s="102"/>
      <c r="BI29" s="102"/>
      <c r="BJ29" s="103"/>
    </row>
    <row r="30" spans="1:62" s="11" customFormat="1" ht="36" customHeight="1">
      <c r="A30" s="114">
        <f t="shared" si="1"/>
        <v>9</v>
      </c>
      <c r="B30" s="114"/>
      <c r="C30" s="114"/>
      <c r="D30" s="115" t="s">
        <v>147</v>
      </c>
      <c r="E30" s="116"/>
      <c r="F30" s="116"/>
      <c r="G30" s="116"/>
      <c r="H30" s="116"/>
      <c r="I30" s="116"/>
      <c r="J30" s="116"/>
      <c r="K30" s="116"/>
      <c r="L30" s="116"/>
      <c r="M30" s="116"/>
      <c r="N30" s="116"/>
      <c r="O30" s="116"/>
      <c r="P30" s="116"/>
      <c r="Q30" s="116"/>
      <c r="R30" s="116"/>
      <c r="S30" s="116"/>
      <c r="T30" s="117"/>
      <c r="U30" s="98" t="s">
        <v>44</v>
      </c>
      <c r="V30" s="99"/>
      <c r="W30" s="99"/>
      <c r="X30" s="99"/>
      <c r="Y30" s="100"/>
      <c r="Z30" s="98">
        <v>10</v>
      </c>
      <c r="AA30" s="99"/>
      <c r="AB30" s="100"/>
      <c r="AC30" s="98"/>
      <c r="AD30" s="99"/>
      <c r="AE30" s="100"/>
      <c r="AF30" s="98"/>
      <c r="AG30" s="99"/>
      <c r="AH30" s="100"/>
      <c r="AI30" s="98"/>
      <c r="AJ30" s="99"/>
      <c r="AK30" s="100"/>
      <c r="AL30" s="98"/>
      <c r="AM30" s="99"/>
      <c r="AN30" s="100"/>
      <c r="AO30" s="98"/>
      <c r="AP30" s="99"/>
      <c r="AQ30" s="100"/>
      <c r="AR30" s="101" t="s">
        <v>51</v>
      </c>
      <c r="AS30" s="102"/>
      <c r="AT30" s="102"/>
      <c r="AU30" s="102"/>
      <c r="AV30" s="102"/>
      <c r="AW30" s="102"/>
      <c r="AX30" s="102"/>
      <c r="AY30" s="102"/>
      <c r="AZ30" s="102"/>
      <c r="BA30" s="102"/>
      <c r="BB30" s="102"/>
      <c r="BC30" s="102"/>
      <c r="BD30" s="102"/>
      <c r="BE30" s="102"/>
      <c r="BF30" s="102"/>
      <c r="BG30" s="102"/>
      <c r="BH30" s="102"/>
      <c r="BI30" s="102"/>
      <c r="BJ30" s="103"/>
    </row>
    <row r="31" spans="1:62" s="11" customFormat="1" ht="36" customHeight="1">
      <c r="A31" s="114">
        <f t="shared" si="1"/>
        <v>10</v>
      </c>
      <c r="B31" s="114"/>
      <c r="C31" s="114"/>
      <c r="D31" s="115" t="s">
        <v>46</v>
      </c>
      <c r="E31" s="116"/>
      <c r="F31" s="116"/>
      <c r="G31" s="116"/>
      <c r="H31" s="116"/>
      <c r="I31" s="116"/>
      <c r="J31" s="116"/>
      <c r="K31" s="116"/>
      <c r="L31" s="116"/>
      <c r="M31" s="116"/>
      <c r="N31" s="116"/>
      <c r="O31" s="116"/>
      <c r="P31" s="116"/>
      <c r="Q31" s="116"/>
      <c r="R31" s="116"/>
      <c r="S31" s="116"/>
      <c r="T31" s="117"/>
      <c r="U31" s="98" t="s">
        <v>42</v>
      </c>
      <c r="V31" s="99"/>
      <c r="W31" s="99"/>
      <c r="X31" s="99"/>
      <c r="Y31" s="100"/>
      <c r="Z31" s="98">
        <v>4</v>
      </c>
      <c r="AA31" s="99"/>
      <c r="AB31" s="100"/>
      <c r="AC31" s="98"/>
      <c r="AD31" s="99"/>
      <c r="AE31" s="100"/>
      <c r="AF31" s="98"/>
      <c r="AG31" s="99"/>
      <c r="AH31" s="100"/>
      <c r="AI31" s="98"/>
      <c r="AJ31" s="99"/>
      <c r="AK31" s="100"/>
      <c r="AL31" s="98"/>
      <c r="AM31" s="99"/>
      <c r="AN31" s="100"/>
      <c r="AO31" s="98"/>
      <c r="AP31" s="99"/>
      <c r="AQ31" s="100"/>
      <c r="AR31" s="119" t="s">
        <v>47</v>
      </c>
      <c r="AS31" s="102"/>
      <c r="AT31" s="102"/>
      <c r="AU31" s="102"/>
      <c r="AV31" s="102"/>
      <c r="AW31" s="102"/>
      <c r="AX31" s="102"/>
      <c r="AY31" s="102"/>
      <c r="AZ31" s="102"/>
      <c r="BA31" s="102"/>
      <c r="BB31" s="102"/>
      <c r="BC31" s="102"/>
      <c r="BD31" s="102"/>
      <c r="BE31" s="102"/>
      <c r="BF31" s="102"/>
      <c r="BG31" s="102"/>
      <c r="BH31" s="102"/>
      <c r="BI31" s="102"/>
      <c r="BJ31" s="103"/>
    </row>
    <row r="32" spans="1:62" s="11" customFormat="1" ht="36" customHeight="1">
      <c r="A32" s="114">
        <f t="shared" si="1"/>
        <v>11</v>
      </c>
      <c r="B32" s="114"/>
      <c r="C32" s="114"/>
      <c r="D32" s="115" t="s">
        <v>146</v>
      </c>
      <c r="E32" s="116"/>
      <c r="F32" s="116"/>
      <c r="G32" s="116"/>
      <c r="H32" s="116"/>
      <c r="I32" s="116"/>
      <c r="J32" s="116"/>
      <c r="K32" s="116"/>
      <c r="L32" s="116"/>
      <c r="M32" s="116"/>
      <c r="N32" s="116"/>
      <c r="O32" s="116"/>
      <c r="P32" s="116"/>
      <c r="Q32" s="116"/>
      <c r="R32" s="116"/>
      <c r="S32" s="116"/>
      <c r="T32" s="117"/>
      <c r="U32" s="98" t="s">
        <v>44</v>
      </c>
      <c r="V32" s="99"/>
      <c r="W32" s="99"/>
      <c r="X32" s="99"/>
      <c r="Y32" s="100"/>
      <c r="Z32" s="98">
        <v>15</v>
      </c>
      <c r="AA32" s="99"/>
      <c r="AB32" s="100"/>
      <c r="AC32" s="98"/>
      <c r="AD32" s="99"/>
      <c r="AE32" s="100"/>
      <c r="AF32" s="98"/>
      <c r="AG32" s="99"/>
      <c r="AH32" s="100"/>
      <c r="AI32" s="98"/>
      <c r="AJ32" s="99"/>
      <c r="AK32" s="100"/>
      <c r="AL32" s="98"/>
      <c r="AM32" s="99"/>
      <c r="AN32" s="100"/>
      <c r="AO32" s="98"/>
      <c r="AP32" s="99"/>
      <c r="AQ32" s="100"/>
      <c r="AR32" s="101" t="s">
        <v>48</v>
      </c>
      <c r="AS32" s="102"/>
      <c r="AT32" s="102"/>
      <c r="AU32" s="102"/>
      <c r="AV32" s="102"/>
      <c r="AW32" s="102"/>
      <c r="AX32" s="102"/>
      <c r="AY32" s="102"/>
      <c r="AZ32" s="102"/>
      <c r="BA32" s="102"/>
      <c r="BB32" s="102"/>
      <c r="BC32" s="102"/>
      <c r="BD32" s="102"/>
      <c r="BE32" s="102"/>
      <c r="BF32" s="102"/>
      <c r="BG32" s="102"/>
      <c r="BH32" s="102"/>
      <c r="BI32" s="102"/>
      <c r="BJ32" s="103"/>
    </row>
    <row r="33" spans="1:62" s="11" customFormat="1" ht="57.75" customHeight="1">
      <c r="A33" s="114">
        <f t="shared" si="1"/>
        <v>12</v>
      </c>
      <c r="B33" s="114"/>
      <c r="C33" s="114"/>
      <c r="D33" s="115" t="s">
        <v>52</v>
      </c>
      <c r="E33" s="116"/>
      <c r="F33" s="116"/>
      <c r="G33" s="116"/>
      <c r="H33" s="116"/>
      <c r="I33" s="116"/>
      <c r="J33" s="116"/>
      <c r="K33" s="116"/>
      <c r="L33" s="116"/>
      <c r="M33" s="116"/>
      <c r="N33" s="116"/>
      <c r="O33" s="116"/>
      <c r="P33" s="116"/>
      <c r="Q33" s="116"/>
      <c r="R33" s="116"/>
      <c r="S33" s="116"/>
      <c r="T33" s="117"/>
      <c r="U33" s="98" t="s">
        <v>42</v>
      </c>
      <c r="V33" s="99"/>
      <c r="W33" s="99"/>
      <c r="X33" s="99"/>
      <c r="Y33" s="100"/>
      <c r="Z33" s="98">
        <v>9</v>
      </c>
      <c r="AA33" s="99"/>
      <c r="AB33" s="100"/>
      <c r="AC33" s="98"/>
      <c r="AD33" s="99"/>
      <c r="AE33" s="100"/>
      <c r="AF33" s="98"/>
      <c r="AG33" s="99"/>
      <c r="AH33" s="100"/>
      <c r="AI33" s="98"/>
      <c r="AJ33" s="99"/>
      <c r="AK33" s="100"/>
      <c r="AL33" s="98"/>
      <c r="AM33" s="99"/>
      <c r="AN33" s="100"/>
      <c r="AO33" s="98"/>
      <c r="AP33" s="99"/>
      <c r="AQ33" s="100"/>
      <c r="AR33" s="101" t="s">
        <v>156</v>
      </c>
      <c r="AS33" s="102"/>
      <c r="AT33" s="102"/>
      <c r="AU33" s="102"/>
      <c r="AV33" s="102"/>
      <c r="AW33" s="102"/>
      <c r="AX33" s="102"/>
      <c r="AY33" s="102"/>
      <c r="AZ33" s="102"/>
      <c r="BA33" s="102"/>
      <c r="BB33" s="102"/>
      <c r="BC33" s="102"/>
      <c r="BD33" s="102"/>
      <c r="BE33" s="102"/>
      <c r="BF33" s="102"/>
      <c r="BG33" s="102"/>
      <c r="BH33" s="102"/>
      <c r="BI33" s="102"/>
      <c r="BJ33" s="103"/>
    </row>
    <row r="34" spans="1:62" s="11" customFormat="1" ht="36" customHeight="1">
      <c r="A34" s="114">
        <f t="shared" si="1"/>
        <v>13</v>
      </c>
      <c r="B34" s="114"/>
      <c r="C34" s="114"/>
      <c r="D34" s="115" t="s">
        <v>149</v>
      </c>
      <c r="E34" s="116"/>
      <c r="F34" s="116"/>
      <c r="G34" s="116"/>
      <c r="H34" s="116"/>
      <c r="I34" s="116"/>
      <c r="J34" s="116"/>
      <c r="K34" s="116"/>
      <c r="L34" s="116"/>
      <c r="M34" s="116"/>
      <c r="N34" s="116"/>
      <c r="O34" s="116"/>
      <c r="P34" s="116"/>
      <c r="Q34" s="116"/>
      <c r="R34" s="116"/>
      <c r="S34" s="116"/>
      <c r="T34" s="117"/>
      <c r="U34" s="98" t="s">
        <v>44</v>
      </c>
      <c r="V34" s="99"/>
      <c r="W34" s="99"/>
      <c r="X34" s="99"/>
      <c r="Y34" s="100"/>
      <c r="Z34" s="98">
        <v>31</v>
      </c>
      <c r="AA34" s="99"/>
      <c r="AB34" s="100"/>
      <c r="AC34" s="98"/>
      <c r="AD34" s="99"/>
      <c r="AE34" s="100"/>
      <c r="AF34" s="98"/>
      <c r="AG34" s="99"/>
      <c r="AH34" s="100"/>
      <c r="AI34" s="98"/>
      <c r="AJ34" s="99"/>
      <c r="AK34" s="100"/>
      <c r="AL34" s="98"/>
      <c r="AM34" s="99"/>
      <c r="AN34" s="100"/>
      <c r="AO34" s="98"/>
      <c r="AP34" s="99"/>
      <c r="AQ34" s="100"/>
      <c r="AR34" s="101" t="s">
        <v>150</v>
      </c>
      <c r="AS34" s="102"/>
      <c r="AT34" s="102"/>
      <c r="AU34" s="102"/>
      <c r="AV34" s="102"/>
      <c r="AW34" s="102"/>
      <c r="AX34" s="102"/>
      <c r="AY34" s="102"/>
      <c r="AZ34" s="102"/>
      <c r="BA34" s="102"/>
      <c r="BB34" s="102"/>
      <c r="BC34" s="102"/>
      <c r="BD34" s="102"/>
      <c r="BE34" s="102"/>
      <c r="BF34" s="102"/>
      <c r="BG34" s="102"/>
      <c r="BH34" s="102"/>
      <c r="BI34" s="102"/>
      <c r="BJ34" s="103"/>
    </row>
    <row r="35" spans="1:62" s="11" customFormat="1" ht="46.5" customHeight="1">
      <c r="A35" s="114">
        <f t="shared" si="1"/>
        <v>14</v>
      </c>
      <c r="B35" s="114"/>
      <c r="C35" s="114"/>
      <c r="D35" s="115" t="s">
        <v>53</v>
      </c>
      <c r="E35" s="116"/>
      <c r="F35" s="116"/>
      <c r="G35" s="116"/>
      <c r="H35" s="116"/>
      <c r="I35" s="116"/>
      <c r="J35" s="116"/>
      <c r="K35" s="116"/>
      <c r="L35" s="116"/>
      <c r="M35" s="116"/>
      <c r="N35" s="116"/>
      <c r="O35" s="116"/>
      <c r="P35" s="116"/>
      <c r="Q35" s="116"/>
      <c r="R35" s="116"/>
      <c r="S35" s="116"/>
      <c r="T35" s="117"/>
      <c r="U35" s="98" t="s">
        <v>190</v>
      </c>
      <c r="V35" s="99"/>
      <c r="W35" s="99"/>
      <c r="X35" s="99"/>
      <c r="Y35" s="100"/>
      <c r="Z35" s="98">
        <v>48</v>
      </c>
      <c r="AA35" s="99"/>
      <c r="AB35" s="100"/>
      <c r="AC35" s="98"/>
      <c r="AD35" s="99"/>
      <c r="AE35" s="100"/>
      <c r="AF35" s="98"/>
      <c r="AG35" s="99"/>
      <c r="AH35" s="100"/>
      <c r="AI35" s="98"/>
      <c r="AJ35" s="99"/>
      <c r="AK35" s="100"/>
      <c r="AL35" s="98"/>
      <c r="AM35" s="99"/>
      <c r="AN35" s="100"/>
      <c r="AO35" s="98"/>
      <c r="AP35" s="99"/>
      <c r="AQ35" s="100"/>
      <c r="AR35" s="101" t="s">
        <v>157</v>
      </c>
      <c r="AS35" s="102"/>
      <c r="AT35" s="102"/>
      <c r="AU35" s="102"/>
      <c r="AV35" s="102"/>
      <c r="AW35" s="102"/>
      <c r="AX35" s="102"/>
      <c r="AY35" s="102"/>
      <c r="AZ35" s="102"/>
      <c r="BA35" s="102"/>
      <c r="BB35" s="102"/>
      <c r="BC35" s="102"/>
      <c r="BD35" s="102"/>
      <c r="BE35" s="102"/>
      <c r="BF35" s="102"/>
      <c r="BG35" s="102"/>
      <c r="BH35" s="102"/>
      <c r="BI35" s="102"/>
      <c r="BJ35" s="103"/>
    </row>
    <row r="36" spans="1:62" s="11" customFormat="1" ht="36" customHeight="1">
      <c r="A36" s="114">
        <f t="shared" si="1"/>
        <v>15</v>
      </c>
      <c r="B36" s="114"/>
      <c r="C36" s="114"/>
      <c r="D36" s="115" t="s">
        <v>54</v>
      </c>
      <c r="E36" s="116"/>
      <c r="F36" s="116"/>
      <c r="G36" s="116"/>
      <c r="H36" s="116"/>
      <c r="I36" s="116"/>
      <c r="J36" s="116"/>
      <c r="K36" s="116"/>
      <c r="L36" s="116"/>
      <c r="M36" s="116"/>
      <c r="N36" s="116"/>
      <c r="O36" s="116"/>
      <c r="P36" s="116"/>
      <c r="Q36" s="116"/>
      <c r="R36" s="116"/>
      <c r="S36" s="116"/>
      <c r="T36" s="117"/>
      <c r="U36" s="98" t="s">
        <v>33</v>
      </c>
      <c r="V36" s="99"/>
      <c r="W36" s="99"/>
      <c r="X36" s="99"/>
      <c r="Y36" s="100"/>
      <c r="Z36" s="98">
        <v>8</v>
      </c>
      <c r="AA36" s="99"/>
      <c r="AB36" s="100"/>
      <c r="AC36" s="98"/>
      <c r="AD36" s="99"/>
      <c r="AE36" s="100"/>
      <c r="AF36" s="98"/>
      <c r="AG36" s="99"/>
      <c r="AH36" s="100"/>
      <c r="AI36" s="98"/>
      <c r="AJ36" s="99"/>
      <c r="AK36" s="100"/>
      <c r="AL36" s="98"/>
      <c r="AM36" s="99"/>
      <c r="AN36" s="100"/>
      <c r="AO36" s="98"/>
      <c r="AP36" s="99"/>
      <c r="AQ36" s="100"/>
      <c r="AR36" s="101" t="s">
        <v>55</v>
      </c>
      <c r="AS36" s="102"/>
      <c r="AT36" s="102"/>
      <c r="AU36" s="102"/>
      <c r="AV36" s="102"/>
      <c r="AW36" s="102"/>
      <c r="AX36" s="102"/>
      <c r="AY36" s="102"/>
      <c r="AZ36" s="102"/>
      <c r="BA36" s="102"/>
      <c r="BB36" s="102"/>
      <c r="BC36" s="102"/>
      <c r="BD36" s="102"/>
      <c r="BE36" s="102"/>
      <c r="BF36" s="102"/>
      <c r="BG36" s="102"/>
      <c r="BH36" s="102"/>
      <c r="BI36" s="102"/>
      <c r="BJ36" s="103"/>
    </row>
    <row r="37" spans="1:62" s="11" customFormat="1" ht="51" customHeight="1">
      <c r="A37" s="114">
        <f t="shared" si="1"/>
        <v>16</v>
      </c>
      <c r="B37" s="114"/>
      <c r="C37" s="114"/>
      <c r="D37" s="115" t="s">
        <v>56</v>
      </c>
      <c r="E37" s="116"/>
      <c r="F37" s="116"/>
      <c r="G37" s="116"/>
      <c r="H37" s="116"/>
      <c r="I37" s="116"/>
      <c r="J37" s="116"/>
      <c r="K37" s="116"/>
      <c r="L37" s="116"/>
      <c r="M37" s="116"/>
      <c r="N37" s="116"/>
      <c r="O37" s="116"/>
      <c r="P37" s="116"/>
      <c r="Q37" s="116"/>
      <c r="R37" s="116"/>
      <c r="S37" s="116"/>
      <c r="T37" s="117"/>
      <c r="U37" s="98" t="s">
        <v>33</v>
      </c>
      <c r="V37" s="99"/>
      <c r="W37" s="99"/>
      <c r="X37" s="99"/>
      <c r="Y37" s="100"/>
      <c r="Z37" s="98">
        <v>14</v>
      </c>
      <c r="AA37" s="99"/>
      <c r="AB37" s="100"/>
      <c r="AC37" s="98" t="s">
        <v>19</v>
      </c>
      <c r="AD37" s="99"/>
      <c r="AE37" s="100"/>
      <c r="AF37" s="98"/>
      <c r="AG37" s="99"/>
      <c r="AH37" s="100"/>
      <c r="AI37" s="98"/>
      <c r="AJ37" s="99"/>
      <c r="AK37" s="100"/>
      <c r="AL37" s="98"/>
      <c r="AM37" s="99"/>
      <c r="AN37" s="100"/>
      <c r="AO37" s="98"/>
      <c r="AP37" s="99"/>
      <c r="AQ37" s="100"/>
      <c r="AR37" s="101" t="s">
        <v>188</v>
      </c>
      <c r="AS37" s="102"/>
      <c r="AT37" s="102"/>
      <c r="AU37" s="102"/>
      <c r="AV37" s="102"/>
      <c r="AW37" s="102"/>
      <c r="AX37" s="102"/>
      <c r="AY37" s="102"/>
      <c r="AZ37" s="102"/>
      <c r="BA37" s="102"/>
      <c r="BB37" s="102"/>
      <c r="BC37" s="102"/>
      <c r="BD37" s="102"/>
      <c r="BE37" s="102"/>
      <c r="BF37" s="102"/>
      <c r="BG37" s="102"/>
      <c r="BH37" s="102"/>
      <c r="BI37" s="102"/>
      <c r="BJ37" s="103"/>
    </row>
    <row r="38" spans="1:62" s="11" customFormat="1" ht="98.25" customHeight="1">
      <c r="A38" s="114">
        <f t="shared" si="1"/>
        <v>17</v>
      </c>
      <c r="B38" s="114"/>
      <c r="C38" s="114"/>
      <c r="D38" s="115" t="s">
        <v>57</v>
      </c>
      <c r="E38" s="116"/>
      <c r="F38" s="116"/>
      <c r="G38" s="116"/>
      <c r="H38" s="116"/>
      <c r="I38" s="116"/>
      <c r="J38" s="116"/>
      <c r="K38" s="116"/>
      <c r="L38" s="116"/>
      <c r="M38" s="116"/>
      <c r="N38" s="116"/>
      <c r="O38" s="116"/>
      <c r="P38" s="116"/>
      <c r="Q38" s="116"/>
      <c r="R38" s="116"/>
      <c r="S38" s="116"/>
      <c r="T38" s="117"/>
      <c r="U38" s="98" t="s">
        <v>33</v>
      </c>
      <c r="V38" s="99"/>
      <c r="W38" s="99"/>
      <c r="X38" s="99"/>
      <c r="Y38" s="100"/>
      <c r="Z38" s="98">
        <v>8</v>
      </c>
      <c r="AA38" s="99"/>
      <c r="AB38" s="100"/>
      <c r="AC38" s="98"/>
      <c r="AD38" s="99"/>
      <c r="AE38" s="100"/>
      <c r="AF38" s="98"/>
      <c r="AG38" s="99"/>
      <c r="AH38" s="100"/>
      <c r="AI38" s="98"/>
      <c r="AJ38" s="99"/>
      <c r="AK38" s="100"/>
      <c r="AL38" s="98"/>
      <c r="AM38" s="99"/>
      <c r="AN38" s="100"/>
      <c r="AO38" s="98"/>
      <c r="AP38" s="99"/>
      <c r="AQ38" s="100"/>
      <c r="AR38" s="101" t="s">
        <v>260</v>
      </c>
      <c r="AS38" s="102"/>
      <c r="AT38" s="102"/>
      <c r="AU38" s="102"/>
      <c r="AV38" s="102"/>
      <c r="AW38" s="102"/>
      <c r="AX38" s="102"/>
      <c r="AY38" s="102"/>
      <c r="AZ38" s="102"/>
      <c r="BA38" s="102"/>
      <c r="BB38" s="102"/>
      <c r="BC38" s="102"/>
      <c r="BD38" s="102"/>
      <c r="BE38" s="102"/>
      <c r="BF38" s="102"/>
      <c r="BG38" s="102"/>
      <c r="BH38" s="102"/>
      <c r="BI38" s="102"/>
      <c r="BJ38" s="103"/>
    </row>
    <row r="39" spans="1:62" s="11" customFormat="1" ht="84.75" customHeight="1">
      <c r="A39" s="114">
        <f t="shared" si="1"/>
        <v>18</v>
      </c>
      <c r="B39" s="114"/>
      <c r="C39" s="114"/>
      <c r="D39" s="115" t="s">
        <v>58</v>
      </c>
      <c r="E39" s="116"/>
      <c r="F39" s="116"/>
      <c r="G39" s="116"/>
      <c r="H39" s="116"/>
      <c r="I39" s="116"/>
      <c r="J39" s="116"/>
      <c r="K39" s="116"/>
      <c r="L39" s="116"/>
      <c r="M39" s="116"/>
      <c r="N39" s="116"/>
      <c r="O39" s="116"/>
      <c r="P39" s="116"/>
      <c r="Q39" s="116"/>
      <c r="R39" s="116"/>
      <c r="S39" s="116"/>
      <c r="T39" s="117"/>
      <c r="U39" s="98" t="s">
        <v>33</v>
      </c>
      <c r="V39" s="99"/>
      <c r="W39" s="99"/>
      <c r="X39" s="99"/>
      <c r="Y39" s="100"/>
      <c r="Z39" s="98">
        <v>14</v>
      </c>
      <c r="AA39" s="99"/>
      <c r="AB39" s="100"/>
      <c r="AC39" s="98" t="s">
        <v>19</v>
      </c>
      <c r="AD39" s="99"/>
      <c r="AE39" s="100"/>
      <c r="AF39" s="98"/>
      <c r="AG39" s="99"/>
      <c r="AH39" s="100"/>
      <c r="AI39" s="98"/>
      <c r="AJ39" s="99"/>
      <c r="AK39" s="100"/>
      <c r="AL39" s="98"/>
      <c r="AM39" s="99"/>
      <c r="AN39" s="100"/>
      <c r="AO39" s="98"/>
      <c r="AP39" s="99"/>
      <c r="AQ39" s="100"/>
      <c r="AR39" s="101" t="s">
        <v>259</v>
      </c>
      <c r="AS39" s="102"/>
      <c r="AT39" s="102"/>
      <c r="AU39" s="102"/>
      <c r="AV39" s="102"/>
      <c r="AW39" s="102"/>
      <c r="AX39" s="102"/>
      <c r="AY39" s="102"/>
      <c r="AZ39" s="102"/>
      <c r="BA39" s="102"/>
      <c r="BB39" s="102"/>
      <c r="BC39" s="102"/>
      <c r="BD39" s="102"/>
      <c r="BE39" s="102"/>
      <c r="BF39" s="102"/>
      <c r="BG39" s="102"/>
      <c r="BH39" s="102"/>
      <c r="BI39" s="102"/>
      <c r="BJ39" s="103"/>
    </row>
    <row r="40" spans="1:62" s="11" customFormat="1" ht="42.6" customHeight="1">
      <c r="A40" s="114">
        <f t="shared" si="1"/>
        <v>19</v>
      </c>
      <c r="B40" s="114"/>
      <c r="C40" s="114"/>
      <c r="D40" s="115" t="s">
        <v>59</v>
      </c>
      <c r="E40" s="116"/>
      <c r="F40" s="116"/>
      <c r="G40" s="116"/>
      <c r="H40" s="116"/>
      <c r="I40" s="116"/>
      <c r="J40" s="116"/>
      <c r="K40" s="116"/>
      <c r="L40" s="116"/>
      <c r="M40" s="116"/>
      <c r="N40" s="116"/>
      <c r="O40" s="116"/>
      <c r="P40" s="116"/>
      <c r="Q40" s="116"/>
      <c r="R40" s="116"/>
      <c r="S40" s="116"/>
      <c r="T40" s="117"/>
      <c r="U40" s="98" t="s">
        <v>33</v>
      </c>
      <c r="V40" s="99"/>
      <c r="W40" s="99"/>
      <c r="X40" s="99"/>
      <c r="Y40" s="100"/>
      <c r="Z40" s="98">
        <v>14</v>
      </c>
      <c r="AA40" s="99"/>
      <c r="AB40" s="100"/>
      <c r="AC40" s="98" t="s">
        <v>19</v>
      </c>
      <c r="AD40" s="99"/>
      <c r="AE40" s="100"/>
      <c r="AF40" s="98"/>
      <c r="AG40" s="99"/>
      <c r="AH40" s="100"/>
      <c r="AI40" s="98"/>
      <c r="AJ40" s="99"/>
      <c r="AK40" s="100"/>
      <c r="AL40" s="98"/>
      <c r="AM40" s="99"/>
      <c r="AN40" s="100"/>
      <c r="AO40" s="98"/>
      <c r="AP40" s="99"/>
      <c r="AQ40" s="100"/>
      <c r="AR40" s="101" t="s">
        <v>187</v>
      </c>
      <c r="AS40" s="102"/>
      <c r="AT40" s="102"/>
      <c r="AU40" s="102"/>
      <c r="AV40" s="102"/>
      <c r="AW40" s="102"/>
      <c r="AX40" s="102"/>
      <c r="AY40" s="102"/>
      <c r="AZ40" s="102"/>
      <c r="BA40" s="102"/>
      <c r="BB40" s="102"/>
      <c r="BC40" s="102"/>
      <c r="BD40" s="102"/>
      <c r="BE40" s="102"/>
      <c r="BF40" s="102"/>
      <c r="BG40" s="102"/>
      <c r="BH40" s="102"/>
      <c r="BI40" s="102"/>
      <c r="BJ40" s="103"/>
    </row>
    <row r="41" spans="1:62" s="11" customFormat="1" ht="78" customHeight="1">
      <c r="A41" s="114">
        <f t="shared" si="1"/>
        <v>20</v>
      </c>
      <c r="B41" s="114"/>
      <c r="C41" s="114"/>
      <c r="D41" s="115" t="s">
        <v>192</v>
      </c>
      <c r="E41" s="116"/>
      <c r="F41" s="116"/>
      <c r="G41" s="116"/>
      <c r="H41" s="116"/>
      <c r="I41" s="116"/>
      <c r="J41" s="116"/>
      <c r="K41" s="116"/>
      <c r="L41" s="116"/>
      <c r="M41" s="116"/>
      <c r="N41" s="116"/>
      <c r="O41" s="116"/>
      <c r="P41" s="116"/>
      <c r="Q41" s="116"/>
      <c r="R41" s="116"/>
      <c r="S41" s="116"/>
      <c r="T41" s="117"/>
      <c r="U41" s="98" t="s">
        <v>42</v>
      </c>
      <c r="V41" s="99"/>
      <c r="W41" s="99"/>
      <c r="X41" s="99"/>
      <c r="Y41" s="100"/>
      <c r="Z41" s="98">
        <v>8</v>
      </c>
      <c r="AA41" s="99"/>
      <c r="AB41" s="100"/>
      <c r="AC41" s="98"/>
      <c r="AD41" s="99"/>
      <c r="AE41" s="100"/>
      <c r="AF41" s="98"/>
      <c r="AG41" s="99"/>
      <c r="AH41" s="100"/>
      <c r="AI41" s="98"/>
      <c r="AJ41" s="99"/>
      <c r="AK41" s="100"/>
      <c r="AL41" s="98"/>
      <c r="AM41" s="99"/>
      <c r="AN41" s="100"/>
      <c r="AO41" s="98"/>
      <c r="AP41" s="99"/>
      <c r="AQ41" s="100"/>
      <c r="AR41" s="101" t="s">
        <v>158</v>
      </c>
      <c r="AS41" s="102"/>
      <c r="AT41" s="102"/>
      <c r="AU41" s="102"/>
      <c r="AV41" s="102"/>
      <c r="AW41" s="102"/>
      <c r="AX41" s="102"/>
      <c r="AY41" s="102"/>
      <c r="AZ41" s="102"/>
      <c r="BA41" s="102"/>
      <c r="BB41" s="102"/>
      <c r="BC41" s="102"/>
      <c r="BD41" s="102"/>
      <c r="BE41" s="102"/>
      <c r="BF41" s="102"/>
      <c r="BG41" s="102"/>
      <c r="BH41" s="102"/>
      <c r="BI41" s="102"/>
      <c r="BJ41" s="103"/>
    </row>
    <row r="42" spans="1:62" s="11" customFormat="1" ht="44.25" customHeight="1">
      <c r="A42" s="114">
        <f t="shared" si="1"/>
        <v>21</v>
      </c>
      <c r="B42" s="114"/>
      <c r="C42" s="114"/>
      <c r="D42" s="115" t="s">
        <v>153</v>
      </c>
      <c r="E42" s="116"/>
      <c r="F42" s="116"/>
      <c r="G42" s="116"/>
      <c r="H42" s="116"/>
      <c r="I42" s="116"/>
      <c r="J42" s="116"/>
      <c r="K42" s="116"/>
      <c r="L42" s="116"/>
      <c r="M42" s="116"/>
      <c r="N42" s="116"/>
      <c r="O42" s="116"/>
      <c r="P42" s="116"/>
      <c r="Q42" s="116"/>
      <c r="R42" s="116"/>
      <c r="S42" s="116"/>
      <c r="T42" s="117"/>
      <c r="U42" s="98" t="s">
        <v>44</v>
      </c>
      <c r="V42" s="99"/>
      <c r="W42" s="99"/>
      <c r="X42" s="99"/>
      <c r="Y42" s="100"/>
      <c r="Z42" s="98">
        <v>20</v>
      </c>
      <c r="AA42" s="99"/>
      <c r="AB42" s="100"/>
      <c r="AC42" s="98"/>
      <c r="AD42" s="99"/>
      <c r="AE42" s="100"/>
      <c r="AF42" s="98"/>
      <c r="AG42" s="99"/>
      <c r="AH42" s="100"/>
      <c r="AI42" s="98"/>
      <c r="AJ42" s="99"/>
      <c r="AK42" s="100"/>
      <c r="AL42" s="98"/>
      <c r="AM42" s="99"/>
      <c r="AN42" s="100"/>
      <c r="AO42" s="98"/>
      <c r="AP42" s="99"/>
      <c r="AQ42" s="100"/>
      <c r="AR42" s="101" t="s">
        <v>60</v>
      </c>
      <c r="AS42" s="102"/>
      <c r="AT42" s="102"/>
      <c r="AU42" s="102"/>
      <c r="AV42" s="102"/>
      <c r="AW42" s="102"/>
      <c r="AX42" s="102"/>
      <c r="AY42" s="102"/>
      <c r="AZ42" s="102"/>
      <c r="BA42" s="102"/>
      <c r="BB42" s="102"/>
      <c r="BC42" s="102"/>
      <c r="BD42" s="102"/>
      <c r="BE42" s="102"/>
      <c r="BF42" s="102"/>
      <c r="BG42" s="102"/>
      <c r="BH42" s="102"/>
      <c r="BI42" s="102"/>
      <c r="BJ42" s="103"/>
    </row>
    <row r="43" spans="1:62" s="11" customFormat="1" ht="36" customHeight="1">
      <c r="A43" s="114">
        <f t="shared" si="1"/>
        <v>22</v>
      </c>
      <c r="B43" s="114"/>
      <c r="C43" s="114"/>
      <c r="D43" s="115" t="s">
        <v>61</v>
      </c>
      <c r="E43" s="116"/>
      <c r="F43" s="116"/>
      <c r="G43" s="116"/>
      <c r="H43" s="116"/>
      <c r="I43" s="116"/>
      <c r="J43" s="116"/>
      <c r="K43" s="116"/>
      <c r="L43" s="116"/>
      <c r="M43" s="116"/>
      <c r="N43" s="116"/>
      <c r="O43" s="116"/>
      <c r="P43" s="116"/>
      <c r="Q43" s="116"/>
      <c r="R43" s="116"/>
      <c r="S43" s="116"/>
      <c r="T43" s="117"/>
      <c r="U43" s="98" t="s">
        <v>33</v>
      </c>
      <c r="V43" s="99"/>
      <c r="W43" s="99"/>
      <c r="X43" s="99"/>
      <c r="Y43" s="100"/>
      <c r="Z43" s="98">
        <v>8</v>
      </c>
      <c r="AA43" s="99"/>
      <c r="AB43" s="100"/>
      <c r="AC43" s="98"/>
      <c r="AD43" s="99"/>
      <c r="AE43" s="100"/>
      <c r="AF43" s="98"/>
      <c r="AG43" s="99"/>
      <c r="AH43" s="100"/>
      <c r="AI43" s="98"/>
      <c r="AJ43" s="99"/>
      <c r="AK43" s="100"/>
      <c r="AL43" s="98"/>
      <c r="AM43" s="99"/>
      <c r="AN43" s="100"/>
      <c r="AO43" s="98"/>
      <c r="AP43" s="99"/>
      <c r="AQ43" s="100"/>
      <c r="AR43" s="101" t="s">
        <v>62</v>
      </c>
      <c r="AS43" s="102"/>
      <c r="AT43" s="102"/>
      <c r="AU43" s="102"/>
      <c r="AV43" s="102"/>
      <c r="AW43" s="102"/>
      <c r="AX43" s="102"/>
      <c r="AY43" s="102"/>
      <c r="AZ43" s="102"/>
      <c r="BA43" s="102"/>
      <c r="BB43" s="102"/>
      <c r="BC43" s="102"/>
      <c r="BD43" s="102"/>
      <c r="BE43" s="102"/>
      <c r="BF43" s="102"/>
      <c r="BG43" s="102"/>
      <c r="BH43" s="102"/>
      <c r="BI43" s="102"/>
      <c r="BJ43" s="103"/>
    </row>
    <row r="44" spans="1:62" s="11" customFormat="1" ht="36" customHeight="1">
      <c r="A44" s="114">
        <f t="shared" si="1"/>
        <v>23</v>
      </c>
      <c r="B44" s="114"/>
      <c r="C44" s="114"/>
      <c r="D44" s="115" t="s">
        <v>63</v>
      </c>
      <c r="E44" s="116"/>
      <c r="F44" s="116"/>
      <c r="G44" s="116"/>
      <c r="H44" s="116"/>
      <c r="I44" s="116"/>
      <c r="J44" s="116"/>
      <c r="K44" s="116"/>
      <c r="L44" s="116"/>
      <c r="M44" s="116"/>
      <c r="N44" s="116"/>
      <c r="O44" s="116"/>
      <c r="P44" s="116"/>
      <c r="Q44" s="116"/>
      <c r="R44" s="116"/>
      <c r="S44" s="116"/>
      <c r="T44" s="117"/>
      <c r="U44" s="98" t="s">
        <v>33</v>
      </c>
      <c r="V44" s="99"/>
      <c r="W44" s="99"/>
      <c r="X44" s="99"/>
      <c r="Y44" s="100"/>
      <c r="Z44" s="98">
        <v>8</v>
      </c>
      <c r="AA44" s="99"/>
      <c r="AB44" s="100"/>
      <c r="AC44" s="98"/>
      <c r="AD44" s="99"/>
      <c r="AE44" s="100"/>
      <c r="AF44" s="98"/>
      <c r="AG44" s="99"/>
      <c r="AH44" s="100"/>
      <c r="AI44" s="98"/>
      <c r="AJ44" s="99"/>
      <c r="AK44" s="100"/>
      <c r="AL44" s="98"/>
      <c r="AM44" s="99"/>
      <c r="AN44" s="100"/>
      <c r="AO44" s="98"/>
      <c r="AP44" s="99"/>
      <c r="AQ44" s="100"/>
      <c r="AR44" s="101" t="s">
        <v>159</v>
      </c>
      <c r="AS44" s="102"/>
      <c r="AT44" s="102"/>
      <c r="AU44" s="102"/>
      <c r="AV44" s="102"/>
      <c r="AW44" s="102"/>
      <c r="AX44" s="102"/>
      <c r="AY44" s="102"/>
      <c r="AZ44" s="102"/>
      <c r="BA44" s="102"/>
      <c r="BB44" s="102"/>
      <c r="BC44" s="102"/>
      <c r="BD44" s="102"/>
      <c r="BE44" s="102"/>
      <c r="BF44" s="102"/>
      <c r="BG44" s="102"/>
      <c r="BH44" s="102"/>
      <c r="BI44" s="102"/>
      <c r="BJ44" s="103"/>
    </row>
    <row r="45" spans="1:62" s="11" customFormat="1" ht="40.5" customHeight="1">
      <c r="A45" s="114">
        <f t="shared" si="1"/>
        <v>24</v>
      </c>
      <c r="B45" s="114"/>
      <c r="C45" s="114"/>
      <c r="D45" s="115" t="s">
        <v>64</v>
      </c>
      <c r="E45" s="116"/>
      <c r="F45" s="116"/>
      <c r="G45" s="116"/>
      <c r="H45" s="116"/>
      <c r="I45" s="116"/>
      <c r="J45" s="116"/>
      <c r="K45" s="116"/>
      <c r="L45" s="116"/>
      <c r="M45" s="116"/>
      <c r="N45" s="116"/>
      <c r="O45" s="116"/>
      <c r="P45" s="116"/>
      <c r="Q45" s="116"/>
      <c r="R45" s="116"/>
      <c r="S45" s="116"/>
      <c r="T45" s="117"/>
      <c r="U45" s="98" t="s">
        <v>42</v>
      </c>
      <c r="V45" s="99"/>
      <c r="W45" s="99"/>
      <c r="X45" s="99"/>
      <c r="Y45" s="100"/>
      <c r="Z45" s="98">
        <v>17</v>
      </c>
      <c r="AA45" s="99"/>
      <c r="AB45" s="100"/>
      <c r="AC45" s="98"/>
      <c r="AD45" s="99"/>
      <c r="AE45" s="100"/>
      <c r="AF45" s="98"/>
      <c r="AG45" s="99"/>
      <c r="AH45" s="100"/>
      <c r="AI45" s="98"/>
      <c r="AJ45" s="99"/>
      <c r="AK45" s="100"/>
      <c r="AL45" s="98"/>
      <c r="AM45" s="99"/>
      <c r="AN45" s="100"/>
      <c r="AO45" s="98"/>
      <c r="AP45" s="99"/>
      <c r="AQ45" s="100"/>
      <c r="AR45" s="101" t="s">
        <v>195</v>
      </c>
      <c r="AS45" s="102"/>
      <c r="AT45" s="102"/>
      <c r="AU45" s="102"/>
      <c r="AV45" s="102"/>
      <c r="AW45" s="102"/>
      <c r="AX45" s="102"/>
      <c r="AY45" s="102"/>
      <c r="AZ45" s="102"/>
      <c r="BA45" s="102"/>
      <c r="BB45" s="102"/>
      <c r="BC45" s="102"/>
      <c r="BD45" s="102"/>
      <c r="BE45" s="102"/>
      <c r="BF45" s="102"/>
      <c r="BG45" s="102"/>
      <c r="BH45" s="102"/>
      <c r="BI45" s="102"/>
      <c r="BJ45" s="103"/>
    </row>
    <row r="46" spans="1:62" s="11" customFormat="1" ht="82.5" customHeight="1">
      <c r="A46" s="114">
        <f t="shared" si="1"/>
        <v>25</v>
      </c>
      <c r="B46" s="114"/>
      <c r="C46" s="114"/>
      <c r="D46" s="115" t="s">
        <v>181</v>
      </c>
      <c r="E46" s="116"/>
      <c r="F46" s="116"/>
      <c r="G46" s="116"/>
      <c r="H46" s="116"/>
      <c r="I46" s="116"/>
      <c r="J46" s="116"/>
      <c r="K46" s="116"/>
      <c r="L46" s="116"/>
      <c r="M46" s="116"/>
      <c r="N46" s="116"/>
      <c r="O46" s="116"/>
      <c r="P46" s="116"/>
      <c r="Q46" s="116"/>
      <c r="R46" s="116"/>
      <c r="S46" s="116"/>
      <c r="T46" s="117"/>
      <c r="U46" s="98" t="s">
        <v>42</v>
      </c>
      <c r="V46" s="99"/>
      <c r="W46" s="99"/>
      <c r="X46" s="99"/>
      <c r="Y46" s="100"/>
      <c r="Z46" s="98">
        <v>10</v>
      </c>
      <c r="AA46" s="99"/>
      <c r="AB46" s="100"/>
      <c r="AC46" s="98"/>
      <c r="AD46" s="99"/>
      <c r="AE46" s="100"/>
      <c r="AF46" s="98"/>
      <c r="AG46" s="99"/>
      <c r="AH46" s="100"/>
      <c r="AI46" s="98"/>
      <c r="AJ46" s="99"/>
      <c r="AK46" s="100"/>
      <c r="AL46" s="98"/>
      <c r="AM46" s="99"/>
      <c r="AN46" s="100"/>
      <c r="AO46" s="98"/>
      <c r="AP46" s="99"/>
      <c r="AQ46" s="100"/>
      <c r="AR46" s="101" t="s">
        <v>182</v>
      </c>
      <c r="AS46" s="102"/>
      <c r="AT46" s="102"/>
      <c r="AU46" s="102"/>
      <c r="AV46" s="102"/>
      <c r="AW46" s="102"/>
      <c r="AX46" s="102"/>
      <c r="AY46" s="102"/>
      <c r="AZ46" s="102"/>
      <c r="BA46" s="102"/>
      <c r="BB46" s="102"/>
      <c r="BC46" s="102"/>
      <c r="BD46" s="102"/>
      <c r="BE46" s="102"/>
      <c r="BF46" s="102"/>
      <c r="BG46" s="102"/>
      <c r="BH46" s="102"/>
      <c r="BI46" s="102"/>
      <c r="BJ46" s="103"/>
    </row>
    <row r="47" spans="1:62" s="11" customFormat="1" ht="40.5" customHeight="1">
      <c r="A47" s="114">
        <f t="shared" si="1"/>
        <v>26</v>
      </c>
      <c r="B47" s="114"/>
      <c r="C47" s="114"/>
      <c r="D47" s="115" t="s">
        <v>65</v>
      </c>
      <c r="E47" s="116"/>
      <c r="F47" s="116"/>
      <c r="G47" s="116"/>
      <c r="H47" s="116"/>
      <c r="I47" s="116"/>
      <c r="J47" s="116"/>
      <c r="K47" s="116"/>
      <c r="L47" s="116"/>
      <c r="M47" s="116"/>
      <c r="N47" s="116"/>
      <c r="O47" s="116"/>
      <c r="P47" s="116"/>
      <c r="Q47" s="116"/>
      <c r="R47" s="116"/>
      <c r="S47" s="116"/>
      <c r="T47" s="117"/>
      <c r="U47" s="98" t="s">
        <v>42</v>
      </c>
      <c r="V47" s="99"/>
      <c r="W47" s="99"/>
      <c r="X47" s="99"/>
      <c r="Y47" s="100"/>
      <c r="Z47" s="98">
        <v>6</v>
      </c>
      <c r="AA47" s="99"/>
      <c r="AB47" s="100"/>
      <c r="AC47" s="98"/>
      <c r="AD47" s="99"/>
      <c r="AE47" s="100"/>
      <c r="AF47" s="98"/>
      <c r="AG47" s="99"/>
      <c r="AH47" s="100"/>
      <c r="AI47" s="98"/>
      <c r="AJ47" s="99"/>
      <c r="AK47" s="100"/>
      <c r="AL47" s="98"/>
      <c r="AM47" s="99"/>
      <c r="AN47" s="100"/>
      <c r="AO47" s="98"/>
      <c r="AP47" s="99"/>
      <c r="AQ47" s="100"/>
      <c r="AR47" s="101" t="s">
        <v>66</v>
      </c>
      <c r="AS47" s="102"/>
      <c r="AT47" s="102"/>
      <c r="AU47" s="102"/>
      <c r="AV47" s="102"/>
      <c r="AW47" s="102"/>
      <c r="AX47" s="102"/>
      <c r="AY47" s="102"/>
      <c r="AZ47" s="102"/>
      <c r="BA47" s="102"/>
      <c r="BB47" s="102"/>
      <c r="BC47" s="102"/>
      <c r="BD47" s="102"/>
      <c r="BE47" s="102"/>
      <c r="BF47" s="102"/>
      <c r="BG47" s="102"/>
      <c r="BH47" s="102"/>
      <c r="BI47" s="102"/>
      <c r="BJ47" s="103"/>
    </row>
    <row r="48" spans="1:62" s="11" customFormat="1" ht="44.25" customHeight="1">
      <c r="A48" s="114">
        <f t="shared" si="1"/>
        <v>27</v>
      </c>
      <c r="B48" s="114"/>
      <c r="C48" s="114"/>
      <c r="D48" s="115" t="s">
        <v>154</v>
      </c>
      <c r="E48" s="116"/>
      <c r="F48" s="116"/>
      <c r="G48" s="116"/>
      <c r="H48" s="116"/>
      <c r="I48" s="116"/>
      <c r="J48" s="116"/>
      <c r="K48" s="116"/>
      <c r="L48" s="116"/>
      <c r="M48" s="116"/>
      <c r="N48" s="116"/>
      <c r="O48" s="116"/>
      <c r="P48" s="116"/>
      <c r="Q48" s="116"/>
      <c r="R48" s="116"/>
      <c r="S48" s="116"/>
      <c r="T48" s="117"/>
      <c r="U48" s="98" t="s">
        <v>44</v>
      </c>
      <c r="V48" s="99"/>
      <c r="W48" s="99"/>
      <c r="X48" s="99"/>
      <c r="Y48" s="100"/>
      <c r="Z48" s="98">
        <v>20</v>
      </c>
      <c r="AA48" s="99"/>
      <c r="AB48" s="100"/>
      <c r="AC48" s="98"/>
      <c r="AD48" s="99"/>
      <c r="AE48" s="100"/>
      <c r="AF48" s="98"/>
      <c r="AG48" s="99"/>
      <c r="AH48" s="100"/>
      <c r="AI48" s="98"/>
      <c r="AJ48" s="99"/>
      <c r="AK48" s="100"/>
      <c r="AL48" s="98"/>
      <c r="AM48" s="99"/>
      <c r="AN48" s="100"/>
      <c r="AO48" s="98"/>
      <c r="AP48" s="99"/>
      <c r="AQ48" s="100"/>
      <c r="AR48" s="101" t="s">
        <v>67</v>
      </c>
      <c r="AS48" s="102"/>
      <c r="AT48" s="102"/>
      <c r="AU48" s="102"/>
      <c r="AV48" s="102"/>
      <c r="AW48" s="102"/>
      <c r="AX48" s="102"/>
      <c r="AY48" s="102"/>
      <c r="AZ48" s="102"/>
      <c r="BA48" s="102"/>
      <c r="BB48" s="102"/>
      <c r="BC48" s="102"/>
      <c r="BD48" s="102"/>
      <c r="BE48" s="102"/>
      <c r="BF48" s="102"/>
      <c r="BG48" s="102"/>
      <c r="BH48" s="102"/>
      <c r="BI48" s="102"/>
      <c r="BJ48" s="103"/>
    </row>
    <row r="49" spans="1:77" s="11" customFormat="1" ht="66.599999999999994" customHeight="1">
      <c r="A49" s="114">
        <f t="shared" si="1"/>
        <v>28</v>
      </c>
      <c r="B49" s="114"/>
      <c r="C49" s="114"/>
      <c r="D49" s="115" t="s">
        <v>196</v>
      </c>
      <c r="E49" s="116"/>
      <c r="F49" s="116"/>
      <c r="G49" s="116"/>
      <c r="H49" s="116"/>
      <c r="I49" s="116"/>
      <c r="J49" s="116"/>
      <c r="K49" s="116"/>
      <c r="L49" s="116"/>
      <c r="M49" s="116"/>
      <c r="N49" s="116"/>
      <c r="O49" s="116"/>
      <c r="P49" s="116"/>
      <c r="Q49" s="116"/>
      <c r="R49" s="116"/>
      <c r="S49" s="116"/>
      <c r="T49" s="117"/>
      <c r="U49" s="98" t="s">
        <v>44</v>
      </c>
      <c r="V49" s="99"/>
      <c r="W49" s="99"/>
      <c r="X49" s="99"/>
      <c r="Y49" s="100"/>
      <c r="Z49" s="98">
        <v>100</v>
      </c>
      <c r="AA49" s="99"/>
      <c r="AB49" s="100"/>
      <c r="AC49" s="98"/>
      <c r="AD49" s="99"/>
      <c r="AE49" s="100"/>
      <c r="AF49" s="98"/>
      <c r="AG49" s="99"/>
      <c r="AH49" s="100"/>
      <c r="AI49" s="98"/>
      <c r="AJ49" s="99"/>
      <c r="AK49" s="100"/>
      <c r="AL49" s="98"/>
      <c r="AM49" s="99"/>
      <c r="AN49" s="100"/>
      <c r="AO49" s="98"/>
      <c r="AP49" s="99"/>
      <c r="AQ49" s="100"/>
      <c r="AR49" s="101" t="s">
        <v>197</v>
      </c>
      <c r="AS49" s="102"/>
      <c r="AT49" s="102"/>
      <c r="AU49" s="102"/>
      <c r="AV49" s="102"/>
      <c r="AW49" s="102"/>
      <c r="AX49" s="102"/>
      <c r="AY49" s="102"/>
      <c r="AZ49" s="102"/>
      <c r="BA49" s="102"/>
      <c r="BB49" s="102"/>
      <c r="BC49" s="102"/>
      <c r="BD49" s="102"/>
      <c r="BE49" s="102"/>
      <c r="BF49" s="102"/>
      <c r="BG49" s="102"/>
      <c r="BH49" s="102"/>
      <c r="BI49" s="102"/>
      <c r="BJ49" s="103"/>
    </row>
    <row r="50" spans="1:77" s="11" customFormat="1" ht="40.5" customHeight="1">
      <c r="A50" s="114">
        <f t="shared" si="1"/>
        <v>29</v>
      </c>
      <c r="B50" s="114"/>
      <c r="C50" s="114"/>
      <c r="D50" s="115" t="s">
        <v>68</v>
      </c>
      <c r="E50" s="116"/>
      <c r="F50" s="116"/>
      <c r="G50" s="116"/>
      <c r="H50" s="116"/>
      <c r="I50" s="116"/>
      <c r="J50" s="116"/>
      <c r="K50" s="116"/>
      <c r="L50" s="116"/>
      <c r="M50" s="116"/>
      <c r="N50" s="116"/>
      <c r="O50" s="116"/>
      <c r="P50" s="116"/>
      <c r="Q50" s="116"/>
      <c r="R50" s="116"/>
      <c r="S50" s="116"/>
      <c r="T50" s="117"/>
      <c r="U50" s="98" t="s">
        <v>44</v>
      </c>
      <c r="V50" s="99"/>
      <c r="W50" s="99"/>
      <c r="X50" s="99"/>
      <c r="Y50" s="100"/>
      <c r="Z50" s="98">
        <v>64</v>
      </c>
      <c r="AA50" s="99"/>
      <c r="AB50" s="100"/>
      <c r="AC50" s="98"/>
      <c r="AD50" s="99"/>
      <c r="AE50" s="100"/>
      <c r="AF50" s="98"/>
      <c r="AG50" s="99"/>
      <c r="AH50" s="100"/>
      <c r="AI50" s="98"/>
      <c r="AJ50" s="99"/>
      <c r="AK50" s="100"/>
      <c r="AL50" s="98"/>
      <c r="AM50" s="99"/>
      <c r="AN50" s="100"/>
      <c r="AO50" s="98"/>
      <c r="AP50" s="99"/>
      <c r="AQ50" s="100"/>
      <c r="AR50" s="101" t="s">
        <v>69</v>
      </c>
      <c r="AS50" s="102"/>
      <c r="AT50" s="102"/>
      <c r="AU50" s="102"/>
      <c r="AV50" s="102"/>
      <c r="AW50" s="102"/>
      <c r="AX50" s="102"/>
      <c r="AY50" s="102"/>
      <c r="AZ50" s="102"/>
      <c r="BA50" s="102"/>
      <c r="BB50" s="102"/>
      <c r="BC50" s="102"/>
      <c r="BD50" s="102"/>
      <c r="BE50" s="102"/>
      <c r="BF50" s="102"/>
      <c r="BG50" s="102"/>
      <c r="BH50" s="102"/>
      <c r="BI50" s="102"/>
      <c r="BJ50" s="103"/>
    </row>
    <row r="51" spans="1:77" s="11" customFormat="1" ht="67.5" customHeight="1">
      <c r="A51" s="114">
        <f t="shared" si="1"/>
        <v>30</v>
      </c>
      <c r="B51" s="114"/>
      <c r="C51" s="114"/>
      <c r="D51" s="115" t="s">
        <v>70</v>
      </c>
      <c r="E51" s="116"/>
      <c r="F51" s="116"/>
      <c r="G51" s="116"/>
      <c r="H51" s="116"/>
      <c r="I51" s="116"/>
      <c r="J51" s="116"/>
      <c r="K51" s="116"/>
      <c r="L51" s="116"/>
      <c r="M51" s="116"/>
      <c r="N51" s="116"/>
      <c r="O51" s="116"/>
      <c r="P51" s="116"/>
      <c r="Q51" s="116"/>
      <c r="R51" s="116"/>
      <c r="S51" s="116"/>
      <c r="T51" s="117"/>
      <c r="U51" s="98" t="s">
        <v>33</v>
      </c>
      <c r="V51" s="99"/>
      <c r="W51" s="99"/>
      <c r="X51" s="99"/>
      <c r="Y51" s="100"/>
      <c r="Z51" s="98" t="s">
        <v>172</v>
      </c>
      <c r="AA51" s="99"/>
      <c r="AB51" s="100"/>
      <c r="AC51" s="98"/>
      <c r="AD51" s="99"/>
      <c r="AE51" s="100"/>
      <c r="AF51" s="98"/>
      <c r="AG51" s="99"/>
      <c r="AH51" s="100"/>
      <c r="AI51" s="98"/>
      <c r="AJ51" s="99"/>
      <c r="AK51" s="100"/>
      <c r="AL51" s="98"/>
      <c r="AM51" s="99"/>
      <c r="AN51" s="100"/>
      <c r="AO51" s="98"/>
      <c r="AP51" s="99"/>
      <c r="AQ51" s="100"/>
      <c r="AR51" s="101" t="s">
        <v>186</v>
      </c>
      <c r="AS51" s="102"/>
      <c r="AT51" s="102"/>
      <c r="AU51" s="102"/>
      <c r="AV51" s="102"/>
      <c r="AW51" s="102"/>
      <c r="AX51" s="102"/>
      <c r="AY51" s="102"/>
      <c r="AZ51" s="102"/>
      <c r="BA51" s="102"/>
      <c r="BB51" s="102"/>
      <c r="BC51" s="102"/>
      <c r="BD51" s="102"/>
      <c r="BE51" s="102"/>
      <c r="BF51" s="102"/>
      <c r="BG51" s="102"/>
      <c r="BH51" s="102"/>
      <c r="BI51" s="102"/>
      <c r="BJ51" s="103"/>
      <c r="BY51" s="39"/>
    </row>
    <row r="52" spans="1:77" s="11" customFormat="1" ht="66.75" customHeight="1">
      <c r="A52" s="114">
        <f t="shared" si="1"/>
        <v>31</v>
      </c>
      <c r="B52" s="114"/>
      <c r="C52" s="114"/>
      <c r="D52" s="115" t="s">
        <v>71</v>
      </c>
      <c r="E52" s="116"/>
      <c r="F52" s="116"/>
      <c r="G52" s="116"/>
      <c r="H52" s="116"/>
      <c r="I52" s="116"/>
      <c r="J52" s="116"/>
      <c r="K52" s="116"/>
      <c r="L52" s="116"/>
      <c r="M52" s="116"/>
      <c r="N52" s="116"/>
      <c r="O52" s="116"/>
      <c r="P52" s="116"/>
      <c r="Q52" s="116"/>
      <c r="R52" s="116"/>
      <c r="S52" s="116"/>
      <c r="T52" s="117"/>
      <c r="U52" s="98" t="s">
        <v>33</v>
      </c>
      <c r="V52" s="99"/>
      <c r="W52" s="99"/>
      <c r="X52" s="99"/>
      <c r="Y52" s="100"/>
      <c r="Z52" s="98" t="s">
        <v>172</v>
      </c>
      <c r="AA52" s="99"/>
      <c r="AB52" s="100"/>
      <c r="AC52" s="98"/>
      <c r="AD52" s="99"/>
      <c r="AE52" s="100"/>
      <c r="AF52" s="98"/>
      <c r="AG52" s="99"/>
      <c r="AH52" s="100"/>
      <c r="AI52" s="98"/>
      <c r="AJ52" s="99"/>
      <c r="AK52" s="100"/>
      <c r="AL52" s="98"/>
      <c r="AM52" s="99"/>
      <c r="AN52" s="100"/>
      <c r="AO52" s="98"/>
      <c r="AP52" s="99"/>
      <c r="AQ52" s="100"/>
      <c r="AR52" s="101" t="s">
        <v>185</v>
      </c>
      <c r="AS52" s="102"/>
      <c r="AT52" s="102"/>
      <c r="AU52" s="102"/>
      <c r="AV52" s="102"/>
      <c r="AW52" s="102"/>
      <c r="AX52" s="102"/>
      <c r="AY52" s="102"/>
      <c r="AZ52" s="102"/>
      <c r="BA52" s="102"/>
      <c r="BB52" s="102"/>
      <c r="BC52" s="102"/>
      <c r="BD52" s="102"/>
      <c r="BE52" s="102"/>
      <c r="BF52" s="102"/>
      <c r="BG52" s="102"/>
      <c r="BH52" s="102"/>
      <c r="BI52" s="102"/>
      <c r="BJ52" s="103"/>
    </row>
    <row r="53" spans="1:77" s="11" customFormat="1" ht="40.5" customHeight="1">
      <c r="A53" s="114">
        <f t="shared" si="1"/>
        <v>32</v>
      </c>
      <c r="B53" s="114"/>
      <c r="C53" s="114"/>
      <c r="D53" s="115" t="s">
        <v>155</v>
      </c>
      <c r="E53" s="116"/>
      <c r="F53" s="116"/>
      <c r="G53" s="116"/>
      <c r="H53" s="116"/>
      <c r="I53" s="116"/>
      <c r="J53" s="116"/>
      <c r="K53" s="116"/>
      <c r="L53" s="116"/>
      <c r="M53" s="116"/>
      <c r="N53" s="116"/>
      <c r="O53" s="116"/>
      <c r="P53" s="116"/>
      <c r="Q53" s="116"/>
      <c r="R53" s="116"/>
      <c r="S53" s="116"/>
      <c r="T53" s="117"/>
      <c r="U53" s="98" t="s">
        <v>44</v>
      </c>
      <c r="V53" s="99"/>
      <c r="W53" s="99"/>
      <c r="X53" s="99"/>
      <c r="Y53" s="100"/>
      <c r="Z53" s="98">
        <v>13</v>
      </c>
      <c r="AA53" s="99"/>
      <c r="AB53" s="100"/>
      <c r="AC53" s="98" t="s">
        <v>19</v>
      </c>
      <c r="AD53" s="99"/>
      <c r="AE53" s="100"/>
      <c r="AF53" s="98"/>
      <c r="AG53" s="99"/>
      <c r="AH53" s="100"/>
      <c r="AI53" s="98"/>
      <c r="AJ53" s="99"/>
      <c r="AK53" s="100"/>
      <c r="AL53" s="98"/>
      <c r="AM53" s="99"/>
      <c r="AN53" s="100"/>
      <c r="AO53" s="98"/>
      <c r="AP53" s="99"/>
      <c r="AQ53" s="100"/>
      <c r="AR53" s="101" t="s">
        <v>72</v>
      </c>
      <c r="AS53" s="102"/>
      <c r="AT53" s="102"/>
      <c r="AU53" s="102"/>
      <c r="AV53" s="102"/>
      <c r="AW53" s="102"/>
      <c r="AX53" s="102"/>
      <c r="AY53" s="102"/>
      <c r="AZ53" s="102"/>
      <c r="BA53" s="102"/>
      <c r="BB53" s="102"/>
      <c r="BC53" s="102"/>
      <c r="BD53" s="102"/>
      <c r="BE53" s="102"/>
      <c r="BF53" s="102"/>
      <c r="BG53" s="102"/>
      <c r="BH53" s="102"/>
      <c r="BI53" s="102"/>
      <c r="BJ53" s="103"/>
    </row>
    <row r="54" spans="1:77" s="11" customFormat="1" ht="40.5" customHeight="1">
      <c r="A54" s="114">
        <f t="shared" si="1"/>
        <v>33</v>
      </c>
      <c r="B54" s="114"/>
      <c r="C54" s="114"/>
      <c r="D54" s="115" t="s">
        <v>73</v>
      </c>
      <c r="E54" s="116"/>
      <c r="F54" s="116"/>
      <c r="G54" s="116"/>
      <c r="H54" s="116"/>
      <c r="I54" s="116"/>
      <c r="J54" s="116"/>
      <c r="K54" s="116"/>
      <c r="L54" s="116"/>
      <c r="M54" s="116"/>
      <c r="N54" s="116"/>
      <c r="O54" s="116"/>
      <c r="P54" s="116"/>
      <c r="Q54" s="116"/>
      <c r="R54" s="116"/>
      <c r="S54" s="116"/>
      <c r="T54" s="117"/>
      <c r="U54" s="98" t="s">
        <v>33</v>
      </c>
      <c r="V54" s="99"/>
      <c r="W54" s="99"/>
      <c r="X54" s="99"/>
      <c r="Y54" s="100"/>
      <c r="Z54" s="98">
        <v>13</v>
      </c>
      <c r="AA54" s="99"/>
      <c r="AB54" s="100"/>
      <c r="AC54" s="98" t="s">
        <v>19</v>
      </c>
      <c r="AD54" s="99"/>
      <c r="AE54" s="100"/>
      <c r="AF54" s="98"/>
      <c r="AG54" s="99"/>
      <c r="AH54" s="100"/>
      <c r="AI54" s="98"/>
      <c r="AJ54" s="99"/>
      <c r="AK54" s="100"/>
      <c r="AL54" s="98"/>
      <c r="AM54" s="99"/>
      <c r="AN54" s="100"/>
      <c r="AO54" s="98"/>
      <c r="AP54" s="99"/>
      <c r="AQ54" s="100"/>
      <c r="AR54" s="101" t="s">
        <v>74</v>
      </c>
      <c r="AS54" s="102"/>
      <c r="AT54" s="102"/>
      <c r="AU54" s="102"/>
      <c r="AV54" s="102"/>
      <c r="AW54" s="102"/>
      <c r="AX54" s="102"/>
      <c r="AY54" s="102"/>
      <c r="AZ54" s="102"/>
      <c r="BA54" s="102"/>
      <c r="BB54" s="102"/>
      <c r="BC54" s="102"/>
      <c r="BD54" s="102"/>
      <c r="BE54" s="102"/>
      <c r="BF54" s="102"/>
      <c r="BG54" s="102"/>
      <c r="BH54" s="102"/>
      <c r="BI54" s="102"/>
      <c r="BJ54" s="103"/>
    </row>
    <row r="55" spans="1:77" s="11" customFormat="1" ht="40.5" customHeight="1">
      <c r="A55" s="114">
        <f t="shared" si="1"/>
        <v>34</v>
      </c>
      <c r="B55" s="114"/>
      <c r="C55" s="114"/>
      <c r="D55" s="115" t="s">
        <v>75</v>
      </c>
      <c r="E55" s="116"/>
      <c r="F55" s="116"/>
      <c r="G55" s="116"/>
      <c r="H55" s="116"/>
      <c r="I55" s="116"/>
      <c r="J55" s="116"/>
      <c r="K55" s="116"/>
      <c r="L55" s="116"/>
      <c r="M55" s="116"/>
      <c r="N55" s="116"/>
      <c r="O55" s="116"/>
      <c r="P55" s="116"/>
      <c r="Q55" s="116"/>
      <c r="R55" s="116"/>
      <c r="S55" s="116"/>
      <c r="T55" s="117"/>
      <c r="U55" s="98" t="s">
        <v>33</v>
      </c>
      <c r="V55" s="99"/>
      <c r="W55" s="99"/>
      <c r="X55" s="99"/>
      <c r="Y55" s="100"/>
      <c r="Z55" s="98">
        <v>13</v>
      </c>
      <c r="AA55" s="99"/>
      <c r="AB55" s="100"/>
      <c r="AC55" s="98" t="s">
        <v>19</v>
      </c>
      <c r="AD55" s="99"/>
      <c r="AE55" s="100"/>
      <c r="AF55" s="98"/>
      <c r="AG55" s="99"/>
      <c r="AH55" s="100"/>
      <c r="AI55" s="98"/>
      <c r="AJ55" s="99"/>
      <c r="AK55" s="100"/>
      <c r="AL55" s="98"/>
      <c r="AM55" s="99"/>
      <c r="AN55" s="100"/>
      <c r="AO55" s="98"/>
      <c r="AP55" s="99"/>
      <c r="AQ55" s="100"/>
      <c r="AR55" s="101" t="s">
        <v>171</v>
      </c>
      <c r="AS55" s="102"/>
      <c r="AT55" s="102"/>
      <c r="AU55" s="102"/>
      <c r="AV55" s="102"/>
      <c r="AW55" s="102"/>
      <c r="AX55" s="102"/>
      <c r="AY55" s="102"/>
      <c r="AZ55" s="102"/>
      <c r="BA55" s="102"/>
      <c r="BB55" s="102"/>
      <c r="BC55" s="102"/>
      <c r="BD55" s="102"/>
      <c r="BE55" s="102"/>
      <c r="BF55" s="102"/>
      <c r="BG55" s="102"/>
      <c r="BH55" s="102"/>
      <c r="BI55" s="102"/>
      <c r="BJ55" s="103"/>
    </row>
    <row r="56" spans="1:77" s="11" customFormat="1" ht="40.5" customHeight="1">
      <c r="A56" s="114">
        <f t="shared" si="1"/>
        <v>35</v>
      </c>
      <c r="B56" s="114"/>
      <c r="C56" s="114"/>
      <c r="D56" s="115" t="s">
        <v>76</v>
      </c>
      <c r="E56" s="116"/>
      <c r="F56" s="116"/>
      <c r="G56" s="116"/>
      <c r="H56" s="116"/>
      <c r="I56" s="116"/>
      <c r="J56" s="116"/>
      <c r="K56" s="116"/>
      <c r="L56" s="116"/>
      <c r="M56" s="116"/>
      <c r="N56" s="116"/>
      <c r="O56" s="116"/>
      <c r="P56" s="116"/>
      <c r="Q56" s="116"/>
      <c r="R56" s="116"/>
      <c r="S56" s="116"/>
      <c r="T56" s="117"/>
      <c r="U56" s="98" t="s">
        <v>44</v>
      </c>
      <c r="V56" s="99"/>
      <c r="W56" s="99"/>
      <c r="X56" s="99"/>
      <c r="Y56" s="100"/>
      <c r="Z56" s="98">
        <v>4</v>
      </c>
      <c r="AA56" s="99"/>
      <c r="AB56" s="100"/>
      <c r="AC56" s="98"/>
      <c r="AD56" s="99"/>
      <c r="AE56" s="100"/>
      <c r="AF56" s="98"/>
      <c r="AG56" s="99"/>
      <c r="AH56" s="100"/>
      <c r="AI56" s="98"/>
      <c r="AJ56" s="99"/>
      <c r="AK56" s="100"/>
      <c r="AL56" s="98"/>
      <c r="AM56" s="99"/>
      <c r="AN56" s="100"/>
      <c r="AO56" s="98"/>
      <c r="AP56" s="99"/>
      <c r="AQ56" s="100"/>
      <c r="AR56" s="101" t="s">
        <v>77</v>
      </c>
      <c r="AS56" s="102"/>
      <c r="AT56" s="102"/>
      <c r="AU56" s="102"/>
      <c r="AV56" s="102"/>
      <c r="AW56" s="102"/>
      <c r="AX56" s="102"/>
      <c r="AY56" s="102"/>
      <c r="AZ56" s="102"/>
      <c r="BA56" s="102"/>
      <c r="BB56" s="102"/>
      <c r="BC56" s="102"/>
      <c r="BD56" s="102"/>
      <c r="BE56" s="102"/>
      <c r="BF56" s="102"/>
      <c r="BG56" s="102"/>
      <c r="BH56" s="102"/>
      <c r="BI56" s="102"/>
      <c r="BJ56" s="103"/>
    </row>
    <row r="57" spans="1:77" s="11" customFormat="1" ht="51" customHeight="1">
      <c r="A57" s="114">
        <f t="shared" si="1"/>
        <v>36</v>
      </c>
      <c r="B57" s="114"/>
      <c r="C57" s="114"/>
      <c r="D57" s="115" t="s">
        <v>78</v>
      </c>
      <c r="E57" s="116"/>
      <c r="F57" s="116"/>
      <c r="G57" s="116"/>
      <c r="H57" s="116"/>
      <c r="I57" s="116"/>
      <c r="J57" s="116"/>
      <c r="K57" s="116"/>
      <c r="L57" s="116"/>
      <c r="M57" s="116"/>
      <c r="N57" s="116"/>
      <c r="O57" s="116"/>
      <c r="P57" s="116"/>
      <c r="Q57" s="116"/>
      <c r="R57" s="116"/>
      <c r="S57" s="116"/>
      <c r="T57" s="117"/>
      <c r="U57" s="98" t="s">
        <v>33</v>
      </c>
      <c r="V57" s="99"/>
      <c r="W57" s="99"/>
      <c r="X57" s="99"/>
      <c r="Y57" s="100"/>
      <c r="Z57" s="98">
        <v>4</v>
      </c>
      <c r="AA57" s="99"/>
      <c r="AB57" s="100"/>
      <c r="AC57" s="98"/>
      <c r="AD57" s="99"/>
      <c r="AE57" s="100"/>
      <c r="AF57" s="98"/>
      <c r="AG57" s="99"/>
      <c r="AH57" s="100"/>
      <c r="AI57" s="98"/>
      <c r="AJ57" s="99"/>
      <c r="AK57" s="100"/>
      <c r="AL57" s="98"/>
      <c r="AM57" s="99"/>
      <c r="AN57" s="100"/>
      <c r="AO57" s="98"/>
      <c r="AP57" s="99"/>
      <c r="AQ57" s="100"/>
      <c r="AR57" s="101" t="s">
        <v>79</v>
      </c>
      <c r="AS57" s="102"/>
      <c r="AT57" s="102"/>
      <c r="AU57" s="102"/>
      <c r="AV57" s="102"/>
      <c r="AW57" s="102"/>
      <c r="AX57" s="102"/>
      <c r="AY57" s="102"/>
      <c r="AZ57" s="102"/>
      <c r="BA57" s="102"/>
      <c r="BB57" s="102"/>
      <c r="BC57" s="102"/>
      <c r="BD57" s="102"/>
      <c r="BE57" s="102"/>
      <c r="BF57" s="102"/>
      <c r="BG57" s="102"/>
      <c r="BH57" s="102"/>
      <c r="BI57" s="102"/>
      <c r="BJ57" s="103"/>
    </row>
    <row r="58" spans="1:77" s="11" customFormat="1" ht="51" customHeight="1">
      <c r="A58" s="114">
        <f t="shared" si="1"/>
        <v>37</v>
      </c>
      <c r="B58" s="114"/>
      <c r="C58" s="114"/>
      <c r="D58" s="115" t="s">
        <v>80</v>
      </c>
      <c r="E58" s="116"/>
      <c r="F58" s="116"/>
      <c r="G58" s="116"/>
      <c r="H58" s="116"/>
      <c r="I58" s="116"/>
      <c r="J58" s="116"/>
      <c r="K58" s="116"/>
      <c r="L58" s="116"/>
      <c r="M58" s="116"/>
      <c r="N58" s="116"/>
      <c r="O58" s="116"/>
      <c r="P58" s="116"/>
      <c r="Q58" s="116"/>
      <c r="R58" s="116"/>
      <c r="S58" s="116"/>
      <c r="T58" s="117"/>
      <c r="U58" s="98" t="s">
        <v>33</v>
      </c>
      <c r="V58" s="99"/>
      <c r="W58" s="99"/>
      <c r="X58" s="99"/>
      <c r="Y58" s="100"/>
      <c r="Z58" s="98">
        <v>2</v>
      </c>
      <c r="AA58" s="99"/>
      <c r="AB58" s="100"/>
      <c r="AC58" s="98"/>
      <c r="AD58" s="99"/>
      <c r="AE58" s="100"/>
      <c r="AF58" s="98"/>
      <c r="AG58" s="99"/>
      <c r="AH58" s="100"/>
      <c r="AI58" s="98"/>
      <c r="AJ58" s="99"/>
      <c r="AK58" s="100"/>
      <c r="AL58" s="98"/>
      <c r="AM58" s="99"/>
      <c r="AN58" s="100"/>
      <c r="AO58" s="98"/>
      <c r="AP58" s="99"/>
      <c r="AQ58" s="100"/>
      <c r="AR58" s="101" t="s">
        <v>81</v>
      </c>
      <c r="AS58" s="102"/>
      <c r="AT58" s="102"/>
      <c r="AU58" s="102"/>
      <c r="AV58" s="102"/>
      <c r="AW58" s="102"/>
      <c r="AX58" s="102"/>
      <c r="AY58" s="102"/>
      <c r="AZ58" s="102"/>
      <c r="BA58" s="102"/>
      <c r="BB58" s="102"/>
      <c r="BC58" s="102"/>
      <c r="BD58" s="102"/>
      <c r="BE58" s="102"/>
      <c r="BF58" s="102"/>
      <c r="BG58" s="102"/>
      <c r="BH58" s="102"/>
      <c r="BI58" s="102"/>
      <c r="BJ58" s="103"/>
    </row>
    <row r="59" spans="1:77" s="11" customFormat="1" ht="68.25" customHeight="1">
      <c r="A59" s="114">
        <f t="shared" si="1"/>
        <v>38</v>
      </c>
      <c r="B59" s="114"/>
      <c r="C59" s="114"/>
      <c r="D59" s="115" t="s">
        <v>248</v>
      </c>
      <c r="E59" s="116"/>
      <c r="F59" s="116"/>
      <c r="G59" s="116"/>
      <c r="H59" s="116"/>
      <c r="I59" s="116"/>
      <c r="J59" s="116"/>
      <c r="K59" s="116"/>
      <c r="L59" s="116"/>
      <c r="M59" s="116"/>
      <c r="N59" s="116"/>
      <c r="O59" s="116"/>
      <c r="P59" s="116"/>
      <c r="Q59" s="116"/>
      <c r="R59" s="116"/>
      <c r="S59" s="116"/>
      <c r="T59" s="117"/>
      <c r="U59" s="98" t="s">
        <v>42</v>
      </c>
      <c r="V59" s="99"/>
      <c r="W59" s="99"/>
      <c r="X59" s="99"/>
      <c r="Y59" s="100"/>
      <c r="Z59" s="98">
        <v>20</v>
      </c>
      <c r="AA59" s="99"/>
      <c r="AB59" s="100"/>
      <c r="AC59" s="98"/>
      <c r="AD59" s="99"/>
      <c r="AE59" s="100"/>
      <c r="AF59" s="98"/>
      <c r="AG59" s="99"/>
      <c r="AH59" s="100"/>
      <c r="AI59" s="98"/>
      <c r="AJ59" s="99"/>
      <c r="AK59" s="100"/>
      <c r="AL59" s="98"/>
      <c r="AM59" s="99"/>
      <c r="AN59" s="100"/>
      <c r="AO59" s="98"/>
      <c r="AP59" s="99"/>
      <c r="AQ59" s="100"/>
      <c r="AR59" s="101" t="s">
        <v>249</v>
      </c>
      <c r="AS59" s="102"/>
      <c r="AT59" s="102"/>
      <c r="AU59" s="102"/>
      <c r="AV59" s="102"/>
      <c r="AW59" s="102"/>
      <c r="AX59" s="102"/>
      <c r="AY59" s="102"/>
      <c r="AZ59" s="102"/>
      <c r="BA59" s="102"/>
      <c r="BB59" s="102"/>
      <c r="BC59" s="102"/>
      <c r="BD59" s="102"/>
      <c r="BE59" s="102"/>
      <c r="BF59" s="102"/>
      <c r="BG59" s="102"/>
      <c r="BH59" s="102"/>
      <c r="BI59" s="102"/>
      <c r="BJ59" s="103"/>
    </row>
    <row r="60" spans="1:77" s="11" customFormat="1" ht="50.25" customHeight="1">
      <c r="A60" s="114">
        <f t="shared" si="1"/>
        <v>39</v>
      </c>
      <c r="B60" s="114"/>
      <c r="C60" s="114"/>
      <c r="D60" s="115" t="s">
        <v>253</v>
      </c>
      <c r="E60" s="116"/>
      <c r="F60" s="116"/>
      <c r="G60" s="116"/>
      <c r="H60" s="116"/>
      <c r="I60" s="116"/>
      <c r="J60" s="116"/>
      <c r="K60" s="116"/>
      <c r="L60" s="116"/>
      <c r="M60" s="116"/>
      <c r="N60" s="116"/>
      <c r="O60" s="116"/>
      <c r="P60" s="116"/>
      <c r="Q60" s="116"/>
      <c r="R60" s="116"/>
      <c r="S60" s="116"/>
      <c r="T60" s="117"/>
      <c r="U60" s="98" t="s">
        <v>42</v>
      </c>
      <c r="V60" s="99"/>
      <c r="W60" s="99"/>
      <c r="X60" s="99"/>
      <c r="Y60" s="100"/>
      <c r="Z60" s="98">
        <v>18</v>
      </c>
      <c r="AA60" s="99"/>
      <c r="AB60" s="100"/>
      <c r="AC60" s="98"/>
      <c r="AD60" s="99"/>
      <c r="AE60" s="100"/>
      <c r="AF60" s="98"/>
      <c r="AG60" s="99"/>
      <c r="AH60" s="100"/>
      <c r="AI60" s="98"/>
      <c r="AJ60" s="99"/>
      <c r="AK60" s="100"/>
      <c r="AL60" s="98"/>
      <c r="AM60" s="99"/>
      <c r="AN60" s="100"/>
      <c r="AO60" s="98"/>
      <c r="AP60" s="99"/>
      <c r="AQ60" s="100"/>
      <c r="AR60" s="101" t="s">
        <v>254</v>
      </c>
      <c r="AS60" s="102"/>
      <c r="AT60" s="102"/>
      <c r="AU60" s="102"/>
      <c r="AV60" s="102"/>
      <c r="AW60" s="102"/>
      <c r="AX60" s="102"/>
      <c r="AY60" s="102"/>
      <c r="AZ60" s="102"/>
      <c r="BA60" s="102"/>
      <c r="BB60" s="102"/>
      <c r="BC60" s="102"/>
      <c r="BD60" s="102"/>
      <c r="BE60" s="102"/>
      <c r="BF60" s="102"/>
      <c r="BG60" s="102"/>
      <c r="BH60" s="102"/>
      <c r="BI60" s="102"/>
      <c r="BJ60" s="103"/>
    </row>
    <row r="61" spans="1:77" s="11" customFormat="1" ht="63" customHeight="1">
      <c r="A61" s="114">
        <f t="shared" si="1"/>
        <v>40</v>
      </c>
      <c r="B61" s="114"/>
      <c r="C61" s="114"/>
      <c r="D61" s="115" t="s">
        <v>268</v>
      </c>
      <c r="E61" s="116"/>
      <c r="F61" s="116"/>
      <c r="G61" s="116"/>
      <c r="H61" s="116"/>
      <c r="I61" s="116"/>
      <c r="J61" s="116"/>
      <c r="K61" s="116"/>
      <c r="L61" s="116"/>
      <c r="M61" s="116"/>
      <c r="N61" s="116"/>
      <c r="O61" s="116"/>
      <c r="P61" s="116"/>
      <c r="Q61" s="116"/>
      <c r="R61" s="116"/>
      <c r="S61" s="116"/>
      <c r="T61" s="117"/>
      <c r="U61" s="98" t="s">
        <v>44</v>
      </c>
      <c r="V61" s="99"/>
      <c r="W61" s="99"/>
      <c r="X61" s="99"/>
      <c r="Y61" s="100"/>
      <c r="Z61" s="98">
        <v>2</v>
      </c>
      <c r="AA61" s="99"/>
      <c r="AB61" s="100"/>
      <c r="AC61" s="98"/>
      <c r="AD61" s="99"/>
      <c r="AE61" s="100"/>
      <c r="AF61" s="98"/>
      <c r="AG61" s="99"/>
      <c r="AH61" s="100"/>
      <c r="AI61" s="98"/>
      <c r="AJ61" s="99"/>
      <c r="AK61" s="100"/>
      <c r="AL61" s="98"/>
      <c r="AM61" s="99"/>
      <c r="AN61" s="100"/>
      <c r="AO61" s="98"/>
      <c r="AP61" s="99"/>
      <c r="AQ61" s="100"/>
      <c r="AR61" s="101" t="s">
        <v>269</v>
      </c>
      <c r="AS61" s="102"/>
      <c r="AT61" s="102"/>
      <c r="AU61" s="102"/>
      <c r="AV61" s="102"/>
      <c r="AW61" s="102"/>
      <c r="AX61" s="102"/>
      <c r="AY61" s="102"/>
      <c r="AZ61" s="102"/>
      <c r="BA61" s="102"/>
      <c r="BB61" s="102"/>
      <c r="BC61" s="102"/>
      <c r="BD61" s="102"/>
      <c r="BE61" s="102"/>
      <c r="BF61" s="102"/>
      <c r="BG61" s="102"/>
      <c r="BH61" s="102"/>
      <c r="BI61" s="102"/>
      <c r="BJ61" s="103"/>
    </row>
    <row r="62" spans="1:77" s="11" customFormat="1" ht="36" customHeight="1">
      <c r="A62" s="114">
        <f t="shared" si="1"/>
        <v>41</v>
      </c>
      <c r="B62" s="114"/>
      <c r="C62" s="114"/>
      <c r="D62" s="115" t="s">
        <v>207</v>
      </c>
      <c r="E62" s="116"/>
      <c r="F62" s="116"/>
      <c r="G62" s="116"/>
      <c r="H62" s="116"/>
      <c r="I62" s="116"/>
      <c r="J62" s="116"/>
      <c r="K62" s="116"/>
      <c r="L62" s="116"/>
      <c r="M62" s="116"/>
      <c r="N62" s="116"/>
      <c r="O62" s="116"/>
      <c r="P62" s="116"/>
      <c r="Q62" s="116"/>
      <c r="R62" s="116"/>
      <c r="S62" s="116"/>
      <c r="T62" s="117"/>
      <c r="U62" s="98" t="s">
        <v>42</v>
      </c>
      <c r="V62" s="99"/>
      <c r="W62" s="99"/>
      <c r="X62" s="99"/>
      <c r="Y62" s="100"/>
      <c r="Z62" s="98">
        <v>15</v>
      </c>
      <c r="AA62" s="99"/>
      <c r="AB62" s="100"/>
      <c r="AC62" s="98"/>
      <c r="AD62" s="99"/>
      <c r="AE62" s="100"/>
      <c r="AF62" s="98"/>
      <c r="AG62" s="99"/>
      <c r="AH62" s="100"/>
      <c r="AI62" s="98"/>
      <c r="AJ62" s="99"/>
      <c r="AK62" s="100"/>
      <c r="AL62" s="98"/>
      <c r="AM62" s="99"/>
      <c r="AN62" s="100"/>
      <c r="AO62" s="98"/>
      <c r="AP62" s="99"/>
      <c r="AQ62" s="100"/>
      <c r="AR62" s="101" t="s">
        <v>209</v>
      </c>
      <c r="AS62" s="102"/>
      <c r="AT62" s="102"/>
      <c r="AU62" s="102"/>
      <c r="AV62" s="102"/>
      <c r="AW62" s="102"/>
      <c r="AX62" s="102"/>
      <c r="AY62" s="102"/>
      <c r="AZ62" s="102"/>
      <c r="BA62" s="102"/>
      <c r="BB62" s="102"/>
      <c r="BC62" s="102"/>
      <c r="BD62" s="102"/>
      <c r="BE62" s="102"/>
      <c r="BF62" s="102"/>
      <c r="BG62" s="102"/>
      <c r="BH62" s="102"/>
      <c r="BI62" s="102"/>
      <c r="BJ62" s="103"/>
    </row>
    <row r="63" spans="1:77" s="11" customFormat="1" ht="36" customHeight="1">
      <c r="A63" s="104">
        <f t="shared" si="1"/>
        <v>42</v>
      </c>
      <c r="B63" s="104"/>
      <c r="C63" s="104"/>
      <c r="D63" s="105" t="s">
        <v>208</v>
      </c>
      <c r="E63" s="106"/>
      <c r="F63" s="106"/>
      <c r="G63" s="106"/>
      <c r="H63" s="106"/>
      <c r="I63" s="106"/>
      <c r="J63" s="106"/>
      <c r="K63" s="106"/>
      <c r="L63" s="106"/>
      <c r="M63" s="106"/>
      <c r="N63" s="106"/>
      <c r="O63" s="106"/>
      <c r="P63" s="106"/>
      <c r="Q63" s="106"/>
      <c r="R63" s="106"/>
      <c r="S63" s="106"/>
      <c r="T63" s="107"/>
      <c r="U63" s="108" t="s">
        <v>42</v>
      </c>
      <c r="V63" s="109"/>
      <c r="W63" s="109"/>
      <c r="X63" s="109"/>
      <c r="Y63" s="110"/>
      <c r="Z63" s="108">
        <v>2</v>
      </c>
      <c r="AA63" s="109"/>
      <c r="AB63" s="110"/>
      <c r="AC63" s="108"/>
      <c r="AD63" s="109"/>
      <c r="AE63" s="110"/>
      <c r="AF63" s="108"/>
      <c r="AG63" s="109"/>
      <c r="AH63" s="110"/>
      <c r="AI63" s="108"/>
      <c r="AJ63" s="109"/>
      <c r="AK63" s="110"/>
      <c r="AL63" s="108"/>
      <c r="AM63" s="109"/>
      <c r="AN63" s="110"/>
      <c r="AO63" s="108"/>
      <c r="AP63" s="109"/>
      <c r="AQ63" s="110"/>
      <c r="AR63" s="111" t="s">
        <v>210</v>
      </c>
      <c r="AS63" s="112"/>
      <c r="AT63" s="112"/>
      <c r="AU63" s="112"/>
      <c r="AV63" s="112"/>
      <c r="AW63" s="112"/>
      <c r="AX63" s="112"/>
      <c r="AY63" s="112"/>
      <c r="AZ63" s="112"/>
      <c r="BA63" s="112"/>
      <c r="BB63" s="112"/>
      <c r="BC63" s="112"/>
      <c r="BD63" s="112"/>
      <c r="BE63" s="112"/>
      <c r="BF63" s="112"/>
      <c r="BG63" s="112"/>
      <c r="BH63" s="112"/>
      <c r="BI63" s="112"/>
      <c r="BJ63" s="113"/>
    </row>
  </sheetData>
  <mergeCells count="483">
    <mergeCell ref="AR60:BJ60"/>
    <mergeCell ref="A60:C60"/>
    <mergeCell ref="D60:T60"/>
    <mergeCell ref="U60:Y60"/>
    <mergeCell ref="Z60:AB60"/>
    <mergeCell ref="AC60:AE60"/>
    <mergeCell ref="AF60:AH60"/>
    <mergeCell ref="AI60:AK60"/>
    <mergeCell ref="AL60:AN60"/>
    <mergeCell ref="AO60:AQ60"/>
    <mergeCell ref="D35:T35"/>
    <mergeCell ref="U35:Y35"/>
    <mergeCell ref="U36:Y36"/>
    <mergeCell ref="Z36:AB36"/>
    <mergeCell ref="AC36:AE36"/>
    <mergeCell ref="AF36:AH36"/>
    <mergeCell ref="AI36:AK36"/>
    <mergeCell ref="AL36:AN36"/>
    <mergeCell ref="AO36:AQ36"/>
    <mergeCell ref="D59:T59"/>
    <mergeCell ref="U59:Y59"/>
    <mergeCell ref="AL35:AN35"/>
    <mergeCell ref="AO35:AQ35"/>
    <mergeCell ref="Z51:AB51"/>
    <mergeCell ref="AC51:AE51"/>
    <mergeCell ref="AF51:AH51"/>
    <mergeCell ref="AI51:AK51"/>
    <mergeCell ref="Z35:AB35"/>
    <mergeCell ref="AC35:AE35"/>
    <mergeCell ref="AF35:AH35"/>
    <mergeCell ref="AI35:AK35"/>
    <mergeCell ref="Z59:AB59"/>
    <mergeCell ref="AC59:AE59"/>
    <mergeCell ref="AF59:AH59"/>
    <mergeCell ref="AI59:AK59"/>
    <mergeCell ref="AL59:AN59"/>
    <mergeCell ref="AO59:AQ59"/>
    <mergeCell ref="AO42:AQ42"/>
    <mergeCell ref="D36:T36"/>
    <mergeCell ref="D41:T41"/>
    <mergeCell ref="U41:Y41"/>
    <mergeCell ref="Z41:AB41"/>
    <mergeCell ref="AC41:AE41"/>
    <mergeCell ref="AL38:AN38"/>
    <mergeCell ref="AO38:AQ38"/>
    <mergeCell ref="Z39:AB39"/>
    <mergeCell ref="AC39:AE39"/>
    <mergeCell ref="D40:T40"/>
    <mergeCell ref="U40:Y40"/>
    <mergeCell ref="Z40:AB40"/>
    <mergeCell ref="AC40:AE40"/>
    <mergeCell ref="AF40:AH40"/>
    <mergeCell ref="AI40:AK40"/>
    <mergeCell ref="AL40:AN40"/>
    <mergeCell ref="AO40:AQ40"/>
    <mergeCell ref="D39:T39"/>
    <mergeCell ref="U39:Y39"/>
    <mergeCell ref="AF39:AH39"/>
    <mergeCell ref="AI39:AK39"/>
    <mergeCell ref="AL39:AN39"/>
    <mergeCell ref="AO39:AQ39"/>
    <mergeCell ref="A2:AS2"/>
    <mergeCell ref="AT2:AX2"/>
    <mergeCell ref="AY2:BB2"/>
    <mergeCell ref="BC2:BF2"/>
    <mergeCell ref="BG2:BJ2"/>
    <mergeCell ref="A3:H4"/>
    <mergeCell ref="I3:AS4"/>
    <mergeCell ref="AT3:AX3"/>
    <mergeCell ref="AY3:BJ3"/>
    <mergeCell ref="AT4:AX4"/>
    <mergeCell ref="AY4:BJ4"/>
    <mergeCell ref="U22:Y22"/>
    <mergeCell ref="Z22:AB22"/>
    <mergeCell ref="AC22:AE22"/>
    <mergeCell ref="AF22:AH22"/>
    <mergeCell ref="AI22:AK22"/>
    <mergeCell ref="AL22:AN22"/>
    <mergeCell ref="AO22:AQ22"/>
    <mergeCell ref="AR22:BJ22"/>
    <mergeCell ref="A6:K6"/>
    <mergeCell ref="L6:AA6"/>
    <mergeCell ref="AB6:AJ6"/>
    <mergeCell ref="AK6:AN6"/>
    <mergeCell ref="AO6:AW6"/>
    <mergeCell ref="AX6:BA6"/>
    <mergeCell ref="BB6:BE6"/>
    <mergeCell ref="BF6:BJ6"/>
    <mergeCell ref="A7:K7"/>
    <mergeCell ref="BI7:BJ7"/>
    <mergeCell ref="L7:AJ7"/>
    <mergeCell ref="AK7:AR7"/>
    <mergeCell ref="AS7:AX7"/>
    <mergeCell ref="BC7:BD7"/>
    <mergeCell ref="BE7:BH7"/>
    <mergeCell ref="A10:C10"/>
    <mergeCell ref="D42:T42"/>
    <mergeCell ref="U42:Y42"/>
    <mergeCell ref="A29:C29"/>
    <mergeCell ref="AR29:BJ29"/>
    <mergeCell ref="AI21:AK21"/>
    <mergeCell ref="AL21:AN21"/>
    <mergeCell ref="AO21:AQ21"/>
    <mergeCell ref="A27:C27"/>
    <mergeCell ref="AR27:BJ27"/>
    <mergeCell ref="A28:C28"/>
    <mergeCell ref="AR28:BJ28"/>
    <mergeCell ref="A21:C21"/>
    <mergeCell ref="D21:T21"/>
    <mergeCell ref="U21:Y21"/>
    <mergeCell ref="Z21:AB21"/>
    <mergeCell ref="AC21:AE21"/>
    <mergeCell ref="AF21:AH21"/>
    <mergeCell ref="AR21:BJ21"/>
    <mergeCell ref="D27:T27"/>
    <mergeCell ref="U27:Y27"/>
    <mergeCell ref="Z27:AB27"/>
    <mergeCell ref="AC27:AE27"/>
    <mergeCell ref="A22:C22"/>
    <mergeCell ref="D22:T22"/>
    <mergeCell ref="A41:C41"/>
    <mergeCell ref="AR41:BJ41"/>
    <mergeCell ref="A42:C42"/>
    <mergeCell ref="AR42:BJ42"/>
    <mergeCell ref="A36:C36"/>
    <mergeCell ref="AR36:BJ36"/>
    <mergeCell ref="A30:C30"/>
    <mergeCell ref="AR30:BJ30"/>
    <mergeCell ref="A33:C33"/>
    <mergeCell ref="AR33:BJ33"/>
    <mergeCell ref="A34:C34"/>
    <mergeCell ref="AR34:BJ34"/>
    <mergeCell ref="D33:T33"/>
    <mergeCell ref="U33:Y33"/>
    <mergeCell ref="Z33:AB33"/>
    <mergeCell ref="AC33:AE33"/>
    <mergeCell ref="AF33:AH33"/>
    <mergeCell ref="AI33:AK33"/>
    <mergeCell ref="AL33:AN33"/>
    <mergeCell ref="AO33:AQ33"/>
    <mergeCell ref="D34:T34"/>
    <mergeCell ref="U34:Y34"/>
    <mergeCell ref="Z34:AB34"/>
    <mergeCell ref="AC34:AE34"/>
    <mergeCell ref="A40:C40"/>
    <mergeCell ref="AR40:BJ40"/>
    <mergeCell ref="AF38:AH38"/>
    <mergeCell ref="AI38:AK38"/>
    <mergeCell ref="A35:C35"/>
    <mergeCell ref="AR35:BJ35"/>
    <mergeCell ref="A59:C59"/>
    <mergeCell ref="AR59:BJ59"/>
    <mergeCell ref="A37:C37"/>
    <mergeCell ref="AR37:BJ37"/>
    <mergeCell ref="A38:C38"/>
    <mergeCell ref="AR38:BJ38"/>
    <mergeCell ref="A39:C39"/>
    <mergeCell ref="AR39:BJ39"/>
    <mergeCell ref="D37:T37"/>
    <mergeCell ref="U37:Y37"/>
    <mergeCell ref="Z37:AB37"/>
    <mergeCell ref="AC37:AE37"/>
    <mergeCell ref="AF37:AH37"/>
    <mergeCell ref="AI37:AK37"/>
    <mergeCell ref="AL37:AN37"/>
    <mergeCell ref="AO37:AQ37"/>
    <mergeCell ref="D38:T38"/>
    <mergeCell ref="U38:Y38"/>
    <mergeCell ref="A43:C43"/>
    <mergeCell ref="AR43:BJ43"/>
    <mergeCell ref="D43:T43"/>
    <mergeCell ref="U43:Y43"/>
    <mergeCell ref="Z43:AB43"/>
    <mergeCell ref="AC43:AE43"/>
    <mergeCell ref="AF43:AH43"/>
    <mergeCell ref="AI43:AK43"/>
    <mergeCell ref="AL43:AN43"/>
    <mergeCell ref="AO43:AQ43"/>
    <mergeCell ref="D56:T56"/>
    <mergeCell ref="U56:Y56"/>
    <mergeCell ref="AR47:BJ47"/>
    <mergeCell ref="A48:C48"/>
    <mergeCell ref="D48:T48"/>
    <mergeCell ref="U48:Y48"/>
    <mergeCell ref="Z48:AB48"/>
    <mergeCell ref="AC48:AE48"/>
    <mergeCell ref="AF48:AH48"/>
    <mergeCell ref="AI48:AK48"/>
    <mergeCell ref="AL48:AN48"/>
    <mergeCell ref="AO48:AQ48"/>
    <mergeCell ref="AR48:BJ48"/>
    <mergeCell ref="A47:C47"/>
    <mergeCell ref="D47:T47"/>
    <mergeCell ref="U47:Y47"/>
    <mergeCell ref="Z47:AB47"/>
    <mergeCell ref="AC47:AE47"/>
    <mergeCell ref="AF47:AH47"/>
    <mergeCell ref="AI47:AK47"/>
    <mergeCell ref="AL47:AN47"/>
    <mergeCell ref="AO47:AQ47"/>
    <mergeCell ref="AI49:AK49"/>
    <mergeCell ref="AL49:AN49"/>
    <mergeCell ref="AF31:AH31"/>
    <mergeCell ref="AI31:AK31"/>
    <mergeCell ref="AL31:AN31"/>
    <mergeCell ref="AO31:AQ31"/>
    <mergeCell ref="D32:T32"/>
    <mergeCell ref="U32:Y32"/>
    <mergeCell ref="Z32:AB32"/>
    <mergeCell ref="AC32:AE32"/>
    <mergeCell ref="D29:T29"/>
    <mergeCell ref="U29:Y29"/>
    <mergeCell ref="Z29:AB29"/>
    <mergeCell ref="AC29:AE29"/>
    <mergeCell ref="AF29:AH29"/>
    <mergeCell ref="AI29:AK29"/>
    <mergeCell ref="AL29:AN29"/>
    <mergeCell ref="AO29:AQ29"/>
    <mergeCell ref="D30:T30"/>
    <mergeCell ref="U30:Y30"/>
    <mergeCell ref="Z30:AB30"/>
    <mergeCell ref="AC30:AE30"/>
    <mergeCell ref="AF30:AH30"/>
    <mergeCell ref="AI30:AK30"/>
    <mergeCell ref="AL30:AN30"/>
    <mergeCell ref="AO30:AQ30"/>
    <mergeCell ref="AO49:AQ49"/>
    <mergeCell ref="AR49:BJ49"/>
    <mergeCell ref="A51:C51"/>
    <mergeCell ref="D51:T51"/>
    <mergeCell ref="U51:Y51"/>
    <mergeCell ref="Z49:AB49"/>
    <mergeCell ref="AO50:AQ50"/>
    <mergeCell ref="A49:C49"/>
    <mergeCell ref="D49:T49"/>
    <mergeCell ref="U49:Y49"/>
    <mergeCell ref="AR50:BJ50"/>
    <mergeCell ref="A50:C50"/>
    <mergeCell ref="D50:T50"/>
    <mergeCell ref="U50:Y50"/>
    <mergeCell ref="Z50:AB50"/>
    <mergeCell ref="AC50:AE50"/>
    <mergeCell ref="AF50:AH50"/>
    <mergeCell ref="AI50:AK50"/>
    <mergeCell ref="AL50:AN50"/>
    <mergeCell ref="AC49:AE49"/>
    <mergeCell ref="AF49:AH49"/>
    <mergeCell ref="A58:C58"/>
    <mergeCell ref="D58:T58"/>
    <mergeCell ref="U58:Y58"/>
    <mergeCell ref="Z58:AB58"/>
    <mergeCell ref="AC58:AE58"/>
    <mergeCell ref="AF58:AH58"/>
    <mergeCell ref="AI58:AK58"/>
    <mergeCell ref="AL58:AN58"/>
    <mergeCell ref="AO58:AQ58"/>
    <mergeCell ref="AR58:BJ58"/>
    <mergeCell ref="AR57:BJ57"/>
    <mergeCell ref="AL51:AN51"/>
    <mergeCell ref="AO51:AQ51"/>
    <mergeCell ref="AR51:BJ51"/>
    <mergeCell ref="A52:C52"/>
    <mergeCell ref="D52:T52"/>
    <mergeCell ref="U52:Y52"/>
    <mergeCell ref="Z52:AB52"/>
    <mergeCell ref="AC52:AE52"/>
    <mergeCell ref="AF52:AH52"/>
    <mergeCell ref="AI52:AK52"/>
    <mergeCell ref="AL52:AN52"/>
    <mergeCell ref="AO52:AQ52"/>
    <mergeCell ref="AR52:BJ52"/>
    <mergeCell ref="A57:C57"/>
    <mergeCell ref="D57:T57"/>
    <mergeCell ref="U57:Y57"/>
    <mergeCell ref="Z57:AB57"/>
    <mergeCell ref="AC57:AE57"/>
    <mergeCell ref="AF57:AH57"/>
    <mergeCell ref="AI57:AK57"/>
    <mergeCell ref="AL57:AN57"/>
    <mergeCell ref="AO57:AQ57"/>
    <mergeCell ref="A56:C56"/>
    <mergeCell ref="Z24:AB24"/>
    <mergeCell ref="AC24:AE24"/>
    <mergeCell ref="AF24:AH24"/>
    <mergeCell ref="AI24:AK24"/>
    <mergeCell ref="AL24:AN24"/>
    <mergeCell ref="AO24:AQ24"/>
    <mergeCell ref="AR24:BJ24"/>
    <mergeCell ref="A23:C23"/>
    <mergeCell ref="D23:T23"/>
    <mergeCell ref="U23:Y23"/>
    <mergeCell ref="Z23:AB23"/>
    <mergeCell ref="AC23:AE23"/>
    <mergeCell ref="AF23:AH23"/>
    <mergeCell ref="AI23:AK23"/>
    <mergeCell ref="AL23:AN23"/>
    <mergeCell ref="AO23:AQ23"/>
    <mergeCell ref="AR23:BJ23"/>
    <mergeCell ref="A24:C24"/>
    <mergeCell ref="D24:T24"/>
    <mergeCell ref="U24:Y24"/>
    <mergeCell ref="AR25:BJ25"/>
    <mergeCell ref="A44:C44"/>
    <mergeCell ref="D44:T44"/>
    <mergeCell ref="AO44:AQ44"/>
    <mergeCell ref="AR44:BJ44"/>
    <mergeCell ref="A25:C25"/>
    <mergeCell ref="D25:T25"/>
    <mergeCell ref="U25:Y25"/>
    <mergeCell ref="Z25:AB25"/>
    <mergeCell ref="AC25:AE25"/>
    <mergeCell ref="AF25:AH25"/>
    <mergeCell ref="AI25:AK25"/>
    <mergeCell ref="AL25:AN25"/>
    <mergeCell ref="AO25:AQ25"/>
    <mergeCell ref="AO28:AQ28"/>
    <mergeCell ref="D31:T31"/>
    <mergeCell ref="U31:Y31"/>
    <mergeCell ref="A31:C31"/>
    <mergeCell ref="A26:C26"/>
    <mergeCell ref="D26:T26"/>
    <mergeCell ref="U26:Y26"/>
    <mergeCell ref="AR31:BJ31"/>
    <mergeCell ref="A32:C32"/>
    <mergeCell ref="AR32:BJ32"/>
    <mergeCell ref="D28:T28"/>
    <mergeCell ref="U28:Y28"/>
    <mergeCell ref="Z28:AB28"/>
    <mergeCell ref="Z42:AB42"/>
    <mergeCell ref="AC42:AE42"/>
    <mergeCell ref="AF42:AH42"/>
    <mergeCell ref="AI42:AK42"/>
    <mergeCell ref="AL42:AN42"/>
    <mergeCell ref="U44:Y44"/>
    <mergeCell ref="Z44:AB44"/>
    <mergeCell ref="AC44:AE44"/>
    <mergeCell ref="AF44:AH44"/>
    <mergeCell ref="AI44:AK44"/>
    <mergeCell ref="AL44:AN44"/>
    <mergeCell ref="Z31:AB31"/>
    <mergeCell ref="AF27:AH27"/>
    <mergeCell ref="AI27:AK27"/>
    <mergeCell ref="AL27:AN27"/>
    <mergeCell ref="AO27:AQ27"/>
    <mergeCell ref="Z38:AB38"/>
    <mergeCell ref="AC38:AE38"/>
    <mergeCell ref="AF41:AH41"/>
    <mergeCell ref="AI41:AK41"/>
    <mergeCell ref="AL41:AN41"/>
    <mergeCell ref="AO41:AQ41"/>
    <mergeCell ref="AF34:AH34"/>
    <mergeCell ref="AI34:AK34"/>
    <mergeCell ref="AL34:AN34"/>
    <mergeCell ref="AO34:AQ34"/>
    <mergeCell ref="AC28:AE28"/>
    <mergeCell ref="AF28:AH28"/>
    <mergeCell ref="AI28:AK28"/>
    <mergeCell ref="AL28:AN28"/>
    <mergeCell ref="AF32:AH32"/>
    <mergeCell ref="AI32:AK32"/>
    <mergeCell ref="AL32:AN32"/>
    <mergeCell ref="AO32:AQ32"/>
    <mergeCell ref="AC31:AE31"/>
    <mergeCell ref="Z54:AB54"/>
    <mergeCell ref="AC54:AE54"/>
    <mergeCell ref="AF54:AH54"/>
    <mergeCell ref="AI54:AK54"/>
    <mergeCell ref="AR45:BJ45"/>
    <mergeCell ref="A46:C46"/>
    <mergeCell ref="D46:T46"/>
    <mergeCell ref="U46:Y46"/>
    <mergeCell ref="Z46:AB46"/>
    <mergeCell ref="AC46:AE46"/>
    <mergeCell ref="AF46:AH46"/>
    <mergeCell ref="AI46:AK46"/>
    <mergeCell ref="AL46:AN46"/>
    <mergeCell ref="AO46:AQ46"/>
    <mergeCell ref="AR46:BJ46"/>
    <mergeCell ref="A45:C45"/>
    <mergeCell ref="D45:T45"/>
    <mergeCell ref="U45:Y45"/>
    <mergeCell ref="Z45:AB45"/>
    <mergeCell ref="AC45:AE45"/>
    <mergeCell ref="AF45:AH45"/>
    <mergeCell ref="AI45:AK45"/>
    <mergeCell ref="AL45:AN45"/>
    <mergeCell ref="AO45:AQ45"/>
    <mergeCell ref="AS13:BJ13"/>
    <mergeCell ref="A14:C14"/>
    <mergeCell ref="AO55:AQ55"/>
    <mergeCell ref="AR55:BJ55"/>
    <mergeCell ref="Z56:AB56"/>
    <mergeCell ref="AC56:AE56"/>
    <mergeCell ref="AF56:AH56"/>
    <mergeCell ref="AI56:AK56"/>
    <mergeCell ref="AL56:AN56"/>
    <mergeCell ref="AO56:AQ56"/>
    <mergeCell ref="AR56:BJ56"/>
    <mergeCell ref="A53:C53"/>
    <mergeCell ref="D53:T53"/>
    <mergeCell ref="U53:Y53"/>
    <mergeCell ref="Z53:AB53"/>
    <mergeCell ref="AC53:AE53"/>
    <mergeCell ref="AF53:AH53"/>
    <mergeCell ref="AI53:AK53"/>
    <mergeCell ref="AL53:AN53"/>
    <mergeCell ref="AO53:AQ53"/>
    <mergeCell ref="AR53:BJ53"/>
    <mergeCell ref="A54:C54"/>
    <mergeCell ref="D54:T54"/>
    <mergeCell ref="U54:Y54"/>
    <mergeCell ref="AL55:AN55"/>
    <mergeCell ref="AR26:BJ26"/>
    <mergeCell ref="D10:AR10"/>
    <mergeCell ref="AS10:BJ10"/>
    <mergeCell ref="A17:C17"/>
    <mergeCell ref="D17:AR17"/>
    <mergeCell ref="AS17:BJ17"/>
    <mergeCell ref="A18:C18"/>
    <mergeCell ref="D18:AR18"/>
    <mergeCell ref="AS18:BJ18"/>
    <mergeCell ref="A15:C15"/>
    <mergeCell ref="D15:AR15"/>
    <mergeCell ref="AS15:BJ15"/>
    <mergeCell ref="A16:C16"/>
    <mergeCell ref="D16:AR16"/>
    <mergeCell ref="AS16:BJ16"/>
    <mergeCell ref="A11:C11"/>
    <mergeCell ref="D11:AR11"/>
    <mergeCell ref="AS11:BJ11"/>
    <mergeCell ref="A12:C12"/>
    <mergeCell ref="D12:AR12"/>
    <mergeCell ref="AS12:BJ12"/>
    <mergeCell ref="A13:C13"/>
    <mergeCell ref="D13:AR13"/>
    <mergeCell ref="AL62:AN62"/>
    <mergeCell ref="AO62:AQ62"/>
    <mergeCell ref="D14:AR14"/>
    <mergeCell ref="AS14:BJ14"/>
    <mergeCell ref="A61:C61"/>
    <mergeCell ref="D61:T61"/>
    <mergeCell ref="U61:Y61"/>
    <mergeCell ref="Z61:AB61"/>
    <mergeCell ref="AC61:AE61"/>
    <mergeCell ref="AF61:AH61"/>
    <mergeCell ref="AI61:AK61"/>
    <mergeCell ref="AL61:AN61"/>
    <mergeCell ref="AO61:AQ61"/>
    <mergeCell ref="AR61:BJ61"/>
    <mergeCell ref="AL54:AN54"/>
    <mergeCell ref="AO54:AQ54"/>
    <mergeCell ref="AR54:BJ54"/>
    <mergeCell ref="A55:C55"/>
    <mergeCell ref="D55:T55"/>
    <mergeCell ref="U55:Y55"/>
    <mergeCell ref="Z55:AB55"/>
    <mergeCell ref="AC55:AE55"/>
    <mergeCell ref="AF55:AH55"/>
    <mergeCell ref="AI55:AK55"/>
    <mergeCell ref="Z26:AB26"/>
    <mergeCell ref="AC26:AE26"/>
    <mergeCell ref="AF26:AH26"/>
    <mergeCell ref="AI26:AK26"/>
    <mergeCell ref="AL26:AN26"/>
    <mergeCell ref="AO26:AQ26"/>
    <mergeCell ref="AR62:BJ62"/>
    <mergeCell ref="A63:C63"/>
    <mergeCell ref="D63:T63"/>
    <mergeCell ref="U63:Y63"/>
    <mergeCell ref="Z63:AB63"/>
    <mergeCell ref="AC63:AE63"/>
    <mergeCell ref="AF63:AH63"/>
    <mergeCell ref="AI63:AK63"/>
    <mergeCell ref="AL63:AN63"/>
    <mergeCell ref="AO63:AQ63"/>
    <mergeCell ref="AR63:BJ63"/>
    <mergeCell ref="A62:C62"/>
    <mergeCell ref="D62:T62"/>
    <mergeCell ref="U62:Y62"/>
    <mergeCell ref="Z62:AB62"/>
    <mergeCell ref="AC62:AE62"/>
    <mergeCell ref="AF62:AH62"/>
    <mergeCell ref="AI62:AK62"/>
  </mergeCells>
  <phoneticPr fontId="8"/>
  <dataValidations count="6">
    <dataValidation type="list" allowBlank="1" showInputMessage="1" showErrorMessage="1" sqref="BI7:BI9 BC19 BI19 BC7:BC9 AC22:AH63 AL22:AQ63" xr:uid="{2CA8238B-0CC3-4216-BD48-6BB43EF8688F}">
      <formula1>"〇"</formula1>
    </dataValidation>
    <dataValidation type="list" allowBlank="1" showInputMessage="1" showErrorMessage="1" sqref="AK6 AX6" xr:uid="{1793D32C-30DB-485D-B9E4-C891F79D900A}">
      <formula1>"あり,なし"</formula1>
    </dataValidation>
    <dataValidation type="list" allowBlank="1" showInputMessage="1" sqref="AS12:BJ18" xr:uid="{51908B71-040C-401D-A2BC-88336578CF57}">
      <formula1>"昇順,降順"</formula1>
    </dataValidation>
    <dataValidation type="list" allowBlank="1" showInputMessage="1" sqref="AS11:BJ11" xr:uid="{D9B935D0-5084-4179-B1B6-EEB38DD39049}">
      <formula1>"昇順, 降順"</formula1>
    </dataValidation>
    <dataValidation type="list" allowBlank="1" showInputMessage="1" sqref="AS19:AX19 AT8:AX9 AS8:AS10 AS7:AX7" xr:uid="{085F9E61-8D8D-4319-B4C0-49A13FC61F5E}">
      <formula1>"utf-8,Shift jis"</formula1>
    </dataValidation>
    <dataValidation type="list" allowBlank="1" showInputMessage="1" showErrorMessage="1" sqref="AI22:AK63" xr:uid="{6739CC32-38D8-4C38-B8E8-426F03B3C0AE}">
      <formula1>"右,左"</formula1>
    </dataValidation>
  </dataValidations>
  <pageMargins left="0.63" right="0.35433070866141736" top="0.62992125984251968" bottom="0.39370078740157483" header="0.82677165354330717" footer="0.19685039370078741"/>
  <pageSetup paperSize="9" scale="72" fitToHeight="0" orientation="portrait" useFirstPageNumber="1"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codeName="Sheet3">
    <pageSetUpPr fitToPage="1"/>
  </sheetPr>
  <dimension ref="A1:BJ55"/>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83" t="s">
        <v>82</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5"/>
      <c r="AT2" s="77" t="s">
        <v>3</v>
      </c>
      <c r="AU2" s="78"/>
      <c r="AV2" s="78"/>
      <c r="AW2" s="78"/>
      <c r="AX2" s="79"/>
      <c r="AY2" s="77" t="s">
        <v>83</v>
      </c>
      <c r="AZ2" s="78"/>
      <c r="BA2" s="78"/>
      <c r="BB2" s="79"/>
      <c r="BC2" s="77" t="s">
        <v>5</v>
      </c>
      <c r="BD2" s="78"/>
      <c r="BE2" s="78"/>
      <c r="BF2" s="79"/>
      <c r="BG2" s="77"/>
      <c r="BH2" s="78"/>
      <c r="BI2" s="78"/>
      <c r="BJ2" s="79"/>
    </row>
    <row r="3" spans="1:62" s="1" customFormat="1" ht="18" customHeight="1">
      <c r="A3" s="86" t="s">
        <v>6</v>
      </c>
      <c r="B3" s="87"/>
      <c r="C3" s="87"/>
      <c r="D3" s="87"/>
      <c r="E3" s="87"/>
      <c r="F3" s="87"/>
      <c r="G3" s="87"/>
      <c r="H3" s="88"/>
      <c r="I3" s="92" t="s">
        <v>199</v>
      </c>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4"/>
      <c r="AT3" s="77" t="s">
        <v>7</v>
      </c>
      <c r="AU3" s="78"/>
      <c r="AV3" s="78"/>
      <c r="AW3" s="78"/>
      <c r="AX3" s="79"/>
      <c r="AY3" s="77" t="s">
        <v>198</v>
      </c>
      <c r="AZ3" s="78"/>
      <c r="BA3" s="78"/>
      <c r="BB3" s="78"/>
      <c r="BC3" s="78"/>
      <c r="BD3" s="78"/>
      <c r="BE3" s="78"/>
      <c r="BF3" s="78"/>
      <c r="BG3" s="78"/>
      <c r="BH3" s="78"/>
      <c r="BI3" s="78"/>
      <c r="BJ3" s="79"/>
    </row>
    <row r="4" spans="1:62" s="1" customFormat="1" ht="18" customHeight="1">
      <c r="A4" s="89"/>
      <c r="B4" s="90"/>
      <c r="C4" s="90"/>
      <c r="D4" s="90"/>
      <c r="E4" s="90"/>
      <c r="F4" s="90"/>
      <c r="G4" s="90"/>
      <c r="H4" s="91"/>
      <c r="I4" s="95"/>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7"/>
      <c r="AT4" s="77" t="s">
        <v>8</v>
      </c>
      <c r="AU4" s="78"/>
      <c r="AV4" s="78"/>
      <c r="AW4" s="78"/>
      <c r="AX4" s="79"/>
      <c r="AY4" s="77"/>
      <c r="AZ4" s="78"/>
      <c r="BA4" s="78"/>
      <c r="BB4" s="78"/>
      <c r="BC4" s="78"/>
      <c r="BD4" s="78"/>
      <c r="BE4" s="78"/>
      <c r="BF4" s="78"/>
      <c r="BG4" s="78"/>
      <c r="BH4" s="78"/>
      <c r="BI4" s="78"/>
      <c r="BJ4" s="79"/>
    </row>
    <row r="5" spans="1:62" s="10" customFormat="1" ht="6" customHeight="1"/>
    <row r="6" spans="1:62" s="12" customFormat="1" ht="20.25" customHeight="1">
      <c r="A6" s="134" t="s">
        <v>12</v>
      </c>
      <c r="B6" s="135"/>
      <c r="C6" s="135"/>
      <c r="D6" s="135"/>
      <c r="E6" s="135"/>
      <c r="F6" s="135"/>
      <c r="G6" s="135"/>
      <c r="H6" s="135"/>
      <c r="I6" s="135"/>
      <c r="J6" s="135"/>
      <c r="K6" s="136"/>
      <c r="L6" s="134" t="s">
        <v>184</v>
      </c>
      <c r="M6" s="135"/>
      <c r="N6" s="135"/>
      <c r="O6" s="135"/>
      <c r="P6" s="135"/>
      <c r="Q6" s="135"/>
      <c r="R6" s="135"/>
      <c r="S6" s="135"/>
      <c r="T6" s="135"/>
      <c r="U6" s="135"/>
      <c r="V6" s="135"/>
      <c r="W6" s="135"/>
      <c r="X6" s="135"/>
      <c r="Y6" s="135"/>
      <c r="Z6" s="135"/>
      <c r="AA6" s="136"/>
      <c r="AB6" s="134" t="s">
        <v>13</v>
      </c>
      <c r="AC6" s="135"/>
      <c r="AD6" s="135"/>
      <c r="AE6" s="135"/>
      <c r="AF6" s="135"/>
      <c r="AG6" s="135"/>
      <c r="AH6" s="135"/>
      <c r="AI6" s="135"/>
      <c r="AJ6" s="136"/>
      <c r="AK6" s="134" t="s">
        <v>194</v>
      </c>
      <c r="AL6" s="135"/>
      <c r="AM6" s="135"/>
      <c r="AN6" s="136"/>
      <c r="AO6" s="134" t="s">
        <v>15</v>
      </c>
      <c r="AP6" s="135"/>
      <c r="AQ6" s="135"/>
      <c r="AR6" s="135"/>
      <c r="AS6" s="135"/>
      <c r="AT6" s="135"/>
      <c r="AU6" s="135"/>
      <c r="AV6" s="135"/>
      <c r="AW6" s="136"/>
      <c r="AX6" s="134" t="s">
        <v>14</v>
      </c>
      <c r="AY6" s="135"/>
      <c r="AZ6" s="135"/>
      <c r="BA6" s="136"/>
      <c r="BB6" s="121" t="s">
        <v>16</v>
      </c>
      <c r="BC6" s="121"/>
      <c r="BD6" s="121"/>
      <c r="BE6" s="121"/>
      <c r="BF6" s="121">
        <f>COUNTA(D10:D427)</f>
        <v>42</v>
      </c>
      <c r="BG6" s="121"/>
      <c r="BH6" s="121"/>
      <c r="BI6" s="121"/>
      <c r="BJ6" s="121"/>
    </row>
    <row r="7" spans="1:62" s="12" customFormat="1" ht="20.25" customHeight="1">
      <c r="A7" s="134" t="s">
        <v>17</v>
      </c>
      <c r="B7" s="135"/>
      <c r="C7" s="135"/>
      <c r="D7" s="135"/>
      <c r="E7" s="135"/>
      <c r="F7" s="135"/>
      <c r="G7" s="135"/>
      <c r="H7" s="135"/>
      <c r="I7" s="135"/>
      <c r="J7" s="135"/>
      <c r="K7" s="136"/>
      <c r="L7" s="134" t="s">
        <v>276</v>
      </c>
      <c r="M7" s="135"/>
      <c r="N7" s="135"/>
      <c r="O7" s="135"/>
      <c r="P7" s="135"/>
      <c r="Q7" s="135"/>
      <c r="R7" s="135"/>
      <c r="S7" s="135"/>
      <c r="T7" s="135"/>
      <c r="U7" s="135"/>
      <c r="V7" s="135"/>
      <c r="W7" s="135"/>
      <c r="X7" s="135"/>
      <c r="Y7" s="135"/>
      <c r="Z7" s="135"/>
      <c r="AA7" s="135"/>
      <c r="AB7" s="135"/>
      <c r="AC7" s="135"/>
      <c r="AD7" s="135"/>
      <c r="AE7" s="135"/>
      <c r="AF7" s="135"/>
      <c r="AG7" s="135"/>
      <c r="AH7" s="135"/>
      <c r="AI7" s="135"/>
      <c r="AJ7" s="136"/>
      <c r="AK7" s="134" t="s">
        <v>84</v>
      </c>
      <c r="AL7" s="135"/>
      <c r="AM7" s="135"/>
      <c r="AN7" s="135"/>
      <c r="AO7" s="135"/>
      <c r="AP7" s="135"/>
      <c r="AQ7" s="135"/>
      <c r="AR7" s="136"/>
      <c r="AS7" s="134" t="s">
        <v>206</v>
      </c>
      <c r="AT7" s="135"/>
      <c r="AU7" s="135"/>
      <c r="AV7" s="135"/>
      <c r="AW7" s="135"/>
      <c r="AX7" s="136"/>
      <c r="AY7" s="33" t="s">
        <v>18</v>
      </c>
      <c r="AZ7" s="34"/>
      <c r="BA7" s="34"/>
      <c r="BB7" s="34"/>
      <c r="BC7" s="134" t="s">
        <v>19</v>
      </c>
      <c r="BD7" s="136"/>
      <c r="BE7" s="134" t="s">
        <v>20</v>
      </c>
      <c r="BF7" s="135"/>
      <c r="BG7" s="135"/>
      <c r="BH7" s="136"/>
      <c r="BI7" s="134"/>
      <c r="BJ7" s="136"/>
    </row>
    <row r="8" spans="1:62" s="4" customFormat="1">
      <c r="B8" s="27" t="s">
        <v>21</v>
      </c>
      <c r="G8" s="5"/>
    </row>
    <row r="9" spans="1:62" s="12" customFormat="1" ht="42" customHeight="1">
      <c r="A9" s="134" t="s">
        <v>22</v>
      </c>
      <c r="B9" s="135"/>
      <c r="C9" s="136"/>
      <c r="D9" s="134" t="s">
        <v>85</v>
      </c>
      <c r="E9" s="135"/>
      <c r="F9" s="135"/>
      <c r="G9" s="135"/>
      <c r="H9" s="135"/>
      <c r="I9" s="135"/>
      <c r="J9" s="135"/>
      <c r="K9" s="135"/>
      <c r="L9" s="135"/>
      <c r="M9" s="135"/>
      <c r="N9" s="135"/>
      <c r="O9" s="135"/>
      <c r="P9" s="135"/>
      <c r="Q9" s="135"/>
      <c r="R9" s="135"/>
      <c r="S9" s="135"/>
      <c r="T9" s="136"/>
      <c r="U9" s="128" t="s">
        <v>24</v>
      </c>
      <c r="V9" s="129"/>
      <c r="W9" s="129"/>
      <c r="X9" s="129"/>
      <c r="Y9" s="130"/>
      <c r="Z9" s="128" t="s">
        <v>25</v>
      </c>
      <c r="AA9" s="129"/>
      <c r="AB9" s="130"/>
      <c r="AC9" s="134" t="s">
        <v>86</v>
      </c>
      <c r="AD9" s="135"/>
      <c r="AE9" s="135"/>
      <c r="AF9" s="135"/>
      <c r="AG9" s="135"/>
      <c r="AH9" s="135"/>
      <c r="AI9" s="135"/>
      <c r="AJ9" s="135"/>
      <c r="AK9" s="135"/>
      <c r="AL9" s="135"/>
      <c r="AM9" s="135"/>
      <c r="AN9" s="135"/>
      <c r="AO9" s="135"/>
      <c r="AP9" s="135"/>
      <c r="AQ9" s="135"/>
      <c r="AR9" s="135"/>
      <c r="AS9" s="135"/>
      <c r="AT9" s="135"/>
      <c r="AU9" s="135"/>
      <c r="AV9" s="135"/>
      <c r="AW9" s="135"/>
      <c r="AX9" s="135"/>
      <c r="AY9" s="135"/>
      <c r="AZ9" s="135"/>
      <c r="BA9" s="135"/>
      <c r="BB9" s="135"/>
      <c r="BC9" s="135"/>
      <c r="BD9" s="135"/>
      <c r="BE9" s="135"/>
      <c r="BF9" s="135"/>
      <c r="BG9" s="135"/>
      <c r="BH9" s="135"/>
      <c r="BI9" s="135"/>
      <c r="BJ9" s="136"/>
    </row>
    <row r="10" spans="1:62" s="11" customFormat="1" ht="40.5" customHeight="1">
      <c r="A10" s="114">
        <f>ROW()-9</f>
        <v>1</v>
      </c>
      <c r="B10" s="114"/>
      <c r="C10" s="114"/>
      <c r="D10" s="115" t="s">
        <v>32</v>
      </c>
      <c r="E10" s="116"/>
      <c r="F10" s="116"/>
      <c r="G10" s="116"/>
      <c r="H10" s="116"/>
      <c r="I10" s="116"/>
      <c r="J10" s="116"/>
      <c r="K10" s="116"/>
      <c r="L10" s="116"/>
      <c r="M10" s="116"/>
      <c r="N10" s="116"/>
      <c r="O10" s="116"/>
      <c r="P10" s="116"/>
      <c r="Q10" s="116"/>
      <c r="R10" s="116"/>
      <c r="S10" s="116"/>
      <c r="T10" s="117"/>
      <c r="U10" s="98" t="s">
        <v>33</v>
      </c>
      <c r="V10" s="99"/>
      <c r="W10" s="99"/>
      <c r="X10" s="99"/>
      <c r="Y10" s="100"/>
      <c r="Z10" s="98">
        <v>8</v>
      </c>
      <c r="AA10" s="99"/>
      <c r="AB10" s="100"/>
      <c r="AC10" s="36" t="s">
        <v>89</v>
      </c>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9"/>
    </row>
    <row r="11" spans="1:62" s="11" customFormat="1" ht="40.5" customHeight="1">
      <c r="A11" s="114">
        <f t="shared" ref="A11:A51" si="0">ROW()-9</f>
        <v>2</v>
      </c>
      <c r="B11" s="114"/>
      <c r="C11" s="114"/>
      <c r="D11" s="115" t="s">
        <v>35</v>
      </c>
      <c r="E11" s="116"/>
      <c r="F11" s="116"/>
      <c r="G11" s="116"/>
      <c r="H11" s="116"/>
      <c r="I11" s="116"/>
      <c r="J11" s="116"/>
      <c r="K11" s="116"/>
      <c r="L11" s="116"/>
      <c r="M11" s="116"/>
      <c r="N11" s="116"/>
      <c r="O11" s="116"/>
      <c r="P11" s="116"/>
      <c r="Q11" s="116"/>
      <c r="R11" s="116"/>
      <c r="S11" s="116"/>
      <c r="T11" s="117"/>
      <c r="U11" s="98" t="s">
        <v>33</v>
      </c>
      <c r="V11" s="99"/>
      <c r="W11" s="99"/>
      <c r="X11" s="99"/>
      <c r="Y11" s="100"/>
      <c r="Z11" s="98">
        <v>8</v>
      </c>
      <c r="AA11" s="99"/>
      <c r="AB11" s="100"/>
      <c r="AC11" s="36" t="s">
        <v>89</v>
      </c>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9"/>
    </row>
    <row r="12" spans="1:62" s="11" customFormat="1" ht="40.5" customHeight="1">
      <c r="A12" s="114">
        <f t="shared" si="0"/>
        <v>3</v>
      </c>
      <c r="B12" s="114"/>
      <c r="C12" s="114"/>
      <c r="D12" s="115" t="s">
        <v>37</v>
      </c>
      <c r="E12" s="116"/>
      <c r="F12" s="116"/>
      <c r="G12" s="116"/>
      <c r="H12" s="116"/>
      <c r="I12" s="116"/>
      <c r="J12" s="116"/>
      <c r="K12" s="116"/>
      <c r="L12" s="116"/>
      <c r="M12" s="116"/>
      <c r="N12" s="116"/>
      <c r="O12" s="116"/>
      <c r="P12" s="116"/>
      <c r="Q12" s="116"/>
      <c r="R12" s="116"/>
      <c r="S12" s="116"/>
      <c r="T12" s="117"/>
      <c r="U12" s="98" t="s">
        <v>33</v>
      </c>
      <c r="V12" s="99"/>
      <c r="W12" s="99"/>
      <c r="X12" s="99"/>
      <c r="Y12" s="100"/>
      <c r="Z12" s="98">
        <v>8</v>
      </c>
      <c r="AA12" s="99"/>
      <c r="AB12" s="100"/>
      <c r="AC12" s="36" t="s">
        <v>89</v>
      </c>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9"/>
    </row>
    <row r="13" spans="1:62" s="11" customFormat="1" ht="40.5" customHeight="1">
      <c r="A13" s="114">
        <f t="shared" si="0"/>
        <v>4</v>
      </c>
      <c r="B13" s="114"/>
      <c r="C13" s="114"/>
      <c r="D13" s="115" t="s">
        <v>39</v>
      </c>
      <c r="E13" s="116"/>
      <c r="F13" s="116"/>
      <c r="G13" s="116"/>
      <c r="H13" s="116"/>
      <c r="I13" s="116"/>
      <c r="J13" s="116"/>
      <c r="K13" s="116"/>
      <c r="L13" s="116"/>
      <c r="M13" s="116"/>
      <c r="N13" s="116"/>
      <c r="O13" s="116"/>
      <c r="P13" s="116"/>
      <c r="Q13" s="116"/>
      <c r="R13" s="116"/>
      <c r="S13" s="116"/>
      <c r="T13" s="117"/>
      <c r="U13" s="98" t="s">
        <v>33</v>
      </c>
      <c r="V13" s="99"/>
      <c r="W13" s="99"/>
      <c r="X13" s="99"/>
      <c r="Y13" s="100"/>
      <c r="Z13" s="98">
        <v>8</v>
      </c>
      <c r="AA13" s="99"/>
      <c r="AB13" s="100"/>
      <c r="AC13" s="36" t="s">
        <v>89</v>
      </c>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9"/>
    </row>
    <row r="14" spans="1:62" s="11" customFormat="1" ht="40.5" customHeight="1">
      <c r="A14" s="114">
        <f>ROW()-9</f>
        <v>5</v>
      </c>
      <c r="B14" s="114"/>
      <c r="C14" s="114"/>
      <c r="D14" s="115" t="s">
        <v>203</v>
      </c>
      <c r="E14" s="116"/>
      <c r="F14" s="116"/>
      <c r="G14" s="116"/>
      <c r="H14" s="116"/>
      <c r="I14" s="116"/>
      <c r="J14" s="116"/>
      <c r="K14" s="116"/>
      <c r="L14" s="116"/>
      <c r="M14" s="116"/>
      <c r="N14" s="116"/>
      <c r="O14" s="116"/>
      <c r="P14" s="116"/>
      <c r="Q14" s="116"/>
      <c r="R14" s="116"/>
      <c r="S14" s="116"/>
      <c r="T14" s="117"/>
      <c r="U14" s="98" t="s">
        <v>44</v>
      </c>
      <c r="V14" s="99"/>
      <c r="W14" s="99"/>
      <c r="X14" s="99"/>
      <c r="Y14" s="100"/>
      <c r="Z14" s="98">
        <v>5</v>
      </c>
      <c r="AA14" s="99"/>
      <c r="AB14" s="100"/>
      <c r="AC14" s="36" t="s">
        <v>204</v>
      </c>
      <c r="AD14" s="28"/>
      <c r="AE14" s="28"/>
      <c r="AF14" s="28"/>
      <c r="AG14" s="28"/>
      <c r="AH14" s="28"/>
      <c r="AI14" s="28"/>
      <c r="AJ14" s="28"/>
      <c r="AK14" s="28"/>
      <c r="AL14" s="28"/>
      <c r="AM14" s="28"/>
      <c r="AN14" s="28"/>
      <c r="AO14" s="28"/>
      <c r="AP14" s="28"/>
      <c r="AQ14" s="28"/>
      <c r="AR14" s="60"/>
      <c r="AS14" s="60"/>
      <c r="AT14" s="60"/>
      <c r="AU14" s="60"/>
      <c r="AV14" s="60"/>
      <c r="AW14" s="60"/>
      <c r="AX14" s="60"/>
      <c r="AY14" s="60"/>
      <c r="AZ14" s="60"/>
      <c r="BA14" s="60"/>
      <c r="BB14" s="60"/>
      <c r="BC14" s="60"/>
      <c r="BD14" s="60"/>
      <c r="BE14" s="60"/>
      <c r="BF14" s="60"/>
      <c r="BG14" s="60"/>
      <c r="BH14" s="60"/>
      <c r="BI14" s="60"/>
      <c r="BJ14" s="61"/>
    </row>
    <row r="15" spans="1:62" s="11" customFormat="1" ht="40.5" customHeight="1">
      <c r="A15" s="114">
        <f t="shared" si="0"/>
        <v>6</v>
      </c>
      <c r="B15" s="114"/>
      <c r="C15" s="114"/>
      <c r="D15" s="137" t="s">
        <v>41</v>
      </c>
      <c r="E15" s="138"/>
      <c r="F15" s="138"/>
      <c r="G15" s="138"/>
      <c r="H15" s="138"/>
      <c r="I15" s="138"/>
      <c r="J15" s="138"/>
      <c r="K15" s="138"/>
      <c r="L15" s="138"/>
      <c r="M15" s="138"/>
      <c r="N15" s="138"/>
      <c r="O15" s="138"/>
      <c r="P15" s="138"/>
      <c r="Q15" s="138"/>
      <c r="R15" s="138"/>
      <c r="S15" s="138"/>
      <c r="T15" s="139"/>
      <c r="U15" s="125" t="s">
        <v>42</v>
      </c>
      <c r="V15" s="126"/>
      <c r="W15" s="126"/>
      <c r="X15" s="126"/>
      <c r="Y15" s="127"/>
      <c r="Z15" s="125">
        <v>2</v>
      </c>
      <c r="AA15" s="126"/>
      <c r="AB15" s="127"/>
      <c r="AC15" s="36" t="s">
        <v>97</v>
      </c>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9"/>
    </row>
    <row r="16" spans="1:62" s="11" customFormat="1" ht="40.5" customHeight="1">
      <c r="A16" s="114">
        <f t="shared" si="0"/>
        <v>7</v>
      </c>
      <c r="B16" s="114"/>
      <c r="C16" s="114"/>
      <c r="D16" s="115" t="s">
        <v>145</v>
      </c>
      <c r="E16" s="116"/>
      <c r="F16" s="116"/>
      <c r="G16" s="116"/>
      <c r="H16" s="116"/>
      <c r="I16" s="116"/>
      <c r="J16" s="116"/>
      <c r="K16" s="116"/>
      <c r="L16" s="116"/>
      <c r="M16" s="116"/>
      <c r="N16" s="116"/>
      <c r="O16" s="116"/>
      <c r="P16" s="116"/>
      <c r="Q16" s="116"/>
      <c r="R16" s="116"/>
      <c r="S16" s="116"/>
      <c r="T16" s="117"/>
      <c r="U16" s="98" t="s">
        <v>44</v>
      </c>
      <c r="V16" s="99"/>
      <c r="W16" s="99"/>
      <c r="X16" s="99"/>
      <c r="Y16" s="100"/>
      <c r="Z16" s="98">
        <v>15</v>
      </c>
      <c r="AA16" s="99"/>
      <c r="AB16" s="100"/>
      <c r="AC16" s="35" t="s">
        <v>98</v>
      </c>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9"/>
    </row>
    <row r="17" spans="1:62" s="11" customFormat="1" ht="40.5" customHeight="1">
      <c r="A17" s="114">
        <f t="shared" si="0"/>
        <v>8</v>
      </c>
      <c r="B17" s="114"/>
      <c r="C17" s="114"/>
      <c r="D17" s="115" t="s">
        <v>49</v>
      </c>
      <c r="E17" s="116"/>
      <c r="F17" s="116"/>
      <c r="G17" s="116"/>
      <c r="H17" s="116"/>
      <c r="I17" s="116"/>
      <c r="J17" s="116"/>
      <c r="K17" s="116"/>
      <c r="L17" s="116"/>
      <c r="M17" s="116"/>
      <c r="N17" s="116"/>
      <c r="O17" s="116"/>
      <c r="P17" s="116"/>
      <c r="Q17" s="116"/>
      <c r="R17" s="116"/>
      <c r="S17" s="116"/>
      <c r="T17" s="117"/>
      <c r="U17" s="98" t="s">
        <v>42</v>
      </c>
      <c r="V17" s="99"/>
      <c r="W17" s="99"/>
      <c r="X17" s="99"/>
      <c r="Y17" s="100"/>
      <c r="Z17" s="98">
        <v>2</v>
      </c>
      <c r="AA17" s="99"/>
      <c r="AB17" s="100"/>
      <c r="AC17" s="48" t="s">
        <v>87</v>
      </c>
      <c r="AD17" s="46"/>
      <c r="AE17" s="46"/>
      <c r="AF17" s="46"/>
      <c r="AG17" s="46"/>
      <c r="AH17" s="46"/>
      <c r="AI17" s="46"/>
      <c r="AJ17" s="46"/>
      <c r="AK17" s="46"/>
      <c r="AL17" s="46"/>
      <c r="AM17" s="46"/>
      <c r="AN17" s="46"/>
      <c r="AO17" s="46"/>
      <c r="AP17" s="46"/>
      <c r="AQ17" s="46"/>
      <c r="AR17" s="49"/>
      <c r="AS17" s="49"/>
      <c r="AT17" s="49"/>
      <c r="AU17" s="49"/>
      <c r="AV17" s="49"/>
      <c r="AW17" s="49"/>
      <c r="AX17" s="49"/>
      <c r="AY17" s="49"/>
      <c r="AZ17" s="49"/>
      <c r="BA17" s="49"/>
      <c r="BB17" s="49"/>
      <c r="BC17" s="49"/>
      <c r="BD17" s="49"/>
      <c r="BE17" s="49"/>
      <c r="BF17" s="49"/>
      <c r="BG17" s="49"/>
      <c r="BH17" s="49"/>
      <c r="BI17" s="49"/>
      <c r="BJ17" s="50"/>
    </row>
    <row r="18" spans="1:62" s="11" customFormat="1" ht="40.5" customHeight="1">
      <c r="A18" s="114">
        <f t="shared" si="0"/>
        <v>9</v>
      </c>
      <c r="B18" s="114"/>
      <c r="C18" s="114"/>
      <c r="D18" s="115" t="s">
        <v>147</v>
      </c>
      <c r="E18" s="116"/>
      <c r="F18" s="116"/>
      <c r="G18" s="116"/>
      <c r="H18" s="116"/>
      <c r="I18" s="116"/>
      <c r="J18" s="116"/>
      <c r="K18" s="116"/>
      <c r="L18" s="116"/>
      <c r="M18" s="116"/>
      <c r="N18" s="116"/>
      <c r="O18" s="116"/>
      <c r="P18" s="116"/>
      <c r="Q18" s="116"/>
      <c r="R18" s="116"/>
      <c r="S18" s="116"/>
      <c r="T18" s="117"/>
      <c r="U18" s="98" t="s">
        <v>44</v>
      </c>
      <c r="V18" s="99"/>
      <c r="W18" s="99"/>
      <c r="X18" s="99"/>
      <c r="Y18" s="100"/>
      <c r="Z18" s="98">
        <v>10</v>
      </c>
      <c r="AA18" s="99"/>
      <c r="AB18" s="100"/>
      <c r="AC18" s="35" t="s">
        <v>88</v>
      </c>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9"/>
    </row>
    <row r="19" spans="1:62" s="11" customFormat="1" ht="40.5" customHeight="1">
      <c r="A19" s="114">
        <f t="shared" si="0"/>
        <v>10</v>
      </c>
      <c r="B19" s="114"/>
      <c r="C19" s="114"/>
      <c r="D19" s="115" t="s">
        <v>46</v>
      </c>
      <c r="E19" s="116"/>
      <c r="F19" s="116"/>
      <c r="G19" s="116"/>
      <c r="H19" s="116"/>
      <c r="I19" s="116"/>
      <c r="J19" s="116"/>
      <c r="K19" s="116"/>
      <c r="L19" s="116"/>
      <c r="M19" s="116"/>
      <c r="N19" s="116"/>
      <c r="O19" s="116"/>
      <c r="P19" s="116"/>
      <c r="Q19" s="116"/>
      <c r="R19" s="116"/>
      <c r="S19" s="116"/>
      <c r="T19" s="117"/>
      <c r="U19" s="98" t="s">
        <v>42</v>
      </c>
      <c r="V19" s="99"/>
      <c r="W19" s="99"/>
      <c r="X19" s="99"/>
      <c r="Y19" s="100"/>
      <c r="Z19" s="98">
        <v>4</v>
      </c>
      <c r="AA19" s="99"/>
      <c r="AB19" s="100"/>
      <c r="AC19" s="36" t="s">
        <v>99</v>
      </c>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9"/>
    </row>
    <row r="20" spans="1:62" s="11" customFormat="1" ht="40.5" customHeight="1">
      <c r="A20" s="114">
        <f t="shared" si="0"/>
        <v>11</v>
      </c>
      <c r="B20" s="114"/>
      <c r="C20" s="114"/>
      <c r="D20" s="115" t="s">
        <v>146</v>
      </c>
      <c r="E20" s="116"/>
      <c r="F20" s="116"/>
      <c r="G20" s="116"/>
      <c r="H20" s="116"/>
      <c r="I20" s="116"/>
      <c r="J20" s="116"/>
      <c r="K20" s="116"/>
      <c r="L20" s="116"/>
      <c r="M20" s="116"/>
      <c r="N20" s="116"/>
      <c r="O20" s="116"/>
      <c r="P20" s="116"/>
      <c r="Q20" s="116"/>
      <c r="R20" s="116"/>
      <c r="S20" s="116"/>
      <c r="T20" s="117"/>
      <c r="U20" s="98" t="s">
        <v>44</v>
      </c>
      <c r="V20" s="99"/>
      <c r="W20" s="99"/>
      <c r="X20" s="99"/>
      <c r="Y20" s="100"/>
      <c r="Z20" s="98">
        <v>31</v>
      </c>
      <c r="AA20" s="99"/>
      <c r="AB20" s="100"/>
      <c r="AC20" s="35" t="s">
        <v>100</v>
      </c>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9"/>
    </row>
    <row r="21" spans="1:62" s="11" customFormat="1" ht="40.5" customHeight="1">
      <c r="A21" s="114">
        <f t="shared" si="0"/>
        <v>12</v>
      </c>
      <c r="B21" s="114"/>
      <c r="C21" s="114"/>
      <c r="D21" s="115" t="s">
        <v>52</v>
      </c>
      <c r="E21" s="116"/>
      <c r="F21" s="116"/>
      <c r="G21" s="116"/>
      <c r="H21" s="116"/>
      <c r="I21" s="116"/>
      <c r="J21" s="116"/>
      <c r="K21" s="116"/>
      <c r="L21" s="116"/>
      <c r="M21" s="116"/>
      <c r="N21" s="116"/>
      <c r="O21" s="116"/>
      <c r="P21" s="116"/>
      <c r="Q21" s="116"/>
      <c r="R21" s="116"/>
      <c r="S21" s="116"/>
      <c r="T21" s="117"/>
      <c r="U21" s="98" t="s">
        <v>42</v>
      </c>
      <c r="V21" s="99"/>
      <c r="W21" s="99"/>
      <c r="X21" s="99"/>
      <c r="Y21" s="100"/>
      <c r="Z21" s="98">
        <v>9</v>
      </c>
      <c r="AA21" s="99"/>
      <c r="AB21" s="100"/>
      <c r="AC21" s="36" t="s">
        <v>160</v>
      </c>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9"/>
    </row>
    <row r="22" spans="1:62" s="11" customFormat="1" ht="40.5" customHeight="1">
      <c r="A22" s="114">
        <f t="shared" si="0"/>
        <v>13</v>
      </c>
      <c r="B22" s="114"/>
      <c r="C22" s="114"/>
      <c r="D22" s="115" t="s">
        <v>149</v>
      </c>
      <c r="E22" s="116"/>
      <c r="F22" s="116"/>
      <c r="G22" s="116"/>
      <c r="H22" s="116"/>
      <c r="I22" s="116"/>
      <c r="J22" s="116"/>
      <c r="K22" s="116"/>
      <c r="L22" s="116"/>
      <c r="M22" s="116"/>
      <c r="N22" s="116"/>
      <c r="O22" s="116"/>
      <c r="P22" s="116"/>
      <c r="Q22" s="116"/>
      <c r="R22" s="116"/>
      <c r="S22" s="116"/>
      <c r="T22" s="117"/>
      <c r="U22" s="98" t="s">
        <v>44</v>
      </c>
      <c r="V22" s="99"/>
      <c r="W22" s="99"/>
      <c r="X22" s="99"/>
      <c r="Y22" s="100"/>
      <c r="Z22" s="98">
        <v>35</v>
      </c>
      <c r="AA22" s="99"/>
      <c r="AB22" s="100"/>
      <c r="AC22" s="140" t="s">
        <v>90</v>
      </c>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2"/>
    </row>
    <row r="23" spans="1:62" s="11" customFormat="1" ht="40.5" customHeight="1">
      <c r="A23" s="114">
        <f t="shared" si="0"/>
        <v>14</v>
      </c>
      <c r="B23" s="114"/>
      <c r="C23" s="114"/>
      <c r="D23" s="115" t="s">
        <v>53</v>
      </c>
      <c r="E23" s="116"/>
      <c r="F23" s="116"/>
      <c r="G23" s="116"/>
      <c r="H23" s="116"/>
      <c r="I23" s="116"/>
      <c r="J23" s="116"/>
      <c r="K23" s="116"/>
      <c r="L23" s="116"/>
      <c r="M23" s="116"/>
      <c r="N23" s="116"/>
      <c r="O23" s="116"/>
      <c r="P23" s="116"/>
      <c r="Q23" s="116"/>
      <c r="R23" s="116"/>
      <c r="S23" s="116"/>
      <c r="T23" s="117"/>
      <c r="U23" s="98" t="s">
        <v>190</v>
      </c>
      <c r="V23" s="99"/>
      <c r="W23" s="99"/>
      <c r="X23" s="99"/>
      <c r="Y23" s="100"/>
      <c r="Z23" s="98">
        <v>48</v>
      </c>
      <c r="AA23" s="99"/>
      <c r="AB23" s="100"/>
      <c r="AC23" s="35" t="s">
        <v>91</v>
      </c>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9"/>
    </row>
    <row r="24" spans="1:62" s="11" customFormat="1" ht="40.5" customHeight="1">
      <c r="A24" s="114">
        <f t="shared" si="0"/>
        <v>15</v>
      </c>
      <c r="B24" s="114"/>
      <c r="C24" s="114"/>
      <c r="D24" s="115" t="s">
        <v>54</v>
      </c>
      <c r="E24" s="116"/>
      <c r="F24" s="116"/>
      <c r="G24" s="116"/>
      <c r="H24" s="116"/>
      <c r="I24" s="116"/>
      <c r="J24" s="116"/>
      <c r="K24" s="116"/>
      <c r="L24" s="116"/>
      <c r="M24" s="116"/>
      <c r="N24" s="116"/>
      <c r="O24" s="116"/>
      <c r="P24" s="116"/>
      <c r="Q24" s="116"/>
      <c r="R24" s="116"/>
      <c r="S24" s="116"/>
      <c r="T24" s="117"/>
      <c r="U24" s="98" t="s">
        <v>33</v>
      </c>
      <c r="V24" s="99"/>
      <c r="W24" s="99"/>
      <c r="X24" s="99"/>
      <c r="Y24" s="100"/>
      <c r="Z24" s="98">
        <v>8</v>
      </c>
      <c r="AA24" s="99"/>
      <c r="AB24" s="100"/>
      <c r="AC24" s="36" t="s">
        <v>89</v>
      </c>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9"/>
    </row>
    <row r="25" spans="1:62" s="11" customFormat="1" ht="40.5" customHeight="1">
      <c r="A25" s="114">
        <f t="shared" si="0"/>
        <v>16</v>
      </c>
      <c r="B25" s="114"/>
      <c r="C25" s="114"/>
      <c r="D25" s="115" t="s">
        <v>56</v>
      </c>
      <c r="E25" s="116"/>
      <c r="F25" s="116"/>
      <c r="G25" s="116"/>
      <c r="H25" s="116"/>
      <c r="I25" s="116"/>
      <c r="J25" s="116"/>
      <c r="K25" s="116"/>
      <c r="L25" s="116"/>
      <c r="M25" s="116"/>
      <c r="N25" s="116"/>
      <c r="O25" s="116"/>
      <c r="P25" s="116"/>
      <c r="Q25" s="116"/>
      <c r="R25" s="116"/>
      <c r="S25" s="116"/>
      <c r="T25" s="117"/>
      <c r="U25" s="98" t="s">
        <v>33</v>
      </c>
      <c r="V25" s="99"/>
      <c r="W25" s="99"/>
      <c r="X25" s="99"/>
      <c r="Y25" s="100"/>
      <c r="Z25" s="98">
        <v>13</v>
      </c>
      <c r="AA25" s="99"/>
      <c r="AB25" s="100"/>
      <c r="AC25" s="36" t="s">
        <v>103</v>
      </c>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9"/>
    </row>
    <row r="26" spans="1:62" s="11" customFormat="1" ht="40.5" customHeight="1">
      <c r="A26" s="114">
        <f t="shared" si="0"/>
        <v>17</v>
      </c>
      <c r="B26" s="114"/>
      <c r="C26" s="114"/>
      <c r="D26" s="115" t="s">
        <v>57</v>
      </c>
      <c r="E26" s="116"/>
      <c r="F26" s="116"/>
      <c r="G26" s="116"/>
      <c r="H26" s="116"/>
      <c r="I26" s="116"/>
      <c r="J26" s="116"/>
      <c r="K26" s="116"/>
      <c r="L26" s="116"/>
      <c r="M26" s="116"/>
      <c r="N26" s="116"/>
      <c r="O26" s="116"/>
      <c r="P26" s="116"/>
      <c r="Q26" s="116"/>
      <c r="R26" s="116"/>
      <c r="S26" s="116"/>
      <c r="T26" s="117"/>
      <c r="U26" s="98" t="s">
        <v>33</v>
      </c>
      <c r="V26" s="99"/>
      <c r="W26" s="99"/>
      <c r="X26" s="99"/>
      <c r="Y26" s="100"/>
      <c r="Z26" s="98">
        <v>8</v>
      </c>
      <c r="AA26" s="99"/>
      <c r="AB26" s="100"/>
      <c r="AC26" s="36" t="s">
        <v>89</v>
      </c>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9"/>
    </row>
    <row r="27" spans="1:62" s="11" customFormat="1" ht="40.5" customHeight="1">
      <c r="A27" s="114">
        <f t="shared" si="0"/>
        <v>18</v>
      </c>
      <c r="B27" s="114"/>
      <c r="C27" s="114"/>
      <c r="D27" s="115" t="s">
        <v>58</v>
      </c>
      <c r="E27" s="116"/>
      <c r="F27" s="116"/>
      <c r="G27" s="116"/>
      <c r="H27" s="116"/>
      <c r="I27" s="116"/>
      <c r="J27" s="116"/>
      <c r="K27" s="116"/>
      <c r="L27" s="116"/>
      <c r="M27" s="116"/>
      <c r="N27" s="116"/>
      <c r="O27" s="116"/>
      <c r="P27" s="116"/>
      <c r="Q27" s="116"/>
      <c r="R27" s="116"/>
      <c r="S27" s="116"/>
      <c r="T27" s="117"/>
      <c r="U27" s="98" t="s">
        <v>33</v>
      </c>
      <c r="V27" s="99"/>
      <c r="W27" s="99"/>
      <c r="X27" s="99"/>
      <c r="Y27" s="100"/>
      <c r="Z27" s="98">
        <v>13</v>
      </c>
      <c r="AA27" s="99"/>
      <c r="AB27" s="100"/>
      <c r="AC27" s="36" t="s">
        <v>103</v>
      </c>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9"/>
    </row>
    <row r="28" spans="1:62" s="11" customFormat="1" ht="40.5" customHeight="1">
      <c r="A28" s="114">
        <f t="shared" si="0"/>
        <v>19</v>
      </c>
      <c r="B28" s="114"/>
      <c r="C28" s="114"/>
      <c r="D28" s="115" t="s">
        <v>59</v>
      </c>
      <c r="E28" s="116"/>
      <c r="F28" s="116"/>
      <c r="G28" s="116"/>
      <c r="H28" s="116"/>
      <c r="I28" s="116"/>
      <c r="J28" s="116"/>
      <c r="K28" s="116"/>
      <c r="L28" s="116"/>
      <c r="M28" s="116"/>
      <c r="N28" s="116"/>
      <c r="O28" s="116"/>
      <c r="P28" s="116"/>
      <c r="Q28" s="116"/>
      <c r="R28" s="116"/>
      <c r="S28" s="116"/>
      <c r="T28" s="117"/>
      <c r="U28" s="98" t="s">
        <v>33</v>
      </c>
      <c r="V28" s="99"/>
      <c r="W28" s="99"/>
      <c r="X28" s="99"/>
      <c r="Y28" s="100"/>
      <c r="Z28" s="98">
        <v>13</v>
      </c>
      <c r="AA28" s="99"/>
      <c r="AB28" s="100"/>
      <c r="AC28" s="36" t="s">
        <v>103</v>
      </c>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9"/>
    </row>
    <row r="29" spans="1:62" s="11" customFormat="1" ht="40.5" customHeight="1">
      <c r="A29" s="114">
        <f t="shared" si="0"/>
        <v>20</v>
      </c>
      <c r="B29" s="114"/>
      <c r="C29" s="114"/>
      <c r="D29" s="115" t="s">
        <v>192</v>
      </c>
      <c r="E29" s="116"/>
      <c r="F29" s="116"/>
      <c r="G29" s="116"/>
      <c r="H29" s="116"/>
      <c r="I29" s="116"/>
      <c r="J29" s="116"/>
      <c r="K29" s="116"/>
      <c r="L29" s="116"/>
      <c r="M29" s="116"/>
      <c r="N29" s="116"/>
      <c r="O29" s="116"/>
      <c r="P29" s="116"/>
      <c r="Q29" s="116"/>
      <c r="R29" s="116"/>
      <c r="S29" s="116"/>
      <c r="T29" s="117"/>
      <c r="U29" s="98" t="s">
        <v>42</v>
      </c>
      <c r="V29" s="99"/>
      <c r="W29" s="99"/>
      <c r="X29" s="99"/>
      <c r="Y29" s="100"/>
      <c r="Z29" s="98">
        <v>8</v>
      </c>
      <c r="AA29" s="99"/>
      <c r="AB29" s="100"/>
      <c r="AC29" s="36" t="s">
        <v>162</v>
      </c>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9"/>
    </row>
    <row r="30" spans="1:62" s="11" customFormat="1" ht="40.5" customHeight="1">
      <c r="A30" s="114">
        <f t="shared" si="0"/>
        <v>21</v>
      </c>
      <c r="B30" s="114"/>
      <c r="C30" s="114"/>
      <c r="D30" s="115" t="s">
        <v>153</v>
      </c>
      <c r="E30" s="116"/>
      <c r="F30" s="116"/>
      <c r="G30" s="116"/>
      <c r="H30" s="116"/>
      <c r="I30" s="116"/>
      <c r="J30" s="116"/>
      <c r="K30" s="116"/>
      <c r="L30" s="116"/>
      <c r="M30" s="116"/>
      <c r="N30" s="116"/>
      <c r="O30" s="116"/>
      <c r="P30" s="116"/>
      <c r="Q30" s="116"/>
      <c r="R30" s="116"/>
      <c r="S30" s="116"/>
      <c r="T30" s="117"/>
      <c r="U30" s="98" t="s">
        <v>44</v>
      </c>
      <c r="V30" s="99"/>
      <c r="W30" s="99"/>
      <c r="X30" s="99"/>
      <c r="Y30" s="100"/>
      <c r="Z30" s="98">
        <v>20</v>
      </c>
      <c r="AA30" s="99"/>
      <c r="AB30" s="100"/>
      <c r="AC30" s="35" t="s">
        <v>92</v>
      </c>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9"/>
    </row>
    <row r="31" spans="1:62" s="11" customFormat="1" ht="40.5" customHeight="1">
      <c r="A31" s="114">
        <f t="shared" si="0"/>
        <v>22</v>
      </c>
      <c r="B31" s="114"/>
      <c r="C31" s="114"/>
      <c r="D31" s="115" t="s">
        <v>61</v>
      </c>
      <c r="E31" s="116"/>
      <c r="F31" s="116"/>
      <c r="G31" s="116"/>
      <c r="H31" s="116"/>
      <c r="I31" s="116"/>
      <c r="J31" s="116"/>
      <c r="K31" s="116"/>
      <c r="L31" s="116"/>
      <c r="M31" s="116"/>
      <c r="N31" s="116"/>
      <c r="O31" s="116"/>
      <c r="P31" s="116"/>
      <c r="Q31" s="116"/>
      <c r="R31" s="116"/>
      <c r="S31" s="116"/>
      <c r="T31" s="117"/>
      <c r="U31" s="98" t="s">
        <v>33</v>
      </c>
      <c r="V31" s="99"/>
      <c r="W31" s="99"/>
      <c r="X31" s="99"/>
      <c r="Y31" s="100"/>
      <c r="Z31" s="98">
        <v>8</v>
      </c>
      <c r="AA31" s="99"/>
      <c r="AB31" s="100"/>
      <c r="AC31" s="36" t="s">
        <v>89</v>
      </c>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9"/>
    </row>
    <row r="32" spans="1:62" s="11" customFormat="1" ht="40.5" customHeight="1">
      <c r="A32" s="114">
        <f t="shared" si="0"/>
        <v>23</v>
      </c>
      <c r="B32" s="114"/>
      <c r="C32" s="114"/>
      <c r="D32" s="115" t="s">
        <v>63</v>
      </c>
      <c r="E32" s="116"/>
      <c r="F32" s="116"/>
      <c r="G32" s="116"/>
      <c r="H32" s="116"/>
      <c r="I32" s="116"/>
      <c r="J32" s="116"/>
      <c r="K32" s="116"/>
      <c r="L32" s="116"/>
      <c r="M32" s="116"/>
      <c r="N32" s="116"/>
      <c r="O32" s="116"/>
      <c r="P32" s="116"/>
      <c r="Q32" s="116"/>
      <c r="R32" s="116"/>
      <c r="S32" s="116"/>
      <c r="T32" s="117"/>
      <c r="U32" s="98" t="s">
        <v>33</v>
      </c>
      <c r="V32" s="99"/>
      <c r="W32" s="99"/>
      <c r="X32" s="99"/>
      <c r="Y32" s="100"/>
      <c r="Z32" s="98">
        <v>8</v>
      </c>
      <c r="AA32" s="99"/>
      <c r="AB32" s="100"/>
      <c r="AC32" s="36" t="s">
        <v>89</v>
      </c>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9"/>
    </row>
    <row r="33" spans="1:62" s="11" customFormat="1" ht="40.5" customHeight="1">
      <c r="A33" s="114">
        <f t="shared" si="0"/>
        <v>24</v>
      </c>
      <c r="B33" s="114"/>
      <c r="C33" s="114"/>
      <c r="D33" s="115" t="s">
        <v>64</v>
      </c>
      <c r="E33" s="116"/>
      <c r="F33" s="116"/>
      <c r="G33" s="116"/>
      <c r="H33" s="116"/>
      <c r="I33" s="116"/>
      <c r="J33" s="116"/>
      <c r="K33" s="116"/>
      <c r="L33" s="116"/>
      <c r="M33" s="116"/>
      <c r="N33" s="116"/>
      <c r="O33" s="116"/>
      <c r="P33" s="116"/>
      <c r="Q33" s="116"/>
      <c r="R33" s="116"/>
      <c r="S33" s="116"/>
      <c r="T33" s="117"/>
      <c r="U33" s="98" t="s">
        <v>42</v>
      </c>
      <c r="V33" s="99"/>
      <c r="W33" s="99"/>
      <c r="X33" s="99"/>
      <c r="Y33" s="100"/>
      <c r="Z33" s="98">
        <v>17</v>
      </c>
      <c r="AA33" s="99"/>
      <c r="AB33" s="100"/>
      <c r="AC33" s="36" t="s">
        <v>101</v>
      </c>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9"/>
    </row>
    <row r="34" spans="1:62" s="11" customFormat="1" ht="40.5" customHeight="1">
      <c r="A34" s="114">
        <f t="shared" si="0"/>
        <v>25</v>
      </c>
      <c r="B34" s="114"/>
      <c r="C34" s="114"/>
      <c r="D34" s="115" t="s">
        <v>183</v>
      </c>
      <c r="E34" s="116"/>
      <c r="F34" s="116"/>
      <c r="G34" s="116"/>
      <c r="H34" s="116"/>
      <c r="I34" s="116"/>
      <c r="J34" s="116"/>
      <c r="K34" s="116"/>
      <c r="L34" s="116"/>
      <c r="M34" s="116"/>
      <c r="N34" s="116"/>
      <c r="O34" s="116"/>
      <c r="P34" s="116"/>
      <c r="Q34" s="116"/>
      <c r="R34" s="116"/>
      <c r="S34" s="116"/>
      <c r="T34" s="117"/>
      <c r="U34" s="98" t="s">
        <v>42</v>
      </c>
      <c r="V34" s="99"/>
      <c r="W34" s="99"/>
      <c r="X34" s="99"/>
      <c r="Y34" s="100"/>
      <c r="Z34" s="98">
        <v>10</v>
      </c>
      <c r="AA34" s="99"/>
      <c r="AB34" s="100"/>
      <c r="AC34" s="36" t="s">
        <v>163</v>
      </c>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9"/>
    </row>
    <row r="35" spans="1:62" s="11" customFormat="1" ht="40.5" customHeight="1">
      <c r="A35" s="114">
        <f t="shared" si="0"/>
        <v>26</v>
      </c>
      <c r="B35" s="114"/>
      <c r="C35" s="114"/>
      <c r="D35" s="115" t="s">
        <v>65</v>
      </c>
      <c r="E35" s="116"/>
      <c r="F35" s="116"/>
      <c r="G35" s="116"/>
      <c r="H35" s="116"/>
      <c r="I35" s="116"/>
      <c r="J35" s="116"/>
      <c r="K35" s="116"/>
      <c r="L35" s="116"/>
      <c r="M35" s="116"/>
      <c r="N35" s="116"/>
      <c r="O35" s="116"/>
      <c r="P35" s="116"/>
      <c r="Q35" s="116"/>
      <c r="R35" s="116"/>
      <c r="S35" s="116"/>
      <c r="T35" s="117"/>
      <c r="U35" s="98" t="s">
        <v>42</v>
      </c>
      <c r="V35" s="99"/>
      <c r="W35" s="99"/>
      <c r="X35" s="99"/>
      <c r="Y35" s="100"/>
      <c r="Z35" s="98">
        <v>6</v>
      </c>
      <c r="AA35" s="99"/>
      <c r="AB35" s="100"/>
      <c r="AC35" s="36" t="s">
        <v>93</v>
      </c>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9"/>
    </row>
    <row r="36" spans="1:62" s="11" customFormat="1" ht="40.5" customHeight="1">
      <c r="A36" s="114">
        <f t="shared" si="0"/>
        <v>27</v>
      </c>
      <c r="B36" s="114"/>
      <c r="C36" s="114"/>
      <c r="D36" s="115" t="s">
        <v>154</v>
      </c>
      <c r="E36" s="116"/>
      <c r="F36" s="116"/>
      <c r="G36" s="116"/>
      <c r="H36" s="116"/>
      <c r="I36" s="116"/>
      <c r="J36" s="116"/>
      <c r="K36" s="116"/>
      <c r="L36" s="116"/>
      <c r="M36" s="116"/>
      <c r="N36" s="116"/>
      <c r="O36" s="116"/>
      <c r="P36" s="116"/>
      <c r="Q36" s="116"/>
      <c r="R36" s="116"/>
      <c r="S36" s="116"/>
      <c r="T36" s="117"/>
      <c r="U36" s="98" t="s">
        <v>44</v>
      </c>
      <c r="V36" s="99"/>
      <c r="W36" s="99"/>
      <c r="X36" s="99"/>
      <c r="Y36" s="100"/>
      <c r="Z36" s="98">
        <v>20</v>
      </c>
      <c r="AA36" s="99"/>
      <c r="AB36" s="100"/>
      <c r="AC36" s="35" t="s">
        <v>167</v>
      </c>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8"/>
    </row>
    <row r="37" spans="1:62" s="11" customFormat="1" ht="40.5" customHeight="1">
      <c r="A37" s="114">
        <f t="shared" si="0"/>
        <v>28</v>
      </c>
      <c r="B37" s="114"/>
      <c r="C37" s="114"/>
      <c r="D37" s="115" t="s">
        <v>196</v>
      </c>
      <c r="E37" s="116"/>
      <c r="F37" s="116"/>
      <c r="G37" s="116"/>
      <c r="H37" s="116"/>
      <c r="I37" s="116"/>
      <c r="J37" s="116"/>
      <c r="K37" s="116"/>
      <c r="L37" s="116"/>
      <c r="M37" s="116"/>
      <c r="N37" s="116"/>
      <c r="O37" s="116"/>
      <c r="P37" s="116"/>
      <c r="Q37" s="116"/>
      <c r="R37" s="116"/>
      <c r="S37" s="116"/>
      <c r="T37" s="117"/>
      <c r="U37" s="98" t="s">
        <v>44</v>
      </c>
      <c r="V37" s="99"/>
      <c r="W37" s="99"/>
      <c r="X37" s="99"/>
      <c r="Y37" s="100"/>
      <c r="Z37" s="98">
        <v>100</v>
      </c>
      <c r="AA37" s="99"/>
      <c r="AB37" s="100"/>
      <c r="AC37" s="35" t="s">
        <v>94</v>
      </c>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9"/>
    </row>
    <row r="38" spans="1:62" s="11" customFormat="1" ht="40.5" customHeight="1">
      <c r="A38" s="114">
        <f t="shared" si="0"/>
        <v>29</v>
      </c>
      <c r="B38" s="114"/>
      <c r="C38" s="114"/>
      <c r="D38" s="115" t="s">
        <v>68</v>
      </c>
      <c r="E38" s="116"/>
      <c r="F38" s="116"/>
      <c r="G38" s="116"/>
      <c r="H38" s="116"/>
      <c r="I38" s="116"/>
      <c r="J38" s="116"/>
      <c r="K38" s="116"/>
      <c r="L38" s="116"/>
      <c r="M38" s="116"/>
      <c r="N38" s="116"/>
      <c r="O38" s="116"/>
      <c r="P38" s="116"/>
      <c r="Q38" s="116"/>
      <c r="R38" s="116"/>
      <c r="S38" s="116"/>
      <c r="T38" s="117"/>
      <c r="U38" s="98" t="s">
        <v>44</v>
      </c>
      <c r="V38" s="99"/>
      <c r="W38" s="99"/>
      <c r="X38" s="99"/>
      <c r="Y38" s="100"/>
      <c r="Z38" s="98">
        <v>64</v>
      </c>
      <c r="AA38" s="99"/>
      <c r="AB38" s="100"/>
      <c r="AC38" s="35" t="s">
        <v>165</v>
      </c>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9"/>
    </row>
    <row r="39" spans="1:62" s="11" customFormat="1" ht="40.5" customHeight="1">
      <c r="A39" s="114">
        <f t="shared" si="0"/>
        <v>30</v>
      </c>
      <c r="B39" s="114"/>
      <c r="C39" s="114"/>
      <c r="D39" s="115" t="s">
        <v>70</v>
      </c>
      <c r="E39" s="116"/>
      <c r="F39" s="116"/>
      <c r="G39" s="116"/>
      <c r="H39" s="116"/>
      <c r="I39" s="116"/>
      <c r="J39" s="116"/>
      <c r="K39" s="116"/>
      <c r="L39" s="116"/>
      <c r="M39" s="116"/>
      <c r="N39" s="116"/>
      <c r="O39" s="116"/>
      <c r="P39" s="116"/>
      <c r="Q39" s="116"/>
      <c r="R39" s="116"/>
      <c r="S39" s="116"/>
      <c r="T39" s="117"/>
      <c r="U39" s="98" t="s">
        <v>33</v>
      </c>
      <c r="V39" s="99"/>
      <c r="W39" s="99"/>
      <c r="X39" s="99"/>
      <c r="Y39" s="100"/>
      <c r="Z39" s="98" t="s">
        <v>172</v>
      </c>
      <c r="AA39" s="99"/>
      <c r="AB39" s="100"/>
      <c r="AC39" s="36" t="s">
        <v>169</v>
      </c>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9"/>
    </row>
    <row r="40" spans="1:62" s="11" customFormat="1" ht="40.5" customHeight="1">
      <c r="A40" s="114">
        <f t="shared" si="0"/>
        <v>31</v>
      </c>
      <c r="B40" s="114"/>
      <c r="C40" s="114"/>
      <c r="D40" s="115" t="s">
        <v>71</v>
      </c>
      <c r="E40" s="116"/>
      <c r="F40" s="116"/>
      <c r="G40" s="116"/>
      <c r="H40" s="116"/>
      <c r="I40" s="116"/>
      <c r="J40" s="116"/>
      <c r="K40" s="116"/>
      <c r="L40" s="116"/>
      <c r="M40" s="116"/>
      <c r="N40" s="116"/>
      <c r="O40" s="116"/>
      <c r="P40" s="116"/>
      <c r="Q40" s="116"/>
      <c r="R40" s="116"/>
      <c r="S40" s="116"/>
      <c r="T40" s="117"/>
      <c r="U40" s="98" t="s">
        <v>33</v>
      </c>
      <c r="V40" s="99"/>
      <c r="W40" s="99"/>
      <c r="X40" s="99"/>
      <c r="Y40" s="100"/>
      <c r="Z40" s="98" t="s">
        <v>172</v>
      </c>
      <c r="AA40" s="99"/>
      <c r="AB40" s="100"/>
      <c r="AC40" s="36" t="s">
        <v>169</v>
      </c>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9"/>
    </row>
    <row r="41" spans="1:62" s="11" customFormat="1" ht="40.5" customHeight="1">
      <c r="A41" s="114">
        <f t="shared" si="0"/>
        <v>32</v>
      </c>
      <c r="B41" s="114"/>
      <c r="C41" s="114"/>
      <c r="D41" s="115" t="s">
        <v>155</v>
      </c>
      <c r="E41" s="116"/>
      <c r="F41" s="116"/>
      <c r="G41" s="116"/>
      <c r="H41" s="116"/>
      <c r="I41" s="116"/>
      <c r="J41" s="116"/>
      <c r="K41" s="116"/>
      <c r="L41" s="116"/>
      <c r="M41" s="116"/>
      <c r="N41" s="116"/>
      <c r="O41" s="116"/>
      <c r="P41" s="116"/>
      <c r="Q41" s="116"/>
      <c r="R41" s="116"/>
      <c r="S41" s="116"/>
      <c r="T41" s="117"/>
      <c r="U41" s="98" t="s">
        <v>33</v>
      </c>
      <c r="V41" s="99"/>
      <c r="W41" s="99"/>
      <c r="X41" s="99"/>
      <c r="Y41" s="100"/>
      <c r="Z41" s="98">
        <v>13</v>
      </c>
      <c r="AA41" s="99"/>
      <c r="AB41" s="100"/>
      <c r="AC41" s="36" t="s">
        <v>103</v>
      </c>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9"/>
    </row>
    <row r="42" spans="1:62" s="11" customFormat="1" ht="40.5" customHeight="1">
      <c r="A42" s="114">
        <f t="shared" si="0"/>
        <v>33</v>
      </c>
      <c r="B42" s="114"/>
      <c r="C42" s="114"/>
      <c r="D42" s="115" t="s">
        <v>73</v>
      </c>
      <c r="E42" s="116"/>
      <c r="F42" s="116"/>
      <c r="G42" s="116"/>
      <c r="H42" s="116"/>
      <c r="I42" s="116"/>
      <c r="J42" s="116"/>
      <c r="K42" s="116"/>
      <c r="L42" s="116"/>
      <c r="M42" s="116"/>
      <c r="N42" s="116"/>
      <c r="O42" s="116"/>
      <c r="P42" s="116"/>
      <c r="Q42" s="116"/>
      <c r="R42" s="116"/>
      <c r="S42" s="116"/>
      <c r="T42" s="117"/>
      <c r="U42" s="98" t="s">
        <v>33</v>
      </c>
      <c r="V42" s="99"/>
      <c r="W42" s="99"/>
      <c r="X42" s="99"/>
      <c r="Y42" s="100"/>
      <c r="Z42" s="98">
        <v>13</v>
      </c>
      <c r="AA42" s="99"/>
      <c r="AB42" s="100"/>
      <c r="AC42" s="36" t="s">
        <v>103</v>
      </c>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9"/>
    </row>
    <row r="43" spans="1:62" s="11" customFormat="1" ht="40.5" customHeight="1">
      <c r="A43" s="114">
        <f t="shared" si="0"/>
        <v>34</v>
      </c>
      <c r="B43" s="114"/>
      <c r="C43" s="114"/>
      <c r="D43" s="115" t="s">
        <v>75</v>
      </c>
      <c r="E43" s="116"/>
      <c r="F43" s="116"/>
      <c r="G43" s="116"/>
      <c r="H43" s="116"/>
      <c r="I43" s="116"/>
      <c r="J43" s="116"/>
      <c r="K43" s="116"/>
      <c r="L43" s="116"/>
      <c r="M43" s="116"/>
      <c r="N43" s="116"/>
      <c r="O43" s="116"/>
      <c r="P43" s="116"/>
      <c r="Q43" s="116"/>
      <c r="R43" s="116"/>
      <c r="S43" s="116"/>
      <c r="T43" s="117"/>
      <c r="U43" s="98" t="s">
        <v>33</v>
      </c>
      <c r="V43" s="99"/>
      <c r="W43" s="99"/>
      <c r="X43" s="99"/>
      <c r="Y43" s="100"/>
      <c r="Z43" s="98">
        <v>13</v>
      </c>
      <c r="AA43" s="99"/>
      <c r="AB43" s="100"/>
      <c r="AC43" s="36" t="s">
        <v>103</v>
      </c>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9"/>
    </row>
    <row r="44" spans="1:62" s="11" customFormat="1" ht="40.5" customHeight="1">
      <c r="A44" s="114">
        <f t="shared" si="0"/>
        <v>35</v>
      </c>
      <c r="B44" s="114"/>
      <c r="C44" s="114"/>
      <c r="D44" s="115" t="s">
        <v>76</v>
      </c>
      <c r="E44" s="116"/>
      <c r="F44" s="116"/>
      <c r="G44" s="116"/>
      <c r="H44" s="116"/>
      <c r="I44" s="116"/>
      <c r="J44" s="116"/>
      <c r="K44" s="116"/>
      <c r="L44" s="116"/>
      <c r="M44" s="116"/>
      <c r="N44" s="116"/>
      <c r="O44" s="116"/>
      <c r="P44" s="116"/>
      <c r="Q44" s="116"/>
      <c r="R44" s="116"/>
      <c r="S44" s="116"/>
      <c r="T44" s="117"/>
      <c r="U44" s="98" t="s">
        <v>44</v>
      </c>
      <c r="V44" s="99"/>
      <c r="W44" s="99"/>
      <c r="X44" s="99"/>
      <c r="Y44" s="100"/>
      <c r="Z44" s="98">
        <v>4</v>
      </c>
      <c r="AA44" s="99"/>
      <c r="AB44" s="100"/>
      <c r="AC44" s="36" t="s">
        <v>170</v>
      </c>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9"/>
    </row>
    <row r="45" spans="1:62" s="11" customFormat="1" ht="40.5" customHeight="1">
      <c r="A45" s="114">
        <f t="shared" si="0"/>
        <v>36</v>
      </c>
      <c r="B45" s="114"/>
      <c r="C45" s="114"/>
      <c r="D45" s="115" t="s">
        <v>78</v>
      </c>
      <c r="E45" s="116"/>
      <c r="F45" s="116"/>
      <c r="G45" s="116"/>
      <c r="H45" s="116"/>
      <c r="I45" s="116"/>
      <c r="J45" s="116"/>
      <c r="K45" s="116"/>
      <c r="L45" s="116"/>
      <c r="M45" s="116"/>
      <c r="N45" s="116"/>
      <c r="O45" s="116"/>
      <c r="P45" s="116"/>
      <c r="Q45" s="116"/>
      <c r="R45" s="116"/>
      <c r="S45" s="116"/>
      <c r="T45" s="117"/>
      <c r="U45" s="98" t="s">
        <v>33</v>
      </c>
      <c r="V45" s="99"/>
      <c r="W45" s="99"/>
      <c r="X45" s="99"/>
      <c r="Y45" s="100"/>
      <c r="Z45" s="98">
        <v>4</v>
      </c>
      <c r="AA45" s="99"/>
      <c r="AB45" s="100"/>
      <c r="AC45" s="36" t="s">
        <v>95</v>
      </c>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9"/>
    </row>
    <row r="46" spans="1:62" s="11" customFormat="1" ht="40.5" customHeight="1">
      <c r="A46" s="114">
        <f t="shared" si="0"/>
        <v>37</v>
      </c>
      <c r="B46" s="114"/>
      <c r="C46" s="114"/>
      <c r="D46" s="115" t="s">
        <v>80</v>
      </c>
      <c r="E46" s="116"/>
      <c r="F46" s="116"/>
      <c r="G46" s="116"/>
      <c r="H46" s="116"/>
      <c r="I46" s="116"/>
      <c r="J46" s="116"/>
      <c r="K46" s="116"/>
      <c r="L46" s="116"/>
      <c r="M46" s="116"/>
      <c r="N46" s="116"/>
      <c r="O46" s="116"/>
      <c r="P46" s="116"/>
      <c r="Q46" s="116"/>
      <c r="R46" s="116"/>
      <c r="S46" s="116"/>
      <c r="T46" s="117"/>
      <c r="U46" s="98" t="s">
        <v>33</v>
      </c>
      <c r="V46" s="99"/>
      <c r="W46" s="99"/>
      <c r="X46" s="99"/>
      <c r="Y46" s="100"/>
      <c r="Z46" s="98">
        <v>2</v>
      </c>
      <c r="AA46" s="99"/>
      <c r="AB46" s="100"/>
      <c r="AC46" s="36" t="s">
        <v>96</v>
      </c>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9"/>
    </row>
    <row r="47" spans="1:62" s="11" customFormat="1" ht="40.5" customHeight="1">
      <c r="A47" s="114">
        <f t="shared" si="0"/>
        <v>38</v>
      </c>
      <c r="B47" s="114"/>
      <c r="C47" s="114"/>
      <c r="D47" s="115" t="s">
        <v>250</v>
      </c>
      <c r="E47" s="116"/>
      <c r="F47" s="116"/>
      <c r="G47" s="116"/>
      <c r="H47" s="116"/>
      <c r="I47" s="116"/>
      <c r="J47" s="116"/>
      <c r="K47" s="116"/>
      <c r="L47" s="116"/>
      <c r="M47" s="116"/>
      <c r="N47" s="116"/>
      <c r="O47" s="116"/>
      <c r="P47" s="116"/>
      <c r="Q47" s="116"/>
      <c r="R47" s="116"/>
      <c r="S47" s="116"/>
      <c r="T47" s="117"/>
      <c r="U47" s="98" t="s">
        <v>42</v>
      </c>
      <c r="V47" s="99"/>
      <c r="W47" s="99"/>
      <c r="X47" s="99"/>
      <c r="Y47" s="100"/>
      <c r="Z47" s="98">
        <v>20</v>
      </c>
      <c r="AA47" s="99"/>
      <c r="AB47" s="100"/>
      <c r="AC47" s="36" t="s">
        <v>101</v>
      </c>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9"/>
    </row>
    <row r="48" spans="1:62" s="11" customFormat="1" ht="40.5" customHeight="1">
      <c r="A48" s="114">
        <f t="shared" si="0"/>
        <v>39</v>
      </c>
      <c r="B48" s="114"/>
      <c r="C48" s="114"/>
      <c r="D48" s="115" t="s">
        <v>253</v>
      </c>
      <c r="E48" s="116"/>
      <c r="F48" s="116"/>
      <c r="G48" s="116"/>
      <c r="H48" s="116"/>
      <c r="I48" s="116"/>
      <c r="J48" s="116"/>
      <c r="K48" s="116"/>
      <c r="L48" s="116"/>
      <c r="M48" s="116"/>
      <c r="N48" s="116"/>
      <c r="O48" s="116"/>
      <c r="P48" s="116"/>
      <c r="Q48" s="116"/>
      <c r="R48" s="116"/>
      <c r="S48" s="116"/>
      <c r="T48" s="117"/>
      <c r="U48" s="98" t="s">
        <v>42</v>
      </c>
      <c r="V48" s="99"/>
      <c r="W48" s="99"/>
      <c r="X48" s="99"/>
      <c r="Y48" s="100"/>
      <c r="Z48" s="98">
        <v>18</v>
      </c>
      <c r="AA48" s="99"/>
      <c r="AB48" s="100"/>
      <c r="AC48" s="36" t="s">
        <v>102</v>
      </c>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9"/>
    </row>
    <row r="49" spans="1:62" s="11" customFormat="1" ht="40.5" customHeight="1">
      <c r="A49" s="114">
        <f t="shared" si="0"/>
        <v>40</v>
      </c>
      <c r="B49" s="114"/>
      <c r="C49" s="114"/>
      <c r="D49" s="115" t="s">
        <v>268</v>
      </c>
      <c r="E49" s="116"/>
      <c r="F49" s="116"/>
      <c r="G49" s="116"/>
      <c r="H49" s="116"/>
      <c r="I49" s="116"/>
      <c r="J49" s="116"/>
      <c r="K49" s="116"/>
      <c r="L49" s="116"/>
      <c r="M49" s="116"/>
      <c r="N49" s="116"/>
      <c r="O49" s="116"/>
      <c r="P49" s="116"/>
      <c r="Q49" s="116"/>
      <c r="R49" s="116"/>
      <c r="S49" s="116"/>
      <c r="T49" s="117"/>
      <c r="U49" s="98" t="s">
        <v>44</v>
      </c>
      <c r="V49" s="99"/>
      <c r="W49" s="99"/>
      <c r="X49" s="99"/>
      <c r="Y49" s="100"/>
      <c r="Z49" s="98">
        <v>2</v>
      </c>
      <c r="AA49" s="99"/>
      <c r="AB49" s="100"/>
      <c r="AC49" s="36" t="s">
        <v>270</v>
      </c>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9"/>
    </row>
    <row r="50" spans="1:62" s="11" customFormat="1" ht="40.5" customHeight="1">
      <c r="A50" s="114">
        <f t="shared" si="0"/>
        <v>41</v>
      </c>
      <c r="B50" s="114"/>
      <c r="C50" s="114"/>
      <c r="D50" s="115" t="s">
        <v>207</v>
      </c>
      <c r="E50" s="116"/>
      <c r="F50" s="116"/>
      <c r="G50" s="116"/>
      <c r="H50" s="116"/>
      <c r="I50" s="116"/>
      <c r="J50" s="116"/>
      <c r="K50" s="116"/>
      <c r="L50" s="116"/>
      <c r="M50" s="116"/>
      <c r="N50" s="116"/>
      <c r="O50" s="116"/>
      <c r="P50" s="116"/>
      <c r="Q50" s="116"/>
      <c r="R50" s="116"/>
      <c r="S50" s="116"/>
      <c r="T50" s="117"/>
      <c r="U50" s="98" t="s">
        <v>42</v>
      </c>
      <c r="V50" s="99"/>
      <c r="W50" s="99"/>
      <c r="X50" s="99"/>
      <c r="Y50" s="100"/>
      <c r="Z50" s="98">
        <v>15</v>
      </c>
      <c r="AA50" s="99"/>
      <c r="AB50" s="100"/>
      <c r="AC50" s="36" t="s">
        <v>211</v>
      </c>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9"/>
    </row>
    <row r="51" spans="1:62" s="11" customFormat="1" ht="40.5" customHeight="1">
      <c r="A51" s="114">
        <f t="shared" si="0"/>
        <v>42</v>
      </c>
      <c r="B51" s="114"/>
      <c r="C51" s="114"/>
      <c r="D51" s="115" t="s">
        <v>208</v>
      </c>
      <c r="E51" s="116"/>
      <c r="F51" s="116"/>
      <c r="G51" s="116"/>
      <c r="H51" s="116"/>
      <c r="I51" s="116"/>
      <c r="J51" s="116"/>
      <c r="K51" s="116"/>
      <c r="L51" s="116"/>
      <c r="M51" s="116"/>
      <c r="N51" s="116"/>
      <c r="O51" s="116"/>
      <c r="P51" s="116"/>
      <c r="Q51" s="116"/>
      <c r="R51" s="116"/>
      <c r="S51" s="116"/>
      <c r="T51" s="117"/>
      <c r="U51" s="98" t="s">
        <v>42</v>
      </c>
      <c r="V51" s="99"/>
      <c r="W51" s="99"/>
      <c r="X51" s="99"/>
      <c r="Y51" s="100"/>
      <c r="Z51" s="98">
        <v>2</v>
      </c>
      <c r="AA51" s="99"/>
      <c r="AB51" s="100"/>
      <c r="AC51" s="36" t="s">
        <v>87</v>
      </c>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9"/>
    </row>
    <row r="52" spans="1:62" s="11" customFormat="1" ht="40.5" customHeight="1">
      <c r="A52" s="114"/>
      <c r="B52" s="114"/>
      <c r="C52" s="114"/>
      <c r="D52" s="115"/>
      <c r="E52" s="116"/>
      <c r="F52" s="116"/>
      <c r="G52" s="116"/>
      <c r="H52" s="116"/>
      <c r="I52" s="116"/>
      <c r="J52" s="116"/>
      <c r="K52" s="116"/>
      <c r="L52" s="116"/>
      <c r="M52" s="116"/>
      <c r="N52" s="116"/>
      <c r="O52" s="116"/>
      <c r="P52" s="116"/>
      <c r="Q52" s="116"/>
      <c r="R52" s="116"/>
      <c r="S52" s="116"/>
      <c r="T52" s="117"/>
      <c r="U52" s="98"/>
      <c r="V52" s="99"/>
      <c r="W52" s="99"/>
      <c r="X52" s="99"/>
      <c r="Y52" s="100"/>
      <c r="Z52" s="98"/>
      <c r="AA52" s="99"/>
      <c r="AB52" s="100"/>
      <c r="AC52" s="35"/>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9"/>
    </row>
    <row r="53" spans="1:62" s="11" customFormat="1" ht="40.5" customHeight="1">
      <c r="A53" s="114"/>
      <c r="B53" s="114"/>
      <c r="C53" s="114"/>
      <c r="D53" s="115"/>
      <c r="E53" s="116"/>
      <c r="F53" s="116"/>
      <c r="G53" s="116"/>
      <c r="H53" s="116"/>
      <c r="I53" s="116"/>
      <c r="J53" s="116"/>
      <c r="K53" s="116"/>
      <c r="L53" s="116"/>
      <c r="M53" s="116"/>
      <c r="N53" s="116"/>
      <c r="O53" s="116"/>
      <c r="P53" s="116"/>
      <c r="Q53" s="116"/>
      <c r="R53" s="116"/>
      <c r="S53" s="116"/>
      <c r="T53" s="117"/>
      <c r="U53" s="98"/>
      <c r="V53" s="99"/>
      <c r="W53" s="99"/>
      <c r="X53" s="99"/>
      <c r="Y53" s="100"/>
      <c r="Z53" s="98"/>
      <c r="AA53" s="99"/>
      <c r="AB53" s="100"/>
      <c r="AC53" s="35"/>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9"/>
    </row>
    <row r="54" spans="1:62" s="11" customFormat="1" ht="40.5" customHeight="1">
      <c r="A54" s="114"/>
      <c r="B54" s="114"/>
      <c r="C54" s="114"/>
      <c r="D54" s="115"/>
      <c r="E54" s="116"/>
      <c r="F54" s="116"/>
      <c r="G54" s="116"/>
      <c r="H54" s="116"/>
      <c r="I54" s="116"/>
      <c r="J54" s="116"/>
      <c r="K54" s="116"/>
      <c r="L54" s="116"/>
      <c r="M54" s="116"/>
      <c r="N54" s="116"/>
      <c r="O54" s="116"/>
      <c r="P54" s="116"/>
      <c r="Q54" s="116"/>
      <c r="R54" s="116"/>
      <c r="S54" s="116"/>
      <c r="T54" s="117"/>
      <c r="U54" s="98"/>
      <c r="V54" s="99"/>
      <c r="W54" s="99"/>
      <c r="X54" s="99"/>
      <c r="Y54" s="100"/>
      <c r="Z54" s="98"/>
      <c r="AA54" s="99"/>
      <c r="AB54" s="100"/>
      <c r="AC54" s="35"/>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9"/>
    </row>
    <row r="55" spans="1:62" s="11" customFormat="1" ht="40.5" customHeight="1">
      <c r="A55" s="104"/>
      <c r="B55" s="104"/>
      <c r="C55" s="104"/>
      <c r="D55" s="105"/>
      <c r="E55" s="106"/>
      <c r="F55" s="106"/>
      <c r="G55" s="106"/>
      <c r="H55" s="106"/>
      <c r="I55" s="106"/>
      <c r="J55" s="106"/>
      <c r="K55" s="106"/>
      <c r="L55" s="106"/>
      <c r="M55" s="106"/>
      <c r="N55" s="106"/>
      <c r="O55" s="106"/>
      <c r="P55" s="106"/>
      <c r="Q55" s="106"/>
      <c r="R55" s="106"/>
      <c r="S55" s="106"/>
      <c r="T55" s="107"/>
      <c r="U55" s="108"/>
      <c r="V55" s="109"/>
      <c r="W55" s="109"/>
      <c r="X55" s="109"/>
      <c r="Y55" s="110"/>
      <c r="Z55" s="108"/>
      <c r="AA55" s="109"/>
      <c r="AB55" s="110"/>
      <c r="AC55" s="30"/>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2"/>
    </row>
  </sheetData>
  <mergeCells count="216">
    <mergeCell ref="Z30:AB30"/>
    <mergeCell ref="A14:C14"/>
    <mergeCell ref="D14:T14"/>
    <mergeCell ref="D22:T22"/>
    <mergeCell ref="U22:Y22"/>
    <mergeCell ref="Z22:AB22"/>
    <mergeCell ref="A22:C22"/>
    <mergeCell ref="A19:C19"/>
    <mergeCell ref="U19:Y19"/>
    <mergeCell ref="Z19:AB19"/>
    <mergeCell ref="A20:C20"/>
    <mergeCell ref="U20:Y20"/>
    <mergeCell ref="Z20:AB20"/>
    <mergeCell ref="U21:Y21"/>
    <mergeCell ref="Z21:AB21"/>
    <mergeCell ref="A21:C21"/>
    <mergeCell ref="D21:T21"/>
    <mergeCell ref="D19:T19"/>
    <mergeCell ref="D20:T20"/>
    <mergeCell ref="A15:C15"/>
    <mergeCell ref="U15:Y15"/>
    <mergeCell ref="Z28:AB28"/>
    <mergeCell ref="D26:T26"/>
    <mergeCell ref="A27:C27"/>
    <mergeCell ref="Z11:AB11"/>
    <mergeCell ref="A12:C12"/>
    <mergeCell ref="D12:T12"/>
    <mergeCell ref="U12:Y12"/>
    <mergeCell ref="Z12:AB12"/>
    <mergeCell ref="A13:C13"/>
    <mergeCell ref="D13:T13"/>
    <mergeCell ref="U13:Y13"/>
    <mergeCell ref="Z13:AB13"/>
    <mergeCell ref="BG2:BJ2"/>
    <mergeCell ref="A3:H4"/>
    <mergeCell ref="I3:AS4"/>
    <mergeCell ref="AT3:AX3"/>
    <mergeCell ref="AY3:BJ3"/>
    <mergeCell ref="AT4:AX4"/>
    <mergeCell ref="AY4:BJ4"/>
    <mergeCell ref="AX6:BA6"/>
    <mergeCell ref="BB6:BE6"/>
    <mergeCell ref="BF6:BJ6"/>
    <mergeCell ref="A6:K6"/>
    <mergeCell ref="L6:AA6"/>
    <mergeCell ref="AB6:AJ6"/>
    <mergeCell ref="AK6:AN6"/>
    <mergeCell ref="AO6:AW6"/>
    <mergeCell ref="A2:AS2"/>
    <mergeCell ref="AT2:AX2"/>
    <mergeCell ref="AY2:BB2"/>
    <mergeCell ref="BC2:BF2"/>
    <mergeCell ref="D10:T10"/>
    <mergeCell ref="U10:Y10"/>
    <mergeCell ref="Z10:AB10"/>
    <mergeCell ref="A11:C11"/>
    <mergeCell ref="D11:T11"/>
    <mergeCell ref="A36:C36"/>
    <mergeCell ref="U36:Y36"/>
    <mergeCell ref="Z36:AB36"/>
    <mergeCell ref="A23:C23"/>
    <mergeCell ref="U23:Y23"/>
    <mergeCell ref="Z23:AB23"/>
    <mergeCell ref="A29:C29"/>
    <mergeCell ref="U29:Y29"/>
    <mergeCell ref="Z29:AB29"/>
    <mergeCell ref="Z24:AB24"/>
    <mergeCell ref="A31:C31"/>
    <mergeCell ref="D31:T31"/>
    <mergeCell ref="U31:Y31"/>
    <mergeCell ref="Z31:AB31"/>
    <mergeCell ref="Z34:AB34"/>
    <mergeCell ref="A33:C33"/>
    <mergeCell ref="D33:T33"/>
    <mergeCell ref="U33:Y33"/>
    <mergeCell ref="U11:Y11"/>
    <mergeCell ref="AK7:AR7"/>
    <mergeCell ref="AS7:AX7"/>
    <mergeCell ref="BC7:BD7"/>
    <mergeCell ref="BE7:BH7"/>
    <mergeCell ref="A9:C9"/>
    <mergeCell ref="D9:T9"/>
    <mergeCell ref="U9:Y9"/>
    <mergeCell ref="Z9:AB9"/>
    <mergeCell ref="A17:C17"/>
    <mergeCell ref="U17:Y17"/>
    <mergeCell ref="Z17:AB17"/>
    <mergeCell ref="AC9:BJ9"/>
    <mergeCell ref="A7:K7"/>
    <mergeCell ref="BI7:BJ7"/>
    <mergeCell ref="L7:AJ7"/>
    <mergeCell ref="Z15:AB15"/>
    <mergeCell ref="A16:C16"/>
    <mergeCell ref="U16:Y16"/>
    <mergeCell ref="Z16:AB16"/>
    <mergeCell ref="D15:T15"/>
    <mergeCell ref="D16:T16"/>
    <mergeCell ref="U14:Y14"/>
    <mergeCell ref="Z14:AB14"/>
    <mergeCell ref="A10:C10"/>
    <mergeCell ref="Z39:AB39"/>
    <mergeCell ref="A43:C43"/>
    <mergeCell ref="U43:Y43"/>
    <mergeCell ref="Z43:AB43"/>
    <mergeCell ref="D45:T45"/>
    <mergeCell ref="D46:T46"/>
    <mergeCell ref="A48:C48"/>
    <mergeCell ref="D48:T48"/>
    <mergeCell ref="U48:Y48"/>
    <mergeCell ref="Z48:AB48"/>
    <mergeCell ref="U41:Y41"/>
    <mergeCell ref="Z41:AB41"/>
    <mergeCell ref="A44:C44"/>
    <mergeCell ref="D44:T44"/>
    <mergeCell ref="U44:Y44"/>
    <mergeCell ref="Z27:AB27"/>
    <mergeCell ref="A40:C40"/>
    <mergeCell ref="D40:T40"/>
    <mergeCell ref="A35:C35"/>
    <mergeCell ref="U35:Y35"/>
    <mergeCell ref="Z35:AB35"/>
    <mergeCell ref="A34:C34"/>
    <mergeCell ref="D34:T34"/>
    <mergeCell ref="U34:Y34"/>
    <mergeCell ref="Z37:AB37"/>
    <mergeCell ref="A39:C39"/>
    <mergeCell ref="U39:Y39"/>
    <mergeCell ref="U40:Y40"/>
    <mergeCell ref="Z40:AB40"/>
    <mergeCell ref="A38:C38"/>
    <mergeCell ref="U38:Y38"/>
    <mergeCell ref="Z38:AB38"/>
    <mergeCell ref="A30:C30"/>
    <mergeCell ref="U30:Y30"/>
    <mergeCell ref="D28:T28"/>
    <mergeCell ref="U28:Y28"/>
    <mergeCell ref="A32:C32"/>
    <mergeCell ref="U32:Y32"/>
    <mergeCell ref="Z32:AB32"/>
    <mergeCell ref="A18:C18"/>
    <mergeCell ref="D18:T18"/>
    <mergeCell ref="U18:Y18"/>
    <mergeCell ref="Z18:AB18"/>
    <mergeCell ref="A24:C24"/>
    <mergeCell ref="D24:T24"/>
    <mergeCell ref="U24:Y24"/>
    <mergeCell ref="A26:C26"/>
    <mergeCell ref="U26:Y26"/>
    <mergeCell ref="Z26:AB26"/>
    <mergeCell ref="D17:T17"/>
    <mergeCell ref="D23:T23"/>
    <mergeCell ref="D29:T29"/>
    <mergeCell ref="D30:T30"/>
    <mergeCell ref="D35:T35"/>
    <mergeCell ref="D36:T36"/>
    <mergeCell ref="D38:T38"/>
    <mergeCell ref="D39:T39"/>
    <mergeCell ref="D43:T43"/>
    <mergeCell ref="D27:T27"/>
    <mergeCell ref="D32:T32"/>
    <mergeCell ref="A53:C53"/>
    <mergeCell ref="D53:T53"/>
    <mergeCell ref="U53:Y53"/>
    <mergeCell ref="Z53:AB53"/>
    <mergeCell ref="A54:C54"/>
    <mergeCell ref="D54:T54"/>
    <mergeCell ref="U54:Y54"/>
    <mergeCell ref="Z54:AB54"/>
    <mergeCell ref="A55:C55"/>
    <mergeCell ref="U55:Y55"/>
    <mergeCell ref="Z55:AB55"/>
    <mergeCell ref="D55:T55"/>
    <mergeCell ref="AC22:BJ22"/>
    <mergeCell ref="A25:C25"/>
    <mergeCell ref="U25:Y25"/>
    <mergeCell ref="Z25:AB25"/>
    <mergeCell ref="D25:T25"/>
    <mergeCell ref="D47:T47"/>
    <mergeCell ref="D49:T49"/>
    <mergeCell ref="D50:T50"/>
    <mergeCell ref="Z33:AB33"/>
    <mergeCell ref="A37:C37"/>
    <mergeCell ref="D37:T37"/>
    <mergeCell ref="U37:Y37"/>
    <mergeCell ref="A28:C28"/>
    <mergeCell ref="Z44:AB44"/>
    <mergeCell ref="A50:C50"/>
    <mergeCell ref="U50:Y50"/>
    <mergeCell ref="Z50:AB50"/>
    <mergeCell ref="A47:C47"/>
    <mergeCell ref="U47:Y47"/>
    <mergeCell ref="Z47:AB47"/>
    <mergeCell ref="U46:Y46"/>
    <mergeCell ref="Z46:AB46"/>
    <mergeCell ref="A46:C46"/>
    <mergeCell ref="U27:Y27"/>
    <mergeCell ref="A52:C52"/>
    <mergeCell ref="D52:T52"/>
    <mergeCell ref="U52:Y52"/>
    <mergeCell ref="Z52:AB52"/>
    <mergeCell ref="A42:C42"/>
    <mergeCell ref="D42:T42"/>
    <mergeCell ref="U42:Y42"/>
    <mergeCell ref="Z42:AB42"/>
    <mergeCell ref="A41:C41"/>
    <mergeCell ref="D41:T41"/>
    <mergeCell ref="A49:C49"/>
    <mergeCell ref="U51:Y51"/>
    <mergeCell ref="Z51:AB51"/>
    <mergeCell ref="D51:T51"/>
    <mergeCell ref="A51:C51"/>
    <mergeCell ref="U49:Y49"/>
    <mergeCell ref="Z49:AB49"/>
    <mergeCell ref="A45:C45"/>
    <mergeCell ref="U45:Y45"/>
    <mergeCell ref="Z45:AB45"/>
  </mergeCells>
  <phoneticPr fontId="8"/>
  <dataValidations count="3">
    <dataValidation type="list" allowBlank="1" showInputMessage="1" showErrorMessage="1" sqref="AK6 AX6" xr:uid="{B04E6C2A-2D48-469B-B28C-DD14CE7FC5E9}">
      <formula1>"あり,なし"</formula1>
    </dataValidation>
    <dataValidation type="list" allowBlank="1" showInputMessage="1" showErrorMessage="1" sqref="BI7 BC7" xr:uid="{377319C0-24DC-45C1-8622-FB8DBA333D0E}">
      <formula1>"〇"</formula1>
    </dataValidation>
    <dataValidation type="list" allowBlank="1" showInputMessage="1" sqref="AS7:AX7" xr:uid="{CFD11521-9DEF-4271-AA72-342B195B7C00}">
      <formula1>"utf-8,Shift jis"</formula1>
    </dataValidation>
  </dataValidations>
  <pageMargins left="0.63" right="0.35433070866141736" top="0.62992125984251968" bottom="0.39370078740157483" header="0.82677165354330717" footer="0.19685039370078741"/>
  <pageSetup paperSize="9" scale="72" fitToHeight="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E04F-AED5-4B78-A101-038C0B59D038}">
  <sheetPr codeName="Sheet4"/>
  <dimension ref="A1:AR64"/>
  <sheetViews>
    <sheetView view="pageBreakPreview" zoomScaleNormal="100" zoomScaleSheetLayoutView="100" workbookViewId="0"/>
  </sheetViews>
  <sheetFormatPr defaultColWidth="9" defaultRowHeight="13.2"/>
  <cols>
    <col min="1" max="1" width="9" style="41"/>
    <col min="2" max="2" width="12.88671875" style="41" bestFit="1" customWidth="1"/>
    <col min="3" max="3" width="11.44140625" style="41" bestFit="1" customWidth="1"/>
    <col min="4" max="4" width="15.21875" style="41" bestFit="1" customWidth="1"/>
    <col min="5" max="5" width="12.77734375" style="41" bestFit="1" customWidth="1"/>
    <col min="6" max="6" width="10.21875" style="41" bestFit="1" customWidth="1"/>
    <col min="7" max="9" width="8.109375" style="41" bestFit="1" customWidth="1"/>
    <col min="10" max="10" width="6" style="41" bestFit="1" customWidth="1"/>
    <col min="11" max="11" width="8.109375" style="41" bestFit="1" customWidth="1"/>
    <col min="12" max="12" width="11" style="41" bestFit="1" customWidth="1"/>
    <col min="13" max="13" width="10.44140625" style="41" bestFit="1" customWidth="1"/>
    <col min="14" max="14" width="11.88671875" style="41" bestFit="1" customWidth="1"/>
    <col min="15" max="15" width="15" style="41" bestFit="1" customWidth="1"/>
    <col min="16" max="16" width="12.6640625" style="41" customWidth="1"/>
    <col min="17" max="17" width="15" style="41" bestFit="1" customWidth="1"/>
    <col min="18" max="18" width="10.21875" style="41" bestFit="1" customWidth="1"/>
    <col min="19" max="20" width="12.6640625" style="41" bestFit="1" customWidth="1"/>
    <col min="21" max="21" width="17.33203125" style="41" bestFit="1" customWidth="1"/>
    <col min="22" max="22" width="11" style="41" bestFit="1" customWidth="1"/>
    <col min="23" max="23" width="9.44140625" style="41" bestFit="1" customWidth="1"/>
    <col min="24" max="24" width="10.21875" style="41" bestFit="1" customWidth="1"/>
    <col min="25" max="25" width="10.33203125" style="41" bestFit="1" customWidth="1"/>
    <col min="26" max="26" width="16.33203125" style="41" bestFit="1" customWidth="1"/>
    <col min="27" max="27" width="17.33203125" style="41" bestFit="1" customWidth="1"/>
    <col min="28" max="28" width="10.21875" style="41" bestFit="1" customWidth="1"/>
    <col min="29" max="29" width="19.6640625" style="41" bestFit="1" customWidth="1"/>
    <col min="30" max="30" width="21" style="41" bestFit="1" customWidth="1"/>
    <col min="31" max="31" width="6" style="58" bestFit="1" customWidth="1"/>
    <col min="32" max="33" width="6.88671875" style="58" bestFit="1" customWidth="1"/>
    <col min="34" max="34" width="8.109375" style="58" bestFit="1" customWidth="1"/>
    <col min="35" max="35" width="10.21875" style="58" bestFit="1" customWidth="1"/>
    <col min="36" max="36" width="10.21875" style="41" bestFit="1" customWidth="1"/>
    <col min="37" max="37" width="6" style="41" bestFit="1" customWidth="1"/>
    <col min="38" max="38" width="10.21875" style="41" bestFit="1" customWidth="1"/>
    <col min="39" max="39" width="26.77734375" style="41" bestFit="1" customWidth="1"/>
    <col min="40" max="40" width="8.21875" style="41" bestFit="1" customWidth="1"/>
    <col min="41" max="41" width="10.21875" style="41" bestFit="1" customWidth="1"/>
    <col min="42" max="42" width="17.21875" style="41" bestFit="1" customWidth="1"/>
    <col min="43" max="43" width="15" style="41" bestFit="1" customWidth="1"/>
    <col min="44" max="16384" width="9" style="41"/>
  </cols>
  <sheetData>
    <row r="1" spans="1:44">
      <c r="A1" s="64" t="s">
        <v>224</v>
      </c>
    </row>
    <row r="2" spans="1:44">
      <c r="A2" s="64" t="s">
        <v>225</v>
      </c>
    </row>
    <row r="3" spans="1:44" ht="26.4">
      <c r="B3" s="65" t="s">
        <v>226</v>
      </c>
      <c r="C3" s="65" t="s">
        <v>227</v>
      </c>
      <c r="D3" s="65" t="s">
        <v>228</v>
      </c>
      <c r="E3" s="65" t="s">
        <v>229</v>
      </c>
      <c r="F3" s="47" t="s">
        <v>104</v>
      </c>
      <c r="G3" s="65" t="s">
        <v>230</v>
      </c>
      <c r="H3" s="47" t="s">
        <v>105</v>
      </c>
      <c r="I3" s="65" t="s">
        <v>231</v>
      </c>
      <c r="J3" s="47" t="s">
        <v>107</v>
      </c>
      <c r="K3" s="65" t="s">
        <v>232</v>
      </c>
      <c r="L3" s="47" t="s">
        <v>106</v>
      </c>
      <c r="M3" s="65" t="s">
        <v>233</v>
      </c>
      <c r="N3" s="47" t="s">
        <v>148</v>
      </c>
      <c r="O3" s="65" t="s">
        <v>234</v>
      </c>
      <c r="P3" s="47" t="s">
        <v>151</v>
      </c>
      <c r="Q3" s="47" t="s">
        <v>152</v>
      </c>
      <c r="R3" s="47" t="s">
        <v>108</v>
      </c>
      <c r="S3" s="47" t="s">
        <v>109</v>
      </c>
      <c r="T3" s="47" t="s">
        <v>110</v>
      </c>
      <c r="U3" s="65" t="s">
        <v>235</v>
      </c>
      <c r="V3" s="47" t="s">
        <v>111</v>
      </c>
      <c r="W3" s="47" t="s">
        <v>112</v>
      </c>
      <c r="X3" s="47" t="s">
        <v>113</v>
      </c>
      <c r="Y3" s="47" t="s">
        <v>114</v>
      </c>
      <c r="Z3" s="65" t="s">
        <v>237</v>
      </c>
      <c r="AA3" s="65" t="s">
        <v>236</v>
      </c>
      <c r="AB3" s="47" t="s">
        <v>115</v>
      </c>
      <c r="AC3" s="65" t="s">
        <v>238</v>
      </c>
      <c r="AD3" s="47" t="s">
        <v>116</v>
      </c>
      <c r="AE3" s="55" t="s">
        <v>117</v>
      </c>
      <c r="AF3" s="55" t="s">
        <v>118</v>
      </c>
      <c r="AG3" s="55" t="s">
        <v>119</v>
      </c>
      <c r="AH3" s="55" t="s">
        <v>120</v>
      </c>
      <c r="AI3" s="55" t="s">
        <v>121</v>
      </c>
      <c r="AJ3" s="47" t="s">
        <v>122</v>
      </c>
      <c r="AK3" s="47" t="s">
        <v>123</v>
      </c>
      <c r="AL3" s="47" t="s">
        <v>124</v>
      </c>
      <c r="AM3" s="47" t="s">
        <v>251</v>
      </c>
      <c r="AN3" s="47" t="s">
        <v>252</v>
      </c>
      <c r="AO3" s="47" t="s">
        <v>271</v>
      </c>
      <c r="AP3" s="47" t="s">
        <v>212</v>
      </c>
      <c r="AQ3" s="47" t="s">
        <v>213</v>
      </c>
      <c r="AR3" s="40"/>
    </row>
    <row r="4" spans="1:44">
      <c r="B4" s="42"/>
      <c r="C4" s="59" t="s">
        <v>189</v>
      </c>
      <c r="D4" s="42"/>
      <c r="E4" s="42"/>
      <c r="F4" s="62" t="s">
        <v>205</v>
      </c>
      <c r="G4" s="42">
        <v>90</v>
      </c>
      <c r="H4" s="42" t="s">
        <v>126</v>
      </c>
      <c r="I4" s="42">
        <v>71</v>
      </c>
      <c r="J4" s="42" t="s">
        <v>128</v>
      </c>
      <c r="K4" s="42">
        <v>4194</v>
      </c>
      <c r="L4" s="42" t="s">
        <v>127</v>
      </c>
      <c r="M4" s="42">
        <v>108521001</v>
      </c>
      <c r="N4" s="42" t="s">
        <v>129</v>
      </c>
      <c r="O4" s="42"/>
      <c r="P4" s="42">
        <v>20241205</v>
      </c>
      <c r="Q4" s="44">
        <v>1000</v>
      </c>
      <c r="R4" s="42"/>
      <c r="S4" s="44"/>
      <c r="T4" s="44">
        <v>1000</v>
      </c>
      <c r="U4" s="42">
        <v>11050100</v>
      </c>
      <c r="V4" s="42" t="s">
        <v>131</v>
      </c>
      <c r="W4" s="42">
        <v>20241010</v>
      </c>
      <c r="X4" s="42">
        <v>20241005</v>
      </c>
      <c r="Y4" s="42"/>
      <c r="Z4" s="42">
        <v>12345678</v>
      </c>
      <c r="AA4" s="42">
        <v>123456</v>
      </c>
      <c r="AB4" s="52" t="s">
        <v>164</v>
      </c>
      <c r="AC4" s="52" t="s">
        <v>168</v>
      </c>
      <c r="AD4" s="52" t="s">
        <v>166</v>
      </c>
      <c r="AE4" s="56">
        <v>20</v>
      </c>
      <c r="AF4" s="56">
        <v>50</v>
      </c>
      <c r="AG4" s="57">
        <v>1000</v>
      </c>
      <c r="AH4" s="57">
        <v>100</v>
      </c>
      <c r="AI4" s="57">
        <v>1100</v>
      </c>
      <c r="AJ4" s="44"/>
      <c r="AK4" s="42"/>
      <c r="AL4" s="42"/>
      <c r="AM4" s="42"/>
      <c r="AN4" s="42"/>
      <c r="AO4" s="42"/>
      <c r="AP4" s="63" t="s">
        <v>214</v>
      </c>
      <c r="AQ4" s="66" t="s">
        <v>87</v>
      </c>
    </row>
    <row r="5" spans="1:44">
      <c r="B5" s="67" t="s">
        <v>247</v>
      </c>
    </row>
    <row r="6" spans="1:44">
      <c r="D6" s="69"/>
    </row>
    <row r="7" spans="1:44">
      <c r="D7" s="69"/>
    </row>
    <row r="8" spans="1:44">
      <c r="A8" s="64" t="s">
        <v>239</v>
      </c>
    </row>
    <row r="9" spans="1:44" ht="26.4">
      <c r="B9" s="65" t="s">
        <v>226</v>
      </c>
      <c r="C9" s="65" t="s">
        <v>227</v>
      </c>
      <c r="D9" s="65" t="s">
        <v>228</v>
      </c>
      <c r="E9" s="65" t="s">
        <v>229</v>
      </c>
      <c r="F9" s="47" t="s">
        <v>104</v>
      </c>
      <c r="G9" s="65" t="s">
        <v>230</v>
      </c>
      <c r="H9" s="47" t="s">
        <v>105</v>
      </c>
      <c r="I9" s="65" t="s">
        <v>231</v>
      </c>
      <c r="J9" s="47" t="s">
        <v>107</v>
      </c>
      <c r="K9" s="65" t="s">
        <v>232</v>
      </c>
      <c r="L9" s="47" t="s">
        <v>106</v>
      </c>
      <c r="M9" s="65" t="s">
        <v>233</v>
      </c>
      <c r="N9" s="47" t="s">
        <v>148</v>
      </c>
      <c r="O9" s="65" t="s">
        <v>234</v>
      </c>
      <c r="P9" s="47" t="s">
        <v>151</v>
      </c>
      <c r="Q9" s="47" t="s">
        <v>152</v>
      </c>
      <c r="R9" s="47" t="s">
        <v>108</v>
      </c>
      <c r="S9" s="47" t="s">
        <v>109</v>
      </c>
      <c r="T9" s="47" t="s">
        <v>110</v>
      </c>
      <c r="U9" s="65" t="s">
        <v>235</v>
      </c>
      <c r="V9" s="47" t="s">
        <v>111</v>
      </c>
      <c r="W9" s="47" t="s">
        <v>112</v>
      </c>
      <c r="X9" s="47" t="s">
        <v>113</v>
      </c>
      <c r="Y9" s="47" t="s">
        <v>114</v>
      </c>
      <c r="Z9" s="65" t="s">
        <v>237</v>
      </c>
      <c r="AA9" s="65" t="s">
        <v>236</v>
      </c>
      <c r="AB9" s="47" t="s">
        <v>115</v>
      </c>
      <c r="AC9" s="65" t="s">
        <v>238</v>
      </c>
      <c r="AD9" s="47" t="s">
        <v>116</v>
      </c>
      <c r="AE9" s="55" t="s">
        <v>117</v>
      </c>
      <c r="AF9" s="55" t="s">
        <v>118</v>
      </c>
      <c r="AG9" s="55" t="s">
        <v>119</v>
      </c>
      <c r="AH9" s="55" t="s">
        <v>120</v>
      </c>
      <c r="AI9" s="55" t="s">
        <v>121</v>
      </c>
      <c r="AJ9" s="47" t="s">
        <v>122</v>
      </c>
      <c r="AK9" s="47" t="s">
        <v>123</v>
      </c>
      <c r="AL9" s="47" t="s">
        <v>124</v>
      </c>
      <c r="AM9" s="47" t="s">
        <v>251</v>
      </c>
      <c r="AN9" s="47" t="s">
        <v>252</v>
      </c>
      <c r="AO9" s="47" t="s">
        <v>271</v>
      </c>
      <c r="AP9" s="47" t="s">
        <v>212</v>
      </c>
      <c r="AQ9" s="47" t="s">
        <v>213</v>
      </c>
      <c r="AR9" s="40"/>
    </row>
    <row r="10" spans="1:44">
      <c r="B10" s="42"/>
      <c r="C10" s="59" t="s">
        <v>189</v>
      </c>
      <c r="D10" s="42"/>
      <c r="E10" s="42"/>
      <c r="F10" s="62" t="s">
        <v>205</v>
      </c>
      <c r="G10" s="42">
        <v>90</v>
      </c>
      <c r="H10" s="42" t="s">
        <v>126</v>
      </c>
      <c r="I10" s="42">
        <v>71</v>
      </c>
      <c r="J10" s="42" t="s">
        <v>128</v>
      </c>
      <c r="K10" s="42">
        <v>4194</v>
      </c>
      <c r="L10" s="42" t="s">
        <v>127</v>
      </c>
      <c r="M10" s="42">
        <v>108521001</v>
      </c>
      <c r="N10" s="42" t="s">
        <v>129</v>
      </c>
      <c r="O10" s="42"/>
      <c r="P10" s="42">
        <v>20241205</v>
      </c>
      <c r="Q10" s="44">
        <v>1000</v>
      </c>
      <c r="R10" s="42">
        <v>20241201</v>
      </c>
      <c r="S10" s="44">
        <v>1000</v>
      </c>
      <c r="T10" s="44">
        <v>0</v>
      </c>
      <c r="U10" s="42">
        <v>11050100</v>
      </c>
      <c r="V10" s="42" t="s">
        <v>131</v>
      </c>
      <c r="W10" s="42">
        <v>20241010</v>
      </c>
      <c r="X10" s="42">
        <v>20241005</v>
      </c>
      <c r="Y10" s="42"/>
      <c r="Z10" s="42"/>
      <c r="AA10" s="42">
        <v>123456</v>
      </c>
      <c r="AB10" s="52" t="s">
        <v>164</v>
      </c>
      <c r="AC10" s="52" t="s">
        <v>168</v>
      </c>
      <c r="AD10" s="52" t="s">
        <v>166</v>
      </c>
      <c r="AE10" s="56">
        <v>20</v>
      </c>
      <c r="AF10" s="56">
        <v>50</v>
      </c>
      <c r="AG10" s="57">
        <v>1000</v>
      </c>
      <c r="AH10" s="57">
        <v>100</v>
      </c>
      <c r="AI10" s="57">
        <v>1100</v>
      </c>
      <c r="AJ10" s="44"/>
      <c r="AK10" s="42"/>
      <c r="AL10" s="42"/>
      <c r="AM10" s="42"/>
      <c r="AN10" s="42">
        <v>11</v>
      </c>
      <c r="AO10" s="73" t="s">
        <v>255</v>
      </c>
      <c r="AP10" s="63" t="s">
        <v>214</v>
      </c>
      <c r="AQ10" s="66" t="s">
        <v>87</v>
      </c>
    </row>
    <row r="11" spans="1:44">
      <c r="B11" s="67" t="s">
        <v>264</v>
      </c>
    </row>
    <row r="12" spans="1:44">
      <c r="B12" s="67" t="s">
        <v>240</v>
      </c>
    </row>
    <row r="15" spans="1:44">
      <c r="A15" s="64" t="s">
        <v>241</v>
      </c>
      <c r="E15" s="76"/>
    </row>
    <row r="16" spans="1:44" ht="26.4">
      <c r="B16" s="65" t="s">
        <v>226</v>
      </c>
      <c r="C16" s="65" t="s">
        <v>227</v>
      </c>
      <c r="D16" s="65" t="s">
        <v>228</v>
      </c>
      <c r="E16" s="65" t="s">
        <v>229</v>
      </c>
      <c r="F16" s="47" t="s">
        <v>104</v>
      </c>
      <c r="G16" s="65" t="s">
        <v>230</v>
      </c>
      <c r="H16" s="47" t="s">
        <v>105</v>
      </c>
      <c r="I16" s="65" t="s">
        <v>231</v>
      </c>
      <c r="J16" s="47" t="s">
        <v>107</v>
      </c>
      <c r="K16" s="65" t="s">
        <v>232</v>
      </c>
      <c r="L16" s="47" t="s">
        <v>106</v>
      </c>
      <c r="M16" s="65" t="s">
        <v>233</v>
      </c>
      <c r="N16" s="47" t="s">
        <v>148</v>
      </c>
      <c r="O16" s="65" t="s">
        <v>234</v>
      </c>
      <c r="P16" s="47" t="s">
        <v>151</v>
      </c>
      <c r="Q16" s="47" t="s">
        <v>152</v>
      </c>
      <c r="R16" s="47" t="s">
        <v>108</v>
      </c>
      <c r="S16" s="47" t="s">
        <v>109</v>
      </c>
      <c r="T16" s="47" t="s">
        <v>110</v>
      </c>
      <c r="U16" s="65" t="s">
        <v>235</v>
      </c>
      <c r="V16" s="47" t="s">
        <v>111</v>
      </c>
      <c r="W16" s="47" t="s">
        <v>112</v>
      </c>
      <c r="X16" s="47" t="s">
        <v>113</v>
      </c>
      <c r="Y16" s="47" t="s">
        <v>114</v>
      </c>
      <c r="Z16" s="65" t="s">
        <v>237</v>
      </c>
      <c r="AA16" s="65" t="s">
        <v>236</v>
      </c>
      <c r="AB16" s="47" t="s">
        <v>115</v>
      </c>
      <c r="AC16" s="65" t="s">
        <v>238</v>
      </c>
      <c r="AD16" s="47" t="s">
        <v>116</v>
      </c>
      <c r="AE16" s="55" t="s">
        <v>117</v>
      </c>
      <c r="AF16" s="55" t="s">
        <v>118</v>
      </c>
      <c r="AG16" s="55" t="s">
        <v>119</v>
      </c>
      <c r="AH16" s="55" t="s">
        <v>120</v>
      </c>
      <c r="AI16" s="55" t="s">
        <v>121</v>
      </c>
      <c r="AJ16" s="47" t="s">
        <v>122</v>
      </c>
      <c r="AK16" s="47" t="s">
        <v>123</v>
      </c>
      <c r="AL16" s="47" t="s">
        <v>124</v>
      </c>
      <c r="AM16" s="47" t="s">
        <v>251</v>
      </c>
      <c r="AN16" s="47" t="s">
        <v>252</v>
      </c>
      <c r="AO16" s="47" t="s">
        <v>271</v>
      </c>
      <c r="AP16" s="47" t="s">
        <v>212</v>
      </c>
      <c r="AQ16" s="47" t="s">
        <v>213</v>
      </c>
      <c r="AR16" s="40"/>
    </row>
    <row r="17" spans="1:44">
      <c r="B17" s="42"/>
      <c r="C17" s="59" t="s">
        <v>189</v>
      </c>
      <c r="D17" s="42"/>
      <c r="E17" s="42"/>
      <c r="F17" s="70" t="s">
        <v>242</v>
      </c>
      <c r="G17" s="42">
        <v>90</v>
      </c>
      <c r="H17" s="42" t="s">
        <v>126</v>
      </c>
      <c r="I17" s="42">
        <v>71</v>
      </c>
      <c r="J17" s="42" t="s">
        <v>128</v>
      </c>
      <c r="K17" s="42">
        <v>4194</v>
      </c>
      <c r="L17" s="42" t="s">
        <v>127</v>
      </c>
      <c r="M17" s="42">
        <v>108521001</v>
      </c>
      <c r="N17" s="42" t="s">
        <v>129</v>
      </c>
      <c r="O17" s="42"/>
      <c r="P17" s="42">
        <v>20241205</v>
      </c>
      <c r="Q17" s="44">
        <v>1000</v>
      </c>
      <c r="R17" s="42">
        <v>20241201</v>
      </c>
      <c r="S17" s="44">
        <v>1500</v>
      </c>
      <c r="T17" s="71">
        <v>-500</v>
      </c>
      <c r="U17" s="42">
        <v>11050100</v>
      </c>
      <c r="V17" s="42" t="s">
        <v>131</v>
      </c>
      <c r="W17" s="42">
        <v>20241010</v>
      </c>
      <c r="X17" s="42">
        <v>20241005</v>
      </c>
      <c r="Y17" s="42"/>
      <c r="Z17" s="42"/>
      <c r="AA17" s="42">
        <v>123456</v>
      </c>
      <c r="AB17" s="52" t="s">
        <v>164</v>
      </c>
      <c r="AC17" s="52" t="s">
        <v>168</v>
      </c>
      <c r="AD17" s="52" t="s">
        <v>166</v>
      </c>
      <c r="AE17" s="56">
        <v>20</v>
      </c>
      <c r="AF17" s="56">
        <v>50</v>
      </c>
      <c r="AG17" s="57">
        <v>1000</v>
      </c>
      <c r="AH17" s="57">
        <v>100</v>
      </c>
      <c r="AI17" s="57">
        <v>1100</v>
      </c>
      <c r="AJ17" s="44"/>
      <c r="AK17" s="42"/>
      <c r="AL17" s="42"/>
      <c r="AM17" s="42"/>
      <c r="AN17" s="42">
        <v>12</v>
      </c>
      <c r="AO17" s="73" t="s">
        <v>255</v>
      </c>
      <c r="AP17" s="63" t="s">
        <v>214</v>
      </c>
      <c r="AQ17" s="66" t="s">
        <v>87</v>
      </c>
    </row>
    <row r="18" spans="1:44">
      <c r="B18" s="67" t="s">
        <v>264</v>
      </c>
    </row>
    <row r="19" spans="1:44">
      <c r="B19" s="67" t="s">
        <v>265</v>
      </c>
    </row>
    <row r="22" spans="1:44">
      <c r="A22" t="s">
        <v>261</v>
      </c>
    </row>
    <row r="23" spans="1:44" ht="26.4">
      <c r="B23" s="65" t="s">
        <v>226</v>
      </c>
      <c r="C23" s="65" t="s">
        <v>227</v>
      </c>
      <c r="D23" s="65" t="s">
        <v>228</v>
      </c>
      <c r="E23" s="65" t="s">
        <v>229</v>
      </c>
      <c r="F23" s="47" t="s">
        <v>104</v>
      </c>
      <c r="G23" s="65" t="s">
        <v>230</v>
      </c>
      <c r="H23" s="47" t="s">
        <v>105</v>
      </c>
      <c r="I23" s="65" t="s">
        <v>231</v>
      </c>
      <c r="J23" s="47" t="s">
        <v>107</v>
      </c>
      <c r="K23" s="65" t="s">
        <v>232</v>
      </c>
      <c r="L23" s="47" t="s">
        <v>106</v>
      </c>
      <c r="M23" s="65" t="s">
        <v>233</v>
      </c>
      <c r="N23" s="47" t="s">
        <v>148</v>
      </c>
      <c r="O23" s="65" t="s">
        <v>234</v>
      </c>
      <c r="P23" s="47" t="s">
        <v>151</v>
      </c>
      <c r="Q23" s="47" t="s">
        <v>152</v>
      </c>
      <c r="R23" s="47" t="s">
        <v>108</v>
      </c>
      <c r="S23" s="47" t="s">
        <v>109</v>
      </c>
      <c r="T23" s="47" t="s">
        <v>110</v>
      </c>
      <c r="U23" s="65" t="s">
        <v>235</v>
      </c>
      <c r="V23" s="47" t="s">
        <v>111</v>
      </c>
      <c r="W23" s="47" t="s">
        <v>112</v>
      </c>
      <c r="X23" s="47" t="s">
        <v>113</v>
      </c>
      <c r="Y23" s="47" t="s">
        <v>114</v>
      </c>
      <c r="Z23" s="65" t="s">
        <v>237</v>
      </c>
      <c r="AA23" s="65" t="s">
        <v>236</v>
      </c>
      <c r="AB23" s="47" t="s">
        <v>115</v>
      </c>
      <c r="AC23" s="65" t="s">
        <v>238</v>
      </c>
      <c r="AD23" s="47" t="s">
        <v>116</v>
      </c>
      <c r="AE23" s="55" t="s">
        <v>117</v>
      </c>
      <c r="AF23" s="55" t="s">
        <v>118</v>
      </c>
      <c r="AG23" s="55" t="s">
        <v>119</v>
      </c>
      <c r="AH23" s="55" t="s">
        <v>120</v>
      </c>
      <c r="AI23" s="55" t="s">
        <v>121</v>
      </c>
      <c r="AJ23" s="47" t="s">
        <v>122</v>
      </c>
      <c r="AK23" s="47" t="s">
        <v>123</v>
      </c>
      <c r="AL23" s="47" t="s">
        <v>124</v>
      </c>
      <c r="AM23" s="47" t="s">
        <v>251</v>
      </c>
      <c r="AN23" s="47" t="s">
        <v>252</v>
      </c>
      <c r="AO23" s="47" t="s">
        <v>271</v>
      </c>
      <c r="AP23" s="47" t="s">
        <v>212</v>
      </c>
      <c r="AQ23" s="47" t="s">
        <v>213</v>
      </c>
      <c r="AR23" s="40"/>
    </row>
    <row r="24" spans="1:44">
      <c r="B24" s="42"/>
      <c r="C24" s="59" t="s">
        <v>189</v>
      </c>
      <c r="D24" s="42"/>
      <c r="E24" s="42"/>
      <c r="F24" s="62" t="s">
        <v>205</v>
      </c>
      <c r="G24" s="42">
        <v>90</v>
      </c>
      <c r="H24" s="42" t="s">
        <v>126</v>
      </c>
      <c r="I24" s="42">
        <v>71</v>
      </c>
      <c r="J24" s="42" t="s">
        <v>128</v>
      </c>
      <c r="K24" s="42">
        <v>4194</v>
      </c>
      <c r="L24" s="42" t="s">
        <v>127</v>
      </c>
      <c r="M24" s="42">
        <v>108521001</v>
      </c>
      <c r="N24" s="42" t="s">
        <v>129</v>
      </c>
      <c r="O24" s="42"/>
      <c r="P24" s="42">
        <v>20241205</v>
      </c>
      <c r="Q24" s="44">
        <v>1000</v>
      </c>
      <c r="R24" s="42">
        <v>20241201</v>
      </c>
      <c r="S24" s="44">
        <v>300</v>
      </c>
      <c r="T24" s="44">
        <v>700</v>
      </c>
      <c r="U24" s="42">
        <v>11050100</v>
      </c>
      <c r="V24" s="42" t="s">
        <v>131</v>
      </c>
      <c r="W24" s="42">
        <v>20241010</v>
      </c>
      <c r="X24" s="42">
        <v>20241005</v>
      </c>
      <c r="Y24" s="42"/>
      <c r="Z24" s="42"/>
      <c r="AA24" s="42">
        <v>123456</v>
      </c>
      <c r="AB24" s="52" t="s">
        <v>164</v>
      </c>
      <c r="AC24" s="52" t="s">
        <v>168</v>
      </c>
      <c r="AD24" s="52" t="s">
        <v>166</v>
      </c>
      <c r="AE24" s="56">
        <v>20</v>
      </c>
      <c r="AF24" s="56">
        <v>50</v>
      </c>
      <c r="AG24" s="57">
        <v>1000</v>
      </c>
      <c r="AH24" s="57">
        <v>100</v>
      </c>
      <c r="AI24" s="57">
        <v>1100</v>
      </c>
      <c r="AJ24" s="44"/>
      <c r="AK24" s="42"/>
      <c r="AL24" s="42"/>
      <c r="AM24" s="42"/>
      <c r="AN24" s="66" t="s">
        <v>244</v>
      </c>
      <c r="AO24" s="73" t="s">
        <v>255</v>
      </c>
      <c r="AP24" s="63" t="s">
        <v>214</v>
      </c>
      <c r="AQ24" s="66" t="s">
        <v>87</v>
      </c>
    </row>
    <row r="25" spans="1:44">
      <c r="B25" s="67" t="s">
        <v>266</v>
      </c>
    </row>
    <row r="26" spans="1:44">
      <c r="B26" s="67" t="s">
        <v>243</v>
      </c>
    </row>
    <row r="29" spans="1:44">
      <c r="A29" t="s">
        <v>262</v>
      </c>
    </row>
    <row r="30" spans="1:44" ht="26.4">
      <c r="B30" s="65" t="s">
        <v>226</v>
      </c>
      <c r="C30" s="65" t="s">
        <v>227</v>
      </c>
      <c r="D30" s="65" t="s">
        <v>228</v>
      </c>
      <c r="E30" s="65" t="s">
        <v>229</v>
      </c>
      <c r="F30" s="47" t="s">
        <v>104</v>
      </c>
      <c r="G30" s="65" t="s">
        <v>230</v>
      </c>
      <c r="H30" s="47" t="s">
        <v>105</v>
      </c>
      <c r="I30" s="65" t="s">
        <v>231</v>
      </c>
      <c r="J30" s="47" t="s">
        <v>107</v>
      </c>
      <c r="K30" s="65" t="s">
        <v>232</v>
      </c>
      <c r="L30" s="47" t="s">
        <v>106</v>
      </c>
      <c r="M30" s="65" t="s">
        <v>233</v>
      </c>
      <c r="N30" s="47" t="s">
        <v>148</v>
      </c>
      <c r="O30" s="65" t="s">
        <v>234</v>
      </c>
      <c r="P30" s="47" t="s">
        <v>151</v>
      </c>
      <c r="Q30" s="47" t="s">
        <v>152</v>
      </c>
      <c r="R30" s="47" t="s">
        <v>108</v>
      </c>
      <c r="S30" s="47" t="s">
        <v>109</v>
      </c>
      <c r="T30" s="47" t="s">
        <v>110</v>
      </c>
      <c r="U30" s="65" t="s">
        <v>235</v>
      </c>
      <c r="V30" s="47" t="s">
        <v>111</v>
      </c>
      <c r="W30" s="47" t="s">
        <v>112</v>
      </c>
      <c r="X30" s="47" t="s">
        <v>113</v>
      </c>
      <c r="Y30" s="47" t="s">
        <v>114</v>
      </c>
      <c r="Z30" s="65" t="s">
        <v>237</v>
      </c>
      <c r="AA30" s="65" t="s">
        <v>236</v>
      </c>
      <c r="AB30" s="47" t="s">
        <v>115</v>
      </c>
      <c r="AC30" s="65" t="s">
        <v>238</v>
      </c>
      <c r="AD30" s="47" t="s">
        <v>116</v>
      </c>
      <c r="AE30" s="55" t="s">
        <v>117</v>
      </c>
      <c r="AF30" s="55" t="s">
        <v>118</v>
      </c>
      <c r="AG30" s="55" t="s">
        <v>119</v>
      </c>
      <c r="AH30" s="55" t="s">
        <v>120</v>
      </c>
      <c r="AI30" s="55" t="s">
        <v>121</v>
      </c>
      <c r="AJ30" s="47" t="s">
        <v>122</v>
      </c>
      <c r="AK30" s="47" t="s">
        <v>123</v>
      </c>
      <c r="AL30" s="47" t="s">
        <v>124</v>
      </c>
      <c r="AM30" s="47" t="s">
        <v>251</v>
      </c>
      <c r="AN30" s="47" t="s">
        <v>252</v>
      </c>
      <c r="AO30" s="47" t="s">
        <v>271</v>
      </c>
      <c r="AP30" s="47" t="s">
        <v>212</v>
      </c>
      <c r="AQ30" s="47" t="s">
        <v>213</v>
      </c>
      <c r="AR30" s="40"/>
    </row>
    <row r="31" spans="1:44">
      <c r="B31" s="42"/>
      <c r="C31" s="59" t="s">
        <v>189</v>
      </c>
      <c r="D31" s="42"/>
      <c r="E31" s="42"/>
      <c r="F31" s="62" t="s">
        <v>205</v>
      </c>
      <c r="G31" s="42">
        <v>90</v>
      </c>
      <c r="H31" s="42" t="s">
        <v>126</v>
      </c>
      <c r="I31" s="42">
        <v>71</v>
      </c>
      <c r="J31" s="42" t="s">
        <v>128</v>
      </c>
      <c r="K31" s="42">
        <v>4194</v>
      </c>
      <c r="L31" s="42" t="s">
        <v>127</v>
      </c>
      <c r="M31" s="42">
        <v>108521001</v>
      </c>
      <c r="N31" s="42" t="s">
        <v>129</v>
      </c>
      <c r="O31" s="42"/>
      <c r="P31" s="42">
        <v>20241205</v>
      </c>
      <c r="Q31" s="44">
        <v>1000</v>
      </c>
      <c r="R31" s="42">
        <v>20241201</v>
      </c>
      <c r="S31" s="44">
        <v>300</v>
      </c>
      <c r="T31" s="44"/>
      <c r="U31" s="42">
        <v>11050100</v>
      </c>
      <c r="V31" s="42" t="s">
        <v>131</v>
      </c>
      <c r="W31" s="42">
        <v>20241010</v>
      </c>
      <c r="X31" s="42">
        <v>20241005</v>
      </c>
      <c r="Y31" s="42"/>
      <c r="Z31" s="42"/>
      <c r="AA31" s="42">
        <v>123456</v>
      </c>
      <c r="AB31" s="52" t="s">
        <v>164</v>
      </c>
      <c r="AC31" s="52" t="s">
        <v>168</v>
      </c>
      <c r="AD31" s="52" t="s">
        <v>166</v>
      </c>
      <c r="AE31" s="56">
        <v>20</v>
      </c>
      <c r="AF31" s="56">
        <v>50</v>
      </c>
      <c r="AG31" s="57">
        <v>1000</v>
      </c>
      <c r="AH31" s="57">
        <v>100</v>
      </c>
      <c r="AI31" s="57">
        <v>1100</v>
      </c>
      <c r="AJ31" s="44"/>
      <c r="AK31" s="42"/>
      <c r="AL31" s="42"/>
      <c r="AM31" s="42"/>
      <c r="AN31" s="66" t="s">
        <v>244</v>
      </c>
      <c r="AO31" s="73" t="s">
        <v>255</v>
      </c>
      <c r="AP31" s="63" t="s">
        <v>214</v>
      </c>
      <c r="AQ31" s="66" t="s">
        <v>87</v>
      </c>
    </row>
    <row r="32" spans="1:44">
      <c r="B32" s="42"/>
      <c r="C32" s="59" t="s">
        <v>189</v>
      </c>
      <c r="D32" s="42"/>
      <c r="E32" s="42"/>
      <c r="F32" s="62" t="s">
        <v>205</v>
      </c>
      <c r="G32" s="42">
        <v>90</v>
      </c>
      <c r="H32" s="42" t="s">
        <v>126</v>
      </c>
      <c r="I32" s="42">
        <v>71</v>
      </c>
      <c r="J32" s="42" t="s">
        <v>128</v>
      </c>
      <c r="K32" s="42">
        <v>4194</v>
      </c>
      <c r="L32" s="42" t="s">
        <v>127</v>
      </c>
      <c r="M32" s="42">
        <v>108521001</v>
      </c>
      <c r="N32" s="42" t="s">
        <v>129</v>
      </c>
      <c r="O32" s="42"/>
      <c r="P32" s="42">
        <v>20241205</v>
      </c>
      <c r="Q32" s="44"/>
      <c r="R32" s="42">
        <v>20241201</v>
      </c>
      <c r="S32" s="44">
        <v>300</v>
      </c>
      <c r="T32" s="44">
        <v>400</v>
      </c>
      <c r="U32" s="42">
        <v>11050100</v>
      </c>
      <c r="V32" s="42" t="s">
        <v>131</v>
      </c>
      <c r="W32" s="42">
        <v>20241010</v>
      </c>
      <c r="X32" s="42">
        <v>20241005</v>
      </c>
      <c r="Y32" s="42"/>
      <c r="Z32" s="42"/>
      <c r="AA32" s="42">
        <v>123456</v>
      </c>
      <c r="AB32" s="52" t="s">
        <v>164</v>
      </c>
      <c r="AC32" s="52" t="s">
        <v>168</v>
      </c>
      <c r="AD32" s="52" t="s">
        <v>166</v>
      </c>
      <c r="AE32" s="56">
        <v>20</v>
      </c>
      <c r="AF32" s="56">
        <v>50</v>
      </c>
      <c r="AG32" s="57">
        <v>1000</v>
      </c>
      <c r="AH32" s="57">
        <v>100</v>
      </c>
      <c r="AI32" s="57">
        <v>1100</v>
      </c>
      <c r="AJ32" s="44"/>
      <c r="AK32" s="42"/>
      <c r="AL32" s="42"/>
      <c r="AM32" s="42"/>
      <c r="AN32" s="66" t="s">
        <v>245</v>
      </c>
      <c r="AO32" s="73" t="s">
        <v>255</v>
      </c>
      <c r="AP32" s="63" t="s">
        <v>214</v>
      </c>
      <c r="AQ32" s="66" t="s">
        <v>87</v>
      </c>
    </row>
    <row r="33" spans="1:44">
      <c r="B33" s="68"/>
    </row>
    <row r="34" spans="1:44" ht="18.75" customHeight="1">
      <c r="B34" s="75" t="s">
        <v>258</v>
      </c>
    </row>
    <row r="35" spans="1:44" ht="26.4">
      <c r="B35" s="65" t="s">
        <v>226</v>
      </c>
      <c r="C35" s="65" t="s">
        <v>227</v>
      </c>
      <c r="D35" s="65" t="s">
        <v>228</v>
      </c>
      <c r="E35" s="65" t="s">
        <v>229</v>
      </c>
      <c r="F35" s="47" t="s">
        <v>104</v>
      </c>
      <c r="G35" s="65" t="s">
        <v>230</v>
      </c>
      <c r="H35" s="47" t="s">
        <v>105</v>
      </c>
      <c r="I35" s="65" t="s">
        <v>231</v>
      </c>
      <c r="J35" s="47" t="s">
        <v>107</v>
      </c>
      <c r="K35" s="65" t="s">
        <v>232</v>
      </c>
      <c r="L35" s="47" t="s">
        <v>106</v>
      </c>
      <c r="M35" s="65" t="s">
        <v>233</v>
      </c>
      <c r="N35" s="47" t="s">
        <v>148</v>
      </c>
      <c r="O35" s="65" t="s">
        <v>234</v>
      </c>
      <c r="P35" s="47" t="s">
        <v>151</v>
      </c>
      <c r="Q35" s="47" t="s">
        <v>152</v>
      </c>
      <c r="R35" s="47" t="s">
        <v>108</v>
      </c>
      <c r="S35" s="47" t="s">
        <v>109</v>
      </c>
      <c r="T35" s="47" t="s">
        <v>110</v>
      </c>
      <c r="U35" s="65" t="s">
        <v>235</v>
      </c>
      <c r="V35" s="47" t="s">
        <v>111</v>
      </c>
      <c r="W35" s="47" t="s">
        <v>112</v>
      </c>
      <c r="X35" s="47" t="s">
        <v>113</v>
      </c>
      <c r="Y35" s="47" t="s">
        <v>114</v>
      </c>
      <c r="Z35" s="65" t="s">
        <v>237</v>
      </c>
      <c r="AA35" s="65" t="s">
        <v>236</v>
      </c>
      <c r="AB35" s="47" t="s">
        <v>115</v>
      </c>
      <c r="AC35" s="65" t="s">
        <v>238</v>
      </c>
      <c r="AD35" s="47" t="s">
        <v>116</v>
      </c>
      <c r="AE35" s="55" t="s">
        <v>117</v>
      </c>
      <c r="AF35" s="55" t="s">
        <v>118</v>
      </c>
      <c r="AG35" s="55" t="s">
        <v>119</v>
      </c>
      <c r="AH35" s="55" t="s">
        <v>120</v>
      </c>
      <c r="AI35" s="55" t="s">
        <v>121</v>
      </c>
      <c r="AJ35" s="47" t="s">
        <v>122</v>
      </c>
      <c r="AK35" s="47" t="s">
        <v>123</v>
      </c>
      <c r="AL35" s="47" t="s">
        <v>124</v>
      </c>
      <c r="AM35" s="47" t="s">
        <v>251</v>
      </c>
      <c r="AN35" s="47" t="s">
        <v>252</v>
      </c>
      <c r="AO35" s="47" t="s">
        <v>271</v>
      </c>
      <c r="AP35" s="47" t="s">
        <v>212</v>
      </c>
      <c r="AQ35" s="47" t="s">
        <v>213</v>
      </c>
      <c r="AR35" s="40"/>
    </row>
    <row r="36" spans="1:44">
      <c r="B36" s="42"/>
      <c r="C36" s="59" t="s">
        <v>189</v>
      </c>
      <c r="D36" s="42"/>
      <c r="E36" s="42"/>
      <c r="F36" s="62" t="s">
        <v>205</v>
      </c>
      <c r="G36" s="42">
        <v>90</v>
      </c>
      <c r="H36" s="42" t="s">
        <v>126</v>
      </c>
      <c r="I36" s="42">
        <v>71</v>
      </c>
      <c r="J36" s="42" t="s">
        <v>128</v>
      </c>
      <c r="K36" s="42">
        <v>4194</v>
      </c>
      <c r="L36" s="42" t="s">
        <v>127</v>
      </c>
      <c r="M36" s="42">
        <v>108521001</v>
      </c>
      <c r="N36" s="42" t="s">
        <v>129</v>
      </c>
      <c r="O36" s="42"/>
      <c r="P36" s="42">
        <v>20241205</v>
      </c>
      <c r="Q36" s="44">
        <v>1000</v>
      </c>
      <c r="R36" s="42">
        <v>20241201</v>
      </c>
      <c r="S36" s="44">
        <v>300</v>
      </c>
      <c r="T36" s="44"/>
      <c r="U36" s="42">
        <v>11050100</v>
      </c>
      <c r="V36" s="42" t="s">
        <v>131</v>
      </c>
      <c r="W36" s="42">
        <v>20241010</v>
      </c>
      <c r="X36" s="42">
        <v>20241005</v>
      </c>
      <c r="Y36" s="42"/>
      <c r="Z36" s="42"/>
      <c r="AA36" s="42">
        <v>123456</v>
      </c>
      <c r="AB36" s="52" t="s">
        <v>164</v>
      </c>
      <c r="AC36" s="52" t="s">
        <v>168</v>
      </c>
      <c r="AD36" s="52" t="s">
        <v>166</v>
      </c>
      <c r="AE36" s="56">
        <v>20</v>
      </c>
      <c r="AF36" s="56">
        <v>50</v>
      </c>
      <c r="AG36" s="57">
        <v>1000</v>
      </c>
      <c r="AH36" s="57">
        <v>100</v>
      </c>
      <c r="AI36" s="57">
        <v>1100</v>
      </c>
      <c r="AJ36" s="44"/>
      <c r="AK36" s="42"/>
      <c r="AL36" s="42"/>
      <c r="AM36" s="42"/>
      <c r="AN36" s="66" t="s">
        <v>244</v>
      </c>
      <c r="AO36" s="73" t="s">
        <v>255</v>
      </c>
      <c r="AP36" s="63" t="s">
        <v>214</v>
      </c>
      <c r="AQ36" s="66" t="s">
        <v>87</v>
      </c>
    </row>
    <row r="37" spans="1:44">
      <c r="B37" s="42"/>
      <c r="C37" s="59" t="s">
        <v>189</v>
      </c>
      <c r="D37" s="42"/>
      <c r="E37" s="42"/>
      <c r="F37" s="62" t="s">
        <v>205</v>
      </c>
      <c r="G37" s="42">
        <v>90</v>
      </c>
      <c r="H37" s="42" t="s">
        <v>126</v>
      </c>
      <c r="I37" s="42">
        <v>71</v>
      </c>
      <c r="J37" s="42" t="s">
        <v>128</v>
      </c>
      <c r="K37" s="42">
        <v>4194</v>
      </c>
      <c r="L37" s="42" t="s">
        <v>127</v>
      </c>
      <c r="M37" s="42">
        <v>108521001</v>
      </c>
      <c r="N37" s="42" t="s">
        <v>129</v>
      </c>
      <c r="O37" s="42"/>
      <c r="P37" s="42">
        <v>20241205</v>
      </c>
      <c r="Q37" s="44"/>
      <c r="R37" s="42">
        <v>20241201</v>
      </c>
      <c r="S37" s="44">
        <v>300</v>
      </c>
      <c r="T37" s="44"/>
      <c r="U37" s="42">
        <v>11050100</v>
      </c>
      <c r="V37" s="42" t="s">
        <v>131</v>
      </c>
      <c r="W37" s="42">
        <v>20241010</v>
      </c>
      <c r="X37" s="42">
        <v>20241005</v>
      </c>
      <c r="Y37" s="42"/>
      <c r="Z37" s="42"/>
      <c r="AA37" s="42">
        <v>123456</v>
      </c>
      <c r="AB37" s="52" t="s">
        <v>164</v>
      </c>
      <c r="AC37" s="52" t="s">
        <v>168</v>
      </c>
      <c r="AD37" s="52" t="s">
        <v>166</v>
      </c>
      <c r="AE37" s="56">
        <v>20</v>
      </c>
      <c r="AF37" s="56">
        <v>50</v>
      </c>
      <c r="AG37" s="57">
        <v>1000</v>
      </c>
      <c r="AH37" s="57">
        <v>100</v>
      </c>
      <c r="AI37" s="57">
        <v>1100</v>
      </c>
      <c r="AJ37" s="44"/>
      <c r="AK37" s="42"/>
      <c r="AL37" s="42"/>
      <c r="AM37" s="42"/>
      <c r="AN37" s="66" t="s">
        <v>245</v>
      </c>
      <c r="AO37" s="73" t="s">
        <v>255</v>
      </c>
      <c r="AP37" s="63" t="s">
        <v>214</v>
      </c>
      <c r="AQ37" s="66" t="s">
        <v>87</v>
      </c>
    </row>
    <row r="38" spans="1:44">
      <c r="B38" s="42"/>
      <c r="C38" s="59" t="s">
        <v>189</v>
      </c>
      <c r="D38" s="42"/>
      <c r="E38" s="42"/>
      <c r="F38" s="62" t="s">
        <v>205</v>
      </c>
      <c r="G38" s="42">
        <v>90</v>
      </c>
      <c r="H38" s="42" t="s">
        <v>126</v>
      </c>
      <c r="I38" s="42">
        <v>71</v>
      </c>
      <c r="J38" s="42" t="s">
        <v>128</v>
      </c>
      <c r="K38" s="42">
        <v>4194</v>
      </c>
      <c r="L38" s="42" t="s">
        <v>127</v>
      </c>
      <c r="M38" s="42">
        <v>108521001</v>
      </c>
      <c r="N38" s="42" t="s">
        <v>129</v>
      </c>
      <c r="O38" s="42"/>
      <c r="P38" s="42">
        <v>20241205</v>
      </c>
      <c r="Q38" s="44"/>
      <c r="R38" s="42">
        <v>20241201</v>
      </c>
      <c r="S38" s="72">
        <v>-300</v>
      </c>
      <c r="T38" s="44">
        <v>700</v>
      </c>
      <c r="U38" s="42">
        <v>11050100</v>
      </c>
      <c r="V38" s="42" t="s">
        <v>131</v>
      </c>
      <c r="W38" s="42">
        <v>20241010</v>
      </c>
      <c r="X38" s="42">
        <v>20241005</v>
      </c>
      <c r="Y38" s="42"/>
      <c r="Z38" s="42"/>
      <c r="AA38" s="42">
        <v>123456</v>
      </c>
      <c r="AB38" s="52" t="s">
        <v>164</v>
      </c>
      <c r="AC38" s="52" t="s">
        <v>168</v>
      </c>
      <c r="AD38" s="52" t="s">
        <v>166</v>
      </c>
      <c r="AE38" s="56">
        <v>20</v>
      </c>
      <c r="AF38" s="56">
        <v>50</v>
      </c>
      <c r="AG38" s="57">
        <v>1000</v>
      </c>
      <c r="AH38" s="57">
        <v>100</v>
      </c>
      <c r="AI38" s="57">
        <v>1100</v>
      </c>
      <c r="AJ38" s="44"/>
      <c r="AK38" s="42"/>
      <c r="AL38" s="42"/>
      <c r="AM38" s="42"/>
      <c r="AN38" s="66"/>
      <c r="AO38" s="66"/>
      <c r="AP38" s="63" t="s">
        <v>214</v>
      </c>
      <c r="AQ38" s="66" t="s">
        <v>87</v>
      </c>
    </row>
    <row r="41" spans="1:44">
      <c r="A41" t="s">
        <v>263</v>
      </c>
    </row>
    <row r="42" spans="1:44" ht="26.4">
      <c r="B42" s="65" t="s">
        <v>226</v>
      </c>
      <c r="C42" s="65" t="s">
        <v>227</v>
      </c>
      <c r="D42" s="65" t="s">
        <v>228</v>
      </c>
      <c r="E42" s="65" t="s">
        <v>229</v>
      </c>
      <c r="F42" s="47" t="s">
        <v>104</v>
      </c>
      <c r="G42" s="65" t="s">
        <v>230</v>
      </c>
      <c r="H42" s="47" t="s">
        <v>105</v>
      </c>
      <c r="I42" s="65" t="s">
        <v>231</v>
      </c>
      <c r="J42" s="47" t="s">
        <v>107</v>
      </c>
      <c r="K42" s="65" t="s">
        <v>232</v>
      </c>
      <c r="L42" s="47" t="s">
        <v>106</v>
      </c>
      <c r="M42" s="65" t="s">
        <v>233</v>
      </c>
      <c r="N42" s="47" t="s">
        <v>148</v>
      </c>
      <c r="O42" s="65" t="s">
        <v>234</v>
      </c>
      <c r="P42" s="47" t="s">
        <v>151</v>
      </c>
      <c r="Q42" s="47" t="s">
        <v>152</v>
      </c>
      <c r="R42" s="47" t="s">
        <v>108</v>
      </c>
      <c r="S42" s="47" t="s">
        <v>109</v>
      </c>
      <c r="T42" s="47" t="s">
        <v>110</v>
      </c>
      <c r="U42" s="65" t="s">
        <v>235</v>
      </c>
      <c r="V42" s="47" t="s">
        <v>111</v>
      </c>
      <c r="W42" s="47" t="s">
        <v>112</v>
      </c>
      <c r="X42" s="47" t="s">
        <v>113</v>
      </c>
      <c r="Y42" s="47" t="s">
        <v>114</v>
      </c>
      <c r="Z42" s="65" t="s">
        <v>237</v>
      </c>
      <c r="AA42" s="65" t="s">
        <v>236</v>
      </c>
      <c r="AB42" s="47" t="s">
        <v>115</v>
      </c>
      <c r="AC42" s="65" t="s">
        <v>238</v>
      </c>
      <c r="AD42" s="47" t="s">
        <v>116</v>
      </c>
      <c r="AE42" s="55" t="s">
        <v>117</v>
      </c>
      <c r="AF42" s="55" t="s">
        <v>118</v>
      </c>
      <c r="AG42" s="55" t="s">
        <v>119</v>
      </c>
      <c r="AH42" s="55" t="s">
        <v>120</v>
      </c>
      <c r="AI42" s="55" t="s">
        <v>121</v>
      </c>
      <c r="AJ42" s="47" t="s">
        <v>122</v>
      </c>
      <c r="AK42" s="47" t="s">
        <v>123</v>
      </c>
      <c r="AL42" s="47" t="s">
        <v>124</v>
      </c>
      <c r="AM42" s="47" t="s">
        <v>251</v>
      </c>
      <c r="AN42" s="47" t="s">
        <v>252</v>
      </c>
      <c r="AO42" s="47" t="s">
        <v>271</v>
      </c>
      <c r="AP42" s="47" t="s">
        <v>212</v>
      </c>
      <c r="AQ42" s="47" t="s">
        <v>213</v>
      </c>
      <c r="AR42" s="40"/>
    </row>
    <row r="43" spans="1:44">
      <c r="B43" s="42"/>
      <c r="C43" s="59" t="s">
        <v>189</v>
      </c>
      <c r="D43" s="42"/>
      <c r="E43" s="42"/>
      <c r="F43" s="62" t="s">
        <v>205</v>
      </c>
      <c r="G43" s="42">
        <v>90</v>
      </c>
      <c r="H43" s="42" t="s">
        <v>126</v>
      </c>
      <c r="I43" s="42">
        <v>71</v>
      </c>
      <c r="J43" s="42" t="s">
        <v>128</v>
      </c>
      <c r="K43" s="42">
        <v>4194</v>
      </c>
      <c r="L43" s="42" t="s">
        <v>127</v>
      </c>
      <c r="M43" s="42">
        <v>108521001</v>
      </c>
      <c r="N43" s="42" t="s">
        <v>129</v>
      </c>
      <c r="O43" s="42"/>
      <c r="P43" s="42">
        <v>20241205</v>
      </c>
      <c r="Q43" s="44">
        <v>1000</v>
      </c>
      <c r="R43" s="42">
        <v>20241201</v>
      </c>
      <c r="S43" s="44">
        <v>300</v>
      </c>
      <c r="T43" s="44"/>
      <c r="U43" s="42">
        <v>11050100</v>
      </c>
      <c r="V43" s="42" t="s">
        <v>131</v>
      </c>
      <c r="W43" s="42">
        <v>20241010</v>
      </c>
      <c r="X43" s="42">
        <v>20241005</v>
      </c>
      <c r="Y43" s="42"/>
      <c r="Z43" s="42"/>
      <c r="AA43" s="42">
        <v>123456</v>
      </c>
      <c r="AB43" s="52" t="s">
        <v>164</v>
      </c>
      <c r="AC43" s="52" t="s">
        <v>168</v>
      </c>
      <c r="AD43" s="52" t="s">
        <v>166</v>
      </c>
      <c r="AE43" s="56">
        <v>20</v>
      </c>
      <c r="AF43" s="56">
        <v>50</v>
      </c>
      <c r="AG43" s="57">
        <v>1000</v>
      </c>
      <c r="AH43" s="57">
        <v>100</v>
      </c>
      <c r="AI43" s="57">
        <v>1100</v>
      </c>
      <c r="AJ43" s="44"/>
      <c r="AK43" s="42"/>
      <c r="AL43" s="42"/>
      <c r="AM43" s="42"/>
      <c r="AN43" s="66" t="s">
        <v>244</v>
      </c>
      <c r="AO43" s="73" t="s">
        <v>255</v>
      </c>
      <c r="AP43" s="63" t="s">
        <v>214</v>
      </c>
      <c r="AQ43" s="66" t="s">
        <v>87</v>
      </c>
    </row>
    <row r="44" spans="1:44">
      <c r="B44" s="42"/>
      <c r="C44" s="59" t="s">
        <v>189</v>
      </c>
      <c r="D44" s="42"/>
      <c r="E44" s="42"/>
      <c r="F44" s="62" t="s">
        <v>205</v>
      </c>
      <c r="G44" s="42">
        <v>90</v>
      </c>
      <c r="H44" s="42" t="s">
        <v>126</v>
      </c>
      <c r="I44" s="42">
        <v>71</v>
      </c>
      <c r="J44" s="42" t="s">
        <v>128</v>
      </c>
      <c r="K44" s="42">
        <v>4194</v>
      </c>
      <c r="L44" s="42" t="s">
        <v>127</v>
      </c>
      <c r="M44" s="42">
        <v>108521001</v>
      </c>
      <c r="N44" s="42" t="s">
        <v>129</v>
      </c>
      <c r="O44" s="42"/>
      <c r="P44" s="42">
        <v>20241205</v>
      </c>
      <c r="Q44" s="44"/>
      <c r="R44" s="42">
        <v>20241201</v>
      </c>
      <c r="S44" s="44">
        <v>300</v>
      </c>
      <c r="T44" s="44"/>
      <c r="U44" s="42">
        <v>11050100</v>
      </c>
      <c r="V44" s="42" t="s">
        <v>131</v>
      </c>
      <c r="W44" s="42">
        <v>20241010</v>
      </c>
      <c r="X44" s="42">
        <v>20241005</v>
      </c>
      <c r="Y44" s="42"/>
      <c r="Z44" s="42"/>
      <c r="AA44" s="42">
        <v>123456</v>
      </c>
      <c r="AB44" s="52" t="s">
        <v>164</v>
      </c>
      <c r="AC44" s="52" t="s">
        <v>168</v>
      </c>
      <c r="AD44" s="52" t="s">
        <v>166</v>
      </c>
      <c r="AE44" s="56">
        <v>20</v>
      </c>
      <c r="AF44" s="56">
        <v>50</v>
      </c>
      <c r="AG44" s="57">
        <v>1000</v>
      </c>
      <c r="AH44" s="57">
        <v>100</v>
      </c>
      <c r="AI44" s="57">
        <v>1100</v>
      </c>
      <c r="AJ44" s="44"/>
      <c r="AK44" s="42"/>
      <c r="AL44" s="42"/>
      <c r="AM44" s="42"/>
      <c r="AN44" s="66" t="s">
        <v>245</v>
      </c>
      <c r="AO44" s="73" t="s">
        <v>255</v>
      </c>
      <c r="AP44" s="63" t="s">
        <v>214</v>
      </c>
      <c r="AQ44" s="66" t="s">
        <v>87</v>
      </c>
    </row>
    <row r="45" spans="1:44">
      <c r="B45" s="42"/>
      <c r="C45" s="59" t="s">
        <v>189</v>
      </c>
      <c r="D45" s="42"/>
      <c r="E45" s="42"/>
      <c r="F45" s="62" t="s">
        <v>205</v>
      </c>
      <c r="G45" s="42">
        <v>90</v>
      </c>
      <c r="H45" s="42" t="s">
        <v>126</v>
      </c>
      <c r="I45" s="42">
        <v>71</v>
      </c>
      <c r="J45" s="42" t="s">
        <v>128</v>
      </c>
      <c r="K45" s="42">
        <v>4194</v>
      </c>
      <c r="L45" s="42" t="s">
        <v>127</v>
      </c>
      <c r="M45" s="42">
        <v>108521001</v>
      </c>
      <c r="N45" s="42" t="s">
        <v>129</v>
      </c>
      <c r="O45" s="42"/>
      <c r="P45" s="42">
        <v>20241205</v>
      </c>
      <c r="Q45" s="44"/>
      <c r="R45" s="42">
        <v>20241201</v>
      </c>
      <c r="S45" s="44">
        <v>150</v>
      </c>
      <c r="T45" s="44">
        <v>250</v>
      </c>
      <c r="U45" s="42">
        <v>11050100</v>
      </c>
      <c r="V45" s="42" t="s">
        <v>131</v>
      </c>
      <c r="W45" s="42">
        <v>20241010</v>
      </c>
      <c r="X45" s="42">
        <v>20241005</v>
      </c>
      <c r="Y45" s="42"/>
      <c r="Z45" s="42"/>
      <c r="AA45" s="42">
        <v>123456</v>
      </c>
      <c r="AB45" s="52" t="s">
        <v>164</v>
      </c>
      <c r="AC45" s="52" t="s">
        <v>168</v>
      </c>
      <c r="AD45" s="52" t="s">
        <v>166</v>
      </c>
      <c r="AE45" s="56">
        <v>20</v>
      </c>
      <c r="AF45" s="56">
        <v>50</v>
      </c>
      <c r="AG45" s="57">
        <v>1000</v>
      </c>
      <c r="AH45" s="57">
        <v>100</v>
      </c>
      <c r="AI45" s="57">
        <v>1100</v>
      </c>
      <c r="AJ45" s="44"/>
      <c r="AK45" s="42"/>
      <c r="AL45" s="42"/>
      <c r="AM45" s="42"/>
      <c r="AN45" s="66"/>
      <c r="AO45" s="74" t="s">
        <v>256</v>
      </c>
      <c r="AP45" s="63" t="s">
        <v>214</v>
      </c>
      <c r="AQ45" s="66" t="s">
        <v>87</v>
      </c>
    </row>
    <row r="46" spans="1:44">
      <c r="B46" s="67" t="s">
        <v>246</v>
      </c>
    </row>
    <row r="49" spans="1:44">
      <c r="A49" t="s">
        <v>272</v>
      </c>
    </row>
    <row r="50" spans="1:44" ht="26.4">
      <c r="B50" s="65" t="s">
        <v>226</v>
      </c>
      <c r="C50" s="65" t="s">
        <v>227</v>
      </c>
      <c r="D50" s="65" t="s">
        <v>228</v>
      </c>
      <c r="E50" s="65" t="s">
        <v>229</v>
      </c>
      <c r="F50" s="47" t="s">
        <v>104</v>
      </c>
      <c r="G50" s="65" t="s">
        <v>230</v>
      </c>
      <c r="H50" s="47" t="s">
        <v>105</v>
      </c>
      <c r="I50" s="65" t="s">
        <v>231</v>
      </c>
      <c r="J50" s="47" t="s">
        <v>107</v>
      </c>
      <c r="K50" s="65" t="s">
        <v>232</v>
      </c>
      <c r="L50" s="47" t="s">
        <v>106</v>
      </c>
      <c r="M50" s="65" t="s">
        <v>233</v>
      </c>
      <c r="N50" s="47" t="s">
        <v>148</v>
      </c>
      <c r="O50" s="65" t="s">
        <v>234</v>
      </c>
      <c r="P50" s="47" t="s">
        <v>151</v>
      </c>
      <c r="Q50" s="47" t="s">
        <v>152</v>
      </c>
      <c r="R50" s="47" t="s">
        <v>108</v>
      </c>
      <c r="S50" s="47" t="s">
        <v>109</v>
      </c>
      <c r="T50" s="47" t="s">
        <v>110</v>
      </c>
      <c r="U50" s="65" t="s">
        <v>235</v>
      </c>
      <c r="V50" s="47" t="s">
        <v>111</v>
      </c>
      <c r="W50" s="47" t="s">
        <v>112</v>
      </c>
      <c r="X50" s="47" t="s">
        <v>113</v>
      </c>
      <c r="Y50" s="47" t="s">
        <v>114</v>
      </c>
      <c r="Z50" s="65" t="s">
        <v>237</v>
      </c>
      <c r="AA50" s="65" t="s">
        <v>236</v>
      </c>
      <c r="AB50" s="47" t="s">
        <v>115</v>
      </c>
      <c r="AC50" s="65" t="s">
        <v>238</v>
      </c>
      <c r="AD50" s="47" t="s">
        <v>116</v>
      </c>
      <c r="AE50" s="55" t="s">
        <v>117</v>
      </c>
      <c r="AF50" s="55" t="s">
        <v>118</v>
      </c>
      <c r="AG50" s="55" t="s">
        <v>119</v>
      </c>
      <c r="AH50" s="55" t="s">
        <v>120</v>
      </c>
      <c r="AI50" s="55" t="s">
        <v>121</v>
      </c>
      <c r="AJ50" s="47" t="s">
        <v>122</v>
      </c>
      <c r="AK50" s="47" t="s">
        <v>123</v>
      </c>
      <c r="AL50" s="47" t="s">
        <v>124</v>
      </c>
      <c r="AM50" s="47" t="s">
        <v>251</v>
      </c>
      <c r="AN50" s="47" t="s">
        <v>252</v>
      </c>
      <c r="AO50" s="47" t="s">
        <v>271</v>
      </c>
      <c r="AP50" s="47" t="s">
        <v>212</v>
      </c>
      <c r="AQ50" s="47" t="s">
        <v>213</v>
      </c>
      <c r="AR50" s="40"/>
    </row>
    <row r="51" spans="1:44">
      <c r="B51" s="42"/>
      <c r="C51" s="59" t="s">
        <v>189</v>
      </c>
      <c r="D51" s="42"/>
      <c r="E51" s="42"/>
      <c r="F51" s="62" t="s">
        <v>205</v>
      </c>
      <c r="G51" s="42">
        <v>90</v>
      </c>
      <c r="H51" s="42" t="s">
        <v>126</v>
      </c>
      <c r="I51" s="42">
        <v>71</v>
      </c>
      <c r="J51" s="42" t="s">
        <v>128</v>
      </c>
      <c r="K51" s="42">
        <v>4194</v>
      </c>
      <c r="L51" s="42" t="s">
        <v>127</v>
      </c>
      <c r="M51" s="42">
        <v>108521001</v>
      </c>
      <c r="N51" s="42" t="s">
        <v>129</v>
      </c>
      <c r="O51" s="42"/>
      <c r="P51" s="42">
        <v>20241205</v>
      </c>
      <c r="Q51" s="44">
        <v>1000</v>
      </c>
      <c r="R51" s="42">
        <v>20241201</v>
      </c>
      <c r="S51" s="44">
        <v>1000</v>
      </c>
      <c r="T51" s="44">
        <v>0</v>
      </c>
      <c r="U51" s="42">
        <v>11050100</v>
      </c>
      <c r="V51" s="42" t="s">
        <v>131</v>
      </c>
      <c r="W51" s="42">
        <v>20241010</v>
      </c>
      <c r="X51" s="42">
        <v>20241005</v>
      </c>
      <c r="Y51" s="42"/>
      <c r="Z51" s="42"/>
      <c r="AA51" s="42">
        <v>123456</v>
      </c>
      <c r="AB51" s="52" t="s">
        <v>164</v>
      </c>
      <c r="AC51" s="52" t="s">
        <v>168</v>
      </c>
      <c r="AD51" s="52" t="s">
        <v>166</v>
      </c>
      <c r="AE51" s="56">
        <v>20</v>
      </c>
      <c r="AF51" s="56">
        <v>50</v>
      </c>
      <c r="AG51" s="57">
        <v>1000</v>
      </c>
      <c r="AH51" s="57">
        <v>100</v>
      </c>
      <c r="AI51" s="57">
        <v>1100</v>
      </c>
      <c r="AJ51" s="44"/>
      <c r="AK51" s="42"/>
      <c r="AL51" s="42"/>
      <c r="AM51" s="42"/>
      <c r="AN51" s="42"/>
      <c r="AO51" s="74" t="s">
        <v>257</v>
      </c>
      <c r="AP51" s="63" t="s">
        <v>214</v>
      </c>
      <c r="AQ51" s="66" t="s">
        <v>87</v>
      </c>
    </row>
    <row r="52" spans="1:44">
      <c r="B52" s="67" t="s">
        <v>267</v>
      </c>
    </row>
    <row r="54" spans="1:44" ht="26.4">
      <c r="B54" s="65" t="s">
        <v>226</v>
      </c>
      <c r="C54" s="65" t="s">
        <v>227</v>
      </c>
      <c r="D54" s="65" t="s">
        <v>228</v>
      </c>
      <c r="E54" s="65" t="s">
        <v>229</v>
      </c>
      <c r="F54" s="47" t="s">
        <v>104</v>
      </c>
      <c r="G54" s="65" t="s">
        <v>230</v>
      </c>
      <c r="H54" s="47" t="s">
        <v>105</v>
      </c>
      <c r="I54" s="65" t="s">
        <v>231</v>
      </c>
      <c r="J54" s="47" t="s">
        <v>107</v>
      </c>
      <c r="K54" s="65" t="s">
        <v>232</v>
      </c>
      <c r="L54" s="47" t="s">
        <v>106</v>
      </c>
      <c r="M54" s="65" t="s">
        <v>233</v>
      </c>
      <c r="N54" s="47" t="s">
        <v>148</v>
      </c>
      <c r="O54" s="65" t="s">
        <v>234</v>
      </c>
      <c r="P54" s="47" t="s">
        <v>151</v>
      </c>
      <c r="Q54" s="47" t="s">
        <v>152</v>
      </c>
      <c r="R54" s="47" t="s">
        <v>108</v>
      </c>
      <c r="S54" s="47" t="s">
        <v>109</v>
      </c>
      <c r="T54" s="47" t="s">
        <v>110</v>
      </c>
      <c r="U54" s="65" t="s">
        <v>235</v>
      </c>
      <c r="V54" s="47" t="s">
        <v>111</v>
      </c>
      <c r="W54" s="47" t="s">
        <v>112</v>
      </c>
      <c r="X54" s="47" t="s">
        <v>113</v>
      </c>
      <c r="Y54" s="47" t="s">
        <v>114</v>
      </c>
      <c r="Z54" s="65" t="s">
        <v>237</v>
      </c>
      <c r="AA54" s="65" t="s">
        <v>236</v>
      </c>
      <c r="AB54" s="47" t="s">
        <v>115</v>
      </c>
      <c r="AC54" s="65" t="s">
        <v>238</v>
      </c>
      <c r="AD54" s="47" t="s">
        <v>116</v>
      </c>
      <c r="AE54" s="55" t="s">
        <v>117</v>
      </c>
      <c r="AF54" s="55" t="s">
        <v>118</v>
      </c>
      <c r="AG54" s="55" t="s">
        <v>119</v>
      </c>
      <c r="AH54" s="55" t="s">
        <v>120</v>
      </c>
      <c r="AI54" s="55" t="s">
        <v>121</v>
      </c>
      <c r="AJ54" s="47" t="s">
        <v>122</v>
      </c>
      <c r="AK54" s="47" t="s">
        <v>123</v>
      </c>
      <c r="AL54" s="47" t="s">
        <v>124</v>
      </c>
      <c r="AM54" s="47" t="s">
        <v>161</v>
      </c>
      <c r="AN54" s="47" t="s">
        <v>125</v>
      </c>
      <c r="AO54" s="47" t="s">
        <v>125</v>
      </c>
      <c r="AP54" s="47" t="s">
        <v>212</v>
      </c>
      <c r="AQ54" s="47" t="s">
        <v>213</v>
      </c>
      <c r="AR54" s="40"/>
    </row>
    <row r="55" spans="1:44">
      <c r="B55" s="42"/>
      <c r="C55" s="59" t="s">
        <v>189</v>
      </c>
      <c r="D55" s="42"/>
      <c r="E55" s="42"/>
      <c r="F55" s="62" t="s">
        <v>205</v>
      </c>
      <c r="G55" s="42">
        <v>90</v>
      </c>
      <c r="H55" s="42" t="s">
        <v>126</v>
      </c>
      <c r="I55" s="42">
        <v>71</v>
      </c>
      <c r="J55" s="42" t="s">
        <v>128</v>
      </c>
      <c r="K55" s="42">
        <v>4194</v>
      </c>
      <c r="L55" s="42" t="s">
        <v>127</v>
      </c>
      <c r="M55" s="42">
        <v>108521001</v>
      </c>
      <c r="N55" s="42" t="s">
        <v>129</v>
      </c>
      <c r="O55" s="42" t="s">
        <v>130</v>
      </c>
      <c r="P55" s="42">
        <v>20241201</v>
      </c>
      <c r="Q55" s="44">
        <v>1100</v>
      </c>
      <c r="R55" s="42">
        <v>20241201</v>
      </c>
      <c r="S55" s="44">
        <v>1100</v>
      </c>
      <c r="T55" s="42">
        <v>0</v>
      </c>
      <c r="U55" s="42">
        <v>11050100</v>
      </c>
      <c r="V55" s="42" t="s">
        <v>131</v>
      </c>
      <c r="W55" s="42">
        <v>20241010</v>
      </c>
      <c r="X55" s="42">
        <v>20241005</v>
      </c>
      <c r="Y55" s="42"/>
      <c r="Z55" s="42">
        <v>12345678</v>
      </c>
      <c r="AA55" s="42">
        <v>123456</v>
      </c>
      <c r="AB55" s="52" t="s">
        <v>164</v>
      </c>
      <c r="AC55" s="52" t="s">
        <v>168</v>
      </c>
      <c r="AD55" s="52" t="s">
        <v>166</v>
      </c>
      <c r="AE55" s="56">
        <v>20</v>
      </c>
      <c r="AF55" s="56">
        <v>50</v>
      </c>
      <c r="AG55" s="57">
        <v>1000</v>
      </c>
      <c r="AH55" s="57">
        <v>100</v>
      </c>
      <c r="AI55" s="57">
        <v>1100</v>
      </c>
      <c r="AJ55" s="44"/>
      <c r="AK55" s="42"/>
      <c r="AL55" s="42"/>
      <c r="AM55" s="42"/>
      <c r="AN55" s="42">
        <v>1</v>
      </c>
      <c r="AO55" s="42">
        <v>1</v>
      </c>
      <c r="AP55" s="63" t="s">
        <v>214</v>
      </c>
      <c r="AQ55" s="66" t="s">
        <v>87</v>
      </c>
    </row>
    <row r="56" spans="1:44">
      <c r="B56" s="42"/>
      <c r="C56" s="43"/>
      <c r="D56" s="42"/>
      <c r="E56" s="42"/>
      <c r="F56" s="51"/>
      <c r="G56" s="42">
        <v>90</v>
      </c>
      <c r="H56" s="42" t="s">
        <v>126</v>
      </c>
      <c r="I56" s="42">
        <v>71</v>
      </c>
      <c r="J56" s="42" t="s">
        <v>128</v>
      </c>
      <c r="K56" s="42">
        <v>4194</v>
      </c>
      <c r="L56" s="42" t="s">
        <v>127</v>
      </c>
      <c r="M56" s="42">
        <v>108521001</v>
      </c>
      <c r="N56" s="42" t="s">
        <v>129</v>
      </c>
      <c r="O56" s="42" t="s">
        <v>130</v>
      </c>
      <c r="P56" s="42">
        <v>20241201</v>
      </c>
      <c r="Q56" s="44">
        <v>660</v>
      </c>
      <c r="R56" s="42">
        <v>20241201</v>
      </c>
      <c r="S56" s="44">
        <v>660</v>
      </c>
      <c r="T56" s="42">
        <v>0</v>
      </c>
      <c r="U56" s="42">
        <v>11050100</v>
      </c>
      <c r="V56" s="42" t="s">
        <v>131</v>
      </c>
      <c r="W56" s="42">
        <v>20241010</v>
      </c>
      <c r="X56" s="42">
        <v>20241005</v>
      </c>
      <c r="Y56" s="42"/>
      <c r="Z56" s="42">
        <v>12345677</v>
      </c>
      <c r="AA56" s="42">
        <v>123456</v>
      </c>
      <c r="AB56" s="52" t="s">
        <v>164</v>
      </c>
      <c r="AC56" s="52" t="s">
        <v>168</v>
      </c>
      <c r="AD56" s="52" t="s">
        <v>166</v>
      </c>
      <c r="AE56" s="56">
        <v>40</v>
      </c>
      <c r="AF56" s="56">
        <v>15</v>
      </c>
      <c r="AG56" s="57">
        <v>600</v>
      </c>
      <c r="AH56" s="57">
        <v>60</v>
      </c>
      <c r="AI56" s="57">
        <v>660</v>
      </c>
      <c r="AJ56" s="44"/>
      <c r="AK56" s="42"/>
      <c r="AL56" s="42"/>
      <c r="AM56" s="42"/>
      <c r="AN56" s="42">
        <v>1</v>
      </c>
      <c r="AO56" s="42">
        <v>1</v>
      </c>
      <c r="AP56" s="63" t="s">
        <v>215</v>
      </c>
      <c r="AQ56" s="66" t="s">
        <v>87</v>
      </c>
    </row>
    <row r="57" spans="1:44">
      <c r="B57" s="42"/>
      <c r="C57" s="43"/>
      <c r="D57" s="42"/>
      <c r="E57" s="42"/>
      <c r="F57" s="51"/>
      <c r="G57" s="42">
        <v>90</v>
      </c>
      <c r="H57" s="42" t="s">
        <v>126</v>
      </c>
      <c r="I57" s="42">
        <v>71</v>
      </c>
      <c r="J57" s="42" t="s">
        <v>128</v>
      </c>
      <c r="K57" s="42">
        <v>4194</v>
      </c>
      <c r="L57" s="42" t="s">
        <v>127</v>
      </c>
      <c r="M57" s="42">
        <v>108521001</v>
      </c>
      <c r="N57" s="42" t="s">
        <v>129</v>
      </c>
      <c r="O57" s="42" t="s">
        <v>130</v>
      </c>
      <c r="P57" s="42">
        <v>20241201</v>
      </c>
      <c r="Q57" s="44">
        <v>220</v>
      </c>
      <c r="R57" s="42">
        <v>20241202</v>
      </c>
      <c r="S57" s="44">
        <v>220</v>
      </c>
      <c r="T57" s="42">
        <v>0</v>
      </c>
      <c r="U57" s="42">
        <v>11050100</v>
      </c>
      <c r="V57" s="42" t="s">
        <v>131</v>
      </c>
      <c r="W57" s="42">
        <v>20241011</v>
      </c>
      <c r="X57" s="42">
        <v>20241005</v>
      </c>
      <c r="Y57" s="42"/>
      <c r="Z57" s="42">
        <v>12345656</v>
      </c>
      <c r="AA57" s="42">
        <v>123456</v>
      </c>
      <c r="AB57" s="52" t="s">
        <v>164</v>
      </c>
      <c r="AC57" s="52" t="s">
        <v>168</v>
      </c>
      <c r="AD57" s="52" t="s">
        <v>166</v>
      </c>
      <c r="AE57" s="56">
        <v>10</v>
      </c>
      <c r="AF57" s="56">
        <v>20</v>
      </c>
      <c r="AG57" s="57">
        <v>200</v>
      </c>
      <c r="AH57" s="57">
        <v>20</v>
      </c>
      <c r="AI57" s="57">
        <v>220</v>
      </c>
      <c r="AJ57" s="44"/>
      <c r="AK57" s="42"/>
      <c r="AL57" s="42"/>
      <c r="AM57" s="42"/>
      <c r="AN57" s="42">
        <v>2</v>
      </c>
      <c r="AO57" s="42">
        <v>2</v>
      </c>
      <c r="AP57" s="63" t="s">
        <v>216</v>
      </c>
      <c r="AQ57" s="66" t="s">
        <v>87</v>
      </c>
    </row>
    <row r="58" spans="1:44">
      <c r="B58" s="42"/>
      <c r="C58" s="43"/>
      <c r="D58" s="42"/>
      <c r="E58" s="42"/>
      <c r="F58" s="51"/>
      <c r="G58" s="42">
        <v>90</v>
      </c>
      <c r="H58" s="42" t="s">
        <v>126</v>
      </c>
      <c r="I58" s="42">
        <v>71</v>
      </c>
      <c r="J58" s="42" t="s">
        <v>128</v>
      </c>
      <c r="K58" s="42">
        <v>4194</v>
      </c>
      <c r="L58" s="42" t="s">
        <v>127</v>
      </c>
      <c r="M58" s="42">
        <v>108521001</v>
      </c>
      <c r="N58" s="42" t="s">
        <v>129</v>
      </c>
      <c r="O58" s="42" t="s">
        <v>130</v>
      </c>
      <c r="P58" s="42">
        <v>20241201</v>
      </c>
      <c r="Q58" s="44">
        <v>550</v>
      </c>
      <c r="R58" s="42">
        <v>20241202</v>
      </c>
      <c r="S58" s="44">
        <v>550</v>
      </c>
      <c r="T58" s="42">
        <v>0</v>
      </c>
      <c r="U58" s="42">
        <v>11050100</v>
      </c>
      <c r="V58" s="42" t="s">
        <v>131</v>
      </c>
      <c r="W58" s="42">
        <v>20241011</v>
      </c>
      <c r="X58" s="42">
        <v>20241005</v>
      </c>
      <c r="Y58" s="42"/>
      <c r="Z58" s="42">
        <v>12235656</v>
      </c>
      <c r="AA58" s="42">
        <v>123456</v>
      </c>
      <c r="AB58" s="52" t="s">
        <v>164</v>
      </c>
      <c r="AC58" s="52" t="s">
        <v>168</v>
      </c>
      <c r="AD58" s="52" t="s">
        <v>166</v>
      </c>
      <c r="AE58" s="56">
        <v>50</v>
      </c>
      <c r="AF58" s="56">
        <v>10</v>
      </c>
      <c r="AG58" s="57">
        <v>500</v>
      </c>
      <c r="AH58" s="57">
        <v>50</v>
      </c>
      <c r="AI58" s="57">
        <v>550</v>
      </c>
      <c r="AJ58" s="44"/>
      <c r="AK58" s="42"/>
      <c r="AL58" s="42"/>
      <c r="AM58" s="42"/>
      <c r="AN58" s="42">
        <v>3</v>
      </c>
      <c r="AO58" s="42">
        <v>3</v>
      </c>
      <c r="AP58" s="63" t="s">
        <v>217</v>
      </c>
      <c r="AQ58" s="66" t="s">
        <v>87</v>
      </c>
    </row>
    <row r="59" spans="1:44">
      <c r="B59" s="42"/>
      <c r="C59" s="59" t="s">
        <v>189</v>
      </c>
      <c r="D59" s="42"/>
      <c r="E59" s="42"/>
      <c r="F59" s="62" t="s">
        <v>205</v>
      </c>
      <c r="G59" s="42">
        <v>90</v>
      </c>
      <c r="H59" s="42" t="s">
        <v>126</v>
      </c>
      <c r="I59" s="42">
        <v>71</v>
      </c>
      <c r="J59" s="42" t="s">
        <v>128</v>
      </c>
      <c r="K59" s="42">
        <v>4194</v>
      </c>
      <c r="L59" s="42" t="s">
        <v>127</v>
      </c>
      <c r="M59" s="42">
        <v>108521001</v>
      </c>
      <c r="N59" s="42" t="s">
        <v>129</v>
      </c>
      <c r="O59" s="42" t="s">
        <v>130</v>
      </c>
      <c r="P59" s="42">
        <v>20241201</v>
      </c>
      <c r="Q59" s="44">
        <v>1650</v>
      </c>
      <c r="R59" s="42">
        <v>20241203</v>
      </c>
      <c r="S59" s="44">
        <v>1540</v>
      </c>
      <c r="T59" s="42">
        <v>110</v>
      </c>
      <c r="U59" s="42">
        <v>11050100</v>
      </c>
      <c r="V59" s="42" t="s">
        <v>131</v>
      </c>
      <c r="W59" s="42">
        <v>20241012</v>
      </c>
      <c r="X59" s="42">
        <v>20241005</v>
      </c>
      <c r="Y59" s="42"/>
      <c r="Z59" s="42">
        <v>98765432</v>
      </c>
      <c r="AA59" s="42">
        <v>123456</v>
      </c>
      <c r="AB59" s="52" t="s">
        <v>164</v>
      </c>
      <c r="AC59" s="52" t="s">
        <v>168</v>
      </c>
      <c r="AD59" s="52" t="s">
        <v>166</v>
      </c>
      <c r="AE59" s="56">
        <v>10</v>
      </c>
      <c r="AF59" s="56">
        <v>150</v>
      </c>
      <c r="AG59" s="57">
        <v>1500</v>
      </c>
      <c r="AH59" s="57">
        <v>150</v>
      </c>
      <c r="AI59" s="57">
        <v>1650</v>
      </c>
      <c r="AJ59" s="44"/>
      <c r="AK59" s="42"/>
      <c r="AL59" s="42"/>
      <c r="AM59" s="42"/>
      <c r="AN59" s="42">
        <v>4</v>
      </c>
      <c r="AO59" s="42">
        <v>4</v>
      </c>
      <c r="AP59" s="63" t="s">
        <v>218</v>
      </c>
      <c r="AQ59" s="66" t="s">
        <v>87</v>
      </c>
    </row>
    <row r="60" spans="1:44">
      <c r="B60" s="42"/>
      <c r="C60" s="43"/>
      <c r="D60" s="42"/>
      <c r="E60" s="42"/>
      <c r="F60" s="51"/>
      <c r="G60" s="42">
        <v>90</v>
      </c>
      <c r="H60" s="42" t="s">
        <v>126</v>
      </c>
      <c r="I60" s="42">
        <v>71</v>
      </c>
      <c r="J60" s="42" t="s">
        <v>128</v>
      </c>
      <c r="K60" s="42">
        <v>4194</v>
      </c>
      <c r="L60" s="42" t="s">
        <v>127</v>
      </c>
      <c r="M60" s="42">
        <v>108521001</v>
      </c>
      <c r="N60" s="42" t="s">
        <v>129</v>
      </c>
      <c r="O60" s="42" t="s">
        <v>130</v>
      </c>
      <c r="P60" s="42">
        <v>20241230</v>
      </c>
      <c r="Q60" s="44">
        <v>9900</v>
      </c>
      <c r="R60" s="42"/>
      <c r="S60" s="44">
        <v>0</v>
      </c>
      <c r="T60" s="44">
        <v>9900</v>
      </c>
      <c r="U60" s="42">
        <v>11050100</v>
      </c>
      <c r="V60" s="42" t="s">
        <v>131</v>
      </c>
      <c r="W60" s="42">
        <v>20241115</v>
      </c>
      <c r="X60" s="42">
        <v>20241110</v>
      </c>
      <c r="Y60" s="42"/>
      <c r="Z60" s="42">
        <v>98764321</v>
      </c>
      <c r="AA60" s="42">
        <v>123456</v>
      </c>
      <c r="AB60" s="52" t="s">
        <v>164</v>
      </c>
      <c r="AC60" s="52" t="s">
        <v>168</v>
      </c>
      <c r="AD60" s="52" t="s">
        <v>166</v>
      </c>
      <c r="AE60" s="56">
        <v>1</v>
      </c>
      <c r="AF60" s="57">
        <v>9000</v>
      </c>
      <c r="AG60" s="57">
        <v>9000</v>
      </c>
      <c r="AH60" s="57">
        <v>900</v>
      </c>
      <c r="AI60" s="57">
        <v>9900</v>
      </c>
      <c r="AJ60" s="44"/>
      <c r="AK60" s="42"/>
      <c r="AL60" s="42"/>
      <c r="AM60" s="42"/>
      <c r="AN60" s="42"/>
      <c r="AO60" s="42"/>
      <c r="AP60" s="63" t="s">
        <v>219</v>
      </c>
      <c r="AQ60" s="66" t="s">
        <v>87</v>
      </c>
    </row>
    <row r="61" spans="1:44">
      <c r="B61" s="42"/>
      <c r="C61" s="43"/>
      <c r="D61" s="42"/>
      <c r="E61" s="42"/>
      <c r="F61" s="51"/>
      <c r="G61" s="42">
        <v>90</v>
      </c>
      <c r="H61" s="42" t="s">
        <v>126</v>
      </c>
      <c r="I61" s="42">
        <v>71</v>
      </c>
      <c r="J61" s="42" t="s">
        <v>128</v>
      </c>
      <c r="K61" s="42">
        <v>4194</v>
      </c>
      <c r="L61" s="42" t="s">
        <v>127</v>
      </c>
      <c r="M61" s="42">
        <v>108521001</v>
      </c>
      <c r="N61" s="42" t="s">
        <v>129</v>
      </c>
      <c r="O61" s="42" t="s">
        <v>130</v>
      </c>
      <c r="P61" s="42">
        <v>20241230</v>
      </c>
      <c r="Q61" s="44">
        <v>13200</v>
      </c>
      <c r="R61" s="42"/>
      <c r="S61" s="44">
        <v>0</v>
      </c>
      <c r="T61" s="44">
        <v>13200</v>
      </c>
      <c r="U61" s="42">
        <v>11050100</v>
      </c>
      <c r="V61" s="42" t="s">
        <v>131</v>
      </c>
      <c r="W61" s="42">
        <v>20241115</v>
      </c>
      <c r="X61" s="42">
        <v>20241110</v>
      </c>
      <c r="Y61" s="42"/>
      <c r="Z61" s="42">
        <v>98654611</v>
      </c>
      <c r="AA61" s="42">
        <v>123456</v>
      </c>
      <c r="AB61" s="52" t="s">
        <v>164</v>
      </c>
      <c r="AC61" s="52" t="s">
        <v>168</v>
      </c>
      <c r="AD61" s="52" t="s">
        <v>166</v>
      </c>
      <c r="AE61" s="56">
        <v>1</v>
      </c>
      <c r="AF61" s="57">
        <v>12000</v>
      </c>
      <c r="AG61" s="57">
        <v>12000</v>
      </c>
      <c r="AH61" s="57">
        <v>1200</v>
      </c>
      <c r="AI61" s="57">
        <v>13200</v>
      </c>
      <c r="AJ61" s="44"/>
      <c r="AK61" s="42"/>
      <c r="AL61" s="42"/>
      <c r="AM61" s="42"/>
      <c r="AN61" s="42"/>
      <c r="AO61" s="42"/>
      <c r="AP61" s="63" t="s">
        <v>220</v>
      </c>
      <c r="AQ61" s="66" t="s">
        <v>87</v>
      </c>
    </row>
    <row r="62" spans="1:44">
      <c r="B62" s="42"/>
      <c r="C62" s="43"/>
      <c r="D62" s="42"/>
      <c r="E62" s="42"/>
      <c r="F62" s="51"/>
      <c r="G62" s="42">
        <v>90</v>
      </c>
      <c r="H62" s="42" t="s">
        <v>126</v>
      </c>
      <c r="I62" s="42">
        <v>71</v>
      </c>
      <c r="J62" s="42" t="s">
        <v>128</v>
      </c>
      <c r="K62" s="42">
        <v>4194</v>
      </c>
      <c r="L62" s="42" t="s">
        <v>127</v>
      </c>
      <c r="M62" s="42">
        <v>108521001</v>
      </c>
      <c r="N62" s="42" t="s">
        <v>129</v>
      </c>
      <c r="O62" s="42" t="s">
        <v>130</v>
      </c>
      <c r="P62" s="42">
        <v>20241230</v>
      </c>
      <c r="Q62" s="44">
        <v>13200</v>
      </c>
      <c r="R62" s="42"/>
      <c r="S62" s="44">
        <v>0</v>
      </c>
      <c r="T62" s="44">
        <v>13200</v>
      </c>
      <c r="U62" s="42">
        <v>11050100</v>
      </c>
      <c r="V62" s="42" t="s">
        <v>131</v>
      </c>
      <c r="W62" s="42">
        <v>20241115</v>
      </c>
      <c r="X62" s="42">
        <v>20241110</v>
      </c>
      <c r="Y62" s="42"/>
      <c r="Z62" s="42">
        <v>65478912</v>
      </c>
      <c r="AA62" s="42">
        <v>123456</v>
      </c>
      <c r="AB62" s="52" t="s">
        <v>164</v>
      </c>
      <c r="AC62" s="52" t="s">
        <v>168</v>
      </c>
      <c r="AD62" s="52" t="s">
        <v>166</v>
      </c>
      <c r="AE62" s="56">
        <v>1</v>
      </c>
      <c r="AF62" s="57">
        <v>12000</v>
      </c>
      <c r="AG62" s="57">
        <v>12000</v>
      </c>
      <c r="AH62" s="57">
        <v>1200</v>
      </c>
      <c r="AI62" s="57">
        <v>13200</v>
      </c>
      <c r="AJ62" s="44"/>
      <c r="AK62" s="42"/>
      <c r="AL62" s="42"/>
      <c r="AM62" s="42"/>
      <c r="AN62" s="42"/>
      <c r="AO62" s="42"/>
      <c r="AP62" s="63" t="s">
        <v>221</v>
      </c>
      <c r="AQ62" s="66" t="s">
        <v>87</v>
      </c>
    </row>
    <row r="63" spans="1:44">
      <c r="B63" s="42"/>
      <c r="C63" s="42"/>
      <c r="D63" s="42"/>
      <c r="E63" s="42"/>
      <c r="F63" s="51"/>
      <c r="G63" s="42">
        <v>90</v>
      </c>
      <c r="H63" s="42" t="s">
        <v>126</v>
      </c>
      <c r="I63" s="42">
        <v>71</v>
      </c>
      <c r="J63" s="42" t="s">
        <v>128</v>
      </c>
      <c r="K63" s="42">
        <v>4194</v>
      </c>
      <c r="L63" s="42" t="s">
        <v>127</v>
      </c>
      <c r="M63" s="42">
        <v>108521001</v>
      </c>
      <c r="N63" s="42" t="s">
        <v>129</v>
      </c>
      <c r="O63" s="42" t="s">
        <v>130</v>
      </c>
      <c r="P63" s="42">
        <v>20241230</v>
      </c>
      <c r="Q63" s="44">
        <v>4400</v>
      </c>
      <c r="R63" s="45"/>
      <c r="S63" s="44">
        <v>0</v>
      </c>
      <c r="T63" s="44">
        <v>4400</v>
      </c>
      <c r="U63" s="42">
        <v>11050100</v>
      </c>
      <c r="V63" s="42" t="s">
        <v>131</v>
      </c>
      <c r="W63" s="42">
        <v>20241116</v>
      </c>
      <c r="X63" s="42">
        <v>20241110</v>
      </c>
      <c r="Y63" s="42"/>
      <c r="Z63" s="42">
        <v>656232112</v>
      </c>
      <c r="AA63" s="42">
        <v>123456</v>
      </c>
      <c r="AB63" s="52" t="s">
        <v>164</v>
      </c>
      <c r="AC63" s="52" t="s">
        <v>168</v>
      </c>
      <c r="AD63" s="52" t="s">
        <v>166</v>
      </c>
      <c r="AE63" s="56">
        <v>2</v>
      </c>
      <c r="AF63" s="57">
        <v>2000</v>
      </c>
      <c r="AG63" s="57">
        <v>4000</v>
      </c>
      <c r="AH63" s="57">
        <v>400</v>
      </c>
      <c r="AI63" s="57">
        <v>4400</v>
      </c>
      <c r="AJ63" s="44"/>
      <c r="AK63" s="42"/>
      <c r="AL63" s="42"/>
      <c r="AM63" s="42"/>
      <c r="AN63" s="42"/>
      <c r="AO63" s="42"/>
      <c r="AP63" s="63" t="s">
        <v>222</v>
      </c>
      <c r="AQ63" s="66" t="s">
        <v>87</v>
      </c>
    </row>
    <row r="64" spans="1:44">
      <c r="B64" s="42"/>
      <c r="C64" s="42"/>
      <c r="D64" s="42"/>
      <c r="E64" s="42"/>
      <c r="F64" s="51"/>
      <c r="G64" s="42">
        <v>90</v>
      </c>
      <c r="H64" s="42" t="s">
        <v>126</v>
      </c>
      <c r="I64" s="42">
        <v>71</v>
      </c>
      <c r="J64" s="42" t="s">
        <v>128</v>
      </c>
      <c r="K64" s="42">
        <v>4194</v>
      </c>
      <c r="L64" s="42" t="s">
        <v>127</v>
      </c>
      <c r="M64" s="42">
        <v>108521001</v>
      </c>
      <c r="N64" s="42" t="s">
        <v>129</v>
      </c>
      <c r="O64" s="42" t="s">
        <v>130</v>
      </c>
      <c r="P64" s="42">
        <v>20241230</v>
      </c>
      <c r="Q64" s="44">
        <v>5500</v>
      </c>
      <c r="R64" s="44"/>
      <c r="S64" s="44">
        <v>0</v>
      </c>
      <c r="T64" s="44">
        <v>5500</v>
      </c>
      <c r="U64" s="42">
        <v>11050100</v>
      </c>
      <c r="V64" s="42" t="s">
        <v>131</v>
      </c>
      <c r="W64" s="42">
        <v>20241116</v>
      </c>
      <c r="X64" s="42">
        <v>20241111</v>
      </c>
      <c r="Y64" s="42"/>
      <c r="Z64" s="42">
        <v>9546231</v>
      </c>
      <c r="AA64" s="42">
        <v>123456</v>
      </c>
      <c r="AB64" s="52" t="s">
        <v>164</v>
      </c>
      <c r="AC64" s="52" t="s">
        <v>168</v>
      </c>
      <c r="AD64" s="52" t="s">
        <v>166</v>
      </c>
      <c r="AE64" s="56">
        <v>1</v>
      </c>
      <c r="AF64" s="57">
        <v>5000</v>
      </c>
      <c r="AG64" s="57">
        <v>5000</v>
      </c>
      <c r="AH64" s="57">
        <v>500</v>
      </c>
      <c r="AI64" s="57">
        <v>5500</v>
      </c>
      <c r="AJ64" s="44"/>
      <c r="AK64" s="42"/>
      <c r="AL64" s="42"/>
      <c r="AM64" s="42"/>
      <c r="AN64" s="42"/>
      <c r="AO64" s="42"/>
      <c r="AP64" s="63" t="s">
        <v>223</v>
      </c>
      <c r="AQ64" s="66" t="s">
        <v>87</v>
      </c>
    </row>
  </sheetData>
  <phoneticPr fontId="8"/>
  <pageMargins left="0.7" right="0.7" top="0.75" bottom="0.75" header="0.3" footer="0.3"/>
  <pageSetup paperSize="9" scale="17"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codeName="Sheet5">
    <pageSetUpPr fitToPage="1"/>
  </sheetPr>
  <dimension ref="A1:BK40"/>
  <sheetViews>
    <sheetView view="pageBreakPreview" zoomScaleNormal="100"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83" t="s">
        <v>132</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5"/>
      <c r="AT2" s="77" t="s">
        <v>3</v>
      </c>
      <c r="AU2" s="78"/>
      <c r="AV2" s="78"/>
      <c r="AW2" s="78"/>
      <c r="AX2" s="79"/>
      <c r="AY2" s="77" t="s">
        <v>133</v>
      </c>
      <c r="AZ2" s="78"/>
      <c r="BA2" s="78"/>
      <c r="BB2" s="79"/>
      <c r="BC2" s="77" t="s">
        <v>5</v>
      </c>
      <c r="BD2" s="78"/>
      <c r="BE2" s="78"/>
      <c r="BF2" s="79"/>
      <c r="BG2" s="77"/>
      <c r="BH2" s="78"/>
      <c r="BI2" s="78"/>
      <c r="BJ2" s="79"/>
    </row>
    <row r="3" spans="1:63" s="1" customFormat="1" ht="18" customHeight="1">
      <c r="A3" s="86" t="s">
        <v>6</v>
      </c>
      <c r="B3" s="87"/>
      <c r="C3" s="87"/>
      <c r="D3" s="87"/>
      <c r="E3" s="87"/>
      <c r="F3" s="87"/>
      <c r="G3" s="87"/>
      <c r="H3" s="88"/>
      <c r="I3" s="92" t="s">
        <v>199</v>
      </c>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4"/>
      <c r="AT3" s="77" t="s">
        <v>7</v>
      </c>
      <c r="AU3" s="78"/>
      <c r="AV3" s="78"/>
      <c r="AW3" s="78"/>
      <c r="AX3" s="79"/>
      <c r="AY3" s="77" t="s">
        <v>198</v>
      </c>
      <c r="AZ3" s="78"/>
      <c r="BA3" s="78"/>
      <c r="BB3" s="78"/>
      <c r="BC3" s="78"/>
      <c r="BD3" s="78"/>
      <c r="BE3" s="78"/>
      <c r="BF3" s="78"/>
      <c r="BG3" s="78"/>
      <c r="BH3" s="78"/>
      <c r="BI3" s="78"/>
      <c r="BJ3" s="79"/>
    </row>
    <row r="4" spans="1:63" s="1" customFormat="1" ht="18" customHeight="1">
      <c r="A4" s="89"/>
      <c r="B4" s="90"/>
      <c r="C4" s="90"/>
      <c r="D4" s="90"/>
      <c r="E4" s="90"/>
      <c r="F4" s="90"/>
      <c r="G4" s="90"/>
      <c r="H4" s="91"/>
      <c r="I4" s="95"/>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7"/>
      <c r="AT4" s="77" t="s">
        <v>8</v>
      </c>
      <c r="AU4" s="78"/>
      <c r="AV4" s="78"/>
      <c r="AW4" s="78"/>
      <c r="AX4" s="79"/>
      <c r="AY4" s="77"/>
      <c r="AZ4" s="78"/>
      <c r="BA4" s="78"/>
      <c r="BB4" s="78"/>
      <c r="BC4" s="78"/>
      <c r="BD4" s="78"/>
      <c r="BE4" s="78"/>
      <c r="BF4" s="78"/>
      <c r="BG4" s="78"/>
      <c r="BH4" s="78"/>
      <c r="BI4" s="78"/>
      <c r="BJ4" s="79"/>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134" t="s">
        <v>17</v>
      </c>
      <c r="B6" s="135"/>
      <c r="C6" s="135"/>
      <c r="D6" s="135"/>
      <c r="E6" s="135"/>
      <c r="F6" s="135"/>
      <c r="G6" s="135"/>
      <c r="H6" s="135"/>
      <c r="I6" s="135"/>
      <c r="J6" s="135"/>
      <c r="K6" s="136"/>
      <c r="L6" s="134" t="s">
        <v>200</v>
      </c>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8"/>
    </row>
    <row r="7" spans="1:63"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30.75" customHeight="1">
      <c r="A8" s="77" t="s">
        <v>22</v>
      </c>
      <c r="B8" s="78"/>
      <c r="C8" s="79"/>
      <c r="D8" s="77" t="s">
        <v>134</v>
      </c>
      <c r="E8" s="78"/>
      <c r="F8" s="78"/>
      <c r="G8" s="78"/>
      <c r="H8" s="78"/>
      <c r="I8" s="78"/>
      <c r="J8" s="78"/>
      <c r="K8" s="78"/>
      <c r="L8" s="78"/>
      <c r="M8" s="78"/>
      <c r="N8" s="78"/>
      <c r="O8" s="78"/>
      <c r="P8" s="78"/>
      <c r="Q8" s="79"/>
      <c r="R8" s="161" t="s">
        <v>135</v>
      </c>
      <c r="S8" s="162"/>
      <c r="T8" s="162"/>
      <c r="U8" s="163"/>
      <c r="V8" s="161" t="s">
        <v>136</v>
      </c>
      <c r="W8" s="162"/>
      <c r="X8" s="162"/>
      <c r="Y8" s="163"/>
      <c r="Z8" s="161" t="s">
        <v>137</v>
      </c>
      <c r="AA8" s="162"/>
      <c r="AB8" s="162"/>
      <c r="AC8" s="163"/>
      <c r="AD8" s="161" t="s">
        <v>138</v>
      </c>
      <c r="AE8" s="162"/>
      <c r="AF8" s="162"/>
      <c r="AG8" s="163"/>
      <c r="AH8" s="77" t="s">
        <v>139</v>
      </c>
      <c r="AI8" s="78"/>
      <c r="AJ8" s="78"/>
      <c r="AK8" s="78"/>
      <c r="AL8" s="78"/>
      <c r="AM8" s="78"/>
      <c r="AN8" s="78"/>
      <c r="AO8" s="78"/>
      <c r="AP8" s="78"/>
      <c r="AQ8" s="78"/>
      <c r="AR8" s="78"/>
      <c r="AS8" s="78"/>
      <c r="AT8" s="78"/>
      <c r="AU8" s="78"/>
      <c r="AV8" s="78"/>
      <c r="AW8" s="78"/>
      <c r="AX8" s="78"/>
      <c r="AY8" s="78"/>
      <c r="AZ8" s="78"/>
      <c r="BA8" s="78"/>
      <c r="BB8" s="78"/>
      <c r="BC8" s="79"/>
      <c r="BD8" s="161" t="s">
        <v>140</v>
      </c>
      <c r="BE8" s="162"/>
      <c r="BF8" s="162"/>
      <c r="BG8" s="162"/>
      <c r="BH8" s="162"/>
      <c r="BI8" s="162"/>
      <c r="BJ8" s="163"/>
    </row>
    <row r="9" spans="1:63" s="9" customFormat="1" ht="40.5" customHeight="1">
      <c r="A9" s="164"/>
      <c r="B9" s="165"/>
      <c r="C9" s="166"/>
      <c r="D9" s="167"/>
      <c r="E9" s="168"/>
      <c r="F9" s="168"/>
      <c r="G9" s="168"/>
      <c r="H9" s="168"/>
      <c r="I9" s="168"/>
      <c r="J9" s="168"/>
      <c r="K9" s="168"/>
      <c r="L9" s="168"/>
      <c r="M9" s="168"/>
      <c r="N9" s="168"/>
      <c r="O9" s="168"/>
      <c r="P9" s="168"/>
      <c r="Q9" s="169"/>
      <c r="R9" s="164"/>
      <c r="S9" s="165"/>
      <c r="T9" s="165"/>
      <c r="U9" s="166"/>
      <c r="V9" s="164"/>
      <c r="W9" s="165"/>
      <c r="X9" s="165"/>
      <c r="Y9" s="166"/>
      <c r="Z9" s="164"/>
      <c r="AA9" s="165"/>
      <c r="AB9" s="165"/>
      <c r="AC9" s="166"/>
      <c r="AD9" s="164"/>
      <c r="AE9" s="165"/>
      <c r="AF9" s="165"/>
      <c r="AG9" s="166"/>
      <c r="AH9" s="170" t="s">
        <v>141</v>
      </c>
      <c r="AI9" s="171"/>
      <c r="AJ9" s="171"/>
      <c r="AK9" s="171"/>
      <c r="AL9" s="171"/>
      <c r="AM9" s="171"/>
      <c r="AN9" s="171"/>
      <c r="AO9" s="171"/>
      <c r="AP9" s="171"/>
      <c r="AQ9" s="171"/>
      <c r="AR9" s="171"/>
      <c r="AS9" s="171"/>
      <c r="AT9" s="171"/>
      <c r="AU9" s="171"/>
      <c r="AV9" s="171"/>
      <c r="AW9" s="171"/>
      <c r="AX9" s="171"/>
      <c r="AY9" s="171"/>
      <c r="AZ9" s="171"/>
      <c r="BA9" s="171"/>
      <c r="BB9" s="171"/>
      <c r="BC9" s="172"/>
      <c r="BD9" s="164"/>
      <c r="BE9" s="165"/>
      <c r="BF9" s="165"/>
      <c r="BG9" s="165"/>
      <c r="BH9" s="165"/>
      <c r="BI9" s="165"/>
      <c r="BJ9" s="166"/>
    </row>
    <row r="10" spans="1:63" ht="40.5" customHeight="1">
      <c r="A10" s="155"/>
      <c r="B10" s="156"/>
      <c r="C10" s="157"/>
      <c r="D10" s="158"/>
      <c r="E10" s="159"/>
      <c r="F10" s="159"/>
      <c r="G10" s="159"/>
      <c r="H10" s="159"/>
      <c r="I10" s="159"/>
      <c r="J10" s="159"/>
      <c r="K10" s="159"/>
      <c r="L10" s="159"/>
      <c r="M10" s="159"/>
      <c r="N10" s="159"/>
      <c r="O10" s="159"/>
      <c r="P10" s="159"/>
      <c r="Q10" s="160"/>
      <c r="R10" s="155"/>
      <c r="S10" s="156"/>
      <c r="T10" s="156"/>
      <c r="U10" s="157"/>
      <c r="V10" s="155"/>
      <c r="W10" s="156"/>
      <c r="X10" s="156"/>
      <c r="Y10" s="157"/>
      <c r="Z10" s="155"/>
      <c r="AA10" s="156"/>
      <c r="AB10" s="156"/>
      <c r="AC10" s="157"/>
      <c r="AD10" s="155"/>
      <c r="AE10" s="156"/>
      <c r="AF10" s="156"/>
      <c r="AG10" s="157"/>
      <c r="AH10" s="152"/>
      <c r="AI10" s="153"/>
      <c r="AJ10" s="153"/>
      <c r="AK10" s="153"/>
      <c r="AL10" s="153"/>
      <c r="AM10" s="153"/>
      <c r="AN10" s="153"/>
      <c r="AO10" s="153"/>
      <c r="AP10" s="153"/>
      <c r="AQ10" s="153"/>
      <c r="AR10" s="153"/>
      <c r="AS10" s="153"/>
      <c r="AT10" s="153"/>
      <c r="AU10" s="153"/>
      <c r="AV10" s="153"/>
      <c r="AW10" s="153"/>
      <c r="AX10" s="153"/>
      <c r="AY10" s="153"/>
      <c r="AZ10" s="153"/>
      <c r="BA10" s="153"/>
      <c r="BB10" s="153"/>
      <c r="BC10" s="154"/>
      <c r="BD10" s="155"/>
      <c r="BE10" s="156"/>
      <c r="BF10" s="156"/>
      <c r="BG10" s="156"/>
      <c r="BH10" s="156"/>
      <c r="BI10" s="156"/>
      <c r="BJ10" s="157"/>
    </row>
    <row r="11" spans="1:63" ht="40.5" customHeight="1">
      <c r="A11" s="155"/>
      <c r="B11" s="156"/>
      <c r="C11" s="157"/>
      <c r="D11" s="158"/>
      <c r="E11" s="159"/>
      <c r="F11" s="159"/>
      <c r="G11" s="159"/>
      <c r="H11" s="159"/>
      <c r="I11" s="159"/>
      <c r="J11" s="159"/>
      <c r="K11" s="159"/>
      <c r="L11" s="159"/>
      <c r="M11" s="159"/>
      <c r="N11" s="159"/>
      <c r="O11" s="159"/>
      <c r="P11" s="159"/>
      <c r="Q11" s="160"/>
      <c r="R11" s="155"/>
      <c r="S11" s="156"/>
      <c r="T11" s="156"/>
      <c r="U11" s="157"/>
      <c r="V11" s="155"/>
      <c r="W11" s="156"/>
      <c r="X11" s="156"/>
      <c r="Y11" s="157"/>
      <c r="Z11" s="155"/>
      <c r="AA11" s="156"/>
      <c r="AB11" s="156"/>
      <c r="AC11" s="157"/>
      <c r="AD11" s="155"/>
      <c r="AE11" s="156"/>
      <c r="AF11" s="156"/>
      <c r="AG11" s="157"/>
      <c r="AH11" s="152"/>
      <c r="AI11" s="153"/>
      <c r="AJ11" s="153"/>
      <c r="AK11" s="153"/>
      <c r="AL11" s="153"/>
      <c r="AM11" s="153"/>
      <c r="AN11" s="153"/>
      <c r="AO11" s="153"/>
      <c r="AP11" s="153"/>
      <c r="AQ11" s="153"/>
      <c r="AR11" s="153"/>
      <c r="AS11" s="153"/>
      <c r="AT11" s="153"/>
      <c r="AU11" s="153"/>
      <c r="AV11" s="153"/>
      <c r="AW11" s="153"/>
      <c r="AX11" s="153"/>
      <c r="AY11" s="153"/>
      <c r="AZ11" s="153"/>
      <c r="BA11" s="153"/>
      <c r="BB11" s="153"/>
      <c r="BC11" s="154"/>
      <c r="BD11" s="155"/>
      <c r="BE11" s="156"/>
      <c r="BF11" s="156"/>
      <c r="BG11" s="156"/>
      <c r="BH11" s="156"/>
      <c r="BI11" s="156"/>
      <c r="BJ11" s="157"/>
    </row>
    <row r="12" spans="1:63" ht="40.5" customHeight="1">
      <c r="A12" s="155"/>
      <c r="B12" s="156"/>
      <c r="C12" s="157"/>
      <c r="D12" s="158"/>
      <c r="E12" s="159"/>
      <c r="F12" s="159"/>
      <c r="G12" s="159"/>
      <c r="H12" s="159"/>
      <c r="I12" s="159"/>
      <c r="J12" s="159"/>
      <c r="K12" s="159"/>
      <c r="L12" s="159"/>
      <c r="M12" s="159"/>
      <c r="N12" s="159"/>
      <c r="O12" s="159"/>
      <c r="P12" s="159"/>
      <c r="Q12" s="160"/>
      <c r="R12" s="155"/>
      <c r="S12" s="156"/>
      <c r="T12" s="156"/>
      <c r="U12" s="157"/>
      <c r="V12" s="155"/>
      <c r="W12" s="156"/>
      <c r="X12" s="156"/>
      <c r="Y12" s="157"/>
      <c r="Z12" s="155"/>
      <c r="AA12" s="156"/>
      <c r="AB12" s="156"/>
      <c r="AC12" s="157"/>
      <c r="AD12" s="155"/>
      <c r="AE12" s="156"/>
      <c r="AF12" s="156"/>
      <c r="AG12" s="157"/>
      <c r="AH12" s="152"/>
      <c r="AI12" s="153"/>
      <c r="AJ12" s="153"/>
      <c r="AK12" s="153"/>
      <c r="AL12" s="153"/>
      <c r="AM12" s="153"/>
      <c r="AN12" s="153"/>
      <c r="AO12" s="153"/>
      <c r="AP12" s="153"/>
      <c r="AQ12" s="153"/>
      <c r="AR12" s="153"/>
      <c r="AS12" s="153"/>
      <c r="AT12" s="153"/>
      <c r="AU12" s="153"/>
      <c r="AV12" s="153"/>
      <c r="AW12" s="153"/>
      <c r="AX12" s="153"/>
      <c r="AY12" s="153"/>
      <c r="AZ12" s="153"/>
      <c r="BA12" s="153"/>
      <c r="BB12" s="153"/>
      <c r="BC12" s="154"/>
      <c r="BD12" s="155"/>
      <c r="BE12" s="156"/>
      <c r="BF12" s="156"/>
      <c r="BG12" s="156"/>
      <c r="BH12" s="156"/>
      <c r="BI12" s="156"/>
      <c r="BJ12" s="157"/>
    </row>
    <row r="13" spans="1:63" ht="40.5" customHeight="1">
      <c r="A13" s="155"/>
      <c r="B13" s="156"/>
      <c r="C13" s="157"/>
      <c r="D13" s="158"/>
      <c r="E13" s="159"/>
      <c r="F13" s="159"/>
      <c r="G13" s="159"/>
      <c r="H13" s="159"/>
      <c r="I13" s="159"/>
      <c r="J13" s="159"/>
      <c r="K13" s="159"/>
      <c r="L13" s="159"/>
      <c r="M13" s="159"/>
      <c r="N13" s="159"/>
      <c r="O13" s="159"/>
      <c r="P13" s="159"/>
      <c r="Q13" s="160"/>
      <c r="R13" s="155"/>
      <c r="S13" s="156"/>
      <c r="T13" s="156"/>
      <c r="U13" s="157"/>
      <c r="V13" s="155"/>
      <c r="W13" s="156"/>
      <c r="X13" s="156"/>
      <c r="Y13" s="157"/>
      <c r="Z13" s="155"/>
      <c r="AA13" s="156"/>
      <c r="AB13" s="156"/>
      <c r="AC13" s="157"/>
      <c r="AD13" s="155"/>
      <c r="AE13" s="156"/>
      <c r="AF13" s="156"/>
      <c r="AG13" s="157"/>
      <c r="AH13" s="152"/>
      <c r="AI13" s="153"/>
      <c r="AJ13" s="153"/>
      <c r="AK13" s="153"/>
      <c r="AL13" s="153"/>
      <c r="AM13" s="153"/>
      <c r="AN13" s="153"/>
      <c r="AO13" s="153"/>
      <c r="AP13" s="153"/>
      <c r="AQ13" s="153"/>
      <c r="AR13" s="153"/>
      <c r="AS13" s="153"/>
      <c r="AT13" s="153"/>
      <c r="AU13" s="153"/>
      <c r="AV13" s="153"/>
      <c r="AW13" s="153"/>
      <c r="AX13" s="153"/>
      <c r="AY13" s="153"/>
      <c r="AZ13" s="153"/>
      <c r="BA13" s="153"/>
      <c r="BB13" s="153"/>
      <c r="BC13" s="154"/>
      <c r="BD13" s="155"/>
      <c r="BE13" s="156"/>
      <c r="BF13" s="156"/>
      <c r="BG13" s="156"/>
      <c r="BH13" s="156"/>
      <c r="BI13" s="156"/>
      <c r="BJ13" s="157"/>
    </row>
    <row r="14" spans="1:63" ht="40.5" customHeight="1">
      <c r="A14" s="155"/>
      <c r="B14" s="156"/>
      <c r="C14" s="157"/>
      <c r="D14" s="158"/>
      <c r="E14" s="159"/>
      <c r="F14" s="159"/>
      <c r="G14" s="159"/>
      <c r="H14" s="159"/>
      <c r="I14" s="159"/>
      <c r="J14" s="159"/>
      <c r="K14" s="159"/>
      <c r="L14" s="159"/>
      <c r="M14" s="159"/>
      <c r="N14" s="159"/>
      <c r="O14" s="159"/>
      <c r="P14" s="159"/>
      <c r="Q14" s="160"/>
      <c r="R14" s="155"/>
      <c r="S14" s="156"/>
      <c r="T14" s="156"/>
      <c r="U14" s="157"/>
      <c r="V14" s="155"/>
      <c r="W14" s="156"/>
      <c r="X14" s="156"/>
      <c r="Y14" s="157"/>
      <c r="Z14" s="155"/>
      <c r="AA14" s="156"/>
      <c r="AB14" s="156"/>
      <c r="AC14" s="157"/>
      <c r="AD14" s="155"/>
      <c r="AE14" s="156"/>
      <c r="AF14" s="156"/>
      <c r="AG14" s="157"/>
      <c r="AH14" s="152"/>
      <c r="AI14" s="153"/>
      <c r="AJ14" s="153"/>
      <c r="AK14" s="153"/>
      <c r="AL14" s="153"/>
      <c r="AM14" s="153"/>
      <c r="AN14" s="153"/>
      <c r="AO14" s="153"/>
      <c r="AP14" s="153"/>
      <c r="AQ14" s="153"/>
      <c r="AR14" s="153"/>
      <c r="AS14" s="153"/>
      <c r="AT14" s="153"/>
      <c r="AU14" s="153"/>
      <c r="AV14" s="153"/>
      <c r="AW14" s="153"/>
      <c r="AX14" s="153"/>
      <c r="AY14" s="153"/>
      <c r="AZ14" s="153"/>
      <c r="BA14" s="153"/>
      <c r="BB14" s="153"/>
      <c r="BC14" s="154"/>
      <c r="BD14" s="155"/>
      <c r="BE14" s="156"/>
      <c r="BF14" s="156"/>
      <c r="BG14" s="156"/>
      <c r="BH14" s="156"/>
      <c r="BI14" s="156"/>
      <c r="BJ14" s="157"/>
    </row>
    <row r="15" spans="1:63" ht="40.5" customHeight="1">
      <c r="A15" s="155"/>
      <c r="B15" s="156"/>
      <c r="C15" s="157"/>
      <c r="D15" s="158"/>
      <c r="E15" s="159"/>
      <c r="F15" s="159"/>
      <c r="G15" s="159"/>
      <c r="H15" s="159"/>
      <c r="I15" s="159"/>
      <c r="J15" s="159"/>
      <c r="K15" s="159"/>
      <c r="L15" s="159"/>
      <c r="M15" s="159"/>
      <c r="N15" s="159"/>
      <c r="O15" s="159"/>
      <c r="P15" s="159"/>
      <c r="Q15" s="160"/>
      <c r="R15" s="155"/>
      <c r="S15" s="156"/>
      <c r="T15" s="156"/>
      <c r="U15" s="157"/>
      <c r="V15" s="155"/>
      <c r="W15" s="156"/>
      <c r="X15" s="156"/>
      <c r="Y15" s="157"/>
      <c r="Z15" s="155"/>
      <c r="AA15" s="156"/>
      <c r="AB15" s="156"/>
      <c r="AC15" s="157"/>
      <c r="AD15" s="155"/>
      <c r="AE15" s="156"/>
      <c r="AF15" s="156"/>
      <c r="AG15" s="157"/>
      <c r="AH15" s="152"/>
      <c r="AI15" s="153"/>
      <c r="AJ15" s="153"/>
      <c r="AK15" s="153"/>
      <c r="AL15" s="153"/>
      <c r="AM15" s="153"/>
      <c r="AN15" s="153"/>
      <c r="AO15" s="153"/>
      <c r="AP15" s="153"/>
      <c r="AQ15" s="153"/>
      <c r="AR15" s="153"/>
      <c r="AS15" s="153"/>
      <c r="AT15" s="153"/>
      <c r="AU15" s="153"/>
      <c r="AV15" s="153"/>
      <c r="AW15" s="153"/>
      <c r="AX15" s="153"/>
      <c r="AY15" s="153"/>
      <c r="AZ15" s="153"/>
      <c r="BA15" s="153"/>
      <c r="BB15" s="153"/>
      <c r="BC15" s="154"/>
      <c r="BD15" s="155"/>
      <c r="BE15" s="156"/>
      <c r="BF15" s="156"/>
      <c r="BG15" s="156"/>
      <c r="BH15" s="156"/>
      <c r="BI15" s="156"/>
      <c r="BJ15" s="157"/>
    </row>
    <row r="16" spans="1:63" ht="40.5" customHeight="1">
      <c r="A16" s="155"/>
      <c r="B16" s="156"/>
      <c r="C16" s="157"/>
      <c r="D16" s="158"/>
      <c r="E16" s="159"/>
      <c r="F16" s="159"/>
      <c r="G16" s="159"/>
      <c r="H16" s="159"/>
      <c r="I16" s="159"/>
      <c r="J16" s="159"/>
      <c r="K16" s="159"/>
      <c r="L16" s="159"/>
      <c r="M16" s="159"/>
      <c r="N16" s="159"/>
      <c r="O16" s="159"/>
      <c r="P16" s="159"/>
      <c r="Q16" s="160"/>
      <c r="R16" s="155"/>
      <c r="S16" s="156"/>
      <c r="T16" s="156"/>
      <c r="U16" s="157"/>
      <c r="V16" s="155"/>
      <c r="W16" s="156"/>
      <c r="X16" s="156"/>
      <c r="Y16" s="157"/>
      <c r="Z16" s="155"/>
      <c r="AA16" s="156"/>
      <c r="AB16" s="156"/>
      <c r="AC16" s="157"/>
      <c r="AD16" s="155"/>
      <c r="AE16" s="156"/>
      <c r="AF16" s="156"/>
      <c r="AG16" s="157"/>
      <c r="AH16" s="152"/>
      <c r="AI16" s="153"/>
      <c r="AJ16" s="153"/>
      <c r="AK16" s="153"/>
      <c r="AL16" s="153"/>
      <c r="AM16" s="153"/>
      <c r="AN16" s="153"/>
      <c r="AO16" s="153"/>
      <c r="AP16" s="153"/>
      <c r="AQ16" s="153"/>
      <c r="AR16" s="153"/>
      <c r="AS16" s="153"/>
      <c r="AT16" s="153"/>
      <c r="AU16" s="153"/>
      <c r="AV16" s="153"/>
      <c r="AW16" s="153"/>
      <c r="AX16" s="153"/>
      <c r="AY16" s="153"/>
      <c r="AZ16" s="153"/>
      <c r="BA16" s="153"/>
      <c r="BB16" s="153"/>
      <c r="BC16" s="154"/>
      <c r="BD16" s="155"/>
      <c r="BE16" s="156"/>
      <c r="BF16" s="156"/>
      <c r="BG16" s="156"/>
      <c r="BH16" s="156"/>
      <c r="BI16" s="156"/>
      <c r="BJ16" s="157"/>
    </row>
    <row r="17" spans="1:62" ht="40.5" customHeight="1">
      <c r="A17" s="155"/>
      <c r="B17" s="156"/>
      <c r="C17" s="157"/>
      <c r="D17" s="158"/>
      <c r="E17" s="159"/>
      <c r="F17" s="159"/>
      <c r="G17" s="159"/>
      <c r="H17" s="159"/>
      <c r="I17" s="159"/>
      <c r="J17" s="159"/>
      <c r="K17" s="159"/>
      <c r="L17" s="159"/>
      <c r="M17" s="159"/>
      <c r="N17" s="159"/>
      <c r="O17" s="159"/>
      <c r="P17" s="159"/>
      <c r="Q17" s="160"/>
      <c r="R17" s="155"/>
      <c r="S17" s="156"/>
      <c r="T17" s="156"/>
      <c r="U17" s="157"/>
      <c r="V17" s="155"/>
      <c r="W17" s="156"/>
      <c r="X17" s="156"/>
      <c r="Y17" s="157"/>
      <c r="Z17" s="155"/>
      <c r="AA17" s="156"/>
      <c r="AB17" s="156"/>
      <c r="AC17" s="157"/>
      <c r="AD17" s="155"/>
      <c r="AE17" s="156"/>
      <c r="AF17" s="156"/>
      <c r="AG17" s="157"/>
      <c r="AH17" s="152"/>
      <c r="AI17" s="153"/>
      <c r="AJ17" s="153"/>
      <c r="AK17" s="153"/>
      <c r="AL17" s="153"/>
      <c r="AM17" s="153"/>
      <c r="AN17" s="153"/>
      <c r="AO17" s="153"/>
      <c r="AP17" s="153"/>
      <c r="AQ17" s="153"/>
      <c r="AR17" s="153"/>
      <c r="AS17" s="153"/>
      <c r="AT17" s="153"/>
      <c r="AU17" s="153"/>
      <c r="AV17" s="153"/>
      <c r="AW17" s="153"/>
      <c r="AX17" s="153"/>
      <c r="AY17" s="153"/>
      <c r="AZ17" s="153"/>
      <c r="BA17" s="153"/>
      <c r="BB17" s="153"/>
      <c r="BC17" s="154"/>
      <c r="BD17" s="155"/>
      <c r="BE17" s="156"/>
      <c r="BF17" s="156"/>
      <c r="BG17" s="156"/>
      <c r="BH17" s="156"/>
      <c r="BI17" s="156"/>
      <c r="BJ17" s="157"/>
    </row>
    <row r="18" spans="1:62" ht="40.5" customHeight="1">
      <c r="A18" s="155"/>
      <c r="B18" s="156"/>
      <c r="C18" s="157"/>
      <c r="D18" s="158"/>
      <c r="E18" s="159"/>
      <c r="F18" s="159"/>
      <c r="G18" s="159"/>
      <c r="H18" s="159"/>
      <c r="I18" s="159"/>
      <c r="J18" s="159"/>
      <c r="K18" s="159"/>
      <c r="L18" s="159"/>
      <c r="M18" s="159"/>
      <c r="N18" s="159"/>
      <c r="O18" s="159"/>
      <c r="P18" s="159"/>
      <c r="Q18" s="160"/>
      <c r="R18" s="155"/>
      <c r="S18" s="156"/>
      <c r="T18" s="156"/>
      <c r="U18" s="157"/>
      <c r="V18" s="155"/>
      <c r="W18" s="156"/>
      <c r="X18" s="156"/>
      <c r="Y18" s="157"/>
      <c r="Z18" s="155"/>
      <c r="AA18" s="156"/>
      <c r="AB18" s="156"/>
      <c r="AC18" s="157"/>
      <c r="AD18" s="155"/>
      <c r="AE18" s="156"/>
      <c r="AF18" s="156"/>
      <c r="AG18" s="157"/>
      <c r="AH18" s="152"/>
      <c r="AI18" s="153"/>
      <c r="AJ18" s="153"/>
      <c r="AK18" s="153"/>
      <c r="AL18" s="153"/>
      <c r="AM18" s="153"/>
      <c r="AN18" s="153"/>
      <c r="AO18" s="153"/>
      <c r="AP18" s="153"/>
      <c r="AQ18" s="153"/>
      <c r="AR18" s="153"/>
      <c r="AS18" s="153"/>
      <c r="AT18" s="153"/>
      <c r="AU18" s="153"/>
      <c r="AV18" s="153"/>
      <c r="AW18" s="153"/>
      <c r="AX18" s="153"/>
      <c r="AY18" s="153"/>
      <c r="AZ18" s="153"/>
      <c r="BA18" s="153"/>
      <c r="BB18" s="153"/>
      <c r="BC18" s="154"/>
      <c r="BD18" s="155"/>
      <c r="BE18" s="156"/>
      <c r="BF18" s="156"/>
      <c r="BG18" s="156"/>
      <c r="BH18" s="156"/>
      <c r="BI18" s="156"/>
      <c r="BJ18" s="157"/>
    </row>
    <row r="19" spans="1:62" ht="40.5" customHeight="1">
      <c r="A19" s="155"/>
      <c r="B19" s="156"/>
      <c r="C19" s="157"/>
      <c r="D19" s="158"/>
      <c r="E19" s="159"/>
      <c r="F19" s="159"/>
      <c r="G19" s="159"/>
      <c r="H19" s="159"/>
      <c r="I19" s="159"/>
      <c r="J19" s="159"/>
      <c r="K19" s="159"/>
      <c r="L19" s="159"/>
      <c r="M19" s="159"/>
      <c r="N19" s="159"/>
      <c r="O19" s="159"/>
      <c r="P19" s="159"/>
      <c r="Q19" s="160"/>
      <c r="R19" s="155"/>
      <c r="S19" s="156"/>
      <c r="T19" s="156"/>
      <c r="U19" s="157"/>
      <c r="V19" s="155"/>
      <c r="W19" s="156"/>
      <c r="X19" s="156"/>
      <c r="Y19" s="157"/>
      <c r="Z19" s="155"/>
      <c r="AA19" s="156"/>
      <c r="AB19" s="156"/>
      <c r="AC19" s="157"/>
      <c r="AD19" s="155"/>
      <c r="AE19" s="156"/>
      <c r="AF19" s="156"/>
      <c r="AG19" s="157"/>
      <c r="AH19" s="152"/>
      <c r="AI19" s="153"/>
      <c r="AJ19" s="153"/>
      <c r="AK19" s="153"/>
      <c r="AL19" s="153"/>
      <c r="AM19" s="153"/>
      <c r="AN19" s="153"/>
      <c r="AO19" s="153"/>
      <c r="AP19" s="153"/>
      <c r="AQ19" s="153"/>
      <c r="AR19" s="153"/>
      <c r="AS19" s="153"/>
      <c r="AT19" s="153"/>
      <c r="AU19" s="153"/>
      <c r="AV19" s="153"/>
      <c r="AW19" s="153"/>
      <c r="AX19" s="153"/>
      <c r="AY19" s="153"/>
      <c r="AZ19" s="153"/>
      <c r="BA19" s="153"/>
      <c r="BB19" s="153"/>
      <c r="BC19" s="154"/>
      <c r="BD19" s="155"/>
      <c r="BE19" s="156"/>
      <c r="BF19" s="156"/>
      <c r="BG19" s="156"/>
      <c r="BH19" s="156"/>
      <c r="BI19" s="156"/>
      <c r="BJ19" s="157"/>
    </row>
    <row r="20" spans="1:62" ht="40.5" customHeight="1">
      <c r="A20" s="155"/>
      <c r="B20" s="156"/>
      <c r="C20" s="157"/>
      <c r="D20" s="158"/>
      <c r="E20" s="159"/>
      <c r="F20" s="159"/>
      <c r="G20" s="159"/>
      <c r="H20" s="159"/>
      <c r="I20" s="159"/>
      <c r="J20" s="159"/>
      <c r="K20" s="159"/>
      <c r="L20" s="159"/>
      <c r="M20" s="159"/>
      <c r="N20" s="159"/>
      <c r="O20" s="159"/>
      <c r="P20" s="159"/>
      <c r="Q20" s="160"/>
      <c r="R20" s="155"/>
      <c r="S20" s="156"/>
      <c r="T20" s="156"/>
      <c r="U20" s="157"/>
      <c r="V20" s="155"/>
      <c r="W20" s="156"/>
      <c r="X20" s="156"/>
      <c r="Y20" s="157"/>
      <c r="Z20" s="155"/>
      <c r="AA20" s="156"/>
      <c r="AB20" s="156"/>
      <c r="AC20" s="157"/>
      <c r="AD20" s="155"/>
      <c r="AE20" s="156"/>
      <c r="AF20" s="156"/>
      <c r="AG20" s="157"/>
      <c r="AH20" s="152"/>
      <c r="AI20" s="153"/>
      <c r="AJ20" s="153"/>
      <c r="AK20" s="153"/>
      <c r="AL20" s="153"/>
      <c r="AM20" s="153"/>
      <c r="AN20" s="153"/>
      <c r="AO20" s="153"/>
      <c r="AP20" s="153"/>
      <c r="AQ20" s="153"/>
      <c r="AR20" s="153"/>
      <c r="AS20" s="153"/>
      <c r="AT20" s="153"/>
      <c r="AU20" s="153"/>
      <c r="AV20" s="153"/>
      <c r="AW20" s="153"/>
      <c r="AX20" s="153"/>
      <c r="AY20" s="153"/>
      <c r="AZ20" s="153"/>
      <c r="BA20" s="153"/>
      <c r="BB20" s="153"/>
      <c r="BC20" s="154"/>
      <c r="BD20" s="155"/>
      <c r="BE20" s="156"/>
      <c r="BF20" s="156"/>
      <c r="BG20" s="156"/>
      <c r="BH20" s="156"/>
      <c r="BI20" s="156"/>
      <c r="BJ20" s="157"/>
    </row>
    <row r="21" spans="1:62" ht="40.5" customHeight="1">
      <c r="A21" s="155"/>
      <c r="B21" s="156"/>
      <c r="C21" s="157"/>
      <c r="D21" s="158"/>
      <c r="E21" s="159"/>
      <c r="F21" s="159"/>
      <c r="G21" s="159"/>
      <c r="H21" s="159"/>
      <c r="I21" s="159"/>
      <c r="J21" s="159"/>
      <c r="K21" s="159"/>
      <c r="L21" s="159"/>
      <c r="M21" s="159"/>
      <c r="N21" s="159"/>
      <c r="O21" s="159"/>
      <c r="P21" s="159"/>
      <c r="Q21" s="160"/>
      <c r="R21" s="155"/>
      <c r="S21" s="156"/>
      <c r="T21" s="156"/>
      <c r="U21" s="157"/>
      <c r="V21" s="155"/>
      <c r="W21" s="156"/>
      <c r="X21" s="156"/>
      <c r="Y21" s="157"/>
      <c r="Z21" s="155"/>
      <c r="AA21" s="156"/>
      <c r="AB21" s="156"/>
      <c r="AC21" s="157"/>
      <c r="AD21" s="155"/>
      <c r="AE21" s="156"/>
      <c r="AF21" s="156"/>
      <c r="AG21" s="157"/>
      <c r="AH21" s="152"/>
      <c r="AI21" s="153"/>
      <c r="AJ21" s="153"/>
      <c r="AK21" s="153"/>
      <c r="AL21" s="153"/>
      <c r="AM21" s="153"/>
      <c r="AN21" s="153"/>
      <c r="AO21" s="153"/>
      <c r="AP21" s="153"/>
      <c r="AQ21" s="153"/>
      <c r="AR21" s="153"/>
      <c r="AS21" s="153"/>
      <c r="AT21" s="153"/>
      <c r="AU21" s="153"/>
      <c r="AV21" s="153"/>
      <c r="AW21" s="153"/>
      <c r="AX21" s="153"/>
      <c r="AY21" s="153"/>
      <c r="AZ21" s="153"/>
      <c r="BA21" s="153"/>
      <c r="BB21" s="153"/>
      <c r="BC21" s="154"/>
      <c r="BD21" s="155"/>
      <c r="BE21" s="156"/>
      <c r="BF21" s="156"/>
      <c r="BG21" s="156"/>
      <c r="BH21" s="156"/>
      <c r="BI21" s="156"/>
      <c r="BJ21" s="157"/>
    </row>
    <row r="22" spans="1:62" ht="40.5" customHeight="1">
      <c r="A22" s="155"/>
      <c r="B22" s="156"/>
      <c r="C22" s="157"/>
      <c r="D22" s="158"/>
      <c r="E22" s="159"/>
      <c r="F22" s="159"/>
      <c r="G22" s="159"/>
      <c r="H22" s="159"/>
      <c r="I22" s="159"/>
      <c r="J22" s="159"/>
      <c r="K22" s="159"/>
      <c r="L22" s="159"/>
      <c r="M22" s="159"/>
      <c r="N22" s="159"/>
      <c r="O22" s="159"/>
      <c r="P22" s="159"/>
      <c r="Q22" s="160"/>
      <c r="R22" s="155"/>
      <c r="S22" s="156"/>
      <c r="T22" s="156"/>
      <c r="U22" s="157"/>
      <c r="V22" s="155"/>
      <c r="W22" s="156"/>
      <c r="X22" s="156"/>
      <c r="Y22" s="157"/>
      <c r="Z22" s="155"/>
      <c r="AA22" s="156"/>
      <c r="AB22" s="156"/>
      <c r="AC22" s="157"/>
      <c r="AD22" s="155"/>
      <c r="AE22" s="156"/>
      <c r="AF22" s="156"/>
      <c r="AG22" s="157"/>
      <c r="AH22" s="152"/>
      <c r="AI22" s="153"/>
      <c r="AJ22" s="153"/>
      <c r="AK22" s="153"/>
      <c r="AL22" s="153"/>
      <c r="AM22" s="153"/>
      <c r="AN22" s="153"/>
      <c r="AO22" s="153"/>
      <c r="AP22" s="153"/>
      <c r="AQ22" s="153"/>
      <c r="AR22" s="153"/>
      <c r="AS22" s="153"/>
      <c r="AT22" s="153"/>
      <c r="AU22" s="153"/>
      <c r="AV22" s="153"/>
      <c r="AW22" s="153"/>
      <c r="AX22" s="153"/>
      <c r="AY22" s="153"/>
      <c r="AZ22" s="153"/>
      <c r="BA22" s="153"/>
      <c r="BB22" s="153"/>
      <c r="BC22" s="154"/>
      <c r="BD22" s="155"/>
      <c r="BE22" s="156"/>
      <c r="BF22" s="156"/>
      <c r="BG22" s="156"/>
      <c r="BH22" s="156"/>
      <c r="BI22" s="156"/>
      <c r="BJ22" s="157"/>
    </row>
    <row r="23" spans="1:62" ht="40.5" customHeight="1">
      <c r="A23" s="155"/>
      <c r="B23" s="156"/>
      <c r="C23" s="157"/>
      <c r="D23" s="158"/>
      <c r="E23" s="159"/>
      <c r="F23" s="159"/>
      <c r="G23" s="159"/>
      <c r="H23" s="159"/>
      <c r="I23" s="159"/>
      <c r="J23" s="159"/>
      <c r="K23" s="159"/>
      <c r="L23" s="159"/>
      <c r="M23" s="159"/>
      <c r="N23" s="159"/>
      <c r="O23" s="159"/>
      <c r="P23" s="159"/>
      <c r="Q23" s="160"/>
      <c r="R23" s="155"/>
      <c r="S23" s="156"/>
      <c r="T23" s="156"/>
      <c r="U23" s="157"/>
      <c r="V23" s="155"/>
      <c r="W23" s="156"/>
      <c r="X23" s="156"/>
      <c r="Y23" s="157"/>
      <c r="Z23" s="155"/>
      <c r="AA23" s="156"/>
      <c r="AB23" s="156"/>
      <c r="AC23" s="157"/>
      <c r="AD23" s="155"/>
      <c r="AE23" s="156"/>
      <c r="AF23" s="156"/>
      <c r="AG23" s="157"/>
      <c r="AH23" s="152"/>
      <c r="AI23" s="153"/>
      <c r="AJ23" s="153"/>
      <c r="AK23" s="153"/>
      <c r="AL23" s="153"/>
      <c r="AM23" s="153"/>
      <c r="AN23" s="153"/>
      <c r="AO23" s="153"/>
      <c r="AP23" s="153"/>
      <c r="AQ23" s="153"/>
      <c r="AR23" s="153"/>
      <c r="AS23" s="153"/>
      <c r="AT23" s="153"/>
      <c r="AU23" s="153"/>
      <c r="AV23" s="153"/>
      <c r="AW23" s="153"/>
      <c r="AX23" s="153"/>
      <c r="AY23" s="153"/>
      <c r="AZ23" s="153"/>
      <c r="BA23" s="153"/>
      <c r="BB23" s="153"/>
      <c r="BC23" s="154"/>
      <c r="BD23" s="155"/>
      <c r="BE23" s="156"/>
      <c r="BF23" s="156"/>
      <c r="BG23" s="156"/>
      <c r="BH23" s="156"/>
      <c r="BI23" s="156"/>
      <c r="BJ23" s="157"/>
    </row>
    <row r="24" spans="1:62" ht="40.5" customHeight="1">
      <c r="A24" s="155"/>
      <c r="B24" s="156"/>
      <c r="C24" s="157"/>
      <c r="D24" s="158"/>
      <c r="E24" s="159"/>
      <c r="F24" s="159"/>
      <c r="G24" s="159"/>
      <c r="H24" s="159"/>
      <c r="I24" s="159"/>
      <c r="J24" s="159"/>
      <c r="K24" s="159"/>
      <c r="L24" s="159"/>
      <c r="M24" s="159"/>
      <c r="N24" s="159"/>
      <c r="O24" s="159"/>
      <c r="P24" s="159"/>
      <c r="Q24" s="160"/>
      <c r="R24" s="155"/>
      <c r="S24" s="156"/>
      <c r="T24" s="156"/>
      <c r="U24" s="157"/>
      <c r="V24" s="155"/>
      <c r="W24" s="156"/>
      <c r="X24" s="156"/>
      <c r="Y24" s="157"/>
      <c r="Z24" s="155"/>
      <c r="AA24" s="156"/>
      <c r="AB24" s="156"/>
      <c r="AC24" s="157"/>
      <c r="AD24" s="155"/>
      <c r="AE24" s="156"/>
      <c r="AF24" s="156"/>
      <c r="AG24" s="157"/>
      <c r="AH24" s="152"/>
      <c r="AI24" s="153"/>
      <c r="AJ24" s="153"/>
      <c r="AK24" s="153"/>
      <c r="AL24" s="153"/>
      <c r="AM24" s="153"/>
      <c r="AN24" s="153"/>
      <c r="AO24" s="153"/>
      <c r="AP24" s="153"/>
      <c r="AQ24" s="153"/>
      <c r="AR24" s="153"/>
      <c r="AS24" s="153"/>
      <c r="AT24" s="153"/>
      <c r="AU24" s="153"/>
      <c r="AV24" s="153"/>
      <c r="AW24" s="153"/>
      <c r="AX24" s="153"/>
      <c r="AY24" s="153"/>
      <c r="AZ24" s="153"/>
      <c r="BA24" s="153"/>
      <c r="BB24" s="153"/>
      <c r="BC24" s="154"/>
      <c r="BD24" s="155"/>
      <c r="BE24" s="156"/>
      <c r="BF24" s="156"/>
      <c r="BG24" s="156"/>
      <c r="BH24" s="156"/>
      <c r="BI24" s="156"/>
      <c r="BJ24" s="157"/>
    </row>
    <row r="25" spans="1:62" ht="40.5" customHeight="1">
      <c r="A25" s="155"/>
      <c r="B25" s="156"/>
      <c r="C25" s="157"/>
      <c r="D25" s="158"/>
      <c r="E25" s="159"/>
      <c r="F25" s="159"/>
      <c r="G25" s="159"/>
      <c r="H25" s="159"/>
      <c r="I25" s="159"/>
      <c r="J25" s="159"/>
      <c r="K25" s="159"/>
      <c r="L25" s="159"/>
      <c r="M25" s="159"/>
      <c r="N25" s="159"/>
      <c r="O25" s="159"/>
      <c r="P25" s="159"/>
      <c r="Q25" s="160"/>
      <c r="R25" s="155"/>
      <c r="S25" s="156"/>
      <c r="T25" s="156"/>
      <c r="U25" s="157"/>
      <c r="V25" s="155"/>
      <c r="W25" s="156"/>
      <c r="X25" s="156"/>
      <c r="Y25" s="157"/>
      <c r="Z25" s="155"/>
      <c r="AA25" s="156"/>
      <c r="AB25" s="156"/>
      <c r="AC25" s="157"/>
      <c r="AD25" s="155"/>
      <c r="AE25" s="156"/>
      <c r="AF25" s="156"/>
      <c r="AG25" s="157"/>
      <c r="AH25" s="152"/>
      <c r="AI25" s="153"/>
      <c r="AJ25" s="153"/>
      <c r="AK25" s="153"/>
      <c r="AL25" s="153"/>
      <c r="AM25" s="153"/>
      <c r="AN25" s="153"/>
      <c r="AO25" s="153"/>
      <c r="AP25" s="153"/>
      <c r="AQ25" s="153"/>
      <c r="AR25" s="153"/>
      <c r="AS25" s="153"/>
      <c r="AT25" s="153"/>
      <c r="AU25" s="153"/>
      <c r="AV25" s="153"/>
      <c r="AW25" s="153"/>
      <c r="AX25" s="153"/>
      <c r="AY25" s="153"/>
      <c r="AZ25" s="153"/>
      <c r="BA25" s="153"/>
      <c r="BB25" s="153"/>
      <c r="BC25" s="154"/>
      <c r="BD25" s="155"/>
      <c r="BE25" s="156"/>
      <c r="BF25" s="156"/>
      <c r="BG25" s="156"/>
      <c r="BH25" s="156"/>
      <c r="BI25" s="156"/>
      <c r="BJ25" s="157"/>
    </row>
    <row r="26" spans="1:62" ht="40.5" customHeight="1">
      <c r="A26" s="155"/>
      <c r="B26" s="156"/>
      <c r="C26" s="157"/>
      <c r="D26" s="158"/>
      <c r="E26" s="159"/>
      <c r="F26" s="159"/>
      <c r="G26" s="159"/>
      <c r="H26" s="159"/>
      <c r="I26" s="159"/>
      <c r="J26" s="159"/>
      <c r="K26" s="159"/>
      <c r="L26" s="159"/>
      <c r="M26" s="159"/>
      <c r="N26" s="159"/>
      <c r="O26" s="159"/>
      <c r="P26" s="159"/>
      <c r="Q26" s="160"/>
      <c r="R26" s="155"/>
      <c r="S26" s="156"/>
      <c r="T26" s="156"/>
      <c r="U26" s="157"/>
      <c r="V26" s="155"/>
      <c r="W26" s="156"/>
      <c r="X26" s="156"/>
      <c r="Y26" s="157"/>
      <c r="Z26" s="155"/>
      <c r="AA26" s="156"/>
      <c r="AB26" s="156"/>
      <c r="AC26" s="157"/>
      <c r="AD26" s="155"/>
      <c r="AE26" s="156"/>
      <c r="AF26" s="156"/>
      <c r="AG26" s="157"/>
      <c r="AH26" s="152"/>
      <c r="AI26" s="153"/>
      <c r="AJ26" s="153"/>
      <c r="AK26" s="153"/>
      <c r="AL26" s="153"/>
      <c r="AM26" s="153"/>
      <c r="AN26" s="153"/>
      <c r="AO26" s="153"/>
      <c r="AP26" s="153"/>
      <c r="AQ26" s="153"/>
      <c r="AR26" s="153"/>
      <c r="AS26" s="153"/>
      <c r="AT26" s="153"/>
      <c r="AU26" s="153"/>
      <c r="AV26" s="153"/>
      <c r="AW26" s="153"/>
      <c r="AX26" s="153"/>
      <c r="AY26" s="153"/>
      <c r="AZ26" s="153"/>
      <c r="BA26" s="153"/>
      <c r="BB26" s="153"/>
      <c r="BC26" s="154"/>
      <c r="BD26" s="155"/>
      <c r="BE26" s="156"/>
      <c r="BF26" s="156"/>
      <c r="BG26" s="156"/>
      <c r="BH26" s="156"/>
      <c r="BI26" s="156"/>
      <c r="BJ26" s="157"/>
    </row>
    <row r="27" spans="1:62" ht="40.5" customHeight="1">
      <c r="A27" s="155"/>
      <c r="B27" s="156"/>
      <c r="C27" s="157"/>
      <c r="D27" s="158"/>
      <c r="E27" s="159"/>
      <c r="F27" s="159"/>
      <c r="G27" s="159"/>
      <c r="H27" s="159"/>
      <c r="I27" s="159"/>
      <c r="J27" s="159"/>
      <c r="K27" s="159"/>
      <c r="L27" s="159"/>
      <c r="M27" s="159"/>
      <c r="N27" s="159"/>
      <c r="O27" s="159"/>
      <c r="P27" s="159"/>
      <c r="Q27" s="160"/>
      <c r="R27" s="155"/>
      <c r="S27" s="156"/>
      <c r="T27" s="156"/>
      <c r="U27" s="157"/>
      <c r="V27" s="155"/>
      <c r="W27" s="156"/>
      <c r="X27" s="156"/>
      <c r="Y27" s="157"/>
      <c r="Z27" s="155"/>
      <c r="AA27" s="156"/>
      <c r="AB27" s="156"/>
      <c r="AC27" s="157"/>
      <c r="AD27" s="155"/>
      <c r="AE27" s="156"/>
      <c r="AF27" s="156"/>
      <c r="AG27" s="157"/>
      <c r="AH27" s="152"/>
      <c r="AI27" s="153"/>
      <c r="AJ27" s="153"/>
      <c r="AK27" s="153"/>
      <c r="AL27" s="153"/>
      <c r="AM27" s="153"/>
      <c r="AN27" s="153"/>
      <c r="AO27" s="153"/>
      <c r="AP27" s="153"/>
      <c r="AQ27" s="153"/>
      <c r="AR27" s="153"/>
      <c r="AS27" s="153"/>
      <c r="AT27" s="153"/>
      <c r="AU27" s="153"/>
      <c r="AV27" s="153"/>
      <c r="AW27" s="153"/>
      <c r="AX27" s="153"/>
      <c r="AY27" s="153"/>
      <c r="AZ27" s="153"/>
      <c r="BA27" s="153"/>
      <c r="BB27" s="153"/>
      <c r="BC27" s="154"/>
      <c r="BD27" s="155"/>
      <c r="BE27" s="156"/>
      <c r="BF27" s="156"/>
      <c r="BG27" s="156"/>
      <c r="BH27" s="156"/>
      <c r="BI27" s="156"/>
      <c r="BJ27" s="157"/>
    </row>
    <row r="28" spans="1:62" ht="40.5" customHeight="1">
      <c r="A28" s="155"/>
      <c r="B28" s="156"/>
      <c r="C28" s="157"/>
      <c r="D28" s="158"/>
      <c r="E28" s="159"/>
      <c r="F28" s="159"/>
      <c r="G28" s="159"/>
      <c r="H28" s="159"/>
      <c r="I28" s="159"/>
      <c r="J28" s="159"/>
      <c r="K28" s="159"/>
      <c r="L28" s="159"/>
      <c r="M28" s="159"/>
      <c r="N28" s="159"/>
      <c r="O28" s="159"/>
      <c r="P28" s="159"/>
      <c r="Q28" s="160"/>
      <c r="R28" s="155"/>
      <c r="S28" s="156"/>
      <c r="T28" s="156"/>
      <c r="U28" s="157"/>
      <c r="V28" s="155"/>
      <c r="W28" s="156"/>
      <c r="X28" s="156"/>
      <c r="Y28" s="157"/>
      <c r="Z28" s="155"/>
      <c r="AA28" s="156"/>
      <c r="AB28" s="156"/>
      <c r="AC28" s="157"/>
      <c r="AD28" s="155"/>
      <c r="AE28" s="156"/>
      <c r="AF28" s="156"/>
      <c r="AG28" s="157"/>
      <c r="AH28" s="152"/>
      <c r="AI28" s="153"/>
      <c r="AJ28" s="153"/>
      <c r="AK28" s="153"/>
      <c r="AL28" s="153"/>
      <c r="AM28" s="153"/>
      <c r="AN28" s="153"/>
      <c r="AO28" s="153"/>
      <c r="AP28" s="153"/>
      <c r="AQ28" s="153"/>
      <c r="AR28" s="153"/>
      <c r="AS28" s="153"/>
      <c r="AT28" s="153"/>
      <c r="AU28" s="153"/>
      <c r="AV28" s="153"/>
      <c r="AW28" s="153"/>
      <c r="AX28" s="153"/>
      <c r="AY28" s="153"/>
      <c r="AZ28" s="153"/>
      <c r="BA28" s="153"/>
      <c r="BB28" s="153"/>
      <c r="BC28" s="154"/>
      <c r="BD28" s="155"/>
      <c r="BE28" s="156"/>
      <c r="BF28" s="156"/>
      <c r="BG28" s="156"/>
      <c r="BH28" s="156"/>
      <c r="BI28" s="156"/>
      <c r="BJ28" s="157"/>
    </row>
    <row r="29" spans="1:62" ht="40.5" customHeight="1">
      <c r="A29" s="155"/>
      <c r="B29" s="156"/>
      <c r="C29" s="157"/>
      <c r="D29" s="158"/>
      <c r="E29" s="159"/>
      <c r="F29" s="159"/>
      <c r="G29" s="159"/>
      <c r="H29" s="159"/>
      <c r="I29" s="159"/>
      <c r="J29" s="159"/>
      <c r="K29" s="159"/>
      <c r="L29" s="159"/>
      <c r="M29" s="159"/>
      <c r="N29" s="159"/>
      <c r="O29" s="159"/>
      <c r="P29" s="159"/>
      <c r="Q29" s="160"/>
      <c r="R29" s="155"/>
      <c r="S29" s="156"/>
      <c r="T29" s="156"/>
      <c r="U29" s="157"/>
      <c r="V29" s="155"/>
      <c r="W29" s="156"/>
      <c r="X29" s="156"/>
      <c r="Y29" s="157"/>
      <c r="Z29" s="155"/>
      <c r="AA29" s="156"/>
      <c r="AB29" s="156"/>
      <c r="AC29" s="157"/>
      <c r="AD29" s="155"/>
      <c r="AE29" s="156"/>
      <c r="AF29" s="156"/>
      <c r="AG29" s="157"/>
      <c r="AH29" s="152"/>
      <c r="AI29" s="153"/>
      <c r="AJ29" s="153"/>
      <c r="AK29" s="153"/>
      <c r="AL29" s="153"/>
      <c r="AM29" s="153"/>
      <c r="AN29" s="153"/>
      <c r="AO29" s="153"/>
      <c r="AP29" s="153"/>
      <c r="AQ29" s="153"/>
      <c r="AR29" s="153"/>
      <c r="AS29" s="153"/>
      <c r="AT29" s="153"/>
      <c r="AU29" s="153"/>
      <c r="AV29" s="153"/>
      <c r="AW29" s="153"/>
      <c r="AX29" s="153"/>
      <c r="AY29" s="153"/>
      <c r="AZ29" s="153"/>
      <c r="BA29" s="153"/>
      <c r="BB29" s="153"/>
      <c r="BC29" s="154"/>
      <c r="BD29" s="155"/>
      <c r="BE29" s="156"/>
      <c r="BF29" s="156"/>
      <c r="BG29" s="156"/>
      <c r="BH29" s="156"/>
      <c r="BI29" s="156"/>
      <c r="BJ29" s="157"/>
    </row>
    <row r="30" spans="1:62" ht="40.5" customHeight="1">
      <c r="A30" s="155"/>
      <c r="B30" s="156"/>
      <c r="C30" s="157"/>
      <c r="D30" s="158"/>
      <c r="E30" s="159"/>
      <c r="F30" s="159"/>
      <c r="G30" s="159"/>
      <c r="H30" s="159"/>
      <c r="I30" s="159"/>
      <c r="J30" s="159"/>
      <c r="K30" s="159"/>
      <c r="L30" s="159"/>
      <c r="M30" s="159"/>
      <c r="N30" s="159"/>
      <c r="O30" s="159"/>
      <c r="P30" s="159"/>
      <c r="Q30" s="160"/>
      <c r="R30" s="155"/>
      <c r="S30" s="156"/>
      <c r="T30" s="156"/>
      <c r="U30" s="157"/>
      <c r="V30" s="155"/>
      <c r="W30" s="156"/>
      <c r="X30" s="156"/>
      <c r="Y30" s="157"/>
      <c r="Z30" s="155"/>
      <c r="AA30" s="156"/>
      <c r="AB30" s="156"/>
      <c r="AC30" s="157"/>
      <c r="AD30" s="155"/>
      <c r="AE30" s="156"/>
      <c r="AF30" s="156"/>
      <c r="AG30" s="157"/>
      <c r="AH30" s="152"/>
      <c r="AI30" s="153"/>
      <c r="AJ30" s="153"/>
      <c r="AK30" s="153"/>
      <c r="AL30" s="153"/>
      <c r="AM30" s="153"/>
      <c r="AN30" s="153"/>
      <c r="AO30" s="153"/>
      <c r="AP30" s="153"/>
      <c r="AQ30" s="153"/>
      <c r="AR30" s="153"/>
      <c r="AS30" s="153"/>
      <c r="AT30" s="153"/>
      <c r="AU30" s="153"/>
      <c r="AV30" s="153"/>
      <c r="AW30" s="153"/>
      <c r="AX30" s="153"/>
      <c r="AY30" s="153"/>
      <c r="AZ30" s="153"/>
      <c r="BA30" s="153"/>
      <c r="BB30" s="153"/>
      <c r="BC30" s="154"/>
      <c r="BD30" s="155"/>
      <c r="BE30" s="156"/>
      <c r="BF30" s="156"/>
      <c r="BG30" s="156"/>
      <c r="BH30" s="156"/>
      <c r="BI30" s="156"/>
      <c r="BJ30" s="157"/>
    </row>
    <row r="31" spans="1:62" ht="40.5" customHeight="1">
      <c r="A31" s="146"/>
      <c r="B31" s="147"/>
      <c r="C31" s="148"/>
      <c r="D31" s="149"/>
      <c r="E31" s="150"/>
      <c r="F31" s="150"/>
      <c r="G31" s="150"/>
      <c r="H31" s="150"/>
      <c r="I31" s="150"/>
      <c r="J31" s="150"/>
      <c r="K31" s="150"/>
      <c r="L31" s="150"/>
      <c r="M31" s="150"/>
      <c r="N31" s="150"/>
      <c r="O31" s="150"/>
      <c r="P31" s="150"/>
      <c r="Q31" s="151"/>
      <c r="R31" s="146"/>
      <c r="S31" s="147"/>
      <c r="T31" s="147"/>
      <c r="U31" s="148"/>
      <c r="V31" s="146"/>
      <c r="W31" s="147"/>
      <c r="X31" s="147"/>
      <c r="Y31" s="148"/>
      <c r="Z31" s="146"/>
      <c r="AA31" s="147"/>
      <c r="AB31" s="147"/>
      <c r="AC31" s="148"/>
      <c r="AD31" s="146"/>
      <c r="AE31" s="147"/>
      <c r="AF31" s="147"/>
      <c r="AG31" s="148"/>
      <c r="AH31" s="143"/>
      <c r="AI31" s="144"/>
      <c r="AJ31" s="144"/>
      <c r="AK31" s="144"/>
      <c r="AL31" s="144"/>
      <c r="AM31" s="144"/>
      <c r="AN31" s="144"/>
      <c r="AO31" s="144"/>
      <c r="AP31" s="144"/>
      <c r="AQ31" s="144"/>
      <c r="AR31" s="144"/>
      <c r="AS31" s="144"/>
      <c r="AT31" s="144"/>
      <c r="AU31" s="144"/>
      <c r="AV31" s="144"/>
      <c r="AW31" s="144"/>
      <c r="AX31" s="144"/>
      <c r="AY31" s="144"/>
      <c r="AZ31" s="144"/>
      <c r="BA31" s="144"/>
      <c r="BB31" s="144"/>
      <c r="BC31" s="145"/>
      <c r="BD31" s="146"/>
      <c r="BE31" s="147"/>
      <c r="BF31" s="147"/>
      <c r="BG31" s="147"/>
      <c r="BH31" s="147"/>
      <c r="BI31" s="147"/>
      <c r="BJ31" s="148"/>
    </row>
    <row r="32" spans="1:62" ht="24" customHeight="1"/>
    <row r="33" ht="24" customHeight="1"/>
    <row r="34" ht="24" customHeight="1"/>
    <row r="35" ht="24" customHeight="1"/>
    <row r="36" ht="24" customHeight="1"/>
    <row r="37" ht="17.100000000000001" customHeight="1"/>
    <row r="38" ht="17.100000000000001" customHeight="1"/>
    <row r="39" ht="17.100000000000001" customHeight="1"/>
    <row r="40" ht="17.100000000000001" customHeight="1"/>
  </sheetData>
  <mergeCells count="205">
    <mergeCell ref="AT4:AX4"/>
    <mergeCell ref="AY4:BJ4"/>
    <mergeCell ref="A6:K6"/>
    <mergeCell ref="A2:AS2"/>
    <mergeCell ref="AT2:AX2"/>
    <mergeCell ref="BG2:BJ2"/>
    <mergeCell ref="AT3:AX3"/>
    <mergeCell ref="AY3:BJ3"/>
    <mergeCell ref="L6:BJ6"/>
    <mergeCell ref="AY2:BB2"/>
    <mergeCell ref="BC2:BF2"/>
    <mergeCell ref="A3:H4"/>
    <mergeCell ref="I3:AS4"/>
    <mergeCell ref="AH8:BC8"/>
    <mergeCell ref="BD8:BJ8"/>
    <mergeCell ref="A9:C9"/>
    <mergeCell ref="D9:Q9"/>
    <mergeCell ref="R9:U9"/>
    <mergeCell ref="V9:Y9"/>
    <mergeCell ref="Z9:AC9"/>
    <mergeCell ref="AD9:AG9"/>
    <mergeCell ref="AH9:BC9"/>
    <mergeCell ref="BD9:BJ9"/>
    <mergeCell ref="A8:C8"/>
    <mergeCell ref="D8:Q8"/>
    <mergeCell ref="R8:U8"/>
    <mergeCell ref="V8:Y8"/>
    <mergeCell ref="Z8:AC8"/>
    <mergeCell ref="AD8:AG8"/>
    <mergeCell ref="AH10:BC10"/>
    <mergeCell ref="BD10:BJ10"/>
    <mergeCell ref="A11:C11"/>
    <mergeCell ref="D11:Q11"/>
    <mergeCell ref="R11:U11"/>
    <mergeCell ref="V11:Y11"/>
    <mergeCell ref="Z11:AC11"/>
    <mergeCell ref="AD11:AG11"/>
    <mergeCell ref="AH11:BC11"/>
    <mergeCell ref="BD11:BJ11"/>
    <mergeCell ref="A10:C10"/>
    <mergeCell ref="D10:Q10"/>
    <mergeCell ref="R10:U10"/>
    <mergeCell ref="V10:Y10"/>
    <mergeCell ref="Z10:AC10"/>
    <mergeCell ref="AD10:AG10"/>
    <mergeCell ref="AH12:BC12"/>
    <mergeCell ref="BD12:BJ12"/>
    <mergeCell ref="A13:C13"/>
    <mergeCell ref="D13:Q13"/>
    <mergeCell ref="R13:U13"/>
    <mergeCell ref="V13:Y13"/>
    <mergeCell ref="Z13:AC13"/>
    <mergeCell ref="AD13:AG13"/>
    <mergeCell ref="AH13:BC13"/>
    <mergeCell ref="BD13:BJ13"/>
    <mergeCell ref="A12:C12"/>
    <mergeCell ref="D12:Q12"/>
    <mergeCell ref="R12:U12"/>
    <mergeCell ref="V12:Y12"/>
    <mergeCell ref="Z12:AC12"/>
    <mergeCell ref="AD12:AG12"/>
    <mergeCell ref="AH14:BC14"/>
    <mergeCell ref="BD14:BJ14"/>
    <mergeCell ref="A15:C15"/>
    <mergeCell ref="D15:Q15"/>
    <mergeCell ref="R15:U15"/>
    <mergeCell ref="V15:Y15"/>
    <mergeCell ref="Z15:AC15"/>
    <mergeCell ref="AD15:AG15"/>
    <mergeCell ref="AH15:BC15"/>
    <mergeCell ref="BD15:BJ15"/>
    <mergeCell ref="A14:C14"/>
    <mergeCell ref="D14:Q14"/>
    <mergeCell ref="R14:U14"/>
    <mergeCell ref="V14:Y14"/>
    <mergeCell ref="Z14:AC14"/>
    <mergeCell ref="AD14:AG14"/>
    <mergeCell ref="AH16:BC16"/>
    <mergeCell ref="BD16:BJ16"/>
    <mergeCell ref="A17:C17"/>
    <mergeCell ref="D17:Q17"/>
    <mergeCell ref="R17:U17"/>
    <mergeCell ref="V17:Y17"/>
    <mergeCell ref="Z17:AC17"/>
    <mergeCell ref="AD17:AG17"/>
    <mergeCell ref="AH17:BC17"/>
    <mergeCell ref="BD17:BJ17"/>
    <mergeCell ref="A16:C16"/>
    <mergeCell ref="D16:Q16"/>
    <mergeCell ref="R16:U16"/>
    <mergeCell ref="V16:Y16"/>
    <mergeCell ref="Z16:AC16"/>
    <mergeCell ref="AD16:AG16"/>
    <mergeCell ref="AH18:BC18"/>
    <mergeCell ref="BD18:BJ18"/>
    <mergeCell ref="A19:C19"/>
    <mergeCell ref="D19:Q19"/>
    <mergeCell ref="R19:U19"/>
    <mergeCell ref="V19:Y19"/>
    <mergeCell ref="Z19:AC19"/>
    <mergeCell ref="AD19:AG19"/>
    <mergeCell ref="AH19:BC19"/>
    <mergeCell ref="BD19:BJ19"/>
    <mergeCell ref="A18:C18"/>
    <mergeCell ref="D18:Q18"/>
    <mergeCell ref="R18:U18"/>
    <mergeCell ref="V18:Y18"/>
    <mergeCell ref="Z18:AC18"/>
    <mergeCell ref="AD18:AG18"/>
    <mergeCell ref="AH20:BC20"/>
    <mergeCell ref="BD20:BJ20"/>
    <mergeCell ref="A21:C21"/>
    <mergeCell ref="D21:Q21"/>
    <mergeCell ref="R21:U21"/>
    <mergeCell ref="V21:Y21"/>
    <mergeCell ref="Z21:AC21"/>
    <mergeCell ref="AD21:AG21"/>
    <mergeCell ref="AH21:BC21"/>
    <mergeCell ref="BD21:BJ21"/>
    <mergeCell ref="A20:C20"/>
    <mergeCell ref="D20:Q20"/>
    <mergeCell ref="R20:U20"/>
    <mergeCell ref="V20:Y20"/>
    <mergeCell ref="Z20:AC20"/>
    <mergeCell ref="AD20:AG20"/>
    <mergeCell ref="AH22:BC22"/>
    <mergeCell ref="BD22:BJ22"/>
    <mergeCell ref="A23:C23"/>
    <mergeCell ref="D23:Q23"/>
    <mergeCell ref="R23:U23"/>
    <mergeCell ref="V23:Y23"/>
    <mergeCell ref="Z23:AC23"/>
    <mergeCell ref="AD23:AG23"/>
    <mergeCell ref="AH23:BC23"/>
    <mergeCell ref="BD23:BJ23"/>
    <mergeCell ref="A22:C22"/>
    <mergeCell ref="D22:Q22"/>
    <mergeCell ref="R22:U22"/>
    <mergeCell ref="V22:Y22"/>
    <mergeCell ref="Z22:AC22"/>
    <mergeCell ref="AD22:AG22"/>
    <mergeCell ref="AH24:BC24"/>
    <mergeCell ref="BD24:BJ24"/>
    <mergeCell ref="A25:C25"/>
    <mergeCell ref="D25:Q25"/>
    <mergeCell ref="R25:U25"/>
    <mergeCell ref="V25:Y25"/>
    <mergeCell ref="Z25:AC25"/>
    <mergeCell ref="AD25:AG25"/>
    <mergeCell ref="AH25:BC25"/>
    <mergeCell ref="BD25:BJ25"/>
    <mergeCell ref="A24:C24"/>
    <mergeCell ref="D24:Q24"/>
    <mergeCell ref="R24:U24"/>
    <mergeCell ref="V24:Y24"/>
    <mergeCell ref="Z24:AC24"/>
    <mergeCell ref="AD24:AG24"/>
    <mergeCell ref="AH26:BC26"/>
    <mergeCell ref="BD26:BJ26"/>
    <mergeCell ref="A27:C27"/>
    <mergeCell ref="D27:Q27"/>
    <mergeCell ref="R27:U27"/>
    <mergeCell ref="V27:Y27"/>
    <mergeCell ref="Z27:AC27"/>
    <mergeCell ref="AD27:AG27"/>
    <mergeCell ref="AH27:BC27"/>
    <mergeCell ref="BD27:BJ27"/>
    <mergeCell ref="A26:C26"/>
    <mergeCell ref="D26:Q26"/>
    <mergeCell ref="R26:U26"/>
    <mergeCell ref="V26:Y26"/>
    <mergeCell ref="Z26:AC26"/>
    <mergeCell ref="AD26:AG26"/>
    <mergeCell ref="AH28:BC28"/>
    <mergeCell ref="BD28:BJ28"/>
    <mergeCell ref="A29:C29"/>
    <mergeCell ref="D29:Q29"/>
    <mergeCell ref="R29:U29"/>
    <mergeCell ref="V29:Y29"/>
    <mergeCell ref="Z29:AC29"/>
    <mergeCell ref="AD29:AG29"/>
    <mergeCell ref="AH29:BC29"/>
    <mergeCell ref="BD29:BJ29"/>
    <mergeCell ref="A28:C28"/>
    <mergeCell ref="D28:Q28"/>
    <mergeCell ref="R28:U28"/>
    <mergeCell ref="V28:Y28"/>
    <mergeCell ref="Z28:AC28"/>
    <mergeCell ref="AD28:AG28"/>
    <mergeCell ref="AH31:BC31"/>
    <mergeCell ref="BD31:BJ31"/>
    <mergeCell ref="A31:C31"/>
    <mergeCell ref="D31:Q31"/>
    <mergeCell ref="R31:U31"/>
    <mergeCell ref="V31:Y31"/>
    <mergeCell ref="Z31:AC31"/>
    <mergeCell ref="AD31:AG31"/>
    <mergeCell ref="AH30:BC30"/>
    <mergeCell ref="BD30:BJ30"/>
    <mergeCell ref="A30:C30"/>
    <mergeCell ref="D30:Q30"/>
    <mergeCell ref="R30:U30"/>
    <mergeCell ref="V30:Y30"/>
    <mergeCell ref="Z30:AC30"/>
    <mergeCell ref="AD30:AG30"/>
  </mergeCells>
  <phoneticPr fontId="8"/>
  <pageMargins left="0.55000000000000004" right="0.44" top="0.65" bottom="0.54" header="0.83" footer="0.21"/>
  <pageSetup paperSize="9" scale="72"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codeName="Sheet6">
    <pageSetUpPr fitToPage="1"/>
  </sheetPr>
  <dimension ref="A1:BK44"/>
  <sheetViews>
    <sheetView view="pageBreakPreview" zoomScaleNormal="100"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83" t="s">
        <v>142</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5"/>
      <c r="AT2" s="77" t="s">
        <v>3</v>
      </c>
      <c r="AU2" s="78"/>
      <c r="AV2" s="78"/>
      <c r="AW2" s="78"/>
      <c r="AX2" s="79"/>
      <c r="AY2" s="77" t="s">
        <v>143</v>
      </c>
      <c r="AZ2" s="78"/>
      <c r="BA2" s="78"/>
      <c r="BB2" s="79"/>
      <c r="BC2" s="77" t="s">
        <v>5</v>
      </c>
      <c r="BD2" s="78"/>
      <c r="BE2" s="78"/>
      <c r="BF2" s="79"/>
      <c r="BG2" s="77"/>
      <c r="BH2" s="78"/>
      <c r="BI2" s="78"/>
      <c r="BJ2" s="79"/>
    </row>
    <row r="3" spans="1:63" s="1" customFormat="1" ht="18" customHeight="1">
      <c r="A3" s="86" t="s">
        <v>6</v>
      </c>
      <c r="B3" s="87"/>
      <c r="C3" s="87"/>
      <c r="D3" s="87"/>
      <c r="E3" s="87"/>
      <c r="F3" s="87"/>
      <c r="G3" s="87"/>
      <c r="H3" s="88"/>
      <c r="I3" s="92" t="s">
        <v>199</v>
      </c>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4"/>
      <c r="AT3" s="77" t="s">
        <v>7</v>
      </c>
      <c r="AU3" s="78"/>
      <c r="AV3" s="78"/>
      <c r="AW3" s="78"/>
      <c r="AX3" s="79"/>
      <c r="AY3" s="77" t="s">
        <v>198</v>
      </c>
      <c r="AZ3" s="78"/>
      <c r="BA3" s="78"/>
      <c r="BB3" s="78"/>
      <c r="BC3" s="78"/>
      <c r="BD3" s="78"/>
      <c r="BE3" s="78"/>
      <c r="BF3" s="78"/>
      <c r="BG3" s="78"/>
      <c r="BH3" s="78"/>
      <c r="BI3" s="78"/>
      <c r="BJ3" s="79"/>
    </row>
    <row r="4" spans="1:63" s="1" customFormat="1" ht="18" customHeight="1">
      <c r="A4" s="89"/>
      <c r="B4" s="90"/>
      <c r="C4" s="90"/>
      <c r="D4" s="90"/>
      <c r="E4" s="90"/>
      <c r="F4" s="90"/>
      <c r="G4" s="90"/>
      <c r="H4" s="91"/>
      <c r="I4" s="95"/>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7"/>
      <c r="AT4" s="77" t="s">
        <v>8</v>
      </c>
      <c r="AU4" s="78"/>
      <c r="AV4" s="78"/>
      <c r="AW4" s="78"/>
      <c r="AX4" s="79"/>
      <c r="AY4" s="77"/>
      <c r="AZ4" s="78"/>
      <c r="BA4" s="78"/>
      <c r="BB4" s="78"/>
      <c r="BC4" s="78"/>
      <c r="BD4" s="78"/>
      <c r="BE4" s="78"/>
      <c r="BF4" s="78"/>
      <c r="BG4" s="78"/>
      <c r="BH4" s="78"/>
      <c r="BI4" s="78"/>
      <c r="BJ4" s="79"/>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134" t="s">
        <v>17</v>
      </c>
      <c r="B6" s="135"/>
      <c r="C6" s="135"/>
      <c r="D6" s="135"/>
      <c r="E6" s="135"/>
      <c r="F6" s="135"/>
      <c r="G6" s="135"/>
      <c r="H6" s="135"/>
      <c r="I6" s="135"/>
      <c r="J6" s="135"/>
      <c r="K6" s="136"/>
      <c r="L6" s="134" t="s">
        <v>200</v>
      </c>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77" t="s">
        <v>22</v>
      </c>
      <c r="B8" s="78"/>
      <c r="C8" s="79"/>
      <c r="D8" s="77" t="s">
        <v>193</v>
      </c>
      <c r="E8" s="78"/>
      <c r="F8" s="78"/>
      <c r="G8" s="78"/>
      <c r="H8" s="78"/>
      <c r="I8" s="78"/>
      <c r="J8" s="78"/>
      <c r="K8" s="78"/>
      <c r="L8" s="78"/>
      <c r="M8" s="78"/>
      <c r="N8" s="78"/>
      <c r="O8" s="78"/>
      <c r="P8" s="78"/>
      <c r="Q8" s="79"/>
      <c r="R8" s="77" t="s">
        <v>144</v>
      </c>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9"/>
      <c r="BD8" s="161" t="s">
        <v>140</v>
      </c>
      <c r="BE8" s="162"/>
      <c r="BF8" s="162"/>
      <c r="BG8" s="162"/>
      <c r="BH8" s="162"/>
      <c r="BI8" s="162"/>
      <c r="BJ8" s="163"/>
    </row>
    <row r="9" spans="1:63" s="9" customFormat="1" ht="40.5" customHeight="1">
      <c r="A9" s="164"/>
      <c r="B9" s="165"/>
      <c r="C9" s="166"/>
      <c r="D9" s="167"/>
      <c r="E9" s="168"/>
      <c r="F9" s="168"/>
      <c r="G9" s="168"/>
      <c r="H9" s="168"/>
      <c r="I9" s="168"/>
      <c r="J9" s="168"/>
      <c r="K9" s="168"/>
      <c r="L9" s="168"/>
      <c r="M9" s="168"/>
      <c r="N9" s="168"/>
      <c r="O9" s="168"/>
      <c r="P9" s="168"/>
      <c r="Q9" s="169"/>
      <c r="R9" s="167" t="s">
        <v>141</v>
      </c>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68"/>
      <c r="AS9" s="168"/>
      <c r="AT9" s="168"/>
      <c r="AU9" s="168"/>
      <c r="AV9" s="168"/>
      <c r="AW9" s="168"/>
      <c r="AX9" s="168"/>
      <c r="AY9" s="168"/>
      <c r="AZ9" s="168"/>
      <c r="BA9" s="168"/>
      <c r="BB9" s="168"/>
      <c r="BC9" s="169"/>
      <c r="BD9" s="164"/>
      <c r="BE9" s="165"/>
      <c r="BF9" s="165"/>
      <c r="BG9" s="165"/>
      <c r="BH9" s="165"/>
      <c r="BI9" s="165"/>
      <c r="BJ9" s="166"/>
    </row>
    <row r="10" spans="1:63" ht="40.5" customHeight="1">
      <c r="A10" s="155"/>
      <c r="B10" s="156"/>
      <c r="C10" s="157"/>
      <c r="D10" s="158"/>
      <c r="E10" s="159"/>
      <c r="F10" s="159"/>
      <c r="G10" s="159"/>
      <c r="H10" s="159"/>
      <c r="I10" s="159"/>
      <c r="J10" s="159"/>
      <c r="K10" s="159"/>
      <c r="L10" s="159"/>
      <c r="M10" s="159"/>
      <c r="N10" s="159"/>
      <c r="O10" s="159"/>
      <c r="P10" s="159"/>
      <c r="Q10" s="160"/>
      <c r="R10" s="158"/>
      <c r="S10" s="159"/>
      <c r="T10" s="159"/>
      <c r="U10" s="159"/>
      <c r="V10" s="159"/>
      <c r="W10" s="159"/>
      <c r="X10" s="159"/>
      <c r="Y10" s="159"/>
      <c r="Z10" s="159"/>
      <c r="AA10" s="159"/>
      <c r="AB10" s="159"/>
      <c r="AC10" s="159"/>
      <c r="AD10" s="159"/>
      <c r="AE10" s="159"/>
      <c r="AF10" s="159"/>
      <c r="AG10" s="159"/>
      <c r="AH10" s="159"/>
      <c r="AI10" s="159"/>
      <c r="AJ10" s="159"/>
      <c r="AK10" s="159"/>
      <c r="AL10" s="159"/>
      <c r="AM10" s="159"/>
      <c r="AN10" s="159"/>
      <c r="AO10" s="159"/>
      <c r="AP10" s="159"/>
      <c r="AQ10" s="159"/>
      <c r="AR10" s="159"/>
      <c r="AS10" s="159"/>
      <c r="AT10" s="159"/>
      <c r="AU10" s="159"/>
      <c r="AV10" s="159"/>
      <c r="AW10" s="159"/>
      <c r="AX10" s="159"/>
      <c r="AY10" s="159"/>
      <c r="AZ10" s="159"/>
      <c r="BA10" s="159"/>
      <c r="BB10" s="159"/>
      <c r="BC10" s="160"/>
      <c r="BD10" s="155"/>
      <c r="BE10" s="156"/>
      <c r="BF10" s="156"/>
      <c r="BG10" s="156"/>
      <c r="BH10" s="156"/>
      <c r="BI10" s="156"/>
      <c r="BJ10" s="157"/>
    </row>
    <row r="11" spans="1:63" ht="40.5" customHeight="1">
      <c r="A11" s="155"/>
      <c r="B11" s="156"/>
      <c r="C11" s="157"/>
      <c r="D11" s="158"/>
      <c r="E11" s="159"/>
      <c r="F11" s="159"/>
      <c r="G11" s="159"/>
      <c r="H11" s="159"/>
      <c r="I11" s="159"/>
      <c r="J11" s="159"/>
      <c r="K11" s="159"/>
      <c r="L11" s="159"/>
      <c r="M11" s="159"/>
      <c r="N11" s="159"/>
      <c r="O11" s="159"/>
      <c r="P11" s="159"/>
      <c r="Q11" s="160"/>
      <c r="R11" s="158"/>
      <c r="S11" s="159"/>
      <c r="T11" s="159"/>
      <c r="U11" s="159"/>
      <c r="V11" s="159"/>
      <c r="W11" s="159"/>
      <c r="X11" s="159"/>
      <c r="Y11" s="159"/>
      <c r="Z11" s="159"/>
      <c r="AA11" s="159"/>
      <c r="AB11" s="159"/>
      <c r="AC11" s="159"/>
      <c r="AD11" s="159"/>
      <c r="AE11" s="159"/>
      <c r="AF11" s="159"/>
      <c r="AG11" s="159"/>
      <c r="AH11" s="159"/>
      <c r="AI11" s="159"/>
      <c r="AJ11" s="159"/>
      <c r="AK11" s="159"/>
      <c r="AL11" s="159"/>
      <c r="AM11" s="159"/>
      <c r="AN11" s="159"/>
      <c r="AO11" s="159"/>
      <c r="AP11" s="159"/>
      <c r="AQ11" s="159"/>
      <c r="AR11" s="159"/>
      <c r="AS11" s="159"/>
      <c r="AT11" s="159"/>
      <c r="AU11" s="159"/>
      <c r="AV11" s="159"/>
      <c r="AW11" s="159"/>
      <c r="AX11" s="159"/>
      <c r="AY11" s="159"/>
      <c r="AZ11" s="159"/>
      <c r="BA11" s="159"/>
      <c r="BB11" s="159"/>
      <c r="BC11" s="160"/>
      <c r="BD11" s="155"/>
      <c r="BE11" s="156"/>
      <c r="BF11" s="156"/>
      <c r="BG11" s="156"/>
      <c r="BH11" s="156"/>
      <c r="BI11" s="156"/>
      <c r="BJ11" s="157"/>
    </row>
    <row r="12" spans="1:63" ht="40.5" customHeight="1">
      <c r="A12" s="155"/>
      <c r="B12" s="156"/>
      <c r="C12" s="157"/>
      <c r="D12" s="158"/>
      <c r="E12" s="159"/>
      <c r="F12" s="159"/>
      <c r="G12" s="159"/>
      <c r="H12" s="159"/>
      <c r="I12" s="159"/>
      <c r="J12" s="159"/>
      <c r="K12" s="159"/>
      <c r="L12" s="159"/>
      <c r="M12" s="159"/>
      <c r="N12" s="159"/>
      <c r="O12" s="159"/>
      <c r="P12" s="159"/>
      <c r="Q12" s="160"/>
      <c r="R12" s="158"/>
      <c r="S12" s="159"/>
      <c r="T12" s="159"/>
      <c r="U12" s="159"/>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59"/>
      <c r="AT12" s="159"/>
      <c r="AU12" s="159"/>
      <c r="AV12" s="159"/>
      <c r="AW12" s="159"/>
      <c r="AX12" s="159"/>
      <c r="AY12" s="159"/>
      <c r="AZ12" s="159"/>
      <c r="BA12" s="159"/>
      <c r="BB12" s="159"/>
      <c r="BC12" s="160"/>
      <c r="BD12" s="155"/>
      <c r="BE12" s="156"/>
      <c r="BF12" s="156"/>
      <c r="BG12" s="156"/>
      <c r="BH12" s="156"/>
      <c r="BI12" s="156"/>
      <c r="BJ12" s="157"/>
    </row>
    <row r="13" spans="1:63" ht="40.5" customHeight="1">
      <c r="A13" s="155"/>
      <c r="B13" s="156"/>
      <c r="C13" s="157"/>
      <c r="D13" s="158"/>
      <c r="E13" s="159"/>
      <c r="F13" s="159"/>
      <c r="G13" s="159"/>
      <c r="H13" s="159"/>
      <c r="I13" s="159"/>
      <c r="J13" s="159"/>
      <c r="K13" s="159"/>
      <c r="L13" s="159"/>
      <c r="M13" s="159"/>
      <c r="N13" s="159"/>
      <c r="O13" s="159"/>
      <c r="P13" s="159"/>
      <c r="Q13" s="160"/>
      <c r="R13" s="158"/>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159"/>
      <c r="AV13" s="159"/>
      <c r="AW13" s="159"/>
      <c r="AX13" s="159"/>
      <c r="AY13" s="159"/>
      <c r="AZ13" s="159"/>
      <c r="BA13" s="159"/>
      <c r="BB13" s="159"/>
      <c r="BC13" s="160"/>
      <c r="BD13" s="155"/>
      <c r="BE13" s="156"/>
      <c r="BF13" s="156"/>
      <c r="BG13" s="156"/>
      <c r="BH13" s="156"/>
      <c r="BI13" s="156"/>
      <c r="BJ13" s="157"/>
    </row>
    <row r="14" spans="1:63" ht="40.5" customHeight="1">
      <c r="A14" s="155"/>
      <c r="B14" s="156"/>
      <c r="C14" s="157"/>
      <c r="D14" s="158"/>
      <c r="E14" s="159"/>
      <c r="F14" s="159"/>
      <c r="G14" s="159"/>
      <c r="H14" s="159"/>
      <c r="I14" s="159"/>
      <c r="J14" s="159"/>
      <c r="K14" s="159"/>
      <c r="L14" s="159"/>
      <c r="M14" s="159"/>
      <c r="N14" s="159"/>
      <c r="O14" s="159"/>
      <c r="P14" s="159"/>
      <c r="Q14" s="160"/>
      <c r="R14" s="158"/>
      <c r="S14" s="159"/>
      <c r="T14" s="159"/>
      <c r="U14" s="159"/>
      <c r="V14" s="159"/>
      <c r="W14" s="159"/>
      <c r="X14" s="159"/>
      <c r="Y14" s="159"/>
      <c r="Z14" s="159"/>
      <c r="AA14" s="159"/>
      <c r="AB14" s="159"/>
      <c r="AC14" s="159"/>
      <c r="AD14" s="159"/>
      <c r="AE14" s="159"/>
      <c r="AF14" s="159"/>
      <c r="AG14" s="159"/>
      <c r="AH14" s="159"/>
      <c r="AI14" s="159"/>
      <c r="AJ14" s="159"/>
      <c r="AK14" s="159"/>
      <c r="AL14" s="159"/>
      <c r="AM14" s="159"/>
      <c r="AN14" s="159"/>
      <c r="AO14" s="159"/>
      <c r="AP14" s="159"/>
      <c r="AQ14" s="159"/>
      <c r="AR14" s="159"/>
      <c r="AS14" s="159"/>
      <c r="AT14" s="159"/>
      <c r="AU14" s="159"/>
      <c r="AV14" s="159"/>
      <c r="AW14" s="159"/>
      <c r="AX14" s="159"/>
      <c r="AY14" s="159"/>
      <c r="AZ14" s="159"/>
      <c r="BA14" s="159"/>
      <c r="BB14" s="159"/>
      <c r="BC14" s="160"/>
      <c r="BD14" s="155"/>
      <c r="BE14" s="156"/>
      <c r="BF14" s="156"/>
      <c r="BG14" s="156"/>
      <c r="BH14" s="156"/>
      <c r="BI14" s="156"/>
      <c r="BJ14" s="157"/>
    </row>
    <row r="15" spans="1:63" ht="40.5" customHeight="1">
      <c r="A15" s="155"/>
      <c r="B15" s="156"/>
      <c r="C15" s="157"/>
      <c r="D15" s="158"/>
      <c r="E15" s="159"/>
      <c r="F15" s="159"/>
      <c r="G15" s="159"/>
      <c r="H15" s="159"/>
      <c r="I15" s="159"/>
      <c r="J15" s="159"/>
      <c r="K15" s="159"/>
      <c r="L15" s="159"/>
      <c r="M15" s="159"/>
      <c r="N15" s="159"/>
      <c r="O15" s="159"/>
      <c r="P15" s="159"/>
      <c r="Q15" s="160"/>
      <c r="R15" s="158"/>
      <c r="S15" s="159"/>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59"/>
      <c r="AT15" s="159"/>
      <c r="AU15" s="159"/>
      <c r="AV15" s="159"/>
      <c r="AW15" s="159"/>
      <c r="AX15" s="159"/>
      <c r="AY15" s="159"/>
      <c r="AZ15" s="159"/>
      <c r="BA15" s="159"/>
      <c r="BB15" s="159"/>
      <c r="BC15" s="160"/>
      <c r="BD15" s="155"/>
      <c r="BE15" s="156"/>
      <c r="BF15" s="156"/>
      <c r="BG15" s="156"/>
      <c r="BH15" s="156"/>
      <c r="BI15" s="156"/>
      <c r="BJ15" s="157"/>
    </row>
    <row r="16" spans="1:63" ht="40.5" customHeight="1">
      <c r="A16" s="155"/>
      <c r="B16" s="156"/>
      <c r="C16" s="157"/>
      <c r="D16" s="158"/>
      <c r="E16" s="159"/>
      <c r="F16" s="159"/>
      <c r="G16" s="159"/>
      <c r="H16" s="159"/>
      <c r="I16" s="159"/>
      <c r="J16" s="159"/>
      <c r="K16" s="159"/>
      <c r="L16" s="159"/>
      <c r="M16" s="159"/>
      <c r="N16" s="159"/>
      <c r="O16" s="159"/>
      <c r="P16" s="159"/>
      <c r="Q16" s="160"/>
      <c r="R16" s="158"/>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159"/>
      <c r="AV16" s="159"/>
      <c r="AW16" s="159"/>
      <c r="AX16" s="159"/>
      <c r="AY16" s="159"/>
      <c r="AZ16" s="159"/>
      <c r="BA16" s="159"/>
      <c r="BB16" s="159"/>
      <c r="BC16" s="160"/>
      <c r="BD16" s="155"/>
      <c r="BE16" s="156"/>
      <c r="BF16" s="156"/>
      <c r="BG16" s="156"/>
      <c r="BH16" s="156"/>
      <c r="BI16" s="156"/>
      <c r="BJ16" s="157"/>
    </row>
    <row r="17" spans="1:62" ht="40.5" customHeight="1">
      <c r="A17" s="155"/>
      <c r="B17" s="156"/>
      <c r="C17" s="157"/>
      <c r="D17" s="158"/>
      <c r="E17" s="159"/>
      <c r="F17" s="159"/>
      <c r="G17" s="159"/>
      <c r="H17" s="159"/>
      <c r="I17" s="159"/>
      <c r="J17" s="159"/>
      <c r="K17" s="159"/>
      <c r="L17" s="159"/>
      <c r="M17" s="159"/>
      <c r="N17" s="159"/>
      <c r="O17" s="159"/>
      <c r="P17" s="159"/>
      <c r="Q17" s="160"/>
      <c r="R17" s="158"/>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59"/>
      <c r="AX17" s="159"/>
      <c r="AY17" s="159"/>
      <c r="AZ17" s="159"/>
      <c r="BA17" s="159"/>
      <c r="BB17" s="159"/>
      <c r="BC17" s="160"/>
      <c r="BD17" s="155"/>
      <c r="BE17" s="156"/>
      <c r="BF17" s="156"/>
      <c r="BG17" s="156"/>
      <c r="BH17" s="156"/>
      <c r="BI17" s="156"/>
      <c r="BJ17" s="157"/>
    </row>
    <row r="18" spans="1:62" ht="40.5" customHeight="1">
      <c r="A18" s="155"/>
      <c r="B18" s="156"/>
      <c r="C18" s="157"/>
      <c r="D18" s="158"/>
      <c r="E18" s="159"/>
      <c r="F18" s="159"/>
      <c r="G18" s="159"/>
      <c r="H18" s="159"/>
      <c r="I18" s="159"/>
      <c r="J18" s="159"/>
      <c r="K18" s="159"/>
      <c r="L18" s="159"/>
      <c r="M18" s="159"/>
      <c r="N18" s="159"/>
      <c r="O18" s="159"/>
      <c r="P18" s="159"/>
      <c r="Q18" s="160"/>
      <c r="R18" s="158"/>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59"/>
      <c r="AT18" s="159"/>
      <c r="AU18" s="159"/>
      <c r="AV18" s="159"/>
      <c r="AW18" s="159"/>
      <c r="AX18" s="159"/>
      <c r="AY18" s="159"/>
      <c r="AZ18" s="159"/>
      <c r="BA18" s="159"/>
      <c r="BB18" s="159"/>
      <c r="BC18" s="160"/>
      <c r="BD18" s="155"/>
      <c r="BE18" s="156"/>
      <c r="BF18" s="156"/>
      <c r="BG18" s="156"/>
      <c r="BH18" s="156"/>
      <c r="BI18" s="156"/>
      <c r="BJ18" s="157"/>
    </row>
    <row r="19" spans="1:62" ht="40.5" customHeight="1">
      <c r="A19" s="155"/>
      <c r="B19" s="156"/>
      <c r="C19" s="157"/>
      <c r="D19" s="158"/>
      <c r="E19" s="159"/>
      <c r="F19" s="159"/>
      <c r="G19" s="159"/>
      <c r="H19" s="159"/>
      <c r="I19" s="159"/>
      <c r="J19" s="159"/>
      <c r="K19" s="159"/>
      <c r="L19" s="159"/>
      <c r="M19" s="159"/>
      <c r="N19" s="159"/>
      <c r="O19" s="159"/>
      <c r="P19" s="159"/>
      <c r="Q19" s="160"/>
      <c r="R19" s="158"/>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59"/>
      <c r="AX19" s="159"/>
      <c r="AY19" s="159"/>
      <c r="AZ19" s="159"/>
      <c r="BA19" s="159"/>
      <c r="BB19" s="159"/>
      <c r="BC19" s="160"/>
      <c r="BD19" s="155"/>
      <c r="BE19" s="156"/>
      <c r="BF19" s="156"/>
      <c r="BG19" s="156"/>
      <c r="BH19" s="156"/>
      <c r="BI19" s="156"/>
      <c r="BJ19" s="157"/>
    </row>
    <row r="20" spans="1:62" ht="40.5" customHeight="1">
      <c r="A20" s="155"/>
      <c r="B20" s="156"/>
      <c r="C20" s="157"/>
      <c r="D20" s="158"/>
      <c r="E20" s="159"/>
      <c r="F20" s="159"/>
      <c r="G20" s="159"/>
      <c r="H20" s="159"/>
      <c r="I20" s="159"/>
      <c r="J20" s="159"/>
      <c r="K20" s="159"/>
      <c r="L20" s="159"/>
      <c r="M20" s="159"/>
      <c r="N20" s="159"/>
      <c r="O20" s="159"/>
      <c r="P20" s="159"/>
      <c r="Q20" s="160"/>
      <c r="R20" s="158"/>
      <c r="S20" s="159"/>
      <c r="T20" s="159"/>
      <c r="U20" s="159"/>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59"/>
      <c r="AT20" s="159"/>
      <c r="AU20" s="159"/>
      <c r="AV20" s="159"/>
      <c r="AW20" s="159"/>
      <c r="AX20" s="159"/>
      <c r="AY20" s="159"/>
      <c r="AZ20" s="159"/>
      <c r="BA20" s="159"/>
      <c r="BB20" s="159"/>
      <c r="BC20" s="160"/>
      <c r="BD20" s="155"/>
      <c r="BE20" s="156"/>
      <c r="BF20" s="156"/>
      <c r="BG20" s="156"/>
      <c r="BH20" s="156"/>
      <c r="BI20" s="156"/>
      <c r="BJ20" s="157"/>
    </row>
    <row r="21" spans="1:62" ht="40.5" customHeight="1">
      <c r="A21" s="155"/>
      <c r="B21" s="156"/>
      <c r="C21" s="157"/>
      <c r="D21" s="158"/>
      <c r="E21" s="159"/>
      <c r="F21" s="159"/>
      <c r="G21" s="159"/>
      <c r="H21" s="159"/>
      <c r="I21" s="159"/>
      <c r="J21" s="159"/>
      <c r="K21" s="159"/>
      <c r="L21" s="159"/>
      <c r="M21" s="159"/>
      <c r="N21" s="159"/>
      <c r="O21" s="159"/>
      <c r="P21" s="159"/>
      <c r="Q21" s="160"/>
      <c r="R21" s="158"/>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60"/>
      <c r="BD21" s="155"/>
      <c r="BE21" s="156"/>
      <c r="BF21" s="156"/>
      <c r="BG21" s="156"/>
      <c r="BH21" s="156"/>
      <c r="BI21" s="156"/>
      <c r="BJ21" s="157"/>
    </row>
    <row r="22" spans="1:62" ht="40.5" customHeight="1">
      <c r="A22" s="155"/>
      <c r="B22" s="156"/>
      <c r="C22" s="157"/>
      <c r="D22" s="158"/>
      <c r="E22" s="159"/>
      <c r="F22" s="159"/>
      <c r="G22" s="159"/>
      <c r="H22" s="159"/>
      <c r="I22" s="159"/>
      <c r="J22" s="159"/>
      <c r="K22" s="159"/>
      <c r="L22" s="159"/>
      <c r="M22" s="159"/>
      <c r="N22" s="159"/>
      <c r="O22" s="159"/>
      <c r="P22" s="159"/>
      <c r="Q22" s="160"/>
      <c r="R22" s="158"/>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59"/>
      <c r="AT22" s="159"/>
      <c r="AU22" s="159"/>
      <c r="AV22" s="159"/>
      <c r="AW22" s="159"/>
      <c r="AX22" s="159"/>
      <c r="AY22" s="159"/>
      <c r="AZ22" s="159"/>
      <c r="BA22" s="159"/>
      <c r="BB22" s="159"/>
      <c r="BC22" s="160"/>
      <c r="BD22" s="155"/>
      <c r="BE22" s="156"/>
      <c r="BF22" s="156"/>
      <c r="BG22" s="156"/>
      <c r="BH22" s="156"/>
      <c r="BI22" s="156"/>
      <c r="BJ22" s="157"/>
    </row>
    <row r="23" spans="1:62" ht="40.5" customHeight="1">
      <c r="A23" s="155"/>
      <c r="B23" s="156"/>
      <c r="C23" s="157"/>
      <c r="D23" s="158"/>
      <c r="E23" s="159"/>
      <c r="F23" s="159"/>
      <c r="G23" s="159"/>
      <c r="H23" s="159"/>
      <c r="I23" s="159"/>
      <c r="J23" s="159"/>
      <c r="K23" s="159"/>
      <c r="L23" s="159"/>
      <c r="M23" s="159"/>
      <c r="N23" s="159"/>
      <c r="O23" s="159"/>
      <c r="P23" s="159"/>
      <c r="Q23" s="160"/>
      <c r="R23" s="158"/>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155"/>
      <c r="BE23" s="156"/>
      <c r="BF23" s="156"/>
      <c r="BG23" s="156"/>
      <c r="BH23" s="156"/>
      <c r="BI23" s="156"/>
      <c r="BJ23" s="157"/>
    </row>
    <row r="24" spans="1:62" ht="40.5" customHeight="1">
      <c r="A24" s="155"/>
      <c r="B24" s="156"/>
      <c r="C24" s="157"/>
      <c r="D24" s="158"/>
      <c r="E24" s="159"/>
      <c r="F24" s="159"/>
      <c r="G24" s="159"/>
      <c r="H24" s="159"/>
      <c r="I24" s="159"/>
      <c r="J24" s="159"/>
      <c r="K24" s="159"/>
      <c r="L24" s="159"/>
      <c r="M24" s="159"/>
      <c r="N24" s="159"/>
      <c r="O24" s="159"/>
      <c r="P24" s="159"/>
      <c r="Q24" s="160"/>
      <c r="R24" s="158"/>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159"/>
      <c r="AV24" s="159"/>
      <c r="AW24" s="159"/>
      <c r="AX24" s="159"/>
      <c r="AY24" s="159"/>
      <c r="AZ24" s="159"/>
      <c r="BA24" s="159"/>
      <c r="BB24" s="159"/>
      <c r="BC24" s="160"/>
      <c r="BD24" s="155"/>
      <c r="BE24" s="156"/>
      <c r="BF24" s="156"/>
      <c r="BG24" s="156"/>
      <c r="BH24" s="156"/>
      <c r="BI24" s="156"/>
      <c r="BJ24" s="157"/>
    </row>
    <row r="25" spans="1:62" ht="40.5" customHeight="1">
      <c r="A25" s="155"/>
      <c r="B25" s="156"/>
      <c r="C25" s="157"/>
      <c r="D25" s="158"/>
      <c r="E25" s="159"/>
      <c r="F25" s="159"/>
      <c r="G25" s="159"/>
      <c r="H25" s="159"/>
      <c r="I25" s="159"/>
      <c r="J25" s="159"/>
      <c r="K25" s="159"/>
      <c r="L25" s="159"/>
      <c r="M25" s="159"/>
      <c r="N25" s="159"/>
      <c r="O25" s="159"/>
      <c r="P25" s="159"/>
      <c r="Q25" s="160"/>
      <c r="R25" s="158"/>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159"/>
      <c r="AV25" s="159"/>
      <c r="AW25" s="159"/>
      <c r="AX25" s="159"/>
      <c r="AY25" s="159"/>
      <c r="AZ25" s="159"/>
      <c r="BA25" s="159"/>
      <c r="BB25" s="159"/>
      <c r="BC25" s="160"/>
      <c r="BD25" s="155"/>
      <c r="BE25" s="156"/>
      <c r="BF25" s="156"/>
      <c r="BG25" s="156"/>
      <c r="BH25" s="156"/>
      <c r="BI25" s="156"/>
      <c r="BJ25" s="157"/>
    </row>
    <row r="26" spans="1:62" ht="40.5" customHeight="1">
      <c r="A26" s="155"/>
      <c r="B26" s="156"/>
      <c r="C26" s="157"/>
      <c r="D26" s="158"/>
      <c r="E26" s="159"/>
      <c r="F26" s="159"/>
      <c r="G26" s="159"/>
      <c r="H26" s="159"/>
      <c r="I26" s="159"/>
      <c r="J26" s="159"/>
      <c r="K26" s="159"/>
      <c r="L26" s="159"/>
      <c r="M26" s="159"/>
      <c r="N26" s="159"/>
      <c r="O26" s="159"/>
      <c r="P26" s="159"/>
      <c r="Q26" s="160"/>
      <c r="R26" s="158"/>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59"/>
      <c r="AT26" s="159"/>
      <c r="AU26" s="159"/>
      <c r="AV26" s="159"/>
      <c r="AW26" s="159"/>
      <c r="AX26" s="159"/>
      <c r="AY26" s="159"/>
      <c r="AZ26" s="159"/>
      <c r="BA26" s="159"/>
      <c r="BB26" s="159"/>
      <c r="BC26" s="160"/>
      <c r="BD26" s="155"/>
      <c r="BE26" s="156"/>
      <c r="BF26" s="156"/>
      <c r="BG26" s="156"/>
      <c r="BH26" s="156"/>
      <c r="BI26" s="156"/>
      <c r="BJ26" s="157"/>
    </row>
    <row r="27" spans="1:62" ht="40.5" customHeight="1">
      <c r="A27" s="155"/>
      <c r="B27" s="156"/>
      <c r="C27" s="157"/>
      <c r="D27" s="158"/>
      <c r="E27" s="159"/>
      <c r="F27" s="159"/>
      <c r="G27" s="159"/>
      <c r="H27" s="159"/>
      <c r="I27" s="159"/>
      <c r="J27" s="159"/>
      <c r="K27" s="159"/>
      <c r="L27" s="159"/>
      <c r="M27" s="159"/>
      <c r="N27" s="159"/>
      <c r="O27" s="159"/>
      <c r="P27" s="159"/>
      <c r="Q27" s="160"/>
      <c r="R27" s="158"/>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59"/>
      <c r="AT27" s="159"/>
      <c r="AU27" s="159"/>
      <c r="AV27" s="159"/>
      <c r="AW27" s="159"/>
      <c r="AX27" s="159"/>
      <c r="AY27" s="159"/>
      <c r="AZ27" s="159"/>
      <c r="BA27" s="159"/>
      <c r="BB27" s="159"/>
      <c r="BC27" s="160"/>
      <c r="BD27" s="155"/>
      <c r="BE27" s="156"/>
      <c r="BF27" s="156"/>
      <c r="BG27" s="156"/>
      <c r="BH27" s="156"/>
      <c r="BI27" s="156"/>
      <c r="BJ27" s="157"/>
    </row>
    <row r="28" spans="1:62" ht="40.5" customHeight="1">
      <c r="A28" s="155"/>
      <c r="B28" s="156"/>
      <c r="C28" s="157"/>
      <c r="D28" s="158"/>
      <c r="E28" s="159"/>
      <c r="F28" s="159"/>
      <c r="G28" s="159"/>
      <c r="H28" s="159"/>
      <c r="I28" s="159"/>
      <c r="J28" s="159"/>
      <c r="K28" s="159"/>
      <c r="L28" s="159"/>
      <c r="M28" s="159"/>
      <c r="N28" s="159"/>
      <c r="O28" s="159"/>
      <c r="P28" s="159"/>
      <c r="Q28" s="160"/>
      <c r="R28" s="158"/>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59"/>
      <c r="BC28" s="160"/>
      <c r="BD28" s="155"/>
      <c r="BE28" s="156"/>
      <c r="BF28" s="156"/>
      <c r="BG28" s="156"/>
      <c r="BH28" s="156"/>
      <c r="BI28" s="156"/>
      <c r="BJ28" s="157"/>
    </row>
    <row r="29" spans="1:62" ht="40.5" customHeight="1">
      <c r="A29" s="155"/>
      <c r="B29" s="156"/>
      <c r="C29" s="157"/>
      <c r="D29" s="158"/>
      <c r="E29" s="159"/>
      <c r="F29" s="159"/>
      <c r="G29" s="159"/>
      <c r="H29" s="159"/>
      <c r="I29" s="159"/>
      <c r="J29" s="159"/>
      <c r="K29" s="159"/>
      <c r="L29" s="159"/>
      <c r="M29" s="159"/>
      <c r="N29" s="159"/>
      <c r="O29" s="159"/>
      <c r="P29" s="159"/>
      <c r="Q29" s="160"/>
      <c r="R29" s="158"/>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60"/>
      <c r="BD29" s="155"/>
      <c r="BE29" s="156"/>
      <c r="BF29" s="156"/>
      <c r="BG29" s="156"/>
      <c r="BH29" s="156"/>
      <c r="BI29" s="156"/>
      <c r="BJ29" s="157"/>
    </row>
    <row r="30" spans="1:62" ht="40.5" customHeight="1">
      <c r="A30" s="155"/>
      <c r="B30" s="156"/>
      <c r="C30" s="157"/>
      <c r="D30" s="158"/>
      <c r="E30" s="159"/>
      <c r="F30" s="159"/>
      <c r="G30" s="159"/>
      <c r="H30" s="159"/>
      <c r="I30" s="159"/>
      <c r="J30" s="159"/>
      <c r="K30" s="159"/>
      <c r="L30" s="159"/>
      <c r="M30" s="159"/>
      <c r="N30" s="159"/>
      <c r="O30" s="159"/>
      <c r="P30" s="159"/>
      <c r="Q30" s="160"/>
      <c r="R30" s="158"/>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60"/>
      <c r="BD30" s="155"/>
      <c r="BE30" s="156"/>
      <c r="BF30" s="156"/>
      <c r="BG30" s="156"/>
      <c r="BH30" s="156"/>
      <c r="BI30" s="156"/>
      <c r="BJ30" s="157"/>
    </row>
    <row r="31" spans="1:62" ht="40.5" customHeight="1">
      <c r="A31" s="146"/>
      <c r="B31" s="147"/>
      <c r="C31" s="148"/>
      <c r="D31" s="149"/>
      <c r="E31" s="150"/>
      <c r="F31" s="150"/>
      <c r="G31" s="150"/>
      <c r="H31" s="150"/>
      <c r="I31" s="150"/>
      <c r="J31" s="150"/>
      <c r="K31" s="150"/>
      <c r="L31" s="150"/>
      <c r="M31" s="150"/>
      <c r="N31" s="150"/>
      <c r="O31" s="150"/>
      <c r="P31" s="150"/>
      <c r="Q31" s="151"/>
      <c r="R31" s="149"/>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1"/>
      <c r="BD31" s="146"/>
      <c r="BE31" s="147"/>
      <c r="BF31" s="147"/>
      <c r="BG31" s="147"/>
      <c r="BH31" s="147"/>
      <c r="BI31" s="147"/>
      <c r="BJ31" s="148"/>
    </row>
    <row r="32" spans="1:62" ht="21" customHeight="1">
      <c r="B32" s="9"/>
      <c r="C32" s="9"/>
      <c r="D32" s="9"/>
      <c r="E32" s="9"/>
      <c r="F32" s="9"/>
      <c r="G32" s="9"/>
      <c r="H32" s="9"/>
      <c r="I32" s="9"/>
      <c r="J32" s="9"/>
      <c r="K32" s="9"/>
      <c r="L32" s="9"/>
      <c r="M32" s="9"/>
      <c r="N32" s="9"/>
      <c r="O32" s="9"/>
      <c r="P32" s="9"/>
      <c r="Q32" s="9"/>
      <c r="R32" s="9"/>
      <c r="S32" s="9"/>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109">
    <mergeCell ref="AT4:AX4"/>
    <mergeCell ref="AY4:BJ4"/>
    <mergeCell ref="A6:K6"/>
    <mergeCell ref="L6:BJ6"/>
    <mergeCell ref="A2:AS2"/>
    <mergeCell ref="AT2:AX2"/>
    <mergeCell ref="BG2:BJ2"/>
    <mergeCell ref="AT3:AX3"/>
    <mergeCell ref="AY3:BJ3"/>
    <mergeCell ref="AY2:BB2"/>
    <mergeCell ref="BC2:BF2"/>
    <mergeCell ref="A3:H4"/>
    <mergeCell ref="I3:AS4"/>
    <mergeCell ref="A10:C10"/>
    <mergeCell ref="D10:Q10"/>
    <mergeCell ref="R10:BC10"/>
    <mergeCell ref="BD10:BJ10"/>
    <mergeCell ref="A11:C11"/>
    <mergeCell ref="D11:Q11"/>
    <mergeCell ref="R11:BC11"/>
    <mergeCell ref="BD11:BJ11"/>
    <mergeCell ref="A8:C8"/>
    <mergeCell ref="D8:Q8"/>
    <mergeCell ref="R8:BC8"/>
    <mergeCell ref="BD8:BJ8"/>
    <mergeCell ref="A9:C9"/>
    <mergeCell ref="D9:Q9"/>
    <mergeCell ref="R9:BC9"/>
    <mergeCell ref="BD9:BJ9"/>
    <mergeCell ref="A14:C14"/>
    <mergeCell ref="D14:Q14"/>
    <mergeCell ref="R14:BC14"/>
    <mergeCell ref="BD14:BJ14"/>
    <mergeCell ref="A15:C15"/>
    <mergeCell ref="D15:Q15"/>
    <mergeCell ref="R15:BC15"/>
    <mergeCell ref="BD15:BJ15"/>
    <mergeCell ref="A12:C12"/>
    <mergeCell ref="D12:Q12"/>
    <mergeCell ref="R12:BC12"/>
    <mergeCell ref="BD12:BJ12"/>
    <mergeCell ref="A13:C13"/>
    <mergeCell ref="D13:Q13"/>
    <mergeCell ref="R13:BC13"/>
    <mergeCell ref="BD13:BJ13"/>
    <mergeCell ref="A18:C18"/>
    <mergeCell ref="D18:Q18"/>
    <mergeCell ref="R18:BC18"/>
    <mergeCell ref="BD18:BJ18"/>
    <mergeCell ref="A19:C19"/>
    <mergeCell ref="D19:Q19"/>
    <mergeCell ref="R19:BC19"/>
    <mergeCell ref="BD19:BJ19"/>
    <mergeCell ref="A16:C16"/>
    <mergeCell ref="D16:Q16"/>
    <mergeCell ref="R16:BC16"/>
    <mergeCell ref="BD16:BJ16"/>
    <mergeCell ref="A17:C17"/>
    <mergeCell ref="D17:Q17"/>
    <mergeCell ref="R17:BC17"/>
    <mergeCell ref="BD17:BJ17"/>
    <mergeCell ref="A22:C22"/>
    <mergeCell ref="D22:Q22"/>
    <mergeCell ref="R22:BC22"/>
    <mergeCell ref="BD22:BJ22"/>
    <mergeCell ref="A23:C23"/>
    <mergeCell ref="D23:Q23"/>
    <mergeCell ref="R23:BC23"/>
    <mergeCell ref="BD23:BJ23"/>
    <mergeCell ref="A20:C20"/>
    <mergeCell ref="D20:Q20"/>
    <mergeCell ref="R20:BC20"/>
    <mergeCell ref="BD20:BJ20"/>
    <mergeCell ref="A21:C21"/>
    <mergeCell ref="D21:Q21"/>
    <mergeCell ref="R21:BC21"/>
    <mergeCell ref="BD21:BJ21"/>
    <mergeCell ref="A26:C26"/>
    <mergeCell ref="D26:Q26"/>
    <mergeCell ref="R26:BC26"/>
    <mergeCell ref="BD26:BJ26"/>
    <mergeCell ref="A27:C27"/>
    <mergeCell ref="D27:Q27"/>
    <mergeCell ref="R27:BC27"/>
    <mergeCell ref="BD27:BJ27"/>
    <mergeCell ref="A24:C24"/>
    <mergeCell ref="D24:Q24"/>
    <mergeCell ref="R24:BC24"/>
    <mergeCell ref="BD24:BJ24"/>
    <mergeCell ref="A25:C25"/>
    <mergeCell ref="D25:Q25"/>
    <mergeCell ref="R25:BC25"/>
    <mergeCell ref="BD25:BJ25"/>
    <mergeCell ref="A31:C31"/>
    <mergeCell ref="D31:Q31"/>
    <mergeCell ref="R31:BC31"/>
    <mergeCell ref="BD31:BJ31"/>
    <mergeCell ref="A30:C30"/>
    <mergeCell ref="D30:Q30"/>
    <mergeCell ref="R30:BC30"/>
    <mergeCell ref="BD30:BJ30"/>
    <mergeCell ref="A28:C28"/>
    <mergeCell ref="D28:Q28"/>
    <mergeCell ref="R28:BC28"/>
    <mergeCell ref="BD28:BJ28"/>
    <mergeCell ref="A29:C29"/>
    <mergeCell ref="D29:Q29"/>
    <mergeCell ref="R29:BC29"/>
    <mergeCell ref="BD29:BJ29"/>
  </mergeCells>
  <phoneticPr fontId="8"/>
  <pageMargins left="0.53" right="0.46" top="0.64" bottom="0.48" header="0.84" footer="0.21"/>
  <pageSetup paperSize="9" scale="72"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954EBD4-2D83-4AEB-944C-9294E0E8B9BB}">
  <ds:schemaRefs>
    <ds:schemaRef ds:uri="http://schemas.microsoft.com/sharepoint/v3/contenttype/forms"/>
  </ds:schemaRefs>
</ds:datastoreItem>
</file>

<file path=customXml/itemProps2.xml><?xml version="1.0" encoding="utf-8"?>
<ds:datastoreItem xmlns:ds="http://schemas.openxmlformats.org/officeDocument/2006/customXml" ds:itemID="{C815CC59-2677-4611-AB00-15151CFC97A7}"/>
</file>

<file path=customXml/itemProps3.xml><?xml version="1.0" encoding="utf-8"?>
<ds:datastoreItem xmlns:ds="http://schemas.openxmlformats.org/officeDocument/2006/customXml" ds:itemID="{011DAE9A-7E43-4B8A-A380-4C7F6BA6A403}">
  <ds:schemaRefs>
    <ds:schemaRef ds:uri="http://purl.org/dc/dcmitype/"/>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www.w3.org/XML/1998/namespace"/>
    <ds:schemaRef ds:uri="b9cc7365-e218-4624-aedb-0a55e821af1f"/>
    <ds:schemaRef ds:uri="http://purl.org/dc/elements/1.1/"/>
    <ds:schemaRef ds:uri="http://schemas.microsoft.com/office/infopath/2007/PartnerControls"/>
    <ds:schemaRef ds:uri="4a1f72ec-30b8-4383-892a-fcacdd251f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10</vt:i4>
      </vt:variant>
    </vt:vector>
  </HeadingPairs>
  <TitlesOfParts>
    <vt:vector size="16" baseType="lpstr">
      <vt:lpstr>変更履歴</vt:lpstr>
      <vt:lpstr>項目定義書</vt:lpstr>
      <vt:lpstr>CSVイメージ</vt:lpstr>
      <vt:lpstr>CSVイメージ_データ</vt:lpstr>
      <vt:lpstr>取込チェック・単体</vt:lpstr>
      <vt:lpstr>取込チェック・関連</vt:lpstr>
      <vt:lpstr>CSVイメージ!Print_Area</vt:lpstr>
      <vt:lpstr>項目定義書!Print_Area</vt:lpstr>
      <vt:lpstr>取込チェック・関連!Print_Area</vt:lpstr>
      <vt:lpstr>取込チェック・単体!Print_Area</vt:lpstr>
      <vt:lpstr>変更履歴!Print_Area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2025-08-25T01:09:01Z</cp:lastPrinted>
  <dcterms:created xsi:type="dcterms:W3CDTF">2001-03-06T02:20:07Z</dcterms:created>
  <dcterms:modified xsi:type="dcterms:W3CDTF">2025-08-27T01:31:21Z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