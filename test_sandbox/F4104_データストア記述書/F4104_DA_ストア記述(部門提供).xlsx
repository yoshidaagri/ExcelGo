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04_データストア記述書\"/>
    </mc:Choice>
  </mc:AlternateContent>
  <xr:revisionPtr revIDLastSave="0" documentId="13_ncr:1_{0325F62E-C904-4F35-8289-717A32FD35B8}" xr6:coauthVersionLast="47" xr6:coauthVersionMax="47" xr10:uidLastSave="{00000000-0000-0000-0000-000000000000}"/>
  <bookViews>
    <workbookView xWindow="-120" yWindow="-120" windowWidth="29040" windowHeight="15720" tabRatio="866" xr2:uid="{00000000-000D-0000-FFFF-FFFF00000000}"/>
  </bookViews>
  <sheets>
    <sheet name="変更履歴" sheetId="56" r:id="rId1"/>
    <sheet name="取引入力申請情報" sheetId="22" r:id="rId2"/>
    <sheet name="取引入力情報" sheetId="23" r:id="rId3"/>
    <sheet name="取引入力出力情報CSV" sheetId="94" r:id="rId4"/>
    <sheet name="取引入力申請情報CSV" sheetId="97" r:id="rId5"/>
    <sheet name="定例取引入力CSV取込情報" sheetId="85" r:id="rId6"/>
    <sheet name="費用入力申請情報" sheetId="24" r:id="rId7"/>
    <sheet name="費用入力情報" sheetId="26" r:id="rId8"/>
    <sheet name="費用入力出力情報CSV" sheetId="95" r:id="rId9"/>
    <sheet name="費用入力申請情報CSV" sheetId="78" r:id="rId10"/>
    <sheet name="費用CSV取込情報" sheetId="86" r:id="rId11"/>
    <sheet name="消費税差額入力申請情報" sheetId="29" r:id="rId12"/>
    <sheet name="消費税差額入力情報" sheetId="30" r:id="rId13"/>
    <sheet name="収益入力申請情報" sheetId="82" r:id="rId14"/>
    <sheet name="収益入力情報" sheetId="32" r:id="rId15"/>
    <sheet name="収益入力出力情報CSV" sheetId="96" r:id="rId16"/>
    <sheet name="収益入力申請情報CSV" sheetId="83" r:id="rId17"/>
    <sheet name="収益入力CSV取込情報" sheetId="87" r:id="rId18"/>
    <sheet name="付替入力申請情報" sheetId="33" r:id="rId19"/>
    <sheet name="付替入力情報" sheetId="34" r:id="rId20"/>
    <sheet name="付替受入入力検索条件" sheetId="93" r:id="rId21"/>
    <sheet name="人件費補完情報" sheetId="52" r:id="rId22"/>
    <sheet name="人件費連動リスト" sheetId="37" r:id="rId23"/>
    <sheet name="人件費情報" sheetId="35" r:id="rId24"/>
    <sheet name="人件費補完情報CSV" sheetId="80" r:id="rId25"/>
    <sheet name="人件費情報入力CSV取込情報" sheetId="88" r:id="rId26"/>
    <sheet name="人件費特別申請情報" sheetId="38" r:id="rId27"/>
    <sheet name="人件費特別情報" sheetId="39" r:id="rId28"/>
    <sheet name="人件費特別申請情報CSV" sheetId="81" r:id="rId29"/>
    <sheet name="人件費特別入力CSV取込情報" sheetId="89" r:id="rId30"/>
    <sheet name="施設実績情報" sheetId="75" r:id="rId31"/>
    <sheet name="加工施設採算表（総括表）" sheetId="84" r:id="rId32"/>
    <sheet name="加工施設採算表（内訳表）" sheetId="66" r:id="rId33"/>
    <sheet name="事業施設補助簿試算表（総括表）" sheetId="67" r:id="rId34"/>
    <sheet name="事業施設補助簿試算表（内訳表）" sheetId="68" r:id="rId35"/>
    <sheet name="生産施設採算表（総括表）" sheetId="69" r:id="rId36"/>
    <sheet name="生産施設採算表（内訳表）" sheetId="70" r:id="rId37"/>
    <sheet name="直販施設採算表（総括表）" sheetId="71" r:id="rId38"/>
    <sheet name="直販施設採算表（内訳表）" sheetId="72" r:id="rId39"/>
    <sheet name="施設採算表出力検索条件" sheetId="90" r:id="rId40"/>
    <sheet name="購買品勘定整理帳" sheetId="73" r:id="rId41"/>
    <sheet name="販売品勘定整理帳" sheetId="74" r:id="rId42"/>
    <sheet name="製品売上原価・製品売上高勘定整理帳" sheetId="47" r:id="rId43"/>
    <sheet name="勘定整理帳情報照会検索条件" sheetId="91" r:id="rId44"/>
    <sheet name="購買手数料配分計算書" sheetId="43" r:id="rId45"/>
    <sheet name="全道共計手数料配分計算書" sheetId="57" r:id="rId46"/>
    <sheet name="手数料配分計算書出力検索条件" sheetId="92" r:id="rId47"/>
  </sheets>
  <definedNames>
    <definedName name="_Regression_X" hidden="1">#REF!</definedName>
    <definedName name="_xlnm.Print_Area" localSheetId="31">'加工施設採算表（総括表）'!$A$1:$BP$58</definedName>
    <definedName name="_xlnm.Print_Area" localSheetId="32">'加工施設採算表（内訳表）'!$A$1:$BP$58</definedName>
    <definedName name="_xlnm.Print_Area" localSheetId="43">勘定整理帳情報照会検索条件!$A$1:$BP$37</definedName>
    <definedName name="_xlnm.Print_Area" localSheetId="44">購買手数料配分計算書!$A$1:$BP$53</definedName>
    <definedName name="_xlnm.Print_Area" localSheetId="40">購買品勘定整理帳!$A$1:$BP$154</definedName>
    <definedName name="_xlnm.Print_Area" localSheetId="39">施設採算表出力検索条件!$A$1:$BP$25</definedName>
    <definedName name="_xlnm.Print_Area" localSheetId="30">施設実績情報!$A$1:$BP$32</definedName>
    <definedName name="_xlnm.Print_Area" localSheetId="33">'事業施設補助簿試算表（総括表）'!$A$1:$BP$54</definedName>
    <definedName name="_xlnm.Print_Area" localSheetId="34">'事業施設補助簿試算表（内訳表）'!$A$1:$BP$54</definedName>
    <definedName name="_xlnm.Print_Area" localSheetId="3">取引入力出力情報CSV!$A$1:$BP$79</definedName>
    <definedName name="_xlnm.Print_Area" localSheetId="2">取引入力情報!$A$1:$BP$131</definedName>
    <definedName name="_xlnm.Print_Area" localSheetId="1">取引入力申請情報!$A$1:$BP$27</definedName>
    <definedName name="_xlnm.Print_Area" localSheetId="4">取引入力申請情報CSV!$A$1:$BP$86</definedName>
    <definedName name="_xlnm.Print_Area" localSheetId="46">手数料配分計算書出力検索条件!$A$1:$BP$21</definedName>
    <definedName name="_xlnm.Print_Area" localSheetId="17">収益入力CSV取込情報!$A$1:$BP$26</definedName>
    <definedName name="_xlnm.Print_Area" localSheetId="15">収益入力出力情報CSV!$A$1:$BP$42</definedName>
    <definedName name="_xlnm.Print_Area" localSheetId="14">収益入力情報!$A$1:$BP$46</definedName>
    <definedName name="_xlnm.Print_Area" localSheetId="13">収益入力申請情報!$A$1:$BP$41</definedName>
    <definedName name="_xlnm.Print_Area" localSheetId="16">収益入力申請情報CSV!$A$1:$BP$42</definedName>
    <definedName name="_xlnm.Print_Area" localSheetId="12">消費税差額入力情報!$A$1:$BP$46</definedName>
    <definedName name="_xlnm.Print_Area" localSheetId="11">消費税差額入力申請情報!$A$1:$BP$38</definedName>
    <definedName name="_xlnm.Print_Area" localSheetId="23">人件費情報!$A$1:$BP$105</definedName>
    <definedName name="_xlnm.Print_Area" localSheetId="25">人件費情報入力CSV取込情報!$A$1:$BP$25</definedName>
    <definedName name="_xlnm.Print_Area" localSheetId="27">人件費特別情報!$A$1:$BP$104</definedName>
    <definedName name="_xlnm.Print_Area" localSheetId="26">人件費特別申請情報!$A$1:$BP$104</definedName>
    <definedName name="_xlnm.Print_Area" localSheetId="28">人件費特別申請情報CSV!$A$1:$BP$88</definedName>
    <definedName name="_xlnm.Print_Area" localSheetId="29">人件費特別入力CSV取込情報!$A$1:$BP$26</definedName>
    <definedName name="_xlnm.Print_Area" localSheetId="21">人件費補完情報!$A$1:$BP$95</definedName>
    <definedName name="_xlnm.Print_Area" localSheetId="24">人件費補完情報CSV!$A$1:$BP$103</definedName>
    <definedName name="_xlnm.Print_Area" localSheetId="22">人件費連動リスト!$A$1:$BP$110</definedName>
    <definedName name="_xlnm.Print_Area" localSheetId="35">'生産施設採算表（総括表）'!$A$1:$BP$54</definedName>
    <definedName name="_xlnm.Print_Area" localSheetId="36">'生産施設採算表（内訳表）'!$A$1:$BP$54</definedName>
    <definedName name="_xlnm.Print_Area" localSheetId="42">製品売上原価・製品売上高勘定整理帳!$A$1:$BP$120</definedName>
    <definedName name="_xlnm.Print_Area" localSheetId="45">全道共計手数料配分計算書!$A$1:$BP$33</definedName>
    <definedName name="_xlnm.Print_Area" localSheetId="37">'直販施設採算表（総括表）'!$A$1:$BP$61</definedName>
    <definedName name="_xlnm.Print_Area" localSheetId="38">'直販施設採算表（内訳表）'!$A$1:$BP$62</definedName>
    <definedName name="_xlnm.Print_Area" localSheetId="5">定例取引入力CSV取込情報!$A$1:$BP$26</definedName>
    <definedName name="_xlnm.Print_Area" localSheetId="41">販売品勘定整理帳!$A$1:$BP$158</definedName>
    <definedName name="_xlnm.Print_Area" localSheetId="10">費用CSV取込情報!$A$1:$BP$26</definedName>
    <definedName name="_xlnm.Print_Area" localSheetId="8">費用入力出力情報CSV!$A$1:$BP$53</definedName>
    <definedName name="_xlnm.Print_Area" localSheetId="7">費用入力情報!$A$1:$BP$72</definedName>
    <definedName name="_xlnm.Print_Area" localSheetId="6">費用入力申請情報!$A$1:$BP$30</definedName>
    <definedName name="_xlnm.Print_Area" localSheetId="9">費用入力申請情報CSV!$A$1:$BP$53</definedName>
    <definedName name="_xlnm.Print_Area" localSheetId="20">付替受入入力検索条件!$A$1:$BP$26</definedName>
    <definedName name="_xlnm.Print_Area" localSheetId="19">付替入力情報!$A$1:$BP$58</definedName>
    <definedName name="_xlnm.Print_Area" localSheetId="18">付替入力申請情報!$A$1:$BP$27</definedName>
    <definedName name="_xlnm.Print_Area" localSheetId="0">変更履歴!$A$1:$BJ$60</definedName>
    <definedName name="_xlnm.Print_Titles" localSheetId="31">'加工施設採算表（総括表）'!$1:$8</definedName>
    <definedName name="_xlnm.Print_Titles" localSheetId="32">'加工施設採算表（内訳表）'!$1:$8</definedName>
    <definedName name="_xlnm.Print_Titles" localSheetId="43">勘定整理帳情報照会検索条件!$1:$8</definedName>
    <definedName name="_xlnm.Print_Titles" localSheetId="44">購買手数料配分計算書!$1:$8</definedName>
    <definedName name="_xlnm.Print_Titles" localSheetId="40">購買品勘定整理帳!$1:$8</definedName>
    <definedName name="_xlnm.Print_Titles" localSheetId="39">施設採算表出力検索条件!$1:$8</definedName>
    <definedName name="_xlnm.Print_Titles" localSheetId="30">施設実績情報!$1:$8</definedName>
    <definedName name="_xlnm.Print_Titles" localSheetId="33">'事業施設補助簿試算表（総括表）'!$1:$8</definedName>
    <definedName name="_xlnm.Print_Titles" localSheetId="34">'事業施設補助簿試算表（内訳表）'!$1:$8</definedName>
    <definedName name="_xlnm.Print_Titles" localSheetId="3">取引入力出力情報CSV!$1:$8</definedName>
    <definedName name="_xlnm.Print_Titles" localSheetId="2">取引入力情報!$1:$8</definedName>
    <definedName name="_xlnm.Print_Titles" localSheetId="1">取引入力申請情報!$1:$8</definedName>
    <definedName name="_xlnm.Print_Titles" localSheetId="4">取引入力申請情報CSV!$1:$8</definedName>
    <definedName name="_xlnm.Print_Titles" localSheetId="46">手数料配分計算書出力検索条件!$1:$8</definedName>
    <definedName name="_xlnm.Print_Titles" localSheetId="17">収益入力CSV取込情報!$1:$8</definedName>
    <definedName name="_xlnm.Print_Titles" localSheetId="15">収益入力出力情報CSV!$1:$8</definedName>
    <definedName name="_xlnm.Print_Titles" localSheetId="14">収益入力情報!$1:$8</definedName>
    <definedName name="_xlnm.Print_Titles" localSheetId="13">収益入力申請情報!$1:$8</definedName>
    <definedName name="_xlnm.Print_Titles" localSheetId="16">収益入力申請情報CSV!$1:$8</definedName>
    <definedName name="_xlnm.Print_Titles" localSheetId="12">消費税差額入力情報!$1:$8</definedName>
    <definedName name="_xlnm.Print_Titles" localSheetId="11">消費税差額入力申請情報!$1:$8</definedName>
    <definedName name="_xlnm.Print_Titles" localSheetId="23">人件費情報!$1:$8</definedName>
    <definedName name="_xlnm.Print_Titles" localSheetId="25">人件費情報入力CSV取込情報!$1:$8</definedName>
    <definedName name="_xlnm.Print_Titles" localSheetId="27">人件費特別情報!$1:$8</definedName>
    <definedName name="_xlnm.Print_Titles" localSheetId="26">人件費特別申請情報!$1:$8</definedName>
    <definedName name="_xlnm.Print_Titles" localSheetId="28">人件費特別申請情報CSV!$1:$8</definedName>
    <definedName name="_xlnm.Print_Titles" localSheetId="29">人件費特別入力CSV取込情報!$1:$8</definedName>
    <definedName name="_xlnm.Print_Titles" localSheetId="21">人件費補完情報!$1:$8</definedName>
    <definedName name="_xlnm.Print_Titles" localSheetId="24">人件費補完情報CSV!$1:$8</definedName>
    <definedName name="_xlnm.Print_Titles" localSheetId="22">人件費連動リスト!$1:$8</definedName>
    <definedName name="_xlnm.Print_Titles" localSheetId="35">'生産施設採算表（総括表）'!$1:$8</definedName>
    <definedName name="_xlnm.Print_Titles" localSheetId="36">'生産施設採算表（内訳表）'!$1:$8</definedName>
    <definedName name="_xlnm.Print_Titles" localSheetId="42">製品売上原価・製品売上高勘定整理帳!$1:$8</definedName>
    <definedName name="_xlnm.Print_Titles" localSheetId="45">全道共計手数料配分計算書!$1:$8</definedName>
    <definedName name="_xlnm.Print_Titles" localSheetId="37">'直販施設採算表（総括表）'!$1:$8</definedName>
    <definedName name="_xlnm.Print_Titles" localSheetId="38">'直販施設採算表（内訳表）'!$1:$8</definedName>
    <definedName name="_xlnm.Print_Titles" localSheetId="5">定例取引入力CSV取込情報!$1:$8</definedName>
    <definedName name="_xlnm.Print_Titles" localSheetId="41">販売品勘定整理帳!$1:$8</definedName>
    <definedName name="_xlnm.Print_Titles" localSheetId="10">費用CSV取込情報!$1:$8</definedName>
    <definedName name="_xlnm.Print_Titles" localSheetId="8">費用入力出力情報CSV!$1:$8</definedName>
    <definedName name="_xlnm.Print_Titles" localSheetId="7">費用入力情報!$1:$8</definedName>
    <definedName name="_xlnm.Print_Titles" localSheetId="6">費用入力申請情報!$1:$8</definedName>
    <definedName name="_xlnm.Print_Titles" localSheetId="9">費用入力申請情報CSV!$1:$8</definedName>
    <definedName name="_xlnm.Print_Titles" localSheetId="20">付替受入入力検索条件!$1:$8</definedName>
    <definedName name="_xlnm.Print_Titles" localSheetId="19">付替入力情報!$1:$8</definedName>
    <definedName name="_xlnm.Print_Titles" localSheetId="18">付替入力申請情報!$1:$8</definedName>
    <definedName name="_xlnm.Print_Titles" localSheetId="0">変更履歴!$1:$5</definedName>
    <definedName name="ね表紙" hidden="1">#REF!</definedName>
    <definedName name="ランク別売単価">#REF!</definedName>
    <definedName name="関連表" hidden="1">#REF!</definedName>
    <definedName name="顧客名">#REF!</definedName>
    <definedName name="顧客名・コード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78" l="1"/>
  <c r="A9" i="95"/>
  <c r="A9" i="83"/>
  <c r="A9" i="96"/>
  <c r="A9" i="97"/>
  <c r="A9" i="94"/>
  <c r="A44" i="97"/>
  <c r="A43" i="97"/>
  <c r="A42" i="97"/>
  <c r="A41" i="97"/>
  <c r="A40" i="97"/>
  <c r="A39" i="97"/>
  <c r="A38" i="97"/>
  <c r="A37" i="97"/>
  <c r="A36" i="97"/>
  <c r="A35" i="97"/>
  <c r="A34" i="97"/>
  <c r="A33" i="97"/>
  <c r="A32" i="97"/>
  <c r="A31" i="97"/>
  <c r="A30" i="97"/>
  <c r="A29" i="97"/>
  <c r="A28" i="97"/>
  <c r="A27" i="97"/>
  <c r="A26" i="97"/>
  <c r="A25" i="97"/>
  <c r="A44" i="94"/>
  <c r="A43" i="94"/>
  <c r="A42" i="94"/>
  <c r="A41" i="94"/>
  <c r="A40" i="94"/>
  <c r="A39" i="94"/>
  <c r="A38" i="94"/>
  <c r="A37" i="94"/>
  <c r="A36" i="94"/>
  <c r="A35" i="94"/>
  <c r="A34" i="94"/>
  <c r="A33" i="94"/>
  <c r="A32" i="94"/>
  <c r="A31" i="94"/>
  <c r="A30" i="94"/>
  <c r="A29" i="94"/>
  <c r="A22" i="26"/>
  <c r="A21" i="26"/>
  <c r="A20" i="26"/>
  <c r="A19" i="26"/>
  <c r="A18" i="26"/>
  <c r="A17" i="26"/>
  <c r="A47" i="35" l="1"/>
  <c r="A17" i="33" l="1"/>
  <c r="A16" i="33"/>
  <c r="A15" i="33"/>
  <c r="A14" i="33"/>
  <c r="A13" i="33"/>
  <c r="A12" i="33"/>
  <c r="A11" i="33"/>
  <c r="A10" i="33"/>
  <c r="A9" i="33"/>
  <c r="A32" i="95" l="1"/>
  <c r="A24" i="95"/>
  <c r="A18" i="95"/>
  <c r="A17" i="95"/>
  <c r="A20" i="95"/>
  <c r="A19" i="95"/>
  <c r="A15" i="95"/>
  <c r="A14" i="95"/>
  <c r="A10" i="95"/>
  <c r="A11" i="95"/>
  <c r="A14" i="24" l="1"/>
  <c r="A13" i="24"/>
  <c r="A10" i="24"/>
  <c r="A9" i="24"/>
  <c r="A76" i="97"/>
  <c r="A75" i="97"/>
  <c r="A74" i="97"/>
  <c r="A73" i="97"/>
  <c r="A72" i="97"/>
  <c r="A71" i="97"/>
  <c r="A70" i="97"/>
  <c r="A69" i="97"/>
  <c r="A68" i="97"/>
  <c r="A67" i="97"/>
  <c r="A66" i="97"/>
  <c r="A65" i="97"/>
  <c r="A64" i="97"/>
  <c r="A63" i="97"/>
  <c r="A62" i="97"/>
  <c r="A61" i="97"/>
  <c r="A60" i="97"/>
  <c r="A59" i="97"/>
  <c r="A58" i="97"/>
  <c r="A57" i="97"/>
  <c r="A56" i="97"/>
  <c r="A55" i="97"/>
  <c r="A54" i="97"/>
  <c r="A53" i="97"/>
  <c r="A52" i="97"/>
  <c r="A51" i="97"/>
  <c r="A50" i="97"/>
  <c r="A49" i="97"/>
  <c r="A48" i="97"/>
  <c r="A47" i="97"/>
  <c r="A46" i="97"/>
  <c r="A45" i="97"/>
  <c r="A24" i="97"/>
  <c r="A23" i="97"/>
  <c r="A22" i="97"/>
  <c r="A21" i="97"/>
  <c r="A20" i="97"/>
  <c r="A19" i="97"/>
  <c r="A18" i="97"/>
  <c r="A17" i="97"/>
  <c r="A16" i="97"/>
  <c r="A15" i="97"/>
  <c r="A14" i="97"/>
  <c r="A13" i="97"/>
  <c r="A12" i="97"/>
  <c r="A11" i="97"/>
  <c r="A10" i="97"/>
  <c r="A16" i="22"/>
  <c r="A15" i="22"/>
  <c r="A10" i="22"/>
  <c r="A9" i="22"/>
  <c r="A32" i="96" l="1"/>
  <c r="A31" i="96"/>
  <c r="A30" i="96"/>
  <c r="A29" i="96"/>
  <c r="A28" i="96"/>
  <c r="A27" i="96"/>
  <c r="A26" i="96"/>
  <c r="A25" i="96"/>
  <c r="A24" i="96"/>
  <c r="A23" i="96"/>
  <c r="A22" i="96"/>
  <c r="A21" i="96"/>
  <c r="A20" i="96"/>
  <c r="A19" i="96"/>
  <c r="A18" i="96"/>
  <c r="A17" i="96"/>
  <c r="A16" i="96"/>
  <c r="A15" i="96"/>
  <c r="A14" i="96"/>
  <c r="A13" i="96"/>
  <c r="A12" i="96"/>
  <c r="A11" i="96"/>
  <c r="A10" i="96"/>
  <c r="A43" i="95"/>
  <c r="A42" i="95"/>
  <c r="A41" i="95"/>
  <c r="A40" i="95"/>
  <c r="A39" i="95"/>
  <c r="A38" i="95"/>
  <c r="A37" i="95"/>
  <c r="A36" i="95"/>
  <c r="A35" i="95"/>
  <c r="A34" i="95"/>
  <c r="A33" i="95"/>
  <c r="A31" i="95"/>
  <c r="A30" i="95"/>
  <c r="A29" i="95"/>
  <c r="A28" i="95"/>
  <c r="A27" i="95"/>
  <c r="A26" i="95"/>
  <c r="A25" i="95"/>
  <c r="A23" i="95"/>
  <c r="A22" i="95"/>
  <c r="A21" i="95"/>
  <c r="A16" i="95"/>
  <c r="A13" i="95"/>
  <c r="A12" i="95"/>
  <c r="A69" i="94"/>
  <c r="A68" i="94"/>
  <c r="A67" i="94"/>
  <c r="A66" i="94"/>
  <c r="A65" i="94"/>
  <c r="A64" i="94"/>
  <c r="A63" i="94"/>
  <c r="A62" i="94"/>
  <c r="A61" i="94"/>
  <c r="A60" i="94"/>
  <c r="A59" i="94"/>
  <c r="A58" i="94"/>
  <c r="A57" i="94"/>
  <c r="A56" i="94"/>
  <c r="A55" i="94"/>
  <c r="A54" i="94"/>
  <c r="A53" i="94"/>
  <c r="A52" i="94"/>
  <c r="A51" i="94"/>
  <c r="A50" i="94"/>
  <c r="A49" i="94"/>
  <c r="A48" i="94"/>
  <c r="A47" i="94"/>
  <c r="A46" i="94"/>
  <c r="A45" i="94"/>
  <c r="A28" i="94"/>
  <c r="A27" i="94"/>
  <c r="A26" i="94"/>
  <c r="A25" i="94"/>
  <c r="A24" i="94"/>
  <c r="A23" i="94"/>
  <c r="A22" i="94"/>
  <c r="A21" i="94"/>
  <c r="A20" i="94"/>
  <c r="A19" i="94"/>
  <c r="A18" i="94"/>
  <c r="A17" i="94"/>
  <c r="A16" i="94"/>
  <c r="A15" i="94"/>
  <c r="A14" i="94"/>
  <c r="A13" i="94"/>
  <c r="A12" i="94"/>
  <c r="A11" i="94"/>
  <c r="A10" i="94"/>
  <c r="A16" i="93"/>
  <c r="A15" i="93"/>
  <c r="A14" i="93"/>
  <c r="A13" i="93"/>
  <c r="A12" i="93"/>
  <c r="A11" i="93"/>
  <c r="A10" i="93"/>
  <c r="A9" i="93"/>
  <c r="A11" i="92"/>
  <c r="A10" i="92"/>
  <c r="A9" i="92"/>
  <c r="A25" i="91"/>
  <c r="A27" i="91"/>
  <c r="A24" i="91"/>
  <c r="A26" i="91"/>
  <c r="A19" i="91"/>
  <c r="A21" i="91"/>
  <c r="A18" i="91"/>
  <c r="A20" i="91"/>
  <c r="A13" i="91"/>
  <c r="A15" i="91"/>
  <c r="A12" i="91"/>
  <c r="A14" i="91"/>
  <c r="A23" i="91"/>
  <c r="A22" i="91"/>
  <c r="A17" i="91"/>
  <c r="A16" i="91"/>
  <c r="A11" i="91"/>
  <c r="A10" i="91"/>
  <c r="A9" i="91"/>
  <c r="A14" i="90"/>
  <c r="A13" i="90"/>
  <c r="A12" i="90"/>
  <c r="A11" i="90"/>
  <c r="A10" i="90"/>
  <c r="A9" i="90"/>
  <c r="A16" i="89"/>
  <c r="A15" i="89"/>
  <c r="A14" i="89"/>
  <c r="A13" i="89"/>
  <c r="A12" i="89"/>
  <c r="A11" i="89"/>
  <c r="A10" i="89"/>
  <c r="A9" i="89"/>
  <c r="A16" i="88"/>
  <c r="A15" i="88"/>
  <c r="A14" i="88"/>
  <c r="A13" i="88"/>
  <c r="A12" i="88"/>
  <c r="A11" i="88"/>
  <c r="A10" i="88"/>
  <c r="A9" i="88"/>
  <c r="A16" i="87" l="1"/>
  <c r="A15" i="87"/>
  <c r="A14" i="87"/>
  <c r="A13" i="87"/>
  <c r="A12" i="87"/>
  <c r="A11" i="87"/>
  <c r="A10" i="87"/>
  <c r="A9" i="87"/>
  <c r="A16" i="86" l="1"/>
  <c r="A15" i="86"/>
  <c r="A14" i="86"/>
  <c r="A13" i="86"/>
  <c r="A12" i="86"/>
  <c r="A11" i="86"/>
  <c r="A10" i="86"/>
  <c r="A9" i="86"/>
  <c r="A16" i="85" l="1"/>
  <c r="A15" i="85"/>
  <c r="A14" i="85"/>
  <c r="A13" i="85"/>
  <c r="A12" i="85"/>
  <c r="A11" i="85"/>
  <c r="A10" i="85"/>
  <c r="A9" i="85"/>
  <c r="A30" i="74"/>
  <c r="A25" i="73"/>
  <c r="A60" i="52"/>
  <c r="A61" i="80"/>
  <c r="A35" i="39"/>
  <c r="A34" i="39"/>
  <c r="A33" i="39"/>
  <c r="A32" i="39"/>
  <c r="A31" i="39"/>
  <c r="A30" i="39"/>
  <c r="A15" i="35"/>
  <c r="A13" i="35"/>
  <c r="A12" i="35"/>
  <c r="A10" i="67" l="1"/>
  <c r="A9" i="84"/>
  <c r="A10" i="84"/>
  <c r="A11" i="84"/>
  <c r="A12" i="84"/>
  <c r="A13" i="84"/>
  <c r="A14" i="84"/>
  <c r="A15" i="84"/>
  <c r="A16" i="84"/>
  <c r="A17" i="84"/>
  <c r="A18" i="84"/>
  <c r="A19" i="84"/>
  <c r="A20" i="84"/>
  <c r="A21" i="84"/>
  <c r="A22" i="84"/>
  <c r="A23" i="84"/>
  <c r="A24" i="84"/>
  <c r="A25" i="84"/>
  <c r="A26" i="84"/>
  <c r="A27" i="84"/>
  <c r="A28" i="84"/>
  <c r="A29" i="84"/>
  <c r="A30" i="84"/>
  <c r="A31" i="84"/>
  <c r="A32" i="84"/>
  <c r="A33" i="84"/>
  <c r="A34" i="84"/>
  <c r="A35" i="84"/>
  <c r="A36" i="84"/>
  <c r="A37" i="84"/>
  <c r="A38" i="84"/>
  <c r="A39" i="84"/>
  <c r="A40" i="84"/>
  <c r="A41" i="84"/>
  <c r="A42" i="84"/>
  <c r="A43" i="84"/>
  <c r="A44" i="84"/>
  <c r="A45" i="84"/>
  <c r="A46" i="84"/>
  <c r="A47" i="84"/>
  <c r="A48" i="84"/>
  <c r="A10" i="83" l="1"/>
  <c r="A11" i="83"/>
  <c r="A12" i="83"/>
  <c r="A13" i="83"/>
  <c r="A14" i="83"/>
  <c r="A15" i="83"/>
  <c r="A16" i="83"/>
  <c r="A17" i="83"/>
  <c r="A18" i="83"/>
  <c r="A19" i="83"/>
  <c r="A20" i="83"/>
  <c r="A21" i="83"/>
  <c r="A22" i="83"/>
  <c r="A23" i="83"/>
  <c r="A24" i="83"/>
  <c r="A25" i="83"/>
  <c r="A26" i="83"/>
  <c r="A27" i="83"/>
  <c r="A28" i="83"/>
  <c r="A29" i="83"/>
  <c r="A30" i="83"/>
  <c r="A31" i="83"/>
  <c r="A32" i="83"/>
  <c r="A31" i="82"/>
  <c r="A30" i="82"/>
  <c r="A29" i="82"/>
  <c r="A28" i="82"/>
  <c r="A27" i="82"/>
  <c r="A26" i="82"/>
  <c r="A25" i="82"/>
  <c r="A24" i="82"/>
  <c r="A23" i="82"/>
  <c r="A22" i="82"/>
  <c r="A21" i="82"/>
  <c r="A20" i="82"/>
  <c r="A19" i="82"/>
  <c r="A18" i="82"/>
  <c r="A17" i="82"/>
  <c r="A16" i="82"/>
  <c r="A15" i="82"/>
  <c r="A14" i="82"/>
  <c r="A13" i="82"/>
  <c r="A12" i="82"/>
  <c r="A11" i="82"/>
  <c r="A10" i="82"/>
  <c r="A9" i="82"/>
  <c r="A12" i="30" l="1"/>
  <c r="A11" i="30"/>
  <c r="A32" i="32"/>
  <c r="A35" i="26"/>
  <c r="A10" i="30"/>
  <c r="A9" i="26"/>
  <c r="A52" i="72"/>
  <c r="A51" i="72"/>
  <c r="A50" i="72"/>
  <c r="A49" i="72"/>
  <c r="A48" i="72"/>
  <c r="A47" i="72"/>
  <c r="A46" i="72"/>
  <c r="A45" i="72"/>
  <c r="A44" i="72"/>
  <c r="A43" i="72"/>
  <c r="A42" i="72"/>
  <c r="A41" i="72"/>
  <c r="A40" i="72"/>
  <c r="A39" i="72"/>
  <c r="A38" i="72"/>
  <c r="A37" i="72"/>
  <c r="A36" i="72"/>
  <c r="A35" i="72"/>
  <c r="A34" i="72"/>
  <c r="A33" i="72"/>
  <c r="A32" i="72"/>
  <c r="A31" i="72"/>
  <c r="A30" i="72"/>
  <c r="A29" i="72"/>
  <c r="A28" i="72"/>
  <c r="A27" i="72"/>
  <c r="A26" i="72"/>
  <c r="A25" i="72"/>
  <c r="A24" i="72"/>
  <c r="A23" i="72"/>
  <c r="A22" i="72"/>
  <c r="A21" i="72"/>
  <c r="A20" i="72"/>
  <c r="A19" i="72"/>
  <c r="A18" i="72"/>
  <c r="A17" i="72"/>
  <c r="A16" i="72"/>
  <c r="A15" i="72"/>
  <c r="A14" i="72"/>
  <c r="A13" i="72"/>
  <c r="A12" i="72"/>
  <c r="A11" i="72"/>
  <c r="A10" i="72"/>
  <c r="A9" i="72"/>
  <c r="A52" i="71"/>
  <c r="A51" i="71"/>
  <c r="A50" i="71"/>
  <c r="A49" i="71"/>
  <c r="A48" i="71"/>
  <c r="A47" i="71"/>
  <c r="A46" i="71"/>
  <c r="A45" i="71"/>
  <c r="A44" i="71"/>
  <c r="A43" i="71"/>
  <c r="A42" i="71"/>
  <c r="A41" i="71"/>
  <c r="A40" i="71"/>
  <c r="A39" i="71"/>
  <c r="A38" i="71"/>
  <c r="A37" i="71"/>
  <c r="A36" i="71"/>
  <c r="A35" i="71"/>
  <c r="A34" i="71"/>
  <c r="A33" i="71"/>
  <c r="A32" i="71"/>
  <c r="A31" i="71"/>
  <c r="A30" i="71"/>
  <c r="A29" i="71"/>
  <c r="A28" i="71"/>
  <c r="A27" i="71"/>
  <c r="A26" i="71"/>
  <c r="A25" i="71"/>
  <c r="A24" i="71"/>
  <c r="A23" i="71"/>
  <c r="A22" i="71"/>
  <c r="A21" i="71"/>
  <c r="A20" i="71"/>
  <c r="A19" i="71"/>
  <c r="A18" i="71"/>
  <c r="A17" i="71"/>
  <c r="A16" i="71"/>
  <c r="A15" i="71"/>
  <c r="A14" i="71"/>
  <c r="A13" i="71"/>
  <c r="A12" i="71"/>
  <c r="A11" i="71"/>
  <c r="A10" i="71"/>
  <c r="A9" i="71"/>
  <c r="A44" i="70" l="1"/>
  <c r="A43" i="70"/>
  <c r="A42" i="70"/>
  <c r="A41" i="70"/>
  <c r="A40" i="70"/>
  <c r="A39" i="70"/>
  <c r="A38" i="70"/>
  <c r="A37" i="70"/>
  <c r="A36" i="70"/>
  <c r="A35" i="70"/>
  <c r="A34" i="70"/>
  <c r="A33" i="70"/>
  <c r="A32" i="70"/>
  <c r="A31" i="70"/>
  <c r="A30" i="70"/>
  <c r="A29" i="70"/>
  <c r="A28" i="70"/>
  <c r="A27" i="70"/>
  <c r="A26" i="70"/>
  <c r="A25" i="70"/>
  <c r="A24" i="70"/>
  <c r="A23" i="70"/>
  <c r="A22" i="70"/>
  <c r="A21" i="70"/>
  <c r="A20" i="70"/>
  <c r="A19" i="70"/>
  <c r="A18" i="70"/>
  <c r="A17" i="70"/>
  <c r="A16" i="70"/>
  <c r="A15" i="70"/>
  <c r="A14" i="70"/>
  <c r="A13" i="70"/>
  <c r="A12" i="70"/>
  <c r="A11" i="70"/>
  <c r="A10" i="70"/>
  <c r="A9" i="70"/>
  <c r="A44" i="69"/>
  <c r="A43" i="69"/>
  <c r="A42" i="69"/>
  <c r="A41" i="69"/>
  <c r="A40" i="69"/>
  <c r="A39" i="69"/>
  <c r="A38" i="69"/>
  <c r="A37" i="69"/>
  <c r="A36" i="69"/>
  <c r="A35" i="69"/>
  <c r="A34" i="69"/>
  <c r="A33" i="69"/>
  <c r="A32" i="69"/>
  <c r="A31" i="69"/>
  <c r="A30" i="69"/>
  <c r="A29" i="69"/>
  <c r="A28" i="69"/>
  <c r="A27" i="69"/>
  <c r="A26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44" i="68" l="1"/>
  <c r="A43" i="68"/>
  <c r="A42" i="68"/>
  <c r="A41" i="68"/>
  <c r="A40" i="68"/>
  <c r="A39" i="68"/>
  <c r="A38" i="68"/>
  <c r="A37" i="68"/>
  <c r="A36" i="68"/>
  <c r="A35" i="68"/>
  <c r="A34" i="68"/>
  <c r="A33" i="68"/>
  <c r="A32" i="68"/>
  <c r="A31" i="68"/>
  <c r="A30" i="68"/>
  <c r="A29" i="68"/>
  <c r="A28" i="68"/>
  <c r="A27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44" i="67"/>
  <c r="A43" i="67"/>
  <c r="A42" i="67"/>
  <c r="A41" i="67"/>
  <c r="A40" i="67"/>
  <c r="A39" i="67"/>
  <c r="A38" i="67"/>
  <c r="A37" i="67"/>
  <c r="A36" i="67"/>
  <c r="A35" i="67"/>
  <c r="A34" i="67"/>
  <c r="A33" i="67"/>
  <c r="A32" i="67"/>
  <c r="A31" i="67"/>
  <c r="A30" i="67"/>
  <c r="A29" i="67"/>
  <c r="A28" i="67"/>
  <c r="A27" i="67"/>
  <c r="A26" i="67"/>
  <c r="A25" i="67"/>
  <c r="A24" i="67"/>
  <c r="A23" i="67"/>
  <c r="A22" i="67"/>
  <c r="A21" i="67"/>
  <c r="A20" i="67"/>
  <c r="A19" i="67"/>
  <c r="A18" i="67"/>
  <c r="A17" i="67"/>
  <c r="A16" i="67"/>
  <c r="A15" i="67"/>
  <c r="A14" i="67"/>
  <c r="A13" i="67"/>
  <c r="A12" i="67"/>
  <c r="A11" i="67"/>
  <c r="A9" i="67"/>
  <c r="A48" i="66" l="1"/>
  <c r="A47" i="66"/>
  <c r="A46" i="66"/>
  <c r="A45" i="66"/>
  <c r="A44" i="66"/>
  <c r="A43" i="66"/>
  <c r="A42" i="66"/>
  <c r="A41" i="66"/>
  <c r="A40" i="66"/>
  <c r="A39" i="66"/>
  <c r="A38" i="66"/>
  <c r="A37" i="66"/>
  <c r="A36" i="66"/>
  <c r="A35" i="66"/>
  <c r="A34" i="66"/>
  <c r="A33" i="66"/>
  <c r="A32" i="66"/>
  <c r="A31" i="66"/>
  <c r="A30" i="66"/>
  <c r="A29" i="66"/>
  <c r="A28" i="66"/>
  <c r="A27" i="66"/>
  <c r="A26" i="66"/>
  <c r="A25" i="66"/>
  <c r="A24" i="66"/>
  <c r="A23" i="66"/>
  <c r="A22" i="66"/>
  <c r="A21" i="66"/>
  <c r="A20" i="66"/>
  <c r="A19" i="66"/>
  <c r="A18" i="66"/>
  <c r="A17" i="66"/>
  <c r="A16" i="66"/>
  <c r="A15" i="66"/>
  <c r="A14" i="66"/>
  <c r="A13" i="66"/>
  <c r="A12" i="66"/>
  <c r="A11" i="66"/>
  <c r="A10" i="66"/>
  <c r="A9" i="66"/>
  <c r="A94" i="39" l="1"/>
  <c r="A96" i="35"/>
  <c r="A48" i="34"/>
  <c r="A30" i="32"/>
  <c r="A32" i="30"/>
  <c r="A24" i="26"/>
  <c r="A38" i="23"/>
  <c r="A37" i="23"/>
  <c r="A20" i="23"/>
  <c r="A19" i="23"/>
  <c r="A18" i="23"/>
  <c r="A17" i="23"/>
  <c r="A16" i="23"/>
  <c r="A15" i="23"/>
  <c r="A15" i="75"/>
  <c r="A47" i="34"/>
  <c r="A46" i="34"/>
  <c r="A45" i="34"/>
  <c r="A44" i="34"/>
  <c r="A43" i="34"/>
  <c r="A42" i="34"/>
  <c r="A41" i="34"/>
  <c r="A40" i="34"/>
  <c r="A39" i="34"/>
  <c r="A38" i="34"/>
  <c r="A37" i="34"/>
  <c r="A36" i="34"/>
  <c r="A35" i="34"/>
  <c r="A34" i="34"/>
  <c r="A9" i="34"/>
  <c r="A33" i="34"/>
  <c r="A65" i="23"/>
  <c r="A38" i="32" l="1"/>
  <c r="A29" i="32"/>
  <c r="A19" i="32"/>
  <c r="A18" i="32"/>
  <c r="A17" i="32"/>
  <c r="A16" i="32"/>
  <c r="A15" i="32"/>
  <c r="A14" i="32"/>
  <c r="A18" i="34"/>
  <c r="A16" i="34"/>
  <c r="A15" i="34"/>
  <c r="A32" i="34"/>
  <c r="A26" i="34" l="1"/>
  <c r="A25" i="34"/>
  <c r="A24" i="34"/>
  <c r="A23" i="34"/>
  <c r="A22" i="34"/>
  <c r="A21" i="34"/>
  <c r="A23" i="30"/>
  <c r="A22" i="30"/>
  <c r="A21" i="30"/>
  <c r="A31" i="30"/>
  <c r="A37" i="32" l="1"/>
  <c r="A31" i="32"/>
  <c r="A36" i="23"/>
  <c r="A35" i="23"/>
  <c r="A10" i="52"/>
  <c r="A94" i="80"/>
  <c r="A89" i="80"/>
  <c r="A90" i="80"/>
  <c r="A91" i="80"/>
  <c r="A92" i="80"/>
  <c r="A88" i="80"/>
  <c r="A84" i="80"/>
  <c r="A85" i="80"/>
  <c r="A86" i="80"/>
  <c r="A83" i="80"/>
  <c r="A79" i="80"/>
  <c r="A80" i="80"/>
  <c r="A81" i="80"/>
  <c r="A78" i="80"/>
  <c r="A74" i="80"/>
  <c r="A75" i="80"/>
  <c r="A76" i="80"/>
  <c r="A73" i="80"/>
  <c r="A69" i="80"/>
  <c r="A70" i="80"/>
  <c r="A71" i="80"/>
  <c r="A68" i="80"/>
  <c r="A64" i="80"/>
  <c r="A65" i="80"/>
  <c r="A66" i="80"/>
  <c r="A63" i="80"/>
  <c r="A49" i="80"/>
  <c r="A50" i="80"/>
  <c r="A51" i="80"/>
  <c r="A52" i="80"/>
  <c r="A53" i="80"/>
  <c r="A54" i="80"/>
  <c r="A55" i="80"/>
  <c r="A56" i="80"/>
  <c r="A57" i="80"/>
  <c r="A58" i="80"/>
  <c r="A59" i="80"/>
  <c r="A60" i="80"/>
  <c r="A38" i="80"/>
  <c r="A39" i="80"/>
  <c r="A40" i="80"/>
  <c r="A41" i="80"/>
  <c r="A42" i="80"/>
  <c r="A43" i="80"/>
  <c r="A44" i="80"/>
  <c r="A45" i="80"/>
  <c r="A46" i="80"/>
  <c r="A47" i="80"/>
  <c r="A48" i="80"/>
  <c r="A37" i="80"/>
  <c r="A35" i="80"/>
  <c r="A27" i="80"/>
  <c r="A28" i="80"/>
  <c r="A29" i="80"/>
  <c r="A30" i="80"/>
  <c r="A31" i="80"/>
  <c r="A32" i="80"/>
  <c r="A33" i="80"/>
  <c r="A34" i="80"/>
  <c r="A26" i="80"/>
  <c r="A24" i="80"/>
  <c r="A23" i="80"/>
  <c r="A22" i="80"/>
  <c r="A21" i="80"/>
  <c r="A9" i="80"/>
  <c r="A99" i="47" l="1"/>
  <c r="A83" i="47"/>
  <c r="A67" i="47"/>
  <c r="A49" i="47"/>
  <c r="A104" i="47"/>
  <c r="A88" i="47"/>
  <c r="A72" i="47"/>
  <c r="A54" i="47"/>
  <c r="A35" i="47"/>
  <c r="A30" i="47"/>
  <c r="A140" i="74"/>
  <c r="A117" i="74"/>
  <c r="A94" i="74"/>
  <c r="A69" i="74"/>
  <c r="A43" i="74"/>
  <c r="A38" i="74"/>
  <c r="A64" i="74"/>
  <c r="A89" i="74"/>
  <c r="A112" i="74"/>
  <c r="A135" i="74"/>
  <c r="A130" i="74"/>
  <c r="A107" i="74"/>
  <c r="A84" i="74"/>
  <c r="A59" i="74"/>
  <c r="A33" i="74"/>
  <c r="A131" i="73"/>
  <c r="A108" i="73"/>
  <c r="A85" i="73"/>
  <c r="A126" i="73"/>
  <c r="A103" i="73"/>
  <c r="A80" i="73"/>
  <c r="A136" i="73"/>
  <c r="A113" i="73"/>
  <c r="A90" i="73"/>
  <c r="A65" i="73"/>
  <c r="A60" i="73"/>
  <c r="A55" i="73"/>
  <c r="A39" i="73"/>
  <c r="A34" i="73"/>
  <c r="A29" i="73"/>
  <c r="A121" i="23"/>
  <c r="A120" i="23"/>
  <c r="A119" i="23"/>
  <c r="A118" i="23"/>
  <c r="A117" i="23"/>
  <c r="A116" i="23"/>
  <c r="A115" i="23"/>
  <c r="A114" i="23"/>
  <c r="A113" i="23"/>
  <c r="A112" i="23"/>
  <c r="A111" i="23"/>
  <c r="A110" i="23"/>
  <c r="A109" i="23"/>
  <c r="A108" i="23"/>
  <c r="A107" i="23"/>
  <c r="A106" i="23"/>
  <c r="A105" i="23"/>
  <c r="A104" i="23"/>
  <c r="A103" i="23"/>
  <c r="A102" i="23"/>
  <c r="A101" i="23"/>
  <c r="A100" i="23"/>
  <c r="A99" i="23"/>
  <c r="A98" i="23"/>
  <c r="A97" i="23"/>
  <c r="A96" i="23"/>
  <c r="A95" i="23"/>
  <c r="A94" i="23"/>
  <c r="A93" i="23"/>
  <c r="A92" i="23"/>
  <c r="A91" i="23"/>
  <c r="A90" i="23"/>
  <c r="A89" i="23"/>
  <c r="A88" i="23"/>
  <c r="A87" i="23"/>
  <c r="A86" i="23"/>
  <c r="A85" i="23"/>
  <c r="A84" i="23"/>
  <c r="A83" i="23"/>
  <c r="A82" i="23"/>
  <c r="A81" i="23"/>
  <c r="A80" i="23" l="1"/>
  <c r="A63" i="23"/>
  <c r="A79" i="23"/>
  <c r="A78" i="23"/>
  <c r="A77" i="23"/>
  <c r="A76" i="23"/>
  <c r="A75" i="23"/>
  <c r="A74" i="23"/>
  <c r="A73" i="23"/>
  <c r="A72" i="23"/>
  <c r="A71" i="23"/>
  <c r="A70" i="23"/>
  <c r="A69" i="23"/>
  <c r="A68" i="23"/>
  <c r="A67" i="23"/>
  <c r="A66" i="23"/>
  <c r="A64" i="23"/>
  <c r="A62" i="23"/>
  <c r="A61" i="23"/>
  <c r="A60" i="23"/>
  <c r="A59" i="23"/>
  <c r="A58" i="23"/>
  <c r="A57" i="23"/>
  <c r="A56" i="23"/>
  <c r="A55" i="23"/>
  <c r="A54" i="23"/>
  <c r="A53" i="23"/>
  <c r="A52" i="23"/>
  <c r="A51" i="23"/>
  <c r="A50" i="23"/>
  <c r="A49" i="23"/>
  <c r="A48" i="23"/>
  <c r="A47" i="23"/>
  <c r="A46" i="23"/>
  <c r="A45" i="23"/>
  <c r="A44" i="23"/>
  <c r="A43" i="23"/>
  <c r="A42" i="23"/>
  <c r="A41" i="23"/>
  <c r="A34" i="23" l="1"/>
  <c r="A33" i="23"/>
  <c r="A32" i="23"/>
  <c r="A31" i="23"/>
  <c r="A30" i="23"/>
  <c r="A29" i="23"/>
  <c r="A28" i="23"/>
  <c r="A27" i="23"/>
  <c r="A26" i="23"/>
  <c r="A25" i="23"/>
  <c r="A24" i="23"/>
  <c r="A23" i="23"/>
  <c r="A78" i="81" l="1"/>
  <c r="A77" i="81"/>
  <c r="A76" i="81"/>
  <c r="A75" i="81"/>
  <c r="A74" i="81"/>
  <c r="A73" i="81"/>
  <c r="A72" i="81"/>
  <c r="A71" i="81"/>
  <c r="A70" i="81"/>
  <c r="A69" i="81"/>
  <c r="A68" i="81"/>
  <c r="A67" i="81"/>
  <c r="A66" i="81"/>
  <c r="A65" i="81"/>
  <c r="A64" i="81"/>
  <c r="A63" i="81"/>
  <c r="A62" i="81"/>
  <c r="A61" i="81"/>
  <c r="A60" i="81"/>
  <c r="A59" i="81"/>
  <c r="A58" i="81"/>
  <c r="A57" i="81"/>
  <c r="A56" i="81"/>
  <c r="A55" i="81"/>
  <c r="A54" i="81"/>
  <c r="A53" i="81"/>
  <c r="A52" i="81"/>
  <c r="A51" i="81"/>
  <c r="A50" i="81"/>
  <c r="A49" i="81"/>
  <c r="A48" i="81"/>
  <c r="A47" i="81"/>
  <c r="A46" i="81"/>
  <c r="A45" i="81"/>
  <c r="A44" i="81"/>
  <c r="A43" i="81"/>
  <c r="A42" i="81"/>
  <c r="A41" i="81"/>
  <c r="A40" i="81"/>
  <c r="A39" i="81"/>
  <c r="A38" i="81"/>
  <c r="A37" i="81"/>
  <c r="A36" i="81"/>
  <c r="A35" i="81"/>
  <c r="A34" i="81"/>
  <c r="A33" i="81"/>
  <c r="A32" i="81"/>
  <c r="A31" i="81"/>
  <c r="A30" i="81"/>
  <c r="A29" i="81"/>
  <c r="A28" i="81"/>
  <c r="A27" i="81"/>
  <c r="A26" i="81"/>
  <c r="A25" i="81"/>
  <c r="A24" i="81"/>
  <c r="A23" i="81"/>
  <c r="A22" i="81"/>
  <c r="A21" i="81"/>
  <c r="A20" i="81"/>
  <c r="A19" i="81"/>
  <c r="A18" i="81"/>
  <c r="A17" i="81"/>
  <c r="A16" i="81"/>
  <c r="A15" i="81"/>
  <c r="A14" i="81"/>
  <c r="A13" i="81"/>
  <c r="A12" i="81"/>
  <c r="A11" i="81"/>
  <c r="A10" i="81"/>
  <c r="A9" i="81"/>
  <c r="A20" i="80"/>
  <c r="A19" i="80"/>
  <c r="A18" i="80"/>
  <c r="A17" i="80"/>
  <c r="A16" i="80"/>
  <c r="A15" i="80"/>
  <c r="A14" i="80"/>
  <c r="A13" i="80"/>
  <c r="A12" i="80"/>
  <c r="A11" i="80"/>
  <c r="A10" i="80"/>
  <c r="A43" i="78"/>
  <c r="A42" i="78"/>
  <c r="A41" i="78"/>
  <c r="A40" i="78"/>
  <c r="A39" i="78"/>
  <c r="A38" i="78"/>
  <c r="A37" i="78"/>
  <c r="A36" i="78"/>
  <c r="A35" i="78"/>
  <c r="A34" i="78"/>
  <c r="A33" i="78"/>
  <c r="A32" i="78"/>
  <c r="A31" i="78"/>
  <c r="A30" i="78"/>
  <c r="A29" i="78"/>
  <c r="A28" i="78"/>
  <c r="A27" i="78"/>
  <c r="A26" i="78"/>
  <c r="A25" i="78"/>
  <c r="A24" i="78"/>
  <c r="A23" i="78"/>
  <c r="A22" i="78"/>
  <c r="A21" i="78"/>
  <c r="A20" i="78"/>
  <c r="A19" i="78"/>
  <c r="A18" i="78"/>
  <c r="A17" i="78"/>
  <c r="A16" i="78"/>
  <c r="A15" i="78"/>
  <c r="A14" i="78"/>
  <c r="A13" i="78"/>
  <c r="A12" i="78"/>
  <c r="A11" i="78"/>
  <c r="A10" i="78"/>
  <c r="A28" i="32"/>
  <c r="A26" i="32"/>
  <c r="A27" i="32"/>
  <c r="A10" i="32"/>
  <c r="A39" i="32"/>
  <c r="A36" i="32"/>
  <c r="A35" i="32"/>
  <c r="A34" i="32"/>
  <c r="A33" i="32"/>
  <c r="A22" i="75" l="1"/>
  <c r="A21" i="75" l="1"/>
  <c r="A20" i="75"/>
  <c r="A19" i="75"/>
  <c r="A18" i="75"/>
  <c r="A17" i="75"/>
  <c r="A16" i="75"/>
  <c r="A14" i="75"/>
  <c r="A13" i="75"/>
  <c r="A12" i="75"/>
  <c r="A11" i="75"/>
  <c r="A10" i="75"/>
  <c r="A9" i="75"/>
  <c r="A43" i="43" l="1"/>
  <c r="A42" i="43"/>
  <c r="A41" i="43"/>
  <c r="A40" i="43"/>
  <c r="A39" i="43"/>
  <c r="A38" i="43"/>
  <c r="A37" i="43"/>
  <c r="A36" i="43"/>
  <c r="A35" i="43"/>
  <c r="A110" i="47" l="1"/>
  <c r="A109" i="47"/>
  <c r="A148" i="74" l="1"/>
  <c r="A147" i="74"/>
  <c r="A146" i="74"/>
  <c r="A145" i="74"/>
  <c r="A144" i="74"/>
  <c r="A143" i="74"/>
  <c r="A142" i="74"/>
  <c r="A141" i="74"/>
  <c r="A139" i="74"/>
  <c r="A138" i="74"/>
  <c r="A137" i="74"/>
  <c r="A136" i="74"/>
  <c r="A134" i="74"/>
  <c r="A133" i="74"/>
  <c r="A132" i="74"/>
  <c r="A131" i="74"/>
  <c r="A129" i="74"/>
  <c r="A128" i="74"/>
  <c r="A127" i="74"/>
  <c r="A126" i="74"/>
  <c r="A125" i="74"/>
  <c r="A124" i="74"/>
  <c r="A123" i="74"/>
  <c r="A122" i="74"/>
  <c r="A121" i="74"/>
  <c r="A120" i="74"/>
  <c r="A119" i="74"/>
  <c r="A118" i="74"/>
  <c r="A116" i="74"/>
  <c r="A115" i="74"/>
  <c r="A114" i="74"/>
  <c r="A113" i="74"/>
  <c r="A111" i="74"/>
  <c r="A110" i="74"/>
  <c r="A109" i="74"/>
  <c r="A108" i="74"/>
  <c r="A106" i="74"/>
  <c r="A105" i="74"/>
  <c r="A104" i="74"/>
  <c r="A103" i="74"/>
  <c r="A102" i="74"/>
  <c r="A101" i="74"/>
  <c r="A100" i="74"/>
  <c r="A99" i="74"/>
  <c r="A98" i="74"/>
  <c r="A97" i="74"/>
  <c r="A96" i="74"/>
  <c r="A95" i="74"/>
  <c r="A93" i="74"/>
  <c r="A92" i="74"/>
  <c r="A91" i="74"/>
  <c r="A90" i="74"/>
  <c r="A88" i="74"/>
  <c r="A87" i="74"/>
  <c r="A86" i="74"/>
  <c r="A85" i="74"/>
  <c r="A83" i="74"/>
  <c r="A82" i="74"/>
  <c r="A81" i="74"/>
  <c r="A80" i="74"/>
  <c r="A79" i="74"/>
  <c r="A78" i="74"/>
  <c r="A77" i="74"/>
  <c r="A76" i="74"/>
  <c r="A75" i="74"/>
  <c r="A74" i="74"/>
  <c r="A73" i="74"/>
  <c r="A72" i="74"/>
  <c r="A71" i="74"/>
  <c r="A70" i="74"/>
  <c r="A68" i="74"/>
  <c r="A67" i="74"/>
  <c r="A66" i="74"/>
  <c r="A65" i="74"/>
  <c r="A63" i="74"/>
  <c r="A62" i="74"/>
  <c r="A61" i="74"/>
  <c r="A60" i="74"/>
  <c r="A58" i="74"/>
  <c r="A57" i="74"/>
  <c r="A56" i="74"/>
  <c r="A55" i="74"/>
  <c r="A54" i="74"/>
  <c r="A53" i="74"/>
  <c r="A52" i="74"/>
  <c r="A51" i="74"/>
  <c r="A50" i="74"/>
  <c r="A49" i="74"/>
  <c r="A48" i="74"/>
  <c r="A47" i="74"/>
  <c r="A46" i="74"/>
  <c r="A45" i="74"/>
  <c r="A44" i="74"/>
  <c r="A42" i="74"/>
  <c r="A41" i="74"/>
  <c r="A40" i="74"/>
  <c r="A39" i="74"/>
  <c r="A37" i="74"/>
  <c r="A36" i="74"/>
  <c r="A35" i="74"/>
  <c r="A34" i="74"/>
  <c r="A32" i="74"/>
  <c r="A31" i="74"/>
  <c r="A29" i="74"/>
  <c r="A28" i="74"/>
  <c r="A27" i="74"/>
  <c r="A26" i="74"/>
  <c r="A25" i="74"/>
  <c r="A24" i="74"/>
  <c r="A23" i="74"/>
  <c r="A22" i="74"/>
  <c r="A21" i="74"/>
  <c r="A20" i="74"/>
  <c r="A19" i="74"/>
  <c r="A18" i="74"/>
  <c r="A17" i="74"/>
  <c r="A16" i="74"/>
  <c r="A15" i="74"/>
  <c r="A14" i="74"/>
  <c r="A13" i="74"/>
  <c r="A12" i="74"/>
  <c r="A11" i="74"/>
  <c r="A10" i="74"/>
  <c r="A9" i="74"/>
  <c r="A144" i="73" l="1"/>
  <c r="A143" i="73"/>
  <c r="A142" i="73"/>
  <c r="A141" i="73"/>
  <c r="A140" i="73"/>
  <c r="A139" i="73"/>
  <c r="A138" i="73"/>
  <c r="A137" i="73"/>
  <c r="A135" i="73"/>
  <c r="A134" i="73"/>
  <c r="A133" i="73"/>
  <c r="A132" i="73"/>
  <c r="A130" i="73"/>
  <c r="A129" i="73"/>
  <c r="A128" i="73"/>
  <c r="A127" i="73"/>
  <c r="A125" i="73"/>
  <c r="A124" i="73"/>
  <c r="A123" i="73"/>
  <c r="A122" i="73"/>
  <c r="A121" i="73"/>
  <c r="A120" i="73"/>
  <c r="A119" i="73"/>
  <c r="A118" i="73"/>
  <c r="A117" i="73"/>
  <c r="A116" i="73"/>
  <c r="A115" i="73"/>
  <c r="A114" i="73"/>
  <c r="A112" i="73"/>
  <c r="A111" i="73"/>
  <c r="A110" i="73"/>
  <c r="A109" i="73"/>
  <c r="A107" i="73"/>
  <c r="A106" i="73"/>
  <c r="A105" i="73"/>
  <c r="A104" i="73"/>
  <c r="A102" i="73"/>
  <c r="A101" i="73"/>
  <c r="A100" i="73"/>
  <c r="A99" i="73"/>
  <c r="A98" i="73"/>
  <c r="A97" i="73"/>
  <c r="A96" i="73"/>
  <c r="A95" i="73"/>
  <c r="A94" i="73"/>
  <c r="A93" i="73"/>
  <c r="A92" i="73"/>
  <c r="A91" i="73"/>
  <c r="A89" i="73"/>
  <c r="A88" i="73"/>
  <c r="A87" i="73"/>
  <c r="A86" i="73"/>
  <c r="A84" i="73"/>
  <c r="A83" i="73"/>
  <c r="A82" i="73"/>
  <c r="A81" i="73"/>
  <c r="A79" i="73"/>
  <c r="A78" i="73"/>
  <c r="A77" i="73"/>
  <c r="A76" i="73"/>
  <c r="A75" i="73"/>
  <c r="A74" i="73"/>
  <c r="A73" i="73"/>
  <c r="A72" i="73"/>
  <c r="A71" i="73"/>
  <c r="A70" i="73"/>
  <c r="A69" i="73"/>
  <c r="A68" i="73"/>
  <c r="A67" i="73"/>
  <c r="A66" i="73"/>
  <c r="A64" i="73"/>
  <c r="A63" i="73"/>
  <c r="A62" i="73"/>
  <c r="A61" i="73"/>
  <c r="A59" i="73"/>
  <c r="A58" i="73"/>
  <c r="A57" i="73"/>
  <c r="A56" i="73"/>
  <c r="A54" i="73"/>
  <c r="A53" i="73"/>
  <c r="A52" i="73"/>
  <c r="A51" i="73"/>
  <c r="A50" i="73"/>
  <c r="A49" i="73"/>
  <c r="A48" i="73"/>
  <c r="A47" i="73"/>
  <c r="A46" i="73"/>
  <c r="A45" i="73"/>
  <c r="A44" i="73"/>
  <c r="A43" i="73"/>
  <c r="A42" i="73"/>
  <c r="A41" i="73"/>
  <c r="A40" i="73"/>
  <c r="A38" i="73"/>
  <c r="A37" i="73"/>
  <c r="A36" i="73"/>
  <c r="A35" i="73"/>
  <c r="A33" i="73"/>
  <c r="A32" i="73"/>
  <c r="A31" i="73"/>
  <c r="A30" i="73"/>
  <c r="A28" i="73"/>
  <c r="A27" i="73"/>
  <c r="A26" i="73"/>
  <c r="A24" i="73"/>
  <c r="A23" i="73"/>
  <c r="A22" i="73"/>
  <c r="A21" i="73"/>
  <c r="A20" i="73"/>
  <c r="A19" i="73"/>
  <c r="A18" i="73"/>
  <c r="A17" i="73"/>
  <c r="A16" i="73"/>
  <c r="A15" i="73"/>
  <c r="A14" i="73"/>
  <c r="A13" i="73"/>
  <c r="A12" i="73"/>
  <c r="A11" i="73"/>
  <c r="A10" i="73"/>
  <c r="A9" i="73"/>
  <c r="A36" i="39" l="1"/>
  <c r="A16" i="35" l="1"/>
  <c r="A14" i="35"/>
  <c r="A11" i="35"/>
  <c r="A95" i="35"/>
  <c r="A94" i="35"/>
  <c r="A93" i="35"/>
  <c r="A92" i="35"/>
  <c r="A91" i="35"/>
  <c r="A90" i="35"/>
  <c r="A89" i="35"/>
  <c r="A39" i="23"/>
  <c r="A55" i="26"/>
  <c r="A49" i="26"/>
  <c r="A25" i="26"/>
  <c r="A27" i="30"/>
  <c r="A31" i="34" l="1"/>
  <c r="A30" i="34"/>
  <c r="A25" i="30" l="1"/>
  <c r="A24" i="30"/>
  <c r="A14" i="26"/>
  <c r="A40" i="23" l="1"/>
  <c r="A9" i="23"/>
  <c r="A21" i="23"/>
  <c r="A23" i="57" l="1"/>
  <c r="A22" i="57"/>
  <c r="A21" i="57"/>
  <c r="A20" i="57"/>
  <c r="A19" i="57"/>
  <c r="A18" i="57"/>
  <c r="A17" i="57"/>
  <c r="A16" i="57"/>
  <c r="A15" i="57"/>
  <c r="A14" i="57"/>
  <c r="A13" i="57"/>
  <c r="A12" i="57"/>
  <c r="A11" i="57"/>
  <c r="A10" i="57"/>
  <c r="A9" i="57"/>
  <c r="A33" i="30"/>
  <c r="A34" i="30"/>
  <c r="A30" i="30"/>
  <c r="A29" i="30"/>
  <c r="A20" i="43"/>
  <c r="A21" i="43"/>
  <c r="A22" i="43"/>
  <c r="A23" i="43"/>
  <c r="A24" i="43"/>
  <c r="A25" i="43"/>
  <c r="A26" i="43"/>
  <c r="A27" i="43"/>
  <c r="A28" i="43"/>
  <c r="A29" i="43"/>
  <c r="A30" i="43"/>
  <c r="A31" i="43"/>
  <c r="A32" i="43"/>
  <c r="A33" i="43"/>
  <c r="A34" i="43"/>
  <c r="A19" i="43"/>
  <c r="A18" i="43"/>
  <c r="A17" i="43"/>
  <c r="A16" i="43"/>
  <c r="A15" i="43"/>
  <c r="A14" i="43"/>
  <c r="A13" i="43"/>
  <c r="A12" i="43"/>
  <c r="A11" i="43"/>
  <c r="A10" i="43"/>
  <c r="A9" i="43"/>
  <c r="A19" i="47"/>
  <c r="A20" i="47"/>
  <c r="A21" i="47"/>
  <c r="A22" i="47"/>
  <c r="A23" i="47"/>
  <c r="A24" i="47"/>
  <c r="A25" i="47"/>
  <c r="A26" i="47"/>
  <c r="A27" i="47"/>
  <c r="A28" i="47"/>
  <c r="A29" i="47"/>
  <c r="A31" i="47"/>
  <c r="A32" i="47"/>
  <c r="A33" i="47"/>
  <c r="A34" i="47"/>
  <c r="A36" i="47"/>
  <c r="A37" i="47"/>
  <c r="A38" i="47"/>
  <c r="A39" i="47"/>
  <c r="A40" i="47"/>
  <c r="A41" i="47"/>
  <c r="A42" i="47"/>
  <c r="A43" i="47"/>
  <c r="A44" i="47"/>
  <c r="A45" i="47"/>
  <c r="A46" i="47"/>
  <c r="A47" i="47"/>
  <c r="A48" i="47"/>
  <c r="A50" i="47"/>
  <c r="A51" i="47"/>
  <c r="A52" i="47"/>
  <c r="A53" i="47"/>
  <c r="A55" i="47"/>
  <c r="A56" i="47"/>
  <c r="A57" i="47"/>
  <c r="A58" i="47"/>
  <c r="A59" i="47"/>
  <c r="A60" i="47"/>
  <c r="A61" i="47"/>
  <c r="A62" i="47"/>
  <c r="A63" i="47"/>
  <c r="A64" i="47"/>
  <c r="A65" i="47"/>
  <c r="A66" i="47"/>
  <c r="A68" i="47"/>
  <c r="A69" i="47"/>
  <c r="A70" i="47"/>
  <c r="A71" i="47"/>
  <c r="A73" i="47"/>
  <c r="A74" i="47"/>
  <c r="A75" i="47"/>
  <c r="A76" i="47"/>
  <c r="A77" i="47"/>
  <c r="A78" i="47"/>
  <c r="A79" i="47"/>
  <c r="A80" i="47"/>
  <c r="A81" i="47"/>
  <c r="A82" i="47"/>
  <c r="A84" i="47"/>
  <c r="A85" i="47"/>
  <c r="A86" i="47"/>
  <c r="A87" i="47"/>
  <c r="A89" i="47"/>
  <c r="A90" i="47"/>
  <c r="A91" i="47"/>
  <c r="A92" i="47"/>
  <c r="A93" i="47"/>
  <c r="A94" i="47"/>
  <c r="A95" i="47"/>
  <c r="A96" i="47"/>
  <c r="A97" i="47"/>
  <c r="A98" i="47"/>
  <c r="A100" i="47"/>
  <c r="A101" i="47"/>
  <c r="A102" i="47"/>
  <c r="A103" i="47"/>
  <c r="A105" i="47"/>
  <c r="A106" i="47"/>
  <c r="A107" i="47"/>
  <c r="A108" i="47"/>
  <c r="A18" i="47"/>
  <c r="A17" i="47"/>
  <c r="A16" i="47"/>
  <c r="A15" i="47"/>
  <c r="A14" i="47"/>
  <c r="A13" i="47"/>
  <c r="A12" i="47"/>
  <c r="A11" i="47"/>
  <c r="A10" i="47"/>
  <c r="A9" i="47"/>
  <c r="A19" i="39"/>
  <c r="A20" i="39"/>
  <c r="A21" i="39"/>
  <c r="A22" i="39"/>
  <c r="A23" i="39"/>
  <c r="A24" i="39"/>
  <c r="A25" i="39"/>
  <c r="A26" i="39"/>
  <c r="A27" i="39"/>
  <c r="A28" i="39"/>
  <c r="A29" i="39"/>
  <c r="A37" i="39"/>
  <c r="A38" i="39"/>
  <c r="A39" i="39"/>
  <c r="A40" i="39"/>
  <c r="A41" i="39"/>
  <c r="A42" i="39"/>
  <c r="A43" i="39"/>
  <c r="A44" i="39"/>
  <c r="A45" i="39"/>
  <c r="A46" i="39"/>
  <c r="A47" i="39"/>
  <c r="A48" i="39"/>
  <c r="A49" i="39"/>
  <c r="A50" i="39"/>
  <c r="A51" i="39"/>
  <c r="A52" i="39"/>
  <c r="A53" i="39"/>
  <c r="A54" i="39"/>
  <c r="A55" i="39"/>
  <c r="A56" i="39"/>
  <c r="A57" i="39"/>
  <c r="A58" i="39"/>
  <c r="A59" i="39"/>
  <c r="A60" i="39"/>
  <c r="A61" i="39"/>
  <c r="A62" i="39"/>
  <c r="A63" i="39"/>
  <c r="A64" i="39"/>
  <c r="A65" i="39"/>
  <c r="A66" i="39"/>
  <c r="A67" i="39"/>
  <c r="A68" i="39"/>
  <c r="A69" i="39"/>
  <c r="A70" i="39"/>
  <c r="A71" i="39"/>
  <c r="A72" i="39"/>
  <c r="A73" i="39"/>
  <c r="A74" i="39"/>
  <c r="A75" i="39"/>
  <c r="A76" i="39"/>
  <c r="A77" i="39"/>
  <c r="A78" i="39"/>
  <c r="A79" i="39"/>
  <c r="A80" i="39"/>
  <c r="A81" i="39"/>
  <c r="A82" i="39"/>
  <c r="A83" i="39"/>
  <c r="A84" i="39"/>
  <c r="A85" i="39"/>
  <c r="A86" i="39"/>
  <c r="A87" i="39"/>
  <c r="A88" i="39"/>
  <c r="A89" i="39"/>
  <c r="A90" i="39"/>
  <c r="A91" i="39"/>
  <c r="A92" i="39"/>
  <c r="A93" i="39"/>
  <c r="A18" i="39"/>
  <c r="A17" i="39"/>
  <c r="A16" i="39"/>
  <c r="A15" i="39"/>
  <c r="A14" i="39"/>
  <c r="A13" i="39"/>
  <c r="A12" i="39"/>
  <c r="A11" i="39"/>
  <c r="A10" i="39"/>
  <c r="A9" i="39"/>
  <c r="A40" i="38"/>
  <c r="A41" i="38"/>
  <c r="A42" i="38"/>
  <c r="A43" i="38"/>
  <c r="A44" i="38"/>
  <c r="A45" i="38"/>
  <c r="A46" i="38"/>
  <c r="A47" i="38"/>
  <c r="A48" i="38"/>
  <c r="A49" i="38"/>
  <c r="A50" i="38"/>
  <c r="A51" i="38"/>
  <c r="A52" i="38"/>
  <c r="A53" i="38"/>
  <c r="A54" i="38"/>
  <c r="A55" i="38"/>
  <c r="A56" i="38"/>
  <c r="A57" i="38"/>
  <c r="A58" i="38"/>
  <c r="A59" i="38"/>
  <c r="A60" i="38"/>
  <c r="A61" i="38"/>
  <c r="A62" i="38"/>
  <c r="A63" i="38"/>
  <c r="A64" i="38"/>
  <c r="A65" i="38"/>
  <c r="A66" i="38"/>
  <c r="A67" i="38"/>
  <c r="A68" i="38"/>
  <c r="A69" i="38"/>
  <c r="A70" i="38"/>
  <c r="A71" i="38"/>
  <c r="A72" i="38"/>
  <c r="A73" i="38"/>
  <c r="A74" i="38"/>
  <c r="A75" i="38"/>
  <c r="A76" i="38"/>
  <c r="A77" i="38"/>
  <c r="A78" i="38"/>
  <c r="A79" i="38"/>
  <c r="A80" i="38"/>
  <c r="A81" i="38"/>
  <c r="A82" i="38"/>
  <c r="A83" i="38"/>
  <c r="A84" i="38"/>
  <c r="A85" i="38"/>
  <c r="A86" i="38"/>
  <c r="A87" i="38"/>
  <c r="A88" i="38"/>
  <c r="A89" i="38"/>
  <c r="A90" i="38"/>
  <c r="A91" i="38"/>
  <c r="A92" i="38"/>
  <c r="A93" i="38"/>
  <c r="A94" i="38"/>
  <c r="A39" i="38"/>
  <c r="A38" i="38"/>
  <c r="A37" i="38"/>
  <c r="A36" i="38"/>
  <c r="A35" i="38"/>
  <c r="A34" i="38"/>
  <c r="A33" i="38"/>
  <c r="A32" i="38"/>
  <c r="A31" i="38"/>
  <c r="A30" i="38"/>
  <c r="A29" i="38"/>
  <c r="A28" i="38"/>
  <c r="A27" i="38"/>
  <c r="A26" i="38"/>
  <c r="A25" i="38"/>
  <c r="A24" i="38"/>
  <c r="A23" i="38"/>
  <c r="A22" i="38"/>
  <c r="A21" i="38"/>
  <c r="A20" i="38"/>
  <c r="A19" i="38"/>
  <c r="A18" i="38"/>
  <c r="A17" i="38"/>
  <c r="A16" i="38"/>
  <c r="A15" i="38"/>
  <c r="A14" i="38"/>
  <c r="A13" i="38"/>
  <c r="A12" i="38"/>
  <c r="A11" i="38"/>
  <c r="A10" i="38"/>
  <c r="A9" i="38"/>
  <c r="A15" i="52"/>
  <c r="A16" i="52"/>
  <c r="A17" i="52"/>
  <c r="A18" i="52"/>
  <c r="A19" i="52"/>
  <c r="A20" i="52"/>
  <c r="A21" i="52"/>
  <c r="A22" i="52"/>
  <c r="A23" i="52"/>
  <c r="A24" i="52"/>
  <c r="A25" i="52"/>
  <c r="A26" i="52"/>
  <c r="A27" i="52"/>
  <c r="A28" i="52"/>
  <c r="A29" i="52"/>
  <c r="A30" i="52"/>
  <c r="A31" i="52"/>
  <c r="A32" i="52"/>
  <c r="A33" i="52"/>
  <c r="A34" i="52"/>
  <c r="A35" i="52"/>
  <c r="A36" i="52"/>
  <c r="A37" i="52"/>
  <c r="A38" i="52"/>
  <c r="A39" i="52"/>
  <c r="A40" i="52"/>
  <c r="A41" i="52"/>
  <c r="A42" i="52"/>
  <c r="A43" i="52"/>
  <c r="A44" i="52"/>
  <c r="A45" i="52"/>
  <c r="A46" i="52"/>
  <c r="A47" i="52"/>
  <c r="A48" i="52"/>
  <c r="A49" i="52"/>
  <c r="A50" i="52"/>
  <c r="A51" i="52"/>
  <c r="A52" i="52"/>
  <c r="A53" i="52"/>
  <c r="A54" i="52"/>
  <c r="A55" i="52"/>
  <c r="A56" i="52"/>
  <c r="A57" i="52"/>
  <c r="A58" i="52"/>
  <c r="A59" i="52"/>
  <c r="A61" i="52"/>
  <c r="A62" i="52"/>
  <c r="A63" i="52"/>
  <c r="A64" i="52"/>
  <c r="A65" i="52"/>
  <c r="A66" i="52"/>
  <c r="A67" i="52"/>
  <c r="A68" i="52"/>
  <c r="A69" i="52"/>
  <c r="A70" i="52"/>
  <c r="A71" i="52"/>
  <c r="A72" i="52"/>
  <c r="A73" i="52"/>
  <c r="A74" i="52"/>
  <c r="A75" i="52"/>
  <c r="A76" i="52"/>
  <c r="A77" i="52"/>
  <c r="A78" i="52"/>
  <c r="A79" i="52"/>
  <c r="A80" i="52"/>
  <c r="A81" i="52"/>
  <c r="A82" i="52"/>
  <c r="A83" i="52"/>
  <c r="A84" i="52"/>
  <c r="A14" i="52"/>
  <c r="A13" i="52"/>
  <c r="A12" i="52"/>
  <c r="A11" i="52"/>
  <c r="A9" i="52"/>
  <c r="A63" i="35"/>
  <c r="A64" i="35"/>
  <c r="A65" i="35"/>
  <c r="A66" i="35"/>
  <c r="A67" i="35"/>
  <c r="A68" i="35"/>
  <c r="A69" i="35"/>
  <c r="A70" i="35"/>
  <c r="A71" i="35"/>
  <c r="A72" i="35"/>
  <c r="A73" i="35"/>
  <c r="A74" i="35"/>
  <c r="A75" i="35"/>
  <c r="A76" i="35"/>
  <c r="A77" i="35"/>
  <c r="A78" i="35"/>
  <c r="A79" i="35"/>
  <c r="A80" i="35"/>
  <c r="A81" i="35"/>
  <c r="A82" i="35"/>
  <c r="A83" i="35"/>
  <c r="A84" i="35"/>
  <c r="A85" i="35"/>
  <c r="A86" i="35"/>
  <c r="A87" i="35"/>
  <c r="A88" i="35"/>
  <c r="A62" i="35"/>
  <c r="A61" i="35"/>
  <c r="A60" i="35"/>
  <c r="A59" i="35"/>
  <c r="A58" i="35"/>
  <c r="A57" i="35"/>
  <c r="A56" i="35"/>
  <c r="A55" i="35"/>
  <c r="A54" i="35"/>
  <c r="A53" i="35"/>
  <c r="A52" i="35"/>
  <c r="A51" i="35"/>
  <c r="A50" i="35"/>
  <c r="A49" i="35"/>
  <c r="A48" i="35"/>
  <c r="A46" i="35"/>
  <c r="A45" i="35"/>
  <c r="A44" i="35"/>
  <c r="A43" i="35"/>
  <c r="A42" i="35"/>
  <c r="A41" i="35"/>
  <c r="A40" i="35"/>
  <c r="A39" i="35"/>
  <c r="A38" i="35"/>
  <c r="A37" i="35"/>
  <c r="A36" i="35"/>
  <c r="A35" i="35"/>
  <c r="A34" i="35"/>
  <c r="A33" i="35"/>
  <c r="A32" i="35"/>
  <c r="A31" i="35"/>
  <c r="A30" i="35"/>
  <c r="A29" i="35"/>
  <c r="A28" i="35"/>
  <c r="A27" i="35"/>
  <c r="A26" i="35"/>
  <c r="A25" i="35"/>
  <c r="A24" i="35"/>
  <c r="A23" i="35"/>
  <c r="A22" i="35"/>
  <c r="A21" i="35"/>
  <c r="A20" i="35"/>
  <c r="A19" i="35"/>
  <c r="A18" i="35"/>
  <c r="A17" i="35"/>
  <c r="A10" i="35"/>
  <c r="A9" i="35"/>
  <c r="A17" i="34"/>
  <c r="A19" i="34"/>
  <c r="A20" i="34"/>
  <c r="A27" i="34"/>
  <c r="A28" i="34"/>
  <c r="A29" i="34"/>
  <c r="A14" i="34"/>
  <c r="A13" i="34"/>
  <c r="A12" i="34"/>
  <c r="A11" i="34"/>
  <c r="A10" i="34"/>
  <c r="A12" i="32"/>
  <c r="A20" i="32"/>
  <c r="A21" i="32"/>
  <c r="A22" i="32"/>
  <c r="A23" i="32"/>
  <c r="A24" i="32"/>
  <c r="A25" i="32"/>
  <c r="A13" i="32"/>
  <c r="A11" i="32"/>
  <c r="A9" i="32"/>
  <c r="A36" i="30"/>
  <c r="A26" i="30"/>
  <c r="A28" i="30"/>
  <c r="A14" i="30"/>
  <c r="A16" i="30"/>
  <c r="A18" i="30"/>
  <c r="A20" i="30"/>
  <c r="A35" i="30"/>
  <c r="A19" i="30"/>
  <c r="A17" i="30"/>
  <c r="A15" i="30"/>
  <c r="A13" i="30"/>
  <c r="A9" i="30"/>
  <c r="A17" i="29"/>
  <c r="A18" i="29"/>
  <c r="A19" i="29"/>
  <c r="A20" i="29"/>
  <c r="A21" i="29"/>
  <c r="A22" i="29"/>
  <c r="A23" i="29"/>
  <c r="A24" i="29"/>
  <c r="A25" i="29"/>
  <c r="A26" i="29"/>
  <c r="A27" i="29"/>
  <c r="A28" i="29"/>
  <c r="A16" i="29"/>
  <c r="A15" i="29"/>
  <c r="A14" i="29"/>
  <c r="A13" i="29"/>
  <c r="A12" i="29"/>
  <c r="A11" i="29"/>
  <c r="A10" i="29"/>
  <c r="A9" i="29"/>
  <c r="A30" i="26"/>
  <c r="A31" i="26"/>
  <c r="A32" i="26"/>
  <c r="A33" i="26"/>
  <c r="A34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50" i="26"/>
  <c r="A51" i="26"/>
  <c r="A52" i="26"/>
  <c r="A53" i="26"/>
  <c r="A54" i="26"/>
  <c r="A56" i="26"/>
  <c r="A57" i="26"/>
  <c r="A58" i="26"/>
  <c r="A59" i="26"/>
  <c r="A60" i="26"/>
  <c r="A61" i="26"/>
  <c r="A62" i="26"/>
  <c r="A29" i="26"/>
  <c r="A28" i="26"/>
  <c r="A27" i="26"/>
  <c r="A26" i="26"/>
  <c r="A23" i="26"/>
  <c r="A16" i="26"/>
  <c r="A15" i="26"/>
  <c r="A13" i="26"/>
  <c r="A12" i="26"/>
  <c r="A11" i="26"/>
  <c r="A10" i="26"/>
  <c r="A11" i="24"/>
  <c r="A12" i="24"/>
  <c r="A15" i="24"/>
  <c r="A16" i="24"/>
  <c r="A17" i="24"/>
  <c r="A18" i="24"/>
  <c r="A19" i="24"/>
  <c r="A20" i="24"/>
  <c r="A22" i="23"/>
  <c r="A14" i="23"/>
  <c r="A13" i="23"/>
  <c r="A12" i="23"/>
  <c r="A11" i="23"/>
  <c r="A10" i="23"/>
  <c r="A11" i="22"/>
  <c r="A12" i="22"/>
  <c r="A13" i="22"/>
  <c r="A14" i="22"/>
  <c r="A17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93C3C8D7-686F-408E-BD6C-C266BBCCDA23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<sst xmlns="http://schemas.openxmlformats.org/spreadsheetml/2006/main" count="6218" uniqueCount="1567">
  <si>
    <t>HOKUREN INTERNAL USE ONLY</t>
  </si>
  <si>
    <t>様式No.</t>
    <rPh sb="0" eb="2">
      <t>ヨウシキ</t>
    </rPh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</si>
  <si>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</si>
  <si>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</si>
  <si>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</si>
  <si>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</si>
  <si>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</si>
  <si>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ﾃﾞｰﾀｽﾄｱ№</t>
    <phoneticPr fontId="3"/>
  </si>
  <si>
    <t>データストア名称</t>
    <phoneticPr fontId="3"/>
  </si>
  <si>
    <t>種類</t>
    <rPh sb="0" eb="2">
      <t>シュルイ</t>
    </rPh>
    <phoneticPr fontId="3"/>
  </si>
  <si>
    <t>論理ファイル</t>
  </si>
  <si>
    <t>No.</t>
    <phoneticPr fontId="3"/>
  </si>
  <si>
    <t>項目名称</t>
    <phoneticPr fontId="3"/>
  </si>
  <si>
    <t>属性</t>
    <rPh sb="0" eb="2">
      <t>ゾクセイ</t>
    </rPh>
    <phoneticPr fontId="3"/>
  </si>
  <si>
    <t>【備考】</t>
    <rPh sb="1" eb="3">
      <t>ビコウ</t>
    </rPh>
    <phoneticPr fontId="3"/>
  </si>
  <si>
    <t>D08010101</t>
    <phoneticPr fontId="3"/>
  </si>
  <si>
    <t>取引入力申請情報</t>
    <rPh sb="0" eb="4">
      <t>トリヒキニュウリョク</t>
    </rPh>
    <rPh sb="4" eb="6">
      <t>シンセイ</t>
    </rPh>
    <rPh sb="6" eb="8">
      <t>ジョウホウ</t>
    </rPh>
    <phoneticPr fontId="3"/>
  </si>
  <si>
    <t>原票、画面</t>
  </si>
  <si>
    <t>数値</t>
    <rPh sb="0" eb="2">
      <t>スウチ</t>
    </rPh>
    <phoneticPr fontId="3"/>
  </si>
  <si>
    <t>文字列</t>
    <rPh sb="0" eb="3">
      <t>モジレツ</t>
    </rPh>
    <phoneticPr fontId="3"/>
  </si>
  <si>
    <t>業種コード</t>
    <phoneticPr fontId="3"/>
  </si>
  <si>
    <t>業種名称</t>
    <rPh sb="0" eb="3">
      <t>ギョウシュメイショウ</t>
    </rPh>
    <phoneticPr fontId="3"/>
  </si>
  <si>
    <t>取引パターン</t>
    <rPh sb="0" eb="1">
      <t>トリヒキ</t>
    </rPh>
    <phoneticPr fontId="3"/>
  </si>
  <si>
    <t>取引パターン名称</t>
    <rPh sb="0" eb="1">
      <t>トリヒキ</t>
    </rPh>
    <rPh sb="6" eb="8">
      <t>メイショウ</t>
    </rPh>
    <phoneticPr fontId="3"/>
  </si>
  <si>
    <t>伝票番号</t>
    <rPh sb="0" eb="3">
      <t>デンヒョウバンゴウ</t>
    </rPh>
    <phoneticPr fontId="3"/>
  </si>
  <si>
    <t>相手先コード</t>
    <rPh sb="0" eb="2">
      <t>アイテサキ</t>
    </rPh>
    <phoneticPr fontId="3"/>
  </si>
  <si>
    <t>予定日</t>
    <rPh sb="0" eb="2">
      <t>ヨテイビ</t>
    </rPh>
    <phoneticPr fontId="3"/>
  </si>
  <si>
    <t>本体金額</t>
    <rPh sb="0" eb="3">
      <t>ホンタイキンガク</t>
    </rPh>
    <phoneticPr fontId="3"/>
  </si>
  <si>
    <t>消費税</t>
    <rPh sb="0" eb="2">
      <t>ショウヒゼイ</t>
    </rPh>
    <phoneticPr fontId="3"/>
  </si>
  <si>
    <t>収支管理品目</t>
    <rPh sb="0" eb="5">
      <t>シュウシカンリヒンモク</t>
    </rPh>
    <phoneticPr fontId="3"/>
  </si>
  <si>
    <t>仕掛品品名</t>
    <rPh sb="0" eb="2">
      <t>シカカリヒン</t>
    </rPh>
    <rPh sb="2" eb="4">
      <t>ヒンメイ</t>
    </rPh>
    <phoneticPr fontId="3"/>
  </si>
  <si>
    <t>本体合計金額</t>
    <rPh sb="0" eb="1">
      <t>ホンタイ</t>
    </rPh>
    <rPh sb="1" eb="5">
      <t>ゴウケイキンガク</t>
    </rPh>
    <phoneticPr fontId="3"/>
  </si>
  <si>
    <t>決済方法</t>
    <rPh sb="0" eb="3">
      <t>ケッサイホウホウ</t>
    </rPh>
    <phoneticPr fontId="3"/>
  </si>
  <si>
    <t>消費税金額</t>
    <rPh sb="0" eb="2">
      <t>ショウヒゼイ</t>
    </rPh>
    <rPh sb="2" eb="4">
      <t>キンガク</t>
    </rPh>
    <phoneticPr fontId="3"/>
  </si>
  <si>
    <t>D08010102</t>
    <phoneticPr fontId="3"/>
  </si>
  <si>
    <t>取引入力情報</t>
    <rPh sb="0" eb="4">
      <t>トリヒキニュウリョク</t>
    </rPh>
    <rPh sb="4" eb="6">
      <t>ジョウホウ</t>
    </rPh>
    <phoneticPr fontId="3"/>
  </si>
  <si>
    <t>消費税差額入力申請情報</t>
    <rPh sb="0" eb="5">
      <t>ショウヒゼイサガク</t>
    </rPh>
    <rPh sb="5" eb="7">
      <t>ニュウリョク</t>
    </rPh>
    <rPh sb="7" eb="9">
      <t>シンセイ</t>
    </rPh>
    <rPh sb="9" eb="11">
      <t>ジョウホウ</t>
    </rPh>
    <phoneticPr fontId="3"/>
  </si>
  <si>
    <t>処理選択区分</t>
    <rPh sb="0" eb="1">
      <t>ショリ</t>
    </rPh>
    <rPh sb="1" eb="3">
      <t>センタク</t>
    </rPh>
    <rPh sb="3" eb="5">
      <t>クブン</t>
    </rPh>
    <phoneticPr fontId="3"/>
  </si>
  <si>
    <t>未払組織</t>
    <rPh sb="0" eb="1">
      <t>ミバラ</t>
    </rPh>
    <rPh sb="2" eb="4">
      <t>ソシキ</t>
    </rPh>
    <phoneticPr fontId="3"/>
  </si>
  <si>
    <t>業種</t>
    <rPh sb="0" eb="1">
      <t>ギョウシュ</t>
    </rPh>
    <phoneticPr fontId="3"/>
  </si>
  <si>
    <t>科目</t>
    <rPh sb="0" eb="1">
      <t>カモク</t>
    </rPh>
    <phoneticPr fontId="3"/>
  </si>
  <si>
    <t>満期日</t>
    <rPh sb="0" eb="2">
      <t>マンキビ</t>
    </rPh>
    <phoneticPr fontId="3"/>
  </si>
  <si>
    <t>支払方法</t>
    <rPh sb="0" eb="3">
      <t>シハライホウホウ</t>
    </rPh>
    <phoneticPr fontId="3"/>
  </si>
  <si>
    <t>締め日</t>
    <rPh sb="1" eb="2">
      <t>ビ</t>
    </rPh>
    <phoneticPr fontId="3"/>
  </si>
  <si>
    <t>支払先名称</t>
    <rPh sb="0" eb="4">
      <t>シハライサキメイショウ</t>
    </rPh>
    <phoneticPr fontId="3"/>
  </si>
  <si>
    <t>未払組織名称</t>
    <rPh sb="0" eb="1">
      <t>ミバラ</t>
    </rPh>
    <rPh sb="2" eb="4">
      <t>ソシキ</t>
    </rPh>
    <rPh sb="4" eb="6">
      <t>メイショウ</t>
    </rPh>
    <phoneticPr fontId="3"/>
  </si>
  <si>
    <t>科目名称</t>
    <rPh sb="0" eb="3">
      <t>カモクメイショウ</t>
    </rPh>
    <phoneticPr fontId="3"/>
  </si>
  <si>
    <t>税率</t>
    <rPh sb="0" eb="1">
      <t>ゼイリツ</t>
    </rPh>
    <phoneticPr fontId="3"/>
  </si>
  <si>
    <t>税入力</t>
    <rPh sb="0" eb="2">
      <t>ゼイニュウリョク</t>
    </rPh>
    <phoneticPr fontId="3"/>
  </si>
  <si>
    <t>消費税差額入力情報</t>
    <rPh sb="0" eb="5">
      <t>ショウヒゼイサガク</t>
    </rPh>
    <rPh sb="5" eb="7">
      <t>ニュウリョク</t>
    </rPh>
    <rPh sb="7" eb="9">
      <t>ジョウホウ</t>
    </rPh>
    <phoneticPr fontId="3"/>
  </si>
  <si>
    <t>収益入力申請情報</t>
    <rPh sb="0" eb="2">
      <t>シュウエキ</t>
    </rPh>
    <rPh sb="2" eb="4">
      <t>ニュウリョク</t>
    </rPh>
    <rPh sb="4" eb="6">
      <t>シンセイ</t>
    </rPh>
    <rPh sb="6" eb="8">
      <t>ジョウホウ</t>
    </rPh>
    <phoneticPr fontId="3"/>
  </si>
  <si>
    <t>年度区分</t>
    <rPh sb="0" eb="3">
      <t>ネンドクブン</t>
    </rPh>
    <phoneticPr fontId="3"/>
  </si>
  <si>
    <t>処理区分</t>
    <rPh sb="0" eb="1">
      <t>ショリ</t>
    </rPh>
    <rPh sb="1" eb="3">
      <t>クブン</t>
    </rPh>
    <phoneticPr fontId="3"/>
  </si>
  <si>
    <t>作成日</t>
    <rPh sb="0" eb="2">
      <t>サクセイビ</t>
    </rPh>
    <phoneticPr fontId="3"/>
  </si>
  <si>
    <t>業種コード</t>
    <rPh sb="0" eb="1">
      <t>ギョウシュ</t>
    </rPh>
    <phoneticPr fontId="3"/>
  </si>
  <si>
    <t>収益入力情報</t>
    <rPh sb="0" eb="2">
      <t>シュウエキ</t>
    </rPh>
    <rPh sb="2" eb="6">
      <t>ニュウリョクジョウホウ</t>
    </rPh>
    <phoneticPr fontId="3"/>
  </si>
  <si>
    <t>付替入力申請情報</t>
    <rPh sb="0" eb="2">
      <t>ツケカ</t>
    </rPh>
    <rPh sb="2" eb="4">
      <t>ニュウリョク</t>
    </rPh>
    <rPh sb="4" eb="6">
      <t>シンセイ</t>
    </rPh>
    <rPh sb="6" eb="8">
      <t>ジョウホウ</t>
    </rPh>
    <phoneticPr fontId="3"/>
  </si>
  <si>
    <t>更新者</t>
    <rPh sb="0" eb="2">
      <t>コウシンシャ</t>
    </rPh>
    <phoneticPr fontId="3"/>
  </si>
  <si>
    <t>業種名</t>
    <rPh sb="0" eb="2">
      <t>ギョウシュメイ</t>
    </rPh>
    <phoneticPr fontId="3"/>
  </si>
  <si>
    <t>所属</t>
    <rPh sb="0" eb="1">
      <t>ショゾク</t>
    </rPh>
    <phoneticPr fontId="3"/>
  </si>
  <si>
    <t>所属名</t>
    <rPh sb="0" eb="2">
      <t>ショゾクメイ</t>
    </rPh>
    <phoneticPr fontId="3"/>
  </si>
  <si>
    <t>付替入力情報</t>
    <rPh sb="0" eb="2">
      <t>ツケカ</t>
    </rPh>
    <rPh sb="2" eb="4">
      <t>ニュウリョク</t>
    </rPh>
    <rPh sb="4" eb="6">
      <t>ジョウホウ</t>
    </rPh>
    <phoneticPr fontId="3"/>
  </si>
  <si>
    <t>人件費情報</t>
    <rPh sb="0" eb="3">
      <t>ジンケンヒ</t>
    </rPh>
    <rPh sb="3" eb="5">
      <t>ジョウホウ</t>
    </rPh>
    <phoneticPr fontId="3"/>
  </si>
  <si>
    <t>支給日</t>
    <rPh sb="0" eb="2">
      <t>シキュウビ</t>
    </rPh>
    <phoneticPr fontId="3"/>
  </si>
  <si>
    <t>入力区分</t>
    <rPh sb="0" eb="3">
      <t>ニュウリョククブン</t>
    </rPh>
    <phoneticPr fontId="3"/>
  </si>
  <si>
    <t>給与区分</t>
    <rPh sb="0" eb="1">
      <t>キュウヨ</t>
    </rPh>
    <rPh sb="1" eb="3">
      <t>クブン</t>
    </rPh>
    <phoneticPr fontId="3"/>
  </si>
  <si>
    <t>給与個所</t>
    <rPh sb="0" eb="3">
      <t>キュウヨカショ</t>
    </rPh>
    <phoneticPr fontId="3"/>
  </si>
  <si>
    <t>科目分類</t>
    <rPh sb="0" eb="2">
      <t>カモク</t>
    </rPh>
    <rPh sb="2" eb="4">
      <t>ブンルイ</t>
    </rPh>
    <phoneticPr fontId="3"/>
  </si>
  <si>
    <t>科目区分</t>
    <rPh sb="0" eb="3">
      <t>カモククブン</t>
    </rPh>
    <phoneticPr fontId="3"/>
  </si>
  <si>
    <t>給与区分名称</t>
    <rPh sb="0" eb="1">
      <t>キュウヨ</t>
    </rPh>
    <rPh sb="1" eb="5">
      <t>クブンメイショウ</t>
    </rPh>
    <phoneticPr fontId="3"/>
  </si>
  <si>
    <t>給与個所名称</t>
    <rPh sb="0" eb="1">
      <t>キュウヨ</t>
    </rPh>
    <rPh sb="1" eb="5">
      <t>カショメイショウ</t>
    </rPh>
    <phoneticPr fontId="3"/>
  </si>
  <si>
    <t>科目分類名称</t>
    <rPh sb="0" eb="3">
      <t>カモクブンルイ</t>
    </rPh>
    <rPh sb="3" eb="5">
      <t>メイショウ</t>
    </rPh>
    <phoneticPr fontId="3"/>
  </si>
  <si>
    <t>科目区分名称</t>
    <phoneticPr fontId="3"/>
  </si>
  <si>
    <t>所属コード</t>
    <rPh sb="0" eb="1">
      <t>ショゾク</t>
    </rPh>
    <phoneticPr fontId="3"/>
  </si>
  <si>
    <t>役員報酬</t>
    <rPh sb="0" eb="1">
      <t>ヤクイン</t>
    </rPh>
    <rPh sb="1" eb="3">
      <t>ホウシュウ</t>
    </rPh>
    <phoneticPr fontId="3"/>
  </si>
  <si>
    <t>役員通勤手当</t>
    <rPh sb="0" eb="1">
      <t>ヤクイン</t>
    </rPh>
    <rPh sb="1" eb="5">
      <t>ツウキンテアテ</t>
    </rPh>
    <phoneticPr fontId="3"/>
  </si>
  <si>
    <t>職員本俸</t>
    <rPh sb="0" eb="3">
      <t>ショクインホンポウ</t>
    </rPh>
    <phoneticPr fontId="3"/>
  </si>
  <si>
    <t>諸手当</t>
    <phoneticPr fontId="3"/>
  </si>
  <si>
    <t>通勤手当</t>
    <phoneticPr fontId="3"/>
  </si>
  <si>
    <t>臨時者賃金</t>
    <phoneticPr fontId="3"/>
  </si>
  <si>
    <t>臨時者通勤手当</t>
    <phoneticPr fontId="3"/>
  </si>
  <si>
    <t>教育訓練費</t>
    <phoneticPr fontId="3"/>
  </si>
  <si>
    <t>健保給付金</t>
    <phoneticPr fontId="3"/>
  </si>
  <si>
    <t>きずな配当金</t>
    <phoneticPr fontId="3"/>
  </si>
  <si>
    <t>普通貸付金</t>
    <phoneticPr fontId="3"/>
  </si>
  <si>
    <t>特別貸付金</t>
    <phoneticPr fontId="3"/>
  </si>
  <si>
    <t>諸控除額</t>
    <phoneticPr fontId="3"/>
  </si>
  <si>
    <t>其他控除額</t>
    <phoneticPr fontId="3"/>
  </si>
  <si>
    <t>現物給与</t>
    <phoneticPr fontId="3"/>
  </si>
  <si>
    <t>物品代</t>
    <phoneticPr fontId="3"/>
  </si>
  <si>
    <t>食費</t>
    <phoneticPr fontId="3"/>
  </si>
  <si>
    <t>生命保険料</t>
    <phoneticPr fontId="3"/>
  </si>
  <si>
    <t>損害保険料</t>
    <phoneticPr fontId="3"/>
  </si>
  <si>
    <t>きずな月掛金</t>
    <phoneticPr fontId="3"/>
  </si>
  <si>
    <t>きずな臨掛金</t>
    <phoneticPr fontId="3"/>
  </si>
  <si>
    <t>健康保険料</t>
    <phoneticPr fontId="3"/>
  </si>
  <si>
    <t>介護保険料</t>
    <phoneticPr fontId="3"/>
  </si>
  <si>
    <t>年金保険料</t>
    <phoneticPr fontId="3"/>
  </si>
  <si>
    <t>雇用保険料</t>
    <phoneticPr fontId="3"/>
  </si>
  <si>
    <t>所得税</t>
    <phoneticPr fontId="3"/>
  </si>
  <si>
    <t>住民税</t>
    <phoneticPr fontId="3"/>
  </si>
  <si>
    <t>積立貯金</t>
    <phoneticPr fontId="3"/>
  </si>
  <si>
    <t>雑受取利息</t>
    <phoneticPr fontId="3"/>
  </si>
  <si>
    <t>住宅料</t>
    <phoneticPr fontId="3"/>
  </si>
  <si>
    <t>その他預り金</t>
    <phoneticPr fontId="3"/>
  </si>
  <si>
    <t>仮受金</t>
    <phoneticPr fontId="3"/>
  </si>
  <si>
    <t>赤支給差額</t>
    <phoneticPr fontId="3"/>
  </si>
  <si>
    <t>役員健康保険料</t>
    <phoneticPr fontId="3"/>
  </si>
  <si>
    <t>役員介護保険料</t>
    <phoneticPr fontId="3"/>
  </si>
  <si>
    <t>職員健康保険料</t>
    <phoneticPr fontId="3"/>
  </si>
  <si>
    <t>職員介護保険料</t>
    <phoneticPr fontId="3"/>
  </si>
  <si>
    <t>臨時健康保険料</t>
    <phoneticPr fontId="3"/>
  </si>
  <si>
    <t>臨時介護保険料</t>
    <phoneticPr fontId="3"/>
  </si>
  <si>
    <t>役員厚生年金保険料</t>
    <phoneticPr fontId="3"/>
  </si>
  <si>
    <t>職員厚生年金保険料</t>
    <phoneticPr fontId="3"/>
  </si>
  <si>
    <t>臨時厚生年金保険料</t>
    <phoneticPr fontId="3"/>
  </si>
  <si>
    <t>定期貯金（支給）</t>
    <phoneticPr fontId="3"/>
  </si>
  <si>
    <t>雑支払利息</t>
    <phoneticPr fontId="3"/>
  </si>
  <si>
    <t>給与徴収額</t>
    <rPh sb="0" eb="1">
      <t>キュウヨ</t>
    </rPh>
    <phoneticPr fontId="3"/>
  </si>
  <si>
    <t>利息税　国税</t>
    <phoneticPr fontId="3"/>
  </si>
  <si>
    <t>利息税　地方税</t>
    <phoneticPr fontId="3"/>
  </si>
  <si>
    <t>定期貯金（控除）</t>
    <phoneticPr fontId="3"/>
  </si>
  <si>
    <t>貯金担保貸付金</t>
    <phoneticPr fontId="3"/>
  </si>
  <si>
    <t>貯金担保貸付金利息</t>
    <phoneticPr fontId="3"/>
  </si>
  <si>
    <t>人件費連動リスト</t>
    <rPh sb="0" eb="3">
      <t>ジンケンヒ</t>
    </rPh>
    <rPh sb="3" eb="5">
      <t>レンドウ</t>
    </rPh>
    <phoneticPr fontId="3"/>
  </si>
  <si>
    <t>帳票</t>
  </si>
  <si>
    <t>役員報酬</t>
    <rPh sb="0" eb="3">
      <t>ヤクインホウシュウ</t>
    </rPh>
    <phoneticPr fontId="3"/>
  </si>
  <si>
    <t>役員通勤手当</t>
    <rPh sb="0" eb="5">
      <t>ヤクインツウキンテアテ</t>
    </rPh>
    <phoneticPr fontId="3"/>
  </si>
  <si>
    <t>諸手当</t>
    <rPh sb="0" eb="2">
      <t>ショテアテ</t>
    </rPh>
    <phoneticPr fontId="3"/>
  </si>
  <si>
    <t>通勤手当</t>
    <rPh sb="0" eb="3">
      <t>ツウキンテアテ</t>
    </rPh>
    <phoneticPr fontId="3"/>
  </si>
  <si>
    <t>健保給付金</t>
    <rPh sb="0" eb="4">
      <t>ケンポキュウフキン</t>
    </rPh>
    <phoneticPr fontId="3"/>
  </si>
  <si>
    <t>きずな配当金</t>
    <rPh sb="2" eb="5">
      <t>ハイトウキン</t>
    </rPh>
    <phoneticPr fontId="3"/>
  </si>
  <si>
    <t>普通貸付金</t>
    <rPh sb="0" eb="4">
      <t>フツウカシツケキン</t>
    </rPh>
    <phoneticPr fontId="3"/>
  </si>
  <si>
    <t>特別貸付金</t>
    <rPh sb="0" eb="4">
      <t>トクベツカシツケキン</t>
    </rPh>
    <phoneticPr fontId="3"/>
  </si>
  <si>
    <t>物品代</t>
    <rPh sb="0" eb="2">
      <t>ブッピンダイ</t>
    </rPh>
    <phoneticPr fontId="3"/>
  </si>
  <si>
    <t>食費</t>
    <rPh sb="0" eb="1">
      <t>ショクヒ</t>
    </rPh>
    <phoneticPr fontId="3"/>
  </si>
  <si>
    <t>生命保険料</t>
    <rPh sb="0" eb="4">
      <t>セイメイホケンリョウ</t>
    </rPh>
    <phoneticPr fontId="3"/>
  </si>
  <si>
    <t>健康保険料</t>
    <rPh sb="0" eb="4">
      <t>ケンコウホケンリョウ</t>
    </rPh>
    <phoneticPr fontId="3"/>
  </si>
  <si>
    <t>年金保険料</t>
    <rPh sb="0" eb="4">
      <t>ネンキンホケンリョウ</t>
    </rPh>
    <phoneticPr fontId="3"/>
  </si>
  <si>
    <t>所得税</t>
    <rPh sb="0" eb="2">
      <t>ショトクゼイ</t>
    </rPh>
    <phoneticPr fontId="3"/>
  </si>
  <si>
    <t>住民税</t>
    <rPh sb="0" eb="2">
      <t>ジュウミンゼイ</t>
    </rPh>
    <phoneticPr fontId="3"/>
  </si>
  <si>
    <t>雑受取利息</t>
    <rPh sb="0" eb="2">
      <t>ウケトリ</t>
    </rPh>
    <rPh sb="2" eb="4">
      <t>リソク</t>
    </rPh>
    <phoneticPr fontId="3"/>
  </si>
  <si>
    <t>その他預り金</t>
    <rPh sb="1" eb="2">
      <t>タ</t>
    </rPh>
    <rPh sb="2" eb="3">
      <t>アズカ</t>
    </rPh>
    <rPh sb="4" eb="5">
      <t>キン</t>
    </rPh>
    <phoneticPr fontId="3"/>
  </si>
  <si>
    <t>人件費特別申請情報</t>
    <rPh sb="0" eb="3">
      <t>ジンケンヒ</t>
    </rPh>
    <rPh sb="3" eb="5">
      <t>トクベツ</t>
    </rPh>
    <rPh sb="5" eb="7">
      <t>シンセイ</t>
    </rPh>
    <rPh sb="7" eb="9">
      <t>ジョウホウ</t>
    </rPh>
    <phoneticPr fontId="3"/>
  </si>
  <si>
    <t>科目分類</t>
    <rPh sb="0" eb="3">
      <t>カモクブンルイ</t>
    </rPh>
    <phoneticPr fontId="3"/>
  </si>
  <si>
    <t>引当金計上区分</t>
    <rPh sb="0" eb="2">
      <t>ヒキアテキン</t>
    </rPh>
    <rPh sb="2" eb="6">
      <t>ケイジョウクブン</t>
    </rPh>
    <phoneticPr fontId="3"/>
  </si>
  <si>
    <t>予算組織コード</t>
    <rPh sb="0" eb="3">
      <t>ヨサンソシキ</t>
    </rPh>
    <phoneticPr fontId="3"/>
  </si>
  <si>
    <t>予算組織名称</t>
    <rPh sb="0" eb="3">
      <t>ヨサンソシキ</t>
    </rPh>
    <rPh sb="3" eb="5">
      <t>メイショウ</t>
    </rPh>
    <phoneticPr fontId="3"/>
  </si>
  <si>
    <t>科目分類名称</t>
    <rPh sb="0" eb="5">
      <t>カモクブンルイメイショウ</t>
    </rPh>
    <phoneticPr fontId="3"/>
  </si>
  <si>
    <t>科目区分名称</t>
    <rPh sb="0" eb="1">
      <t>カモク</t>
    </rPh>
    <rPh sb="1" eb="3">
      <t>クブン</t>
    </rPh>
    <rPh sb="3" eb="5">
      <t>メイショウ</t>
    </rPh>
    <phoneticPr fontId="3"/>
  </si>
  <si>
    <t>所属名称</t>
    <rPh sb="0" eb="3">
      <t>ショゾクメイショウ</t>
    </rPh>
    <phoneticPr fontId="3"/>
  </si>
  <si>
    <t>賞金本俸</t>
    <rPh sb="0" eb="3">
      <t>ショウキンホンポウ</t>
    </rPh>
    <phoneticPr fontId="3"/>
  </si>
  <si>
    <t>臨時給与</t>
    <rPh sb="0" eb="3">
      <t>リンジキュウヨ</t>
    </rPh>
    <phoneticPr fontId="3"/>
  </si>
  <si>
    <t>臨時者賃金</t>
    <rPh sb="0" eb="2">
      <t>リンジシャ</t>
    </rPh>
    <rPh sb="2" eb="4">
      <t>チンギン</t>
    </rPh>
    <phoneticPr fontId="3"/>
  </si>
  <si>
    <t>臨時者通勤手当</t>
    <rPh sb="0" eb="3">
      <t>リンジシャ</t>
    </rPh>
    <rPh sb="3" eb="5">
      <t>ツウキン</t>
    </rPh>
    <rPh sb="5" eb="7">
      <t>テアテ</t>
    </rPh>
    <phoneticPr fontId="3"/>
  </si>
  <si>
    <t>教育訓練費</t>
    <rPh sb="0" eb="4">
      <t>キョウイククンレンヒ</t>
    </rPh>
    <phoneticPr fontId="3"/>
  </si>
  <si>
    <t>預り金現物給与</t>
    <rPh sb="1" eb="2">
      <t>キン</t>
    </rPh>
    <rPh sb="2" eb="4">
      <t>ゲンブツ</t>
    </rPh>
    <rPh sb="4" eb="6">
      <t>キュウヨ</t>
    </rPh>
    <phoneticPr fontId="3"/>
  </si>
  <si>
    <t>退職給与金</t>
    <rPh sb="0" eb="4">
      <t>タイショクキュウヨキン</t>
    </rPh>
    <phoneticPr fontId="3"/>
  </si>
  <si>
    <t>退職給付引当金</t>
    <rPh sb="0" eb="3">
      <t>タイショクキュウフ</t>
    </rPh>
    <rPh sb="3" eb="6">
      <t>ヒキアテキン</t>
    </rPh>
    <phoneticPr fontId="3"/>
  </si>
  <si>
    <t>諸控除額</t>
    <rPh sb="0" eb="3">
      <t>ショコウジョガク</t>
    </rPh>
    <phoneticPr fontId="3"/>
  </si>
  <si>
    <t>其他控除額</t>
    <rPh sb="0" eb="1">
      <t>タ</t>
    </rPh>
    <rPh sb="1" eb="4">
      <t>コウジョガク</t>
    </rPh>
    <phoneticPr fontId="3"/>
  </si>
  <si>
    <t>現物給与</t>
    <rPh sb="0" eb="2">
      <t>ゲンブツ</t>
    </rPh>
    <rPh sb="2" eb="4">
      <t>キュウヨ</t>
    </rPh>
    <phoneticPr fontId="3"/>
  </si>
  <si>
    <t>損害保険料</t>
    <rPh sb="0" eb="4">
      <t>ソンガイホケンリョウ</t>
    </rPh>
    <phoneticPr fontId="3"/>
  </si>
  <si>
    <t>きずな月掛金</t>
    <rPh sb="2" eb="4">
      <t>ツキカ</t>
    </rPh>
    <rPh sb="4" eb="5">
      <t>キン</t>
    </rPh>
    <phoneticPr fontId="3"/>
  </si>
  <si>
    <t>きずな臨掛金</t>
    <rPh sb="2" eb="4">
      <t>リンカ</t>
    </rPh>
    <rPh sb="4" eb="5">
      <t>キン</t>
    </rPh>
    <phoneticPr fontId="3"/>
  </si>
  <si>
    <t>介護保険料</t>
    <rPh sb="0" eb="5">
      <t>カイゴホケンリョウ</t>
    </rPh>
    <phoneticPr fontId="3"/>
  </si>
  <si>
    <t>雇用保険料</t>
    <rPh sb="0" eb="1">
      <t>コヨウ</t>
    </rPh>
    <rPh sb="1" eb="4">
      <t>ホケンリョウ</t>
    </rPh>
    <phoneticPr fontId="3"/>
  </si>
  <si>
    <t>積立貯金</t>
    <rPh sb="0" eb="3">
      <t>ツミタテチョキン</t>
    </rPh>
    <phoneticPr fontId="3"/>
  </si>
  <si>
    <t>住宅料</t>
    <rPh sb="0" eb="2">
      <t>ジュウタクリョウ</t>
    </rPh>
    <rPh sb="2" eb="3">
      <t>リョウ</t>
    </rPh>
    <phoneticPr fontId="3"/>
  </si>
  <si>
    <t>支払先コード</t>
    <rPh sb="0" eb="2">
      <t>シハライサキ</t>
    </rPh>
    <phoneticPr fontId="3"/>
  </si>
  <si>
    <t>振込支給額</t>
    <rPh sb="0" eb="1">
      <t>フリコミ</t>
    </rPh>
    <rPh sb="1" eb="4">
      <t>シキュウガク</t>
    </rPh>
    <phoneticPr fontId="3"/>
  </si>
  <si>
    <t>支払予定日</t>
    <rPh sb="0" eb="4">
      <t>シハライヨテイビ</t>
    </rPh>
    <phoneticPr fontId="3"/>
  </si>
  <si>
    <t>支払方法区分１</t>
    <rPh sb="0" eb="3">
      <t>シハライホウホウ</t>
    </rPh>
    <rPh sb="3" eb="5">
      <t>クブン</t>
    </rPh>
    <phoneticPr fontId="3"/>
  </si>
  <si>
    <t>口座名義（漢字）１</t>
    <rPh sb="0" eb="3">
      <t>コウザメイギ</t>
    </rPh>
    <rPh sb="4" eb="6">
      <t>カンジ</t>
    </rPh>
    <phoneticPr fontId="3"/>
  </si>
  <si>
    <t>口座名義（カナ）１</t>
    <rPh sb="0" eb="2">
      <t>コウザメイギ</t>
    </rPh>
    <rPh sb="3" eb="5">
      <t>カンジ</t>
    </rPh>
    <phoneticPr fontId="3"/>
  </si>
  <si>
    <t>振込先（銀行）コード１</t>
    <rPh sb="0" eb="2">
      <t>フリコミサキ</t>
    </rPh>
    <rPh sb="3" eb="5">
      <t>ギンコウ</t>
    </rPh>
    <phoneticPr fontId="3"/>
  </si>
  <si>
    <t>振込先（本支店）コード１</t>
    <rPh sb="0" eb="2">
      <t>フリコミサキ</t>
    </rPh>
    <rPh sb="3" eb="6">
      <t>ホンシテン</t>
    </rPh>
    <phoneticPr fontId="3"/>
  </si>
  <si>
    <t>預金種別１</t>
    <rPh sb="0" eb="3">
      <t>ヨキンシュベツ</t>
    </rPh>
    <phoneticPr fontId="3"/>
  </si>
  <si>
    <t>口座番号１</t>
    <rPh sb="0" eb="1">
      <t>コウザ</t>
    </rPh>
    <rPh sb="1" eb="3">
      <t>バンゴウ</t>
    </rPh>
    <phoneticPr fontId="3"/>
  </si>
  <si>
    <t>内訳金額１</t>
    <rPh sb="0" eb="1">
      <t>ウチワケ</t>
    </rPh>
    <rPh sb="1" eb="3">
      <t>キンガク</t>
    </rPh>
    <phoneticPr fontId="3"/>
  </si>
  <si>
    <t>支払方法区分２</t>
    <rPh sb="0" eb="3">
      <t>シハライホウホウ</t>
    </rPh>
    <rPh sb="3" eb="5">
      <t>クブン</t>
    </rPh>
    <phoneticPr fontId="3"/>
  </si>
  <si>
    <t>口座名義（漢字）２</t>
    <rPh sb="0" eb="1">
      <t>コウザ</t>
    </rPh>
    <rPh sb="1" eb="3">
      <t>メイギ</t>
    </rPh>
    <rPh sb="4" eb="6">
      <t>カンジ</t>
    </rPh>
    <phoneticPr fontId="3"/>
  </si>
  <si>
    <t>口座名義（カナ）２</t>
    <rPh sb="0" eb="3">
      <t>コウザメイギ</t>
    </rPh>
    <phoneticPr fontId="3"/>
  </si>
  <si>
    <t>振込先（銀行）コード２</t>
    <rPh sb="0" eb="2">
      <t>フリコミサキ</t>
    </rPh>
    <rPh sb="3" eb="5">
      <t>ギンコウ</t>
    </rPh>
    <phoneticPr fontId="3"/>
  </si>
  <si>
    <t>振込先（本支店）コード２</t>
    <rPh sb="0" eb="2">
      <t>フリコミサキ</t>
    </rPh>
    <rPh sb="3" eb="6">
      <t>ホンシテン</t>
    </rPh>
    <phoneticPr fontId="3"/>
  </si>
  <si>
    <t>預金種別２</t>
    <rPh sb="0" eb="1">
      <t>ヨキン</t>
    </rPh>
    <rPh sb="1" eb="3">
      <t>シュベツ</t>
    </rPh>
    <phoneticPr fontId="3"/>
  </si>
  <si>
    <t>口座番号２</t>
    <rPh sb="0" eb="3">
      <t>コウザバンゴウ</t>
    </rPh>
    <phoneticPr fontId="3"/>
  </si>
  <si>
    <t>内訳金額２</t>
    <rPh sb="0" eb="2">
      <t>ウチワケ</t>
    </rPh>
    <rPh sb="2" eb="4">
      <t>キンガク</t>
    </rPh>
    <phoneticPr fontId="3"/>
  </si>
  <si>
    <t>支払方法区分３</t>
    <rPh sb="0" eb="5">
      <t>シハライホウホウクブン</t>
    </rPh>
    <phoneticPr fontId="3"/>
  </si>
  <si>
    <t>口座名義（漢字）３</t>
    <rPh sb="0" eb="1">
      <t>コウザ</t>
    </rPh>
    <rPh sb="1" eb="3">
      <t>メイギ</t>
    </rPh>
    <rPh sb="4" eb="6">
      <t>カンジ</t>
    </rPh>
    <phoneticPr fontId="3"/>
  </si>
  <si>
    <t>口座名義（カナ）３</t>
    <rPh sb="0" eb="1">
      <t>コウザ</t>
    </rPh>
    <rPh sb="1" eb="3">
      <t>メイギ</t>
    </rPh>
    <phoneticPr fontId="3"/>
  </si>
  <si>
    <t>振込先（銀行）コード３</t>
    <rPh sb="0" eb="2">
      <t>フリコミサキ</t>
    </rPh>
    <rPh sb="3" eb="5">
      <t>ギンコウ</t>
    </rPh>
    <phoneticPr fontId="3"/>
  </si>
  <si>
    <t>振込先（本支店）コード３</t>
    <rPh sb="0" eb="2">
      <t>フリコミサキ</t>
    </rPh>
    <rPh sb="3" eb="6">
      <t>ホンシテン</t>
    </rPh>
    <phoneticPr fontId="3"/>
  </si>
  <si>
    <t>預金種別３</t>
    <rPh sb="0" eb="3">
      <t>ヨキンシュベツ</t>
    </rPh>
    <phoneticPr fontId="3"/>
  </si>
  <si>
    <t>口座番号３</t>
    <rPh sb="0" eb="3">
      <t>コウザバンゴウ</t>
    </rPh>
    <phoneticPr fontId="3"/>
  </si>
  <si>
    <t>内訳金額３</t>
    <rPh sb="0" eb="3">
      <t>ウチワケキンガク</t>
    </rPh>
    <phoneticPr fontId="3"/>
  </si>
  <si>
    <t>りん議決定日</t>
    <rPh sb="1" eb="2">
      <t>ギ</t>
    </rPh>
    <rPh sb="2" eb="5">
      <t>ケッテイビ</t>
    </rPh>
    <phoneticPr fontId="3"/>
  </si>
  <si>
    <t>人件費特別情報</t>
    <rPh sb="0" eb="3">
      <t>ジンケンヒ</t>
    </rPh>
    <rPh sb="3" eb="5">
      <t>トクベツ</t>
    </rPh>
    <rPh sb="5" eb="7">
      <t>ジョウホウ</t>
    </rPh>
    <phoneticPr fontId="3"/>
  </si>
  <si>
    <t>部門提供</t>
    <rPh sb="0" eb="2">
      <t>ブモン</t>
    </rPh>
    <rPh sb="2" eb="4">
      <t>テイキョウ</t>
    </rPh>
    <phoneticPr fontId="3"/>
  </si>
  <si>
    <t>備　　　考</t>
    <rPh sb="0" eb="1">
      <t>ビ</t>
    </rPh>
    <rPh sb="4" eb="5">
      <t>コウ</t>
    </rPh>
    <phoneticPr fontId="3"/>
  </si>
  <si>
    <t>明細番号</t>
  </si>
  <si>
    <t>D08020102</t>
    <phoneticPr fontId="3"/>
  </si>
  <si>
    <t>D08030101</t>
    <phoneticPr fontId="3"/>
  </si>
  <si>
    <t>D08030102</t>
    <phoneticPr fontId="3"/>
  </si>
  <si>
    <t>D08040101</t>
    <phoneticPr fontId="3"/>
  </si>
  <si>
    <t>D08040102</t>
    <phoneticPr fontId="3"/>
  </si>
  <si>
    <t>D08050101</t>
    <phoneticPr fontId="3"/>
  </si>
  <si>
    <t>人件費補完情報</t>
    <phoneticPr fontId="3"/>
  </si>
  <si>
    <t>D08050102</t>
    <phoneticPr fontId="3"/>
  </si>
  <si>
    <t>購買品勘定整理帳</t>
    <phoneticPr fontId="3"/>
  </si>
  <si>
    <t>販売品勘定整理帳</t>
    <phoneticPr fontId="3"/>
  </si>
  <si>
    <t>製品売上原価・製品売上高勘定整理帳</t>
    <phoneticPr fontId="3"/>
  </si>
  <si>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</si>
  <si>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データストア記述書</t>
    <rPh sb="6" eb="8">
      <t>キジュツ</t>
    </rPh>
    <rPh sb="8" eb="9">
      <t>ショ</t>
    </rPh>
    <phoneticPr fontId="3"/>
  </si>
  <si>
    <t>F4104-0</t>
    <phoneticPr fontId="3"/>
  </si>
  <si>
    <t>桁数</t>
    <rPh sb="0" eb="2">
      <t>ケタスウ</t>
    </rPh>
    <phoneticPr fontId="3"/>
  </si>
  <si>
    <t>符号</t>
    <rPh sb="0" eb="2">
      <t>フゴウ</t>
    </rPh>
    <phoneticPr fontId="3"/>
  </si>
  <si>
    <t>部門提供</t>
    <rPh sb="0" eb="4">
      <t>ブモンテイキョウ</t>
    </rPh>
    <phoneticPr fontId="3"/>
  </si>
  <si>
    <t>データストア記述書　変更履歴</t>
    <rPh sb="6" eb="8">
      <t>キジュツ</t>
    </rPh>
    <rPh sb="8" eb="9">
      <t>ショ</t>
    </rPh>
    <rPh sb="10" eb="12">
      <t>ヘンコウ</t>
    </rPh>
    <rPh sb="12" eb="14">
      <t>リレキ</t>
    </rPh>
    <phoneticPr fontId="3"/>
  </si>
  <si>
    <t>業務名</t>
    <rPh sb="0" eb="3">
      <t>ギョウムメイ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</si>
  <si>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</si>
  <si>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1"/>
  </si>
  <si>
    <t>部門提供</t>
    <phoneticPr fontId="3"/>
  </si>
  <si>
    <t>購買手数料配分計算書</t>
    <rPh sb="0" eb="2">
      <t>コウバイ</t>
    </rPh>
    <rPh sb="2" eb="5">
      <t>テスウリョウ</t>
    </rPh>
    <rPh sb="5" eb="7">
      <t>ハイブン</t>
    </rPh>
    <rPh sb="7" eb="10">
      <t>ケイサンショ</t>
    </rPh>
    <phoneticPr fontId="3"/>
  </si>
  <si>
    <t>口座番号</t>
    <rPh sb="0" eb="4">
      <t>コウザバンゴウ</t>
    </rPh>
    <phoneticPr fontId="2"/>
  </si>
  <si>
    <t>業種コード</t>
    <rPh sb="0" eb="2">
      <t>ギョウシュ</t>
    </rPh>
    <phoneticPr fontId="4"/>
  </si>
  <si>
    <t>業種名称</t>
    <rPh sb="0" eb="4">
      <t>ギョウシュメイショウ</t>
    </rPh>
    <phoneticPr fontId="4"/>
  </si>
  <si>
    <t>予算組織コード</t>
    <rPh sb="0" eb="4">
      <t>ヨサンソシキ</t>
    </rPh>
    <phoneticPr fontId="4"/>
  </si>
  <si>
    <t>予算組織名称</t>
    <rPh sb="0" eb="6">
      <t>ヨサンソシキメイショウ</t>
    </rPh>
    <phoneticPr fontId="4"/>
  </si>
  <si>
    <t>支払入金方法</t>
    <rPh sb="0" eb="6">
      <t>シハライニュウキンホウホウ</t>
    </rPh>
    <phoneticPr fontId="4"/>
  </si>
  <si>
    <t>参照URL</t>
    <rPh sb="0" eb="2">
      <t>サンショウ</t>
    </rPh>
    <phoneticPr fontId="4"/>
  </si>
  <si>
    <t>【明細情報】</t>
    <rPh sb="1" eb="5">
      <t>メイサイジョウホウ</t>
    </rPh>
    <phoneticPr fontId="4"/>
  </si>
  <si>
    <t>勘定科目コード</t>
    <rPh sb="0" eb="4">
      <t>カンジョウカモク</t>
    </rPh>
    <phoneticPr fontId="4"/>
  </si>
  <si>
    <t>勘定科目名称</t>
    <rPh sb="0" eb="4">
      <t>カンジョウカモク</t>
    </rPh>
    <rPh sb="4" eb="6">
      <t>メイショウ</t>
    </rPh>
    <phoneticPr fontId="4"/>
  </si>
  <si>
    <t>科目摘要コード</t>
    <rPh sb="0" eb="4">
      <t>カモクテキヨウ</t>
    </rPh>
    <phoneticPr fontId="4"/>
  </si>
  <si>
    <t>科目摘要名称</t>
    <rPh sb="0" eb="4">
      <t>カモクテキヨウ</t>
    </rPh>
    <rPh sb="4" eb="6">
      <t>メイショウ</t>
    </rPh>
    <phoneticPr fontId="4"/>
  </si>
  <si>
    <t>科目摘要細目コード</t>
    <rPh sb="0" eb="6">
      <t>カモクテキヨウサイモク</t>
    </rPh>
    <phoneticPr fontId="4"/>
  </si>
  <si>
    <t>科目摘要補足</t>
    <rPh sb="0" eb="4">
      <t>カモクテキヨウ</t>
    </rPh>
    <rPh sb="4" eb="6">
      <t>ホソク</t>
    </rPh>
    <phoneticPr fontId="4"/>
  </si>
  <si>
    <t>合計額</t>
    <rPh sb="0" eb="2">
      <t>ゴウケイ</t>
    </rPh>
    <rPh sb="2" eb="3">
      <t>ガク</t>
    </rPh>
    <phoneticPr fontId="4"/>
  </si>
  <si>
    <t>実績値</t>
    <rPh sb="0" eb="3">
      <t>ジッセキチ</t>
    </rPh>
    <phoneticPr fontId="4"/>
  </si>
  <si>
    <t>累計値</t>
    <rPh sb="0" eb="2">
      <t>ルイケイ</t>
    </rPh>
    <rPh sb="2" eb="3">
      <t>アタイ</t>
    </rPh>
    <phoneticPr fontId="4"/>
  </si>
  <si>
    <t>相手先名称</t>
    <rPh sb="0" eb="3">
      <t>アイテサキ</t>
    </rPh>
    <rPh sb="3" eb="5">
      <t>メイショウ</t>
    </rPh>
    <phoneticPr fontId="4"/>
  </si>
  <si>
    <t>諸口取引先</t>
    <rPh sb="0" eb="2">
      <t>ショグチ</t>
    </rPh>
    <rPh sb="2" eb="5">
      <t>トリヒキサキ</t>
    </rPh>
    <phoneticPr fontId="4"/>
  </si>
  <si>
    <t>本体金額</t>
    <rPh sb="0" eb="4">
      <t>ホンタイキンガク</t>
    </rPh>
    <phoneticPr fontId="4"/>
  </si>
  <si>
    <t>消費税金額</t>
    <rPh sb="0" eb="5">
      <t>ショウヒゼイキンガク</t>
    </rPh>
    <phoneticPr fontId="4"/>
  </si>
  <si>
    <t>消費税取引区分</t>
    <rPh sb="0" eb="3">
      <t>ショウヒゼイ</t>
    </rPh>
    <rPh sb="3" eb="7">
      <t>トリヒキクブン</t>
    </rPh>
    <phoneticPr fontId="4"/>
  </si>
  <si>
    <t>免税区分</t>
    <rPh sb="0" eb="2">
      <t>メンゼイ</t>
    </rPh>
    <rPh sb="2" eb="4">
      <t>クブン</t>
    </rPh>
    <phoneticPr fontId="4"/>
  </si>
  <si>
    <t>控除額</t>
    <rPh sb="0" eb="3">
      <t>コウジョガク</t>
    </rPh>
    <phoneticPr fontId="4"/>
  </si>
  <si>
    <t>仮払金</t>
    <rPh sb="0" eb="3">
      <t>カリバライキン</t>
    </rPh>
    <phoneticPr fontId="4"/>
  </si>
  <si>
    <t>合計金額</t>
    <rPh sb="0" eb="4">
      <t>ゴウケイキンガク</t>
    </rPh>
    <phoneticPr fontId="4"/>
  </si>
  <si>
    <t>支払入金予定日</t>
    <rPh sb="0" eb="7">
      <t>シハライニュウキンヨテイビ</t>
    </rPh>
    <phoneticPr fontId="4"/>
  </si>
  <si>
    <t>決済方法コード</t>
    <rPh sb="0" eb="4">
      <t>ケッサイホウホウ</t>
    </rPh>
    <phoneticPr fontId="4"/>
  </si>
  <si>
    <t>決済方法名称</t>
    <rPh sb="0" eb="2">
      <t>ケッサイ</t>
    </rPh>
    <rPh sb="2" eb="4">
      <t>ホウホウ</t>
    </rPh>
    <rPh sb="4" eb="6">
      <t>メイショウ</t>
    </rPh>
    <phoneticPr fontId="4"/>
  </si>
  <si>
    <t>【一括償却資産項目】</t>
    <rPh sb="1" eb="5">
      <t>イッカツショウキャク</t>
    </rPh>
    <rPh sb="5" eb="9">
      <t>シサンコウモク</t>
    </rPh>
    <phoneticPr fontId="4"/>
  </si>
  <si>
    <t>品名</t>
    <rPh sb="0" eb="2">
      <t>ヒンメイ</t>
    </rPh>
    <phoneticPr fontId="4"/>
  </si>
  <si>
    <t>単価</t>
    <rPh sb="0" eb="2">
      <t>タンカ</t>
    </rPh>
    <phoneticPr fontId="4"/>
  </si>
  <si>
    <t>数量</t>
    <rPh sb="0" eb="2">
      <t>スウリョウ</t>
    </rPh>
    <phoneticPr fontId="4"/>
  </si>
  <si>
    <t>金額</t>
    <rPh sb="0" eb="2">
      <t>キンガク</t>
    </rPh>
    <phoneticPr fontId="4"/>
  </si>
  <si>
    <t>納品日</t>
    <rPh sb="0" eb="3">
      <t>ノウヒンビ</t>
    </rPh>
    <phoneticPr fontId="4"/>
  </si>
  <si>
    <t>【承認情報】</t>
    <rPh sb="1" eb="5">
      <t>ショウニンジョウホウ</t>
    </rPh>
    <phoneticPr fontId="4"/>
  </si>
  <si>
    <t>更新者　更新日時</t>
    <rPh sb="0" eb="3">
      <t>コウシンシャ</t>
    </rPh>
    <rPh sb="4" eb="8">
      <t>コウシンニチジ</t>
    </rPh>
    <phoneticPr fontId="4"/>
  </si>
  <si>
    <t>更新者　所属</t>
    <rPh sb="0" eb="3">
      <t>コウシンシャ</t>
    </rPh>
    <rPh sb="4" eb="6">
      <t>ショゾク</t>
    </rPh>
    <phoneticPr fontId="4"/>
  </si>
  <si>
    <t>更新者　担当</t>
    <rPh sb="0" eb="3">
      <t>コウシンシャ</t>
    </rPh>
    <rPh sb="4" eb="6">
      <t>タントウ</t>
    </rPh>
    <phoneticPr fontId="4"/>
  </si>
  <si>
    <t>承認者　更新日時</t>
    <rPh sb="0" eb="2">
      <t>ショウニン</t>
    </rPh>
    <rPh sb="2" eb="3">
      <t>シャ</t>
    </rPh>
    <rPh sb="4" eb="8">
      <t>コウシンニチジ</t>
    </rPh>
    <phoneticPr fontId="4"/>
  </si>
  <si>
    <t>承認者　所属</t>
    <rPh sb="0" eb="3">
      <t>ショウニンシャ</t>
    </rPh>
    <rPh sb="4" eb="6">
      <t>ショゾク</t>
    </rPh>
    <phoneticPr fontId="4"/>
  </si>
  <si>
    <t>承認者　担当</t>
    <rPh sb="0" eb="3">
      <t>ショウニンシャ</t>
    </rPh>
    <rPh sb="4" eb="6">
      <t>タントウ</t>
    </rPh>
    <phoneticPr fontId="4"/>
  </si>
  <si>
    <t>差戻コメント</t>
    <rPh sb="0" eb="2">
      <t>サシモドシ</t>
    </rPh>
    <phoneticPr fontId="4"/>
  </si>
  <si>
    <t>数値</t>
    <rPh sb="0" eb="2">
      <t>スウチ</t>
    </rPh>
    <phoneticPr fontId="4"/>
  </si>
  <si>
    <t>文字列</t>
    <phoneticPr fontId="4"/>
  </si>
  <si>
    <t>業種名称</t>
    <rPh sb="0" eb="4">
      <t>ギョウシュメイショウ</t>
    </rPh>
    <phoneticPr fontId="2"/>
  </si>
  <si>
    <t>参照URL</t>
    <rPh sb="0" eb="2">
      <t>サンショウ</t>
    </rPh>
    <phoneticPr fontId="2"/>
  </si>
  <si>
    <t>文字列</t>
    <rPh sb="0" eb="3">
      <t>モジレツ</t>
    </rPh>
    <phoneticPr fontId="2"/>
  </si>
  <si>
    <t>-</t>
    <phoneticPr fontId="3"/>
  </si>
  <si>
    <t>-</t>
    <phoneticPr fontId="4"/>
  </si>
  <si>
    <t>数値</t>
    <phoneticPr fontId="2"/>
  </si>
  <si>
    <t>-</t>
    <phoneticPr fontId="2"/>
  </si>
  <si>
    <t>科目摘要細目</t>
    <rPh sb="0" eb="4">
      <t>カモクテキヨウ</t>
    </rPh>
    <rPh sb="4" eb="6">
      <t>サイモク</t>
    </rPh>
    <phoneticPr fontId="4"/>
  </si>
  <si>
    <t>科目摘要補足</t>
    <rPh sb="0" eb="6">
      <t>カモクテキヨウホソク</t>
    </rPh>
    <phoneticPr fontId="4"/>
  </si>
  <si>
    <t>文字列</t>
    <rPh sb="0" eb="3">
      <t>モジレツ</t>
    </rPh>
    <phoneticPr fontId="4"/>
  </si>
  <si>
    <t>数値</t>
    <phoneticPr fontId="4"/>
  </si>
  <si>
    <t>数値</t>
  </si>
  <si>
    <t>数値</t>
    <phoneticPr fontId="3"/>
  </si>
  <si>
    <t>支給日</t>
    <rPh sb="0" eb="3">
      <t>シキュウビ</t>
    </rPh>
    <phoneticPr fontId="2"/>
  </si>
  <si>
    <t>入力区分コード</t>
    <rPh sb="0" eb="2">
      <t>ニュウリョク</t>
    </rPh>
    <rPh sb="2" eb="4">
      <t>クブン</t>
    </rPh>
    <phoneticPr fontId="2"/>
  </si>
  <si>
    <t>入力区分名称</t>
    <rPh sb="0" eb="2">
      <t>ニュウリョク</t>
    </rPh>
    <rPh sb="2" eb="4">
      <t>クブン</t>
    </rPh>
    <rPh sb="4" eb="6">
      <t>メイショウ</t>
    </rPh>
    <phoneticPr fontId="2"/>
  </si>
  <si>
    <t>給与区分コード</t>
    <rPh sb="0" eb="4">
      <t>キュウヨクブン</t>
    </rPh>
    <phoneticPr fontId="2"/>
  </si>
  <si>
    <t>給与区分名称</t>
    <rPh sb="0" eb="4">
      <t>キュウヨクブン</t>
    </rPh>
    <rPh sb="4" eb="6">
      <t>メイショウ</t>
    </rPh>
    <phoneticPr fontId="2"/>
  </si>
  <si>
    <t>給与個所コード</t>
    <rPh sb="0" eb="4">
      <t>キュウヨカショ</t>
    </rPh>
    <phoneticPr fontId="2"/>
  </si>
  <si>
    <t>給与個所名称</t>
    <rPh sb="0" eb="4">
      <t>キュウヨカショ</t>
    </rPh>
    <rPh sb="4" eb="6">
      <t>メイショウ</t>
    </rPh>
    <phoneticPr fontId="2"/>
  </si>
  <si>
    <t>科目分類コード</t>
    <rPh sb="0" eb="4">
      <t>カモクブンルイ</t>
    </rPh>
    <phoneticPr fontId="2"/>
  </si>
  <si>
    <t>科目分類名称</t>
    <rPh sb="0" eb="4">
      <t>カモクブンルイ</t>
    </rPh>
    <rPh sb="4" eb="6">
      <t>メイショウ</t>
    </rPh>
    <phoneticPr fontId="2"/>
  </si>
  <si>
    <t>科目区分コード</t>
    <rPh sb="0" eb="4">
      <t>カモククブン</t>
    </rPh>
    <phoneticPr fontId="2"/>
  </si>
  <si>
    <t>科目区分名称</t>
    <rPh sb="0" eb="4">
      <t>カモククブン</t>
    </rPh>
    <rPh sb="4" eb="6">
      <t>メイショウ</t>
    </rPh>
    <phoneticPr fontId="2"/>
  </si>
  <si>
    <t>【支給額】</t>
    <rPh sb="1" eb="4">
      <t>シキュウガク</t>
    </rPh>
    <phoneticPr fontId="2"/>
  </si>
  <si>
    <t>役員報酬</t>
    <rPh sb="0" eb="4">
      <t>ヤクインホウシュウ</t>
    </rPh>
    <phoneticPr fontId="2"/>
  </si>
  <si>
    <t>役員通勤手当</t>
    <rPh sb="0" eb="6">
      <t>ヤクインツウキンテアテ</t>
    </rPh>
    <phoneticPr fontId="2"/>
  </si>
  <si>
    <t>職員本棒</t>
    <rPh sb="0" eb="4">
      <t>ショクインホンボウ</t>
    </rPh>
    <phoneticPr fontId="2"/>
  </si>
  <si>
    <t>諸手当</t>
    <rPh sb="0" eb="3">
      <t>ショテアテ</t>
    </rPh>
    <phoneticPr fontId="2"/>
  </si>
  <si>
    <t>通勤手当</t>
    <rPh sb="0" eb="4">
      <t>ツウキンテアテ</t>
    </rPh>
    <phoneticPr fontId="2"/>
  </si>
  <si>
    <t>臨時者賃金</t>
    <rPh sb="0" eb="3">
      <t>リンジシャ</t>
    </rPh>
    <rPh sb="3" eb="5">
      <t>チンギン</t>
    </rPh>
    <phoneticPr fontId="2"/>
  </si>
  <si>
    <t>臨時者通勤手当</t>
    <rPh sb="0" eb="3">
      <t>リンジシャ</t>
    </rPh>
    <rPh sb="3" eb="7">
      <t>ツウキンテアテ</t>
    </rPh>
    <phoneticPr fontId="2"/>
  </si>
  <si>
    <t>教育訓練費</t>
    <rPh sb="0" eb="5">
      <t>キョウイククンレンヒ</t>
    </rPh>
    <phoneticPr fontId="2"/>
  </si>
  <si>
    <t>健保給付金</t>
    <rPh sb="0" eb="2">
      <t>ケンポ</t>
    </rPh>
    <rPh sb="2" eb="5">
      <t>キュウフキン</t>
    </rPh>
    <phoneticPr fontId="2"/>
  </si>
  <si>
    <t>きずな配当金</t>
    <rPh sb="3" eb="6">
      <t>ハイトウキン</t>
    </rPh>
    <phoneticPr fontId="2"/>
  </si>
  <si>
    <t>【控除額】</t>
    <rPh sb="1" eb="4">
      <t>コウジョガク</t>
    </rPh>
    <phoneticPr fontId="2"/>
  </si>
  <si>
    <t>普通貸付金</t>
    <rPh sb="0" eb="2">
      <t>フツウ</t>
    </rPh>
    <rPh sb="2" eb="5">
      <t>カシツケキン</t>
    </rPh>
    <phoneticPr fontId="2"/>
  </si>
  <si>
    <t>特別貸付金</t>
    <rPh sb="0" eb="2">
      <t>トクベツ</t>
    </rPh>
    <rPh sb="2" eb="5">
      <t>カシツケキン</t>
    </rPh>
    <phoneticPr fontId="2"/>
  </si>
  <si>
    <t>諸控除額</t>
    <rPh sb="0" eb="1">
      <t>ショ</t>
    </rPh>
    <rPh sb="1" eb="3">
      <t>コウジョ</t>
    </rPh>
    <rPh sb="3" eb="4">
      <t>ガク</t>
    </rPh>
    <phoneticPr fontId="2"/>
  </si>
  <si>
    <t>其他控除額</t>
    <rPh sb="0" eb="1">
      <t>ソ</t>
    </rPh>
    <rPh sb="1" eb="2">
      <t>ホカ</t>
    </rPh>
    <rPh sb="2" eb="5">
      <t>コウジョガク</t>
    </rPh>
    <phoneticPr fontId="2"/>
  </si>
  <si>
    <t>現物給与</t>
    <rPh sb="0" eb="2">
      <t>ゲンブツ</t>
    </rPh>
    <rPh sb="2" eb="4">
      <t>キュウヨ</t>
    </rPh>
    <phoneticPr fontId="2"/>
  </si>
  <si>
    <t>物品代</t>
    <rPh sb="0" eb="3">
      <t>ブッピンダイ</t>
    </rPh>
    <phoneticPr fontId="2"/>
  </si>
  <si>
    <t>食費</t>
    <rPh sb="0" eb="2">
      <t>ショクヒ</t>
    </rPh>
    <phoneticPr fontId="2"/>
  </si>
  <si>
    <t>生命保険料</t>
    <rPh sb="0" eb="5">
      <t>セイメイホケンリョウ</t>
    </rPh>
    <phoneticPr fontId="2"/>
  </si>
  <si>
    <t>損害保険料</t>
    <rPh sb="0" eb="5">
      <t>ソンガイホケンリョウ</t>
    </rPh>
    <phoneticPr fontId="2"/>
  </si>
  <si>
    <t>きずな月掛金</t>
    <rPh sb="3" eb="5">
      <t>ツキカ</t>
    </rPh>
    <rPh sb="5" eb="6">
      <t>キン</t>
    </rPh>
    <phoneticPr fontId="2"/>
  </si>
  <si>
    <t>きずな臨掛金</t>
    <rPh sb="3" eb="4">
      <t>リン</t>
    </rPh>
    <rPh sb="4" eb="6">
      <t>カケキン</t>
    </rPh>
    <phoneticPr fontId="2"/>
  </si>
  <si>
    <t>健康保険料</t>
    <rPh sb="0" eb="5">
      <t>ケンコウホケンリョウ</t>
    </rPh>
    <phoneticPr fontId="2"/>
  </si>
  <si>
    <t>介護保険料</t>
    <rPh sb="0" eb="5">
      <t>カイゴホケンリョウ</t>
    </rPh>
    <phoneticPr fontId="2"/>
  </si>
  <si>
    <t>年金保険料</t>
    <rPh sb="0" eb="5">
      <t>ネンキンホケンリョウ</t>
    </rPh>
    <phoneticPr fontId="2"/>
  </si>
  <si>
    <t>農林年金償還金</t>
    <rPh sb="0" eb="2">
      <t>ノウリン</t>
    </rPh>
    <rPh sb="2" eb="7">
      <t>ネンキンショウカンキン</t>
    </rPh>
    <phoneticPr fontId="2"/>
  </si>
  <si>
    <t>雇用保険料</t>
    <rPh sb="0" eb="5">
      <t>コヨウホケンリョウ</t>
    </rPh>
    <phoneticPr fontId="2"/>
  </si>
  <si>
    <t>所得税</t>
    <rPh sb="0" eb="3">
      <t>ショトクゼイ</t>
    </rPh>
    <phoneticPr fontId="2"/>
  </si>
  <si>
    <t>住民税</t>
    <rPh sb="0" eb="3">
      <t>ジュウミンゼイ</t>
    </rPh>
    <phoneticPr fontId="2"/>
  </si>
  <si>
    <t>積立貯金</t>
    <rPh sb="0" eb="2">
      <t>ツミタテ</t>
    </rPh>
    <rPh sb="2" eb="4">
      <t>チョキン</t>
    </rPh>
    <phoneticPr fontId="2"/>
  </si>
  <si>
    <t>雑受取利息</t>
    <rPh sb="0" eb="1">
      <t>ザツ</t>
    </rPh>
    <rPh sb="1" eb="3">
      <t>ウケトリ</t>
    </rPh>
    <rPh sb="3" eb="5">
      <t>リソク</t>
    </rPh>
    <phoneticPr fontId="2"/>
  </si>
  <si>
    <t>住宅料</t>
    <rPh sb="0" eb="3">
      <t>ジュウタクリョウ</t>
    </rPh>
    <phoneticPr fontId="2"/>
  </si>
  <si>
    <t>その他預り金</t>
    <rPh sb="2" eb="3">
      <t>タ</t>
    </rPh>
    <rPh sb="3" eb="4">
      <t>アズカ</t>
    </rPh>
    <rPh sb="5" eb="6">
      <t>キン</t>
    </rPh>
    <phoneticPr fontId="2"/>
  </si>
  <si>
    <t>貯金担保徴収額</t>
    <rPh sb="0" eb="2">
      <t>チョキン</t>
    </rPh>
    <rPh sb="2" eb="4">
      <t>タンポ</t>
    </rPh>
    <rPh sb="4" eb="7">
      <t>チョウシュウガク</t>
    </rPh>
    <phoneticPr fontId="2"/>
  </si>
  <si>
    <t>【差引振込支給額】</t>
    <rPh sb="1" eb="3">
      <t>サシヒキ</t>
    </rPh>
    <rPh sb="3" eb="5">
      <t>フリコミ</t>
    </rPh>
    <rPh sb="5" eb="8">
      <t>シキュウガク</t>
    </rPh>
    <phoneticPr fontId="2"/>
  </si>
  <si>
    <t>現金支給額</t>
    <rPh sb="0" eb="2">
      <t>ゲンキン</t>
    </rPh>
    <rPh sb="2" eb="5">
      <t>シキュウガク</t>
    </rPh>
    <phoneticPr fontId="2"/>
  </si>
  <si>
    <t>仮受金</t>
    <rPh sb="0" eb="3">
      <t>カリウケキン</t>
    </rPh>
    <phoneticPr fontId="2"/>
  </si>
  <si>
    <t>赤支給差額</t>
    <rPh sb="0" eb="3">
      <t>アカシキュウ</t>
    </rPh>
    <rPh sb="3" eb="5">
      <t>サガク</t>
    </rPh>
    <phoneticPr fontId="2"/>
  </si>
  <si>
    <t>【役員報酬　福利厚生費】</t>
    <rPh sb="1" eb="5">
      <t>ヤクインホウシュウ</t>
    </rPh>
    <rPh sb="6" eb="11">
      <t>フクリコウセイヒ</t>
    </rPh>
    <phoneticPr fontId="2"/>
  </si>
  <si>
    <t>厚生年金保険料</t>
    <rPh sb="0" eb="7">
      <t>コウセイネンキンホケンリョウ</t>
    </rPh>
    <phoneticPr fontId="2"/>
  </si>
  <si>
    <t>【職員　福利厚生費】</t>
    <rPh sb="1" eb="3">
      <t>ショクイン</t>
    </rPh>
    <phoneticPr fontId="2"/>
  </si>
  <si>
    <t>【臨時　福利厚生費】</t>
    <rPh sb="1" eb="3">
      <t>リンジ</t>
    </rPh>
    <phoneticPr fontId="2"/>
  </si>
  <si>
    <t>【預貯金　支給】</t>
    <rPh sb="1" eb="4">
      <t>ヨチョキン</t>
    </rPh>
    <rPh sb="5" eb="7">
      <t>シキュウ</t>
    </rPh>
    <phoneticPr fontId="2"/>
  </si>
  <si>
    <t>定期貯金</t>
    <rPh sb="0" eb="4">
      <t>テイキチョキン</t>
    </rPh>
    <phoneticPr fontId="2"/>
  </si>
  <si>
    <t>雑支払利息</t>
    <rPh sb="0" eb="3">
      <t>ザツシハライ</t>
    </rPh>
    <rPh sb="3" eb="5">
      <t>リソク</t>
    </rPh>
    <phoneticPr fontId="2"/>
  </si>
  <si>
    <t>給与徴収額</t>
    <rPh sb="0" eb="2">
      <t>キュウヨ</t>
    </rPh>
    <rPh sb="2" eb="5">
      <t>チョウシュウガク</t>
    </rPh>
    <phoneticPr fontId="2"/>
  </si>
  <si>
    <t>【預貯金　控除】</t>
    <rPh sb="1" eb="4">
      <t>ヨチョキン</t>
    </rPh>
    <rPh sb="5" eb="7">
      <t>コウジョ</t>
    </rPh>
    <phoneticPr fontId="2"/>
  </si>
  <si>
    <t>利息税　国税</t>
    <rPh sb="0" eb="3">
      <t>リソクゼイ</t>
    </rPh>
    <rPh sb="4" eb="6">
      <t>コクゼイ</t>
    </rPh>
    <phoneticPr fontId="2"/>
  </si>
  <si>
    <t>利息税　地方税</t>
    <rPh sb="0" eb="3">
      <t>リソクゼイ</t>
    </rPh>
    <rPh sb="4" eb="7">
      <t>チホウゼイ</t>
    </rPh>
    <phoneticPr fontId="2"/>
  </si>
  <si>
    <t>貯金担保貸付金</t>
    <rPh sb="0" eb="6">
      <t>チョキンタンポカシツケ</t>
    </rPh>
    <rPh sb="6" eb="7">
      <t>キン</t>
    </rPh>
    <phoneticPr fontId="2"/>
  </si>
  <si>
    <t>貯金貸付利息</t>
    <rPh sb="0" eb="2">
      <t>チョキン</t>
    </rPh>
    <rPh sb="2" eb="6">
      <t>カシツケリソク</t>
    </rPh>
    <phoneticPr fontId="2"/>
  </si>
  <si>
    <t>【預貯金　差引振込支給額】</t>
    <rPh sb="1" eb="4">
      <t>ヨチョキン</t>
    </rPh>
    <rPh sb="5" eb="7">
      <t>サシヒキ</t>
    </rPh>
    <rPh sb="7" eb="9">
      <t>フリコミ</t>
    </rPh>
    <rPh sb="9" eb="12">
      <t>シキュウガク</t>
    </rPh>
    <phoneticPr fontId="2"/>
  </si>
  <si>
    <t>文字列</t>
  </si>
  <si>
    <t>数値</t>
    <rPh sb="0" eb="2">
      <t>スウチ</t>
    </rPh>
    <phoneticPr fontId="2"/>
  </si>
  <si>
    <t>-</t>
  </si>
  <si>
    <t>【人件費情報　基本情報】</t>
    <rPh sb="1" eb="4">
      <t>ジンケンヒ</t>
    </rPh>
    <rPh sb="4" eb="6">
      <t>ジョウホウ</t>
    </rPh>
    <rPh sb="7" eb="9">
      <t>キホン</t>
    </rPh>
    <rPh sb="9" eb="11">
      <t>ジョウホウ</t>
    </rPh>
    <phoneticPr fontId="2"/>
  </si>
  <si>
    <t>対象年月</t>
    <rPh sb="0" eb="4">
      <t>タイショウネンゲツ</t>
    </rPh>
    <phoneticPr fontId="2"/>
  </si>
  <si>
    <t>【人件費情報　基本入力】</t>
    <rPh sb="1" eb="6">
      <t>ジンケンヒジョウホウ</t>
    </rPh>
    <rPh sb="7" eb="11">
      <t>キホンニュウリョク</t>
    </rPh>
    <phoneticPr fontId="2"/>
  </si>
  <si>
    <t>入力区分</t>
    <rPh sb="0" eb="4">
      <t>ニュウリョククブン</t>
    </rPh>
    <phoneticPr fontId="2"/>
  </si>
  <si>
    <t>給与区分</t>
    <rPh sb="0" eb="4">
      <t>キュウヨクブン</t>
    </rPh>
    <phoneticPr fontId="2"/>
  </si>
  <si>
    <t>給与個所名称</t>
    <rPh sb="0" eb="6">
      <t>キュウヨカショメイショウ</t>
    </rPh>
    <phoneticPr fontId="2"/>
  </si>
  <si>
    <t>科目分類</t>
    <rPh sb="0" eb="4">
      <t>カモクブンルイ</t>
    </rPh>
    <phoneticPr fontId="2"/>
  </si>
  <si>
    <t>科目区分</t>
    <rPh sb="0" eb="4">
      <t>カモククブン</t>
    </rPh>
    <phoneticPr fontId="2"/>
  </si>
  <si>
    <t>業種コード</t>
    <rPh sb="0" eb="2">
      <t>ギョウシュ</t>
    </rPh>
    <phoneticPr fontId="2"/>
  </si>
  <si>
    <t>所属コード</t>
    <rPh sb="0" eb="2">
      <t>ショゾク</t>
    </rPh>
    <phoneticPr fontId="2"/>
  </si>
  <si>
    <t>所属名称</t>
    <rPh sb="0" eb="4">
      <t>ショゾクメイショウ</t>
    </rPh>
    <phoneticPr fontId="2"/>
  </si>
  <si>
    <t>【給与支給】</t>
    <rPh sb="1" eb="5">
      <t>キュウヨシキュウ</t>
    </rPh>
    <phoneticPr fontId="2"/>
  </si>
  <si>
    <t>職員本棒</t>
    <rPh sb="0" eb="2">
      <t>ショクイン</t>
    </rPh>
    <rPh sb="2" eb="3">
      <t>ホン</t>
    </rPh>
    <rPh sb="3" eb="4">
      <t>ボウ</t>
    </rPh>
    <phoneticPr fontId="2"/>
  </si>
  <si>
    <t>健保給付金</t>
    <rPh sb="0" eb="5">
      <t>ケンポキュウフキン</t>
    </rPh>
    <phoneticPr fontId="2"/>
  </si>
  <si>
    <t>【給与控除】</t>
    <rPh sb="1" eb="5">
      <t>キュウヨコウジョ</t>
    </rPh>
    <phoneticPr fontId="2"/>
  </si>
  <si>
    <t>普通貸付金</t>
    <rPh sb="0" eb="5">
      <t>フツウカシツケキン</t>
    </rPh>
    <phoneticPr fontId="2"/>
  </si>
  <si>
    <t>特別貸付金</t>
    <rPh sb="0" eb="5">
      <t>トクベツカシツケキン</t>
    </rPh>
    <phoneticPr fontId="2"/>
  </si>
  <si>
    <t>諸控除額</t>
    <rPh sb="0" eb="4">
      <t>ショコウジョガク</t>
    </rPh>
    <phoneticPr fontId="2"/>
  </si>
  <si>
    <t>現物支給</t>
    <rPh sb="0" eb="4">
      <t>ゲンブツシキュウ</t>
    </rPh>
    <phoneticPr fontId="2"/>
  </si>
  <si>
    <t>損害保険料</t>
    <rPh sb="0" eb="4">
      <t>ソンガイホケン</t>
    </rPh>
    <rPh sb="4" eb="5">
      <t>リョウ</t>
    </rPh>
    <phoneticPr fontId="2"/>
  </si>
  <si>
    <t>農林償還金</t>
    <rPh sb="0" eb="2">
      <t>ノウリン</t>
    </rPh>
    <rPh sb="2" eb="5">
      <t>ショウカンキン</t>
    </rPh>
    <phoneticPr fontId="2"/>
  </si>
  <si>
    <t>雑受取利息</t>
    <rPh sb="0" eb="3">
      <t>ザツウケトリ</t>
    </rPh>
    <rPh sb="3" eb="5">
      <t>リソク</t>
    </rPh>
    <phoneticPr fontId="2"/>
  </si>
  <si>
    <t>現金</t>
    <rPh sb="0" eb="2">
      <t>ゲンキン</t>
    </rPh>
    <phoneticPr fontId="2"/>
  </si>
  <si>
    <t>借受金</t>
    <rPh sb="0" eb="3">
      <t>カリウケキン</t>
    </rPh>
    <phoneticPr fontId="2"/>
  </si>
  <si>
    <t>赤支給差額</t>
    <rPh sb="0" eb="5">
      <t>アカシキュウサガク</t>
    </rPh>
    <phoneticPr fontId="2"/>
  </si>
  <si>
    <t>【会負担健保】</t>
    <rPh sb="1" eb="4">
      <t>カイフタン</t>
    </rPh>
    <rPh sb="4" eb="6">
      <t>ケンポ</t>
    </rPh>
    <phoneticPr fontId="2"/>
  </si>
  <si>
    <t>役員　健康保険料</t>
    <rPh sb="0" eb="2">
      <t>ヤクイン</t>
    </rPh>
    <rPh sb="3" eb="8">
      <t>ケンコウホケンリョウ</t>
    </rPh>
    <phoneticPr fontId="2"/>
  </si>
  <si>
    <t>役員　介護保険料</t>
    <rPh sb="0" eb="2">
      <t>ヤクイン</t>
    </rPh>
    <rPh sb="3" eb="8">
      <t>カイゴホケンリョウ</t>
    </rPh>
    <phoneticPr fontId="2"/>
  </si>
  <si>
    <t>職員　健康保険料</t>
    <rPh sb="0" eb="2">
      <t>ショクイン</t>
    </rPh>
    <rPh sb="3" eb="8">
      <t>ケンコウホケンリョウ</t>
    </rPh>
    <phoneticPr fontId="2"/>
  </si>
  <si>
    <t>職員　介護保険料</t>
    <rPh sb="0" eb="2">
      <t>ショクイン</t>
    </rPh>
    <rPh sb="3" eb="8">
      <t>カイゴホケンリョウ</t>
    </rPh>
    <phoneticPr fontId="2"/>
  </si>
  <si>
    <t>臨時　健康保険料</t>
    <rPh sb="0" eb="2">
      <t>リンジ</t>
    </rPh>
    <rPh sb="3" eb="8">
      <t>ケンコウホケンリョウ</t>
    </rPh>
    <phoneticPr fontId="2"/>
  </si>
  <si>
    <t>臨時　介護保険料</t>
    <rPh sb="0" eb="2">
      <t>リンジ</t>
    </rPh>
    <rPh sb="3" eb="8">
      <t>カイゴホケンリョウ</t>
    </rPh>
    <phoneticPr fontId="2"/>
  </si>
  <si>
    <t>【会負担年金】</t>
    <rPh sb="1" eb="4">
      <t>カイフタン</t>
    </rPh>
    <rPh sb="4" eb="6">
      <t>ネンキン</t>
    </rPh>
    <phoneticPr fontId="2"/>
  </si>
  <si>
    <t>役員　厚生年金保険料</t>
    <rPh sb="0" eb="2">
      <t>ヤクイン</t>
    </rPh>
    <rPh sb="3" eb="10">
      <t>コウセイネンキンホケンリョウ</t>
    </rPh>
    <phoneticPr fontId="2"/>
  </si>
  <si>
    <t>職員　厚生年金保険料</t>
    <rPh sb="0" eb="2">
      <t>ショクイン</t>
    </rPh>
    <rPh sb="3" eb="10">
      <t>コウセイネンキンホケンリョウ</t>
    </rPh>
    <phoneticPr fontId="2"/>
  </si>
  <si>
    <t>臨時　厚生年金保険料</t>
    <rPh sb="0" eb="2">
      <t>リンジ</t>
    </rPh>
    <rPh sb="3" eb="10">
      <t>コウセイネンキンホケンリョウ</t>
    </rPh>
    <phoneticPr fontId="2"/>
  </si>
  <si>
    <t>【預貯金】</t>
    <rPh sb="1" eb="4">
      <t>ヨチョキン</t>
    </rPh>
    <phoneticPr fontId="2"/>
  </si>
  <si>
    <t>支給額　定期貯金</t>
    <rPh sb="0" eb="3">
      <t>シキュウガク</t>
    </rPh>
    <rPh sb="4" eb="6">
      <t>テイキ</t>
    </rPh>
    <rPh sb="6" eb="8">
      <t>チョキン</t>
    </rPh>
    <phoneticPr fontId="2"/>
  </si>
  <si>
    <t>雑支払利息</t>
    <rPh sb="0" eb="1">
      <t>ザツ</t>
    </rPh>
    <rPh sb="1" eb="3">
      <t>シハライ</t>
    </rPh>
    <rPh sb="3" eb="5">
      <t>リソク</t>
    </rPh>
    <phoneticPr fontId="2"/>
  </si>
  <si>
    <t>控除額　定期貯金</t>
    <rPh sb="0" eb="3">
      <t>コウジョガク</t>
    </rPh>
    <rPh sb="4" eb="8">
      <t>テイキチョキン</t>
    </rPh>
    <phoneticPr fontId="2"/>
  </si>
  <si>
    <t>貯金貸付利息</t>
    <rPh sb="0" eb="2">
      <t>チョキン</t>
    </rPh>
    <rPh sb="2" eb="4">
      <t>カシツケ</t>
    </rPh>
    <rPh sb="4" eb="6">
      <t>リソク</t>
    </rPh>
    <phoneticPr fontId="2"/>
  </si>
  <si>
    <t>【人件費特別処理情報】</t>
    <rPh sb="1" eb="4">
      <t>ジンケンヒ</t>
    </rPh>
    <rPh sb="4" eb="6">
      <t>トクベツ</t>
    </rPh>
    <rPh sb="6" eb="10">
      <t>ショリジョウホウ</t>
    </rPh>
    <phoneticPr fontId="2"/>
  </si>
  <si>
    <t>入力者コード</t>
    <rPh sb="0" eb="3">
      <t>ニュウリョクシャ</t>
    </rPh>
    <phoneticPr fontId="2"/>
  </si>
  <si>
    <t>入力者名称</t>
    <rPh sb="0" eb="3">
      <t>ニュウリョクシャ</t>
    </rPh>
    <rPh sb="3" eb="5">
      <t>メイショウ</t>
    </rPh>
    <phoneticPr fontId="2"/>
  </si>
  <si>
    <t>入力組織コード</t>
    <rPh sb="0" eb="4">
      <t>ニュウリョクソシキ</t>
    </rPh>
    <phoneticPr fontId="2"/>
  </si>
  <si>
    <t>入力組織名称</t>
    <rPh sb="0" eb="4">
      <t>ニュウリョクソシキ</t>
    </rPh>
    <rPh sb="4" eb="6">
      <t>メイショウ</t>
    </rPh>
    <phoneticPr fontId="2"/>
  </si>
  <si>
    <t>作成日</t>
    <rPh sb="0" eb="3">
      <t>サクセイビ</t>
    </rPh>
    <phoneticPr fontId="2"/>
  </si>
  <si>
    <t>予算組織コード</t>
    <rPh sb="0" eb="2">
      <t>ヨサン</t>
    </rPh>
    <rPh sb="2" eb="4">
      <t>ソシキ</t>
    </rPh>
    <phoneticPr fontId="2"/>
  </si>
  <si>
    <t>予算組織名称</t>
    <rPh sb="0" eb="6">
      <t>ヨサンソシキメイショウ</t>
    </rPh>
    <phoneticPr fontId="2"/>
  </si>
  <si>
    <t>科目分類名称</t>
    <rPh sb="0" eb="6">
      <t>カモクブンルイメイショウ</t>
    </rPh>
    <phoneticPr fontId="2"/>
  </si>
  <si>
    <t>科目区分名称</t>
    <rPh sb="0" eb="6">
      <t>カモククブンメイショウ</t>
    </rPh>
    <phoneticPr fontId="2"/>
  </si>
  <si>
    <t>引当金計上区分コード</t>
    <rPh sb="0" eb="3">
      <t>ヒキアテキン</t>
    </rPh>
    <rPh sb="3" eb="7">
      <t>ケイジョウクブン</t>
    </rPh>
    <phoneticPr fontId="2"/>
  </si>
  <si>
    <t>引当金計上区分名称</t>
    <rPh sb="0" eb="3">
      <t>ヒキアテキン</t>
    </rPh>
    <rPh sb="3" eb="7">
      <t>ケイジョウクブン</t>
    </rPh>
    <rPh sb="7" eb="9">
      <t>メイショウ</t>
    </rPh>
    <phoneticPr fontId="2"/>
  </si>
  <si>
    <t>【引当金以外計上情報】</t>
    <rPh sb="1" eb="4">
      <t>ヒキアテキン</t>
    </rPh>
    <rPh sb="4" eb="6">
      <t>イガイ</t>
    </rPh>
    <rPh sb="6" eb="8">
      <t>ケイジョウ</t>
    </rPh>
    <rPh sb="8" eb="10">
      <t>ジョウホウ</t>
    </rPh>
    <phoneticPr fontId="2"/>
  </si>
  <si>
    <t>預り金現物給与</t>
    <rPh sb="0" eb="1">
      <t>アズカ</t>
    </rPh>
    <rPh sb="2" eb="3">
      <t>キン</t>
    </rPh>
    <rPh sb="3" eb="7">
      <t>ゲンブツキュウヨ</t>
    </rPh>
    <phoneticPr fontId="2"/>
  </si>
  <si>
    <t>退職給与金</t>
    <rPh sb="0" eb="5">
      <t>タイショクキュウヨキン</t>
    </rPh>
    <phoneticPr fontId="2"/>
  </si>
  <si>
    <t>退職給付引当金</t>
    <rPh sb="0" eb="7">
      <t>タイショクキュウフヒキアテキン</t>
    </rPh>
    <phoneticPr fontId="2"/>
  </si>
  <si>
    <t>【振込先情報】</t>
    <rPh sb="1" eb="3">
      <t>フリコミ</t>
    </rPh>
    <rPh sb="3" eb="4">
      <t>サキ</t>
    </rPh>
    <rPh sb="4" eb="6">
      <t>ジョウホウ</t>
    </rPh>
    <phoneticPr fontId="2"/>
  </si>
  <si>
    <t>振込支給額</t>
    <rPh sb="0" eb="5">
      <t>フリコミシキュウガク</t>
    </rPh>
    <phoneticPr fontId="2"/>
  </si>
  <si>
    <t>支払予定日</t>
    <rPh sb="0" eb="5">
      <t>シハライヨテイビ</t>
    </rPh>
    <phoneticPr fontId="2"/>
  </si>
  <si>
    <t>口座名義（漢字）</t>
    <rPh sb="0" eb="4">
      <t>コウザメイギ</t>
    </rPh>
    <rPh sb="5" eb="7">
      <t>カンジ</t>
    </rPh>
    <phoneticPr fontId="2"/>
  </si>
  <si>
    <t>口座名義（カナ）</t>
    <rPh sb="0" eb="4">
      <t>コウザメイギ</t>
    </rPh>
    <phoneticPr fontId="2"/>
  </si>
  <si>
    <t>振込先（銀行）コード</t>
    <rPh sb="0" eb="3">
      <t>フリコミサキ</t>
    </rPh>
    <rPh sb="4" eb="6">
      <t>ギンコウ</t>
    </rPh>
    <phoneticPr fontId="2"/>
  </si>
  <si>
    <t>振込先（本支店）コード</t>
    <rPh sb="0" eb="3">
      <t>フリコミサキ</t>
    </rPh>
    <rPh sb="4" eb="7">
      <t>ホンシテン</t>
    </rPh>
    <phoneticPr fontId="2"/>
  </si>
  <si>
    <t>振込先（銀行）名称</t>
    <rPh sb="0" eb="3">
      <t>フリコミサキ</t>
    </rPh>
    <rPh sb="4" eb="6">
      <t>ギンコウ</t>
    </rPh>
    <rPh sb="7" eb="9">
      <t>メイショウ</t>
    </rPh>
    <phoneticPr fontId="2"/>
  </si>
  <si>
    <t>振込先（本支店）名称</t>
    <rPh sb="0" eb="3">
      <t>フリコミサキ</t>
    </rPh>
    <rPh sb="4" eb="7">
      <t>ホンシテン</t>
    </rPh>
    <rPh sb="8" eb="10">
      <t>メイショウ</t>
    </rPh>
    <phoneticPr fontId="2"/>
  </si>
  <si>
    <t>預金種別</t>
    <rPh sb="0" eb="2">
      <t>ヨキン</t>
    </rPh>
    <rPh sb="2" eb="4">
      <t>シュベツ</t>
    </rPh>
    <phoneticPr fontId="2"/>
  </si>
  <si>
    <t>【引当金情報】</t>
    <rPh sb="1" eb="6">
      <t>ヒキアテキンジョウホウ</t>
    </rPh>
    <phoneticPr fontId="2"/>
  </si>
  <si>
    <t>賞与引当金戻入</t>
    <rPh sb="0" eb="2">
      <t>ショウヨ</t>
    </rPh>
    <rPh sb="2" eb="5">
      <t>ヒキアテキン</t>
    </rPh>
    <rPh sb="5" eb="7">
      <t>モドシイレ</t>
    </rPh>
    <phoneticPr fontId="2"/>
  </si>
  <si>
    <t>賞与引当金繰入</t>
    <rPh sb="0" eb="5">
      <t>ショウヨヒキアテキン</t>
    </rPh>
    <rPh sb="5" eb="7">
      <t>クリイレ</t>
    </rPh>
    <phoneticPr fontId="2"/>
  </si>
  <si>
    <t>退職給付費用</t>
    <rPh sb="0" eb="6">
      <t>タイショクキュウフヒヨウ</t>
    </rPh>
    <phoneticPr fontId="2"/>
  </si>
  <si>
    <t>加工施設採算表（総括表）</t>
    <rPh sb="0" eb="2">
      <t>カコウ</t>
    </rPh>
    <rPh sb="2" eb="4">
      <t>シセツ</t>
    </rPh>
    <rPh sb="4" eb="6">
      <t>サイサン</t>
    </rPh>
    <rPh sb="6" eb="7">
      <t>ヒョウ</t>
    </rPh>
    <rPh sb="8" eb="10">
      <t>ソウカツ</t>
    </rPh>
    <rPh sb="10" eb="11">
      <t>ヒョウ</t>
    </rPh>
    <phoneticPr fontId="3"/>
  </si>
  <si>
    <t>【ヘッダ】</t>
  </si>
  <si>
    <t>帳票ID</t>
    <rPh sb="0" eb="2">
      <t>チョウヒョウ</t>
    </rPh>
    <phoneticPr fontId="6"/>
  </si>
  <si>
    <t>作成日</t>
    <rPh sb="0" eb="3">
      <t>サクセイビ</t>
    </rPh>
    <phoneticPr fontId="6"/>
  </si>
  <si>
    <t>作成時刻</t>
    <rPh sb="0" eb="4">
      <t>サクセイジコク</t>
    </rPh>
    <phoneticPr fontId="6"/>
  </si>
  <si>
    <t>ページ数</t>
    <rPh sb="3" eb="4">
      <t>スウ</t>
    </rPh>
    <phoneticPr fontId="6"/>
  </si>
  <si>
    <t>作成年月日</t>
    <rPh sb="0" eb="2">
      <t>サクセイ</t>
    </rPh>
    <rPh sb="2" eb="5">
      <t>ネンガッピ</t>
    </rPh>
    <phoneticPr fontId="6"/>
  </si>
  <si>
    <t>-</t>
    <phoneticPr fontId="13"/>
  </si>
  <si>
    <t>文字列</t>
    <phoneticPr fontId="13"/>
  </si>
  <si>
    <t>数値</t>
    <phoneticPr fontId="13"/>
  </si>
  <si>
    <t>加工施設採算表（内訳表）</t>
    <phoneticPr fontId="3"/>
  </si>
  <si>
    <t>事業施設補助簿試算表（総括表）</t>
    <phoneticPr fontId="3"/>
  </si>
  <si>
    <t>事業施設補助簿試算表（内訳表）</t>
    <phoneticPr fontId="3"/>
  </si>
  <si>
    <t>生産施設採算表（総括表）</t>
    <phoneticPr fontId="3"/>
  </si>
  <si>
    <t>生産施設採算表（内訳表）</t>
    <phoneticPr fontId="3"/>
  </si>
  <si>
    <t>直販施設採算表（総括表）</t>
    <phoneticPr fontId="3"/>
  </si>
  <si>
    <t>直販施設採算表（内訳表）</t>
    <phoneticPr fontId="3"/>
  </si>
  <si>
    <t>帳票タイトル</t>
    <rPh sb="0" eb="2">
      <t>チョウヒョウ</t>
    </rPh>
    <phoneticPr fontId="6"/>
  </si>
  <si>
    <t>基準年月日</t>
    <rPh sb="0" eb="5">
      <t>キジュンネンガッピ</t>
    </rPh>
    <phoneticPr fontId="6"/>
  </si>
  <si>
    <t>合計ページ数</t>
    <rPh sb="0" eb="2">
      <t>ゴウケイ</t>
    </rPh>
    <rPh sb="5" eb="6">
      <t>スウ</t>
    </rPh>
    <phoneticPr fontId="6"/>
  </si>
  <si>
    <t>業種コード</t>
    <rPh sb="0" eb="2">
      <t>ギョウシュ</t>
    </rPh>
    <phoneticPr fontId="6"/>
  </si>
  <si>
    <t>業種名称</t>
    <rPh sb="0" eb="4">
      <t>ギョウシュメイショウ</t>
    </rPh>
    <phoneticPr fontId="6"/>
  </si>
  <si>
    <t>事業所コード</t>
    <rPh sb="0" eb="3">
      <t>ジギョウショ</t>
    </rPh>
    <phoneticPr fontId="6"/>
  </si>
  <si>
    <t>事業所名称</t>
    <rPh sb="0" eb="5">
      <t>ジギョウショメイショウ</t>
    </rPh>
    <phoneticPr fontId="6"/>
  </si>
  <si>
    <t>組織コード</t>
    <rPh sb="0" eb="2">
      <t>ソシキ</t>
    </rPh>
    <phoneticPr fontId="6"/>
  </si>
  <si>
    <t>組織名称</t>
    <rPh sb="0" eb="4">
      <t>ソシキメイショウ</t>
    </rPh>
    <phoneticPr fontId="6"/>
  </si>
  <si>
    <t>出力年月日</t>
    <rPh sb="0" eb="2">
      <t>シュツリョク</t>
    </rPh>
    <rPh sb="2" eb="5">
      <t>ネンガッピ</t>
    </rPh>
    <phoneticPr fontId="6"/>
  </si>
  <si>
    <t>【明細】</t>
    <rPh sb="1" eb="3">
      <t>メイサイ</t>
    </rPh>
    <phoneticPr fontId="6"/>
  </si>
  <si>
    <t>商品名</t>
    <rPh sb="0" eb="3">
      <t>ショウヒンメイ</t>
    </rPh>
    <phoneticPr fontId="6"/>
  </si>
  <si>
    <t>単位</t>
    <rPh sb="0" eb="2">
      <t>タンイ</t>
    </rPh>
    <phoneticPr fontId="6"/>
  </si>
  <si>
    <t>収支管理品目コード</t>
    <rPh sb="0" eb="6">
      <t>シュウシカンリヒンモク</t>
    </rPh>
    <phoneticPr fontId="6"/>
  </si>
  <si>
    <t>年産</t>
    <rPh sb="0" eb="2">
      <t>ネンサン</t>
    </rPh>
    <phoneticPr fontId="6"/>
  </si>
  <si>
    <t>取扱区分</t>
    <rPh sb="0" eb="4">
      <t>トリアツカイクブン</t>
    </rPh>
    <phoneticPr fontId="6"/>
  </si>
  <si>
    <t>借方-数量（分子）</t>
    <rPh sb="0" eb="2">
      <t>カリカタ</t>
    </rPh>
    <rPh sb="3" eb="5">
      <t>スウリョウ</t>
    </rPh>
    <rPh sb="6" eb="8">
      <t>ブンシ</t>
    </rPh>
    <phoneticPr fontId="6"/>
  </si>
  <si>
    <t>借方-数量（仮数）</t>
    <rPh sb="0" eb="2">
      <t>カリカタ</t>
    </rPh>
    <rPh sb="3" eb="5">
      <t>スウリョウ</t>
    </rPh>
    <rPh sb="6" eb="8">
      <t>カリスウ</t>
    </rPh>
    <phoneticPr fontId="6"/>
  </si>
  <si>
    <t>借方-単価</t>
    <rPh sb="0" eb="2">
      <t>カリカタ</t>
    </rPh>
    <rPh sb="3" eb="5">
      <t>タンカ</t>
    </rPh>
    <phoneticPr fontId="6"/>
  </si>
  <si>
    <t>借方-金額</t>
    <rPh sb="0" eb="2">
      <t>カリカタ</t>
    </rPh>
    <rPh sb="3" eb="5">
      <t>キンガク</t>
    </rPh>
    <phoneticPr fontId="6"/>
  </si>
  <si>
    <t>貸方-数量（分子）</t>
    <rPh sb="0" eb="2">
      <t>カシカタ</t>
    </rPh>
    <rPh sb="3" eb="5">
      <t>スウリョウ</t>
    </rPh>
    <rPh sb="6" eb="8">
      <t>ブンシ</t>
    </rPh>
    <phoneticPr fontId="6"/>
  </si>
  <si>
    <t>貸方-数量（仮数）</t>
    <rPh sb="0" eb="2">
      <t>カシカタ</t>
    </rPh>
    <rPh sb="3" eb="5">
      <t>スウリョウ</t>
    </rPh>
    <rPh sb="6" eb="8">
      <t>カリスウ</t>
    </rPh>
    <phoneticPr fontId="6"/>
  </si>
  <si>
    <t>貸方-単価</t>
    <rPh sb="0" eb="2">
      <t>カシカタ</t>
    </rPh>
    <rPh sb="3" eb="5">
      <t>タンカ</t>
    </rPh>
    <phoneticPr fontId="6"/>
  </si>
  <si>
    <t>貸方-売上原価</t>
    <rPh sb="0" eb="2">
      <t>カシカタ</t>
    </rPh>
    <rPh sb="3" eb="7">
      <t>ウリアゲゲンカ</t>
    </rPh>
    <phoneticPr fontId="6"/>
  </si>
  <si>
    <t>残高-数量（分子）</t>
    <rPh sb="0" eb="2">
      <t>ザンダカ</t>
    </rPh>
    <rPh sb="3" eb="5">
      <t>スウリョウ</t>
    </rPh>
    <rPh sb="6" eb="8">
      <t>ブンシ</t>
    </rPh>
    <phoneticPr fontId="6"/>
  </si>
  <si>
    <t>残高-数量（仮数）</t>
    <rPh sb="0" eb="2">
      <t>ザンダカ</t>
    </rPh>
    <rPh sb="3" eb="5">
      <t>スウリョウ</t>
    </rPh>
    <rPh sb="6" eb="8">
      <t>カリスウ</t>
    </rPh>
    <phoneticPr fontId="6"/>
  </si>
  <si>
    <t>残高-単価</t>
    <rPh sb="0" eb="2">
      <t>ザンダカ</t>
    </rPh>
    <rPh sb="3" eb="5">
      <t>タンカ</t>
    </rPh>
    <phoneticPr fontId="6"/>
  </si>
  <si>
    <t>残高-金額</t>
    <rPh sb="0" eb="2">
      <t>ザンダカ</t>
    </rPh>
    <rPh sb="3" eb="5">
      <t>キンガク</t>
    </rPh>
    <phoneticPr fontId="6"/>
  </si>
  <si>
    <t>売上金額</t>
    <rPh sb="0" eb="2">
      <t>ウリアゲ</t>
    </rPh>
    <rPh sb="2" eb="4">
      <t>キンガク</t>
    </rPh>
    <phoneticPr fontId="6"/>
  </si>
  <si>
    <t>手数料</t>
    <rPh sb="0" eb="3">
      <t>テスウリョウ</t>
    </rPh>
    <phoneticPr fontId="6"/>
  </si>
  <si>
    <t>費用</t>
    <rPh sb="0" eb="2">
      <t>ヒヨウ</t>
    </rPh>
    <phoneticPr fontId="6"/>
  </si>
  <si>
    <t>純益</t>
    <rPh sb="0" eb="2">
      <t>ジュンエキ</t>
    </rPh>
    <phoneticPr fontId="6"/>
  </si>
  <si>
    <t>純益率</t>
    <rPh sb="0" eb="3">
      <t>ジュンエキリツ</t>
    </rPh>
    <phoneticPr fontId="6"/>
  </si>
  <si>
    <t>【収支管理品目（大）計】</t>
    <rPh sb="1" eb="7">
      <t>シュウシカンリヒンモク</t>
    </rPh>
    <rPh sb="8" eb="9">
      <t>ダイ</t>
    </rPh>
    <rPh sb="10" eb="11">
      <t>ケイ</t>
    </rPh>
    <phoneticPr fontId="6"/>
  </si>
  <si>
    <t>合計行タイトル</t>
    <rPh sb="0" eb="3">
      <t>ゴウケイギョウ</t>
    </rPh>
    <phoneticPr fontId="6"/>
  </si>
  <si>
    <t>【会計情報品目計】</t>
    <rPh sb="1" eb="8">
      <t>カイケイジョウホウヒンモクケイ</t>
    </rPh>
    <phoneticPr fontId="6"/>
  </si>
  <si>
    <t>【受払組織計】</t>
    <rPh sb="1" eb="6">
      <t>ウケバライソシキケイ</t>
    </rPh>
    <phoneticPr fontId="6"/>
  </si>
  <si>
    <t>【業種計】</t>
    <rPh sb="1" eb="4">
      <t>ギョウシュケイ</t>
    </rPh>
    <phoneticPr fontId="6"/>
  </si>
  <si>
    <t>文字列</t>
    <rPh sb="0" eb="3">
      <t>モジレツ</t>
    </rPh>
    <phoneticPr fontId="6"/>
  </si>
  <si>
    <t>プログラムID</t>
  </si>
  <si>
    <t>表示キー</t>
    <rPh sb="0" eb="2">
      <t>ヒョウジ</t>
    </rPh>
    <phoneticPr fontId="6"/>
  </si>
  <si>
    <t>業種</t>
    <rPh sb="0" eb="2">
      <t>ギョウシュ</t>
    </rPh>
    <phoneticPr fontId="6"/>
  </si>
  <si>
    <t>収支管理品目</t>
    <rPh sb="0" eb="6">
      <t>シュウシカンリヒンモク</t>
    </rPh>
    <phoneticPr fontId="6"/>
  </si>
  <si>
    <t>売上原価－数量（分子）</t>
    <rPh sb="0" eb="4">
      <t>ウリアゲゲンカ</t>
    </rPh>
    <rPh sb="5" eb="7">
      <t>スウリョウ</t>
    </rPh>
    <rPh sb="8" eb="10">
      <t>ブンシ</t>
    </rPh>
    <phoneticPr fontId="6"/>
  </si>
  <si>
    <t>売上原価－数量（仮数）</t>
    <rPh sb="0" eb="4">
      <t>ウリアゲゲンカ</t>
    </rPh>
    <rPh sb="5" eb="7">
      <t>スウリョウ</t>
    </rPh>
    <rPh sb="8" eb="10">
      <t>カリスウ</t>
    </rPh>
    <phoneticPr fontId="6"/>
  </si>
  <si>
    <t>売上原価－単価</t>
    <rPh sb="0" eb="4">
      <t>ウリアゲゲンカ</t>
    </rPh>
    <rPh sb="5" eb="7">
      <t>タンカ</t>
    </rPh>
    <phoneticPr fontId="6"/>
  </si>
  <si>
    <t>売上原価－金額</t>
    <rPh sb="0" eb="4">
      <t>ウリアゲゲンカ</t>
    </rPh>
    <rPh sb="5" eb="7">
      <t>キンガク</t>
    </rPh>
    <phoneticPr fontId="6"/>
  </si>
  <si>
    <t>売上高－数量（分子）</t>
    <rPh sb="0" eb="3">
      <t>ウリアゲダカ</t>
    </rPh>
    <rPh sb="4" eb="6">
      <t>スウリョウ</t>
    </rPh>
    <rPh sb="7" eb="9">
      <t>ブンシ</t>
    </rPh>
    <phoneticPr fontId="6"/>
  </si>
  <si>
    <t>売上高－数量（仮数）</t>
    <rPh sb="0" eb="3">
      <t>ウリアゲダカ</t>
    </rPh>
    <rPh sb="4" eb="6">
      <t>スウリョウ</t>
    </rPh>
    <rPh sb="7" eb="9">
      <t>カリスウ</t>
    </rPh>
    <phoneticPr fontId="6"/>
  </si>
  <si>
    <t>売上高－単価</t>
    <rPh sb="0" eb="3">
      <t>ウリアゲダカ</t>
    </rPh>
    <rPh sb="4" eb="6">
      <t>タンカ</t>
    </rPh>
    <phoneticPr fontId="6"/>
  </si>
  <si>
    <t>売上高－金額</t>
    <rPh sb="0" eb="3">
      <t>ウリアゲダカ</t>
    </rPh>
    <rPh sb="4" eb="6">
      <t>キンガク</t>
    </rPh>
    <phoneticPr fontId="6"/>
  </si>
  <si>
    <t>差引利益－金額</t>
    <rPh sb="0" eb="1">
      <t>サ</t>
    </rPh>
    <rPh sb="1" eb="2">
      <t>ヒ</t>
    </rPh>
    <rPh sb="2" eb="4">
      <t>リエキ</t>
    </rPh>
    <rPh sb="5" eb="7">
      <t>キンガク</t>
    </rPh>
    <phoneticPr fontId="6"/>
  </si>
  <si>
    <t>製品販売費用</t>
    <rPh sb="0" eb="2">
      <t>セイヒン</t>
    </rPh>
    <rPh sb="2" eb="4">
      <t>ハンバイ</t>
    </rPh>
    <rPh sb="4" eb="6">
      <t>ヒヨウ</t>
    </rPh>
    <phoneticPr fontId="6"/>
  </si>
  <si>
    <t>【会計情報品目計】</t>
    <rPh sb="1" eb="3">
      <t>カイケイ</t>
    </rPh>
    <rPh sb="3" eb="5">
      <t>ジョウホウ</t>
    </rPh>
    <rPh sb="5" eb="8">
      <t>ヒンモクケイ</t>
    </rPh>
    <phoneticPr fontId="6"/>
  </si>
  <si>
    <t>会計情報品目</t>
    <rPh sb="0" eb="2">
      <t>カイケイ</t>
    </rPh>
    <rPh sb="2" eb="4">
      <t>ジョウホウ</t>
    </rPh>
    <rPh sb="4" eb="6">
      <t>ヒンモク</t>
    </rPh>
    <phoneticPr fontId="6"/>
  </si>
  <si>
    <t>【受払組織目計】</t>
    <rPh sb="1" eb="3">
      <t>ウケバライ</t>
    </rPh>
    <rPh sb="3" eb="5">
      <t>ソシキ</t>
    </rPh>
    <rPh sb="5" eb="6">
      <t>モク</t>
    </rPh>
    <rPh sb="6" eb="7">
      <t>ケイ</t>
    </rPh>
    <phoneticPr fontId="6"/>
  </si>
  <si>
    <t>全道共計手数料配分計算書</t>
    <rPh sb="0" eb="1">
      <t>ゼン</t>
    </rPh>
    <rPh sb="1" eb="2">
      <t>ドウ</t>
    </rPh>
    <rPh sb="2" eb="4">
      <t>キョウケイ</t>
    </rPh>
    <rPh sb="4" eb="7">
      <t>テスウリョウ</t>
    </rPh>
    <rPh sb="7" eb="9">
      <t>ハイブン</t>
    </rPh>
    <rPh sb="9" eb="12">
      <t>ケイサンショ</t>
    </rPh>
    <phoneticPr fontId="3"/>
  </si>
  <si>
    <t>対象年月</t>
    <rPh sb="0" eb="4">
      <t>タイショウネンゲツ</t>
    </rPh>
    <phoneticPr fontId="4"/>
  </si>
  <si>
    <t>業種</t>
    <rPh sb="0" eb="2">
      <t>ギョウシュ</t>
    </rPh>
    <phoneticPr fontId="3"/>
  </si>
  <si>
    <t>業種名</t>
    <rPh sb="0" eb="3">
      <t>ギョウシュメイ</t>
    </rPh>
    <phoneticPr fontId="3"/>
  </si>
  <si>
    <t>取扱区分</t>
    <rPh sb="0" eb="4">
      <t>トリアツカイクブン</t>
    </rPh>
    <phoneticPr fontId="3"/>
  </si>
  <si>
    <t>取扱箇所</t>
    <rPh sb="0" eb="4">
      <t>トリアツカイカショ</t>
    </rPh>
    <phoneticPr fontId="3"/>
  </si>
  <si>
    <t>取扱箇所名</t>
    <rPh sb="0" eb="5">
      <t>トリアツカイカショメイ</t>
    </rPh>
    <phoneticPr fontId="3"/>
  </si>
  <si>
    <t>収支管理品目（大）</t>
    <rPh sb="0" eb="6">
      <t>シュウシカンリヒンモク</t>
    </rPh>
    <rPh sb="7" eb="8">
      <t>ダイ</t>
    </rPh>
    <phoneticPr fontId="3"/>
  </si>
  <si>
    <t>事業所名</t>
    <rPh sb="0" eb="4">
      <t>ジギョウショメイ</t>
    </rPh>
    <phoneticPr fontId="3"/>
  </si>
  <si>
    <t>総売上（月計）</t>
    <rPh sb="0" eb="2">
      <t>ソウウ</t>
    </rPh>
    <rPh sb="2" eb="3">
      <t>ア</t>
    </rPh>
    <rPh sb="4" eb="6">
      <t>ゲッケイ</t>
    </rPh>
    <phoneticPr fontId="3"/>
  </si>
  <si>
    <t>総手数料（月計）</t>
    <rPh sb="0" eb="1">
      <t>ソウ</t>
    </rPh>
    <rPh sb="1" eb="4">
      <t>テスウリョウ</t>
    </rPh>
    <phoneticPr fontId="3"/>
  </si>
  <si>
    <t>総手数料利率（月計）</t>
    <rPh sb="0" eb="1">
      <t>ソウ</t>
    </rPh>
    <rPh sb="1" eb="4">
      <t>テスウリョウ</t>
    </rPh>
    <rPh sb="4" eb="6">
      <t>リリツ</t>
    </rPh>
    <phoneticPr fontId="3"/>
  </si>
  <si>
    <t>供給費（月計）</t>
    <rPh sb="0" eb="3">
      <t>キョウキュウヒ</t>
    </rPh>
    <phoneticPr fontId="3"/>
  </si>
  <si>
    <t>純益（月計）</t>
    <rPh sb="0" eb="2">
      <t>ジュンエキ</t>
    </rPh>
    <phoneticPr fontId="3"/>
  </si>
  <si>
    <t>純益率（月計）</t>
    <rPh sb="0" eb="3">
      <t>ジュンエキリツ</t>
    </rPh>
    <phoneticPr fontId="3"/>
  </si>
  <si>
    <t>直送品売上（月計）</t>
    <rPh sb="0" eb="5">
      <t>チョクソウヒンウリアゲ</t>
    </rPh>
    <phoneticPr fontId="3"/>
  </si>
  <si>
    <t>直送品手数料（月計）</t>
    <rPh sb="0" eb="6">
      <t>チョクソウヒンテスウリョウ</t>
    </rPh>
    <phoneticPr fontId="3"/>
  </si>
  <si>
    <t>直送品手数料率（月計）</t>
    <rPh sb="0" eb="7">
      <t>チョクソウヒンテスウリョウリツ</t>
    </rPh>
    <phoneticPr fontId="3"/>
  </si>
  <si>
    <t>在庫品売上（月計）</t>
    <rPh sb="0" eb="3">
      <t>ザイコヒン</t>
    </rPh>
    <rPh sb="3" eb="5">
      <t>ウリアゲ</t>
    </rPh>
    <phoneticPr fontId="3"/>
  </si>
  <si>
    <t>在庫品手数料（月計）</t>
    <rPh sb="0" eb="3">
      <t>ザイコヒン</t>
    </rPh>
    <rPh sb="3" eb="6">
      <t>テスウリョウ</t>
    </rPh>
    <phoneticPr fontId="3"/>
  </si>
  <si>
    <t>在庫品手数料率（月計）</t>
    <rPh sb="0" eb="3">
      <t>ザイコヒン</t>
    </rPh>
    <rPh sb="3" eb="6">
      <t>テスウリョウ</t>
    </rPh>
    <rPh sb="6" eb="7">
      <t>リツ</t>
    </rPh>
    <phoneticPr fontId="3"/>
  </si>
  <si>
    <t>総売上（累計）</t>
    <rPh sb="0" eb="2">
      <t>ソウウ</t>
    </rPh>
    <rPh sb="2" eb="3">
      <t>ア</t>
    </rPh>
    <rPh sb="4" eb="6">
      <t>ルイケイ</t>
    </rPh>
    <phoneticPr fontId="3"/>
  </si>
  <si>
    <t>総手数料（累計）</t>
    <rPh sb="0" eb="1">
      <t>ソウ</t>
    </rPh>
    <rPh sb="1" eb="4">
      <t>テスウリョウ</t>
    </rPh>
    <phoneticPr fontId="3"/>
  </si>
  <si>
    <t>総手数料利率（累計）</t>
    <rPh sb="0" eb="1">
      <t>ソウ</t>
    </rPh>
    <rPh sb="1" eb="4">
      <t>テスウリョウ</t>
    </rPh>
    <rPh sb="4" eb="6">
      <t>リリツ</t>
    </rPh>
    <phoneticPr fontId="3"/>
  </si>
  <si>
    <t>供給費（累計）</t>
    <rPh sb="0" eb="3">
      <t>キョウキュウヒ</t>
    </rPh>
    <phoneticPr fontId="3"/>
  </si>
  <si>
    <t>純益（累計）</t>
    <rPh sb="0" eb="2">
      <t>ジュンエキ</t>
    </rPh>
    <phoneticPr fontId="3"/>
  </si>
  <si>
    <t>純益率（累計）</t>
    <rPh sb="0" eb="3">
      <t>ジュンエキリツ</t>
    </rPh>
    <phoneticPr fontId="3"/>
  </si>
  <si>
    <t>直送品売上（累計）</t>
    <rPh sb="0" eb="5">
      <t>チョクソウヒンウリアゲ</t>
    </rPh>
    <phoneticPr fontId="3"/>
  </si>
  <si>
    <t>直送品手数料（累計）</t>
    <rPh sb="0" eb="6">
      <t>チョクソウヒンテスウリョウ</t>
    </rPh>
    <phoneticPr fontId="3"/>
  </si>
  <si>
    <t>直送品手数料率（累計）</t>
    <rPh sb="0" eb="7">
      <t>チョクソウヒンテスウリョウリツ</t>
    </rPh>
    <phoneticPr fontId="3"/>
  </si>
  <si>
    <t>在庫品売上（累計）</t>
    <rPh sb="0" eb="3">
      <t>ザイコヒン</t>
    </rPh>
    <rPh sb="3" eb="5">
      <t>ウリアゲ</t>
    </rPh>
    <phoneticPr fontId="3"/>
  </si>
  <si>
    <t>在庫品手数料（累計）</t>
    <rPh sb="0" eb="3">
      <t>ザイコヒン</t>
    </rPh>
    <rPh sb="3" eb="6">
      <t>テスウリョウ</t>
    </rPh>
    <phoneticPr fontId="3"/>
  </si>
  <si>
    <t>在庫品手数料率（累計）</t>
    <rPh sb="0" eb="3">
      <t>ザイコヒン</t>
    </rPh>
    <rPh sb="3" eb="6">
      <t>テスウリョウ</t>
    </rPh>
    <rPh sb="6" eb="7">
      <t>リツ</t>
    </rPh>
    <phoneticPr fontId="3"/>
  </si>
  <si>
    <t>年産</t>
    <rPh sb="0" eb="2">
      <t>ネンサン</t>
    </rPh>
    <phoneticPr fontId="3"/>
  </si>
  <si>
    <t>収支管理品目名（大）</t>
    <rPh sb="0" eb="7">
      <t>シュウシカンリヒンモクメイ</t>
    </rPh>
    <rPh sb="8" eb="9">
      <t>ダイ</t>
    </rPh>
    <phoneticPr fontId="3"/>
  </si>
  <si>
    <t>事業所</t>
    <rPh sb="0" eb="3">
      <t>ジギョウショ</t>
    </rPh>
    <phoneticPr fontId="3"/>
  </si>
  <si>
    <t>会計情報品目</t>
    <rPh sb="0" eb="6">
      <t>カイケイジョウホウヒンモク</t>
    </rPh>
    <phoneticPr fontId="3"/>
  </si>
  <si>
    <t>収支管理品目</t>
    <rPh sb="0" eb="6">
      <t>シュウシカンリヒンモク</t>
    </rPh>
    <phoneticPr fontId="3"/>
  </si>
  <si>
    <t>配分箇所名</t>
    <rPh sb="0" eb="5">
      <t>ハイブンカショメイ</t>
    </rPh>
    <phoneticPr fontId="3"/>
  </si>
  <si>
    <t>手数料（千円）（月計）</t>
    <rPh sb="0" eb="3">
      <t>テスウリョウ</t>
    </rPh>
    <rPh sb="8" eb="10">
      <t>ゲッケイ</t>
    </rPh>
    <phoneticPr fontId="3"/>
  </si>
  <si>
    <t>取扱高（千円）（累計）</t>
    <rPh sb="0" eb="3">
      <t>トリアツカイダカ</t>
    </rPh>
    <rPh sb="4" eb="6">
      <t>センエン</t>
    </rPh>
    <rPh sb="8" eb="10">
      <t>ルイケイ</t>
    </rPh>
    <phoneticPr fontId="3"/>
  </si>
  <si>
    <t>手数料（千円）（累計）</t>
    <rPh sb="0" eb="3">
      <t>テスウリョウ</t>
    </rPh>
    <rPh sb="8" eb="10">
      <t>ルイケイ</t>
    </rPh>
    <phoneticPr fontId="3"/>
  </si>
  <si>
    <t>会計情報品目名</t>
    <rPh sb="0" eb="2">
      <t>カイケイ</t>
    </rPh>
    <rPh sb="2" eb="4">
      <t>ジョウホウ</t>
    </rPh>
    <rPh sb="4" eb="6">
      <t>ヒンモク</t>
    </rPh>
    <rPh sb="6" eb="7">
      <t>メイ</t>
    </rPh>
    <phoneticPr fontId="3"/>
  </si>
  <si>
    <t>収支管理品目名</t>
    <rPh sb="0" eb="7">
      <t>シュウシカンリヒンモクメイ</t>
    </rPh>
    <phoneticPr fontId="3"/>
  </si>
  <si>
    <t>共計次数</t>
    <rPh sb="0" eb="4">
      <t>キョウケイジスウ</t>
    </rPh>
    <phoneticPr fontId="3"/>
  </si>
  <si>
    <t>配分箇所</t>
    <rPh sb="0" eb="4">
      <t>ハイブンカショ</t>
    </rPh>
    <phoneticPr fontId="3"/>
  </si>
  <si>
    <t>取扱高（千円）（月計）</t>
    <phoneticPr fontId="3"/>
  </si>
  <si>
    <t>施設実績情報</t>
    <rPh sb="0" eb="2">
      <t>シセツ</t>
    </rPh>
    <rPh sb="2" eb="4">
      <t>ジッセキ</t>
    </rPh>
    <rPh sb="4" eb="6">
      <t>ジョウホウ</t>
    </rPh>
    <phoneticPr fontId="3"/>
  </si>
  <si>
    <t>業種名称</t>
    <rPh sb="0" eb="2">
      <t>ギョウシュ</t>
    </rPh>
    <rPh sb="2" eb="4">
      <t>メイショウ</t>
    </rPh>
    <phoneticPr fontId="3"/>
  </si>
  <si>
    <t>予算組織</t>
    <rPh sb="0" eb="4">
      <t>ヨサンソシキ</t>
    </rPh>
    <phoneticPr fontId="3"/>
  </si>
  <si>
    <t>予算組織名称</t>
    <rPh sb="0" eb="4">
      <t>ヨサンソシキ</t>
    </rPh>
    <rPh sb="4" eb="6">
      <t>メイショウ</t>
    </rPh>
    <phoneticPr fontId="3"/>
  </si>
  <si>
    <t>入金方法</t>
    <rPh sb="0" eb="4">
      <t>ニュウキンホウホウ</t>
    </rPh>
    <phoneticPr fontId="3"/>
  </si>
  <si>
    <t>入金方法名称</t>
    <rPh sb="0" eb="4">
      <t>ニュウキンホウホウ</t>
    </rPh>
    <rPh sb="4" eb="6">
      <t>メイショウ</t>
    </rPh>
    <phoneticPr fontId="3"/>
  </si>
  <si>
    <t>勘定科目</t>
    <rPh sb="0" eb="4">
      <t>カンジョウカモク</t>
    </rPh>
    <phoneticPr fontId="3"/>
  </si>
  <si>
    <t>勘定科目名称</t>
    <rPh sb="0" eb="6">
      <t>カンジョウカモクメイショウ</t>
    </rPh>
    <phoneticPr fontId="3"/>
  </si>
  <si>
    <t>科目摘要</t>
    <rPh sb="0" eb="4">
      <t>カモクテキヨウ</t>
    </rPh>
    <phoneticPr fontId="3"/>
  </si>
  <si>
    <t>科目摘要名称</t>
    <rPh sb="0" eb="2">
      <t>カモク</t>
    </rPh>
    <rPh sb="2" eb="4">
      <t>テキヨウ</t>
    </rPh>
    <rPh sb="4" eb="6">
      <t>メイショウ</t>
    </rPh>
    <phoneticPr fontId="3"/>
  </si>
  <si>
    <t>相手先明細　入金予定日</t>
    <rPh sb="0" eb="5">
      <t>アイテサキメイサイ</t>
    </rPh>
    <rPh sb="6" eb="11">
      <t>ニュウキンヨテイビ</t>
    </rPh>
    <phoneticPr fontId="3"/>
  </si>
  <si>
    <t>科目摘要細目</t>
    <rPh sb="0" eb="6">
      <t>カモクテキヨウサイモク</t>
    </rPh>
    <phoneticPr fontId="3"/>
  </si>
  <si>
    <t>科目摘要補足</t>
    <rPh sb="0" eb="4">
      <t>カモクテキヨウ</t>
    </rPh>
    <rPh sb="4" eb="6">
      <t>ホソク</t>
    </rPh>
    <phoneticPr fontId="3"/>
  </si>
  <si>
    <t>合計金額</t>
    <rPh sb="0" eb="4">
      <t>ゴウケイキンガク</t>
    </rPh>
    <phoneticPr fontId="3"/>
  </si>
  <si>
    <t>相手先明細　相手先名称</t>
    <rPh sb="0" eb="5">
      <t>アイテサキメイサイ</t>
    </rPh>
    <rPh sb="6" eb="8">
      <t>アイテ</t>
    </rPh>
    <rPh sb="8" eb="9">
      <t>サキ</t>
    </rPh>
    <rPh sb="9" eb="11">
      <t>メイショウ</t>
    </rPh>
    <phoneticPr fontId="3"/>
  </si>
  <si>
    <t>相手先明細　本体金額</t>
    <rPh sb="0" eb="5">
      <t>アイテサキメイサイ</t>
    </rPh>
    <rPh sb="6" eb="10">
      <t>ホンタイキンガク</t>
    </rPh>
    <phoneticPr fontId="3"/>
  </si>
  <si>
    <t>相手先明細　消費税金額</t>
    <rPh sb="0" eb="5">
      <t>アイテサキメイサイ</t>
    </rPh>
    <rPh sb="6" eb="11">
      <t>ショウヒゼイキンガク</t>
    </rPh>
    <phoneticPr fontId="3"/>
  </si>
  <si>
    <t>相手先明細　消費税取引区分</t>
    <rPh sb="0" eb="5">
      <t>アイテサキメイサイ</t>
    </rPh>
    <rPh sb="6" eb="13">
      <t>ショウヒゼイトリヒキクブン</t>
    </rPh>
    <phoneticPr fontId="3"/>
  </si>
  <si>
    <t>相手先明細　消費税取引区分名称</t>
    <rPh sb="0" eb="5">
      <t>アイテサキメイサイ</t>
    </rPh>
    <rPh sb="6" eb="13">
      <t>ショウヒゼイトリヒキクブン</t>
    </rPh>
    <rPh sb="13" eb="15">
      <t>メイショウ</t>
    </rPh>
    <phoneticPr fontId="3"/>
  </si>
  <si>
    <t>相手先明細　合計金額</t>
    <rPh sb="0" eb="5">
      <t>アイテサキメイサイ</t>
    </rPh>
    <rPh sb="6" eb="10">
      <t>ゴウケイキンガク</t>
    </rPh>
    <phoneticPr fontId="3"/>
  </si>
  <si>
    <t>伝票番号</t>
    <phoneticPr fontId="4"/>
  </si>
  <si>
    <t>差戻日時</t>
    <rPh sb="0" eb="2">
      <t>サシモドシ</t>
    </rPh>
    <rPh sb="2" eb="4">
      <t>ニチジ</t>
    </rPh>
    <phoneticPr fontId="4"/>
  </si>
  <si>
    <t>統合会計システム</t>
    <phoneticPr fontId="3"/>
  </si>
  <si>
    <t>2025/8/29</t>
    <phoneticPr fontId="3"/>
  </si>
  <si>
    <t>業種を識別するコード</t>
    <rPh sb="0" eb="2">
      <t>ギョウシュ</t>
    </rPh>
    <rPh sb="3" eb="5">
      <t>シキベツ</t>
    </rPh>
    <phoneticPr fontId="3"/>
  </si>
  <si>
    <t>業種の名称</t>
    <rPh sb="0" eb="1">
      <t>ギョウシュ</t>
    </rPh>
    <rPh sb="2" eb="4">
      <t>メイショウ</t>
    </rPh>
    <phoneticPr fontId="3"/>
  </si>
  <si>
    <t>予算組織を識別するコード</t>
    <rPh sb="0" eb="1">
      <t>ヨサン</t>
    </rPh>
    <rPh sb="1" eb="3">
      <t>ソシキ</t>
    </rPh>
    <rPh sb="4" eb="6">
      <t>シキベツ</t>
    </rPh>
    <phoneticPr fontId="3"/>
  </si>
  <si>
    <t>予算組織の名称</t>
    <rPh sb="0" eb="3">
      <t>ヨサンソシキ</t>
    </rPh>
    <rPh sb="3" eb="5">
      <t>メイショウ</t>
    </rPh>
    <phoneticPr fontId="3"/>
  </si>
  <si>
    <t>入金方法を識別するコード
「１：現金」「２：振込」「７：振替」「９：立替」</t>
    <rPh sb="0" eb="4">
      <t>ニュウキンホウホウ</t>
    </rPh>
    <phoneticPr fontId="3"/>
  </si>
  <si>
    <t>入金方法の名称</t>
    <rPh sb="0" eb="2">
      <t>ニュウキン</t>
    </rPh>
    <rPh sb="2" eb="4">
      <t>ホウホウ</t>
    </rPh>
    <rPh sb="5" eb="7">
      <t>メイショウ</t>
    </rPh>
    <phoneticPr fontId="3"/>
  </si>
  <si>
    <t>勘定科目を識別するコード</t>
    <rPh sb="0" eb="4">
      <t>カンジョウカモク</t>
    </rPh>
    <phoneticPr fontId="3"/>
  </si>
  <si>
    <t>勘定科目の名称</t>
    <rPh sb="0" eb="4">
      <t>カンジョウカモク</t>
    </rPh>
    <rPh sb="5" eb="7">
      <t>メイショウ</t>
    </rPh>
    <phoneticPr fontId="3"/>
  </si>
  <si>
    <t>科目摘要を識別するコード</t>
    <rPh sb="0" eb="2">
      <t>カモク</t>
    </rPh>
    <rPh sb="2" eb="4">
      <t>テキヨウ</t>
    </rPh>
    <phoneticPr fontId="3"/>
  </si>
  <si>
    <t>科目摘要の名称</t>
    <rPh sb="0" eb="2">
      <t>カモク</t>
    </rPh>
    <rPh sb="2" eb="4">
      <t>テキヨウ</t>
    </rPh>
    <phoneticPr fontId="3"/>
  </si>
  <si>
    <t>科目摘要の年度（年）</t>
    <rPh sb="0" eb="4">
      <t>カモクテキヨウ</t>
    </rPh>
    <rPh sb="5" eb="7">
      <t>ネンド</t>
    </rPh>
    <rPh sb="8" eb="9">
      <t>トシ</t>
    </rPh>
    <phoneticPr fontId="3"/>
  </si>
  <si>
    <t>科目摘要の補足情報</t>
    <rPh sb="0" eb="4">
      <t>カモクテキヨウ</t>
    </rPh>
    <rPh sb="5" eb="7">
      <t>ホソク</t>
    </rPh>
    <rPh sb="7" eb="9">
      <t>ジョウホウ</t>
    </rPh>
    <phoneticPr fontId="3"/>
  </si>
  <si>
    <t>相手先明細の合計金額</t>
    <rPh sb="5" eb="9">
      <t>ゴウケイキンガク</t>
    </rPh>
    <phoneticPr fontId="3"/>
  </si>
  <si>
    <t>相手先明細の相手先（取引先）を識別するコード</t>
    <rPh sb="0" eb="3">
      <t>アイテサキ</t>
    </rPh>
    <rPh sb="3" eb="5">
      <t>メイサイ</t>
    </rPh>
    <rPh sb="6" eb="9">
      <t>アイテサキ</t>
    </rPh>
    <rPh sb="10" eb="13">
      <t>トリヒキサキ</t>
    </rPh>
    <rPh sb="15" eb="17">
      <t>シキベツ</t>
    </rPh>
    <phoneticPr fontId="3"/>
  </si>
  <si>
    <t>相手先明細の相手先（取引先）の名称</t>
    <rPh sb="0" eb="3">
      <t>アイテサキ</t>
    </rPh>
    <rPh sb="3" eb="5">
      <t>メイサイ</t>
    </rPh>
    <rPh sb="6" eb="9">
      <t>アイテサキ</t>
    </rPh>
    <rPh sb="10" eb="13">
      <t>トリヒキサキ</t>
    </rPh>
    <rPh sb="15" eb="17">
      <t>メイショウ</t>
    </rPh>
    <phoneticPr fontId="3"/>
  </si>
  <si>
    <t>相手先明細の本体金額</t>
    <rPh sb="0" eb="3">
      <t>アイテサキ</t>
    </rPh>
    <rPh sb="3" eb="5">
      <t>メイサイ</t>
    </rPh>
    <rPh sb="6" eb="8">
      <t>ホンタイ</t>
    </rPh>
    <rPh sb="8" eb="10">
      <t>キンガク</t>
    </rPh>
    <phoneticPr fontId="3"/>
  </si>
  <si>
    <t>相手先明細の消費税金額</t>
    <rPh sb="0" eb="3">
      <t>アイテサキ</t>
    </rPh>
    <rPh sb="3" eb="5">
      <t>メイサイ</t>
    </rPh>
    <rPh sb="6" eb="9">
      <t>ショウヒゼイ</t>
    </rPh>
    <rPh sb="9" eb="11">
      <t>キンガク</t>
    </rPh>
    <phoneticPr fontId="3"/>
  </si>
  <si>
    <t>相手先明細の消費税取引を示す区分</t>
    <rPh sb="12" eb="13">
      <t>シメセッテイ</t>
    </rPh>
    <phoneticPr fontId="3"/>
  </si>
  <si>
    <t>相手先明細の消費税取引区分の名称</t>
    <rPh sb="0" eb="2">
      <t>アイテ</t>
    </rPh>
    <rPh sb="2" eb="3">
      <t>サキ</t>
    </rPh>
    <rPh sb="3" eb="5">
      <t>メイサイ</t>
    </rPh>
    <rPh sb="6" eb="9">
      <t>ショウヒゼイ</t>
    </rPh>
    <rPh sb="9" eb="11">
      <t>トリヒキ</t>
    </rPh>
    <rPh sb="11" eb="13">
      <t>クブン</t>
    </rPh>
    <rPh sb="14" eb="16">
      <t>メイショウ</t>
    </rPh>
    <phoneticPr fontId="3"/>
  </si>
  <si>
    <t>相手先明細の本体金額 + 消費税金額</t>
    <rPh sb="0" eb="5">
      <t>アイテサキメイサイ</t>
    </rPh>
    <rPh sb="6" eb="8">
      <t>ホンタイ</t>
    </rPh>
    <rPh sb="8" eb="10">
      <t>キンガク</t>
    </rPh>
    <rPh sb="13" eb="16">
      <t>ショウヒゼイ</t>
    </rPh>
    <rPh sb="16" eb="18">
      <t>キンガク</t>
    </rPh>
    <phoneticPr fontId="3"/>
  </si>
  <si>
    <t>相手先明細の入金予定日</t>
    <rPh sb="6" eb="8">
      <t>ニュウキン</t>
    </rPh>
    <rPh sb="8" eb="10">
      <t>ヨテイ</t>
    </rPh>
    <rPh sb="10" eb="11">
      <t>ビ</t>
    </rPh>
    <phoneticPr fontId="3"/>
  </si>
  <si>
    <t>データを一意に特定するシステム番号</t>
    <rPh sb="4" eb="6">
      <t>イチイ</t>
    </rPh>
    <rPh sb="7" eb="9">
      <t>トクテイ</t>
    </rPh>
    <rPh sb="15" eb="17">
      <t>バンゴウ</t>
    </rPh>
    <phoneticPr fontId="3"/>
  </si>
  <si>
    <t>承認状況を示す区分</t>
    <rPh sb="0" eb="2">
      <t>ショウニン</t>
    </rPh>
    <rPh sb="2" eb="4">
      <t>ジョウキョウ</t>
    </rPh>
    <rPh sb="5" eb="6">
      <t>シメ</t>
    </rPh>
    <rPh sb="7" eb="9">
      <t>クブン</t>
    </rPh>
    <phoneticPr fontId="3"/>
  </si>
  <si>
    <t>差戻者</t>
    <rPh sb="0" eb="2">
      <t>サシモドシ</t>
    </rPh>
    <rPh sb="2" eb="3">
      <t>シャ</t>
    </rPh>
    <phoneticPr fontId="3"/>
  </si>
  <si>
    <t>差戻日時</t>
    <rPh sb="0" eb="2">
      <t>サシモドシ</t>
    </rPh>
    <rPh sb="2" eb="4">
      <t>ニチジ</t>
    </rPh>
    <phoneticPr fontId="3"/>
  </si>
  <si>
    <t>差戻時の承認者からのコメント</t>
    <rPh sb="0" eb="2">
      <t>サシモドシ</t>
    </rPh>
    <rPh sb="2" eb="3">
      <t>ジ</t>
    </rPh>
    <rPh sb="4" eb="7">
      <t>ショウニンシャ</t>
    </rPh>
    <phoneticPr fontId="3"/>
  </si>
  <si>
    <t>収益入力に関連する参照URL</t>
    <rPh sb="0" eb="4">
      <t>シュウエキニュウリョク</t>
    </rPh>
    <rPh sb="5" eb="7">
      <t>カンレン</t>
    </rPh>
    <rPh sb="9" eb="11">
      <t>サンショウ</t>
    </rPh>
    <phoneticPr fontId="3"/>
  </si>
  <si>
    <t>合計金額</t>
    <rPh sb="0" eb="2">
      <t>ゴウケイ</t>
    </rPh>
    <rPh sb="2" eb="4">
      <t>キンガク</t>
    </rPh>
    <phoneticPr fontId="4"/>
  </si>
  <si>
    <t>差戻者ユーザーID</t>
    <rPh sb="0" eb="1">
      <t>サシモドシ</t>
    </rPh>
    <rPh sb="1" eb="2">
      <t>シャ</t>
    </rPh>
    <phoneticPr fontId="4"/>
  </si>
  <si>
    <t>取引日</t>
    <rPh sb="0" eb="3">
      <t>トリヒキビ</t>
    </rPh>
    <phoneticPr fontId="3"/>
  </si>
  <si>
    <t>取引日</t>
    <rPh sb="0" eb="2">
      <t>トリヒキビ</t>
    </rPh>
    <phoneticPr fontId="4"/>
  </si>
  <si>
    <t>ＶＢ期間であれば前月末日、ＶＢ期間外であれば運用管理日（当日）</t>
    <phoneticPr fontId="3"/>
  </si>
  <si>
    <t>ＶＢ期間であれば前月末日、ＶＢ期間外であれば運用管理日（当日）</t>
    <phoneticPr fontId="4"/>
  </si>
  <si>
    <t>承認状況</t>
    <rPh sb="0" eb="2">
      <t>ショウニン</t>
    </rPh>
    <rPh sb="2" eb="4">
      <t>ジョウキョウ</t>
    </rPh>
    <phoneticPr fontId="4"/>
  </si>
  <si>
    <t>収益入力申請情報CSV</t>
    <rPh sb="0" eb="2">
      <t>シュウエキ</t>
    </rPh>
    <rPh sb="2" eb="4">
      <t>ニュウリョク</t>
    </rPh>
    <rPh sb="4" eb="6">
      <t>シンセイ</t>
    </rPh>
    <rPh sb="6" eb="8">
      <t>ジョウホウ</t>
    </rPh>
    <phoneticPr fontId="3"/>
  </si>
  <si>
    <t>人件費補完情報CSV</t>
    <phoneticPr fontId="3"/>
  </si>
  <si>
    <t>D08050103</t>
    <phoneticPr fontId="3"/>
  </si>
  <si>
    <t>人件費特別申請情報CSV</t>
    <rPh sb="0" eb="3">
      <t>ジンケンヒ</t>
    </rPh>
    <rPh sb="3" eb="5">
      <t>トクベツ</t>
    </rPh>
    <rPh sb="5" eb="7">
      <t>シンセイ</t>
    </rPh>
    <rPh sb="7" eb="9">
      <t>ジョウホウ</t>
    </rPh>
    <phoneticPr fontId="3"/>
  </si>
  <si>
    <t>D08050401</t>
    <phoneticPr fontId="3"/>
  </si>
  <si>
    <t>D08050402</t>
    <phoneticPr fontId="3"/>
  </si>
  <si>
    <t>D08060101</t>
    <phoneticPr fontId="3"/>
  </si>
  <si>
    <t>D08010201</t>
    <phoneticPr fontId="3"/>
  </si>
  <si>
    <t>費用入力申請情報</t>
    <rPh sb="0" eb="2">
      <t>ヒヨウ</t>
    </rPh>
    <rPh sb="2" eb="4">
      <t>ニュウリョク</t>
    </rPh>
    <rPh sb="4" eb="6">
      <t>シンセイ</t>
    </rPh>
    <rPh sb="6" eb="8">
      <t>ジョウホウ</t>
    </rPh>
    <phoneticPr fontId="3"/>
  </si>
  <si>
    <t>費用入力情報</t>
    <rPh sb="0" eb="2">
      <t>ヒヨウ</t>
    </rPh>
    <rPh sb="2" eb="4">
      <t>ニュウリョク</t>
    </rPh>
    <rPh sb="4" eb="6">
      <t>ジョウホウ</t>
    </rPh>
    <phoneticPr fontId="3"/>
  </si>
  <si>
    <t>費用入力申請情報CSV</t>
    <rPh sb="0" eb="2">
      <t>ヒヨウ</t>
    </rPh>
    <rPh sb="2" eb="4">
      <t>ニュウリョク</t>
    </rPh>
    <rPh sb="4" eb="6">
      <t>シンセイ</t>
    </rPh>
    <rPh sb="6" eb="8">
      <t>ジョウホウ</t>
    </rPh>
    <phoneticPr fontId="3"/>
  </si>
  <si>
    <t>D08020201</t>
    <phoneticPr fontId="3"/>
  </si>
  <si>
    <t>D08020401</t>
    <phoneticPr fontId="3"/>
  </si>
  <si>
    <t>D08020402</t>
    <phoneticPr fontId="3"/>
  </si>
  <si>
    <t>D08030201</t>
    <phoneticPr fontId="3"/>
  </si>
  <si>
    <t>D08050201</t>
    <phoneticPr fontId="3"/>
  </si>
  <si>
    <t>D08050501</t>
    <phoneticPr fontId="3"/>
  </si>
  <si>
    <t>D08060201</t>
  </si>
  <si>
    <t>D08060202</t>
  </si>
  <si>
    <t>D08060203</t>
  </si>
  <si>
    <t>D08060204</t>
  </si>
  <si>
    <t>D08060205</t>
  </si>
  <si>
    <t>D08060206</t>
  </si>
  <si>
    <t>D08060207</t>
  </si>
  <si>
    <t>D08060208</t>
  </si>
  <si>
    <t>D08060301</t>
    <phoneticPr fontId="3"/>
  </si>
  <si>
    <t>D08060302</t>
    <phoneticPr fontId="3"/>
  </si>
  <si>
    <t>D08060303</t>
    <phoneticPr fontId="3"/>
  </si>
  <si>
    <t>D08060401</t>
    <phoneticPr fontId="3"/>
  </si>
  <si>
    <t>D08060402</t>
    <phoneticPr fontId="3"/>
  </si>
  <si>
    <t>D08020101</t>
    <phoneticPr fontId="3"/>
  </si>
  <si>
    <t>振込額</t>
    <rPh sb="0" eb="3">
      <t>フリコミガク</t>
    </rPh>
    <phoneticPr fontId="2"/>
  </si>
  <si>
    <t>振込額</t>
    <rPh sb="0" eb="2">
      <t>フリコミガク</t>
    </rPh>
    <phoneticPr fontId="2"/>
  </si>
  <si>
    <t>振込額</t>
    <rPh sb="0" eb="1">
      <t>フリコミ</t>
    </rPh>
    <rPh sb="1" eb="2">
      <t>ガク</t>
    </rPh>
    <phoneticPr fontId="2"/>
  </si>
  <si>
    <t>英数字</t>
    <rPh sb="0" eb="3">
      <t>エイスウジ</t>
    </rPh>
    <phoneticPr fontId="2"/>
  </si>
  <si>
    <t>漢字</t>
    <rPh sb="0" eb="2">
      <t>カンジ</t>
    </rPh>
    <phoneticPr fontId="2"/>
  </si>
  <si>
    <t>数字</t>
    <rPh sb="0" eb="2">
      <t>スウジ</t>
    </rPh>
    <phoneticPr fontId="2"/>
  </si>
  <si>
    <t>人件費の支給日を出力する</t>
    <rPh sb="0" eb="3">
      <t>ジンケンヒ</t>
    </rPh>
    <rPh sb="4" eb="7">
      <t>シキュウビ</t>
    </rPh>
    <rPh sb="8" eb="10">
      <t>シュツリョク</t>
    </rPh>
    <phoneticPr fontId="2"/>
  </si>
  <si>
    <t>入力区分を出力する
1:給与・手当　2:会負担法定福利費　3:預貯金</t>
    <rPh sb="0" eb="2">
      <t>ニュウリョク</t>
    </rPh>
    <rPh sb="2" eb="4">
      <t>クブン</t>
    </rPh>
    <rPh sb="5" eb="7">
      <t>シュツリョク</t>
    </rPh>
    <rPh sb="12" eb="14">
      <t>キュウヨ</t>
    </rPh>
    <rPh sb="15" eb="17">
      <t>テアテ</t>
    </rPh>
    <rPh sb="20" eb="28">
      <t>カイフタンホウテイフクリヒ</t>
    </rPh>
    <rPh sb="31" eb="34">
      <t>ヨチョキン</t>
    </rPh>
    <phoneticPr fontId="2"/>
  </si>
  <si>
    <t>入力区分の名称を出力する</t>
    <rPh sb="0" eb="2">
      <t>ニュウリョク</t>
    </rPh>
    <rPh sb="2" eb="4">
      <t>クブン</t>
    </rPh>
    <rPh sb="5" eb="7">
      <t>メイショウ</t>
    </rPh>
    <rPh sb="8" eb="10">
      <t>シュツリョク</t>
    </rPh>
    <phoneticPr fontId="2"/>
  </si>
  <si>
    <t>給与区分の名称を出力する</t>
    <rPh sb="0" eb="4">
      <t>キュウヨクブン</t>
    </rPh>
    <rPh sb="5" eb="7">
      <t>メイショウ</t>
    </rPh>
    <rPh sb="8" eb="10">
      <t>シュツリョク</t>
    </rPh>
    <phoneticPr fontId="2"/>
  </si>
  <si>
    <t>給与を支給する個所のコードを出力する</t>
    <rPh sb="0" eb="2">
      <t>キュウヨ</t>
    </rPh>
    <rPh sb="3" eb="5">
      <t>シキュウ</t>
    </rPh>
    <rPh sb="7" eb="9">
      <t>カショ</t>
    </rPh>
    <rPh sb="14" eb="16">
      <t>シュツリョク</t>
    </rPh>
    <phoneticPr fontId="2"/>
  </si>
  <si>
    <t>給与を支給する個所の名称を出力する</t>
    <rPh sb="0" eb="2">
      <t>キュウヨ</t>
    </rPh>
    <rPh sb="3" eb="5">
      <t>シキュウ</t>
    </rPh>
    <rPh sb="7" eb="9">
      <t>カショ</t>
    </rPh>
    <rPh sb="10" eb="12">
      <t>メイショウ</t>
    </rPh>
    <rPh sb="13" eb="15">
      <t>シュツリョク</t>
    </rPh>
    <phoneticPr fontId="2"/>
  </si>
  <si>
    <t>科目分類を出力する</t>
    <rPh sb="0" eb="4">
      <t>カモクブンルイ</t>
    </rPh>
    <rPh sb="5" eb="7">
      <t>シュツリョク</t>
    </rPh>
    <phoneticPr fontId="2"/>
  </si>
  <si>
    <t>科目分類の名称を出力する</t>
    <rPh sb="0" eb="4">
      <t>カモクブンルイ</t>
    </rPh>
    <rPh sb="5" eb="7">
      <t>メイショウ</t>
    </rPh>
    <rPh sb="8" eb="10">
      <t>シュツリョク</t>
    </rPh>
    <phoneticPr fontId="2"/>
  </si>
  <si>
    <t>科目区分を出力する</t>
    <rPh sb="0" eb="3">
      <t>カモククブン</t>
    </rPh>
    <rPh sb="4" eb="6">
      <t>シュツリョク</t>
    </rPh>
    <phoneticPr fontId="2"/>
  </si>
  <si>
    <t>科目区分の名称を出力する</t>
    <rPh sb="0" eb="3">
      <t>カモククブン</t>
    </rPh>
    <rPh sb="4" eb="6">
      <t>メイショウ</t>
    </rPh>
    <rPh sb="7" eb="9">
      <t>シュツリョク</t>
    </rPh>
    <phoneticPr fontId="2"/>
  </si>
  <si>
    <t>業種名称</t>
    <rPh sb="0" eb="2">
      <t>ギョウシュ</t>
    </rPh>
    <rPh sb="2" eb="4">
      <t>メイショウ</t>
    </rPh>
    <phoneticPr fontId="2"/>
  </si>
  <si>
    <t>所属名称</t>
    <rPh sb="0" eb="2">
      <t>ショゾク</t>
    </rPh>
    <rPh sb="2" eb="4">
      <t>メイショウ</t>
    </rPh>
    <phoneticPr fontId="2"/>
  </si>
  <si>
    <t>支払先コード（健保）</t>
    <rPh sb="0" eb="3">
      <t>シハライサキ</t>
    </rPh>
    <rPh sb="7" eb="9">
      <t>ケンポ</t>
    </rPh>
    <phoneticPr fontId="2"/>
  </si>
  <si>
    <t>支払先名称（健保）</t>
    <rPh sb="0" eb="3">
      <t>シハライサキ</t>
    </rPh>
    <rPh sb="3" eb="5">
      <t>メイショウ</t>
    </rPh>
    <phoneticPr fontId="2"/>
  </si>
  <si>
    <t>支払予定日（健保）</t>
    <rPh sb="0" eb="5">
      <t>シハライヨテイビ</t>
    </rPh>
    <phoneticPr fontId="2"/>
  </si>
  <si>
    <t>支払先コード（年金）</t>
    <rPh sb="0" eb="3">
      <t>シハライサキ</t>
    </rPh>
    <rPh sb="7" eb="9">
      <t>ネンキン</t>
    </rPh>
    <phoneticPr fontId="2"/>
  </si>
  <si>
    <t>支払先名称（年金）</t>
    <rPh sb="0" eb="3">
      <t>シハライサキ</t>
    </rPh>
    <rPh sb="3" eb="5">
      <t>メイショウ</t>
    </rPh>
    <phoneticPr fontId="2"/>
  </si>
  <si>
    <t>支払予定日（年金）</t>
    <rPh sb="0" eb="5">
      <t>シハライヨテイビ</t>
    </rPh>
    <phoneticPr fontId="2"/>
  </si>
  <si>
    <t>英数字</t>
    <rPh sb="0" eb="3">
      <t>エイスウジ</t>
    </rPh>
    <phoneticPr fontId="3"/>
  </si>
  <si>
    <t>漢字</t>
    <rPh sb="0" eb="2">
      <t>カンジ</t>
    </rPh>
    <phoneticPr fontId="3"/>
  </si>
  <si>
    <t>数字</t>
    <rPh sb="0" eb="2">
      <t>スウジ</t>
    </rPh>
    <phoneticPr fontId="3"/>
  </si>
  <si>
    <t>各科目が帰属する業種のコードを出力する</t>
    <rPh sb="0" eb="2">
      <t>カクカモク</t>
    </rPh>
    <rPh sb="3" eb="5">
      <t>キゾク</t>
    </rPh>
    <rPh sb="7" eb="9">
      <t>ギョウシュ</t>
    </rPh>
    <rPh sb="14" eb="16">
      <t>シュツリョク</t>
    </rPh>
    <phoneticPr fontId="2"/>
  </si>
  <si>
    <t>各科目が帰属する業種の名称を出力する</t>
    <rPh sb="0" eb="2">
      <t>カクカモク</t>
    </rPh>
    <rPh sb="11" eb="13">
      <t>メイショウ</t>
    </rPh>
    <phoneticPr fontId="2"/>
  </si>
  <si>
    <t>各科目が帰属する所属のコードを出力する</t>
    <rPh sb="0" eb="3">
      <t>カクカモク</t>
    </rPh>
    <rPh sb="4" eb="6">
      <t>キゾク</t>
    </rPh>
    <rPh sb="8" eb="10">
      <t>ショゾク</t>
    </rPh>
    <rPh sb="15" eb="17">
      <t>シュツリョク</t>
    </rPh>
    <phoneticPr fontId="2"/>
  </si>
  <si>
    <t>各科目が帰属する所属の名称を出力する</t>
    <rPh sb="0" eb="3">
      <t>カクカモク</t>
    </rPh>
    <rPh sb="4" eb="6">
      <t>キゾク</t>
    </rPh>
    <rPh sb="8" eb="10">
      <t>ショゾク</t>
    </rPh>
    <rPh sb="11" eb="13">
      <t>メイショウ</t>
    </rPh>
    <rPh sb="14" eb="16">
      <t>シュツリョク</t>
    </rPh>
    <phoneticPr fontId="2"/>
  </si>
  <si>
    <t>健康保険料支払先の取引先種類、取引先コードを出力する</t>
    <rPh sb="0" eb="2">
      <t>ケンコウ</t>
    </rPh>
    <rPh sb="2" eb="5">
      <t>ホケンリョウ</t>
    </rPh>
    <rPh sb="5" eb="7">
      <t>シハライ</t>
    </rPh>
    <rPh sb="7" eb="8">
      <t>サキ</t>
    </rPh>
    <rPh sb="9" eb="14">
      <t>トリヒキサキシュルイ</t>
    </rPh>
    <rPh sb="15" eb="18">
      <t>トリヒキサキ</t>
    </rPh>
    <rPh sb="22" eb="24">
      <t>シュツリョク</t>
    </rPh>
    <phoneticPr fontId="2"/>
  </si>
  <si>
    <t>健康保険料支払先の名称を出力する</t>
    <rPh sb="0" eb="5">
      <t>ケンコウホケンリョウ</t>
    </rPh>
    <rPh sb="5" eb="8">
      <t>シハライサキ</t>
    </rPh>
    <rPh sb="9" eb="11">
      <t>メイショウ</t>
    </rPh>
    <rPh sb="12" eb="14">
      <t>シュツリョク</t>
    </rPh>
    <phoneticPr fontId="2"/>
  </si>
  <si>
    <t>健康保険料支払予定日を出力する</t>
    <rPh sb="5" eb="7">
      <t>シハライ</t>
    </rPh>
    <rPh sb="7" eb="10">
      <t>ヨテイビ</t>
    </rPh>
    <rPh sb="11" eb="13">
      <t>シュツリョク</t>
    </rPh>
    <phoneticPr fontId="2"/>
  </si>
  <si>
    <t>年金保険料支払先の取引先種類、取引先コードを出力する</t>
    <rPh sb="9" eb="11">
      <t>トリヒキ</t>
    </rPh>
    <rPh sb="11" eb="12">
      <t>サキ</t>
    </rPh>
    <rPh sb="12" eb="14">
      <t>シュルイ</t>
    </rPh>
    <rPh sb="15" eb="17">
      <t>トリヒキ</t>
    </rPh>
    <rPh sb="17" eb="18">
      <t>サキ</t>
    </rPh>
    <rPh sb="22" eb="24">
      <t>シュツリョク</t>
    </rPh>
    <phoneticPr fontId="2"/>
  </si>
  <si>
    <t>年金保険料支払先の名称を出力する</t>
    <rPh sb="0" eb="2">
      <t>ネンキン</t>
    </rPh>
    <rPh sb="2" eb="5">
      <t>ホケンリョウ</t>
    </rPh>
    <rPh sb="5" eb="8">
      <t>シハライサキ</t>
    </rPh>
    <rPh sb="9" eb="11">
      <t>メイショウ</t>
    </rPh>
    <rPh sb="12" eb="14">
      <t>シュツリョク</t>
    </rPh>
    <phoneticPr fontId="2"/>
  </si>
  <si>
    <t>年金保険料支払予定日を出力する</t>
    <rPh sb="5" eb="7">
      <t>シハライ</t>
    </rPh>
    <rPh sb="7" eb="10">
      <t>ヨテイビ</t>
    </rPh>
    <rPh sb="11" eb="13">
      <t>シュツリョク</t>
    </rPh>
    <phoneticPr fontId="2"/>
  </si>
  <si>
    <t>役員報酬を出力する</t>
    <rPh sb="0" eb="4">
      <t>ヤクインホウシュウ</t>
    </rPh>
    <rPh sb="5" eb="7">
      <t>シュツリョク</t>
    </rPh>
    <phoneticPr fontId="2"/>
  </si>
  <si>
    <t>役員通勤手当を出力する</t>
    <rPh sb="0" eb="6">
      <t>ヤクインツウキンテアテ</t>
    </rPh>
    <rPh sb="7" eb="9">
      <t>シュツリョク</t>
    </rPh>
    <phoneticPr fontId="2"/>
  </si>
  <si>
    <t>職員本棒を出力する</t>
    <rPh sb="0" eb="3">
      <t>ショクインホンボウ</t>
    </rPh>
    <rPh sb="4" eb="6">
      <t>シュツリョク</t>
    </rPh>
    <phoneticPr fontId="2"/>
  </si>
  <si>
    <t>諸手当を出力する</t>
    <rPh sb="0" eb="3">
      <t>ショテアテ</t>
    </rPh>
    <rPh sb="4" eb="6">
      <t>シュツリョク</t>
    </rPh>
    <phoneticPr fontId="2"/>
  </si>
  <si>
    <t>通勤手当を出力する</t>
    <rPh sb="0" eb="4">
      <t>ツウキンテアテ</t>
    </rPh>
    <rPh sb="5" eb="7">
      <t>シュツリョク</t>
    </rPh>
    <phoneticPr fontId="2"/>
  </si>
  <si>
    <t>臨時者賃金を出力する</t>
    <rPh sb="0" eb="3">
      <t>リンジシャ</t>
    </rPh>
    <rPh sb="3" eb="5">
      <t>チンギン</t>
    </rPh>
    <rPh sb="6" eb="8">
      <t>シュツリョク</t>
    </rPh>
    <phoneticPr fontId="2"/>
  </si>
  <si>
    <t>臨時者通勤手当を出力する</t>
    <rPh sb="0" eb="2">
      <t>リンジ</t>
    </rPh>
    <rPh sb="2" eb="3">
      <t>シャ</t>
    </rPh>
    <rPh sb="3" eb="7">
      <t>ツウキンテアテ</t>
    </rPh>
    <rPh sb="8" eb="10">
      <t>シュツリョク</t>
    </rPh>
    <phoneticPr fontId="2"/>
  </si>
  <si>
    <t>教育訓練費を出力する</t>
    <rPh sb="0" eb="5">
      <t>キョウイククンレンヒ</t>
    </rPh>
    <rPh sb="6" eb="8">
      <t>シュツリョク</t>
    </rPh>
    <phoneticPr fontId="2"/>
  </si>
  <si>
    <t>健保給付金を出力する</t>
    <rPh sb="0" eb="5">
      <t>ケンポキュウフキン</t>
    </rPh>
    <rPh sb="6" eb="8">
      <t>シュツリョク</t>
    </rPh>
    <phoneticPr fontId="2"/>
  </si>
  <si>
    <t>きずな配当金を出力する</t>
    <rPh sb="3" eb="6">
      <t>ハイトウキン</t>
    </rPh>
    <rPh sb="7" eb="9">
      <t>シュツリョク</t>
    </rPh>
    <phoneticPr fontId="2"/>
  </si>
  <si>
    <t>普通貸付金を出力する</t>
    <rPh sb="0" eb="2">
      <t>フツウ</t>
    </rPh>
    <rPh sb="2" eb="5">
      <t>カシツケキン</t>
    </rPh>
    <rPh sb="6" eb="8">
      <t>シュツリョク</t>
    </rPh>
    <phoneticPr fontId="2"/>
  </si>
  <si>
    <t>特別貸付金を出力する</t>
    <rPh sb="0" eb="5">
      <t>トクベツカシツケキン</t>
    </rPh>
    <rPh sb="6" eb="8">
      <t>シュツリョク</t>
    </rPh>
    <phoneticPr fontId="2"/>
  </si>
  <si>
    <t>諸控除額を出力する</t>
    <rPh sb="0" eb="4">
      <t>ショコウジョガク</t>
    </rPh>
    <rPh sb="5" eb="7">
      <t>シュツリョク</t>
    </rPh>
    <phoneticPr fontId="2"/>
  </si>
  <si>
    <t>其他控除額を出力する</t>
    <rPh sb="0" eb="1">
      <t>ソ</t>
    </rPh>
    <rPh sb="1" eb="2">
      <t>ホカ</t>
    </rPh>
    <rPh sb="2" eb="5">
      <t>コウジョガク</t>
    </rPh>
    <rPh sb="6" eb="8">
      <t>シュツリョク</t>
    </rPh>
    <phoneticPr fontId="2"/>
  </si>
  <si>
    <t>現物給与を出力する</t>
    <rPh sb="0" eb="4">
      <t>ゲンブツキュウヨ</t>
    </rPh>
    <rPh sb="5" eb="7">
      <t>シュツリョク</t>
    </rPh>
    <phoneticPr fontId="2"/>
  </si>
  <si>
    <t>物品代を出力する</t>
    <rPh sb="0" eb="3">
      <t>ブッピンダイ</t>
    </rPh>
    <rPh sb="4" eb="6">
      <t>シュツリョク</t>
    </rPh>
    <phoneticPr fontId="2"/>
  </si>
  <si>
    <t>食費を出力する</t>
    <rPh sb="0" eb="2">
      <t>ショクヒ</t>
    </rPh>
    <rPh sb="3" eb="5">
      <t>シュツリョク</t>
    </rPh>
    <phoneticPr fontId="2"/>
  </si>
  <si>
    <t>生命保険料を出力する</t>
    <rPh sb="0" eb="5">
      <t>セイメイホケンリョウ</t>
    </rPh>
    <rPh sb="6" eb="8">
      <t>シュツリョク</t>
    </rPh>
    <phoneticPr fontId="2"/>
  </si>
  <si>
    <t>損害保険料を出力する</t>
    <rPh sb="0" eb="5">
      <t>ソンガイホケンリョウ</t>
    </rPh>
    <rPh sb="6" eb="8">
      <t>シュツリョク</t>
    </rPh>
    <phoneticPr fontId="2"/>
  </si>
  <si>
    <t>きずな月掛金を出力する</t>
    <rPh sb="3" eb="5">
      <t>ツキカ</t>
    </rPh>
    <rPh sb="5" eb="6">
      <t>キン</t>
    </rPh>
    <rPh sb="7" eb="9">
      <t>シュツリョク</t>
    </rPh>
    <phoneticPr fontId="2"/>
  </si>
  <si>
    <t>きずな臨掛金を出力する</t>
    <rPh sb="3" eb="4">
      <t>リン</t>
    </rPh>
    <rPh sb="4" eb="6">
      <t>カケキン</t>
    </rPh>
    <rPh sb="7" eb="9">
      <t>シュツリョク</t>
    </rPh>
    <phoneticPr fontId="2"/>
  </si>
  <si>
    <t>健康保険料を出力する</t>
    <rPh sb="0" eb="5">
      <t>ケンコウホケンリョウ</t>
    </rPh>
    <rPh sb="6" eb="8">
      <t>シュツリョク</t>
    </rPh>
    <phoneticPr fontId="2"/>
  </si>
  <si>
    <t>介護保険料を出力する</t>
    <rPh sb="0" eb="5">
      <t>カイゴホケンリョウ</t>
    </rPh>
    <rPh sb="6" eb="8">
      <t>シュツリョク</t>
    </rPh>
    <phoneticPr fontId="2"/>
  </si>
  <si>
    <t>年金保険料を出力する</t>
    <rPh sb="0" eb="5">
      <t>ネンキンホケンリョウ</t>
    </rPh>
    <rPh sb="6" eb="8">
      <t>シュツリョク</t>
    </rPh>
    <phoneticPr fontId="2"/>
  </si>
  <si>
    <t>農林年金償還金を出力する</t>
    <rPh sb="0" eb="4">
      <t>ノウリンネンキン</t>
    </rPh>
    <rPh sb="4" eb="7">
      <t>ショウカンキン</t>
    </rPh>
    <rPh sb="8" eb="10">
      <t>シュツリョク</t>
    </rPh>
    <phoneticPr fontId="2"/>
  </si>
  <si>
    <t>雇用保険料を出力する</t>
    <rPh sb="0" eb="5">
      <t>コヨウホケンリョウ</t>
    </rPh>
    <rPh sb="6" eb="8">
      <t>シュツリョク</t>
    </rPh>
    <phoneticPr fontId="2"/>
  </si>
  <si>
    <t>所得税を出力する</t>
    <rPh sb="0" eb="3">
      <t>ショトクゼイ</t>
    </rPh>
    <rPh sb="4" eb="6">
      <t>シュツリョク</t>
    </rPh>
    <phoneticPr fontId="2"/>
  </si>
  <si>
    <t>住民性を出力する</t>
    <rPh sb="0" eb="3">
      <t>ジュウミンセイ</t>
    </rPh>
    <rPh sb="4" eb="6">
      <t>シュツリョク</t>
    </rPh>
    <phoneticPr fontId="2"/>
  </si>
  <si>
    <t>積立貯金を出力する</t>
    <rPh sb="0" eb="4">
      <t>ツミタテチョキン</t>
    </rPh>
    <rPh sb="5" eb="7">
      <t>シュツリョク</t>
    </rPh>
    <phoneticPr fontId="2"/>
  </si>
  <si>
    <t>雑受取利息を出力する</t>
    <rPh sb="0" eb="3">
      <t>ザツウケトリ</t>
    </rPh>
    <rPh sb="3" eb="5">
      <t>リソク</t>
    </rPh>
    <rPh sb="6" eb="8">
      <t>シュツリョク</t>
    </rPh>
    <phoneticPr fontId="2"/>
  </si>
  <si>
    <t>住宅料を出力する</t>
    <rPh sb="0" eb="3">
      <t>ジュウタクリョウ</t>
    </rPh>
    <rPh sb="4" eb="6">
      <t>シュツリョク</t>
    </rPh>
    <phoneticPr fontId="2"/>
  </si>
  <si>
    <t>その他預り金を出力する</t>
    <rPh sb="2" eb="3">
      <t>タ</t>
    </rPh>
    <rPh sb="3" eb="4">
      <t>アズカ</t>
    </rPh>
    <rPh sb="5" eb="6">
      <t>キン</t>
    </rPh>
    <rPh sb="7" eb="9">
      <t>シュツリョク</t>
    </rPh>
    <phoneticPr fontId="2"/>
  </si>
  <si>
    <t>貯金担保徴収額を出力する</t>
    <rPh sb="0" eb="2">
      <t>チョキン</t>
    </rPh>
    <rPh sb="2" eb="4">
      <t>タンポ</t>
    </rPh>
    <rPh sb="4" eb="7">
      <t>チョウシュウガク</t>
    </rPh>
    <rPh sb="8" eb="10">
      <t>シュツリョク</t>
    </rPh>
    <phoneticPr fontId="2"/>
  </si>
  <si>
    <t>振込額を出力する</t>
    <rPh sb="0" eb="3">
      <t>フリコミガク</t>
    </rPh>
    <rPh sb="4" eb="6">
      <t>シュツリョク</t>
    </rPh>
    <phoneticPr fontId="2"/>
  </si>
  <si>
    <t>現金支給額を出力する</t>
    <rPh sb="0" eb="5">
      <t>ゲンキンシキュウガク</t>
    </rPh>
    <rPh sb="6" eb="8">
      <t>シュツリョク</t>
    </rPh>
    <phoneticPr fontId="2"/>
  </si>
  <si>
    <t>仮受金を出力する</t>
    <rPh sb="0" eb="1">
      <t>カリ</t>
    </rPh>
    <rPh sb="1" eb="2">
      <t>ウ</t>
    </rPh>
    <rPh sb="2" eb="3">
      <t>キン</t>
    </rPh>
    <rPh sb="4" eb="6">
      <t>シュツリョク</t>
    </rPh>
    <phoneticPr fontId="2"/>
  </si>
  <si>
    <t>赤支給差額分（未収金）を出力する</t>
    <rPh sb="0" eb="1">
      <t>アカ</t>
    </rPh>
    <rPh sb="1" eb="3">
      <t>シキュウ</t>
    </rPh>
    <rPh sb="3" eb="5">
      <t>サガク</t>
    </rPh>
    <rPh sb="5" eb="6">
      <t>ブン</t>
    </rPh>
    <rPh sb="7" eb="9">
      <t>ミシュウ</t>
    </rPh>
    <rPh sb="9" eb="10">
      <t>キン</t>
    </rPh>
    <rPh sb="12" eb="14">
      <t>シュツリョク</t>
    </rPh>
    <phoneticPr fontId="2"/>
  </si>
  <si>
    <t>役員報酬の健康保険料を出力する</t>
    <rPh sb="0" eb="4">
      <t>ヤクインホウシュウ</t>
    </rPh>
    <rPh sb="5" eb="10">
      <t>ケンコウホケンリョウ</t>
    </rPh>
    <rPh sb="11" eb="13">
      <t>シュツリョク</t>
    </rPh>
    <phoneticPr fontId="2"/>
  </si>
  <si>
    <t>役員報酬の介護保険料を出力する</t>
    <rPh sb="0" eb="4">
      <t>ヤクインホウシュウ</t>
    </rPh>
    <rPh sb="5" eb="10">
      <t>カイゴホケンリョウ</t>
    </rPh>
    <rPh sb="11" eb="13">
      <t>シュツリョク</t>
    </rPh>
    <phoneticPr fontId="2"/>
  </si>
  <si>
    <t>役員報酬の厚生年金保険料を出力する</t>
    <rPh sb="0" eb="4">
      <t>ヤクインホウシュウ</t>
    </rPh>
    <rPh sb="5" eb="12">
      <t>コウセイネンキンホケンリョウ</t>
    </rPh>
    <rPh sb="13" eb="15">
      <t>シュツリョク</t>
    </rPh>
    <phoneticPr fontId="2"/>
  </si>
  <si>
    <t>福利厚生費（職員）の健康保険料を出力する</t>
    <rPh sb="0" eb="5">
      <t>フクリコウセイヒ</t>
    </rPh>
    <rPh sb="6" eb="8">
      <t>ショクイン</t>
    </rPh>
    <rPh sb="10" eb="15">
      <t>ケンコウホケンリョウ</t>
    </rPh>
    <rPh sb="16" eb="18">
      <t>シュツリョク</t>
    </rPh>
    <phoneticPr fontId="2"/>
  </si>
  <si>
    <t>福利厚生費（職員）の介護保険料を出力する</t>
    <rPh sb="0" eb="5">
      <t>フクリコウセイヒ</t>
    </rPh>
    <rPh sb="10" eb="15">
      <t>カイゴホケンリョウ</t>
    </rPh>
    <phoneticPr fontId="2"/>
  </si>
  <si>
    <t>福利厚生費（職員）の厚生年金保険料を出力する</t>
    <rPh sb="0" eb="5">
      <t>フクリコウセイヒ</t>
    </rPh>
    <rPh sb="6" eb="8">
      <t>ショクイン</t>
    </rPh>
    <rPh sb="10" eb="17">
      <t>コウセイネンキンホケンリョウ</t>
    </rPh>
    <rPh sb="18" eb="20">
      <t>シュツリョク</t>
    </rPh>
    <phoneticPr fontId="2"/>
  </si>
  <si>
    <t>福利厚生費（臨時者）の健康保険料を出力する</t>
    <rPh sb="0" eb="5">
      <t>フクリコウセイヒ</t>
    </rPh>
    <rPh sb="6" eb="9">
      <t>リンジシャ</t>
    </rPh>
    <rPh sb="11" eb="16">
      <t>ケンコウホケンリョウ</t>
    </rPh>
    <rPh sb="17" eb="19">
      <t>シュツリョク</t>
    </rPh>
    <phoneticPr fontId="2"/>
  </si>
  <si>
    <t>福利厚生費（臨時者）の介護保険料を出力する</t>
    <rPh sb="0" eb="5">
      <t>フクリコウセイヒ</t>
    </rPh>
    <rPh sb="11" eb="16">
      <t>カイゴホケンリョウ</t>
    </rPh>
    <phoneticPr fontId="2"/>
  </si>
  <si>
    <t>福利厚生費（臨時者）の厚生年金保険料を出力する</t>
    <rPh sb="0" eb="5">
      <t>フクリコウセイヒ</t>
    </rPh>
    <rPh sb="6" eb="8">
      <t>リンジ</t>
    </rPh>
    <rPh sb="8" eb="9">
      <t>シャ</t>
    </rPh>
    <rPh sb="11" eb="18">
      <t>コウセイネンキンホケンリョウ</t>
    </rPh>
    <rPh sb="19" eb="21">
      <t>シュツリョク</t>
    </rPh>
    <phoneticPr fontId="2"/>
  </si>
  <si>
    <t>定期貯金額を出力する</t>
    <rPh sb="0" eb="5">
      <t>テイキチョキンガク</t>
    </rPh>
    <rPh sb="6" eb="8">
      <t>シュツリョク</t>
    </rPh>
    <phoneticPr fontId="2"/>
  </si>
  <si>
    <t>積立貯金額を出力する</t>
    <rPh sb="0" eb="2">
      <t>ツミタテ</t>
    </rPh>
    <rPh sb="2" eb="5">
      <t>チョキンガク</t>
    </rPh>
    <rPh sb="6" eb="8">
      <t>シュツリョク</t>
    </rPh>
    <phoneticPr fontId="2"/>
  </si>
  <si>
    <t>雑支払利息を出力する</t>
    <rPh sb="0" eb="3">
      <t>ザツシハライ</t>
    </rPh>
    <rPh sb="3" eb="5">
      <t>リソク</t>
    </rPh>
    <rPh sb="6" eb="8">
      <t>シュツリョク</t>
    </rPh>
    <phoneticPr fontId="2"/>
  </si>
  <si>
    <t>給与徴収額を出力する</t>
    <rPh sb="0" eb="5">
      <t>キュウヨチョウシュウガク</t>
    </rPh>
    <rPh sb="6" eb="8">
      <t>シュツリョク</t>
    </rPh>
    <phoneticPr fontId="2"/>
  </si>
  <si>
    <t>利息税　国税を出力する</t>
    <rPh sb="0" eb="3">
      <t>リソクゼイ</t>
    </rPh>
    <rPh sb="4" eb="6">
      <t>コクゼイ</t>
    </rPh>
    <rPh sb="7" eb="9">
      <t>シュツリョク</t>
    </rPh>
    <phoneticPr fontId="2"/>
  </si>
  <si>
    <t>利息税　地方税を出力する</t>
    <rPh sb="0" eb="3">
      <t>リソクゼイ</t>
    </rPh>
    <rPh sb="4" eb="7">
      <t>チホウゼイ</t>
    </rPh>
    <rPh sb="8" eb="10">
      <t>シュツリョク</t>
    </rPh>
    <phoneticPr fontId="2"/>
  </si>
  <si>
    <t>定期貯金額を出力する</t>
    <rPh sb="0" eb="4">
      <t>テイキチョキン</t>
    </rPh>
    <rPh sb="4" eb="5">
      <t>ガク</t>
    </rPh>
    <rPh sb="6" eb="8">
      <t>シュツリョク</t>
    </rPh>
    <phoneticPr fontId="2"/>
  </si>
  <si>
    <t>貯金担保貸付金を出力する</t>
    <rPh sb="0" eb="7">
      <t>チョキンタンポカシツケキン</t>
    </rPh>
    <rPh sb="8" eb="10">
      <t>シュツリョク</t>
    </rPh>
    <phoneticPr fontId="2"/>
  </si>
  <si>
    <t>貯金貸付利息を出力する</t>
    <rPh sb="0" eb="2">
      <t>チョキン</t>
    </rPh>
    <rPh sb="2" eb="4">
      <t>カシツケ</t>
    </rPh>
    <rPh sb="4" eb="6">
      <t>リソク</t>
    </rPh>
    <rPh sb="7" eb="9">
      <t>シュツリョク</t>
    </rPh>
    <phoneticPr fontId="2"/>
  </si>
  <si>
    <t>予算組織コード</t>
    <rPh sb="0" eb="2">
      <t>ヨサン</t>
    </rPh>
    <rPh sb="2" eb="4">
      <t>ソシキ</t>
    </rPh>
    <phoneticPr fontId="14"/>
  </si>
  <si>
    <t>予算組織名称</t>
    <rPh sb="0" eb="6">
      <t>ヨサンソシキメイショウ</t>
    </rPh>
    <phoneticPr fontId="14"/>
  </si>
  <si>
    <t>業種コード</t>
    <rPh sb="0" eb="2">
      <t>ギョウシュ</t>
    </rPh>
    <phoneticPr fontId="14"/>
  </si>
  <si>
    <t>業種名称</t>
    <rPh sb="0" eb="4">
      <t>ギョウシュメイショウ</t>
    </rPh>
    <phoneticPr fontId="14"/>
  </si>
  <si>
    <t>科目分類コード</t>
    <rPh sb="0" eb="4">
      <t>カモクブンルイ</t>
    </rPh>
    <phoneticPr fontId="14"/>
  </si>
  <si>
    <t>科目分類名称</t>
    <rPh sb="0" eb="6">
      <t>カモクブンルイメイショウ</t>
    </rPh>
    <phoneticPr fontId="14"/>
  </si>
  <si>
    <t>科目区分コード</t>
    <rPh sb="0" eb="4">
      <t>カモククブン</t>
    </rPh>
    <phoneticPr fontId="14"/>
  </si>
  <si>
    <t>科目区分名称</t>
    <rPh sb="0" eb="6">
      <t>カモククブンメイショウ</t>
    </rPh>
    <phoneticPr fontId="14"/>
  </si>
  <si>
    <t>引当金計上区分コード</t>
    <rPh sb="0" eb="3">
      <t>ヒキアテキン</t>
    </rPh>
    <rPh sb="3" eb="7">
      <t>ケイジョウクブン</t>
    </rPh>
    <phoneticPr fontId="14"/>
  </si>
  <si>
    <t>引当金計上区分名称</t>
    <rPh sb="0" eb="3">
      <t>ヒキアテキン</t>
    </rPh>
    <rPh sb="3" eb="7">
      <t>ケイジョウクブン</t>
    </rPh>
    <rPh sb="7" eb="9">
      <t>メイショウ</t>
    </rPh>
    <phoneticPr fontId="14"/>
  </si>
  <si>
    <t>所属コード</t>
    <rPh sb="0" eb="2">
      <t>ショゾク</t>
    </rPh>
    <phoneticPr fontId="14"/>
  </si>
  <si>
    <t>所属名称</t>
    <rPh sb="0" eb="4">
      <t>ショゾクメイショウ</t>
    </rPh>
    <phoneticPr fontId="14"/>
  </si>
  <si>
    <t>年度区分</t>
    <rPh sb="0" eb="4">
      <t>ネンドクブン</t>
    </rPh>
    <phoneticPr fontId="14"/>
  </si>
  <si>
    <t>年度区分名称</t>
    <rPh sb="0" eb="6">
      <t>ネンドクブンメイショウ</t>
    </rPh>
    <phoneticPr fontId="14"/>
  </si>
  <si>
    <t>賞与引当金戻入</t>
    <rPh sb="0" eb="2">
      <t>ショウヨ</t>
    </rPh>
    <rPh sb="2" eb="5">
      <t>ヒキアテキン</t>
    </rPh>
    <rPh sb="5" eb="7">
      <t>モドシイレ</t>
    </rPh>
    <phoneticPr fontId="14"/>
  </si>
  <si>
    <t>賞与引当金繰入</t>
    <rPh sb="0" eb="5">
      <t>ショウヨヒキアテキン</t>
    </rPh>
    <rPh sb="5" eb="7">
      <t>クリイレ</t>
    </rPh>
    <phoneticPr fontId="14"/>
  </si>
  <si>
    <t>退職給付費用</t>
    <rPh sb="0" eb="6">
      <t>タイショクキュウフヒヨウ</t>
    </rPh>
    <phoneticPr fontId="14"/>
  </si>
  <si>
    <t>役員報酬</t>
    <rPh sb="0" eb="4">
      <t>ヤクインホウシュウ</t>
    </rPh>
    <phoneticPr fontId="15"/>
  </si>
  <si>
    <t>役員通勤手当</t>
    <rPh sb="0" eb="6">
      <t>ヤクインツウキンテアテ</t>
    </rPh>
    <phoneticPr fontId="15"/>
  </si>
  <si>
    <t>職員本俸</t>
    <rPh sb="0" eb="2">
      <t>ショクイン</t>
    </rPh>
    <rPh sb="2" eb="3">
      <t>ホン</t>
    </rPh>
    <phoneticPr fontId="15"/>
  </si>
  <si>
    <t>諸手当</t>
    <rPh sb="0" eb="3">
      <t>ショテアテ</t>
    </rPh>
    <phoneticPr fontId="15"/>
  </si>
  <si>
    <t>通勤手当</t>
    <rPh sb="0" eb="4">
      <t>ツウキンテアテ</t>
    </rPh>
    <phoneticPr fontId="15"/>
  </si>
  <si>
    <t>臨時者賃金</t>
    <rPh sb="0" eb="3">
      <t>リンジシャ</t>
    </rPh>
    <rPh sb="3" eb="5">
      <t>チンギン</t>
    </rPh>
    <phoneticPr fontId="15"/>
  </si>
  <si>
    <t>臨時者通勤手当</t>
    <rPh sb="0" eb="3">
      <t>リンジシャ</t>
    </rPh>
    <rPh sb="3" eb="7">
      <t>ツウキンテアテ</t>
    </rPh>
    <phoneticPr fontId="15"/>
  </si>
  <si>
    <t>教育訓練費</t>
    <rPh sb="0" eb="5">
      <t>キョウイククンレンヒ</t>
    </rPh>
    <phoneticPr fontId="15"/>
  </si>
  <si>
    <t>健保給付金</t>
    <rPh sb="0" eb="5">
      <t>ケンポキュウフキン</t>
    </rPh>
    <phoneticPr fontId="15"/>
  </si>
  <si>
    <t>きずな配当金</t>
    <rPh sb="3" eb="6">
      <t>ハイトウキン</t>
    </rPh>
    <phoneticPr fontId="15"/>
  </si>
  <si>
    <t>預り金現物給与</t>
    <rPh sb="0" eb="1">
      <t>アズカ</t>
    </rPh>
    <rPh sb="2" eb="3">
      <t>キン</t>
    </rPh>
    <rPh sb="3" eb="7">
      <t>ゲンブツキュウヨ</t>
    </rPh>
    <phoneticPr fontId="15"/>
  </si>
  <si>
    <t>退職給与金</t>
    <rPh sb="0" eb="5">
      <t>タイショクキュウヨキン</t>
    </rPh>
    <phoneticPr fontId="15"/>
  </si>
  <si>
    <t>退職給付引当金</t>
    <rPh sb="0" eb="7">
      <t>タイショクキュウフヒキアテキン</t>
    </rPh>
    <phoneticPr fontId="15"/>
  </si>
  <si>
    <t>普通貸付金</t>
    <rPh sb="0" eb="5">
      <t>フツウカシツケキン</t>
    </rPh>
    <phoneticPr fontId="15"/>
  </si>
  <si>
    <t>特別貸付金</t>
    <rPh sb="0" eb="5">
      <t>トクベツカシツケキン</t>
    </rPh>
    <phoneticPr fontId="15"/>
  </si>
  <si>
    <t>諸控除額</t>
    <rPh sb="0" eb="4">
      <t>ショコウジョガク</t>
    </rPh>
    <phoneticPr fontId="15"/>
  </si>
  <si>
    <t>其他控除額</t>
    <rPh sb="0" eb="1">
      <t>ソ</t>
    </rPh>
    <rPh sb="1" eb="2">
      <t>ホカ</t>
    </rPh>
    <rPh sb="2" eb="5">
      <t>コウジョガク</t>
    </rPh>
    <phoneticPr fontId="15"/>
  </si>
  <si>
    <t>現物給与</t>
    <rPh sb="0" eb="2">
      <t>ゲンブツ</t>
    </rPh>
    <rPh sb="2" eb="4">
      <t>キュウヨ</t>
    </rPh>
    <phoneticPr fontId="15"/>
  </si>
  <si>
    <t>物品代</t>
    <rPh sb="0" eb="3">
      <t>ブッピンダイ</t>
    </rPh>
    <phoneticPr fontId="15"/>
  </si>
  <si>
    <t>食費</t>
    <rPh sb="0" eb="2">
      <t>ショクヒ</t>
    </rPh>
    <phoneticPr fontId="15"/>
  </si>
  <si>
    <t>生命保険料</t>
    <rPh sb="0" eb="5">
      <t>セイメイホケンリョウ</t>
    </rPh>
    <phoneticPr fontId="15"/>
  </si>
  <si>
    <t>損害保険料</t>
    <rPh sb="0" eb="4">
      <t>ソンガイホケン</t>
    </rPh>
    <rPh sb="4" eb="5">
      <t>リョウ</t>
    </rPh>
    <phoneticPr fontId="15"/>
  </si>
  <si>
    <t>きずな月掛金</t>
    <rPh sb="3" eb="5">
      <t>ツキカ</t>
    </rPh>
    <rPh sb="5" eb="6">
      <t>キン</t>
    </rPh>
    <phoneticPr fontId="15"/>
  </si>
  <si>
    <t>きずな臨掛金</t>
    <rPh sb="3" eb="4">
      <t>リン</t>
    </rPh>
    <rPh sb="4" eb="6">
      <t>カケキン</t>
    </rPh>
    <phoneticPr fontId="15"/>
  </si>
  <si>
    <t>健康保険料</t>
    <rPh sb="0" eb="5">
      <t>ケンコウホケンリョウ</t>
    </rPh>
    <phoneticPr fontId="15"/>
  </si>
  <si>
    <t>介護保険料</t>
    <rPh sb="0" eb="5">
      <t>カイゴホケンリョウ</t>
    </rPh>
    <phoneticPr fontId="15"/>
  </si>
  <si>
    <t>年金保険料</t>
    <rPh sb="0" eb="5">
      <t>ネンキンホケンリョウ</t>
    </rPh>
    <phoneticPr fontId="15"/>
  </si>
  <si>
    <t>雇用保険料</t>
    <rPh sb="0" eb="5">
      <t>コヨウホケンリョウ</t>
    </rPh>
    <phoneticPr fontId="15"/>
  </si>
  <si>
    <t>所得税</t>
    <rPh sb="0" eb="3">
      <t>ショトクゼイ</t>
    </rPh>
    <phoneticPr fontId="15"/>
  </si>
  <si>
    <t>住民税</t>
    <rPh sb="0" eb="3">
      <t>ジュウミンゼイ</t>
    </rPh>
    <phoneticPr fontId="15"/>
  </si>
  <si>
    <t>積立貯金</t>
    <rPh sb="0" eb="2">
      <t>ツミタテ</t>
    </rPh>
    <rPh sb="2" eb="4">
      <t>チョキン</t>
    </rPh>
    <phoneticPr fontId="15"/>
  </si>
  <si>
    <t>雑受取利息</t>
    <rPh sb="0" eb="3">
      <t>ザツウケトリ</t>
    </rPh>
    <rPh sb="3" eb="5">
      <t>リソク</t>
    </rPh>
    <phoneticPr fontId="15"/>
  </si>
  <si>
    <t>住宅料</t>
    <rPh sb="0" eb="3">
      <t>ジュウタクリョウ</t>
    </rPh>
    <phoneticPr fontId="15"/>
  </si>
  <si>
    <t>その他預り金</t>
    <rPh sb="2" eb="3">
      <t>タ</t>
    </rPh>
    <rPh sb="3" eb="4">
      <t>アズカ</t>
    </rPh>
    <rPh sb="5" eb="6">
      <t>キン</t>
    </rPh>
    <phoneticPr fontId="15"/>
  </si>
  <si>
    <t>振込支給額</t>
    <rPh sb="0" eb="5">
      <t>フリコミシキュウガク</t>
    </rPh>
    <phoneticPr fontId="15"/>
  </si>
  <si>
    <t>支払予定日</t>
    <rPh sb="0" eb="5">
      <t>シハライヨテイビ</t>
    </rPh>
    <phoneticPr fontId="15"/>
  </si>
  <si>
    <t>口座名義（漢字）</t>
    <rPh sb="0" eb="4">
      <t>コウザメイギ</t>
    </rPh>
    <rPh sb="5" eb="7">
      <t>カンジ</t>
    </rPh>
    <phoneticPr fontId="15"/>
  </si>
  <si>
    <t>口座名義（カナ）</t>
    <rPh sb="0" eb="4">
      <t>コウザメイギ</t>
    </rPh>
    <phoneticPr fontId="15"/>
  </si>
  <si>
    <t>振込先（銀行）コード</t>
    <rPh sb="0" eb="3">
      <t>フリコミサキ</t>
    </rPh>
    <rPh sb="4" eb="6">
      <t>ギンコウ</t>
    </rPh>
    <phoneticPr fontId="15"/>
  </si>
  <si>
    <t>振込先（本支店）コード</t>
    <rPh sb="0" eb="3">
      <t>フリコミサキ</t>
    </rPh>
    <rPh sb="4" eb="7">
      <t>ホンシテン</t>
    </rPh>
    <phoneticPr fontId="15"/>
  </si>
  <si>
    <t>振込先（銀行）名称</t>
    <rPh sb="0" eb="3">
      <t>フリコミサキ</t>
    </rPh>
    <rPh sb="4" eb="6">
      <t>ギンコウ</t>
    </rPh>
    <rPh sb="7" eb="9">
      <t>メイショウ</t>
    </rPh>
    <phoneticPr fontId="15"/>
  </si>
  <si>
    <t>振込先（本支店）名称</t>
    <rPh sb="0" eb="3">
      <t>フリコミサキ</t>
    </rPh>
    <rPh sb="4" eb="7">
      <t>ホンシテン</t>
    </rPh>
    <rPh sb="8" eb="10">
      <t>メイショウ</t>
    </rPh>
    <phoneticPr fontId="15"/>
  </si>
  <si>
    <t>預金種別</t>
    <rPh sb="0" eb="2">
      <t>ヨキン</t>
    </rPh>
    <rPh sb="2" eb="4">
      <t>シュベツ</t>
    </rPh>
    <phoneticPr fontId="15"/>
  </si>
  <si>
    <t>口座番号</t>
    <rPh sb="0" eb="4">
      <t>コウザバンゴウ</t>
    </rPh>
    <phoneticPr fontId="15"/>
  </si>
  <si>
    <t>予算組織を識別するコード。</t>
    <rPh sb="0" eb="4">
      <t>ヨサンソシキ</t>
    </rPh>
    <rPh sb="5" eb="7">
      <t>シキベツ</t>
    </rPh>
    <phoneticPr fontId="2"/>
  </si>
  <si>
    <t>予算組織の名称。</t>
    <rPh sb="0" eb="4">
      <t>ヨサンソシキ</t>
    </rPh>
    <rPh sb="5" eb="7">
      <t>メイショウ</t>
    </rPh>
    <phoneticPr fontId="2"/>
  </si>
  <si>
    <t>業種を識別するコード。</t>
    <rPh sb="0" eb="2">
      <t>ギョウシュ</t>
    </rPh>
    <rPh sb="3" eb="5">
      <t>シキベツ</t>
    </rPh>
    <phoneticPr fontId="2"/>
  </si>
  <si>
    <t>業種の名称。</t>
    <rPh sb="0" eb="2">
      <t>ギョウシュ</t>
    </rPh>
    <rPh sb="3" eb="5">
      <t>メイショウ</t>
    </rPh>
    <phoneticPr fontId="2"/>
  </si>
  <si>
    <t>科目分類の名称。</t>
    <rPh sb="0" eb="4">
      <t>カモクブンルイ</t>
    </rPh>
    <rPh sb="5" eb="7">
      <t>メイショウ</t>
    </rPh>
    <phoneticPr fontId="2"/>
  </si>
  <si>
    <t>科目区分を識別するコード。
01：労務　02：農務　03：糖管　04：管理　05：施設</t>
    <rPh sb="0" eb="2">
      <t>カモク</t>
    </rPh>
    <rPh sb="2" eb="4">
      <t>クブン</t>
    </rPh>
    <rPh sb="5" eb="7">
      <t>シキベツ</t>
    </rPh>
    <phoneticPr fontId="2"/>
  </si>
  <si>
    <t>科目区分の名称。</t>
    <rPh sb="0" eb="4">
      <t>カモククブン</t>
    </rPh>
    <rPh sb="5" eb="7">
      <t>メイショウ</t>
    </rPh>
    <phoneticPr fontId="2"/>
  </si>
  <si>
    <t>引当金計上区分の名称。</t>
    <rPh sb="0" eb="1">
      <t>ヒキアテ</t>
    </rPh>
    <rPh sb="1" eb="2">
      <t>キン</t>
    </rPh>
    <rPh sb="2" eb="4">
      <t>ケイジョウ</t>
    </rPh>
    <rPh sb="4" eb="6">
      <t>クブン</t>
    </rPh>
    <rPh sb="7" eb="9">
      <t>メイショウ</t>
    </rPh>
    <phoneticPr fontId="2"/>
  </si>
  <si>
    <t>所属を識別するコード。</t>
    <rPh sb="0" eb="1">
      <t>ショゾク</t>
    </rPh>
    <rPh sb="2" eb="4">
      <t>シキベツ</t>
    </rPh>
    <phoneticPr fontId="2"/>
  </si>
  <si>
    <t>所属の名称。</t>
    <rPh sb="0" eb="2">
      <t>ショゾク</t>
    </rPh>
    <rPh sb="3" eb="5">
      <t>メイショウ</t>
    </rPh>
    <phoneticPr fontId="2"/>
  </si>
  <si>
    <t>経費年度末バリューバック期間に経理する年度。
1：当年度　2：前年度</t>
    <rPh sb="0" eb="2">
      <t>ケイヒ</t>
    </rPh>
    <rPh sb="2" eb="5">
      <t>ネンドマツ</t>
    </rPh>
    <rPh sb="12" eb="14">
      <t>キカン</t>
    </rPh>
    <rPh sb="15" eb="17">
      <t>ケイリ</t>
    </rPh>
    <rPh sb="19" eb="21">
      <t>ネンド</t>
    </rPh>
    <rPh sb="25" eb="28">
      <t>トウネンド</t>
    </rPh>
    <rPh sb="31" eb="34">
      <t>ゼンネンド</t>
    </rPh>
    <phoneticPr fontId="2"/>
  </si>
  <si>
    <t>年度区分の名称。</t>
    <rPh sb="0" eb="4">
      <t>ネンドクブン</t>
    </rPh>
    <rPh sb="5" eb="7">
      <t>メイショウ</t>
    </rPh>
    <phoneticPr fontId="2"/>
  </si>
  <si>
    <t>賞与引当金戻入の金額。</t>
    <rPh sb="0" eb="5">
      <t>ショウヨヒキアテキン</t>
    </rPh>
    <rPh sb="5" eb="7">
      <t>モドシイレ</t>
    </rPh>
    <rPh sb="8" eb="10">
      <t>キンガク</t>
    </rPh>
    <phoneticPr fontId="2"/>
  </si>
  <si>
    <t>賞与引当金繰入の金額。</t>
    <rPh sb="0" eb="5">
      <t>ショウヨヒキアテキン</t>
    </rPh>
    <rPh sb="5" eb="7">
      <t>クリイレ</t>
    </rPh>
    <rPh sb="8" eb="10">
      <t>キンガク</t>
    </rPh>
    <phoneticPr fontId="2"/>
  </si>
  <si>
    <t>退職給付費用の金額。</t>
    <rPh sb="0" eb="6">
      <t>タイショクキュウフヒヨウ</t>
    </rPh>
    <rPh sb="7" eb="9">
      <t>キンガク</t>
    </rPh>
    <phoneticPr fontId="2"/>
  </si>
  <si>
    <t>役員報酬の金額。</t>
    <rPh sb="0" eb="4">
      <t>ヤクインホウシュウ</t>
    </rPh>
    <rPh sb="5" eb="7">
      <t>キンガク</t>
    </rPh>
    <phoneticPr fontId="2"/>
  </si>
  <si>
    <t>役員通勤手当の金額。</t>
    <rPh sb="0" eb="6">
      <t>ヤクインツウキンテアテ</t>
    </rPh>
    <rPh sb="7" eb="9">
      <t>キンガク</t>
    </rPh>
    <phoneticPr fontId="2"/>
  </si>
  <si>
    <t>職員本棒の金額。</t>
    <rPh sb="0" eb="4">
      <t>ショクインホンボウ</t>
    </rPh>
    <rPh sb="5" eb="7">
      <t>キンガク</t>
    </rPh>
    <phoneticPr fontId="2"/>
  </si>
  <si>
    <t>諸手当の金額。</t>
    <rPh sb="0" eb="3">
      <t>ショテアテ</t>
    </rPh>
    <rPh sb="4" eb="6">
      <t>キンガク</t>
    </rPh>
    <phoneticPr fontId="2"/>
  </si>
  <si>
    <t>通勤手当の金額。</t>
    <rPh sb="0" eb="4">
      <t>ツウキンテアテ</t>
    </rPh>
    <rPh sb="5" eb="7">
      <t>キンガク</t>
    </rPh>
    <phoneticPr fontId="2"/>
  </si>
  <si>
    <t>臨時者賃金の金額。</t>
    <rPh sb="0" eb="3">
      <t>リンジシャ</t>
    </rPh>
    <rPh sb="3" eb="5">
      <t>チンギン</t>
    </rPh>
    <rPh sb="6" eb="8">
      <t>キンガク</t>
    </rPh>
    <phoneticPr fontId="2"/>
  </si>
  <si>
    <t>臨時者通勤手当の金額。</t>
    <rPh sb="0" eb="7">
      <t>リンジシャツウキンテアテ</t>
    </rPh>
    <rPh sb="8" eb="10">
      <t>キンガク</t>
    </rPh>
    <phoneticPr fontId="2"/>
  </si>
  <si>
    <t>教育訓練費の金額。</t>
    <rPh sb="0" eb="4">
      <t>キョウイククンレン</t>
    </rPh>
    <rPh sb="4" eb="5">
      <t>ヒ</t>
    </rPh>
    <rPh sb="6" eb="8">
      <t>キンガク</t>
    </rPh>
    <phoneticPr fontId="2"/>
  </si>
  <si>
    <t>健保給付金の金額。</t>
    <rPh sb="0" eb="2">
      <t>ケンポ</t>
    </rPh>
    <rPh sb="2" eb="5">
      <t>キュウフキン</t>
    </rPh>
    <rPh sb="6" eb="8">
      <t>キンガク</t>
    </rPh>
    <phoneticPr fontId="2"/>
  </si>
  <si>
    <t>きずな配当金の金額。</t>
    <rPh sb="3" eb="6">
      <t>ハイトウキン</t>
    </rPh>
    <rPh sb="7" eb="9">
      <t>キンガク</t>
    </rPh>
    <phoneticPr fontId="2"/>
  </si>
  <si>
    <t>預り金現物給与の金額。</t>
    <rPh sb="0" eb="1">
      <t>アズカ</t>
    </rPh>
    <rPh sb="2" eb="3">
      <t>キン</t>
    </rPh>
    <rPh sb="3" eb="7">
      <t>ゲンブツキュウヨ</t>
    </rPh>
    <rPh sb="8" eb="10">
      <t>キンガク</t>
    </rPh>
    <phoneticPr fontId="2"/>
  </si>
  <si>
    <t>退職給与金の金額。</t>
    <rPh sb="0" eb="5">
      <t>タイショクキュウヨキン</t>
    </rPh>
    <rPh sb="6" eb="8">
      <t>キンガク</t>
    </rPh>
    <phoneticPr fontId="2"/>
  </si>
  <si>
    <t>退職給付引当金の金額。</t>
    <rPh sb="0" eb="4">
      <t>タイショクキュウフ</t>
    </rPh>
    <rPh sb="4" eb="7">
      <t>ヒキアテキン</t>
    </rPh>
    <rPh sb="8" eb="10">
      <t>キンガク</t>
    </rPh>
    <phoneticPr fontId="2"/>
  </si>
  <si>
    <t>普通貸付金の金額。</t>
    <rPh sb="0" eb="5">
      <t>フツウカシツケキン</t>
    </rPh>
    <rPh sb="6" eb="8">
      <t>キンガク</t>
    </rPh>
    <phoneticPr fontId="2"/>
  </si>
  <si>
    <t>特別貸付金の金額。</t>
    <rPh sb="0" eb="5">
      <t>トクベツカシツケキン</t>
    </rPh>
    <rPh sb="6" eb="8">
      <t>キンガク</t>
    </rPh>
    <phoneticPr fontId="2"/>
  </si>
  <si>
    <t>諸控除の金額。</t>
    <rPh sb="0" eb="3">
      <t>ショコウジョ</t>
    </rPh>
    <rPh sb="4" eb="6">
      <t>キンガク</t>
    </rPh>
    <phoneticPr fontId="2"/>
  </si>
  <si>
    <t>其他控除の金額。</t>
    <rPh sb="0" eb="1">
      <t>ソ</t>
    </rPh>
    <rPh sb="1" eb="2">
      <t>タ</t>
    </rPh>
    <rPh sb="2" eb="4">
      <t>コウジョ</t>
    </rPh>
    <rPh sb="5" eb="7">
      <t>キンガク</t>
    </rPh>
    <phoneticPr fontId="2"/>
  </si>
  <si>
    <t>現物給与の金額。</t>
    <rPh sb="0" eb="4">
      <t>ゲンブツキュウヨ</t>
    </rPh>
    <rPh sb="5" eb="7">
      <t>キンガク</t>
    </rPh>
    <phoneticPr fontId="2"/>
  </si>
  <si>
    <t>物品代の金額。</t>
    <rPh sb="0" eb="3">
      <t>ブッピンダイ</t>
    </rPh>
    <rPh sb="4" eb="6">
      <t>キンガク</t>
    </rPh>
    <phoneticPr fontId="2"/>
  </si>
  <si>
    <t>食費の金額。</t>
    <rPh sb="0" eb="2">
      <t>ショクヒ</t>
    </rPh>
    <rPh sb="3" eb="5">
      <t>キンガク</t>
    </rPh>
    <phoneticPr fontId="2"/>
  </si>
  <si>
    <t>生命保険料の金額。</t>
    <rPh sb="0" eb="5">
      <t>セイメイホケンリョウ</t>
    </rPh>
    <rPh sb="6" eb="8">
      <t>キンガク</t>
    </rPh>
    <phoneticPr fontId="2"/>
  </si>
  <si>
    <t>損害保険料の金額。</t>
    <rPh sb="0" eb="5">
      <t>ソンガイホケンリョウ</t>
    </rPh>
    <rPh sb="6" eb="8">
      <t>キンガク</t>
    </rPh>
    <phoneticPr fontId="2"/>
  </si>
  <si>
    <t>きずな月掛金の金額。</t>
    <rPh sb="3" eb="4">
      <t>ツキ</t>
    </rPh>
    <rPh sb="4" eb="6">
      <t>ガカリキン</t>
    </rPh>
    <rPh sb="7" eb="9">
      <t>キンガク</t>
    </rPh>
    <phoneticPr fontId="2"/>
  </si>
  <si>
    <t>きずな臨掛金の金額。</t>
    <rPh sb="3" eb="4">
      <t>リン</t>
    </rPh>
    <rPh sb="4" eb="5">
      <t>カ</t>
    </rPh>
    <rPh sb="5" eb="6">
      <t>キン</t>
    </rPh>
    <rPh sb="7" eb="9">
      <t>キンガク</t>
    </rPh>
    <phoneticPr fontId="2"/>
  </si>
  <si>
    <t>健康保険料の金額。</t>
    <rPh sb="0" eb="5">
      <t>ケンコウホケンリョウ</t>
    </rPh>
    <rPh sb="6" eb="8">
      <t>キンガク</t>
    </rPh>
    <phoneticPr fontId="2"/>
  </si>
  <si>
    <t>介護保険料の金額。</t>
    <rPh sb="0" eb="5">
      <t>カイゴホケンリョウ</t>
    </rPh>
    <rPh sb="6" eb="8">
      <t>キンガク</t>
    </rPh>
    <phoneticPr fontId="2"/>
  </si>
  <si>
    <t>年金介護保険料の金額。</t>
    <rPh sb="0" eb="7">
      <t>ネンキンカイゴホケンリョウ</t>
    </rPh>
    <rPh sb="8" eb="10">
      <t>キンガク</t>
    </rPh>
    <phoneticPr fontId="2"/>
  </si>
  <si>
    <t>雇用保険料の金額。</t>
    <rPh sb="0" eb="5">
      <t>コヨウホケンリョウ</t>
    </rPh>
    <rPh sb="6" eb="8">
      <t>キンガク</t>
    </rPh>
    <phoneticPr fontId="2"/>
  </si>
  <si>
    <t>所得税の金額。</t>
    <rPh sb="0" eb="3">
      <t>ショトクゼイ</t>
    </rPh>
    <rPh sb="4" eb="6">
      <t>キンガク</t>
    </rPh>
    <phoneticPr fontId="2"/>
  </si>
  <si>
    <t>住民税の金額。</t>
    <rPh sb="0" eb="3">
      <t>ジュウミンゼイ</t>
    </rPh>
    <rPh sb="4" eb="6">
      <t>キンガク</t>
    </rPh>
    <phoneticPr fontId="2"/>
  </si>
  <si>
    <t>積立貯金の金額。</t>
    <rPh sb="0" eb="2">
      <t>ツミタテ</t>
    </rPh>
    <rPh sb="2" eb="4">
      <t>チョキン</t>
    </rPh>
    <rPh sb="5" eb="7">
      <t>キンガク</t>
    </rPh>
    <phoneticPr fontId="2"/>
  </si>
  <si>
    <t>雑受取利息の金額。</t>
    <rPh sb="0" eb="1">
      <t>ザツ</t>
    </rPh>
    <rPh sb="1" eb="5">
      <t>ウケトリリソク</t>
    </rPh>
    <rPh sb="6" eb="8">
      <t>キンガク</t>
    </rPh>
    <phoneticPr fontId="2"/>
  </si>
  <si>
    <t>住宅料の金額。</t>
    <rPh sb="0" eb="3">
      <t>ジュウタクリョウ</t>
    </rPh>
    <rPh sb="4" eb="6">
      <t>キンガク</t>
    </rPh>
    <phoneticPr fontId="2"/>
  </si>
  <si>
    <t>その他預り金の金額。</t>
    <rPh sb="2" eb="3">
      <t>タ</t>
    </rPh>
    <rPh sb="3" eb="4">
      <t>アズカ</t>
    </rPh>
    <rPh sb="5" eb="6">
      <t>キン</t>
    </rPh>
    <rPh sb="7" eb="9">
      <t>キンガク</t>
    </rPh>
    <phoneticPr fontId="2"/>
  </si>
  <si>
    <t>振込支給額の金額。</t>
    <rPh sb="0" eb="2">
      <t>フリコミ</t>
    </rPh>
    <rPh sb="2" eb="5">
      <t>シキュウガク</t>
    </rPh>
    <rPh sb="6" eb="8">
      <t>キンガク</t>
    </rPh>
    <phoneticPr fontId="2"/>
  </si>
  <si>
    <t>支払予定日。</t>
    <rPh sb="0" eb="5">
      <t>シハライヨテイビ</t>
    </rPh>
    <phoneticPr fontId="2"/>
  </si>
  <si>
    <t>支払先口座の口座名義（漢字）。</t>
    <rPh sb="0" eb="3">
      <t>シハライサキ</t>
    </rPh>
    <rPh sb="3" eb="5">
      <t>コウザ</t>
    </rPh>
    <rPh sb="6" eb="10">
      <t>コウザメイギ</t>
    </rPh>
    <rPh sb="11" eb="13">
      <t>カンジ</t>
    </rPh>
    <phoneticPr fontId="2"/>
  </si>
  <si>
    <t>支払先口座の口座名義（カナ）。</t>
    <rPh sb="0" eb="3">
      <t>シハライサキ</t>
    </rPh>
    <rPh sb="3" eb="5">
      <t>コウザ</t>
    </rPh>
    <rPh sb="6" eb="10">
      <t>コウザメイギ</t>
    </rPh>
    <phoneticPr fontId="2"/>
  </si>
  <si>
    <t>振込先の銀行コード。</t>
    <rPh sb="0" eb="3">
      <t>フリコミサキ</t>
    </rPh>
    <rPh sb="4" eb="6">
      <t>ギンコウ</t>
    </rPh>
    <phoneticPr fontId="2"/>
  </si>
  <si>
    <t>振込先の本支店コード。</t>
    <rPh sb="0" eb="3">
      <t>フリコミサキ</t>
    </rPh>
    <rPh sb="4" eb="7">
      <t>ホンシテン</t>
    </rPh>
    <phoneticPr fontId="2"/>
  </si>
  <si>
    <t>振込先の銀行名称。</t>
    <rPh sb="0" eb="3">
      <t>フリコミサキ</t>
    </rPh>
    <rPh sb="4" eb="8">
      <t>ギンコウメイショウ</t>
    </rPh>
    <phoneticPr fontId="2"/>
  </si>
  <si>
    <t>振込先の本支店名称。</t>
    <rPh sb="0" eb="3">
      <t>フリコミサキ</t>
    </rPh>
    <rPh sb="4" eb="7">
      <t>ホンシテン</t>
    </rPh>
    <rPh sb="7" eb="9">
      <t>メイショウ</t>
    </rPh>
    <phoneticPr fontId="2"/>
  </si>
  <si>
    <t>支払先口座の預金種別。</t>
    <rPh sb="0" eb="3">
      <t>シハライサキ</t>
    </rPh>
    <rPh sb="3" eb="5">
      <t>コウザ</t>
    </rPh>
    <rPh sb="6" eb="10">
      <t>ヨキンシュベツ</t>
    </rPh>
    <phoneticPr fontId="2"/>
  </si>
  <si>
    <t>支払先口座の口座番号。</t>
    <rPh sb="0" eb="5">
      <t>シハライサキコウザ</t>
    </rPh>
    <rPh sb="6" eb="10">
      <t>コウザバンゴウ</t>
    </rPh>
    <phoneticPr fontId="2"/>
  </si>
  <si>
    <t>取引パターンコード</t>
  </si>
  <si>
    <t>伝票番号</t>
  </si>
  <si>
    <t>承認状況区分</t>
  </si>
  <si>
    <t>業種コード</t>
  </si>
  <si>
    <t>科目摘要細目</t>
  </si>
  <si>
    <t>取引日</t>
  </si>
  <si>
    <t>添付ファイル２</t>
  </si>
  <si>
    <t>添付ファイル３</t>
  </si>
  <si>
    <t>参照ＵＲＬ</t>
  </si>
  <si>
    <t>未収未払組織コード</t>
  </si>
  <si>
    <t>費用収益組織コード</t>
  </si>
  <si>
    <t>本体金額１</t>
  </si>
  <si>
    <t>消費税金額１</t>
  </si>
  <si>
    <t>本体金額２</t>
  </si>
  <si>
    <t>消費税金額２</t>
  </si>
  <si>
    <t>本体金額３</t>
  </si>
  <si>
    <t>消費税金額３</t>
  </si>
  <si>
    <t>本体金額４</t>
  </si>
  <si>
    <t>消費税金額４</t>
  </si>
  <si>
    <t>本体金額５</t>
  </si>
  <si>
    <t>消費税金額５</t>
  </si>
  <si>
    <t>差戻コメント</t>
  </si>
  <si>
    <t>定例取引入力の伝票番号</t>
  </si>
  <si>
    <t>定例取引入力の承認状況区分</t>
  </si>
  <si>
    <t>定例取引入力の業種コード</t>
  </si>
  <si>
    <t>定例取引入力の取引パターンコード</t>
  </si>
  <si>
    <t>定例取引入力の科目摘要細目</t>
  </si>
  <si>
    <t>定例取引入力の取引日</t>
  </si>
  <si>
    <t>定例取引入力の添付ファイル１</t>
  </si>
  <si>
    <t>定例取引入力の添付ファイル２</t>
  </si>
  <si>
    <t>定例取引入力の添付ファイル３</t>
  </si>
  <si>
    <t>定例取引入力の参照ＵＲＬ</t>
  </si>
  <si>
    <t>定例取引入力の未収未払組織コード</t>
  </si>
  <si>
    <t>定例取引入力の費用収益組織コード</t>
  </si>
  <si>
    <t>定例取引入力の本体金額１</t>
  </si>
  <si>
    <t>定例取引入力の消費税金額１</t>
  </si>
  <si>
    <t>定例取引入力の本体金額２</t>
  </si>
  <si>
    <t>定例取引入力の消費税金額２</t>
  </si>
  <si>
    <t>定例取引入力の本体金額３</t>
  </si>
  <si>
    <t>定例取引入力の消費税金額３</t>
  </si>
  <si>
    <t>定例取引入力の本体金額４</t>
  </si>
  <si>
    <t>定例取引入力の消費税金額４</t>
  </si>
  <si>
    <t>定例取引入力の本体金額５</t>
  </si>
  <si>
    <t>定例取引入力の消費税金額５</t>
  </si>
  <si>
    <t>定例取引入力の差戻コメント</t>
  </si>
  <si>
    <t>【定例取引品目入力】</t>
    <rPh sb="1" eb="3">
      <t>テイレイ</t>
    </rPh>
    <rPh sb="3" eb="5">
      <t>トリヒキ</t>
    </rPh>
    <rPh sb="5" eb="7">
      <t>ヒンモク</t>
    </rPh>
    <rPh sb="7" eb="9">
      <t>ニュウリョク</t>
    </rPh>
    <phoneticPr fontId="3"/>
  </si>
  <si>
    <t>受払組織コード</t>
  </si>
  <si>
    <t>指図事業所コード</t>
  </si>
  <si>
    <t>収支管理品目コード</t>
  </si>
  <si>
    <t>年産</t>
  </si>
  <si>
    <t>次数</t>
  </si>
  <si>
    <t>原材料コード</t>
  </si>
  <si>
    <t>原材料年産</t>
  </si>
  <si>
    <t>仕掛品コード</t>
  </si>
  <si>
    <t>仕掛品年産</t>
  </si>
  <si>
    <t>貯蔵品コード</t>
  </si>
  <si>
    <t>数量（分子）</t>
  </si>
  <si>
    <t>数量（仮数）</t>
  </si>
  <si>
    <t>定例取引品目入力の明細番号</t>
  </si>
  <si>
    <t>定例取引品目入力の受払組織コード</t>
  </si>
  <si>
    <t>定例取引品目入力の指図事業所コード</t>
  </si>
  <si>
    <t>定例取引品目入力の収支管理品目コード</t>
  </si>
  <si>
    <t>定例取引品目入力の年産</t>
  </si>
  <si>
    <t>定例取引品目入力の次数</t>
  </si>
  <si>
    <t>定例取引品目入力の原材料コード</t>
  </si>
  <si>
    <t>定例取引品目入力の原材料年産</t>
  </si>
  <si>
    <t>定例取引品目入力の仕掛品コード</t>
  </si>
  <si>
    <t>定例取引品目入力の仕掛品年産</t>
  </si>
  <si>
    <t>定例取引品目入力の貯蔵品コード</t>
  </si>
  <si>
    <t>定例取引品目入力の数量（分子）</t>
  </si>
  <si>
    <t>定例取引品目入力の数量（仮数）</t>
  </si>
  <si>
    <t>定例取引品目入力の本体金額１</t>
  </si>
  <si>
    <t>定例取引品目入力の消費税金額１</t>
  </si>
  <si>
    <t>定例取引品目入力の本体金額２</t>
  </si>
  <si>
    <t>定例取引品目入力の消費税金額２</t>
  </si>
  <si>
    <t>定例取引品目入力の本体金額３</t>
  </si>
  <si>
    <t>定例取引品目入力の消費税金額３</t>
  </si>
  <si>
    <t>定例取引品目入力の本体金額４</t>
  </si>
  <si>
    <t>定例取引品目入力の消費税金額４</t>
  </si>
  <si>
    <t>定例取引品目入力の本体金額５</t>
  </si>
  <si>
    <t>定例取引品目入力の消費税金額５</t>
  </si>
  <si>
    <t>【定例取引支払先入力】</t>
    <rPh sb="1" eb="3">
      <t>テイレイ</t>
    </rPh>
    <rPh sb="3" eb="5">
      <t>トリヒキ</t>
    </rPh>
    <rPh sb="5" eb="7">
      <t>シハライ</t>
    </rPh>
    <rPh sb="7" eb="8">
      <t>サキ</t>
    </rPh>
    <rPh sb="8" eb="10">
      <t>ニュウリョク</t>
    </rPh>
    <phoneticPr fontId="3"/>
  </si>
  <si>
    <t>相手先コード</t>
  </si>
  <si>
    <t>諸口取引先</t>
  </si>
  <si>
    <t>決済方法コード</t>
  </si>
  <si>
    <t>支払・入金予定日</t>
  </si>
  <si>
    <t>14</t>
  </si>
  <si>
    <t>定例取引支払先入力の明細番号</t>
  </si>
  <si>
    <t>定例取引支払先入力の相手先コード</t>
  </si>
  <si>
    <t>定例取引支払先入力の諸口取引先</t>
  </si>
  <si>
    <t>定例取引支払先入力の決済方法コード</t>
  </si>
  <si>
    <t>定例取引支払先入力の支払・入金予定日</t>
  </si>
  <si>
    <t>定例取引支払先入力の本体金額１</t>
  </si>
  <si>
    <t>定例取引支払先入力の消費税金額１</t>
  </si>
  <si>
    <t>定例取引支払先入力の本体金額２</t>
  </si>
  <si>
    <t>定例取引支払先入力の消費税金額２</t>
  </si>
  <si>
    <t>定例取引支払先入力の本体金額３</t>
  </si>
  <si>
    <t>定例取引支払先入力の消費税金額３</t>
  </si>
  <si>
    <t>定例取引支払先入力の本体金額４</t>
  </si>
  <si>
    <t>定例取引支払先入力の消費税金額４</t>
  </si>
  <si>
    <t>定例取引支払先入力の本体金額５</t>
  </si>
  <si>
    <t>定例取引支払先入力の消費税金額５</t>
  </si>
  <si>
    <t>【定例取引パターン（トレース用）】</t>
    <rPh sb="1" eb="3">
      <t>テイレイ</t>
    </rPh>
    <rPh sb="3" eb="5">
      <t>トリヒキ</t>
    </rPh>
    <rPh sb="14" eb="15">
      <t>ヨウ</t>
    </rPh>
    <phoneticPr fontId="3"/>
  </si>
  <si>
    <t>文字列</t>
    <phoneticPr fontId="3"/>
  </si>
  <si>
    <t>業種を識別するのコード</t>
    <rPh sb="3" eb="5">
      <t>シキベツ</t>
    </rPh>
    <phoneticPr fontId="3"/>
  </si>
  <si>
    <t>定例取引の種類</t>
    <phoneticPr fontId="3"/>
  </si>
  <si>
    <t>適用開始日</t>
  </si>
  <si>
    <t>当該レコードの適用開始日</t>
    <phoneticPr fontId="16"/>
  </si>
  <si>
    <t>適用終了日</t>
    <phoneticPr fontId="3"/>
  </si>
  <si>
    <t>当該レコードの適用終了日</t>
    <phoneticPr fontId="16"/>
  </si>
  <si>
    <t>取引パターン名称</t>
    <rPh sb="0" eb="2">
      <t>トリヒキ</t>
    </rPh>
    <rPh sb="6" eb="8">
      <t>メイショウ</t>
    </rPh>
    <phoneticPr fontId="3"/>
  </si>
  <si>
    <t>定例取引の取引名称</t>
    <rPh sb="0" eb="2">
      <t>テイレイ</t>
    </rPh>
    <rPh sb="2" eb="4">
      <t>トリヒキ</t>
    </rPh>
    <rPh sb="5" eb="7">
      <t>トリヒキ</t>
    </rPh>
    <rPh sb="7" eb="9">
      <t>メイショウ</t>
    </rPh>
    <phoneticPr fontId="3"/>
  </si>
  <si>
    <t>仕訳パターンコード</t>
    <rPh sb="0" eb="2">
      <t>シワケ</t>
    </rPh>
    <phoneticPr fontId="3"/>
  </si>
  <si>
    <t>自動仕訳するために使用するコード</t>
    <phoneticPr fontId="3"/>
  </si>
  <si>
    <t>使用区分</t>
    <rPh sb="0" eb="2">
      <t>シヨウ</t>
    </rPh>
    <rPh sb="2" eb="4">
      <t>クブン</t>
    </rPh>
    <phoneticPr fontId="3"/>
  </si>
  <si>
    <t>入力処理が行える個所</t>
    <rPh sb="0" eb="2">
      <t>ニュウリョク</t>
    </rPh>
    <rPh sb="2" eb="4">
      <t>ショリ</t>
    </rPh>
    <rPh sb="5" eb="6">
      <t>オコナ</t>
    </rPh>
    <rPh sb="8" eb="10">
      <t>カショ</t>
    </rPh>
    <phoneticPr fontId="3"/>
  </si>
  <si>
    <t>取扱区分</t>
    <rPh sb="0" eb="2">
      <t>トリアツカイ</t>
    </rPh>
    <rPh sb="2" eb="4">
      <t>クブン</t>
    </rPh>
    <phoneticPr fontId="3"/>
  </si>
  <si>
    <t>取扱種類（1:買取 2:受託 3:直送 4:共計 5:原料 9:輸送）</t>
    <rPh sb="0" eb="2">
      <t>トリアツカイ</t>
    </rPh>
    <rPh sb="2" eb="4">
      <t>シュルイ</t>
    </rPh>
    <phoneticPr fontId="3"/>
  </si>
  <si>
    <t>共計区分</t>
    <rPh sb="0" eb="1">
      <t>キョウ</t>
    </rPh>
    <rPh sb="1" eb="2">
      <t>ケイ</t>
    </rPh>
    <rPh sb="2" eb="4">
      <t>クブン</t>
    </rPh>
    <phoneticPr fontId="3"/>
  </si>
  <si>
    <t>共計の種類</t>
    <rPh sb="0" eb="1">
      <t>キョウ</t>
    </rPh>
    <rPh sb="1" eb="2">
      <t>ケイ</t>
    </rPh>
    <rPh sb="3" eb="5">
      <t>シュルイ</t>
    </rPh>
    <phoneticPr fontId="3"/>
  </si>
  <si>
    <t>主計課が一律に決定する摘要のコード</t>
    <phoneticPr fontId="3"/>
  </si>
  <si>
    <t>回収支払区分</t>
    <rPh sb="0" eb="2">
      <t>カイシュウ</t>
    </rPh>
    <rPh sb="2" eb="4">
      <t>シハライ</t>
    </rPh>
    <rPh sb="4" eb="6">
      <t>クブン</t>
    </rPh>
    <phoneticPr fontId="3"/>
  </si>
  <si>
    <t>取引が回収、支払、回収支払なし（サイトなし）かの区分</t>
    <rPh sb="0" eb="2">
      <t>トリヒキ</t>
    </rPh>
    <rPh sb="3" eb="5">
      <t>カイシュウ</t>
    </rPh>
    <rPh sb="6" eb="8">
      <t>シハライ</t>
    </rPh>
    <rPh sb="9" eb="11">
      <t>カイシュウ</t>
    </rPh>
    <rPh sb="11" eb="13">
      <t>シハライ</t>
    </rPh>
    <rPh sb="24" eb="26">
      <t>クブン</t>
    </rPh>
    <phoneticPr fontId="3"/>
  </si>
  <si>
    <t>回収支払方法区分</t>
    <phoneticPr fontId="3"/>
  </si>
  <si>
    <t>決済条件の識別を表す区分</t>
    <phoneticPr fontId="3"/>
  </si>
  <si>
    <t>入力パターンコード</t>
    <rPh sb="0" eb="2">
      <t>ニュウリョク</t>
    </rPh>
    <phoneticPr fontId="3"/>
  </si>
  <si>
    <t>入力パターン(1:品名1取引先1、2:品名N取引先1、3:品名1取引先N)</t>
    <rPh sb="0" eb="1">
      <t>ニュウリョク</t>
    </rPh>
    <rPh sb="19" eb="21">
      <t>ヒンメイ</t>
    </rPh>
    <rPh sb="22" eb="24">
      <t>トリヒキ</t>
    </rPh>
    <rPh sb="23" eb="24">
      <t>サキ</t>
    </rPh>
    <rPh sb="28" eb="30">
      <t>ヒンメイ</t>
    </rPh>
    <rPh sb="31" eb="34">
      <t>トリヒキサキ</t>
    </rPh>
    <phoneticPr fontId="3"/>
  </si>
  <si>
    <t>棚卸科目区分</t>
    <rPh sb="0" eb="2">
      <t>タナオロシ</t>
    </rPh>
    <rPh sb="2" eb="4">
      <t>カモク</t>
    </rPh>
    <rPh sb="4" eb="6">
      <t>クブン</t>
    </rPh>
    <phoneticPr fontId="3"/>
  </si>
  <si>
    <t>棚卸科目が発生するか(1:仕掛品 2:貯蔵品 0:発生なし)</t>
    <rPh sb="0" eb="2">
      <t>タナオロシ</t>
    </rPh>
    <rPh sb="2" eb="4">
      <t>カモク</t>
    </rPh>
    <rPh sb="5" eb="7">
      <t>ハッセイ</t>
    </rPh>
    <rPh sb="13" eb="15">
      <t>シカカリ</t>
    </rPh>
    <rPh sb="15" eb="16">
      <t>ヒン</t>
    </rPh>
    <rPh sb="19" eb="22">
      <t>チョゾウヒン</t>
    </rPh>
    <rPh sb="25" eb="27">
      <t>ハッセイ</t>
    </rPh>
    <phoneticPr fontId="3"/>
  </si>
  <si>
    <t>費用収益発生フラグ</t>
    <rPh sb="0" eb="2">
      <t>ヒヨウ</t>
    </rPh>
    <rPh sb="2" eb="4">
      <t>シュウエキ</t>
    </rPh>
    <rPh sb="4" eb="6">
      <t>ハッセイ</t>
    </rPh>
    <phoneticPr fontId="3"/>
  </si>
  <si>
    <t>費用・収益科目が発生するか(1:発生する 0:発生しない)</t>
    <rPh sb="0" eb="2">
      <t>ヒヨウ</t>
    </rPh>
    <rPh sb="3" eb="5">
      <t>シュウエキ</t>
    </rPh>
    <rPh sb="5" eb="7">
      <t>カモク</t>
    </rPh>
    <rPh sb="8" eb="10">
      <t>ハッセイ</t>
    </rPh>
    <rPh sb="16" eb="18">
      <t>ハッセイ</t>
    </rPh>
    <rPh sb="23" eb="25">
      <t>ハッセイ</t>
    </rPh>
    <phoneticPr fontId="3"/>
  </si>
  <si>
    <t>自動取消区分</t>
    <phoneticPr fontId="3"/>
  </si>
  <si>
    <t>月初に取消仕訳を起こす必要のある定例取引パターン(0：なし、1：あり)</t>
    <rPh sb="0" eb="2">
      <t>ゲッショ</t>
    </rPh>
    <rPh sb="3" eb="5">
      <t>トリケシ</t>
    </rPh>
    <rPh sb="5" eb="7">
      <t>シワケ</t>
    </rPh>
    <rPh sb="8" eb="9">
      <t>オ</t>
    </rPh>
    <rPh sb="11" eb="13">
      <t>ヒツヨウ</t>
    </rPh>
    <rPh sb="16" eb="18">
      <t>テイレイ</t>
    </rPh>
    <rPh sb="18" eb="20">
      <t>トリヒキ</t>
    </rPh>
    <phoneticPr fontId="3"/>
  </si>
  <si>
    <t>金額摘要コード１</t>
    <phoneticPr fontId="3"/>
  </si>
  <si>
    <t>金額を意味づけするコード</t>
    <phoneticPr fontId="3"/>
  </si>
  <si>
    <t>金額摘要ラベル１</t>
    <phoneticPr fontId="3"/>
  </si>
  <si>
    <t>金額摘要ラベル(定例入力表示用）</t>
    <rPh sb="8" eb="10">
      <t>テイレイ</t>
    </rPh>
    <rPh sb="10" eb="12">
      <t>ニュウリョク</t>
    </rPh>
    <rPh sb="12" eb="14">
      <t>ヒョウジ</t>
    </rPh>
    <rPh sb="14" eb="15">
      <t>ヨウ</t>
    </rPh>
    <phoneticPr fontId="3"/>
  </si>
  <si>
    <t>金額コード１</t>
    <rPh sb="0" eb="2">
      <t>キンガク</t>
    </rPh>
    <phoneticPr fontId="3"/>
  </si>
  <si>
    <t>本体金額コード</t>
    <rPh sb="0" eb="2">
      <t>ホンタイ</t>
    </rPh>
    <rPh sb="2" eb="4">
      <t>キンガク</t>
    </rPh>
    <phoneticPr fontId="3"/>
  </si>
  <si>
    <t>消費税金額コード１</t>
    <rPh sb="3" eb="5">
      <t>キンガク</t>
    </rPh>
    <phoneticPr fontId="3"/>
  </si>
  <si>
    <t>消費税金額コード</t>
    <rPh sb="3" eb="5">
      <t>キンガク</t>
    </rPh>
    <phoneticPr fontId="3"/>
  </si>
  <si>
    <t>消費税取引区分１</t>
    <rPh sb="0" eb="3">
      <t>ショウヒゼイ</t>
    </rPh>
    <rPh sb="3" eb="5">
      <t>トリヒキ</t>
    </rPh>
    <rPh sb="5" eb="7">
      <t>クブン</t>
    </rPh>
    <phoneticPr fontId="3"/>
  </si>
  <si>
    <t>消費税法に基づき分類する種類の区分</t>
    <phoneticPr fontId="3"/>
  </si>
  <si>
    <t>金額摘要コード２</t>
    <rPh sb="0" eb="2">
      <t>キンガク</t>
    </rPh>
    <rPh sb="2" eb="4">
      <t>テキヨウ</t>
    </rPh>
    <phoneticPr fontId="3"/>
  </si>
  <si>
    <t>金額摘要ラベル２</t>
    <phoneticPr fontId="3"/>
  </si>
  <si>
    <t>金額コード２</t>
    <rPh sb="0" eb="2">
      <t>キンガク</t>
    </rPh>
    <phoneticPr fontId="3"/>
  </si>
  <si>
    <t>消費税金額コード２</t>
    <rPh sb="3" eb="5">
      <t>キンガク</t>
    </rPh>
    <phoneticPr fontId="3"/>
  </si>
  <si>
    <t>消費税取引区分２</t>
    <rPh sb="0" eb="3">
      <t>ショウヒゼイ</t>
    </rPh>
    <rPh sb="3" eb="5">
      <t>トリヒキ</t>
    </rPh>
    <rPh sb="5" eb="7">
      <t>クブン</t>
    </rPh>
    <phoneticPr fontId="3"/>
  </si>
  <si>
    <t>金額摘要コード３</t>
    <rPh sb="0" eb="2">
      <t>キンガク</t>
    </rPh>
    <rPh sb="2" eb="4">
      <t>テキヨウ</t>
    </rPh>
    <phoneticPr fontId="3"/>
  </si>
  <si>
    <t>金額摘要ラベル３</t>
    <phoneticPr fontId="3"/>
  </si>
  <si>
    <t>金額コード３</t>
    <rPh sb="0" eb="2">
      <t>キンガク</t>
    </rPh>
    <phoneticPr fontId="3"/>
  </si>
  <si>
    <t>消費税金額コード３</t>
    <rPh sb="3" eb="5">
      <t>キンガク</t>
    </rPh>
    <phoneticPr fontId="3"/>
  </si>
  <si>
    <t>消費税取引区分３</t>
    <rPh sb="0" eb="3">
      <t>ショウヒゼイ</t>
    </rPh>
    <rPh sb="3" eb="5">
      <t>トリヒキ</t>
    </rPh>
    <rPh sb="5" eb="7">
      <t>クブン</t>
    </rPh>
    <phoneticPr fontId="3"/>
  </si>
  <si>
    <t>金額摘要コード４</t>
    <rPh sb="0" eb="2">
      <t>キンガク</t>
    </rPh>
    <rPh sb="2" eb="4">
      <t>テキヨウ</t>
    </rPh>
    <phoneticPr fontId="3"/>
  </si>
  <si>
    <t>金額摘要ラベル４</t>
    <phoneticPr fontId="3"/>
  </si>
  <si>
    <t>金額コード４</t>
    <rPh sb="0" eb="2">
      <t>キンガク</t>
    </rPh>
    <phoneticPr fontId="3"/>
  </si>
  <si>
    <t>消費税金額コード４</t>
    <rPh sb="3" eb="5">
      <t>キンガク</t>
    </rPh>
    <phoneticPr fontId="3"/>
  </si>
  <si>
    <t>消費税取引区分４</t>
    <rPh sb="0" eb="3">
      <t>ショウヒゼイ</t>
    </rPh>
    <rPh sb="3" eb="5">
      <t>トリヒキ</t>
    </rPh>
    <rPh sb="5" eb="7">
      <t>クブン</t>
    </rPh>
    <phoneticPr fontId="3"/>
  </si>
  <si>
    <t>金額摘要コード５</t>
    <rPh sb="0" eb="2">
      <t>キンガク</t>
    </rPh>
    <rPh sb="2" eb="4">
      <t>テキヨウ</t>
    </rPh>
    <phoneticPr fontId="3"/>
  </si>
  <si>
    <t>金額摘要ラベル５</t>
    <phoneticPr fontId="3"/>
  </si>
  <si>
    <t>金額コード５</t>
    <rPh sb="0" eb="2">
      <t>キンガク</t>
    </rPh>
    <phoneticPr fontId="3"/>
  </si>
  <si>
    <t>消費税金額コード５</t>
    <rPh sb="3" eb="5">
      <t>キンガク</t>
    </rPh>
    <phoneticPr fontId="3"/>
  </si>
  <si>
    <t>消費税取引区分５</t>
    <rPh sb="0" eb="3">
      <t>ショウヒゼイ</t>
    </rPh>
    <rPh sb="3" eb="5">
      <t>トリヒキ</t>
    </rPh>
    <rPh sb="5" eb="7">
      <t>クブン</t>
    </rPh>
    <phoneticPr fontId="3"/>
  </si>
  <si>
    <t>会計年度</t>
  </si>
  <si>
    <t>経理年月</t>
  </si>
  <si>
    <t>事業所コード</t>
  </si>
  <si>
    <t>施設コード</t>
  </si>
  <si>
    <t>勘定科目コード</t>
  </si>
  <si>
    <t>目節コード</t>
  </si>
  <si>
    <t>費用月計</t>
  </si>
  <si>
    <t>費用累計</t>
  </si>
  <si>
    <t>費用年間計画</t>
  </si>
  <si>
    <t>収益月計</t>
  </si>
  <si>
    <t>収益累計</t>
  </si>
  <si>
    <t>収益年間計画</t>
  </si>
  <si>
    <t>施設実績情報の会計年度</t>
  </si>
  <si>
    <t>施設実績情報の経理年月</t>
  </si>
  <si>
    <t>施設実績情報の事業所コード</t>
  </si>
  <si>
    <t>施設実績情報の業種コード</t>
  </si>
  <si>
    <t>施設実績情報の施設コード</t>
  </si>
  <si>
    <t>施設実績情報の勘定科目コード</t>
  </si>
  <si>
    <t>施設実績情報の目節コード</t>
  </si>
  <si>
    <t>施設実績情報の費用月計</t>
  </si>
  <si>
    <t>施設実績情報の費用累計</t>
  </si>
  <si>
    <t>施設実績情報の費用年間計画</t>
  </si>
  <si>
    <t>施設実績情報の収益月計</t>
  </si>
  <si>
    <t>施設実績情報の収益累計</t>
  </si>
  <si>
    <t>施設実績情報の収益年間計画</t>
  </si>
  <si>
    <t>科目摘要コード</t>
    <phoneticPr fontId="3"/>
  </si>
  <si>
    <t>科目摘要名称</t>
    <phoneticPr fontId="3"/>
  </si>
  <si>
    <t>科目摘要２</t>
    <phoneticPr fontId="3"/>
  </si>
  <si>
    <t>科目摘要コード</t>
    <phoneticPr fontId="2"/>
  </si>
  <si>
    <t>科目摘要名称</t>
    <phoneticPr fontId="2"/>
  </si>
  <si>
    <t>科目摘要補足</t>
  </si>
  <si>
    <t>科目摘要コード</t>
    <phoneticPr fontId="14"/>
  </si>
  <si>
    <t>科目摘要を識別するコード。</t>
    <rPh sb="5" eb="7">
      <t>シキベツ</t>
    </rPh>
    <phoneticPr fontId="2"/>
  </si>
  <si>
    <t>科目摘要名称</t>
    <phoneticPr fontId="14"/>
  </si>
  <si>
    <t>科目摘要の名称。</t>
    <rPh sb="5" eb="7">
      <t>メイショウ</t>
    </rPh>
    <phoneticPr fontId="2"/>
  </si>
  <si>
    <t>科目摘要に対する詳細情報。</t>
    <rPh sb="4" eb="5">
      <t>タイ</t>
    </rPh>
    <rPh sb="7" eb="11">
      <t>ショウサイジョウホウ</t>
    </rPh>
    <phoneticPr fontId="2"/>
  </si>
  <si>
    <t>借方-数量（分子換算数量計）</t>
    <rPh sb="0" eb="2">
      <t>カリカタ</t>
    </rPh>
    <rPh sb="3" eb="5">
      <t>スウリョウ</t>
    </rPh>
    <rPh sb="6" eb="8">
      <t>ブンシ</t>
    </rPh>
    <rPh sb="8" eb="10">
      <t>カンサン</t>
    </rPh>
    <rPh sb="10" eb="12">
      <t>スウリョウ</t>
    </rPh>
    <rPh sb="12" eb="13">
      <t>ケイ</t>
    </rPh>
    <phoneticPr fontId="6"/>
  </si>
  <si>
    <t>貸方-数量（分子換算数量計）</t>
    <rPh sb="0" eb="2">
      <t>カシカタ</t>
    </rPh>
    <rPh sb="3" eb="5">
      <t>スウリョウ</t>
    </rPh>
    <rPh sb="6" eb="8">
      <t>ブンシ</t>
    </rPh>
    <rPh sb="8" eb="10">
      <t>カンサン</t>
    </rPh>
    <rPh sb="10" eb="12">
      <t>スウリョウ</t>
    </rPh>
    <rPh sb="12" eb="13">
      <t>ケイ</t>
    </rPh>
    <phoneticPr fontId="6"/>
  </si>
  <si>
    <t>残高-数量（分子換算数量計）</t>
    <rPh sb="0" eb="2">
      <t>ザンダカ</t>
    </rPh>
    <rPh sb="3" eb="5">
      <t>スウリョウ</t>
    </rPh>
    <rPh sb="6" eb="8">
      <t>ブンシ</t>
    </rPh>
    <rPh sb="8" eb="10">
      <t>カンサン</t>
    </rPh>
    <rPh sb="10" eb="12">
      <t>スウリョウ</t>
    </rPh>
    <rPh sb="12" eb="13">
      <t>ケイ</t>
    </rPh>
    <phoneticPr fontId="6"/>
  </si>
  <si>
    <t>売上原価－数量（分子換算数量計）</t>
    <rPh sb="0" eb="4">
      <t>ウリアゲゲンカ</t>
    </rPh>
    <rPh sb="5" eb="7">
      <t>スウリョウ</t>
    </rPh>
    <phoneticPr fontId="6"/>
  </si>
  <si>
    <t>売上高－数量（分子換算数量計）</t>
    <rPh sb="0" eb="2">
      <t>ウリアゲ</t>
    </rPh>
    <rPh sb="2" eb="3">
      <t>ダカ</t>
    </rPh>
    <rPh sb="4" eb="6">
      <t>スウリョウ</t>
    </rPh>
    <phoneticPr fontId="6"/>
  </si>
  <si>
    <t>対象年月</t>
    <rPh sb="0" eb="1">
      <t>タイショウ</t>
    </rPh>
    <rPh sb="1" eb="3">
      <t>ネンゲツ</t>
    </rPh>
    <phoneticPr fontId="1"/>
  </si>
  <si>
    <t>人件費の支給対象となる年月を設定する</t>
    <rPh sb="0" eb="3">
      <t>ジンケンヒ</t>
    </rPh>
    <rPh sb="4" eb="6">
      <t>シキュウ</t>
    </rPh>
    <rPh sb="6" eb="8">
      <t>タイショウ</t>
    </rPh>
    <rPh sb="11" eb="13">
      <t>ネンゲツ</t>
    </rPh>
    <rPh sb="14" eb="16">
      <t>セッテイ</t>
    </rPh>
    <phoneticPr fontId="1"/>
  </si>
  <si>
    <t>英数字</t>
    <rPh sb="0" eb="3">
      <t>エイスウジ</t>
    </rPh>
    <phoneticPr fontId="1"/>
  </si>
  <si>
    <t>業種コードを設定する</t>
    <rPh sb="0" eb="2">
      <t>ギョウシュ</t>
    </rPh>
    <rPh sb="6" eb="8">
      <t>セッテイ</t>
    </rPh>
    <phoneticPr fontId="1"/>
  </si>
  <si>
    <t>業種名称</t>
    <rPh sb="0" eb="2">
      <t>ギョウシュ</t>
    </rPh>
    <rPh sb="2" eb="4">
      <t>メイショウ</t>
    </rPh>
    <phoneticPr fontId="4"/>
  </si>
  <si>
    <t>漢字</t>
    <rPh sb="0" eb="2">
      <t>カンジ</t>
    </rPh>
    <phoneticPr fontId="1"/>
  </si>
  <si>
    <t>業種の名称を設定する</t>
    <rPh sb="0" eb="2">
      <t>ギョウシュ</t>
    </rPh>
    <rPh sb="3" eb="5">
      <t>メイショウ</t>
    </rPh>
    <rPh sb="6" eb="8">
      <t>セッテイ</t>
    </rPh>
    <phoneticPr fontId="1"/>
  </si>
  <si>
    <t>対象者所属コード</t>
    <rPh sb="0" eb="3">
      <t>タイショウシャ</t>
    </rPh>
    <rPh sb="3" eb="5">
      <t>ショゾク</t>
    </rPh>
    <phoneticPr fontId="4"/>
  </si>
  <si>
    <t>所属組織コードを設定する</t>
    <rPh sb="0" eb="2">
      <t>ショゾク</t>
    </rPh>
    <rPh sb="2" eb="4">
      <t>ソシキ</t>
    </rPh>
    <rPh sb="8" eb="10">
      <t>セッテイ</t>
    </rPh>
    <phoneticPr fontId="1"/>
  </si>
  <si>
    <t>対象者所属名称</t>
    <rPh sb="0" eb="3">
      <t>タイショウシャ</t>
    </rPh>
    <rPh sb="3" eb="5">
      <t>ショゾク</t>
    </rPh>
    <rPh sb="5" eb="7">
      <t>メイショウ</t>
    </rPh>
    <phoneticPr fontId="4"/>
  </si>
  <si>
    <t>所属組織コードに対する名称を表示する</t>
    <rPh sb="0" eb="2">
      <t>ショゾク</t>
    </rPh>
    <rPh sb="2" eb="4">
      <t>ソシキ</t>
    </rPh>
    <rPh sb="8" eb="9">
      <t>タイ</t>
    </rPh>
    <rPh sb="11" eb="13">
      <t>メイショウ</t>
    </rPh>
    <rPh sb="14" eb="16">
      <t>ヒョウジ</t>
    </rPh>
    <phoneticPr fontId="1"/>
  </si>
  <si>
    <t>人件費の支給日を設定する</t>
    <rPh sb="0" eb="3">
      <t>ジンケンヒ</t>
    </rPh>
    <rPh sb="4" eb="7">
      <t>シキュウビ</t>
    </rPh>
    <phoneticPr fontId="2"/>
  </si>
  <si>
    <t>入力区分を設定する
1:給与・手当　2:会負担法定福利費　3:預貯金</t>
    <rPh sb="0" eb="2">
      <t>ニュウリョク</t>
    </rPh>
    <rPh sb="2" eb="4">
      <t>クブン</t>
    </rPh>
    <rPh sb="12" eb="14">
      <t>キュウヨ</t>
    </rPh>
    <rPh sb="15" eb="17">
      <t>テアテ</t>
    </rPh>
    <rPh sb="20" eb="28">
      <t>カイフタンホウテイフクリヒ</t>
    </rPh>
    <rPh sb="31" eb="34">
      <t>ヨチョキン</t>
    </rPh>
    <phoneticPr fontId="2"/>
  </si>
  <si>
    <t>入力区分の名称を設定する</t>
    <rPh sb="0" eb="2">
      <t>ニュウリョク</t>
    </rPh>
    <rPh sb="2" eb="4">
      <t>クブン</t>
    </rPh>
    <rPh sb="5" eb="7">
      <t>メイショウ</t>
    </rPh>
    <phoneticPr fontId="2"/>
  </si>
  <si>
    <t>給与区分を設定する
1:月例給与　2:夏期手当　5:年末手当　6:期末手当</t>
    <rPh sb="0" eb="4">
      <t>キュウヨクブン</t>
    </rPh>
    <phoneticPr fontId="2"/>
  </si>
  <si>
    <t>給与区分の名称を設定する</t>
    <rPh sb="0" eb="4">
      <t>キュウヨクブン</t>
    </rPh>
    <rPh sb="5" eb="7">
      <t>メイショウ</t>
    </rPh>
    <phoneticPr fontId="2"/>
  </si>
  <si>
    <t>給与を支給する個所のコードを設定する</t>
    <rPh sb="0" eb="2">
      <t>キュウヨ</t>
    </rPh>
    <rPh sb="3" eb="5">
      <t>シキュウ</t>
    </rPh>
    <rPh sb="7" eb="9">
      <t>カショ</t>
    </rPh>
    <phoneticPr fontId="2"/>
  </si>
  <si>
    <t>給与を支給する個所の名称を設定する</t>
    <rPh sb="0" eb="2">
      <t>キュウヨ</t>
    </rPh>
    <rPh sb="3" eb="5">
      <t>シキュウ</t>
    </rPh>
    <rPh sb="7" eb="9">
      <t>カショ</t>
    </rPh>
    <rPh sb="10" eb="12">
      <t>メイショウ</t>
    </rPh>
    <phoneticPr fontId="2"/>
  </si>
  <si>
    <t>科目分類を設定する</t>
    <rPh sb="0" eb="4">
      <t>カモクブンルイ</t>
    </rPh>
    <phoneticPr fontId="2"/>
  </si>
  <si>
    <t>科目分類の名称を設定する</t>
    <rPh sb="0" eb="4">
      <t>カモクブンルイ</t>
    </rPh>
    <rPh sb="5" eb="7">
      <t>メイショウ</t>
    </rPh>
    <phoneticPr fontId="2"/>
  </si>
  <si>
    <t>科目区分を設定する</t>
    <rPh sb="0" eb="3">
      <t>カモククブン</t>
    </rPh>
    <phoneticPr fontId="2"/>
  </si>
  <si>
    <t>科目区分の名称を設定する</t>
    <rPh sb="0" eb="3">
      <t>カモククブン</t>
    </rPh>
    <rPh sb="4" eb="6">
      <t>メイショウ</t>
    </rPh>
    <phoneticPr fontId="2"/>
  </si>
  <si>
    <t>連動データを科目ごとに合算した役員報酬を設定する</t>
    <rPh sb="15" eb="19">
      <t>ヤクインホウシュウ</t>
    </rPh>
    <phoneticPr fontId="2"/>
  </si>
  <si>
    <t>連動データを科目ごとに合算した役員通勤手当を設定する</t>
    <rPh sb="15" eb="21">
      <t>ヤクインツウキンテアテ</t>
    </rPh>
    <phoneticPr fontId="2"/>
  </si>
  <si>
    <t>連動データを科目ごとに合算した職員本棒を設定する</t>
    <rPh sb="14" eb="17">
      <t>ショクインホンボウ</t>
    </rPh>
    <rPh sb="18" eb="20">
      <t>シュツリョク</t>
    </rPh>
    <phoneticPr fontId="2"/>
  </si>
  <si>
    <t>連動データを科目ごとに合算した諸手当を設定する</t>
    <rPh sb="15" eb="18">
      <t>ショテアテ</t>
    </rPh>
    <phoneticPr fontId="2"/>
  </si>
  <si>
    <t>連動データを科目ごとに合算した通勤手当を設定する</t>
    <rPh sb="15" eb="19">
      <t>ツウキンテアテ</t>
    </rPh>
    <phoneticPr fontId="2"/>
  </si>
  <si>
    <t>連動データを科目ごとに合算した臨時者賃金を設定する</t>
    <rPh sb="15" eb="18">
      <t>リンジシャ</t>
    </rPh>
    <rPh sb="18" eb="20">
      <t>チンギン</t>
    </rPh>
    <phoneticPr fontId="2"/>
  </si>
  <si>
    <t>連動データを科目ごとに合算した臨時者通勤手当を設定する</t>
    <rPh sb="15" eb="17">
      <t>リンジ</t>
    </rPh>
    <rPh sb="17" eb="18">
      <t>シャ</t>
    </rPh>
    <rPh sb="18" eb="22">
      <t>ツウキンテアテ</t>
    </rPh>
    <phoneticPr fontId="2"/>
  </si>
  <si>
    <t>連動データを科目ごとに合算した教育訓練費を設定する</t>
    <rPh sb="15" eb="20">
      <t>キョウイククンレンヒ</t>
    </rPh>
    <phoneticPr fontId="2"/>
  </si>
  <si>
    <t>連動データを科目ごとに合算した健保給付金を設定する</t>
    <rPh sb="15" eb="20">
      <t>ケンポキュウフキン</t>
    </rPh>
    <phoneticPr fontId="2"/>
  </si>
  <si>
    <t>連動データを科目ごとに合算したきずな配当金を設定する</t>
    <rPh sb="18" eb="21">
      <t>ハイトウキン</t>
    </rPh>
    <phoneticPr fontId="2"/>
  </si>
  <si>
    <t>連動データを科目ごとに合算した普通貸付金を設定する</t>
    <rPh sb="15" eb="17">
      <t>フツウ</t>
    </rPh>
    <rPh sb="17" eb="20">
      <t>カシツケキン</t>
    </rPh>
    <phoneticPr fontId="2"/>
  </si>
  <si>
    <t>連動データを科目ごとに合算した特別貸付金を設定する</t>
    <rPh sb="15" eb="20">
      <t>トクベツカシツケキン</t>
    </rPh>
    <phoneticPr fontId="2"/>
  </si>
  <si>
    <t>連動データを科目ごとに合算した諸控除額を設定する</t>
    <rPh sb="15" eb="19">
      <t>ショコウジョガク</t>
    </rPh>
    <phoneticPr fontId="2"/>
  </si>
  <si>
    <t>連動データを科目ごとに合算した其他控除額を設定する</t>
    <rPh sb="15" eb="16">
      <t>ソ</t>
    </rPh>
    <rPh sb="16" eb="17">
      <t>ホカ</t>
    </rPh>
    <rPh sb="17" eb="20">
      <t>コウジョガク</t>
    </rPh>
    <phoneticPr fontId="2"/>
  </si>
  <si>
    <t>連動データを科目ごとに合算した現物給与を設定する</t>
    <rPh sb="15" eb="19">
      <t>ゲンブツキュウヨ</t>
    </rPh>
    <phoneticPr fontId="2"/>
  </si>
  <si>
    <t>連動データを科目ごとに合算した物品代を設定する</t>
    <rPh sb="15" eb="18">
      <t>ブッピンダイ</t>
    </rPh>
    <phoneticPr fontId="2"/>
  </si>
  <si>
    <t>連動データを科目ごとに合算した食費を設定する</t>
    <rPh sb="15" eb="17">
      <t>ショクヒ</t>
    </rPh>
    <phoneticPr fontId="2"/>
  </si>
  <si>
    <t>連動データを科目ごとに合算した生命保険料を設定する</t>
    <rPh sb="15" eb="20">
      <t>セイメイホケンリョウ</t>
    </rPh>
    <phoneticPr fontId="2"/>
  </si>
  <si>
    <t>連動データを科目ごとに合算した損害保険料を設定する</t>
    <rPh sb="15" eb="20">
      <t>ソンガイホケンリョウ</t>
    </rPh>
    <phoneticPr fontId="2"/>
  </si>
  <si>
    <t>連動データを科目ごとに合算したきずな月掛金を設定する</t>
    <rPh sb="18" eb="20">
      <t>ツキカ</t>
    </rPh>
    <rPh sb="20" eb="21">
      <t>キン</t>
    </rPh>
    <phoneticPr fontId="2"/>
  </si>
  <si>
    <t>連動データを科目ごとに合算したきずな臨掛金を設定する</t>
    <rPh sb="18" eb="19">
      <t>リン</t>
    </rPh>
    <rPh sb="19" eb="21">
      <t>カケキン</t>
    </rPh>
    <phoneticPr fontId="2"/>
  </si>
  <si>
    <t>連動データを科目ごとに合算した健康保険料を設定する</t>
    <rPh sb="15" eb="20">
      <t>ケンコウホケンリョウ</t>
    </rPh>
    <phoneticPr fontId="2"/>
  </si>
  <si>
    <t>連動データを科目ごとに合算した介護保険料を設定する</t>
    <rPh sb="15" eb="20">
      <t>カイゴホケンリョウ</t>
    </rPh>
    <phoneticPr fontId="2"/>
  </si>
  <si>
    <t>連動データを科目ごとに合算した年金保険料を設定する</t>
    <rPh sb="15" eb="20">
      <t>ネンキンホケンリョウ</t>
    </rPh>
    <phoneticPr fontId="2"/>
  </si>
  <si>
    <t>連動データを科目ごとに合算した雇用保険料を設定する</t>
    <rPh sb="15" eb="20">
      <t>コヨウホケンリョウ</t>
    </rPh>
    <phoneticPr fontId="2"/>
  </si>
  <si>
    <t>連動データを科目ごとに合算した所得税を設定する</t>
    <rPh sb="15" eb="18">
      <t>ショトクゼイ</t>
    </rPh>
    <phoneticPr fontId="2"/>
  </si>
  <si>
    <t>連動データを科目ごとに合算した住民性を設定する</t>
    <rPh sb="15" eb="18">
      <t>ジュウミンセイ</t>
    </rPh>
    <phoneticPr fontId="2"/>
  </si>
  <si>
    <t>連動データを科目ごとに合算した積立貯金を設定する</t>
    <rPh sb="15" eb="19">
      <t>ツミタテチョキン</t>
    </rPh>
    <phoneticPr fontId="2"/>
  </si>
  <si>
    <t>連動データを科目ごとに合算した雑受取利息を設定する</t>
    <rPh sb="15" eb="18">
      <t>ザツウケトリ</t>
    </rPh>
    <rPh sb="18" eb="20">
      <t>リソク</t>
    </rPh>
    <phoneticPr fontId="2"/>
  </si>
  <si>
    <t>連動データを科目ごとに合算した住宅料を設定する</t>
    <rPh sb="15" eb="18">
      <t>ジュウタクリョウ</t>
    </rPh>
    <phoneticPr fontId="2"/>
  </si>
  <si>
    <t>連動データを科目ごとに合算したその他預り金を設定する</t>
    <rPh sb="17" eb="18">
      <t>タ</t>
    </rPh>
    <rPh sb="18" eb="19">
      <t>アズカ</t>
    </rPh>
    <rPh sb="20" eb="21">
      <t>キン</t>
    </rPh>
    <phoneticPr fontId="2"/>
  </si>
  <si>
    <t>連動データを科目ごとに合算した貯金担保徴収額を設定する</t>
    <rPh sb="15" eb="17">
      <t>チョキン</t>
    </rPh>
    <rPh sb="17" eb="19">
      <t>タンポ</t>
    </rPh>
    <rPh sb="19" eb="22">
      <t>チョウシュウガク</t>
    </rPh>
    <phoneticPr fontId="2"/>
  </si>
  <si>
    <t>連動データを科目ごとに合算した振込額を設定する</t>
    <rPh sb="15" eb="18">
      <t>フリコミガク</t>
    </rPh>
    <phoneticPr fontId="2"/>
  </si>
  <si>
    <t>連動データを科目ごとに合算した現金支給額を設定する</t>
    <rPh sb="15" eb="20">
      <t>ゲンキンシキュウガク</t>
    </rPh>
    <phoneticPr fontId="2"/>
  </si>
  <si>
    <t>連動データを科目ごとに合算した仮受金を設定する</t>
    <rPh sb="15" eb="16">
      <t>カリ</t>
    </rPh>
    <rPh sb="16" eb="17">
      <t>ウ</t>
    </rPh>
    <rPh sb="17" eb="18">
      <t>キン</t>
    </rPh>
    <phoneticPr fontId="2"/>
  </si>
  <si>
    <t>連動データを科目ごとに合算した赤支給差額分（未収金）を設定する</t>
    <rPh sb="15" eb="16">
      <t>アカ</t>
    </rPh>
    <rPh sb="16" eb="18">
      <t>シキュウ</t>
    </rPh>
    <rPh sb="18" eb="20">
      <t>サガク</t>
    </rPh>
    <rPh sb="20" eb="21">
      <t>ブン</t>
    </rPh>
    <rPh sb="22" eb="24">
      <t>ミシュウ</t>
    </rPh>
    <rPh sb="24" eb="25">
      <t>キン</t>
    </rPh>
    <phoneticPr fontId="2"/>
  </si>
  <si>
    <t>連動データを科目ごとに合算した役員報酬の健康保険料を設定する</t>
    <rPh sb="15" eb="19">
      <t>ヤクインホウシュウ</t>
    </rPh>
    <rPh sb="20" eb="25">
      <t>ケンコウホケンリョウ</t>
    </rPh>
    <phoneticPr fontId="2"/>
  </si>
  <si>
    <t>連動データを科目ごとに合算した役員報酬の介護保険料を設定する</t>
    <rPh sb="15" eb="19">
      <t>ヤクインホウシュウ</t>
    </rPh>
    <rPh sb="20" eb="25">
      <t>カイゴホケンリョウ</t>
    </rPh>
    <phoneticPr fontId="2"/>
  </si>
  <si>
    <t>連動データを科目ごとに合算した役員報酬の厚生年金保険料を設定する</t>
    <rPh sb="15" eb="19">
      <t>ヤクインホウシュウ</t>
    </rPh>
    <rPh sb="20" eb="27">
      <t>コウセイネンキンホケンリョウ</t>
    </rPh>
    <phoneticPr fontId="2"/>
  </si>
  <si>
    <t>連動データを科目ごとに合算した福利厚生費（職員）の健康保険料を設定する</t>
    <rPh sb="15" eb="20">
      <t>フクリコウセイヒ</t>
    </rPh>
    <rPh sb="21" eb="23">
      <t>ショクイン</t>
    </rPh>
    <rPh sb="25" eb="30">
      <t>ケンコウホケンリョウ</t>
    </rPh>
    <phoneticPr fontId="2"/>
  </si>
  <si>
    <t>連動データを科目ごとに合算した福利厚生費（職員）の介護保険料を設定する</t>
    <rPh sb="15" eb="20">
      <t>フクリコウセイヒ</t>
    </rPh>
    <rPh sb="25" eb="30">
      <t>カイゴホケンリョウ</t>
    </rPh>
    <phoneticPr fontId="2"/>
  </si>
  <si>
    <t>連動データを科目ごとに合算した福利厚生費（職員）の厚生年金保険料を設定する</t>
    <rPh sb="15" eb="20">
      <t>フクリコウセイヒ</t>
    </rPh>
    <rPh sb="21" eb="23">
      <t>ショクイン</t>
    </rPh>
    <rPh sb="25" eb="32">
      <t>コウセイネンキンホケンリョウ</t>
    </rPh>
    <phoneticPr fontId="2"/>
  </si>
  <si>
    <t>連動データを科目ごとに合算した福利厚生費（臨時者）の健康保険料を設定する</t>
    <rPh sb="15" eb="20">
      <t>フクリコウセイヒ</t>
    </rPh>
    <rPh sb="21" eb="24">
      <t>リンジシャ</t>
    </rPh>
    <rPh sb="26" eb="31">
      <t>ケンコウホケンリョウ</t>
    </rPh>
    <phoneticPr fontId="2"/>
  </si>
  <si>
    <t>連動データを科目ごとに合算した福利厚生費（臨時者）の介護保険料を設定する</t>
    <rPh sb="15" eb="20">
      <t>フクリコウセイヒ</t>
    </rPh>
    <rPh sb="26" eb="31">
      <t>カイゴホケンリョウ</t>
    </rPh>
    <phoneticPr fontId="2"/>
  </si>
  <si>
    <t>連動データを科目ごとに合算した福利厚生費（臨時者）の厚生年金保険料を設定する</t>
    <rPh sb="15" eb="20">
      <t>フクリコウセイヒ</t>
    </rPh>
    <rPh sb="21" eb="23">
      <t>リンジ</t>
    </rPh>
    <rPh sb="23" eb="24">
      <t>シャ</t>
    </rPh>
    <rPh sb="26" eb="33">
      <t>コウセイネンキンホケンリョウ</t>
    </rPh>
    <phoneticPr fontId="2"/>
  </si>
  <si>
    <t>連動データを科目ごとに合算した定期貯金額を設定する</t>
    <rPh sb="15" eb="20">
      <t>テイキチョキンガク</t>
    </rPh>
    <phoneticPr fontId="2"/>
  </si>
  <si>
    <t>連動データを科目ごとに合算した積立貯金額を設定する</t>
    <rPh sb="15" eb="17">
      <t>ツミタテ</t>
    </rPh>
    <rPh sb="17" eb="20">
      <t>チョキンガク</t>
    </rPh>
    <phoneticPr fontId="2"/>
  </si>
  <si>
    <t>連動データを科目ごとに合算した雑支払利息を設定する</t>
    <rPh sb="15" eb="18">
      <t>ザツシハライ</t>
    </rPh>
    <rPh sb="18" eb="20">
      <t>リソク</t>
    </rPh>
    <phoneticPr fontId="2"/>
  </si>
  <si>
    <t>連動データを科目ごとに合算した給与徴収額を設定する</t>
    <rPh sb="15" eb="20">
      <t>キュウヨチョウシュウガク</t>
    </rPh>
    <phoneticPr fontId="2"/>
  </si>
  <si>
    <t>連動データを科目ごとに合算した利息税　国税を設定する</t>
    <rPh sb="15" eb="18">
      <t>リソクゼイ</t>
    </rPh>
    <rPh sb="19" eb="21">
      <t>コクゼイ</t>
    </rPh>
    <phoneticPr fontId="2"/>
  </si>
  <si>
    <t>連動データを科目ごとに合算した利息税　地方税を設定する</t>
    <rPh sb="15" eb="18">
      <t>リソクゼイ</t>
    </rPh>
    <rPh sb="19" eb="22">
      <t>チホウゼイ</t>
    </rPh>
    <phoneticPr fontId="2"/>
  </si>
  <si>
    <t>連動データを科目ごとに合算した定期貯金額を設定する</t>
    <rPh sb="15" eb="19">
      <t>テイキチョキン</t>
    </rPh>
    <rPh sb="19" eb="20">
      <t>ガク</t>
    </rPh>
    <phoneticPr fontId="2"/>
  </si>
  <si>
    <t>連動データを科目ごとに合算した貯金担保貸付金を設定する</t>
    <rPh sb="0" eb="2">
      <t>レンドウ</t>
    </rPh>
    <rPh sb="6" eb="8">
      <t>カモク</t>
    </rPh>
    <rPh sb="11" eb="13">
      <t>ガッサン</t>
    </rPh>
    <rPh sb="15" eb="17">
      <t>チョキン</t>
    </rPh>
    <rPh sb="17" eb="19">
      <t>タンポ</t>
    </rPh>
    <rPh sb="19" eb="21">
      <t>カシツケ</t>
    </rPh>
    <rPh sb="21" eb="22">
      <t>キン</t>
    </rPh>
    <phoneticPr fontId="2"/>
  </si>
  <si>
    <t>連動データを科目ごとに合算した貯金貸付利息を設定する</t>
    <rPh sb="15" eb="17">
      <t>チョキン</t>
    </rPh>
    <rPh sb="17" eb="19">
      <t>カシツケ</t>
    </rPh>
    <rPh sb="19" eb="21">
      <t>リソク</t>
    </rPh>
    <phoneticPr fontId="2"/>
  </si>
  <si>
    <t>対象年月</t>
    <rPh sb="0" eb="3">
      <t>タイショウネンゲツ</t>
    </rPh>
    <phoneticPr fontId="3"/>
  </si>
  <si>
    <t>差戻日時</t>
    <phoneticPr fontId="3"/>
  </si>
  <si>
    <t>差戻者ユーザーＩＤ</t>
    <phoneticPr fontId="3"/>
  </si>
  <si>
    <t>相手先明細の諸口取引先名称</t>
    <rPh sb="0" eb="2">
      <t>アイテ</t>
    </rPh>
    <rPh sb="2" eb="3">
      <t>サキ</t>
    </rPh>
    <rPh sb="3" eb="5">
      <t>メイサイ</t>
    </rPh>
    <rPh sb="6" eb="8">
      <t>モロクチ</t>
    </rPh>
    <rPh sb="8" eb="10">
      <t>トリヒキ</t>
    </rPh>
    <rPh sb="10" eb="11">
      <t>サキ</t>
    </rPh>
    <rPh sb="11" eb="13">
      <t>メイショウ</t>
    </rPh>
    <phoneticPr fontId="3"/>
  </si>
  <si>
    <t>付替金額</t>
  </si>
  <si>
    <t>承認状況</t>
  </si>
  <si>
    <t>未払組織コード</t>
  </si>
  <si>
    <t>科目区分</t>
  </si>
  <si>
    <t>支払予定日（ＦＲＯＭ）</t>
  </si>
  <si>
    <t>支払予定日（ＴＯ）</t>
  </si>
  <si>
    <t>支払方法</t>
  </si>
  <si>
    <t>満期日</t>
  </si>
  <si>
    <t>支払締め日</t>
  </si>
  <si>
    <t>差戻日時</t>
  </si>
  <si>
    <t>差戻者ユーザーＩＤ</t>
  </si>
  <si>
    <t>消費税金額</t>
  </si>
  <si>
    <t>債務受付番号</t>
  </si>
  <si>
    <t>債務明細連番</t>
  </si>
  <si>
    <t>消費税差額入力明細の明細番号</t>
  </si>
  <si>
    <t>消費税差額入力明細の消費税金額</t>
  </si>
  <si>
    <t>消費税差額入力明細の債務受付番号</t>
  </si>
  <si>
    <t>消費税差額入力明細の債務明細連番</t>
  </si>
  <si>
    <t>消費税差額入力の伝票番号</t>
  </si>
  <si>
    <t>消費税差額入力の未払組織コード</t>
  </si>
  <si>
    <t>消費税差額入力の支払予定日（ＦＲＯＭ）</t>
  </si>
  <si>
    <t>消費税差額入力の支払予定日（ＴＯ）</t>
  </si>
  <si>
    <t>消費税差額入力の支払方法</t>
  </si>
  <si>
    <t>消費税差額入力の満期日</t>
  </si>
  <si>
    <t>消費税差額入力の支払締め日</t>
  </si>
  <si>
    <t>消費税差額入力の添付ファイル２</t>
  </si>
  <si>
    <t>消費税差額入力の添付ファイル３</t>
  </si>
  <si>
    <t>消費税差額入力の参照ＵＲＬ</t>
  </si>
  <si>
    <t>消費税差額入力の差戻日時</t>
  </si>
  <si>
    <t>消費税差額入力の差戻者ユーザーＩＤ</t>
  </si>
  <si>
    <t>消費税差額入力の差戻コメント</t>
  </si>
  <si>
    <t>消費税差額入力の業種コード</t>
  </si>
  <si>
    <t>消費税差額入力の科目区分
1:購買未払金　2:販売未払金　3:諸掛未払金</t>
    <phoneticPr fontId="2"/>
  </si>
  <si>
    <t>取消区分</t>
    <rPh sb="0" eb="3">
      <t>トリケシクブン</t>
    </rPh>
    <phoneticPr fontId="2"/>
  </si>
  <si>
    <t>取消の有無を示す区分
０：取消なし、１：取消あり</t>
    <phoneticPr fontId="2"/>
  </si>
  <si>
    <t>添付ファイル名１</t>
    <rPh sb="6" eb="7">
      <t>メイ</t>
    </rPh>
    <phoneticPr fontId="2"/>
  </si>
  <si>
    <t>消費税差額入力の添付ファイル名１</t>
    <rPh sb="14" eb="15">
      <t>メイ</t>
    </rPh>
    <phoneticPr fontId="2"/>
  </si>
  <si>
    <t>添付ファイル１</t>
    <phoneticPr fontId="2"/>
  </si>
  <si>
    <t>添付ファイル名３</t>
    <rPh sb="6" eb="7">
      <t>メイ</t>
    </rPh>
    <phoneticPr fontId="2"/>
  </si>
  <si>
    <t>添付ファイル名２</t>
    <rPh sb="6" eb="7">
      <t>メイ</t>
    </rPh>
    <phoneticPr fontId="2"/>
  </si>
  <si>
    <t>消費税差額入力の添付ファイル１</t>
    <phoneticPr fontId="2"/>
  </si>
  <si>
    <t>消費税差額入力の添付ファイル名２</t>
    <rPh sb="14" eb="15">
      <t>メイ</t>
    </rPh>
    <phoneticPr fontId="2"/>
  </si>
  <si>
    <t>消費税差額入力の添付ファイル名３</t>
    <rPh sb="14" eb="15">
      <t>メイ</t>
    </rPh>
    <phoneticPr fontId="2"/>
  </si>
  <si>
    <t>収益入力の添付ファイル名１</t>
    <rPh sb="11" eb="12">
      <t>メイ</t>
    </rPh>
    <phoneticPr fontId="2"/>
  </si>
  <si>
    <t>収益入力の添付ファイル１</t>
  </si>
  <si>
    <t>収益入力の添付ファイル名２</t>
    <rPh sb="11" eb="12">
      <t>メイ</t>
    </rPh>
    <phoneticPr fontId="2"/>
  </si>
  <si>
    <t>収益入力の添付ファイル２</t>
  </si>
  <si>
    <t>収益入力の添付ファイル名３</t>
    <rPh sb="11" eb="12">
      <t>メイ</t>
    </rPh>
    <phoneticPr fontId="2"/>
  </si>
  <si>
    <t>収益入力の添付ファイル３</t>
  </si>
  <si>
    <t>相手先明細の連番</t>
    <phoneticPr fontId="3"/>
  </si>
  <si>
    <t>相手先明細の相手先（取引先）を識別するコード</t>
    <phoneticPr fontId="3"/>
  </si>
  <si>
    <t>相手先明細　明細番号</t>
    <phoneticPr fontId="2"/>
  </si>
  <si>
    <t>相手先明細　相手先コード</t>
    <phoneticPr fontId="2"/>
  </si>
  <si>
    <t>相手先明細　本体金額</t>
    <phoneticPr fontId="2"/>
  </si>
  <si>
    <t>相手先明細　消費税金額</t>
    <phoneticPr fontId="2"/>
  </si>
  <si>
    <t>相手先明細　消費税取引区分</t>
    <phoneticPr fontId="2"/>
  </si>
  <si>
    <t>相手先明細　入金予定日</t>
    <phoneticPr fontId="2"/>
  </si>
  <si>
    <t>相手先明細　入金方法区分</t>
    <phoneticPr fontId="2"/>
  </si>
  <si>
    <t>相手先明細　諸口取引先名称</t>
    <phoneticPr fontId="2"/>
  </si>
  <si>
    <t>相手先明細の入金方法を識別するコード
「１：現金」「２：振込」「７：振替」「９：立替」</t>
    <rPh sb="0" eb="2">
      <t>アイテ</t>
    </rPh>
    <rPh sb="2" eb="3">
      <t>サキ</t>
    </rPh>
    <rPh sb="3" eb="5">
      <t>メイサイ</t>
    </rPh>
    <phoneticPr fontId="3"/>
  </si>
  <si>
    <t>相手先区分</t>
    <rPh sb="3" eb="5">
      <t>クブン</t>
    </rPh>
    <phoneticPr fontId="3"/>
  </si>
  <si>
    <t>定例取引支払先入力の相手先区分</t>
    <rPh sb="13" eb="15">
      <t>クブン</t>
    </rPh>
    <phoneticPr fontId="3"/>
  </si>
  <si>
    <t>【付替受入入力】</t>
    <rPh sb="1" eb="2">
      <t>ツキ</t>
    </rPh>
    <rPh sb="2" eb="3">
      <t>カワ</t>
    </rPh>
    <rPh sb="3" eb="5">
      <t>ウケイレ</t>
    </rPh>
    <rPh sb="5" eb="7">
      <t>ニュウリョク</t>
    </rPh>
    <phoneticPr fontId="3"/>
  </si>
  <si>
    <t>付替元伝票番号</t>
    <rPh sb="0" eb="2">
      <t>ツケカ</t>
    </rPh>
    <rPh sb="2" eb="3">
      <t>モト</t>
    </rPh>
    <phoneticPr fontId="2"/>
  </si>
  <si>
    <t>予算組織コード</t>
  </si>
  <si>
    <t>予算</t>
    <rPh sb="0" eb="1">
      <t>ヨサン</t>
    </rPh>
    <phoneticPr fontId="2"/>
  </si>
  <si>
    <t>実績</t>
    <rPh sb="0" eb="1">
      <t>ジッセキ</t>
    </rPh>
    <phoneticPr fontId="2"/>
  </si>
  <si>
    <t>科目摘要コード</t>
  </si>
  <si>
    <t>科目摘要細目</t>
    <rPh sb="3" eb="5">
      <t>サイモク</t>
    </rPh>
    <phoneticPr fontId="2"/>
  </si>
  <si>
    <t>取消区分</t>
    <rPh sb="0" eb="2">
      <t>トリケシクブン</t>
    </rPh>
    <phoneticPr fontId="2"/>
  </si>
  <si>
    <t>付替仕向入力の付替金額</t>
  </si>
  <si>
    <t>付替仕向入力の添付ファイル名１</t>
  </si>
  <si>
    <t>付替仕向入力の添付ファイル１</t>
  </si>
  <si>
    <t>付替仕向入力の添付ファイル名２</t>
  </si>
  <si>
    <t>付替仕向入力の添付ファイル２</t>
  </si>
  <si>
    <t>付替仕向入力の添付ファイル名３</t>
  </si>
  <si>
    <t>付替仕向入力の添付ファイル３</t>
  </si>
  <si>
    <t>付替仕向入力の参照ＵＲＬ</t>
  </si>
  <si>
    <t>【付替仕向入力】</t>
    <rPh sb="1" eb="2">
      <t>ツキ</t>
    </rPh>
    <rPh sb="2" eb="3">
      <t>カワ</t>
    </rPh>
    <rPh sb="3" eb="5">
      <t>シム</t>
    </rPh>
    <rPh sb="5" eb="7">
      <t>ニュウリョク</t>
    </rPh>
    <phoneticPr fontId="3"/>
  </si>
  <si>
    <t>付替先伝票番号</t>
    <rPh sb="0" eb="2">
      <t>ツケカ</t>
    </rPh>
    <rPh sb="2" eb="3">
      <t>サキ</t>
    </rPh>
    <phoneticPr fontId="2"/>
  </si>
  <si>
    <t>付替仕向入力の付替元伝票番号</t>
  </si>
  <si>
    <t>付替仕向入力の承認状況</t>
  </si>
  <si>
    <t>付替仕向入力の予算組織コード</t>
  </si>
  <si>
    <t>付替仕向入力の業種コード</t>
  </si>
  <si>
    <t>付替仕向入力の予算</t>
  </si>
  <si>
    <t>付替仕向入力の実績</t>
  </si>
  <si>
    <t>付替仕向入力の科目摘要コード</t>
  </si>
  <si>
    <t>付替仕向入力の科目摘要細目</t>
  </si>
  <si>
    <t>付替仕向入力の科目摘要補足</t>
  </si>
  <si>
    <t>付替仕向入力の差戻日時</t>
  </si>
  <si>
    <t>付替仕向入力の差戻者ユーザーＩＤ</t>
  </si>
  <si>
    <t>付替仕向入力の差戻コメント</t>
  </si>
  <si>
    <t>付替受入入力の付替先伝票番号</t>
  </si>
  <si>
    <t>付替受入入力の承認状況</t>
  </si>
  <si>
    <t>付替受入入力の予算組織コード</t>
  </si>
  <si>
    <t>付替受入入力の業種コード</t>
  </si>
  <si>
    <t>付替受入入力の予算</t>
  </si>
  <si>
    <t>付替受入入力の実績</t>
  </si>
  <si>
    <t>付替受入入力の科目摘要コード</t>
  </si>
  <si>
    <t>付替受入入力の科目摘要細目</t>
  </si>
  <si>
    <t>付替受入入力の科目摘要補足</t>
  </si>
  <si>
    <t>付替受入入力の差戻日時</t>
  </si>
  <si>
    <t>付替受入入力の差戻者ユーザーＩＤ</t>
  </si>
  <si>
    <t>付替受入入力の差戻コメント</t>
  </si>
  <si>
    <t>科目摘要コード</t>
    <rPh sb="0" eb="4">
      <t>カモクテキヨウ</t>
    </rPh>
    <phoneticPr fontId="3"/>
  </si>
  <si>
    <t>施設実績情報の科目摘要コード</t>
    <rPh sb="7" eb="11">
      <t>カモクテキヨウ</t>
    </rPh>
    <phoneticPr fontId="3"/>
  </si>
  <si>
    <t>定例取引入力の添付ファイル名１</t>
    <rPh sb="13" eb="14">
      <t>メイ</t>
    </rPh>
    <phoneticPr fontId="2"/>
  </si>
  <si>
    <t>定例取引入力の添付ファイル名２</t>
    <rPh sb="13" eb="14">
      <t>メイ</t>
    </rPh>
    <phoneticPr fontId="2"/>
  </si>
  <si>
    <t>定例取引入力の添付ファイル名３</t>
    <rPh sb="13" eb="14">
      <t>メイ</t>
    </rPh>
    <phoneticPr fontId="2"/>
  </si>
  <si>
    <t>処理済みフラグ</t>
    <rPh sb="0" eb="2">
      <t>ショリズ</t>
    </rPh>
    <phoneticPr fontId="2"/>
  </si>
  <si>
    <t>処理済みの有無を示す区分
０：未処理、１：処理済み</t>
    <rPh sb="0" eb="3">
      <t>ショリズ</t>
    </rPh>
    <rPh sb="15" eb="18">
      <t>ミショリ</t>
    </rPh>
    <rPh sb="21" eb="24">
      <t>ショリズ</t>
    </rPh>
    <phoneticPr fontId="2"/>
  </si>
  <si>
    <t>基幹システム再構築　会計システム外部設計</t>
  </si>
  <si>
    <t>24058</t>
    <phoneticPr fontId="3"/>
  </si>
  <si>
    <t>論理ファイル</t>
    <phoneticPr fontId="3"/>
  </si>
  <si>
    <t>【ヘッダ】</t>
    <phoneticPr fontId="3"/>
  </si>
  <si>
    <t>帳票ID</t>
    <rPh sb="0" eb="2">
      <t>チョウヒョウ</t>
    </rPh>
    <phoneticPr fontId="5"/>
  </si>
  <si>
    <t>作成日</t>
    <rPh sb="0" eb="3">
      <t>サクセイビ</t>
    </rPh>
    <phoneticPr fontId="5"/>
  </si>
  <si>
    <t>作成時刻</t>
    <rPh sb="0" eb="4">
      <t>サクセイジコク</t>
    </rPh>
    <phoneticPr fontId="5"/>
  </si>
  <si>
    <t>ページ数</t>
    <rPh sb="3" eb="4">
      <t>スウ</t>
    </rPh>
    <phoneticPr fontId="5"/>
  </si>
  <si>
    <t>施設コード</t>
    <rPh sb="0" eb="2">
      <t>シセツ</t>
    </rPh>
    <phoneticPr fontId="5"/>
  </si>
  <si>
    <t>施設名称</t>
    <rPh sb="0" eb="4">
      <t>シセツメイショウ</t>
    </rPh>
    <phoneticPr fontId="5"/>
  </si>
  <si>
    <t>作成年月日</t>
    <rPh sb="0" eb="2">
      <t>サクセイ</t>
    </rPh>
    <rPh sb="2" eb="5">
      <t>ネンガッピ</t>
    </rPh>
    <phoneticPr fontId="5"/>
  </si>
  <si>
    <t>【明細-費用】</t>
    <rPh sb="1" eb="3">
      <t>メイサイ</t>
    </rPh>
    <rPh sb="4" eb="6">
      <t>ヒヨウ</t>
    </rPh>
    <phoneticPr fontId="5"/>
  </si>
  <si>
    <t>項科目名称</t>
    <rPh sb="0" eb="5">
      <t>コウカモクメイショウ</t>
    </rPh>
    <phoneticPr fontId="5"/>
  </si>
  <si>
    <t>目科目名称</t>
    <rPh sb="0" eb="3">
      <t>モクカモク</t>
    </rPh>
    <rPh sb="3" eb="5">
      <t>メイショウ</t>
    </rPh>
    <phoneticPr fontId="5"/>
  </si>
  <si>
    <t>節科目名称</t>
    <rPh sb="0" eb="5">
      <t>セツカモクメイショウ</t>
    </rPh>
    <phoneticPr fontId="5"/>
  </si>
  <si>
    <t>節科目月計</t>
    <rPh sb="0" eb="3">
      <t>セツカモク</t>
    </rPh>
    <rPh sb="3" eb="5">
      <t>ツキケイ</t>
    </rPh>
    <phoneticPr fontId="5"/>
  </si>
  <si>
    <t>節科目累計</t>
    <rPh sb="0" eb="3">
      <t>セツカモク</t>
    </rPh>
    <rPh sb="3" eb="5">
      <t>ルイケイ</t>
    </rPh>
    <phoneticPr fontId="5"/>
  </si>
  <si>
    <t>節科目年間計画</t>
    <rPh sb="0" eb="3">
      <t>セツカモク</t>
    </rPh>
    <rPh sb="3" eb="7">
      <t>ネンカンケイカク</t>
    </rPh>
    <phoneticPr fontId="5"/>
  </si>
  <si>
    <t>小計項目見出し</t>
    <rPh sb="0" eb="2">
      <t>ショウケイ</t>
    </rPh>
    <rPh sb="2" eb="6">
      <t>コウモクミダ</t>
    </rPh>
    <phoneticPr fontId="5"/>
  </si>
  <si>
    <t>小計月計</t>
    <rPh sb="0" eb="2">
      <t>ショウケイ</t>
    </rPh>
    <rPh sb="2" eb="4">
      <t>ツキケイ</t>
    </rPh>
    <phoneticPr fontId="5"/>
  </si>
  <si>
    <t>小計累計</t>
    <rPh sb="0" eb="2">
      <t>ショウケイ</t>
    </rPh>
    <rPh sb="2" eb="4">
      <t>ルイケイ</t>
    </rPh>
    <phoneticPr fontId="5"/>
  </si>
  <si>
    <t>小計年間計画</t>
    <rPh sb="0" eb="2">
      <t>ショウケイ</t>
    </rPh>
    <rPh sb="2" eb="6">
      <t>ネンカンケイカク</t>
    </rPh>
    <phoneticPr fontId="5"/>
  </si>
  <si>
    <t>合計月計</t>
    <rPh sb="0" eb="2">
      <t>ゴウケイ</t>
    </rPh>
    <rPh sb="2" eb="4">
      <t>ツキケイ</t>
    </rPh>
    <phoneticPr fontId="5"/>
  </si>
  <si>
    <t>合計累計</t>
    <rPh sb="0" eb="2">
      <t>ゴウケイ</t>
    </rPh>
    <rPh sb="2" eb="4">
      <t>ルイケイ</t>
    </rPh>
    <phoneticPr fontId="5"/>
  </si>
  <si>
    <t>合計年間計画</t>
    <rPh sb="0" eb="2">
      <t>ゴウケイ</t>
    </rPh>
    <rPh sb="2" eb="6">
      <t>ネンカンケイカク</t>
    </rPh>
    <phoneticPr fontId="5"/>
  </si>
  <si>
    <t>【明細-収益】</t>
    <rPh sb="1" eb="3">
      <t>メイサイ</t>
    </rPh>
    <rPh sb="4" eb="6">
      <t>シュウエキ</t>
    </rPh>
    <phoneticPr fontId="5"/>
  </si>
  <si>
    <t>品目名称</t>
    <rPh sb="0" eb="2">
      <t>ヒンモク</t>
    </rPh>
    <rPh sb="2" eb="4">
      <t>メイショウ</t>
    </rPh>
    <phoneticPr fontId="5"/>
  </si>
  <si>
    <t>品目別月計</t>
    <rPh sb="0" eb="3">
      <t>ヒンモクベツ</t>
    </rPh>
    <rPh sb="3" eb="5">
      <t>ツキケイ</t>
    </rPh>
    <phoneticPr fontId="5"/>
  </si>
  <si>
    <t>品目別累計</t>
    <rPh sb="0" eb="3">
      <t>ヒンモクベツ</t>
    </rPh>
    <rPh sb="3" eb="5">
      <t>ルイケイ</t>
    </rPh>
    <phoneticPr fontId="5"/>
  </si>
  <si>
    <t>品目別年間計画</t>
    <rPh sb="0" eb="3">
      <t>ヒンモクベツ</t>
    </rPh>
    <rPh sb="3" eb="7">
      <t>ネンカンケイカク</t>
    </rPh>
    <phoneticPr fontId="5"/>
  </si>
  <si>
    <t>事業粗利益月計</t>
    <rPh sb="0" eb="5">
      <t>ジギョウアラリエキ</t>
    </rPh>
    <rPh sb="5" eb="7">
      <t>ツキケイ</t>
    </rPh>
    <phoneticPr fontId="5"/>
  </si>
  <si>
    <t>事業粗利益累計</t>
    <rPh sb="0" eb="5">
      <t>ジギョウアラリエキ</t>
    </rPh>
    <rPh sb="5" eb="7">
      <t>ルイケイ</t>
    </rPh>
    <phoneticPr fontId="5"/>
  </si>
  <si>
    <t>事業粗利益年間計画</t>
    <rPh sb="0" eb="5">
      <t>ジギョウアラリエキ</t>
    </rPh>
    <rPh sb="5" eb="9">
      <t>ネンカンケイカク</t>
    </rPh>
    <phoneticPr fontId="5"/>
  </si>
  <si>
    <t>【明細-収益-取扱高控除額】</t>
    <rPh sb="1" eb="3">
      <t>メイサイ</t>
    </rPh>
    <rPh sb="4" eb="6">
      <t>シュウエキ</t>
    </rPh>
    <rPh sb="7" eb="10">
      <t>トリアツカイダカ</t>
    </rPh>
    <rPh sb="10" eb="13">
      <t>コウジョガク</t>
    </rPh>
    <phoneticPr fontId="5"/>
  </si>
  <si>
    <t>取扱高控除額月計</t>
    <rPh sb="0" eb="3">
      <t>トリアツカイダカ</t>
    </rPh>
    <rPh sb="3" eb="6">
      <t>コウジョガク</t>
    </rPh>
    <rPh sb="6" eb="8">
      <t>ツキケイ</t>
    </rPh>
    <phoneticPr fontId="5"/>
  </si>
  <si>
    <t>取扱高控除額累計</t>
    <rPh sb="0" eb="3">
      <t>トリアツカイダカ</t>
    </rPh>
    <rPh sb="3" eb="6">
      <t>コウジョガク</t>
    </rPh>
    <rPh sb="6" eb="8">
      <t>ルイケイ</t>
    </rPh>
    <phoneticPr fontId="5"/>
  </si>
  <si>
    <t>取扱高控除額年間計画</t>
    <rPh sb="0" eb="3">
      <t>トリアツカイダカ</t>
    </rPh>
    <rPh sb="3" eb="6">
      <t>コウジョガク</t>
    </rPh>
    <rPh sb="6" eb="10">
      <t>ネンカンケイカク</t>
    </rPh>
    <phoneticPr fontId="5"/>
  </si>
  <si>
    <t>タイトル</t>
    <phoneticPr fontId="5"/>
  </si>
  <si>
    <t>【明細-収益-費用修正項目】</t>
    <phoneticPr fontId="5"/>
  </si>
  <si>
    <t>月末在庫評価月計</t>
    <phoneticPr fontId="5"/>
  </si>
  <si>
    <t>月末在庫評価累計</t>
    <phoneticPr fontId="5"/>
  </si>
  <si>
    <t>月末在庫評価年間計画</t>
    <phoneticPr fontId="5"/>
  </si>
  <si>
    <t>月末在庫評価直販商品月計</t>
    <phoneticPr fontId="5"/>
  </si>
  <si>
    <t>未使用材料評価直販商品累計</t>
    <phoneticPr fontId="5"/>
  </si>
  <si>
    <t>未使用材料評価直販商品年間計画</t>
    <phoneticPr fontId="5"/>
  </si>
  <si>
    <t>月末在庫評価直販材料費月計</t>
    <phoneticPr fontId="5"/>
  </si>
  <si>
    <t>相手先区分</t>
    <rPh sb="0" eb="2">
      <t>アイテサキ</t>
    </rPh>
    <rPh sb="3" eb="5">
      <t>クブン</t>
    </rPh>
    <phoneticPr fontId="3"/>
  </si>
  <si>
    <t>相手先明細　相手先区分</t>
    <rPh sb="0" eb="5">
      <t>アイテサキメイサイ</t>
    </rPh>
    <rPh sb="6" eb="9">
      <t>アイテサキ</t>
    </rPh>
    <rPh sb="9" eb="11">
      <t>クブン</t>
    </rPh>
    <phoneticPr fontId="3"/>
  </si>
  <si>
    <t>相手先明細　相手先コード</t>
    <rPh sb="0" eb="5">
      <t>アイテサキメイサイ</t>
    </rPh>
    <rPh sb="6" eb="9">
      <t>アイテサキ</t>
    </rPh>
    <phoneticPr fontId="3"/>
  </si>
  <si>
    <t>相手先明細の相手先（取引先）を識別する区分</t>
    <rPh sb="0" eb="3">
      <t>アイテサキ</t>
    </rPh>
    <rPh sb="3" eb="5">
      <t>メイサイ</t>
    </rPh>
    <rPh sb="6" eb="9">
      <t>アイテサキ</t>
    </rPh>
    <rPh sb="10" eb="13">
      <t>トリヒキサキ</t>
    </rPh>
    <rPh sb="15" eb="17">
      <t>シキベツ</t>
    </rPh>
    <rPh sb="19" eb="21">
      <t>クブン</t>
    </rPh>
    <phoneticPr fontId="3"/>
  </si>
  <si>
    <t>相手先明細の相手先（取引先）を識別する区分</t>
    <rPh sb="19" eb="21">
      <t>クブン</t>
    </rPh>
    <phoneticPr fontId="3"/>
  </si>
  <si>
    <t>相手先明細　相手先区分</t>
    <rPh sb="9" eb="11">
      <t>クブン</t>
    </rPh>
    <phoneticPr fontId="2"/>
  </si>
  <si>
    <t>費用入力情報の相手先を識別する区分</t>
    <rPh sb="7" eb="9">
      <t>アイテ</t>
    </rPh>
    <rPh sb="9" eb="10">
      <t>サキ</t>
    </rPh>
    <rPh sb="11" eb="13">
      <t>シキベツ</t>
    </rPh>
    <rPh sb="15" eb="17">
      <t>クブン</t>
    </rPh>
    <phoneticPr fontId="3"/>
  </si>
  <si>
    <t>費用入力情報の相手先を識別するコード</t>
    <phoneticPr fontId="3"/>
  </si>
  <si>
    <t>支払先区分</t>
    <rPh sb="0" eb="2">
      <t>シハライサキ</t>
    </rPh>
    <rPh sb="3" eb="5">
      <t>クブン</t>
    </rPh>
    <phoneticPr fontId="3"/>
  </si>
  <si>
    <t>支払先コード</t>
    <rPh sb="0" eb="2">
      <t>シハライ</t>
    </rPh>
    <rPh sb="2" eb="3">
      <t>サキ</t>
    </rPh>
    <phoneticPr fontId="3"/>
  </si>
  <si>
    <t>消費税差額入力申請情報の支払先を識別するコード</t>
    <rPh sb="12" eb="14">
      <t>シハラ</t>
    </rPh>
    <phoneticPr fontId="3"/>
  </si>
  <si>
    <t>消費税差額入力申請情報の支払先を識別する区分</t>
    <rPh sb="20" eb="22">
      <t>クブン</t>
    </rPh>
    <phoneticPr fontId="3"/>
  </si>
  <si>
    <t>消費税差額入力の支払先を識別するコード</t>
    <rPh sb="8" eb="10">
      <t>シハラ</t>
    </rPh>
    <phoneticPr fontId="3"/>
  </si>
  <si>
    <t>消費税差額入力の支払先を識別する区分</t>
    <rPh sb="16" eb="18">
      <t>クブン</t>
    </rPh>
    <phoneticPr fontId="3"/>
  </si>
  <si>
    <t>支払先区分</t>
    <rPh sb="0" eb="2">
      <t>シハライサキ</t>
    </rPh>
    <rPh sb="2" eb="3">
      <t>サキ</t>
    </rPh>
    <rPh sb="3" eb="5">
      <t>クブン</t>
    </rPh>
    <phoneticPr fontId="3"/>
  </si>
  <si>
    <t>数値</t>
    <rPh sb="0" eb="2">
      <t>スウチ</t>
    </rPh>
    <phoneticPr fontId="1"/>
  </si>
  <si>
    <t>7,4</t>
    <phoneticPr fontId="3"/>
  </si>
  <si>
    <t>勘定科目コード</t>
    <phoneticPr fontId="2"/>
  </si>
  <si>
    <t>付替受入入力の勘定科目コード</t>
    <phoneticPr fontId="2"/>
  </si>
  <si>
    <t>付替仕向入力の勘定科目コード</t>
    <phoneticPr fontId="2"/>
  </si>
  <si>
    <t>有</t>
  </si>
  <si>
    <t>添付ファイル名１</t>
    <rPh sb="0" eb="1">
      <t>テンプ</t>
    </rPh>
    <rPh sb="6" eb="7">
      <t>メイ</t>
    </rPh>
    <phoneticPr fontId="3"/>
  </si>
  <si>
    <t>添付ファイルパス１</t>
    <rPh sb="0" eb="1">
      <t>テンプ</t>
    </rPh>
    <phoneticPr fontId="3"/>
  </si>
  <si>
    <t>添付ファイル名２</t>
    <rPh sb="0" eb="1">
      <t>テンプ</t>
    </rPh>
    <rPh sb="6" eb="7">
      <t>メイ</t>
    </rPh>
    <phoneticPr fontId="3"/>
  </si>
  <si>
    <t>添付ファイルパス３</t>
    <rPh sb="0" eb="1">
      <t>テンプ</t>
    </rPh>
    <phoneticPr fontId="3"/>
  </si>
  <si>
    <t>添付ファイル名３</t>
    <rPh sb="0" eb="1">
      <t>テンプ</t>
    </rPh>
    <rPh sb="6" eb="7">
      <t>メイ</t>
    </rPh>
    <phoneticPr fontId="3"/>
  </si>
  <si>
    <t>添付ファイルパス２</t>
    <rPh sb="0" eb="1">
      <t>テンプ</t>
    </rPh>
    <phoneticPr fontId="3"/>
  </si>
  <si>
    <t>添付ファイルの物理ファイルパス</t>
    <rPh sb="0" eb="2">
      <t>テンプ</t>
    </rPh>
    <rPh sb="7" eb="9">
      <t>ブツリ</t>
    </rPh>
    <phoneticPr fontId="3"/>
  </si>
  <si>
    <t>添付ファイルのファイル名</t>
    <rPh sb="0" eb="2">
      <t>テンプ</t>
    </rPh>
    <rPh sb="11" eb="12">
      <t>メイ</t>
    </rPh>
    <phoneticPr fontId="3"/>
  </si>
  <si>
    <t>文字列</t>
    <rPh sb="0" eb="3">
      <t>モジレツ</t>
    </rPh>
    <phoneticPr fontId="1"/>
  </si>
  <si>
    <t>手数料率</t>
    <phoneticPr fontId="6"/>
  </si>
  <si>
    <t>給与区分を出力する
1:月例給与　2:夏期手当　5:年末手当　6:期末手当</t>
    <rPh sb="0" eb="4">
      <t>キュウヨクブン</t>
    </rPh>
    <rPh sb="5" eb="7">
      <t>シュツリョク</t>
    </rPh>
    <phoneticPr fontId="2"/>
  </si>
  <si>
    <t>科目分類を識別するコード。
01：事業管理費　02：農総研究費　03：原価要素　04：加工費用　05：生産費用　06：事業施設費　07：直販費用　99：その他</t>
    <rPh sb="0" eb="2">
      <t>カモク</t>
    </rPh>
    <rPh sb="2" eb="4">
      <t>ブンルイ</t>
    </rPh>
    <rPh sb="5" eb="7">
      <t>シキベツ</t>
    </rPh>
    <rPh sb="26" eb="27">
      <t>ノウ</t>
    </rPh>
    <rPh sb="27" eb="28">
      <t>ソウ</t>
    </rPh>
    <rPh sb="28" eb="31">
      <t>ケンキュウヒ</t>
    </rPh>
    <phoneticPr fontId="2"/>
  </si>
  <si>
    <t>仕向元への差戻コメント</t>
    <phoneticPr fontId="2"/>
  </si>
  <si>
    <t>付替仕向入力の仕向元への差戻コメント</t>
    <phoneticPr fontId="2"/>
  </si>
  <si>
    <t>外部財産形成掛金</t>
    <rPh sb="0" eb="2">
      <t>ガイブ</t>
    </rPh>
    <rPh sb="2" eb="4">
      <t>ザイサン</t>
    </rPh>
    <rPh sb="4" eb="6">
      <t>ケイセイ</t>
    </rPh>
    <rPh sb="6" eb="8">
      <t>カケキン</t>
    </rPh>
    <phoneticPr fontId="2"/>
  </si>
  <si>
    <t>外部財産形成掛金を出力する</t>
    <rPh sb="0" eb="2">
      <t>ガイブ</t>
    </rPh>
    <rPh sb="2" eb="4">
      <t>ザイサン</t>
    </rPh>
    <rPh sb="4" eb="6">
      <t>ケイセイ</t>
    </rPh>
    <rPh sb="6" eb="8">
      <t>カケキン</t>
    </rPh>
    <rPh sb="9" eb="11">
      <t>シュツリョク</t>
    </rPh>
    <phoneticPr fontId="2"/>
  </si>
  <si>
    <t>連動データを科目ごとに合算した外部財産形成掛金を設定する</t>
    <rPh sb="15" eb="17">
      <t>ガイブ</t>
    </rPh>
    <rPh sb="17" eb="19">
      <t>ザイサン</t>
    </rPh>
    <rPh sb="19" eb="21">
      <t>ケイセイ</t>
    </rPh>
    <rPh sb="21" eb="23">
      <t>カケキン</t>
    </rPh>
    <phoneticPr fontId="2"/>
  </si>
  <si>
    <t>本会住宅貸付金</t>
  </si>
  <si>
    <t>本会住宅貸付金</t>
    <phoneticPr fontId="2"/>
  </si>
  <si>
    <t>本会住宅貸付金</t>
    <phoneticPr fontId="3"/>
  </si>
  <si>
    <t>本会住宅貸付金</t>
    <phoneticPr fontId="15"/>
  </si>
  <si>
    <t>本会住宅貸付金の金額。</t>
    <rPh sb="8" eb="10">
      <t>キンガク</t>
    </rPh>
    <phoneticPr fontId="2"/>
  </si>
  <si>
    <t>ホクレン労組費</t>
  </si>
  <si>
    <t>ホクレン労組費</t>
    <phoneticPr fontId="2"/>
  </si>
  <si>
    <t>ホクレン労組費</t>
    <phoneticPr fontId="3"/>
  </si>
  <si>
    <t>ホクレン労組費</t>
    <phoneticPr fontId="15"/>
  </si>
  <si>
    <t>ホクレン労組費の金額。</t>
    <rPh sb="8" eb="10">
      <t>キンガク</t>
    </rPh>
    <phoneticPr fontId="2"/>
  </si>
  <si>
    <t>貯金担保徴収額</t>
  </si>
  <si>
    <t>貯金担保徴収額</t>
    <phoneticPr fontId="2"/>
  </si>
  <si>
    <t>貯金担保徴収額</t>
    <phoneticPr fontId="3"/>
  </si>
  <si>
    <t>貯金担保徴収額</t>
    <phoneticPr fontId="15"/>
  </si>
  <si>
    <t>貯金担保徴収額の金額。</t>
    <rPh sb="8" eb="10">
      <t>キンガク</t>
    </rPh>
    <phoneticPr fontId="2"/>
  </si>
  <si>
    <t>外部財産形成掛金</t>
    <phoneticPr fontId="3"/>
  </si>
  <si>
    <t>ホクレン労組費を出力する</t>
    <rPh sb="8" eb="10">
      <t>シュツリョク</t>
    </rPh>
    <phoneticPr fontId="2"/>
  </si>
  <si>
    <t>連動データを科目ごとに合算したホクレン労組費を設定する</t>
  </si>
  <si>
    <t>本会住宅貸付金を出力する</t>
    <rPh sb="8" eb="10">
      <t>シュツリョク</t>
    </rPh>
    <phoneticPr fontId="2"/>
  </si>
  <si>
    <t>連動データを科目ごとに合算した本会住宅貸付金を設定する</t>
    <phoneticPr fontId="2"/>
  </si>
  <si>
    <t>現金支給額</t>
    <rPh sb="2" eb="5">
      <t>シキュウガク</t>
    </rPh>
    <phoneticPr fontId="3"/>
  </si>
  <si>
    <t>役員子供子育て拠出金</t>
  </si>
  <si>
    <t>職員子供子育て拠出金</t>
  </si>
  <si>
    <t>臨時子供子育て拠出金</t>
  </si>
  <si>
    <t>子供子育て拠出金</t>
    <phoneticPr fontId="2"/>
  </si>
  <si>
    <t>役員報酬の子供子育て拠出金を出力する</t>
    <rPh sb="0" eb="4">
      <t>ヤクインホウシュウ</t>
    </rPh>
    <rPh sb="14" eb="16">
      <t>シュツリョク</t>
    </rPh>
    <phoneticPr fontId="2"/>
  </si>
  <si>
    <t>福利厚生費（職員）の子供子育て拠出金を出力する</t>
    <rPh sb="0" eb="5">
      <t>フクリコウセイヒ</t>
    </rPh>
    <rPh sb="6" eb="8">
      <t>ショクイン</t>
    </rPh>
    <rPh sb="19" eb="21">
      <t>シュツリョク</t>
    </rPh>
    <phoneticPr fontId="2"/>
  </si>
  <si>
    <t>福利厚生費（臨時者）の子供子育て拠出金を出力する</t>
    <rPh sb="0" eb="5">
      <t>フクリコウセイヒ</t>
    </rPh>
    <rPh sb="6" eb="8">
      <t>リンジ</t>
    </rPh>
    <rPh sb="8" eb="9">
      <t>シャ</t>
    </rPh>
    <rPh sb="20" eb="22">
      <t>シュツリョク</t>
    </rPh>
    <phoneticPr fontId="2"/>
  </si>
  <si>
    <t>役員　子供子育て拠出金</t>
    <rPh sb="0" eb="1">
      <t>ヤクイン</t>
    </rPh>
    <phoneticPr fontId="2"/>
  </si>
  <si>
    <t>職員　子供子育て拠出金</t>
    <rPh sb="0" eb="1">
      <t>ショクイン</t>
    </rPh>
    <phoneticPr fontId="2"/>
  </si>
  <si>
    <t>臨時　子供子育て拠出金</t>
    <rPh sb="0" eb="1">
      <t>リンジ</t>
    </rPh>
    <phoneticPr fontId="2"/>
  </si>
  <si>
    <t>連動データを科目ごとに合算した役員報酬の子供子育て拠出金を設定する</t>
    <rPh sb="15" eb="19">
      <t>ヤクインホウシュウ</t>
    </rPh>
    <phoneticPr fontId="2"/>
  </si>
  <si>
    <t>連動データを科目ごとに合算した福利厚生費（職員）の子供子育て拠出金を設定する</t>
    <rPh sb="15" eb="20">
      <t>フクリコウセイヒ</t>
    </rPh>
    <rPh sb="21" eb="23">
      <t>ショクイン</t>
    </rPh>
    <phoneticPr fontId="2"/>
  </si>
  <si>
    <t>連動データを科目ごとに合算した福利厚生費（臨時者）の子供子育て拠出金を設定する</t>
    <rPh sb="15" eb="20">
      <t>フクリコウセイヒ</t>
    </rPh>
    <rPh sb="21" eb="23">
      <t>リンジ</t>
    </rPh>
    <rPh sb="23" eb="24">
      <t>シャ</t>
    </rPh>
    <phoneticPr fontId="2"/>
  </si>
  <si>
    <t>(給与控除)振込額</t>
    <rPh sb="1" eb="5">
      <t>キュウヨコウジョ</t>
    </rPh>
    <rPh sb="6" eb="7">
      <t>フリコミ</t>
    </rPh>
    <rPh sb="8" eb="9">
      <t>ガク</t>
    </rPh>
    <phoneticPr fontId="3"/>
  </si>
  <si>
    <t>(預貯金)振込額</t>
    <rPh sb="1" eb="4">
      <t>ヨチョキン</t>
    </rPh>
    <rPh sb="5" eb="7">
      <t>フリコミガク</t>
    </rPh>
    <phoneticPr fontId="3"/>
  </si>
  <si>
    <t>役員退職慰労金</t>
    <phoneticPr fontId="3"/>
  </si>
  <si>
    <t>役員退職慰労引当金</t>
    <phoneticPr fontId="3"/>
  </si>
  <si>
    <t>役員退職慰労引当金繰入</t>
    <rPh sb="3" eb="5">
      <t>イロウ</t>
    </rPh>
    <rPh sb="5" eb="8">
      <t>ヒキアテキン</t>
    </rPh>
    <rPh sb="8" eb="10">
      <t>クリイレ</t>
    </rPh>
    <phoneticPr fontId="2"/>
  </si>
  <si>
    <t>役員退職慰労金</t>
    <rPh sb="3" eb="6">
      <t>イロウキン</t>
    </rPh>
    <phoneticPr fontId="2"/>
  </si>
  <si>
    <t>役員退職慰労引当金</t>
    <rPh sb="3" eb="5">
      <t>イロウ</t>
    </rPh>
    <rPh sb="5" eb="7">
      <t>ヒキアテ</t>
    </rPh>
    <rPh sb="7" eb="8">
      <t>キン</t>
    </rPh>
    <phoneticPr fontId="2"/>
  </si>
  <si>
    <t>引当金計上区分を識別するコード。
1：賞与　2：役員退職慰労　3：退職給付</t>
    <rPh sb="0" eb="2">
      <t>ヒキアテ</t>
    </rPh>
    <rPh sb="2" eb="3">
      <t>キン</t>
    </rPh>
    <rPh sb="3" eb="7">
      <t>ケイジョウクブン</t>
    </rPh>
    <rPh sb="8" eb="10">
      <t>シキベツ</t>
    </rPh>
    <phoneticPr fontId="2"/>
  </si>
  <si>
    <t>役員退職慰労引当金繰入</t>
    <rPh sb="3" eb="5">
      <t>イロウ</t>
    </rPh>
    <rPh sb="5" eb="8">
      <t>ヒキアテキン</t>
    </rPh>
    <rPh sb="8" eb="10">
      <t>クリイレ</t>
    </rPh>
    <phoneticPr fontId="14"/>
  </si>
  <si>
    <t>役員退職慰労引当金繰入の金額。</t>
    <rPh sb="6" eb="9">
      <t>ヒキアテキン</t>
    </rPh>
    <rPh sb="9" eb="11">
      <t>クリイレ</t>
    </rPh>
    <rPh sb="12" eb="14">
      <t>キンガク</t>
    </rPh>
    <phoneticPr fontId="2"/>
  </si>
  <si>
    <t>役員退職慰労金</t>
    <rPh sb="3" eb="6">
      <t>イロウキン</t>
    </rPh>
    <phoneticPr fontId="15"/>
  </si>
  <si>
    <t>役員退職慰労金の金額。</t>
    <rPh sb="8" eb="10">
      <t>キンガク</t>
    </rPh>
    <phoneticPr fontId="2"/>
  </si>
  <si>
    <t>役員退職慰労引当金</t>
    <rPh sb="3" eb="5">
      <t>イロウ</t>
    </rPh>
    <rPh sb="5" eb="7">
      <t>ヒキアテ</t>
    </rPh>
    <rPh sb="7" eb="8">
      <t>キン</t>
    </rPh>
    <phoneticPr fontId="15"/>
  </si>
  <si>
    <t>役員退職慰労引当金の金額。</t>
    <rPh sb="6" eb="8">
      <t>ヒキアテ</t>
    </rPh>
    <rPh sb="8" eb="9">
      <t>キン</t>
    </rPh>
    <rPh sb="10" eb="12">
      <t>キンガク</t>
    </rPh>
    <phoneticPr fontId="2"/>
  </si>
  <si>
    <t>出力制御CD</t>
    <phoneticPr fontId="6"/>
  </si>
  <si>
    <t>D08010202</t>
    <phoneticPr fontId="3"/>
  </si>
  <si>
    <t>定例取引入力CSV取込情報</t>
    <rPh sb="0" eb="2">
      <t>テイレイ</t>
    </rPh>
    <rPh sb="2" eb="4">
      <t>トリヒキ</t>
    </rPh>
    <rPh sb="4" eb="6">
      <t>ニュウリョク</t>
    </rPh>
    <rPh sb="9" eb="11">
      <t>トリコミ</t>
    </rPh>
    <rPh sb="11" eb="13">
      <t>ジョウホウ</t>
    </rPh>
    <phoneticPr fontId="3"/>
  </si>
  <si>
    <t>添付ファイル１（テキストボックス）</t>
    <phoneticPr fontId="3"/>
  </si>
  <si>
    <t>費用CSV取込情報</t>
    <rPh sb="0" eb="2">
      <t>ヒヨウ</t>
    </rPh>
    <rPh sb="5" eb="7">
      <t>トリコミ</t>
    </rPh>
    <rPh sb="7" eb="9">
      <t>ジョウホウ</t>
    </rPh>
    <phoneticPr fontId="3"/>
  </si>
  <si>
    <t>D08020202</t>
    <phoneticPr fontId="3"/>
  </si>
  <si>
    <t>添付ファイル１（ファイル名）</t>
    <phoneticPr fontId="3"/>
  </si>
  <si>
    <t>添付ファイル２（テキストボックス）</t>
    <phoneticPr fontId="3"/>
  </si>
  <si>
    <t>添付ファイル２（ファイル名）</t>
    <phoneticPr fontId="3"/>
  </si>
  <si>
    <t>添付ファイル３（テキストボックス）</t>
    <phoneticPr fontId="3"/>
  </si>
  <si>
    <t>添付ファイル３（ファイル名）</t>
    <phoneticPr fontId="3"/>
  </si>
  <si>
    <t>費用CSVファイル（テキストボックス）</t>
    <rPh sb="0" eb="2">
      <t>ヒヨウ</t>
    </rPh>
    <phoneticPr fontId="3"/>
  </si>
  <si>
    <t>費用CSVファイル（ファイル名）</t>
    <rPh sb="0" eb="2">
      <t>ヒヨウ</t>
    </rPh>
    <rPh sb="14" eb="15">
      <t>メイ</t>
    </rPh>
    <phoneticPr fontId="3"/>
  </si>
  <si>
    <t>収益入力CSV取込情報</t>
    <rPh sb="0" eb="2">
      <t>シュウエキ</t>
    </rPh>
    <rPh sb="2" eb="4">
      <t>ニュウリョク</t>
    </rPh>
    <rPh sb="7" eb="9">
      <t>トリコミ</t>
    </rPh>
    <rPh sb="9" eb="11">
      <t>ジョウホウ</t>
    </rPh>
    <phoneticPr fontId="3"/>
  </si>
  <si>
    <t>D08030202</t>
    <phoneticPr fontId="3"/>
  </si>
  <si>
    <t>収益入力CSVファイル（テキストボックス）</t>
    <phoneticPr fontId="3"/>
  </si>
  <si>
    <t>収益入力CSVファイル（ファイル名）</t>
    <rPh sb="16" eb="17">
      <t>メイ</t>
    </rPh>
    <phoneticPr fontId="3"/>
  </si>
  <si>
    <t>人件費情報入力CSV取込情報</t>
    <rPh sb="0" eb="3">
      <t>ジンケンヒ</t>
    </rPh>
    <rPh sb="3" eb="5">
      <t>ジョウホウ</t>
    </rPh>
    <rPh sb="5" eb="7">
      <t>ニュウリョク</t>
    </rPh>
    <rPh sb="10" eb="12">
      <t>トリコミ</t>
    </rPh>
    <rPh sb="12" eb="14">
      <t>ジョウホウ</t>
    </rPh>
    <phoneticPr fontId="3"/>
  </si>
  <si>
    <t>D08050202</t>
    <phoneticPr fontId="3"/>
  </si>
  <si>
    <t>人件費情報入力CSVファイル（テキストボックス）</t>
    <phoneticPr fontId="3"/>
  </si>
  <si>
    <t>人件費情報入力CSVファイル（ファイル名）</t>
    <rPh sb="19" eb="20">
      <t>メイ</t>
    </rPh>
    <phoneticPr fontId="3"/>
  </si>
  <si>
    <t>人件費特別入力CSVファイル（テキストボックス）</t>
    <rPh sb="3" eb="5">
      <t>トクベツ</t>
    </rPh>
    <phoneticPr fontId="3"/>
  </si>
  <si>
    <t>人件費情特別入力CSVファイル（ファイル名）</t>
    <rPh sb="4" eb="6">
      <t>トクベツ</t>
    </rPh>
    <rPh sb="20" eb="21">
      <t>メイ</t>
    </rPh>
    <phoneticPr fontId="3"/>
  </si>
  <si>
    <t>人件費特別入力CSV取込情報</t>
    <phoneticPr fontId="3"/>
  </si>
  <si>
    <t>D08050502</t>
    <phoneticPr fontId="3"/>
  </si>
  <si>
    <t>D08060209</t>
    <phoneticPr fontId="3"/>
  </si>
  <si>
    <t>対象年月</t>
    <rPh sb="0" eb="4">
      <t>タイショウネンゲツ</t>
    </rPh>
    <phoneticPr fontId="1"/>
  </si>
  <si>
    <t>業種コード</t>
    <rPh sb="0" eb="2">
      <t>ギョウシュ</t>
    </rPh>
    <phoneticPr fontId="1"/>
  </si>
  <si>
    <t>事業所コード</t>
    <rPh sb="0" eb="3">
      <t>ジギョウショ</t>
    </rPh>
    <phoneticPr fontId="1"/>
  </si>
  <si>
    <t>施設１コード</t>
    <rPh sb="0" eb="2">
      <t>シセツ</t>
    </rPh>
    <phoneticPr fontId="1"/>
  </si>
  <si>
    <t>施設２コード</t>
    <rPh sb="0" eb="2">
      <t>シセツ</t>
    </rPh>
    <phoneticPr fontId="1"/>
  </si>
  <si>
    <t>施設３コード</t>
    <rPh sb="0" eb="2">
      <t>シセツ</t>
    </rPh>
    <phoneticPr fontId="1"/>
  </si>
  <si>
    <t>D08060304</t>
    <phoneticPr fontId="3"/>
  </si>
  <si>
    <t>対象年月日</t>
    <rPh sb="0" eb="4">
      <t>タイショウネンゲツ</t>
    </rPh>
    <rPh sb="4" eb="5">
      <t>ニチ</t>
    </rPh>
    <phoneticPr fontId="1"/>
  </si>
  <si>
    <t>業種コード１</t>
    <rPh sb="0" eb="2">
      <t>ギョウシュ</t>
    </rPh>
    <phoneticPr fontId="1"/>
  </si>
  <si>
    <t>業種コード２</t>
    <rPh sb="0" eb="2">
      <t>ギョウシュ</t>
    </rPh>
    <phoneticPr fontId="1"/>
  </si>
  <si>
    <t>業種コード３</t>
    <rPh sb="0" eb="2">
      <t>ギョウシュ</t>
    </rPh>
    <phoneticPr fontId="1"/>
  </si>
  <si>
    <t>業種名称１</t>
    <rPh sb="0" eb="4">
      <t>ギョウシュメイショウ</t>
    </rPh>
    <phoneticPr fontId="1"/>
  </si>
  <si>
    <t>業種名称２</t>
    <rPh sb="0" eb="4">
      <t>ギョウシュメイショウ</t>
    </rPh>
    <phoneticPr fontId="1"/>
  </si>
  <si>
    <t>業種名称３</t>
    <rPh sb="0" eb="4">
      <t>ギョウシュメイショウ</t>
    </rPh>
    <phoneticPr fontId="1"/>
  </si>
  <si>
    <t>事業所コード１</t>
    <rPh sb="0" eb="3">
      <t>ジギョウショ</t>
    </rPh>
    <phoneticPr fontId="1"/>
  </si>
  <si>
    <t>事業所コード２</t>
    <rPh sb="0" eb="3">
      <t>ジギョウショ</t>
    </rPh>
    <phoneticPr fontId="1"/>
  </si>
  <si>
    <t>事業所コード３</t>
    <rPh sb="0" eb="3">
      <t>ジギョウショ</t>
    </rPh>
    <phoneticPr fontId="1"/>
  </si>
  <si>
    <t>事業所名称１</t>
    <rPh sb="0" eb="5">
      <t>ジギョウショメイショウ</t>
    </rPh>
    <phoneticPr fontId="1"/>
  </si>
  <si>
    <t>事業所名称２</t>
    <rPh sb="0" eb="5">
      <t>ジギョウショメイショウ</t>
    </rPh>
    <phoneticPr fontId="1"/>
  </si>
  <si>
    <t>事業所名称３</t>
    <rPh sb="0" eb="5">
      <t>ジギョウショメイショウ</t>
    </rPh>
    <phoneticPr fontId="1"/>
  </si>
  <si>
    <t>受払組織コード１</t>
    <rPh sb="0" eb="4">
      <t>ウケバライソシキ</t>
    </rPh>
    <phoneticPr fontId="1"/>
  </si>
  <si>
    <t>受払組織コード２</t>
    <rPh sb="0" eb="4">
      <t>ウケバライソシキ</t>
    </rPh>
    <phoneticPr fontId="1"/>
  </si>
  <si>
    <t>受払組織コード３</t>
    <rPh sb="0" eb="4">
      <t>ウケバライソシキ</t>
    </rPh>
    <phoneticPr fontId="1"/>
  </si>
  <si>
    <t>受払組織名称１</t>
    <rPh sb="0" eb="6">
      <t>ウケバライソシキメイショウ</t>
    </rPh>
    <phoneticPr fontId="1"/>
  </si>
  <si>
    <t>受払組織名称２</t>
    <rPh sb="0" eb="6">
      <t>ウケバライソシキメイショウ</t>
    </rPh>
    <phoneticPr fontId="1"/>
  </si>
  <si>
    <t>受払組織名称３</t>
    <rPh sb="0" eb="6">
      <t>ウケバライソシキメイショウ</t>
    </rPh>
    <phoneticPr fontId="1"/>
  </si>
  <si>
    <t>D08060403</t>
    <phoneticPr fontId="3"/>
  </si>
  <si>
    <t>基準年月</t>
    <rPh sb="0" eb="1">
      <t>キジュン</t>
    </rPh>
    <rPh sb="1" eb="3">
      <t>ネンゲツ</t>
    </rPh>
    <phoneticPr fontId="1"/>
  </si>
  <si>
    <t>業種名称</t>
    <rPh sb="0" eb="4">
      <t>ギョウシュメイショウ</t>
    </rPh>
    <phoneticPr fontId="1"/>
  </si>
  <si>
    <t>手数料配分計算書出力検索条件</t>
    <rPh sb="0" eb="3">
      <t>テスウリョウ</t>
    </rPh>
    <rPh sb="3" eb="5">
      <t>ハイブン</t>
    </rPh>
    <rPh sb="5" eb="7">
      <t>ケイサン</t>
    </rPh>
    <rPh sb="7" eb="8">
      <t>ショ</t>
    </rPh>
    <rPh sb="8" eb="10">
      <t>シュツリョク</t>
    </rPh>
    <rPh sb="10" eb="12">
      <t>ケンサク</t>
    </rPh>
    <rPh sb="12" eb="14">
      <t>ジョウケン</t>
    </rPh>
    <phoneticPr fontId="3"/>
  </si>
  <si>
    <t>勘定整理帳情報照会検索条件</t>
    <rPh sb="0" eb="2">
      <t>カンジョウ</t>
    </rPh>
    <rPh sb="2" eb="4">
      <t>セイリ</t>
    </rPh>
    <rPh sb="4" eb="5">
      <t>チョウ</t>
    </rPh>
    <rPh sb="5" eb="7">
      <t>ジョウホウ</t>
    </rPh>
    <rPh sb="7" eb="9">
      <t>ショウカイ</t>
    </rPh>
    <rPh sb="9" eb="11">
      <t>ケンサク</t>
    </rPh>
    <rPh sb="11" eb="13">
      <t>ジョウケン</t>
    </rPh>
    <phoneticPr fontId="3"/>
  </si>
  <si>
    <t>施設採算表出力検索条件</t>
    <rPh sb="0" eb="2">
      <t>シセツ</t>
    </rPh>
    <rPh sb="2" eb="4">
      <t>サイサン</t>
    </rPh>
    <rPh sb="4" eb="5">
      <t>ヒョウ</t>
    </rPh>
    <rPh sb="5" eb="7">
      <t>シュツリョク</t>
    </rPh>
    <rPh sb="7" eb="9">
      <t>ケンサク</t>
    </rPh>
    <rPh sb="9" eb="11">
      <t>ジョウケン</t>
    </rPh>
    <phoneticPr fontId="3"/>
  </si>
  <si>
    <t>付替受入入力検索条件</t>
    <rPh sb="0" eb="1">
      <t>ツキ</t>
    </rPh>
    <rPh sb="1" eb="2">
      <t>カワ</t>
    </rPh>
    <rPh sb="2" eb="4">
      <t>ウケイレ</t>
    </rPh>
    <rPh sb="4" eb="6">
      <t>ニュウリョク</t>
    </rPh>
    <rPh sb="6" eb="8">
      <t>ケンサク</t>
    </rPh>
    <rPh sb="8" eb="10">
      <t>ジョウケン</t>
    </rPh>
    <phoneticPr fontId="3"/>
  </si>
  <si>
    <t>D08040201</t>
    <phoneticPr fontId="3"/>
  </si>
  <si>
    <t>受入先予算組織</t>
    <rPh sb="3" eb="7">
      <t>ヨサンソシキ</t>
    </rPh>
    <phoneticPr fontId="1"/>
  </si>
  <si>
    <t>仕向元予算組織</t>
    <rPh sb="3" eb="7">
      <t>ヨサンソシキ</t>
    </rPh>
    <phoneticPr fontId="1"/>
  </si>
  <si>
    <t>受入先業種</t>
    <rPh sb="3" eb="5">
      <t>ギョウシュ</t>
    </rPh>
    <phoneticPr fontId="1"/>
  </si>
  <si>
    <t>受入先勘定科目</t>
    <rPh sb="3" eb="7">
      <t>カンジョウカモク</t>
    </rPh>
    <phoneticPr fontId="1"/>
  </si>
  <si>
    <t>受入者</t>
  </si>
  <si>
    <t>受入日(From)</t>
    <rPh sb="0" eb="3">
      <t>ウケイレビ</t>
    </rPh>
    <phoneticPr fontId="1"/>
  </si>
  <si>
    <t>受入日(To)</t>
    <rPh sb="0" eb="3">
      <t>ウケイレビ</t>
    </rPh>
    <phoneticPr fontId="1"/>
  </si>
  <si>
    <t>伝票番号</t>
    <rPh sb="0" eb="4">
      <t>デンピョウバンゴウ</t>
    </rPh>
    <phoneticPr fontId="1"/>
  </si>
  <si>
    <t>取引入力出力情報CSV</t>
    <phoneticPr fontId="3"/>
  </si>
  <si>
    <t>D08010103</t>
    <phoneticPr fontId="3"/>
  </si>
  <si>
    <t>D08020103</t>
    <phoneticPr fontId="3"/>
  </si>
  <si>
    <t>費用入力出力情報CSV</t>
    <phoneticPr fontId="3"/>
  </si>
  <si>
    <t>収益入力出力情報CSV</t>
    <phoneticPr fontId="3"/>
  </si>
  <si>
    <t>D08030103</t>
    <phoneticPr fontId="3"/>
  </si>
  <si>
    <t>定例取引CSV（テキストボックス）</t>
    <phoneticPr fontId="3"/>
  </si>
  <si>
    <t>定例取引CSVファイル（ファイル名）</t>
    <phoneticPr fontId="3"/>
  </si>
  <si>
    <t>14,3</t>
    <phoneticPr fontId="3"/>
  </si>
  <si>
    <t>事業所コード</t>
    <rPh sb="0" eb="3">
      <t>ジギョウショ</t>
    </rPh>
    <phoneticPr fontId="3"/>
  </si>
  <si>
    <t>事業所名称</t>
    <rPh sb="0" eb="3">
      <t>ジギョウショ</t>
    </rPh>
    <rPh sb="3" eb="5">
      <t>メイショウ</t>
    </rPh>
    <phoneticPr fontId="3"/>
  </si>
  <si>
    <t>更新日</t>
    <rPh sb="0" eb="2">
      <t>コウシンシャ</t>
    </rPh>
    <rPh sb="2" eb="3">
      <t>ビ</t>
    </rPh>
    <phoneticPr fontId="3"/>
  </si>
  <si>
    <t>取引入力申請情報CSV</t>
    <phoneticPr fontId="3"/>
  </si>
  <si>
    <t>予算組織コード</t>
    <rPh sb="0" eb="2">
      <t>ヨサン</t>
    </rPh>
    <rPh sb="2" eb="4">
      <t>ソシキ</t>
    </rPh>
    <phoneticPr fontId="3"/>
  </si>
  <si>
    <t>予算組織名称</t>
    <rPh sb="0" eb="2">
      <t>ヨサン</t>
    </rPh>
    <rPh sb="2" eb="4">
      <t>ソシキ</t>
    </rPh>
    <rPh sb="3" eb="5">
      <t>メイショウ</t>
    </rPh>
    <phoneticPr fontId="3"/>
  </si>
  <si>
    <t>勘定科目コード</t>
    <rPh sb="0" eb="2">
      <t>カンジョウ</t>
    </rPh>
    <rPh sb="2" eb="4">
      <t>カモク</t>
    </rPh>
    <phoneticPr fontId="3"/>
  </si>
  <si>
    <t>勘定科目名称</t>
    <rPh sb="0" eb="2">
      <t>カンジョウ</t>
    </rPh>
    <rPh sb="2" eb="4">
      <t>カモク</t>
    </rPh>
    <rPh sb="4" eb="6">
      <t>メイショウ</t>
    </rPh>
    <phoneticPr fontId="3"/>
  </si>
  <si>
    <t>費用戻入区分</t>
    <phoneticPr fontId="3"/>
  </si>
  <si>
    <t>発生元システム</t>
    <rPh sb="0" eb="2">
      <t>ハッセイ</t>
    </rPh>
    <rPh sb="2" eb="3">
      <t>モト</t>
    </rPh>
    <phoneticPr fontId="3"/>
  </si>
  <si>
    <t>承認状況</t>
    <rPh sb="0" eb="1">
      <t>ショウニン</t>
    </rPh>
    <rPh sb="1" eb="3">
      <t>ジョウキョウ</t>
    </rPh>
    <phoneticPr fontId="3"/>
  </si>
  <si>
    <t>処理区分コード</t>
    <rPh sb="0" eb="4">
      <t>ショリクブン</t>
    </rPh>
    <phoneticPr fontId="1"/>
  </si>
  <si>
    <t>処理区分名称</t>
    <rPh sb="0" eb="6">
      <t>ショリクブンメイショウ</t>
    </rPh>
    <phoneticPr fontId="1"/>
  </si>
  <si>
    <t>業種名称</t>
    <rPh sb="0" eb="2">
      <t>ギョウシュ</t>
    </rPh>
    <rPh sb="2" eb="4">
      <t>メイショウ</t>
    </rPh>
    <phoneticPr fontId="1"/>
  </si>
  <si>
    <t>予算組織コード</t>
    <rPh sb="0" eb="4">
      <t>ヨサンソシキ</t>
    </rPh>
    <phoneticPr fontId="1"/>
  </si>
  <si>
    <t>予算組織名称</t>
    <rPh sb="0" eb="4">
      <t>ヨサンソシキ</t>
    </rPh>
    <rPh sb="4" eb="6">
      <t>メイショウ</t>
    </rPh>
    <phoneticPr fontId="1"/>
  </si>
  <si>
    <t>取引日</t>
    <rPh sb="0" eb="3">
      <t>トリヒキビ</t>
    </rPh>
    <phoneticPr fontId="1"/>
  </si>
  <si>
    <t>支払入金方法コード</t>
    <rPh sb="0" eb="6">
      <t>シハライニュウキンホウホウ</t>
    </rPh>
    <phoneticPr fontId="1"/>
  </si>
  <si>
    <t>支払入金方法名称</t>
    <rPh sb="0" eb="6">
      <t>シハライニュウキンホウホウ</t>
    </rPh>
    <rPh sb="6" eb="8">
      <t>メイショウ</t>
    </rPh>
    <phoneticPr fontId="1"/>
  </si>
  <si>
    <t>勘定科目コード</t>
    <rPh sb="0" eb="4">
      <t>カンジョウカモク</t>
    </rPh>
    <phoneticPr fontId="1"/>
  </si>
  <si>
    <t>勘定科目名称</t>
    <rPh sb="0" eb="4">
      <t>カンジョウカモク</t>
    </rPh>
    <rPh sb="4" eb="6">
      <t>メイショウ</t>
    </rPh>
    <phoneticPr fontId="1"/>
  </si>
  <si>
    <t>科目摘要コード</t>
    <rPh sb="0" eb="4">
      <t>カモクテキヨウ</t>
    </rPh>
    <phoneticPr fontId="1"/>
  </si>
  <si>
    <t>科目摘要名称</t>
    <rPh sb="0" eb="4">
      <t>カモクテキヨウ</t>
    </rPh>
    <rPh sb="4" eb="6">
      <t>メイショウ</t>
    </rPh>
    <phoneticPr fontId="1"/>
  </si>
  <si>
    <t>科目摘要細目</t>
    <rPh sb="0" eb="2">
      <t>カモク</t>
    </rPh>
    <rPh sb="2" eb="4">
      <t>テキヨウ</t>
    </rPh>
    <rPh sb="4" eb="6">
      <t>サイモク</t>
    </rPh>
    <phoneticPr fontId="1"/>
  </si>
  <si>
    <t>科目摘要補足</t>
    <rPh sb="0" eb="6">
      <t>カモクテキヨウホソク</t>
    </rPh>
    <phoneticPr fontId="1"/>
  </si>
  <si>
    <t>合計額</t>
    <rPh sb="0" eb="2">
      <t>ゴウケイ</t>
    </rPh>
    <rPh sb="2" eb="3">
      <t>ガク</t>
    </rPh>
    <phoneticPr fontId="1"/>
  </si>
  <si>
    <t>相手先明細　相手先コード</t>
    <rPh sb="0" eb="5">
      <t>アイテサキメイサイ</t>
    </rPh>
    <rPh sb="6" eb="9">
      <t>アイテサキ</t>
    </rPh>
    <phoneticPr fontId="1"/>
  </si>
  <si>
    <t>相手先明細　相手先名称</t>
    <rPh sb="0" eb="5">
      <t>アイテサキメイサイ</t>
    </rPh>
    <rPh sb="6" eb="9">
      <t>アイテサキ</t>
    </rPh>
    <rPh sb="9" eb="11">
      <t>メイショウ</t>
    </rPh>
    <phoneticPr fontId="1"/>
  </si>
  <si>
    <t>相手先明細　本体額</t>
    <rPh sb="6" eb="8">
      <t>ホンタイ</t>
    </rPh>
    <rPh sb="8" eb="9">
      <t>ガク</t>
    </rPh>
    <phoneticPr fontId="1"/>
  </si>
  <si>
    <t>相手先明細　消費税額</t>
    <rPh sb="6" eb="9">
      <t>ショウヒゼイ</t>
    </rPh>
    <rPh sb="9" eb="10">
      <t>ガク</t>
    </rPh>
    <phoneticPr fontId="1"/>
  </si>
  <si>
    <t>相手先明細　消費税取引区分コード</t>
    <rPh sb="6" eb="9">
      <t>ショウヒゼイ</t>
    </rPh>
    <rPh sb="9" eb="13">
      <t>トリヒキクブン</t>
    </rPh>
    <phoneticPr fontId="1"/>
  </si>
  <si>
    <t>相手先明細　消費税取引区分名称</t>
    <rPh sb="6" eb="9">
      <t>ショウヒゼイ</t>
    </rPh>
    <rPh sb="9" eb="13">
      <t>トリヒキクブン</t>
    </rPh>
    <rPh sb="13" eb="15">
      <t>メイショウ</t>
    </rPh>
    <phoneticPr fontId="1"/>
  </si>
  <si>
    <t>相手先明細　免税区分コード</t>
    <rPh sb="6" eb="10">
      <t>メンゼイクブン</t>
    </rPh>
    <phoneticPr fontId="1"/>
  </si>
  <si>
    <t>相手先明細　免税区分名称</t>
    <rPh sb="6" eb="10">
      <t>メンゼイクブン</t>
    </rPh>
    <rPh sb="10" eb="12">
      <t>メイショウ</t>
    </rPh>
    <phoneticPr fontId="1"/>
  </si>
  <si>
    <t>相手先明細　控除額</t>
    <rPh sb="6" eb="9">
      <t>コウジョガク</t>
    </rPh>
    <phoneticPr fontId="1"/>
  </si>
  <si>
    <t>相手先明細　仮払金</t>
    <rPh sb="6" eb="9">
      <t>カリバライキン</t>
    </rPh>
    <phoneticPr fontId="1"/>
  </si>
  <si>
    <t>相手先明細　合計金額</t>
    <rPh sb="0" eb="5">
      <t>アイテサキメイサイ</t>
    </rPh>
    <rPh sb="6" eb="10">
      <t>ゴウケイキンガク</t>
    </rPh>
    <phoneticPr fontId="1"/>
  </si>
  <si>
    <t>相手先明細　支払入金予定日</t>
    <rPh sb="6" eb="13">
      <t>シハライニュウキンヨテイビ</t>
    </rPh>
    <phoneticPr fontId="1"/>
  </si>
  <si>
    <t>一括償却資産　品名</t>
    <rPh sb="0" eb="4">
      <t>イッカツショウキャク</t>
    </rPh>
    <rPh sb="4" eb="6">
      <t>シサン</t>
    </rPh>
    <rPh sb="7" eb="9">
      <t>ヒンメイ</t>
    </rPh>
    <phoneticPr fontId="1"/>
  </si>
  <si>
    <t>一括償却資産　単価</t>
    <rPh sb="0" eb="4">
      <t>イッカツショウキャク</t>
    </rPh>
    <rPh sb="4" eb="6">
      <t>シサン</t>
    </rPh>
    <rPh sb="7" eb="9">
      <t>タンカ</t>
    </rPh>
    <phoneticPr fontId="1"/>
  </si>
  <si>
    <t>一括償却資産　数量</t>
    <rPh sb="0" eb="4">
      <t>イッカツショウキャク</t>
    </rPh>
    <rPh sb="4" eb="6">
      <t>シサン</t>
    </rPh>
    <rPh sb="7" eb="9">
      <t>スウリョウ</t>
    </rPh>
    <phoneticPr fontId="1"/>
  </si>
  <si>
    <t>一括償却資産　金額</t>
    <rPh sb="0" eb="4">
      <t>イッカツショウキャク</t>
    </rPh>
    <rPh sb="4" eb="6">
      <t>シサン</t>
    </rPh>
    <rPh sb="7" eb="9">
      <t>キンガク</t>
    </rPh>
    <phoneticPr fontId="1"/>
  </si>
  <si>
    <t>一括償却資産　納品日</t>
    <rPh sb="0" eb="4">
      <t>イッカツショウキャク</t>
    </rPh>
    <rPh sb="4" eb="6">
      <t>シサン</t>
    </rPh>
    <rPh sb="7" eb="10">
      <t>ノウヒンビ</t>
    </rPh>
    <phoneticPr fontId="1"/>
  </si>
  <si>
    <t>諸口取引先名称</t>
    <rPh sb="0" eb="2">
      <t>ショクチ</t>
    </rPh>
    <rPh sb="2" eb="5">
      <t>トリヒキサキ</t>
    </rPh>
    <rPh sb="5" eb="7">
      <t>メイショウ</t>
    </rPh>
    <phoneticPr fontId="1"/>
  </si>
  <si>
    <t>14,3</t>
  </si>
  <si>
    <t>文字</t>
    <phoneticPr fontId="1"/>
  </si>
  <si>
    <t>数値</t>
    <phoneticPr fontId="1"/>
  </si>
  <si>
    <t>仕向元業種</t>
    <rPh sb="3" eb="5">
      <t>ギョウシュ</t>
    </rPh>
    <phoneticPr fontId="1"/>
  </si>
  <si>
    <t>仕向元勘定科目</t>
    <rPh sb="3" eb="7">
      <t>カンジョウカモク</t>
    </rPh>
    <phoneticPr fontId="1"/>
  </si>
  <si>
    <t>更新者</t>
    <rPh sb="0" eb="3">
      <t>コウシンシャ</t>
    </rPh>
    <phoneticPr fontId="1"/>
  </si>
  <si>
    <t>更新日(From)</t>
    <rPh sb="0" eb="3">
      <t>コウシンビ</t>
    </rPh>
    <phoneticPr fontId="1"/>
  </si>
  <si>
    <t>更新日(To)</t>
    <rPh sb="0" eb="3">
      <t>コウシンビ</t>
    </rPh>
    <phoneticPr fontId="1"/>
  </si>
  <si>
    <t>4</t>
  </si>
  <si>
    <t>2</t>
  </si>
  <si>
    <t>8</t>
  </si>
  <si>
    <t>20</t>
  </si>
  <si>
    <t>12</t>
  </si>
  <si>
    <t>1</t>
  </si>
  <si>
    <t>文字列</t>
    <phoneticPr fontId="1"/>
  </si>
  <si>
    <t>4,1</t>
    <phoneticPr fontId="3"/>
  </si>
  <si>
    <t>事業所名称</t>
  </si>
  <si>
    <t>伝票番号</t>
    <rPh sb="0" eb="4">
      <t>デンヒョウバンゴウ</t>
    </rPh>
    <phoneticPr fontId="1"/>
  </si>
  <si>
    <t>業種名称</t>
    <rPh sb="0" eb="2">
      <t>ギョウシュ</t>
    </rPh>
    <phoneticPr fontId="1"/>
  </si>
  <si>
    <t>取引パターンコード</t>
    <rPh sb="0" eb="2">
      <t>トリヒキ</t>
    </rPh>
    <phoneticPr fontId="1"/>
  </si>
  <si>
    <t>取引パターン名称</t>
    <rPh sb="0" eb="2">
      <t>トリヒキ</t>
    </rPh>
    <phoneticPr fontId="1"/>
  </si>
  <si>
    <t>科目摘要コード</t>
    <rPh sb="0" eb="2">
      <t>カモク</t>
    </rPh>
    <rPh sb="2" eb="4">
      <t>テキヨウ</t>
    </rPh>
    <phoneticPr fontId="1"/>
  </si>
  <si>
    <t>科目摘要名称</t>
    <rPh sb="0" eb="2">
      <t>カモク</t>
    </rPh>
    <rPh sb="2" eb="4">
      <t>テキヨウ</t>
    </rPh>
    <rPh sb="4" eb="6">
      <t>メイショウ</t>
    </rPh>
    <phoneticPr fontId="1"/>
  </si>
  <si>
    <t>未収未払組織コード</t>
    <rPh sb="0" eb="6">
      <t>ミシュウミバライソシキ</t>
    </rPh>
    <phoneticPr fontId="1"/>
  </si>
  <si>
    <t>未収未払組織名称</t>
  </si>
  <si>
    <t>費用収益組織コード</t>
    <rPh sb="0" eb="6">
      <t>ヒヨウシュウエキソシキ</t>
    </rPh>
    <phoneticPr fontId="1"/>
  </si>
  <si>
    <t>費用収益組織名称</t>
  </si>
  <si>
    <t>受払組織コード</t>
    <rPh sb="0" eb="4">
      <t>ウケバライソシキ</t>
    </rPh>
    <phoneticPr fontId="1"/>
  </si>
  <si>
    <t>受払組織名称</t>
  </si>
  <si>
    <t>指図事業所コード</t>
    <rPh sb="0" eb="5">
      <t>サシズジギョウショ</t>
    </rPh>
    <phoneticPr fontId="1"/>
  </si>
  <si>
    <t>指図事業所名称</t>
    <rPh sb="0" eb="5">
      <t>サシズジギョウショ</t>
    </rPh>
    <rPh sb="5" eb="7">
      <t>メイショウ</t>
    </rPh>
    <phoneticPr fontId="1"/>
  </si>
  <si>
    <t>収支管理品目コード</t>
    <rPh sb="0" eb="6">
      <t>シュウシカンリヒンモク</t>
    </rPh>
    <phoneticPr fontId="1"/>
  </si>
  <si>
    <t>収支管理品目名称</t>
    <rPh sb="0" eb="2">
      <t>シュウシ</t>
    </rPh>
    <rPh sb="2" eb="4">
      <t>カンリ</t>
    </rPh>
    <rPh sb="4" eb="6">
      <t>ヒンモク</t>
    </rPh>
    <rPh sb="6" eb="8">
      <t>メイショウ</t>
    </rPh>
    <phoneticPr fontId="1"/>
  </si>
  <si>
    <t>年産</t>
    <rPh sb="0" eb="2">
      <t>ネンサン</t>
    </rPh>
    <phoneticPr fontId="1"/>
  </si>
  <si>
    <t>次数</t>
    <rPh sb="0" eb="2">
      <t>ジスウ</t>
    </rPh>
    <phoneticPr fontId="1"/>
  </si>
  <si>
    <t>原材料コード</t>
    <rPh sb="0" eb="3">
      <t>ゲンザイリョウ</t>
    </rPh>
    <phoneticPr fontId="1"/>
  </si>
  <si>
    <t>原材料名称</t>
    <rPh sb="0" eb="3">
      <t>ゲンザイリョウ</t>
    </rPh>
    <rPh sb="3" eb="5">
      <t>メイショウ</t>
    </rPh>
    <phoneticPr fontId="1"/>
  </si>
  <si>
    <t>原材料年産</t>
    <rPh sb="0" eb="3">
      <t>ゲンザイリョウ</t>
    </rPh>
    <rPh sb="3" eb="5">
      <t>ネンサン</t>
    </rPh>
    <phoneticPr fontId="1"/>
  </si>
  <si>
    <t>仕掛品名称</t>
    <rPh sb="3" eb="5">
      <t>メイショウ</t>
    </rPh>
    <phoneticPr fontId="1"/>
  </si>
  <si>
    <t>仕掛品年産</t>
    <rPh sb="3" eb="5">
      <t>ネンサン</t>
    </rPh>
    <phoneticPr fontId="1"/>
  </si>
  <si>
    <t>貯蔵品名称</t>
    <rPh sb="3" eb="5">
      <t>メイショウ</t>
    </rPh>
    <phoneticPr fontId="1"/>
  </si>
  <si>
    <t>数量（仮数）</t>
    <rPh sb="0" eb="2">
      <t>スウリョウ</t>
    </rPh>
    <rPh sb="3" eb="5">
      <t>カリスウ</t>
    </rPh>
    <phoneticPr fontId="1"/>
  </si>
  <si>
    <t>数量（分子）</t>
    <rPh sb="0" eb="2">
      <t>スウリョウ</t>
    </rPh>
    <rPh sb="3" eb="5">
      <t>ブンシ</t>
    </rPh>
    <phoneticPr fontId="1"/>
  </si>
  <si>
    <t>相手先コード</t>
    <rPh sb="0" eb="3">
      <t>アイテサキ</t>
    </rPh>
    <phoneticPr fontId="1"/>
  </si>
  <si>
    <t>相手先名称</t>
    <rPh sb="0" eb="2">
      <t>アイテ</t>
    </rPh>
    <rPh sb="2" eb="3">
      <t>サキ</t>
    </rPh>
    <rPh sb="3" eb="5">
      <t>メイショウ</t>
    </rPh>
    <phoneticPr fontId="1"/>
  </si>
  <si>
    <t>事業者番号</t>
    <rPh sb="0" eb="3">
      <t>ジギョウシャ</t>
    </rPh>
    <rPh sb="3" eb="5">
      <t>バンゴウ</t>
    </rPh>
    <phoneticPr fontId="1"/>
  </si>
  <si>
    <t>諸口取引先名称</t>
    <rPh sb="0" eb="2">
      <t>ショグチ</t>
    </rPh>
    <rPh sb="2" eb="7">
      <t>トリヒキサキメイショウ</t>
    </rPh>
    <phoneticPr fontId="1"/>
  </si>
  <si>
    <t>決済方法コード</t>
    <rPh sb="0" eb="4">
      <t>ケッサイホウホウ</t>
    </rPh>
    <phoneticPr fontId="1"/>
  </si>
  <si>
    <t>決済方法名称</t>
    <rPh sb="0" eb="4">
      <t>ケッサイホウホウ</t>
    </rPh>
    <rPh sb="4" eb="6">
      <t>メイショウ</t>
    </rPh>
    <phoneticPr fontId="1"/>
  </si>
  <si>
    <t>支払・入金予定日</t>
    <rPh sb="0" eb="2">
      <t>シハライ</t>
    </rPh>
    <rPh sb="3" eb="5">
      <t>ニュウキン</t>
    </rPh>
    <rPh sb="5" eb="7">
      <t>ヨテイ</t>
    </rPh>
    <rPh sb="7" eb="8">
      <t>ヒ</t>
    </rPh>
    <phoneticPr fontId="1"/>
  </si>
  <si>
    <t>漢字</t>
    <phoneticPr fontId="3"/>
  </si>
  <si>
    <t>本体金額１</t>
    <rPh sb="0" eb="4">
      <t>ホンタイキンガク</t>
    </rPh>
    <phoneticPr fontId="1"/>
  </si>
  <si>
    <t>消費税金額１</t>
    <rPh sb="0" eb="5">
      <t>ショウヒゼイキンガク</t>
    </rPh>
    <phoneticPr fontId="1"/>
  </si>
  <si>
    <t>消費税取引区分１</t>
    <rPh sb="0" eb="7">
      <t>ショウヒゼイトリヒキクブン</t>
    </rPh>
    <phoneticPr fontId="1"/>
  </si>
  <si>
    <t>金額摘要コード１</t>
    <rPh sb="0" eb="4">
      <t>キンガクテキヨウ</t>
    </rPh>
    <phoneticPr fontId="1"/>
  </si>
  <si>
    <t>金額摘要コード２</t>
    <rPh sb="0" eb="4">
      <t>キンガクテキヨウ</t>
    </rPh>
    <phoneticPr fontId="1"/>
  </si>
  <si>
    <t>本体金額２</t>
    <rPh sb="0" eb="4">
      <t>ホンタイキンガク</t>
    </rPh>
    <phoneticPr fontId="1"/>
  </si>
  <si>
    <t>消費税金額２</t>
    <rPh sb="0" eb="5">
      <t>ショウヒゼイキンガク</t>
    </rPh>
    <phoneticPr fontId="1"/>
  </si>
  <si>
    <t>消費税取引区分２</t>
    <rPh sb="0" eb="7">
      <t>ショウヒゼイトリヒキクブン</t>
    </rPh>
    <phoneticPr fontId="1"/>
  </si>
  <si>
    <t>金額摘要コード３</t>
    <rPh sb="0" eb="4">
      <t>キンガクテキヨウ</t>
    </rPh>
    <phoneticPr fontId="1"/>
  </si>
  <si>
    <t>本体金額３</t>
    <rPh sb="0" eb="4">
      <t>ホンタイキンガク</t>
    </rPh>
    <phoneticPr fontId="1"/>
  </si>
  <si>
    <t>消費税金額３</t>
    <rPh sb="0" eb="5">
      <t>ショウヒゼイキンガク</t>
    </rPh>
    <phoneticPr fontId="1"/>
  </si>
  <si>
    <t>消費税取引区分３</t>
    <rPh sb="0" eb="7">
      <t>ショウヒゼイトリヒキクブン</t>
    </rPh>
    <phoneticPr fontId="1"/>
  </si>
  <si>
    <t>金額摘要コード４</t>
    <rPh sb="0" eb="4">
      <t>キンガクテキヨウ</t>
    </rPh>
    <phoneticPr fontId="1"/>
  </si>
  <si>
    <t>本体金額４</t>
    <rPh sb="0" eb="4">
      <t>ホンタイキンガク</t>
    </rPh>
    <phoneticPr fontId="1"/>
  </si>
  <si>
    <t>消費税金額４</t>
    <rPh sb="0" eb="5">
      <t>ショウヒゼイキンガク</t>
    </rPh>
    <phoneticPr fontId="1"/>
  </si>
  <si>
    <t>消費税取引区分４</t>
    <rPh sb="0" eb="7">
      <t>ショウヒゼイトリヒキクブン</t>
    </rPh>
    <phoneticPr fontId="1"/>
  </si>
  <si>
    <t>金額摘要コード５</t>
    <rPh sb="0" eb="4">
      <t>キンガクテキヨウ</t>
    </rPh>
    <phoneticPr fontId="1"/>
  </si>
  <si>
    <t>本体金額５</t>
    <rPh sb="0" eb="4">
      <t>ホンタイキンガク</t>
    </rPh>
    <phoneticPr fontId="1"/>
  </si>
  <si>
    <t>消費税金額５</t>
    <rPh sb="0" eb="5">
      <t>ショウヒゼイキンガク</t>
    </rPh>
    <phoneticPr fontId="1"/>
  </si>
  <si>
    <t>消費税取引区分５</t>
    <rPh sb="0" eb="7">
      <t>ショウヒゼイトリヒキクブン</t>
    </rPh>
    <phoneticPr fontId="1"/>
  </si>
  <si>
    <t>4,1</t>
  </si>
  <si>
    <t>データ番号</t>
    <phoneticPr fontId="4"/>
  </si>
  <si>
    <t>データ番号</t>
    <phoneticPr fontId="1"/>
  </si>
  <si>
    <t>11,3</t>
    <phoneticPr fontId="3"/>
  </si>
  <si>
    <t>11,3</t>
    <phoneticPr fontId="4"/>
  </si>
  <si>
    <t>定例取引入力の差戻日時</t>
    <phoneticPr fontId="3"/>
  </si>
  <si>
    <t>定例取引入力の差戻者ユーザーＩＤ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</si>
</sst>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7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6"/>
      <name val="ＭＳ 明朝"/>
      <family val="1"/>
      <charset val="128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rgb="FF000000"/>
      </bottom>
      <diagonal/>
    </border>
    <border>
      <left/>
      <right/>
      <top style="hair">
        <color indexed="64"/>
      </top>
      <bottom style="thin">
        <color rgb="FF000000"/>
      </bottom>
      <diagonal/>
    </border>
    <border>
      <left/>
      <right style="thin">
        <color indexed="64"/>
      </right>
      <top style="hair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</cellStyleXfs>
  <cellXfs count="237">
    <xf numFmtId="0" fontId="0" fillId="0" borderId="0" xfId="0"/>
    <xf numFmtId="0" fontId="8" fillId="0" borderId="0" xfId="0" applyFont="1" applyAlignment="1">
      <alignment vertical="center"/>
    </xf>
    <xf numFmtId="0" fontId="6" fillId="0" borderId="0" xfId="0" applyFont="1"/>
    <xf numFmtId="0" fontId="4" fillId="0" borderId="0" xfId="0" applyFont="1"/>
    <xf numFmtId="0" fontId="8" fillId="0" borderId="0" xfId="0" applyFont="1"/>
    <xf numFmtId="0" fontId="4" fillId="0" borderId="9" xfId="0" applyFont="1" applyBorder="1"/>
    <xf numFmtId="0" fontId="4" fillId="0" borderId="10" xfId="0" applyFont="1" applyBorder="1"/>
    <xf numFmtId="0" fontId="8" fillId="0" borderId="17" xfId="0" applyFont="1" applyBorder="1"/>
    <xf numFmtId="0" fontId="8" fillId="0" borderId="18" xfId="0" applyFont="1" applyBorder="1"/>
    <xf numFmtId="0" fontId="8" fillId="0" borderId="19" xfId="0" applyFont="1" applyBorder="1"/>
    <xf numFmtId="0" fontId="4" fillId="0" borderId="31" xfId="0" applyFont="1" applyBorder="1"/>
    <xf numFmtId="49" fontId="4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0" fontId="4" fillId="0" borderId="0" xfId="1" applyFont="1" applyAlignment="1">
      <alignment vertical="center"/>
    </xf>
    <xf numFmtId="0" fontId="4" fillId="0" borderId="15" xfId="0" applyFont="1" applyBorder="1"/>
    <xf numFmtId="176" fontId="5" fillId="0" borderId="0" xfId="1" applyNumberFormat="1" applyFont="1" applyAlignment="1">
      <alignment vertical="center"/>
    </xf>
    <xf numFmtId="49" fontId="10" fillId="0" borderId="0" xfId="1" applyNumberFormat="1" applyFont="1" applyAlignment="1">
      <alignment vertical="center"/>
    </xf>
    <xf numFmtId="49" fontId="4" fillId="0" borderId="4" xfId="1" applyNumberFormat="1" applyFont="1" applyBorder="1"/>
    <xf numFmtId="49" fontId="4" fillId="0" borderId="2" xfId="1" applyNumberFormat="1" applyFont="1" applyBorder="1"/>
    <xf numFmtId="49" fontId="4" fillId="0" borderId="3" xfId="1" applyNumberFormat="1" applyFont="1" applyBorder="1"/>
    <xf numFmtId="49" fontId="4" fillId="0" borderId="0" xfId="1" applyNumberFormat="1" applyFont="1"/>
    <xf numFmtId="49" fontId="4" fillId="0" borderId="9" xfId="1" applyNumberFormat="1" applyFont="1" applyBorder="1"/>
    <xf numFmtId="49" fontId="4" fillId="0" borderId="9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10" xfId="1" applyNumberFormat="1" applyFont="1" applyBorder="1"/>
    <xf numFmtId="49" fontId="4" fillId="0" borderId="17" xfId="1" applyNumberFormat="1" applyFont="1" applyBorder="1"/>
    <xf numFmtId="49" fontId="4" fillId="0" borderId="18" xfId="1" applyNumberFormat="1" applyFont="1" applyBorder="1"/>
    <xf numFmtId="49" fontId="4" fillId="0" borderId="19" xfId="1" applyNumberFormat="1" applyFont="1" applyBorder="1"/>
    <xf numFmtId="49" fontId="10" fillId="0" borderId="0" xfId="1" applyNumberFormat="1" applyFont="1"/>
    <xf numFmtId="0" fontId="4" fillId="0" borderId="6" xfId="0" quotePrefix="1" applyFont="1" applyBorder="1" applyAlignment="1">
      <alignment horizontal="left" vertical="center"/>
    </xf>
    <xf numFmtId="0" fontId="4" fillId="0" borderId="7" xfId="0" quotePrefix="1" applyFont="1" applyBorder="1" applyAlignment="1">
      <alignment horizontal="left" vertical="center"/>
    </xf>
    <xf numFmtId="0" fontId="4" fillId="0" borderId="8" xfId="0" quotePrefix="1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1" applyFont="1"/>
    <xf numFmtId="0" fontId="4" fillId="0" borderId="0" xfId="0" applyFont="1" applyAlignment="1">
      <alignment vertical="center"/>
    </xf>
    <xf numFmtId="49" fontId="4" fillId="0" borderId="0" xfId="1" quotePrefix="1" applyNumberFormat="1" applyFont="1"/>
    <xf numFmtId="49" fontId="4" fillId="0" borderId="0" xfId="2" applyNumberFormat="1" applyFont="1" applyAlignment="1">
      <alignment vertical="center"/>
    </xf>
    <xf numFmtId="49" fontId="4" fillId="0" borderId="0" xfId="2" applyNumberFormat="1" applyFont="1" applyAlignment="1">
      <alignment horizontal="right" vertical="center"/>
    </xf>
    <xf numFmtId="49" fontId="5" fillId="0" borderId="0" xfId="2" applyNumberFormat="1" applyFont="1" applyAlignment="1">
      <alignment vertical="center"/>
    </xf>
    <xf numFmtId="176" fontId="5" fillId="0" borderId="0" xfId="2" applyNumberFormat="1" applyFont="1" applyAlignment="1">
      <alignment vertical="center"/>
    </xf>
    <xf numFmtId="0" fontId="8" fillId="0" borderId="0" xfId="2" applyFont="1" applyAlignment="1">
      <alignment vertical="center"/>
    </xf>
    <xf numFmtId="0" fontId="6" fillId="0" borderId="0" xfId="2" applyFont="1"/>
    <xf numFmtId="0" fontId="4" fillId="0" borderId="31" xfId="2" applyFont="1" applyBorder="1"/>
    <xf numFmtId="0" fontId="4" fillId="0" borderId="0" xfId="2" applyFont="1"/>
    <xf numFmtId="0" fontId="8" fillId="0" borderId="0" xfId="2" applyFont="1"/>
    <xf numFmtId="0" fontId="4" fillId="0" borderId="9" xfId="2" applyFont="1" applyBorder="1"/>
    <xf numFmtId="0" fontId="4" fillId="0" borderId="15" xfId="2" applyFont="1" applyBorder="1"/>
    <xf numFmtId="0" fontId="4" fillId="0" borderId="10" xfId="2" applyFont="1" applyBorder="1"/>
    <xf numFmtId="0" fontId="8" fillId="0" borderId="17" xfId="2" applyFont="1" applyBorder="1"/>
    <xf numFmtId="0" fontId="8" fillId="0" borderId="18" xfId="2" applyFont="1" applyBorder="1"/>
    <xf numFmtId="0" fontId="8" fillId="0" borderId="19" xfId="2" applyFont="1" applyBorder="1"/>
    <xf numFmtId="0" fontId="4" fillId="0" borderId="0" xfId="2" applyFont="1" applyAlignment="1">
      <alignment vertical="center"/>
    </xf>
    <xf numFmtId="0" fontId="7" fillId="0" borderId="0" xfId="0" applyFont="1"/>
    <xf numFmtId="0" fontId="7" fillId="0" borderId="0" xfId="2"/>
    <xf numFmtId="49" fontId="4" fillId="0" borderId="1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left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9" fillId="0" borderId="4" xfId="1" applyNumberFormat="1" applyFont="1" applyBorder="1" applyAlignment="1">
      <alignment horizontal="center" vertical="center"/>
    </xf>
    <xf numFmtId="49" fontId="9" fillId="0" borderId="2" xfId="1" applyNumberFormat="1" applyFont="1" applyBorder="1" applyAlignment="1">
      <alignment horizontal="center" vertical="center"/>
    </xf>
    <xf numFmtId="49" fontId="9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/>
    </xf>
    <xf numFmtId="49" fontId="4" fillId="0" borderId="2" xfId="1" applyNumberFormat="1" applyFont="1" applyBorder="1" applyAlignment="1">
      <alignment horizontal="center"/>
    </xf>
    <xf numFmtId="49" fontId="4" fillId="0" borderId="3" xfId="1" applyNumberFormat="1" applyFont="1" applyBorder="1" applyAlignment="1">
      <alignment horizontal="center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6" xfId="0" quotePrefix="1" applyFont="1" applyBorder="1" applyAlignment="1">
      <alignment horizontal="left" vertical="center"/>
    </xf>
    <xf numFmtId="0" fontId="4" fillId="0" borderId="7" xfId="0" quotePrefix="1" applyFont="1" applyBorder="1" applyAlignment="1">
      <alignment horizontal="left" vertical="center"/>
    </xf>
    <xf numFmtId="0" fontId="4" fillId="0" borderId="8" xfId="0" quotePrefix="1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5" xfId="0" quotePrefix="1" applyFont="1" applyBorder="1" applyAlignment="1">
      <alignment horizontal="left" vertical="center"/>
    </xf>
    <xf numFmtId="0" fontId="4" fillId="0" borderId="26" xfId="0" quotePrefix="1" applyFont="1" applyBorder="1" applyAlignment="1">
      <alignment horizontal="left" vertical="center"/>
    </xf>
    <xf numFmtId="0" fontId="4" fillId="0" borderId="27" xfId="0" quotePrefix="1" applyFont="1" applyBorder="1" applyAlignment="1">
      <alignment horizontal="left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 shrinkToFit="1"/>
    </xf>
    <xf numFmtId="0" fontId="4" fillId="0" borderId="2" xfId="0" applyFont="1" applyBorder="1" applyAlignment="1">
      <alignment horizontal="center" vertical="center" wrapText="1" shrinkToFit="1"/>
    </xf>
    <xf numFmtId="0" fontId="4" fillId="0" borderId="3" xfId="0" applyFont="1" applyBorder="1" applyAlignment="1">
      <alignment horizontal="center" vertical="center" wrapText="1" shrinkToFit="1"/>
    </xf>
    <xf numFmtId="0" fontId="4" fillId="0" borderId="6" xfId="0" quotePrefix="1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6" xfId="1" quotePrefix="1" applyFont="1" applyBorder="1" applyAlignment="1">
      <alignment horizontal="left" vertical="center"/>
    </xf>
    <xf numFmtId="0" fontId="4" fillId="0" borderId="7" xfId="1" quotePrefix="1" applyFont="1" applyBorder="1" applyAlignment="1">
      <alignment horizontal="left" vertical="center"/>
    </xf>
    <xf numFmtId="0" fontId="4" fillId="0" borderId="8" xfId="1" quotePrefix="1" applyFont="1" applyBorder="1" applyAlignment="1">
      <alignment horizontal="left" vertical="center"/>
    </xf>
    <xf numFmtId="0" fontId="4" fillId="0" borderId="11" xfId="0" quotePrefix="1" applyFont="1" applyBorder="1" applyAlignment="1">
      <alignment horizontal="left" vertical="center"/>
    </xf>
    <xf numFmtId="0" fontId="4" fillId="0" borderId="12" xfId="0" quotePrefix="1" applyFont="1" applyBorder="1" applyAlignment="1">
      <alignment horizontal="left" vertical="center"/>
    </xf>
    <xf numFmtId="0" fontId="4" fillId="0" borderId="13" xfId="0" quotePrefix="1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21" xfId="1" applyFont="1" applyBorder="1" applyAlignment="1">
      <alignment horizontal="left" vertical="center" wrapText="1"/>
    </xf>
    <xf numFmtId="0" fontId="4" fillId="0" borderId="22" xfId="1" applyFont="1" applyBorder="1" applyAlignment="1">
      <alignment horizontal="left" vertical="center" wrapText="1"/>
    </xf>
    <xf numFmtId="0" fontId="4" fillId="0" borderId="23" xfId="1" applyFont="1" applyBorder="1" applyAlignment="1">
      <alignment horizontal="left" vertical="center" wrapText="1"/>
    </xf>
    <xf numFmtId="0" fontId="4" fillId="0" borderId="6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4" xfId="0" quotePrefix="1" applyFont="1" applyBorder="1" applyAlignment="1">
      <alignment horizontal="left" vertical="center"/>
    </xf>
    <xf numFmtId="0" fontId="4" fillId="0" borderId="15" xfId="0" quotePrefix="1" applyFont="1" applyBorder="1" applyAlignment="1">
      <alignment horizontal="left" vertical="center"/>
    </xf>
    <xf numFmtId="0" fontId="4" fillId="0" borderId="16" xfId="0" quotePrefix="1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4" xfId="0" quotePrefix="1" applyFont="1" applyBorder="1" applyAlignment="1">
      <alignment horizontal="left" vertical="center" wrapText="1"/>
    </xf>
    <xf numFmtId="49" fontId="4" fillId="0" borderId="4" xfId="0" quotePrefix="1" applyNumberFormat="1" applyFont="1" applyBorder="1" applyAlignment="1">
      <alignment horizontal="center" vertical="center"/>
    </xf>
    <xf numFmtId="49" fontId="4" fillId="0" borderId="1" xfId="2" applyNumberFormat="1" applyFont="1" applyBorder="1" applyAlignment="1">
      <alignment horizontal="left" vertical="center"/>
    </xf>
    <xf numFmtId="0" fontId="4" fillId="0" borderId="24" xfId="2" applyFont="1" applyBorder="1" applyAlignment="1">
      <alignment horizontal="center" vertical="center"/>
    </xf>
    <xf numFmtId="0" fontId="4" fillId="0" borderId="25" xfId="2" quotePrefix="1" applyFont="1" applyBorder="1" applyAlignment="1">
      <alignment horizontal="left" vertical="center"/>
    </xf>
    <xf numFmtId="0" fontId="4" fillId="0" borderId="26" xfId="2" quotePrefix="1" applyFont="1" applyBorder="1" applyAlignment="1">
      <alignment horizontal="left" vertical="center"/>
    </xf>
    <xf numFmtId="0" fontId="4" fillId="0" borderId="27" xfId="2" quotePrefix="1" applyFont="1" applyBorder="1" applyAlignment="1">
      <alignment horizontal="left" vertical="center"/>
    </xf>
    <xf numFmtId="0" fontId="4" fillId="0" borderId="25" xfId="2" applyFont="1" applyBorder="1" applyAlignment="1">
      <alignment horizontal="center" vertical="center"/>
    </xf>
    <xf numFmtId="0" fontId="4" fillId="0" borderId="26" xfId="2" applyFont="1" applyBorder="1" applyAlignment="1">
      <alignment horizontal="center" vertical="center"/>
    </xf>
    <xf numFmtId="0" fontId="4" fillId="0" borderId="27" xfId="2" applyFont="1" applyBorder="1" applyAlignment="1">
      <alignment horizontal="center" vertical="center"/>
    </xf>
    <xf numFmtId="0" fontId="4" fillId="0" borderId="32" xfId="2" applyFont="1" applyBorder="1" applyAlignment="1">
      <alignment horizontal="center" vertical="center"/>
    </xf>
    <xf numFmtId="0" fontId="4" fillId="0" borderId="25" xfId="2" applyFont="1" applyBorder="1" applyAlignment="1">
      <alignment horizontal="left" vertical="center" wrapText="1"/>
    </xf>
    <xf numFmtId="0" fontId="4" fillId="0" borderId="26" xfId="2" applyFont="1" applyBorder="1" applyAlignment="1">
      <alignment horizontal="left" vertical="center" wrapText="1"/>
    </xf>
    <xf numFmtId="0" fontId="4" fillId="0" borderId="27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center" vertical="center"/>
    </xf>
    <xf numFmtId="0" fontId="4" fillId="0" borderId="6" xfId="2" quotePrefix="1" applyFont="1" applyBorder="1" applyAlignment="1">
      <alignment horizontal="left" vertical="center"/>
    </xf>
    <xf numFmtId="0" fontId="4" fillId="0" borderId="7" xfId="2" quotePrefix="1" applyFont="1" applyBorder="1" applyAlignment="1">
      <alignment horizontal="left" vertical="center"/>
    </xf>
    <xf numFmtId="0" fontId="4" fillId="0" borderId="8" xfId="2" quotePrefix="1" applyFont="1" applyBorder="1" applyAlignment="1">
      <alignment horizontal="left" vertical="center"/>
    </xf>
    <xf numFmtId="0" fontId="4" fillId="0" borderId="6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0" fontId="4" fillId="0" borderId="6" xfId="2" applyFont="1" applyBorder="1" applyAlignment="1">
      <alignment horizontal="left" vertical="center" wrapText="1"/>
    </xf>
    <xf numFmtId="0" fontId="4" fillId="0" borderId="7" xfId="2" applyFont="1" applyBorder="1" applyAlignment="1">
      <alignment horizontal="left" vertical="center" wrapText="1"/>
    </xf>
    <xf numFmtId="0" fontId="4" fillId="0" borderId="8" xfId="2" applyFont="1" applyBorder="1" applyAlignment="1">
      <alignment horizontal="left" vertical="center" wrapText="1"/>
    </xf>
    <xf numFmtId="0" fontId="4" fillId="0" borderId="11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4" fillId="0" borderId="13" xfId="2" applyFont="1" applyBorder="1" applyAlignment="1">
      <alignment horizontal="center" vertical="center"/>
    </xf>
    <xf numFmtId="0" fontId="4" fillId="0" borderId="11" xfId="2" quotePrefix="1" applyFont="1" applyBorder="1" applyAlignment="1">
      <alignment horizontal="left" vertical="center"/>
    </xf>
    <xf numFmtId="0" fontId="4" fillId="0" borderId="12" xfId="2" quotePrefix="1" applyFont="1" applyBorder="1" applyAlignment="1">
      <alignment horizontal="left" vertical="center"/>
    </xf>
    <xf numFmtId="0" fontId="4" fillId="0" borderId="13" xfId="2" quotePrefix="1" applyFont="1" applyBorder="1" applyAlignment="1">
      <alignment horizontal="left" vertical="center"/>
    </xf>
    <xf numFmtId="0" fontId="4" fillId="0" borderId="11" xfId="2" applyFont="1" applyBorder="1" applyAlignment="1">
      <alignment horizontal="left" vertical="center" wrapText="1"/>
    </xf>
    <xf numFmtId="0" fontId="4" fillId="0" borderId="12" xfId="2" applyFont="1" applyBorder="1" applyAlignment="1">
      <alignment horizontal="left" vertical="center" wrapText="1"/>
    </xf>
    <xf numFmtId="0" fontId="4" fillId="0" borderId="13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49" fontId="4" fillId="0" borderId="1" xfId="2" applyNumberFormat="1" applyFont="1" applyBorder="1" applyAlignment="1">
      <alignment horizontal="center" vertical="center"/>
    </xf>
    <xf numFmtId="49" fontId="4" fillId="0" borderId="4" xfId="2" applyNumberFormat="1" applyFont="1" applyBorder="1" applyAlignment="1">
      <alignment horizontal="center" vertical="center"/>
    </xf>
    <xf numFmtId="49" fontId="4" fillId="0" borderId="2" xfId="2" applyNumberFormat="1" applyFont="1" applyBorder="1" applyAlignment="1">
      <alignment horizontal="center" vertical="center"/>
    </xf>
    <xf numFmtId="49" fontId="4" fillId="0" borderId="3" xfId="2" applyNumberFormat="1" applyFont="1" applyBorder="1" applyAlignment="1">
      <alignment horizontal="center" vertical="center"/>
    </xf>
    <xf numFmtId="0" fontId="4" fillId="0" borderId="4" xfId="2" applyFont="1" applyBorder="1" applyAlignment="1">
      <alignment horizontal="left" vertical="center"/>
    </xf>
    <xf numFmtId="0" fontId="4" fillId="0" borderId="2" xfId="2" applyFont="1" applyBorder="1" applyAlignment="1">
      <alignment horizontal="left" vertical="center"/>
    </xf>
    <xf numFmtId="0" fontId="4" fillId="0" borderId="3" xfId="2" applyFont="1" applyBorder="1" applyAlignment="1">
      <alignment horizontal="left" vertical="center"/>
    </xf>
    <xf numFmtId="0" fontId="4" fillId="0" borderId="4" xfId="2" applyFont="1" applyBorder="1" applyAlignment="1">
      <alignment horizontal="center" vertical="center" wrapText="1" shrinkToFit="1"/>
    </xf>
    <xf numFmtId="0" fontId="4" fillId="0" borderId="2" xfId="2" applyFont="1" applyBorder="1" applyAlignment="1">
      <alignment horizontal="center" vertical="center" wrapText="1" shrinkToFit="1"/>
    </xf>
    <xf numFmtId="0" fontId="4" fillId="0" borderId="3" xfId="2" applyFont="1" applyBorder="1" applyAlignment="1">
      <alignment horizontal="center" vertical="center" wrapText="1" shrinkToFit="1"/>
    </xf>
    <xf numFmtId="49" fontId="9" fillId="0" borderId="4" xfId="2" applyNumberFormat="1" applyFont="1" applyBorder="1" applyAlignment="1">
      <alignment horizontal="center" vertical="center"/>
    </xf>
    <xf numFmtId="49" fontId="9" fillId="0" borderId="2" xfId="2" applyNumberFormat="1" applyFont="1" applyBorder="1" applyAlignment="1">
      <alignment horizontal="center" vertical="center"/>
    </xf>
    <xf numFmtId="49" fontId="9" fillId="0" borderId="3" xfId="2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" xfId="0" quotePrefix="1" applyFont="1" applyBorder="1" applyAlignment="1">
      <alignment horizontal="left" vertical="center"/>
    </xf>
    <xf numFmtId="0" fontId="4" fillId="0" borderId="6" xfId="0" quotePrefix="1" applyFont="1" applyBorder="1" applyAlignment="1">
      <alignment vertical="center"/>
    </xf>
    <xf numFmtId="0" fontId="4" fillId="0" borderId="7" xfId="0" quotePrefix="1" applyFont="1" applyBorder="1" applyAlignment="1">
      <alignment vertical="center"/>
    </xf>
    <xf numFmtId="0" fontId="4" fillId="0" borderId="8" xfId="0" quotePrefix="1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1" xfId="0" quotePrefix="1" applyFont="1" applyBorder="1" applyAlignment="1">
      <alignment vertical="center"/>
    </xf>
    <xf numFmtId="0" fontId="4" fillId="0" borderId="12" xfId="0" quotePrefix="1" applyFont="1" applyBorder="1" applyAlignment="1">
      <alignment vertical="center"/>
    </xf>
    <xf numFmtId="0" fontId="4" fillId="0" borderId="13" xfId="0" quotePrefix="1" applyFont="1" applyBorder="1" applyAlignment="1">
      <alignment vertical="center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6" xfId="0" quotePrefix="1" applyFont="1" applyBorder="1" applyAlignment="1">
      <alignment vertical="center" wrapText="1"/>
    </xf>
    <xf numFmtId="0" fontId="4" fillId="0" borderId="21" xfId="0" quotePrefix="1" applyFont="1" applyBorder="1" applyAlignment="1">
      <alignment vertical="center"/>
    </xf>
    <xf numFmtId="0" fontId="4" fillId="0" borderId="22" xfId="0" quotePrefix="1" applyFont="1" applyBorder="1" applyAlignment="1">
      <alignment vertical="center"/>
    </xf>
    <xf numFmtId="0" fontId="4" fillId="0" borderId="23" xfId="0" quotePrefix="1" applyFont="1" applyBorder="1" applyAlignment="1">
      <alignment vertical="center"/>
    </xf>
    <xf numFmtId="0" fontId="4" fillId="0" borderId="21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4" fillId="0" borderId="23" xfId="0" applyFont="1" applyBorder="1" applyAlignment="1">
      <alignment vertical="center" wrapText="1"/>
    </xf>
    <xf numFmtId="0" fontId="4" fillId="0" borderId="28" xfId="0" quotePrefix="1" applyFont="1" applyBorder="1" applyAlignment="1">
      <alignment horizontal="left" vertical="center"/>
    </xf>
    <xf numFmtId="0" fontId="4" fillId="0" borderId="29" xfId="0" quotePrefix="1" applyFont="1" applyBorder="1" applyAlignment="1">
      <alignment horizontal="left" vertical="center"/>
    </xf>
    <xf numFmtId="0" fontId="4" fillId="0" borderId="30" xfId="0" quotePrefix="1" applyFont="1" applyBorder="1" applyAlignment="1">
      <alignment horizontal="left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28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0" fontId="4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</cellXfs>
  <cellStyles count="5">
    <cellStyle name="標準" xfId="0" builtinId="0"/>
    <cellStyle name="標準 2" xfId="1" xr:uid="{D02AA2D4-AA98-4A6B-8F36-4B000999B903}"/>
    <cellStyle name="標準 2 2" xfId="2" xr:uid="{0B5833BE-75B3-493C-9933-9A42CEB6ECEF}"/>
    <cellStyle name="標準 5" xfId="3" xr:uid="{C8C775EC-4C65-43BD-86DB-7D5F947EB87E}"/>
    <cellStyle name="標準 5 2" xfId="4" xr:uid="{08E15F77-3486-4985-8EED-EC0DD1AE58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5917F-55C8-4021-BB9A-50BFEAD20012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/>
  <cols>
    <col min="1" max="62" width="2.125" style="29" customWidth="1"/>
    <col min="63" max="159" width="1.625" style="29" customWidth="1"/>
    <col min="160" max="16384" width="9" style="29"/>
  </cols>
  <sheetData>
    <row r="1" spans="1:62" s="11" customFormat="1" ht="18" customHeight="1">
      <c r="A1" s="11" t="s">
        <v>212</v>
      </c>
      <c r="BJ1" s="13" t="s">
        <v>0</v>
      </c>
    </row>
    <row r="2" spans="1:62" s="12" customFormat="1" ht="18" customHeight="1">
      <c r="A2" s="62" t="s">
        <v>218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4"/>
      <c r="AV2" s="59" t="s">
        <v>1</v>
      </c>
      <c r="AW2" s="60"/>
      <c r="AX2" s="60"/>
      <c r="AY2" s="61"/>
      <c r="AZ2" s="59" t="s">
        <v>214</v>
      </c>
      <c r="BA2" s="60"/>
      <c r="BB2" s="60"/>
      <c r="BC2" s="61"/>
      <c r="BD2" s="59" t="s">
        <v>2</v>
      </c>
      <c r="BE2" s="60"/>
      <c r="BF2" s="60"/>
      <c r="BG2" s="61"/>
      <c r="BH2" s="60"/>
      <c r="BI2" s="60"/>
      <c r="BJ2" s="61"/>
    </row>
    <row r="3" spans="1:62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9" t="s">
        <v>4</v>
      </c>
      <c r="AW3" s="60"/>
      <c r="AX3" s="60"/>
      <c r="AY3" s="61"/>
      <c r="AZ3" s="59" t="s">
        <v>563</v>
      </c>
      <c r="BA3" s="60"/>
      <c r="BB3" s="60"/>
      <c r="BC3" s="60"/>
      <c r="BD3" s="60"/>
      <c r="BE3" s="60"/>
      <c r="BF3" s="60"/>
      <c r="BG3" s="60"/>
      <c r="BH3" s="60"/>
      <c r="BI3" s="60"/>
      <c r="BJ3" s="61"/>
    </row>
    <row r="4" spans="1:62" s="11" customFormat="1" ht="18" customHeight="1">
      <c r="A4" s="57" t="s">
        <v>219</v>
      </c>
      <c r="B4" s="57"/>
      <c r="C4" s="57"/>
      <c r="D4" s="57"/>
      <c r="E4" s="57"/>
      <c r="F4" s="57"/>
      <c r="G4" s="57"/>
      <c r="H4" s="58" t="s">
        <v>222</v>
      </c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9" t="s">
        <v>6</v>
      </c>
      <c r="AW4" s="60"/>
      <c r="AX4" s="60"/>
      <c r="AY4" s="61"/>
      <c r="AZ4" s="59"/>
      <c r="BA4" s="60"/>
      <c r="BB4" s="60"/>
      <c r="BC4" s="60"/>
      <c r="BD4" s="60"/>
      <c r="BE4" s="60"/>
      <c r="BF4" s="60"/>
      <c r="BG4" s="60"/>
      <c r="BH4" s="60"/>
      <c r="BI4" s="60"/>
      <c r="BJ4" s="61"/>
    </row>
    <row r="5" spans="1:62" s="17" customFormat="1" ht="9" customHeight="1"/>
    <row r="6" spans="1:62" s="21" customFormat="1" ht="15.75" customHeight="1">
      <c r="A6" s="65" t="s">
        <v>220</v>
      </c>
      <c r="B6" s="66"/>
      <c r="C6" s="66"/>
      <c r="D6" s="66"/>
      <c r="E6" s="66"/>
      <c r="F6" s="66"/>
      <c r="G6" s="67"/>
      <c r="H6" s="18"/>
      <c r="I6" s="19" t="s">
        <v>221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20"/>
    </row>
    <row r="7" spans="1:62" s="21" customFormat="1" ht="20.25" customHeight="1">
      <c r="A7" s="22"/>
      <c r="C7" s="11"/>
      <c r="D7" s="11"/>
      <c r="E7" s="11"/>
      <c r="F7" s="11"/>
      <c r="G7" s="11"/>
      <c r="H7" s="23"/>
      <c r="O7" s="24"/>
      <c r="P7" s="24"/>
      <c r="Q7" s="24"/>
      <c r="R7" s="24"/>
      <c r="S7" s="24"/>
      <c r="T7" s="24"/>
      <c r="U7" s="24"/>
      <c r="V7" s="24"/>
      <c r="W7" s="24"/>
      <c r="X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BJ7" s="25"/>
    </row>
    <row r="8" spans="1:62" s="21" customFormat="1" ht="20.25" customHeight="1">
      <c r="A8" s="22"/>
      <c r="B8" s="38" t="s">
        <v>1237</v>
      </c>
      <c r="C8" s="11"/>
      <c r="D8" s="11"/>
      <c r="E8" s="11"/>
      <c r="F8" s="11"/>
      <c r="G8" s="11"/>
      <c r="H8" s="23"/>
      <c r="I8" s="21" t="s">
        <v>1236</v>
      </c>
      <c r="O8" s="24"/>
      <c r="P8" s="24"/>
      <c r="Q8" s="24"/>
      <c r="R8" s="24"/>
      <c r="S8" s="24"/>
      <c r="T8" s="24"/>
      <c r="U8" s="24"/>
      <c r="V8" s="24"/>
      <c r="W8" s="24"/>
      <c r="X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BJ8" s="25"/>
    </row>
    <row r="9" spans="1:62" s="21" customFormat="1" ht="20.25" customHeight="1">
      <c r="A9" s="22"/>
      <c r="H9" s="22"/>
      <c r="BJ9" s="25"/>
    </row>
    <row r="10" spans="1:62" s="21" customFormat="1" ht="20.25" customHeight="1">
      <c r="A10" s="22"/>
      <c r="H10" s="22"/>
      <c r="Q10" s="36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BJ10" s="25"/>
    </row>
    <row r="11" spans="1:62" s="21" customFormat="1" ht="20.25" customHeight="1">
      <c r="A11" s="22"/>
      <c r="H11" s="22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BJ11" s="25"/>
    </row>
    <row r="12" spans="1:62" s="21" customFormat="1" ht="20.25" customHeight="1">
      <c r="A12" s="22"/>
      <c r="H12" s="22"/>
      <c r="BJ12" s="25"/>
    </row>
    <row r="13" spans="1:62" s="21" customFormat="1" ht="20.25" customHeight="1">
      <c r="A13" s="22"/>
      <c r="H13" s="22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BJ13" s="25"/>
    </row>
    <row r="14" spans="1:62" s="21" customFormat="1" ht="20.25" customHeight="1">
      <c r="A14" s="22"/>
      <c r="H14" s="22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BJ14" s="25"/>
    </row>
    <row r="15" spans="1:62" s="21" customFormat="1" ht="20.25" customHeight="1">
      <c r="A15" s="22"/>
      <c r="H15" s="22"/>
      <c r="BJ15" s="25"/>
    </row>
    <row r="16" spans="1:62" s="21" customFormat="1" ht="20.25" customHeight="1">
      <c r="A16" s="22"/>
      <c r="H16" s="22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BJ16" s="25"/>
    </row>
    <row r="17" spans="1:62" s="21" customFormat="1" ht="20.25" customHeight="1">
      <c r="A17" s="22"/>
      <c r="H17" s="22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BJ17" s="25"/>
    </row>
    <row r="18" spans="1:62" s="21" customFormat="1" ht="20.25" customHeight="1">
      <c r="A18" s="22"/>
      <c r="H18" s="22"/>
      <c r="BJ18" s="25"/>
    </row>
    <row r="19" spans="1:62" s="21" customFormat="1" ht="20.25" customHeight="1">
      <c r="A19" s="22"/>
      <c r="H19" s="22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BJ19" s="25"/>
    </row>
    <row r="20" spans="1:62" s="21" customFormat="1" ht="20.25" customHeight="1">
      <c r="A20" s="22"/>
      <c r="H20" s="22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BJ20" s="25"/>
    </row>
    <row r="21" spans="1:62" s="21" customFormat="1" ht="20.25" customHeight="1">
      <c r="A21" s="22"/>
      <c r="H21" s="22"/>
      <c r="BJ21" s="25"/>
    </row>
    <row r="22" spans="1:62" s="21" customFormat="1" ht="20.25" customHeight="1">
      <c r="A22" s="22"/>
      <c r="H22" s="22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BJ22" s="25"/>
    </row>
    <row r="23" spans="1:62" s="21" customFormat="1" ht="20.25" customHeight="1">
      <c r="A23" s="22"/>
      <c r="H23" s="22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BJ23" s="25"/>
    </row>
    <row r="24" spans="1:62" s="21" customFormat="1" ht="20.25" customHeight="1">
      <c r="A24" s="22"/>
      <c r="H24" s="22"/>
      <c r="BJ24" s="25"/>
    </row>
    <row r="25" spans="1:62" s="21" customFormat="1" ht="20.25" customHeight="1">
      <c r="A25" s="22"/>
      <c r="H25" s="22"/>
      <c r="O25" s="24"/>
      <c r="P25" s="24"/>
      <c r="Q25" s="24"/>
      <c r="R25" s="24"/>
      <c r="S25" s="24"/>
      <c r="T25" s="24"/>
      <c r="U25" s="24"/>
      <c r="V25" s="24"/>
      <c r="W25" s="24"/>
      <c r="X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BJ25" s="25"/>
    </row>
    <row r="26" spans="1:62" s="21" customFormat="1" ht="20.25" customHeight="1">
      <c r="A26" s="22"/>
      <c r="H26" s="22"/>
      <c r="O26" s="24"/>
      <c r="P26" s="24"/>
      <c r="Q26" s="24"/>
      <c r="R26" s="24"/>
      <c r="S26" s="24"/>
      <c r="T26" s="24"/>
      <c r="U26" s="24"/>
      <c r="V26" s="24"/>
      <c r="W26" s="24"/>
      <c r="X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BJ26" s="25"/>
    </row>
    <row r="27" spans="1:62" s="21" customFormat="1" ht="20.25" customHeight="1">
      <c r="A27" s="22"/>
      <c r="H27" s="22"/>
      <c r="BJ27" s="25"/>
    </row>
    <row r="28" spans="1:62" s="21" customFormat="1" ht="20.25" customHeight="1">
      <c r="A28" s="22"/>
      <c r="H28" s="22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BJ28" s="25"/>
    </row>
    <row r="29" spans="1:62" s="21" customFormat="1" ht="20.25" customHeight="1">
      <c r="A29" s="22"/>
      <c r="H29" s="22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BJ29" s="25"/>
    </row>
    <row r="30" spans="1:62" s="21" customFormat="1" ht="20.25" customHeight="1">
      <c r="A30" s="22"/>
      <c r="H30" s="22"/>
      <c r="BJ30" s="25"/>
    </row>
    <row r="31" spans="1:62" s="21" customFormat="1" ht="20.25" customHeight="1">
      <c r="A31" s="22"/>
      <c r="H31" s="22"/>
      <c r="BJ31" s="25"/>
    </row>
    <row r="32" spans="1:62" s="21" customFormat="1" ht="20.25" customHeight="1">
      <c r="A32" s="22"/>
      <c r="H32" s="22"/>
      <c r="BJ32" s="25"/>
    </row>
    <row r="33" spans="1:62" s="21" customFormat="1" ht="20.25" customHeight="1">
      <c r="A33" s="22"/>
      <c r="H33" s="22"/>
      <c r="BJ33" s="25"/>
    </row>
    <row r="34" spans="1:62" s="21" customFormat="1" ht="20.25" customHeight="1">
      <c r="A34" s="22"/>
      <c r="H34" s="22"/>
      <c r="BJ34" s="25"/>
    </row>
    <row r="35" spans="1:62" s="21" customFormat="1" ht="20.25" customHeight="1">
      <c r="A35" s="22"/>
      <c r="H35" s="22"/>
      <c r="BJ35" s="25"/>
    </row>
    <row r="36" spans="1:62" s="21" customFormat="1" ht="20.25" customHeight="1">
      <c r="A36" s="22"/>
      <c r="H36" s="22"/>
      <c r="BJ36" s="25"/>
    </row>
    <row r="37" spans="1:62" s="21" customFormat="1" ht="20.25" customHeight="1">
      <c r="A37" s="22"/>
      <c r="H37" s="22"/>
      <c r="BJ37" s="25"/>
    </row>
    <row r="38" spans="1:62" s="21" customFormat="1" ht="20.25" customHeight="1">
      <c r="A38" s="22"/>
      <c r="H38" s="22"/>
      <c r="BJ38" s="25"/>
    </row>
    <row r="39" spans="1:62" s="21" customFormat="1" ht="20.25" customHeight="1">
      <c r="A39" s="22"/>
      <c r="H39" s="22"/>
      <c r="BJ39" s="25"/>
    </row>
    <row r="40" spans="1:62" s="21" customFormat="1" ht="20.25" customHeight="1">
      <c r="A40" s="22"/>
      <c r="H40" s="22"/>
      <c r="BJ40" s="25"/>
    </row>
    <row r="41" spans="1:62" s="21" customFormat="1" ht="20.25" customHeight="1">
      <c r="A41" s="22"/>
      <c r="H41" s="22"/>
      <c r="BJ41" s="25"/>
    </row>
    <row r="42" spans="1:62" s="21" customFormat="1" ht="20.25" customHeight="1">
      <c r="A42" s="22"/>
      <c r="H42" s="22"/>
      <c r="BJ42" s="25"/>
    </row>
    <row r="43" spans="1:62" s="21" customFormat="1" ht="20.25" customHeight="1">
      <c r="A43" s="22"/>
      <c r="H43" s="22"/>
      <c r="BJ43" s="25"/>
    </row>
    <row r="44" spans="1:62" s="21" customFormat="1" ht="20.25" customHeight="1">
      <c r="A44" s="22"/>
      <c r="H44" s="22"/>
      <c r="BJ44" s="25"/>
    </row>
    <row r="45" spans="1:62" s="21" customFormat="1" ht="20.25" customHeight="1">
      <c r="A45" s="22"/>
      <c r="H45" s="22"/>
      <c r="BJ45" s="25"/>
    </row>
    <row r="46" spans="1:62" s="21" customFormat="1" ht="20.25" customHeight="1">
      <c r="A46" s="22"/>
      <c r="H46" s="22"/>
      <c r="BJ46" s="25"/>
    </row>
    <row r="47" spans="1:62" s="21" customFormat="1" ht="20.25" customHeight="1">
      <c r="A47" s="22"/>
      <c r="H47" s="22"/>
      <c r="BJ47" s="25"/>
    </row>
    <row r="48" spans="1:62" s="21" customFormat="1" ht="20.25" customHeight="1">
      <c r="A48" s="22"/>
      <c r="H48" s="22"/>
      <c r="BJ48" s="25"/>
    </row>
    <row r="49" spans="1:62" s="21" customFormat="1" ht="20.25" customHeight="1">
      <c r="A49" s="22"/>
      <c r="H49" s="22"/>
      <c r="BJ49" s="25"/>
    </row>
    <row r="50" spans="1:62" s="21" customFormat="1" ht="20.25" customHeight="1">
      <c r="A50" s="22"/>
      <c r="H50" s="22"/>
      <c r="BJ50" s="25"/>
    </row>
    <row r="51" spans="1:62" s="21" customFormat="1" ht="20.25" customHeight="1">
      <c r="A51" s="22"/>
      <c r="H51" s="22"/>
      <c r="BJ51" s="25"/>
    </row>
    <row r="52" spans="1:62" s="21" customFormat="1" ht="20.25" customHeight="1">
      <c r="A52" s="22"/>
      <c r="H52" s="22"/>
      <c r="BJ52" s="25"/>
    </row>
    <row r="53" spans="1:62" s="21" customFormat="1" ht="20.25" customHeight="1">
      <c r="A53" s="22"/>
      <c r="H53" s="22"/>
      <c r="BJ53" s="25"/>
    </row>
    <row r="54" spans="1:62" s="21" customFormat="1" ht="20.25" customHeight="1">
      <c r="A54" s="22"/>
      <c r="H54" s="22"/>
      <c r="BJ54" s="25"/>
    </row>
    <row r="55" spans="1:62" s="21" customFormat="1" ht="20.25" customHeight="1">
      <c r="A55" s="22"/>
      <c r="H55" s="22"/>
      <c r="BJ55" s="25"/>
    </row>
    <row r="56" spans="1:62" s="21" customFormat="1" ht="20.25" customHeight="1">
      <c r="A56" s="22"/>
      <c r="H56" s="22"/>
      <c r="BJ56" s="25"/>
    </row>
    <row r="57" spans="1:62" s="21" customFormat="1" ht="20.25" customHeight="1">
      <c r="A57" s="22"/>
      <c r="H57" s="22"/>
      <c r="BJ57" s="25"/>
    </row>
    <row r="58" spans="1:62" s="21" customFormat="1" ht="20.25" customHeight="1">
      <c r="A58" s="22"/>
      <c r="H58" s="22"/>
      <c r="BJ58" s="25"/>
    </row>
    <row r="59" spans="1:62" s="21" customFormat="1" ht="20.25" customHeight="1">
      <c r="A59" s="26"/>
      <c r="B59" s="27"/>
      <c r="C59" s="27"/>
      <c r="D59" s="27"/>
      <c r="E59" s="27"/>
      <c r="F59" s="27"/>
      <c r="G59" s="27"/>
      <c r="H59" s="26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8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4:G4"/>
    <mergeCell ref="H4:AU4"/>
    <mergeCell ref="AV4:AY4"/>
    <mergeCell ref="AZ4:BJ4"/>
    <mergeCell ref="A6:G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3"/>
  <pageMargins left="0.6692913385826772" right="0.70866141732283472" top="0.15748031496062992" bottom="0.74803149606299213" header="0.31496062992125984" footer="0.31496062992125984"/>
  <pageSetup paperSize="9" scale="67" fitToHeight="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962C7-1F6A-458F-9C7D-8FE9C8518AD4}">
  <sheetPr codeName="Sheet2"/>
  <dimension ref="A1:BR27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8" width="2.125" style="55"/>
    <col min="39" max="44" width="0" style="55" hidden="1" customWidth="1"/>
    <col min="45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58" t="s">
        <v>217</v>
      </c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95" t="s">
        <v>15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16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17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74">
        <f t="shared" ref="A9:A17" si="0">ROW()-8</f>
        <v>1</v>
      </c>
      <c r="B9" s="75"/>
      <c r="C9" s="76"/>
      <c r="D9" s="71" t="s">
        <v>1445</v>
      </c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3"/>
      <c r="AA9" s="74" t="s">
        <v>19</v>
      </c>
      <c r="AB9" s="75"/>
      <c r="AC9" s="75"/>
      <c r="AD9" s="75"/>
      <c r="AE9" s="76"/>
      <c r="AF9" s="74">
        <v>2</v>
      </c>
      <c r="AG9" s="75"/>
      <c r="AH9" s="76"/>
      <c r="AI9" s="74"/>
      <c r="AJ9" s="75"/>
      <c r="AK9" s="76"/>
      <c r="AL9" s="68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70"/>
    </row>
    <row r="10" spans="1:70" s="1" customFormat="1" ht="30.75" customHeight="1">
      <c r="A10" s="74">
        <f t="shared" si="0"/>
        <v>2</v>
      </c>
      <c r="B10" s="75"/>
      <c r="C10" s="76"/>
      <c r="D10" s="71" t="s">
        <v>1446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  <c r="AA10" s="74" t="s">
        <v>19</v>
      </c>
      <c r="AB10" s="75"/>
      <c r="AC10" s="75"/>
      <c r="AD10" s="75"/>
      <c r="AE10" s="76"/>
      <c r="AF10" s="74">
        <v>15</v>
      </c>
      <c r="AG10" s="75"/>
      <c r="AH10" s="76"/>
      <c r="AI10" s="74"/>
      <c r="AJ10" s="75"/>
      <c r="AK10" s="76"/>
      <c r="AL10" s="68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74">
        <f t="shared" si="0"/>
        <v>3</v>
      </c>
      <c r="B11" s="75"/>
      <c r="C11" s="76"/>
      <c r="D11" s="71" t="s">
        <v>20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3"/>
      <c r="AA11" s="74" t="s">
        <v>19</v>
      </c>
      <c r="AB11" s="75"/>
      <c r="AC11" s="75"/>
      <c r="AD11" s="75"/>
      <c r="AE11" s="76"/>
      <c r="AF11" s="74">
        <v>2</v>
      </c>
      <c r="AG11" s="75"/>
      <c r="AH11" s="76"/>
      <c r="AI11" s="74"/>
      <c r="AJ11" s="75"/>
      <c r="AK11" s="76"/>
      <c r="AL11" s="68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70"/>
    </row>
    <row r="12" spans="1:70" s="1" customFormat="1" ht="30.75" customHeight="1">
      <c r="A12" s="74">
        <f t="shared" si="0"/>
        <v>4</v>
      </c>
      <c r="B12" s="75"/>
      <c r="C12" s="76"/>
      <c r="D12" s="71" t="s">
        <v>21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3"/>
      <c r="AA12" s="74" t="s">
        <v>19</v>
      </c>
      <c r="AB12" s="75"/>
      <c r="AC12" s="75"/>
      <c r="AD12" s="75"/>
      <c r="AE12" s="76"/>
      <c r="AF12" s="74">
        <v>10</v>
      </c>
      <c r="AG12" s="75"/>
      <c r="AH12" s="76"/>
      <c r="AI12" s="74"/>
      <c r="AJ12" s="75"/>
      <c r="AK12" s="76"/>
      <c r="AL12" s="68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70"/>
    </row>
    <row r="13" spans="1:70" s="1" customFormat="1" ht="30.75" customHeight="1">
      <c r="A13" s="74">
        <f t="shared" si="0"/>
        <v>5</v>
      </c>
      <c r="B13" s="75"/>
      <c r="C13" s="76"/>
      <c r="D13" s="71" t="s">
        <v>22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3"/>
      <c r="AA13" s="74" t="s">
        <v>19</v>
      </c>
      <c r="AB13" s="75"/>
      <c r="AC13" s="75"/>
      <c r="AD13" s="75"/>
      <c r="AE13" s="76"/>
      <c r="AF13" s="74">
        <v>3</v>
      </c>
      <c r="AG13" s="75"/>
      <c r="AH13" s="76"/>
      <c r="AI13" s="74"/>
      <c r="AJ13" s="75"/>
      <c r="AK13" s="76"/>
      <c r="AL13" s="68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70"/>
    </row>
    <row r="14" spans="1:70" s="1" customFormat="1" ht="30.75" customHeight="1">
      <c r="A14" s="74">
        <f t="shared" si="0"/>
        <v>6</v>
      </c>
      <c r="B14" s="75"/>
      <c r="C14" s="76"/>
      <c r="D14" s="71" t="s">
        <v>23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3"/>
      <c r="AA14" s="74" t="s">
        <v>19</v>
      </c>
      <c r="AB14" s="75"/>
      <c r="AC14" s="75"/>
      <c r="AD14" s="75"/>
      <c r="AE14" s="76"/>
      <c r="AF14" s="86">
        <v>30</v>
      </c>
      <c r="AG14" s="86"/>
      <c r="AH14" s="86"/>
      <c r="AI14" s="86"/>
      <c r="AJ14" s="86"/>
      <c r="AK14" s="86"/>
      <c r="AL14" s="68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70"/>
    </row>
    <row r="15" spans="1:70" s="1" customFormat="1" ht="30.75" customHeight="1">
      <c r="A15" s="74">
        <f t="shared" si="0"/>
        <v>7</v>
      </c>
      <c r="B15" s="75"/>
      <c r="C15" s="76"/>
      <c r="D15" s="71" t="s">
        <v>57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3"/>
      <c r="AA15" s="74" t="s">
        <v>19</v>
      </c>
      <c r="AB15" s="75"/>
      <c r="AC15" s="75"/>
      <c r="AD15" s="75"/>
      <c r="AE15" s="76"/>
      <c r="AF15" s="86">
        <v>20</v>
      </c>
      <c r="AG15" s="86"/>
      <c r="AH15" s="86"/>
      <c r="AI15" s="86"/>
      <c r="AJ15" s="86"/>
      <c r="AK15" s="86"/>
      <c r="AL15" s="68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70"/>
    </row>
    <row r="16" spans="1:70" s="1" customFormat="1" ht="30.75" customHeight="1">
      <c r="A16" s="74">
        <f t="shared" si="0"/>
        <v>8</v>
      </c>
      <c r="B16" s="75"/>
      <c r="C16" s="76"/>
      <c r="D16" s="71" t="s">
        <v>1447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3"/>
      <c r="AA16" s="74" t="s">
        <v>18</v>
      </c>
      <c r="AB16" s="75"/>
      <c r="AC16" s="75"/>
      <c r="AD16" s="75"/>
      <c r="AE16" s="76"/>
      <c r="AF16" s="86">
        <v>8</v>
      </c>
      <c r="AG16" s="86"/>
      <c r="AH16" s="86"/>
      <c r="AI16" s="86"/>
      <c r="AJ16" s="86"/>
      <c r="AK16" s="86"/>
      <c r="AL16" s="68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70"/>
    </row>
    <row r="17" spans="1:68" s="1" customFormat="1" ht="30.75" customHeight="1">
      <c r="A17" s="74">
        <f t="shared" si="0"/>
        <v>9</v>
      </c>
      <c r="B17" s="75"/>
      <c r="C17" s="76"/>
      <c r="D17" s="71" t="s">
        <v>24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3"/>
      <c r="AA17" s="74" t="s">
        <v>19</v>
      </c>
      <c r="AB17" s="75"/>
      <c r="AC17" s="75"/>
      <c r="AD17" s="75"/>
      <c r="AE17" s="76"/>
      <c r="AF17" s="86">
        <v>12</v>
      </c>
      <c r="AG17" s="86"/>
      <c r="AH17" s="86"/>
      <c r="AI17" s="86"/>
      <c r="AJ17" s="86"/>
      <c r="AK17" s="86"/>
      <c r="AL17" s="68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70"/>
    </row>
    <row r="18" spans="1:68" s="1" customFormat="1" ht="30.75" customHeight="1">
      <c r="A18" s="86"/>
      <c r="B18" s="86"/>
      <c r="C18" s="86"/>
      <c r="D18" s="71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3"/>
      <c r="AA18" s="74"/>
      <c r="AB18" s="75"/>
      <c r="AC18" s="75"/>
      <c r="AD18" s="75"/>
      <c r="AE18" s="76"/>
      <c r="AF18" s="86"/>
      <c r="AG18" s="86"/>
      <c r="AH18" s="86"/>
      <c r="AI18" s="86"/>
      <c r="AJ18" s="86"/>
      <c r="AK18" s="86"/>
      <c r="AL18" s="68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70"/>
    </row>
    <row r="19" spans="1:68" s="1" customFormat="1" ht="30.75" customHeight="1">
      <c r="A19" s="91"/>
      <c r="B19" s="91"/>
      <c r="C19" s="91"/>
      <c r="D19" s="77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9"/>
      <c r="AA19" s="80"/>
      <c r="AB19" s="81"/>
      <c r="AC19" s="81"/>
      <c r="AD19" s="81"/>
      <c r="AE19" s="82"/>
      <c r="AF19" s="87"/>
      <c r="AG19" s="87"/>
      <c r="AH19" s="87"/>
      <c r="AI19" s="87"/>
      <c r="AJ19" s="87"/>
      <c r="AK19" s="87"/>
      <c r="AL19" s="83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5"/>
    </row>
    <row r="20" spans="1:68" s="4" customFormat="1" ht="3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3"/>
      <c r="AG20" s="3"/>
      <c r="AH20" s="3"/>
      <c r="AI20" s="3"/>
      <c r="AJ20" s="3"/>
      <c r="AK20" s="3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</row>
    <row r="21" spans="1:68" s="4" customFormat="1" ht="14.25">
      <c r="A21" s="5" t="s">
        <v>14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15"/>
      <c r="AG21" s="15"/>
      <c r="AH21" s="15"/>
      <c r="AI21" s="15"/>
      <c r="AJ21" s="15"/>
      <c r="AK21" s="15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6"/>
    </row>
    <row r="22" spans="1:68" s="4" customFormat="1" ht="20.25" customHeight="1">
      <c r="A22" s="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6"/>
    </row>
    <row r="23" spans="1:68" s="4" customFormat="1" ht="20.25" customHeight="1">
      <c r="A23" s="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6"/>
    </row>
    <row r="24" spans="1:68" s="4" customFormat="1" ht="20.25" customHeight="1">
      <c r="A24" s="5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6"/>
    </row>
    <row r="25" spans="1:68" s="4" customFormat="1" ht="20.25" customHeight="1">
      <c r="A25" s="5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6"/>
    </row>
    <row r="26" spans="1:68" s="4" customFormat="1" ht="20.25" customHeight="1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9"/>
    </row>
    <row r="27" spans="1:68" ht="5.25" customHeight="1"/>
  </sheetData>
  <mergeCells count="91">
    <mergeCell ref="A8:C8"/>
    <mergeCell ref="D8:Z8"/>
    <mergeCell ref="AA8:AE8"/>
    <mergeCell ref="AL8:BP8"/>
    <mergeCell ref="A6:G6"/>
    <mergeCell ref="H6:N6"/>
    <mergeCell ref="O6:Y6"/>
    <mergeCell ref="Z6:BE6"/>
    <mergeCell ref="BF6:BI6"/>
    <mergeCell ref="BJ6:BP6"/>
    <mergeCell ref="A19:C19"/>
    <mergeCell ref="A18:C18"/>
    <mergeCell ref="A16:C16"/>
    <mergeCell ref="A11:C11"/>
    <mergeCell ref="A12:C12"/>
    <mergeCell ref="A13:C13"/>
    <mergeCell ref="A14:C14"/>
    <mergeCell ref="A17:C17"/>
    <mergeCell ref="D17:Z17"/>
    <mergeCell ref="AA17:AE17"/>
    <mergeCell ref="AL17:BP17"/>
    <mergeCell ref="AF14:AH14"/>
    <mergeCell ref="AI14:AK14"/>
    <mergeCell ref="AF17:AH17"/>
    <mergeCell ref="AI17:AK17"/>
    <mergeCell ref="AF16:AH16"/>
    <mergeCell ref="AI16:AK16"/>
    <mergeCell ref="AL15:BP15"/>
    <mergeCell ref="D16:Z16"/>
    <mergeCell ref="AA16:AE16"/>
    <mergeCell ref="AL16:BP16"/>
    <mergeCell ref="D14:Z14"/>
    <mergeCell ref="AA14:AE14"/>
    <mergeCell ref="AL14:BP14"/>
    <mergeCell ref="D18:Z18"/>
    <mergeCell ref="AA18:AE18"/>
    <mergeCell ref="AL18:BP18"/>
    <mergeCell ref="AF18:AH18"/>
    <mergeCell ref="AI18:AK18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F19:AH19"/>
    <mergeCell ref="AI19:AK19"/>
    <mergeCell ref="A4:G4"/>
    <mergeCell ref="H4:BA4"/>
    <mergeCell ref="BB4:BE4"/>
    <mergeCell ref="BF4:BP4"/>
    <mergeCell ref="AF8:AH8"/>
    <mergeCell ref="AI8:AK8"/>
    <mergeCell ref="AF9:AH9"/>
    <mergeCell ref="AI9:AK9"/>
    <mergeCell ref="AF10:AH10"/>
    <mergeCell ref="AI10:AK10"/>
    <mergeCell ref="D19:Z19"/>
    <mergeCell ref="AA19:AE19"/>
    <mergeCell ref="AL19:BP19"/>
    <mergeCell ref="A9:C9"/>
    <mergeCell ref="D9:Z9"/>
    <mergeCell ref="AA9:AE9"/>
    <mergeCell ref="AL9:BP9"/>
    <mergeCell ref="A10:C10"/>
    <mergeCell ref="D10:Z10"/>
    <mergeCell ref="AA10:AE10"/>
    <mergeCell ref="AL10:BP10"/>
    <mergeCell ref="A15:C15"/>
    <mergeCell ref="D15:Z15"/>
    <mergeCell ref="AA15:AE15"/>
    <mergeCell ref="AF15:AH15"/>
    <mergeCell ref="AI15:AK15"/>
    <mergeCell ref="AL11:BP11"/>
    <mergeCell ref="D12:Z12"/>
    <mergeCell ref="AA12:AE12"/>
    <mergeCell ref="AL12:BP12"/>
    <mergeCell ref="D13:Z13"/>
    <mergeCell ref="AA13:AE13"/>
    <mergeCell ref="AL13:BP13"/>
    <mergeCell ref="D11:Z11"/>
    <mergeCell ref="AA11:AE11"/>
    <mergeCell ref="AF11:AH11"/>
    <mergeCell ref="AI11:AK11"/>
    <mergeCell ref="AF12:AH12"/>
    <mergeCell ref="AI12:AK12"/>
    <mergeCell ref="AF13:AH13"/>
    <mergeCell ref="AI13:AK13"/>
  </mergeCells>
  <phoneticPr fontId="3"/>
  <dataValidations count="1">
    <dataValidation type="list" allowBlank="1" showInputMessage="1" showErrorMessage="1" sqref="BJ6:BP6" xr:uid="{85524660-5828-418D-9A21-D9EE5FC733D3}">
      <formula1>"原票、画面,帳票,連動ファイル,論理ファイル"</formula1>
    </dataValidation>
  </dataValidations>
  <pageMargins left="0.59055118110236227" right="0.47244094488188981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C5783-D4F2-4782-AE97-DE10F0F0EACD}">
  <sheetPr codeName="Sheet3"/>
  <dimension ref="A1:BR131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1" width="2.125" style="55"/>
    <col min="32" max="32" width="2.125" style="55" customWidth="1"/>
    <col min="33" max="38" width="2.125" style="55"/>
    <col min="39" max="44" width="0" style="55" hidden="1" customWidth="1"/>
    <col min="45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58" t="s">
        <v>217</v>
      </c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95" t="s">
        <v>34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35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10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117">
        <f>ROW()-8</f>
        <v>1</v>
      </c>
      <c r="B9" s="118"/>
      <c r="C9" s="119"/>
      <c r="D9" s="114" t="s">
        <v>842</v>
      </c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6"/>
      <c r="AA9" s="117" t="s">
        <v>19</v>
      </c>
      <c r="AB9" s="118"/>
      <c r="AC9" s="118"/>
      <c r="AD9" s="118"/>
      <c r="AE9" s="119"/>
      <c r="AF9" s="117">
        <v>12</v>
      </c>
      <c r="AG9" s="118"/>
      <c r="AH9" s="119"/>
      <c r="AI9" s="117"/>
      <c r="AJ9" s="118"/>
      <c r="AK9" s="119"/>
      <c r="AL9" s="120" t="s">
        <v>863</v>
      </c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2"/>
    </row>
    <row r="10" spans="1:70" s="1" customFormat="1" ht="30.75" customHeight="1">
      <c r="A10" s="74">
        <f>ROW()-8</f>
        <v>2</v>
      </c>
      <c r="B10" s="75"/>
      <c r="C10" s="76"/>
      <c r="D10" s="71" t="s">
        <v>843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  <c r="AA10" s="74" t="s">
        <v>19</v>
      </c>
      <c r="AB10" s="75"/>
      <c r="AC10" s="75"/>
      <c r="AD10" s="75"/>
      <c r="AE10" s="76"/>
      <c r="AF10" s="74">
        <v>1</v>
      </c>
      <c r="AG10" s="75"/>
      <c r="AH10" s="76"/>
      <c r="AI10" s="74"/>
      <c r="AJ10" s="75"/>
      <c r="AK10" s="76"/>
      <c r="AL10" s="68" t="s">
        <v>864</v>
      </c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74">
        <f t="shared" ref="A11:A79" si="0">ROW()-8</f>
        <v>3</v>
      </c>
      <c r="B11" s="75"/>
      <c r="C11" s="76"/>
      <c r="D11" s="71" t="s">
        <v>844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3"/>
      <c r="AA11" s="74" t="s">
        <v>19</v>
      </c>
      <c r="AB11" s="75"/>
      <c r="AC11" s="75"/>
      <c r="AD11" s="75"/>
      <c r="AE11" s="76"/>
      <c r="AF11" s="74">
        <v>2</v>
      </c>
      <c r="AG11" s="75"/>
      <c r="AH11" s="76"/>
      <c r="AI11" s="74"/>
      <c r="AJ11" s="75"/>
      <c r="AK11" s="76"/>
      <c r="AL11" s="68" t="s">
        <v>865</v>
      </c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70"/>
    </row>
    <row r="12" spans="1:70" s="1" customFormat="1" ht="30.75" customHeight="1">
      <c r="A12" s="74">
        <f t="shared" si="0"/>
        <v>4</v>
      </c>
      <c r="B12" s="75"/>
      <c r="C12" s="76"/>
      <c r="D12" s="71" t="s">
        <v>841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3"/>
      <c r="AA12" s="74" t="s">
        <v>19</v>
      </c>
      <c r="AB12" s="75"/>
      <c r="AC12" s="75"/>
      <c r="AD12" s="75"/>
      <c r="AE12" s="76"/>
      <c r="AF12" s="74">
        <v>3</v>
      </c>
      <c r="AG12" s="75"/>
      <c r="AH12" s="76"/>
      <c r="AI12" s="74"/>
      <c r="AJ12" s="75"/>
      <c r="AK12" s="76"/>
      <c r="AL12" s="68" t="s">
        <v>866</v>
      </c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70"/>
    </row>
    <row r="13" spans="1:70" s="1" customFormat="1" ht="30.75" customHeight="1">
      <c r="A13" s="74">
        <f t="shared" si="0"/>
        <v>5</v>
      </c>
      <c r="B13" s="75"/>
      <c r="C13" s="76"/>
      <c r="D13" s="71" t="s">
        <v>845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3"/>
      <c r="AA13" s="74" t="s">
        <v>18</v>
      </c>
      <c r="AB13" s="75"/>
      <c r="AC13" s="75"/>
      <c r="AD13" s="75"/>
      <c r="AE13" s="76"/>
      <c r="AF13" s="74">
        <v>4</v>
      </c>
      <c r="AG13" s="75"/>
      <c r="AH13" s="76"/>
      <c r="AI13" s="74"/>
      <c r="AJ13" s="75"/>
      <c r="AK13" s="76"/>
      <c r="AL13" s="68" t="s">
        <v>867</v>
      </c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70"/>
    </row>
    <row r="14" spans="1:70" s="1" customFormat="1" ht="30.75" customHeight="1">
      <c r="A14" s="74">
        <f t="shared" si="0"/>
        <v>6</v>
      </c>
      <c r="B14" s="75"/>
      <c r="C14" s="76"/>
      <c r="D14" s="71" t="s">
        <v>846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3"/>
      <c r="AA14" s="74" t="s">
        <v>18</v>
      </c>
      <c r="AB14" s="75"/>
      <c r="AC14" s="75"/>
      <c r="AD14" s="75"/>
      <c r="AE14" s="76"/>
      <c r="AF14" s="74">
        <v>8</v>
      </c>
      <c r="AG14" s="75"/>
      <c r="AH14" s="76"/>
      <c r="AI14" s="74"/>
      <c r="AJ14" s="75"/>
      <c r="AK14" s="76"/>
      <c r="AL14" s="68" t="s">
        <v>868</v>
      </c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70"/>
    </row>
    <row r="15" spans="1:70" s="1" customFormat="1" ht="30.75" customHeight="1">
      <c r="A15" s="74">
        <f t="shared" si="0"/>
        <v>7</v>
      </c>
      <c r="B15" s="75"/>
      <c r="C15" s="76"/>
      <c r="D15" s="71" t="s">
        <v>1160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3"/>
      <c r="AA15" s="74" t="s">
        <v>19</v>
      </c>
      <c r="AB15" s="75"/>
      <c r="AC15" s="75"/>
      <c r="AD15" s="75"/>
      <c r="AE15" s="76"/>
      <c r="AF15" s="74">
        <v>64</v>
      </c>
      <c r="AG15" s="75"/>
      <c r="AH15" s="76"/>
      <c r="AI15" s="86"/>
      <c r="AJ15" s="86"/>
      <c r="AK15" s="86"/>
      <c r="AL15" s="68" t="s">
        <v>1231</v>
      </c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70"/>
    </row>
    <row r="16" spans="1:70" s="1" customFormat="1" ht="30.75" customHeight="1">
      <c r="A16" s="74">
        <f t="shared" si="0"/>
        <v>8</v>
      </c>
      <c r="B16" s="75"/>
      <c r="C16" s="76"/>
      <c r="D16" s="71" t="s">
        <v>1162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3"/>
      <c r="AA16" s="74" t="s">
        <v>19</v>
      </c>
      <c r="AB16" s="75"/>
      <c r="AC16" s="75"/>
      <c r="AD16" s="75"/>
      <c r="AE16" s="76"/>
      <c r="AF16" s="74">
        <v>1000</v>
      </c>
      <c r="AG16" s="75"/>
      <c r="AH16" s="76"/>
      <c r="AI16" s="86"/>
      <c r="AJ16" s="86"/>
      <c r="AK16" s="86"/>
      <c r="AL16" s="68" t="s">
        <v>869</v>
      </c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70"/>
    </row>
    <row r="17" spans="1:68" s="1" customFormat="1" ht="30.75" customHeight="1">
      <c r="A17" s="74">
        <f t="shared" si="0"/>
        <v>9</v>
      </c>
      <c r="B17" s="75"/>
      <c r="C17" s="76"/>
      <c r="D17" s="71" t="s">
        <v>1164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3"/>
      <c r="AA17" s="74" t="s">
        <v>271</v>
      </c>
      <c r="AB17" s="75"/>
      <c r="AC17" s="75"/>
      <c r="AD17" s="75"/>
      <c r="AE17" s="76"/>
      <c r="AF17" s="74">
        <v>64</v>
      </c>
      <c r="AG17" s="75"/>
      <c r="AH17" s="76"/>
      <c r="AI17" s="86"/>
      <c r="AJ17" s="86"/>
      <c r="AK17" s="86"/>
      <c r="AL17" s="68" t="s">
        <v>1232</v>
      </c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70"/>
    </row>
    <row r="18" spans="1:68" s="1" customFormat="1" ht="30.75" customHeight="1">
      <c r="A18" s="74">
        <f t="shared" si="0"/>
        <v>10</v>
      </c>
      <c r="B18" s="75"/>
      <c r="C18" s="76"/>
      <c r="D18" s="71" t="s">
        <v>847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3"/>
      <c r="AA18" s="74" t="s">
        <v>19</v>
      </c>
      <c r="AB18" s="75"/>
      <c r="AC18" s="75"/>
      <c r="AD18" s="75"/>
      <c r="AE18" s="76"/>
      <c r="AF18" s="74">
        <v>1000</v>
      </c>
      <c r="AG18" s="75"/>
      <c r="AH18" s="76"/>
      <c r="AI18" s="86"/>
      <c r="AJ18" s="86"/>
      <c r="AK18" s="86"/>
      <c r="AL18" s="68" t="s">
        <v>870</v>
      </c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70"/>
    </row>
    <row r="19" spans="1:68" s="1" customFormat="1" ht="30.75" customHeight="1">
      <c r="A19" s="74">
        <f t="shared" si="0"/>
        <v>11</v>
      </c>
      <c r="B19" s="75"/>
      <c r="C19" s="76"/>
      <c r="D19" s="71" t="s">
        <v>1163</v>
      </c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3"/>
      <c r="AA19" s="74" t="s">
        <v>19</v>
      </c>
      <c r="AB19" s="75"/>
      <c r="AC19" s="75"/>
      <c r="AD19" s="75"/>
      <c r="AE19" s="76"/>
      <c r="AF19" s="74">
        <v>64</v>
      </c>
      <c r="AG19" s="75"/>
      <c r="AH19" s="76"/>
      <c r="AI19" s="86"/>
      <c r="AJ19" s="86"/>
      <c r="AK19" s="86"/>
      <c r="AL19" s="68" t="s">
        <v>1233</v>
      </c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70"/>
    </row>
    <row r="20" spans="1:68" s="1" customFormat="1" ht="30.75" customHeight="1">
      <c r="A20" s="74">
        <f t="shared" si="0"/>
        <v>12</v>
      </c>
      <c r="B20" s="75"/>
      <c r="C20" s="76"/>
      <c r="D20" s="71" t="s">
        <v>848</v>
      </c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3"/>
      <c r="AA20" s="74" t="s">
        <v>271</v>
      </c>
      <c r="AB20" s="75"/>
      <c r="AC20" s="75"/>
      <c r="AD20" s="75"/>
      <c r="AE20" s="76"/>
      <c r="AF20" s="74">
        <v>1000</v>
      </c>
      <c r="AG20" s="75"/>
      <c r="AH20" s="76"/>
      <c r="AI20" s="86"/>
      <c r="AJ20" s="86"/>
      <c r="AK20" s="86"/>
      <c r="AL20" s="68" t="s">
        <v>871</v>
      </c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70"/>
    </row>
    <row r="21" spans="1:68" s="1" customFormat="1" ht="30.75" customHeight="1">
      <c r="A21" s="74">
        <f t="shared" si="0"/>
        <v>13</v>
      </c>
      <c r="B21" s="75"/>
      <c r="C21" s="76"/>
      <c r="D21" s="71" t="s">
        <v>849</v>
      </c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3"/>
      <c r="AA21" s="74" t="s">
        <v>19</v>
      </c>
      <c r="AB21" s="75"/>
      <c r="AC21" s="75"/>
      <c r="AD21" s="75"/>
      <c r="AE21" s="76"/>
      <c r="AF21" s="74">
        <v>500</v>
      </c>
      <c r="AG21" s="75"/>
      <c r="AH21" s="76"/>
      <c r="AI21" s="74"/>
      <c r="AJ21" s="75"/>
      <c r="AK21" s="76"/>
      <c r="AL21" s="68" t="s">
        <v>872</v>
      </c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70"/>
    </row>
    <row r="22" spans="1:68" s="1" customFormat="1" ht="30.75" customHeight="1">
      <c r="A22" s="74">
        <f t="shared" si="0"/>
        <v>14</v>
      </c>
      <c r="B22" s="75"/>
      <c r="C22" s="76"/>
      <c r="D22" s="71" t="s">
        <v>850</v>
      </c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3"/>
      <c r="AA22" s="74" t="s">
        <v>19</v>
      </c>
      <c r="AB22" s="75"/>
      <c r="AC22" s="75"/>
      <c r="AD22" s="75"/>
      <c r="AE22" s="76"/>
      <c r="AF22" s="74">
        <v>4</v>
      </c>
      <c r="AG22" s="75"/>
      <c r="AH22" s="76"/>
      <c r="AI22" s="74"/>
      <c r="AJ22" s="75"/>
      <c r="AK22" s="76"/>
      <c r="AL22" s="68" t="s">
        <v>873</v>
      </c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70"/>
    </row>
    <row r="23" spans="1:68" s="1" customFormat="1" ht="30.75" customHeight="1">
      <c r="A23" s="74">
        <f t="shared" si="0"/>
        <v>15</v>
      </c>
      <c r="B23" s="75"/>
      <c r="C23" s="76"/>
      <c r="D23" s="71" t="s">
        <v>851</v>
      </c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3"/>
      <c r="AA23" s="74" t="s">
        <v>19</v>
      </c>
      <c r="AB23" s="75"/>
      <c r="AC23" s="75"/>
      <c r="AD23" s="75"/>
      <c r="AE23" s="76"/>
      <c r="AF23" s="74">
        <v>4</v>
      </c>
      <c r="AG23" s="75"/>
      <c r="AH23" s="76"/>
      <c r="AI23" s="74"/>
      <c r="AJ23" s="75"/>
      <c r="AK23" s="76"/>
      <c r="AL23" s="68" t="s">
        <v>874</v>
      </c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70"/>
    </row>
    <row r="24" spans="1:68" s="1" customFormat="1" ht="30.75" customHeight="1">
      <c r="A24" s="74">
        <f t="shared" si="0"/>
        <v>16</v>
      </c>
      <c r="B24" s="75"/>
      <c r="C24" s="76"/>
      <c r="D24" s="71" t="s">
        <v>852</v>
      </c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3"/>
      <c r="AA24" s="74" t="s">
        <v>18</v>
      </c>
      <c r="AB24" s="75"/>
      <c r="AC24" s="75"/>
      <c r="AD24" s="75"/>
      <c r="AE24" s="76"/>
      <c r="AF24" s="74">
        <v>14</v>
      </c>
      <c r="AG24" s="75"/>
      <c r="AH24" s="76"/>
      <c r="AI24" s="74"/>
      <c r="AJ24" s="75"/>
      <c r="AK24" s="76"/>
      <c r="AL24" s="68" t="s">
        <v>875</v>
      </c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70"/>
    </row>
    <row r="25" spans="1:68" s="1" customFormat="1" ht="30.75" customHeight="1">
      <c r="A25" s="74">
        <f t="shared" si="0"/>
        <v>17</v>
      </c>
      <c r="B25" s="75"/>
      <c r="C25" s="76"/>
      <c r="D25" s="71" t="s">
        <v>853</v>
      </c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3"/>
      <c r="AA25" s="74" t="s">
        <v>18</v>
      </c>
      <c r="AB25" s="75"/>
      <c r="AC25" s="75"/>
      <c r="AD25" s="75"/>
      <c r="AE25" s="76"/>
      <c r="AF25" s="74">
        <v>14</v>
      </c>
      <c r="AG25" s="75"/>
      <c r="AH25" s="76"/>
      <c r="AI25" s="74"/>
      <c r="AJ25" s="75"/>
      <c r="AK25" s="76"/>
      <c r="AL25" s="68" t="s">
        <v>876</v>
      </c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70"/>
    </row>
    <row r="26" spans="1:68" s="1" customFormat="1" ht="30.75" customHeight="1">
      <c r="A26" s="74">
        <f t="shared" si="0"/>
        <v>18</v>
      </c>
      <c r="B26" s="75"/>
      <c r="C26" s="76"/>
      <c r="D26" s="71" t="s">
        <v>854</v>
      </c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3"/>
      <c r="AA26" s="74" t="s">
        <v>18</v>
      </c>
      <c r="AB26" s="75"/>
      <c r="AC26" s="75"/>
      <c r="AD26" s="75"/>
      <c r="AE26" s="76"/>
      <c r="AF26" s="74">
        <v>14</v>
      </c>
      <c r="AG26" s="75"/>
      <c r="AH26" s="76"/>
      <c r="AI26" s="74"/>
      <c r="AJ26" s="75"/>
      <c r="AK26" s="76"/>
      <c r="AL26" s="68" t="s">
        <v>877</v>
      </c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70"/>
    </row>
    <row r="27" spans="1:68" s="1" customFormat="1" ht="30.75" customHeight="1">
      <c r="A27" s="74">
        <f t="shared" si="0"/>
        <v>19</v>
      </c>
      <c r="B27" s="75"/>
      <c r="C27" s="76"/>
      <c r="D27" s="71" t="s">
        <v>855</v>
      </c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3"/>
      <c r="AA27" s="74" t="s">
        <v>18</v>
      </c>
      <c r="AB27" s="75"/>
      <c r="AC27" s="75"/>
      <c r="AD27" s="75"/>
      <c r="AE27" s="76"/>
      <c r="AF27" s="74">
        <v>14</v>
      </c>
      <c r="AG27" s="75"/>
      <c r="AH27" s="76"/>
      <c r="AI27" s="74"/>
      <c r="AJ27" s="75"/>
      <c r="AK27" s="76"/>
      <c r="AL27" s="68" t="s">
        <v>878</v>
      </c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70"/>
    </row>
    <row r="28" spans="1:68" s="1" customFormat="1" ht="30.75" customHeight="1">
      <c r="A28" s="74">
        <f t="shared" si="0"/>
        <v>20</v>
      </c>
      <c r="B28" s="75"/>
      <c r="C28" s="76"/>
      <c r="D28" s="71" t="s">
        <v>856</v>
      </c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3"/>
      <c r="AA28" s="74" t="s">
        <v>18</v>
      </c>
      <c r="AB28" s="75"/>
      <c r="AC28" s="75"/>
      <c r="AD28" s="75"/>
      <c r="AE28" s="76"/>
      <c r="AF28" s="74">
        <v>14</v>
      </c>
      <c r="AG28" s="75"/>
      <c r="AH28" s="76"/>
      <c r="AI28" s="74"/>
      <c r="AJ28" s="75"/>
      <c r="AK28" s="76"/>
      <c r="AL28" s="68" t="s">
        <v>879</v>
      </c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70"/>
    </row>
    <row r="29" spans="1:68" s="1" customFormat="1" ht="30.75" customHeight="1">
      <c r="A29" s="74">
        <f t="shared" si="0"/>
        <v>21</v>
      </c>
      <c r="B29" s="75"/>
      <c r="C29" s="76"/>
      <c r="D29" s="71" t="s">
        <v>857</v>
      </c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3"/>
      <c r="AA29" s="74" t="s">
        <v>18</v>
      </c>
      <c r="AB29" s="75"/>
      <c r="AC29" s="75"/>
      <c r="AD29" s="75"/>
      <c r="AE29" s="76"/>
      <c r="AF29" s="74">
        <v>14</v>
      </c>
      <c r="AG29" s="75"/>
      <c r="AH29" s="76"/>
      <c r="AI29" s="74"/>
      <c r="AJ29" s="75"/>
      <c r="AK29" s="76"/>
      <c r="AL29" s="68" t="s">
        <v>880</v>
      </c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70"/>
    </row>
    <row r="30" spans="1:68" s="1" customFormat="1" ht="30.75" customHeight="1">
      <c r="A30" s="74">
        <f t="shared" si="0"/>
        <v>22</v>
      </c>
      <c r="B30" s="75"/>
      <c r="C30" s="76"/>
      <c r="D30" s="71" t="s">
        <v>858</v>
      </c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3"/>
      <c r="AA30" s="74" t="s">
        <v>18</v>
      </c>
      <c r="AB30" s="75"/>
      <c r="AC30" s="75"/>
      <c r="AD30" s="75"/>
      <c r="AE30" s="76"/>
      <c r="AF30" s="74">
        <v>14</v>
      </c>
      <c r="AG30" s="75"/>
      <c r="AH30" s="76"/>
      <c r="AI30" s="74"/>
      <c r="AJ30" s="75"/>
      <c r="AK30" s="76"/>
      <c r="AL30" s="68" t="s">
        <v>881</v>
      </c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70"/>
    </row>
    <row r="31" spans="1:68" s="1" customFormat="1" ht="30.75" customHeight="1">
      <c r="A31" s="74">
        <f t="shared" si="0"/>
        <v>23</v>
      </c>
      <c r="B31" s="75"/>
      <c r="C31" s="76"/>
      <c r="D31" s="71" t="s">
        <v>859</v>
      </c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3"/>
      <c r="AA31" s="74" t="s">
        <v>18</v>
      </c>
      <c r="AB31" s="75"/>
      <c r="AC31" s="75"/>
      <c r="AD31" s="75"/>
      <c r="AE31" s="76"/>
      <c r="AF31" s="74">
        <v>14</v>
      </c>
      <c r="AG31" s="75"/>
      <c r="AH31" s="76"/>
      <c r="AI31" s="74"/>
      <c r="AJ31" s="75"/>
      <c r="AK31" s="76"/>
      <c r="AL31" s="68" t="s">
        <v>882</v>
      </c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70"/>
    </row>
    <row r="32" spans="1:68" s="1" customFormat="1" ht="30.75" customHeight="1">
      <c r="A32" s="74">
        <f t="shared" si="0"/>
        <v>24</v>
      </c>
      <c r="B32" s="75"/>
      <c r="C32" s="76"/>
      <c r="D32" s="71" t="s">
        <v>860</v>
      </c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3"/>
      <c r="AA32" s="74" t="s">
        <v>18</v>
      </c>
      <c r="AB32" s="75"/>
      <c r="AC32" s="75"/>
      <c r="AD32" s="75"/>
      <c r="AE32" s="76"/>
      <c r="AF32" s="74">
        <v>14</v>
      </c>
      <c r="AG32" s="75"/>
      <c r="AH32" s="76"/>
      <c r="AI32" s="74"/>
      <c r="AJ32" s="75"/>
      <c r="AK32" s="76"/>
      <c r="AL32" s="68" t="s">
        <v>883</v>
      </c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70"/>
    </row>
    <row r="33" spans="1:68" s="1" customFormat="1" ht="30.75" customHeight="1">
      <c r="A33" s="74">
        <f t="shared" si="0"/>
        <v>25</v>
      </c>
      <c r="B33" s="75"/>
      <c r="C33" s="76"/>
      <c r="D33" s="71" t="s">
        <v>861</v>
      </c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3"/>
      <c r="AA33" s="74" t="s">
        <v>18</v>
      </c>
      <c r="AB33" s="75"/>
      <c r="AC33" s="75"/>
      <c r="AD33" s="75"/>
      <c r="AE33" s="76"/>
      <c r="AF33" s="74">
        <v>14</v>
      </c>
      <c r="AG33" s="75"/>
      <c r="AH33" s="76"/>
      <c r="AI33" s="74"/>
      <c r="AJ33" s="75"/>
      <c r="AK33" s="76"/>
      <c r="AL33" s="68" t="s">
        <v>884</v>
      </c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70"/>
    </row>
    <row r="34" spans="1:68" s="1" customFormat="1" ht="30.75" customHeight="1">
      <c r="A34" s="74">
        <f t="shared" si="0"/>
        <v>26</v>
      </c>
      <c r="B34" s="75"/>
      <c r="C34" s="76"/>
      <c r="D34" s="71" t="s">
        <v>1122</v>
      </c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3"/>
      <c r="AA34" s="74" t="s">
        <v>18</v>
      </c>
      <c r="AB34" s="75"/>
      <c r="AC34" s="75"/>
      <c r="AD34" s="75"/>
      <c r="AE34" s="76"/>
      <c r="AF34" s="74">
        <v>14</v>
      </c>
      <c r="AG34" s="75"/>
      <c r="AH34" s="76"/>
      <c r="AI34" s="74"/>
      <c r="AJ34" s="75"/>
      <c r="AK34" s="76"/>
      <c r="AL34" s="68" t="s">
        <v>1565</v>
      </c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70"/>
    </row>
    <row r="35" spans="1:68" s="1" customFormat="1" ht="30.75" customHeight="1">
      <c r="A35" s="74">
        <f t="shared" si="0"/>
        <v>27</v>
      </c>
      <c r="B35" s="75"/>
      <c r="C35" s="76"/>
      <c r="D35" s="71" t="s">
        <v>1123</v>
      </c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3"/>
      <c r="AA35" s="74" t="s">
        <v>19</v>
      </c>
      <c r="AB35" s="75"/>
      <c r="AC35" s="75"/>
      <c r="AD35" s="75"/>
      <c r="AE35" s="76"/>
      <c r="AF35" s="74">
        <v>8</v>
      </c>
      <c r="AG35" s="75"/>
      <c r="AH35" s="76"/>
      <c r="AI35" s="74"/>
      <c r="AJ35" s="75"/>
      <c r="AK35" s="76"/>
      <c r="AL35" s="68" t="s">
        <v>1566</v>
      </c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70"/>
    </row>
    <row r="36" spans="1:68" s="1" customFormat="1" ht="30.75" customHeight="1">
      <c r="A36" s="74">
        <f t="shared" si="0"/>
        <v>28</v>
      </c>
      <c r="B36" s="75"/>
      <c r="C36" s="76"/>
      <c r="D36" s="71" t="s">
        <v>862</v>
      </c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3"/>
      <c r="AA36" s="74" t="s">
        <v>19</v>
      </c>
      <c r="AB36" s="75"/>
      <c r="AC36" s="75"/>
      <c r="AD36" s="75"/>
      <c r="AE36" s="76"/>
      <c r="AF36" s="74">
        <v>42</v>
      </c>
      <c r="AG36" s="75"/>
      <c r="AH36" s="76"/>
      <c r="AI36" s="74"/>
      <c r="AJ36" s="75"/>
      <c r="AK36" s="76"/>
      <c r="AL36" s="68" t="s">
        <v>885</v>
      </c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70"/>
    </row>
    <row r="37" spans="1:68" s="1" customFormat="1" ht="30.75" customHeight="1">
      <c r="A37" s="74">
        <f t="shared" si="0"/>
        <v>29</v>
      </c>
      <c r="B37" s="75"/>
      <c r="C37" s="76"/>
      <c r="D37" s="71" t="s">
        <v>1158</v>
      </c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3"/>
      <c r="AA37" s="74" t="s">
        <v>271</v>
      </c>
      <c r="AB37" s="75"/>
      <c r="AC37" s="75"/>
      <c r="AD37" s="75"/>
      <c r="AE37" s="76"/>
      <c r="AF37" s="74">
        <v>1</v>
      </c>
      <c r="AG37" s="75"/>
      <c r="AH37" s="76"/>
      <c r="AI37" s="86"/>
      <c r="AJ37" s="86"/>
      <c r="AK37" s="86"/>
      <c r="AL37" s="104" t="s">
        <v>1159</v>
      </c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70"/>
    </row>
    <row r="38" spans="1:68" s="1" customFormat="1" ht="30.75" customHeight="1">
      <c r="A38" s="74">
        <f t="shared" si="0"/>
        <v>30</v>
      </c>
      <c r="B38" s="75"/>
      <c r="C38" s="76"/>
      <c r="D38" s="71" t="s">
        <v>1234</v>
      </c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3"/>
      <c r="AA38" s="74" t="s">
        <v>271</v>
      </c>
      <c r="AB38" s="75"/>
      <c r="AC38" s="75"/>
      <c r="AD38" s="75"/>
      <c r="AE38" s="76"/>
      <c r="AF38" s="74">
        <v>1</v>
      </c>
      <c r="AG38" s="75"/>
      <c r="AH38" s="76"/>
      <c r="AI38" s="86"/>
      <c r="AJ38" s="86"/>
      <c r="AK38" s="86"/>
      <c r="AL38" s="104" t="s">
        <v>1235</v>
      </c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70"/>
    </row>
    <row r="39" spans="1:68" s="1" customFormat="1" ht="30.75" customHeight="1">
      <c r="A39" s="74">
        <f t="shared" si="0"/>
        <v>31</v>
      </c>
      <c r="B39" s="75"/>
      <c r="C39" s="76"/>
      <c r="D39" s="71" t="s">
        <v>886</v>
      </c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3"/>
      <c r="AA39" s="74" t="s">
        <v>272</v>
      </c>
      <c r="AB39" s="75"/>
      <c r="AC39" s="75"/>
      <c r="AD39" s="75"/>
      <c r="AE39" s="76"/>
      <c r="AF39" s="74"/>
      <c r="AG39" s="75"/>
      <c r="AH39" s="76"/>
      <c r="AI39" s="74"/>
      <c r="AJ39" s="75"/>
      <c r="AK39" s="76"/>
      <c r="AL39" s="68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70"/>
    </row>
    <row r="40" spans="1:68" s="1" customFormat="1" ht="30.75" customHeight="1">
      <c r="A40" s="74">
        <f t="shared" si="0"/>
        <v>32</v>
      </c>
      <c r="B40" s="75"/>
      <c r="C40" s="76"/>
      <c r="D40" s="71" t="s">
        <v>200</v>
      </c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3"/>
      <c r="AA40" s="74" t="s">
        <v>18</v>
      </c>
      <c r="AB40" s="75"/>
      <c r="AC40" s="75"/>
      <c r="AD40" s="75"/>
      <c r="AE40" s="76"/>
      <c r="AF40" s="74">
        <v>3</v>
      </c>
      <c r="AG40" s="75"/>
      <c r="AH40" s="76"/>
      <c r="AI40" s="74"/>
      <c r="AJ40" s="75"/>
      <c r="AK40" s="76"/>
      <c r="AL40" s="68" t="s">
        <v>899</v>
      </c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70"/>
    </row>
    <row r="41" spans="1:68" s="1" customFormat="1" ht="30.75" customHeight="1">
      <c r="A41" s="74">
        <f t="shared" si="0"/>
        <v>33</v>
      </c>
      <c r="B41" s="75"/>
      <c r="C41" s="76"/>
      <c r="D41" s="71" t="s">
        <v>887</v>
      </c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3"/>
      <c r="AA41" s="74" t="s">
        <v>19</v>
      </c>
      <c r="AB41" s="75"/>
      <c r="AC41" s="75"/>
      <c r="AD41" s="75"/>
      <c r="AE41" s="76"/>
      <c r="AF41" s="74">
        <v>4</v>
      </c>
      <c r="AG41" s="75"/>
      <c r="AH41" s="76"/>
      <c r="AI41" s="74"/>
      <c r="AJ41" s="75"/>
      <c r="AK41" s="76"/>
      <c r="AL41" s="68" t="s">
        <v>900</v>
      </c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70"/>
    </row>
    <row r="42" spans="1:68" s="1" customFormat="1" ht="30.75" customHeight="1">
      <c r="A42" s="74">
        <f t="shared" si="0"/>
        <v>34</v>
      </c>
      <c r="B42" s="75"/>
      <c r="C42" s="76"/>
      <c r="D42" s="71" t="s">
        <v>888</v>
      </c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3"/>
      <c r="AA42" s="74" t="s">
        <v>19</v>
      </c>
      <c r="AB42" s="75"/>
      <c r="AC42" s="75"/>
      <c r="AD42" s="75"/>
      <c r="AE42" s="76"/>
      <c r="AF42" s="74">
        <v>2</v>
      </c>
      <c r="AG42" s="75"/>
      <c r="AH42" s="76"/>
      <c r="AI42" s="74"/>
      <c r="AJ42" s="75"/>
      <c r="AK42" s="76"/>
      <c r="AL42" s="68" t="s">
        <v>901</v>
      </c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70"/>
    </row>
    <row r="43" spans="1:68" s="1" customFormat="1" ht="30.75" customHeight="1">
      <c r="A43" s="74">
        <f t="shared" si="0"/>
        <v>35</v>
      </c>
      <c r="B43" s="75"/>
      <c r="C43" s="76"/>
      <c r="D43" s="71" t="s">
        <v>889</v>
      </c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3"/>
      <c r="AA43" s="74" t="s">
        <v>19</v>
      </c>
      <c r="AB43" s="75"/>
      <c r="AC43" s="75"/>
      <c r="AD43" s="75"/>
      <c r="AE43" s="76"/>
      <c r="AF43" s="74">
        <v>6</v>
      </c>
      <c r="AG43" s="75"/>
      <c r="AH43" s="76"/>
      <c r="AI43" s="74"/>
      <c r="AJ43" s="75"/>
      <c r="AK43" s="76"/>
      <c r="AL43" s="68" t="s">
        <v>902</v>
      </c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  <c r="BM43" s="69"/>
      <c r="BN43" s="69"/>
      <c r="BO43" s="69"/>
      <c r="BP43" s="70"/>
    </row>
    <row r="44" spans="1:68" s="1" customFormat="1" ht="30.75" customHeight="1">
      <c r="A44" s="74">
        <f t="shared" si="0"/>
        <v>36</v>
      </c>
      <c r="B44" s="75"/>
      <c r="C44" s="76"/>
      <c r="D44" s="71" t="s">
        <v>890</v>
      </c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3"/>
      <c r="AA44" s="74" t="s">
        <v>18</v>
      </c>
      <c r="AB44" s="75"/>
      <c r="AC44" s="75"/>
      <c r="AD44" s="75"/>
      <c r="AE44" s="76"/>
      <c r="AF44" s="74">
        <v>4</v>
      </c>
      <c r="AG44" s="75"/>
      <c r="AH44" s="76"/>
      <c r="AI44" s="74"/>
      <c r="AJ44" s="75"/>
      <c r="AK44" s="76"/>
      <c r="AL44" s="68" t="s">
        <v>903</v>
      </c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  <c r="BM44" s="69"/>
      <c r="BN44" s="69"/>
      <c r="BO44" s="69"/>
      <c r="BP44" s="70"/>
    </row>
    <row r="45" spans="1:68" s="1" customFormat="1" ht="30.75" customHeight="1">
      <c r="A45" s="74">
        <f t="shared" si="0"/>
        <v>37</v>
      </c>
      <c r="B45" s="75"/>
      <c r="C45" s="76"/>
      <c r="D45" s="71" t="s">
        <v>891</v>
      </c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3"/>
      <c r="AA45" s="74" t="s">
        <v>18</v>
      </c>
      <c r="AB45" s="75"/>
      <c r="AC45" s="75"/>
      <c r="AD45" s="75"/>
      <c r="AE45" s="76"/>
      <c r="AF45" s="74">
        <v>2</v>
      </c>
      <c r="AG45" s="75"/>
      <c r="AH45" s="76"/>
      <c r="AI45" s="74"/>
      <c r="AJ45" s="75"/>
      <c r="AK45" s="76"/>
      <c r="AL45" s="68" t="s">
        <v>904</v>
      </c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  <c r="BP45" s="70"/>
    </row>
    <row r="46" spans="1:68" s="1" customFormat="1" ht="30.75" customHeight="1">
      <c r="A46" s="74">
        <f t="shared" si="0"/>
        <v>38</v>
      </c>
      <c r="B46" s="75"/>
      <c r="C46" s="76"/>
      <c r="D46" s="71" t="s">
        <v>892</v>
      </c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3"/>
      <c r="AA46" s="74" t="s">
        <v>19</v>
      </c>
      <c r="AB46" s="75"/>
      <c r="AC46" s="75"/>
      <c r="AD46" s="75"/>
      <c r="AE46" s="76"/>
      <c r="AF46" s="74">
        <v>4</v>
      </c>
      <c r="AG46" s="75"/>
      <c r="AH46" s="76"/>
      <c r="AI46" s="74"/>
      <c r="AJ46" s="75"/>
      <c r="AK46" s="76"/>
      <c r="AL46" s="68" t="s">
        <v>905</v>
      </c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  <c r="BM46" s="69"/>
      <c r="BN46" s="69"/>
      <c r="BO46" s="69"/>
      <c r="BP46" s="70"/>
    </row>
    <row r="47" spans="1:68" s="1" customFormat="1" ht="30.75" customHeight="1">
      <c r="A47" s="74">
        <f t="shared" si="0"/>
        <v>39</v>
      </c>
      <c r="B47" s="75"/>
      <c r="C47" s="76"/>
      <c r="D47" s="71" t="s">
        <v>893</v>
      </c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3"/>
      <c r="AA47" s="74" t="s">
        <v>18</v>
      </c>
      <c r="AB47" s="75"/>
      <c r="AC47" s="75"/>
      <c r="AD47" s="75"/>
      <c r="AE47" s="76"/>
      <c r="AF47" s="74">
        <v>4</v>
      </c>
      <c r="AG47" s="75"/>
      <c r="AH47" s="76"/>
      <c r="AI47" s="74"/>
      <c r="AJ47" s="75"/>
      <c r="AK47" s="76"/>
      <c r="AL47" s="68" t="s">
        <v>906</v>
      </c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  <c r="BP47" s="70"/>
    </row>
    <row r="48" spans="1:68" s="1" customFormat="1" ht="30.75" customHeight="1">
      <c r="A48" s="74">
        <f t="shared" si="0"/>
        <v>40</v>
      </c>
      <c r="B48" s="75"/>
      <c r="C48" s="76"/>
      <c r="D48" s="71" t="s">
        <v>894</v>
      </c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3"/>
      <c r="AA48" s="74" t="s">
        <v>19</v>
      </c>
      <c r="AB48" s="75"/>
      <c r="AC48" s="75"/>
      <c r="AD48" s="75"/>
      <c r="AE48" s="76"/>
      <c r="AF48" s="74">
        <v>4</v>
      </c>
      <c r="AG48" s="75"/>
      <c r="AH48" s="76"/>
      <c r="AI48" s="74"/>
      <c r="AJ48" s="75"/>
      <c r="AK48" s="76"/>
      <c r="AL48" s="68" t="s">
        <v>907</v>
      </c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69"/>
      <c r="BN48" s="69"/>
      <c r="BO48" s="69"/>
      <c r="BP48" s="70"/>
    </row>
    <row r="49" spans="1:68" s="1" customFormat="1" ht="30.75" customHeight="1">
      <c r="A49" s="74">
        <f t="shared" si="0"/>
        <v>41</v>
      </c>
      <c r="B49" s="75"/>
      <c r="C49" s="76"/>
      <c r="D49" s="71" t="s">
        <v>895</v>
      </c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3"/>
      <c r="AA49" s="74" t="s">
        <v>18</v>
      </c>
      <c r="AB49" s="75"/>
      <c r="AC49" s="75"/>
      <c r="AD49" s="75"/>
      <c r="AE49" s="76"/>
      <c r="AF49" s="74">
        <v>4</v>
      </c>
      <c r="AG49" s="75"/>
      <c r="AH49" s="76"/>
      <c r="AI49" s="74"/>
      <c r="AJ49" s="75"/>
      <c r="AK49" s="76"/>
      <c r="AL49" s="68" t="s">
        <v>908</v>
      </c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69"/>
      <c r="BN49" s="69"/>
      <c r="BO49" s="69"/>
      <c r="BP49" s="70"/>
    </row>
    <row r="50" spans="1:68" s="1" customFormat="1" ht="30.75" customHeight="1">
      <c r="A50" s="74">
        <f t="shared" si="0"/>
        <v>42</v>
      </c>
      <c r="B50" s="75"/>
      <c r="C50" s="76"/>
      <c r="D50" s="71" t="s">
        <v>896</v>
      </c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3"/>
      <c r="AA50" s="74" t="s">
        <v>19</v>
      </c>
      <c r="AB50" s="75"/>
      <c r="AC50" s="75"/>
      <c r="AD50" s="75"/>
      <c r="AE50" s="76"/>
      <c r="AF50" s="74">
        <v>4</v>
      </c>
      <c r="AG50" s="75"/>
      <c r="AH50" s="76"/>
      <c r="AI50" s="74"/>
      <c r="AJ50" s="75"/>
      <c r="AK50" s="76"/>
      <c r="AL50" s="68" t="s">
        <v>909</v>
      </c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69"/>
      <c r="BN50" s="69"/>
      <c r="BO50" s="69"/>
      <c r="BP50" s="70"/>
    </row>
    <row r="51" spans="1:68" s="1" customFormat="1" ht="30.75" customHeight="1">
      <c r="A51" s="74">
        <f t="shared" si="0"/>
        <v>43</v>
      </c>
      <c r="B51" s="75"/>
      <c r="C51" s="76"/>
      <c r="D51" s="71" t="s">
        <v>897</v>
      </c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3"/>
      <c r="AA51" s="74" t="s">
        <v>18</v>
      </c>
      <c r="AB51" s="75"/>
      <c r="AC51" s="75"/>
      <c r="AD51" s="75"/>
      <c r="AE51" s="76"/>
      <c r="AF51" s="74" t="s">
        <v>1563</v>
      </c>
      <c r="AG51" s="75"/>
      <c r="AH51" s="76"/>
      <c r="AI51" s="74"/>
      <c r="AJ51" s="75"/>
      <c r="AK51" s="76"/>
      <c r="AL51" s="68" t="s">
        <v>910</v>
      </c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69"/>
      <c r="BN51" s="69"/>
      <c r="BO51" s="69"/>
      <c r="BP51" s="70"/>
    </row>
    <row r="52" spans="1:68" s="1" customFormat="1" ht="30.75" customHeight="1">
      <c r="A52" s="74">
        <f t="shared" si="0"/>
        <v>44</v>
      </c>
      <c r="B52" s="75"/>
      <c r="C52" s="76"/>
      <c r="D52" s="71" t="s">
        <v>898</v>
      </c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3"/>
      <c r="AA52" s="74" t="s">
        <v>18</v>
      </c>
      <c r="AB52" s="75"/>
      <c r="AC52" s="75"/>
      <c r="AD52" s="75"/>
      <c r="AE52" s="76"/>
      <c r="AF52" s="74">
        <v>14</v>
      </c>
      <c r="AG52" s="75"/>
      <c r="AH52" s="76"/>
      <c r="AI52" s="74"/>
      <c r="AJ52" s="75"/>
      <c r="AK52" s="76"/>
      <c r="AL52" s="68" t="s">
        <v>911</v>
      </c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69"/>
      <c r="BN52" s="69"/>
      <c r="BO52" s="69"/>
      <c r="BP52" s="70"/>
    </row>
    <row r="53" spans="1:68" s="1" customFormat="1" ht="30.75" customHeight="1">
      <c r="A53" s="74">
        <f t="shared" si="0"/>
        <v>45</v>
      </c>
      <c r="B53" s="75"/>
      <c r="C53" s="76"/>
      <c r="D53" s="71" t="s">
        <v>852</v>
      </c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3"/>
      <c r="AA53" s="74" t="s">
        <v>18</v>
      </c>
      <c r="AB53" s="75"/>
      <c r="AC53" s="75"/>
      <c r="AD53" s="75"/>
      <c r="AE53" s="76"/>
      <c r="AF53" s="74">
        <v>14</v>
      </c>
      <c r="AG53" s="75"/>
      <c r="AH53" s="76"/>
      <c r="AI53" s="74"/>
      <c r="AJ53" s="75"/>
      <c r="AK53" s="76"/>
      <c r="AL53" s="68" t="s">
        <v>912</v>
      </c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  <c r="BP53" s="70"/>
    </row>
    <row r="54" spans="1:68" s="1" customFormat="1" ht="30.75" customHeight="1">
      <c r="A54" s="74">
        <f t="shared" si="0"/>
        <v>46</v>
      </c>
      <c r="B54" s="75"/>
      <c r="C54" s="76"/>
      <c r="D54" s="71" t="s">
        <v>853</v>
      </c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3"/>
      <c r="AA54" s="74" t="s">
        <v>18</v>
      </c>
      <c r="AB54" s="75"/>
      <c r="AC54" s="75"/>
      <c r="AD54" s="75"/>
      <c r="AE54" s="76"/>
      <c r="AF54" s="74">
        <v>14</v>
      </c>
      <c r="AG54" s="75"/>
      <c r="AH54" s="76"/>
      <c r="AI54" s="74"/>
      <c r="AJ54" s="75"/>
      <c r="AK54" s="76"/>
      <c r="AL54" s="68" t="s">
        <v>913</v>
      </c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69"/>
      <c r="BN54" s="69"/>
      <c r="BO54" s="69"/>
      <c r="BP54" s="70"/>
    </row>
    <row r="55" spans="1:68" s="1" customFormat="1" ht="30.75" customHeight="1">
      <c r="A55" s="74">
        <f t="shared" si="0"/>
        <v>47</v>
      </c>
      <c r="B55" s="75"/>
      <c r="C55" s="76"/>
      <c r="D55" s="71" t="s">
        <v>854</v>
      </c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3"/>
      <c r="AA55" s="74" t="s">
        <v>18</v>
      </c>
      <c r="AB55" s="75"/>
      <c r="AC55" s="75"/>
      <c r="AD55" s="75"/>
      <c r="AE55" s="76"/>
      <c r="AF55" s="74">
        <v>14</v>
      </c>
      <c r="AG55" s="75"/>
      <c r="AH55" s="76"/>
      <c r="AI55" s="74"/>
      <c r="AJ55" s="75"/>
      <c r="AK55" s="76"/>
      <c r="AL55" s="68" t="s">
        <v>914</v>
      </c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69"/>
      <c r="BN55" s="69"/>
      <c r="BO55" s="69"/>
      <c r="BP55" s="70"/>
    </row>
    <row r="56" spans="1:68" s="1" customFormat="1" ht="30.75" customHeight="1">
      <c r="A56" s="74">
        <f t="shared" si="0"/>
        <v>48</v>
      </c>
      <c r="B56" s="75"/>
      <c r="C56" s="76"/>
      <c r="D56" s="71" t="s">
        <v>855</v>
      </c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3"/>
      <c r="AA56" s="74" t="s">
        <v>18</v>
      </c>
      <c r="AB56" s="75"/>
      <c r="AC56" s="75"/>
      <c r="AD56" s="75"/>
      <c r="AE56" s="76"/>
      <c r="AF56" s="74">
        <v>14</v>
      </c>
      <c r="AG56" s="75"/>
      <c r="AH56" s="76"/>
      <c r="AI56" s="74"/>
      <c r="AJ56" s="75"/>
      <c r="AK56" s="76"/>
      <c r="AL56" s="68" t="s">
        <v>915</v>
      </c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69"/>
      <c r="BN56" s="69"/>
      <c r="BO56" s="69"/>
      <c r="BP56" s="70"/>
    </row>
    <row r="57" spans="1:68" s="1" customFormat="1" ht="30.75" customHeight="1">
      <c r="A57" s="74">
        <f t="shared" si="0"/>
        <v>49</v>
      </c>
      <c r="B57" s="75"/>
      <c r="C57" s="76"/>
      <c r="D57" s="71" t="s">
        <v>856</v>
      </c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3"/>
      <c r="AA57" s="74" t="s">
        <v>18</v>
      </c>
      <c r="AB57" s="75"/>
      <c r="AC57" s="75"/>
      <c r="AD57" s="75"/>
      <c r="AE57" s="76"/>
      <c r="AF57" s="74">
        <v>14</v>
      </c>
      <c r="AG57" s="75"/>
      <c r="AH57" s="76"/>
      <c r="AI57" s="74"/>
      <c r="AJ57" s="75"/>
      <c r="AK57" s="76"/>
      <c r="AL57" s="68" t="s">
        <v>916</v>
      </c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69"/>
      <c r="BN57" s="69"/>
      <c r="BO57" s="69"/>
      <c r="BP57" s="70"/>
    </row>
    <row r="58" spans="1:68" s="1" customFormat="1" ht="30.75" customHeight="1">
      <c r="A58" s="74">
        <f t="shared" si="0"/>
        <v>50</v>
      </c>
      <c r="B58" s="75"/>
      <c r="C58" s="76"/>
      <c r="D58" s="71" t="s">
        <v>857</v>
      </c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3"/>
      <c r="AA58" s="74" t="s">
        <v>18</v>
      </c>
      <c r="AB58" s="75"/>
      <c r="AC58" s="75"/>
      <c r="AD58" s="75"/>
      <c r="AE58" s="76"/>
      <c r="AF58" s="74">
        <v>14</v>
      </c>
      <c r="AG58" s="75"/>
      <c r="AH58" s="76"/>
      <c r="AI58" s="74"/>
      <c r="AJ58" s="75"/>
      <c r="AK58" s="76"/>
      <c r="AL58" s="68" t="s">
        <v>917</v>
      </c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  <c r="BP58" s="70"/>
    </row>
    <row r="59" spans="1:68" s="1" customFormat="1" ht="30.75" customHeight="1">
      <c r="A59" s="74">
        <f t="shared" si="0"/>
        <v>51</v>
      </c>
      <c r="B59" s="75"/>
      <c r="C59" s="76"/>
      <c r="D59" s="71" t="s">
        <v>858</v>
      </c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3"/>
      <c r="AA59" s="74" t="s">
        <v>18</v>
      </c>
      <c r="AB59" s="75"/>
      <c r="AC59" s="75"/>
      <c r="AD59" s="75"/>
      <c r="AE59" s="76"/>
      <c r="AF59" s="74">
        <v>14</v>
      </c>
      <c r="AG59" s="75"/>
      <c r="AH59" s="76"/>
      <c r="AI59" s="74"/>
      <c r="AJ59" s="75"/>
      <c r="AK59" s="76"/>
      <c r="AL59" s="68" t="s">
        <v>918</v>
      </c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  <c r="BM59" s="69"/>
      <c r="BN59" s="69"/>
      <c r="BO59" s="69"/>
      <c r="BP59" s="70"/>
    </row>
    <row r="60" spans="1:68" s="1" customFormat="1" ht="30.75" customHeight="1">
      <c r="A60" s="74">
        <f t="shared" si="0"/>
        <v>52</v>
      </c>
      <c r="B60" s="75"/>
      <c r="C60" s="76"/>
      <c r="D60" s="71" t="s">
        <v>859</v>
      </c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3"/>
      <c r="AA60" s="74" t="s">
        <v>18</v>
      </c>
      <c r="AB60" s="75"/>
      <c r="AC60" s="75"/>
      <c r="AD60" s="75"/>
      <c r="AE60" s="76"/>
      <c r="AF60" s="74">
        <v>14</v>
      </c>
      <c r="AG60" s="75"/>
      <c r="AH60" s="76"/>
      <c r="AI60" s="74"/>
      <c r="AJ60" s="75"/>
      <c r="AK60" s="76"/>
      <c r="AL60" s="68" t="s">
        <v>919</v>
      </c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69"/>
      <c r="BN60" s="69"/>
      <c r="BO60" s="69"/>
      <c r="BP60" s="70"/>
    </row>
    <row r="61" spans="1:68" s="1" customFormat="1" ht="30.75" customHeight="1">
      <c r="A61" s="74">
        <f t="shared" si="0"/>
        <v>53</v>
      </c>
      <c r="B61" s="75"/>
      <c r="C61" s="76"/>
      <c r="D61" s="71" t="s">
        <v>860</v>
      </c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3"/>
      <c r="AA61" s="74" t="s">
        <v>18</v>
      </c>
      <c r="AB61" s="75"/>
      <c r="AC61" s="75"/>
      <c r="AD61" s="75"/>
      <c r="AE61" s="76"/>
      <c r="AF61" s="74">
        <v>14</v>
      </c>
      <c r="AG61" s="75"/>
      <c r="AH61" s="76"/>
      <c r="AI61" s="74"/>
      <c r="AJ61" s="75"/>
      <c r="AK61" s="76"/>
      <c r="AL61" s="68" t="s">
        <v>920</v>
      </c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69"/>
      <c r="BN61" s="69"/>
      <c r="BO61" s="69"/>
      <c r="BP61" s="70"/>
    </row>
    <row r="62" spans="1:68" s="1" customFormat="1" ht="30.75" customHeight="1">
      <c r="A62" s="74">
        <f t="shared" si="0"/>
        <v>54</v>
      </c>
      <c r="B62" s="75"/>
      <c r="C62" s="76"/>
      <c r="D62" s="71" t="s">
        <v>861</v>
      </c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3"/>
      <c r="AA62" s="74" t="s">
        <v>18</v>
      </c>
      <c r="AB62" s="75"/>
      <c r="AC62" s="75"/>
      <c r="AD62" s="75"/>
      <c r="AE62" s="76"/>
      <c r="AF62" s="74">
        <v>14</v>
      </c>
      <c r="AG62" s="75"/>
      <c r="AH62" s="76"/>
      <c r="AI62" s="74"/>
      <c r="AJ62" s="75"/>
      <c r="AK62" s="76"/>
      <c r="AL62" s="68" t="s">
        <v>921</v>
      </c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9"/>
      <c r="BF62" s="69"/>
      <c r="BG62" s="69"/>
      <c r="BH62" s="69"/>
      <c r="BI62" s="69"/>
      <c r="BJ62" s="69"/>
      <c r="BK62" s="69"/>
      <c r="BL62" s="69"/>
      <c r="BM62" s="69"/>
      <c r="BN62" s="69"/>
      <c r="BO62" s="69"/>
      <c r="BP62" s="70"/>
    </row>
    <row r="63" spans="1:68" s="1" customFormat="1" ht="30.75" customHeight="1">
      <c r="A63" s="74">
        <f t="shared" ref="A63" si="1">ROW()-8</f>
        <v>55</v>
      </c>
      <c r="B63" s="75"/>
      <c r="C63" s="76"/>
      <c r="D63" s="71" t="s">
        <v>922</v>
      </c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3"/>
      <c r="AA63" s="74" t="s">
        <v>272</v>
      </c>
      <c r="AB63" s="75"/>
      <c r="AC63" s="75"/>
      <c r="AD63" s="75"/>
      <c r="AE63" s="76"/>
      <c r="AF63" s="74"/>
      <c r="AG63" s="75"/>
      <c r="AH63" s="76"/>
      <c r="AI63" s="74"/>
      <c r="AJ63" s="75"/>
      <c r="AK63" s="76"/>
      <c r="AL63" s="68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  <c r="BM63" s="69"/>
      <c r="BN63" s="69"/>
      <c r="BO63" s="69"/>
      <c r="BP63" s="70"/>
    </row>
    <row r="64" spans="1:68" s="1" customFormat="1" ht="30.75" customHeight="1">
      <c r="A64" s="74">
        <f t="shared" si="0"/>
        <v>56</v>
      </c>
      <c r="B64" s="75"/>
      <c r="C64" s="76"/>
      <c r="D64" s="71" t="s">
        <v>200</v>
      </c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3"/>
      <c r="AA64" s="74" t="s">
        <v>18</v>
      </c>
      <c r="AB64" s="75"/>
      <c r="AC64" s="75"/>
      <c r="AD64" s="75"/>
      <c r="AE64" s="76"/>
      <c r="AF64" s="74">
        <v>3</v>
      </c>
      <c r="AG64" s="75"/>
      <c r="AH64" s="76"/>
      <c r="AI64" s="74"/>
      <c r="AJ64" s="75"/>
      <c r="AK64" s="76"/>
      <c r="AL64" s="68" t="s">
        <v>928</v>
      </c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69"/>
      <c r="BN64" s="69"/>
      <c r="BO64" s="69"/>
      <c r="BP64" s="70"/>
    </row>
    <row r="65" spans="1:68" s="1" customFormat="1" ht="30.75" customHeight="1">
      <c r="A65" s="74">
        <f t="shared" si="0"/>
        <v>57</v>
      </c>
      <c r="B65" s="75"/>
      <c r="C65" s="76"/>
      <c r="D65" s="71" t="s">
        <v>1185</v>
      </c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3"/>
      <c r="AA65" s="74" t="s">
        <v>19</v>
      </c>
      <c r="AB65" s="75"/>
      <c r="AC65" s="75"/>
      <c r="AD65" s="75"/>
      <c r="AE65" s="76"/>
      <c r="AF65" s="74">
        <v>1</v>
      </c>
      <c r="AG65" s="75"/>
      <c r="AH65" s="76"/>
      <c r="AI65" s="74"/>
      <c r="AJ65" s="75"/>
      <c r="AK65" s="76"/>
      <c r="AL65" s="68" t="s">
        <v>1186</v>
      </c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69"/>
      <c r="BN65" s="69"/>
      <c r="BO65" s="69"/>
      <c r="BP65" s="70"/>
    </row>
    <row r="66" spans="1:68" s="1" customFormat="1" ht="30.75" customHeight="1">
      <c r="A66" s="74">
        <f t="shared" si="0"/>
        <v>58</v>
      </c>
      <c r="B66" s="75"/>
      <c r="C66" s="76"/>
      <c r="D66" s="71" t="s">
        <v>923</v>
      </c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3"/>
      <c r="AA66" s="74" t="s">
        <v>19</v>
      </c>
      <c r="AB66" s="75"/>
      <c r="AC66" s="75"/>
      <c r="AD66" s="75"/>
      <c r="AE66" s="76"/>
      <c r="AF66" s="74">
        <v>8</v>
      </c>
      <c r="AG66" s="75"/>
      <c r="AH66" s="76"/>
      <c r="AI66" s="74"/>
      <c r="AJ66" s="75"/>
      <c r="AK66" s="76"/>
      <c r="AL66" s="68" t="s">
        <v>929</v>
      </c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  <c r="BM66" s="69"/>
      <c r="BN66" s="69"/>
      <c r="BO66" s="69"/>
      <c r="BP66" s="70"/>
    </row>
    <row r="67" spans="1:68" s="1" customFormat="1" ht="30.75" customHeight="1">
      <c r="A67" s="74">
        <f t="shared" si="0"/>
        <v>59</v>
      </c>
      <c r="B67" s="75"/>
      <c r="C67" s="76"/>
      <c r="D67" s="71" t="s">
        <v>924</v>
      </c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3"/>
      <c r="AA67" s="74" t="s">
        <v>19</v>
      </c>
      <c r="AB67" s="75"/>
      <c r="AC67" s="75"/>
      <c r="AD67" s="75"/>
      <c r="AE67" s="76"/>
      <c r="AF67" s="74">
        <v>16</v>
      </c>
      <c r="AG67" s="75"/>
      <c r="AH67" s="76"/>
      <c r="AI67" s="74"/>
      <c r="AJ67" s="75"/>
      <c r="AK67" s="76"/>
      <c r="AL67" s="68" t="s">
        <v>930</v>
      </c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  <c r="BM67" s="69"/>
      <c r="BN67" s="69"/>
      <c r="BO67" s="69"/>
      <c r="BP67" s="70"/>
    </row>
    <row r="68" spans="1:68" s="1" customFormat="1" ht="30.75" customHeight="1">
      <c r="A68" s="74">
        <f t="shared" si="0"/>
        <v>60</v>
      </c>
      <c r="B68" s="75"/>
      <c r="C68" s="76"/>
      <c r="D68" s="71" t="s">
        <v>925</v>
      </c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3"/>
      <c r="AA68" s="74" t="s">
        <v>19</v>
      </c>
      <c r="AB68" s="75"/>
      <c r="AC68" s="75"/>
      <c r="AD68" s="75"/>
      <c r="AE68" s="76"/>
      <c r="AF68" s="74">
        <v>1</v>
      </c>
      <c r="AG68" s="75"/>
      <c r="AH68" s="76"/>
      <c r="AI68" s="74"/>
      <c r="AJ68" s="75"/>
      <c r="AK68" s="76"/>
      <c r="AL68" s="68" t="s">
        <v>931</v>
      </c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  <c r="BM68" s="69"/>
      <c r="BN68" s="69"/>
      <c r="BO68" s="69"/>
      <c r="BP68" s="70"/>
    </row>
    <row r="69" spans="1:68" s="1" customFormat="1" ht="30.75" customHeight="1">
      <c r="A69" s="74">
        <f t="shared" si="0"/>
        <v>61</v>
      </c>
      <c r="B69" s="75"/>
      <c r="C69" s="76"/>
      <c r="D69" s="71" t="s">
        <v>926</v>
      </c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3"/>
      <c r="AA69" s="74" t="s">
        <v>18</v>
      </c>
      <c r="AB69" s="75"/>
      <c r="AC69" s="75"/>
      <c r="AD69" s="75"/>
      <c r="AE69" s="76"/>
      <c r="AF69" s="74">
        <v>8</v>
      </c>
      <c r="AG69" s="75"/>
      <c r="AH69" s="76"/>
      <c r="AI69" s="74"/>
      <c r="AJ69" s="75"/>
      <c r="AK69" s="76"/>
      <c r="AL69" s="68" t="s">
        <v>932</v>
      </c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69"/>
      <c r="BN69" s="69"/>
      <c r="BO69" s="69"/>
      <c r="BP69" s="70"/>
    </row>
    <row r="70" spans="1:68" s="1" customFormat="1" ht="30.75" customHeight="1">
      <c r="A70" s="74">
        <f t="shared" si="0"/>
        <v>62</v>
      </c>
      <c r="B70" s="75"/>
      <c r="C70" s="76"/>
      <c r="D70" s="71" t="s">
        <v>852</v>
      </c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3"/>
      <c r="AA70" s="74" t="s">
        <v>18</v>
      </c>
      <c r="AB70" s="75"/>
      <c r="AC70" s="75"/>
      <c r="AD70" s="75"/>
      <c r="AE70" s="76"/>
      <c r="AF70" s="74" t="s">
        <v>927</v>
      </c>
      <c r="AG70" s="75"/>
      <c r="AH70" s="76"/>
      <c r="AI70" s="74"/>
      <c r="AJ70" s="75"/>
      <c r="AK70" s="76"/>
      <c r="AL70" s="68" t="s">
        <v>933</v>
      </c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69"/>
      <c r="BN70" s="69"/>
      <c r="BO70" s="69"/>
      <c r="BP70" s="70"/>
    </row>
    <row r="71" spans="1:68" s="1" customFormat="1" ht="30.75" customHeight="1">
      <c r="A71" s="74">
        <f t="shared" si="0"/>
        <v>63</v>
      </c>
      <c r="B71" s="75"/>
      <c r="C71" s="76"/>
      <c r="D71" s="71" t="s">
        <v>853</v>
      </c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3"/>
      <c r="AA71" s="74" t="s">
        <v>18</v>
      </c>
      <c r="AB71" s="75"/>
      <c r="AC71" s="75"/>
      <c r="AD71" s="75"/>
      <c r="AE71" s="76"/>
      <c r="AF71" s="74" t="s">
        <v>927</v>
      </c>
      <c r="AG71" s="75"/>
      <c r="AH71" s="76"/>
      <c r="AI71" s="74"/>
      <c r="AJ71" s="75"/>
      <c r="AK71" s="76"/>
      <c r="AL71" s="68" t="s">
        <v>934</v>
      </c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  <c r="BM71" s="69"/>
      <c r="BN71" s="69"/>
      <c r="BO71" s="69"/>
      <c r="BP71" s="70"/>
    </row>
    <row r="72" spans="1:68" s="1" customFormat="1" ht="30.75" customHeight="1">
      <c r="A72" s="74">
        <f t="shared" si="0"/>
        <v>64</v>
      </c>
      <c r="B72" s="75"/>
      <c r="C72" s="76"/>
      <c r="D72" s="71" t="s">
        <v>854</v>
      </c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3"/>
      <c r="AA72" s="74" t="s">
        <v>18</v>
      </c>
      <c r="AB72" s="75"/>
      <c r="AC72" s="75"/>
      <c r="AD72" s="75"/>
      <c r="AE72" s="76"/>
      <c r="AF72" s="74" t="s">
        <v>927</v>
      </c>
      <c r="AG72" s="75"/>
      <c r="AH72" s="76"/>
      <c r="AI72" s="74"/>
      <c r="AJ72" s="75"/>
      <c r="AK72" s="76"/>
      <c r="AL72" s="68" t="s">
        <v>935</v>
      </c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69"/>
      <c r="BN72" s="69"/>
      <c r="BO72" s="69"/>
      <c r="BP72" s="70"/>
    </row>
    <row r="73" spans="1:68" s="1" customFormat="1" ht="30.75" customHeight="1">
      <c r="A73" s="74">
        <f t="shared" si="0"/>
        <v>65</v>
      </c>
      <c r="B73" s="75"/>
      <c r="C73" s="76"/>
      <c r="D73" s="71" t="s">
        <v>855</v>
      </c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3"/>
      <c r="AA73" s="74" t="s">
        <v>18</v>
      </c>
      <c r="AB73" s="75"/>
      <c r="AC73" s="75"/>
      <c r="AD73" s="75"/>
      <c r="AE73" s="76"/>
      <c r="AF73" s="74" t="s">
        <v>927</v>
      </c>
      <c r="AG73" s="75"/>
      <c r="AH73" s="76"/>
      <c r="AI73" s="74"/>
      <c r="AJ73" s="75"/>
      <c r="AK73" s="76"/>
      <c r="AL73" s="68" t="s">
        <v>936</v>
      </c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69"/>
      <c r="BO73" s="69"/>
      <c r="BP73" s="70"/>
    </row>
    <row r="74" spans="1:68" s="1" customFormat="1" ht="30.75" customHeight="1">
      <c r="A74" s="74">
        <f t="shared" si="0"/>
        <v>66</v>
      </c>
      <c r="B74" s="75"/>
      <c r="C74" s="76"/>
      <c r="D74" s="71" t="s">
        <v>856</v>
      </c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3"/>
      <c r="AA74" s="74" t="s">
        <v>18</v>
      </c>
      <c r="AB74" s="75"/>
      <c r="AC74" s="75"/>
      <c r="AD74" s="75"/>
      <c r="AE74" s="76"/>
      <c r="AF74" s="74" t="s">
        <v>927</v>
      </c>
      <c r="AG74" s="75"/>
      <c r="AH74" s="76"/>
      <c r="AI74" s="74"/>
      <c r="AJ74" s="75"/>
      <c r="AK74" s="76"/>
      <c r="AL74" s="68" t="s">
        <v>937</v>
      </c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  <c r="BC74" s="69"/>
      <c r="BD74" s="69"/>
      <c r="BE74" s="69"/>
      <c r="BF74" s="69"/>
      <c r="BG74" s="69"/>
      <c r="BH74" s="69"/>
      <c r="BI74" s="69"/>
      <c r="BJ74" s="69"/>
      <c r="BK74" s="69"/>
      <c r="BL74" s="69"/>
      <c r="BM74" s="69"/>
      <c r="BN74" s="69"/>
      <c r="BO74" s="69"/>
      <c r="BP74" s="70"/>
    </row>
    <row r="75" spans="1:68" s="1" customFormat="1" ht="30.75" customHeight="1">
      <c r="A75" s="74">
        <f t="shared" si="0"/>
        <v>67</v>
      </c>
      <c r="B75" s="75"/>
      <c r="C75" s="76"/>
      <c r="D75" s="71" t="s">
        <v>857</v>
      </c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3"/>
      <c r="AA75" s="74" t="s">
        <v>18</v>
      </c>
      <c r="AB75" s="75"/>
      <c r="AC75" s="75"/>
      <c r="AD75" s="75"/>
      <c r="AE75" s="76"/>
      <c r="AF75" s="74" t="s">
        <v>927</v>
      </c>
      <c r="AG75" s="75"/>
      <c r="AH75" s="76"/>
      <c r="AI75" s="74"/>
      <c r="AJ75" s="75"/>
      <c r="AK75" s="76"/>
      <c r="AL75" s="68" t="s">
        <v>938</v>
      </c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69"/>
      <c r="BE75" s="69"/>
      <c r="BF75" s="69"/>
      <c r="BG75" s="69"/>
      <c r="BH75" s="69"/>
      <c r="BI75" s="69"/>
      <c r="BJ75" s="69"/>
      <c r="BK75" s="69"/>
      <c r="BL75" s="69"/>
      <c r="BM75" s="69"/>
      <c r="BN75" s="69"/>
      <c r="BO75" s="69"/>
      <c r="BP75" s="70"/>
    </row>
    <row r="76" spans="1:68" s="1" customFormat="1" ht="30.75" customHeight="1">
      <c r="A76" s="74">
        <f t="shared" si="0"/>
        <v>68</v>
      </c>
      <c r="B76" s="75"/>
      <c r="C76" s="76"/>
      <c r="D76" s="71" t="s">
        <v>858</v>
      </c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3"/>
      <c r="AA76" s="74" t="s">
        <v>18</v>
      </c>
      <c r="AB76" s="75"/>
      <c r="AC76" s="75"/>
      <c r="AD76" s="75"/>
      <c r="AE76" s="76"/>
      <c r="AF76" s="74" t="s">
        <v>927</v>
      </c>
      <c r="AG76" s="75"/>
      <c r="AH76" s="76"/>
      <c r="AI76" s="74"/>
      <c r="AJ76" s="75"/>
      <c r="AK76" s="76"/>
      <c r="AL76" s="68" t="s">
        <v>939</v>
      </c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  <c r="BM76" s="69"/>
      <c r="BN76" s="69"/>
      <c r="BO76" s="69"/>
      <c r="BP76" s="70"/>
    </row>
    <row r="77" spans="1:68" s="1" customFormat="1" ht="30.75" customHeight="1">
      <c r="A77" s="74">
        <f t="shared" si="0"/>
        <v>69</v>
      </c>
      <c r="B77" s="75"/>
      <c r="C77" s="76"/>
      <c r="D77" s="71" t="s">
        <v>859</v>
      </c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3"/>
      <c r="AA77" s="74" t="s">
        <v>18</v>
      </c>
      <c r="AB77" s="75"/>
      <c r="AC77" s="75"/>
      <c r="AD77" s="75"/>
      <c r="AE77" s="76"/>
      <c r="AF77" s="74" t="s">
        <v>927</v>
      </c>
      <c r="AG77" s="75"/>
      <c r="AH77" s="76"/>
      <c r="AI77" s="74"/>
      <c r="AJ77" s="75"/>
      <c r="AK77" s="76"/>
      <c r="AL77" s="68" t="s">
        <v>940</v>
      </c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69"/>
      <c r="BG77" s="69"/>
      <c r="BH77" s="69"/>
      <c r="BI77" s="69"/>
      <c r="BJ77" s="69"/>
      <c r="BK77" s="69"/>
      <c r="BL77" s="69"/>
      <c r="BM77" s="69"/>
      <c r="BN77" s="69"/>
      <c r="BO77" s="69"/>
      <c r="BP77" s="70"/>
    </row>
    <row r="78" spans="1:68" s="1" customFormat="1" ht="30.75" customHeight="1">
      <c r="A78" s="74">
        <f t="shared" si="0"/>
        <v>70</v>
      </c>
      <c r="B78" s="75"/>
      <c r="C78" s="76"/>
      <c r="D78" s="71" t="s">
        <v>860</v>
      </c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3"/>
      <c r="AA78" s="74" t="s">
        <v>18</v>
      </c>
      <c r="AB78" s="75"/>
      <c r="AC78" s="75"/>
      <c r="AD78" s="75"/>
      <c r="AE78" s="76"/>
      <c r="AF78" s="74" t="s">
        <v>927</v>
      </c>
      <c r="AG78" s="75"/>
      <c r="AH78" s="76"/>
      <c r="AI78" s="74"/>
      <c r="AJ78" s="75"/>
      <c r="AK78" s="76"/>
      <c r="AL78" s="68" t="s">
        <v>941</v>
      </c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69"/>
      <c r="BJ78" s="69"/>
      <c r="BK78" s="69"/>
      <c r="BL78" s="69"/>
      <c r="BM78" s="69"/>
      <c r="BN78" s="69"/>
      <c r="BO78" s="69"/>
      <c r="BP78" s="70"/>
    </row>
    <row r="79" spans="1:68" s="1" customFormat="1" ht="30.75" customHeight="1">
      <c r="A79" s="74">
        <f t="shared" si="0"/>
        <v>71</v>
      </c>
      <c r="B79" s="75"/>
      <c r="C79" s="76"/>
      <c r="D79" s="71" t="s">
        <v>861</v>
      </c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3"/>
      <c r="AA79" s="74" t="s">
        <v>18</v>
      </c>
      <c r="AB79" s="75"/>
      <c r="AC79" s="75"/>
      <c r="AD79" s="75"/>
      <c r="AE79" s="76"/>
      <c r="AF79" s="74" t="s">
        <v>927</v>
      </c>
      <c r="AG79" s="75"/>
      <c r="AH79" s="76"/>
      <c r="AI79" s="74"/>
      <c r="AJ79" s="75"/>
      <c r="AK79" s="76"/>
      <c r="AL79" s="68" t="s">
        <v>942</v>
      </c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  <c r="BC79" s="69"/>
      <c r="BD79" s="69"/>
      <c r="BE79" s="69"/>
      <c r="BF79" s="69"/>
      <c r="BG79" s="69"/>
      <c r="BH79" s="69"/>
      <c r="BI79" s="69"/>
      <c r="BJ79" s="69"/>
      <c r="BK79" s="69"/>
      <c r="BL79" s="69"/>
      <c r="BM79" s="69"/>
      <c r="BN79" s="69"/>
      <c r="BO79" s="69"/>
      <c r="BP79" s="70"/>
    </row>
    <row r="80" spans="1:68" s="1" customFormat="1" ht="30.75" customHeight="1">
      <c r="A80" s="74">
        <f t="shared" ref="A80:A121" si="2">ROW()-8</f>
        <v>72</v>
      </c>
      <c r="B80" s="75"/>
      <c r="C80" s="76"/>
      <c r="D80" s="71" t="s">
        <v>943</v>
      </c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3"/>
      <c r="AA80" s="74" t="s">
        <v>272</v>
      </c>
      <c r="AB80" s="75"/>
      <c r="AC80" s="75"/>
      <c r="AD80" s="75"/>
      <c r="AE80" s="76"/>
      <c r="AF80" s="74"/>
      <c r="AG80" s="75"/>
      <c r="AH80" s="76"/>
      <c r="AI80" s="74"/>
      <c r="AJ80" s="75"/>
      <c r="AK80" s="76"/>
      <c r="AL80" s="68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69"/>
      <c r="BN80" s="69"/>
      <c r="BO80" s="69"/>
      <c r="BP80" s="70"/>
    </row>
    <row r="81" spans="1:68" s="37" customFormat="1" ht="30.75" customHeight="1">
      <c r="A81" s="74">
        <f t="shared" si="2"/>
        <v>73</v>
      </c>
      <c r="B81" s="75"/>
      <c r="C81" s="76"/>
      <c r="D81" s="71" t="s">
        <v>844</v>
      </c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3"/>
      <c r="AA81" s="74" t="s">
        <v>944</v>
      </c>
      <c r="AB81" s="75"/>
      <c r="AC81" s="75"/>
      <c r="AD81" s="75"/>
      <c r="AE81" s="76"/>
      <c r="AF81" s="74">
        <v>2</v>
      </c>
      <c r="AG81" s="75"/>
      <c r="AH81" s="76"/>
      <c r="AI81" s="74"/>
      <c r="AJ81" s="75"/>
      <c r="AK81" s="76"/>
      <c r="AL81" s="105" t="s">
        <v>945</v>
      </c>
      <c r="AM81" s="106"/>
      <c r="AN81" s="106"/>
      <c r="AO81" s="106"/>
      <c r="AP81" s="106"/>
      <c r="AQ81" s="106"/>
      <c r="AR81" s="106"/>
      <c r="AS81" s="106"/>
      <c r="AT81" s="106"/>
      <c r="AU81" s="106"/>
      <c r="AV81" s="106"/>
      <c r="AW81" s="106"/>
      <c r="AX81" s="106"/>
      <c r="AY81" s="106"/>
      <c r="AZ81" s="106"/>
      <c r="BA81" s="106"/>
      <c r="BB81" s="106"/>
      <c r="BC81" s="106"/>
      <c r="BD81" s="106"/>
      <c r="BE81" s="106"/>
      <c r="BF81" s="106"/>
      <c r="BG81" s="106"/>
      <c r="BH81" s="106"/>
      <c r="BI81" s="106"/>
      <c r="BJ81" s="106"/>
      <c r="BK81" s="106"/>
      <c r="BL81" s="106"/>
      <c r="BM81" s="106"/>
      <c r="BN81" s="106"/>
      <c r="BO81" s="106"/>
      <c r="BP81" s="107"/>
    </row>
    <row r="82" spans="1:68" s="37" customFormat="1" ht="30.75" customHeight="1">
      <c r="A82" s="74">
        <f t="shared" si="2"/>
        <v>74</v>
      </c>
      <c r="B82" s="75"/>
      <c r="C82" s="76"/>
      <c r="D82" s="71" t="s">
        <v>841</v>
      </c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3"/>
      <c r="AA82" s="74" t="s">
        <v>944</v>
      </c>
      <c r="AB82" s="75"/>
      <c r="AC82" s="75"/>
      <c r="AD82" s="75"/>
      <c r="AE82" s="76"/>
      <c r="AF82" s="74">
        <v>3</v>
      </c>
      <c r="AG82" s="75"/>
      <c r="AH82" s="76"/>
      <c r="AI82" s="74"/>
      <c r="AJ82" s="75"/>
      <c r="AK82" s="76"/>
      <c r="AL82" s="105" t="s">
        <v>946</v>
      </c>
      <c r="AM82" s="106"/>
      <c r="AN82" s="106"/>
      <c r="AO82" s="106"/>
      <c r="AP82" s="106"/>
      <c r="AQ82" s="106"/>
      <c r="AR82" s="106"/>
      <c r="AS82" s="106"/>
      <c r="AT82" s="106"/>
      <c r="AU82" s="106"/>
      <c r="AV82" s="106"/>
      <c r="AW82" s="106"/>
      <c r="AX82" s="106"/>
      <c r="AY82" s="106"/>
      <c r="AZ82" s="106"/>
      <c r="BA82" s="106"/>
      <c r="BB82" s="106"/>
      <c r="BC82" s="106"/>
      <c r="BD82" s="106"/>
      <c r="BE82" s="106"/>
      <c r="BF82" s="106"/>
      <c r="BG82" s="106"/>
      <c r="BH82" s="106"/>
      <c r="BI82" s="106"/>
      <c r="BJ82" s="106"/>
      <c r="BK82" s="106"/>
      <c r="BL82" s="106"/>
      <c r="BM82" s="106"/>
      <c r="BN82" s="106"/>
      <c r="BO82" s="106"/>
      <c r="BP82" s="107"/>
    </row>
    <row r="83" spans="1:68" s="37" customFormat="1" ht="30.75" customHeight="1">
      <c r="A83" s="74">
        <f t="shared" si="2"/>
        <v>75</v>
      </c>
      <c r="B83" s="75"/>
      <c r="C83" s="76"/>
      <c r="D83" s="111" t="s">
        <v>947</v>
      </c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3"/>
      <c r="AA83" s="108" t="s">
        <v>281</v>
      </c>
      <c r="AB83" s="109"/>
      <c r="AC83" s="109"/>
      <c r="AD83" s="109"/>
      <c r="AE83" s="110"/>
      <c r="AF83" s="74">
        <v>8</v>
      </c>
      <c r="AG83" s="75"/>
      <c r="AH83" s="76"/>
      <c r="AI83" s="74"/>
      <c r="AJ83" s="75"/>
      <c r="AK83" s="76"/>
      <c r="AL83" s="123" t="s">
        <v>948</v>
      </c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  <c r="BA83" s="124"/>
      <c r="BB83" s="124"/>
      <c r="BC83" s="124"/>
      <c r="BD83" s="124"/>
      <c r="BE83" s="124"/>
      <c r="BF83" s="124"/>
      <c r="BG83" s="124"/>
      <c r="BH83" s="124"/>
      <c r="BI83" s="124"/>
      <c r="BJ83" s="124"/>
      <c r="BK83" s="124"/>
      <c r="BL83" s="124"/>
      <c r="BM83" s="124"/>
      <c r="BN83" s="124"/>
      <c r="BO83" s="124"/>
      <c r="BP83" s="125"/>
    </row>
    <row r="84" spans="1:68" s="37" customFormat="1" ht="30.75" customHeight="1">
      <c r="A84" s="74">
        <f t="shared" si="2"/>
        <v>76</v>
      </c>
      <c r="B84" s="75"/>
      <c r="C84" s="76"/>
      <c r="D84" s="111" t="s">
        <v>949</v>
      </c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3"/>
      <c r="AA84" s="108" t="s">
        <v>281</v>
      </c>
      <c r="AB84" s="109"/>
      <c r="AC84" s="109"/>
      <c r="AD84" s="109"/>
      <c r="AE84" s="110"/>
      <c r="AF84" s="74">
        <v>8</v>
      </c>
      <c r="AG84" s="75"/>
      <c r="AH84" s="76"/>
      <c r="AI84" s="74"/>
      <c r="AJ84" s="75"/>
      <c r="AK84" s="76"/>
      <c r="AL84" s="126" t="s">
        <v>950</v>
      </c>
      <c r="AM84" s="127"/>
      <c r="AN84" s="127"/>
      <c r="AO84" s="127"/>
      <c r="AP84" s="127"/>
      <c r="AQ84" s="127"/>
      <c r="AR84" s="127"/>
      <c r="AS84" s="127"/>
      <c r="AT84" s="127"/>
      <c r="AU84" s="127"/>
      <c r="AV84" s="127"/>
      <c r="AW84" s="127"/>
      <c r="AX84" s="127"/>
      <c r="AY84" s="127"/>
      <c r="AZ84" s="127"/>
      <c r="BA84" s="127"/>
      <c r="BB84" s="127"/>
      <c r="BC84" s="127"/>
      <c r="BD84" s="127"/>
      <c r="BE84" s="127"/>
      <c r="BF84" s="127"/>
      <c r="BG84" s="127"/>
      <c r="BH84" s="127"/>
      <c r="BI84" s="127"/>
      <c r="BJ84" s="127"/>
      <c r="BK84" s="127"/>
      <c r="BL84" s="127"/>
      <c r="BM84" s="127"/>
      <c r="BN84" s="127"/>
      <c r="BO84" s="127"/>
      <c r="BP84" s="128"/>
    </row>
    <row r="85" spans="1:68" s="37" customFormat="1" ht="30.75" customHeight="1">
      <c r="A85" s="74">
        <f t="shared" si="2"/>
        <v>77</v>
      </c>
      <c r="B85" s="75"/>
      <c r="C85" s="76"/>
      <c r="D85" s="71" t="s">
        <v>951</v>
      </c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3"/>
      <c r="AA85" s="74" t="s">
        <v>346</v>
      </c>
      <c r="AB85" s="75" t="s">
        <v>346</v>
      </c>
      <c r="AC85" s="75" t="s">
        <v>346</v>
      </c>
      <c r="AD85" s="75" t="s">
        <v>346</v>
      </c>
      <c r="AE85" s="76" t="s">
        <v>346</v>
      </c>
      <c r="AF85" s="74">
        <v>30</v>
      </c>
      <c r="AG85" s="75"/>
      <c r="AH85" s="76"/>
      <c r="AI85" s="74"/>
      <c r="AJ85" s="75"/>
      <c r="AK85" s="76"/>
      <c r="AL85" s="105" t="s">
        <v>952</v>
      </c>
      <c r="AM85" s="106"/>
      <c r="AN85" s="106"/>
      <c r="AO85" s="106"/>
      <c r="AP85" s="106"/>
      <c r="AQ85" s="106"/>
      <c r="AR85" s="106"/>
      <c r="AS85" s="106"/>
      <c r="AT85" s="106"/>
      <c r="AU85" s="106"/>
      <c r="AV85" s="106"/>
      <c r="AW85" s="106"/>
      <c r="AX85" s="106"/>
      <c r="AY85" s="106"/>
      <c r="AZ85" s="106"/>
      <c r="BA85" s="106"/>
      <c r="BB85" s="106"/>
      <c r="BC85" s="106"/>
      <c r="BD85" s="106"/>
      <c r="BE85" s="106"/>
      <c r="BF85" s="106"/>
      <c r="BG85" s="106"/>
      <c r="BH85" s="106"/>
      <c r="BI85" s="106"/>
      <c r="BJ85" s="106"/>
      <c r="BK85" s="106"/>
      <c r="BL85" s="106"/>
      <c r="BM85" s="106"/>
      <c r="BN85" s="106"/>
      <c r="BO85" s="106"/>
      <c r="BP85" s="107"/>
    </row>
    <row r="86" spans="1:68" s="37" customFormat="1" ht="30.75" customHeight="1">
      <c r="A86" s="74">
        <f t="shared" si="2"/>
        <v>78</v>
      </c>
      <c r="B86" s="75"/>
      <c r="C86" s="76"/>
      <c r="D86" s="71" t="s">
        <v>953</v>
      </c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3"/>
      <c r="AA86" s="74" t="s">
        <v>346</v>
      </c>
      <c r="AB86" s="75" t="s">
        <v>346</v>
      </c>
      <c r="AC86" s="75" t="s">
        <v>346</v>
      </c>
      <c r="AD86" s="75" t="s">
        <v>346</v>
      </c>
      <c r="AE86" s="76" t="s">
        <v>346</v>
      </c>
      <c r="AF86" s="74">
        <v>3</v>
      </c>
      <c r="AG86" s="75"/>
      <c r="AH86" s="76"/>
      <c r="AI86" s="74"/>
      <c r="AJ86" s="75"/>
      <c r="AK86" s="76"/>
      <c r="AL86" s="105" t="s">
        <v>954</v>
      </c>
      <c r="AM86" s="106"/>
      <c r="AN86" s="106"/>
      <c r="AO86" s="106"/>
      <c r="AP86" s="106"/>
      <c r="AQ86" s="106"/>
      <c r="AR86" s="106"/>
      <c r="AS86" s="106"/>
      <c r="AT86" s="106"/>
      <c r="AU86" s="106"/>
      <c r="AV86" s="106"/>
      <c r="AW86" s="106"/>
      <c r="AX86" s="106"/>
      <c r="AY86" s="106"/>
      <c r="AZ86" s="106"/>
      <c r="BA86" s="106"/>
      <c r="BB86" s="106"/>
      <c r="BC86" s="106"/>
      <c r="BD86" s="106"/>
      <c r="BE86" s="106"/>
      <c r="BF86" s="106"/>
      <c r="BG86" s="106"/>
      <c r="BH86" s="106"/>
      <c r="BI86" s="106"/>
      <c r="BJ86" s="106"/>
      <c r="BK86" s="106"/>
      <c r="BL86" s="106"/>
      <c r="BM86" s="106"/>
      <c r="BN86" s="106"/>
      <c r="BO86" s="106"/>
      <c r="BP86" s="107"/>
    </row>
    <row r="87" spans="1:68" s="37" customFormat="1" ht="30.75" customHeight="1">
      <c r="A87" s="74">
        <f t="shared" si="2"/>
        <v>79</v>
      </c>
      <c r="B87" s="75"/>
      <c r="C87" s="76"/>
      <c r="D87" s="71" t="s">
        <v>955</v>
      </c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3"/>
      <c r="AA87" s="74" t="s">
        <v>346</v>
      </c>
      <c r="AB87" s="75" t="s">
        <v>346</v>
      </c>
      <c r="AC87" s="75" t="s">
        <v>346</v>
      </c>
      <c r="AD87" s="75" t="s">
        <v>346</v>
      </c>
      <c r="AE87" s="76" t="s">
        <v>346</v>
      </c>
      <c r="AF87" s="74">
        <v>2</v>
      </c>
      <c r="AG87" s="75"/>
      <c r="AH87" s="76"/>
      <c r="AI87" s="74"/>
      <c r="AJ87" s="75"/>
      <c r="AK87" s="76"/>
      <c r="AL87" s="105" t="s">
        <v>956</v>
      </c>
      <c r="AM87" s="106"/>
      <c r="AN87" s="106"/>
      <c r="AO87" s="106"/>
      <c r="AP87" s="106"/>
      <c r="AQ87" s="106"/>
      <c r="AR87" s="106"/>
      <c r="AS87" s="106"/>
      <c r="AT87" s="106"/>
      <c r="AU87" s="106"/>
      <c r="AV87" s="106"/>
      <c r="AW87" s="106"/>
      <c r="AX87" s="106"/>
      <c r="AY87" s="106"/>
      <c r="AZ87" s="106"/>
      <c r="BA87" s="106"/>
      <c r="BB87" s="106"/>
      <c r="BC87" s="106"/>
      <c r="BD87" s="106"/>
      <c r="BE87" s="106"/>
      <c r="BF87" s="106"/>
      <c r="BG87" s="106"/>
      <c r="BH87" s="106"/>
      <c r="BI87" s="106"/>
      <c r="BJ87" s="106"/>
      <c r="BK87" s="106"/>
      <c r="BL87" s="106"/>
      <c r="BM87" s="106"/>
      <c r="BN87" s="106"/>
      <c r="BO87" s="106"/>
      <c r="BP87" s="107"/>
    </row>
    <row r="88" spans="1:68" s="37" customFormat="1" ht="30.75" customHeight="1">
      <c r="A88" s="74">
        <f t="shared" si="2"/>
        <v>80</v>
      </c>
      <c r="B88" s="75"/>
      <c r="C88" s="76"/>
      <c r="D88" s="71" t="s">
        <v>957</v>
      </c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3"/>
      <c r="AA88" s="74" t="s">
        <v>346</v>
      </c>
      <c r="AB88" s="75" t="s">
        <v>346</v>
      </c>
      <c r="AC88" s="75" t="s">
        <v>346</v>
      </c>
      <c r="AD88" s="75" t="s">
        <v>346</v>
      </c>
      <c r="AE88" s="76" t="s">
        <v>346</v>
      </c>
      <c r="AF88" s="74">
        <v>1</v>
      </c>
      <c r="AG88" s="75"/>
      <c r="AH88" s="76"/>
      <c r="AI88" s="74"/>
      <c r="AJ88" s="75"/>
      <c r="AK88" s="76"/>
      <c r="AL88" s="105" t="s">
        <v>958</v>
      </c>
      <c r="AM88" s="106"/>
      <c r="AN88" s="106"/>
      <c r="AO88" s="106"/>
      <c r="AP88" s="106"/>
      <c r="AQ88" s="106"/>
      <c r="AR88" s="106"/>
      <c r="AS88" s="106"/>
      <c r="AT88" s="106"/>
      <c r="AU88" s="106"/>
      <c r="AV88" s="106"/>
      <c r="AW88" s="106"/>
      <c r="AX88" s="106"/>
      <c r="AY88" s="106"/>
      <c r="AZ88" s="106"/>
      <c r="BA88" s="106"/>
      <c r="BB88" s="106"/>
      <c r="BC88" s="106"/>
      <c r="BD88" s="106"/>
      <c r="BE88" s="106"/>
      <c r="BF88" s="106"/>
      <c r="BG88" s="106"/>
      <c r="BH88" s="106"/>
      <c r="BI88" s="106"/>
      <c r="BJ88" s="106"/>
      <c r="BK88" s="106"/>
      <c r="BL88" s="106"/>
      <c r="BM88" s="106"/>
      <c r="BN88" s="106"/>
      <c r="BO88" s="106"/>
      <c r="BP88" s="107"/>
    </row>
    <row r="89" spans="1:68" s="37" customFormat="1" ht="30.75" customHeight="1">
      <c r="A89" s="74">
        <f t="shared" si="2"/>
        <v>81</v>
      </c>
      <c r="B89" s="75"/>
      <c r="C89" s="76"/>
      <c r="D89" s="71" t="s">
        <v>959</v>
      </c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3"/>
      <c r="AA89" s="74" t="s">
        <v>346</v>
      </c>
      <c r="AB89" s="75" t="s">
        <v>346</v>
      </c>
      <c r="AC89" s="75" t="s">
        <v>346</v>
      </c>
      <c r="AD89" s="75" t="s">
        <v>346</v>
      </c>
      <c r="AE89" s="76" t="s">
        <v>346</v>
      </c>
      <c r="AF89" s="74">
        <v>1</v>
      </c>
      <c r="AG89" s="75"/>
      <c r="AH89" s="76"/>
      <c r="AI89" s="74"/>
      <c r="AJ89" s="75"/>
      <c r="AK89" s="76"/>
      <c r="AL89" s="105" t="s">
        <v>960</v>
      </c>
      <c r="AM89" s="106"/>
      <c r="AN89" s="106"/>
      <c r="AO89" s="106"/>
      <c r="AP89" s="106"/>
      <c r="AQ89" s="106"/>
      <c r="AR89" s="106"/>
      <c r="AS89" s="106"/>
      <c r="AT89" s="106"/>
      <c r="AU89" s="106"/>
      <c r="AV89" s="106"/>
      <c r="AW89" s="106"/>
      <c r="AX89" s="106"/>
      <c r="AY89" s="106"/>
      <c r="AZ89" s="106"/>
      <c r="BA89" s="106"/>
      <c r="BB89" s="106"/>
      <c r="BC89" s="106"/>
      <c r="BD89" s="106"/>
      <c r="BE89" s="106"/>
      <c r="BF89" s="106"/>
      <c r="BG89" s="106"/>
      <c r="BH89" s="106"/>
      <c r="BI89" s="106"/>
      <c r="BJ89" s="106"/>
      <c r="BK89" s="106"/>
      <c r="BL89" s="106"/>
      <c r="BM89" s="106"/>
      <c r="BN89" s="106"/>
      <c r="BO89" s="106"/>
      <c r="BP89" s="107"/>
    </row>
    <row r="90" spans="1:68" s="37" customFormat="1" ht="30.75" customHeight="1">
      <c r="A90" s="74">
        <f t="shared" si="2"/>
        <v>82</v>
      </c>
      <c r="B90" s="75"/>
      <c r="C90" s="76"/>
      <c r="D90" s="71" t="s">
        <v>1029</v>
      </c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3"/>
      <c r="AA90" s="74" t="s">
        <v>346</v>
      </c>
      <c r="AB90" s="75" t="s">
        <v>346</v>
      </c>
      <c r="AC90" s="75" t="s">
        <v>346</v>
      </c>
      <c r="AD90" s="75" t="s">
        <v>346</v>
      </c>
      <c r="AE90" s="76" t="s">
        <v>346</v>
      </c>
      <c r="AF90" s="74">
        <v>4</v>
      </c>
      <c r="AG90" s="75"/>
      <c r="AH90" s="76"/>
      <c r="AI90" s="74"/>
      <c r="AJ90" s="75"/>
      <c r="AK90" s="76"/>
      <c r="AL90" s="105" t="s">
        <v>961</v>
      </c>
      <c r="AM90" s="106"/>
      <c r="AN90" s="106"/>
      <c r="AO90" s="106"/>
      <c r="AP90" s="106"/>
      <c r="AQ90" s="106"/>
      <c r="AR90" s="106"/>
      <c r="AS90" s="106"/>
      <c r="AT90" s="106"/>
      <c r="AU90" s="106"/>
      <c r="AV90" s="106"/>
      <c r="AW90" s="106"/>
      <c r="AX90" s="106"/>
      <c r="AY90" s="106"/>
      <c r="AZ90" s="106"/>
      <c r="BA90" s="106"/>
      <c r="BB90" s="106"/>
      <c r="BC90" s="106"/>
      <c r="BD90" s="106"/>
      <c r="BE90" s="106"/>
      <c r="BF90" s="106"/>
      <c r="BG90" s="106"/>
      <c r="BH90" s="106"/>
      <c r="BI90" s="106"/>
      <c r="BJ90" s="106"/>
      <c r="BK90" s="106"/>
      <c r="BL90" s="106"/>
      <c r="BM90" s="106"/>
      <c r="BN90" s="106"/>
      <c r="BO90" s="106"/>
      <c r="BP90" s="107"/>
    </row>
    <row r="91" spans="1:68" s="37" customFormat="1" ht="30.75" customHeight="1">
      <c r="A91" s="74">
        <f t="shared" si="2"/>
        <v>83</v>
      </c>
      <c r="B91" s="75"/>
      <c r="C91" s="76"/>
      <c r="D91" s="71" t="s">
        <v>962</v>
      </c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3"/>
      <c r="AA91" s="74" t="s">
        <v>346</v>
      </c>
      <c r="AB91" s="75" t="s">
        <v>346</v>
      </c>
      <c r="AC91" s="75" t="s">
        <v>346</v>
      </c>
      <c r="AD91" s="75" t="s">
        <v>346</v>
      </c>
      <c r="AE91" s="76" t="s">
        <v>346</v>
      </c>
      <c r="AF91" s="74">
        <v>1</v>
      </c>
      <c r="AG91" s="75"/>
      <c r="AH91" s="76"/>
      <c r="AI91" s="74"/>
      <c r="AJ91" s="75"/>
      <c r="AK91" s="76"/>
      <c r="AL91" s="105" t="s">
        <v>963</v>
      </c>
      <c r="AM91" s="106"/>
      <c r="AN91" s="106"/>
      <c r="AO91" s="106"/>
      <c r="AP91" s="106"/>
      <c r="AQ91" s="106"/>
      <c r="AR91" s="106"/>
      <c r="AS91" s="106"/>
      <c r="AT91" s="106"/>
      <c r="AU91" s="106"/>
      <c r="AV91" s="106"/>
      <c r="AW91" s="106"/>
      <c r="AX91" s="106"/>
      <c r="AY91" s="106"/>
      <c r="AZ91" s="106"/>
      <c r="BA91" s="106"/>
      <c r="BB91" s="106"/>
      <c r="BC91" s="106"/>
      <c r="BD91" s="106"/>
      <c r="BE91" s="106"/>
      <c r="BF91" s="106"/>
      <c r="BG91" s="106"/>
      <c r="BH91" s="106"/>
      <c r="BI91" s="106"/>
      <c r="BJ91" s="106"/>
      <c r="BK91" s="106"/>
      <c r="BL91" s="106"/>
      <c r="BM91" s="106"/>
      <c r="BN91" s="106"/>
      <c r="BO91" s="106"/>
      <c r="BP91" s="107"/>
    </row>
    <row r="92" spans="1:68" s="37" customFormat="1" ht="30.75" customHeight="1">
      <c r="A92" s="74">
        <f t="shared" si="2"/>
        <v>84</v>
      </c>
      <c r="B92" s="75"/>
      <c r="C92" s="76"/>
      <c r="D92" s="71" t="s">
        <v>964</v>
      </c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3"/>
      <c r="AA92" s="74" t="s">
        <v>346</v>
      </c>
      <c r="AB92" s="75" t="s">
        <v>346</v>
      </c>
      <c r="AC92" s="75" t="s">
        <v>346</v>
      </c>
      <c r="AD92" s="75" t="s">
        <v>346</v>
      </c>
      <c r="AE92" s="76" t="s">
        <v>346</v>
      </c>
      <c r="AF92" s="74">
        <v>1</v>
      </c>
      <c r="AG92" s="75"/>
      <c r="AH92" s="76"/>
      <c r="AI92" s="74"/>
      <c r="AJ92" s="75"/>
      <c r="AK92" s="76"/>
      <c r="AL92" s="105" t="s">
        <v>965</v>
      </c>
      <c r="AM92" s="106"/>
      <c r="AN92" s="106"/>
      <c r="AO92" s="106"/>
      <c r="AP92" s="106"/>
      <c r="AQ92" s="106"/>
      <c r="AR92" s="106"/>
      <c r="AS92" s="106"/>
      <c r="AT92" s="106"/>
      <c r="AU92" s="106"/>
      <c r="AV92" s="106"/>
      <c r="AW92" s="106"/>
      <c r="AX92" s="106"/>
      <c r="AY92" s="106"/>
      <c r="AZ92" s="106"/>
      <c r="BA92" s="106"/>
      <c r="BB92" s="106"/>
      <c r="BC92" s="106"/>
      <c r="BD92" s="106"/>
      <c r="BE92" s="106"/>
      <c r="BF92" s="106"/>
      <c r="BG92" s="106"/>
      <c r="BH92" s="106"/>
      <c r="BI92" s="106"/>
      <c r="BJ92" s="106"/>
      <c r="BK92" s="106"/>
      <c r="BL92" s="106"/>
      <c r="BM92" s="106"/>
      <c r="BN92" s="106"/>
      <c r="BO92" s="106"/>
      <c r="BP92" s="107"/>
    </row>
    <row r="93" spans="1:68" s="37" customFormat="1" ht="30.75" customHeight="1">
      <c r="A93" s="74">
        <f t="shared" si="2"/>
        <v>85</v>
      </c>
      <c r="B93" s="75"/>
      <c r="C93" s="76"/>
      <c r="D93" s="71" t="s">
        <v>966</v>
      </c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3"/>
      <c r="AA93" s="74" t="s">
        <v>346</v>
      </c>
      <c r="AB93" s="75" t="s">
        <v>346</v>
      </c>
      <c r="AC93" s="75" t="s">
        <v>346</v>
      </c>
      <c r="AD93" s="75" t="s">
        <v>346</v>
      </c>
      <c r="AE93" s="76" t="s">
        <v>346</v>
      </c>
      <c r="AF93" s="86">
        <v>1</v>
      </c>
      <c r="AG93" s="86"/>
      <c r="AH93" s="86"/>
      <c r="AI93" s="86"/>
      <c r="AJ93" s="86"/>
      <c r="AK93" s="86"/>
      <c r="AL93" s="68" t="s">
        <v>967</v>
      </c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69"/>
      <c r="BK93" s="69"/>
      <c r="BL93" s="69"/>
      <c r="BM93" s="69"/>
      <c r="BN93" s="69"/>
      <c r="BO93" s="69"/>
      <c r="BP93" s="70"/>
    </row>
    <row r="94" spans="1:68" s="37" customFormat="1" ht="30.75" customHeight="1">
      <c r="A94" s="74">
        <f t="shared" si="2"/>
        <v>86</v>
      </c>
      <c r="B94" s="75"/>
      <c r="C94" s="76"/>
      <c r="D94" s="71" t="s">
        <v>968</v>
      </c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3"/>
      <c r="AA94" s="74" t="s">
        <v>346</v>
      </c>
      <c r="AB94" s="75" t="s">
        <v>346</v>
      </c>
      <c r="AC94" s="75" t="s">
        <v>346</v>
      </c>
      <c r="AD94" s="75" t="s">
        <v>346</v>
      </c>
      <c r="AE94" s="76" t="s">
        <v>346</v>
      </c>
      <c r="AF94" s="86">
        <v>1</v>
      </c>
      <c r="AG94" s="86"/>
      <c r="AH94" s="86"/>
      <c r="AI94" s="86"/>
      <c r="AJ94" s="86"/>
      <c r="AK94" s="86"/>
      <c r="AL94" s="105" t="s">
        <v>969</v>
      </c>
      <c r="AM94" s="106"/>
      <c r="AN94" s="106"/>
      <c r="AO94" s="106"/>
      <c r="AP94" s="106"/>
      <c r="AQ94" s="106"/>
      <c r="AR94" s="106"/>
      <c r="AS94" s="106"/>
      <c r="AT94" s="106"/>
      <c r="AU94" s="106"/>
      <c r="AV94" s="106"/>
      <c r="AW94" s="106"/>
      <c r="AX94" s="106"/>
      <c r="AY94" s="106"/>
      <c r="AZ94" s="106"/>
      <c r="BA94" s="106"/>
      <c r="BB94" s="106"/>
      <c r="BC94" s="106"/>
      <c r="BD94" s="106"/>
      <c r="BE94" s="106"/>
      <c r="BF94" s="106"/>
      <c r="BG94" s="106"/>
      <c r="BH94" s="106"/>
      <c r="BI94" s="106"/>
      <c r="BJ94" s="106"/>
      <c r="BK94" s="106"/>
      <c r="BL94" s="106"/>
      <c r="BM94" s="106"/>
      <c r="BN94" s="106"/>
      <c r="BO94" s="106"/>
      <c r="BP94" s="107"/>
    </row>
    <row r="95" spans="1:68" s="37" customFormat="1" ht="30.75" customHeight="1">
      <c r="A95" s="74">
        <f t="shared" si="2"/>
        <v>87</v>
      </c>
      <c r="B95" s="75"/>
      <c r="C95" s="76"/>
      <c r="D95" s="71" t="s">
        <v>970</v>
      </c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3"/>
      <c r="AA95" s="74" t="s">
        <v>346</v>
      </c>
      <c r="AB95" s="75" t="s">
        <v>346</v>
      </c>
      <c r="AC95" s="75" t="s">
        <v>346</v>
      </c>
      <c r="AD95" s="75" t="s">
        <v>346</v>
      </c>
      <c r="AE95" s="76" t="s">
        <v>346</v>
      </c>
      <c r="AF95" s="86">
        <v>1</v>
      </c>
      <c r="AG95" s="86"/>
      <c r="AH95" s="86"/>
      <c r="AI95" s="86"/>
      <c r="AJ95" s="86"/>
      <c r="AK95" s="86"/>
      <c r="AL95" s="105" t="s">
        <v>971</v>
      </c>
      <c r="AM95" s="106"/>
      <c r="AN95" s="106"/>
      <c r="AO95" s="106"/>
      <c r="AP95" s="106"/>
      <c r="AQ95" s="106"/>
      <c r="AR95" s="106"/>
      <c r="AS95" s="106"/>
      <c r="AT95" s="106"/>
      <c r="AU95" s="106"/>
      <c r="AV95" s="106"/>
      <c r="AW95" s="106"/>
      <c r="AX95" s="106"/>
      <c r="AY95" s="106"/>
      <c r="AZ95" s="106"/>
      <c r="BA95" s="106"/>
      <c r="BB95" s="106"/>
      <c r="BC95" s="106"/>
      <c r="BD95" s="106"/>
      <c r="BE95" s="106"/>
      <c r="BF95" s="106"/>
      <c r="BG95" s="106"/>
      <c r="BH95" s="106"/>
      <c r="BI95" s="106"/>
      <c r="BJ95" s="106"/>
      <c r="BK95" s="106"/>
      <c r="BL95" s="106"/>
      <c r="BM95" s="106"/>
      <c r="BN95" s="106"/>
      <c r="BO95" s="106"/>
      <c r="BP95" s="107"/>
    </row>
    <row r="96" spans="1:68" s="37" customFormat="1" ht="44.25" customHeight="1">
      <c r="A96" s="74">
        <f t="shared" si="2"/>
        <v>88</v>
      </c>
      <c r="B96" s="75"/>
      <c r="C96" s="76"/>
      <c r="D96" s="71" t="s">
        <v>972</v>
      </c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3"/>
      <c r="AA96" s="74" t="s">
        <v>346</v>
      </c>
      <c r="AB96" s="75" t="s">
        <v>346</v>
      </c>
      <c r="AC96" s="75" t="s">
        <v>346</v>
      </c>
      <c r="AD96" s="75" t="s">
        <v>346</v>
      </c>
      <c r="AE96" s="76" t="s">
        <v>346</v>
      </c>
      <c r="AF96" s="86">
        <v>1</v>
      </c>
      <c r="AG96" s="86"/>
      <c r="AH96" s="86"/>
      <c r="AI96" s="86"/>
      <c r="AJ96" s="86"/>
      <c r="AK96" s="86"/>
      <c r="AL96" s="68" t="s">
        <v>973</v>
      </c>
      <c r="AM96" s="69"/>
      <c r="AN96" s="69"/>
      <c r="AO96" s="69"/>
      <c r="AP96" s="69"/>
      <c r="AQ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69"/>
      <c r="BH96" s="69"/>
      <c r="BI96" s="69"/>
      <c r="BJ96" s="69"/>
      <c r="BK96" s="69"/>
      <c r="BL96" s="69"/>
      <c r="BM96" s="69"/>
      <c r="BN96" s="69"/>
      <c r="BO96" s="69"/>
      <c r="BP96" s="70"/>
    </row>
    <row r="97" spans="1:68" s="37" customFormat="1" ht="30.75" customHeight="1">
      <c r="A97" s="74">
        <f t="shared" si="2"/>
        <v>89</v>
      </c>
      <c r="B97" s="75"/>
      <c r="C97" s="76"/>
      <c r="D97" s="71" t="s">
        <v>974</v>
      </c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3"/>
      <c r="AA97" s="74" t="s">
        <v>346</v>
      </c>
      <c r="AB97" s="75" t="s">
        <v>346</v>
      </c>
      <c r="AC97" s="75" t="s">
        <v>346</v>
      </c>
      <c r="AD97" s="75" t="s">
        <v>346</v>
      </c>
      <c r="AE97" s="76" t="s">
        <v>346</v>
      </c>
      <c r="AF97" s="86">
        <v>3</v>
      </c>
      <c r="AG97" s="86"/>
      <c r="AH97" s="86"/>
      <c r="AI97" s="86"/>
      <c r="AJ97" s="86"/>
      <c r="AK97" s="86"/>
      <c r="AL97" s="105" t="s">
        <v>975</v>
      </c>
      <c r="AM97" s="106"/>
      <c r="AN97" s="106"/>
      <c r="AO97" s="106"/>
      <c r="AP97" s="106"/>
      <c r="AQ97" s="106"/>
      <c r="AR97" s="106"/>
      <c r="AS97" s="106"/>
      <c r="AT97" s="106"/>
      <c r="AU97" s="106"/>
      <c r="AV97" s="106"/>
      <c r="AW97" s="106"/>
      <c r="AX97" s="106"/>
      <c r="AY97" s="106"/>
      <c r="AZ97" s="106"/>
      <c r="BA97" s="106"/>
      <c r="BB97" s="106"/>
      <c r="BC97" s="106"/>
      <c r="BD97" s="106"/>
      <c r="BE97" s="106"/>
      <c r="BF97" s="106"/>
      <c r="BG97" s="106"/>
      <c r="BH97" s="106"/>
      <c r="BI97" s="106"/>
      <c r="BJ97" s="106"/>
      <c r="BK97" s="106"/>
      <c r="BL97" s="106"/>
      <c r="BM97" s="106"/>
      <c r="BN97" s="106"/>
      <c r="BO97" s="106"/>
      <c r="BP97" s="107"/>
    </row>
    <row r="98" spans="1:68" s="37" customFormat="1" ht="30.75" customHeight="1">
      <c r="A98" s="74">
        <f t="shared" si="2"/>
        <v>90</v>
      </c>
      <c r="B98" s="75"/>
      <c r="C98" s="76"/>
      <c r="D98" s="71" t="s">
        <v>976</v>
      </c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3"/>
      <c r="AA98" s="74" t="s">
        <v>346</v>
      </c>
      <c r="AB98" s="75" t="s">
        <v>346</v>
      </c>
      <c r="AC98" s="75" t="s">
        <v>346</v>
      </c>
      <c r="AD98" s="75" t="s">
        <v>346</v>
      </c>
      <c r="AE98" s="76" t="s">
        <v>346</v>
      </c>
      <c r="AF98" s="86">
        <v>20</v>
      </c>
      <c r="AG98" s="86"/>
      <c r="AH98" s="86"/>
      <c r="AI98" s="86"/>
      <c r="AJ98" s="86"/>
      <c r="AK98" s="86"/>
      <c r="AL98" s="105" t="s">
        <v>977</v>
      </c>
      <c r="AM98" s="106"/>
      <c r="AN98" s="106"/>
      <c r="AO98" s="106"/>
      <c r="AP98" s="106"/>
      <c r="AQ98" s="106"/>
      <c r="AR98" s="106"/>
      <c r="AS98" s="106"/>
      <c r="AT98" s="106"/>
      <c r="AU98" s="106"/>
      <c r="AV98" s="106"/>
      <c r="AW98" s="106"/>
      <c r="AX98" s="106"/>
      <c r="AY98" s="106"/>
      <c r="AZ98" s="106"/>
      <c r="BA98" s="106"/>
      <c r="BB98" s="106"/>
      <c r="BC98" s="106"/>
      <c r="BD98" s="106"/>
      <c r="BE98" s="106"/>
      <c r="BF98" s="106"/>
      <c r="BG98" s="106"/>
      <c r="BH98" s="106"/>
      <c r="BI98" s="106"/>
      <c r="BJ98" s="106"/>
      <c r="BK98" s="106"/>
      <c r="BL98" s="106"/>
      <c r="BM98" s="106"/>
      <c r="BN98" s="106"/>
      <c r="BO98" s="106"/>
      <c r="BP98" s="107"/>
    </row>
    <row r="99" spans="1:68" s="37" customFormat="1" ht="30.75" customHeight="1">
      <c r="A99" s="74">
        <f t="shared" si="2"/>
        <v>91</v>
      </c>
      <c r="B99" s="75"/>
      <c r="C99" s="76"/>
      <c r="D99" s="71" t="s">
        <v>978</v>
      </c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3"/>
      <c r="AA99" s="74" t="s">
        <v>346</v>
      </c>
      <c r="AB99" s="75" t="s">
        <v>346</v>
      </c>
      <c r="AC99" s="75" t="s">
        <v>346</v>
      </c>
      <c r="AD99" s="75" t="s">
        <v>346</v>
      </c>
      <c r="AE99" s="76" t="s">
        <v>346</v>
      </c>
      <c r="AF99" s="74">
        <v>3</v>
      </c>
      <c r="AG99" s="75"/>
      <c r="AH99" s="76"/>
      <c r="AI99" s="86"/>
      <c r="AJ99" s="86"/>
      <c r="AK99" s="86"/>
      <c r="AL99" s="105" t="s">
        <v>979</v>
      </c>
      <c r="AM99" s="106"/>
      <c r="AN99" s="106"/>
      <c r="AO99" s="106"/>
      <c r="AP99" s="106"/>
      <c r="AQ99" s="106"/>
      <c r="AR99" s="106"/>
      <c r="AS99" s="106"/>
      <c r="AT99" s="106"/>
      <c r="AU99" s="106"/>
      <c r="AV99" s="106"/>
      <c r="AW99" s="106"/>
      <c r="AX99" s="106"/>
      <c r="AY99" s="106"/>
      <c r="AZ99" s="106"/>
      <c r="BA99" s="106"/>
      <c r="BB99" s="106"/>
      <c r="BC99" s="106"/>
      <c r="BD99" s="106"/>
      <c r="BE99" s="106"/>
      <c r="BF99" s="106"/>
      <c r="BG99" s="106"/>
      <c r="BH99" s="106"/>
      <c r="BI99" s="106"/>
      <c r="BJ99" s="106"/>
      <c r="BK99" s="106"/>
      <c r="BL99" s="106"/>
      <c r="BM99" s="106"/>
      <c r="BN99" s="106"/>
      <c r="BO99" s="106"/>
      <c r="BP99" s="107"/>
    </row>
    <row r="100" spans="1:68" s="37" customFormat="1" ht="30.75" customHeight="1">
      <c r="A100" s="74">
        <f t="shared" si="2"/>
        <v>92</v>
      </c>
      <c r="B100" s="75"/>
      <c r="C100" s="76"/>
      <c r="D100" s="71" t="s">
        <v>980</v>
      </c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3"/>
      <c r="AA100" s="74" t="s">
        <v>346</v>
      </c>
      <c r="AB100" s="75" t="s">
        <v>346</v>
      </c>
      <c r="AC100" s="75" t="s">
        <v>346</v>
      </c>
      <c r="AD100" s="75" t="s">
        <v>346</v>
      </c>
      <c r="AE100" s="76" t="s">
        <v>346</v>
      </c>
      <c r="AF100" s="74">
        <v>3</v>
      </c>
      <c r="AG100" s="75"/>
      <c r="AH100" s="76"/>
      <c r="AI100" s="86"/>
      <c r="AJ100" s="86"/>
      <c r="AK100" s="86"/>
      <c r="AL100" s="105" t="s">
        <v>981</v>
      </c>
      <c r="AM100" s="106"/>
      <c r="AN100" s="106"/>
      <c r="AO100" s="106"/>
      <c r="AP100" s="106"/>
      <c r="AQ100" s="106"/>
      <c r="AR100" s="106"/>
      <c r="AS100" s="106"/>
      <c r="AT100" s="106"/>
      <c r="AU100" s="106"/>
      <c r="AV100" s="106"/>
      <c r="AW100" s="106"/>
      <c r="AX100" s="106"/>
      <c r="AY100" s="106"/>
      <c r="AZ100" s="106"/>
      <c r="BA100" s="106"/>
      <c r="BB100" s="106"/>
      <c r="BC100" s="106"/>
      <c r="BD100" s="106"/>
      <c r="BE100" s="106"/>
      <c r="BF100" s="106"/>
      <c r="BG100" s="106"/>
      <c r="BH100" s="106"/>
      <c r="BI100" s="106"/>
      <c r="BJ100" s="106"/>
      <c r="BK100" s="106"/>
      <c r="BL100" s="106"/>
      <c r="BM100" s="106"/>
      <c r="BN100" s="106"/>
      <c r="BO100" s="106"/>
      <c r="BP100" s="107"/>
    </row>
    <row r="101" spans="1:68" s="37" customFormat="1" ht="30.75" customHeight="1">
      <c r="A101" s="74">
        <f t="shared" si="2"/>
        <v>93</v>
      </c>
      <c r="B101" s="75"/>
      <c r="C101" s="76"/>
      <c r="D101" s="71" t="s">
        <v>982</v>
      </c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3"/>
      <c r="AA101" s="74" t="s">
        <v>346</v>
      </c>
      <c r="AB101" s="75" t="s">
        <v>346</v>
      </c>
      <c r="AC101" s="75" t="s">
        <v>346</v>
      </c>
      <c r="AD101" s="75" t="s">
        <v>346</v>
      </c>
      <c r="AE101" s="76" t="s">
        <v>346</v>
      </c>
      <c r="AF101" s="74">
        <v>2</v>
      </c>
      <c r="AG101" s="75"/>
      <c r="AH101" s="76"/>
      <c r="AI101" s="86"/>
      <c r="AJ101" s="86"/>
      <c r="AK101" s="86"/>
      <c r="AL101" s="105" t="s">
        <v>983</v>
      </c>
      <c r="AM101" s="106"/>
      <c r="AN101" s="106"/>
      <c r="AO101" s="106"/>
      <c r="AP101" s="106"/>
      <c r="AQ101" s="106"/>
      <c r="AR101" s="106"/>
      <c r="AS101" s="106"/>
      <c r="AT101" s="106"/>
      <c r="AU101" s="106"/>
      <c r="AV101" s="106"/>
      <c r="AW101" s="106"/>
      <c r="AX101" s="106"/>
      <c r="AY101" s="106"/>
      <c r="AZ101" s="106"/>
      <c r="BA101" s="106"/>
      <c r="BB101" s="106"/>
      <c r="BC101" s="106"/>
      <c r="BD101" s="106"/>
      <c r="BE101" s="106"/>
      <c r="BF101" s="106"/>
      <c r="BG101" s="106"/>
      <c r="BH101" s="106"/>
      <c r="BI101" s="106"/>
      <c r="BJ101" s="106"/>
      <c r="BK101" s="106"/>
      <c r="BL101" s="106"/>
      <c r="BM101" s="106"/>
      <c r="BN101" s="106"/>
      <c r="BO101" s="106"/>
      <c r="BP101" s="107"/>
    </row>
    <row r="102" spans="1:68" s="37" customFormat="1" ht="30.75" customHeight="1">
      <c r="A102" s="74">
        <f t="shared" si="2"/>
        <v>94</v>
      </c>
      <c r="B102" s="75"/>
      <c r="C102" s="76"/>
      <c r="D102" s="71" t="s">
        <v>984</v>
      </c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3"/>
      <c r="AA102" s="74" t="s">
        <v>346</v>
      </c>
      <c r="AB102" s="75" t="s">
        <v>346</v>
      </c>
      <c r="AC102" s="75" t="s">
        <v>346</v>
      </c>
      <c r="AD102" s="75" t="s">
        <v>346</v>
      </c>
      <c r="AE102" s="76" t="s">
        <v>346</v>
      </c>
      <c r="AF102" s="86">
        <v>3</v>
      </c>
      <c r="AG102" s="86"/>
      <c r="AH102" s="86"/>
      <c r="AI102" s="86"/>
      <c r="AJ102" s="86"/>
      <c r="AK102" s="86"/>
      <c r="AL102" s="105" t="s">
        <v>975</v>
      </c>
      <c r="AM102" s="106"/>
      <c r="AN102" s="106"/>
      <c r="AO102" s="106"/>
      <c r="AP102" s="106"/>
      <c r="AQ102" s="106"/>
      <c r="AR102" s="106"/>
      <c r="AS102" s="106"/>
      <c r="AT102" s="106"/>
      <c r="AU102" s="106"/>
      <c r="AV102" s="106"/>
      <c r="AW102" s="106"/>
      <c r="AX102" s="106"/>
      <c r="AY102" s="106"/>
      <c r="AZ102" s="106"/>
      <c r="BA102" s="106"/>
      <c r="BB102" s="106"/>
      <c r="BC102" s="106"/>
      <c r="BD102" s="106"/>
      <c r="BE102" s="106"/>
      <c r="BF102" s="106"/>
      <c r="BG102" s="106"/>
      <c r="BH102" s="106"/>
      <c r="BI102" s="106"/>
      <c r="BJ102" s="106"/>
      <c r="BK102" s="106"/>
      <c r="BL102" s="106"/>
      <c r="BM102" s="106"/>
      <c r="BN102" s="106"/>
      <c r="BO102" s="106"/>
      <c r="BP102" s="107"/>
    </row>
    <row r="103" spans="1:68" s="37" customFormat="1" ht="30.75" customHeight="1">
      <c r="A103" s="74">
        <f t="shared" si="2"/>
        <v>95</v>
      </c>
      <c r="B103" s="75"/>
      <c r="C103" s="76"/>
      <c r="D103" s="71" t="s">
        <v>985</v>
      </c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3"/>
      <c r="AA103" s="74" t="s">
        <v>346</v>
      </c>
      <c r="AB103" s="75" t="s">
        <v>346</v>
      </c>
      <c r="AC103" s="75" t="s">
        <v>346</v>
      </c>
      <c r="AD103" s="75" t="s">
        <v>346</v>
      </c>
      <c r="AE103" s="76" t="s">
        <v>346</v>
      </c>
      <c r="AF103" s="86">
        <v>20</v>
      </c>
      <c r="AG103" s="86"/>
      <c r="AH103" s="86"/>
      <c r="AI103" s="86"/>
      <c r="AJ103" s="86"/>
      <c r="AK103" s="86"/>
      <c r="AL103" s="105" t="s">
        <v>977</v>
      </c>
      <c r="AM103" s="106"/>
      <c r="AN103" s="106"/>
      <c r="AO103" s="106"/>
      <c r="AP103" s="106"/>
      <c r="AQ103" s="106"/>
      <c r="AR103" s="106"/>
      <c r="AS103" s="106"/>
      <c r="AT103" s="106"/>
      <c r="AU103" s="106"/>
      <c r="AV103" s="106"/>
      <c r="AW103" s="106"/>
      <c r="AX103" s="106"/>
      <c r="AY103" s="106"/>
      <c r="AZ103" s="106"/>
      <c r="BA103" s="106"/>
      <c r="BB103" s="106"/>
      <c r="BC103" s="106"/>
      <c r="BD103" s="106"/>
      <c r="BE103" s="106"/>
      <c r="BF103" s="106"/>
      <c r="BG103" s="106"/>
      <c r="BH103" s="106"/>
      <c r="BI103" s="106"/>
      <c r="BJ103" s="106"/>
      <c r="BK103" s="106"/>
      <c r="BL103" s="106"/>
      <c r="BM103" s="106"/>
      <c r="BN103" s="106"/>
      <c r="BO103" s="106"/>
      <c r="BP103" s="107"/>
    </row>
    <row r="104" spans="1:68" s="37" customFormat="1" ht="30.75" customHeight="1">
      <c r="A104" s="74">
        <f t="shared" si="2"/>
        <v>96</v>
      </c>
      <c r="B104" s="75"/>
      <c r="C104" s="76"/>
      <c r="D104" s="71" t="s">
        <v>986</v>
      </c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3"/>
      <c r="AA104" s="74" t="s">
        <v>346</v>
      </c>
      <c r="AB104" s="75" t="s">
        <v>346</v>
      </c>
      <c r="AC104" s="75" t="s">
        <v>346</v>
      </c>
      <c r="AD104" s="75" t="s">
        <v>346</v>
      </c>
      <c r="AE104" s="76" t="s">
        <v>346</v>
      </c>
      <c r="AF104" s="74">
        <v>3</v>
      </c>
      <c r="AG104" s="75"/>
      <c r="AH104" s="76"/>
      <c r="AI104" s="86"/>
      <c r="AJ104" s="86"/>
      <c r="AK104" s="86"/>
      <c r="AL104" s="105" t="s">
        <v>979</v>
      </c>
      <c r="AM104" s="106"/>
      <c r="AN104" s="106"/>
      <c r="AO104" s="106"/>
      <c r="AP104" s="106"/>
      <c r="AQ104" s="106"/>
      <c r="AR104" s="106"/>
      <c r="AS104" s="106"/>
      <c r="AT104" s="106"/>
      <c r="AU104" s="106"/>
      <c r="AV104" s="106"/>
      <c r="AW104" s="106"/>
      <c r="AX104" s="106"/>
      <c r="AY104" s="106"/>
      <c r="AZ104" s="106"/>
      <c r="BA104" s="106"/>
      <c r="BB104" s="106"/>
      <c r="BC104" s="106"/>
      <c r="BD104" s="106"/>
      <c r="BE104" s="106"/>
      <c r="BF104" s="106"/>
      <c r="BG104" s="106"/>
      <c r="BH104" s="106"/>
      <c r="BI104" s="106"/>
      <c r="BJ104" s="106"/>
      <c r="BK104" s="106"/>
      <c r="BL104" s="106"/>
      <c r="BM104" s="106"/>
      <c r="BN104" s="106"/>
      <c r="BO104" s="106"/>
      <c r="BP104" s="107"/>
    </row>
    <row r="105" spans="1:68" s="37" customFormat="1" ht="30.75" customHeight="1">
      <c r="A105" s="74">
        <f t="shared" si="2"/>
        <v>97</v>
      </c>
      <c r="B105" s="75"/>
      <c r="C105" s="76"/>
      <c r="D105" s="71" t="s">
        <v>987</v>
      </c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3"/>
      <c r="AA105" s="74" t="s">
        <v>346</v>
      </c>
      <c r="AB105" s="75" t="s">
        <v>346</v>
      </c>
      <c r="AC105" s="75" t="s">
        <v>346</v>
      </c>
      <c r="AD105" s="75" t="s">
        <v>346</v>
      </c>
      <c r="AE105" s="76" t="s">
        <v>346</v>
      </c>
      <c r="AF105" s="74">
        <v>3</v>
      </c>
      <c r="AG105" s="75"/>
      <c r="AH105" s="76"/>
      <c r="AI105" s="86"/>
      <c r="AJ105" s="86"/>
      <c r="AK105" s="86"/>
      <c r="AL105" s="105" t="s">
        <v>981</v>
      </c>
      <c r="AM105" s="106"/>
      <c r="AN105" s="106"/>
      <c r="AO105" s="106"/>
      <c r="AP105" s="106"/>
      <c r="AQ105" s="106"/>
      <c r="AR105" s="106"/>
      <c r="AS105" s="106"/>
      <c r="AT105" s="106"/>
      <c r="AU105" s="106"/>
      <c r="AV105" s="106"/>
      <c r="AW105" s="106"/>
      <c r="AX105" s="106"/>
      <c r="AY105" s="106"/>
      <c r="AZ105" s="106"/>
      <c r="BA105" s="106"/>
      <c r="BB105" s="106"/>
      <c r="BC105" s="106"/>
      <c r="BD105" s="106"/>
      <c r="BE105" s="106"/>
      <c r="BF105" s="106"/>
      <c r="BG105" s="106"/>
      <c r="BH105" s="106"/>
      <c r="BI105" s="106"/>
      <c r="BJ105" s="106"/>
      <c r="BK105" s="106"/>
      <c r="BL105" s="106"/>
      <c r="BM105" s="106"/>
      <c r="BN105" s="106"/>
      <c r="BO105" s="106"/>
      <c r="BP105" s="107"/>
    </row>
    <row r="106" spans="1:68" s="37" customFormat="1" ht="30.75" customHeight="1">
      <c r="A106" s="74">
        <f t="shared" si="2"/>
        <v>98</v>
      </c>
      <c r="B106" s="75"/>
      <c r="C106" s="76"/>
      <c r="D106" s="71" t="s">
        <v>988</v>
      </c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3"/>
      <c r="AA106" s="74" t="s">
        <v>346</v>
      </c>
      <c r="AB106" s="75" t="s">
        <v>346</v>
      </c>
      <c r="AC106" s="75" t="s">
        <v>346</v>
      </c>
      <c r="AD106" s="75" t="s">
        <v>346</v>
      </c>
      <c r="AE106" s="76" t="s">
        <v>346</v>
      </c>
      <c r="AF106" s="74">
        <v>2</v>
      </c>
      <c r="AG106" s="75"/>
      <c r="AH106" s="76"/>
      <c r="AI106" s="86"/>
      <c r="AJ106" s="86"/>
      <c r="AK106" s="86"/>
      <c r="AL106" s="105" t="s">
        <v>983</v>
      </c>
      <c r="AM106" s="106"/>
      <c r="AN106" s="106"/>
      <c r="AO106" s="106"/>
      <c r="AP106" s="106"/>
      <c r="AQ106" s="106"/>
      <c r="AR106" s="106"/>
      <c r="AS106" s="106"/>
      <c r="AT106" s="106"/>
      <c r="AU106" s="106"/>
      <c r="AV106" s="106"/>
      <c r="AW106" s="106"/>
      <c r="AX106" s="106"/>
      <c r="AY106" s="106"/>
      <c r="AZ106" s="106"/>
      <c r="BA106" s="106"/>
      <c r="BB106" s="106"/>
      <c r="BC106" s="106"/>
      <c r="BD106" s="106"/>
      <c r="BE106" s="106"/>
      <c r="BF106" s="106"/>
      <c r="BG106" s="106"/>
      <c r="BH106" s="106"/>
      <c r="BI106" s="106"/>
      <c r="BJ106" s="106"/>
      <c r="BK106" s="106"/>
      <c r="BL106" s="106"/>
      <c r="BM106" s="106"/>
      <c r="BN106" s="106"/>
      <c r="BO106" s="106"/>
      <c r="BP106" s="107"/>
    </row>
    <row r="107" spans="1:68" s="37" customFormat="1" ht="30.75" customHeight="1">
      <c r="A107" s="74">
        <f t="shared" si="2"/>
        <v>99</v>
      </c>
      <c r="B107" s="75"/>
      <c r="C107" s="76"/>
      <c r="D107" s="71" t="s">
        <v>989</v>
      </c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3"/>
      <c r="AA107" s="74" t="s">
        <v>346</v>
      </c>
      <c r="AB107" s="75" t="s">
        <v>346</v>
      </c>
      <c r="AC107" s="75" t="s">
        <v>346</v>
      </c>
      <c r="AD107" s="75" t="s">
        <v>346</v>
      </c>
      <c r="AE107" s="76" t="s">
        <v>346</v>
      </c>
      <c r="AF107" s="86">
        <v>3</v>
      </c>
      <c r="AG107" s="86"/>
      <c r="AH107" s="86"/>
      <c r="AI107" s="86"/>
      <c r="AJ107" s="86"/>
      <c r="AK107" s="86"/>
      <c r="AL107" s="105" t="s">
        <v>975</v>
      </c>
      <c r="AM107" s="106"/>
      <c r="AN107" s="106"/>
      <c r="AO107" s="106"/>
      <c r="AP107" s="106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06"/>
      <c r="BC107" s="106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06"/>
      <c r="BP107" s="107"/>
    </row>
    <row r="108" spans="1:68" s="37" customFormat="1" ht="30.75" customHeight="1">
      <c r="A108" s="74">
        <f t="shared" si="2"/>
        <v>100</v>
      </c>
      <c r="B108" s="75"/>
      <c r="C108" s="76"/>
      <c r="D108" s="71" t="s">
        <v>990</v>
      </c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3"/>
      <c r="AA108" s="74" t="s">
        <v>346</v>
      </c>
      <c r="AB108" s="75" t="s">
        <v>346</v>
      </c>
      <c r="AC108" s="75" t="s">
        <v>346</v>
      </c>
      <c r="AD108" s="75" t="s">
        <v>346</v>
      </c>
      <c r="AE108" s="76" t="s">
        <v>346</v>
      </c>
      <c r="AF108" s="86">
        <v>20</v>
      </c>
      <c r="AG108" s="86"/>
      <c r="AH108" s="86"/>
      <c r="AI108" s="86"/>
      <c r="AJ108" s="86"/>
      <c r="AK108" s="86"/>
      <c r="AL108" s="105" t="s">
        <v>977</v>
      </c>
      <c r="AM108" s="106"/>
      <c r="AN108" s="106"/>
      <c r="AO108" s="106"/>
      <c r="AP108" s="106"/>
      <c r="AQ108" s="106"/>
      <c r="AR108" s="106"/>
      <c r="AS108" s="106"/>
      <c r="AT108" s="106"/>
      <c r="AU108" s="106"/>
      <c r="AV108" s="106"/>
      <c r="AW108" s="106"/>
      <c r="AX108" s="106"/>
      <c r="AY108" s="106"/>
      <c r="AZ108" s="106"/>
      <c r="BA108" s="106"/>
      <c r="BB108" s="106"/>
      <c r="BC108" s="106"/>
      <c r="BD108" s="106"/>
      <c r="BE108" s="106"/>
      <c r="BF108" s="106"/>
      <c r="BG108" s="106"/>
      <c r="BH108" s="106"/>
      <c r="BI108" s="106"/>
      <c r="BJ108" s="106"/>
      <c r="BK108" s="106"/>
      <c r="BL108" s="106"/>
      <c r="BM108" s="106"/>
      <c r="BN108" s="106"/>
      <c r="BO108" s="106"/>
      <c r="BP108" s="107"/>
    </row>
    <row r="109" spans="1:68" s="37" customFormat="1" ht="30.75" customHeight="1">
      <c r="A109" s="74">
        <f t="shared" si="2"/>
        <v>101</v>
      </c>
      <c r="B109" s="75"/>
      <c r="C109" s="76"/>
      <c r="D109" s="71" t="s">
        <v>991</v>
      </c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3"/>
      <c r="AA109" s="74" t="s">
        <v>346</v>
      </c>
      <c r="AB109" s="75" t="s">
        <v>346</v>
      </c>
      <c r="AC109" s="75" t="s">
        <v>346</v>
      </c>
      <c r="AD109" s="75" t="s">
        <v>346</v>
      </c>
      <c r="AE109" s="76" t="s">
        <v>346</v>
      </c>
      <c r="AF109" s="74">
        <v>3</v>
      </c>
      <c r="AG109" s="75"/>
      <c r="AH109" s="76"/>
      <c r="AI109" s="86"/>
      <c r="AJ109" s="86"/>
      <c r="AK109" s="86"/>
      <c r="AL109" s="105" t="s">
        <v>979</v>
      </c>
      <c r="AM109" s="106"/>
      <c r="AN109" s="106"/>
      <c r="AO109" s="106"/>
      <c r="AP109" s="106"/>
      <c r="AQ109" s="106"/>
      <c r="AR109" s="106"/>
      <c r="AS109" s="106"/>
      <c r="AT109" s="106"/>
      <c r="AU109" s="106"/>
      <c r="AV109" s="106"/>
      <c r="AW109" s="106"/>
      <c r="AX109" s="106"/>
      <c r="AY109" s="106"/>
      <c r="AZ109" s="106"/>
      <c r="BA109" s="106"/>
      <c r="BB109" s="106"/>
      <c r="BC109" s="106"/>
      <c r="BD109" s="106"/>
      <c r="BE109" s="106"/>
      <c r="BF109" s="106"/>
      <c r="BG109" s="106"/>
      <c r="BH109" s="106"/>
      <c r="BI109" s="106"/>
      <c r="BJ109" s="106"/>
      <c r="BK109" s="106"/>
      <c r="BL109" s="106"/>
      <c r="BM109" s="106"/>
      <c r="BN109" s="106"/>
      <c r="BO109" s="106"/>
      <c r="BP109" s="107"/>
    </row>
    <row r="110" spans="1:68" s="37" customFormat="1" ht="30.75" customHeight="1">
      <c r="A110" s="74">
        <f t="shared" si="2"/>
        <v>102</v>
      </c>
      <c r="B110" s="75"/>
      <c r="C110" s="76"/>
      <c r="D110" s="71" t="s">
        <v>992</v>
      </c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3"/>
      <c r="AA110" s="74" t="s">
        <v>346</v>
      </c>
      <c r="AB110" s="75" t="s">
        <v>346</v>
      </c>
      <c r="AC110" s="75" t="s">
        <v>346</v>
      </c>
      <c r="AD110" s="75" t="s">
        <v>346</v>
      </c>
      <c r="AE110" s="76" t="s">
        <v>346</v>
      </c>
      <c r="AF110" s="74">
        <v>3</v>
      </c>
      <c r="AG110" s="75"/>
      <c r="AH110" s="76"/>
      <c r="AI110" s="86"/>
      <c r="AJ110" s="86"/>
      <c r="AK110" s="86"/>
      <c r="AL110" s="105" t="s">
        <v>981</v>
      </c>
      <c r="AM110" s="106"/>
      <c r="AN110" s="106"/>
      <c r="AO110" s="106"/>
      <c r="AP110" s="106"/>
      <c r="AQ110" s="106"/>
      <c r="AR110" s="106"/>
      <c r="AS110" s="106"/>
      <c r="AT110" s="106"/>
      <c r="AU110" s="106"/>
      <c r="AV110" s="106"/>
      <c r="AW110" s="106"/>
      <c r="AX110" s="106"/>
      <c r="AY110" s="106"/>
      <c r="AZ110" s="106"/>
      <c r="BA110" s="106"/>
      <c r="BB110" s="106"/>
      <c r="BC110" s="106"/>
      <c r="BD110" s="106"/>
      <c r="BE110" s="106"/>
      <c r="BF110" s="106"/>
      <c r="BG110" s="106"/>
      <c r="BH110" s="106"/>
      <c r="BI110" s="106"/>
      <c r="BJ110" s="106"/>
      <c r="BK110" s="106"/>
      <c r="BL110" s="106"/>
      <c r="BM110" s="106"/>
      <c r="BN110" s="106"/>
      <c r="BO110" s="106"/>
      <c r="BP110" s="107"/>
    </row>
    <row r="111" spans="1:68" s="37" customFormat="1" ht="30.75" customHeight="1">
      <c r="A111" s="74">
        <f t="shared" si="2"/>
        <v>103</v>
      </c>
      <c r="B111" s="75"/>
      <c r="C111" s="76"/>
      <c r="D111" s="71" t="s">
        <v>993</v>
      </c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3"/>
      <c r="AA111" s="74" t="s">
        <v>346</v>
      </c>
      <c r="AB111" s="75" t="s">
        <v>346</v>
      </c>
      <c r="AC111" s="75" t="s">
        <v>346</v>
      </c>
      <c r="AD111" s="75" t="s">
        <v>346</v>
      </c>
      <c r="AE111" s="76" t="s">
        <v>346</v>
      </c>
      <c r="AF111" s="74">
        <v>2</v>
      </c>
      <c r="AG111" s="75"/>
      <c r="AH111" s="76"/>
      <c r="AI111" s="86"/>
      <c r="AJ111" s="86"/>
      <c r="AK111" s="86"/>
      <c r="AL111" s="105" t="s">
        <v>983</v>
      </c>
      <c r="AM111" s="106"/>
      <c r="AN111" s="106"/>
      <c r="AO111" s="106"/>
      <c r="AP111" s="106"/>
      <c r="AQ111" s="106"/>
      <c r="AR111" s="106"/>
      <c r="AS111" s="106"/>
      <c r="AT111" s="106"/>
      <c r="AU111" s="106"/>
      <c r="AV111" s="106"/>
      <c r="AW111" s="106"/>
      <c r="AX111" s="106"/>
      <c r="AY111" s="106"/>
      <c r="AZ111" s="106"/>
      <c r="BA111" s="106"/>
      <c r="BB111" s="106"/>
      <c r="BC111" s="106"/>
      <c r="BD111" s="106"/>
      <c r="BE111" s="106"/>
      <c r="BF111" s="106"/>
      <c r="BG111" s="106"/>
      <c r="BH111" s="106"/>
      <c r="BI111" s="106"/>
      <c r="BJ111" s="106"/>
      <c r="BK111" s="106"/>
      <c r="BL111" s="106"/>
      <c r="BM111" s="106"/>
      <c r="BN111" s="106"/>
      <c r="BO111" s="106"/>
      <c r="BP111" s="107"/>
    </row>
    <row r="112" spans="1:68" s="37" customFormat="1" ht="30.75" customHeight="1">
      <c r="A112" s="74">
        <f t="shared" si="2"/>
        <v>104</v>
      </c>
      <c r="B112" s="75"/>
      <c r="C112" s="76"/>
      <c r="D112" s="71" t="s">
        <v>994</v>
      </c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3"/>
      <c r="AA112" s="74" t="s">
        <v>346</v>
      </c>
      <c r="AB112" s="75" t="s">
        <v>346</v>
      </c>
      <c r="AC112" s="75" t="s">
        <v>346</v>
      </c>
      <c r="AD112" s="75" t="s">
        <v>346</v>
      </c>
      <c r="AE112" s="76" t="s">
        <v>346</v>
      </c>
      <c r="AF112" s="86">
        <v>3</v>
      </c>
      <c r="AG112" s="86"/>
      <c r="AH112" s="86"/>
      <c r="AI112" s="74"/>
      <c r="AJ112" s="75"/>
      <c r="AK112" s="76"/>
      <c r="AL112" s="105" t="s">
        <v>975</v>
      </c>
      <c r="AM112" s="106"/>
      <c r="AN112" s="106"/>
      <c r="AO112" s="106"/>
      <c r="AP112" s="106"/>
      <c r="AQ112" s="106"/>
      <c r="AR112" s="106"/>
      <c r="AS112" s="106"/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7"/>
    </row>
    <row r="113" spans="1:68" s="37" customFormat="1" ht="30.75" customHeight="1">
      <c r="A113" s="74">
        <f t="shared" si="2"/>
        <v>105</v>
      </c>
      <c r="B113" s="75"/>
      <c r="C113" s="76"/>
      <c r="D113" s="71" t="s">
        <v>995</v>
      </c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3"/>
      <c r="AA113" s="74" t="s">
        <v>346</v>
      </c>
      <c r="AB113" s="75" t="s">
        <v>346</v>
      </c>
      <c r="AC113" s="75" t="s">
        <v>346</v>
      </c>
      <c r="AD113" s="75" t="s">
        <v>346</v>
      </c>
      <c r="AE113" s="76" t="s">
        <v>346</v>
      </c>
      <c r="AF113" s="86">
        <v>20</v>
      </c>
      <c r="AG113" s="86"/>
      <c r="AH113" s="86"/>
      <c r="AI113" s="86"/>
      <c r="AJ113" s="86"/>
      <c r="AK113" s="86"/>
      <c r="AL113" s="105" t="s">
        <v>977</v>
      </c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06"/>
      <c r="BC113" s="106"/>
      <c r="BD113" s="106"/>
      <c r="BE113" s="106"/>
      <c r="BF113" s="106"/>
      <c r="BG113" s="106"/>
      <c r="BH113" s="106"/>
      <c r="BI113" s="106"/>
      <c r="BJ113" s="106"/>
      <c r="BK113" s="106"/>
      <c r="BL113" s="106"/>
      <c r="BM113" s="106"/>
      <c r="BN113" s="106"/>
      <c r="BO113" s="106"/>
      <c r="BP113" s="107"/>
    </row>
    <row r="114" spans="1:68" s="37" customFormat="1" ht="30.75" customHeight="1">
      <c r="A114" s="74">
        <f t="shared" si="2"/>
        <v>106</v>
      </c>
      <c r="B114" s="75"/>
      <c r="C114" s="76"/>
      <c r="D114" s="71" t="s">
        <v>996</v>
      </c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3"/>
      <c r="AA114" s="74" t="s">
        <v>346</v>
      </c>
      <c r="AB114" s="75" t="s">
        <v>346</v>
      </c>
      <c r="AC114" s="75" t="s">
        <v>346</v>
      </c>
      <c r="AD114" s="75" t="s">
        <v>346</v>
      </c>
      <c r="AE114" s="76" t="s">
        <v>346</v>
      </c>
      <c r="AF114" s="74">
        <v>3</v>
      </c>
      <c r="AG114" s="75"/>
      <c r="AH114" s="76"/>
      <c r="AI114" s="74"/>
      <c r="AJ114" s="75"/>
      <c r="AK114" s="76"/>
      <c r="AL114" s="105" t="s">
        <v>979</v>
      </c>
      <c r="AM114" s="106"/>
      <c r="AN114" s="106"/>
      <c r="AO114" s="106"/>
      <c r="AP114" s="106"/>
      <c r="AQ114" s="106"/>
      <c r="AR114" s="106"/>
      <c r="AS114" s="106"/>
      <c r="AT114" s="106"/>
      <c r="AU114" s="106"/>
      <c r="AV114" s="106"/>
      <c r="AW114" s="106"/>
      <c r="AX114" s="106"/>
      <c r="AY114" s="106"/>
      <c r="AZ114" s="106"/>
      <c r="BA114" s="106"/>
      <c r="BB114" s="106"/>
      <c r="BC114" s="106"/>
      <c r="BD114" s="106"/>
      <c r="BE114" s="106"/>
      <c r="BF114" s="106"/>
      <c r="BG114" s="106"/>
      <c r="BH114" s="106"/>
      <c r="BI114" s="106"/>
      <c r="BJ114" s="106"/>
      <c r="BK114" s="106"/>
      <c r="BL114" s="106"/>
      <c r="BM114" s="106"/>
      <c r="BN114" s="106"/>
      <c r="BO114" s="106"/>
      <c r="BP114" s="107"/>
    </row>
    <row r="115" spans="1:68" s="37" customFormat="1" ht="30.75" customHeight="1">
      <c r="A115" s="74">
        <f t="shared" si="2"/>
        <v>107</v>
      </c>
      <c r="B115" s="75"/>
      <c r="C115" s="76"/>
      <c r="D115" s="71" t="s">
        <v>997</v>
      </c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3"/>
      <c r="AA115" s="74" t="s">
        <v>346</v>
      </c>
      <c r="AB115" s="75" t="s">
        <v>346</v>
      </c>
      <c r="AC115" s="75" t="s">
        <v>346</v>
      </c>
      <c r="AD115" s="75" t="s">
        <v>346</v>
      </c>
      <c r="AE115" s="76" t="s">
        <v>346</v>
      </c>
      <c r="AF115" s="74">
        <v>3</v>
      </c>
      <c r="AG115" s="75"/>
      <c r="AH115" s="76"/>
      <c r="AI115" s="74"/>
      <c r="AJ115" s="75"/>
      <c r="AK115" s="76"/>
      <c r="AL115" s="105" t="s">
        <v>981</v>
      </c>
      <c r="AM115" s="106"/>
      <c r="AN115" s="106"/>
      <c r="AO115" s="106"/>
      <c r="AP115" s="106"/>
      <c r="AQ115" s="106"/>
      <c r="AR115" s="106"/>
      <c r="AS115" s="106"/>
      <c r="AT115" s="106"/>
      <c r="AU115" s="106"/>
      <c r="AV115" s="106"/>
      <c r="AW115" s="106"/>
      <c r="AX115" s="106"/>
      <c r="AY115" s="106"/>
      <c r="AZ115" s="106"/>
      <c r="BA115" s="106"/>
      <c r="BB115" s="106"/>
      <c r="BC115" s="106"/>
      <c r="BD115" s="106"/>
      <c r="BE115" s="106"/>
      <c r="BF115" s="106"/>
      <c r="BG115" s="106"/>
      <c r="BH115" s="106"/>
      <c r="BI115" s="106"/>
      <c r="BJ115" s="106"/>
      <c r="BK115" s="106"/>
      <c r="BL115" s="106"/>
      <c r="BM115" s="106"/>
      <c r="BN115" s="106"/>
      <c r="BO115" s="106"/>
      <c r="BP115" s="107"/>
    </row>
    <row r="116" spans="1:68" s="37" customFormat="1" ht="30.75" customHeight="1">
      <c r="A116" s="74">
        <f t="shared" si="2"/>
        <v>108</v>
      </c>
      <c r="B116" s="75"/>
      <c r="C116" s="76"/>
      <c r="D116" s="71" t="s">
        <v>998</v>
      </c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3"/>
      <c r="AA116" s="74" t="s">
        <v>346</v>
      </c>
      <c r="AB116" s="75" t="s">
        <v>346</v>
      </c>
      <c r="AC116" s="75" t="s">
        <v>346</v>
      </c>
      <c r="AD116" s="75" t="s">
        <v>346</v>
      </c>
      <c r="AE116" s="76" t="s">
        <v>346</v>
      </c>
      <c r="AF116" s="74">
        <v>2</v>
      </c>
      <c r="AG116" s="75"/>
      <c r="AH116" s="76"/>
      <c r="AI116" s="74"/>
      <c r="AJ116" s="75"/>
      <c r="AK116" s="76"/>
      <c r="AL116" s="105" t="s">
        <v>983</v>
      </c>
      <c r="AM116" s="106"/>
      <c r="AN116" s="106"/>
      <c r="AO116" s="106"/>
      <c r="AP116" s="106"/>
      <c r="AQ116" s="106"/>
      <c r="AR116" s="106"/>
      <c r="AS116" s="106"/>
      <c r="AT116" s="106"/>
      <c r="AU116" s="106"/>
      <c r="AV116" s="106"/>
      <c r="AW116" s="106"/>
      <c r="AX116" s="106"/>
      <c r="AY116" s="106"/>
      <c r="AZ116" s="106"/>
      <c r="BA116" s="106"/>
      <c r="BB116" s="106"/>
      <c r="BC116" s="106"/>
      <c r="BD116" s="106"/>
      <c r="BE116" s="106"/>
      <c r="BF116" s="106"/>
      <c r="BG116" s="106"/>
      <c r="BH116" s="106"/>
      <c r="BI116" s="106"/>
      <c r="BJ116" s="106"/>
      <c r="BK116" s="106"/>
      <c r="BL116" s="106"/>
      <c r="BM116" s="106"/>
      <c r="BN116" s="106"/>
      <c r="BO116" s="106"/>
      <c r="BP116" s="107"/>
    </row>
    <row r="117" spans="1:68" s="37" customFormat="1" ht="30.75" customHeight="1">
      <c r="A117" s="74">
        <f t="shared" si="2"/>
        <v>109</v>
      </c>
      <c r="B117" s="75"/>
      <c r="C117" s="76"/>
      <c r="D117" s="71" t="s">
        <v>999</v>
      </c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3"/>
      <c r="AA117" s="74" t="s">
        <v>346</v>
      </c>
      <c r="AB117" s="75" t="s">
        <v>346</v>
      </c>
      <c r="AC117" s="75" t="s">
        <v>346</v>
      </c>
      <c r="AD117" s="75" t="s">
        <v>346</v>
      </c>
      <c r="AE117" s="76" t="s">
        <v>346</v>
      </c>
      <c r="AF117" s="86">
        <v>3</v>
      </c>
      <c r="AG117" s="86"/>
      <c r="AH117" s="86"/>
      <c r="AI117" s="74"/>
      <c r="AJ117" s="75"/>
      <c r="AK117" s="76"/>
      <c r="AL117" s="105" t="s">
        <v>975</v>
      </c>
      <c r="AM117" s="106"/>
      <c r="AN117" s="106"/>
      <c r="AO117" s="106"/>
      <c r="AP117" s="106"/>
      <c r="AQ117" s="106"/>
      <c r="AR117" s="106"/>
      <c r="AS117" s="106"/>
      <c r="AT117" s="106"/>
      <c r="AU117" s="106"/>
      <c r="AV117" s="106"/>
      <c r="AW117" s="106"/>
      <c r="AX117" s="106"/>
      <c r="AY117" s="106"/>
      <c r="AZ117" s="106"/>
      <c r="BA117" s="106"/>
      <c r="BB117" s="106"/>
      <c r="BC117" s="106"/>
      <c r="BD117" s="106"/>
      <c r="BE117" s="106"/>
      <c r="BF117" s="106"/>
      <c r="BG117" s="106"/>
      <c r="BH117" s="106"/>
      <c r="BI117" s="106"/>
      <c r="BJ117" s="106"/>
      <c r="BK117" s="106"/>
      <c r="BL117" s="106"/>
      <c r="BM117" s="106"/>
      <c r="BN117" s="106"/>
      <c r="BO117" s="106"/>
      <c r="BP117" s="107"/>
    </row>
    <row r="118" spans="1:68" s="37" customFormat="1" ht="30.75" customHeight="1">
      <c r="A118" s="74">
        <f t="shared" si="2"/>
        <v>110</v>
      </c>
      <c r="B118" s="75"/>
      <c r="C118" s="76"/>
      <c r="D118" s="71" t="s">
        <v>1000</v>
      </c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3"/>
      <c r="AA118" s="74" t="s">
        <v>346</v>
      </c>
      <c r="AB118" s="75" t="s">
        <v>346</v>
      </c>
      <c r="AC118" s="75" t="s">
        <v>346</v>
      </c>
      <c r="AD118" s="75" t="s">
        <v>346</v>
      </c>
      <c r="AE118" s="76" t="s">
        <v>346</v>
      </c>
      <c r="AF118" s="86">
        <v>20</v>
      </c>
      <c r="AG118" s="86"/>
      <c r="AH118" s="86"/>
      <c r="AI118" s="86"/>
      <c r="AJ118" s="86"/>
      <c r="AK118" s="86"/>
      <c r="AL118" s="105" t="s">
        <v>977</v>
      </c>
      <c r="AM118" s="106"/>
      <c r="AN118" s="106"/>
      <c r="AO118" s="106"/>
      <c r="AP118" s="106"/>
      <c r="AQ118" s="106"/>
      <c r="AR118" s="106"/>
      <c r="AS118" s="106"/>
      <c r="AT118" s="106"/>
      <c r="AU118" s="106"/>
      <c r="AV118" s="106"/>
      <c r="AW118" s="106"/>
      <c r="AX118" s="106"/>
      <c r="AY118" s="106"/>
      <c r="AZ118" s="106"/>
      <c r="BA118" s="106"/>
      <c r="BB118" s="106"/>
      <c r="BC118" s="106"/>
      <c r="BD118" s="106"/>
      <c r="BE118" s="106"/>
      <c r="BF118" s="106"/>
      <c r="BG118" s="106"/>
      <c r="BH118" s="106"/>
      <c r="BI118" s="106"/>
      <c r="BJ118" s="106"/>
      <c r="BK118" s="106"/>
      <c r="BL118" s="106"/>
      <c r="BM118" s="106"/>
      <c r="BN118" s="106"/>
      <c r="BO118" s="106"/>
      <c r="BP118" s="107"/>
    </row>
    <row r="119" spans="1:68" s="37" customFormat="1" ht="30.75" customHeight="1">
      <c r="A119" s="74">
        <f t="shared" si="2"/>
        <v>111</v>
      </c>
      <c r="B119" s="75"/>
      <c r="C119" s="76"/>
      <c r="D119" s="71" t="s">
        <v>1001</v>
      </c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3"/>
      <c r="AA119" s="74" t="s">
        <v>346</v>
      </c>
      <c r="AB119" s="75" t="s">
        <v>346</v>
      </c>
      <c r="AC119" s="75" t="s">
        <v>346</v>
      </c>
      <c r="AD119" s="75" t="s">
        <v>346</v>
      </c>
      <c r="AE119" s="76" t="s">
        <v>346</v>
      </c>
      <c r="AF119" s="74">
        <v>3</v>
      </c>
      <c r="AG119" s="75"/>
      <c r="AH119" s="76"/>
      <c r="AI119" s="74"/>
      <c r="AJ119" s="75"/>
      <c r="AK119" s="76"/>
      <c r="AL119" s="105" t="s">
        <v>979</v>
      </c>
      <c r="AM119" s="106"/>
      <c r="AN119" s="106"/>
      <c r="AO119" s="106"/>
      <c r="AP119" s="106"/>
      <c r="AQ119" s="106"/>
      <c r="AR119" s="106"/>
      <c r="AS119" s="106"/>
      <c r="AT119" s="106"/>
      <c r="AU119" s="106"/>
      <c r="AV119" s="106"/>
      <c r="AW119" s="106"/>
      <c r="AX119" s="106"/>
      <c r="AY119" s="106"/>
      <c r="AZ119" s="106"/>
      <c r="BA119" s="106"/>
      <c r="BB119" s="106"/>
      <c r="BC119" s="106"/>
      <c r="BD119" s="106"/>
      <c r="BE119" s="106"/>
      <c r="BF119" s="106"/>
      <c r="BG119" s="106"/>
      <c r="BH119" s="106"/>
      <c r="BI119" s="106"/>
      <c r="BJ119" s="106"/>
      <c r="BK119" s="106"/>
      <c r="BL119" s="106"/>
      <c r="BM119" s="106"/>
      <c r="BN119" s="106"/>
      <c r="BO119" s="106"/>
      <c r="BP119" s="107"/>
    </row>
    <row r="120" spans="1:68" s="37" customFormat="1" ht="30.75" customHeight="1">
      <c r="A120" s="74">
        <f t="shared" si="2"/>
        <v>112</v>
      </c>
      <c r="B120" s="75"/>
      <c r="C120" s="76"/>
      <c r="D120" s="71" t="s">
        <v>1002</v>
      </c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3"/>
      <c r="AA120" s="74" t="s">
        <v>346</v>
      </c>
      <c r="AB120" s="75" t="s">
        <v>346</v>
      </c>
      <c r="AC120" s="75" t="s">
        <v>346</v>
      </c>
      <c r="AD120" s="75" t="s">
        <v>346</v>
      </c>
      <c r="AE120" s="76" t="s">
        <v>346</v>
      </c>
      <c r="AF120" s="74">
        <v>3</v>
      </c>
      <c r="AG120" s="75"/>
      <c r="AH120" s="76"/>
      <c r="AI120" s="74"/>
      <c r="AJ120" s="75"/>
      <c r="AK120" s="76"/>
      <c r="AL120" s="105" t="s">
        <v>981</v>
      </c>
      <c r="AM120" s="106"/>
      <c r="AN120" s="106"/>
      <c r="AO120" s="106"/>
      <c r="AP120" s="106"/>
      <c r="AQ120" s="106"/>
      <c r="AR120" s="106"/>
      <c r="AS120" s="106"/>
      <c r="AT120" s="106"/>
      <c r="AU120" s="106"/>
      <c r="AV120" s="106"/>
      <c r="AW120" s="106"/>
      <c r="AX120" s="106"/>
      <c r="AY120" s="106"/>
      <c r="AZ120" s="106"/>
      <c r="BA120" s="106"/>
      <c r="BB120" s="106"/>
      <c r="BC120" s="106"/>
      <c r="BD120" s="106"/>
      <c r="BE120" s="106"/>
      <c r="BF120" s="106"/>
      <c r="BG120" s="106"/>
      <c r="BH120" s="106"/>
      <c r="BI120" s="106"/>
      <c r="BJ120" s="106"/>
      <c r="BK120" s="106"/>
      <c r="BL120" s="106"/>
      <c r="BM120" s="106"/>
      <c r="BN120" s="106"/>
      <c r="BO120" s="106"/>
      <c r="BP120" s="107"/>
    </row>
    <row r="121" spans="1:68" s="37" customFormat="1" ht="30.75" customHeight="1">
      <c r="A121" s="74">
        <f t="shared" si="2"/>
        <v>113</v>
      </c>
      <c r="B121" s="75"/>
      <c r="C121" s="76"/>
      <c r="D121" s="71" t="s">
        <v>1003</v>
      </c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3"/>
      <c r="AA121" s="74" t="s">
        <v>346</v>
      </c>
      <c r="AB121" s="75" t="s">
        <v>346</v>
      </c>
      <c r="AC121" s="75" t="s">
        <v>346</v>
      </c>
      <c r="AD121" s="75" t="s">
        <v>346</v>
      </c>
      <c r="AE121" s="76" t="s">
        <v>346</v>
      </c>
      <c r="AF121" s="74">
        <v>2</v>
      </c>
      <c r="AG121" s="75"/>
      <c r="AH121" s="76"/>
      <c r="AI121" s="74"/>
      <c r="AJ121" s="75"/>
      <c r="AK121" s="76"/>
      <c r="AL121" s="105" t="s">
        <v>983</v>
      </c>
      <c r="AM121" s="106"/>
      <c r="AN121" s="106"/>
      <c r="AO121" s="106"/>
      <c r="AP121" s="106"/>
      <c r="AQ121" s="106"/>
      <c r="AR121" s="106"/>
      <c r="AS121" s="106"/>
      <c r="AT121" s="106"/>
      <c r="AU121" s="106"/>
      <c r="AV121" s="106"/>
      <c r="AW121" s="106"/>
      <c r="AX121" s="106"/>
      <c r="AY121" s="106"/>
      <c r="AZ121" s="106"/>
      <c r="BA121" s="106"/>
      <c r="BB121" s="106"/>
      <c r="BC121" s="106"/>
      <c r="BD121" s="106"/>
      <c r="BE121" s="106"/>
      <c r="BF121" s="106"/>
      <c r="BG121" s="106"/>
      <c r="BH121" s="106"/>
      <c r="BI121" s="106"/>
      <c r="BJ121" s="106"/>
      <c r="BK121" s="106"/>
      <c r="BL121" s="106"/>
      <c r="BM121" s="106"/>
      <c r="BN121" s="106"/>
      <c r="BO121" s="106"/>
      <c r="BP121" s="107"/>
    </row>
    <row r="122" spans="1:68" s="1" customFormat="1" ht="30.75" customHeight="1">
      <c r="A122" s="86"/>
      <c r="B122" s="86"/>
      <c r="C122" s="86"/>
      <c r="D122" s="71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3"/>
      <c r="AA122" s="74"/>
      <c r="AB122" s="75"/>
      <c r="AC122" s="75"/>
      <c r="AD122" s="75"/>
      <c r="AE122" s="76"/>
      <c r="AF122" s="86"/>
      <c r="AG122" s="86"/>
      <c r="AH122" s="86"/>
      <c r="AI122" s="86"/>
      <c r="AJ122" s="86"/>
      <c r="AK122" s="86"/>
      <c r="AL122" s="68"/>
      <c r="AM122" s="69"/>
      <c r="AN122" s="69"/>
      <c r="AO122" s="69"/>
      <c r="AP122" s="69"/>
      <c r="AQ122" s="69"/>
      <c r="AR122" s="69"/>
      <c r="AS122" s="69"/>
      <c r="AT122" s="69"/>
      <c r="AU122" s="69"/>
      <c r="AV122" s="69"/>
      <c r="AW122" s="69"/>
      <c r="AX122" s="69"/>
      <c r="AY122" s="69"/>
      <c r="AZ122" s="69"/>
      <c r="BA122" s="69"/>
      <c r="BB122" s="69"/>
      <c r="BC122" s="69"/>
      <c r="BD122" s="69"/>
      <c r="BE122" s="69"/>
      <c r="BF122" s="69"/>
      <c r="BG122" s="69"/>
      <c r="BH122" s="69"/>
      <c r="BI122" s="69"/>
      <c r="BJ122" s="69"/>
      <c r="BK122" s="69"/>
      <c r="BL122" s="69"/>
      <c r="BM122" s="69"/>
      <c r="BN122" s="69"/>
      <c r="BO122" s="69"/>
      <c r="BP122" s="70"/>
    </row>
    <row r="123" spans="1:68" s="1" customFormat="1" ht="30.75" customHeight="1">
      <c r="A123" s="91"/>
      <c r="B123" s="91"/>
      <c r="C123" s="91"/>
      <c r="D123" s="77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9"/>
      <c r="AA123" s="80"/>
      <c r="AB123" s="81"/>
      <c r="AC123" s="81"/>
      <c r="AD123" s="81"/>
      <c r="AE123" s="82"/>
      <c r="AF123" s="87"/>
      <c r="AG123" s="87"/>
      <c r="AH123" s="87"/>
      <c r="AI123" s="87"/>
      <c r="AJ123" s="87"/>
      <c r="AK123" s="87"/>
      <c r="AL123" s="83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  <c r="AZ123" s="84"/>
      <c r="BA123" s="84"/>
      <c r="BB123" s="84"/>
      <c r="BC123" s="84"/>
      <c r="BD123" s="84"/>
      <c r="BE123" s="84"/>
      <c r="BF123" s="84"/>
      <c r="BG123" s="84"/>
      <c r="BH123" s="84"/>
      <c r="BI123" s="84"/>
      <c r="BJ123" s="84"/>
      <c r="BK123" s="84"/>
      <c r="BL123" s="84"/>
      <c r="BM123" s="84"/>
      <c r="BN123" s="84"/>
      <c r="BO123" s="84"/>
      <c r="BP123" s="85"/>
    </row>
    <row r="124" spans="1:68" s="4" customFormat="1" ht="3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3"/>
      <c r="AG124" s="3"/>
      <c r="AH124" s="3"/>
      <c r="AI124" s="3"/>
      <c r="AJ124" s="3"/>
      <c r="AK124" s="3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</row>
    <row r="125" spans="1:68" s="4" customFormat="1" ht="14.25">
      <c r="A125" s="5" t="s">
        <v>14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15"/>
      <c r="AG125" s="15"/>
      <c r="AH125" s="15"/>
      <c r="AI125" s="15"/>
      <c r="AJ125" s="15"/>
      <c r="AK125" s="15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6"/>
    </row>
    <row r="126" spans="1:68" s="4" customFormat="1" ht="20.25" customHeight="1">
      <c r="A126" s="5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6"/>
    </row>
    <row r="127" spans="1:68" s="4" customFormat="1" ht="20.25" customHeight="1">
      <c r="A127" s="5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6"/>
    </row>
    <row r="128" spans="1:68" s="4" customFormat="1" ht="20.25" customHeight="1">
      <c r="A128" s="5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6"/>
    </row>
    <row r="129" spans="1:68" s="4" customFormat="1" ht="20.25" customHeight="1">
      <c r="A129" s="5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6"/>
    </row>
    <row r="130" spans="1:68" s="4" customFormat="1" ht="20.25" customHeight="1">
      <c r="A130" s="7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9"/>
    </row>
    <row r="131" spans="1:68" ht="5.25" customHeight="1"/>
  </sheetData>
  <mergeCells count="715">
    <mergeCell ref="A123:C123"/>
    <mergeCell ref="A14:C14"/>
    <mergeCell ref="A22:C22"/>
    <mergeCell ref="A45:C45"/>
    <mergeCell ref="A49:C49"/>
    <mergeCell ref="A53:C53"/>
    <mergeCell ref="A57:C57"/>
    <mergeCell ref="A61:C61"/>
    <mergeCell ref="A66:C66"/>
    <mergeCell ref="A70:C70"/>
    <mergeCell ref="A65:C65"/>
    <mergeCell ref="A122:C122"/>
    <mergeCell ref="A67:C67"/>
    <mergeCell ref="A68:C68"/>
    <mergeCell ref="A69:C69"/>
    <mergeCell ref="A71:C71"/>
    <mergeCell ref="A72:C72"/>
    <mergeCell ref="A73:C73"/>
    <mergeCell ref="A74:C74"/>
    <mergeCell ref="A33:C33"/>
    <mergeCell ref="A31:C31"/>
    <mergeCell ref="A20:C20"/>
    <mergeCell ref="A41:C41"/>
    <mergeCell ref="A42:C42"/>
    <mergeCell ref="D65:Z65"/>
    <mergeCell ref="AA65:AE65"/>
    <mergeCell ref="AF65:AH65"/>
    <mergeCell ref="AI65:AK65"/>
    <mergeCell ref="AL65:BP65"/>
    <mergeCell ref="D122:Z122"/>
    <mergeCell ref="AA122:AE122"/>
    <mergeCell ref="AF122:AH122"/>
    <mergeCell ref="AI122:AK122"/>
    <mergeCell ref="AL122:BP122"/>
    <mergeCell ref="AA67:AE67"/>
    <mergeCell ref="AI67:AK67"/>
    <mergeCell ref="AA68:AE68"/>
    <mergeCell ref="AI68:AK68"/>
    <mergeCell ref="AA69:AE69"/>
    <mergeCell ref="AL83:BP83"/>
    <mergeCell ref="AL84:BP84"/>
    <mergeCell ref="AL85:BP85"/>
    <mergeCell ref="AL80:BP80"/>
    <mergeCell ref="AL81:BP81"/>
    <mergeCell ref="D82:Z82"/>
    <mergeCell ref="AF82:AH82"/>
    <mergeCell ref="AL82:BP82"/>
    <mergeCell ref="AL86:BP86"/>
    <mergeCell ref="D14:Z14"/>
    <mergeCell ref="AA14:AE14"/>
    <mergeCell ref="AL14:BP14"/>
    <mergeCell ref="A11:C11"/>
    <mergeCell ref="A12:C12"/>
    <mergeCell ref="A13:C13"/>
    <mergeCell ref="A21:C21"/>
    <mergeCell ref="A40:C40"/>
    <mergeCell ref="A26:C26"/>
    <mergeCell ref="A28:C28"/>
    <mergeCell ref="A30:C30"/>
    <mergeCell ref="A32:C32"/>
    <mergeCell ref="A34:C34"/>
    <mergeCell ref="A39:C39"/>
    <mergeCell ref="A23:C23"/>
    <mergeCell ref="A24:C24"/>
    <mergeCell ref="A25:C25"/>
    <mergeCell ref="A29:C29"/>
    <mergeCell ref="A27:C27"/>
    <mergeCell ref="A15:C15"/>
    <mergeCell ref="A17:C17"/>
    <mergeCell ref="A19:C19"/>
    <mergeCell ref="A37:C37"/>
    <mergeCell ref="A38:C38"/>
    <mergeCell ref="AL11:BP11"/>
    <mergeCell ref="AA12:AE12"/>
    <mergeCell ref="AL12:BP12"/>
    <mergeCell ref="AA11:AE11"/>
    <mergeCell ref="AF11:AH11"/>
    <mergeCell ref="AI11:AK11"/>
    <mergeCell ref="AF12:AH12"/>
    <mergeCell ref="AI12:AK12"/>
    <mergeCell ref="D13:Z13"/>
    <mergeCell ref="AA13:AE13"/>
    <mergeCell ref="AL13:BP13"/>
    <mergeCell ref="AF13:AH13"/>
    <mergeCell ref="AI13:AK13"/>
    <mergeCell ref="D11:Z11"/>
    <mergeCell ref="D12:Z12"/>
    <mergeCell ref="AI14:AK14"/>
    <mergeCell ref="D123:Z123"/>
    <mergeCell ref="AA123:AE123"/>
    <mergeCell ref="AL123:BP123"/>
    <mergeCell ref="AF123:AH123"/>
    <mergeCell ref="AI123:AK123"/>
    <mergeCell ref="AF25:AH25"/>
    <mergeCell ref="AI25:AK25"/>
    <mergeCell ref="D33:Z33"/>
    <mergeCell ref="D39:Z39"/>
    <mergeCell ref="AF33:AH33"/>
    <mergeCell ref="AI33:AK33"/>
    <mergeCell ref="AL33:BP33"/>
    <mergeCell ref="D30:Z30"/>
    <mergeCell ref="AA30:AE30"/>
    <mergeCell ref="AF30:AH30"/>
    <mergeCell ref="AI30:AK30"/>
    <mergeCell ref="AL30:BP30"/>
    <mergeCell ref="D38:Z38"/>
    <mergeCell ref="AL40:BP40"/>
    <mergeCell ref="D41:Z41"/>
    <mergeCell ref="AA41:AE41"/>
    <mergeCell ref="AF41:AH41"/>
    <mergeCell ref="AI41:AK41"/>
    <mergeCell ref="A4:G4"/>
    <mergeCell ref="H4:BA4"/>
    <mergeCell ref="BB4:BE4"/>
    <mergeCell ref="BF4:BP4"/>
    <mergeCell ref="AF8:AH8"/>
    <mergeCell ref="AI8:AK8"/>
    <mergeCell ref="AF9:AH9"/>
    <mergeCell ref="AI9:AK9"/>
    <mergeCell ref="AF10:AH10"/>
    <mergeCell ref="AI10:AK10"/>
    <mergeCell ref="A8:C8"/>
    <mergeCell ref="D8:Z8"/>
    <mergeCell ref="AA8:AE8"/>
    <mergeCell ref="AA9:AE9"/>
    <mergeCell ref="AA10:AE10"/>
    <mergeCell ref="AL9:BP9"/>
    <mergeCell ref="AL10:BP10"/>
    <mergeCell ref="AL8:BP8"/>
    <mergeCell ref="A9:C9"/>
    <mergeCell ref="A10:C10"/>
    <mergeCell ref="A6:G6"/>
    <mergeCell ref="H6:N6"/>
    <mergeCell ref="O6:Y6"/>
    <mergeCell ref="Z6:BE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BF6:BI6"/>
    <mergeCell ref="BJ6:BP6"/>
    <mergeCell ref="D9:Z9"/>
    <mergeCell ref="D10:Z10"/>
    <mergeCell ref="AA39:AE39"/>
    <mergeCell ref="AF39:AH39"/>
    <mergeCell ref="AI39:AK39"/>
    <mergeCell ref="AL39:BP39"/>
    <mergeCell ref="D22:Z22"/>
    <mergeCell ref="AA22:AE22"/>
    <mergeCell ref="AL22:BP22"/>
    <mergeCell ref="AF22:AH22"/>
    <mergeCell ref="AI22:AK22"/>
    <mergeCell ref="D23:Z23"/>
    <mergeCell ref="AA23:AE23"/>
    <mergeCell ref="AF23:AH23"/>
    <mergeCell ref="AI23:AK23"/>
    <mergeCell ref="AL23:BP23"/>
    <mergeCell ref="AA24:AE24"/>
    <mergeCell ref="AF24:AH24"/>
    <mergeCell ref="AI24:AK24"/>
    <mergeCell ref="AL24:BP24"/>
    <mergeCell ref="D25:Z25"/>
    <mergeCell ref="AA25:AE25"/>
    <mergeCell ref="AL41:BP41"/>
    <mergeCell ref="D34:Z34"/>
    <mergeCell ref="AA34:AE34"/>
    <mergeCell ref="AF34:AH34"/>
    <mergeCell ref="AI34:AK34"/>
    <mergeCell ref="AL34:BP34"/>
    <mergeCell ref="A35:C35"/>
    <mergeCell ref="D35:Z35"/>
    <mergeCell ref="AA35:AE35"/>
    <mergeCell ref="AF35:AH35"/>
    <mergeCell ref="AI35:AK35"/>
    <mergeCell ref="AL35:BP35"/>
    <mergeCell ref="A36:C36"/>
    <mergeCell ref="AA38:AE38"/>
    <mergeCell ref="AF38:AH38"/>
    <mergeCell ref="AI38:AK38"/>
    <mergeCell ref="AL38:BP38"/>
    <mergeCell ref="AL36:BP36"/>
    <mergeCell ref="AA42:AE42"/>
    <mergeCell ref="AI42:AK42"/>
    <mergeCell ref="D32:Z32"/>
    <mergeCell ref="AA32:AE32"/>
    <mergeCell ref="AF32:AH32"/>
    <mergeCell ref="AI32:AK32"/>
    <mergeCell ref="D28:Z28"/>
    <mergeCell ref="AA28:AE28"/>
    <mergeCell ref="AF28:AH28"/>
    <mergeCell ref="AI28:AK28"/>
    <mergeCell ref="A16:C16"/>
    <mergeCell ref="D16:Z16"/>
    <mergeCell ref="AA16:AE16"/>
    <mergeCell ref="AF16:AH16"/>
    <mergeCell ref="AI16:AK16"/>
    <mergeCell ref="D31:Z31"/>
    <mergeCell ref="AA31:AE31"/>
    <mergeCell ref="AF31:AH31"/>
    <mergeCell ref="AI31:AK31"/>
    <mergeCell ref="AF14:AH14"/>
    <mergeCell ref="A43:C43"/>
    <mergeCell ref="AA43:AE43"/>
    <mergeCell ref="AI43:AK43"/>
    <mergeCell ref="A44:C44"/>
    <mergeCell ref="AA44:AE44"/>
    <mergeCell ref="AI44:AK44"/>
    <mergeCell ref="D40:Z40"/>
    <mergeCell ref="AA40:AE40"/>
    <mergeCell ref="AF40:AH40"/>
    <mergeCell ref="AI40:AK40"/>
    <mergeCell ref="D17:Z17"/>
    <mergeCell ref="AA17:AE17"/>
    <mergeCell ref="AF17:AH17"/>
    <mergeCell ref="AI17:AK17"/>
    <mergeCell ref="AI19:AK19"/>
    <mergeCell ref="D36:Z36"/>
    <mergeCell ref="AA36:AE36"/>
    <mergeCell ref="AF36:AH36"/>
    <mergeCell ref="AI36:AK36"/>
    <mergeCell ref="AA33:AE33"/>
    <mergeCell ref="D15:Z15"/>
    <mergeCell ref="AA15:AE15"/>
    <mergeCell ref="AF15:AH15"/>
    <mergeCell ref="AA45:AE45"/>
    <mergeCell ref="AI45:AK45"/>
    <mergeCell ref="A46:C46"/>
    <mergeCell ref="AA46:AE46"/>
    <mergeCell ref="AI46:AK46"/>
    <mergeCell ref="A47:C47"/>
    <mergeCell ref="AA47:AE47"/>
    <mergeCell ref="AI47:AK47"/>
    <mergeCell ref="A48:C48"/>
    <mergeCell ref="AA48:AE48"/>
    <mergeCell ref="AI48:AK48"/>
    <mergeCell ref="D48:Z48"/>
    <mergeCell ref="AF48:AH48"/>
    <mergeCell ref="A50:C50"/>
    <mergeCell ref="AA50:AE50"/>
    <mergeCell ref="AI50:AK50"/>
    <mergeCell ref="A51:C51"/>
    <mergeCell ref="AA51:AE51"/>
    <mergeCell ref="AI51:AK51"/>
    <mergeCell ref="A52:C52"/>
    <mergeCell ref="AA52:AE52"/>
    <mergeCell ref="AI52:AK52"/>
    <mergeCell ref="D52:Z52"/>
    <mergeCell ref="AF52:AH52"/>
    <mergeCell ref="A54:C54"/>
    <mergeCell ref="AA54:AE54"/>
    <mergeCell ref="AI54:AK54"/>
    <mergeCell ref="A55:C55"/>
    <mergeCell ref="AA55:AE55"/>
    <mergeCell ref="AI55:AK55"/>
    <mergeCell ref="A56:C56"/>
    <mergeCell ref="AA56:AE56"/>
    <mergeCell ref="AI56:AK56"/>
    <mergeCell ref="D56:Z56"/>
    <mergeCell ref="AF56:AH56"/>
    <mergeCell ref="A58:C58"/>
    <mergeCell ref="AA58:AE58"/>
    <mergeCell ref="AI58:AK58"/>
    <mergeCell ref="A59:C59"/>
    <mergeCell ref="AA59:AE59"/>
    <mergeCell ref="AI59:AK59"/>
    <mergeCell ref="A60:C60"/>
    <mergeCell ref="AA60:AE60"/>
    <mergeCell ref="AI60:AK60"/>
    <mergeCell ref="D60:Z60"/>
    <mergeCell ref="AF60:AH60"/>
    <mergeCell ref="A75:C75"/>
    <mergeCell ref="AA75:AE75"/>
    <mergeCell ref="AI75:AK75"/>
    <mergeCell ref="A76:C76"/>
    <mergeCell ref="AA76:AE76"/>
    <mergeCell ref="AI76:AK76"/>
    <mergeCell ref="D74:Z74"/>
    <mergeCell ref="AF74:AH74"/>
    <mergeCell ref="A62:C62"/>
    <mergeCell ref="AA62:AE62"/>
    <mergeCell ref="AI62:AK62"/>
    <mergeCell ref="A63:C63"/>
    <mergeCell ref="AA63:AE63"/>
    <mergeCell ref="AI63:AK63"/>
    <mergeCell ref="A64:C64"/>
    <mergeCell ref="AA64:AE64"/>
    <mergeCell ref="AI64:AK64"/>
    <mergeCell ref="AI69:AK69"/>
    <mergeCell ref="AA71:AE71"/>
    <mergeCell ref="AI71:AK71"/>
    <mergeCell ref="AA72:AE72"/>
    <mergeCell ref="AI72:AK72"/>
    <mergeCell ref="AA73:AE73"/>
    <mergeCell ref="AI73:AK73"/>
    <mergeCell ref="A81:C81"/>
    <mergeCell ref="AA81:AE81"/>
    <mergeCell ref="AI81:AK81"/>
    <mergeCell ref="A82:C82"/>
    <mergeCell ref="AA82:AE82"/>
    <mergeCell ref="AI82:AK82"/>
    <mergeCell ref="A77:C77"/>
    <mergeCell ref="AA77:AE77"/>
    <mergeCell ref="AI77:AK77"/>
    <mergeCell ref="A78:C78"/>
    <mergeCell ref="AA78:AE78"/>
    <mergeCell ref="AI78:AK78"/>
    <mergeCell ref="A79:C79"/>
    <mergeCell ref="AA79:AE79"/>
    <mergeCell ref="AI79:AK79"/>
    <mergeCell ref="D78:Z78"/>
    <mergeCell ref="AF78:AH78"/>
    <mergeCell ref="A80:C80"/>
    <mergeCell ref="AA80:AE80"/>
    <mergeCell ref="AI80:AK80"/>
    <mergeCell ref="D80:Z80"/>
    <mergeCell ref="AF80:AH80"/>
    <mergeCell ref="D81:Z81"/>
    <mergeCell ref="AF81:AH81"/>
    <mergeCell ref="A83:C83"/>
    <mergeCell ref="AA83:AE83"/>
    <mergeCell ref="AI83:AK83"/>
    <mergeCell ref="A84:C84"/>
    <mergeCell ref="AA84:AE84"/>
    <mergeCell ref="AI84:AK84"/>
    <mergeCell ref="A85:C85"/>
    <mergeCell ref="AA85:AE85"/>
    <mergeCell ref="AI85:AK85"/>
    <mergeCell ref="D83:Z83"/>
    <mergeCell ref="AF83:AH83"/>
    <mergeCell ref="D84:Z84"/>
    <mergeCell ref="AF84:AH84"/>
    <mergeCell ref="D85:Z85"/>
    <mergeCell ref="AF85:AH85"/>
    <mergeCell ref="A91:C91"/>
    <mergeCell ref="AA91:AE91"/>
    <mergeCell ref="AI91:AK91"/>
    <mergeCell ref="A86:C86"/>
    <mergeCell ref="AA86:AE86"/>
    <mergeCell ref="AI86:AK86"/>
    <mergeCell ref="A87:C87"/>
    <mergeCell ref="AA87:AE87"/>
    <mergeCell ref="AI87:AK87"/>
    <mergeCell ref="A88:C88"/>
    <mergeCell ref="AA88:AE88"/>
    <mergeCell ref="AI88:AK88"/>
    <mergeCell ref="D86:Z86"/>
    <mergeCell ref="AF86:AH86"/>
    <mergeCell ref="D90:Z90"/>
    <mergeCell ref="AF90:AH90"/>
    <mergeCell ref="A89:C89"/>
    <mergeCell ref="AA89:AE89"/>
    <mergeCell ref="AI89:AK89"/>
    <mergeCell ref="A90:C90"/>
    <mergeCell ref="AA90:AE90"/>
    <mergeCell ref="AI90:AK90"/>
    <mergeCell ref="D89:Z89"/>
    <mergeCell ref="AF89:AH89"/>
    <mergeCell ref="D87:Z87"/>
    <mergeCell ref="AF87:AH87"/>
    <mergeCell ref="AL87:BP87"/>
    <mergeCell ref="D88:Z88"/>
    <mergeCell ref="AF88:AH88"/>
    <mergeCell ref="AL88:BP88"/>
    <mergeCell ref="AL89:BP89"/>
    <mergeCell ref="AL90:BP90"/>
    <mergeCell ref="D91:Z91"/>
    <mergeCell ref="AF91:AH91"/>
    <mergeCell ref="AL91:BP91"/>
    <mergeCell ref="AL92:BP92"/>
    <mergeCell ref="D93:Z93"/>
    <mergeCell ref="AF93:AH93"/>
    <mergeCell ref="AL93:BP93"/>
    <mergeCell ref="AL94:BP94"/>
    <mergeCell ref="A95:C95"/>
    <mergeCell ref="D95:Z95"/>
    <mergeCell ref="AA95:AE95"/>
    <mergeCell ref="AF95:AH95"/>
    <mergeCell ref="AI95:AK95"/>
    <mergeCell ref="AL95:BP95"/>
    <mergeCell ref="A92:C92"/>
    <mergeCell ref="AA92:AE92"/>
    <mergeCell ref="AI92:AK92"/>
    <mergeCell ref="A93:C93"/>
    <mergeCell ref="AA93:AE93"/>
    <mergeCell ref="AI93:AK93"/>
    <mergeCell ref="A94:C94"/>
    <mergeCell ref="AA94:AE94"/>
    <mergeCell ref="AI94:AK94"/>
    <mergeCell ref="D92:Z92"/>
    <mergeCell ref="AF92:AH92"/>
    <mergeCell ref="A96:C96"/>
    <mergeCell ref="D96:Z96"/>
    <mergeCell ref="AA96:AE96"/>
    <mergeCell ref="AF96:AH96"/>
    <mergeCell ref="AI96:AK96"/>
    <mergeCell ref="AL96:BP96"/>
    <mergeCell ref="D94:Z94"/>
    <mergeCell ref="AF94:AH94"/>
    <mergeCell ref="AL97:BP97"/>
    <mergeCell ref="A97:C97"/>
    <mergeCell ref="D97:Z97"/>
    <mergeCell ref="AA97:AE97"/>
    <mergeCell ref="AF97:AH97"/>
    <mergeCell ref="AI97:AK97"/>
    <mergeCell ref="A98:C98"/>
    <mergeCell ref="D98:Z98"/>
    <mergeCell ref="AA98:AE98"/>
    <mergeCell ref="AF98:AH98"/>
    <mergeCell ref="AI98:AK98"/>
    <mergeCell ref="AL98:BP98"/>
    <mergeCell ref="A99:C99"/>
    <mergeCell ref="D99:Z99"/>
    <mergeCell ref="AA99:AE99"/>
    <mergeCell ref="AF99:AH99"/>
    <mergeCell ref="AI99:AK99"/>
    <mergeCell ref="AL99:BP99"/>
    <mergeCell ref="AI100:AK100"/>
    <mergeCell ref="AL100:BP100"/>
    <mergeCell ref="A101:C101"/>
    <mergeCell ref="D101:Z101"/>
    <mergeCell ref="AA101:AE101"/>
    <mergeCell ref="AF101:AH101"/>
    <mergeCell ref="AI101:AK101"/>
    <mergeCell ref="AL101:BP101"/>
    <mergeCell ref="A102:C102"/>
    <mergeCell ref="D102:Z102"/>
    <mergeCell ref="AA102:AE102"/>
    <mergeCell ref="AF102:AH102"/>
    <mergeCell ref="AI102:AK102"/>
    <mergeCell ref="AL102:BP102"/>
    <mergeCell ref="A100:C100"/>
    <mergeCell ref="D100:Z100"/>
    <mergeCell ref="AA100:AE100"/>
    <mergeCell ref="AF100:AH100"/>
    <mergeCell ref="A103:C103"/>
    <mergeCell ref="D103:Z103"/>
    <mergeCell ref="AA103:AE103"/>
    <mergeCell ref="AF103:AH103"/>
    <mergeCell ref="AI103:AK103"/>
    <mergeCell ref="AL103:BP103"/>
    <mergeCell ref="A104:C104"/>
    <mergeCell ref="D104:Z104"/>
    <mergeCell ref="AA104:AE104"/>
    <mergeCell ref="AF104:AH104"/>
    <mergeCell ref="AI104:AK104"/>
    <mergeCell ref="AL104:BP104"/>
    <mergeCell ref="A105:C105"/>
    <mergeCell ref="D105:Z105"/>
    <mergeCell ref="AA105:AE105"/>
    <mergeCell ref="AF105:AH105"/>
    <mergeCell ref="AI105:AK105"/>
    <mergeCell ref="AL105:BP105"/>
    <mergeCell ref="A106:C106"/>
    <mergeCell ref="D106:Z106"/>
    <mergeCell ref="AA106:AE106"/>
    <mergeCell ref="AF106:AH106"/>
    <mergeCell ref="AI106:AK106"/>
    <mergeCell ref="AL106:BP106"/>
    <mergeCell ref="A107:C107"/>
    <mergeCell ref="D107:Z107"/>
    <mergeCell ref="AA107:AE107"/>
    <mergeCell ref="AF107:AH107"/>
    <mergeCell ref="AI107:AK107"/>
    <mergeCell ref="AL107:BP107"/>
    <mergeCell ref="A108:C108"/>
    <mergeCell ref="D108:Z108"/>
    <mergeCell ref="AA108:AE108"/>
    <mergeCell ref="AF108:AH108"/>
    <mergeCell ref="AI108:AK108"/>
    <mergeCell ref="AL108:BP108"/>
    <mergeCell ref="A109:C109"/>
    <mergeCell ref="D109:Z109"/>
    <mergeCell ref="AA109:AE109"/>
    <mergeCell ref="AF109:AH109"/>
    <mergeCell ref="AI109:AK109"/>
    <mergeCell ref="AL109:BP109"/>
    <mergeCell ref="A110:C110"/>
    <mergeCell ref="D110:Z110"/>
    <mergeCell ref="AA110:AE110"/>
    <mergeCell ref="AF110:AH110"/>
    <mergeCell ref="AI110:AK110"/>
    <mergeCell ref="AL110:BP110"/>
    <mergeCell ref="A111:C111"/>
    <mergeCell ref="D111:Z111"/>
    <mergeCell ref="AA111:AE111"/>
    <mergeCell ref="AF111:AH111"/>
    <mergeCell ref="AI111:AK111"/>
    <mergeCell ref="AL111:BP111"/>
    <mergeCell ref="A112:C112"/>
    <mergeCell ref="D112:Z112"/>
    <mergeCell ref="AA112:AE112"/>
    <mergeCell ref="AF112:AH112"/>
    <mergeCell ref="AI112:AK112"/>
    <mergeCell ref="AL112:BP112"/>
    <mergeCell ref="A113:C113"/>
    <mergeCell ref="D113:Z113"/>
    <mergeCell ref="AA113:AE113"/>
    <mergeCell ref="AF113:AH113"/>
    <mergeCell ref="AI113:AK113"/>
    <mergeCell ref="AL113:BP113"/>
    <mergeCell ref="A114:C114"/>
    <mergeCell ref="D114:Z114"/>
    <mergeCell ref="AA114:AE114"/>
    <mergeCell ref="AF114:AH114"/>
    <mergeCell ref="AI114:AK114"/>
    <mergeCell ref="AL114:BP114"/>
    <mergeCell ref="A115:C115"/>
    <mergeCell ref="D115:Z115"/>
    <mergeCell ref="AA115:AE115"/>
    <mergeCell ref="AF115:AH115"/>
    <mergeCell ref="AI115:AK115"/>
    <mergeCell ref="AL115:BP115"/>
    <mergeCell ref="A116:C116"/>
    <mergeCell ref="D116:Z116"/>
    <mergeCell ref="AA116:AE116"/>
    <mergeCell ref="AF116:AH116"/>
    <mergeCell ref="AI116:AK116"/>
    <mergeCell ref="AL116:BP116"/>
    <mergeCell ref="A117:C117"/>
    <mergeCell ref="D117:Z117"/>
    <mergeCell ref="AA117:AE117"/>
    <mergeCell ref="AF117:AH117"/>
    <mergeCell ref="AI117:AK117"/>
    <mergeCell ref="AL117:BP117"/>
    <mergeCell ref="A118:C118"/>
    <mergeCell ref="D118:Z118"/>
    <mergeCell ref="AA118:AE118"/>
    <mergeCell ref="AF118:AH118"/>
    <mergeCell ref="AI118:AK118"/>
    <mergeCell ref="AL118:BP118"/>
    <mergeCell ref="A119:C119"/>
    <mergeCell ref="D119:Z119"/>
    <mergeCell ref="AA119:AE119"/>
    <mergeCell ref="AF119:AH119"/>
    <mergeCell ref="AI119:AK119"/>
    <mergeCell ref="AL119:BP119"/>
    <mergeCell ref="A120:C120"/>
    <mergeCell ref="D120:Z120"/>
    <mergeCell ref="AA120:AE120"/>
    <mergeCell ref="AF120:AH120"/>
    <mergeCell ref="AI120:AK120"/>
    <mergeCell ref="AL120:BP120"/>
    <mergeCell ref="A121:C121"/>
    <mergeCell ref="D121:Z121"/>
    <mergeCell ref="AA121:AE121"/>
    <mergeCell ref="AF121:AH121"/>
    <mergeCell ref="AI121:AK121"/>
    <mergeCell ref="AL121:BP121"/>
    <mergeCell ref="D42:Z42"/>
    <mergeCell ref="AF42:AH42"/>
    <mergeCell ref="AL42:BP42"/>
    <mergeCell ref="D43:Z43"/>
    <mergeCell ref="AF43:AH43"/>
    <mergeCell ref="AL43:BP43"/>
    <mergeCell ref="D44:Z44"/>
    <mergeCell ref="AF44:AH44"/>
    <mergeCell ref="AL44:BP44"/>
    <mergeCell ref="D45:Z45"/>
    <mergeCell ref="AF45:AH45"/>
    <mergeCell ref="AL45:BP45"/>
    <mergeCell ref="D46:Z46"/>
    <mergeCell ref="AF46:AH46"/>
    <mergeCell ref="AL46:BP46"/>
    <mergeCell ref="D47:Z47"/>
    <mergeCell ref="AF47:AH47"/>
    <mergeCell ref="AL47:BP47"/>
    <mergeCell ref="AL48:BP48"/>
    <mergeCell ref="D49:Z49"/>
    <mergeCell ref="AF49:AH49"/>
    <mergeCell ref="AL49:BP49"/>
    <mergeCell ref="D50:Z50"/>
    <mergeCell ref="AF50:AH50"/>
    <mergeCell ref="AL50:BP50"/>
    <mergeCell ref="D51:Z51"/>
    <mergeCell ref="AF51:AH51"/>
    <mergeCell ref="AL51:BP51"/>
    <mergeCell ref="AA49:AE49"/>
    <mergeCell ref="AI49:AK49"/>
    <mergeCell ref="AL52:BP52"/>
    <mergeCell ref="D53:Z53"/>
    <mergeCell ref="AF53:AH53"/>
    <mergeCell ref="AL53:BP53"/>
    <mergeCell ref="D54:Z54"/>
    <mergeCell ref="AF54:AH54"/>
    <mergeCell ref="AL54:BP54"/>
    <mergeCell ref="D55:Z55"/>
    <mergeCell ref="AF55:AH55"/>
    <mergeCell ref="AL55:BP55"/>
    <mergeCell ref="AA53:AE53"/>
    <mergeCell ref="AI53:AK53"/>
    <mergeCell ref="AL56:BP56"/>
    <mergeCell ref="D57:Z57"/>
    <mergeCell ref="AF57:AH57"/>
    <mergeCell ref="AL57:BP57"/>
    <mergeCell ref="D58:Z58"/>
    <mergeCell ref="AF58:AH58"/>
    <mergeCell ref="AL58:BP58"/>
    <mergeCell ref="D59:Z59"/>
    <mergeCell ref="AF59:AH59"/>
    <mergeCell ref="AL59:BP59"/>
    <mergeCell ref="AA57:AE57"/>
    <mergeCell ref="AI57:AK57"/>
    <mergeCell ref="D61:Z61"/>
    <mergeCell ref="AF61:AH61"/>
    <mergeCell ref="AL61:BP61"/>
    <mergeCell ref="D62:Z62"/>
    <mergeCell ref="AF62:AH62"/>
    <mergeCell ref="AL62:BP62"/>
    <mergeCell ref="D64:Z64"/>
    <mergeCell ref="AF64:AH64"/>
    <mergeCell ref="AL64:BP64"/>
    <mergeCell ref="D63:Z63"/>
    <mergeCell ref="AF63:AH63"/>
    <mergeCell ref="AL63:BP63"/>
    <mergeCell ref="AA61:AE61"/>
    <mergeCell ref="AI61:AK61"/>
    <mergeCell ref="D72:Z72"/>
    <mergeCell ref="AF72:AH72"/>
    <mergeCell ref="AL72:BP72"/>
    <mergeCell ref="D73:Z73"/>
    <mergeCell ref="AF73:AH73"/>
    <mergeCell ref="AL73:BP73"/>
    <mergeCell ref="AA70:AE70"/>
    <mergeCell ref="AI70:AK70"/>
    <mergeCell ref="D70:Z70"/>
    <mergeCell ref="AF70:AH70"/>
    <mergeCell ref="AL70:BP70"/>
    <mergeCell ref="D71:Z71"/>
    <mergeCell ref="AF71:AH71"/>
    <mergeCell ref="AL71:BP71"/>
    <mergeCell ref="AL17:BP17"/>
    <mergeCell ref="AL66:BP66"/>
    <mergeCell ref="D67:Z67"/>
    <mergeCell ref="AF67:AH67"/>
    <mergeCell ref="AL67:BP67"/>
    <mergeCell ref="D68:Z68"/>
    <mergeCell ref="AF68:AH68"/>
    <mergeCell ref="AL68:BP68"/>
    <mergeCell ref="D69:Z69"/>
    <mergeCell ref="AF69:AH69"/>
    <mergeCell ref="AL69:BP69"/>
    <mergeCell ref="AA66:AE66"/>
    <mergeCell ref="AI66:AK66"/>
    <mergeCell ref="D66:Z66"/>
    <mergeCell ref="AF66:AH66"/>
    <mergeCell ref="AL60:BP60"/>
    <mergeCell ref="D37:Z37"/>
    <mergeCell ref="AA37:AE37"/>
    <mergeCell ref="AF37:AH37"/>
    <mergeCell ref="AI37:AK37"/>
    <mergeCell ref="AL37:BP37"/>
    <mergeCell ref="D19:Z19"/>
    <mergeCell ref="AA19:AE19"/>
    <mergeCell ref="AF19:AH19"/>
    <mergeCell ref="AL78:BP78"/>
    <mergeCell ref="D79:Z79"/>
    <mergeCell ref="AF79:AH79"/>
    <mergeCell ref="AL79:BP79"/>
    <mergeCell ref="AL74:BP74"/>
    <mergeCell ref="D75:Z75"/>
    <mergeCell ref="AF75:AH75"/>
    <mergeCell ref="AL75:BP75"/>
    <mergeCell ref="D76:Z76"/>
    <mergeCell ref="AF76:AH76"/>
    <mergeCell ref="AL76:BP76"/>
    <mergeCell ref="D77:Z77"/>
    <mergeCell ref="AF77:AH77"/>
    <mergeCell ref="AL77:BP77"/>
    <mergeCell ref="AA74:AE74"/>
    <mergeCell ref="AI74:AK74"/>
    <mergeCell ref="AL32:BP32"/>
    <mergeCell ref="D29:Z29"/>
    <mergeCell ref="AA29:AE29"/>
    <mergeCell ref="AF29:AH29"/>
    <mergeCell ref="AI29:AK29"/>
    <mergeCell ref="AL29:BP29"/>
    <mergeCell ref="D26:Z26"/>
    <mergeCell ref="AA26:AE26"/>
    <mergeCell ref="D20:Z20"/>
    <mergeCell ref="AF26:AH26"/>
    <mergeCell ref="AI26:AK26"/>
    <mergeCell ref="AL26:BP26"/>
    <mergeCell ref="D27:Z27"/>
    <mergeCell ref="AA27:AE27"/>
    <mergeCell ref="AF27:AH27"/>
    <mergeCell ref="D24:Z24"/>
    <mergeCell ref="AI15:AK15"/>
    <mergeCell ref="AL15:BP15"/>
    <mergeCell ref="AL16:BP16"/>
    <mergeCell ref="AL31:BP31"/>
    <mergeCell ref="AL25:BP25"/>
    <mergeCell ref="AL28:BP28"/>
    <mergeCell ref="AI27:AK27"/>
    <mergeCell ref="A18:C18"/>
    <mergeCell ref="D18:Z18"/>
    <mergeCell ref="AA18:AE18"/>
    <mergeCell ref="AF18:AH18"/>
    <mergeCell ref="AI18:AK18"/>
    <mergeCell ref="AL18:BP18"/>
    <mergeCell ref="AL27:BP27"/>
    <mergeCell ref="D21:Z21"/>
    <mergeCell ref="AA21:AE21"/>
    <mergeCell ref="AF21:AH21"/>
    <mergeCell ref="AI21:AK21"/>
    <mergeCell ref="AL21:BP21"/>
    <mergeCell ref="AA20:AE20"/>
    <mergeCell ref="AF20:AH20"/>
    <mergeCell ref="AI20:AK20"/>
    <mergeCell ref="AL20:BP20"/>
    <mergeCell ref="AL19:BP19"/>
  </mergeCells>
  <phoneticPr fontId="3"/>
  <dataValidations disablePrompts="1" count="1">
    <dataValidation type="list" allowBlank="1" showInputMessage="1" showErrorMessage="1" sqref="BJ6:BP6" xr:uid="{45D54BFE-8A52-4DFB-BD09-5E8B0099EB07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B551A-AB75-4D24-A8A7-4A2E23D934E7}">
  <dimension ref="A1:BR79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8" width="2.125" style="55"/>
    <col min="39" max="44" width="0" style="55" hidden="1" customWidth="1"/>
    <col min="45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58" t="s">
        <v>217</v>
      </c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95" t="s">
        <v>1437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1436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125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129">
        <f t="shared" ref="A9" si="0">ROW()-8</f>
        <v>1</v>
      </c>
      <c r="B9" s="130"/>
      <c r="C9" s="131"/>
      <c r="D9" s="132" t="s">
        <v>1561</v>
      </c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4"/>
      <c r="AA9" s="129" t="s">
        <v>278</v>
      </c>
      <c r="AB9" s="130"/>
      <c r="AC9" s="130"/>
      <c r="AD9" s="130"/>
      <c r="AE9" s="131"/>
      <c r="AF9" s="129">
        <v>21</v>
      </c>
      <c r="AG9" s="130"/>
      <c r="AH9" s="131"/>
      <c r="AI9" s="129"/>
      <c r="AJ9" s="130"/>
      <c r="AK9" s="131"/>
      <c r="AL9" s="135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6"/>
      <c r="BH9" s="136"/>
      <c r="BI9" s="136"/>
      <c r="BJ9" s="136"/>
      <c r="BK9" s="136"/>
      <c r="BL9" s="136"/>
      <c r="BM9" s="136"/>
      <c r="BN9" s="136"/>
      <c r="BO9" s="136"/>
      <c r="BP9" s="137"/>
    </row>
    <row r="10" spans="1:70" s="1" customFormat="1" ht="30.75" customHeight="1">
      <c r="A10" s="74">
        <f t="shared" ref="A10:A69" si="1">ROW()-8</f>
        <v>2</v>
      </c>
      <c r="B10" s="75"/>
      <c r="C10" s="76"/>
      <c r="D10" s="71" t="s">
        <v>1396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  <c r="AA10" s="74" t="s">
        <v>19</v>
      </c>
      <c r="AB10" s="75"/>
      <c r="AC10" s="75"/>
      <c r="AD10" s="75"/>
      <c r="AE10" s="76"/>
      <c r="AF10" s="74">
        <v>2</v>
      </c>
      <c r="AG10" s="75"/>
      <c r="AH10" s="76"/>
      <c r="AI10" s="74"/>
      <c r="AJ10" s="75"/>
      <c r="AK10" s="76"/>
      <c r="AL10" s="68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74">
        <f t="shared" si="1"/>
        <v>3</v>
      </c>
      <c r="B11" s="75"/>
      <c r="C11" s="76"/>
      <c r="D11" s="71" t="s">
        <v>1505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3"/>
      <c r="AA11" s="74" t="s">
        <v>19</v>
      </c>
      <c r="AB11" s="75"/>
      <c r="AC11" s="75"/>
      <c r="AD11" s="75"/>
      <c r="AE11" s="76"/>
      <c r="AF11" s="74">
        <v>15</v>
      </c>
      <c r="AG11" s="75"/>
      <c r="AH11" s="76"/>
      <c r="AI11" s="74"/>
      <c r="AJ11" s="75"/>
      <c r="AK11" s="76"/>
      <c r="AL11" s="68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70"/>
    </row>
    <row r="12" spans="1:70" s="1" customFormat="1" ht="30.75" customHeight="1">
      <c r="A12" s="74">
        <f t="shared" si="1"/>
        <v>4</v>
      </c>
      <c r="B12" s="75"/>
      <c r="C12" s="76"/>
      <c r="D12" s="71" t="s">
        <v>1506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3"/>
      <c r="AA12" s="74" t="s">
        <v>19</v>
      </c>
      <c r="AB12" s="75"/>
      <c r="AC12" s="75"/>
      <c r="AD12" s="75"/>
      <c r="AE12" s="76"/>
      <c r="AF12" s="74">
        <v>12</v>
      </c>
      <c r="AG12" s="75"/>
      <c r="AH12" s="76"/>
      <c r="AI12" s="74"/>
      <c r="AJ12" s="75"/>
      <c r="AK12" s="76"/>
      <c r="AL12" s="68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70"/>
    </row>
    <row r="13" spans="1:70" s="1" customFormat="1" ht="30.75" customHeight="1">
      <c r="A13" s="74">
        <f t="shared" si="1"/>
        <v>5</v>
      </c>
      <c r="B13" s="75"/>
      <c r="C13" s="76"/>
      <c r="D13" s="71" t="s">
        <v>1395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3"/>
      <c r="AA13" s="74" t="s">
        <v>19</v>
      </c>
      <c r="AB13" s="75"/>
      <c r="AC13" s="75"/>
      <c r="AD13" s="75"/>
      <c r="AE13" s="76"/>
      <c r="AF13" s="86">
        <v>2</v>
      </c>
      <c r="AG13" s="86"/>
      <c r="AH13" s="86"/>
      <c r="AI13" s="86"/>
      <c r="AJ13" s="86"/>
      <c r="AK13" s="86"/>
      <c r="AL13" s="68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70"/>
    </row>
    <row r="14" spans="1:70" s="1" customFormat="1" ht="30.75" customHeight="1">
      <c r="A14" s="74">
        <f t="shared" si="1"/>
        <v>6</v>
      </c>
      <c r="B14" s="75"/>
      <c r="C14" s="76"/>
      <c r="D14" s="71" t="s">
        <v>1507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3"/>
      <c r="AA14" s="74" t="s">
        <v>19</v>
      </c>
      <c r="AB14" s="75"/>
      <c r="AC14" s="75"/>
      <c r="AD14" s="75"/>
      <c r="AE14" s="76"/>
      <c r="AF14" s="86">
        <v>10</v>
      </c>
      <c r="AG14" s="86"/>
      <c r="AH14" s="86"/>
      <c r="AI14" s="86"/>
      <c r="AJ14" s="86"/>
      <c r="AK14" s="86"/>
      <c r="AL14" s="68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70"/>
    </row>
    <row r="15" spans="1:70" s="1" customFormat="1" ht="30.75" customHeight="1">
      <c r="A15" s="74">
        <f t="shared" si="1"/>
        <v>7</v>
      </c>
      <c r="B15" s="75"/>
      <c r="C15" s="76"/>
      <c r="D15" s="71" t="s">
        <v>1508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3"/>
      <c r="AA15" s="74" t="s">
        <v>19</v>
      </c>
      <c r="AB15" s="75"/>
      <c r="AC15" s="75"/>
      <c r="AD15" s="75"/>
      <c r="AE15" s="76"/>
      <c r="AF15" s="86">
        <v>3</v>
      </c>
      <c r="AG15" s="86"/>
      <c r="AH15" s="86"/>
      <c r="AI15" s="86"/>
      <c r="AJ15" s="86"/>
      <c r="AK15" s="86"/>
      <c r="AL15" s="68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70"/>
    </row>
    <row r="16" spans="1:70" s="1" customFormat="1" ht="30.75" customHeight="1">
      <c r="A16" s="74">
        <f t="shared" si="1"/>
        <v>8</v>
      </c>
      <c r="B16" s="75"/>
      <c r="C16" s="76"/>
      <c r="D16" s="71" t="s">
        <v>1509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3"/>
      <c r="AA16" s="74" t="s">
        <v>19</v>
      </c>
      <c r="AB16" s="75"/>
      <c r="AC16" s="75"/>
      <c r="AD16" s="75"/>
      <c r="AE16" s="76"/>
      <c r="AF16" s="74">
        <v>30</v>
      </c>
      <c r="AG16" s="75"/>
      <c r="AH16" s="76"/>
      <c r="AI16" s="74"/>
      <c r="AJ16" s="75"/>
      <c r="AK16" s="76"/>
      <c r="AL16" s="68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70"/>
    </row>
    <row r="17" spans="1:68" s="1" customFormat="1" ht="30.75" customHeight="1">
      <c r="A17" s="74">
        <f t="shared" si="1"/>
        <v>9</v>
      </c>
      <c r="B17" s="75"/>
      <c r="C17" s="76"/>
      <c r="D17" s="71" t="s">
        <v>1510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3"/>
      <c r="AA17" s="74" t="s">
        <v>19</v>
      </c>
      <c r="AB17" s="75"/>
      <c r="AC17" s="75"/>
      <c r="AD17" s="75"/>
      <c r="AE17" s="76"/>
      <c r="AF17" s="74">
        <v>4</v>
      </c>
      <c r="AG17" s="75"/>
      <c r="AH17" s="76"/>
      <c r="AI17" s="74"/>
      <c r="AJ17" s="75"/>
      <c r="AK17" s="76"/>
      <c r="AL17" s="68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70"/>
    </row>
    <row r="18" spans="1:68" s="1" customFormat="1" ht="30.75" customHeight="1">
      <c r="A18" s="74">
        <f t="shared" si="1"/>
        <v>10</v>
      </c>
      <c r="B18" s="75"/>
      <c r="C18" s="76"/>
      <c r="D18" s="71" t="s">
        <v>1511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3"/>
      <c r="AA18" s="74" t="s">
        <v>19</v>
      </c>
      <c r="AB18" s="75"/>
      <c r="AC18" s="75"/>
      <c r="AD18" s="75"/>
      <c r="AE18" s="76"/>
      <c r="AF18" s="74">
        <v>18</v>
      </c>
      <c r="AG18" s="75"/>
      <c r="AH18" s="76"/>
      <c r="AI18" s="74"/>
      <c r="AJ18" s="75"/>
      <c r="AK18" s="76"/>
      <c r="AL18" s="68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70"/>
    </row>
    <row r="19" spans="1:68" s="1" customFormat="1" ht="30.75" customHeight="1">
      <c r="A19" s="74">
        <f t="shared" si="1"/>
        <v>11</v>
      </c>
      <c r="B19" s="75"/>
      <c r="C19" s="76"/>
      <c r="D19" s="71" t="s">
        <v>1468</v>
      </c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3"/>
      <c r="AA19" s="74" t="s">
        <v>19</v>
      </c>
      <c r="AB19" s="75"/>
      <c r="AC19" s="75"/>
      <c r="AD19" s="75"/>
      <c r="AE19" s="76"/>
      <c r="AF19" s="74">
        <v>4</v>
      </c>
      <c r="AG19" s="75"/>
      <c r="AH19" s="76"/>
      <c r="AI19" s="74"/>
      <c r="AJ19" s="75"/>
      <c r="AK19" s="76"/>
      <c r="AL19" s="68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70"/>
    </row>
    <row r="20" spans="1:68" s="1" customFormat="1" ht="30.75" customHeight="1">
      <c r="A20" s="74">
        <f t="shared" si="1"/>
        <v>12</v>
      </c>
      <c r="B20" s="75"/>
      <c r="C20" s="76"/>
      <c r="D20" s="71" t="s">
        <v>1461</v>
      </c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3"/>
      <c r="AA20" s="74" t="s">
        <v>281</v>
      </c>
      <c r="AB20" s="75"/>
      <c r="AC20" s="75"/>
      <c r="AD20" s="75"/>
      <c r="AE20" s="76"/>
      <c r="AF20" s="74">
        <v>8</v>
      </c>
      <c r="AG20" s="75"/>
      <c r="AH20" s="76"/>
      <c r="AI20" s="74"/>
      <c r="AJ20" s="75"/>
      <c r="AK20" s="76"/>
      <c r="AL20" s="68" t="s">
        <v>595</v>
      </c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70"/>
    </row>
    <row r="21" spans="1:68" s="1" customFormat="1" ht="30.75" customHeight="1">
      <c r="A21" s="74">
        <f t="shared" si="1"/>
        <v>13</v>
      </c>
      <c r="B21" s="75"/>
      <c r="C21" s="76"/>
      <c r="D21" s="71" t="s">
        <v>1512</v>
      </c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3"/>
      <c r="AA21" s="74" t="s">
        <v>19</v>
      </c>
      <c r="AB21" s="75"/>
      <c r="AC21" s="75"/>
      <c r="AD21" s="75"/>
      <c r="AE21" s="76"/>
      <c r="AF21" s="74">
        <v>4</v>
      </c>
      <c r="AG21" s="75"/>
      <c r="AH21" s="76"/>
      <c r="AI21" s="74"/>
      <c r="AJ21" s="75"/>
      <c r="AK21" s="76"/>
      <c r="AL21" s="68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70"/>
    </row>
    <row r="22" spans="1:68" s="1" customFormat="1" ht="30.75" customHeight="1">
      <c r="A22" s="74">
        <f t="shared" si="1"/>
        <v>14</v>
      </c>
      <c r="B22" s="75"/>
      <c r="C22" s="76"/>
      <c r="D22" s="71" t="s">
        <v>1513</v>
      </c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3"/>
      <c r="AA22" s="74" t="s">
        <v>19</v>
      </c>
      <c r="AB22" s="75"/>
      <c r="AC22" s="75"/>
      <c r="AD22" s="75"/>
      <c r="AE22" s="76"/>
      <c r="AF22" s="74">
        <v>15</v>
      </c>
      <c r="AG22" s="75"/>
      <c r="AH22" s="76"/>
      <c r="AI22" s="74"/>
      <c r="AJ22" s="75"/>
      <c r="AK22" s="76"/>
      <c r="AL22" s="68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70"/>
    </row>
    <row r="23" spans="1:68" s="1" customFormat="1" ht="30.75" customHeight="1">
      <c r="A23" s="74">
        <f t="shared" si="1"/>
        <v>15</v>
      </c>
      <c r="B23" s="75"/>
      <c r="C23" s="76"/>
      <c r="D23" s="71" t="s">
        <v>1514</v>
      </c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3"/>
      <c r="AA23" s="74" t="s">
        <v>19</v>
      </c>
      <c r="AB23" s="75"/>
      <c r="AC23" s="75"/>
      <c r="AD23" s="75"/>
      <c r="AE23" s="76"/>
      <c r="AF23" s="86">
        <v>4</v>
      </c>
      <c r="AG23" s="86"/>
      <c r="AH23" s="86"/>
      <c r="AI23" s="86"/>
      <c r="AJ23" s="86"/>
      <c r="AK23" s="86"/>
      <c r="AL23" s="68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70"/>
    </row>
    <row r="24" spans="1:68" s="1" customFormat="1" ht="30.75" customHeight="1">
      <c r="A24" s="74">
        <f t="shared" si="1"/>
        <v>16</v>
      </c>
      <c r="B24" s="75"/>
      <c r="C24" s="76"/>
      <c r="D24" s="71" t="s">
        <v>1515</v>
      </c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3"/>
      <c r="AA24" s="138" t="s">
        <v>1539</v>
      </c>
      <c r="AB24" s="139"/>
      <c r="AC24" s="139"/>
      <c r="AD24" s="139"/>
      <c r="AE24" s="140"/>
      <c r="AF24" s="86">
        <v>15</v>
      </c>
      <c r="AG24" s="86"/>
      <c r="AH24" s="86"/>
      <c r="AI24" s="86"/>
      <c r="AJ24" s="86"/>
      <c r="AK24" s="86"/>
      <c r="AL24" s="68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70"/>
    </row>
    <row r="25" spans="1:68" s="1" customFormat="1" ht="30.75" customHeight="1">
      <c r="A25" s="74">
        <f t="shared" si="1"/>
        <v>17</v>
      </c>
      <c r="B25" s="75"/>
      <c r="C25" s="76"/>
      <c r="D25" s="71" t="s">
        <v>1543</v>
      </c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3"/>
      <c r="AA25" s="74" t="s">
        <v>19</v>
      </c>
      <c r="AB25" s="75"/>
      <c r="AC25" s="75"/>
      <c r="AD25" s="75"/>
      <c r="AE25" s="76"/>
      <c r="AF25" s="86">
        <v>3</v>
      </c>
      <c r="AG25" s="86"/>
      <c r="AH25" s="86"/>
      <c r="AI25" s="86"/>
      <c r="AJ25" s="86"/>
      <c r="AK25" s="86"/>
      <c r="AL25" s="68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70"/>
    </row>
    <row r="26" spans="1:68" s="1" customFormat="1" ht="30.75" customHeight="1">
      <c r="A26" s="74">
        <f t="shared" si="1"/>
        <v>18</v>
      </c>
      <c r="B26" s="75"/>
      <c r="C26" s="76"/>
      <c r="D26" s="71" t="s">
        <v>1540</v>
      </c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3"/>
      <c r="AA26" s="74" t="s">
        <v>19</v>
      </c>
      <c r="AB26" s="75"/>
      <c r="AC26" s="75"/>
      <c r="AD26" s="75"/>
      <c r="AE26" s="76"/>
      <c r="AF26" s="86">
        <v>14</v>
      </c>
      <c r="AG26" s="86"/>
      <c r="AH26" s="86"/>
      <c r="AI26" s="86"/>
      <c r="AJ26" s="86"/>
      <c r="AK26" s="86"/>
      <c r="AL26" s="68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70"/>
    </row>
    <row r="27" spans="1:68" s="1" customFormat="1" ht="30.75" customHeight="1">
      <c r="A27" s="74">
        <f t="shared" si="1"/>
        <v>19</v>
      </c>
      <c r="B27" s="75"/>
      <c r="C27" s="76"/>
      <c r="D27" s="71" t="s">
        <v>1541</v>
      </c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3"/>
      <c r="AA27" s="74" t="s">
        <v>19</v>
      </c>
      <c r="AB27" s="75"/>
      <c r="AC27" s="75"/>
      <c r="AD27" s="75"/>
      <c r="AE27" s="76"/>
      <c r="AF27" s="86">
        <v>14</v>
      </c>
      <c r="AG27" s="86"/>
      <c r="AH27" s="86"/>
      <c r="AI27" s="86"/>
      <c r="AJ27" s="86"/>
      <c r="AK27" s="86"/>
      <c r="AL27" s="68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70"/>
    </row>
    <row r="28" spans="1:68" s="1" customFormat="1" ht="30.75" customHeight="1">
      <c r="A28" s="74">
        <f t="shared" si="1"/>
        <v>20</v>
      </c>
      <c r="B28" s="75"/>
      <c r="C28" s="76"/>
      <c r="D28" s="71" t="s">
        <v>1542</v>
      </c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3"/>
      <c r="AA28" s="74" t="s">
        <v>19</v>
      </c>
      <c r="AB28" s="75"/>
      <c r="AC28" s="75"/>
      <c r="AD28" s="75"/>
      <c r="AE28" s="76"/>
      <c r="AF28" s="86">
        <v>2</v>
      </c>
      <c r="AG28" s="86"/>
      <c r="AH28" s="86"/>
      <c r="AI28" s="86"/>
      <c r="AJ28" s="86"/>
      <c r="AK28" s="86"/>
      <c r="AL28" s="68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70"/>
    </row>
    <row r="29" spans="1:68" s="1" customFormat="1" ht="30.75" customHeight="1">
      <c r="A29" s="74">
        <f t="shared" si="1"/>
        <v>21</v>
      </c>
      <c r="B29" s="75"/>
      <c r="C29" s="76"/>
      <c r="D29" s="71" t="s">
        <v>1544</v>
      </c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3"/>
      <c r="AA29" s="74" t="s">
        <v>19</v>
      </c>
      <c r="AB29" s="75"/>
      <c r="AC29" s="75"/>
      <c r="AD29" s="75"/>
      <c r="AE29" s="76"/>
      <c r="AF29" s="86">
        <v>3</v>
      </c>
      <c r="AG29" s="86"/>
      <c r="AH29" s="86"/>
      <c r="AI29" s="86"/>
      <c r="AJ29" s="86"/>
      <c r="AK29" s="86"/>
      <c r="AL29" s="68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70"/>
    </row>
    <row r="30" spans="1:68" s="1" customFormat="1" ht="30.75" customHeight="1">
      <c r="A30" s="74">
        <f t="shared" si="1"/>
        <v>22</v>
      </c>
      <c r="B30" s="75"/>
      <c r="C30" s="76"/>
      <c r="D30" s="71" t="s">
        <v>1545</v>
      </c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3"/>
      <c r="AA30" s="74" t="s">
        <v>19</v>
      </c>
      <c r="AB30" s="75"/>
      <c r="AC30" s="75"/>
      <c r="AD30" s="75"/>
      <c r="AE30" s="76"/>
      <c r="AF30" s="86">
        <v>14</v>
      </c>
      <c r="AG30" s="86"/>
      <c r="AH30" s="86"/>
      <c r="AI30" s="86"/>
      <c r="AJ30" s="86"/>
      <c r="AK30" s="86"/>
      <c r="AL30" s="68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70"/>
    </row>
    <row r="31" spans="1:68" s="1" customFormat="1" ht="30.75" customHeight="1">
      <c r="A31" s="74">
        <f t="shared" si="1"/>
        <v>23</v>
      </c>
      <c r="B31" s="75"/>
      <c r="C31" s="76"/>
      <c r="D31" s="71" t="s">
        <v>1546</v>
      </c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3"/>
      <c r="AA31" s="74" t="s">
        <v>19</v>
      </c>
      <c r="AB31" s="75"/>
      <c r="AC31" s="75"/>
      <c r="AD31" s="75"/>
      <c r="AE31" s="76"/>
      <c r="AF31" s="86">
        <v>14</v>
      </c>
      <c r="AG31" s="86"/>
      <c r="AH31" s="86"/>
      <c r="AI31" s="86"/>
      <c r="AJ31" s="86"/>
      <c r="AK31" s="86"/>
      <c r="AL31" s="68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70"/>
    </row>
    <row r="32" spans="1:68" s="1" customFormat="1" ht="30.75" customHeight="1">
      <c r="A32" s="74">
        <f t="shared" si="1"/>
        <v>24</v>
      </c>
      <c r="B32" s="75"/>
      <c r="C32" s="76"/>
      <c r="D32" s="71" t="s">
        <v>1547</v>
      </c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3"/>
      <c r="AA32" s="74" t="s">
        <v>19</v>
      </c>
      <c r="AB32" s="75"/>
      <c r="AC32" s="75"/>
      <c r="AD32" s="75"/>
      <c r="AE32" s="76"/>
      <c r="AF32" s="86">
        <v>2</v>
      </c>
      <c r="AG32" s="86"/>
      <c r="AH32" s="86"/>
      <c r="AI32" s="86"/>
      <c r="AJ32" s="86"/>
      <c r="AK32" s="86"/>
      <c r="AL32" s="68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70"/>
    </row>
    <row r="33" spans="1:68" s="1" customFormat="1" ht="30.75" customHeight="1">
      <c r="A33" s="74">
        <f t="shared" si="1"/>
        <v>25</v>
      </c>
      <c r="B33" s="75"/>
      <c r="C33" s="76"/>
      <c r="D33" s="71" t="s">
        <v>1548</v>
      </c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3"/>
      <c r="AA33" s="74" t="s">
        <v>19</v>
      </c>
      <c r="AB33" s="75"/>
      <c r="AC33" s="75"/>
      <c r="AD33" s="75"/>
      <c r="AE33" s="76"/>
      <c r="AF33" s="86">
        <v>3</v>
      </c>
      <c r="AG33" s="86"/>
      <c r="AH33" s="86"/>
      <c r="AI33" s="86"/>
      <c r="AJ33" s="86"/>
      <c r="AK33" s="86"/>
      <c r="AL33" s="68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70"/>
    </row>
    <row r="34" spans="1:68" s="1" customFormat="1" ht="30.75" customHeight="1">
      <c r="A34" s="74">
        <f t="shared" si="1"/>
        <v>26</v>
      </c>
      <c r="B34" s="75"/>
      <c r="C34" s="76"/>
      <c r="D34" s="71" t="s">
        <v>1549</v>
      </c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3"/>
      <c r="AA34" s="74" t="s">
        <v>19</v>
      </c>
      <c r="AB34" s="75"/>
      <c r="AC34" s="75"/>
      <c r="AD34" s="75"/>
      <c r="AE34" s="76"/>
      <c r="AF34" s="86">
        <v>14</v>
      </c>
      <c r="AG34" s="86"/>
      <c r="AH34" s="86"/>
      <c r="AI34" s="86"/>
      <c r="AJ34" s="86"/>
      <c r="AK34" s="86"/>
      <c r="AL34" s="68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70"/>
    </row>
    <row r="35" spans="1:68" s="1" customFormat="1" ht="30.75" customHeight="1">
      <c r="A35" s="74">
        <f t="shared" si="1"/>
        <v>27</v>
      </c>
      <c r="B35" s="75"/>
      <c r="C35" s="76"/>
      <c r="D35" s="71" t="s">
        <v>1550</v>
      </c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3"/>
      <c r="AA35" s="74" t="s">
        <v>19</v>
      </c>
      <c r="AB35" s="75"/>
      <c r="AC35" s="75"/>
      <c r="AD35" s="75"/>
      <c r="AE35" s="76"/>
      <c r="AF35" s="86">
        <v>14</v>
      </c>
      <c r="AG35" s="86"/>
      <c r="AH35" s="86"/>
      <c r="AI35" s="86"/>
      <c r="AJ35" s="86"/>
      <c r="AK35" s="86"/>
      <c r="AL35" s="68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70"/>
    </row>
    <row r="36" spans="1:68" s="1" customFormat="1" ht="30.75" customHeight="1">
      <c r="A36" s="74">
        <f t="shared" si="1"/>
        <v>28</v>
      </c>
      <c r="B36" s="75"/>
      <c r="C36" s="76"/>
      <c r="D36" s="71" t="s">
        <v>1551</v>
      </c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3"/>
      <c r="AA36" s="74" t="s">
        <v>19</v>
      </c>
      <c r="AB36" s="75"/>
      <c r="AC36" s="75"/>
      <c r="AD36" s="75"/>
      <c r="AE36" s="76"/>
      <c r="AF36" s="86">
        <v>2</v>
      </c>
      <c r="AG36" s="86"/>
      <c r="AH36" s="86"/>
      <c r="AI36" s="86"/>
      <c r="AJ36" s="86"/>
      <c r="AK36" s="86"/>
      <c r="AL36" s="68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70"/>
    </row>
    <row r="37" spans="1:68" s="1" customFormat="1" ht="30.75" customHeight="1">
      <c r="A37" s="74">
        <f t="shared" si="1"/>
        <v>29</v>
      </c>
      <c r="B37" s="75"/>
      <c r="C37" s="76"/>
      <c r="D37" s="71" t="s">
        <v>1552</v>
      </c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3"/>
      <c r="AA37" s="74" t="s">
        <v>19</v>
      </c>
      <c r="AB37" s="75"/>
      <c r="AC37" s="75"/>
      <c r="AD37" s="75"/>
      <c r="AE37" s="76"/>
      <c r="AF37" s="86">
        <v>3</v>
      </c>
      <c r="AG37" s="86"/>
      <c r="AH37" s="86"/>
      <c r="AI37" s="86"/>
      <c r="AJ37" s="86"/>
      <c r="AK37" s="86"/>
      <c r="AL37" s="68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70"/>
    </row>
    <row r="38" spans="1:68" s="1" customFormat="1" ht="30.75" customHeight="1">
      <c r="A38" s="74">
        <f t="shared" si="1"/>
        <v>30</v>
      </c>
      <c r="B38" s="75"/>
      <c r="C38" s="76"/>
      <c r="D38" s="71" t="s">
        <v>1553</v>
      </c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3"/>
      <c r="AA38" s="74" t="s">
        <v>19</v>
      </c>
      <c r="AB38" s="75"/>
      <c r="AC38" s="75"/>
      <c r="AD38" s="75"/>
      <c r="AE38" s="76"/>
      <c r="AF38" s="86">
        <v>14</v>
      </c>
      <c r="AG38" s="86"/>
      <c r="AH38" s="86"/>
      <c r="AI38" s="86"/>
      <c r="AJ38" s="86"/>
      <c r="AK38" s="86"/>
      <c r="AL38" s="68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70"/>
    </row>
    <row r="39" spans="1:68" s="1" customFormat="1" ht="30.75" customHeight="1">
      <c r="A39" s="74">
        <f t="shared" si="1"/>
        <v>31</v>
      </c>
      <c r="B39" s="75"/>
      <c r="C39" s="76"/>
      <c r="D39" s="71" t="s">
        <v>1554</v>
      </c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3"/>
      <c r="AA39" s="74" t="s">
        <v>19</v>
      </c>
      <c r="AB39" s="75"/>
      <c r="AC39" s="75"/>
      <c r="AD39" s="75"/>
      <c r="AE39" s="76"/>
      <c r="AF39" s="86">
        <v>14</v>
      </c>
      <c r="AG39" s="86"/>
      <c r="AH39" s="86"/>
      <c r="AI39" s="86"/>
      <c r="AJ39" s="86"/>
      <c r="AK39" s="86"/>
      <c r="AL39" s="68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70"/>
    </row>
    <row r="40" spans="1:68" s="1" customFormat="1" ht="30.75" customHeight="1">
      <c r="A40" s="74">
        <f t="shared" si="1"/>
        <v>32</v>
      </c>
      <c r="B40" s="75"/>
      <c r="C40" s="76"/>
      <c r="D40" s="71" t="s">
        <v>1555</v>
      </c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3"/>
      <c r="AA40" s="74" t="s">
        <v>19</v>
      </c>
      <c r="AB40" s="75"/>
      <c r="AC40" s="75"/>
      <c r="AD40" s="75"/>
      <c r="AE40" s="76"/>
      <c r="AF40" s="86">
        <v>2</v>
      </c>
      <c r="AG40" s="86"/>
      <c r="AH40" s="86"/>
      <c r="AI40" s="86"/>
      <c r="AJ40" s="86"/>
      <c r="AK40" s="86"/>
      <c r="AL40" s="68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70"/>
    </row>
    <row r="41" spans="1:68" s="1" customFormat="1" ht="30.75" customHeight="1">
      <c r="A41" s="74">
        <f t="shared" si="1"/>
        <v>33</v>
      </c>
      <c r="B41" s="75"/>
      <c r="C41" s="76"/>
      <c r="D41" s="71" t="s">
        <v>1556</v>
      </c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3"/>
      <c r="AA41" s="74" t="s">
        <v>19</v>
      </c>
      <c r="AB41" s="75"/>
      <c r="AC41" s="75"/>
      <c r="AD41" s="75"/>
      <c r="AE41" s="76"/>
      <c r="AF41" s="86">
        <v>3</v>
      </c>
      <c r="AG41" s="86"/>
      <c r="AH41" s="86"/>
      <c r="AI41" s="86"/>
      <c r="AJ41" s="86"/>
      <c r="AK41" s="86"/>
      <c r="AL41" s="68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70"/>
    </row>
    <row r="42" spans="1:68" s="1" customFormat="1" ht="30.75" customHeight="1">
      <c r="A42" s="74">
        <f t="shared" si="1"/>
        <v>34</v>
      </c>
      <c r="B42" s="75"/>
      <c r="C42" s="76"/>
      <c r="D42" s="71" t="s">
        <v>1557</v>
      </c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3"/>
      <c r="AA42" s="74" t="s">
        <v>19</v>
      </c>
      <c r="AB42" s="75"/>
      <c r="AC42" s="75"/>
      <c r="AD42" s="75"/>
      <c r="AE42" s="76"/>
      <c r="AF42" s="86">
        <v>14</v>
      </c>
      <c r="AG42" s="86"/>
      <c r="AH42" s="86"/>
      <c r="AI42" s="86"/>
      <c r="AJ42" s="86"/>
      <c r="AK42" s="86"/>
      <c r="AL42" s="68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70"/>
    </row>
    <row r="43" spans="1:68" s="1" customFormat="1" ht="30.75" customHeight="1">
      <c r="A43" s="74">
        <f t="shared" si="1"/>
        <v>35</v>
      </c>
      <c r="B43" s="75"/>
      <c r="C43" s="76"/>
      <c r="D43" s="71" t="s">
        <v>1558</v>
      </c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3"/>
      <c r="AA43" s="74" t="s">
        <v>19</v>
      </c>
      <c r="AB43" s="75"/>
      <c r="AC43" s="75"/>
      <c r="AD43" s="75"/>
      <c r="AE43" s="76"/>
      <c r="AF43" s="86">
        <v>14</v>
      </c>
      <c r="AG43" s="86"/>
      <c r="AH43" s="86"/>
      <c r="AI43" s="86"/>
      <c r="AJ43" s="86"/>
      <c r="AK43" s="86"/>
      <c r="AL43" s="68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  <c r="BM43" s="69"/>
      <c r="BN43" s="69"/>
      <c r="BO43" s="69"/>
      <c r="BP43" s="70"/>
    </row>
    <row r="44" spans="1:68" s="1" customFormat="1" ht="30.75" customHeight="1">
      <c r="A44" s="74">
        <f t="shared" si="1"/>
        <v>36</v>
      </c>
      <c r="B44" s="75"/>
      <c r="C44" s="76"/>
      <c r="D44" s="71" t="s">
        <v>1559</v>
      </c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3"/>
      <c r="AA44" s="74" t="s">
        <v>19</v>
      </c>
      <c r="AB44" s="75"/>
      <c r="AC44" s="75"/>
      <c r="AD44" s="75"/>
      <c r="AE44" s="76"/>
      <c r="AF44" s="86">
        <v>2</v>
      </c>
      <c r="AG44" s="86"/>
      <c r="AH44" s="86"/>
      <c r="AI44" s="86"/>
      <c r="AJ44" s="86"/>
      <c r="AK44" s="86"/>
      <c r="AL44" s="68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  <c r="BM44" s="69"/>
      <c r="BN44" s="69"/>
      <c r="BO44" s="69"/>
      <c r="BP44" s="70"/>
    </row>
    <row r="45" spans="1:68" s="1" customFormat="1" ht="30.75" customHeight="1">
      <c r="A45" s="74">
        <f t="shared" si="1"/>
        <v>37</v>
      </c>
      <c r="B45" s="75"/>
      <c r="C45" s="76"/>
      <c r="D45" s="71" t="s">
        <v>1516</v>
      </c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3"/>
      <c r="AA45" s="74" t="s">
        <v>19</v>
      </c>
      <c r="AB45" s="75"/>
      <c r="AC45" s="75"/>
      <c r="AD45" s="75"/>
      <c r="AE45" s="76"/>
      <c r="AF45" s="86">
        <v>4</v>
      </c>
      <c r="AG45" s="86"/>
      <c r="AH45" s="86"/>
      <c r="AI45" s="86"/>
      <c r="AJ45" s="86"/>
      <c r="AK45" s="86"/>
      <c r="AL45" s="68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  <c r="BP45" s="70"/>
    </row>
    <row r="46" spans="1:68" s="1" customFormat="1" ht="30.75" customHeight="1">
      <c r="A46" s="74">
        <f t="shared" si="1"/>
        <v>38</v>
      </c>
      <c r="B46" s="75"/>
      <c r="C46" s="76"/>
      <c r="D46" s="71" t="s">
        <v>1517</v>
      </c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3"/>
      <c r="AA46" s="74" t="s">
        <v>19</v>
      </c>
      <c r="AB46" s="75"/>
      <c r="AC46" s="75"/>
      <c r="AD46" s="75"/>
      <c r="AE46" s="76"/>
      <c r="AF46" s="86">
        <v>15</v>
      </c>
      <c r="AG46" s="86"/>
      <c r="AH46" s="86"/>
      <c r="AI46" s="86"/>
      <c r="AJ46" s="86"/>
      <c r="AK46" s="86"/>
      <c r="AL46" s="68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  <c r="BM46" s="69"/>
      <c r="BN46" s="69"/>
      <c r="BO46" s="69"/>
      <c r="BP46" s="70"/>
    </row>
    <row r="47" spans="1:68" s="1" customFormat="1" ht="30.75" customHeight="1">
      <c r="A47" s="74">
        <f t="shared" si="1"/>
        <v>39</v>
      </c>
      <c r="B47" s="75"/>
      <c r="C47" s="76"/>
      <c r="D47" s="71" t="s">
        <v>1518</v>
      </c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3"/>
      <c r="AA47" s="74" t="s">
        <v>19</v>
      </c>
      <c r="AB47" s="75"/>
      <c r="AC47" s="75"/>
      <c r="AD47" s="75"/>
      <c r="AE47" s="76"/>
      <c r="AF47" s="86">
        <v>2</v>
      </c>
      <c r="AG47" s="86"/>
      <c r="AH47" s="86"/>
      <c r="AI47" s="86"/>
      <c r="AJ47" s="86"/>
      <c r="AK47" s="86"/>
      <c r="AL47" s="68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  <c r="BP47" s="70"/>
    </row>
    <row r="48" spans="1:68" s="1" customFormat="1" ht="30.75" customHeight="1">
      <c r="A48" s="74">
        <f t="shared" si="1"/>
        <v>40</v>
      </c>
      <c r="B48" s="75"/>
      <c r="C48" s="76"/>
      <c r="D48" s="71" t="s">
        <v>1519</v>
      </c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3"/>
      <c r="AA48" s="74" t="s">
        <v>19</v>
      </c>
      <c r="AB48" s="75"/>
      <c r="AC48" s="75"/>
      <c r="AD48" s="75"/>
      <c r="AE48" s="76"/>
      <c r="AF48" s="86">
        <v>15</v>
      </c>
      <c r="AG48" s="86"/>
      <c r="AH48" s="86"/>
      <c r="AI48" s="86"/>
      <c r="AJ48" s="86"/>
      <c r="AK48" s="86"/>
      <c r="AL48" s="68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69"/>
      <c r="BN48" s="69"/>
      <c r="BO48" s="69"/>
      <c r="BP48" s="70"/>
    </row>
    <row r="49" spans="1:68" s="1" customFormat="1" ht="30.75" customHeight="1">
      <c r="A49" s="74">
        <f t="shared" si="1"/>
        <v>41</v>
      </c>
      <c r="B49" s="75"/>
      <c r="C49" s="76"/>
      <c r="D49" s="71" t="s">
        <v>1520</v>
      </c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3"/>
      <c r="AA49" s="74" t="s">
        <v>19</v>
      </c>
      <c r="AB49" s="75"/>
      <c r="AC49" s="75"/>
      <c r="AD49" s="75"/>
      <c r="AE49" s="76"/>
      <c r="AF49" s="86">
        <v>6</v>
      </c>
      <c r="AG49" s="86"/>
      <c r="AH49" s="86"/>
      <c r="AI49" s="86"/>
      <c r="AJ49" s="86"/>
      <c r="AK49" s="86"/>
      <c r="AL49" s="68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69"/>
      <c r="BN49" s="69"/>
      <c r="BO49" s="69"/>
      <c r="BP49" s="70"/>
    </row>
    <row r="50" spans="1:68" s="1" customFormat="1" ht="30.75" customHeight="1">
      <c r="A50" s="74">
        <f t="shared" si="1"/>
        <v>42</v>
      </c>
      <c r="B50" s="75"/>
      <c r="C50" s="76"/>
      <c r="D50" s="71" t="s">
        <v>1521</v>
      </c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3"/>
      <c r="AA50" s="74" t="s">
        <v>19</v>
      </c>
      <c r="AB50" s="75"/>
      <c r="AC50" s="75"/>
      <c r="AD50" s="75"/>
      <c r="AE50" s="76"/>
      <c r="AF50" s="86">
        <v>50</v>
      </c>
      <c r="AG50" s="86"/>
      <c r="AH50" s="86"/>
      <c r="AI50" s="86"/>
      <c r="AJ50" s="86"/>
      <c r="AK50" s="86"/>
      <c r="AL50" s="68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69"/>
      <c r="BN50" s="69"/>
      <c r="BO50" s="69"/>
      <c r="BP50" s="70"/>
    </row>
    <row r="51" spans="1:68" s="1" customFormat="1" ht="30.75" customHeight="1">
      <c r="A51" s="74">
        <f t="shared" si="1"/>
        <v>43</v>
      </c>
      <c r="B51" s="75"/>
      <c r="C51" s="76"/>
      <c r="D51" s="71" t="s">
        <v>1522</v>
      </c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3"/>
      <c r="AA51" s="74" t="s">
        <v>281</v>
      </c>
      <c r="AB51" s="75"/>
      <c r="AC51" s="75"/>
      <c r="AD51" s="75"/>
      <c r="AE51" s="76"/>
      <c r="AF51" s="86">
        <v>4</v>
      </c>
      <c r="AG51" s="86"/>
      <c r="AH51" s="86"/>
      <c r="AI51" s="86"/>
      <c r="AJ51" s="86"/>
      <c r="AK51" s="86"/>
      <c r="AL51" s="68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69"/>
      <c r="BN51" s="69"/>
      <c r="BO51" s="69"/>
      <c r="BP51" s="70"/>
    </row>
    <row r="52" spans="1:68" s="1" customFormat="1" ht="30.75" customHeight="1">
      <c r="A52" s="74">
        <f t="shared" si="1"/>
        <v>44</v>
      </c>
      <c r="B52" s="75"/>
      <c r="C52" s="76"/>
      <c r="D52" s="71" t="s">
        <v>1523</v>
      </c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3"/>
      <c r="AA52" s="74" t="s">
        <v>19</v>
      </c>
      <c r="AB52" s="75"/>
      <c r="AC52" s="75"/>
      <c r="AD52" s="75"/>
      <c r="AE52" s="76"/>
      <c r="AF52" s="86">
        <v>2</v>
      </c>
      <c r="AG52" s="86"/>
      <c r="AH52" s="86"/>
      <c r="AI52" s="86"/>
      <c r="AJ52" s="86"/>
      <c r="AK52" s="86"/>
      <c r="AL52" s="68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69"/>
      <c r="BN52" s="69"/>
      <c r="BO52" s="69"/>
      <c r="BP52" s="70"/>
    </row>
    <row r="53" spans="1:68" s="1" customFormat="1" ht="30.75" customHeight="1">
      <c r="A53" s="74">
        <f t="shared" si="1"/>
        <v>45</v>
      </c>
      <c r="B53" s="75"/>
      <c r="C53" s="76"/>
      <c r="D53" s="71" t="s">
        <v>1524</v>
      </c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3"/>
      <c r="AA53" s="74" t="s">
        <v>19</v>
      </c>
      <c r="AB53" s="75"/>
      <c r="AC53" s="75"/>
      <c r="AD53" s="75"/>
      <c r="AE53" s="76"/>
      <c r="AF53" s="74">
        <v>4</v>
      </c>
      <c r="AG53" s="75"/>
      <c r="AH53" s="76"/>
      <c r="AI53" s="74"/>
      <c r="AJ53" s="75"/>
      <c r="AK53" s="76"/>
      <c r="AL53" s="68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  <c r="BP53" s="70"/>
    </row>
    <row r="54" spans="1:68" s="1" customFormat="1" ht="30.75" customHeight="1">
      <c r="A54" s="74">
        <f t="shared" si="1"/>
        <v>46</v>
      </c>
      <c r="B54" s="75"/>
      <c r="C54" s="76"/>
      <c r="D54" s="71" t="s">
        <v>1525</v>
      </c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3"/>
      <c r="AA54" s="74" t="s">
        <v>19</v>
      </c>
      <c r="AB54" s="75"/>
      <c r="AC54" s="75"/>
      <c r="AD54" s="75"/>
      <c r="AE54" s="76"/>
      <c r="AF54" s="74">
        <v>15</v>
      </c>
      <c r="AG54" s="75"/>
      <c r="AH54" s="76"/>
      <c r="AI54" s="74"/>
      <c r="AJ54" s="75"/>
      <c r="AK54" s="76"/>
      <c r="AL54" s="68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69"/>
      <c r="BN54" s="69"/>
      <c r="BO54" s="69"/>
      <c r="BP54" s="70"/>
    </row>
    <row r="55" spans="1:68" s="1" customFormat="1" ht="30.75" customHeight="1">
      <c r="A55" s="74">
        <f t="shared" si="1"/>
        <v>47</v>
      </c>
      <c r="B55" s="75"/>
      <c r="C55" s="76"/>
      <c r="D55" s="71" t="s">
        <v>1526</v>
      </c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3"/>
      <c r="AA55" s="74" t="s">
        <v>281</v>
      </c>
      <c r="AB55" s="75"/>
      <c r="AC55" s="75"/>
      <c r="AD55" s="75"/>
      <c r="AE55" s="76"/>
      <c r="AF55" s="74">
        <v>4</v>
      </c>
      <c r="AG55" s="75"/>
      <c r="AH55" s="76"/>
      <c r="AI55" s="74"/>
      <c r="AJ55" s="75"/>
      <c r="AK55" s="76"/>
      <c r="AL55" s="83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5"/>
    </row>
    <row r="56" spans="1:68" s="1" customFormat="1" ht="30.75" customHeight="1">
      <c r="A56" s="74">
        <f t="shared" si="1"/>
        <v>48</v>
      </c>
      <c r="B56" s="75"/>
      <c r="C56" s="76"/>
      <c r="D56" s="71" t="s">
        <v>894</v>
      </c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3"/>
      <c r="AA56" s="74" t="s">
        <v>19</v>
      </c>
      <c r="AB56" s="75"/>
      <c r="AC56" s="75"/>
      <c r="AD56" s="75"/>
      <c r="AE56" s="76"/>
      <c r="AF56" s="80">
        <v>4</v>
      </c>
      <c r="AG56" s="81"/>
      <c r="AH56" s="82"/>
      <c r="AI56" s="80"/>
      <c r="AJ56" s="81"/>
      <c r="AK56" s="82"/>
      <c r="AL56" s="83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5"/>
    </row>
    <row r="57" spans="1:68" s="1" customFormat="1" ht="30.75" customHeight="1">
      <c r="A57" s="74">
        <f t="shared" si="1"/>
        <v>49</v>
      </c>
      <c r="B57" s="75"/>
      <c r="C57" s="76"/>
      <c r="D57" s="71" t="s">
        <v>1527</v>
      </c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3"/>
      <c r="AA57" s="74" t="s">
        <v>19</v>
      </c>
      <c r="AB57" s="75"/>
      <c r="AC57" s="75"/>
      <c r="AD57" s="75"/>
      <c r="AE57" s="76"/>
      <c r="AF57" s="86">
        <v>15</v>
      </c>
      <c r="AG57" s="86"/>
      <c r="AH57" s="86"/>
      <c r="AI57" s="86"/>
      <c r="AJ57" s="86"/>
      <c r="AK57" s="86"/>
      <c r="AL57" s="68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69"/>
      <c r="BN57" s="69"/>
      <c r="BO57" s="69"/>
      <c r="BP57" s="70"/>
    </row>
    <row r="58" spans="1:68" s="1" customFormat="1" ht="30.75" customHeight="1">
      <c r="A58" s="74">
        <f t="shared" si="1"/>
        <v>50</v>
      </c>
      <c r="B58" s="75"/>
      <c r="C58" s="76"/>
      <c r="D58" s="71" t="s">
        <v>1528</v>
      </c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3"/>
      <c r="AA58" s="74" t="s">
        <v>281</v>
      </c>
      <c r="AB58" s="75"/>
      <c r="AC58" s="75"/>
      <c r="AD58" s="75"/>
      <c r="AE58" s="76"/>
      <c r="AF58" s="141">
        <v>4</v>
      </c>
      <c r="AG58" s="141"/>
      <c r="AH58" s="141"/>
      <c r="AI58" s="141"/>
      <c r="AJ58" s="141"/>
      <c r="AK58" s="141"/>
      <c r="AL58" s="68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  <c r="BP58" s="70"/>
    </row>
    <row r="59" spans="1:68" s="1" customFormat="1" ht="30.75" customHeight="1">
      <c r="A59" s="74">
        <f t="shared" si="1"/>
        <v>51</v>
      </c>
      <c r="B59" s="75"/>
      <c r="C59" s="76"/>
      <c r="D59" s="71" t="s">
        <v>896</v>
      </c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3"/>
      <c r="AA59" s="74" t="s">
        <v>19</v>
      </c>
      <c r="AB59" s="75"/>
      <c r="AC59" s="75"/>
      <c r="AD59" s="75"/>
      <c r="AE59" s="76"/>
      <c r="AF59" s="74">
        <v>4</v>
      </c>
      <c r="AG59" s="75"/>
      <c r="AH59" s="76"/>
      <c r="AI59" s="74"/>
      <c r="AJ59" s="75"/>
      <c r="AK59" s="76"/>
      <c r="AL59" s="68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  <c r="BM59" s="69"/>
      <c r="BN59" s="69"/>
      <c r="BO59" s="69"/>
      <c r="BP59" s="70"/>
    </row>
    <row r="60" spans="1:68" s="1" customFormat="1" ht="30.75" customHeight="1">
      <c r="A60" s="74">
        <f t="shared" si="1"/>
        <v>52</v>
      </c>
      <c r="B60" s="75"/>
      <c r="C60" s="76"/>
      <c r="D60" s="71" t="s">
        <v>1529</v>
      </c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3"/>
      <c r="AA60" s="74" t="s">
        <v>19</v>
      </c>
      <c r="AB60" s="75"/>
      <c r="AC60" s="75"/>
      <c r="AD60" s="75"/>
      <c r="AE60" s="76"/>
      <c r="AF60" s="74">
        <v>15</v>
      </c>
      <c r="AG60" s="75"/>
      <c r="AH60" s="76"/>
      <c r="AI60" s="74"/>
      <c r="AJ60" s="75"/>
      <c r="AK60" s="76"/>
      <c r="AL60" s="68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69"/>
      <c r="BN60" s="69"/>
      <c r="BO60" s="69"/>
      <c r="BP60" s="70"/>
    </row>
    <row r="61" spans="1:68" s="1" customFormat="1" ht="30.75" customHeight="1">
      <c r="A61" s="74">
        <f t="shared" si="1"/>
        <v>53</v>
      </c>
      <c r="B61" s="75"/>
      <c r="C61" s="76"/>
      <c r="D61" s="71" t="s">
        <v>1530</v>
      </c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3"/>
      <c r="AA61" s="74" t="s">
        <v>19</v>
      </c>
      <c r="AB61" s="75"/>
      <c r="AC61" s="75"/>
      <c r="AD61" s="75"/>
      <c r="AE61" s="76"/>
      <c r="AF61" s="74">
        <v>14</v>
      </c>
      <c r="AG61" s="75"/>
      <c r="AH61" s="76"/>
      <c r="AI61" s="74"/>
      <c r="AJ61" s="75"/>
      <c r="AK61" s="76"/>
      <c r="AL61" s="68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69"/>
      <c r="BN61" s="69"/>
      <c r="BO61" s="69"/>
      <c r="BP61" s="70"/>
    </row>
    <row r="62" spans="1:68" s="1" customFormat="1" ht="30.75" customHeight="1">
      <c r="A62" s="74">
        <f t="shared" si="1"/>
        <v>54</v>
      </c>
      <c r="B62" s="75"/>
      <c r="C62" s="76"/>
      <c r="D62" s="71" t="s">
        <v>1531</v>
      </c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3"/>
      <c r="AA62" s="74" t="s">
        <v>19</v>
      </c>
      <c r="AB62" s="75"/>
      <c r="AC62" s="75"/>
      <c r="AD62" s="75"/>
      <c r="AE62" s="76"/>
      <c r="AF62" s="74">
        <v>14.3</v>
      </c>
      <c r="AG62" s="75"/>
      <c r="AH62" s="76"/>
      <c r="AI62" s="74"/>
      <c r="AJ62" s="75"/>
      <c r="AK62" s="76"/>
      <c r="AL62" s="68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9"/>
      <c r="BF62" s="69"/>
      <c r="BG62" s="69"/>
      <c r="BH62" s="69"/>
      <c r="BI62" s="69"/>
      <c r="BJ62" s="69"/>
      <c r="BK62" s="69"/>
      <c r="BL62" s="69"/>
      <c r="BM62" s="69"/>
      <c r="BN62" s="69"/>
      <c r="BO62" s="69"/>
      <c r="BP62" s="70"/>
    </row>
    <row r="63" spans="1:68" s="1" customFormat="1" ht="30.75" customHeight="1">
      <c r="A63" s="74">
        <f t="shared" si="1"/>
        <v>55</v>
      </c>
      <c r="B63" s="75"/>
      <c r="C63" s="76"/>
      <c r="D63" s="71" t="s">
        <v>1532</v>
      </c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3"/>
      <c r="AA63" s="74" t="s">
        <v>19</v>
      </c>
      <c r="AB63" s="75"/>
      <c r="AC63" s="75"/>
      <c r="AD63" s="75"/>
      <c r="AE63" s="76"/>
      <c r="AF63" s="74">
        <v>9</v>
      </c>
      <c r="AG63" s="75"/>
      <c r="AH63" s="76"/>
      <c r="AI63" s="74"/>
      <c r="AJ63" s="75"/>
      <c r="AK63" s="76"/>
      <c r="AL63" s="68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  <c r="BM63" s="69"/>
      <c r="BN63" s="69"/>
      <c r="BO63" s="69"/>
      <c r="BP63" s="70"/>
    </row>
    <row r="64" spans="1:68" s="1" customFormat="1" ht="30.75" customHeight="1">
      <c r="A64" s="74">
        <f t="shared" si="1"/>
        <v>56</v>
      </c>
      <c r="B64" s="75"/>
      <c r="C64" s="76"/>
      <c r="D64" s="71" t="s">
        <v>1533</v>
      </c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3"/>
      <c r="AA64" s="74" t="s">
        <v>19</v>
      </c>
      <c r="AB64" s="75"/>
      <c r="AC64" s="75"/>
      <c r="AD64" s="75"/>
      <c r="AE64" s="76"/>
      <c r="AF64" s="74">
        <v>25</v>
      </c>
      <c r="AG64" s="75"/>
      <c r="AH64" s="76"/>
      <c r="AI64" s="74"/>
      <c r="AJ64" s="75"/>
      <c r="AK64" s="76"/>
      <c r="AL64" s="68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69"/>
      <c r="BN64" s="69"/>
      <c r="BO64" s="69"/>
      <c r="BP64" s="70"/>
    </row>
    <row r="65" spans="1:68" s="1" customFormat="1" ht="30.75" customHeight="1">
      <c r="A65" s="74">
        <f t="shared" si="1"/>
        <v>57</v>
      </c>
      <c r="B65" s="75"/>
      <c r="C65" s="76"/>
      <c r="D65" s="71" t="s">
        <v>1534</v>
      </c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3"/>
      <c r="AA65" s="74" t="s">
        <v>19</v>
      </c>
      <c r="AB65" s="75"/>
      <c r="AC65" s="75"/>
      <c r="AD65" s="75"/>
      <c r="AE65" s="76"/>
      <c r="AF65" s="86">
        <v>14</v>
      </c>
      <c r="AG65" s="86"/>
      <c r="AH65" s="86"/>
      <c r="AI65" s="86"/>
      <c r="AJ65" s="86"/>
      <c r="AK65" s="86"/>
      <c r="AL65" s="68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69"/>
      <c r="BN65" s="69"/>
      <c r="BO65" s="69"/>
      <c r="BP65" s="70"/>
    </row>
    <row r="66" spans="1:68" s="1" customFormat="1" ht="30.75" customHeight="1">
      <c r="A66" s="74">
        <f t="shared" si="1"/>
        <v>58</v>
      </c>
      <c r="B66" s="75"/>
      <c r="C66" s="76"/>
      <c r="D66" s="71" t="s">
        <v>1535</v>
      </c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3"/>
      <c r="AA66" s="74" t="s">
        <v>19</v>
      </c>
      <c r="AB66" s="75"/>
      <c r="AC66" s="75"/>
      <c r="AD66" s="75"/>
      <c r="AE66" s="76"/>
      <c r="AF66" s="86">
        <v>16</v>
      </c>
      <c r="AG66" s="86"/>
      <c r="AH66" s="86"/>
      <c r="AI66" s="86"/>
      <c r="AJ66" s="86"/>
      <c r="AK66" s="86"/>
      <c r="AL66" s="68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  <c r="BM66" s="69"/>
      <c r="BN66" s="69"/>
      <c r="BO66" s="69"/>
      <c r="BP66" s="70"/>
    </row>
    <row r="67" spans="1:68" s="1" customFormat="1" ht="30.75" customHeight="1">
      <c r="A67" s="74">
        <f t="shared" si="1"/>
        <v>59</v>
      </c>
      <c r="B67" s="75"/>
      <c r="C67" s="76"/>
      <c r="D67" s="71" t="s">
        <v>1536</v>
      </c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3"/>
      <c r="AA67" s="74" t="s">
        <v>19</v>
      </c>
      <c r="AB67" s="75"/>
      <c r="AC67" s="75"/>
      <c r="AD67" s="75"/>
      <c r="AE67" s="76"/>
      <c r="AF67" s="86">
        <v>1</v>
      </c>
      <c r="AG67" s="86"/>
      <c r="AH67" s="86"/>
      <c r="AI67" s="86"/>
      <c r="AJ67" s="86"/>
      <c r="AK67" s="86"/>
      <c r="AL67" s="68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  <c r="BM67" s="69"/>
      <c r="BN67" s="69"/>
      <c r="BO67" s="69"/>
      <c r="BP67" s="70"/>
    </row>
    <row r="68" spans="1:68" s="1" customFormat="1" ht="30.75" customHeight="1">
      <c r="A68" s="74">
        <f t="shared" si="1"/>
        <v>60</v>
      </c>
      <c r="B68" s="75"/>
      <c r="C68" s="76"/>
      <c r="D68" s="71" t="s">
        <v>1537</v>
      </c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3"/>
      <c r="AA68" s="74" t="s">
        <v>19</v>
      </c>
      <c r="AB68" s="75"/>
      <c r="AC68" s="75"/>
      <c r="AD68" s="75"/>
      <c r="AE68" s="76"/>
      <c r="AF68" s="86">
        <v>6</v>
      </c>
      <c r="AG68" s="86"/>
      <c r="AH68" s="86"/>
      <c r="AI68" s="86"/>
      <c r="AJ68" s="86"/>
      <c r="AK68" s="86"/>
      <c r="AL68" s="68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  <c r="BM68" s="69"/>
      <c r="BN68" s="69"/>
      <c r="BO68" s="69"/>
      <c r="BP68" s="70"/>
    </row>
    <row r="69" spans="1:68" s="1" customFormat="1" ht="30.75" customHeight="1">
      <c r="A69" s="74">
        <f t="shared" si="1"/>
        <v>61</v>
      </c>
      <c r="B69" s="75"/>
      <c r="C69" s="76"/>
      <c r="D69" s="71" t="s">
        <v>1538</v>
      </c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3"/>
      <c r="AA69" s="74" t="s">
        <v>281</v>
      </c>
      <c r="AB69" s="75"/>
      <c r="AC69" s="75"/>
      <c r="AD69" s="75"/>
      <c r="AE69" s="76"/>
      <c r="AF69" s="86">
        <v>8</v>
      </c>
      <c r="AG69" s="86"/>
      <c r="AH69" s="86"/>
      <c r="AI69" s="86"/>
      <c r="AJ69" s="86"/>
      <c r="AK69" s="86"/>
      <c r="AL69" s="68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69"/>
      <c r="BN69" s="69"/>
      <c r="BO69" s="69"/>
      <c r="BP69" s="70"/>
    </row>
    <row r="70" spans="1:68" s="1" customFormat="1" ht="30.75" customHeight="1">
      <c r="A70" s="74"/>
      <c r="B70" s="75"/>
      <c r="C70" s="76"/>
      <c r="D70" s="71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3"/>
      <c r="AA70" s="74"/>
      <c r="AB70" s="75"/>
      <c r="AC70" s="75"/>
      <c r="AD70" s="75"/>
      <c r="AE70" s="76"/>
      <c r="AF70" s="86"/>
      <c r="AG70" s="86"/>
      <c r="AH70" s="86"/>
      <c r="AI70" s="86"/>
      <c r="AJ70" s="86"/>
      <c r="AK70" s="86"/>
      <c r="AL70" s="68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69"/>
      <c r="BN70" s="69"/>
      <c r="BO70" s="69"/>
      <c r="BP70" s="70"/>
    </row>
    <row r="71" spans="1:68" s="1" customFormat="1" ht="30.75" customHeight="1">
      <c r="A71" s="91"/>
      <c r="B71" s="91"/>
      <c r="C71" s="91"/>
      <c r="D71" s="77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9"/>
      <c r="AA71" s="80"/>
      <c r="AB71" s="81"/>
      <c r="AC71" s="81"/>
      <c r="AD71" s="81"/>
      <c r="AE71" s="82"/>
      <c r="AF71" s="87"/>
      <c r="AG71" s="87"/>
      <c r="AH71" s="87"/>
      <c r="AI71" s="87"/>
      <c r="AJ71" s="87"/>
      <c r="AK71" s="87"/>
      <c r="AL71" s="83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5"/>
    </row>
    <row r="72" spans="1:68" s="4" customFormat="1" ht="3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3"/>
      <c r="AG72" s="3"/>
      <c r="AH72" s="3"/>
      <c r="AI72" s="3"/>
      <c r="AJ72" s="3"/>
      <c r="AK72" s="3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</row>
    <row r="73" spans="1:68" s="4" customFormat="1" ht="14.25">
      <c r="A73" s="5" t="s">
        <v>14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15"/>
      <c r="AG73" s="15"/>
      <c r="AH73" s="15"/>
      <c r="AI73" s="15"/>
      <c r="AJ73" s="15"/>
      <c r="AK73" s="15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6"/>
    </row>
    <row r="74" spans="1:68" s="4" customFormat="1" ht="20.25" customHeight="1">
      <c r="A74" s="5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6"/>
    </row>
    <row r="75" spans="1:68" s="4" customFormat="1" ht="20.25" customHeight="1">
      <c r="A75" s="5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6"/>
    </row>
    <row r="76" spans="1:68" s="4" customFormat="1" ht="20.25" customHeight="1">
      <c r="A76" s="5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6"/>
    </row>
    <row r="77" spans="1:68" s="4" customFormat="1" ht="20.25" customHeight="1">
      <c r="A77" s="5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6"/>
    </row>
    <row r="78" spans="1:68" s="4" customFormat="1" ht="20.25" customHeight="1">
      <c r="A78" s="7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9"/>
    </row>
    <row r="79" spans="1:68" ht="5.25" customHeight="1"/>
  </sheetData>
  <mergeCells count="403">
    <mergeCell ref="A71:C71"/>
    <mergeCell ref="D71:Z71"/>
    <mergeCell ref="AA71:AE71"/>
    <mergeCell ref="AF71:AH71"/>
    <mergeCell ref="AI71:AK71"/>
    <mergeCell ref="AL71:BP71"/>
    <mergeCell ref="A70:C70"/>
    <mergeCell ref="D70:Z70"/>
    <mergeCell ref="AA70:AE70"/>
    <mergeCell ref="AF70:AH70"/>
    <mergeCell ref="AI70:AK70"/>
    <mergeCell ref="AL70:BP70"/>
    <mergeCell ref="A69:C69"/>
    <mergeCell ref="D69:Z69"/>
    <mergeCell ref="AA69:AE69"/>
    <mergeCell ref="AF69:AH69"/>
    <mergeCell ref="AI69:AK69"/>
    <mergeCell ref="AL69:BP69"/>
    <mergeCell ref="A68:C68"/>
    <mergeCell ref="D68:Z68"/>
    <mergeCell ref="AA68:AE68"/>
    <mergeCell ref="AF68:AH68"/>
    <mergeCell ref="AI68:AK68"/>
    <mergeCell ref="AL68:BP68"/>
    <mergeCell ref="A67:C67"/>
    <mergeCell ref="D67:Z67"/>
    <mergeCell ref="AA67:AE67"/>
    <mergeCell ref="AF67:AH67"/>
    <mergeCell ref="AI67:AK67"/>
    <mergeCell ref="AL67:BP67"/>
    <mergeCell ref="A66:C66"/>
    <mergeCell ref="D66:Z66"/>
    <mergeCell ref="AA66:AE66"/>
    <mergeCell ref="AF66:AH66"/>
    <mergeCell ref="AI66:AK66"/>
    <mergeCell ref="AL66:BP66"/>
    <mergeCell ref="A65:C65"/>
    <mergeCell ref="D65:Z65"/>
    <mergeCell ref="AA65:AE65"/>
    <mergeCell ref="AF65:AH65"/>
    <mergeCell ref="AI65:AK65"/>
    <mergeCell ref="AL65:BP65"/>
    <mergeCell ref="A64:C64"/>
    <mergeCell ref="D64:Z64"/>
    <mergeCell ref="AA64:AE64"/>
    <mergeCell ref="AF64:AH64"/>
    <mergeCell ref="AI64:AK64"/>
    <mergeCell ref="AL64:BP64"/>
    <mergeCell ref="A63:C63"/>
    <mergeCell ref="D63:Z63"/>
    <mergeCell ref="AA63:AE63"/>
    <mergeCell ref="AF63:AH63"/>
    <mergeCell ref="AI63:AK63"/>
    <mergeCell ref="AL63:BP63"/>
    <mergeCell ref="A62:C62"/>
    <mergeCell ref="D62:Z62"/>
    <mergeCell ref="AA62:AE62"/>
    <mergeCell ref="AF62:AH62"/>
    <mergeCell ref="AI62:AK62"/>
    <mergeCell ref="AL62:BP62"/>
    <mergeCell ref="A59:C59"/>
    <mergeCell ref="D59:Z59"/>
    <mergeCell ref="AA59:AE59"/>
    <mergeCell ref="AF59:AH59"/>
    <mergeCell ref="AI59:AK59"/>
    <mergeCell ref="AL59:BP59"/>
    <mergeCell ref="A61:C61"/>
    <mergeCell ref="D61:Z61"/>
    <mergeCell ref="AA61:AE61"/>
    <mergeCell ref="AF61:AH61"/>
    <mergeCell ref="AI61:AK61"/>
    <mergeCell ref="AL61:BP61"/>
    <mergeCell ref="A60:C60"/>
    <mergeCell ref="D60:Z60"/>
    <mergeCell ref="AA60:AE60"/>
    <mergeCell ref="AF60:AH60"/>
    <mergeCell ref="AI60:AK60"/>
    <mergeCell ref="AL60:BP60"/>
    <mergeCell ref="A58:C58"/>
    <mergeCell ref="D58:Z58"/>
    <mergeCell ref="AA58:AE58"/>
    <mergeCell ref="AF58:AH58"/>
    <mergeCell ref="AI58:AK58"/>
    <mergeCell ref="AL58:BP58"/>
    <mergeCell ref="A57:C57"/>
    <mergeCell ref="D57:Z57"/>
    <mergeCell ref="AA57:AE57"/>
    <mergeCell ref="AF57:AH57"/>
    <mergeCell ref="AI57:AK57"/>
    <mergeCell ref="AL57:BP57"/>
    <mergeCell ref="A56:C56"/>
    <mergeCell ref="D56:Z56"/>
    <mergeCell ref="AA56:AE56"/>
    <mergeCell ref="AF56:AH56"/>
    <mergeCell ref="AI56:AK56"/>
    <mergeCell ref="AL56:BP56"/>
    <mergeCell ref="A55:C55"/>
    <mergeCell ref="D55:Z55"/>
    <mergeCell ref="AA55:AE55"/>
    <mergeCell ref="AF55:AH55"/>
    <mergeCell ref="AI55:AK55"/>
    <mergeCell ref="AL55:BP55"/>
    <mergeCell ref="A54:C54"/>
    <mergeCell ref="D54:Z54"/>
    <mergeCell ref="AA54:AE54"/>
    <mergeCell ref="AF54:AH54"/>
    <mergeCell ref="AI54:AK54"/>
    <mergeCell ref="AL54:BP54"/>
    <mergeCell ref="A53:C53"/>
    <mergeCell ref="D53:Z53"/>
    <mergeCell ref="AA53:AE53"/>
    <mergeCell ref="AF53:AH53"/>
    <mergeCell ref="AI53:AK53"/>
    <mergeCell ref="AL53:BP53"/>
    <mergeCell ref="A52:C52"/>
    <mergeCell ref="D52:Z52"/>
    <mergeCell ref="AA52:AE52"/>
    <mergeCell ref="AF52:AH52"/>
    <mergeCell ref="AI52:AK52"/>
    <mergeCell ref="AL52:BP52"/>
    <mergeCell ref="A51:C51"/>
    <mergeCell ref="D51:Z51"/>
    <mergeCell ref="AA51:AE51"/>
    <mergeCell ref="AF51:AH51"/>
    <mergeCell ref="AI51:AK51"/>
    <mergeCell ref="AL51:BP51"/>
    <mergeCell ref="A50:C50"/>
    <mergeCell ref="D50:Z50"/>
    <mergeCell ref="AA50:AE50"/>
    <mergeCell ref="AF50:AH50"/>
    <mergeCell ref="AI50:AK50"/>
    <mergeCell ref="AL50:BP50"/>
    <mergeCell ref="A49:C49"/>
    <mergeCell ref="D49:Z49"/>
    <mergeCell ref="AA49:AE49"/>
    <mergeCell ref="AF49:AH49"/>
    <mergeCell ref="AI49:AK49"/>
    <mergeCell ref="AL49:BP49"/>
    <mergeCell ref="A48:C48"/>
    <mergeCell ref="D48:Z48"/>
    <mergeCell ref="AA48:AE48"/>
    <mergeCell ref="AF48:AH48"/>
    <mergeCell ref="AI48:AK48"/>
    <mergeCell ref="AL48:BP48"/>
    <mergeCell ref="A47:C47"/>
    <mergeCell ref="D47:Z47"/>
    <mergeCell ref="AA47:AE47"/>
    <mergeCell ref="AF47:AH47"/>
    <mergeCell ref="AI47:AK47"/>
    <mergeCell ref="AL47:BP47"/>
    <mergeCell ref="A46:C46"/>
    <mergeCell ref="D46:Z46"/>
    <mergeCell ref="AA46:AE46"/>
    <mergeCell ref="AF46:AH46"/>
    <mergeCell ref="AI46:AK46"/>
    <mergeCell ref="AL46:BP46"/>
    <mergeCell ref="A45:C45"/>
    <mergeCell ref="D45:Z45"/>
    <mergeCell ref="AA45:AE45"/>
    <mergeCell ref="AF45:AH45"/>
    <mergeCell ref="AI45:AK45"/>
    <mergeCell ref="AL45:BP45"/>
    <mergeCell ref="A28:C28"/>
    <mergeCell ref="D28:Z28"/>
    <mergeCell ref="AA28:AE28"/>
    <mergeCell ref="AF28:AH28"/>
    <mergeCell ref="AI28:AK28"/>
    <mergeCell ref="AL28:BP28"/>
    <mergeCell ref="A27:C27"/>
    <mergeCell ref="D27:Z27"/>
    <mergeCell ref="AA27:AE27"/>
    <mergeCell ref="AF27:AH27"/>
    <mergeCell ref="AI27:AK27"/>
    <mergeCell ref="AL27:BP27"/>
    <mergeCell ref="A26:C26"/>
    <mergeCell ref="D26:Z26"/>
    <mergeCell ref="AA26:AE26"/>
    <mergeCell ref="AF26:AH26"/>
    <mergeCell ref="AI26:AK26"/>
    <mergeCell ref="AL26:BP26"/>
    <mergeCell ref="A25:C25"/>
    <mergeCell ref="D25:Z25"/>
    <mergeCell ref="AA25:AE25"/>
    <mergeCell ref="AF25:AH25"/>
    <mergeCell ref="AI25:AK25"/>
    <mergeCell ref="AL25:BP25"/>
    <mergeCell ref="A24:C24"/>
    <mergeCell ref="D24:Z24"/>
    <mergeCell ref="AA24:AE24"/>
    <mergeCell ref="AF24:AH24"/>
    <mergeCell ref="AI24:AK24"/>
    <mergeCell ref="AL24:BP24"/>
    <mergeCell ref="A23:C23"/>
    <mergeCell ref="D23:Z23"/>
    <mergeCell ref="AA23:AE23"/>
    <mergeCell ref="AF23:AH23"/>
    <mergeCell ref="AI23:AK23"/>
    <mergeCell ref="AL23:BP23"/>
    <mergeCell ref="A22:C22"/>
    <mergeCell ref="D22:Z22"/>
    <mergeCell ref="AA22:AE22"/>
    <mergeCell ref="AF22:AH22"/>
    <mergeCell ref="AI22:AK22"/>
    <mergeCell ref="AL22:BP22"/>
    <mergeCell ref="A21:C21"/>
    <mergeCell ref="D21:Z21"/>
    <mergeCell ref="AA21:AE21"/>
    <mergeCell ref="AF21:AH21"/>
    <mergeCell ref="AI21:AK21"/>
    <mergeCell ref="AL21:BP21"/>
    <mergeCell ref="A20:C20"/>
    <mergeCell ref="D20:Z20"/>
    <mergeCell ref="AA20:AE20"/>
    <mergeCell ref="AF20:AH20"/>
    <mergeCell ref="AI20:AK20"/>
    <mergeCell ref="AL20:BP20"/>
    <mergeCell ref="A19:C19"/>
    <mergeCell ref="D19:Z19"/>
    <mergeCell ref="AA19:AE19"/>
    <mergeCell ref="AF19:AH19"/>
    <mergeCell ref="AI19:AK19"/>
    <mergeCell ref="AL19:BP19"/>
    <mergeCell ref="A18:C18"/>
    <mergeCell ref="D18:Z18"/>
    <mergeCell ref="AA18:AE18"/>
    <mergeCell ref="AF18:AH18"/>
    <mergeCell ref="AI18:AK18"/>
    <mergeCell ref="AL18:BP18"/>
    <mergeCell ref="A17:C17"/>
    <mergeCell ref="D17:Z17"/>
    <mergeCell ref="AA17:AE17"/>
    <mergeCell ref="AF17:AH17"/>
    <mergeCell ref="AI17:AK17"/>
    <mergeCell ref="AL17:BP17"/>
    <mergeCell ref="A16:C16"/>
    <mergeCell ref="D16:Z16"/>
    <mergeCell ref="AA16:AE16"/>
    <mergeCell ref="AF16:AH16"/>
    <mergeCell ref="AI16:AK16"/>
    <mergeCell ref="AL16:BP16"/>
    <mergeCell ref="A15:C15"/>
    <mergeCell ref="D15:Z15"/>
    <mergeCell ref="AA15:AE15"/>
    <mergeCell ref="AF15:AH15"/>
    <mergeCell ref="AI15:AK15"/>
    <mergeCell ref="AL15:BP15"/>
    <mergeCell ref="A14:C14"/>
    <mergeCell ref="D14:Z14"/>
    <mergeCell ref="AA14:AE14"/>
    <mergeCell ref="AF14:AH14"/>
    <mergeCell ref="AI14:AK14"/>
    <mergeCell ref="AL14:BP14"/>
    <mergeCell ref="A13:C13"/>
    <mergeCell ref="D13:Z13"/>
    <mergeCell ref="AA13:AE13"/>
    <mergeCell ref="AF13:AH13"/>
    <mergeCell ref="AI13:AK13"/>
    <mergeCell ref="AL13:BP13"/>
    <mergeCell ref="A12:C12"/>
    <mergeCell ref="D12:Z12"/>
    <mergeCell ref="AA12:AE12"/>
    <mergeCell ref="AF12:AH12"/>
    <mergeCell ref="AI12:AK12"/>
    <mergeCell ref="AL12:BP12"/>
    <mergeCell ref="A11:C11"/>
    <mergeCell ref="D11:Z11"/>
    <mergeCell ref="AA11:AE11"/>
    <mergeCell ref="AF11:AH11"/>
    <mergeCell ref="AI11:AK11"/>
    <mergeCell ref="AL11:BP11"/>
    <mergeCell ref="A8:C8"/>
    <mergeCell ref="D8:Z8"/>
    <mergeCell ref="AA8:AE8"/>
    <mergeCell ref="AF8:AH8"/>
    <mergeCell ref="AI8:AK8"/>
    <mergeCell ref="AL8:BP8"/>
    <mergeCell ref="A10:C10"/>
    <mergeCell ref="D10:Z10"/>
    <mergeCell ref="AA10:AE10"/>
    <mergeCell ref="AF10:AH10"/>
    <mergeCell ref="AI10:AK10"/>
    <mergeCell ref="AL10:BP10"/>
    <mergeCell ref="A9:C9"/>
    <mergeCell ref="D9:Z9"/>
    <mergeCell ref="AA9:AE9"/>
    <mergeCell ref="AF9:AH9"/>
    <mergeCell ref="AI9:AK9"/>
    <mergeCell ref="AL9:BP9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29:C29"/>
    <mergeCell ref="D29:Z29"/>
    <mergeCell ref="AA29:AE29"/>
    <mergeCell ref="AF29:AH29"/>
    <mergeCell ref="AI29:AK29"/>
    <mergeCell ref="AL29:BP29"/>
    <mergeCell ref="A30:C30"/>
    <mergeCell ref="D30:Z30"/>
    <mergeCell ref="AA30:AE30"/>
    <mergeCell ref="AF30:AH30"/>
    <mergeCell ref="AI30:AK30"/>
    <mergeCell ref="AL30:BP30"/>
    <mergeCell ref="A31:C31"/>
    <mergeCell ref="D31:Z31"/>
    <mergeCell ref="AA31:AE31"/>
    <mergeCell ref="AF31:AH31"/>
    <mergeCell ref="AI31:AK31"/>
    <mergeCell ref="AL31:BP31"/>
    <mergeCell ref="A32:C32"/>
    <mergeCell ref="D32:Z32"/>
    <mergeCell ref="AA32:AE32"/>
    <mergeCell ref="AF32:AH32"/>
    <mergeCell ref="AI32:AK32"/>
    <mergeCell ref="AL32:BP32"/>
    <mergeCell ref="A33:C33"/>
    <mergeCell ref="D33:Z33"/>
    <mergeCell ref="AA33:AE33"/>
    <mergeCell ref="AF33:AH33"/>
    <mergeCell ref="AI33:AK33"/>
    <mergeCell ref="AL33:BP33"/>
    <mergeCell ref="A34:C34"/>
    <mergeCell ref="D34:Z34"/>
    <mergeCell ref="AA34:AE34"/>
    <mergeCell ref="AF34:AH34"/>
    <mergeCell ref="AI34:AK34"/>
    <mergeCell ref="AL34:BP34"/>
    <mergeCell ref="A35:C35"/>
    <mergeCell ref="D35:Z35"/>
    <mergeCell ref="AA35:AE35"/>
    <mergeCell ref="AF35:AH35"/>
    <mergeCell ref="AI35:AK35"/>
    <mergeCell ref="AL35:BP35"/>
    <mergeCell ref="A36:C36"/>
    <mergeCell ref="D36:Z36"/>
    <mergeCell ref="AA36:AE36"/>
    <mergeCell ref="AF36:AH36"/>
    <mergeCell ref="AI36:AK36"/>
    <mergeCell ref="AL36:BP36"/>
    <mergeCell ref="A37:C37"/>
    <mergeCell ref="D37:Z37"/>
    <mergeCell ref="AA37:AE37"/>
    <mergeCell ref="AF37:AH37"/>
    <mergeCell ref="AI37:AK37"/>
    <mergeCell ref="AL37:BP37"/>
    <mergeCell ref="A38:C38"/>
    <mergeCell ref="D38:Z38"/>
    <mergeCell ref="AA38:AE38"/>
    <mergeCell ref="AF38:AH38"/>
    <mergeCell ref="AI38:AK38"/>
    <mergeCell ref="AL38:BP38"/>
    <mergeCell ref="A39:C39"/>
    <mergeCell ref="D39:Z39"/>
    <mergeCell ref="AA39:AE39"/>
    <mergeCell ref="AF39:AH39"/>
    <mergeCell ref="AI39:AK39"/>
    <mergeCell ref="AL39:BP39"/>
    <mergeCell ref="A40:C40"/>
    <mergeCell ref="D40:Z40"/>
    <mergeCell ref="AA40:AE40"/>
    <mergeCell ref="AF40:AH40"/>
    <mergeCell ref="AI40:AK40"/>
    <mergeCell ref="AL40:BP40"/>
    <mergeCell ref="A41:C41"/>
    <mergeCell ref="D41:Z41"/>
    <mergeCell ref="AA41:AE41"/>
    <mergeCell ref="AF41:AH41"/>
    <mergeCell ref="AI41:AK41"/>
    <mergeCell ref="AL41:BP41"/>
    <mergeCell ref="A42:C42"/>
    <mergeCell ref="D42:Z42"/>
    <mergeCell ref="AA42:AE42"/>
    <mergeCell ref="AF42:AH42"/>
    <mergeCell ref="AI42:AK42"/>
    <mergeCell ref="AL42:BP42"/>
    <mergeCell ref="A43:C43"/>
    <mergeCell ref="D43:Z43"/>
    <mergeCell ref="AA43:AE43"/>
    <mergeCell ref="AF43:AH43"/>
    <mergeCell ref="AI43:AK43"/>
    <mergeCell ref="AL43:BP43"/>
    <mergeCell ref="A44:C44"/>
    <mergeCell ref="D44:Z44"/>
    <mergeCell ref="AA44:AE44"/>
    <mergeCell ref="AF44:AH44"/>
    <mergeCell ref="AI44:AK44"/>
    <mergeCell ref="AL44:BP44"/>
  </mergeCells>
  <phoneticPr fontId="3"/>
  <dataValidations count="1">
    <dataValidation type="list" allowBlank="1" showInputMessage="1" showErrorMessage="1" sqref="BJ6:BP6" xr:uid="{8E39799B-F7FE-43EF-A86D-A594F4F8CC35}">
      <formula1>"原票、画面,帳票,連動ファイル,論理ファイル"</formula1>
    </dataValidation>
  </dataValidations>
  <pageMargins left="0.59055118110236227" right="0.47244094488188981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3695D-B294-473B-A882-5758A480CD13}">
  <dimension ref="A1:BR86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8" width="2.125" style="55"/>
    <col min="39" max="44" width="0" style="55" hidden="1" customWidth="1"/>
    <col min="45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58" t="s">
        <v>217</v>
      </c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95" t="s">
        <v>605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1448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125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129">
        <f t="shared" ref="A9" si="0">ROW()-8</f>
        <v>1</v>
      </c>
      <c r="B9" s="130"/>
      <c r="C9" s="131"/>
      <c r="D9" s="132" t="s">
        <v>1561</v>
      </c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4"/>
      <c r="AA9" s="129" t="s">
        <v>278</v>
      </c>
      <c r="AB9" s="130"/>
      <c r="AC9" s="130"/>
      <c r="AD9" s="130"/>
      <c r="AE9" s="131"/>
      <c r="AF9" s="129">
        <v>21</v>
      </c>
      <c r="AG9" s="130"/>
      <c r="AH9" s="131"/>
      <c r="AI9" s="129"/>
      <c r="AJ9" s="130"/>
      <c r="AK9" s="131"/>
      <c r="AL9" s="135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6"/>
      <c r="BH9" s="136"/>
      <c r="BI9" s="136"/>
      <c r="BJ9" s="136"/>
      <c r="BK9" s="136"/>
      <c r="BL9" s="136"/>
      <c r="BM9" s="136"/>
      <c r="BN9" s="136"/>
      <c r="BO9" s="136"/>
      <c r="BP9" s="137"/>
    </row>
    <row r="10" spans="1:70" s="1" customFormat="1" ht="30.75" customHeight="1">
      <c r="A10" s="74">
        <f t="shared" ref="A10:A76" si="1">ROW()-8</f>
        <v>2</v>
      </c>
      <c r="B10" s="75"/>
      <c r="C10" s="76"/>
      <c r="D10" s="71" t="s">
        <v>1396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  <c r="AA10" s="74" t="s">
        <v>19</v>
      </c>
      <c r="AB10" s="75"/>
      <c r="AC10" s="75"/>
      <c r="AD10" s="75"/>
      <c r="AE10" s="76"/>
      <c r="AF10" s="74">
        <v>2</v>
      </c>
      <c r="AG10" s="75"/>
      <c r="AH10" s="76"/>
      <c r="AI10" s="74"/>
      <c r="AJ10" s="75"/>
      <c r="AK10" s="76"/>
      <c r="AL10" s="68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74">
        <f t="shared" si="1"/>
        <v>3</v>
      </c>
      <c r="B11" s="75"/>
      <c r="C11" s="76"/>
      <c r="D11" s="71" t="s">
        <v>1505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3"/>
      <c r="AA11" s="74" t="s">
        <v>19</v>
      </c>
      <c r="AB11" s="75"/>
      <c r="AC11" s="75"/>
      <c r="AD11" s="75"/>
      <c r="AE11" s="76"/>
      <c r="AF11" s="74">
        <v>15</v>
      </c>
      <c r="AG11" s="75"/>
      <c r="AH11" s="76"/>
      <c r="AI11" s="74"/>
      <c r="AJ11" s="75"/>
      <c r="AK11" s="76"/>
      <c r="AL11" s="68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70"/>
    </row>
    <row r="12" spans="1:70" s="1" customFormat="1" ht="30.75" customHeight="1">
      <c r="A12" s="74">
        <f t="shared" si="1"/>
        <v>4</v>
      </c>
      <c r="B12" s="75"/>
      <c r="C12" s="76"/>
      <c r="D12" s="71" t="s">
        <v>1506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3"/>
      <c r="AA12" s="74" t="s">
        <v>19</v>
      </c>
      <c r="AB12" s="75"/>
      <c r="AC12" s="75"/>
      <c r="AD12" s="75"/>
      <c r="AE12" s="76"/>
      <c r="AF12" s="74">
        <v>12</v>
      </c>
      <c r="AG12" s="75"/>
      <c r="AH12" s="76"/>
      <c r="AI12" s="74"/>
      <c r="AJ12" s="75"/>
      <c r="AK12" s="76"/>
      <c r="AL12" s="68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70"/>
    </row>
    <row r="13" spans="1:70" s="1" customFormat="1" ht="30.75" customHeight="1">
      <c r="A13" s="74">
        <f t="shared" si="1"/>
        <v>5</v>
      </c>
      <c r="B13" s="75"/>
      <c r="C13" s="76"/>
      <c r="D13" s="71" t="s">
        <v>1395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3"/>
      <c r="AA13" s="74" t="s">
        <v>19</v>
      </c>
      <c r="AB13" s="75"/>
      <c r="AC13" s="75"/>
      <c r="AD13" s="75"/>
      <c r="AE13" s="76"/>
      <c r="AF13" s="86">
        <v>2</v>
      </c>
      <c r="AG13" s="86"/>
      <c r="AH13" s="86"/>
      <c r="AI13" s="86"/>
      <c r="AJ13" s="86"/>
      <c r="AK13" s="86"/>
      <c r="AL13" s="68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70"/>
    </row>
    <row r="14" spans="1:70" s="1" customFormat="1" ht="30.75" customHeight="1">
      <c r="A14" s="74">
        <f t="shared" si="1"/>
        <v>6</v>
      </c>
      <c r="B14" s="75"/>
      <c r="C14" s="76"/>
      <c r="D14" s="71" t="s">
        <v>1507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3"/>
      <c r="AA14" s="74" t="s">
        <v>19</v>
      </c>
      <c r="AB14" s="75"/>
      <c r="AC14" s="75"/>
      <c r="AD14" s="75"/>
      <c r="AE14" s="76"/>
      <c r="AF14" s="86">
        <v>10</v>
      </c>
      <c r="AG14" s="86"/>
      <c r="AH14" s="86"/>
      <c r="AI14" s="86"/>
      <c r="AJ14" s="86"/>
      <c r="AK14" s="86"/>
      <c r="AL14" s="68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70"/>
    </row>
    <row r="15" spans="1:70" s="1" customFormat="1" ht="30.75" customHeight="1">
      <c r="A15" s="74">
        <f t="shared" si="1"/>
        <v>7</v>
      </c>
      <c r="B15" s="75"/>
      <c r="C15" s="76"/>
      <c r="D15" s="71" t="s">
        <v>1508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3"/>
      <c r="AA15" s="74" t="s">
        <v>19</v>
      </c>
      <c r="AB15" s="75"/>
      <c r="AC15" s="75"/>
      <c r="AD15" s="75"/>
      <c r="AE15" s="76"/>
      <c r="AF15" s="86">
        <v>3</v>
      </c>
      <c r="AG15" s="86"/>
      <c r="AH15" s="86"/>
      <c r="AI15" s="86"/>
      <c r="AJ15" s="86"/>
      <c r="AK15" s="86"/>
      <c r="AL15" s="68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70"/>
    </row>
    <row r="16" spans="1:70" s="1" customFormat="1" ht="30.75" customHeight="1">
      <c r="A16" s="74">
        <f t="shared" si="1"/>
        <v>8</v>
      </c>
      <c r="B16" s="75"/>
      <c r="C16" s="76"/>
      <c r="D16" s="71" t="s">
        <v>1509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3"/>
      <c r="AA16" s="74" t="s">
        <v>19</v>
      </c>
      <c r="AB16" s="75"/>
      <c r="AC16" s="75"/>
      <c r="AD16" s="75"/>
      <c r="AE16" s="76"/>
      <c r="AF16" s="74">
        <v>30</v>
      </c>
      <c r="AG16" s="75"/>
      <c r="AH16" s="76"/>
      <c r="AI16" s="74"/>
      <c r="AJ16" s="75"/>
      <c r="AK16" s="76"/>
      <c r="AL16" s="68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70"/>
    </row>
    <row r="17" spans="1:68" s="1" customFormat="1" ht="30.75" customHeight="1">
      <c r="A17" s="74">
        <f t="shared" si="1"/>
        <v>9</v>
      </c>
      <c r="B17" s="75"/>
      <c r="C17" s="76"/>
      <c r="D17" s="71" t="s">
        <v>1510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3"/>
      <c r="AA17" s="74" t="s">
        <v>19</v>
      </c>
      <c r="AB17" s="75"/>
      <c r="AC17" s="75"/>
      <c r="AD17" s="75"/>
      <c r="AE17" s="76"/>
      <c r="AF17" s="74">
        <v>4</v>
      </c>
      <c r="AG17" s="75"/>
      <c r="AH17" s="76"/>
      <c r="AI17" s="74"/>
      <c r="AJ17" s="75"/>
      <c r="AK17" s="76"/>
      <c r="AL17" s="68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70"/>
    </row>
    <row r="18" spans="1:68" s="1" customFormat="1" ht="30.75" customHeight="1">
      <c r="A18" s="74">
        <f t="shared" si="1"/>
        <v>10</v>
      </c>
      <c r="B18" s="75"/>
      <c r="C18" s="76"/>
      <c r="D18" s="71" t="s">
        <v>1511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3"/>
      <c r="AA18" s="74" t="s">
        <v>19</v>
      </c>
      <c r="AB18" s="75"/>
      <c r="AC18" s="75"/>
      <c r="AD18" s="75"/>
      <c r="AE18" s="76"/>
      <c r="AF18" s="74">
        <v>18</v>
      </c>
      <c r="AG18" s="75"/>
      <c r="AH18" s="76"/>
      <c r="AI18" s="74"/>
      <c r="AJ18" s="75"/>
      <c r="AK18" s="76"/>
      <c r="AL18" s="68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70"/>
    </row>
    <row r="19" spans="1:68" s="1" customFormat="1" ht="30.75" customHeight="1">
      <c r="A19" s="74">
        <f t="shared" si="1"/>
        <v>11</v>
      </c>
      <c r="B19" s="75"/>
      <c r="C19" s="76"/>
      <c r="D19" s="71" t="s">
        <v>1468</v>
      </c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3"/>
      <c r="AA19" s="74" t="s">
        <v>19</v>
      </c>
      <c r="AB19" s="75"/>
      <c r="AC19" s="75"/>
      <c r="AD19" s="75"/>
      <c r="AE19" s="76"/>
      <c r="AF19" s="74">
        <v>4</v>
      </c>
      <c r="AG19" s="75"/>
      <c r="AH19" s="76"/>
      <c r="AI19" s="74"/>
      <c r="AJ19" s="75"/>
      <c r="AK19" s="76"/>
      <c r="AL19" s="68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70"/>
    </row>
    <row r="20" spans="1:68" s="1" customFormat="1" ht="30.75" customHeight="1">
      <c r="A20" s="74">
        <f t="shared" si="1"/>
        <v>12</v>
      </c>
      <c r="B20" s="75"/>
      <c r="C20" s="76"/>
      <c r="D20" s="71" t="s">
        <v>1461</v>
      </c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3"/>
      <c r="AA20" s="74" t="s">
        <v>281</v>
      </c>
      <c r="AB20" s="75"/>
      <c r="AC20" s="75"/>
      <c r="AD20" s="75"/>
      <c r="AE20" s="76"/>
      <c r="AF20" s="74">
        <v>8</v>
      </c>
      <c r="AG20" s="75"/>
      <c r="AH20" s="76"/>
      <c r="AI20" s="74"/>
      <c r="AJ20" s="75"/>
      <c r="AK20" s="76"/>
      <c r="AL20" s="68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70"/>
    </row>
    <row r="21" spans="1:68" s="1" customFormat="1" ht="30.75" customHeight="1">
      <c r="A21" s="74">
        <f t="shared" si="1"/>
        <v>13</v>
      </c>
      <c r="B21" s="75"/>
      <c r="C21" s="76"/>
      <c r="D21" s="71" t="s">
        <v>1512</v>
      </c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3"/>
      <c r="AA21" s="74" t="s">
        <v>19</v>
      </c>
      <c r="AB21" s="75"/>
      <c r="AC21" s="75"/>
      <c r="AD21" s="75"/>
      <c r="AE21" s="76"/>
      <c r="AF21" s="74">
        <v>4</v>
      </c>
      <c r="AG21" s="75"/>
      <c r="AH21" s="76"/>
      <c r="AI21" s="74"/>
      <c r="AJ21" s="75"/>
      <c r="AK21" s="76"/>
      <c r="AL21" s="68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70"/>
    </row>
    <row r="22" spans="1:68" s="1" customFormat="1" ht="30.75" customHeight="1">
      <c r="A22" s="74">
        <f t="shared" si="1"/>
        <v>14</v>
      </c>
      <c r="B22" s="75"/>
      <c r="C22" s="76"/>
      <c r="D22" s="71" t="s">
        <v>1513</v>
      </c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3"/>
      <c r="AA22" s="74" t="s">
        <v>19</v>
      </c>
      <c r="AB22" s="75"/>
      <c r="AC22" s="75"/>
      <c r="AD22" s="75"/>
      <c r="AE22" s="76"/>
      <c r="AF22" s="74">
        <v>15</v>
      </c>
      <c r="AG22" s="75"/>
      <c r="AH22" s="76"/>
      <c r="AI22" s="74"/>
      <c r="AJ22" s="75"/>
      <c r="AK22" s="76"/>
      <c r="AL22" s="68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70"/>
    </row>
    <row r="23" spans="1:68" s="1" customFormat="1" ht="30.75" customHeight="1">
      <c r="A23" s="74">
        <f t="shared" si="1"/>
        <v>15</v>
      </c>
      <c r="B23" s="75"/>
      <c r="C23" s="76"/>
      <c r="D23" s="71" t="s">
        <v>1514</v>
      </c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3"/>
      <c r="AA23" s="74" t="s">
        <v>19</v>
      </c>
      <c r="AB23" s="75"/>
      <c r="AC23" s="75"/>
      <c r="AD23" s="75"/>
      <c r="AE23" s="76"/>
      <c r="AF23" s="86">
        <v>4</v>
      </c>
      <c r="AG23" s="86"/>
      <c r="AH23" s="86"/>
      <c r="AI23" s="86"/>
      <c r="AJ23" s="86"/>
      <c r="AK23" s="86"/>
      <c r="AL23" s="68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70"/>
    </row>
    <row r="24" spans="1:68" s="1" customFormat="1" ht="30.75" customHeight="1">
      <c r="A24" s="74">
        <f t="shared" si="1"/>
        <v>16</v>
      </c>
      <c r="B24" s="75"/>
      <c r="C24" s="76"/>
      <c r="D24" s="71" t="s">
        <v>1515</v>
      </c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3"/>
      <c r="AA24" s="138" t="s">
        <v>1539</v>
      </c>
      <c r="AB24" s="139"/>
      <c r="AC24" s="139"/>
      <c r="AD24" s="139"/>
      <c r="AE24" s="140"/>
      <c r="AF24" s="86">
        <v>15</v>
      </c>
      <c r="AG24" s="86"/>
      <c r="AH24" s="86"/>
      <c r="AI24" s="86"/>
      <c r="AJ24" s="86"/>
      <c r="AK24" s="86"/>
      <c r="AL24" s="68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70"/>
    </row>
    <row r="25" spans="1:68" s="1" customFormat="1" ht="30.75" customHeight="1">
      <c r="A25" s="74">
        <f t="shared" si="1"/>
        <v>17</v>
      </c>
      <c r="B25" s="75"/>
      <c r="C25" s="76"/>
      <c r="D25" s="71" t="s">
        <v>1543</v>
      </c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3"/>
      <c r="AA25" s="74" t="s">
        <v>19</v>
      </c>
      <c r="AB25" s="75"/>
      <c r="AC25" s="75"/>
      <c r="AD25" s="75"/>
      <c r="AE25" s="76"/>
      <c r="AF25" s="86">
        <v>3</v>
      </c>
      <c r="AG25" s="86"/>
      <c r="AH25" s="86"/>
      <c r="AI25" s="86"/>
      <c r="AJ25" s="86"/>
      <c r="AK25" s="86"/>
      <c r="AL25" s="68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70"/>
    </row>
    <row r="26" spans="1:68" s="1" customFormat="1" ht="30.75" customHeight="1">
      <c r="A26" s="74">
        <f t="shared" si="1"/>
        <v>18</v>
      </c>
      <c r="B26" s="75"/>
      <c r="C26" s="76"/>
      <c r="D26" s="71" t="s">
        <v>1540</v>
      </c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3"/>
      <c r="AA26" s="74" t="s">
        <v>19</v>
      </c>
      <c r="AB26" s="75"/>
      <c r="AC26" s="75"/>
      <c r="AD26" s="75"/>
      <c r="AE26" s="76"/>
      <c r="AF26" s="86">
        <v>14</v>
      </c>
      <c r="AG26" s="86"/>
      <c r="AH26" s="86"/>
      <c r="AI26" s="86"/>
      <c r="AJ26" s="86"/>
      <c r="AK26" s="86"/>
      <c r="AL26" s="68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70"/>
    </row>
    <row r="27" spans="1:68" s="1" customFormat="1" ht="30.75" customHeight="1">
      <c r="A27" s="74">
        <f t="shared" si="1"/>
        <v>19</v>
      </c>
      <c r="B27" s="75"/>
      <c r="C27" s="76"/>
      <c r="D27" s="71" t="s">
        <v>1541</v>
      </c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3"/>
      <c r="AA27" s="74" t="s">
        <v>19</v>
      </c>
      <c r="AB27" s="75"/>
      <c r="AC27" s="75"/>
      <c r="AD27" s="75"/>
      <c r="AE27" s="76"/>
      <c r="AF27" s="86">
        <v>14</v>
      </c>
      <c r="AG27" s="86"/>
      <c r="AH27" s="86"/>
      <c r="AI27" s="86"/>
      <c r="AJ27" s="86"/>
      <c r="AK27" s="86"/>
      <c r="AL27" s="68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70"/>
    </row>
    <row r="28" spans="1:68" s="1" customFormat="1" ht="30.75" customHeight="1">
      <c r="A28" s="74">
        <f t="shared" si="1"/>
        <v>20</v>
      </c>
      <c r="B28" s="75"/>
      <c r="C28" s="76"/>
      <c r="D28" s="71" t="s">
        <v>1542</v>
      </c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3"/>
      <c r="AA28" s="74" t="s">
        <v>19</v>
      </c>
      <c r="AB28" s="75"/>
      <c r="AC28" s="75"/>
      <c r="AD28" s="75"/>
      <c r="AE28" s="76"/>
      <c r="AF28" s="86">
        <v>2</v>
      </c>
      <c r="AG28" s="86"/>
      <c r="AH28" s="86"/>
      <c r="AI28" s="86"/>
      <c r="AJ28" s="86"/>
      <c r="AK28" s="86"/>
      <c r="AL28" s="68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70"/>
    </row>
    <row r="29" spans="1:68" s="1" customFormat="1" ht="30.75" customHeight="1">
      <c r="A29" s="74">
        <f t="shared" si="1"/>
        <v>21</v>
      </c>
      <c r="B29" s="75"/>
      <c r="C29" s="76"/>
      <c r="D29" s="71" t="s">
        <v>1544</v>
      </c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3"/>
      <c r="AA29" s="74" t="s">
        <v>19</v>
      </c>
      <c r="AB29" s="75"/>
      <c r="AC29" s="75"/>
      <c r="AD29" s="75"/>
      <c r="AE29" s="76"/>
      <c r="AF29" s="86">
        <v>3</v>
      </c>
      <c r="AG29" s="86"/>
      <c r="AH29" s="86"/>
      <c r="AI29" s="86"/>
      <c r="AJ29" s="86"/>
      <c r="AK29" s="86"/>
      <c r="AL29" s="68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70"/>
    </row>
    <row r="30" spans="1:68" s="1" customFormat="1" ht="30.75" customHeight="1">
      <c r="A30" s="74">
        <f t="shared" si="1"/>
        <v>22</v>
      </c>
      <c r="B30" s="75"/>
      <c r="C30" s="76"/>
      <c r="D30" s="71" t="s">
        <v>1545</v>
      </c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3"/>
      <c r="AA30" s="74" t="s">
        <v>19</v>
      </c>
      <c r="AB30" s="75"/>
      <c r="AC30" s="75"/>
      <c r="AD30" s="75"/>
      <c r="AE30" s="76"/>
      <c r="AF30" s="86">
        <v>14</v>
      </c>
      <c r="AG30" s="86"/>
      <c r="AH30" s="86"/>
      <c r="AI30" s="86"/>
      <c r="AJ30" s="86"/>
      <c r="AK30" s="86"/>
      <c r="AL30" s="68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70"/>
    </row>
    <row r="31" spans="1:68" s="1" customFormat="1" ht="30.75" customHeight="1">
      <c r="A31" s="74">
        <f t="shared" si="1"/>
        <v>23</v>
      </c>
      <c r="B31" s="75"/>
      <c r="C31" s="76"/>
      <c r="D31" s="71" t="s">
        <v>1546</v>
      </c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3"/>
      <c r="AA31" s="74" t="s">
        <v>19</v>
      </c>
      <c r="AB31" s="75"/>
      <c r="AC31" s="75"/>
      <c r="AD31" s="75"/>
      <c r="AE31" s="76"/>
      <c r="AF31" s="86">
        <v>14</v>
      </c>
      <c r="AG31" s="86"/>
      <c r="AH31" s="86"/>
      <c r="AI31" s="86"/>
      <c r="AJ31" s="86"/>
      <c r="AK31" s="86"/>
      <c r="AL31" s="68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70"/>
    </row>
    <row r="32" spans="1:68" s="1" customFormat="1" ht="30.75" customHeight="1">
      <c r="A32" s="74">
        <f t="shared" si="1"/>
        <v>24</v>
      </c>
      <c r="B32" s="75"/>
      <c r="C32" s="76"/>
      <c r="D32" s="71" t="s">
        <v>1547</v>
      </c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3"/>
      <c r="AA32" s="74" t="s">
        <v>19</v>
      </c>
      <c r="AB32" s="75"/>
      <c r="AC32" s="75"/>
      <c r="AD32" s="75"/>
      <c r="AE32" s="76"/>
      <c r="AF32" s="86">
        <v>2</v>
      </c>
      <c r="AG32" s="86"/>
      <c r="AH32" s="86"/>
      <c r="AI32" s="86"/>
      <c r="AJ32" s="86"/>
      <c r="AK32" s="86"/>
      <c r="AL32" s="68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70"/>
    </row>
    <row r="33" spans="1:68" s="1" customFormat="1" ht="30.75" customHeight="1">
      <c r="A33" s="74">
        <f t="shared" si="1"/>
        <v>25</v>
      </c>
      <c r="B33" s="75"/>
      <c r="C33" s="76"/>
      <c r="D33" s="71" t="s">
        <v>1548</v>
      </c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3"/>
      <c r="AA33" s="74" t="s">
        <v>19</v>
      </c>
      <c r="AB33" s="75"/>
      <c r="AC33" s="75"/>
      <c r="AD33" s="75"/>
      <c r="AE33" s="76"/>
      <c r="AF33" s="86">
        <v>3</v>
      </c>
      <c r="AG33" s="86"/>
      <c r="AH33" s="86"/>
      <c r="AI33" s="86"/>
      <c r="AJ33" s="86"/>
      <c r="AK33" s="86"/>
      <c r="AL33" s="68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70"/>
    </row>
    <row r="34" spans="1:68" s="1" customFormat="1" ht="30.75" customHeight="1">
      <c r="A34" s="74">
        <f t="shared" si="1"/>
        <v>26</v>
      </c>
      <c r="B34" s="75"/>
      <c r="C34" s="76"/>
      <c r="D34" s="71" t="s">
        <v>1549</v>
      </c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3"/>
      <c r="AA34" s="74" t="s">
        <v>19</v>
      </c>
      <c r="AB34" s="75"/>
      <c r="AC34" s="75"/>
      <c r="AD34" s="75"/>
      <c r="AE34" s="76"/>
      <c r="AF34" s="86">
        <v>14</v>
      </c>
      <c r="AG34" s="86"/>
      <c r="AH34" s="86"/>
      <c r="AI34" s="86"/>
      <c r="AJ34" s="86"/>
      <c r="AK34" s="86"/>
      <c r="AL34" s="68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70"/>
    </row>
    <row r="35" spans="1:68" s="1" customFormat="1" ht="30.75" customHeight="1">
      <c r="A35" s="74">
        <f t="shared" si="1"/>
        <v>27</v>
      </c>
      <c r="B35" s="75"/>
      <c r="C35" s="76"/>
      <c r="D35" s="71" t="s">
        <v>1550</v>
      </c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3"/>
      <c r="AA35" s="74" t="s">
        <v>19</v>
      </c>
      <c r="AB35" s="75"/>
      <c r="AC35" s="75"/>
      <c r="AD35" s="75"/>
      <c r="AE35" s="76"/>
      <c r="AF35" s="86">
        <v>14</v>
      </c>
      <c r="AG35" s="86"/>
      <c r="AH35" s="86"/>
      <c r="AI35" s="86"/>
      <c r="AJ35" s="86"/>
      <c r="AK35" s="86"/>
      <c r="AL35" s="68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70"/>
    </row>
    <row r="36" spans="1:68" s="1" customFormat="1" ht="30.75" customHeight="1">
      <c r="A36" s="74">
        <f t="shared" si="1"/>
        <v>28</v>
      </c>
      <c r="B36" s="75"/>
      <c r="C36" s="76"/>
      <c r="D36" s="71" t="s">
        <v>1551</v>
      </c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3"/>
      <c r="AA36" s="74" t="s">
        <v>19</v>
      </c>
      <c r="AB36" s="75"/>
      <c r="AC36" s="75"/>
      <c r="AD36" s="75"/>
      <c r="AE36" s="76"/>
      <c r="AF36" s="86">
        <v>2</v>
      </c>
      <c r="AG36" s="86"/>
      <c r="AH36" s="86"/>
      <c r="AI36" s="86"/>
      <c r="AJ36" s="86"/>
      <c r="AK36" s="86"/>
      <c r="AL36" s="68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70"/>
    </row>
    <row r="37" spans="1:68" s="1" customFormat="1" ht="30.75" customHeight="1">
      <c r="A37" s="74">
        <f t="shared" si="1"/>
        <v>29</v>
      </c>
      <c r="B37" s="75"/>
      <c r="C37" s="76"/>
      <c r="D37" s="71" t="s">
        <v>1552</v>
      </c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3"/>
      <c r="AA37" s="74" t="s">
        <v>19</v>
      </c>
      <c r="AB37" s="75"/>
      <c r="AC37" s="75"/>
      <c r="AD37" s="75"/>
      <c r="AE37" s="76"/>
      <c r="AF37" s="86">
        <v>3</v>
      </c>
      <c r="AG37" s="86"/>
      <c r="AH37" s="86"/>
      <c r="AI37" s="86"/>
      <c r="AJ37" s="86"/>
      <c r="AK37" s="86"/>
      <c r="AL37" s="68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70"/>
    </row>
    <row r="38" spans="1:68" s="1" customFormat="1" ht="30.75" customHeight="1">
      <c r="A38" s="74">
        <f t="shared" si="1"/>
        <v>30</v>
      </c>
      <c r="B38" s="75"/>
      <c r="C38" s="76"/>
      <c r="D38" s="71" t="s">
        <v>1553</v>
      </c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3"/>
      <c r="AA38" s="74" t="s">
        <v>19</v>
      </c>
      <c r="AB38" s="75"/>
      <c r="AC38" s="75"/>
      <c r="AD38" s="75"/>
      <c r="AE38" s="76"/>
      <c r="AF38" s="86">
        <v>14</v>
      </c>
      <c r="AG38" s="86"/>
      <c r="AH38" s="86"/>
      <c r="AI38" s="86"/>
      <c r="AJ38" s="86"/>
      <c r="AK38" s="86"/>
      <c r="AL38" s="68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70"/>
    </row>
    <row r="39" spans="1:68" s="1" customFormat="1" ht="30.75" customHeight="1">
      <c r="A39" s="74">
        <f t="shared" si="1"/>
        <v>31</v>
      </c>
      <c r="B39" s="75"/>
      <c r="C39" s="76"/>
      <c r="D39" s="71" t="s">
        <v>1554</v>
      </c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3"/>
      <c r="AA39" s="74" t="s">
        <v>19</v>
      </c>
      <c r="AB39" s="75"/>
      <c r="AC39" s="75"/>
      <c r="AD39" s="75"/>
      <c r="AE39" s="76"/>
      <c r="AF39" s="86">
        <v>14</v>
      </c>
      <c r="AG39" s="86"/>
      <c r="AH39" s="86"/>
      <c r="AI39" s="86"/>
      <c r="AJ39" s="86"/>
      <c r="AK39" s="86"/>
      <c r="AL39" s="68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70"/>
    </row>
    <row r="40" spans="1:68" s="1" customFormat="1" ht="30.75" customHeight="1">
      <c r="A40" s="74">
        <f t="shared" si="1"/>
        <v>32</v>
      </c>
      <c r="B40" s="75"/>
      <c r="C40" s="76"/>
      <c r="D40" s="71" t="s">
        <v>1555</v>
      </c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3"/>
      <c r="AA40" s="74" t="s">
        <v>19</v>
      </c>
      <c r="AB40" s="75"/>
      <c r="AC40" s="75"/>
      <c r="AD40" s="75"/>
      <c r="AE40" s="76"/>
      <c r="AF40" s="86">
        <v>2</v>
      </c>
      <c r="AG40" s="86"/>
      <c r="AH40" s="86"/>
      <c r="AI40" s="86"/>
      <c r="AJ40" s="86"/>
      <c r="AK40" s="86"/>
      <c r="AL40" s="68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70"/>
    </row>
    <row r="41" spans="1:68" s="1" customFormat="1" ht="30.75" customHeight="1">
      <c r="A41" s="74">
        <f t="shared" si="1"/>
        <v>33</v>
      </c>
      <c r="B41" s="75"/>
      <c r="C41" s="76"/>
      <c r="D41" s="71" t="s">
        <v>1556</v>
      </c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3"/>
      <c r="AA41" s="74" t="s">
        <v>19</v>
      </c>
      <c r="AB41" s="75"/>
      <c r="AC41" s="75"/>
      <c r="AD41" s="75"/>
      <c r="AE41" s="76"/>
      <c r="AF41" s="86">
        <v>3</v>
      </c>
      <c r="AG41" s="86"/>
      <c r="AH41" s="86"/>
      <c r="AI41" s="86"/>
      <c r="AJ41" s="86"/>
      <c r="AK41" s="86"/>
      <c r="AL41" s="68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70"/>
    </row>
    <row r="42" spans="1:68" s="1" customFormat="1" ht="30.75" customHeight="1">
      <c r="A42" s="74">
        <f t="shared" si="1"/>
        <v>34</v>
      </c>
      <c r="B42" s="75"/>
      <c r="C42" s="76"/>
      <c r="D42" s="71" t="s">
        <v>1557</v>
      </c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3"/>
      <c r="AA42" s="74" t="s">
        <v>19</v>
      </c>
      <c r="AB42" s="75"/>
      <c r="AC42" s="75"/>
      <c r="AD42" s="75"/>
      <c r="AE42" s="76"/>
      <c r="AF42" s="86">
        <v>14</v>
      </c>
      <c r="AG42" s="86"/>
      <c r="AH42" s="86"/>
      <c r="AI42" s="86"/>
      <c r="AJ42" s="86"/>
      <c r="AK42" s="86"/>
      <c r="AL42" s="68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70"/>
    </row>
    <row r="43" spans="1:68" s="1" customFormat="1" ht="30.75" customHeight="1">
      <c r="A43" s="74">
        <f t="shared" si="1"/>
        <v>35</v>
      </c>
      <c r="B43" s="75"/>
      <c r="C43" s="76"/>
      <c r="D43" s="71" t="s">
        <v>1558</v>
      </c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3"/>
      <c r="AA43" s="74" t="s">
        <v>19</v>
      </c>
      <c r="AB43" s="75"/>
      <c r="AC43" s="75"/>
      <c r="AD43" s="75"/>
      <c r="AE43" s="76"/>
      <c r="AF43" s="86">
        <v>14</v>
      </c>
      <c r="AG43" s="86"/>
      <c r="AH43" s="86"/>
      <c r="AI43" s="86"/>
      <c r="AJ43" s="86"/>
      <c r="AK43" s="86"/>
      <c r="AL43" s="68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  <c r="BM43" s="69"/>
      <c r="BN43" s="69"/>
      <c r="BO43" s="69"/>
      <c r="BP43" s="70"/>
    </row>
    <row r="44" spans="1:68" s="1" customFormat="1" ht="30.75" customHeight="1">
      <c r="A44" s="74">
        <f t="shared" si="1"/>
        <v>36</v>
      </c>
      <c r="B44" s="75"/>
      <c r="C44" s="76"/>
      <c r="D44" s="71" t="s">
        <v>1559</v>
      </c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3"/>
      <c r="AA44" s="74" t="s">
        <v>19</v>
      </c>
      <c r="AB44" s="75"/>
      <c r="AC44" s="75"/>
      <c r="AD44" s="75"/>
      <c r="AE44" s="76"/>
      <c r="AF44" s="86">
        <v>2</v>
      </c>
      <c r="AG44" s="86"/>
      <c r="AH44" s="86"/>
      <c r="AI44" s="86"/>
      <c r="AJ44" s="86"/>
      <c r="AK44" s="86"/>
      <c r="AL44" s="68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  <c r="BM44" s="69"/>
      <c r="BN44" s="69"/>
      <c r="BO44" s="69"/>
      <c r="BP44" s="70"/>
    </row>
    <row r="45" spans="1:68" s="1" customFormat="1" ht="30.75" customHeight="1">
      <c r="A45" s="74">
        <f t="shared" si="1"/>
        <v>37</v>
      </c>
      <c r="B45" s="75"/>
      <c r="C45" s="76"/>
      <c r="D45" s="71" t="s">
        <v>1516</v>
      </c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3"/>
      <c r="AA45" s="74" t="s">
        <v>19</v>
      </c>
      <c r="AB45" s="75"/>
      <c r="AC45" s="75"/>
      <c r="AD45" s="75"/>
      <c r="AE45" s="76"/>
      <c r="AF45" s="86">
        <v>4</v>
      </c>
      <c r="AG45" s="86"/>
      <c r="AH45" s="86"/>
      <c r="AI45" s="86"/>
      <c r="AJ45" s="86"/>
      <c r="AK45" s="86"/>
      <c r="AL45" s="68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  <c r="BP45" s="70"/>
    </row>
    <row r="46" spans="1:68" s="1" customFormat="1" ht="30.75" customHeight="1">
      <c r="A46" s="74">
        <f t="shared" si="1"/>
        <v>38</v>
      </c>
      <c r="B46" s="75"/>
      <c r="C46" s="76"/>
      <c r="D46" s="71" t="s">
        <v>1517</v>
      </c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3"/>
      <c r="AA46" s="74" t="s">
        <v>19</v>
      </c>
      <c r="AB46" s="75"/>
      <c r="AC46" s="75"/>
      <c r="AD46" s="75"/>
      <c r="AE46" s="76"/>
      <c r="AF46" s="86">
        <v>15</v>
      </c>
      <c r="AG46" s="86"/>
      <c r="AH46" s="86"/>
      <c r="AI46" s="86"/>
      <c r="AJ46" s="86"/>
      <c r="AK46" s="86"/>
      <c r="AL46" s="68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  <c r="BM46" s="69"/>
      <c r="BN46" s="69"/>
      <c r="BO46" s="69"/>
      <c r="BP46" s="70"/>
    </row>
    <row r="47" spans="1:68" s="1" customFormat="1" ht="30.75" customHeight="1">
      <c r="A47" s="74">
        <f t="shared" si="1"/>
        <v>39</v>
      </c>
      <c r="B47" s="75"/>
      <c r="C47" s="76"/>
      <c r="D47" s="71" t="s">
        <v>1518</v>
      </c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3"/>
      <c r="AA47" s="74" t="s">
        <v>19</v>
      </c>
      <c r="AB47" s="75"/>
      <c r="AC47" s="75"/>
      <c r="AD47" s="75"/>
      <c r="AE47" s="76"/>
      <c r="AF47" s="86">
        <v>2</v>
      </c>
      <c r="AG47" s="86"/>
      <c r="AH47" s="86"/>
      <c r="AI47" s="86"/>
      <c r="AJ47" s="86"/>
      <c r="AK47" s="86"/>
      <c r="AL47" s="68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  <c r="BP47" s="70"/>
    </row>
    <row r="48" spans="1:68" s="1" customFormat="1" ht="30.75" customHeight="1">
      <c r="A48" s="74">
        <f t="shared" si="1"/>
        <v>40</v>
      </c>
      <c r="B48" s="75"/>
      <c r="C48" s="76"/>
      <c r="D48" s="71" t="s">
        <v>1519</v>
      </c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3"/>
      <c r="AA48" s="74" t="s">
        <v>19</v>
      </c>
      <c r="AB48" s="75"/>
      <c r="AC48" s="75"/>
      <c r="AD48" s="75"/>
      <c r="AE48" s="76"/>
      <c r="AF48" s="86">
        <v>15</v>
      </c>
      <c r="AG48" s="86"/>
      <c r="AH48" s="86"/>
      <c r="AI48" s="86"/>
      <c r="AJ48" s="86"/>
      <c r="AK48" s="86"/>
      <c r="AL48" s="68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69"/>
      <c r="BN48" s="69"/>
      <c r="BO48" s="69"/>
      <c r="BP48" s="70"/>
    </row>
    <row r="49" spans="1:68" s="1" customFormat="1" ht="30.75" customHeight="1">
      <c r="A49" s="74">
        <f t="shared" si="1"/>
        <v>41</v>
      </c>
      <c r="B49" s="75"/>
      <c r="C49" s="76"/>
      <c r="D49" s="71" t="s">
        <v>1520</v>
      </c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3"/>
      <c r="AA49" s="74" t="s">
        <v>19</v>
      </c>
      <c r="AB49" s="75"/>
      <c r="AC49" s="75"/>
      <c r="AD49" s="75"/>
      <c r="AE49" s="76"/>
      <c r="AF49" s="86">
        <v>6</v>
      </c>
      <c r="AG49" s="86"/>
      <c r="AH49" s="86"/>
      <c r="AI49" s="86"/>
      <c r="AJ49" s="86"/>
      <c r="AK49" s="86"/>
      <c r="AL49" s="68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69"/>
      <c r="BN49" s="69"/>
      <c r="BO49" s="69"/>
      <c r="BP49" s="70"/>
    </row>
    <row r="50" spans="1:68" s="1" customFormat="1" ht="30.75" customHeight="1">
      <c r="A50" s="74">
        <f t="shared" si="1"/>
        <v>42</v>
      </c>
      <c r="B50" s="75"/>
      <c r="C50" s="76"/>
      <c r="D50" s="71" t="s">
        <v>1521</v>
      </c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3"/>
      <c r="AA50" s="74" t="s">
        <v>19</v>
      </c>
      <c r="AB50" s="75"/>
      <c r="AC50" s="75"/>
      <c r="AD50" s="75"/>
      <c r="AE50" s="76"/>
      <c r="AF50" s="86">
        <v>50</v>
      </c>
      <c r="AG50" s="86"/>
      <c r="AH50" s="86"/>
      <c r="AI50" s="86"/>
      <c r="AJ50" s="86"/>
      <c r="AK50" s="86"/>
      <c r="AL50" s="68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69"/>
      <c r="BN50" s="69"/>
      <c r="BO50" s="69"/>
      <c r="BP50" s="70"/>
    </row>
    <row r="51" spans="1:68" s="1" customFormat="1" ht="30.75" customHeight="1">
      <c r="A51" s="74">
        <f t="shared" si="1"/>
        <v>43</v>
      </c>
      <c r="B51" s="75"/>
      <c r="C51" s="76"/>
      <c r="D51" s="71" t="s">
        <v>1522</v>
      </c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3"/>
      <c r="AA51" s="74" t="s">
        <v>281</v>
      </c>
      <c r="AB51" s="75"/>
      <c r="AC51" s="75"/>
      <c r="AD51" s="75"/>
      <c r="AE51" s="76"/>
      <c r="AF51" s="86">
        <v>4</v>
      </c>
      <c r="AG51" s="86"/>
      <c r="AH51" s="86"/>
      <c r="AI51" s="86"/>
      <c r="AJ51" s="86"/>
      <c r="AK51" s="86"/>
      <c r="AL51" s="68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69"/>
      <c r="BN51" s="69"/>
      <c r="BO51" s="69"/>
      <c r="BP51" s="70"/>
    </row>
    <row r="52" spans="1:68" s="1" customFormat="1" ht="30.75" customHeight="1">
      <c r="A52" s="74">
        <f t="shared" si="1"/>
        <v>44</v>
      </c>
      <c r="B52" s="75"/>
      <c r="C52" s="76"/>
      <c r="D52" s="71" t="s">
        <v>1523</v>
      </c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3"/>
      <c r="AA52" s="74" t="s">
        <v>19</v>
      </c>
      <c r="AB52" s="75"/>
      <c r="AC52" s="75"/>
      <c r="AD52" s="75"/>
      <c r="AE52" s="76"/>
      <c r="AF52" s="86">
        <v>2</v>
      </c>
      <c r="AG52" s="86"/>
      <c r="AH52" s="86"/>
      <c r="AI52" s="86"/>
      <c r="AJ52" s="86"/>
      <c r="AK52" s="86"/>
      <c r="AL52" s="68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69"/>
      <c r="BN52" s="69"/>
      <c r="BO52" s="69"/>
      <c r="BP52" s="70"/>
    </row>
    <row r="53" spans="1:68" s="1" customFormat="1" ht="30.75" customHeight="1">
      <c r="A53" s="74">
        <f t="shared" si="1"/>
        <v>45</v>
      </c>
      <c r="B53" s="75"/>
      <c r="C53" s="76"/>
      <c r="D53" s="71" t="s">
        <v>1524</v>
      </c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3"/>
      <c r="AA53" s="74" t="s">
        <v>19</v>
      </c>
      <c r="AB53" s="75"/>
      <c r="AC53" s="75"/>
      <c r="AD53" s="75"/>
      <c r="AE53" s="76"/>
      <c r="AF53" s="74">
        <v>4</v>
      </c>
      <c r="AG53" s="75"/>
      <c r="AH53" s="76"/>
      <c r="AI53" s="74"/>
      <c r="AJ53" s="75"/>
      <c r="AK53" s="76"/>
      <c r="AL53" s="68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  <c r="BP53" s="70"/>
    </row>
    <row r="54" spans="1:68" s="1" customFormat="1" ht="30.75" customHeight="1">
      <c r="A54" s="74">
        <f t="shared" si="1"/>
        <v>46</v>
      </c>
      <c r="B54" s="75"/>
      <c r="C54" s="76"/>
      <c r="D54" s="71" t="s">
        <v>1525</v>
      </c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3"/>
      <c r="AA54" s="74" t="s">
        <v>19</v>
      </c>
      <c r="AB54" s="75"/>
      <c r="AC54" s="75"/>
      <c r="AD54" s="75"/>
      <c r="AE54" s="76"/>
      <c r="AF54" s="74">
        <v>15</v>
      </c>
      <c r="AG54" s="75"/>
      <c r="AH54" s="76"/>
      <c r="AI54" s="74"/>
      <c r="AJ54" s="75"/>
      <c r="AK54" s="76"/>
      <c r="AL54" s="68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69"/>
      <c r="BN54" s="69"/>
      <c r="BO54" s="69"/>
      <c r="BP54" s="70"/>
    </row>
    <row r="55" spans="1:68" s="1" customFormat="1" ht="30.75" customHeight="1">
      <c r="A55" s="74">
        <f t="shared" si="1"/>
        <v>47</v>
      </c>
      <c r="B55" s="75"/>
      <c r="C55" s="76"/>
      <c r="D55" s="71" t="s">
        <v>1526</v>
      </c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3"/>
      <c r="AA55" s="74" t="s">
        <v>281</v>
      </c>
      <c r="AB55" s="75"/>
      <c r="AC55" s="75"/>
      <c r="AD55" s="75"/>
      <c r="AE55" s="76"/>
      <c r="AF55" s="74">
        <v>4</v>
      </c>
      <c r="AG55" s="75"/>
      <c r="AH55" s="76"/>
      <c r="AI55" s="74"/>
      <c r="AJ55" s="75"/>
      <c r="AK55" s="76"/>
      <c r="AL55" s="83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5"/>
    </row>
    <row r="56" spans="1:68" s="1" customFormat="1" ht="30.75" customHeight="1">
      <c r="A56" s="74">
        <f t="shared" si="1"/>
        <v>48</v>
      </c>
      <c r="B56" s="75"/>
      <c r="C56" s="76"/>
      <c r="D56" s="71" t="s">
        <v>894</v>
      </c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3"/>
      <c r="AA56" s="74" t="s">
        <v>19</v>
      </c>
      <c r="AB56" s="75"/>
      <c r="AC56" s="75"/>
      <c r="AD56" s="75"/>
      <c r="AE56" s="76"/>
      <c r="AF56" s="80">
        <v>4</v>
      </c>
      <c r="AG56" s="81"/>
      <c r="AH56" s="82"/>
      <c r="AI56" s="80"/>
      <c r="AJ56" s="81"/>
      <c r="AK56" s="82"/>
      <c r="AL56" s="83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5"/>
    </row>
    <row r="57" spans="1:68" s="1" customFormat="1" ht="30.75" customHeight="1">
      <c r="A57" s="74">
        <f t="shared" si="1"/>
        <v>49</v>
      </c>
      <c r="B57" s="75"/>
      <c r="C57" s="76"/>
      <c r="D57" s="71" t="s">
        <v>1527</v>
      </c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3"/>
      <c r="AA57" s="74" t="s">
        <v>19</v>
      </c>
      <c r="AB57" s="75"/>
      <c r="AC57" s="75"/>
      <c r="AD57" s="75"/>
      <c r="AE57" s="76"/>
      <c r="AF57" s="86">
        <v>15</v>
      </c>
      <c r="AG57" s="86"/>
      <c r="AH57" s="86"/>
      <c r="AI57" s="86"/>
      <c r="AJ57" s="86"/>
      <c r="AK57" s="86"/>
      <c r="AL57" s="68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69"/>
      <c r="BN57" s="69"/>
      <c r="BO57" s="69"/>
      <c r="BP57" s="70"/>
    </row>
    <row r="58" spans="1:68" s="1" customFormat="1" ht="30.75" customHeight="1">
      <c r="A58" s="74">
        <f t="shared" si="1"/>
        <v>50</v>
      </c>
      <c r="B58" s="75"/>
      <c r="C58" s="76"/>
      <c r="D58" s="71" t="s">
        <v>1528</v>
      </c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3"/>
      <c r="AA58" s="74" t="s">
        <v>281</v>
      </c>
      <c r="AB58" s="75"/>
      <c r="AC58" s="75"/>
      <c r="AD58" s="75"/>
      <c r="AE58" s="76"/>
      <c r="AF58" s="141">
        <v>4</v>
      </c>
      <c r="AG58" s="141"/>
      <c r="AH58" s="141"/>
      <c r="AI58" s="141"/>
      <c r="AJ58" s="141"/>
      <c r="AK58" s="141"/>
      <c r="AL58" s="68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  <c r="BP58" s="70"/>
    </row>
    <row r="59" spans="1:68" s="1" customFormat="1" ht="30.75" customHeight="1">
      <c r="A59" s="74">
        <f t="shared" si="1"/>
        <v>51</v>
      </c>
      <c r="B59" s="75"/>
      <c r="C59" s="76"/>
      <c r="D59" s="71" t="s">
        <v>896</v>
      </c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3"/>
      <c r="AA59" s="74" t="s">
        <v>19</v>
      </c>
      <c r="AB59" s="75"/>
      <c r="AC59" s="75"/>
      <c r="AD59" s="75"/>
      <c r="AE59" s="76"/>
      <c r="AF59" s="74">
        <v>4</v>
      </c>
      <c r="AG59" s="75"/>
      <c r="AH59" s="76"/>
      <c r="AI59" s="74"/>
      <c r="AJ59" s="75"/>
      <c r="AK59" s="76"/>
      <c r="AL59" s="68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  <c r="BM59" s="69"/>
      <c r="BN59" s="69"/>
      <c r="BO59" s="69"/>
      <c r="BP59" s="70"/>
    </row>
    <row r="60" spans="1:68" s="1" customFormat="1" ht="30.75" customHeight="1">
      <c r="A60" s="74">
        <f t="shared" si="1"/>
        <v>52</v>
      </c>
      <c r="B60" s="75"/>
      <c r="C60" s="76"/>
      <c r="D60" s="71" t="s">
        <v>1529</v>
      </c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3"/>
      <c r="AA60" s="74" t="s">
        <v>19</v>
      </c>
      <c r="AB60" s="75"/>
      <c r="AC60" s="75"/>
      <c r="AD60" s="75"/>
      <c r="AE60" s="76"/>
      <c r="AF60" s="74">
        <v>15</v>
      </c>
      <c r="AG60" s="75"/>
      <c r="AH60" s="76"/>
      <c r="AI60" s="74"/>
      <c r="AJ60" s="75"/>
      <c r="AK60" s="76"/>
      <c r="AL60" s="68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69"/>
      <c r="BN60" s="69"/>
      <c r="BO60" s="69"/>
      <c r="BP60" s="70"/>
    </row>
    <row r="61" spans="1:68" s="1" customFormat="1" ht="30.75" customHeight="1">
      <c r="A61" s="74">
        <f t="shared" si="1"/>
        <v>53</v>
      </c>
      <c r="B61" s="75"/>
      <c r="C61" s="76"/>
      <c r="D61" s="71" t="s">
        <v>1530</v>
      </c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3"/>
      <c r="AA61" s="74" t="s">
        <v>19</v>
      </c>
      <c r="AB61" s="75"/>
      <c r="AC61" s="75"/>
      <c r="AD61" s="75"/>
      <c r="AE61" s="76"/>
      <c r="AF61" s="74">
        <v>14</v>
      </c>
      <c r="AG61" s="75"/>
      <c r="AH61" s="76"/>
      <c r="AI61" s="74"/>
      <c r="AJ61" s="75"/>
      <c r="AK61" s="76"/>
      <c r="AL61" s="68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69"/>
      <c r="BN61" s="69"/>
      <c r="BO61" s="69"/>
      <c r="BP61" s="70"/>
    </row>
    <row r="62" spans="1:68" s="1" customFormat="1" ht="30.75" customHeight="1">
      <c r="A62" s="74">
        <f t="shared" si="1"/>
        <v>54</v>
      </c>
      <c r="B62" s="75"/>
      <c r="C62" s="76"/>
      <c r="D62" s="71" t="s">
        <v>1531</v>
      </c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3"/>
      <c r="AA62" s="74" t="s">
        <v>19</v>
      </c>
      <c r="AB62" s="75"/>
      <c r="AC62" s="75"/>
      <c r="AD62" s="75"/>
      <c r="AE62" s="76"/>
      <c r="AF62" s="74">
        <v>14.3</v>
      </c>
      <c r="AG62" s="75"/>
      <c r="AH62" s="76"/>
      <c r="AI62" s="74"/>
      <c r="AJ62" s="75"/>
      <c r="AK62" s="76"/>
      <c r="AL62" s="68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9"/>
      <c r="BF62" s="69"/>
      <c r="BG62" s="69"/>
      <c r="BH62" s="69"/>
      <c r="BI62" s="69"/>
      <c r="BJ62" s="69"/>
      <c r="BK62" s="69"/>
      <c r="BL62" s="69"/>
      <c r="BM62" s="69"/>
      <c r="BN62" s="69"/>
      <c r="BO62" s="69"/>
      <c r="BP62" s="70"/>
    </row>
    <row r="63" spans="1:68" s="1" customFormat="1" ht="30.75" customHeight="1">
      <c r="A63" s="74">
        <f t="shared" si="1"/>
        <v>55</v>
      </c>
      <c r="B63" s="75"/>
      <c r="C63" s="76"/>
      <c r="D63" s="71" t="s">
        <v>1532</v>
      </c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3"/>
      <c r="AA63" s="74" t="s">
        <v>19</v>
      </c>
      <c r="AB63" s="75"/>
      <c r="AC63" s="75"/>
      <c r="AD63" s="75"/>
      <c r="AE63" s="76"/>
      <c r="AF63" s="74">
        <v>9</v>
      </c>
      <c r="AG63" s="75"/>
      <c r="AH63" s="76"/>
      <c r="AI63" s="74"/>
      <c r="AJ63" s="75"/>
      <c r="AK63" s="76"/>
      <c r="AL63" s="68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  <c r="BM63" s="69"/>
      <c r="BN63" s="69"/>
      <c r="BO63" s="69"/>
      <c r="BP63" s="70"/>
    </row>
    <row r="64" spans="1:68" s="1" customFormat="1" ht="30.75" customHeight="1">
      <c r="A64" s="74">
        <f t="shared" si="1"/>
        <v>56</v>
      </c>
      <c r="B64" s="75"/>
      <c r="C64" s="76"/>
      <c r="D64" s="71" t="s">
        <v>1533</v>
      </c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3"/>
      <c r="AA64" s="74" t="s">
        <v>19</v>
      </c>
      <c r="AB64" s="75"/>
      <c r="AC64" s="75"/>
      <c r="AD64" s="75"/>
      <c r="AE64" s="76"/>
      <c r="AF64" s="74">
        <v>25</v>
      </c>
      <c r="AG64" s="75"/>
      <c r="AH64" s="76"/>
      <c r="AI64" s="74"/>
      <c r="AJ64" s="75"/>
      <c r="AK64" s="76"/>
      <c r="AL64" s="68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69"/>
      <c r="BN64" s="69"/>
      <c r="BO64" s="69"/>
      <c r="BP64" s="70"/>
    </row>
    <row r="65" spans="1:68" s="1" customFormat="1" ht="30.75" customHeight="1">
      <c r="A65" s="74">
        <f t="shared" si="1"/>
        <v>57</v>
      </c>
      <c r="B65" s="75"/>
      <c r="C65" s="76"/>
      <c r="D65" s="71" t="s">
        <v>1534</v>
      </c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3"/>
      <c r="AA65" s="74" t="s">
        <v>19</v>
      </c>
      <c r="AB65" s="75"/>
      <c r="AC65" s="75"/>
      <c r="AD65" s="75"/>
      <c r="AE65" s="76"/>
      <c r="AF65" s="86">
        <v>14</v>
      </c>
      <c r="AG65" s="86"/>
      <c r="AH65" s="86"/>
      <c r="AI65" s="86"/>
      <c r="AJ65" s="86"/>
      <c r="AK65" s="86"/>
      <c r="AL65" s="68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69"/>
      <c r="BN65" s="69"/>
      <c r="BO65" s="69"/>
      <c r="BP65" s="70"/>
    </row>
    <row r="66" spans="1:68" s="1" customFormat="1" ht="30.75" customHeight="1">
      <c r="A66" s="74">
        <f t="shared" si="1"/>
        <v>58</v>
      </c>
      <c r="B66" s="75"/>
      <c r="C66" s="76"/>
      <c r="D66" s="71" t="s">
        <v>1535</v>
      </c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3"/>
      <c r="AA66" s="74" t="s">
        <v>19</v>
      </c>
      <c r="AB66" s="75"/>
      <c r="AC66" s="75"/>
      <c r="AD66" s="75"/>
      <c r="AE66" s="76"/>
      <c r="AF66" s="86">
        <v>16</v>
      </c>
      <c r="AG66" s="86"/>
      <c r="AH66" s="86"/>
      <c r="AI66" s="86"/>
      <c r="AJ66" s="86"/>
      <c r="AK66" s="86"/>
      <c r="AL66" s="68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  <c r="BM66" s="69"/>
      <c r="BN66" s="69"/>
      <c r="BO66" s="69"/>
      <c r="BP66" s="70"/>
    </row>
    <row r="67" spans="1:68" s="1" customFormat="1" ht="30.75" customHeight="1">
      <c r="A67" s="74">
        <f t="shared" si="1"/>
        <v>59</v>
      </c>
      <c r="B67" s="75"/>
      <c r="C67" s="76"/>
      <c r="D67" s="71" t="s">
        <v>1536</v>
      </c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3"/>
      <c r="AA67" s="74" t="s">
        <v>19</v>
      </c>
      <c r="AB67" s="75"/>
      <c r="AC67" s="75"/>
      <c r="AD67" s="75"/>
      <c r="AE67" s="76"/>
      <c r="AF67" s="86">
        <v>1</v>
      </c>
      <c r="AG67" s="86"/>
      <c r="AH67" s="86"/>
      <c r="AI67" s="86"/>
      <c r="AJ67" s="86"/>
      <c r="AK67" s="86"/>
      <c r="AL67" s="68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  <c r="BM67" s="69"/>
      <c r="BN67" s="69"/>
      <c r="BO67" s="69"/>
      <c r="BP67" s="70"/>
    </row>
    <row r="68" spans="1:68" s="1" customFormat="1" ht="30.75" customHeight="1">
      <c r="A68" s="74">
        <f t="shared" si="1"/>
        <v>60</v>
      </c>
      <c r="B68" s="75"/>
      <c r="C68" s="76"/>
      <c r="D68" s="71" t="s">
        <v>1537</v>
      </c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3"/>
      <c r="AA68" s="74" t="s">
        <v>19</v>
      </c>
      <c r="AB68" s="75"/>
      <c r="AC68" s="75"/>
      <c r="AD68" s="75"/>
      <c r="AE68" s="76"/>
      <c r="AF68" s="86">
        <v>6</v>
      </c>
      <c r="AG68" s="86"/>
      <c r="AH68" s="86"/>
      <c r="AI68" s="86"/>
      <c r="AJ68" s="86"/>
      <c r="AK68" s="86"/>
      <c r="AL68" s="68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  <c r="BM68" s="69"/>
      <c r="BN68" s="69"/>
      <c r="BO68" s="69"/>
      <c r="BP68" s="70"/>
    </row>
    <row r="69" spans="1:68" s="1" customFormat="1" ht="30.75" customHeight="1">
      <c r="A69" s="74">
        <f t="shared" si="1"/>
        <v>61</v>
      </c>
      <c r="B69" s="75"/>
      <c r="C69" s="76"/>
      <c r="D69" s="71" t="s">
        <v>1538</v>
      </c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3"/>
      <c r="AA69" s="74" t="s">
        <v>281</v>
      </c>
      <c r="AB69" s="75"/>
      <c r="AC69" s="75"/>
      <c r="AD69" s="75"/>
      <c r="AE69" s="76"/>
      <c r="AF69" s="86">
        <v>8</v>
      </c>
      <c r="AG69" s="86"/>
      <c r="AH69" s="86"/>
      <c r="AI69" s="86"/>
      <c r="AJ69" s="86"/>
      <c r="AK69" s="86"/>
      <c r="AL69" s="68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69"/>
      <c r="BN69" s="69"/>
      <c r="BO69" s="69"/>
      <c r="BP69" s="70"/>
    </row>
    <row r="70" spans="1:68" s="1" customFormat="1" ht="30.75" customHeight="1">
      <c r="A70" s="74">
        <f t="shared" si="1"/>
        <v>62</v>
      </c>
      <c r="B70" s="75"/>
      <c r="C70" s="76"/>
      <c r="D70" s="71" t="s">
        <v>29</v>
      </c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3"/>
      <c r="AA70" s="74" t="s">
        <v>18</v>
      </c>
      <c r="AB70" s="75"/>
      <c r="AC70" s="75"/>
      <c r="AD70" s="75"/>
      <c r="AE70" s="76"/>
      <c r="AF70" s="86">
        <v>6</v>
      </c>
      <c r="AG70" s="86"/>
      <c r="AH70" s="86"/>
      <c r="AI70" s="86"/>
      <c r="AJ70" s="86"/>
      <c r="AK70" s="86"/>
      <c r="AL70" s="68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69"/>
      <c r="BN70" s="69"/>
      <c r="BO70" s="69"/>
      <c r="BP70" s="70"/>
    </row>
    <row r="71" spans="1:68" s="1" customFormat="1" ht="30.75" customHeight="1">
      <c r="A71" s="74">
        <f t="shared" si="1"/>
        <v>63</v>
      </c>
      <c r="B71" s="75"/>
      <c r="C71" s="76"/>
      <c r="D71" s="71" t="s">
        <v>30</v>
      </c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3"/>
      <c r="AA71" s="74" t="s">
        <v>18</v>
      </c>
      <c r="AB71" s="75"/>
      <c r="AC71" s="75"/>
      <c r="AD71" s="75"/>
      <c r="AE71" s="76"/>
      <c r="AF71" s="86">
        <v>4</v>
      </c>
      <c r="AG71" s="86"/>
      <c r="AH71" s="86"/>
      <c r="AI71" s="86"/>
      <c r="AJ71" s="86"/>
      <c r="AK71" s="86"/>
      <c r="AL71" s="68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  <c r="BM71" s="69"/>
      <c r="BN71" s="69"/>
      <c r="BO71" s="69"/>
      <c r="BP71" s="70"/>
    </row>
    <row r="72" spans="1:68" s="1" customFormat="1" ht="30.75" customHeight="1">
      <c r="A72" s="74">
        <f t="shared" si="1"/>
        <v>64</v>
      </c>
      <c r="B72" s="75"/>
      <c r="C72" s="76"/>
      <c r="D72" s="71" t="s">
        <v>31</v>
      </c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3"/>
      <c r="AA72" s="74" t="s">
        <v>18</v>
      </c>
      <c r="AB72" s="75"/>
      <c r="AC72" s="75"/>
      <c r="AD72" s="75"/>
      <c r="AE72" s="76"/>
      <c r="AF72" s="86">
        <v>14</v>
      </c>
      <c r="AG72" s="86"/>
      <c r="AH72" s="86"/>
      <c r="AI72" s="86"/>
      <c r="AJ72" s="86"/>
      <c r="AK72" s="86"/>
      <c r="AL72" s="68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69"/>
      <c r="BN72" s="69"/>
      <c r="BO72" s="69"/>
      <c r="BP72" s="70"/>
    </row>
    <row r="73" spans="1:68" s="1" customFormat="1" ht="30.75" customHeight="1">
      <c r="A73" s="74">
        <f t="shared" si="1"/>
        <v>65</v>
      </c>
      <c r="B73" s="75"/>
      <c r="C73" s="76"/>
      <c r="D73" s="71" t="s">
        <v>1282</v>
      </c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3"/>
      <c r="AA73" s="74" t="s">
        <v>19</v>
      </c>
      <c r="AB73" s="75"/>
      <c r="AC73" s="75"/>
      <c r="AD73" s="75"/>
      <c r="AE73" s="76"/>
      <c r="AF73" s="74">
        <v>1</v>
      </c>
      <c r="AG73" s="75"/>
      <c r="AH73" s="76"/>
      <c r="AI73" s="74"/>
      <c r="AJ73" s="75"/>
      <c r="AK73" s="76"/>
      <c r="AL73" s="68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69"/>
      <c r="BO73" s="69"/>
      <c r="BP73" s="70"/>
    </row>
    <row r="74" spans="1:68" s="1" customFormat="1" ht="30.75" customHeight="1">
      <c r="A74" s="74">
        <f t="shared" si="1"/>
        <v>66</v>
      </c>
      <c r="B74" s="75"/>
      <c r="C74" s="76"/>
      <c r="D74" s="71" t="s">
        <v>25</v>
      </c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3"/>
      <c r="AA74" s="74" t="s">
        <v>19</v>
      </c>
      <c r="AB74" s="75"/>
      <c r="AC74" s="75"/>
      <c r="AD74" s="75"/>
      <c r="AE74" s="76"/>
      <c r="AF74" s="74">
        <v>8</v>
      </c>
      <c r="AG74" s="75"/>
      <c r="AH74" s="76"/>
      <c r="AI74" s="74"/>
      <c r="AJ74" s="75"/>
      <c r="AK74" s="76"/>
      <c r="AL74" s="68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  <c r="BC74" s="69"/>
      <c r="BD74" s="69"/>
      <c r="BE74" s="69"/>
      <c r="BF74" s="69"/>
      <c r="BG74" s="69"/>
      <c r="BH74" s="69"/>
      <c r="BI74" s="69"/>
      <c r="BJ74" s="69"/>
      <c r="BK74" s="69"/>
      <c r="BL74" s="69"/>
      <c r="BM74" s="69"/>
      <c r="BN74" s="69"/>
      <c r="BO74" s="69"/>
      <c r="BP74" s="70"/>
    </row>
    <row r="75" spans="1:68" s="1" customFormat="1" ht="30.75" customHeight="1">
      <c r="A75" s="74">
        <f t="shared" si="1"/>
        <v>67</v>
      </c>
      <c r="B75" s="75"/>
      <c r="C75" s="76"/>
      <c r="D75" s="71" t="s">
        <v>32</v>
      </c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3"/>
      <c r="AA75" s="74" t="s">
        <v>18</v>
      </c>
      <c r="AB75" s="75"/>
      <c r="AC75" s="75"/>
      <c r="AD75" s="75"/>
      <c r="AE75" s="76"/>
      <c r="AF75" s="86">
        <v>1</v>
      </c>
      <c r="AG75" s="86"/>
      <c r="AH75" s="86"/>
      <c r="AI75" s="86"/>
      <c r="AJ75" s="86"/>
      <c r="AK75" s="86"/>
      <c r="AL75" s="68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69"/>
      <c r="BE75" s="69"/>
      <c r="BF75" s="69"/>
      <c r="BG75" s="69"/>
      <c r="BH75" s="69"/>
      <c r="BI75" s="69"/>
      <c r="BJ75" s="69"/>
      <c r="BK75" s="69"/>
      <c r="BL75" s="69"/>
      <c r="BM75" s="69"/>
      <c r="BN75" s="69"/>
      <c r="BO75" s="69"/>
      <c r="BP75" s="70"/>
    </row>
    <row r="76" spans="1:68" s="1" customFormat="1" ht="30.75" customHeight="1">
      <c r="A76" s="74">
        <f t="shared" si="1"/>
        <v>68</v>
      </c>
      <c r="B76" s="75"/>
      <c r="C76" s="76"/>
      <c r="D76" s="71" t="s">
        <v>33</v>
      </c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3"/>
      <c r="AA76" s="74" t="s">
        <v>18</v>
      </c>
      <c r="AB76" s="75"/>
      <c r="AC76" s="75"/>
      <c r="AD76" s="75"/>
      <c r="AE76" s="76"/>
      <c r="AF76" s="86">
        <v>14</v>
      </c>
      <c r="AG76" s="86"/>
      <c r="AH76" s="86"/>
      <c r="AI76" s="86"/>
      <c r="AJ76" s="86"/>
      <c r="AK76" s="86"/>
      <c r="AL76" s="68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  <c r="BM76" s="69"/>
      <c r="BN76" s="69"/>
      <c r="BO76" s="69"/>
      <c r="BP76" s="70"/>
    </row>
    <row r="77" spans="1:68" s="1" customFormat="1" ht="30.75" customHeight="1">
      <c r="A77" s="86"/>
      <c r="B77" s="86"/>
      <c r="C77" s="86"/>
      <c r="D77" s="71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3"/>
      <c r="AA77" s="74"/>
      <c r="AB77" s="75"/>
      <c r="AC77" s="75"/>
      <c r="AD77" s="75"/>
      <c r="AE77" s="76"/>
      <c r="AF77" s="86"/>
      <c r="AG77" s="86"/>
      <c r="AH77" s="86"/>
      <c r="AI77" s="86"/>
      <c r="AJ77" s="86"/>
      <c r="AK77" s="86"/>
      <c r="AL77" s="68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69"/>
      <c r="BG77" s="69"/>
      <c r="BH77" s="69"/>
      <c r="BI77" s="69"/>
      <c r="BJ77" s="69"/>
      <c r="BK77" s="69"/>
      <c r="BL77" s="69"/>
      <c r="BM77" s="69"/>
      <c r="BN77" s="69"/>
      <c r="BO77" s="69"/>
      <c r="BP77" s="70"/>
    </row>
    <row r="78" spans="1:68" s="1" customFormat="1" ht="30.75" customHeight="1">
      <c r="A78" s="91"/>
      <c r="B78" s="91"/>
      <c r="C78" s="91"/>
      <c r="D78" s="77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9"/>
      <c r="AA78" s="80"/>
      <c r="AB78" s="81"/>
      <c r="AC78" s="81"/>
      <c r="AD78" s="81"/>
      <c r="AE78" s="82"/>
      <c r="AF78" s="87"/>
      <c r="AG78" s="87"/>
      <c r="AH78" s="87"/>
      <c r="AI78" s="87"/>
      <c r="AJ78" s="87"/>
      <c r="AK78" s="87"/>
      <c r="AL78" s="83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5"/>
    </row>
    <row r="79" spans="1:68" s="4" customFormat="1" ht="3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3"/>
      <c r="AG79" s="3"/>
      <c r="AH79" s="3"/>
      <c r="AI79" s="3"/>
      <c r="AJ79" s="3"/>
      <c r="AK79" s="3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</row>
    <row r="80" spans="1:68" s="4" customFormat="1" ht="14.25">
      <c r="A80" s="5" t="s">
        <v>14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15"/>
      <c r="AG80" s="15"/>
      <c r="AH80" s="15"/>
      <c r="AI80" s="15"/>
      <c r="AJ80" s="15"/>
      <c r="AK80" s="15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6"/>
    </row>
    <row r="81" spans="1:68" s="4" customFormat="1" ht="20.25" customHeight="1">
      <c r="A81" s="5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6"/>
    </row>
    <row r="82" spans="1:68" s="4" customFormat="1" ht="20.25" customHeight="1">
      <c r="A82" s="5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6"/>
    </row>
    <row r="83" spans="1:68" s="4" customFormat="1" ht="20.25" customHeight="1">
      <c r="A83" s="5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6"/>
    </row>
    <row r="84" spans="1:68" s="4" customFormat="1" ht="20.25" customHeight="1">
      <c r="A84" s="5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6"/>
    </row>
    <row r="85" spans="1:68" s="4" customFormat="1" ht="20.25" customHeight="1">
      <c r="A85" s="7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9"/>
    </row>
    <row r="86" spans="1:68" ht="5.25" customHeight="1"/>
  </sheetData>
  <mergeCells count="445"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10:C10"/>
    <mergeCell ref="D10:Z10"/>
    <mergeCell ref="AA10:AE10"/>
    <mergeCell ref="AF10:AH10"/>
    <mergeCell ref="AI10:AK10"/>
    <mergeCell ref="AL10:BP10"/>
    <mergeCell ref="A8:C8"/>
    <mergeCell ref="D8:Z8"/>
    <mergeCell ref="AA8:AE8"/>
    <mergeCell ref="AF8:AH8"/>
    <mergeCell ref="AI8:AK8"/>
    <mergeCell ref="AL8:BP8"/>
    <mergeCell ref="A9:C9"/>
    <mergeCell ref="D9:Z9"/>
    <mergeCell ref="AA9:AE9"/>
    <mergeCell ref="AF9:AH9"/>
    <mergeCell ref="AI9:AK9"/>
    <mergeCell ref="AL9:BP9"/>
    <mergeCell ref="A12:C12"/>
    <mergeCell ref="D12:Z12"/>
    <mergeCell ref="AA12:AE12"/>
    <mergeCell ref="AF12:AH12"/>
    <mergeCell ref="AI12:AK12"/>
    <mergeCell ref="AL12:BP12"/>
    <mergeCell ref="A11:C11"/>
    <mergeCell ref="D11:Z11"/>
    <mergeCell ref="AA11:AE11"/>
    <mergeCell ref="AF11:AH11"/>
    <mergeCell ref="AI11:AK11"/>
    <mergeCell ref="AL11:BP11"/>
    <mergeCell ref="A14:C14"/>
    <mergeCell ref="D14:Z14"/>
    <mergeCell ref="AA14:AE14"/>
    <mergeCell ref="AF14:AH14"/>
    <mergeCell ref="AI14:AK14"/>
    <mergeCell ref="AL14:BP14"/>
    <mergeCell ref="A13:C13"/>
    <mergeCell ref="D13:Z13"/>
    <mergeCell ref="AA13:AE13"/>
    <mergeCell ref="AF13:AH13"/>
    <mergeCell ref="AI13:AK13"/>
    <mergeCell ref="AL13:BP13"/>
    <mergeCell ref="A16:C16"/>
    <mergeCell ref="D16:Z16"/>
    <mergeCell ref="AA16:AE16"/>
    <mergeCell ref="AF16:AH16"/>
    <mergeCell ref="AI16:AK16"/>
    <mergeCell ref="AL16:BP16"/>
    <mergeCell ref="A15:C15"/>
    <mergeCell ref="D15:Z15"/>
    <mergeCell ref="AA15:AE15"/>
    <mergeCell ref="AF15:AH15"/>
    <mergeCell ref="AI15:AK15"/>
    <mergeCell ref="AL15:BP15"/>
    <mergeCell ref="A18:C18"/>
    <mergeCell ref="D18:Z18"/>
    <mergeCell ref="AA18:AE18"/>
    <mergeCell ref="AF18:AH18"/>
    <mergeCell ref="AI18:AK18"/>
    <mergeCell ref="AL18:BP18"/>
    <mergeCell ref="A17:C17"/>
    <mergeCell ref="D17:Z17"/>
    <mergeCell ref="AA17:AE17"/>
    <mergeCell ref="AF17:AH17"/>
    <mergeCell ref="AI17:AK17"/>
    <mergeCell ref="AL17:BP17"/>
    <mergeCell ref="A20:C20"/>
    <mergeCell ref="D20:Z20"/>
    <mergeCell ref="AA20:AE20"/>
    <mergeCell ref="AF20:AH20"/>
    <mergeCell ref="AI20:AK20"/>
    <mergeCell ref="AL20:BP20"/>
    <mergeCell ref="A19:C19"/>
    <mergeCell ref="D19:Z19"/>
    <mergeCell ref="AA19:AE19"/>
    <mergeCell ref="AF19:AH19"/>
    <mergeCell ref="AI19:AK19"/>
    <mergeCell ref="AL19:BP19"/>
    <mergeCell ref="A22:C22"/>
    <mergeCell ref="D22:Z22"/>
    <mergeCell ref="AA22:AE22"/>
    <mergeCell ref="AF22:AH22"/>
    <mergeCell ref="AI22:AK22"/>
    <mergeCell ref="AL22:BP22"/>
    <mergeCell ref="A21:C21"/>
    <mergeCell ref="D21:Z21"/>
    <mergeCell ref="AA21:AE21"/>
    <mergeCell ref="AF21:AH21"/>
    <mergeCell ref="AI21:AK21"/>
    <mergeCell ref="AL21:BP21"/>
    <mergeCell ref="A24:C24"/>
    <mergeCell ref="D24:Z24"/>
    <mergeCell ref="AA24:AE24"/>
    <mergeCell ref="AF24:AH24"/>
    <mergeCell ref="AI24:AK24"/>
    <mergeCell ref="AL24:BP24"/>
    <mergeCell ref="A23:C23"/>
    <mergeCell ref="D23:Z23"/>
    <mergeCell ref="AA23:AE23"/>
    <mergeCell ref="AF23:AH23"/>
    <mergeCell ref="AI23:AK23"/>
    <mergeCell ref="AL23:BP23"/>
    <mergeCell ref="A45:C45"/>
    <mergeCell ref="D45:Z45"/>
    <mergeCell ref="AA45:AE45"/>
    <mergeCell ref="AF45:AH45"/>
    <mergeCell ref="AI45:AK45"/>
    <mergeCell ref="AL45:BP45"/>
    <mergeCell ref="A25:C25"/>
    <mergeCell ref="D25:Z25"/>
    <mergeCell ref="AA25:AE25"/>
    <mergeCell ref="AF25:AH25"/>
    <mergeCell ref="AI25:AK25"/>
    <mergeCell ref="AL25:BP25"/>
    <mergeCell ref="A26:C26"/>
    <mergeCell ref="D26:Z26"/>
    <mergeCell ref="AA26:AE26"/>
    <mergeCell ref="AF26:AH26"/>
    <mergeCell ref="AI26:AK26"/>
    <mergeCell ref="AL26:BP26"/>
    <mergeCell ref="A27:C27"/>
    <mergeCell ref="D27:Z27"/>
    <mergeCell ref="AA27:AE27"/>
    <mergeCell ref="AF27:AH27"/>
    <mergeCell ref="AI27:AK27"/>
    <mergeCell ref="AL27:BP27"/>
    <mergeCell ref="A47:C47"/>
    <mergeCell ref="D47:Z47"/>
    <mergeCell ref="AA47:AE47"/>
    <mergeCell ref="AF47:AH47"/>
    <mergeCell ref="AI47:AK47"/>
    <mergeCell ref="AL47:BP47"/>
    <mergeCell ref="A46:C46"/>
    <mergeCell ref="D46:Z46"/>
    <mergeCell ref="AA46:AE46"/>
    <mergeCell ref="AF46:AH46"/>
    <mergeCell ref="AI46:AK46"/>
    <mergeCell ref="AL46:BP46"/>
    <mergeCell ref="A49:C49"/>
    <mergeCell ref="D49:Z49"/>
    <mergeCell ref="AA49:AE49"/>
    <mergeCell ref="AF49:AH49"/>
    <mergeCell ref="AI49:AK49"/>
    <mergeCell ref="AL49:BP49"/>
    <mergeCell ref="A48:C48"/>
    <mergeCell ref="D48:Z48"/>
    <mergeCell ref="AA48:AE48"/>
    <mergeCell ref="AF48:AH48"/>
    <mergeCell ref="AI48:AK48"/>
    <mergeCell ref="AL48:BP48"/>
    <mergeCell ref="A51:C51"/>
    <mergeCell ref="D51:Z51"/>
    <mergeCell ref="AA51:AE51"/>
    <mergeCell ref="AF51:AH51"/>
    <mergeCell ref="AI51:AK51"/>
    <mergeCell ref="AL51:BP51"/>
    <mergeCell ref="A50:C50"/>
    <mergeCell ref="D50:Z50"/>
    <mergeCell ref="AA50:AE50"/>
    <mergeCell ref="AF50:AH50"/>
    <mergeCell ref="AI50:AK50"/>
    <mergeCell ref="AL50:BP50"/>
    <mergeCell ref="A53:C53"/>
    <mergeCell ref="D53:Z53"/>
    <mergeCell ref="AA53:AE53"/>
    <mergeCell ref="AF53:AH53"/>
    <mergeCell ref="AI53:AK53"/>
    <mergeCell ref="AL53:BP53"/>
    <mergeCell ref="A52:C52"/>
    <mergeCell ref="D52:Z52"/>
    <mergeCell ref="AA52:AE52"/>
    <mergeCell ref="AF52:AH52"/>
    <mergeCell ref="AI52:AK52"/>
    <mergeCell ref="AL52:BP52"/>
    <mergeCell ref="A55:C55"/>
    <mergeCell ref="D55:Z55"/>
    <mergeCell ref="AA55:AE55"/>
    <mergeCell ref="AF55:AH55"/>
    <mergeCell ref="AI55:AK55"/>
    <mergeCell ref="AL55:BP55"/>
    <mergeCell ref="A54:C54"/>
    <mergeCell ref="D54:Z54"/>
    <mergeCell ref="AA54:AE54"/>
    <mergeCell ref="AF54:AH54"/>
    <mergeCell ref="AI54:AK54"/>
    <mergeCell ref="AL54:BP54"/>
    <mergeCell ref="A57:C57"/>
    <mergeCell ref="D57:Z57"/>
    <mergeCell ref="AA57:AE57"/>
    <mergeCell ref="AF57:AH57"/>
    <mergeCell ref="AI57:AK57"/>
    <mergeCell ref="AL57:BP57"/>
    <mergeCell ref="A56:C56"/>
    <mergeCell ref="D56:Z56"/>
    <mergeCell ref="AA56:AE56"/>
    <mergeCell ref="AF56:AH56"/>
    <mergeCell ref="AI56:AK56"/>
    <mergeCell ref="AL56:BP56"/>
    <mergeCell ref="A59:C59"/>
    <mergeCell ref="D59:Z59"/>
    <mergeCell ref="AA59:AE59"/>
    <mergeCell ref="AF59:AH59"/>
    <mergeCell ref="AI59:AK59"/>
    <mergeCell ref="AL59:BP59"/>
    <mergeCell ref="A58:C58"/>
    <mergeCell ref="D58:Z58"/>
    <mergeCell ref="AA58:AE58"/>
    <mergeCell ref="AF58:AH58"/>
    <mergeCell ref="AI58:AK58"/>
    <mergeCell ref="AL58:BP58"/>
    <mergeCell ref="A61:C61"/>
    <mergeCell ref="D61:Z61"/>
    <mergeCell ref="AA61:AE61"/>
    <mergeCell ref="AF61:AH61"/>
    <mergeCell ref="AI61:AK61"/>
    <mergeCell ref="AL61:BP61"/>
    <mergeCell ref="A60:C60"/>
    <mergeCell ref="D60:Z60"/>
    <mergeCell ref="AA60:AE60"/>
    <mergeCell ref="AF60:AH60"/>
    <mergeCell ref="AI60:AK60"/>
    <mergeCell ref="AL60:BP60"/>
    <mergeCell ref="A63:C63"/>
    <mergeCell ref="D63:Z63"/>
    <mergeCell ref="AA63:AE63"/>
    <mergeCell ref="AF63:AH63"/>
    <mergeCell ref="AI63:AK63"/>
    <mergeCell ref="AL63:BP63"/>
    <mergeCell ref="A62:C62"/>
    <mergeCell ref="D62:Z62"/>
    <mergeCell ref="AA62:AE62"/>
    <mergeCell ref="AF62:AH62"/>
    <mergeCell ref="AI62:AK62"/>
    <mergeCell ref="AL62:BP62"/>
    <mergeCell ref="A65:C65"/>
    <mergeCell ref="D65:Z65"/>
    <mergeCell ref="AA65:AE65"/>
    <mergeCell ref="AF65:AH65"/>
    <mergeCell ref="AI65:AK65"/>
    <mergeCell ref="AL65:BP65"/>
    <mergeCell ref="A64:C64"/>
    <mergeCell ref="D64:Z64"/>
    <mergeCell ref="AA64:AE64"/>
    <mergeCell ref="AF64:AH64"/>
    <mergeCell ref="AI64:AK64"/>
    <mergeCell ref="AL64:BP64"/>
    <mergeCell ref="A67:C67"/>
    <mergeCell ref="D67:Z67"/>
    <mergeCell ref="AA67:AE67"/>
    <mergeCell ref="AF67:AH67"/>
    <mergeCell ref="AI67:AK67"/>
    <mergeCell ref="AL67:BP67"/>
    <mergeCell ref="A66:C66"/>
    <mergeCell ref="D66:Z66"/>
    <mergeCell ref="AA66:AE66"/>
    <mergeCell ref="AF66:AH66"/>
    <mergeCell ref="AI66:AK66"/>
    <mergeCell ref="AL66:BP66"/>
    <mergeCell ref="A69:C69"/>
    <mergeCell ref="D69:Z69"/>
    <mergeCell ref="AA69:AE69"/>
    <mergeCell ref="AF69:AH69"/>
    <mergeCell ref="AI69:AK69"/>
    <mergeCell ref="AL69:BP69"/>
    <mergeCell ref="A68:C68"/>
    <mergeCell ref="D68:Z68"/>
    <mergeCell ref="AA68:AE68"/>
    <mergeCell ref="AF68:AH68"/>
    <mergeCell ref="AI68:AK68"/>
    <mergeCell ref="AL68:BP68"/>
    <mergeCell ref="A71:C71"/>
    <mergeCell ref="D71:Z71"/>
    <mergeCell ref="AA71:AE71"/>
    <mergeCell ref="AF71:AH71"/>
    <mergeCell ref="AI71:AK71"/>
    <mergeCell ref="AL71:BP71"/>
    <mergeCell ref="A70:C70"/>
    <mergeCell ref="D70:Z70"/>
    <mergeCell ref="AA70:AE70"/>
    <mergeCell ref="AF70:AH70"/>
    <mergeCell ref="AI70:AK70"/>
    <mergeCell ref="AL70:BP70"/>
    <mergeCell ref="A73:C73"/>
    <mergeCell ref="D73:Z73"/>
    <mergeCell ref="AA73:AE73"/>
    <mergeCell ref="AF73:AH73"/>
    <mergeCell ref="AI73:AK73"/>
    <mergeCell ref="AL73:BP73"/>
    <mergeCell ref="A72:C72"/>
    <mergeCell ref="D72:Z72"/>
    <mergeCell ref="AA72:AE72"/>
    <mergeCell ref="AF72:AH72"/>
    <mergeCell ref="AI72:AK72"/>
    <mergeCell ref="AL72:BP72"/>
    <mergeCell ref="A75:C75"/>
    <mergeCell ref="D75:Z75"/>
    <mergeCell ref="AA75:AE75"/>
    <mergeCell ref="AF75:AH75"/>
    <mergeCell ref="AI75:AK75"/>
    <mergeCell ref="AL75:BP75"/>
    <mergeCell ref="A74:C74"/>
    <mergeCell ref="D74:Z74"/>
    <mergeCell ref="AA74:AE74"/>
    <mergeCell ref="AF74:AH74"/>
    <mergeCell ref="AI74:AK74"/>
    <mergeCell ref="AL74:BP74"/>
    <mergeCell ref="A77:C77"/>
    <mergeCell ref="D77:Z77"/>
    <mergeCell ref="AA77:AE77"/>
    <mergeCell ref="AF77:AH77"/>
    <mergeCell ref="AI77:AK77"/>
    <mergeCell ref="AL77:BP77"/>
    <mergeCell ref="A76:C76"/>
    <mergeCell ref="D76:Z76"/>
    <mergeCell ref="AA76:AE76"/>
    <mergeCell ref="AF76:AH76"/>
    <mergeCell ref="AI76:AK76"/>
    <mergeCell ref="AL76:BP76"/>
    <mergeCell ref="A78:C78"/>
    <mergeCell ref="D78:Z78"/>
    <mergeCell ref="AA78:AE78"/>
    <mergeCell ref="AF78:AH78"/>
    <mergeCell ref="AI78:AK78"/>
    <mergeCell ref="AL78:BP78"/>
    <mergeCell ref="A28:C28"/>
    <mergeCell ref="D28:Z28"/>
    <mergeCell ref="AA28:AE28"/>
    <mergeCell ref="AF28:AH28"/>
    <mergeCell ref="AI28:AK28"/>
    <mergeCell ref="AL28:BP28"/>
    <mergeCell ref="A29:C29"/>
    <mergeCell ref="D29:Z29"/>
    <mergeCell ref="AA29:AE29"/>
    <mergeCell ref="AF29:AH29"/>
    <mergeCell ref="AI29:AK29"/>
    <mergeCell ref="AL29:BP29"/>
    <mergeCell ref="A30:C30"/>
    <mergeCell ref="D30:Z30"/>
    <mergeCell ref="AA30:AE30"/>
    <mergeCell ref="AF30:AH30"/>
    <mergeCell ref="AI30:AK30"/>
    <mergeCell ref="AL30:BP30"/>
    <mergeCell ref="A31:C31"/>
    <mergeCell ref="D31:Z31"/>
    <mergeCell ref="AA31:AE31"/>
    <mergeCell ref="AF31:AH31"/>
    <mergeCell ref="AI31:AK31"/>
    <mergeCell ref="AL31:BP31"/>
    <mergeCell ref="A32:C32"/>
    <mergeCell ref="D32:Z32"/>
    <mergeCell ref="AA32:AE32"/>
    <mergeCell ref="AF32:AH32"/>
    <mergeCell ref="AI32:AK32"/>
    <mergeCell ref="AL32:BP32"/>
    <mergeCell ref="A33:C33"/>
    <mergeCell ref="D33:Z33"/>
    <mergeCell ref="AA33:AE33"/>
    <mergeCell ref="AF33:AH33"/>
    <mergeCell ref="AI33:AK33"/>
    <mergeCell ref="AL33:BP33"/>
    <mergeCell ref="A34:C34"/>
    <mergeCell ref="D34:Z34"/>
    <mergeCell ref="AA34:AE34"/>
    <mergeCell ref="AF34:AH34"/>
    <mergeCell ref="AI34:AK34"/>
    <mergeCell ref="AL34:BP34"/>
    <mergeCell ref="A35:C35"/>
    <mergeCell ref="D35:Z35"/>
    <mergeCell ref="AA35:AE35"/>
    <mergeCell ref="AF35:AH35"/>
    <mergeCell ref="AI35:AK35"/>
    <mergeCell ref="AL35:BP35"/>
    <mergeCell ref="A36:C36"/>
    <mergeCell ref="D36:Z36"/>
    <mergeCell ref="AA36:AE36"/>
    <mergeCell ref="AF36:AH36"/>
    <mergeCell ref="AI36:AK36"/>
    <mergeCell ref="AL36:BP36"/>
    <mergeCell ref="A37:C37"/>
    <mergeCell ref="D37:Z37"/>
    <mergeCell ref="AA37:AE37"/>
    <mergeCell ref="AF37:AH37"/>
    <mergeCell ref="AI37:AK37"/>
    <mergeCell ref="AL37:BP37"/>
    <mergeCell ref="A38:C38"/>
    <mergeCell ref="D38:Z38"/>
    <mergeCell ref="AA38:AE38"/>
    <mergeCell ref="AF38:AH38"/>
    <mergeCell ref="AI38:AK38"/>
    <mergeCell ref="AL38:BP38"/>
    <mergeCell ref="A39:C39"/>
    <mergeCell ref="D39:Z39"/>
    <mergeCell ref="AA39:AE39"/>
    <mergeCell ref="AF39:AH39"/>
    <mergeCell ref="AI39:AK39"/>
    <mergeCell ref="AL39:BP39"/>
    <mergeCell ref="A40:C40"/>
    <mergeCell ref="D40:Z40"/>
    <mergeCell ref="AA40:AE40"/>
    <mergeCell ref="AF40:AH40"/>
    <mergeCell ref="AI40:AK40"/>
    <mergeCell ref="AL40:BP40"/>
    <mergeCell ref="A41:C41"/>
    <mergeCell ref="D41:Z41"/>
    <mergeCell ref="AA41:AE41"/>
    <mergeCell ref="AF41:AH41"/>
    <mergeCell ref="AI41:AK41"/>
    <mergeCell ref="AL41:BP41"/>
    <mergeCell ref="A44:C44"/>
    <mergeCell ref="D44:Z44"/>
    <mergeCell ref="AA44:AE44"/>
    <mergeCell ref="AF44:AH44"/>
    <mergeCell ref="AI44:AK44"/>
    <mergeCell ref="AL44:BP44"/>
    <mergeCell ref="A42:C42"/>
    <mergeCell ref="D42:Z42"/>
    <mergeCell ref="AA42:AE42"/>
    <mergeCell ref="AF42:AH42"/>
    <mergeCell ref="AI42:AK42"/>
    <mergeCell ref="AL42:BP42"/>
    <mergeCell ref="A43:C43"/>
    <mergeCell ref="D43:Z43"/>
    <mergeCell ref="AA43:AE43"/>
    <mergeCell ref="AF43:AH43"/>
    <mergeCell ref="AI43:AK43"/>
    <mergeCell ref="AL43:BP43"/>
  </mergeCells>
  <phoneticPr fontId="3"/>
  <dataValidations count="1">
    <dataValidation type="list" allowBlank="1" showInputMessage="1" showErrorMessage="1" sqref="BJ6:BP6" xr:uid="{A9B9B3C8-7BE2-4313-8487-9E345FACA7AF}">
      <formula1>"原票、画面,帳票,連動ファイル,論理ファイル"</formula1>
    </dataValidation>
  </dataValidations>
  <pageMargins left="0.59055118110236227" right="0.47244094488188981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A89F-DCD4-4AD6-86BD-D44E4B2CC17C}">
  <dimension ref="A1:BR26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8" width="2.125" style="55"/>
    <col min="39" max="44" width="0" style="55" hidden="1" customWidth="1"/>
    <col min="45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58" t="s">
        <v>217</v>
      </c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95" t="s">
        <v>1369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1370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17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129">
        <f>ROW()-8</f>
        <v>1</v>
      </c>
      <c r="B9" s="130"/>
      <c r="C9" s="131"/>
      <c r="D9" s="142" t="s">
        <v>1442</v>
      </c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4"/>
      <c r="AA9" s="117" t="s">
        <v>19</v>
      </c>
      <c r="AB9" s="118"/>
      <c r="AC9" s="118"/>
      <c r="AD9" s="118"/>
      <c r="AE9" s="119"/>
      <c r="AF9" s="117">
        <v>1000</v>
      </c>
      <c r="AG9" s="118"/>
      <c r="AH9" s="119"/>
      <c r="AI9" s="117"/>
      <c r="AJ9" s="118"/>
      <c r="AK9" s="119"/>
      <c r="AL9" s="68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70"/>
    </row>
    <row r="10" spans="1:70" s="1" customFormat="1" ht="30.75" customHeight="1">
      <c r="A10" s="74">
        <f>ROW()-8</f>
        <v>2</v>
      </c>
      <c r="B10" s="75"/>
      <c r="C10" s="76"/>
      <c r="D10" s="71" t="s">
        <v>1443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  <c r="AA10" s="74" t="s">
        <v>19</v>
      </c>
      <c r="AB10" s="75"/>
      <c r="AC10" s="75"/>
      <c r="AD10" s="75"/>
      <c r="AE10" s="76"/>
      <c r="AF10" s="74">
        <v>64</v>
      </c>
      <c r="AG10" s="75"/>
      <c r="AH10" s="76"/>
      <c r="AI10" s="74"/>
      <c r="AJ10" s="75"/>
      <c r="AK10" s="76"/>
      <c r="AL10" s="68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74">
        <f t="shared" ref="A11:A16" si="0">ROW()-8</f>
        <v>3</v>
      </c>
      <c r="B11" s="75"/>
      <c r="C11" s="76"/>
      <c r="D11" s="71" t="s">
        <v>1371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3"/>
      <c r="AA11" s="74" t="s">
        <v>19</v>
      </c>
      <c r="AB11" s="75"/>
      <c r="AC11" s="75"/>
      <c r="AD11" s="75"/>
      <c r="AE11" s="76"/>
      <c r="AF11" s="74">
        <v>1000</v>
      </c>
      <c r="AG11" s="75"/>
      <c r="AH11" s="76"/>
      <c r="AI11" s="74"/>
      <c r="AJ11" s="75"/>
      <c r="AK11" s="76"/>
      <c r="AL11" s="68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70"/>
    </row>
    <row r="12" spans="1:70" s="1" customFormat="1" ht="30.75" customHeight="1">
      <c r="A12" s="74">
        <f t="shared" si="0"/>
        <v>4</v>
      </c>
      <c r="B12" s="75"/>
      <c r="C12" s="76"/>
      <c r="D12" s="71" t="s">
        <v>1374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3"/>
      <c r="AA12" s="74" t="s">
        <v>19</v>
      </c>
      <c r="AB12" s="75"/>
      <c r="AC12" s="75"/>
      <c r="AD12" s="75"/>
      <c r="AE12" s="76"/>
      <c r="AF12" s="74">
        <v>64</v>
      </c>
      <c r="AG12" s="75"/>
      <c r="AH12" s="76"/>
      <c r="AI12" s="74"/>
      <c r="AJ12" s="75"/>
      <c r="AK12" s="76"/>
      <c r="AL12" s="68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70"/>
    </row>
    <row r="13" spans="1:70" s="1" customFormat="1" ht="30.75" customHeight="1">
      <c r="A13" s="74">
        <f t="shared" si="0"/>
        <v>5</v>
      </c>
      <c r="B13" s="75"/>
      <c r="C13" s="76"/>
      <c r="D13" s="71" t="s">
        <v>1375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3"/>
      <c r="AA13" s="74" t="s">
        <v>19</v>
      </c>
      <c r="AB13" s="75"/>
      <c r="AC13" s="75"/>
      <c r="AD13" s="75"/>
      <c r="AE13" s="76"/>
      <c r="AF13" s="74">
        <v>1000</v>
      </c>
      <c r="AG13" s="75"/>
      <c r="AH13" s="76"/>
      <c r="AI13" s="74"/>
      <c r="AJ13" s="75"/>
      <c r="AK13" s="76"/>
      <c r="AL13" s="68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70"/>
    </row>
    <row r="14" spans="1:70" s="1" customFormat="1" ht="30.75" customHeight="1">
      <c r="A14" s="74">
        <f t="shared" si="0"/>
        <v>6</v>
      </c>
      <c r="B14" s="75"/>
      <c r="C14" s="76"/>
      <c r="D14" s="71" t="s">
        <v>1376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3"/>
      <c r="AA14" s="74" t="s">
        <v>19</v>
      </c>
      <c r="AB14" s="75"/>
      <c r="AC14" s="75"/>
      <c r="AD14" s="75"/>
      <c r="AE14" s="76"/>
      <c r="AF14" s="74">
        <v>64</v>
      </c>
      <c r="AG14" s="75"/>
      <c r="AH14" s="76"/>
      <c r="AI14" s="86"/>
      <c r="AJ14" s="86"/>
      <c r="AK14" s="86"/>
      <c r="AL14" s="68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70"/>
    </row>
    <row r="15" spans="1:70" s="1" customFormat="1" ht="30.75" customHeight="1">
      <c r="A15" s="74">
        <f t="shared" si="0"/>
        <v>7</v>
      </c>
      <c r="B15" s="75"/>
      <c r="C15" s="76"/>
      <c r="D15" s="71" t="s">
        <v>1377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3"/>
      <c r="AA15" s="74" t="s">
        <v>19</v>
      </c>
      <c r="AB15" s="75"/>
      <c r="AC15" s="75"/>
      <c r="AD15" s="75"/>
      <c r="AE15" s="76"/>
      <c r="AF15" s="74">
        <v>1000</v>
      </c>
      <c r="AG15" s="75"/>
      <c r="AH15" s="76"/>
      <c r="AI15" s="86"/>
      <c r="AJ15" s="86"/>
      <c r="AK15" s="86"/>
      <c r="AL15" s="68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70"/>
    </row>
    <row r="16" spans="1:70" s="1" customFormat="1" ht="30.75" customHeight="1">
      <c r="A16" s="74">
        <f t="shared" si="0"/>
        <v>8</v>
      </c>
      <c r="B16" s="75"/>
      <c r="C16" s="76"/>
      <c r="D16" s="71" t="s">
        <v>1378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3"/>
      <c r="AA16" s="74" t="s">
        <v>19</v>
      </c>
      <c r="AB16" s="75"/>
      <c r="AC16" s="75"/>
      <c r="AD16" s="75"/>
      <c r="AE16" s="76"/>
      <c r="AF16" s="74">
        <v>64</v>
      </c>
      <c r="AG16" s="75"/>
      <c r="AH16" s="76"/>
      <c r="AI16" s="86"/>
      <c r="AJ16" s="86"/>
      <c r="AK16" s="86"/>
      <c r="AL16" s="68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70"/>
    </row>
    <row r="17" spans="1:68" s="1" customFormat="1" ht="30.75" customHeight="1">
      <c r="A17" s="74"/>
      <c r="B17" s="75"/>
      <c r="C17" s="76"/>
      <c r="D17" s="71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3"/>
      <c r="AA17" s="74"/>
      <c r="AB17" s="75"/>
      <c r="AC17" s="75"/>
      <c r="AD17" s="75"/>
      <c r="AE17" s="76"/>
      <c r="AF17" s="74"/>
      <c r="AG17" s="75"/>
      <c r="AH17" s="76"/>
      <c r="AI17" s="74"/>
      <c r="AJ17" s="75"/>
      <c r="AK17" s="76"/>
      <c r="AL17" s="68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70"/>
    </row>
    <row r="18" spans="1:68" s="1" customFormat="1" ht="30.75" customHeight="1">
      <c r="A18" s="91"/>
      <c r="B18" s="91"/>
      <c r="C18" s="91"/>
      <c r="D18" s="77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9"/>
      <c r="AA18" s="80"/>
      <c r="AB18" s="81"/>
      <c r="AC18" s="81"/>
      <c r="AD18" s="81"/>
      <c r="AE18" s="82"/>
      <c r="AF18" s="87"/>
      <c r="AG18" s="87"/>
      <c r="AH18" s="87"/>
      <c r="AI18" s="87"/>
      <c r="AJ18" s="87"/>
      <c r="AK18" s="87"/>
      <c r="AL18" s="83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5"/>
    </row>
    <row r="19" spans="1:68" s="4" customFormat="1" ht="3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3"/>
      <c r="AG19" s="3"/>
      <c r="AH19" s="3"/>
      <c r="AI19" s="3"/>
      <c r="AJ19" s="3"/>
      <c r="AK19" s="3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</row>
    <row r="20" spans="1:68" s="4" customFormat="1" ht="14.25">
      <c r="A20" s="5" t="s">
        <v>14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15"/>
      <c r="AG20" s="15"/>
      <c r="AH20" s="15"/>
      <c r="AI20" s="15"/>
      <c r="AJ20" s="15"/>
      <c r="AK20" s="15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6"/>
    </row>
    <row r="21" spans="1:68" s="4" customFormat="1" ht="20.25" customHeight="1">
      <c r="A21" s="5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6"/>
    </row>
    <row r="22" spans="1:68" s="4" customFormat="1" ht="20.25" customHeight="1">
      <c r="A22" s="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6"/>
    </row>
    <row r="23" spans="1:68" s="4" customFormat="1" ht="20.25" customHeight="1">
      <c r="A23" s="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6"/>
    </row>
    <row r="24" spans="1:68" s="4" customFormat="1" ht="20.25" customHeight="1">
      <c r="A24" s="5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6"/>
    </row>
    <row r="25" spans="1:68" s="4" customFormat="1" ht="20.25" customHeight="1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9"/>
    </row>
    <row r="26" spans="1:68" ht="5.25" customHeight="1"/>
  </sheetData>
  <mergeCells count="85">
    <mergeCell ref="AL18:BP18"/>
    <mergeCell ref="A17:C17"/>
    <mergeCell ref="D17:Z17"/>
    <mergeCell ref="AA17:AE17"/>
    <mergeCell ref="AF17:AH17"/>
    <mergeCell ref="AI17:AK17"/>
    <mergeCell ref="AL17:BP17"/>
    <mergeCell ref="A18:C18"/>
    <mergeCell ref="D18:Z18"/>
    <mergeCell ref="AA18:AE18"/>
    <mergeCell ref="AF18:AH18"/>
    <mergeCell ref="AI18:AK18"/>
    <mergeCell ref="AL16:BP16"/>
    <mergeCell ref="A15:C15"/>
    <mergeCell ref="D15:Z15"/>
    <mergeCell ref="AA15:AE15"/>
    <mergeCell ref="AF15:AH15"/>
    <mergeCell ref="AI15:AK15"/>
    <mergeCell ref="AL15:BP15"/>
    <mergeCell ref="A16:C16"/>
    <mergeCell ref="D16:Z16"/>
    <mergeCell ref="AA16:AE16"/>
    <mergeCell ref="AF16:AH16"/>
    <mergeCell ref="AI16:AK16"/>
    <mergeCell ref="AL14:BP14"/>
    <mergeCell ref="A13:C13"/>
    <mergeCell ref="D13:Z13"/>
    <mergeCell ref="AA13:AE13"/>
    <mergeCell ref="AF13:AH13"/>
    <mergeCell ref="AI13:AK13"/>
    <mergeCell ref="AL13:BP13"/>
    <mergeCell ref="A14:C14"/>
    <mergeCell ref="D14:Z14"/>
    <mergeCell ref="AA14:AE14"/>
    <mergeCell ref="AF14:AH14"/>
    <mergeCell ref="AI14:AK14"/>
    <mergeCell ref="AL12:BP12"/>
    <mergeCell ref="A11:C11"/>
    <mergeCell ref="D11:Z11"/>
    <mergeCell ref="AA11:AE11"/>
    <mergeCell ref="AF11:AH11"/>
    <mergeCell ref="AI11:AK11"/>
    <mergeCell ref="AL11:BP11"/>
    <mergeCell ref="A12:C12"/>
    <mergeCell ref="D12:Z12"/>
    <mergeCell ref="AA12:AE12"/>
    <mergeCell ref="AF12:AH12"/>
    <mergeCell ref="AI12:AK12"/>
    <mergeCell ref="AL10:BP10"/>
    <mergeCell ref="A9:C9"/>
    <mergeCell ref="D9:Z9"/>
    <mergeCell ref="AA9:AE9"/>
    <mergeCell ref="AF9:AH9"/>
    <mergeCell ref="AI9:AK9"/>
    <mergeCell ref="AL9:BP9"/>
    <mergeCell ref="A10:C10"/>
    <mergeCell ref="D10:Z10"/>
    <mergeCell ref="AA10:AE10"/>
    <mergeCell ref="AF10:AH10"/>
    <mergeCell ref="AI10:AK10"/>
    <mergeCell ref="AL8:BP8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8:C8"/>
    <mergeCell ref="D8:Z8"/>
    <mergeCell ref="AA8:AE8"/>
    <mergeCell ref="AF8:AH8"/>
    <mergeCell ref="AI8:AK8"/>
    <mergeCell ref="A3:G3"/>
    <mergeCell ref="H3:BA3"/>
    <mergeCell ref="BB3:BE3"/>
    <mergeCell ref="BF3:BP3"/>
    <mergeCell ref="A2:BA2"/>
    <mergeCell ref="BB2:BE2"/>
    <mergeCell ref="BF2:BI2"/>
    <mergeCell ref="BJ2:BM2"/>
    <mergeCell ref="BN2:BP2"/>
  </mergeCells>
  <phoneticPr fontId="3"/>
  <dataValidations count="1">
    <dataValidation type="list" allowBlank="1" showInputMessage="1" showErrorMessage="1" sqref="BJ6:BP6" xr:uid="{6F5E71C8-5510-4B54-AE1B-90B0DD65EE4F}">
      <formula1>"原票、画面,帳票,連動ファイル,論理ファイル"</formula1>
    </dataValidation>
  </dataValidations>
  <pageMargins left="0.59055118110236227" right="0.47244094488188981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3220-6C1F-43C0-9E7A-AA3EFAA4D9F4}">
  <sheetPr codeName="Sheet4"/>
  <dimension ref="A1:BR30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8" width="2.125" style="55"/>
    <col min="39" max="44" width="0" style="55" hidden="1" customWidth="1"/>
    <col min="45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58" t="s">
        <v>217</v>
      </c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95" t="s">
        <v>628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606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17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74">
        <f t="shared" ref="A9:A20" si="0">ROW()-8</f>
        <v>1</v>
      </c>
      <c r="B9" s="75"/>
      <c r="C9" s="76"/>
      <c r="D9" s="71" t="s">
        <v>57</v>
      </c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3"/>
      <c r="AA9" s="74" t="s">
        <v>19</v>
      </c>
      <c r="AB9" s="75"/>
      <c r="AC9" s="75"/>
      <c r="AD9" s="75"/>
      <c r="AE9" s="76"/>
      <c r="AF9" s="86">
        <v>20</v>
      </c>
      <c r="AG9" s="86"/>
      <c r="AH9" s="86"/>
      <c r="AI9" s="74"/>
      <c r="AJ9" s="75"/>
      <c r="AK9" s="76"/>
      <c r="AL9" s="68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70"/>
    </row>
    <row r="10" spans="1:70" s="1" customFormat="1" ht="30.75" customHeight="1">
      <c r="A10" s="74">
        <f t="shared" si="0"/>
        <v>2</v>
      </c>
      <c r="B10" s="75"/>
      <c r="C10" s="76"/>
      <c r="D10" s="71" t="s">
        <v>1447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  <c r="AA10" s="74" t="s">
        <v>18</v>
      </c>
      <c r="AB10" s="75"/>
      <c r="AC10" s="75"/>
      <c r="AD10" s="75"/>
      <c r="AE10" s="76"/>
      <c r="AF10" s="86">
        <v>8</v>
      </c>
      <c r="AG10" s="86"/>
      <c r="AH10" s="86"/>
      <c r="AI10" s="74"/>
      <c r="AJ10" s="75"/>
      <c r="AK10" s="76"/>
      <c r="AL10" s="68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74">
        <f t="shared" si="0"/>
        <v>3</v>
      </c>
      <c r="B11" s="75"/>
      <c r="C11" s="76"/>
      <c r="D11" s="71" t="s">
        <v>1451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3"/>
      <c r="AA11" s="74" t="s">
        <v>19</v>
      </c>
      <c r="AB11" s="75"/>
      <c r="AC11" s="75"/>
      <c r="AD11" s="75"/>
      <c r="AE11" s="76"/>
      <c r="AF11" s="74">
        <v>8</v>
      </c>
      <c r="AG11" s="75"/>
      <c r="AH11" s="76"/>
      <c r="AI11" s="74"/>
      <c r="AJ11" s="75"/>
      <c r="AK11" s="76"/>
      <c r="AL11" s="68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70"/>
    </row>
    <row r="12" spans="1:70" s="1" customFormat="1" ht="30.75" customHeight="1">
      <c r="A12" s="74">
        <f t="shared" si="0"/>
        <v>4</v>
      </c>
      <c r="B12" s="75"/>
      <c r="C12" s="76"/>
      <c r="D12" s="71" t="s">
        <v>1452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3"/>
      <c r="AA12" s="74" t="s">
        <v>19</v>
      </c>
      <c r="AB12" s="75"/>
      <c r="AC12" s="75"/>
      <c r="AD12" s="75"/>
      <c r="AE12" s="76"/>
      <c r="AF12" s="74">
        <v>19</v>
      </c>
      <c r="AG12" s="75"/>
      <c r="AH12" s="76"/>
      <c r="AI12" s="74"/>
      <c r="AJ12" s="75"/>
      <c r="AK12" s="76"/>
      <c r="AL12" s="68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70"/>
    </row>
    <row r="13" spans="1:70" s="1" customFormat="1" ht="30.75" customHeight="1">
      <c r="A13" s="74">
        <f t="shared" si="0"/>
        <v>5</v>
      </c>
      <c r="B13" s="75"/>
      <c r="C13" s="76"/>
      <c r="D13" s="71" t="s">
        <v>1449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3"/>
      <c r="AA13" s="74" t="s">
        <v>18</v>
      </c>
      <c r="AB13" s="75"/>
      <c r="AC13" s="75"/>
      <c r="AD13" s="75"/>
      <c r="AE13" s="76"/>
      <c r="AF13" s="74">
        <v>4</v>
      </c>
      <c r="AG13" s="75"/>
      <c r="AH13" s="76"/>
      <c r="AI13" s="74"/>
      <c r="AJ13" s="75"/>
      <c r="AK13" s="76"/>
      <c r="AL13" s="68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70"/>
    </row>
    <row r="14" spans="1:70" s="1" customFormat="1" ht="30.75" customHeight="1">
      <c r="A14" s="74">
        <f t="shared" si="0"/>
        <v>6</v>
      </c>
      <c r="B14" s="75"/>
      <c r="C14" s="76"/>
      <c r="D14" s="71" t="s">
        <v>1450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3"/>
      <c r="AA14" s="74" t="s">
        <v>19</v>
      </c>
      <c r="AB14" s="75"/>
      <c r="AC14" s="75"/>
      <c r="AD14" s="75"/>
      <c r="AE14" s="76"/>
      <c r="AF14" s="74">
        <v>15</v>
      </c>
      <c r="AG14" s="75"/>
      <c r="AH14" s="76"/>
      <c r="AI14" s="74"/>
      <c r="AJ14" s="75"/>
      <c r="AK14" s="76"/>
      <c r="AL14" s="68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70"/>
    </row>
    <row r="15" spans="1:70" s="1" customFormat="1" ht="30.75" customHeight="1">
      <c r="A15" s="74">
        <f t="shared" si="0"/>
        <v>7</v>
      </c>
      <c r="B15" s="75"/>
      <c r="C15" s="76"/>
      <c r="D15" s="71" t="s">
        <v>20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3"/>
      <c r="AA15" s="74" t="s">
        <v>19</v>
      </c>
      <c r="AB15" s="75"/>
      <c r="AC15" s="75"/>
      <c r="AD15" s="75"/>
      <c r="AE15" s="76"/>
      <c r="AF15" s="74">
        <v>2</v>
      </c>
      <c r="AG15" s="75"/>
      <c r="AH15" s="76"/>
      <c r="AI15" s="74"/>
      <c r="AJ15" s="75"/>
      <c r="AK15" s="76"/>
      <c r="AL15" s="68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70"/>
    </row>
    <row r="16" spans="1:70" s="1" customFormat="1" ht="30.75" customHeight="1">
      <c r="A16" s="74">
        <f t="shared" si="0"/>
        <v>8</v>
      </c>
      <c r="B16" s="75"/>
      <c r="C16" s="76"/>
      <c r="D16" s="71" t="s">
        <v>21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3"/>
      <c r="AA16" s="74" t="s">
        <v>19</v>
      </c>
      <c r="AB16" s="75"/>
      <c r="AC16" s="75"/>
      <c r="AD16" s="75"/>
      <c r="AE16" s="76"/>
      <c r="AF16" s="74">
        <v>10</v>
      </c>
      <c r="AG16" s="75"/>
      <c r="AH16" s="76"/>
      <c r="AI16" s="86"/>
      <c r="AJ16" s="86"/>
      <c r="AK16" s="86"/>
      <c r="AL16" s="68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70"/>
    </row>
    <row r="17" spans="1:68" s="1" customFormat="1" ht="30.75" customHeight="1">
      <c r="A17" s="74">
        <f t="shared" si="0"/>
        <v>9</v>
      </c>
      <c r="B17" s="75"/>
      <c r="C17" s="76"/>
      <c r="D17" s="71" t="s">
        <v>1453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3"/>
      <c r="AA17" s="74" t="s">
        <v>19</v>
      </c>
      <c r="AB17" s="75"/>
      <c r="AC17" s="75"/>
      <c r="AD17" s="75"/>
      <c r="AE17" s="76"/>
      <c r="AF17" s="74">
        <v>2</v>
      </c>
      <c r="AG17" s="75"/>
      <c r="AH17" s="76"/>
      <c r="AI17" s="86"/>
      <c r="AJ17" s="86"/>
      <c r="AK17" s="86"/>
      <c r="AL17" s="68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70"/>
    </row>
    <row r="18" spans="1:68" s="1" customFormat="1" ht="30.75" customHeight="1">
      <c r="A18" s="74">
        <f t="shared" si="0"/>
        <v>10</v>
      </c>
      <c r="B18" s="75"/>
      <c r="C18" s="76"/>
      <c r="D18" s="71" t="s">
        <v>1454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3"/>
      <c r="AA18" s="74" t="s">
        <v>19</v>
      </c>
      <c r="AB18" s="75"/>
      <c r="AC18" s="75"/>
      <c r="AD18" s="75"/>
      <c r="AE18" s="76"/>
      <c r="AF18" s="86">
        <v>8</v>
      </c>
      <c r="AG18" s="86"/>
      <c r="AH18" s="86"/>
      <c r="AI18" s="86"/>
      <c r="AJ18" s="86"/>
      <c r="AK18" s="86"/>
      <c r="AL18" s="68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70"/>
    </row>
    <row r="19" spans="1:68" s="1" customFormat="1" ht="30.75" customHeight="1">
      <c r="A19" s="74">
        <f t="shared" si="0"/>
        <v>11</v>
      </c>
      <c r="B19" s="75"/>
      <c r="C19" s="76"/>
      <c r="D19" s="71" t="s">
        <v>24</v>
      </c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3"/>
      <c r="AA19" s="74" t="s">
        <v>19</v>
      </c>
      <c r="AB19" s="75"/>
      <c r="AC19" s="75"/>
      <c r="AD19" s="75"/>
      <c r="AE19" s="76"/>
      <c r="AF19" s="86">
        <v>12</v>
      </c>
      <c r="AG19" s="86"/>
      <c r="AH19" s="86"/>
      <c r="AI19" s="74"/>
      <c r="AJ19" s="75"/>
      <c r="AK19" s="76"/>
      <c r="AL19" s="68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70"/>
    </row>
    <row r="20" spans="1:68" s="1" customFormat="1" ht="30.75" customHeight="1">
      <c r="A20" s="74">
        <f t="shared" si="0"/>
        <v>12</v>
      </c>
      <c r="B20" s="75"/>
      <c r="C20" s="76"/>
      <c r="D20" s="71" t="s">
        <v>1455</v>
      </c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3"/>
      <c r="AA20" s="74" t="s">
        <v>18</v>
      </c>
      <c r="AB20" s="75"/>
      <c r="AC20" s="75"/>
      <c r="AD20" s="75"/>
      <c r="AE20" s="76"/>
      <c r="AF20" s="74">
        <v>4</v>
      </c>
      <c r="AG20" s="75"/>
      <c r="AH20" s="76"/>
      <c r="AI20" s="74"/>
      <c r="AJ20" s="75"/>
      <c r="AK20" s="76"/>
      <c r="AL20" s="68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70"/>
    </row>
    <row r="21" spans="1:68" s="1" customFormat="1" ht="30.75" customHeight="1">
      <c r="A21" s="74"/>
      <c r="B21" s="75"/>
      <c r="C21" s="76"/>
      <c r="D21" s="71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3"/>
      <c r="AA21" s="74"/>
      <c r="AB21" s="75"/>
      <c r="AC21" s="75"/>
      <c r="AD21" s="75"/>
      <c r="AE21" s="76"/>
      <c r="AF21" s="86"/>
      <c r="AG21" s="86"/>
      <c r="AH21" s="86"/>
      <c r="AI21" s="86"/>
      <c r="AJ21" s="86"/>
      <c r="AK21" s="86"/>
      <c r="AL21" s="68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70"/>
    </row>
    <row r="22" spans="1:68" s="1" customFormat="1" ht="30.75" customHeight="1">
      <c r="A22" s="80"/>
      <c r="B22" s="81"/>
      <c r="C22" s="82"/>
      <c r="D22" s="77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9"/>
      <c r="AA22" s="80"/>
      <c r="AB22" s="81"/>
      <c r="AC22" s="81"/>
      <c r="AD22" s="81"/>
      <c r="AE22" s="82"/>
      <c r="AF22" s="87"/>
      <c r="AG22" s="87"/>
      <c r="AH22" s="87"/>
      <c r="AI22" s="87"/>
      <c r="AJ22" s="87"/>
      <c r="AK22" s="87"/>
      <c r="AL22" s="83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5"/>
    </row>
    <row r="23" spans="1:68" s="4" customFormat="1" ht="3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3"/>
      <c r="AG23" s="3"/>
      <c r="AH23" s="3"/>
      <c r="AI23" s="3"/>
      <c r="AJ23" s="3"/>
      <c r="AK23" s="3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</row>
    <row r="24" spans="1:68" s="4" customFormat="1" ht="14.25">
      <c r="A24" s="5" t="s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15"/>
      <c r="AG24" s="15"/>
      <c r="AH24" s="15"/>
      <c r="AI24" s="15"/>
      <c r="AJ24" s="15"/>
      <c r="AK24" s="15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6"/>
    </row>
    <row r="25" spans="1:68" s="4" customFormat="1" ht="20.25" customHeight="1">
      <c r="A25" s="5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6"/>
    </row>
    <row r="26" spans="1:68" s="4" customFormat="1" ht="20.25" customHeight="1">
      <c r="A26" s="5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6"/>
    </row>
    <row r="27" spans="1:68" s="4" customFormat="1" ht="20.25" customHeight="1">
      <c r="A27" s="5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6"/>
    </row>
    <row r="28" spans="1:68" s="4" customFormat="1" ht="20.25" customHeight="1">
      <c r="A28" s="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6"/>
    </row>
    <row r="29" spans="1:68" s="4" customFormat="1" ht="20.25" customHeight="1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9"/>
    </row>
    <row r="30" spans="1:68" ht="5.25" customHeight="1"/>
  </sheetData>
  <mergeCells count="109">
    <mergeCell ref="A15:C15"/>
    <mergeCell ref="A16:C16"/>
    <mergeCell ref="A17:C17"/>
    <mergeCell ref="A13:C13"/>
    <mergeCell ref="A22:C22"/>
    <mergeCell ref="A21:C21"/>
    <mergeCell ref="A18:C18"/>
    <mergeCell ref="A19:C19"/>
    <mergeCell ref="A20:C20"/>
    <mergeCell ref="A14:C14"/>
    <mergeCell ref="D15:Z15"/>
    <mergeCell ref="AA15:AE15"/>
    <mergeCell ref="AL15:BP15"/>
    <mergeCell ref="D11:Z11"/>
    <mergeCell ref="AA11:AE11"/>
    <mergeCell ref="AF11:AH11"/>
    <mergeCell ref="AI11:AK11"/>
    <mergeCell ref="AF12:AH12"/>
    <mergeCell ref="AI12:AK12"/>
    <mergeCell ref="AF15:AH15"/>
    <mergeCell ref="AI15:AK15"/>
    <mergeCell ref="D13:Z13"/>
    <mergeCell ref="AA13:AE13"/>
    <mergeCell ref="AF13:AH13"/>
    <mergeCell ref="AI13:AK13"/>
    <mergeCell ref="AL13:BP13"/>
    <mergeCell ref="D14:Z14"/>
    <mergeCell ref="AA14:AE14"/>
    <mergeCell ref="AF14:AH14"/>
    <mergeCell ref="AI14:AK14"/>
    <mergeCell ref="AL14:BP14"/>
    <mergeCell ref="AL11:BP11"/>
    <mergeCell ref="D12:Z12"/>
    <mergeCell ref="AA12:AE12"/>
    <mergeCell ref="D18:Z18"/>
    <mergeCell ref="AA18:AE18"/>
    <mergeCell ref="AL18:BP18"/>
    <mergeCell ref="D16:Z16"/>
    <mergeCell ref="AA16:AE16"/>
    <mergeCell ref="AL16:BP16"/>
    <mergeCell ref="D17:Z17"/>
    <mergeCell ref="AA17:AE17"/>
    <mergeCell ref="AL17:BP17"/>
    <mergeCell ref="AF16:AH16"/>
    <mergeCell ref="AI16:AK16"/>
    <mergeCell ref="AF17:AH17"/>
    <mergeCell ref="AI17:AK17"/>
    <mergeCell ref="AF18:AH18"/>
    <mergeCell ref="AI18:AK18"/>
    <mergeCell ref="D19:Z19"/>
    <mergeCell ref="AA19:AE19"/>
    <mergeCell ref="AL19:BP19"/>
    <mergeCell ref="D20:Z20"/>
    <mergeCell ref="AA20:AE20"/>
    <mergeCell ref="AL20:BP20"/>
    <mergeCell ref="AF19:AH19"/>
    <mergeCell ref="AI19:AK19"/>
    <mergeCell ref="AF20:AH20"/>
    <mergeCell ref="AI20:AK20"/>
    <mergeCell ref="D21:Z21"/>
    <mergeCell ref="AA21:AE21"/>
    <mergeCell ref="AL21:BP21"/>
    <mergeCell ref="AF21:AH21"/>
    <mergeCell ref="AI21:AK21"/>
    <mergeCell ref="D22:Z22"/>
    <mergeCell ref="AA22:AE22"/>
    <mergeCell ref="AL22:BP22"/>
    <mergeCell ref="AF22:AH22"/>
    <mergeCell ref="AI22:AK22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F8:AH8"/>
    <mergeCell ref="AI8:AK8"/>
    <mergeCell ref="A8:C8"/>
    <mergeCell ref="D8:Z8"/>
    <mergeCell ref="AA8:AE8"/>
    <mergeCell ref="AL8:BP8"/>
    <mergeCell ref="A6:G6"/>
    <mergeCell ref="H6:N6"/>
    <mergeCell ref="O6:Y6"/>
    <mergeCell ref="Z6:BE6"/>
    <mergeCell ref="BF6:BI6"/>
    <mergeCell ref="BJ6:BP6"/>
    <mergeCell ref="AL12:BP12"/>
    <mergeCell ref="A9:C9"/>
    <mergeCell ref="D9:Z9"/>
    <mergeCell ref="AA9:AE9"/>
    <mergeCell ref="AF9:AH9"/>
    <mergeCell ref="AI9:AK9"/>
    <mergeCell ref="AL9:BP9"/>
    <mergeCell ref="A10:C10"/>
    <mergeCell ref="D10:Z10"/>
    <mergeCell ref="AA10:AE10"/>
    <mergeCell ref="AF10:AH10"/>
    <mergeCell ref="AI10:AK10"/>
    <mergeCell ref="AL10:BP10"/>
    <mergeCell ref="A11:C11"/>
    <mergeCell ref="A12:C12"/>
  </mergeCells>
  <phoneticPr fontId="3"/>
  <dataValidations count="1">
    <dataValidation type="list" allowBlank="1" showInputMessage="1" showErrorMessage="1" sqref="BJ6:BP6" xr:uid="{EFD0A472-ABE8-4AED-93D5-B63C63A0A82A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BA83B-4454-47EE-B3B4-AAB22B2ACDD2}">
  <sheetPr codeName="Sheet5"/>
  <dimension ref="A1:BR72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8" width="2.125" style="55"/>
    <col min="39" max="43" width="0" style="55" hidden="1" customWidth="1"/>
    <col min="44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58" t="s">
        <v>217</v>
      </c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143" t="s">
        <v>201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607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10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74">
        <f t="shared" ref="A9" si="0">ROW()-8</f>
        <v>1</v>
      </c>
      <c r="B9" s="75"/>
      <c r="C9" s="76"/>
      <c r="D9" s="71" t="s">
        <v>597</v>
      </c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3"/>
      <c r="AA9" s="74" t="s">
        <v>278</v>
      </c>
      <c r="AB9" s="75"/>
      <c r="AC9" s="75"/>
      <c r="AD9" s="75"/>
      <c r="AE9" s="76"/>
      <c r="AF9" s="74">
        <v>1</v>
      </c>
      <c r="AG9" s="75"/>
      <c r="AH9" s="76"/>
      <c r="AI9" s="74"/>
      <c r="AJ9" s="75"/>
      <c r="AK9" s="76"/>
      <c r="AL9" s="68" t="s">
        <v>586</v>
      </c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70"/>
    </row>
    <row r="10" spans="1:70" s="1" customFormat="1" ht="30.75" customHeight="1">
      <c r="A10" s="74">
        <f t="shared" ref="A10:A62" si="1">ROW()-8</f>
        <v>2</v>
      </c>
      <c r="B10" s="75"/>
      <c r="C10" s="76"/>
      <c r="D10" s="71" t="s">
        <v>225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  <c r="AA10" s="74" t="s">
        <v>278</v>
      </c>
      <c r="AB10" s="75"/>
      <c r="AC10" s="75"/>
      <c r="AD10" s="75"/>
      <c r="AE10" s="76"/>
      <c r="AF10" s="74">
        <v>2</v>
      </c>
      <c r="AG10" s="75"/>
      <c r="AH10" s="76"/>
      <c r="AI10" s="74"/>
      <c r="AJ10" s="75"/>
      <c r="AK10" s="76"/>
      <c r="AL10" s="68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74">
        <f t="shared" si="1"/>
        <v>3</v>
      </c>
      <c r="B11" s="75"/>
      <c r="C11" s="76"/>
      <c r="D11" s="71" t="s">
        <v>226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3"/>
      <c r="AA11" s="74" t="s">
        <v>268</v>
      </c>
      <c r="AB11" s="75"/>
      <c r="AC11" s="75"/>
      <c r="AD11" s="75"/>
      <c r="AE11" s="76"/>
      <c r="AF11" s="74">
        <v>10</v>
      </c>
      <c r="AG11" s="75"/>
      <c r="AH11" s="76"/>
      <c r="AI11" s="74"/>
      <c r="AJ11" s="75"/>
      <c r="AK11" s="76"/>
      <c r="AL11" s="68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70"/>
    </row>
    <row r="12" spans="1:70" s="1" customFormat="1" ht="30.75" customHeight="1">
      <c r="A12" s="74">
        <f t="shared" si="1"/>
        <v>4</v>
      </c>
      <c r="B12" s="75"/>
      <c r="C12" s="76"/>
      <c r="D12" s="71" t="s">
        <v>227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3"/>
      <c r="AA12" s="74" t="s">
        <v>267</v>
      </c>
      <c r="AB12" s="75"/>
      <c r="AC12" s="75"/>
      <c r="AD12" s="75"/>
      <c r="AE12" s="76"/>
      <c r="AF12" s="74">
        <v>4</v>
      </c>
      <c r="AG12" s="75"/>
      <c r="AH12" s="76"/>
      <c r="AI12" s="74"/>
      <c r="AJ12" s="75"/>
      <c r="AK12" s="76"/>
      <c r="AL12" s="68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70"/>
    </row>
    <row r="13" spans="1:70" s="1" customFormat="1" ht="30.75" customHeight="1">
      <c r="A13" s="74">
        <f t="shared" si="1"/>
        <v>5</v>
      </c>
      <c r="B13" s="75"/>
      <c r="C13" s="76"/>
      <c r="D13" s="71" t="s">
        <v>228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3"/>
      <c r="AA13" s="74" t="s">
        <v>268</v>
      </c>
      <c r="AB13" s="75"/>
      <c r="AC13" s="75"/>
      <c r="AD13" s="75"/>
      <c r="AE13" s="76"/>
      <c r="AF13" s="86">
        <v>50</v>
      </c>
      <c r="AG13" s="86"/>
      <c r="AH13" s="86"/>
      <c r="AI13" s="86"/>
      <c r="AJ13" s="86"/>
      <c r="AK13" s="86"/>
      <c r="AL13" s="68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70"/>
    </row>
    <row r="14" spans="1:70" s="1" customFormat="1" ht="30.75" customHeight="1">
      <c r="A14" s="74">
        <f t="shared" si="1"/>
        <v>6</v>
      </c>
      <c r="B14" s="75"/>
      <c r="C14" s="76"/>
      <c r="D14" s="71" t="s">
        <v>24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3"/>
      <c r="AA14" s="74" t="s">
        <v>19</v>
      </c>
      <c r="AB14" s="75"/>
      <c r="AC14" s="75"/>
      <c r="AD14" s="75"/>
      <c r="AE14" s="76"/>
      <c r="AF14" s="86">
        <v>12</v>
      </c>
      <c r="AG14" s="86"/>
      <c r="AH14" s="86"/>
      <c r="AI14" s="86"/>
      <c r="AJ14" s="86"/>
      <c r="AK14" s="86"/>
      <c r="AL14" s="68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70"/>
    </row>
    <row r="15" spans="1:70" s="1" customFormat="1" ht="30.75" customHeight="1">
      <c r="A15" s="74">
        <f t="shared" si="1"/>
        <v>7</v>
      </c>
      <c r="B15" s="75"/>
      <c r="C15" s="76"/>
      <c r="D15" s="71" t="s">
        <v>594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3"/>
      <c r="AA15" s="74" t="s">
        <v>267</v>
      </c>
      <c r="AB15" s="75"/>
      <c r="AC15" s="75"/>
      <c r="AD15" s="75"/>
      <c r="AE15" s="76"/>
      <c r="AF15" s="86">
        <v>8</v>
      </c>
      <c r="AG15" s="86"/>
      <c r="AH15" s="86"/>
      <c r="AI15" s="86"/>
      <c r="AJ15" s="86"/>
      <c r="AK15" s="86"/>
      <c r="AL15" s="68" t="s">
        <v>596</v>
      </c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70"/>
    </row>
    <row r="16" spans="1:70" s="1" customFormat="1" ht="30.75" customHeight="1">
      <c r="A16" s="74">
        <f t="shared" si="1"/>
        <v>8</v>
      </c>
      <c r="B16" s="75"/>
      <c r="C16" s="76"/>
      <c r="D16" s="71" t="s">
        <v>229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3"/>
      <c r="AA16" s="74" t="s">
        <v>268</v>
      </c>
      <c r="AB16" s="75"/>
      <c r="AC16" s="75"/>
      <c r="AD16" s="75"/>
      <c r="AE16" s="76"/>
      <c r="AF16" s="86">
        <v>1</v>
      </c>
      <c r="AG16" s="86"/>
      <c r="AH16" s="86"/>
      <c r="AI16" s="86"/>
      <c r="AJ16" s="86"/>
      <c r="AK16" s="86"/>
      <c r="AL16" s="68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70"/>
    </row>
    <row r="17" spans="1:68" s="1" customFormat="1" ht="30.75" customHeight="1">
      <c r="A17" s="74">
        <f t="shared" si="1"/>
        <v>9</v>
      </c>
      <c r="B17" s="75"/>
      <c r="C17" s="76"/>
      <c r="D17" s="71" t="s">
        <v>1160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3"/>
      <c r="AA17" s="74" t="s">
        <v>19</v>
      </c>
      <c r="AB17" s="75"/>
      <c r="AC17" s="75"/>
      <c r="AD17" s="75"/>
      <c r="AE17" s="76"/>
      <c r="AF17" s="74">
        <v>64</v>
      </c>
      <c r="AG17" s="75"/>
      <c r="AH17" s="76"/>
      <c r="AI17" s="86"/>
      <c r="AJ17" s="86"/>
      <c r="AK17" s="86"/>
      <c r="AL17" s="68" t="s">
        <v>1231</v>
      </c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70"/>
    </row>
    <row r="18" spans="1:68" s="1" customFormat="1" ht="30.75" customHeight="1">
      <c r="A18" s="74">
        <f t="shared" si="1"/>
        <v>10</v>
      </c>
      <c r="B18" s="75"/>
      <c r="C18" s="76"/>
      <c r="D18" s="71" t="s">
        <v>1162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3"/>
      <c r="AA18" s="74" t="s">
        <v>19</v>
      </c>
      <c r="AB18" s="75"/>
      <c r="AC18" s="75"/>
      <c r="AD18" s="75"/>
      <c r="AE18" s="76"/>
      <c r="AF18" s="74">
        <v>1000</v>
      </c>
      <c r="AG18" s="75"/>
      <c r="AH18" s="76"/>
      <c r="AI18" s="86"/>
      <c r="AJ18" s="86"/>
      <c r="AK18" s="86"/>
      <c r="AL18" s="68" t="s">
        <v>869</v>
      </c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70"/>
    </row>
    <row r="19" spans="1:68" s="1" customFormat="1" ht="30.75" customHeight="1">
      <c r="A19" s="74">
        <f t="shared" si="1"/>
        <v>11</v>
      </c>
      <c r="B19" s="75"/>
      <c r="C19" s="76"/>
      <c r="D19" s="71" t="s">
        <v>1164</v>
      </c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3"/>
      <c r="AA19" s="74" t="s">
        <v>271</v>
      </c>
      <c r="AB19" s="75"/>
      <c r="AC19" s="75"/>
      <c r="AD19" s="75"/>
      <c r="AE19" s="76"/>
      <c r="AF19" s="74">
        <v>64</v>
      </c>
      <c r="AG19" s="75"/>
      <c r="AH19" s="76"/>
      <c r="AI19" s="86"/>
      <c r="AJ19" s="86"/>
      <c r="AK19" s="86"/>
      <c r="AL19" s="68" t="s">
        <v>1232</v>
      </c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70"/>
    </row>
    <row r="20" spans="1:68" s="1" customFormat="1" ht="30.75" customHeight="1">
      <c r="A20" s="74">
        <f t="shared" si="1"/>
        <v>12</v>
      </c>
      <c r="B20" s="75"/>
      <c r="C20" s="76"/>
      <c r="D20" s="71" t="s">
        <v>847</v>
      </c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3"/>
      <c r="AA20" s="74" t="s">
        <v>19</v>
      </c>
      <c r="AB20" s="75"/>
      <c r="AC20" s="75"/>
      <c r="AD20" s="75"/>
      <c r="AE20" s="76"/>
      <c r="AF20" s="74">
        <v>1000</v>
      </c>
      <c r="AG20" s="75"/>
      <c r="AH20" s="76"/>
      <c r="AI20" s="86"/>
      <c r="AJ20" s="86"/>
      <c r="AK20" s="86"/>
      <c r="AL20" s="68" t="s">
        <v>870</v>
      </c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70"/>
    </row>
    <row r="21" spans="1:68" s="1" customFormat="1" ht="30.75" customHeight="1">
      <c r="A21" s="74">
        <f t="shared" si="1"/>
        <v>13</v>
      </c>
      <c r="B21" s="75"/>
      <c r="C21" s="76"/>
      <c r="D21" s="71" t="s">
        <v>1163</v>
      </c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3"/>
      <c r="AA21" s="74" t="s">
        <v>19</v>
      </c>
      <c r="AB21" s="75"/>
      <c r="AC21" s="75"/>
      <c r="AD21" s="75"/>
      <c r="AE21" s="76"/>
      <c r="AF21" s="74">
        <v>64</v>
      </c>
      <c r="AG21" s="75"/>
      <c r="AH21" s="76"/>
      <c r="AI21" s="86"/>
      <c r="AJ21" s="86"/>
      <c r="AK21" s="86"/>
      <c r="AL21" s="68" t="s">
        <v>1233</v>
      </c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70"/>
    </row>
    <row r="22" spans="1:68" s="1" customFormat="1" ht="30.75" customHeight="1">
      <c r="A22" s="74">
        <f t="shared" si="1"/>
        <v>14</v>
      </c>
      <c r="B22" s="75"/>
      <c r="C22" s="76"/>
      <c r="D22" s="71" t="s">
        <v>848</v>
      </c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3"/>
      <c r="AA22" s="74" t="s">
        <v>271</v>
      </c>
      <c r="AB22" s="75"/>
      <c r="AC22" s="75"/>
      <c r="AD22" s="75"/>
      <c r="AE22" s="76"/>
      <c r="AF22" s="74">
        <v>1000</v>
      </c>
      <c r="AG22" s="75"/>
      <c r="AH22" s="76"/>
      <c r="AI22" s="86"/>
      <c r="AJ22" s="86"/>
      <c r="AK22" s="86"/>
      <c r="AL22" s="68" t="s">
        <v>871</v>
      </c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70"/>
    </row>
    <row r="23" spans="1:68" s="1" customFormat="1" ht="30.75" customHeight="1">
      <c r="A23" s="74">
        <f t="shared" si="1"/>
        <v>15</v>
      </c>
      <c r="B23" s="75"/>
      <c r="C23" s="76"/>
      <c r="D23" s="71" t="s">
        <v>230</v>
      </c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3"/>
      <c r="AA23" s="74" t="s">
        <v>19</v>
      </c>
      <c r="AB23" s="75"/>
      <c r="AC23" s="75"/>
      <c r="AD23" s="75"/>
      <c r="AE23" s="76"/>
      <c r="AF23" s="74">
        <v>500</v>
      </c>
      <c r="AG23" s="75"/>
      <c r="AH23" s="76"/>
      <c r="AI23" s="74"/>
      <c r="AJ23" s="75"/>
      <c r="AK23" s="76"/>
      <c r="AL23" s="68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70"/>
    </row>
    <row r="24" spans="1:68" s="1" customFormat="1" ht="30.75" customHeight="1">
      <c r="A24" s="74">
        <f t="shared" si="1"/>
        <v>16</v>
      </c>
      <c r="B24" s="75"/>
      <c r="C24" s="76"/>
      <c r="D24" s="71" t="s">
        <v>1234</v>
      </c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3"/>
      <c r="AA24" s="74" t="s">
        <v>271</v>
      </c>
      <c r="AB24" s="75"/>
      <c r="AC24" s="75"/>
      <c r="AD24" s="75"/>
      <c r="AE24" s="76"/>
      <c r="AF24" s="74">
        <v>1</v>
      </c>
      <c r="AG24" s="75"/>
      <c r="AH24" s="76"/>
      <c r="AI24" s="86"/>
      <c r="AJ24" s="86"/>
      <c r="AK24" s="86"/>
      <c r="AL24" s="104" t="s">
        <v>1235</v>
      </c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70"/>
    </row>
    <row r="25" spans="1:68" s="1" customFormat="1" ht="30.75" customHeight="1">
      <c r="A25" s="74">
        <f t="shared" si="1"/>
        <v>17</v>
      </c>
      <c r="B25" s="75"/>
      <c r="C25" s="76"/>
      <c r="D25" s="71" t="s">
        <v>231</v>
      </c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3"/>
      <c r="AA25" s="74" t="s">
        <v>273</v>
      </c>
      <c r="AB25" s="75"/>
      <c r="AC25" s="75"/>
      <c r="AD25" s="75"/>
      <c r="AE25" s="76"/>
      <c r="AF25" s="74"/>
      <c r="AG25" s="75"/>
      <c r="AH25" s="76"/>
      <c r="AI25" s="74"/>
      <c r="AJ25" s="75"/>
      <c r="AK25" s="76"/>
      <c r="AL25" s="68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70"/>
    </row>
    <row r="26" spans="1:68" s="1" customFormat="1" ht="30.75" customHeight="1">
      <c r="A26" s="74">
        <f t="shared" si="1"/>
        <v>18</v>
      </c>
      <c r="B26" s="75"/>
      <c r="C26" s="76"/>
      <c r="D26" s="71" t="s">
        <v>232</v>
      </c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3"/>
      <c r="AA26" s="74" t="s">
        <v>267</v>
      </c>
      <c r="AB26" s="75"/>
      <c r="AC26" s="75"/>
      <c r="AD26" s="75"/>
      <c r="AE26" s="76"/>
      <c r="AF26" s="74">
        <v>6</v>
      </c>
      <c r="AG26" s="75"/>
      <c r="AH26" s="76"/>
      <c r="AI26" s="74"/>
      <c r="AJ26" s="75"/>
      <c r="AK26" s="76"/>
      <c r="AL26" s="68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70"/>
    </row>
    <row r="27" spans="1:68" s="1" customFormat="1" ht="30.75" customHeight="1">
      <c r="A27" s="74">
        <f t="shared" si="1"/>
        <v>19</v>
      </c>
      <c r="B27" s="75"/>
      <c r="C27" s="76"/>
      <c r="D27" s="71" t="s">
        <v>233</v>
      </c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3"/>
      <c r="AA27" s="74" t="s">
        <v>268</v>
      </c>
      <c r="AB27" s="75"/>
      <c r="AC27" s="75"/>
      <c r="AD27" s="75"/>
      <c r="AE27" s="76"/>
      <c r="AF27" s="74">
        <v>26</v>
      </c>
      <c r="AG27" s="75"/>
      <c r="AH27" s="76"/>
      <c r="AI27" s="74"/>
      <c r="AJ27" s="75"/>
      <c r="AK27" s="76"/>
      <c r="AL27" s="68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70"/>
    </row>
    <row r="28" spans="1:68" s="1" customFormat="1" ht="30.75" customHeight="1">
      <c r="A28" s="74">
        <f t="shared" si="1"/>
        <v>20</v>
      </c>
      <c r="B28" s="75"/>
      <c r="C28" s="76"/>
      <c r="D28" s="71" t="s">
        <v>234</v>
      </c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3"/>
      <c r="AA28" s="74" t="s">
        <v>267</v>
      </c>
      <c r="AB28" s="75"/>
      <c r="AC28" s="75"/>
      <c r="AD28" s="75"/>
      <c r="AE28" s="76"/>
      <c r="AF28" s="74">
        <v>4</v>
      </c>
      <c r="AG28" s="75"/>
      <c r="AH28" s="76"/>
      <c r="AI28" s="74"/>
      <c r="AJ28" s="75"/>
      <c r="AK28" s="76"/>
      <c r="AL28" s="68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70"/>
    </row>
    <row r="29" spans="1:68" s="1" customFormat="1" ht="30.75" customHeight="1">
      <c r="A29" s="74">
        <f t="shared" si="1"/>
        <v>21</v>
      </c>
      <c r="B29" s="75"/>
      <c r="C29" s="76"/>
      <c r="D29" s="71" t="s">
        <v>235</v>
      </c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3"/>
      <c r="AA29" s="74" t="s">
        <v>268</v>
      </c>
      <c r="AB29" s="75"/>
      <c r="AC29" s="75"/>
      <c r="AD29" s="75"/>
      <c r="AE29" s="76"/>
      <c r="AF29" s="74">
        <v>18</v>
      </c>
      <c r="AG29" s="75"/>
      <c r="AH29" s="76"/>
      <c r="AI29" s="74"/>
      <c r="AJ29" s="75"/>
      <c r="AK29" s="76"/>
      <c r="AL29" s="68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70"/>
    </row>
    <row r="30" spans="1:68" s="1" customFormat="1" ht="30.75" customHeight="1">
      <c r="A30" s="74">
        <f t="shared" si="1"/>
        <v>22</v>
      </c>
      <c r="B30" s="75"/>
      <c r="C30" s="76"/>
      <c r="D30" s="71" t="s">
        <v>236</v>
      </c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3"/>
      <c r="AA30" s="74" t="s">
        <v>267</v>
      </c>
      <c r="AB30" s="75"/>
      <c r="AC30" s="75"/>
      <c r="AD30" s="75"/>
      <c r="AE30" s="76"/>
      <c r="AF30" s="74">
        <v>4</v>
      </c>
      <c r="AG30" s="75"/>
      <c r="AH30" s="76"/>
      <c r="AI30" s="74"/>
      <c r="AJ30" s="75"/>
      <c r="AK30" s="76"/>
      <c r="AL30" s="68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70"/>
    </row>
    <row r="31" spans="1:68" s="1" customFormat="1" ht="30.75" customHeight="1">
      <c r="A31" s="74">
        <f t="shared" si="1"/>
        <v>23</v>
      </c>
      <c r="B31" s="75"/>
      <c r="C31" s="76"/>
      <c r="D31" s="71" t="s">
        <v>237</v>
      </c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3"/>
      <c r="AA31" s="74" t="s">
        <v>268</v>
      </c>
      <c r="AB31" s="75"/>
      <c r="AC31" s="75"/>
      <c r="AD31" s="75"/>
      <c r="AE31" s="76"/>
      <c r="AF31" s="86">
        <v>20</v>
      </c>
      <c r="AG31" s="86"/>
      <c r="AH31" s="86"/>
      <c r="AI31" s="86"/>
      <c r="AJ31" s="86"/>
      <c r="AK31" s="86"/>
      <c r="AL31" s="68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70"/>
    </row>
    <row r="32" spans="1:68" s="1" customFormat="1" ht="30.75" customHeight="1">
      <c r="A32" s="74">
        <f t="shared" si="1"/>
        <v>24</v>
      </c>
      <c r="B32" s="75"/>
      <c r="C32" s="76"/>
      <c r="D32" s="71" t="s">
        <v>238</v>
      </c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3"/>
      <c r="AA32" s="74" t="s">
        <v>267</v>
      </c>
      <c r="AB32" s="75"/>
      <c r="AC32" s="75"/>
      <c r="AD32" s="75"/>
      <c r="AE32" s="76"/>
      <c r="AF32" s="86">
        <v>14</v>
      </c>
      <c r="AG32" s="86"/>
      <c r="AH32" s="86"/>
      <c r="AI32" s="86"/>
      <c r="AJ32" s="86"/>
      <c r="AK32" s="86"/>
      <c r="AL32" s="68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70"/>
    </row>
    <row r="33" spans="1:68" s="1" customFormat="1" ht="30.75" customHeight="1">
      <c r="A33" s="74">
        <f t="shared" si="1"/>
        <v>25</v>
      </c>
      <c r="B33" s="75"/>
      <c r="C33" s="76"/>
      <c r="D33" s="71" t="s">
        <v>239</v>
      </c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3"/>
      <c r="AA33" s="74" t="s">
        <v>267</v>
      </c>
      <c r="AB33" s="75"/>
      <c r="AC33" s="75"/>
      <c r="AD33" s="75"/>
      <c r="AE33" s="76"/>
      <c r="AF33" s="86">
        <v>14</v>
      </c>
      <c r="AG33" s="86"/>
      <c r="AH33" s="86"/>
      <c r="AI33" s="86"/>
      <c r="AJ33" s="86"/>
      <c r="AK33" s="86"/>
      <c r="AL33" s="68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70"/>
    </row>
    <row r="34" spans="1:68" s="1" customFormat="1" ht="30.75" customHeight="1">
      <c r="A34" s="74">
        <f t="shared" si="1"/>
        <v>26</v>
      </c>
      <c r="B34" s="75"/>
      <c r="C34" s="76"/>
      <c r="D34" s="71" t="s">
        <v>240</v>
      </c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3"/>
      <c r="AA34" s="74" t="s">
        <v>267</v>
      </c>
      <c r="AB34" s="75"/>
      <c r="AC34" s="75"/>
      <c r="AD34" s="75"/>
      <c r="AE34" s="76"/>
      <c r="AF34" s="86">
        <v>14</v>
      </c>
      <c r="AG34" s="86"/>
      <c r="AH34" s="86"/>
      <c r="AI34" s="86"/>
      <c r="AJ34" s="86"/>
      <c r="AK34" s="86"/>
      <c r="AL34" s="68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70"/>
    </row>
    <row r="35" spans="1:68" s="1" customFormat="1" ht="30.75" customHeight="1">
      <c r="A35" s="74">
        <f t="shared" si="1"/>
        <v>27</v>
      </c>
      <c r="B35" s="75"/>
      <c r="C35" s="76"/>
      <c r="D35" s="71" t="s">
        <v>1282</v>
      </c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3"/>
      <c r="AA35" s="74" t="s">
        <v>19</v>
      </c>
      <c r="AB35" s="75"/>
      <c r="AC35" s="75"/>
      <c r="AD35" s="75"/>
      <c r="AE35" s="76"/>
      <c r="AF35" s="74">
        <v>1</v>
      </c>
      <c r="AG35" s="75"/>
      <c r="AH35" s="76"/>
      <c r="AI35" s="74"/>
      <c r="AJ35" s="75"/>
      <c r="AK35" s="76"/>
      <c r="AL35" s="68" t="s">
        <v>1288</v>
      </c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70"/>
    </row>
    <row r="36" spans="1:68" s="1" customFormat="1" ht="30.75" customHeight="1">
      <c r="A36" s="74">
        <f t="shared" si="1"/>
        <v>28</v>
      </c>
      <c r="B36" s="75"/>
      <c r="C36" s="76"/>
      <c r="D36" s="71" t="s">
        <v>25</v>
      </c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3"/>
      <c r="AA36" s="74" t="s">
        <v>19</v>
      </c>
      <c r="AB36" s="75"/>
      <c r="AC36" s="75"/>
      <c r="AD36" s="75"/>
      <c r="AE36" s="76"/>
      <c r="AF36" s="74">
        <v>8</v>
      </c>
      <c r="AG36" s="75"/>
      <c r="AH36" s="76"/>
      <c r="AI36" s="74"/>
      <c r="AJ36" s="75"/>
      <c r="AK36" s="76"/>
      <c r="AL36" s="68" t="s">
        <v>1289</v>
      </c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70"/>
    </row>
    <row r="37" spans="1:68" s="1" customFormat="1" ht="30.75" customHeight="1">
      <c r="A37" s="74">
        <f t="shared" si="1"/>
        <v>29</v>
      </c>
      <c r="B37" s="75"/>
      <c r="C37" s="76"/>
      <c r="D37" s="71" t="s">
        <v>241</v>
      </c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3"/>
      <c r="AA37" s="74" t="s">
        <v>268</v>
      </c>
      <c r="AB37" s="75"/>
      <c r="AC37" s="75"/>
      <c r="AD37" s="75"/>
      <c r="AE37" s="76"/>
      <c r="AF37" s="86">
        <v>10</v>
      </c>
      <c r="AG37" s="86"/>
      <c r="AH37" s="86"/>
      <c r="AI37" s="86"/>
      <c r="AJ37" s="86"/>
      <c r="AK37" s="86"/>
      <c r="AL37" s="68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70"/>
    </row>
    <row r="38" spans="1:68" s="1" customFormat="1" ht="30.75" customHeight="1">
      <c r="A38" s="74">
        <f t="shared" si="1"/>
        <v>30</v>
      </c>
      <c r="B38" s="75"/>
      <c r="C38" s="76"/>
      <c r="D38" s="71" t="s">
        <v>242</v>
      </c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3"/>
      <c r="AA38" s="74" t="s">
        <v>268</v>
      </c>
      <c r="AB38" s="75"/>
      <c r="AC38" s="75"/>
      <c r="AD38" s="75"/>
      <c r="AE38" s="76"/>
      <c r="AF38" s="86">
        <v>16</v>
      </c>
      <c r="AG38" s="86"/>
      <c r="AH38" s="86"/>
      <c r="AI38" s="86"/>
      <c r="AJ38" s="86"/>
      <c r="AK38" s="86"/>
      <c r="AL38" s="68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70"/>
    </row>
    <row r="39" spans="1:68" s="1" customFormat="1" ht="30.75" customHeight="1">
      <c r="A39" s="74">
        <f t="shared" si="1"/>
        <v>31</v>
      </c>
      <c r="B39" s="75"/>
      <c r="C39" s="76"/>
      <c r="D39" s="71" t="s">
        <v>243</v>
      </c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3"/>
      <c r="AA39" s="74" t="s">
        <v>267</v>
      </c>
      <c r="AB39" s="75"/>
      <c r="AC39" s="75"/>
      <c r="AD39" s="75"/>
      <c r="AE39" s="76"/>
      <c r="AF39" s="86">
        <v>14</v>
      </c>
      <c r="AG39" s="86"/>
      <c r="AH39" s="86"/>
      <c r="AI39" s="86"/>
      <c r="AJ39" s="86"/>
      <c r="AK39" s="86"/>
      <c r="AL39" s="68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70"/>
    </row>
    <row r="40" spans="1:68" s="1" customFormat="1" ht="30.75" customHeight="1">
      <c r="A40" s="74">
        <f t="shared" si="1"/>
        <v>32</v>
      </c>
      <c r="B40" s="75"/>
      <c r="C40" s="76"/>
      <c r="D40" s="71" t="s">
        <v>244</v>
      </c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3"/>
      <c r="AA40" s="74" t="s">
        <v>267</v>
      </c>
      <c r="AB40" s="75"/>
      <c r="AC40" s="75"/>
      <c r="AD40" s="75"/>
      <c r="AE40" s="76"/>
      <c r="AF40" s="86">
        <v>14</v>
      </c>
      <c r="AG40" s="86"/>
      <c r="AH40" s="86"/>
      <c r="AI40" s="86"/>
      <c r="AJ40" s="86"/>
      <c r="AK40" s="86"/>
      <c r="AL40" s="68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70"/>
    </row>
    <row r="41" spans="1:68" s="1" customFormat="1" ht="30.75" customHeight="1">
      <c r="A41" s="74">
        <f t="shared" si="1"/>
        <v>33</v>
      </c>
      <c r="B41" s="75"/>
      <c r="C41" s="76"/>
      <c r="D41" s="71" t="s">
        <v>245</v>
      </c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3"/>
      <c r="AA41" s="74" t="s">
        <v>268</v>
      </c>
      <c r="AB41" s="75"/>
      <c r="AC41" s="75"/>
      <c r="AD41" s="75"/>
      <c r="AE41" s="76"/>
      <c r="AF41" s="86">
        <v>2</v>
      </c>
      <c r="AG41" s="86"/>
      <c r="AH41" s="86"/>
      <c r="AI41" s="86"/>
      <c r="AJ41" s="86"/>
      <c r="AK41" s="86"/>
      <c r="AL41" s="68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70"/>
    </row>
    <row r="42" spans="1:68" s="1" customFormat="1" ht="30.75" customHeight="1">
      <c r="A42" s="74">
        <f t="shared" si="1"/>
        <v>34</v>
      </c>
      <c r="B42" s="75"/>
      <c r="C42" s="76"/>
      <c r="D42" s="71" t="s">
        <v>246</v>
      </c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3"/>
      <c r="AA42" s="74" t="s">
        <v>268</v>
      </c>
      <c r="AB42" s="75"/>
      <c r="AC42" s="75"/>
      <c r="AD42" s="75"/>
      <c r="AE42" s="76"/>
      <c r="AF42" s="86">
        <v>1</v>
      </c>
      <c r="AG42" s="86"/>
      <c r="AH42" s="86"/>
      <c r="AI42" s="86"/>
      <c r="AJ42" s="86"/>
      <c r="AK42" s="86"/>
      <c r="AL42" s="68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70"/>
    </row>
    <row r="43" spans="1:68" s="1" customFormat="1" ht="30.75" customHeight="1">
      <c r="A43" s="74">
        <f t="shared" si="1"/>
        <v>35</v>
      </c>
      <c r="B43" s="75"/>
      <c r="C43" s="76"/>
      <c r="D43" s="71" t="s">
        <v>247</v>
      </c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3"/>
      <c r="AA43" s="74" t="s">
        <v>267</v>
      </c>
      <c r="AB43" s="75"/>
      <c r="AC43" s="75"/>
      <c r="AD43" s="75"/>
      <c r="AE43" s="76"/>
      <c r="AF43" s="86">
        <v>14</v>
      </c>
      <c r="AG43" s="86"/>
      <c r="AH43" s="86"/>
      <c r="AI43" s="86"/>
      <c r="AJ43" s="86"/>
      <c r="AK43" s="86"/>
      <c r="AL43" s="68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  <c r="BM43" s="69"/>
      <c r="BN43" s="69"/>
      <c r="BO43" s="69"/>
      <c r="BP43" s="70"/>
    </row>
    <row r="44" spans="1:68" s="1" customFormat="1" ht="30.75" customHeight="1">
      <c r="A44" s="74">
        <f t="shared" si="1"/>
        <v>36</v>
      </c>
      <c r="B44" s="75"/>
      <c r="C44" s="76"/>
      <c r="D44" s="71" t="s">
        <v>248</v>
      </c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3"/>
      <c r="AA44" s="74" t="s">
        <v>267</v>
      </c>
      <c r="AB44" s="75"/>
      <c r="AC44" s="75"/>
      <c r="AD44" s="75"/>
      <c r="AE44" s="76"/>
      <c r="AF44" s="74">
        <v>14</v>
      </c>
      <c r="AG44" s="75"/>
      <c r="AH44" s="76"/>
      <c r="AI44" s="74"/>
      <c r="AJ44" s="75"/>
      <c r="AK44" s="76"/>
      <c r="AL44" s="68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  <c r="BM44" s="69"/>
      <c r="BN44" s="69"/>
      <c r="BO44" s="69"/>
      <c r="BP44" s="70"/>
    </row>
    <row r="45" spans="1:68" s="1" customFormat="1" ht="30.75" customHeight="1">
      <c r="A45" s="74">
        <f t="shared" si="1"/>
        <v>37</v>
      </c>
      <c r="B45" s="75"/>
      <c r="C45" s="76"/>
      <c r="D45" s="71" t="s">
        <v>249</v>
      </c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3"/>
      <c r="AA45" s="74" t="s">
        <v>267</v>
      </c>
      <c r="AB45" s="75"/>
      <c r="AC45" s="75"/>
      <c r="AD45" s="75"/>
      <c r="AE45" s="76"/>
      <c r="AF45" s="74">
        <v>14</v>
      </c>
      <c r="AG45" s="75"/>
      <c r="AH45" s="76"/>
      <c r="AI45" s="74"/>
      <c r="AJ45" s="75"/>
      <c r="AK45" s="76"/>
      <c r="AL45" s="68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  <c r="BP45" s="70"/>
    </row>
    <row r="46" spans="1:68" s="1" customFormat="1" ht="30.75" customHeight="1">
      <c r="A46" s="74">
        <f t="shared" si="1"/>
        <v>38</v>
      </c>
      <c r="B46" s="75"/>
      <c r="C46" s="76"/>
      <c r="D46" s="71" t="s">
        <v>250</v>
      </c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3"/>
      <c r="AA46" s="74" t="s">
        <v>267</v>
      </c>
      <c r="AB46" s="75"/>
      <c r="AC46" s="75"/>
      <c r="AD46" s="75"/>
      <c r="AE46" s="76"/>
      <c r="AF46" s="74">
        <v>8</v>
      </c>
      <c r="AG46" s="75"/>
      <c r="AH46" s="76"/>
      <c r="AI46" s="74"/>
      <c r="AJ46" s="75"/>
      <c r="AK46" s="76"/>
      <c r="AL46" s="83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5"/>
    </row>
    <row r="47" spans="1:68" s="1" customFormat="1" ht="30.75" customHeight="1">
      <c r="A47" s="74">
        <f t="shared" si="1"/>
        <v>39</v>
      </c>
      <c r="B47" s="75"/>
      <c r="C47" s="76"/>
      <c r="D47" s="71" t="s">
        <v>251</v>
      </c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3"/>
      <c r="AA47" s="74" t="s">
        <v>267</v>
      </c>
      <c r="AB47" s="75"/>
      <c r="AC47" s="75"/>
      <c r="AD47" s="75"/>
      <c r="AE47" s="76"/>
      <c r="AF47" s="141">
        <v>1</v>
      </c>
      <c r="AG47" s="141"/>
      <c r="AH47" s="141"/>
      <c r="AI47" s="141"/>
      <c r="AJ47" s="141"/>
      <c r="AK47" s="141"/>
      <c r="AL47" s="68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  <c r="BP47" s="70"/>
    </row>
    <row r="48" spans="1:68" s="1" customFormat="1" ht="30.75" customHeight="1">
      <c r="A48" s="74">
        <f t="shared" si="1"/>
        <v>40</v>
      </c>
      <c r="B48" s="75"/>
      <c r="C48" s="76"/>
      <c r="D48" s="71" t="s">
        <v>252</v>
      </c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3"/>
      <c r="AA48" s="74" t="s">
        <v>268</v>
      </c>
      <c r="AB48" s="75"/>
      <c r="AC48" s="75"/>
      <c r="AD48" s="75"/>
      <c r="AE48" s="76"/>
      <c r="AF48" s="86">
        <v>8</v>
      </c>
      <c r="AG48" s="86"/>
      <c r="AH48" s="86"/>
      <c r="AI48" s="86"/>
      <c r="AJ48" s="86"/>
      <c r="AK48" s="86"/>
      <c r="AL48" s="68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69"/>
      <c r="BN48" s="69"/>
      <c r="BO48" s="69"/>
      <c r="BP48" s="70"/>
    </row>
    <row r="49" spans="1:68" s="1" customFormat="1" ht="30.75" customHeight="1">
      <c r="A49" s="74">
        <f t="shared" si="1"/>
        <v>41</v>
      </c>
      <c r="B49" s="75"/>
      <c r="C49" s="76"/>
      <c r="D49" s="71" t="s">
        <v>253</v>
      </c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3"/>
      <c r="AA49" s="74" t="s">
        <v>273</v>
      </c>
      <c r="AB49" s="75"/>
      <c r="AC49" s="75"/>
      <c r="AD49" s="75"/>
      <c r="AE49" s="76"/>
      <c r="AF49" s="74"/>
      <c r="AG49" s="75"/>
      <c r="AH49" s="76"/>
      <c r="AI49" s="74"/>
      <c r="AJ49" s="75"/>
      <c r="AK49" s="76"/>
      <c r="AL49" s="68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69"/>
      <c r="BN49" s="69"/>
      <c r="BO49" s="69"/>
      <c r="BP49" s="70"/>
    </row>
    <row r="50" spans="1:68" s="1" customFormat="1" ht="30.75" customHeight="1">
      <c r="A50" s="74">
        <f t="shared" si="1"/>
        <v>42</v>
      </c>
      <c r="B50" s="75"/>
      <c r="C50" s="76"/>
      <c r="D50" s="71" t="s">
        <v>254</v>
      </c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3"/>
      <c r="AA50" s="74" t="s">
        <v>268</v>
      </c>
      <c r="AB50" s="75"/>
      <c r="AC50" s="75"/>
      <c r="AD50" s="75"/>
      <c r="AE50" s="76"/>
      <c r="AF50" s="74">
        <v>10</v>
      </c>
      <c r="AG50" s="75"/>
      <c r="AH50" s="76"/>
      <c r="AI50" s="74"/>
      <c r="AJ50" s="75"/>
      <c r="AK50" s="76"/>
      <c r="AL50" s="68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69"/>
      <c r="BN50" s="69"/>
      <c r="BO50" s="69"/>
      <c r="BP50" s="70"/>
    </row>
    <row r="51" spans="1:68" s="1" customFormat="1" ht="30.75" customHeight="1">
      <c r="A51" s="74">
        <f t="shared" si="1"/>
        <v>43</v>
      </c>
      <c r="B51" s="75"/>
      <c r="C51" s="76"/>
      <c r="D51" s="71" t="s">
        <v>255</v>
      </c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3"/>
      <c r="AA51" s="74" t="s">
        <v>267</v>
      </c>
      <c r="AB51" s="75"/>
      <c r="AC51" s="75"/>
      <c r="AD51" s="75"/>
      <c r="AE51" s="76"/>
      <c r="AF51" s="74" t="s">
        <v>1564</v>
      </c>
      <c r="AG51" s="75"/>
      <c r="AH51" s="76"/>
      <c r="AI51" s="74"/>
      <c r="AJ51" s="75"/>
      <c r="AK51" s="76"/>
      <c r="AL51" s="68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69"/>
      <c r="BN51" s="69"/>
      <c r="BO51" s="69"/>
      <c r="BP51" s="70"/>
    </row>
    <row r="52" spans="1:68" s="1" customFormat="1" ht="30.75" customHeight="1">
      <c r="A52" s="74">
        <f t="shared" si="1"/>
        <v>44</v>
      </c>
      <c r="B52" s="75"/>
      <c r="C52" s="76"/>
      <c r="D52" s="71" t="s">
        <v>256</v>
      </c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3"/>
      <c r="AA52" s="74" t="s">
        <v>267</v>
      </c>
      <c r="AB52" s="75"/>
      <c r="AC52" s="75"/>
      <c r="AD52" s="75"/>
      <c r="AE52" s="76"/>
      <c r="AF52" s="74">
        <v>14</v>
      </c>
      <c r="AG52" s="75"/>
      <c r="AH52" s="76"/>
      <c r="AI52" s="74"/>
      <c r="AJ52" s="75"/>
      <c r="AK52" s="76"/>
      <c r="AL52" s="68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69"/>
      <c r="BN52" s="69"/>
      <c r="BO52" s="69"/>
      <c r="BP52" s="70"/>
    </row>
    <row r="53" spans="1:68" s="1" customFormat="1" ht="30.75" customHeight="1">
      <c r="A53" s="74">
        <f t="shared" si="1"/>
        <v>45</v>
      </c>
      <c r="B53" s="75"/>
      <c r="C53" s="76"/>
      <c r="D53" s="71" t="s">
        <v>257</v>
      </c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3"/>
      <c r="AA53" s="74" t="s">
        <v>267</v>
      </c>
      <c r="AB53" s="75"/>
      <c r="AC53" s="75"/>
      <c r="AD53" s="75"/>
      <c r="AE53" s="76"/>
      <c r="AF53" s="74">
        <v>14</v>
      </c>
      <c r="AG53" s="75"/>
      <c r="AH53" s="76"/>
      <c r="AI53" s="74"/>
      <c r="AJ53" s="75"/>
      <c r="AK53" s="76"/>
      <c r="AL53" s="68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  <c r="BP53" s="70"/>
    </row>
    <row r="54" spans="1:68" s="1" customFormat="1" ht="30.75" customHeight="1">
      <c r="A54" s="74">
        <f t="shared" si="1"/>
        <v>46</v>
      </c>
      <c r="B54" s="75"/>
      <c r="C54" s="76"/>
      <c r="D54" s="71" t="s">
        <v>258</v>
      </c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3"/>
      <c r="AA54" s="74" t="s">
        <v>267</v>
      </c>
      <c r="AB54" s="75"/>
      <c r="AC54" s="75"/>
      <c r="AD54" s="75"/>
      <c r="AE54" s="76"/>
      <c r="AF54" s="74">
        <v>8</v>
      </c>
      <c r="AG54" s="75"/>
      <c r="AH54" s="76"/>
      <c r="AI54" s="74"/>
      <c r="AJ54" s="75"/>
      <c r="AK54" s="76"/>
      <c r="AL54" s="68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69"/>
      <c r="BN54" s="69"/>
      <c r="BO54" s="69"/>
      <c r="BP54" s="70"/>
    </row>
    <row r="55" spans="1:68" s="1" customFormat="1" ht="30.75" customHeight="1">
      <c r="A55" s="74">
        <f t="shared" si="1"/>
        <v>47</v>
      </c>
      <c r="B55" s="75"/>
      <c r="C55" s="76"/>
      <c r="D55" s="71" t="s">
        <v>259</v>
      </c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3"/>
      <c r="AA55" s="74" t="s">
        <v>273</v>
      </c>
      <c r="AB55" s="75"/>
      <c r="AC55" s="75"/>
      <c r="AD55" s="75"/>
      <c r="AE55" s="76"/>
      <c r="AF55" s="86"/>
      <c r="AG55" s="86"/>
      <c r="AH55" s="86"/>
      <c r="AI55" s="86"/>
      <c r="AJ55" s="86"/>
      <c r="AK55" s="86"/>
      <c r="AL55" s="68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69"/>
      <c r="BN55" s="69"/>
      <c r="BO55" s="69"/>
      <c r="BP55" s="70"/>
    </row>
    <row r="56" spans="1:68" s="1" customFormat="1" ht="30.75" customHeight="1">
      <c r="A56" s="74">
        <f t="shared" si="1"/>
        <v>48</v>
      </c>
      <c r="B56" s="75"/>
      <c r="C56" s="76"/>
      <c r="D56" s="71" t="s">
        <v>260</v>
      </c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3"/>
      <c r="AA56" s="74" t="s">
        <v>267</v>
      </c>
      <c r="AB56" s="75"/>
      <c r="AC56" s="75"/>
      <c r="AD56" s="75"/>
      <c r="AE56" s="76"/>
      <c r="AF56" s="86">
        <v>19</v>
      </c>
      <c r="AG56" s="86"/>
      <c r="AH56" s="86"/>
      <c r="AI56" s="86"/>
      <c r="AJ56" s="86"/>
      <c r="AK56" s="86"/>
      <c r="AL56" s="68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69"/>
      <c r="BN56" s="69"/>
      <c r="BO56" s="69"/>
      <c r="BP56" s="70"/>
    </row>
    <row r="57" spans="1:68" s="1" customFormat="1" ht="30.75" customHeight="1">
      <c r="A57" s="74">
        <f t="shared" si="1"/>
        <v>49</v>
      </c>
      <c r="B57" s="75"/>
      <c r="C57" s="76"/>
      <c r="D57" s="71" t="s">
        <v>261</v>
      </c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3"/>
      <c r="AA57" s="74" t="s">
        <v>268</v>
      </c>
      <c r="AB57" s="75"/>
      <c r="AC57" s="75"/>
      <c r="AD57" s="75"/>
      <c r="AE57" s="76"/>
      <c r="AF57" s="86">
        <v>4</v>
      </c>
      <c r="AG57" s="86"/>
      <c r="AH57" s="86"/>
      <c r="AI57" s="86"/>
      <c r="AJ57" s="86"/>
      <c r="AK57" s="86"/>
      <c r="AL57" s="68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69"/>
      <c r="BN57" s="69"/>
      <c r="BO57" s="69"/>
      <c r="BP57" s="70"/>
    </row>
    <row r="58" spans="1:68" s="1" customFormat="1" ht="30.75" customHeight="1">
      <c r="A58" s="74">
        <f t="shared" si="1"/>
        <v>50</v>
      </c>
      <c r="B58" s="75"/>
      <c r="C58" s="76"/>
      <c r="D58" s="71" t="s">
        <v>262</v>
      </c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3"/>
      <c r="AA58" s="74" t="s">
        <v>268</v>
      </c>
      <c r="AB58" s="75"/>
      <c r="AC58" s="75"/>
      <c r="AD58" s="75"/>
      <c r="AE58" s="76"/>
      <c r="AF58" s="86">
        <v>8</v>
      </c>
      <c r="AG58" s="86"/>
      <c r="AH58" s="86"/>
      <c r="AI58" s="86"/>
      <c r="AJ58" s="86"/>
      <c r="AK58" s="86"/>
      <c r="AL58" s="68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  <c r="BP58" s="70"/>
    </row>
    <row r="59" spans="1:68" s="1" customFormat="1" ht="30.75" customHeight="1">
      <c r="A59" s="74">
        <f t="shared" si="1"/>
        <v>51</v>
      </c>
      <c r="B59" s="75"/>
      <c r="C59" s="76"/>
      <c r="D59" s="71" t="s">
        <v>263</v>
      </c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3"/>
      <c r="AA59" s="74" t="s">
        <v>267</v>
      </c>
      <c r="AB59" s="75"/>
      <c r="AC59" s="75"/>
      <c r="AD59" s="75"/>
      <c r="AE59" s="76"/>
      <c r="AF59" s="86">
        <v>19</v>
      </c>
      <c r="AG59" s="86"/>
      <c r="AH59" s="86"/>
      <c r="AI59" s="86"/>
      <c r="AJ59" s="86"/>
      <c r="AK59" s="86"/>
      <c r="AL59" s="68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  <c r="BM59" s="69"/>
      <c r="BN59" s="69"/>
      <c r="BO59" s="69"/>
      <c r="BP59" s="70"/>
    </row>
    <row r="60" spans="1:68" s="1" customFormat="1" ht="30.75" customHeight="1">
      <c r="A60" s="74">
        <f t="shared" si="1"/>
        <v>52</v>
      </c>
      <c r="B60" s="75"/>
      <c r="C60" s="76"/>
      <c r="D60" s="71" t="s">
        <v>264</v>
      </c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3"/>
      <c r="AA60" s="74" t="s">
        <v>268</v>
      </c>
      <c r="AB60" s="75"/>
      <c r="AC60" s="75"/>
      <c r="AD60" s="75"/>
      <c r="AE60" s="76"/>
      <c r="AF60" s="86">
        <v>4</v>
      </c>
      <c r="AG60" s="86"/>
      <c r="AH60" s="86"/>
      <c r="AI60" s="86"/>
      <c r="AJ60" s="86"/>
      <c r="AK60" s="86"/>
      <c r="AL60" s="68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69"/>
      <c r="BN60" s="69"/>
      <c r="BO60" s="69"/>
      <c r="BP60" s="70"/>
    </row>
    <row r="61" spans="1:68" s="1" customFormat="1" ht="30.75" customHeight="1">
      <c r="A61" s="74">
        <f t="shared" si="1"/>
        <v>53</v>
      </c>
      <c r="B61" s="75"/>
      <c r="C61" s="76"/>
      <c r="D61" s="71" t="s">
        <v>265</v>
      </c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3"/>
      <c r="AA61" s="74" t="s">
        <v>268</v>
      </c>
      <c r="AB61" s="75"/>
      <c r="AC61" s="75"/>
      <c r="AD61" s="75"/>
      <c r="AE61" s="76"/>
      <c r="AF61" s="86">
        <v>8</v>
      </c>
      <c r="AG61" s="86"/>
      <c r="AH61" s="86"/>
      <c r="AI61" s="86"/>
      <c r="AJ61" s="86"/>
      <c r="AK61" s="86"/>
      <c r="AL61" s="68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69"/>
      <c r="BN61" s="69"/>
      <c r="BO61" s="69"/>
      <c r="BP61" s="70"/>
    </row>
    <row r="62" spans="1:68" s="1" customFormat="1" ht="30.75" customHeight="1">
      <c r="A62" s="74">
        <f t="shared" si="1"/>
        <v>54</v>
      </c>
      <c r="B62" s="75"/>
      <c r="C62" s="76"/>
      <c r="D62" s="71" t="s">
        <v>266</v>
      </c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3"/>
      <c r="AA62" s="74" t="s">
        <v>268</v>
      </c>
      <c r="AB62" s="75"/>
      <c r="AC62" s="75"/>
      <c r="AD62" s="75"/>
      <c r="AE62" s="76"/>
      <c r="AF62" s="86">
        <v>42</v>
      </c>
      <c r="AG62" s="86"/>
      <c r="AH62" s="86"/>
      <c r="AI62" s="86"/>
      <c r="AJ62" s="86"/>
      <c r="AK62" s="86"/>
      <c r="AL62" s="68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9"/>
      <c r="BF62" s="69"/>
      <c r="BG62" s="69"/>
      <c r="BH62" s="69"/>
      <c r="BI62" s="69"/>
      <c r="BJ62" s="69"/>
      <c r="BK62" s="69"/>
      <c r="BL62" s="69"/>
      <c r="BM62" s="69"/>
      <c r="BN62" s="69"/>
      <c r="BO62" s="69"/>
      <c r="BP62" s="70"/>
    </row>
    <row r="63" spans="1:68" s="1" customFormat="1" ht="30.75" customHeight="1">
      <c r="A63" s="74"/>
      <c r="B63" s="75"/>
      <c r="C63" s="76"/>
      <c r="D63" s="30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2"/>
      <c r="AA63" s="33"/>
      <c r="AB63" s="34"/>
      <c r="AC63" s="34"/>
      <c r="AD63" s="34"/>
      <c r="AE63" s="35"/>
      <c r="AF63" s="86"/>
      <c r="AG63" s="86"/>
      <c r="AH63" s="86"/>
      <c r="AI63" s="86"/>
      <c r="AJ63" s="86"/>
      <c r="AK63" s="86"/>
      <c r="AL63" s="68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  <c r="BM63" s="69"/>
      <c r="BN63" s="69"/>
      <c r="BO63" s="69"/>
      <c r="BP63" s="70"/>
    </row>
    <row r="64" spans="1:68" s="1" customFormat="1" ht="30.75" customHeight="1">
      <c r="A64" s="80"/>
      <c r="B64" s="81"/>
      <c r="C64" s="82"/>
      <c r="D64" s="77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9"/>
      <c r="AA64" s="80"/>
      <c r="AB64" s="81"/>
      <c r="AC64" s="81"/>
      <c r="AD64" s="81"/>
      <c r="AE64" s="82"/>
      <c r="AF64" s="87"/>
      <c r="AG64" s="87"/>
      <c r="AH64" s="87"/>
      <c r="AI64" s="87"/>
      <c r="AJ64" s="87"/>
      <c r="AK64" s="87"/>
      <c r="AL64" s="83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5"/>
    </row>
    <row r="65" spans="1:68" s="4" customFormat="1" ht="3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3"/>
      <c r="AG65" s="3"/>
      <c r="AH65" s="3"/>
      <c r="AI65" s="3"/>
      <c r="AJ65" s="3"/>
      <c r="AK65" s="3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</row>
    <row r="66" spans="1:68" s="4" customFormat="1" ht="14.25">
      <c r="A66" s="5" t="s">
        <v>14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15"/>
      <c r="AG66" s="15"/>
      <c r="AH66" s="15"/>
      <c r="AI66" s="15"/>
      <c r="AJ66" s="15"/>
      <c r="AK66" s="15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6"/>
    </row>
    <row r="67" spans="1:68" s="4" customFormat="1" ht="20.25" customHeight="1">
      <c r="A67" s="5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6"/>
    </row>
    <row r="68" spans="1:68" s="4" customFormat="1" ht="20.25" customHeight="1">
      <c r="A68" s="5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6"/>
    </row>
    <row r="69" spans="1:68" s="4" customFormat="1" ht="20.25" customHeight="1">
      <c r="A69" s="5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6"/>
    </row>
    <row r="70" spans="1:68" s="4" customFormat="1" ht="20.25" customHeight="1">
      <c r="A70" s="5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6"/>
    </row>
    <row r="71" spans="1:68" s="4" customFormat="1" ht="20.25" customHeight="1">
      <c r="A71" s="7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9"/>
    </row>
    <row r="72" spans="1:68" ht="5.25" customHeight="1"/>
  </sheetData>
  <mergeCells count="359">
    <mergeCell ref="AI26:AK26"/>
    <mergeCell ref="AF27:AH27"/>
    <mergeCell ref="AL24:BP24"/>
    <mergeCell ref="D26:Z26"/>
    <mergeCell ref="AA26:AE26"/>
    <mergeCell ref="D27:Z27"/>
    <mergeCell ref="AA27:AE27"/>
    <mergeCell ref="AI27:AK27"/>
    <mergeCell ref="D24:Z24"/>
    <mergeCell ref="AA24:AE24"/>
    <mergeCell ref="AF24:AH24"/>
    <mergeCell ref="AL26:BP26"/>
    <mergeCell ref="AL27:BP27"/>
    <mergeCell ref="AF26:AH26"/>
    <mergeCell ref="D23:Z23"/>
    <mergeCell ref="AA23:AE23"/>
    <mergeCell ref="AL23:BP23"/>
    <mergeCell ref="D25:Z25"/>
    <mergeCell ref="AA25:AE25"/>
    <mergeCell ref="AL25:BP25"/>
    <mergeCell ref="AF23:AH23"/>
    <mergeCell ref="AI23:AK23"/>
    <mergeCell ref="AF25:AH25"/>
    <mergeCell ref="AI25:AK25"/>
    <mergeCell ref="AI24:AK24"/>
    <mergeCell ref="A10:C10"/>
    <mergeCell ref="A11:C11"/>
    <mergeCell ref="A12:C12"/>
    <mergeCell ref="A13:C13"/>
    <mergeCell ref="A15:C15"/>
    <mergeCell ref="A16:C16"/>
    <mergeCell ref="A14:C14"/>
    <mergeCell ref="AL10:BP10"/>
    <mergeCell ref="D11:Z11"/>
    <mergeCell ref="AA11:AE11"/>
    <mergeCell ref="AL11:BP11"/>
    <mergeCell ref="D12:Z12"/>
    <mergeCell ref="AA12:AE12"/>
    <mergeCell ref="AL12:BP12"/>
    <mergeCell ref="AF12:AH12"/>
    <mergeCell ref="AI12:AK12"/>
    <mergeCell ref="AI14:AK14"/>
    <mergeCell ref="AL14:BP14"/>
    <mergeCell ref="D10:Z10"/>
    <mergeCell ref="AA10:AE10"/>
    <mergeCell ref="AF10:AH10"/>
    <mergeCell ref="AI10:AK10"/>
    <mergeCell ref="AF11:AH11"/>
    <mergeCell ref="AI11:AK11"/>
    <mergeCell ref="A23:C23"/>
    <mergeCell ref="A37:C37"/>
    <mergeCell ref="A38:C38"/>
    <mergeCell ref="A39:C39"/>
    <mergeCell ref="A35:C35"/>
    <mergeCell ref="A29:C29"/>
    <mergeCell ref="A24:C24"/>
    <mergeCell ref="A30:C30"/>
    <mergeCell ref="A31:C31"/>
    <mergeCell ref="A32:C32"/>
    <mergeCell ref="A33:C33"/>
    <mergeCell ref="A34:C34"/>
    <mergeCell ref="A28:C28"/>
    <mergeCell ref="A25:C25"/>
    <mergeCell ref="A26:C26"/>
    <mergeCell ref="A27:C27"/>
    <mergeCell ref="A36:C36"/>
    <mergeCell ref="A64:C64"/>
    <mergeCell ref="A63:C63"/>
    <mergeCell ref="A60:C60"/>
    <mergeCell ref="A61:C61"/>
    <mergeCell ref="A62:C62"/>
    <mergeCell ref="A54:C54"/>
    <mergeCell ref="A55:C55"/>
    <mergeCell ref="A56:C56"/>
    <mergeCell ref="A57:C57"/>
    <mergeCell ref="A58:C58"/>
    <mergeCell ref="A59:C59"/>
    <mergeCell ref="A49:C49"/>
    <mergeCell ref="A50:C50"/>
    <mergeCell ref="A51:C51"/>
    <mergeCell ref="A52:C52"/>
    <mergeCell ref="A53:C53"/>
    <mergeCell ref="A46:C46"/>
    <mergeCell ref="A47:C47"/>
    <mergeCell ref="A48:C48"/>
    <mergeCell ref="A40:C40"/>
    <mergeCell ref="A41:C41"/>
    <mergeCell ref="A42:C42"/>
    <mergeCell ref="A43:C43"/>
    <mergeCell ref="A44:C44"/>
    <mergeCell ref="A45:C45"/>
    <mergeCell ref="D30:Z30"/>
    <mergeCell ref="AA30:AE30"/>
    <mergeCell ref="AL30:BP30"/>
    <mergeCell ref="D31:Z31"/>
    <mergeCell ref="AA31:AE31"/>
    <mergeCell ref="AL31:BP31"/>
    <mergeCell ref="D28:Z28"/>
    <mergeCell ref="AA28:AE28"/>
    <mergeCell ref="AL28:BP28"/>
    <mergeCell ref="D29:Z29"/>
    <mergeCell ref="AA29:AE29"/>
    <mergeCell ref="AL29:BP29"/>
    <mergeCell ref="AF28:AH28"/>
    <mergeCell ref="AI28:AK28"/>
    <mergeCell ref="AF29:AH29"/>
    <mergeCell ref="AI29:AK29"/>
    <mergeCell ref="AF30:AH30"/>
    <mergeCell ref="AI30:AK30"/>
    <mergeCell ref="AF31:AH31"/>
    <mergeCell ref="AI31:AK31"/>
    <mergeCell ref="D35:Z35"/>
    <mergeCell ref="AA35:AE35"/>
    <mergeCell ref="AF35:AH35"/>
    <mergeCell ref="AI35:AK35"/>
    <mergeCell ref="D34:Z34"/>
    <mergeCell ref="AA34:AE34"/>
    <mergeCell ref="AL34:BP34"/>
    <mergeCell ref="D32:Z32"/>
    <mergeCell ref="AA32:AE32"/>
    <mergeCell ref="AL32:BP32"/>
    <mergeCell ref="D33:Z33"/>
    <mergeCell ref="AA33:AE33"/>
    <mergeCell ref="AL33:BP33"/>
    <mergeCell ref="AF32:AH32"/>
    <mergeCell ref="AI32:AK32"/>
    <mergeCell ref="AF33:AH33"/>
    <mergeCell ref="AI33:AK33"/>
    <mergeCell ref="AF34:AH34"/>
    <mergeCell ref="AI34:AK34"/>
    <mergeCell ref="AL35:BP35"/>
    <mergeCell ref="D37:Z37"/>
    <mergeCell ref="AA37:AE37"/>
    <mergeCell ref="AL37:BP37"/>
    <mergeCell ref="D38:Z38"/>
    <mergeCell ref="AA38:AE38"/>
    <mergeCell ref="AL38:BP38"/>
    <mergeCell ref="D36:Z36"/>
    <mergeCell ref="AA36:AE36"/>
    <mergeCell ref="AL36:BP36"/>
    <mergeCell ref="AF36:AH36"/>
    <mergeCell ref="AI36:AK36"/>
    <mergeCell ref="AF37:AH37"/>
    <mergeCell ref="AI37:AK37"/>
    <mergeCell ref="AF38:AH38"/>
    <mergeCell ref="AI38:AK38"/>
    <mergeCell ref="D41:Z41"/>
    <mergeCell ref="AA41:AE41"/>
    <mergeCell ref="AL41:BP41"/>
    <mergeCell ref="D42:Z42"/>
    <mergeCell ref="AA42:AE42"/>
    <mergeCell ref="AL42:BP42"/>
    <mergeCell ref="D39:Z39"/>
    <mergeCell ref="AA39:AE39"/>
    <mergeCell ref="AL39:BP39"/>
    <mergeCell ref="D40:Z40"/>
    <mergeCell ref="AA40:AE40"/>
    <mergeCell ref="AL40:BP40"/>
    <mergeCell ref="AF39:AH39"/>
    <mergeCell ref="AI39:AK39"/>
    <mergeCell ref="AF40:AH40"/>
    <mergeCell ref="AI40:AK40"/>
    <mergeCell ref="AF41:AH41"/>
    <mergeCell ref="AI41:AK41"/>
    <mergeCell ref="AF42:AH42"/>
    <mergeCell ref="AI42:AK42"/>
    <mergeCell ref="D45:Z45"/>
    <mergeCell ref="AA45:AE45"/>
    <mergeCell ref="AL45:BP45"/>
    <mergeCell ref="D46:Z46"/>
    <mergeCell ref="AA46:AE46"/>
    <mergeCell ref="AL46:BP46"/>
    <mergeCell ref="D43:Z43"/>
    <mergeCell ref="AA43:AE43"/>
    <mergeCell ref="AL43:BP43"/>
    <mergeCell ref="D44:Z44"/>
    <mergeCell ref="AA44:AE44"/>
    <mergeCell ref="AL44:BP44"/>
    <mergeCell ref="AF43:AH43"/>
    <mergeCell ref="AI43:AK43"/>
    <mergeCell ref="AF44:AH44"/>
    <mergeCell ref="AI44:AK44"/>
    <mergeCell ref="AF45:AH45"/>
    <mergeCell ref="AI45:AK45"/>
    <mergeCell ref="AF46:AH46"/>
    <mergeCell ref="AI46:AK46"/>
    <mergeCell ref="D47:Z47"/>
    <mergeCell ref="AA47:AE47"/>
    <mergeCell ref="AL47:BP47"/>
    <mergeCell ref="D48:Z48"/>
    <mergeCell ref="AA48:AE48"/>
    <mergeCell ref="AL48:BP48"/>
    <mergeCell ref="AF47:AH47"/>
    <mergeCell ref="AI47:AK47"/>
    <mergeCell ref="AF48:AH48"/>
    <mergeCell ref="AI48:AK48"/>
    <mergeCell ref="D50:Z50"/>
    <mergeCell ref="AA50:AE50"/>
    <mergeCell ref="AL50:BP50"/>
    <mergeCell ref="D49:Z49"/>
    <mergeCell ref="AA49:AE49"/>
    <mergeCell ref="AL49:BP49"/>
    <mergeCell ref="AF49:AH49"/>
    <mergeCell ref="AI49:AK49"/>
    <mergeCell ref="AF50:AH50"/>
    <mergeCell ref="AI50:AK50"/>
    <mergeCell ref="D53:Z53"/>
    <mergeCell ref="AA53:AE53"/>
    <mergeCell ref="AL53:BP53"/>
    <mergeCell ref="D54:Z54"/>
    <mergeCell ref="AA54:AE54"/>
    <mergeCell ref="AL54:BP54"/>
    <mergeCell ref="D51:Z51"/>
    <mergeCell ref="AA51:AE51"/>
    <mergeCell ref="AL51:BP51"/>
    <mergeCell ref="D52:Z52"/>
    <mergeCell ref="AA52:AE52"/>
    <mergeCell ref="AL52:BP52"/>
    <mergeCell ref="AF51:AH51"/>
    <mergeCell ref="AI51:AK51"/>
    <mergeCell ref="AF52:AH52"/>
    <mergeCell ref="AI52:AK52"/>
    <mergeCell ref="AF53:AH53"/>
    <mergeCell ref="AI53:AK53"/>
    <mergeCell ref="AF54:AH54"/>
    <mergeCell ref="AI54:AK54"/>
    <mergeCell ref="D57:Z57"/>
    <mergeCell ref="AA57:AE57"/>
    <mergeCell ref="AL57:BP57"/>
    <mergeCell ref="D58:Z58"/>
    <mergeCell ref="AA58:AE58"/>
    <mergeCell ref="AL58:BP58"/>
    <mergeCell ref="D55:Z55"/>
    <mergeCell ref="AA55:AE55"/>
    <mergeCell ref="AL55:BP55"/>
    <mergeCell ref="D56:Z56"/>
    <mergeCell ref="AA56:AE56"/>
    <mergeCell ref="AL56:BP56"/>
    <mergeCell ref="AF55:AH55"/>
    <mergeCell ref="AI55:AK55"/>
    <mergeCell ref="AF56:AH56"/>
    <mergeCell ref="AI56:AK56"/>
    <mergeCell ref="AF57:AH57"/>
    <mergeCell ref="AI57:AK57"/>
    <mergeCell ref="AF58:AH58"/>
    <mergeCell ref="AI58:AK58"/>
    <mergeCell ref="D61:Z61"/>
    <mergeCell ref="AA61:AE61"/>
    <mergeCell ref="AL61:BP61"/>
    <mergeCell ref="D62:Z62"/>
    <mergeCell ref="AA62:AE62"/>
    <mergeCell ref="AL62:BP62"/>
    <mergeCell ref="D59:Z59"/>
    <mergeCell ref="AA59:AE59"/>
    <mergeCell ref="AL59:BP59"/>
    <mergeCell ref="D60:Z60"/>
    <mergeCell ref="AA60:AE60"/>
    <mergeCell ref="AL60:BP60"/>
    <mergeCell ref="AF59:AH59"/>
    <mergeCell ref="AI59:AK59"/>
    <mergeCell ref="AF60:AH60"/>
    <mergeCell ref="AI60:AK60"/>
    <mergeCell ref="AF61:AH61"/>
    <mergeCell ref="AI61:AK61"/>
    <mergeCell ref="AF62:AH62"/>
    <mergeCell ref="AI62:AK62"/>
    <mergeCell ref="D64:Z64"/>
    <mergeCell ref="AA64:AE64"/>
    <mergeCell ref="AL64:BP64"/>
    <mergeCell ref="AL63:BP63"/>
    <mergeCell ref="AF63:AH63"/>
    <mergeCell ref="AI63:AK63"/>
    <mergeCell ref="AF64:AH64"/>
    <mergeCell ref="AI64:AK64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F8:AH8"/>
    <mergeCell ref="AI8:AK8"/>
    <mergeCell ref="A8:C8"/>
    <mergeCell ref="D8:Z8"/>
    <mergeCell ref="AA8:AE8"/>
    <mergeCell ref="AL8:BP8"/>
    <mergeCell ref="A6:G6"/>
    <mergeCell ref="H6:N6"/>
    <mergeCell ref="O6:Y6"/>
    <mergeCell ref="Z6:BE6"/>
    <mergeCell ref="BF6:BI6"/>
    <mergeCell ref="BJ6:BP6"/>
    <mergeCell ref="A9:C9"/>
    <mergeCell ref="D9:Z9"/>
    <mergeCell ref="AA9:AE9"/>
    <mergeCell ref="AF9:AH9"/>
    <mergeCell ref="AI9:AK9"/>
    <mergeCell ref="AL9:BP9"/>
    <mergeCell ref="D16:Z16"/>
    <mergeCell ref="AA16:AE16"/>
    <mergeCell ref="AL16:BP16"/>
    <mergeCell ref="AF16:AH16"/>
    <mergeCell ref="AI16:AK16"/>
    <mergeCell ref="D13:Z13"/>
    <mergeCell ref="AA13:AE13"/>
    <mergeCell ref="AL13:BP13"/>
    <mergeCell ref="D15:Z15"/>
    <mergeCell ref="AA15:AE15"/>
    <mergeCell ref="AL15:BP15"/>
    <mergeCell ref="AF13:AH13"/>
    <mergeCell ref="AI13:AK13"/>
    <mergeCell ref="AF15:AH15"/>
    <mergeCell ref="AI15:AK15"/>
    <mergeCell ref="D14:Z14"/>
    <mergeCell ref="AA14:AE14"/>
    <mergeCell ref="AF14:AH14"/>
    <mergeCell ref="A17:C17"/>
    <mergeCell ref="D17:Z17"/>
    <mergeCell ref="AA17:AE17"/>
    <mergeCell ref="AF17:AH17"/>
    <mergeCell ref="AI17:AK17"/>
    <mergeCell ref="AL17:BP17"/>
    <mergeCell ref="A18:C18"/>
    <mergeCell ref="D18:Z18"/>
    <mergeCell ref="AA18:AE18"/>
    <mergeCell ref="AF18:AH18"/>
    <mergeCell ref="AI18:AK18"/>
    <mergeCell ref="AL18:BP18"/>
    <mergeCell ref="A19:C19"/>
    <mergeCell ref="D19:Z19"/>
    <mergeCell ref="AA19:AE19"/>
    <mergeCell ref="AF19:AH19"/>
    <mergeCell ref="AI19:AK19"/>
    <mergeCell ref="AL19:BP19"/>
    <mergeCell ref="A20:C20"/>
    <mergeCell ref="D20:Z20"/>
    <mergeCell ref="AA20:AE20"/>
    <mergeCell ref="AF20:AH20"/>
    <mergeCell ref="AI20:AK20"/>
    <mergeCell ref="AL20:BP20"/>
    <mergeCell ref="A21:C21"/>
    <mergeCell ref="D21:Z21"/>
    <mergeCell ref="AA21:AE21"/>
    <mergeCell ref="AF21:AH21"/>
    <mergeCell ref="AI21:AK21"/>
    <mergeCell ref="AL21:BP21"/>
    <mergeCell ref="A22:C22"/>
    <mergeCell ref="D22:Z22"/>
    <mergeCell ref="AA22:AE22"/>
    <mergeCell ref="AF22:AH22"/>
    <mergeCell ref="AI22:AK22"/>
    <mergeCell ref="AL22:BP22"/>
  </mergeCells>
  <phoneticPr fontId="4"/>
  <dataValidations count="2">
    <dataValidation type="list" allowBlank="1" showInputMessage="1" showErrorMessage="1" sqref="BJ6:BP6" xr:uid="{D2063B87-D28F-4F33-9EC5-434F08C9D0CC}">
      <formula1>"原票、画面,帳票,連動ファイル,論理ファイル"</formula1>
    </dataValidation>
    <dataValidation type="list" allowBlank="1" showInputMessage="1" showErrorMessage="1" sqref="AI9:AK9" xr:uid="{A25BA640-A256-4E74-A969-5DB520AF09C7}">
      <formula1>"〇"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34876-D357-49C9-9B1B-E9D2D5F221D7}">
  <dimension ref="A1:BR53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8" width="2.125" style="55"/>
    <col min="39" max="44" width="0" style="55" hidden="1" customWidth="1"/>
    <col min="45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58" t="s">
        <v>217</v>
      </c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95" t="s">
        <v>1438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1439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125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74">
        <f t="shared" ref="A9" si="0">ROW()-8</f>
        <v>1</v>
      </c>
      <c r="B9" s="75"/>
      <c r="C9" s="76"/>
      <c r="D9" s="71" t="s">
        <v>1562</v>
      </c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3"/>
      <c r="AA9" s="74" t="s">
        <v>278</v>
      </c>
      <c r="AB9" s="75"/>
      <c r="AC9" s="75"/>
      <c r="AD9" s="75"/>
      <c r="AE9" s="76"/>
      <c r="AF9" s="86">
        <v>21</v>
      </c>
      <c r="AG9" s="86"/>
      <c r="AH9" s="86"/>
      <c r="AI9" s="86"/>
      <c r="AJ9" s="86"/>
      <c r="AK9" s="86"/>
      <c r="AL9" s="68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70"/>
    </row>
    <row r="10" spans="1:70" s="1" customFormat="1" ht="30.75" customHeight="1">
      <c r="A10" s="74">
        <f>ROW()-8</f>
        <v>2</v>
      </c>
      <c r="B10" s="75"/>
      <c r="C10" s="76"/>
      <c r="D10" s="71" t="s">
        <v>1456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  <c r="AA10" s="74" t="s">
        <v>346</v>
      </c>
      <c r="AB10" s="75"/>
      <c r="AC10" s="75"/>
      <c r="AD10" s="75"/>
      <c r="AE10" s="76"/>
      <c r="AF10" s="86">
        <v>1</v>
      </c>
      <c r="AG10" s="86"/>
      <c r="AH10" s="86"/>
      <c r="AI10" s="86"/>
      <c r="AJ10" s="86"/>
      <c r="AK10" s="86"/>
      <c r="AL10" s="68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74">
        <f>ROW()-8</f>
        <v>3</v>
      </c>
      <c r="B11" s="75"/>
      <c r="C11" s="76"/>
      <c r="D11" s="71" t="s">
        <v>1457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3"/>
      <c r="AA11" s="74" t="s">
        <v>1490</v>
      </c>
      <c r="AB11" s="75"/>
      <c r="AC11" s="75"/>
      <c r="AD11" s="75"/>
      <c r="AE11" s="76"/>
      <c r="AF11" s="86">
        <v>4</v>
      </c>
      <c r="AG11" s="86"/>
      <c r="AH11" s="86"/>
      <c r="AI11" s="86"/>
      <c r="AJ11" s="86"/>
      <c r="AK11" s="86"/>
      <c r="AL11" s="68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70"/>
    </row>
    <row r="12" spans="1:70" s="1" customFormat="1" ht="30.75" customHeight="1">
      <c r="A12" s="74">
        <f t="shared" ref="A12:A43" si="1">ROW()-8</f>
        <v>4</v>
      </c>
      <c r="B12" s="75"/>
      <c r="C12" s="76"/>
      <c r="D12" s="71" t="s">
        <v>1395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3"/>
      <c r="AA12" s="74" t="s">
        <v>346</v>
      </c>
      <c r="AB12" s="75"/>
      <c r="AC12" s="75"/>
      <c r="AD12" s="75"/>
      <c r="AE12" s="76"/>
      <c r="AF12" s="86">
        <v>2</v>
      </c>
      <c r="AG12" s="86"/>
      <c r="AH12" s="86"/>
      <c r="AI12" s="86"/>
      <c r="AJ12" s="86"/>
      <c r="AK12" s="86"/>
      <c r="AL12" s="68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70"/>
    </row>
    <row r="13" spans="1:70" s="1" customFormat="1" ht="30.75" customHeight="1">
      <c r="A13" s="74">
        <f t="shared" si="1"/>
        <v>5</v>
      </c>
      <c r="B13" s="75"/>
      <c r="C13" s="76"/>
      <c r="D13" s="71" t="s">
        <v>1458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3"/>
      <c r="AA13" s="74" t="s">
        <v>1490</v>
      </c>
      <c r="AB13" s="75"/>
      <c r="AC13" s="75"/>
      <c r="AD13" s="75"/>
      <c r="AE13" s="76"/>
      <c r="AF13" s="86">
        <v>10</v>
      </c>
      <c r="AG13" s="86"/>
      <c r="AH13" s="86"/>
      <c r="AI13" s="86"/>
      <c r="AJ13" s="86"/>
      <c r="AK13" s="86"/>
      <c r="AL13" s="68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70"/>
    </row>
    <row r="14" spans="1:70" s="1" customFormat="1" ht="30.75" customHeight="1">
      <c r="A14" s="74">
        <f t="shared" si="1"/>
        <v>6</v>
      </c>
      <c r="B14" s="75"/>
      <c r="C14" s="76"/>
      <c r="D14" s="71" t="s">
        <v>1459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3"/>
      <c r="AA14" s="74" t="s">
        <v>346</v>
      </c>
      <c r="AB14" s="75"/>
      <c r="AC14" s="75"/>
      <c r="AD14" s="75"/>
      <c r="AE14" s="76"/>
      <c r="AF14" s="86">
        <v>4</v>
      </c>
      <c r="AG14" s="86"/>
      <c r="AH14" s="86"/>
      <c r="AI14" s="86"/>
      <c r="AJ14" s="86"/>
      <c r="AK14" s="86"/>
      <c r="AL14" s="68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70"/>
    </row>
    <row r="15" spans="1:70" s="1" customFormat="1" ht="30.75" customHeight="1">
      <c r="A15" s="74">
        <f t="shared" si="1"/>
        <v>7</v>
      </c>
      <c r="B15" s="75"/>
      <c r="C15" s="76"/>
      <c r="D15" s="71" t="s">
        <v>1460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3"/>
      <c r="AA15" s="74" t="s">
        <v>1490</v>
      </c>
      <c r="AB15" s="75"/>
      <c r="AC15" s="75"/>
      <c r="AD15" s="75"/>
      <c r="AE15" s="76"/>
      <c r="AF15" s="86">
        <v>10</v>
      </c>
      <c r="AG15" s="86"/>
      <c r="AH15" s="86"/>
      <c r="AI15" s="86"/>
      <c r="AJ15" s="86"/>
      <c r="AK15" s="86"/>
      <c r="AL15" s="68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70"/>
    </row>
    <row r="16" spans="1:70" s="1" customFormat="1" ht="30.75" customHeight="1">
      <c r="A16" s="74">
        <f t="shared" si="1"/>
        <v>8</v>
      </c>
      <c r="B16" s="75"/>
      <c r="C16" s="76"/>
      <c r="D16" s="71" t="s">
        <v>1461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3"/>
      <c r="AA16" s="74" t="s">
        <v>1491</v>
      </c>
      <c r="AB16" s="75"/>
      <c r="AC16" s="75"/>
      <c r="AD16" s="75"/>
      <c r="AE16" s="76"/>
      <c r="AF16" s="86">
        <v>8</v>
      </c>
      <c r="AG16" s="86"/>
      <c r="AH16" s="86"/>
      <c r="AI16" s="86"/>
      <c r="AJ16" s="86"/>
      <c r="AK16" s="86"/>
      <c r="AL16" s="68" t="s">
        <v>595</v>
      </c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70"/>
    </row>
    <row r="17" spans="1:68" s="1" customFormat="1" ht="30.75" customHeight="1">
      <c r="A17" s="74">
        <f t="shared" si="1"/>
        <v>9</v>
      </c>
      <c r="B17" s="75"/>
      <c r="C17" s="76"/>
      <c r="D17" s="71" t="s">
        <v>1462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3"/>
      <c r="AA17" s="74" t="s">
        <v>346</v>
      </c>
      <c r="AB17" s="75"/>
      <c r="AC17" s="75"/>
      <c r="AD17" s="75"/>
      <c r="AE17" s="76"/>
      <c r="AF17" s="86">
        <v>1</v>
      </c>
      <c r="AG17" s="86"/>
      <c r="AH17" s="86"/>
      <c r="AI17" s="86"/>
      <c r="AJ17" s="86"/>
      <c r="AK17" s="86"/>
      <c r="AL17" s="68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70"/>
    </row>
    <row r="18" spans="1:68" s="1" customFormat="1" ht="30.75" customHeight="1">
      <c r="A18" s="74">
        <f t="shared" si="1"/>
        <v>10</v>
      </c>
      <c r="B18" s="75"/>
      <c r="C18" s="76"/>
      <c r="D18" s="71" t="s">
        <v>1463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3"/>
      <c r="AA18" s="74" t="s">
        <v>1490</v>
      </c>
      <c r="AB18" s="75"/>
      <c r="AC18" s="75"/>
      <c r="AD18" s="75"/>
      <c r="AE18" s="76"/>
      <c r="AF18" s="86">
        <v>6</v>
      </c>
      <c r="AG18" s="86"/>
      <c r="AH18" s="86"/>
      <c r="AI18" s="86"/>
      <c r="AJ18" s="86"/>
      <c r="AK18" s="86"/>
      <c r="AL18" s="68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70"/>
    </row>
    <row r="19" spans="1:68" s="1" customFormat="1" ht="30.75" customHeight="1">
      <c r="A19" s="74">
        <f t="shared" si="1"/>
        <v>11</v>
      </c>
      <c r="B19" s="75"/>
      <c r="C19" s="76"/>
      <c r="D19" s="71" t="s">
        <v>1464</v>
      </c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3"/>
      <c r="AA19" s="74" t="s">
        <v>346</v>
      </c>
      <c r="AB19" s="75"/>
      <c r="AC19" s="75"/>
      <c r="AD19" s="75"/>
      <c r="AE19" s="76"/>
      <c r="AF19" s="86">
        <v>8</v>
      </c>
      <c r="AG19" s="86"/>
      <c r="AH19" s="86"/>
      <c r="AI19" s="86"/>
      <c r="AJ19" s="86"/>
      <c r="AK19" s="86"/>
      <c r="AL19" s="68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70"/>
    </row>
    <row r="20" spans="1:68" s="1" customFormat="1" ht="30.75" customHeight="1">
      <c r="A20" s="74">
        <f t="shared" si="1"/>
        <v>12</v>
      </c>
      <c r="B20" s="75"/>
      <c r="C20" s="76"/>
      <c r="D20" s="71" t="s">
        <v>1465</v>
      </c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3"/>
      <c r="AA20" s="74" t="s">
        <v>1490</v>
      </c>
      <c r="AB20" s="75"/>
      <c r="AC20" s="75"/>
      <c r="AD20" s="75"/>
      <c r="AE20" s="76"/>
      <c r="AF20" s="86">
        <v>19</v>
      </c>
      <c r="AG20" s="86"/>
      <c r="AH20" s="86"/>
      <c r="AI20" s="86"/>
      <c r="AJ20" s="86"/>
      <c r="AK20" s="86"/>
      <c r="AL20" s="68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70"/>
    </row>
    <row r="21" spans="1:68" s="1" customFormat="1" ht="30.75" customHeight="1">
      <c r="A21" s="74">
        <f t="shared" si="1"/>
        <v>13</v>
      </c>
      <c r="B21" s="75"/>
      <c r="C21" s="76"/>
      <c r="D21" s="71" t="s">
        <v>1466</v>
      </c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3"/>
      <c r="AA21" s="74" t="s">
        <v>346</v>
      </c>
      <c r="AB21" s="75"/>
      <c r="AC21" s="75"/>
      <c r="AD21" s="75"/>
      <c r="AE21" s="76"/>
      <c r="AF21" s="86">
        <v>4</v>
      </c>
      <c r="AG21" s="86"/>
      <c r="AH21" s="86"/>
      <c r="AI21" s="86"/>
      <c r="AJ21" s="86"/>
      <c r="AK21" s="86"/>
      <c r="AL21" s="68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70"/>
    </row>
    <row r="22" spans="1:68" s="1" customFormat="1" ht="30.75" customHeight="1">
      <c r="A22" s="74">
        <f t="shared" si="1"/>
        <v>14</v>
      </c>
      <c r="B22" s="75"/>
      <c r="C22" s="76"/>
      <c r="D22" s="71" t="s">
        <v>1467</v>
      </c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3"/>
      <c r="AA22" s="74" t="s">
        <v>1490</v>
      </c>
      <c r="AB22" s="75"/>
      <c r="AC22" s="75"/>
      <c r="AD22" s="75"/>
      <c r="AE22" s="76"/>
      <c r="AF22" s="86">
        <v>10</v>
      </c>
      <c r="AG22" s="86"/>
      <c r="AH22" s="86"/>
      <c r="AI22" s="86"/>
      <c r="AJ22" s="86"/>
      <c r="AK22" s="86"/>
      <c r="AL22" s="68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70"/>
    </row>
    <row r="23" spans="1:68" s="1" customFormat="1" ht="30.75" customHeight="1">
      <c r="A23" s="74">
        <f t="shared" si="1"/>
        <v>15</v>
      </c>
      <c r="B23" s="75"/>
      <c r="C23" s="76"/>
      <c r="D23" s="71" t="s">
        <v>1468</v>
      </c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3"/>
      <c r="AA23" s="74" t="s">
        <v>346</v>
      </c>
      <c r="AB23" s="75"/>
      <c r="AC23" s="75"/>
      <c r="AD23" s="75"/>
      <c r="AE23" s="76"/>
      <c r="AF23" s="86">
        <v>4</v>
      </c>
      <c r="AG23" s="86"/>
      <c r="AH23" s="86"/>
      <c r="AI23" s="86"/>
      <c r="AJ23" s="86"/>
      <c r="AK23" s="86"/>
      <c r="AL23" s="68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70"/>
    </row>
    <row r="24" spans="1:68" s="1" customFormat="1" ht="30.75" customHeight="1">
      <c r="A24" s="74">
        <f t="shared" si="1"/>
        <v>16</v>
      </c>
      <c r="B24" s="75"/>
      <c r="C24" s="76"/>
      <c r="D24" s="71" t="s">
        <v>1469</v>
      </c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3"/>
      <c r="AA24" s="74" t="s">
        <v>1490</v>
      </c>
      <c r="AB24" s="75"/>
      <c r="AC24" s="75"/>
      <c r="AD24" s="75"/>
      <c r="AE24" s="76"/>
      <c r="AF24" s="86">
        <v>20</v>
      </c>
      <c r="AG24" s="86"/>
      <c r="AH24" s="86"/>
      <c r="AI24" s="86"/>
      <c r="AJ24" s="86"/>
      <c r="AK24" s="86"/>
      <c r="AL24" s="68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70"/>
    </row>
    <row r="25" spans="1:68" s="1" customFormat="1" ht="30.75" customHeight="1">
      <c r="A25" s="74">
        <f t="shared" si="1"/>
        <v>17</v>
      </c>
      <c r="B25" s="75"/>
      <c r="C25" s="76"/>
      <c r="D25" s="71" t="s">
        <v>1470</v>
      </c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3"/>
      <c r="AA25" s="74" t="s">
        <v>346</v>
      </c>
      <c r="AB25" s="75"/>
      <c r="AC25" s="75"/>
      <c r="AD25" s="75"/>
      <c r="AE25" s="76"/>
      <c r="AF25" s="86">
        <v>14</v>
      </c>
      <c r="AG25" s="86"/>
      <c r="AH25" s="86"/>
      <c r="AI25" s="86"/>
      <c r="AJ25" s="86"/>
      <c r="AK25" s="86"/>
      <c r="AL25" s="68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70"/>
    </row>
    <row r="26" spans="1:68" s="1" customFormat="1" ht="30.75" customHeight="1">
      <c r="A26" s="74">
        <f t="shared" si="1"/>
        <v>18</v>
      </c>
      <c r="B26" s="75"/>
      <c r="C26" s="76"/>
      <c r="D26" s="71" t="s">
        <v>1471</v>
      </c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3"/>
      <c r="AA26" s="74" t="s">
        <v>346</v>
      </c>
      <c r="AB26" s="75"/>
      <c r="AC26" s="75"/>
      <c r="AD26" s="75"/>
      <c r="AE26" s="76"/>
      <c r="AF26" s="86">
        <v>9</v>
      </c>
      <c r="AG26" s="86"/>
      <c r="AH26" s="86"/>
      <c r="AI26" s="86"/>
      <c r="AJ26" s="86"/>
      <c r="AK26" s="86"/>
      <c r="AL26" s="68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70"/>
    </row>
    <row r="27" spans="1:68" s="1" customFormat="1" ht="30.75" customHeight="1">
      <c r="A27" s="74">
        <f t="shared" si="1"/>
        <v>19</v>
      </c>
      <c r="B27" s="75"/>
      <c r="C27" s="76"/>
      <c r="D27" s="71" t="s">
        <v>1472</v>
      </c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3"/>
      <c r="AA27" s="74" t="s">
        <v>1490</v>
      </c>
      <c r="AB27" s="75"/>
      <c r="AC27" s="75"/>
      <c r="AD27" s="75"/>
      <c r="AE27" s="76"/>
      <c r="AF27" s="86">
        <v>10</v>
      </c>
      <c r="AG27" s="86"/>
      <c r="AH27" s="86"/>
      <c r="AI27" s="86"/>
      <c r="AJ27" s="86"/>
      <c r="AK27" s="86"/>
      <c r="AL27" s="68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70"/>
    </row>
    <row r="28" spans="1:68" s="1" customFormat="1" ht="30.75" customHeight="1">
      <c r="A28" s="74">
        <f t="shared" si="1"/>
        <v>20</v>
      </c>
      <c r="B28" s="75"/>
      <c r="C28" s="76"/>
      <c r="D28" s="71" t="s">
        <v>1473</v>
      </c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3"/>
      <c r="AA28" s="74" t="s">
        <v>346</v>
      </c>
      <c r="AB28" s="75"/>
      <c r="AC28" s="75"/>
      <c r="AD28" s="75"/>
      <c r="AE28" s="76"/>
      <c r="AF28" s="86">
        <v>14</v>
      </c>
      <c r="AG28" s="86"/>
      <c r="AH28" s="86"/>
      <c r="AI28" s="86"/>
      <c r="AJ28" s="86"/>
      <c r="AK28" s="86"/>
      <c r="AL28" s="68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70"/>
    </row>
    <row r="29" spans="1:68" s="1" customFormat="1" ht="30.75" customHeight="1">
      <c r="A29" s="74">
        <f t="shared" si="1"/>
        <v>21</v>
      </c>
      <c r="B29" s="75"/>
      <c r="C29" s="76"/>
      <c r="D29" s="71" t="s">
        <v>1474</v>
      </c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3"/>
      <c r="AA29" s="74" t="s">
        <v>346</v>
      </c>
      <c r="AB29" s="75"/>
      <c r="AC29" s="75"/>
      <c r="AD29" s="75"/>
      <c r="AE29" s="76"/>
      <c r="AF29" s="86">
        <v>14</v>
      </c>
      <c r="AG29" s="86"/>
      <c r="AH29" s="86"/>
      <c r="AI29" s="86"/>
      <c r="AJ29" s="86"/>
      <c r="AK29" s="86"/>
      <c r="AL29" s="68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70"/>
    </row>
    <row r="30" spans="1:68" s="1" customFormat="1" ht="30.75" customHeight="1">
      <c r="A30" s="74">
        <f t="shared" si="1"/>
        <v>22</v>
      </c>
      <c r="B30" s="75"/>
      <c r="C30" s="76"/>
      <c r="D30" s="71" t="s">
        <v>1475</v>
      </c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3"/>
      <c r="AA30" s="74" t="s">
        <v>346</v>
      </c>
      <c r="AB30" s="75"/>
      <c r="AC30" s="75"/>
      <c r="AD30" s="75"/>
      <c r="AE30" s="76"/>
      <c r="AF30" s="86">
        <v>2</v>
      </c>
      <c r="AG30" s="86"/>
      <c r="AH30" s="86"/>
      <c r="AI30" s="86"/>
      <c r="AJ30" s="86"/>
      <c r="AK30" s="86"/>
      <c r="AL30" s="68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70"/>
    </row>
    <row r="31" spans="1:68" s="1" customFormat="1" ht="30.75" customHeight="1">
      <c r="A31" s="74">
        <f t="shared" si="1"/>
        <v>23</v>
      </c>
      <c r="B31" s="75"/>
      <c r="C31" s="76"/>
      <c r="D31" s="71" t="s">
        <v>1476</v>
      </c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3"/>
      <c r="AA31" s="74" t="s">
        <v>1490</v>
      </c>
      <c r="AB31" s="75"/>
      <c r="AC31" s="75"/>
      <c r="AD31" s="75"/>
      <c r="AE31" s="76"/>
      <c r="AF31" s="86">
        <v>12</v>
      </c>
      <c r="AG31" s="86"/>
      <c r="AH31" s="86"/>
      <c r="AI31" s="86"/>
      <c r="AJ31" s="86"/>
      <c r="AK31" s="86"/>
      <c r="AL31" s="68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70"/>
    </row>
    <row r="32" spans="1:68" s="1" customFormat="1" ht="30.75" customHeight="1">
      <c r="A32" s="74">
        <f t="shared" si="1"/>
        <v>24</v>
      </c>
      <c r="B32" s="75"/>
      <c r="C32" s="76"/>
      <c r="D32" s="71" t="s">
        <v>1477</v>
      </c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3"/>
      <c r="AA32" s="74" t="s">
        <v>1490</v>
      </c>
      <c r="AB32" s="75"/>
      <c r="AC32" s="75"/>
      <c r="AD32" s="75"/>
      <c r="AE32" s="76"/>
      <c r="AF32" s="86">
        <v>2</v>
      </c>
      <c r="AG32" s="86"/>
      <c r="AH32" s="86"/>
      <c r="AI32" s="86"/>
      <c r="AJ32" s="86"/>
      <c r="AK32" s="86"/>
      <c r="AL32" s="68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70"/>
    </row>
    <row r="33" spans="1:68" s="1" customFormat="1" ht="30.75" customHeight="1">
      <c r="A33" s="74">
        <f t="shared" si="1"/>
        <v>25</v>
      </c>
      <c r="B33" s="75"/>
      <c r="C33" s="76"/>
      <c r="D33" s="71" t="s">
        <v>1478</v>
      </c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3"/>
      <c r="AA33" s="74" t="s">
        <v>1490</v>
      </c>
      <c r="AB33" s="75"/>
      <c r="AC33" s="75"/>
      <c r="AD33" s="75"/>
      <c r="AE33" s="76"/>
      <c r="AF33" s="86">
        <v>3</v>
      </c>
      <c r="AG33" s="86"/>
      <c r="AH33" s="86"/>
      <c r="AI33" s="86"/>
      <c r="AJ33" s="86"/>
      <c r="AK33" s="86"/>
      <c r="AL33" s="68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70"/>
    </row>
    <row r="34" spans="1:68" s="1" customFormat="1" ht="30.75" customHeight="1">
      <c r="A34" s="74">
        <f t="shared" si="1"/>
        <v>26</v>
      </c>
      <c r="B34" s="75"/>
      <c r="C34" s="76"/>
      <c r="D34" s="71" t="s">
        <v>1479</v>
      </c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3"/>
      <c r="AA34" s="74" t="s">
        <v>346</v>
      </c>
      <c r="AB34" s="75"/>
      <c r="AC34" s="75"/>
      <c r="AD34" s="75"/>
      <c r="AE34" s="76"/>
      <c r="AF34" s="86">
        <v>14</v>
      </c>
      <c r="AG34" s="86"/>
      <c r="AH34" s="86"/>
      <c r="AI34" s="86"/>
      <c r="AJ34" s="86"/>
      <c r="AK34" s="86"/>
      <c r="AL34" s="68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70"/>
    </row>
    <row r="35" spans="1:68" s="1" customFormat="1" ht="30.75" customHeight="1">
      <c r="A35" s="74">
        <f t="shared" si="1"/>
        <v>27</v>
      </c>
      <c r="B35" s="75"/>
      <c r="C35" s="76"/>
      <c r="D35" s="71" t="s">
        <v>1480</v>
      </c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3"/>
      <c r="AA35" s="74" t="s">
        <v>346</v>
      </c>
      <c r="AB35" s="75"/>
      <c r="AC35" s="75"/>
      <c r="AD35" s="75"/>
      <c r="AE35" s="76"/>
      <c r="AF35" s="86">
        <v>14</v>
      </c>
      <c r="AG35" s="86"/>
      <c r="AH35" s="86"/>
      <c r="AI35" s="86"/>
      <c r="AJ35" s="86"/>
      <c r="AK35" s="86"/>
      <c r="AL35" s="68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70"/>
    </row>
    <row r="36" spans="1:68" s="1" customFormat="1" ht="30.75" customHeight="1">
      <c r="A36" s="74">
        <f t="shared" si="1"/>
        <v>28</v>
      </c>
      <c r="B36" s="75"/>
      <c r="C36" s="76"/>
      <c r="D36" s="71" t="s">
        <v>1481</v>
      </c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3"/>
      <c r="AA36" s="74" t="s">
        <v>346</v>
      </c>
      <c r="AB36" s="75"/>
      <c r="AC36" s="75"/>
      <c r="AD36" s="75"/>
      <c r="AE36" s="76"/>
      <c r="AF36" s="86">
        <v>14</v>
      </c>
      <c r="AG36" s="86"/>
      <c r="AH36" s="86"/>
      <c r="AI36" s="86"/>
      <c r="AJ36" s="86"/>
      <c r="AK36" s="86"/>
      <c r="AL36" s="68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70"/>
    </row>
    <row r="37" spans="1:68" s="1" customFormat="1" ht="30.75" customHeight="1">
      <c r="A37" s="74">
        <f t="shared" si="1"/>
        <v>29</v>
      </c>
      <c r="B37" s="75"/>
      <c r="C37" s="76"/>
      <c r="D37" s="71" t="s">
        <v>1482</v>
      </c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3"/>
      <c r="AA37" s="74" t="s">
        <v>1491</v>
      </c>
      <c r="AB37" s="75"/>
      <c r="AC37" s="75"/>
      <c r="AD37" s="75"/>
      <c r="AE37" s="76"/>
      <c r="AF37" s="86">
        <v>8</v>
      </c>
      <c r="AG37" s="86"/>
      <c r="AH37" s="86"/>
      <c r="AI37" s="86"/>
      <c r="AJ37" s="86"/>
      <c r="AK37" s="86"/>
      <c r="AL37" s="68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70"/>
    </row>
    <row r="38" spans="1:68" s="1" customFormat="1" ht="30.75" customHeight="1">
      <c r="A38" s="74">
        <f t="shared" si="1"/>
        <v>30</v>
      </c>
      <c r="B38" s="75"/>
      <c r="C38" s="76"/>
      <c r="D38" s="71" t="s">
        <v>1483</v>
      </c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3"/>
      <c r="AA38" s="74" t="s">
        <v>1490</v>
      </c>
      <c r="AB38" s="75"/>
      <c r="AC38" s="75"/>
      <c r="AD38" s="75"/>
      <c r="AE38" s="76"/>
      <c r="AF38" s="86">
        <v>10</v>
      </c>
      <c r="AG38" s="86"/>
      <c r="AH38" s="86"/>
      <c r="AI38" s="86"/>
      <c r="AJ38" s="86"/>
      <c r="AK38" s="86"/>
      <c r="AL38" s="68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70"/>
    </row>
    <row r="39" spans="1:68" s="1" customFormat="1" ht="30.75" customHeight="1">
      <c r="A39" s="74">
        <f t="shared" si="1"/>
        <v>31</v>
      </c>
      <c r="B39" s="75"/>
      <c r="C39" s="76"/>
      <c r="D39" s="71" t="s">
        <v>1484</v>
      </c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3"/>
      <c r="AA39" s="74" t="s">
        <v>346</v>
      </c>
      <c r="AB39" s="75"/>
      <c r="AC39" s="75"/>
      <c r="AD39" s="75"/>
      <c r="AE39" s="76"/>
      <c r="AF39" s="86" t="s">
        <v>1489</v>
      </c>
      <c r="AG39" s="86"/>
      <c r="AH39" s="86"/>
      <c r="AI39" s="86"/>
      <c r="AJ39" s="86"/>
      <c r="AK39" s="86"/>
      <c r="AL39" s="68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70"/>
    </row>
    <row r="40" spans="1:68" s="1" customFormat="1" ht="30.75" customHeight="1">
      <c r="A40" s="74">
        <f t="shared" si="1"/>
        <v>32</v>
      </c>
      <c r="B40" s="75"/>
      <c r="C40" s="76"/>
      <c r="D40" s="71" t="s">
        <v>1485</v>
      </c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3"/>
      <c r="AA40" s="74" t="s">
        <v>346</v>
      </c>
      <c r="AB40" s="75"/>
      <c r="AC40" s="75"/>
      <c r="AD40" s="75"/>
      <c r="AE40" s="76"/>
      <c r="AF40" s="86" t="s">
        <v>1489</v>
      </c>
      <c r="AG40" s="86"/>
      <c r="AH40" s="86"/>
      <c r="AI40" s="86"/>
      <c r="AJ40" s="86"/>
      <c r="AK40" s="86"/>
      <c r="AL40" s="68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70"/>
    </row>
    <row r="41" spans="1:68" s="1" customFormat="1" ht="30.75" customHeight="1">
      <c r="A41" s="74">
        <f t="shared" si="1"/>
        <v>33</v>
      </c>
      <c r="B41" s="75"/>
      <c r="C41" s="76"/>
      <c r="D41" s="71" t="s">
        <v>1486</v>
      </c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3"/>
      <c r="AA41" s="74" t="s">
        <v>346</v>
      </c>
      <c r="AB41" s="75"/>
      <c r="AC41" s="75"/>
      <c r="AD41" s="75"/>
      <c r="AE41" s="76"/>
      <c r="AF41" s="86">
        <v>14</v>
      </c>
      <c r="AG41" s="86"/>
      <c r="AH41" s="86"/>
      <c r="AI41" s="86"/>
      <c r="AJ41" s="86"/>
      <c r="AK41" s="86"/>
      <c r="AL41" s="68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70"/>
    </row>
    <row r="42" spans="1:68" s="1" customFormat="1" ht="30.75" customHeight="1">
      <c r="A42" s="74">
        <f t="shared" si="1"/>
        <v>34</v>
      </c>
      <c r="B42" s="75"/>
      <c r="C42" s="76"/>
      <c r="D42" s="71" t="s">
        <v>1487</v>
      </c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3"/>
      <c r="AA42" s="74" t="s">
        <v>1491</v>
      </c>
      <c r="AB42" s="75"/>
      <c r="AC42" s="75"/>
      <c r="AD42" s="75"/>
      <c r="AE42" s="76"/>
      <c r="AF42" s="86">
        <v>8</v>
      </c>
      <c r="AG42" s="86"/>
      <c r="AH42" s="86"/>
      <c r="AI42" s="86"/>
      <c r="AJ42" s="86"/>
      <c r="AK42" s="86"/>
      <c r="AL42" s="68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70"/>
    </row>
    <row r="43" spans="1:68" s="1" customFormat="1" ht="30.75" customHeight="1">
      <c r="A43" s="74">
        <f t="shared" si="1"/>
        <v>35</v>
      </c>
      <c r="B43" s="75"/>
      <c r="C43" s="76"/>
      <c r="D43" s="71" t="s">
        <v>1488</v>
      </c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3"/>
      <c r="AA43" s="74" t="s">
        <v>1490</v>
      </c>
      <c r="AB43" s="75"/>
      <c r="AC43" s="75"/>
      <c r="AD43" s="75"/>
      <c r="AE43" s="76"/>
      <c r="AF43" s="86">
        <v>16</v>
      </c>
      <c r="AG43" s="86"/>
      <c r="AH43" s="86"/>
      <c r="AI43" s="86"/>
      <c r="AJ43" s="86"/>
      <c r="AK43" s="86"/>
      <c r="AL43" s="68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  <c r="BM43" s="69"/>
      <c r="BN43" s="69"/>
      <c r="BO43" s="69"/>
      <c r="BP43" s="70"/>
    </row>
    <row r="44" spans="1:68" s="1" customFormat="1" ht="30.75" customHeight="1">
      <c r="A44" s="74"/>
      <c r="B44" s="75"/>
      <c r="C44" s="76"/>
      <c r="D44" s="71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3"/>
      <c r="AA44" s="74"/>
      <c r="AB44" s="75"/>
      <c r="AC44" s="75"/>
      <c r="AD44" s="75"/>
      <c r="AE44" s="76"/>
      <c r="AF44" s="86"/>
      <c r="AG44" s="86"/>
      <c r="AH44" s="86"/>
      <c r="AI44" s="86"/>
      <c r="AJ44" s="86"/>
      <c r="AK44" s="86"/>
      <c r="AL44" s="68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  <c r="BM44" s="69"/>
      <c r="BN44" s="69"/>
      <c r="BO44" s="69"/>
      <c r="BP44" s="70"/>
    </row>
    <row r="45" spans="1:68" s="1" customFormat="1" ht="30.75" customHeight="1">
      <c r="A45" s="80"/>
      <c r="B45" s="81"/>
      <c r="C45" s="82"/>
      <c r="D45" s="77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9"/>
      <c r="AA45" s="80"/>
      <c r="AB45" s="81"/>
      <c r="AC45" s="81"/>
      <c r="AD45" s="81"/>
      <c r="AE45" s="82"/>
      <c r="AF45" s="87"/>
      <c r="AG45" s="87"/>
      <c r="AH45" s="87"/>
      <c r="AI45" s="87"/>
      <c r="AJ45" s="87"/>
      <c r="AK45" s="87"/>
      <c r="AL45" s="83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5"/>
    </row>
    <row r="46" spans="1:68" s="4" customFormat="1" ht="3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3"/>
      <c r="AG46" s="3"/>
      <c r="AH46" s="3"/>
      <c r="AI46" s="3"/>
      <c r="AJ46" s="3"/>
      <c r="AK46" s="3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</row>
    <row r="47" spans="1:68" s="4" customFormat="1" ht="14.25">
      <c r="A47" s="5" t="s">
        <v>14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15"/>
      <c r="AG47" s="15"/>
      <c r="AH47" s="15"/>
      <c r="AI47" s="15"/>
      <c r="AJ47" s="15"/>
      <c r="AK47" s="15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6"/>
    </row>
    <row r="48" spans="1:68" s="4" customFormat="1" ht="20.25" customHeight="1">
      <c r="A48" s="5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6"/>
    </row>
    <row r="49" spans="1:68" s="4" customFormat="1" ht="20.25" customHeight="1">
      <c r="A49" s="5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6"/>
    </row>
    <row r="50" spans="1:68" s="4" customFormat="1" ht="20.25" customHeight="1">
      <c r="A50" s="5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6"/>
    </row>
    <row r="51" spans="1:68" s="4" customFormat="1" ht="20.25" customHeight="1">
      <c r="A51" s="5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6"/>
    </row>
    <row r="52" spans="1:68" s="4" customFormat="1" ht="20.25" customHeight="1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9"/>
    </row>
    <row r="53" spans="1:68" ht="5.25" customHeight="1"/>
  </sheetData>
  <mergeCells count="247">
    <mergeCell ref="A45:C45"/>
    <mergeCell ref="D45:Z45"/>
    <mergeCell ref="AA45:AE45"/>
    <mergeCell ref="AF45:AH45"/>
    <mergeCell ref="AI45:AK45"/>
    <mergeCell ref="AL45:BP45"/>
    <mergeCell ref="A42:C42"/>
    <mergeCell ref="D42:Z42"/>
    <mergeCell ref="AA42:AE42"/>
    <mergeCell ref="AF42:AH42"/>
    <mergeCell ref="AI42:AK42"/>
    <mergeCell ref="AL42:BP42"/>
    <mergeCell ref="A44:C44"/>
    <mergeCell ref="D44:Z44"/>
    <mergeCell ref="AA44:AE44"/>
    <mergeCell ref="AF44:AH44"/>
    <mergeCell ref="AI44:AK44"/>
    <mergeCell ref="AL44:BP44"/>
    <mergeCell ref="A38:C38"/>
    <mergeCell ref="D38:Z38"/>
    <mergeCell ref="AA38:AE38"/>
    <mergeCell ref="AF38:AH38"/>
    <mergeCell ref="AI38:AK38"/>
    <mergeCell ref="AL38:BP38"/>
    <mergeCell ref="A41:C41"/>
    <mergeCell ref="D41:Z41"/>
    <mergeCell ref="AA41:AE41"/>
    <mergeCell ref="AF41:AH41"/>
    <mergeCell ref="AI41:AK41"/>
    <mergeCell ref="AL41:BP41"/>
    <mergeCell ref="A40:C40"/>
    <mergeCell ref="D40:Z40"/>
    <mergeCell ref="AA40:AE40"/>
    <mergeCell ref="AF40:AH40"/>
    <mergeCell ref="AI40:AK40"/>
    <mergeCell ref="AL40:BP40"/>
    <mergeCell ref="A36:C36"/>
    <mergeCell ref="D36:Z36"/>
    <mergeCell ref="AA36:AE36"/>
    <mergeCell ref="AF36:AH36"/>
    <mergeCell ref="AI36:AK36"/>
    <mergeCell ref="AL36:BP36"/>
    <mergeCell ref="A43:C43"/>
    <mergeCell ref="D43:Z43"/>
    <mergeCell ref="AA43:AE43"/>
    <mergeCell ref="AF43:AH43"/>
    <mergeCell ref="AI43:AK43"/>
    <mergeCell ref="AL43:BP43"/>
    <mergeCell ref="A37:C37"/>
    <mergeCell ref="D37:Z37"/>
    <mergeCell ref="AA37:AE37"/>
    <mergeCell ref="AF37:AH37"/>
    <mergeCell ref="AI37:AK37"/>
    <mergeCell ref="AL37:BP37"/>
    <mergeCell ref="A39:C39"/>
    <mergeCell ref="D39:Z39"/>
    <mergeCell ref="AA39:AE39"/>
    <mergeCell ref="AF39:AH39"/>
    <mergeCell ref="AI39:AK39"/>
    <mergeCell ref="AL39:BP39"/>
    <mergeCell ref="A35:C35"/>
    <mergeCell ref="D35:Z35"/>
    <mergeCell ref="AA35:AE35"/>
    <mergeCell ref="AF35:AH35"/>
    <mergeCell ref="AI35:AK35"/>
    <mergeCell ref="AL35:BP35"/>
    <mergeCell ref="A34:C34"/>
    <mergeCell ref="D34:Z34"/>
    <mergeCell ref="AA34:AE34"/>
    <mergeCell ref="AF34:AH34"/>
    <mergeCell ref="AI34:AK34"/>
    <mergeCell ref="AL34:BP34"/>
    <mergeCell ref="A33:C33"/>
    <mergeCell ref="D33:Z33"/>
    <mergeCell ref="AA33:AE33"/>
    <mergeCell ref="AF33:AH33"/>
    <mergeCell ref="AI33:AK33"/>
    <mergeCell ref="AL33:BP33"/>
    <mergeCell ref="A32:C32"/>
    <mergeCell ref="D32:Z32"/>
    <mergeCell ref="AA32:AE32"/>
    <mergeCell ref="AF32:AH32"/>
    <mergeCell ref="AI32:AK32"/>
    <mergeCell ref="AL32:BP32"/>
    <mergeCell ref="A31:C31"/>
    <mergeCell ref="D31:Z31"/>
    <mergeCell ref="AA31:AE31"/>
    <mergeCell ref="AF31:AH31"/>
    <mergeCell ref="AI31:AK31"/>
    <mergeCell ref="AL31:BP31"/>
    <mergeCell ref="A30:C30"/>
    <mergeCell ref="D30:Z30"/>
    <mergeCell ref="AA30:AE30"/>
    <mergeCell ref="AF30:AH30"/>
    <mergeCell ref="AI30:AK30"/>
    <mergeCell ref="AL30:BP30"/>
    <mergeCell ref="A29:C29"/>
    <mergeCell ref="D29:Z29"/>
    <mergeCell ref="AA29:AE29"/>
    <mergeCell ref="AF29:AH29"/>
    <mergeCell ref="AI29:AK29"/>
    <mergeCell ref="AL29:BP29"/>
    <mergeCell ref="A28:C28"/>
    <mergeCell ref="D28:Z28"/>
    <mergeCell ref="AA28:AE28"/>
    <mergeCell ref="AF28:AH28"/>
    <mergeCell ref="AI28:AK28"/>
    <mergeCell ref="AL28:BP28"/>
    <mergeCell ref="A27:C27"/>
    <mergeCell ref="D27:Z27"/>
    <mergeCell ref="AA27:AE27"/>
    <mergeCell ref="AF27:AH27"/>
    <mergeCell ref="AI27:AK27"/>
    <mergeCell ref="AL27:BP27"/>
    <mergeCell ref="A26:C26"/>
    <mergeCell ref="D26:Z26"/>
    <mergeCell ref="AA26:AE26"/>
    <mergeCell ref="AF26:AH26"/>
    <mergeCell ref="AI26:AK26"/>
    <mergeCell ref="AL26:BP26"/>
    <mergeCell ref="A25:C25"/>
    <mergeCell ref="D25:Z25"/>
    <mergeCell ref="AA25:AE25"/>
    <mergeCell ref="AF25:AH25"/>
    <mergeCell ref="AI25:AK25"/>
    <mergeCell ref="AL25:BP25"/>
    <mergeCell ref="A23:C23"/>
    <mergeCell ref="D23:Z23"/>
    <mergeCell ref="AA23:AE23"/>
    <mergeCell ref="AF23:AH23"/>
    <mergeCell ref="AI23:AK23"/>
    <mergeCell ref="AL23:BP23"/>
    <mergeCell ref="A24:C24"/>
    <mergeCell ref="D24:Z24"/>
    <mergeCell ref="AA24:AE24"/>
    <mergeCell ref="AF24:AH24"/>
    <mergeCell ref="AI24:AK24"/>
    <mergeCell ref="AL24:BP24"/>
    <mergeCell ref="A22:C22"/>
    <mergeCell ref="D22:Z22"/>
    <mergeCell ref="AA22:AE22"/>
    <mergeCell ref="AF22:AH22"/>
    <mergeCell ref="AI22:AK22"/>
    <mergeCell ref="AL22:BP22"/>
    <mergeCell ref="A21:C21"/>
    <mergeCell ref="D21:Z21"/>
    <mergeCell ref="AA21:AE21"/>
    <mergeCell ref="AF21:AH21"/>
    <mergeCell ref="AI21:AK21"/>
    <mergeCell ref="AL21:BP21"/>
    <mergeCell ref="A13:C13"/>
    <mergeCell ref="D13:Z13"/>
    <mergeCell ref="AA13:AE13"/>
    <mergeCell ref="AF13:AH13"/>
    <mergeCell ref="AI13:AK13"/>
    <mergeCell ref="AL13:BP13"/>
    <mergeCell ref="A16:C16"/>
    <mergeCell ref="D16:Z16"/>
    <mergeCell ref="AA16:AE16"/>
    <mergeCell ref="AF16:AH16"/>
    <mergeCell ref="AI16:AK16"/>
    <mergeCell ref="AL16:BP16"/>
    <mergeCell ref="A15:C15"/>
    <mergeCell ref="D15:Z15"/>
    <mergeCell ref="AA15:AE15"/>
    <mergeCell ref="AF15:AH15"/>
    <mergeCell ref="AI15:AK15"/>
    <mergeCell ref="AL15:BP15"/>
    <mergeCell ref="A10:C10"/>
    <mergeCell ref="D10:Z10"/>
    <mergeCell ref="AA10:AE10"/>
    <mergeCell ref="AF10:AH10"/>
    <mergeCell ref="AI10:AK10"/>
    <mergeCell ref="AL10:BP10"/>
    <mergeCell ref="A8:C8"/>
    <mergeCell ref="D8:Z8"/>
    <mergeCell ref="AA8:AE8"/>
    <mergeCell ref="AF8:AH8"/>
    <mergeCell ref="AI8:AK8"/>
    <mergeCell ref="AL8:BP8"/>
    <mergeCell ref="A9:C9"/>
    <mergeCell ref="D9:Z9"/>
    <mergeCell ref="AA9:AE9"/>
    <mergeCell ref="AF9:AH9"/>
    <mergeCell ref="AI9:AK9"/>
    <mergeCell ref="AL9:BP9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L11:BP11"/>
    <mergeCell ref="AI11:AK11"/>
    <mergeCell ref="AF11:AH11"/>
    <mergeCell ref="AA11:AE11"/>
    <mergeCell ref="D11:Z11"/>
    <mergeCell ref="A11:C11"/>
    <mergeCell ref="A19:C19"/>
    <mergeCell ref="D19:Z19"/>
    <mergeCell ref="AA19:AE19"/>
    <mergeCell ref="AF19:AH19"/>
    <mergeCell ref="AI19:AK19"/>
    <mergeCell ref="AL19:BP19"/>
    <mergeCell ref="A12:C12"/>
    <mergeCell ref="D12:Z12"/>
    <mergeCell ref="AA12:AE12"/>
    <mergeCell ref="AF12:AH12"/>
    <mergeCell ref="AI12:AK12"/>
    <mergeCell ref="AL12:BP12"/>
    <mergeCell ref="A14:C14"/>
    <mergeCell ref="D14:Z14"/>
    <mergeCell ref="AA14:AE14"/>
    <mergeCell ref="AF14:AH14"/>
    <mergeCell ref="AI14:AK14"/>
    <mergeCell ref="AL14:BP14"/>
    <mergeCell ref="A20:C20"/>
    <mergeCell ref="D20:Z20"/>
    <mergeCell ref="AA20:AE20"/>
    <mergeCell ref="AF20:AH20"/>
    <mergeCell ref="AI20:AK20"/>
    <mergeCell ref="AL20:BP20"/>
    <mergeCell ref="A17:C17"/>
    <mergeCell ref="D17:Z17"/>
    <mergeCell ref="AA17:AE17"/>
    <mergeCell ref="AF17:AH17"/>
    <mergeCell ref="AI17:AK17"/>
    <mergeCell ref="AL17:BP17"/>
    <mergeCell ref="A18:C18"/>
    <mergeCell ref="D18:Z18"/>
    <mergeCell ref="AA18:AE18"/>
    <mergeCell ref="AF18:AH18"/>
    <mergeCell ref="AI18:AK18"/>
    <mergeCell ref="AL18:BP18"/>
  </mergeCells>
  <phoneticPr fontId="3"/>
  <dataValidations count="1">
    <dataValidation type="list" allowBlank="1" showInputMessage="1" showErrorMessage="1" sqref="BJ6:BP6" xr:uid="{051D3C20-CB25-4BB1-A8FA-6F1083542133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2D1D3-2D6E-4D54-96E4-D8BFA7DF5480}">
  <sheetPr codeName="Sheet32"/>
  <dimension ref="A1:BR53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8" width="2.125" style="55"/>
    <col min="39" max="44" width="0" style="55" hidden="1" customWidth="1"/>
    <col min="45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58" t="s">
        <v>217</v>
      </c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95" t="s">
        <v>609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608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125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74">
        <f t="shared" ref="A9" si="0">ROW()-8</f>
        <v>1</v>
      </c>
      <c r="B9" s="75"/>
      <c r="C9" s="76"/>
      <c r="D9" s="71" t="s">
        <v>1562</v>
      </c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3"/>
      <c r="AA9" s="74" t="s">
        <v>278</v>
      </c>
      <c r="AB9" s="75"/>
      <c r="AC9" s="75"/>
      <c r="AD9" s="75"/>
      <c r="AE9" s="76"/>
      <c r="AF9" s="86">
        <v>21</v>
      </c>
      <c r="AG9" s="86"/>
      <c r="AH9" s="86"/>
      <c r="AI9" s="86"/>
      <c r="AJ9" s="86"/>
      <c r="AK9" s="86"/>
      <c r="AL9" s="68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70"/>
    </row>
    <row r="10" spans="1:70" s="1" customFormat="1" ht="30.75" customHeight="1">
      <c r="A10" s="74">
        <f>ROW()-8</f>
        <v>2</v>
      </c>
      <c r="B10" s="75"/>
      <c r="C10" s="76"/>
      <c r="D10" s="71" t="s">
        <v>1456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  <c r="AA10" s="74" t="s">
        <v>1503</v>
      </c>
      <c r="AB10" s="75"/>
      <c r="AC10" s="75"/>
      <c r="AD10" s="75"/>
      <c r="AE10" s="76"/>
      <c r="AF10" s="86">
        <v>1</v>
      </c>
      <c r="AG10" s="86"/>
      <c r="AH10" s="86"/>
      <c r="AI10" s="86"/>
      <c r="AJ10" s="86"/>
      <c r="AK10" s="86"/>
      <c r="AL10" s="68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74">
        <f>ROW()-8</f>
        <v>3</v>
      </c>
      <c r="B11" s="75"/>
      <c r="C11" s="76"/>
      <c r="D11" s="71" t="s">
        <v>1457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3"/>
      <c r="AA11" s="74" t="s">
        <v>1490</v>
      </c>
      <c r="AB11" s="75"/>
      <c r="AC11" s="75"/>
      <c r="AD11" s="75"/>
      <c r="AE11" s="76"/>
      <c r="AF11" s="86">
        <v>4</v>
      </c>
      <c r="AG11" s="86"/>
      <c r="AH11" s="86"/>
      <c r="AI11" s="86"/>
      <c r="AJ11" s="86"/>
      <c r="AK11" s="86"/>
      <c r="AL11" s="68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70"/>
    </row>
    <row r="12" spans="1:70" s="1" customFormat="1" ht="30.75" customHeight="1">
      <c r="A12" s="74">
        <f t="shared" ref="A12:A43" si="1">ROW()-8</f>
        <v>4</v>
      </c>
      <c r="B12" s="75"/>
      <c r="C12" s="76"/>
      <c r="D12" s="71" t="s">
        <v>1395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3"/>
      <c r="AA12" s="74" t="s">
        <v>346</v>
      </c>
      <c r="AB12" s="75"/>
      <c r="AC12" s="75"/>
      <c r="AD12" s="75"/>
      <c r="AE12" s="76"/>
      <c r="AF12" s="86">
        <v>2</v>
      </c>
      <c r="AG12" s="86"/>
      <c r="AH12" s="86"/>
      <c r="AI12" s="86"/>
      <c r="AJ12" s="86"/>
      <c r="AK12" s="86"/>
      <c r="AL12" s="68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70"/>
    </row>
    <row r="13" spans="1:70" s="1" customFormat="1" ht="30.75" customHeight="1">
      <c r="A13" s="74">
        <f t="shared" si="1"/>
        <v>5</v>
      </c>
      <c r="B13" s="75"/>
      <c r="C13" s="76"/>
      <c r="D13" s="71" t="s">
        <v>1458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3"/>
      <c r="AA13" s="74" t="s">
        <v>1490</v>
      </c>
      <c r="AB13" s="75"/>
      <c r="AC13" s="75"/>
      <c r="AD13" s="75"/>
      <c r="AE13" s="76"/>
      <c r="AF13" s="86">
        <v>10</v>
      </c>
      <c r="AG13" s="86"/>
      <c r="AH13" s="86"/>
      <c r="AI13" s="86"/>
      <c r="AJ13" s="86"/>
      <c r="AK13" s="86"/>
      <c r="AL13" s="68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70"/>
    </row>
    <row r="14" spans="1:70" s="1" customFormat="1" ht="30.75" customHeight="1">
      <c r="A14" s="74">
        <f t="shared" si="1"/>
        <v>6</v>
      </c>
      <c r="B14" s="75"/>
      <c r="C14" s="76"/>
      <c r="D14" s="71" t="s">
        <v>1459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3"/>
      <c r="AA14" s="74" t="s">
        <v>346</v>
      </c>
      <c r="AB14" s="75"/>
      <c r="AC14" s="75"/>
      <c r="AD14" s="75"/>
      <c r="AE14" s="76"/>
      <c r="AF14" s="86">
        <v>4</v>
      </c>
      <c r="AG14" s="86"/>
      <c r="AH14" s="86"/>
      <c r="AI14" s="86"/>
      <c r="AJ14" s="86"/>
      <c r="AK14" s="86"/>
      <c r="AL14" s="68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70"/>
    </row>
    <row r="15" spans="1:70" s="1" customFormat="1" ht="30.75" customHeight="1">
      <c r="A15" s="74">
        <f t="shared" si="1"/>
        <v>7</v>
      </c>
      <c r="B15" s="75"/>
      <c r="C15" s="76"/>
      <c r="D15" s="71" t="s">
        <v>1460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3"/>
      <c r="AA15" s="74" t="s">
        <v>1490</v>
      </c>
      <c r="AB15" s="75"/>
      <c r="AC15" s="75"/>
      <c r="AD15" s="75"/>
      <c r="AE15" s="76"/>
      <c r="AF15" s="86">
        <v>10</v>
      </c>
      <c r="AG15" s="86"/>
      <c r="AH15" s="86"/>
      <c r="AI15" s="86"/>
      <c r="AJ15" s="86"/>
      <c r="AK15" s="86"/>
      <c r="AL15" s="68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70"/>
    </row>
    <row r="16" spans="1:70" s="1" customFormat="1" ht="30.75" customHeight="1">
      <c r="A16" s="74">
        <f t="shared" si="1"/>
        <v>8</v>
      </c>
      <c r="B16" s="75"/>
      <c r="C16" s="76"/>
      <c r="D16" s="71" t="s">
        <v>1461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3"/>
      <c r="AA16" s="74" t="s">
        <v>1491</v>
      </c>
      <c r="AB16" s="75"/>
      <c r="AC16" s="75"/>
      <c r="AD16" s="75"/>
      <c r="AE16" s="76"/>
      <c r="AF16" s="86">
        <v>8</v>
      </c>
      <c r="AG16" s="86"/>
      <c r="AH16" s="86"/>
      <c r="AI16" s="86"/>
      <c r="AJ16" s="86"/>
      <c r="AK16" s="86"/>
      <c r="AL16" s="68" t="s">
        <v>595</v>
      </c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70"/>
    </row>
    <row r="17" spans="1:68" s="1" customFormat="1" ht="30.75" customHeight="1">
      <c r="A17" s="74">
        <f t="shared" si="1"/>
        <v>9</v>
      </c>
      <c r="B17" s="75"/>
      <c r="C17" s="76"/>
      <c r="D17" s="71" t="s">
        <v>1462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3"/>
      <c r="AA17" s="74" t="s">
        <v>346</v>
      </c>
      <c r="AB17" s="75"/>
      <c r="AC17" s="75"/>
      <c r="AD17" s="75"/>
      <c r="AE17" s="76"/>
      <c r="AF17" s="86">
        <v>1</v>
      </c>
      <c r="AG17" s="86"/>
      <c r="AH17" s="86"/>
      <c r="AI17" s="86"/>
      <c r="AJ17" s="86"/>
      <c r="AK17" s="86"/>
      <c r="AL17" s="68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70"/>
    </row>
    <row r="18" spans="1:68" s="1" customFormat="1" ht="30.75" customHeight="1">
      <c r="A18" s="74">
        <f t="shared" si="1"/>
        <v>10</v>
      </c>
      <c r="B18" s="75"/>
      <c r="C18" s="76"/>
      <c r="D18" s="71" t="s">
        <v>1463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3"/>
      <c r="AA18" s="74" t="s">
        <v>1490</v>
      </c>
      <c r="AB18" s="75"/>
      <c r="AC18" s="75"/>
      <c r="AD18" s="75"/>
      <c r="AE18" s="76"/>
      <c r="AF18" s="86">
        <v>6</v>
      </c>
      <c r="AG18" s="86"/>
      <c r="AH18" s="86"/>
      <c r="AI18" s="86"/>
      <c r="AJ18" s="86"/>
      <c r="AK18" s="86"/>
      <c r="AL18" s="68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70"/>
    </row>
    <row r="19" spans="1:68" s="1" customFormat="1" ht="30.75" customHeight="1">
      <c r="A19" s="74">
        <f t="shared" si="1"/>
        <v>11</v>
      </c>
      <c r="B19" s="75"/>
      <c r="C19" s="76"/>
      <c r="D19" s="71" t="s">
        <v>1464</v>
      </c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3"/>
      <c r="AA19" s="74" t="s">
        <v>346</v>
      </c>
      <c r="AB19" s="75"/>
      <c r="AC19" s="75"/>
      <c r="AD19" s="75"/>
      <c r="AE19" s="76"/>
      <c r="AF19" s="86">
        <v>8</v>
      </c>
      <c r="AG19" s="86"/>
      <c r="AH19" s="86"/>
      <c r="AI19" s="86"/>
      <c r="AJ19" s="86"/>
      <c r="AK19" s="86"/>
      <c r="AL19" s="68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70"/>
    </row>
    <row r="20" spans="1:68" s="1" customFormat="1" ht="30.75" customHeight="1">
      <c r="A20" s="74">
        <f t="shared" si="1"/>
        <v>12</v>
      </c>
      <c r="B20" s="75"/>
      <c r="C20" s="76"/>
      <c r="D20" s="71" t="s">
        <v>1465</v>
      </c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3"/>
      <c r="AA20" s="74" t="s">
        <v>1490</v>
      </c>
      <c r="AB20" s="75"/>
      <c r="AC20" s="75"/>
      <c r="AD20" s="75"/>
      <c r="AE20" s="76"/>
      <c r="AF20" s="86">
        <v>19</v>
      </c>
      <c r="AG20" s="86"/>
      <c r="AH20" s="86"/>
      <c r="AI20" s="86"/>
      <c r="AJ20" s="86"/>
      <c r="AK20" s="86"/>
      <c r="AL20" s="68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70"/>
    </row>
    <row r="21" spans="1:68" s="1" customFormat="1" ht="30.75" customHeight="1">
      <c r="A21" s="74">
        <f t="shared" si="1"/>
        <v>13</v>
      </c>
      <c r="B21" s="75"/>
      <c r="C21" s="76"/>
      <c r="D21" s="71" t="s">
        <v>1466</v>
      </c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3"/>
      <c r="AA21" s="74" t="s">
        <v>346</v>
      </c>
      <c r="AB21" s="75"/>
      <c r="AC21" s="75"/>
      <c r="AD21" s="75"/>
      <c r="AE21" s="76"/>
      <c r="AF21" s="86">
        <v>4</v>
      </c>
      <c r="AG21" s="86"/>
      <c r="AH21" s="86"/>
      <c r="AI21" s="86"/>
      <c r="AJ21" s="86"/>
      <c r="AK21" s="86"/>
      <c r="AL21" s="68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70"/>
    </row>
    <row r="22" spans="1:68" s="1" customFormat="1" ht="30.75" customHeight="1">
      <c r="A22" s="74">
        <f t="shared" si="1"/>
        <v>14</v>
      </c>
      <c r="B22" s="75"/>
      <c r="C22" s="76"/>
      <c r="D22" s="71" t="s">
        <v>1467</v>
      </c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3"/>
      <c r="AA22" s="74" t="s">
        <v>1490</v>
      </c>
      <c r="AB22" s="75"/>
      <c r="AC22" s="75"/>
      <c r="AD22" s="75"/>
      <c r="AE22" s="76"/>
      <c r="AF22" s="86">
        <v>10</v>
      </c>
      <c r="AG22" s="86"/>
      <c r="AH22" s="86"/>
      <c r="AI22" s="86"/>
      <c r="AJ22" s="86"/>
      <c r="AK22" s="86"/>
      <c r="AL22" s="68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70"/>
    </row>
    <row r="23" spans="1:68" s="1" customFormat="1" ht="30.75" customHeight="1">
      <c r="A23" s="74">
        <f t="shared" si="1"/>
        <v>15</v>
      </c>
      <c r="B23" s="75"/>
      <c r="C23" s="76"/>
      <c r="D23" s="71" t="s">
        <v>1468</v>
      </c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3"/>
      <c r="AA23" s="74" t="s">
        <v>346</v>
      </c>
      <c r="AB23" s="75"/>
      <c r="AC23" s="75"/>
      <c r="AD23" s="75"/>
      <c r="AE23" s="76"/>
      <c r="AF23" s="86">
        <v>4</v>
      </c>
      <c r="AG23" s="86"/>
      <c r="AH23" s="86"/>
      <c r="AI23" s="86"/>
      <c r="AJ23" s="86"/>
      <c r="AK23" s="86"/>
      <c r="AL23" s="68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70"/>
    </row>
    <row r="24" spans="1:68" s="1" customFormat="1" ht="30.75" customHeight="1">
      <c r="A24" s="74">
        <f t="shared" si="1"/>
        <v>16</v>
      </c>
      <c r="B24" s="75"/>
      <c r="C24" s="76"/>
      <c r="D24" s="71" t="s">
        <v>1469</v>
      </c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3"/>
      <c r="AA24" s="74" t="s">
        <v>1490</v>
      </c>
      <c r="AB24" s="75"/>
      <c r="AC24" s="75"/>
      <c r="AD24" s="75"/>
      <c r="AE24" s="76"/>
      <c r="AF24" s="86">
        <v>20</v>
      </c>
      <c r="AG24" s="86"/>
      <c r="AH24" s="86"/>
      <c r="AI24" s="86"/>
      <c r="AJ24" s="86"/>
      <c r="AK24" s="86"/>
      <c r="AL24" s="68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70"/>
    </row>
    <row r="25" spans="1:68" s="1" customFormat="1" ht="30.75" customHeight="1">
      <c r="A25" s="74">
        <f t="shared" si="1"/>
        <v>17</v>
      </c>
      <c r="B25" s="75"/>
      <c r="C25" s="76"/>
      <c r="D25" s="71" t="s">
        <v>1470</v>
      </c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3"/>
      <c r="AA25" s="74" t="s">
        <v>346</v>
      </c>
      <c r="AB25" s="75"/>
      <c r="AC25" s="75"/>
      <c r="AD25" s="75"/>
      <c r="AE25" s="76"/>
      <c r="AF25" s="86">
        <v>14</v>
      </c>
      <c r="AG25" s="86"/>
      <c r="AH25" s="86"/>
      <c r="AI25" s="86"/>
      <c r="AJ25" s="86"/>
      <c r="AK25" s="86"/>
      <c r="AL25" s="68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70"/>
    </row>
    <row r="26" spans="1:68" s="1" customFormat="1" ht="30.75" customHeight="1">
      <c r="A26" s="74">
        <f t="shared" si="1"/>
        <v>18</v>
      </c>
      <c r="B26" s="75"/>
      <c r="C26" s="76"/>
      <c r="D26" s="71" t="s">
        <v>1471</v>
      </c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3"/>
      <c r="AA26" s="74" t="s">
        <v>346</v>
      </c>
      <c r="AB26" s="75"/>
      <c r="AC26" s="75"/>
      <c r="AD26" s="75"/>
      <c r="AE26" s="76"/>
      <c r="AF26" s="86">
        <v>9</v>
      </c>
      <c r="AG26" s="86"/>
      <c r="AH26" s="86"/>
      <c r="AI26" s="86"/>
      <c r="AJ26" s="86"/>
      <c r="AK26" s="86"/>
      <c r="AL26" s="68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70"/>
    </row>
    <row r="27" spans="1:68" s="1" customFormat="1" ht="30.75" customHeight="1">
      <c r="A27" s="74">
        <f t="shared" si="1"/>
        <v>19</v>
      </c>
      <c r="B27" s="75"/>
      <c r="C27" s="76"/>
      <c r="D27" s="71" t="s">
        <v>1472</v>
      </c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3"/>
      <c r="AA27" s="74" t="s">
        <v>1490</v>
      </c>
      <c r="AB27" s="75"/>
      <c r="AC27" s="75"/>
      <c r="AD27" s="75"/>
      <c r="AE27" s="76"/>
      <c r="AF27" s="86">
        <v>10</v>
      </c>
      <c r="AG27" s="86"/>
      <c r="AH27" s="86"/>
      <c r="AI27" s="86"/>
      <c r="AJ27" s="86"/>
      <c r="AK27" s="86"/>
      <c r="AL27" s="68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70"/>
    </row>
    <row r="28" spans="1:68" s="1" customFormat="1" ht="30.75" customHeight="1">
      <c r="A28" s="74">
        <f t="shared" si="1"/>
        <v>20</v>
      </c>
      <c r="B28" s="75"/>
      <c r="C28" s="76"/>
      <c r="D28" s="71" t="s">
        <v>1473</v>
      </c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3"/>
      <c r="AA28" s="74" t="s">
        <v>346</v>
      </c>
      <c r="AB28" s="75"/>
      <c r="AC28" s="75"/>
      <c r="AD28" s="75"/>
      <c r="AE28" s="76"/>
      <c r="AF28" s="86">
        <v>14</v>
      </c>
      <c r="AG28" s="86"/>
      <c r="AH28" s="86"/>
      <c r="AI28" s="86"/>
      <c r="AJ28" s="86"/>
      <c r="AK28" s="86"/>
      <c r="AL28" s="68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70"/>
    </row>
    <row r="29" spans="1:68" s="1" customFormat="1" ht="30.75" customHeight="1">
      <c r="A29" s="74">
        <f t="shared" si="1"/>
        <v>21</v>
      </c>
      <c r="B29" s="75"/>
      <c r="C29" s="76"/>
      <c r="D29" s="71" t="s">
        <v>1474</v>
      </c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3"/>
      <c r="AA29" s="74" t="s">
        <v>346</v>
      </c>
      <c r="AB29" s="75"/>
      <c r="AC29" s="75"/>
      <c r="AD29" s="75"/>
      <c r="AE29" s="76"/>
      <c r="AF29" s="86">
        <v>14</v>
      </c>
      <c r="AG29" s="86"/>
      <c r="AH29" s="86"/>
      <c r="AI29" s="86"/>
      <c r="AJ29" s="86"/>
      <c r="AK29" s="86"/>
      <c r="AL29" s="68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70"/>
    </row>
    <row r="30" spans="1:68" s="1" customFormat="1" ht="30.75" customHeight="1">
      <c r="A30" s="74">
        <f t="shared" si="1"/>
        <v>22</v>
      </c>
      <c r="B30" s="75"/>
      <c r="C30" s="76"/>
      <c r="D30" s="71" t="s">
        <v>1475</v>
      </c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3"/>
      <c r="AA30" s="74" t="s">
        <v>346</v>
      </c>
      <c r="AB30" s="75"/>
      <c r="AC30" s="75"/>
      <c r="AD30" s="75"/>
      <c r="AE30" s="76"/>
      <c r="AF30" s="86">
        <v>2</v>
      </c>
      <c r="AG30" s="86"/>
      <c r="AH30" s="86"/>
      <c r="AI30" s="86"/>
      <c r="AJ30" s="86"/>
      <c r="AK30" s="86"/>
      <c r="AL30" s="68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70"/>
    </row>
    <row r="31" spans="1:68" s="1" customFormat="1" ht="30.75" customHeight="1">
      <c r="A31" s="74">
        <f t="shared" si="1"/>
        <v>23</v>
      </c>
      <c r="B31" s="75"/>
      <c r="C31" s="76"/>
      <c r="D31" s="71" t="s">
        <v>1476</v>
      </c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3"/>
      <c r="AA31" s="74" t="s">
        <v>1490</v>
      </c>
      <c r="AB31" s="75"/>
      <c r="AC31" s="75"/>
      <c r="AD31" s="75"/>
      <c r="AE31" s="76"/>
      <c r="AF31" s="86">
        <v>12</v>
      </c>
      <c r="AG31" s="86"/>
      <c r="AH31" s="86"/>
      <c r="AI31" s="86"/>
      <c r="AJ31" s="86"/>
      <c r="AK31" s="86"/>
      <c r="AL31" s="68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70"/>
    </row>
    <row r="32" spans="1:68" s="1" customFormat="1" ht="30.75" customHeight="1">
      <c r="A32" s="74">
        <f t="shared" si="1"/>
        <v>24</v>
      </c>
      <c r="B32" s="75"/>
      <c r="C32" s="76"/>
      <c r="D32" s="71" t="s">
        <v>1477</v>
      </c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3"/>
      <c r="AA32" s="74" t="s">
        <v>1490</v>
      </c>
      <c r="AB32" s="75"/>
      <c r="AC32" s="75"/>
      <c r="AD32" s="75"/>
      <c r="AE32" s="76"/>
      <c r="AF32" s="86">
        <v>2</v>
      </c>
      <c r="AG32" s="86"/>
      <c r="AH32" s="86"/>
      <c r="AI32" s="86"/>
      <c r="AJ32" s="86"/>
      <c r="AK32" s="86"/>
      <c r="AL32" s="68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70"/>
    </row>
    <row r="33" spans="1:68" s="1" customFormat="1" ht="30.75" customHeight="1">
      <c r="A33" s="74">
        <f t="shared" si="1"/>
        <v>25</v>
      </c>
      <c r="B33" s="75"/>
      <c r="C33" s="76"/>
      <c r="D33" s="71" t="s">
        <v>1478</v>
      </c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3"/>
      <c r="AA33" s="74" t="s">
        <v>1490</v>
      </c>
      <c r="AB33" s="75"/>
      <c r="AC33" s="75"/>
      <c r="AD33" s="75"/>
      <c r="AE33" s="76"/>
      <c r="AF33" s="86">
        <v>3</v>
      </c>
      <c r="AG33" s="86"/>
      <c r="AH33" s="86"/>
      <c r="AI33" s="86"/>
      <c r="AJ33" s="86"/>
      <c r="AK33" s="86"/>
      <c r="AL33" s="68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70"/>
    </row>
    <row r="34" spans="1:68" s="1" customFormat="1" ht="30.75" customHeight="1">
      <c r="A34" s="74">
        <f t="shared" si="1"/>
        <v>26</v>
      </c>
      <c r="B34" s="75"/>
      <c r="C34" s="76"/>
      <c r="D34" s="71" t="s">
        <v>1479</v>
      </c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3"/>
      <c r="AA34" s="74" t="s">
        <v>346</v>
      </c>
      <c r="AB34" s="75"/>
      <c r="AC34" s="75"/>
      <c r="AD34" s="75"/>
      <c r="AE34" s="76"/>
      <c r="AF34" s="86">
        <v>14</v>
      </c>
      <c r="AG34" s="86"/>
      <c r="AH34" s="86"/>
      <c r="AI34" s="86"/>
      <c r="AJ34" s="86"/>
      <c r="AK34" s="86"/>
      <c r="AL34" s="68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70"/>
    </row>
    <row r="35" spans="1:68" s="1" customFormat="1" ht="30.75" customHeight="1">
      <c r="A35" s="74">
        <f t="shared" si="1"/>
        <v>27</v>
      </c>
      <c r="B35" s="75"/>
      <c r="C35" s="76"/>
      <c r="D35" s="71" t="s">
        <v>1480</v>
      </c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3"/>
      <c r="AA35" s="74" t="s">
        <v>346</v>
      </c>
      <c r="AB35" s="75"/>
      <c r="AC35" s="75"/>
      <c r="AD35" s="75"/>
      <c r="AE35" s="76"/>
      <c r="AF35" s="86">
        <v>14</v>
      </c>
      <c r="AG35" s="86"/>
      <c r="AH35" s="86"/>
      <c r="AI35" s="86"/>
      <c r="AJ35" s="86"/>
      <c r="AK35" s="86"/>
      <c r="AL35" s="68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70"/>
    </row>
    <row r="36" spans="1:68" s="1" customFormat="1" ht="30.75" customHeight="1">
      <c r="A36" s="74">
        <f t="shared" si="1"/>
        <v>28</v>
      </c>
      <c r="B36" s="75"/>
      <c r="C36" s="76"/>
      <c r="D36" s="71" t="s">
        <v>1481</v>
      </c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3"/>
      <c r="AA36" s="74" t="s">
        <v>346</v>
      </c>
      <c r="AB36" s="75"/>
      <c r="AC36" s="75"/>
      <c r="AD36" s="75"/>
      <c r="AE36" s="76"/>
      <c r="AF36" s="86">
        <v>14</v>
      </c>
      <c r="AG36" s="86"/>
      <c r="AH36" s="86"/>
      <c r="AI36" s="86"/>
      <c r="AJ36" s="86"/>
      <c r="AK36" s="86"/>
      <c r="AL36" s="68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70"/>
    </row>
    <row r="37" spans="1:68" s="1" customFormat="1" ht="30.75" customHeight="1">
      <c r="A37" s="74">
        <f t="shared" si="1"/>
        <v>29</v>
      </c>
      <c r="B37" s="75"/>
      <c r="C37" s="76"/>
      <c r="D37" s="71" t="s">
        <v>1482</v>
      </c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3"/>
      <c r="AA37" s="74" t="s">
        <v>1491</v>
      </c>
      <c r="AB37" s="75"/>
      <c r="AC37" s="75"/>
      <c r="AD37" s="75"/>
      <c r="AE37" s="76"/>
      <c r="AF37" s="86">
        <v>8</v>
      </c>
      <c r="AG37" s="86"/>
      <c r="AH37" s="86"/>
      <c r="AI37" s="86"/>
      <c r="AJ37" s="86"/>
      <c r="AK37" s="86"/>
      <c r="AL37" s="68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70"/>
    </row>
    <row r="38" spans="1:68" s="1" customFormat="1" ht="30.75" customHeight="1">
      <c r="A38" s="74">
        <f t="shared" si="1"/>
        <v>30</v>
      </c>
      <c r="B38" s="75"/>
      <c r="C38" s="76"/>
      <c r="D38" s="71" t="s">
        <v>1483</v>
      </c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3"/>
      <c r="AA38" s="74" t="s">
        <v>1490</v>
      </c>
      <c r="AB38" s="75"/>
      <c r="AC38" s="75"/>
      <c r="AD38" s="75"/>
      <c r="AE38" s="76"/>
      <c r="AF38" s="86">
        <v>10</v>
      </c>
      <c r="AG38" s="86"/>
      <c r="AH38" s="86"/>
      <c r="AI38" s="86"/>
      <c r="AJ38" s="86"/>
      <c r="AK38" s="86"/>
      <c r="AL38" s="68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70"/>
    </row>
    <row r="39" spans="1:68" s="1" customFormat="1" ht="30.75" customHeight="1">
      <c r="A39" s="74">
        <f t="shared" si="1"/>
        <v>31</v>
      </c>
      <c r="B39" s="75"/>
      <c r="C39" s="76"/>
      <c r="D39" s="71" t="s">
        <v>1484</v>
      </c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3"/>
      <c r="AA39" s="74" t="s">
        <v>346</v>
      </c>
      <c r="AB39" s="75"/>
      <c r="AC39" s="75"/>
      <c r="AD39" s="75"/>
      <c r="AE39" s="76"/>
      <c r="AF39" s="86" t="s">
        <v>1489</v>
      </c>
      <c r="AG39" s="86"/>
      <c r="AH39" s="86"/>
      <c r="AI39" s="86"/>
      <c r="AJ39" s="86"/>
      <c r="AK39" s="86"/>
      <c r="AL39" s="68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70"/>
    </row>
    <row r="40" spans="1:68" s="1" customFormat="1" ht="30.75" customHeight="1">
      <c r="A40" s="74">
        <f t="shared" si="1"/>
        <v>32</v>
      </c>
      <c r="B40" s="75"/>
      <c r="C40" s="76"/>
      <c r="D40" s="71" t="s">
        <v>1485</v>
      </c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3"/>
      <c r="AA40" s="74" t="s">
        <v>346</v>
      </c>
      <c r="AB40" s="75"/>
      <c r="AC40" s="75"/>
      <c r="AD40" s="75"/>
      <c r="AE40" s="76"/>
      <c r="AF40" s="86" t="s">
        <v>1489</v>
      </c>
      <c r="AG40" s="86"/>
      <c r="AH40" s="86"/>
      <c r="AI40" s="86"/>
      <c r="AJ40" s="86"/>
      <c r="AK40" s="86"/>
      <c r="AL40" s="68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70"/>
    </row>
    <row r="41" spans="1:68" s="1" customFormat="1" ht="30.75" customHeight="1">
      <c r="A41" s="74">
        <f t="shared" si="1"/>
        <v>33</v>
      </c>
      <c r="B41" s="75"/>
      <c r="C41" s="76"/>
      <c r="D41" s="71" t="s">
        <v>1486</v>
      </c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3"/>
      <c r="AA41" s="74" t="s">
        <v>346</v>
      </c>
      <c r="AB41" s="75"/>
      <c r="AC41" s="75"/>
      <c r="AD41" s="75"/>
      <c r="AE41" s="76"/>
      <c r="AF41" s="86">
        <v>14</v>
      </c>
      <c r="AG41" s="86"/>
      <c r="AH41" s="86"/>
      <c r="AI41" s="86"/>
      <c r="AJ41" s="86"/>
      <c r="AK41" s="86"/>
      <c r="AL41" s="68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70"/>
    </row>
    <row r="42" spans="1:68" s="1" customFormat="1" ht="30.75" customHeight="1">
      <c r="A42" s="74">
        <f t="shared" si="1"/>
        <v>34</v>
      </c>
      <c r="B42" s="75"/>
      <c r="C42" s="76"/>
      <c r="D42" s="71" t="s">
        <v>1487</v>
      </c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3"/>
      <c r="AA42" s="74" t="s">
        <v>1491</v>
      </c>
      <c r="AB42" s="75"/>
      <c r="AC42" s="75"/>
      <c r="AD42" s="75"/>
      <c r="AE42" s="76"/>
      <c r="AF42" s="86">
        <v>8</v>
      </c>
      <c r="AG42" s="86"/>
      <c r="AH42" s="86"/>
      <c r="AI42" s="86"/>
      <c r="AJ42" s="86"/>
      <c r="AK42" s="86"/>
      <c r="AL42" s="68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70"/>
    </row>
    <row r="43" spans="1:68" s="1" customFormat="1" ht="30.75" customHeight="1">
      <c r="A43" s="74">
        <f t="shared" si="1"/>
        <v>35</v>
      </c>
      <c r="B43" s="75"/>
      <c r="C43" s="76"/>
      <c r="D43" s="71" t="s">
        <v>1488</v>
      </c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3"/>
      <c r="AA43" s="74" t="s">
        <v>1490</v>
      </c>
      <c r="AB43" s="75"/>
      <c r="AC43" s="75"/>
      <c r="AD43" s="75"/>
      <c r="AE43" s="76"/>
      <c r="AF43" s="86">
        <v>16</v>
      </c>
      <c r="AG43" s="86"/>
      <c r="AH43" s="86"/>
      <c r="AI43" s="86"/>
      <c r="AJ43" s="86"/>
      <c r="AK43" s="86"/>
      <c r="AL43" s="68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  <c r="BM43" s="69"/>
      <c r="BN43" s="69"/>
      <c r="BO43" s="69"/>
      <c r="BP43" s="70"/>
    </row>
    <row r="44" spans="1:68" s="1" customFormat="1" ht="30.75" customHeight="1">
      <c r="A44" s="74"/>
      <c r="B44" s="75"/>
      <c r="C44" s="76"/>
      <c r="D44" s="71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3"/>
      <c r="AA44" s="74"/>
      <c r="AB44" s="75"/>
      <c r="AC44" s="75"/>
      <c r="AD44" s="75"/>
      <c r="AE44" s="76"/>
      <c r="AF44" s="86"/>
      <c r="AG44" s="86"/>
      <c r="AH44" s="86"/>
      <c r="AI44" s="86"/>
      <c r="AJ44" s="86"/>
      <c r="AK44" s="86"/>
      <c r="AL44" s="68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  <c r="BM44" s="69"/>
      <c r="BN44" s="69"/>
      <c r="BO44" s="69"/>
      <c r="BP44" s="70"/>
    </row>
    <row r="45" spans="1:68" s="1" customFormat="1" ht="30.75" customHeight="1">
      <c r="A45" s="80"/>
      <c r="B45" s="81"/>
      <c r="C45" s="82"/>
      <c r="D45" s="77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9"/>
      <c r="AA45" s="80"/>
      <c r="AB45" s="81"/>
      <c r="AC45" s="81"/>
      <c r="AD45" s="81"/>
      <c r="AE45" s="82"/>
      <c r="AF45" s="87"/>
      <c r="AG45" s="87"/>
      <c r="AH45" s="87"/>
      <c r="AI45" s="87"/>
      <c r="AJ45" s="87"/>
      <c r="AK45" s="87"/>
      <c r="AL45" s="83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5"/>
    </row>
    <row r="46" spans="1:68" s="4" customFormat="1" ht="3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3"/>
      <c r="AG46" s="3"/>
      <c r="AH46" s="3"/>
      <c r="AI46" s="3"/>
      <c r="AJ46" s="3"/>
      <c r="AK46" s="3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</row>
    <row r="47" spans="1:68" s="4" customFormat="1" ht="14.25">
      <c r="A47" s="5" t="s">
        <v>14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15"/>
      <c r="AG47" s="15"/>
      <c r="AH47" s="15"/>
      <c r="AI47" s="15"/>
      <c r="AJ47" s="15"/>
      <c r="AK47" s="15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6"/>
    </row>
    <row r="48" spans="1:68" s="4" customFormat="1" ht="20.25" customHeight="1">
      <c r="A48" s="5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6"/>
    </row>
    <row r="49" spans="1:68" s="4" customFormat="1" ht="20.25" customHeight="1">
      <c r="A49" s="5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6"/>
    </row>
    <row r="50" spans="1:68" s="4" customFormat="1" ht="20.25" customHeight="1">
      <c r="A50" s="5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6"/>
    </row>
    <row r="51" spans="1:68" s="4" customFormat="1" ht="20.25" customHeight="1">
      <c r="A51" s="5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6"/>
    </row>
    <row r="52" spans="1:68" s="4" customFormat="1" ht="20.25" customHeight="1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9"/>
    </row>
    <row r="53" spans="1:68" ht="5.25" customHeight="1"/>
  </sheetData>
  <mergeCells count="247">
    <mergeCell ref="A45:C45"/>
    <mergeCell ref="D45:Z45"/>
    <mergeCell ref="AA45:AE45"/>
    <mergeCell ref="AF45:AH45"/>
    <mergeCell ref="AI45:AK45"/>
    <mergeCell ref="AL45:BP45"/>
    <mergeCell ref="A43:C43"/>
    <mergeCell ref="D43:Z43"/>
    <mergeCell ref="AA43:AE43"/>
    <mergeCell ref="AF43:AH43"/>
    <mergeCell ref="AI43:AK43"/>
    <mergeCell ref="AL43:BP43"/>
    <mergeCell ref="A44:C44"/>
    <mergeCell ref="D44:Z44"/>
    <mergeCell ref="AA44:AE44"/>
    <mergeCell ref="AF44:AH44"/>
    <mergeCell ref="AI44:AK44"/>
    <mergeCell ref="AL44:BP44"/>
    <mergeCell ref="A42:C42"/>
    <mergeCell ref="D42:Z42"/>
    <mergeCell ref="AA42:AE42"/>
    <mergeCell ref="AF42:AH42"/>
    <mergeCell ref="AI42:AK42"/>
    <mergeCell ref="AL42:BP42"/>
    <mergeCell ref="A41:C41"/>
    <mergeCell ref="D41:Z41"/>
    <mergeCell ref="AA41:AE41"/>
    <mergeCell ref="AF41:AH41"/>
    <mergeCell ref="AI41:AK41"/>
    <mergeCell ref="AL41:BP41"/>
    <mergeCell ref="A40:C40"/>
    <mergeCell ref="D40:Z40"/>
    <mergeCell ref="AA40:AE40"/>
    <mergeCell ref="AF40:AH40"/>
    <mergeCell ref="AI40:AK40"/>
    <mergeCell ref="AL40:BP40"/>
    <mergeCell ref="A39:C39"/>
    <mergeCell ref="D39:Z39"/>
    <mergeCell ref="AA39:AE39"/>
    <mergeCell ref="AF39:AH39"/>
    <mergeCell ref="AI39:AK39"/>
    <mergeCell ref="AL39:BP39"/>
    <mergeCell ref="A38:C38"/>
    <mergeCell ref="D38:Z38"/>
    <mergeCell ref="AA38:AE38"/>
    <mergeCell ref="AF38:AH38"/>
    <mergeCell ref="AI38:AK38"/>
    <mergeCell ref="AL38:BP38"/>
    <mergeCell ref="A37:C37"/>
    <mergeCell ref="D37:Z37"/>
    <mergeCell ref="AA37:AE37"/>
    <mergeCell ref="AF37:AH37"/>
    <mergeCell ref="AI37:AK37"/>
    <mergeCell ref="AL37:BP37"/>
    <mergeCell ref="A36:C36"/>
    <mergeCell ref="D36:Z36"/>
    <mergeCell ref="AA36:AE36"/>
    <mergeCell ref="AF36:AH36"/>
    <mergeCell ref="AI36:AK36"/>
    <mergeCell ref="AL36:BP36"/>
    <mergeCell ref="A35:C35"/>
    <mergeCell ref="D35:Z35"/>
    <mergeCell ref="AA35:AE35"/>
    <mergeCell ref="AF35:AH35"/>
    <mergeCell ref="AI35:AK35"/>
    <mergeCell ref="AL35:BP35"/>
    <mergeCell ref="A34:C34"/>
    <mergeCell ref="D34:Z34"/>
    <mergeCell ref="AA34:AE34"/>
    <mergeCell ref="AF34:AH34"/>
    <mergeCell ref="AI34:AK34"/>
    <mergeCell ref="AL34:BP34"/>
    <mergeCell ref="A33:C33"/>
    <mergeCell ref="D33:Z33"/>
    <mergeCell ref="AA33:AE33"/>
    <mergeCell ref="AF33:AH33"/>
    <mergeCell ref="AI33:AK33"/>
    <mergeCell ref="AL33:BP33"/>
    <mergeCell ref="A32:C32"/>
    <mergeCell ref="D32:Z32"/>
    <mergeCell ref="AA32:AE32"/>
    <mergeCell ref="AF32:AH32"/>
    <mergeCell ref="AI32:AK32"/>
    <mergeCell ref="AL32:BP32"/>
    <mergeCell ref="A31:C31"/>
    <mergeCell ref="D31:Z31"/>
    <mergeCell ref="AA31:AE31"/>
    <mergeCell ref="AF31:AH31"/>
    <mergeCell ref="AI31:AK31"/>
    <mergeCell ref="AL31:BP31"/>
    <mergeCell ref="A30:C30"/>
    <mergeCell ref="D30:Z30"/>
    <mergeCell ref="AA30:AE30"/>
    <mergeCell ref="AF30:AH30"/>
    <mergeCell ref="AI30:AK30"/>
    <mergeCell ref="AL30:BP30"/>
    <mergeCell ref="A29:C29"/>
    <mergeCell ref="D29:Z29"/>
    <mergeCell ref="AA29:AE29"/>
    <mergeCell ref="AF29:AH29"/>
    <mergeCell ref="AI29:AK29"/>
    <mergeCell ref="AL29:BP29"/>
    <mergeCell ref="A28:C28"/>
    <mergeCell ref="D28:Z28"/>
    <mergeCell ref="AA28:AE28"/>
    <mergeCell ref="AF28:AH28"/>
    <mergeCell ref="AI28:AK28"/>
    <mergeCell ref="AL28:BP28"/>
    <mergeCell ref="A27:C27"/>
    <mergeCell ref="D27:Z27"/>
    <mergeCell ref="AA27:AE27"/>
    <mergeCell ref="AF27:AH27"/>
    <mergeCell ref="AI27:AK27"/>
    <mergeCell ref="AL27:BP27"/>
    <mergeCell ref="A26:C26"/>
    <mergeCell ref="D26:Z26"/>
    <mergeCell ref="AA26:AE26"/>
    <mergeCell ref="AF26:AH26"/>
    <mergeCell ref="AI26:AK26"/>
    <mergeCell ref="AL26:BP26"/>
    <mergeCell ref="A25:C25"/>
    <mergeCell ref="D25:Z25"/>
    <mergeCell ref="AA25:AE25"/>
    <mergeCell ref="AF25:AH25"/>
    <mergeCell ref="AI25:AK25"/>
    <mergeCell ref="AL25:BP25"/>
    <mergeCell ref="A24:C24"/>
    <mergeCell ref="D24:Z24"/>
    <mergeCell ref="AA24:AE24"/>
    <mergeCell ref="AF24:AH24"/>
    <mergeCell ref="AI24:AK24"/>
    <mergeCell ref="AL24:BP24"/>
    <mergeCell ref="A23:C23"/>
    <mergeCell ref="D23:Z23"/>
    <mergeCell ref="AA23:AE23"/>
    <mergeCell ref="AF23:AH23"/>
    <mergeCell ref="AI23:AK23"/>
    <mergeCell ref="AL23:BP23"/>
    <mergeCell ref="A22:C22"/>
    <mergeCell ref="D22:Z22"/>
    <mergeCell ref="AA22:AE22"/>
    <mergeCell ref="AF22:AH22"/>
    <mergeCell ref="AI22:AK22"/>
    <mergeCell ref="AL22:BP22"/>
    <mergeCell ref="A21:C21"/>
    <mergeCell ref="D21:Z21"/>
    <mergeCell ref="AA21:AE21"/>
    <mergeCell ref="AF21:AH21"/>
    <mergeCell ref="AI21:AK21"/>
    <mergeCell ref="AL21:BP21"/>
    <mergeCell ref="A20:C20"/>
    <mergeCell ref="D20:Z20"/>
    <mergeCell ref="AA20:AE20"/>
    <mergeCell ref="AF20:AH20"/>
    <mergeCell ref="AI20:AK20"/>
    <mergeCell ref="AL20:BP20"/>
    <mergeCell ref="A19:C19"/>
    <mergeCell ref="D19:Z19"/>
    <mergeCell ref="AA19:AE19"/>
    <mergeCell ref="AF19:AH19"/>
    <mergeCell ref="AI19:AK19"/>
    <mergeCell ref="AL19:BP19"/>
    <mergeCell ref="A18:C18"/>
    <mergeCell ref="D18:Z18"/>
    <mergeCell ref="AA18:AE18"/>
    <mergeCell ref="AF18:AH18"/>
    <mergeCell ref="AI18:AK18"/>
    <mergeCell ref="AL18:BP18"/>
    <mergeCell ref="A17:C17"/>
    <mergeCell ref="D17:Z17"/>
    <mergeCell ref="AA17:AE17"/>
    <mergeCell ref="AF17:AH17"/>
    <mergeCell ref="AI17:AK17"/>
    <mergeCell ref="AL17:BP17"/>
    <mergeCell ref="A16:C16"/>
    <mergeCell ref="D16:Z16"/>
    <mergeCell ref="AA16:AE16"/>
    <mergeCell ref="AF16:AH16"/>
    <mergeCell ref="AI16:AK16"/>
    <mergeCell ref="AL16:BP16"/>
    <mergeCell ref="A15:C15"/>
    <mergeCell ref="D15:Z15"/>
    <mergeCell ref="AA15:AE15"/>
    <mergeCell ref="AF15:AH15"/>
    <mergeCell ref="AI15:AK15"/>
    <mergeCell ref="AL15:BP15"/>
    <mergeCell ref="A14:C14"/>
    <mergeCell ref="D14:Z14"/>
    <mergeCell ref="AA14:AE14"/>
    <mergeCell ref="AF14:AH14"/>
    <mergeCell ref="AI14:AK14"/>
    <mergeCell ref="AL14:BP14"/>
    <mergeCell ref="A13:C13"/>
    <mergeCell ref="D13:Z13"/>
    <mergeCell ref="AA13:AE13"/>
    <mergeCell ref="AF13:AH13"/>
    <mergeCell ref="AI13:AK13"/>
    <mergeCell ref="AL13:BP13"/>
    <mergeCell ref="A12:C12"/>
    <mergeCell ref="D12:Z12"/>
    <mergeCell ref="AA12:AE12"/>
    <mergeCell ref="AF12:AH12"/>
    <mergeCell ref="AI12:AK12"/>
    <mergeCell ref="AL12:BP12"/>
    <mergeCell ref="A11:C11"/>
    <mergeCell ref="D11:Z11"/>
    <mergeCell ref="AA11:AE11"/>
    <mergeCell ref="AF11:AH11"/>
    <mergeCell ref="AI11:AK11"/>
    <mergeCell ref="AL11:BP11"/>
    <mergeCell ref="A10:C10"/>
    <mergeCell ref="D10:Z10"/>
    <mergeCell ref="AA10:AE10"/>
    <mergeCell ref="AF10:AH10"/>
    <mergeCell ref="AI10:AK10"/>
    <mergeCell ref="AL10:BP10"/>
    <mergeCell ref="A8:C8"/>
    <mergeCell ref="D8:Z8"/>
    <mergeCell ref="AA8:AE8"/>
    <mergeCell ref="AF8:AH8"/>
    <mergeCell ref="AI8:AK8"/>
    <mergeCell ref="AL8:BP8"/>
    <mergeCell ref="A9:C9"/>
    <mergeCell ref="D9:Z9"/>
    <mergeCell ref="AA9:AE9"/>
    <mergeCell ref="AF9:AH9"/>
    <mergeCell ref="AI9:AK9"/>
    <mergeCell ref="AL9:BP9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</mergeCells>
  <phoneticPr fontId="3"/>
  <dataValidations count="1">
    <dataValidation type="list" allowBlank="1" showInputMessage="1" showErrorMessage="1" sqref="BJ6:BP6" xr:uid="{B3EACC15-CD7B-49C4-8504-3279AC066962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1E403-AF64-48E6-8BA7-9E8E07231F0F}">
  <dimension ref="A1:BR26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8" width="2.125" style="55"/>
    <col min="39" max="44" width="0" style="55" hidden="1" customWidth="1"/>
    <col min="45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58" t="s">
        <v>217</v>
      </c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95" t="s">
        <v>1373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1372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17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129">
        <f>ROW()-8</f>
        <v>1</v>
      </c>
      <c r="B9" s="130"/>
      <c r="C9" s="131"/>
      <c r="D9" s="142" t="s">
        <v>1379</v>
      </c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4"/>
      <c r="AA9" s="117" t="s">
        <v>19</v>
      </c>
      <c r="AB9" s="118"/>
      <c r="AC9" s="118"/>
      <c r="AD9" s="118"/>
      <c r="AE9" s="119"/>
      <c r="AF9" s="117">
        <v>1000</v>
      </c>
      <c r="AG9" s="118"/>
      <c r="AH9" s="119"/>
      <c r="AI9" s="117"/>
      <c r="AJ9" s="118"/>
      <c r="AK9" s="119"/>
      <c r="AL9" s="68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70"/>
    </row>
    <row r="10" spans="1:70" s="1" customFormat="1" ht="30.75" customHeight="1">
      <c r="A10" s="74">
        <f>ROW()-8</f>
        <v>2</v>
      </c>
      <c r="B10" s="75"/>
      <c r="C10" s="76"/>
      <c r="D10" s="71" t="s">
        <v>1380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  <c r="AA10" s="74" t="s">
        <v>19</v>
      </c>
      <c r="AB10" s="75"/>
      <c r="AC10" s="75"/>
      <c r="AD10" s="75"/>
      <c r="AE10" s="76"/>
      <c r="AF10" s="74">
        <v>64</v>
      </c>
      <c r="AG10" s="75"/>
      <c r="AH10" s="76"/>
      <c r="AI10" s="74"/>
      <c r="AJ10" s="75"/>
      <c r="AK10" s="76"/>
      <c r="AL10" s="68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74">
        <f t="shared" ref="A11:A16" si="0">ROW()-8</f>
        <v>3</v>
      </c>
      <c r="B11" s="75"/>
      <c r="C11" s="76"/>
      <c r="D11" s="71" t="s">
        <v>1371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3"/>
      <c r="AA11" s="74" t="s">
        <v>19</v>
      </c>
      <c r="AB11" s="75"/>
      <c r="AC11" s="75"/>
      <c r="AD11" s="75"/>
      <c r="AE11" s="76"/>
      <c r="AF11" s="74">
        <v>1000</v>
      </c>
      <c r="AG11" s="75"/>
      <c r="AH11" s="76"/>
      <c r="AI11" s="74"/>
      <c r="AJ11" s="75"/>
      <c r="AK11" s="76"/>
      <c r="AL11" s="68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70"/>
    </row>
    <row r="12" spans="1:70" s="1" customFormat="1" ht="30.75" customHeight="1">
      <c r="A12" s="74">
        <f t="shared" si="0"/>
        <v>4</v>
      </c>
      <c r="B12" s="75"/>
      <c r="C12" s="76"/>
      <c r="D12" s="71" t="s">
        <v>1374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3"/>
      <c r="AA12" s="74" t="s">
        <v>19</v>
      </c>
      <c r="AB12" s="75"/>
      <c r="AC12" s="75"/>
      <c r="AD12" s="75"/>
      <c r="AE12" s="76"/>
      <c r="AF12" s="74">
        <v>64</v>
      </c>
      <c r="AG12" s="75"/>
      <c r="AH12" s="76"/>
      <c r="AI12" s="74"/>
      <c r="AJ12" s="75"/>
      <c r="AK12" s="76"/>
      <c r="AL12" s="68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70"/>
    </row>
    <row r="13" spans="1:70" s="1" customFormat="1" ht="30.75" customHeight="1">
      <c r="A13" s="74">
        <f t="shared" si="0"/>
        <v>5</v>
      </c>
      <c r="B13" s="75"/>
      <c r="C13" s="76"/>
      <c r="D13" s="71" t="s">
        <v>1375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3"/>
      <c r="AA13" s="74" t="s">
        <v>19</v>
      </c>
      <c r="AB13" s="75"/>
      <c r="AC13" s="75"/>
      <c r="AD13" s="75"/>
      <c r="AE13" s="76"/>
      <c r="AF13" s="74">
        <v>1000</v>
      </c>
      <c r="AG13" s="75"/>
      <c r="AH13" s="76"/>
      <c r="AI13" s="74"/>
      <c r="AJ13" s="75"/>
      <c r="AK13" s="76"/>
      <c r="AL13" s="68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70"/>
    </row>
    <row r="14" spans="1:70" s="1" customFormat="1" ht="30.75" customHeight="1">
      <c r="A14" s="74">
        <f t="shared" si="0"/>
        <v>6</v>
      </c>
      <c r="B14" s="75"/>
      <c r="C14" s="76"/>
      <c r="D14" s="71" t="s">
        <v>1376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3"/>
      <c r="AA14" s="74" t="s">
        <v>19</v>
      </c>
      <c r="AB14" s="75"/>
      <c r="AC14" s="75"/>
      <c r="AD14" s="75"/>
      <c r="AE14" s="76"/>
      <c r="AF14" s="74">
        <v>64</v>
      </c>
      <c r="AG14" s="75"/>
      <c r="AH14" s="76"/>
      <c r="AI14" s="86"/>
      <c r="AJ14" s="86"/>
      <c r="AK14" s="86"/>
      <c r="AL14" s="68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70"/>
    </row>
    <row r="15" spans="1:70" s="1" customFormat="1" ht="30.75" customHeight="1">
      <c r="A15" s="74">
        <f t="shared" si="0"/>
        <v>7</v>
      </c>
      <c r="B15" s="75"/>
      <c r="C15" s="76"/>
      <c r="D15" s="71" t="s">
        <v>1377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3"/>
      <c r="AA15" s="74" t="s">
        <v>19</v>
      </c>
      <c r="AB15" s="75"/>
      <c r="AC15" s="75"/>
      <c r="AD15" s="75"/>
      <c r="AE15" s="76"/>
      <c r="AF15" s="74">
        <v>1000</v>
      </c>
      <c r="AG15" s="75"/>
      <c r="AH15" s="76"/>
      <c r="AI15" s="86"/>
      <c r="AJ15" s="86"/>
      <c r="AK15" s="86"/>
      <c r="AL15" s="68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70"/>
    </row>
    <row r="16" spans="1:70" s="1" customFormat="1" ht="30.75" customHeight="1">
      <c r="A16" s="74">
        <f t="shared" si="0"/>
        <v>8</v>
      </c>
      <c r="B16" s="75"/>
      <c r="C16" s="76"/>
      <c r="D16" s="71" t="s">
        <v>1378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3"/>
      <c r="AA16" s="74" t="s">
        <v>19</v>
      </c>
      <c r="AB16" s="75"/>
      <c r="AC16" s="75"/>
      <c r="AD16" s="75"/>
      <c r="AE16" s="76"/>
      <c r="AF16" s="74">
        <v>64</v>
      </c>
      <c r="AG16" s="75"/>
      <c r="AH16" s="76"/>
      <c r="AI16" s="86"/>
      <c r="AJ16" s="86"/>
      <c r="AK16" s="86"/>
      <c r="AL16" s="68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70"/>
    </row>
    <row r="17" spans="1:68" s="1" customFormat="1" ht="30.75" customHeight="1">
      <c r="A17" s="74"/>
      <c r="B17" s="75"/>
      <c r="C17" s="76"/>
      <c r="D17" s="71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3"/>
      <c r="AA17" s="74"/>
      <c r="AB17" s="75"/>
      <c r="AC17" s="75"/>
      <c r="AD17" s="75"/>
      <c r="AE17" s="76"/>
      <c r="AF17" s="74"/>
      <c r="AG17" s="75"/>
      <c r="AH17" s="76"/>
      <c r="AI17" s="74"/>
      <c r="AJ17" s="75"/>
      <c r="AK17" s="76"/>
      <c r="AL17" s="68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70"/>
    </row>
    <row r="18" spans="1:68" s="1" customFormat="1" ht="30.75" customHeight="1">
      <c r="A18" s="91"/>
      <c r="B18" s="91"/>
      <c r="C18" s="91"/>
      <c r="D18" s="77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9"/>
      <c r="AA18" s="80"/>
      <c r="AB18" s="81"/>
      <c r="AC18" s="81"/>
      <c r="AD18" s="81"/>
      <c r="AE18" s="82"/>
      <c r="AF18" s="87"/>
      <c r="AG18" s="87"/>
      <c r="AH18" s="87"/>
      <c r="AI18" s="87"/>
      <c r="AJ18" s="87"/>
      <c r="AK18" s="87"/>
      <c r="AL18" s="83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5"/>
    </row>
    <row r="19" spans="1:68" s="4" customFormat="1" ht="3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3"/>
      <c r="AG19" s="3"/>
      <c r="AH19" s="3"/>
      <c r="AI19" s="3"/>
      <c r="AJ19" s="3"/>
      <c r="AK19" s="3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</row>
    <row r="20" spans="1:68" s="4" customFormat="1" ht="14.25">
      <c r="A20" s="5" t="s">
        <v>14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15"/>
      <c r="AG20" s="15"/>
      <c r="AH20" s="15"/>
      <c r="AI20" s="15"/>
      <c r="AJ20" s="15"/>
      <c r="AK20" s="15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6"/>
    </row>
    <row r="21" spans="1:68" s="4" customFormat="1" ht="20.25" customHeight="1">
      <c r="A21" s="5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6"/>
    </row>
    <row r="22" spans="1:68" s="4" customFormat="1" ht="20.25" customHeight="1">
      <c r="A22" s="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6"/>
    </row>
    <row r="23" spans="1:68" s="4" customFormat="1" ht="20.25" customHeight="1">
      <c r="A23" s="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6"/>
    </row>
    <row r="24" spans="1:68" s="4" customFormat="1" ht="20.25" customHeight="1">
      <c r="A24" s="5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6"/>
    </row>
    <row r="25" spans="1:68" s="4" customFormat="1" ht="20.25" customHeight="1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9"/>
    </row>
    <row r="26" spans="1:68" ht="5.25" customHeight="1"/>
  </sheetData>
  <mergeCells count="85">
    <mergeCell ref="AL18:BP18"/>
    <mergeCell ref="A17:C17"/>
    <mergeCell ref="D17:Z17"/>
    <mergeCell ref="AA17:AE17"/>
    <mergeCell ref="AF17:AH17"/>
    <mergeCell ref="AI17:AK17"/>
    <mergeCell ref="AL17:BP17"/>
    <mergeCell ref="A18:C18"/>
    <mergeCell ref="D18:Z18"/>
    <mergeCell ref="AA18:AE18"/>
    <mergeCell ref="AF18:AH18"/>
    <mergeCell ref="AI18:AK18"/>
    <mergeCell ref="AL16:BP16"/>
    <mergeCell ref="A15:C15"/>
    <mergeCell ref="D15:Z15"/>
    <mergeCell ref="AA15:AE15"/>
    <mergeCell ref="AF15:AH15"/>
    <mergeCell ref="AI15:AK15"/>
    <mergeCell ref="AL15:BP15"/>
    <mergeCell ref="A16:C16"/>
    <mergeCell ref="D16:Z16"/>
    <mergeCell ref="AA16:AE16"/>
    <mergeCell ref="AF16:AH16"/>
    <mergeCell ref="AI16:AK16"/>
    <mergeCell ref="AL14:BP14"/>
    <mergeCell ref="A13:C13"/>
    <mergeCell ref="D13:Z13"/>
    <mergeCell ref="AA13:AE13"/>
    <mergeCell ref="AF13:AH13"/>
    <mergeCell ref="AI13:AK13"/>
    <mergeCell ref="AL13:BP13"/>
    <mergeCell ref="A14:C14"/>
    <mergeCell ref="D14:Z14"/>
    <mergeCell ref="AA14:AE14"/>
    <mergeCell ref="AF14:AH14"/>
    <mergeCell ref="AI14:AK14"/>
    <mergeCell ref="AL12:BP12"/>
    <mergeCell ref="A11:C11"/>
    <mergeCell ref="D11:Z11"/>
    <mergeCell ref="AA11:AE11"/>
    <mergeCell ref="AF11:AH11"/>
    <mergeCell ref="AI11:AK11"/>
    <mergeCell ref="AL11:BP11"/>
    <mergeCell ref="A12:C12"/>
    <mergeCell ref="D12:Z12"/>
    <mergeCell ref="AA12:AE12"/>
    <mergeCell ref="AF12:AH12"/>
    <mergeCell ref="AI12:AK12"/>
    <mergeCell ref="AL10:BP10"/>
    <mergeCell ref="A9:C9"/>
    <mergeCell ref="D9:Z9"/>
    <mergeCell ref="AA9:AE9"/>
    <mergeCell ref="AF9:AH9"/>
    <mergeCell ref="AI9:AK9"/>
    <mergeCell ref="AL9:BP9"/>
    <mergeCell ref="A10:C10"/>
    <mergeCell ref="D10:Z10"/>
    <mergeCell ref="AA10:AE10"/>
    <mergeCell ref="AF10:AH10"/>
    <mergeCell ref="AI10:AK10"/>
    <mergeCell ref="AL8:BP8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8:C8"/>
    <mergeCell ref="D8:Z8"/>
    <mergeCell ref="AA8:AE8"/>
    <mergeCell ref="AF8:AH8"/>
    <mergeCell ref="AI8:AK8"/>
    <mergeCell ref="A3:G3"/>
    <mergeCell ref="H3:BA3"/>
    <mergeCell ref="BB3:BE3"/>
    <mergeCell ref="BF3:BP3"/>
    <mergeCell ref="A2:BA2"/>
    <mergeCell ref="BB2:BE2"/>
    <mergeCell ref="BF2:BI2"/>
    <mergeCell ref="BJ2:BM2"/>
    <mergeCell ref="BN2:BP2"/>
  </mergeCells>
  <phoneticPr fontId="3"/>
  <dataValidations count="1">
    <dataValidation type="list" allowBlank="1" showInputMessage="1" showErrorMessage="1" sqref="BJ6:BP6" xr:uid="{83CF84B9-70F5-4A06-8446-5DD5A56CA6BA}">
      <formula1>"原票、画面,帳票,連動ファイル,論理ファイル"</formula1>
    </dataValidation>
  </dataValidations>
  <pageMargins left="0.59055118110236227" right="0.47244094488188981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D1F0-96A9-4CCF-970C-9C799F660C23}">
  <sheetPr codeName="Sheet8"/>
  <dimension ref="A1:BR38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1" width="2.125" style="55"/>
    <col min="32" max="32" width="2.875" style="55" bestFit="1" customWidth="1"/>
    <col min="33" max="38" width="2.125" style="55"/>
    <col min="39" max="44" width="0" style="55" hidden="1" customWidth="1"/>
    <col min="45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58" t="s">
        <v>217</v>
      </c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95" t="s">
        <v>610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36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17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117">
        <f t="shared" ref="A9:A28" si="0">ROW()-8</f>
        <v>1</v>
      </c>
      <c r="B9" s="118"/>
      <c r="C9" s="119"/>
      <c r="D9" s="114" t="s">
        <v>37</v>
      </c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6"/>
      <c r="AA9" s="117" t="s">
        <v>18</v>
      </c>
      <c r="AB9" s="118"/>
      <c r="AC9" s="118"/>
      <c r="AD9" s="118"/>
      <c r="AE9" s="119"/>
      <c r="AF9" s="117">
        <v>1</v>
      </c>
      <c r="AG9" s="118"/>
      <c r="AH9" s="119"/>
      <c r="AI9" s="117"/>
      <c r="AJ9" s="118"/>
      <c r="AK9" s="119"/>
      <c r="AL9" s="68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70"/>
    </row>
    <row r="10" spans="1:70" s="1" customFormat="1" ht="30.75" customHeight="1">
      <c r="A10" s="74">
        <f t="shared" si="0"/>
        <v>2</v>
      </c>
      <c r="B10" s="75"/>
      <c r="C10" s="76"/>
      <c r="D10" s="71" t="s">
        <v>1290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  <c r="AA10" s="74" t="s">
        <v>19</v>
      </c>
      <c r="AB10" s="75"/>
      <c r="AC10" s="75"/>
      <c r="AD10" s="75"/>
      <c r="AE10" s="76"/>
      <c r="AF10" s="74">
        <v>1</v>
      </c>
      <c r="AG10" s="75"/>
      <c r="AH10" s="76"/>
      <c r="AI10" s="74"/>
      <c r="AJ10" s="75"/>
      <c r="AK10" s="76"/>
      <c r="AL10" s="68" t="s">
        <v>1293</v>
      </c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74">
        <f t="shared" si="0"/>
        <v>3</v>
      </c>
      <c r="B11" s="75"/>
      <c r="C11" s="76"/>
      <c r="D11" s="71" t="s">
        <v>1291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3"/>
      <c r="AA11" s="74" t="s">
        <v>19</v>
      </c>
      <c r="AB11" s="75"/>
      <c r="AC11" s="75"/>
      <c r="AD11" s="75"/>
      <c r="AE11" s="76"/>
      <c r="AF11" s="74">
        <v>8</v>
      </c>
      <c r="AG11" s="75"/>
      <c r="AH11" s="76"/>
      <c r="AI11" s="74"/>
      <c r="AJ11" s="75"/>
      <c r="AK11" s="76"/>
      <c r="AL11" s="68" t="s">
        <v>1292</v>
      </c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70"/>
    </row>
    <row r="12" spans="1:70" s="1" customFormat="1" ht="30.75" customHeight="1">
      <c r="A12" s="74">
        <f t="shared" si="0"/>
        <v>4</v>
      </c>
      <c r="B12" s="75"/>
      <c r="C12" s="76"/>
      <c r="D12" s="71" t="s">
        <v>38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3"/>
      <c r="AA12" s="74" t="s">
        <v>18</v>
      </c>
      <c r="AB12" s="75"/>
      <c r="AC12" s="75"/>
      <c r="AD12" s="75"/>
      <c r="AE12" s="76"/>
      <c r="AF12" s="74">
        <v>4</v>
      </c>
      <c r="AG12" s="75"/>
      <c r="AH12" s="76"/>
      <c r="AI12" s="74"/>
      <c r="AJ12" s="75"/>
      <c r="AK12" s="76"/>
      <c r="AL12" s="68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70"/>
    </row>
    <row r="13" spans="1:70" s="1" customFormat="1" ht="30.75" customHeight="1">
      <c r="A13" s="74">
        <f t="shared" si="0"/>
        <v>5</v>
      </c>
      <c r="B13" s="75"/>
      <c r="C13" s="76"/>
      <c r="D13" s="71" t="s">
        <v>39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3"/>
      <c r="AA13" s="74" t="s">
        <v>18</v>
      </c>
      <c r="AB13" s="75"/>
      <c r="AC13" s="75"/>
      <c r="AD13" s="75"/>
      <c r="AE13" s="76"/>
      <c r="AF13" s="74">
        <v>2</v>
      </c>
      <c r="AG13" s="75"/>
      <c r="AH13" s="76"/>
      <c r="AI13" s="74"/>
      <c r="AJ13" s="75"/>
      <c r="AK13" s="76"/>
      <c r="AL13" s="68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70"/>
    </row>
    <row r="14" spans="1:70" s="1" customFormat="1" ht="30.75" customHeight="1">
      <c r="A14" s="74">
        <f t="shared" si="0"/>
        <v>6</v>
      </c>
      <c r="B14" s="75"/>
      <c r="C14" s="76"/>
      <c r="D14" s="71" t="s">
        <v>40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3"/>
      <c r="AA14" s="74" t="s">
        <v>18</v>
      </c>
      <c r="AB14" s="75"/>
      <c r="AC14" s="75"/>
      <c r="AD14" s="75"/>
      <c r="AE14" s="76"/>
      <c r="AF14" s="74">
        <v>1</v>
      </c>
      <c r="AG14" s="75"/>
      <c r="AH14" s="76"/>
      <c r="AI14" s="74"/>
      <c r="AJ14" s="75"/>
      <c r="AK14" s="76"/>
      <c r="AL14" s="68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70"/>
    </row>
    <row r="15" spans="1:70" s="1" customFormat="1" ht="30.75" customHeight="1">
      <c r="A15" s="74">
        <f t="shared" si="0"/>
        <v>7</v>
      </c>
      <c r="B15" s="75"/>
      <c r="C15" s="76"/>
      <c r="D15" s="71" t="s">
        <v>171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3"/>
      <c r="AA15" s="74" t="s">
        <v>18</v>
      </c>
      <c r="AB15" s="75"/>
      <c r="AC15" s="75"/>
      <c r="AD15" s="75"/>
      <c r="AE15" s="76"/>
      <c r="AF15" s="74">
        <v>8</v>
      </c>
      <c r="AG15" s="75"/>
      <c r="AH15" s="76"/>
      <c r="AI15" s="74"/>
      <c r="AJ15" s="75"/>
      <c r="AK15" s="76"/>
      <c r="AL15" s="68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70"/>
    </row>
    <row r="16" spans="1:70" s="1" customFormat="1" ht="30.75" customHeight="1">
      <c r="A16" s="74">
        <f t="shared" si="0"/>
        <v>8</v>
      </c>
      <c r="B16" s="75"/>
      <c r="C16" s="76"/>
      <c r="D16" s="71" t="s">
        <v>41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3"/>
      <c r="AA16" s="74" t="s">
        <v>18</v>
      </c>
      <c r="AB16" s="75"/>
      <c r="AC16" s="75"/>
      <c r="AD16" s="75"/>
      <c r="AE16" s="76"/>
      <c r="AF16" s="74">
        <v>8</v>
      </c>
      <c r="AG16" s="75"/>
      <c r="AH16" s="76"/>
      <c r="AI16" s="74"/>
      <c r="AJ16" s="75"/>
      <c r="AK16" s="76"/>
      <c r="AL16" s="68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70"/>
    </row>
    <row r="17" spans="1:68" s="1" customFormat="1" ht="30.75" customHeight="1">
      <c r="A17" s="74">
        <f t="shared" si="0"/>
        <v>9</v>
      </c>
      <c r="B17" s="75"/>
      <c r="C17" s="76"/>
      <c r="D17" s="71" t="s">
        <v>42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3"/>
      <c r="AA17" s="74" t="s">
        <v>18</v>
      </c>
      <c r="AB17" s="75"/>
      <c r="AC17" s="75"/>
      <c r="AD17" s="75"/>
      <c r="AE17" s="76"/>
      <c r="AF17" s="74">
        <v>1</v>
      </c>
      <c r="AG17" s="75"/>
      <c r="AH17" s="76"/>
      <c r="AI17" s="74"/>
      <c r="AJ17" s="75"/>
      <c r="AK17" s="76"/>
      <c r="AL17" s="68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70"/>
    </row>
    <row r="18" spans="1:68" s="1" customFormat="1" ht="30.75" customHeight="1">
      <c r="A18" s="74">
        <f t="shared" si="0"/>
        <v>10</v>
      </c>
      <c r="B18" s="75"/>
      <c r="C18" s="76"/>
      <c r="D18" s="71" t="s">
        <v>43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3"/>
      <c r="AA18" s="74" t="s">
        <v>18</v>
      </c>
      <c r="AB18" s="75"/>
      <c r="AC18" s="75"/>
      <c r="AD18" s="75"/>
      <c r="AE18" s="76"/>
      <c r="AF18" s="74">
        <v>8</v>
      </c>
      <c r="AG18" s="75"/>
      <c r="AH18" s="76"/>
      <c r="AI18" s="74"/>
      <c r="AJ18" s="75"/>
      <c r="AK18" s="76"/>
      <c r="AL18" s="68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70"/>
    </row>
    <row r="19" spans="1:68" s="1" customFormat="1" ht="30.75" customHeight="1">
      <c r="A19" s="74">
        <f t="shared" si="0"/>
        <v>11</v>
      </c>
      <c r="B19" s="75"/>
      <c r="C19" s="76"/>
      <c r="D19" s="71" t="s">
        <v>24</v>
      </c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3"/>
      <c r="AA19" s="74" t="s">
        <v>19</v>
      </c>
      <c r="AB19" s="75"/>
      <c r="AC19" s="75"/>
      <c r="AD19" s="75"/>
      <c r="AE19" s="76"/>
      <c r="AF19" s="86">
        <v>12</v>
      </c>
      <c r="AG19" s="86"/>
      <c r="AH19" s="86"/>
      <c r="AI19" s="86"/>
      <c r="AJ19" s="86"/>
      <c r="AK19" s="86"/>
      <c r="AL19" s="68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70"/>
    </row>
    <row r="20" spans="1:68" s="1" customFormat="1" ht="30.75" customHeight="1">
      <c r="A20" s="74">
        <f t="shared" si="0"/>
        <v>12</v>
      </c>
      <c r="B20" s="75"/>
      <c r="C20" s="76"/>
      <c r="D20" s="71" t="s">
        <v>44</v>
      </c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3"/>
      <c r="AA20" s="74" t="s">
        <v>19</v>
      </c>
      <c r="AB20" s="75"/>
      <c r="AC20" s="75"/>
      <c r="AD20" s="75"/>
      <c r="AE20" s="76"/>
      <c r="AF20" s="86">
        <v>25</v>
      </c>
      <c r="AG20" s="86"/>
      <c r="AH20" s="86"/>
      <c r="AI20" s="86"/>
      <c r="AJ20" s="86"/>
      <c r="AK20" s="86"/>
      <c r="AL20" s="68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70"/>
    </row>
    <row r="21" spans="1:68" s="1" customFormat="1" ht="30.75" customHeight="1">
      <c r="A21" s="74">
        <f t="shared" si="0"/>
        <v>13</v>
      </c>
      <c r="B21" s="75"/>
      <c r="C21" s="76"/>
      <c r="D21" s="71" t="s">
        <v>45</v>
      </c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3"/>
      <c r="AA21" s="74" t="s">
        <v>19</v>
      </c>
      <c r="AB21" s="75"/>
      <c r="AC21" s="75"/>
      <c r="AD21" s="75"/>
      <c r="AE21" s="76"/>
      <c r="AF21" s="86">
        <v>15</v>
      </c>
      <c r="AG21" s="86"/>
      <c r="AH21" s="86"/>
      <c r="AI21" s="86"/>
      <c r="AJ21" s="86"/>
      <c r="AK21" s="86"/>
      <c r="AL21" s="68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70"/>
    </row>
    <row r="22" spans="1:68" s="1" customFormat="1" ht="30.75" customHeight="1">
      <c r="A22" s="74">
        <f t="shared" si="0"/>
        <v>14</v>
      </c>
      <c r="B22" s="75"/>
      <c r="C22" s="76"/>
      <c r="D22" s="71" t="s">
        <v>21</v>
      </c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3"/>
      <c r="AA22" s="74" t="s">
        <v>19</v>
      </c>
      <c r="AB22" s="75"/>
      <c r="AC22" s="75"/>
      <c r="AD22" s="75"/>
      <c r="AE22" s="76"/>
      <c r="AF22" s="86">
        <v>10</v>
      </c>
      <c r="AG22" s="86"/>
      <c r="AH22" s="86"/>
      <c r="AI22" s="86"/>
      <c r="AJ22" s="86"/>
      <c r="AK22" s="86"/>
      <c r="AL22" s="68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70"/>
    </row>
    <row r="23" spans="1:68" s="1" customFormat="1" ht="30.75" customHeight="1">
      <c r="A23" s="74">
        <f t="shared" si="0"/>
        <v>15</v>
      </c>
      <c r="B23" s="75"/>
      <c r="C23" s="76"/>
      <c r="D23" s="71" t="s">
        <v>46</v>
      </c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3"/>
      <c r="AA23" s="74" t="s">
        <v>19</v>
      </c>
      <c r="AB23" s="75"/>
      <c r="AC23" s="75"/>
      <c r="AD23" s="75"/>
      <c r="AE23" s="76"/>
      <c r="AF23" s="86">
        <v>5</v>
      </c>
      <c r="AG23" s="86"/>
      <c r="AH23" s="86"/>
      <c r="AI23" s="86"/>
      <c r="AJ23" s="86"/>
      <c r="AK23" s="86"/>
      <c r="AL23" s="68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70"/>
    </row>
    <row r="24" spans="1:68" s="1" customFormat="1" ht="30.75" customHeight="1">
      <c r="A24" s="74">
        <f t="shared" si="0"/>
        <v>16</v>
      </c>
      <c r="B24" s="75"/>
      <c r="C24" s="76"/>
      <c r="D24" s="71" t="s">
        <v>26</v>
      </c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3"/>
      <c r="AA24" s="74" t="s">
        <v>18</v>
      </c>
      <c r="AB24" s="75"/>
      <c r="AC24" s="75"/>
      <c r="AD24" s="75"/>
      <c r="AE24" s="76"/>
      <c r="AF24" s="86">
        <v>8</v>
      </c>
      <c r="AG24" s="86"/>
      <c r="AH24" s="86"/>
      <c r="AI24" s="86"/>
      <c r="AJ24" s="86"/>
      <c r="AK24" s="86"/>
      <c r="AL24" s="68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70"/>
    </row>
    <row r="25" spans="1:68" s="1" customFormat="1" ht="30.75" customHeight="1">
      <c r="A25" s="74">
        <f t="shared" si="0"/>
        <v>17</v>
      </c>
      <c r="B25" s="75"/>
      <c r="C25" s="76"/>
      <c r="D25" s="71" t="s">
        <v>47</v>
      </c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3"/>
      <c r="AA25" s="74" t="s">
        <v>18</v>
      </c>
      <c r="AB25" s="75"/>
      <c r="AC25" s="75"/>
      <c r="AD25" s="75"/>
      <c r="AE25" s="76"/>
      <c r="AF25" s="86" t="s">
        <v>1298</v>
      </c>
      <c r="AG25" s="86"/>
      <c r="AH25" s="86"/>
      <c r="AI25" s="86"/>
      <c r="AJ25" s="86"/>
      <c r="AK25" s="86"/>
      <c r="AL25" s="68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70"/>
    </row>
    <row r="26" spans="1:68" s="1" customFormat="1" ht="30.75" customHeight="1">
      <c r="A26" s="74">
        <f t="shared" si="0"/>
        <v>18</v>
      </c>
      <c r="B26" s="75"/>
      <c r="C26" s="76"/>
      <c r="D26" s="71" t="s">
        <v>27</v>
      </c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3"/>
      <c r="AA26" s="74" t="s">
        <v>18</v>
      </c>
      <c r="AB26" s="75"/>
      <c r="AC26" s="75"/>
      <c r="AD26" s="75"/>
      <c r="AE26" s="76"/>
      <c r="AF26" s="86">
        <v>14</v>
      </c>
      <c r="AG26" s="86"/>
      <c r="AH26" s="86"/>
      <c r="AI26" s="86"/>
      <c r="AJ26" s="86"/>
      <c r="AK26" s="86"/>
      <c r="AL26" s="68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70"/>
    </row>
    <row r="27" spans="1:68" s="1" customFormat="1" ht="30.75" customHeight="1">
      <c r="A27" s="74">
        <f t="shared" si="0"/>
        <v>19</v>
      </c>
      <c r="B27" s="75"/>
      <c r="C27" s="76"/>
      <c r="D27" s="71" t="s">
        <v>28</v>
      </c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3"/>
      <c r="AA27" s="74" t="s">
        <v>18</v>
      </c>
      <c r="AB27" s="75"/>
      <c r="AC27" s="75"/>
      <c r="AD27" s="75"/>
      <c r="AE27" s="76"/>
      <c r="AF27" s="86">
        <v>14</v>
      </c>
      <c r="AG27" s="86"/>
      <c r="AH27" s="86"/>
      <c r="AI27" s="86"/>
      <c r="AJ27" s="86"/>
      <c r="AK27" s="86"/>
      <c r="AL27" s="68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70"/>
    </row>
    <row r="28" spans="1:68" s="1" customFormat="1" ht="30.75" customHeight="1">
      <c r="A28" s="74">
        <f t="shared" si="0"/>
        <v>20</v>
      </c>
      <c r="B28" s="75"/>
      <c r="C28" s="76"/>
      <c r="D28" s="71" t="s">
        <v>48</v>
      </c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3"/>
      <c r="AA28" s="74" t="s">
        <v>18</v>
      </c>
      <c r="AB28" s="75"/>
      <c r="AC28" s="75"/>
      <c r="AD28" s="75"/>
      <c r="AE28" s="76"/>
      <c r="AF28" s="86">
        <v>14</v>
      </c>
      <c r="AG28" s="86"/>
      <c r="AH28" s="86"/>
      <c r="AI28" s="86"/>
      <c r="AJ28" s="86"/>
      <c r="AK28" s="86"/>
      <c r="AL28" s="68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70"/>
    </row>
    <row r="29" spans="1:68" s="1" customFormat="1" ht="30.75" customHeight="1">
      <c r="A29" s="74"/>
      <c r="B29" s="75"/>
      <c r="C29" s="76"/>
      <c r="D29" s="71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3"/>
      <c r="AA29" s="74"/>
      <c r="AB29" s="75"/>
      <c r="AC29" s="75"/>
      <c r="AD29" s="75"/>
      <c r="AE29" s="76"/>
      <c r="AF29" s="86"/>
      <c r="AG29" s="86"/>
      <c r="AH29" s="86"/>
      <c r="AI29" s="86"/>
      <c r="AJ29" s="86"/>
      <c r="AK29" s="86"/>
      <c r="AL29" s="68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70"/>
    </row>
    <row r="30" spans="1:68" s="1" customFormat="1" ht="30.75" customHeight="1">
      <c r="A30" s="80"/>
      <c r="B30" s="81"/>
      <c r="C30" s="82"/>
      <c r="D30" s="77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9"/>
      <c r="AA30" s="80"/>
      <c r="AB30" s="81"/>
      <c r="AC30" s="81"/>
      <c r="AD30" s="81"/>
      <c r="AE30" s="82"/>
      <c r="AF30" s="87"/>
      <c r="AG30" s="87"/>
      <c r="AH30" s="87"/>
      <c r="AI30" s="87"/>
      <c r="AJ30" s="87"/>
      <c r="AK30" s="87"/>
      <c r="AL30" s="83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5"/>
    </row>
    <row r="31" spans="1:68" s="4" customFormat="1" ht="3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3"/>
      <c r="AG31" s="3"/>
      <c r="AH31" s="3"/>
      <c r="AI31" s="3"/>
      <c r="AJ31" s="3"/>
      <c r="AK31" s="3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</row>
    <row r="32" spans="1:68" s="4" customFormat="1" ht="14.25">
      <c r="A32" s="5" t="s">
        <v>14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15"/>
      <c r="AG32" s="15"/>
      <c r="AH32" s="15"/>
      <c r="AI32" s="15"/>
      <c r="AJ32" s="15"/>
      <c r="AK32" s="15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6"/>
    </row>
    <row r="33" spans="1:68" s="4" customFormat="1" ht="20.25" customHeight="1">
      <c r="A33" s="5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6"/>
    </row>
    <row r="34" spans="1:68" s="4" customFormat="1" ht="20.25" customHeight="1">
      <c r="A34" s="5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6"/>
    </row>
    <row r="35" spans="1:68" s="4" customFormat="1" ht="20.25" customHeight="1">
      <c r="A35" s="5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6"/>
    </row>
    <row r="36" spans="1:68" s="4" customFormat="1" ht="20.25" customHeight="1">
      <c r="A36" s="5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6"/>
    </row>
    <row r="37" spans="1:68" s="4" customFormat="1" ht="20.25" customHeight="1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9"/>
    </row>
    <row r="38" spans="1:68" ht="5.25" customHeight="1"/>
  </sheetData>
  <mergeCells count="157">
    <mergeCell ref="A6:G6"/>
    <mergeCell ref="H6:N6"/>
    <mergeCell ref="O6:Y6"/>
    <mergeCell ref="Z6:BE6"/>
    <mergeCell ref="BF6:BI6"/>
    <mergeCell ref="BJ6:BP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D12:Z12"/>
    <mergeCell ref="AA12:AE12"/>
    <mergeCell ref="AL12:BP12"/>
    <mergeCell ref="D13:Z13"/>
    <mergeCell ref="AA13:AE13"/>
    <mergeCell ref="AL13:BP13"/>
    <mergeCell ref="D9:Z9"/>
    <mergeCell ref="AA9:AE9"/>
    <mergeCell ref="D10:Z10"/>
    <mergeCell ref="AA10:AE10"/>
    <mergeCell ref="A8:C8"/>
    <mergeCell ref="D8:Z8"/>
    <mergeCell ref="AA8:AE8"/>
    <mergeCell ref="AL8:BP8"/>
    <mergeCell ref="A9:C9"/>
    <mergeCell ref="A10:C10"/>
    <mergeCell ref="AL9:BP9"/>
    <mergeCell ref="AL10:BP10"/>
    <mergeCell ref="AL11:BP11"/>
    <mergeCell ref="A23:C23"/>
    <mergeCell ref="A24:C24"/>
    <mergeCell ref="A16:C16"/>
    <mergeCell ref="A17:C17"/>
    <mergeCell ref="A18:C18"/>
    <mergeCell ref="A11:C11"/>
    <mergeCell ref="A12:C12"/>
    <mergeCell ref="A13:C13"/>
    <mergeCell ref="A14:C14"/>
    <mergeCell ref="A15:C15"/>
    <mergeCell ref="A30:C30"/>
    <mergeCell ref="A25:C25"/>
    <mergeCell ref="A26:C26"/>
    <mergeCell ref="A27:C27"/>
    <mergeCell ref="A28:C28"/>
    <mergeCell ref="A29:C29"/>
    <mergeCell ref="D11:Z11"/>
    <mergeCell ref="AA11:AE11"/>
    <mergeCell ref="D16:Z16"/>
    <mergeCell ref="AA16:AE16"/>
    <mergeCell ref="D17:Z17"/>
    <mergeCell ref="AA17:AE17"/>
    <mergeCell ref="D21:Z21"/>
    <mergeCell ref="AA21:AE21"/>
    <mergeCell ref="D24:Z24"/>
    <mergeCell ref="AA24:AE24"/>
    <mergeCell ref="D28:Z28"/>
    <mergeCell ref="AA28:AE28"/>
    <mergeCell ref="D29:Z29"/>
    <mergeCell ref="AA29:AE29"/>
    <mergeCell ref="A19:C19"/>
    <mergeCell ref="A20:C20"/>
    <mergeCell ref="A21:C21"/>
    <mergeCell ref="A22:C22"/>
    <mergeCell ref="AL16:BP16"/>
    <mergeCell ref="D14:Z14"/>
    <mergeCell ref="AA14:AE14"/>
    <mergeCell ref="AL14:BP14"/>
    <mergeCell ref="D15:Z15"/>
    <mergeCell ref="AA15:AE15"/>
    <mergeCell ref="AL15:BP15"/>
    <mergeCell ref="AF13:AH13"/>
    <mergeCell ref="AI13:AK13"/>
    <mergeCell ref="AF14:AH14"/>
    <mergeCell ref="AI14:AK14"/>
    <mergeCell ref="AF15:AH15"/>
    <mergeCell ref="AI15:AK15"/>
    <mergeCell ref="AF16:AH16"/>
    <mergeCell ref="AI16:AK16"/>
    <mergeCell ref="AL17:BP17"/>
    <mergeCell ref="D18:Z18"/>
    <mergeCell ref="AA18:AE18"/>
    <mergeCell ref="AL18:BP18"/>
    <mergeCell ref="AF17:AH17"/>
    <mergeCell ref="AI17:AK17"/>
    <mergeCell ref="AF18:AH18"/>
    <mergeCell ref="AI18:AK18"/>
    <mergeCell ref="D20:Z20"/>
    <mergeCell ref="AA20:AE20"/>
    <mergeCell ref="AL20:BP20"/>
    <mergeCell ref="AL21:BP21"/>
    <mergeCell ref="D19:Z19"/>
    <mergeCell ref="AA19:AE19"/>
    <mergeCell ref="AL19:BP19"/>
    <mergeCell ref="AF19:AH19"/>
    <mergeCell ref="AI19:AK19"/>
    <mergeCell ref="AF20:AH20"/>
    <mergeCell ref="AI20:AK20"/>
    <mergeCell ref="AF21:AH21"/>
    <mergeCell ref="AI21:AK21"/>
    <mergeCell ref="D22:Z22"/>
    <mergeCell ref="AA22:AE22"/>
    <mergeCell ref="AL22:BP22"/>
    <mergeCell ref="D23:Z23"/>
    <mergeCell ref="AA23:AE23"/>
    <mergeCell ref="AL23:BP23"/>
    <mergeCell ref="AF22:AH22"/>
    <mergeCell ref="AI22:AK22"/>
    <mergeCell ref="AF23:AH23"/>
    <mergeCell ref="AI23:AK23"/>
    <mergeCell ref="AL27:BP27"/>
    <mergeCell ref="AF26:AH26"/>
    <mergeCell ref="AI26:AK26"/>
    <mergeCell ref="AF27:AH27"/>
    <mergeCell ref="AI27:AK27"/>
    <mergeCell ref="AF28:AH28"/>
    <mergeCell ref="AI28:AK28"/>
    <mergeCell ref="AL24:BP24"/>
    <mergeCell ref="D25:Z25"/>
    <mergeCell ref="AA25:AE25"/>
    <mergeCell ref="AL25:BP25"/>
    <mergeCell ref="AF24:AH24"/>
    <mergeCell ref="AI24:AK24"/>
    <mergeCell ref="AF25:AH25"/>
    <mergeCell ref="AI25:AK25"/>
    <mergeCell ref="AL29:BP29"/>
    <mergeCell ref="AF29:AH29"/>
    <mergeCell ref="AI29:AK29"/>
    <mergeCell ref="D30:Z30"/>
    <mergeCell ref="AA30:AE30"/>
    <mergeCell ref="AL30:BP30"/>
    <mergeCell ref="AF30:AH30"/>
    <mergeCell ref="AI30:AK30"/>
    <mergeCell ref="AF8:AH8"/>
    <mergeCell ref="AI8:AK8"/>
    <mergeCell ref="AF9:AH9"/>
    <mergeCell ref="AI9:AK9"/>
    <mergeCell ref="AF10:AH10"/>
    <mergeCell ref="AI10:AK10"/>
    <mergeCell ref="AF11:AH11"/>
    <mergeCell ref="AI11:AK11"/>
    <mergeCell ref="AF12:AH12"/>
    <mergeCell ref="AI12:AK12"/>
    <mergeCell ref="AL28:BP28"/>
    <mergeCell ref="D26:Z26"/>
    <mergeCell ref="AA26:AE26"/>
    <mergeCell ref="AL26:BP26"/>
    <mergeCell ref="D27:Z27"/>
    <mergeCell ref="AA27:AE27"/>
  </mergeCells>
  <phoneticPr fontId="3"/>
  <dataValidations count="1">
    <dataValidation type="list" allowBlank="1" showInputMessage="1" showErrorMessage="1" sqref="BJ6:BP6" xr:uid="{47232EE1-F24D-4323-AC68-7059FCCE8630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5C4-0BD0-47BF-9A5A-6B70D993A5B9}">
  <sheetPr codeName="Sheet9"/>
  <dimension ref="A1:BR46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1" width="2.125" style="55"/>
    <col min="32" max="32" width="2.875" style="55" bestFit="1" customWidth="1"/>
    <col min="33" max="38" width="2.125" style="55"/>
    <col min="39" max="44" width="0" style="55" hidden="1" customWidth="1"/>
    <col min="45" max="16384" width="2.125" style="55"/>
  </cols>
  <sheetData>
    <row r="1" spans="1:70" s="11" customFormat="1" ht="18" customHeight="1">
      <c r="A1" s="11" t="s">
        <v>212</v>
      </c>
      <c r="BP1" s="13" t="s">
        <v>0</v>
      </c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  <c r="BR2" s="16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144" t="s">
        <v>198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95" t="s">
        <v>611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49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10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117">
        <f t="shared" ref="A9:A36" si="0">ROW()-8</f>
        <v>1</v>
      </c>
      <c r="B9" s="118"/>
      <c r="C9" s="119"/>
      <c r="D9" s="114" t="s">
        <v>842</v>
      </c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6"/>
      <c r="AA9" s="117" t="s">
        <v>271</v>
      </c>
      <c r="AB9" s="118"/>
      <c r="AC9" s="118"/>
      <c r="AD9" s="118"/>
      <c r="AE9" s="119"/>
      <c r="AF9" s="117">
        <v>12</v>
      </c>
      <c r="AG9" s="118"/>
      <c r="AH9" s="119"/>
      <c r="AI9" s="117"/>
      <c r="AJ9" s="118"/>
      <c r="AK9" s="119"/>
      <c r="AL9" s="120" t="s">
        <v>1143</v>
      </c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2"/>
    </row>
    <row r="10" spans="1:70" s="1" customFormat="1" ht="30.75" customHeight="1">
      <c r="A10" s="74">
        <f t="shared" si="0"/>
        <v>2</v>
      </c>
      <c r="B10" s="75"/>
      <c r="C10" s="76"/>
      <c r="D10" s="71" t="s">
        <v>597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  <c r="AA10" s="74" t="s">
        <v>278</v>
      </c>
      <c r="AB10" s="75"/>
      <c r="AC10" s="75"/>
      <c r="AD10" s="75"/>
      <c r="AE10" s="76"/>
      <c r="AF10" s="74">
        <v>1</v>
      </c>
      <c r="AG10" s="75"/>
      <c r="AH10" s="76"/>
      <c r="AI10" s="74"/>
      <c r="AJ10" s="75"/>
      <c r="AK10" s="76"/>
      <c r="AL10" s="68" t="s">
        <v>586</v>
      </c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74">
        <f t="shared" si="0"/>
        <v>3</v>
      </c>
      <c r="B11" s="75"/>
      <c r="C11" s="76"/>
      <c r="D11" s="71" t="s">
        <v>1290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3"/>
      <c r="AA11" s="74" t="s">
        <v>19</v>
      </c>
      <c r="AB11" s="75"/>
      <c r="AC11" s="75"/>
      <c r="AD11" s="75"/>
      <c r="AE11" s="76"/>
      <c r="AF11" s="74">
        <v>1</v>
      </c>
      <c r="AG11" s="75"/>
      <c r="AH11" s="76"/>
      <c r="AI11" s="74"/>
      <c r="AJ11" s="75"/>
      <c r="AK11" s="76"/>
      <c r="AL11" s="68" t="s">
        <v>1295</v>
      </c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70"/>
    </row>
    <row r="12" spans="1:70" s="1" customFormat="1" ht="30.75" customHeight="1">
      <c r="A12" s="74">
        <f t="shared" si="0"/>
        <v>4</v>
      </c>
      <c r="B12" s="75"/>
      <c r="C12" s="76"/>
      <c r="D12" s="71" t="s">
        <v>1291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3"/>
      <c r="AA12" s="74" t="s">
        <v>19</v>
      </c>
      <c r="AB12" s="75"/>
      <c r="AC12" s="75"/>
      <c r="AD12" s="75"/>
      <c r="AE12" s="76"/>
      <c r="AF12" s="74">
        <v>8</v>
      </c>
      <c r="AG12" s="75"/>
      <c r="AH12" s="76"/>
      <c r="AI12" s="74"/>
      <c r="AJ12" s="75"/>
      <c r="AK12" s="76"/>
      <c r="AL12" s="68" t="s">
        <v>1294</v>
      </c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70"/>
    </row>
    <row r="13" spans="1:70" s="1" customFormat="1" ht="30.75" customHeight="1">
      <c r="A13" s="74">
        <f t="shared" si="0"/>
        <v>5</v>
      </c>
      <c r="B13" s="75"/>
      <c r="C13" s="76"/>
      <c r="D13" s="71" t="s">
        <v>1127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3"/>
      <c r="AA13" s="74" t="s">
        <v>271</v>
      </c>
      <c r="AB13" s="75"/>
      <c r="AC13" s="75"/>
      <c r="AD13" s="75"/>
      <c r="AE13" s="76"/>
      <c r="AF13" s="74">
        <v>4</v>
      </c>
      <c r="AG13" s="75"/>
      <c r="AH13" s="76"/>
      <c r="AI13" s="86"/>
      <c r="AJ13" s="86"/>
      <c r="AK13" s="86"/>
      <c r="AL13" s="68" t="s">
        <v>1144</v>
      </c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70"/>
    </row>
    <row r="14" spans="1:70" s="1" customFormat="1" ht="30.75" customHeight="1">
      <c r="A14" s="74">
        <f t="shared" si="0"/>
        <v>6</v>
      </c>
      <c r="B14" s="75"/>
      <c r="C14" s="76"/>
      <c r="D14" s="71" t="s">
        <v>844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3"/>
      <c r="AA14" s="74" t="s">
        <v>271</v>
      </c>
      <c r="AB14" s="75"/>
      <c r="AC14" s="75"/>
      <c r="AD14" s="75"/>
      <c r="AE14" s="76"/>
      <c r="AF14" s="74">
        <v>2</v>
      </c>
      <c r="AG14" s="75"/>
      <c r="AH14" s="76"/>
      <c r="AI14" s="86"/>
      <c r="AJ14" s="86"/>
      <c r="AK14" s="86"/>
      <c r="AL14" s="68" t="s">
        <v>1156</v>
      </c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70"/>
    </row>
    <row r="15" spans="1:70" s="1" customFormat="1" ht="30.75" customHeight="1">
      <c r="A15" s="74">
        <f t="shared" si="0"/>
        <v>7</v>
      </c>
      <c r="B15" s="75"/>
      <c r="C15" s="76"/>
      <c r="D15" s="71" t="s">
        <v>1128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3"/>
      <c r="AA15" s="74" t="s">
        <v>271</v>
      </c>
      <c r="AB15" s="75"/>
      <c r="AC15" s="75"/>
      <c r="AD15" s="75"/>
      <c r="AE15" s="76"/>
      <c r="AF15" s="74">
        <v>1</v>
      </c>
      <c r="AG15" s="75"/>
      <c r="AH15" s="76"/>
      <c r="AI15" s="86"/>
      <c r="AJ15" s="86"/>
      <c r="AK15" s="86"/>
      <c r="AL15" s="68" t="s">
        <v>1157</v>
      </c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70"/>
    </row>
    <row r="16" spans="1:70" s="1" customFormat="1" ht="30.75" customHeight="1">
      <c r="A16" s="74">
        <f t="shared" si="0"/>
        <v>8</v>
      </c>
      <c r="B16" s="75"/>
      <c r="C16" s="76"/>
      <c r="D16" s="71" t="s">
        <v>1129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3"/>
      <c r="AA16" s="74" t="s">
        <v>274</v>
      </c>
      <c r="AB16" s="75"/>
      <c r="AC16" s="75"/>
      <c r="AD16" s="75"/>
      <c r="AE16" s="76"/>
      <c r="AF16" s="74">
        <v>8</v>
      </c>
      <c r="AG16" s="75"/>
      <c r="AH16" s="76"/>
      <c r="AI16" s="86"/>
      <c r="AJ16" s="86"/>
      <c r="AK16" s="86"/>
      <c r="AL16" s="68" t="s">
        <v>1145</v>
      </c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70"/>
    </row>
    <row r="17" spans="1:68" s="1" customFormat="1" ht="30.75" customHeight="1">
      <c r="A17" s="74">
        <f t="shared" si="0"/>
        <v>9</v>
      </c>
      <c r="B17" s="75"/>
      <c r="C17" s="76"/>
      <c r="D17" s="71" t="s">
        <v>1130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3"/>
      <c r="AA17" s="74" t="s">
        <v>274</v>
      </c>
      <c r="AB17" s="75"/>
      <c r="AC17" s="75"/>
      <c r="AD17" s="75"/>
      <c r="AE17" s="76"/>
      <c r="AF17" s="74">
        <v>8</v>
      </c>
      <c r="AG17" s="75"/>
      <c r="AH17" s="76"/>
      <c r="AI17" s="86"/>
      <c r="AJ17" s="86"/>
      <c r="AK17" s="86"/>
      <c r="AL17" s="68" t="s">
        <v>1146</v>
      </c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70"/>
    </row>
    <row r="18" spans="1:68" s="1" customFormat="1" ht="30.75" customHeight="1">
      <c r="A18" s="74">
        <f t="shared" si="0"/>
        <v>10</v>
      </c>
      <c r="B18" s="75"/>
      <c r="C18" s="76"/>
      <c r="D18" s="71" t="s">
        <v>1131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3"/>
      <c r="AA18" s="74" t="s">
        <v>271</v>
      </c>
      <c r="AB18" s="75"/>
      <c r="AC18" s="75"/>
      <c r="AD18" s="75"/>
      <c r="AE18" s="76"/>
      <c r="AF18" s="74">
        <v>1</v>
      </c>
      <c r="AG18" s="75"/>
      <c r="AH18" s="76"/>
      <c r="AI18" s="86"/>
      <c r="AJ18" s="86"/>
      <c r="AK18" s="86"/>
      <c r="AL18" s="68" t="s">
        <v>1147</v>
      </c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70"/>
    </row>
    <row r="19" spans="1:68" s="1" customFormat="1" ht="30.75" customHeight="1">
      <c r="A19" s="74">
        <f t="shared" si="0"/>
        <v>11</v>
      </c>
      <c r="B19" s="75"/>
      <c r="C19" s="76"/>
      <c r="D19" s="71" t="s">
        <v>1132</v>
      </c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3"/>
      <c r="AA19" s="74" t="s">
        <v>274</v>
      </c>
      <c r="AB19" s="75"/>
      <c r="AC19" s="75"/>
      <c r="AD19" s="75"/>
      <c r="AE19" s="76"/>
      <c r="AF19" s="74">
        <v>8</v>
      </c>
      <c r="AG19" s="75"/>
      <c r="AH19" s="76"/>
      <c r="AI19" s="86"/>
      <c r="AJ19" s="86"/>
      <c r="AK19" s="86"/>
      <c r="AL19" s="68" t="s">
        <v>1148</v>
      </c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70"/>
    </row>
    <row r="20" spans="1:68" s="1" customFormat="1" ht="30.75" customHeight="1">
      <c r="A20" s="74">
        <f t="shared" si="0"/>
        <v>12</v>
      </c>
      <c r="B20" s="75"/>
      <c r="C20" s="76"/>
      <c r="D20" s="71" t="s">
        <v>1133</v>
      </c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3"/>
      <c r="AA20" s="74" t="s">
        <v>274</v>
      </c>
      <c r="AB20" s="75"/>
      <c r="AC20" s="75"/>
      <c r="AD20" s="75"/>
      <c r="AE20" s="76"/>
      <c r="AF20" s="74">
        <v>8</v>
      </c>
      <c r="AG20" s="75"/>
      <c r="AH20" s="76"/>
      <c r="AI20" s="86"/>
      <c r="AJ20" s="86"/>
      <c r="AK20" s="86"/>
      <c r="AL20" s="68" t="s">
        <v>1149</v>
      </c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70"/>
    </row>
    <row r="21" spans="1:68" s="1" customFormat="1" ht="30.75" customHeight="1">
      <c r="A21" s="74">
        <f t="shared" si="0"/>
        <v>13</v>
      </c>
      <c r="B21" s="75"/>
      <c r="C21" s="76"/>
      <c r="D21" s="71" t="s">
        <v>1160</v>
      </c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3"/>
      <c r="AA21" s="74" t="s">
        <v>19</v>
      </c>
      <c r="AB21" s="75"/>
      <c r="AC21" s="75"/>
      <c r="AD21" s="75"/>
      <c r="AE21" s="76"/>
      <c r="AF21" s="74">
        <v>64</v>
      </c>
      <c r="AG21" s="75"/>
      <c r="AH21" s="76"/>
      <c r="AI21" s="86"/>
      <c r="AJ21" s="86"/>
      <c r="AK21" s="86"/>
      <c r="AL21" s="68" t="s">
        <v>1161</v>
      </c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70"/>
    </row>
    <row r="22" spans="1:68" s="1" customFormat="1" ht="30.75" customHeight="1">
      <c r="A22" s="74">
        <f t="shared" si="0"/>
        <v>14</v>
      </c>
      <c r="B22" s="75"/>
      <c r="C22" s="76"/>
      <c r="D22" s="71" t="s">
        <v>1162</v>
      </c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3"/>
      <c r="AA22" s="74" t="s">
        <v>19</v>
      </c>
      <c r="AB22" s="75"/>
      <c r="AC22" s="75"/>
      <c r="AD22" s="75"/>
      <c r="AE22" s="76"/>
      <c r="AF22" s="74">
        <v>1000</v>
      </c>
      <c r="AG22" s="75"/>
      <c r="AH22" s="76"/>
      <c r="AI22" s="86"/>
      <c r="AJ22" s="86"/>
      <c r="AK22" s="86"/>
      <c r="AL22" s="68" t="s">
        <v>1165</v>
      </c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70"/>
    </row>
    <row r="23" spans="1:68" s="1" customFormat="1" ht="30.75" customHeight="1">
      <c r="A23" s="74">
        <f t="shared" si="0"/>
        <v>15</v>
      </c>
      <c r="B23" s="75"/>
      <c r="C23" s="76"/>
      <c r="D23" s="71" t="s">
        <v>1164</v>
      </c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3"/>
      <c r="AA23" s="74" t="s">
        <v>271</v>
      </c>
      <c r="AB23" s="75"/>
      <c r="AC23" s="75"/>
      <c r="AD23" s="75"/>
      <c r="AE23" s="76"/>
      <c r="AF23" s="74">
        <v>64</v>
      </c>
      <c r="AG23" s="75"/>
      <c r="AH23" s="76"/>
      <c r="AI23" s="86"/>
      <c r="AJ23" s="86"/>
      <c r="AK23" s="86"/>
      <c r="AL23" s="68" t="s">
        <v>1166</v>
      </c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70"/>
    </row>
    <row r="24" spans="1:68" s="1" customFormat="1" ht="30.75" customHeight="1">
      <c r="A24" s="74">
        <f t="shared" si="0"/>
        <v>16</v>
      </c>
      <c r="B24" s="75"/>
      <c r="C24" s="76"/>
      <c r="D24" s="71" t="s">
        <v>847</v>
      </c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3"/>
      <c r="AA24" s="74" t="s">
        <v>19</v>
      </c>
      <c r="AB24" s="75"/>
      <c r="AC24" s="75"/>
      <c r="AD24" s="75"/>
      <c r="AE24" s="76"/>
      <c r="AF24" s="74">
        <v>1000</v>
      </c>
      <c r="AG24" s="75"/>
      <c r="AH24" s="76"/>
      <c r="AI24" s="86"/>
      <c r="AJ24" s="86"/>
      <c r="AK24" s="86"/>
      <c r="AL24" s="68" t="s">
        <v>1150</v>
      </c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70"/>
    </row>
    <row r="25" spans="1:68" s="1" customFormat="1" ht="30.75" customHeight="1">
      <c r="A25" s="74">
        <f t="shared" si="0"/>
        <v>17</v>
      </c>
      <c r="B25" s="75"/>
      <c r="C25" s="76"/>
      <c r="D25" s="71" t="s">
        <v>1163</v>
      </c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3"/>
      <c r="AA25" s="74" t="s">
        <v>19</v>
      </c>
      <c r="AB25" s="75"/>
      <c r="AC25" s="75"/>
      <c r="AD25" s="75"/>
      <c r="AE25" s="76"/>
      <c r="AF25" s="74">
        <v>64</v>
      </c>
      <c r="AG25" s="75"/>
      <c r="AH25" s="76"/>
      <c r="AI25" s="86"/>
      <c r="AJ25" s="86"/>
      <c r="AK25" s="86"/>
      <c r="AL25" s="68" t="s">
        <v>1167</v>
      </c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70"/>
    </row>
    <row r="26" spans="1:68" s="1" customFormat="1" ht="30.75" customHeight="1">
      <c r="A26" s="74">
        <f t="shared" si="0"/>
        <v>18</v>
      </c>
      <c r="B26" s="75"/>
      <c r="C26" s="76"/>
      <c r="D26" s="71" t="s">
        <v>848</v>
      </c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3"/>
      <c r="AA26" s="74" t="s">
        <v>271</v>
      </c>
      <c r="AB26" s="75"/>
      <c r="AC26" s="75"/>
      <c r="AD26" s="75"/>
      <c r="AE26" s="76"/>
      <c r="AF26" s="74">
        <v>1000</v>
      </c>
      <c r="AG26" s="75"/>
      <c r="AH26" s="76"/>
      <c r="AI26" s="86"/>
      <c r="AJ26" s="86"/>
      <c r="AK26" s="86"/>
      <c r="AL26" s="68" t="s">
        <v>1151</v>
      </c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70"/>
    </row>
    <row r="27" spans="1:68" s="1" customFormat="1" ht="30.75" customHeight="1">
      <c r="A27" s="74">
        <f t="shared" si="0"/>
        <v>19</v>
      </c>
      <c r="B27" s="75"/>
      <c r="C27" s="76"/>
      <c r="D27" s="71" t="s">
        <v>849</v>
      </c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3"/>
      <c r="AA27" s="74" t="s">
        <v>271</v>
      </c>
      <c r="AB27" s="75"/>
      <c r="AC27" s="75"/>
      <c r="AD27" s="75"/>
      <c r="AE27" s="76"/>
      <c r="AF27" s="74">
        <v>500</v>
      </c>
      <c r="AG27" s="75"/>
      <c r="AH27" s="76"/>
      <c r="AI27" s="86"/>
      <c r="AJ27" s="86"/>
      <c r="AK27" s="86"/>
      <c r="AL27" s="68" t="s">
        <v>1152</v>
      </c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70"/>
    </row>
    <row r="28" spans="1:68" s="1" customFormat="1" ht="30.75" customHeight="1">
      <c r="A28" s="74">
        <f t="shared" si="0"/>
        <v>20</v>
      </c>
      <c r="B28" s="75"/>
      <c r="C28" s="76"/>
      <c r="D28" s="71" t="s">
        <v>1134</v>
      </c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3"/>
      <c r="AA28" s="74" t="s">
        <v>274</v>
      </c>
      <c r="AB28" s="75"/>
      <c r="AC28" s="75"/>
      <c r="AD28" s="75"/>
      <c r="AE28" s="76"/>
      <c r="AF28" s="74">
        <v>14</v>
      </c>
      <c r="AG28" s="75"/>
      <c r="AH28" s="76"/>
      <c r="AI28" s="86"/>
      <c r="AJ28" s="86"/>
      <c r="AK28" s="86"/>
      <c r="AL28" s="68" t="s">
        <v>1153</v>
      </c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70"/>
    </row>
    <row r="29" spans="1:68" s="1" customFormat="1" ht="30.75" customHeight="1">
      <c r="A29" s="74">
        <f t="shared" si="0"/>
        <v>21</v>
      </c>
      <c r="B29" s="75"/>
      <c r="C29" s="76"/>
      <c r="D29" s="71" t="s">
        <v>1135</v>
      </c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3"/>
      <c r="AA29" s="74" t="s">
        <v>271</v>
      </c>
      <c r="AB29" s="75"/>
      <c r="AC29" s="75"/>
      <c r="AD29" s="75"/>
      <c r="AE29" s="76"/>
      <c r="AF29" s="74">
        <v>8</v>
      </c>
      <c r="AG29" s="75"/>
      <c r="AH29" s="76"/>
      <c r="AI29" s="86"/>
      <c r="AJ29" s="86"/>
      <c r="AK29" s="86"/>
      <c r="AL29" s="68" t="s">
        <v>1154</v>
      </c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70"/>
    </row>
    <row r="30" spans="1:68" s="1" customFormat="1" ht="30.75" customHeight="1">
      <c r="A30" s="74">
        <f t="shared" si="0"/>
        <v>22</v>
      </c>
      <c r="B30" s="75"/>
      <c r="C30" s="76"/>
      <c r="D30" s="71" t="s">
        <v>1158</v>
      </c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3"/>
      <c r="AA30" s="74" t="s">
        <v>271</v>
      </c>
      <c r="AB30" s="75"/>
      <c r="AC30" s="75"/>
      <c r="AD30" s="75"/>
      <c r="AE30" s="76"/>
      <c r="AF30" s="74">
        <v>1</v>
      </c>
      <c r="AG30" s="75"/>
      <c r="AH30" s="76"/>
      <c r="AI30" s="86"/>
      <c r="AJ30" s="86"/>
      <c r="AK30" s="86"/>
      <c r="AL30" s="104" t="s">
        <v>1159</v>
      </c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70"/>
    </row>
    <row r="31" spans="1:68" s="1" customFormat="1" ht="30.75" customHeight="1">
      <c r="A31" s="74">
        <f t="shared" si="0"/>
        <v>23</v>
      </c>
      <c r="B31" s="75"/>
      <c r="C31" s="76"/>
      <c r="D31" s="71" t="s">
        <v>862</v>
      </c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3"/>
      <c r="AA31" s="74" t="s">
        <v>271</v>
      </c>
      <c r="AB31" s="75"/>
      <c r="AC31" s="75"/>
      <c r="AD31" s="75"/>
      <c r="AE31" s="76"/>
      <c r="AF31" s="74">
        <v>42</v>
      </c>
      <c r="AG31" s="75"/>
      <c r="AH31" s="76"/>
      <c r="AI31" s="86"/>
      <c r="AJ31" s="86"/>
      <c r="AK31" s="86"/>
      <c r="AL31" s="68" t="s">
        <v>1155</v>
      </c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70"/>
    </row>
    <row r="32" spans="1:68" s="1" customFormat="1" ht="30.75" customHeight="1">
      <c r="A32" s="74">
        <f t="shared" si="0"/>
        <v>24</v>
      </c>
      <c r="B32" s="75"/>
      <c r="C32" s="76"/>
      <c r="D32" s="71" t="s">
        <v>1234</v>
      </c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3"/>
      <c r="AA32" s="74" t="s">
        <v>271</v>
      </c>
      <c r="AB32" s="75"/>
      <c r="AC32" s="75"/>
      <c r="AD32" s="75"/>
      <c r="AE32" s="76"/>
      <c r="AF32" s="74">
        <v>1</v>
      </c>
      <c r="AG32" s="75"/>
      <c r="AH32" s="76"/>
      <c r="AI32" s="86"/>
      <c r="AJ32" s="86"/>
      <c r="AK32" s="86"/>
      <c r="AL32" s="104" t="s">
        <v>1235</v>
      </c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70"/>
    </row>
    <row r="33" spans="1:68" s="1" customFormat="1" ht="30.75" customHeight="1">
      <c r="A33" s="74">
        <f t="shared" si="0"/>
        <v>25</v>
      </c>
      <c r="B33" s="75"/>
      <c r="C33" s="76"/>
      <c r="D33" s="71" t="s">
        <v>200</v>
      </c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3"/>
      <c r="AA33" s="74" t="s">
        <v>274</v>
      </c>
      <c r="AB33" s="75"/>
      <c r="AC33" s="75"/>
      <c r="AD33" s="75"/>
      <c r="AE33" s="76"/>
      <c r="AF33" s="74">
        <v>3</v>
      </c>
      <c r="AG33" s="75"/>
      <c r="AH33" s="76"/>
      <c r="AI33" s="86"/>
      <c r="AJ33" s="86"/>
      <c r="AK33" s="86"/>
      <c r="AL33" s="68" t="s">
        <v>1139</v>
      </c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70"/>
    </row>
    <row r="34" spans="1:68" s="1" customFormat="1" ht="30.75" customHeight="1">
      <c r="A34" s="74">
        <f t="shared" si="0"/>
        <v>26</v>
      </c>
      <c r="B34" s="75"/>
      <c r="C34" s="76"/>
      <c r="D34" s="71" t="s">
        <v>1136</v>
      </c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3"/>
      <c r="AA34" s="74" t="s">
        <v>274</v>
      </c>
      <c r="AB34" s="75"/>
      <c r="AC34" s="75"/>
      <c r="AD34" s="75"/>
      <c r="AE34" s="76"/>
      <c r="AF34" s="74">
        <v>14</v>
      </c>
      <c r="AG34" s="75"/>
      <c r="AH34" s="76"/>
      <c r="AI34" s="86"/>
      <c r="AJ34" s="86"/>
      <c r="AK34" s="86"/>
      <c r="AL34" s="68" t="s">
        <v>1140</v>
      </c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70"/>
    </row>
    <row r="35" spans="1:68" s="1" customFormat="1" ht="30.75" customHeight="1">
      <c r="A35" s="74">
        <f t="shared" si="0"/>
        <v>27</v>
      </c>
      <c r="B35" s="75"/>
      <c r="C35" s="76"/>
      <c r="D35" s="71" t="s">
        <v>1137</v>
      </c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3"/>
      <c r="AA35" s="74" t="s">
        <v>274</v>
      </c>
      <c r="AB35" s="75"/>
      <c r="AC35" s="75"/>
      <c r="AD35" s="75"/>
      <c r="AE35" s="76"/>
      <c r="AF35" s="74">
        <v>15</v>
      </c>
      <c r="AG35" s="75"/>
      <c r="AH35" s="76"/>
      <c r="AI35" s="86"/>
      <c r="AJ35" s="86"/>
      <c r="AK35" s="86"/>
      <c r="AL35" s="68" t="s">
        <v>1141</v>
      </c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70"/>
    </row>
    <row r="36" spans="1:68" s="1" customFormat="1" ht="30.75" customHeight="1">
      <c r="A36" s="74">
        <f t="shared" si="0"/>
        <v>28</v>
      </c>
      <c r="B36" s="75"/>
      <c r="C36" s="76"/>
      <c r="D36" s="71" t="s">
        <v>1138</v>
      </c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3"/>
      <c r="AA36" s="74" t="s">
        <v>274</v>
      </c>
      <c r="AB36" s="75"/>
      <c r="AC36" s="75"/>
      <c r="AD36" s="75"/>
      <c r="AE36" s="76"/>
      <c r="AF36" s="74">
        <v>2</v>
      </c>
      <c r="AG36" s="75"/>
      <c r="AH36" s="76"/>
      <c r="AI36" s="86"/>
      <c r="AJ36" s="86"/>
      <c r="AK36" s="86"/>
      <c r="AL36" s="68" t="s">
        <v>1142</v>
      </c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70"/>
    </row>
    <row r="37" spans="1:68" s="1" customFormat="1" ht="30.75" customHeight="1">
      <c r="A37" s="74"/>
      <c r="B37" s="75"/>
      <c r="C37" s="76"/>
      <c r="D37" s="71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3"/>
      <c r="AA37" s="74"/>
      <c r="AB37" s="75"/>
      <c r="AC37" s="75"/>
      <c r="AD37" s="75"/>
      <c r="AE37" s="76"/>
      <c r="AF37" s="86"/>
      <c r="AG37" s="86"/>
      <c r="AH37" s="86"/>
      <c r="AI37" s="86"/>
      <c r="AJ37" s="86"/>
      <c r="AK37" s="86"/>
      <c r="AL37" s="68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70"/>
    </row>
    <row r="38" spans="1:68" s="1" customFormat="1" ht="30.75" customHeight="1">
      <c r="A38" s="91"/>
      <c r="B38" s="91"/>
      <c r="C38" s="91"/>
      <c r="D38" s="77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9"/>
      <c r="AA38" s="80"/>
      <c r="AB38" s="81"/>
      <c r="AC38" s="81"/>
      <c r="AD38" s="81"/>
      <c r="AE38" s="82"/>
      <c r="AF38" s="87"/>
      <c r="AG38" s="87"/>
      <c r="AH38" s="87"/>
      <c r="AI38" s="87"/>
      <c r="AJ38" s="87"/>
      <c r="AK38" s="87"/>
      <c r="AL38" s="83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5"/>
    </row>
    <row r="39" spans="1:68" s="4" customFormat="1" ht="3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3"/>
      <c r="AG39" s="3"/>
      <c r="AH39" s="3"/>
      <c r="AI39" s="3"/>
      <c r="AJ39" s="3"/>
      <c r="AK39" s="3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</row>
    <row r="40" spans="1:68" s="4" customFormat="1" ht="14.25">
      <c r="A40" s="5" t="s">
        <v>14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15"/>
      <c r="AG40" s="15"/>
      <c r="AH40" s="15"/>
      <c r="AI40" s="15"/>
      <c r="AJ40" s="15"/>
      <c r="AK40" s="15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6"/>
    </row>
    <row r="41" spans="1:68" s="4" customFormat="1" ht="20.25" customHeight="1">
      <c r="A41" s="5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6"/>
    </row>
    <row r="42" spans="1:68" s="4" customFormat="1" ht="20.25" customHeight="1">
      <c r="A42" s="5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6"/>
    </row>
    <row r="43" spans="1:68" s="4" customFormat="1" ht="20.25" customHeight="1">
      <c r="A43" s="5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6"/>
    </row>
    <row r="44" spans="1:68" s="4" customFormat="1" ht="20.25" customHeight="1">
      <c r="A44" s="5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6"/>
    </row>
    <row r="45" spans="1:68" s="4" customFormat="1" ht="20.25" customHeight="1">
      <c r="A45" s="7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9"/>
    </row>
    <row r="46" spans="1:68" ht="5.25" customHeight="1"/>
  </sheetData>
  <mergeCells count="205">
    <mergeCell ref="D20:Z20"/>
    <mergeCell ref="D16:Z16"/>
    <mergeCell ref="D25:Z25"/>
    <mergeCell ref="AL19:BP19"/>
    <mergeCell ref="AL10:BP10"/>
    <mergeCell ref="AL20:BP20"/>
    <mergeCell ref="AA20:AE20"/>
    <mergeCell ref="AA24:AE24"/>
    <mergeCell ref="AF15:AH15"/>
    <mergeCell ref="AA14:AE14"/>
    <mergeCell ref="AL14:BP14"/>
    <mergeCell ref="AI15:AK15"/>
    <mergeCell ref="AF10:AH10"/>
    <mergeCell ref="AI10:AK10"/>
    <mergeCell ref="AF14:AH14"/>
    <mergeCell ref="AI14:AK14"/>
    <mergeCell ref="AF13:AH13"/>
    <mergeCell ref="AA15:AE15"/>
    <mergeCell ref="AL15:BP15"/>
    <mergeCell ref="AA25:AE25"/>
    <mergeCell ref="AF25:AH25"/>
    <mergeCell ref="AI25:AK25"/>
    <mergeCell ref="D18:Z18"/>
    <mergeCell ref="D19:Z19"/>
    <mergeCell ref="AA11:AE11"/>
    <mergeCell ref="AF29:AH29"/>
    <mergeCell ref="AI29:AK29"/>
    <mergeCell ref="AL29:BP29"/>
    <mergeCell ref="AA27:AE27"/>
    <mergeCell ref="AF27:AH27"/>
    <mergeCell ref="AI27:AK27"/>
    <mergeCell ref="AL25:BP25"/>
    <mergeCell ref="AF20:AH20"/>
    <mergeCell ref="AA19:AE19"/>
    <mergeCell ref="AF19:AH19"/>
    <mergeCell ref="AI19:AK19"/>
    <mergeCell ref="AL26:BP26"/>
    <mergeCell ref="AF28:AH28"/>
    <mergeCell ref="AI28:AK28"/>
    <mergeCell ref="AA18:AE18"/>
    <mergeCell ref="AL18:BP18"/>
    <mergeCell ref="AI16:AK16"/>
    <mergeCell ref="AF18:AH18"/>
    <mergeCell ref="AI20:AK20"/>
    <mergeCell ref="AI18:AK18"/>
    <mergeCell ref="AL16:BP16"/>
    <mergeCell ref="AF17:AH17"/>
    <mergeCell ref="AI17:AK17"/>
    <mergeCell ref="AA13:AE13"/>
    <mergeCell ref="D14:Z14"/>
    <mergeCell ref="D15:Z15"/>
    <mergeCell ref="D17:Z17"/>
    <mergeCell ref="AA16:AE16"/>
    <mergeCell ref="A4:G4"/>
    <mergeCell ref="H4:BA4"/>
    <mergeCell ref="BB4:BE4"/>
    <mergeCell ref="BF4:BP4"/>
    <mergeCell ref="AF8:AH8"/>
    <mergeCell ref="AI8:AK8"/>
    <mergeCell ref="A9:C9"/>
    <mergeCell ref="AL9:BP9"/>
    <mergeCell ref="D9:Z9"/>
    <mergeCell ref="AA9:AE9"/>
    <mergeCell ref="AF9:AH9"/>
    <mergeCell ref="AI9:AK9"/>
    <mergeCell ref="AL8:BP8"/>
    <mergeCell ref="BF6:BI6"/>
    <mergeCell ref="BJ6:BP6"/>
    <mergeCell ref="AF16:AH16"/>
    <mergeCell ref="AL13:BP13"/>
    <mergeCell ref="A11:C11"/>
    <mergeCell ref="D11:Z11"/>
    <mergeCell ref="A10:C10"/>
    <mergeCell ref="A13:C13"/>
    <mergeCell ref="AA17:AE17"/>
    <mergeCell ref="AL17:BP17"/>
    <mergeCell ref="A6:G6"/>
    <mergeCell ref="H6:N6"/>
    <mergeCell ref="O6:Y6"/>
    <mergeCell ref="Z6:BE6"/>
    <mergeCell ref="AI12:AK12"/>
    <mergeCell ref="AL12:BP12"/>
    <mergeCell ref="A8:C8"/>
    <mergeCell ref="D8:Z8"/>
    <mergeCell ref="AA8:AE8"/>
    <mergeCell ref="D10:Z10"/>
    <mergeCell ref="AA10:AE10"/>
    <mergeCell ref="AF11:AH11"/>
    <mergeCell ref="AI11:AK11"/>
    <mergeCell ref="AL11:BP11"/>
    <mergeCell ref="AI13:AK13"/>
    <mergeCell ref="A12:C12"/>
    <mergeCell ref="D12:Z12"/>
    <mergeCell ref="AA12:AE12"/>
    <mergeCell ref="AF12:AH12"/>
    <mergeCell ref="D13:Z13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38:C38"/>
    <mergeCell ref="A14:C14"/>
    <mergeCell ref="A16:C16"/>
    <mergeCell ref="A18:C18"/>
    <mergeCell ref="A20:C20"/>
    <mergeCell ref="A35:C35"/>
    <mergeCell ref="A37:C37"/>
    <mergeCell ref="A33:C33"/>
    <mergeCell ref="A34:C34"/>
    <mergeCell ref="A27:C27"/>
    <mergeCell ref="A36:C36"/>
    <mergeCell ref="A26:C26"/>
    <mergeCell ref="A28:C28"/>
    <mergeCell ref="A25:C25"/>
    <mergeCell ref="A29:C29"/>
    <mergeCell ref="A30:C30"/>
    <mergeCell ref="A24:C24"/>
    <mergeCell ref="A31:C31"/>
    <mergeCell ref="A15:C15"/>
    <mergeCell ref="A17:C17"/>
    <mergeCell ref="A19:C19"/>
    <mergeCell ref="A32:C32"/>
    <mergeCell ref="A21:C21"/>
    <mergeCell ref="A23:C23"/>
    <mergeCell ref="AA31:AE31"/>
    <mergeCell ref="AL30:BP30"/>
    <mergeCell ref="AF36:AH36"/>
    <mergeCell ref="D32:Z32"/>
    <mergeCell ref="AA32:AE32"/>
    <mergeCell ref="AF32:AH32"/>
    <mergeCell ref="AI32:AK32"/>
    <mergeCell ref="AL32:BP32"/>
    <mergeCell ref="AI31:AK31"/>
    <mergeCell ref="AF31:AH31"/>
    <mergeCell ref="D30:Z30"/>
    <mergeCell ref="AA30:AE30"/>
    <mergeCell ref="AI36:AK36"/>
    <mergeCell ref="D36:Z36"/>
    <mergeCell ref="AF35:AH35"/>
    <mergeCell ref="AI35:AK35"/>
    <mergeCell ref="AA36:AE36"/>
    <mergeCell ref="AF30:AH30"/>
    <mergeCell ref="AI30:AK30"/>
    <mergeCell ref="AL31:BP31"/>
    <mergeCell ref="D31:Z31"/>
    <mergeCell ref="AL35:BP35"/>
    <mergeCell ref="D38:Z38"/>
    <mergeCell ref="AA38:AE38"/>
    <mergeCell ref="AL38:BP38"/>
    <mergeCell ref="D33:Z33"/>
    <mergeCell ref="AA33:AE33"/>
    <mergeCell ref="AL33:BP33"/>
    <mergeCell ref="D34:Z34"/>
    <mergeCell ref="AA34:AE34"/>
    <mergeCell ref="AL34:BP34"/>
    <mergeCell ref="AF33:AH33"/>
    <mergeCell ref="AI33:AK33"/>
    <mergeCell ref="AF34:AH34"/>
    <mergeCell ref="AI34:AK34"/>
    <mergeCell ref="AF38:AH38"/>
    <mergeCell ref="AI38:AK38"/>
    <mergeCell ref="AF37:AH37"/>
    <mergeCell ref="AL36:BP36"/>
    <mergeCell ref="D37:Z37"/>
    <mergeCell ref="AA37:AE37"/>
    <mergeCell ref="AL37:BP37"/>
    <mergeCell ref="D35:Z35"/>
    <mergeCell ref="AA35:AE35"/>
    <mergeCell ref="AI37:AK37"/>
    <mergeCell ref="D23:Z23"/>
    <mergeCell ref="AA23:AE23"/>
    <mergeCell ref="AF23:AH23"/>
    <mergeCell ref="AI23:AK23"/>
    <mergeCell ref="AL23:BP23"/>
    <mergeCell ref="D24:Z24"/>
    <mergeCell ref="AI24:AK24"/>
    <mergeCell ref="AL24:BP24"/>
    <mergeCell ref="AF24:AH24"/>
    <mergeCell ref="D28:Z28"/>
    <mergeCell ref="AA28:AE28"/>
    <mergeCell ref="AL28:BP28"/>
    <mergeCell ref="AF26:AH26"/>
    <mergeCell ref="D26:Z26"/>
    <mergeCell ref="AA26:AE26"/>
    <mergeCell ref="AA29:AE29"/>
    <mergeCell ref="AI26:AK26"/>
    <mergeCell ref="AL27:BP27"/>
    <mergeCell ref="D27:Z27"/>
    <mergeCell ref="D29:Z29"/>
    <mergeCell ref="D21:Z21"/>
    <mergeCell ref="AA21:AE21"/>
    <mergeCell ref="AF21:AH21"/>
    <mergeCell ref="AI21:AK21"/>
    <mergeCell ref="AL21:BP21"/>
    <mergeCell ref="A22:C22"/>
    <mergeCell ref="D22:Z22"/>
    <mergeCell ref="AA22:AE22"/>
    <mergeCell ref="AF22:AH22"/>
    <mergeCell ref="AI22:AK22"/>
    <mergeCell ref="AL22:BP22"/>
  </mergeCells>
  <phoneticPr fontId="2"/>
  <dataValidations count="2">
    <dataValidation type="list" allowBlank="1" showInputMessage="1" showErrorMessage="1" sqref="BJ6:BP6" xr:uid="{ED730341-1943-4F17-95AF-40D331CB27AC}">
      <formula1>"原票、画面,帳票,連動ファイル,論理ファイル"</formula1>
    </dataValidation>
    <dataValidation type="list" allowBlank="1" showInputMessage="1" showErrorMessage="1" sqref="AI10:AK10" xr:uid="{0566DD3D-3167-41A6-946D-6B85A7411A93}">
      <formula1>"〇"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A9B01-5D94-494E-A152-744DBD6CB80F}">
  <sheetPr codeName="Sheet10"/>
  <dimension ref="A1:BP44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1" width="2.125" style="56"/>
    <col min="32" max="32" width="2.875" style="56" bestFit="1" customWidth="1"/>
    <col min="33" max="38" width="2.125" style="56"/>
    <col min="39" max="44" width="0" style="56" hidden="1" customWidth="1"/>
    <col min="45" max="67" width="2.125" style="56"/>
    <col min="68" max="68" width="2.125" style="56" customWidth="1"/>
    <col min="69" max="16384" width="2.125" style="56"/>
  </cols>
  <sheetData>
    <row r="1" spans="1:68" s="39" customFormat="1" ht="18" customHeight="1">
      <c r="A1" s="39" t="s">
        <v>212</v>
      </c>
      <c r="BP1" s="40" t="s">
        <v>0</v>
      </c>
    </row>
    <row r="2" spans="1:68" s="41" customFormat="1" ht="18" customHeight="1">
      <c r="A2" s="191" t="s">
        <v>213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3"/>
      <c r="BB2" s="182" t="s">
        <v>1</v>
      </c>
      <c r="BC2" s="183"/>
      <c r="BD2" s="183"/>
      <c r="BE2" s="184"/>
      <c r="BF2" s="182" t="s">
        <v>214</v>
      </c>
      <c r="BG2" s="183"/>
      <c r="BH2" s="183"/>
      <c r="BI2" s="184"/>
      <c r="BJ2" s="182" t="s">
        <v>2</v>
      </c>
      <c r="BK2" s="183"/>
      <c r="BL2" s="183"/>
      <c r="BM2" s="184"/>
      <c r="BN2" s="183"/>
      <c r="BO2" s="183"/>
      <c r="BP2" s="184"/>
    </row>
    <row r="3" spans="1:68" s="39" customFormat="1" ht="18" customHeight="1">
      <c r="A3" s="181" t="s">
        <v>3</v>
      </c>
      <c r="B3" s="181"/>
      <c r="C3" s="181"/>
      <c r="D3" s="181"/>
      <c r="E3" s="181"/>
      <c r="F3" s="181"/>
      <c r="G3" s="181"/>
      <c r="H3" s="144" t="s">
        <v>562</v>
      </c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82" t="s">
        <v>4</v>
      </c>
      <c r="BC3" s="183"/>
      <c r="BD3" s="183"/>
      <c r="BE3" s="184"/>
      <c r="BF3" s="182" t="s">
        <v>563</v>
      </c>
      <c r="BG3" s="183"/>
      <c r="BH3" s="183"/>
      <c r="BI3" s="183"/>
      <c r="BJ3" s="183"/>
      <c r="BK3" s="183"/>
      <c r="BL3" s="183"/>
      <c r="BM3" s="183"/>
      <c r="BN3" s="183"/>
      <c r="BO3" s="183"/>
      <c r="BP3" s="184"/>
    </row>
    <row r="4" spans="1:68" s="39" customFormat="1" ht="18" customHeight="1">
      <c r="A4" s="181" t="s">
        <v>5</v>
      </c>
      <c r="B4" s="181"/>
      <c r="C4" s="181"/>
      <c r="D4" s="181"/>
      <c r="E4" s="181"/>
      <c r="F4" s="181"/>
      <c r="G4" s="181"/>
      <c r="H4" s="144" t="s">
        <v>198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182" t="s">
        <v>6</v>
      </c>
      <c r="BC4" s="183"/>
      <c r="BD4" s="183"/>
      <c r="BE4" s="184"/>
      <c r="BF4" s="182"/>
      <c r="BG4" s="183"/>
      <c r="BH4" s="183"/>
      <c r="BI4" s="183"/>
      <c r="BJ4" s="183"/>
      <c r="BK4" s="183"/>
      <c r="BL4" s="183"/>
      <c r="BM4" s="183"/>
      <c r="BN4" s="183"/>
      <c r="BO4" s="183"/>
      <c r="BP4" s="184"/>
    </row>
    <row r="5" spans="1:68" ht="6" customHeight="1"/>
    <row r="6" spans="1:68" s="43" customFormat="1" ht="20.25" customHeight="1">
      <c r="A6" s="175" t="s">
        <v>7</v>
      </c>
      <c r="B6" s="176"/>
      <c r="C6" s="176"/>
      <c r="D6" s="176"/>
      <c r="E6" s="176"/>
      <c r="F6" s="176"/>
      <c r="G6" s="177"/>
      <c r="H6" s="182" t="s">
        <v>202</v>
      </c>
      <c r="I6" s="183"/>
      <c r="J6" s="183"/>
      <c r="K6" s="183"/>
      <c r="L6" s="183"/>
      <c r="M6" s="183"/>
      <c r="N6" s="184"/>
      <c r="O6" s="175" t="s">
        <v>8</v>
      </c>
      <c r="P6" s="176"/>
      <c r="Q6" s="176"/>
      <c r="R6" s="176"/>
      <c r="S6" s="176"/>
      <c r="T6" s="176"/>
      <c r="U6" s="176"/>
      <c r="V6" s="176"/>
      <c r="W6" s="176"/>
      <c r="X6" s="176"/>
      <c r="Y6" s="177"/>
      <c r="Z6" s="185" t="s">
        <v>50</v>
      </c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7"/>
      <c r="BF6" s="175" t="s">
        <v>9</v>
      </c>
      <c r="BG6" s="176"/>
      <c r="BH6" s="176"/>
      <c r="BI6" s="177"/>
      <c r="BJ6" s="188" t="s">
        <v>17</v>
      </c>
      <c r="BK6" s="189"/>
      <c r="BL6" s="189"/>
      <c r="BM6" s="189"/>
      <c r="BN6" s="189"/>
      <c r="BO6" s="189"/>
      <c r="BP6" s="190"/>
    </row>
    <row r="7" spans="1:68" ht="5.25" customHeight="1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</row>
    <row r="8" spans="1:68" s="43" customFormat="1" ht="20.25" customHeight="1">
      <c r="A8" s="175" t="s">
        <v>11</v>
      </c>
      <c r="B8" s="176"/>
      <c r="C8" s="177"/>
      <c r="D8" s="175" t="s">
        <v>12</v>
      </c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7"/>
      <c r="AA8" s="178" t="s">
        <v>13</v>
      </c>
      <c r="AB8" s="179"/>
      <c r="AC8" s="179"/>
      <c r="AD8" s="179"/>
      <c r="AE8" s="180"/>
      <c r="AF8" s="175" t="s">
        <v>215</v>
      </c>
      <c r="AG8" s="176"/>
      <c r="AH8" s="177"/>
      <c r="AI8" s="175" t="s">
        <v>216</v>
      </c>
      <c r="AJ8" s="176"/>
      <c r="AK8" s="177"/>
      <c r="AL8" s="178" t="s">
        <v>199</v>
      </c>
      <c r="AM8" s="179"/>
      <c r="AN8" s="179"/>
      <c r="AO8" s="179"/>
      <c r="AP8" s="179"/>
      <c r="AQ8" s="179"/>
      <c r="AR8" s="179"/>
      <c r="AS8" s="179"/>
      <c r="AT8" s="179"/>
      <c r="AU8" s="179"/>
      <c r="AV8" s="179"/>
      <c r="AW8" s="179"/>
      <c r="AX8" s="179"/>
      <c r="AY8" s="179"/>
      <c r="AZ8" s="179"/>
      <c r="BA8" s="179"/>
      <c r="BB8" s="179"/>
      <c r="BC8" s="179"/>
      <c r="BD8" s="179"/>
      <c r="BE8" s="179"/>
      <c r="BF8" s="179"/>
      <c r="BG8" s="179"/>
      <c r="BH8" s="179"/>
      <c r="BI8" s="179"/>
      <c r="BJ8" s="179"/>
      <c r="BK8" s="179"/>
      <c r="BL8" s="179"/>
      <c r="BM8" s="179"/>
      <c r="BN8" s="179"/>
      <c r="BO8" s="179"/>
      <c r="BP8" s="180"/>
    </row>
    <row r="9" spans="1:68" s="43" customFormat="1" ht="30.75" customHeight="1">
      <c r="A9" s="166">
        <f t="shared" ref="A9:A31" si="0">ROW()-8</f>
        <v>1</v>
      </c>
      <c r="B9" s="167"/>
      <c r="C9" s="168"/>
      <c r="D9" s="169" t="s">
        <v>593</v>
      </c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1"/>
      <c r="AA9" s="166" t="s">
        <v>18</v>
      </c>
      <c r="AB9" s="167"/>
      <c r="AC9" s="167"/>
      <c r="AD9" s="167"/>
      <c r="AE9" s="168"/>
      <c r="AF9" s="166">
        <v>8</v>
      </c>
      <c r="AG9" s="167"/>
      <c r="AH9" s="168"/>
      <c r="AI9" s="166"/>
      <c r="AJ9" s="167"/>
      <c r="AK9" s="168"/>
      <c r="AL9" s="172" t="s">
        <v>595</v>
      </c>
      <c r="AM9" s="173"/>
      <c r="AN9" s="173"/>
      <c r="AO9" s="173"/>
      <c r="AP9" s="173"/>
      <c r="AQ9" s="173"/>
      <c r="AR9" s="173"/>
      <c r="AS9" s="173"/>
      <c r="AT9" s="173"/>
      <c r="AU9" s="173"/>
      <c r="AV9" s="173"/>
      <c r="AW9" s="173"/>
      <c r="AX9" s="173"/>
      <c r="AY9" s="173"/>
      <c r="AZ9" s="173"/>
      <c r="BA9" s="173"/>
      <c r="BB9" s="173"/>
      <c r="BC9" s="173"/>
      <c r="BD9" s="173"/>
      <c r="BE9" s="173"/>
      <c r="BF9" s="173"/>
      <c r="BG9" s="173"/>
      <c r="BH9" s="173"/>
      <c r="BI9" s="173"/>
      <c r="BJ9" s="173"/>
      <c r="BK9" s="173"/>
      <c r="BL9" s="173"/>
      <c r="BM9" s="173"/>
      <c r="BN9" s="173"/>
      <c r="BO9" s="173"/>
      <c r="BP9" s="174"/>
    </row>
    <row r="10" spans="1:68" s="43" customFormat="1" ht="30.75" customHeight="1">
      <c r="A10" s="160">
        <f t="shared" si="0"/>
        <v>2</v>
      </c>
      <c r="B10" s="161"/>
      <c r="C10" s="162"/>
      <c r="D10" s="157" t="s">
        <v>495</v>
      </c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9"/>
      <c r="AA10" s="160" t="s">
        <v>19</v>
      </c>
      <c r="AB10" s="161"/>
      <c r="AC10" s="161"/>
      <c r="AD10" s="161"/>
      <c r="AE10" s="162"/>
      <c r="AF10" s="160">
        <v>2</v>
      </c>
      <c r="AG10" s="161"/>
      <c r="AH10" s="162"/>
      <c r="AI10" s="160"/>
      <c r="AJ10" s="161"/>
      <c r="AK10" s="162"/>
      <c r="AL10" s="163" t="s">
        <v>564</v>
      </c>
      <c r="AM10" s="164"/>
      <c r="AN10" s="164"/>
      <c r="AO10" s="164"/>
      <c r="AP10" s="164"/>
      <c r="AQ10" s="164"/>
      <c r="AR10" s="164"/>
      <c r="AS10" s="164"/>
      <c r="AT10" s="164"/>
      <c r="AU10" s="164"/>
      <c r="AV10" s="164"/>
      <c r="AW10" s="164"/>
      <c r="AX10" s="164"/>
      <c r="AY10" s="164"/>
      <c r="AZ10" s="164"/>
      <c r="BA10" s="164"/>
      <c r="BB10" s="164"/>
      <c r="BC10" s="164"/>
      <c r="BD10" s="164"/>
      <c r="BE10" s="164"/>
      <c r="BF10" s="164"/>
      <c r="BG10" s="164"/>
      <c r="BH10" s="164"/>
      <c r="BI10" s="164"/>
      <c r="BJ10" s="164"/>
      <c r="BK10" s="164"/>
      <c r="BL10" s="164"/>
      <c r="BM10" s="164"/>
      <c r="BN10" s="164"/>
      <c r="BO10" s="164"/>
      <c r="BP10" s="165"/>
    </row>
    <row r="11" spans="1:68" s="43" customFormat="1" ht="30.75" customHeight="1">
      <c r="A11" s="160">
        <f t="shared" si="0"/>
        <v>3</v>
      </c>
      <c r="B11" s="161"/>
      <c r="C11" s="162"/>
      <c r="D11" s="157" t="s">
        <v>541</v>
      </c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9"/>
      <c r="AA11" s="160" t="s">
        <v>19</v>
      </c>
      <c r="AB11" s="161"/>
      <c r="AC11" s="161"/>
      <c r="AD11" s="161"/>
      <c r="AE11" s="162"/>
      <c r="AF11" s="160">
        <v>10</v>
      </c>
      <c r="AG11" s="161"/>
      <c r="AH11" s="162"/>
      <c r="AI11" s="160"/>
      <c r="AJ11" s="161"/>
      <c r="AK11" s="162"/>
      <c r="AL11" s="163" t="s">
        <v>565</v>
      </c>
      <c r="AM11" s="164"/>
      <c r="AN11" s="164"/>
      <c r="AO11" s="164"/>
      <c r="AP11" s="164"/>
      <c r="AQ11" s="164"/>
      <c r="AR11" s="164"/>
      <c r="AS11" s="164"/>
      <c r="AT11" s="164"/>
      <c r="AU11" s="164"/>
      <c r="AV11" s="164"/>
      <c r="AW11" s="164"/>
      <c r="AX11" s="164"/>
      <c r="AY11" s="164"/>
      <c r="AZ11" s="164"/>
      <c r="BA11" s="164"/>
      <c r="BB11" s="164"/>
      <c r="BC11" s="164"/>
      <c r="BD11" s="164"/>
      <c r="BE11" s="164"/>
      <c r="BF11" s="164"/>
      <c r="BG11" s="164"/>
      <c r="BH11" s="164"/>
      <c r="BI11" s="164"/>
      <c r="BJ11" s="164"/>
      <c r="BK11" s="164"/>
      <c r="BL11" s="164"/>
      <c r="BM11" s="164"/>
      <c r="BN11" s="164"/>
      <c r="BO11" s="164"/>
      <c r="BP11" s="165"/>
    </row>
    <row r="12" spans="1:68" s="43" customFormat="1" ht="30.75" customHeight="1">
      <c r="A12" s="160">
        <f t="shared" si="0"/>
        <v>4</v>
      </c>
      <c r="B12" s="161"/>
      <c r="C12" s="162"/>
      <c r="D12" s="157" t="s">
        <v>542</v>
      </c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9"/>
      <c r="AA12" s="160" t="s">
        <v>19</v>
      </c>
      <c r="AB12" s="161"/>
      <c r="AC12" s="161"/>
      <c r="AD12" s="161"/>
      <c r="AE12" s="162"/>
      <c r="AF12" s="160">
        <v>4</v>
      </c>
      <c r="AG12" s="161"/>
      <c r="AH12" s="162"/>
      <c r="AI12" s="160"/>
      <c r="AJ12" s="161"/>
      <c r="AK12" s="162"/>
      <c r="AL12" s="163" t="s">
        <v>566</v>
      </c>
      <c r="AM12" s="164"/>
      <c r="AN12" s="164"/>
      <c r="AO12" s="164"/>
      <c r="AP12" s="164"/>
      <c r="AQ12" s="164"/>
      <c r="AR12" s="164"/>
      <c r="AS12" s="164"/>
      <c r="AT12" s="164"/>
      <c r="AU12" s="164"/>
      <c r="AV12" s="164"/>
      <c r="AW12" s="164"/>
      <c r="AX12" s="164"/>
      <c r="AY12" s="164"/>
      <c r="AZ12" s="164"/>
      <c r="BA12" s="164"/>
      <c r="BB12" s="164"/>
      <c r="BC12" s="164"/>
      <c r="BD12" s="164"/>
      <c r="BE12" s="164"/>
      <c r="BF12" s="164"/>
      <c r="BG12" s="164"/>
      <c r="BH12" s="164"/>
      <c r="BI12" s="164"/>
      <c r="BJ12" s="164"/>
      <c r="BK12" s="164"/>
      <c r="BL12" s="164"/>
      <c r="BM12" s="164"/>
      <c r="BN12" s="164"/>
      <c r="BO12" s="164"/>
      <c r="BP12" s="165"/>
    </row>
    <row r="13" spans="1:68" s="43" customFormat="1" ht="30.75" customHeight="1">
      <c r="A13" s="160">
        <f t="shared" si="0"/>
        <v>5</v>
      </c>
      <c r="B13" s="161"/>
      <c r="C13" s="162"/>
      <c r="D13" s="157" t="s">
        <v>543</v>
      </c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9"/>
      <c r="AA13" s="160" t="s">
        <v>19</v>
      </c>
      <c r="AB13" s="161"/>
      <c r="AC13" s="161"/>
      <c r="AD13" s="161"/>
      <c r="AE13" s="162"/>
      <c r="AF13" s="160">
        <v>15</v>
      </c>
      <c r="AG13" s="161"/>
      <c r="AH13" s="162"/>
      <c r="AI13" s="160"/>
      <c r="AJ13" s="161"/>
      <c r="AK13" s="162"/>
      <c r="AL13" s="163" t="s">
        <v>567</v>
      </c>
      <c r="AM13" s="164"/>
      <c r="AN13" s="164"/>
      <c r="AO13" s="164"/>
      <c r="AP13" s="164"/>
      <c r="AQ13" s="164"/>
      <c r="AR13" s="164"/>
      <c r="AS13" s="164"/>
      <c r="AT13" s="164"/>
      <c r="AU13" s="164"/>
      <c r="AV13" s="164"/>
      <c r="AW13" s="164"/>
      <c r="AX13" s="164"/>
      <c r="AY13" s="164"/>
      <c r="AZ13" s="164"/>
      <c r="BA13" s="164"/>
      <c r="BB13" s="164"/>
      <c r="BC13" s="164"/>
      <c r="BD13" s="164"/>
      <c r="BE13" s="164"/>
      <c r="BF13" s="164"/>
      <c r="BG13" s="164"/>
      <c r="BH13" s="164"/>
      <c r="BI13" s="164"/>
      <c r="BJ13" s="164"/>
      <c r="BK13" s="164"/>
      <c r="BL13" s="164"/>
      <c r="BM13" s="164"/>
      <c r="BN13" s="164"/>
      <c r="BO13" s="164"/>
      <c r="BP13" s="165"/>
    </row>
    <row r="14" spans="1:68" s="43" customFormat="1" ht="30.75" customHeight="1">
      <c r="A14" s="160">
        <f t="shared" si="0"/>
        <v>6</v>
      </c>
      <c r="B14" s="161"/>
      <c r="C14" s="162"/>
      <c r="D14" s="157" t="s">
        <v>544</v>
      </c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9"/>
      <c r="AA14" s="160" t="s">
        <v>19</v>
      </c>
      <c r="AB14" s="161"/>
      <c r="AC14" s="161"/>
      <c r="AD14" s="161"/>
      <c r="AE14" s="162"/>
      <c r="AF14" s="160">
        <v>1</v>
      </c>
      <c r="AG14" s="161"/>
      <c r="AH14" s="162"/>
      <c r="AI14" s="160"/>
      <c r="AJ14" s="161"/>
      <c r="AK14" s="162"/>
      <c r="AL14" s="163" t="s">
        <v>568</v>
      </c>
      <c r="AM14" s="164"/>
      <c r="AN14" s="164"/>
      <c r="AO14" s="164"/>
      <c r="AP14" s="164"/>
      <c r="AQ14" s="164"/>
      <c r="AR14" s="164"/>
      <c r="AS14" s="164"/>
      <c r="AT14" s="164"/>
      <c r="AU14" s="164"/>
      <c r="AV14" s="164"/>
      <c r="AW14" s="164"/>
      <c r="AX14" s="164"/>
      <c r="AY14" s="164"/>
      <c r="AZ14" s="164"/>
      <c r="BA14" s="164"/>
      <c r="BB14" s="164"/>
      <c r="BC14" s="164"/>
      <c r="BD14" s="164"/>
      <c r="BE14" s="164"/>
      <c r="BF14" s="164"/>
      <c r="BG14" s="164"/>
      <c r="BH14" s="164"/>
      <c r="BI14" s="164"/>
      <c r="BJ14" s="164"/>
      <c r="BK14" s="164"/>
      <c r="BL14" s="164"/>
      <c r="BM14" s="164"/>
      <c r="BN14" s="164"/>
      <c r="BO14" s="164"/>
      <c r="BP14" s="165"/>
    </row>
    <row r="15" spans="1:68" s="43" customFormat="1" ht="30.75" customHeight="1">
      <c r="A15" s="160">
        <f t="shared" si="0"/>
        <v>7</v>
      </c>
      <c r="B15" s="161"/>
      <c r="C15" s="162"/>
      <c r="D15" s="157" t="s">
        <v>545</v>
      </c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9"/>
      <c r="AA15" s="160" t="s">
        <v>19</v>
      </c>
      <c r="AB15" s="161"/>
      <c r="AC15" s="161"/>
      <c r="AD15" s="161"/>
      <c r="AE15" s="162"/>
      <c r="AF15" s="160">
        <v>2</v>
      </c>
      <c r="AG15" s="161"/>
      <c r="AH15" s="162"/>
      <c r="AI15" s="160"/>
      <c r="AJ15" s="161"/>
      <c r="AK15" s="162"/>
      <c r="AL15" s="163" t="s">
        <v>569</v>
      </c>
      <c r="AM15" s="164"/>
      <c r="AN15" s="164"/>
      <c r="AO15" s="164"/>
      <c r="AP15" s="164"/>
      <c r="AQ15" s="164"/>
      <c r="AR15" s="164"/>
      <c r="AS15" s="164"/>
      <c r="AT15" s="164"/>
      <c r="AU15" s="164"/>
      <c r="AV15" s="164"/>
      <c r="AW15" s="164"/>
      <c r="AX15" s="164"/>
      <c r="AY15" s="164"/>
      <c r="AZ15" s="164"/>
      <c r="BA15" s="164"/>
      <c r="BB15" s="164"/>
      <c r="BC15" s="164"/>
      <c r="BD15" s="164"/>
      <c r="BE15" s="164"/>
      <c r="BF15" s="164"/>
      <c r="BG15" s="164"/>
      <c r="BH15" s="164"/>
      <c r="BI15" s="164"/>
      <c r="BJ15" s="164"/>
      <c r="BK15" s="164"/>
      <c r="BL15" s="164"/>
      <c r="BM15" s="164"/>
      <c r="BN15" s="164"/>
      <c r="BO15" s="164"/>
      <c r="BP15" s="165"/>
    </row>
    <row r="16" spans="1:68" s="43" customFormat="1" ht="30.75" customHeight="1">
      <c r="A16" s="160">
        <f t="shared" si="0"/>
        <v>8</v>
      </c>
      <c r="B16" s="161"/>
      <c r="C16" s="162"/>
      <c r="D16" s="157" t="s">
        <v>546</v>
      </c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9"/>
      <c r="AA16" s="160" t="s">
        <v>19</v>
      </c>
      <c r="AB16" s="161"/>
      <c r="AC16" s="161"/>
      <c r="AD16" s="161"/>
      <c r="AE16" s="162"/>
      <c r="AF16" s="160">
        <v>8</v>
      </c>
      <c r="AG16" s="161"/>
      <c r="AH16" s="162"/>
      <c r="AI16" s="160"/>
      <c r="AJ16" s="161"/>
      <c r="AK16" s="162"/>
      <c r="AL16" s="163" t="s">
        <v>570</v>
      </c>
      <c r="AM16" s="164"/>
      <c r="AN16" s="164"/>
      <c r="AO16" s="164"/>
      <c r="AP16" s="164"/>
      <c r="AQ16" s="164"/>
      <c r="AR16" s="164"/>
      <c r="AS16" s="164"/>
      <c r="AT16" s="164"/>
      <c r="AU16" s="164"/>
      <c r="AV16" s="164"/>
      <c r="AW16" s="164"/>
      <c r="AX16" s="164"/>
      <c r="AY16" s="164"/>
      <c r="AZ16" s="164"/>
      <c r="BA16" s="164"/>
      <c r="BB16" s="164"/>
      <c r="BC16" s="164"/>
      <c r="BD16" s="164"/>
      <c r="BE16" s="164"/>
      <c r="BF16" s="164"/>
      <c r="BG16" s="164"/>
      <c r="BH16" s="164"/>
      <c r="BI16" s="164"/>
      <c r="BJ16" s="164"/>
      <c r="BK16" s="164"/>
      <c r="BL16" s="164"/>
      <c r="BM16" s="164"/>
      <c r="BN16" s="164"/>
      <c r="BO16" s="164"/>
      <c r="BP16" s="165"/>
    </row>
    <row r="17" spans="1:68" s="43" customFormat="1" ht="30.75" customHeight="1">
      <c r="A17" s="160">
        <f t="shared" si="0"/>
        <v>9</v>
      </c>
      <c r="B17" s="161"/>
      <c r="C17" s="162"/>
      <c r="D17" s="157" t="s">
        <v>547</v>
      </c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9"/>
      <c r="AA17" s="160" t="s">
        <v>19</v>
      </c>
      <c r="AB17" s="161"/>
      <c r="AC17" s="161"/>
      <c r="AD17" s="161"/>
      <c r="AE17" s="162"/>
      <c r="AF17" s="160">
        <v>19</v>
      </c>
      <c r="AG17" s="161"/>
      <c r="AH17" s="162"/>
      <c r="AI17" s="160"/>
      <c r="AJ17" s="161"/>
      <c r="AK17" s="162"/>
      <c r="AL17" s="163" t="s">
        <v>571</v>
      </c>
      <c r="AM17" s="164"/>
      <c r="AN17" s="164"/>
      <c r="AO17" s="164"/>
      <c r="AP17" s="164"/>
      <c r="AQ17" s="164"/>
      <c r="AR17" s="164"/>
      <c r="AS17" s="164"/>
      <c r="AT17" s="164"/>
      <c r="AU17" s="164"/>
      <c r="AV17" s="164"/>
      <c r="AW17" s="164"/>
      <c r="AX17" s="164"/>
      <c r="AY17" s="164"/>
      <c r="AZ17" s="164"/>
      <c r="BA17" s="164"/>
      <c r="BB17" s="164"/>
      <c r="BC17" s="164"/>
      <c r="BD17" s="164"/>
      <c r="BE17" s="164"/>
      <c r="BF17" s="164"/>
      <c r="BG17" s="164"/>
      <c r="BH17" s="164"/>
      <c r="BI17" s="164"/>
      <c r="BJ17" s="164"/>
      <c r="BK17" s="164"/>
      <c r="BL17" s="164"/>
      <c r="BM17" s="164"/>
      <c r="BN17" s="164"/>
      <c r="BO17" s="164"/>
      <c r="BP17" s="165"/>
    </row>
    <row r="18" spans="1:68" s="43" customFormat="1" ht="30.75" customHeight="1">
      <c r="A18" s="160">
        <f t="shared" si="0"/>
        <v>10</v>
      </c>
      <c r="B18" s="161"/>
      <c r="C18" s="162"/>
      <c r="D18" s="157" t="s">
        <v>548</v>
      </c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9"/>
      <c r="AA18" s="160" t="s">
        <v>19</v>
      </c>
      <c r="AB18" s="161"/>
      <c r="AC18" s="161"/>
      <c r="AD18" s="161"/>
      <c r="AE18" s="162"/>
      <c r="AF18" s="160">
        <v>4</v>
      </c>
      <c r="AG18" s="161"/>
      <c r="AH18" s="162"/>
      <c r="AI18" s="160"/>
      <c r="AJ18" s="161"/>
      <c r="AK18" s="162"/>
      <c r="AL18" s="163" t="s">
        <v>572</v>
      </c>
      <c r="AM18" s="164"/>
      <c r="AN18" s="164"/>
      <c r="AO18" s="164"/>
      <c r="AP18" s="164"/>
      <c r="AQ18" s="164"/>
      <c r="AR18" s="164"/>
      <c r="AS18" s="164"/>
      <c r="AT18" s="164"/>
      <c r="AU18" s="164"/>
      <c r="AV18" s="164"/>
      <c r="AW18" s="164"/>
      <c r="AX18" s="164"/>
      <c r="AY18" s="164"/>
      <c r="AZ18" s="164"/>
      <c r="BA18" s="164"/>
      <c r="BB18" s="164"/>
      <c r="BC18" s="164"/>
      <c r="BD18" s="164"/>
      <c r="BE18" s="164"/>
      <c r="BF18" s="164"/>
      <c r="BG18" s="164"/>
      <c r="BH18" s="164"/>
      <c r="BI18" s="164"/>
      <c r="BJ18" s="164"/>
      <c r="BK18" s="164"/>
      <c r="BL18" s="164"/>
      <c r="BM18" s="164"/>
      <c r="BN18" s="164"/>
      <c r="BO18" s="164"/>
      <c r="BP18" s="165"/>
    </row>
    <row r="19" spans="1:68" s="43" customFormat="1" ht="30.75" customHeight="1">
      <c r="A19" s="160">
        <f t="shared" si="0"/>
        <v>11</v>
      </c>
      <c r="B19" s="161"/>
      <c r="C19" s="162"/>
      <c r="D19" s="157" t="s">
        <v>549</v>
      </c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9"/>
      <c r="AA19" s="160" t="s">
        <v>19</v>
      </c>
      <c r="AB19" s="161"/>
      <c r="AC19" s="161"/>
      <c r="AD19" s="161"/>
      <c r="AE19" s="162"/>
      <c r="AF19" s="160">
        <v>18</v>
      </c>
      <c r="AG19" s="161"/>
      <c r="AH19" s="162"/>
      <c r="AI19" s="160"/>
      <c r="AJ19" s="161"/>
      <c r="AK19" s="162"/>
      <c r="AL19" s="163" t="s">
        <v>573</v>
      </c>
      <c r="AM19" s="164"/>
      <c r="AN19" s="164"/>
      <c r="AO19" s="164"/>
      <c r="AP19" s="164"/>
      <c r="AQ19" s="164"/>
      <c r="AR19" s="164"/>
      <c r="AS19" s="164"/>
      <c r="AT19" s="164"/>
      <c r="AU19" s="164"/>
      <c r="AV19" s="164"/>
      <c r="AW19" s="164"/>
      <c r="AX19" s="164"/>
      <c r="AY19" s="164"/>
      <c r="AZ19" s="164"/>
      <c r="BA19" s="164"/>
      <c r="BB19" s="164"/>
      <c r="BC19" s="164"/>
      <c r="BD19" s="164"/>
      <c r="BE19" s="164"/>
      <c r="BF19" s="164"/>
      <c r="BG19" s="164"/>
      <c r="BH19" s="164"/>
      <c r="BI19" s="164"/>
      <c r="BJ19" s="164"/>
      <c r="BK19" s="164"/>
      <c r="BL19" s="164"/>
      <c r="BM19" s="164"/>
      <c r="BN19" s="164"/>
      <c r="BO19" s="164"/>
      <c r="BP19" s="165"/>
    </row>
    <row r="20" spans="1:68" s="43" customFormat="1" ht="30.75" customHeight="1">
      <c r="A20" s="160">
        <f t="shared" si="0"/>
        <v>12</v>
      </c>
      <c r="B20" s="161"/>
      <c r="C20" s="162"/>
      <c r="D20" s="157" t="s">
        <v>551</v>
      </c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9"/>
      <c r="AA20" s="160" t="s">
        <v>19</v>
      </c>
      <c r="AB20" s="161"/>
      <c r="AC20" s="161"/>
      <c r="AD20" s="161"/>
      <c r="AE20" s="162"/>
      <c r="AF20" s="160">
        <v>4</v>
      </c>
      <c r="AG20" s="161"/>
      <c r="AH20" s="162"/>
      <c r="AI20" s="160"/>
      <c r="AJ20" s="161"/>
      <c r="AK20" s="162"/>
      <c r="AL20" s="163" t="s">
        <v>574</v>
      </c>
      <c r="AM20" s="164"/>
      <c r="AN20" s="164"/>
      <c r="AO20" s="164"/>
      <c r="AP20" s="164"/>
      <c r="AQ20" s="164"/>
      <c r="AR20" s="164"/>
      <c r="AS20" s="164"/>
      <c r="AT20" s="164"/>
      <c r="AU20" s="164"/>
      <c r="AV20" s="164"/>
      <c r="AW20" s="164"/>
      <c r="AX20" s="164"/>
      <c r="AY20" s="164"/>
      <c r="AZ20" s="164"/>
      <c r="BA20" s="164"/>
      <c r="BB20" s="164"/>
      <c r="BC20" s="164"/>
      <c r="BD20" s="164"/>
      <c r="BE20" s="164"/>
      <c r="BF20" s="164"/>
      <c r="BG20" s="164"/>
      <c r="BH20" s="164"/>
      <c r="BI20" s="164"/>
      <c r="BJ20" s="164"/>
      <c r="BK20" s="164"/>
      <c r="BL20" s="164"/>
      <c r="BM20" s="164"/>
      <c r="BN20" s="164"/>
      <c r="BO20" s="164"/>
      <c r="BP20" s="165"/>
    </row>
    <row r="21" spans="1:68" s="43" customFormat="1" ht="30.75" customHeight="1">
      <c r="A21" s="160">
        <f t="shared" si="0"/>
        <v>13</v>
      </c>
      <c r="B21" s="161"/>
      <c r="C21" s="162"/>
      <c r="D21" s="157" t="s">
        <v>552</v>
      </c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9"/>
      <c r="AA21" s="160" t="s">
        <v>19</v>
      </c>
      <c r="AB21" s="161"/>
      <c r="AC21" s="161"/>
      <c r="AD21" s="161"/>
      <c r="AE21" s="162"/>
      <c r="AF21" s="160">
        <v>60</v>
      </c>
      <c r="AG21" s="161"/>
      <c r="AH21" s="162"/>
      <c r="AI21" s="160"/>
      <c r="AJ21" s="161"/>
      <c r="AK21" s="162"/>
      <c r="AL21" s="163" t="s">
        <v>575</v>
      </c>
      <c r="AM21" s="164"/>
      <c r="AN21" s="164"/>
      <c r="AO21" s="164"/>
      <c r="AP21" s="164"/>
      <c r="AQ21" s="164"/>
      <c r="AR21" s="164"/>
      <c r="AS21" s="164"/>
      <c r="AT21" s="164"/>
      <c r="AU21" s="164"/>
      <c r="AV21" s="164"/>
      <c r="AW21" s="164"/>
      <c r="AX21" s="164"/>
      <c r="AY21" s="164"/>
      <c r="AZ21" s="164"/>
      <c r="BA21" s="164"/>
      <c r="BB21" s="164"/>
      <c r="BC21" s="164"/>
      <c r="BD21" s="164"/>
      <c r="BE21" s="164"/>
      <c r="BF21" s="164"/>
      <c r="BG21" s="164"/>
      <c r="BH21" s="164"/>
      <c r="BI21" s="164"/>
      <c r="BJ21" s="164"/>
      <c r="BK21" s="164"/>
      <c r="BL21" s="164"/>
      <c r="BM21" s="164"/>
      <c r="BN21" s="164"/>
      <c r="BO21" s="164"/>
      <c r="BP21" s="165"/>
    </row>
    <row r="22" spans="1:68" s="43" customFormat="1" ht="30.75" customHeight="1">
      <c r="A22" s="160">
        <f t="shared" si="0"/>
        <v>14</v>
      </c>
      <c r="B22" s="161"/>
      <c r="C22" s="162"/>
      <c r="D22" s="157" t="s">
        <v>553</v>
      </c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9"/>
      <c r="AA22" s="160" t="s">
        <v>18</v>
      </c>
      <c r="AB22" s="161"/>
      <c r="AC22" s="161"/>
      <c r="AD22" s="161"/>
      <c r="AE22" s="162"/>
      <c r="AF22" s="160">
        <v>14</v>
      </c>
      <c r="AG22" s="161"/>
      <c r="AH22" s="162"/>
      <c r="AI22" s="160" t="s">
        <v>1302</v>
      </c>
      <c r="AJ22" s="161"/>
      <c r="AK22" s="162"/>
      <c r="AL22" s="163" t="s">
        <v>576</v>
      </c>
      <c r="AM22" s="164"/>
      <c r="AN22" s="164"/>
      <c r="AO22" s="164"/>
      <c r="AP22" s="164"/>
      <c r="AQ22" s="164"/>
      <c r="AR22" s="164"/>
      <c r="AS22" s="164"/>
      <c r="AT22" s="164"/>
      <c r="AU22" s="164"/>
      <c r="AV22" s="164"/>
      <c r="AW22" s="164"/>
      <c r="AX22" s="164"/>
      <c r="AY22" s="164"/>
      <c r="AZ22" s="164"/>
      <c r="BA22" s="164"/>
      <c r="BB22" s="164"/>
      <c r="BC22" s="164"/>
      <c r="BD22" s="164"/>
      <c r="BE22" s="164"/>
      <c r="BF22" s="164"/>
      <c r="BG22" s="164"/>
      <c r="BH22" s="164"/>
      <c r="BI22" s="164"/>
      <c r="BJ22" s="164"/>
      <c r="BK22" s="164"/>
      <c r="BL22" s="164"/>
      <c r="BM22" s="164"/>
      <c r="BN22" s="164"/>
      <c r="BO22" s="164"/>
      <c r="BP22" s="165"/>
    </row>
    <row r="23" spans="1:68" s="43" customFormat="1" ht="30.75" customHeight="1">
      <c r="A23" s="160">
        <f t="shared" si="0"/>
        <v>15</v>
      </c>
      <c r="B23" s="161"/>
      <c r="C23" s="162"/>
      <c r="D23" s="157" t="s">
        <v>1283</v>
      </c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9"/>
      <c r="AA23" s="160" t="s">
        <v>19</v>
      </c>
      <c r="AB23" s="161"/>
      <c r="AC23" s="161"/>
      <c r="AD23" s="161"/>
      <c r="AE23" s="162"/>
      <c r="AF23" s="160">
        <v>1</v>
      </c>
      <c r="AG23" s="161"/>
      <c r="AH23" s="162"/>
      <c r="AI23" s="160"/>
      <c r="AJ23" s="161"/>
      <c r="AK23" s="162"/>
      <c r="AL23" s="163" t="s">
        <v>1285</v>
      </c>
      <c r="AM23" s="164"/>
      <c r="AN23" s="164"/>
      <c r="AO23" s="164"/>
      <c r="AP23" s="164"/>
      <c r="AQ23" s="164"/>
      <c r="AR23" s="164"/>
      <c r="AS23" s="164"/>
      <c r="AT23" s="164"/>
      <c r="AU23" s="164"/>
      <c r="AV23" s="164"/>
      <c r="AW23" s="164"/>
      <c r="AX23" s="164"/>
      <c r="AY23" s="164"/>
      <c r="AZ23" s="164"/>
      <c r="BA23" s="164"/>
      <c r="BB23" s="164"/>
      <c r="BC23" s="164"/>
      <c r="BD23" s="164"/>
      <c r="BE23" s="164"/>
      <c r="BF23" s="164"/>
      <c r="BG23" s="164"/>
      <c r="BH23" s="164"/>
      <c r="BI23" s="164"/>
      <c r="BJ23" s="164"/>
      <c r="BK23" s="164"/>
      <c r="BL23" s="164"/>
      <c r="BM23" s="164"/>
      <c r="BN23" s="164"/>
      <c r="BO23" s="164"/>
      <c r="BP23" s="165"/>
    </row>
    <row r="24" spans="1:68" s="43" customFormat="1" ht="30.75" customHeight="1">
      <c r="A24" s="160">
        <f t="shared" si="0"/>
        <v>16</v>
      </c>
      <c r="B24" s="161"/>
      <c r="C24" s="162"/>
      <c r="D24" s="157" t="s">
        <v>1284</v>
      </c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9"/>
      <c r="AA24" s="160" t="s">
        <v>19</v>
      </c>
      <c r="AB24" s="161"/>
      <c r="AC24" s="161"/>
      <c r="AD24" s="161"/>
      <c r="AE24" s="162"/>
      <c r="AF24" s="160">
        <v>8</v>
      </c>
      <c r="AG24" s="161"/>
      <c r="AH24" s="162"/>
      <c r="AI24" s="160"/>
      <c r="AJ24" s="161"/>
      <c r="AK24" s="162"/>
      <c r="AL24" s="163" t="s">
        <v>577</v>
      </c>
      <c r="AM24" s="164"/>
      <c r="AN24" s="164"/>
      <c r="AO24" s="164"/>
      <c r="AP24" s="164"/>
      <c r="AQ24" s="164"/>
      <c r="AR24" s="164"/>
      <c r="AS24" s="164"/>
      <c r="AT24" s="164"/>
      <c r="AU24" s="164"/>
      <c r="AV24" s="164"/>
      <c r="AW24" s="164"/>
      <c r="AX24" s="164"/>
      <c r="AY24" s="164"/>
      <c r="AZ24" s="164"/>
      <c r="BA24" s="164"/>
      <c r="BB24" s="164"/>
      <c r="BC24" s="164"/>
      <c r="BD24" s="164"/>
      <c r="BE24" s="164"/>
      <c r="BF24" s="164"/>
      <c r="BG24" s="164"/>
      <c r="BH24" s="164"/>
      <c r="BI24" s="164"/>
      <c r="BJ24" s="164"/>
      <c r="BK24" s="164"/>
      <c r="BL24" s="164"/>
      <c r="BM24" s="164"/>
      <c r="BN24" s="164"/>
      <c r="BO24" s="164"/>
      <c r="BP24" s="165"/>
    </row>
    <row r="25" spans="1:68" s="43" customFormat="1" ht="30.75" customHeight="1">
      <c r="A25" s="160">
        <f t="shared" si="0"/>
        <v>17</v>
      </c>
      <c r="B25" s="161"/>
      <c r="C25" s="162"/>
      <c r="D25" s="157" t="s">
        <v>554</v>
      </c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9"/>
      <c r="AA25" s="160" t="s">
        <v>19</v>
      </c>
      <c r="AB25" s="161"/>
      <c r="AC25" s="161"/>
      <c r="AD25" s="161"/>
      <c r="AE25" s="162"/>
      <c r="AF25" s="160">
        <v>10</v>
      </c>
      <c r="AG25" s="161"/>
      <c r="AH25" s="162"/>
      <c r="AI25" s="160"/>
      <c r="AJ25" s="161"/>
      <c r="AK25" s="162"/>
      <c r="AL25" s="163" t="s">
        <v>578</v>
      </c>
      <c r="AM25" s="164"/>
      <c r="AN25" s="164"/>
      <c r="AO25" s="164"/>
      <c r="AP25" s="164"/>
      <c r="AQ25" s="164"/>
      <c r="AR25" s="164"/>
      <c r="AS25" s="164"/>
      <c r="AT25" s="164"/>
      <c r="AU25" s="164"/>
      <c r="AV25" s="164"/>
      <c r="AW25" s="164"/>
      <c r="AX25" s="164"/>
      <c r="AY25" s="164"/>
      <c r="AZ25" s="164"/>
      <c r="BA25" s="164"/>
      <c r="BB25" s="164"/>
      <c r="BC25" s="164"/>
      <c r="BD25" s="164"/>
      <c r="BE25" s="164"/>
      <c r="BF25" s="164"/>
      <c r="BG25" s="164"/>
      <c r="BH25" s="164"/>
      <c r="BI25" s="164"/>
      <c r="BJ25" s="164"/>
      <c r="BK25" s="164"/>
      <c r="BL25" s="164"/>
      <c r="BM25" s="164"/>
      <c r="BN25" s="164"/>
      <c r="BO25" s="164"/>
      <c r="BP25" s="165"/>
    </row>
    <row r="26" spans="1:68" s="43" customFormat="1" ht="30.75" customHeight="1">
      <c r="A26" s="160">
        <f t="shared" si="0"/>
        <v>18</v>
      </c>
      <c r="B26" s="161"/>
      <c r="C26" s="162"/>
      <c r="D26" s="157" t="s">
        <v>555</v>
      </c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9"/>
      <c r="AA26" s="160" t="s">
        <v>18</v>
      </c>
      <c r="AB26" s="161"/>
      <c r="AC26" s="161"/>
      <c r="AD26" s="161"/>
      <c r="AE26" s="162"/>
      <c r="AF26" s="160">
        <v>14</v>
      </c>
      <c r="AG26" s="161"/>
      <c r="AH26" s="162"/>
      <c r="AI26" s="160" t="s">
        <v>1302</v>
      </c>
      <c r="AJ26" s="161"/>
      <c r="AK26" s="162"/>
      <c r="AL26" s="163" t="s">
        <v>579</v>
      </c>
      <c r="AM26" s="164"/>
      <c r="AN26" s="164"/>
      <c r="AO26" s="164"/>
      <c r="AP26" s="164"/>
      <c r="AQ26" s="164"/>
      <c r="AR26" s="164"/>
      <c r="AS26" s="164"/>
      <c r="AT26" s="164"/>
      <c r="AU26" s="164"/>
      <c r="AV26" s="164"/>
      <c r="AW26" s="164"/>
      <c r="AX26" s="164"/>
      <c r="AY26" s="164"/>
      <c r="AZ26" s="164"/>
      <c r="BA26" s="164"/>
      <c r="BB26" s="164"/>
      <c r="BC26" s="164"/>
      <c r="BD26" s="164"/>
      <c r="BE26" s="164"/>
      <c r="BF26" s="164"/>
      <c r="BG26" s="164"/>
      <c r="BH26" s="164"/>
      <c r="BI26" s="164"/>
      <c r="BJ26" s="164"/>
      <c r="BK26" s="164"/>
      <c r="BL26" s="164"/>
      <c r="BM26" s="164"/>
      <c r="BN26" s="164"/>
      <c r="BO26" s="164"/>
      <c r="BP26" s="165"/>
    </row>
    <row r="27" spans="1:68" s="43" customFormat="1" ht="30.75" customHeight="1">
      <c r="A27" s="160">
        <f t="shared" si="0"/>
        <v>19</v>
      </c>
      <c r="B27" s="161"/>
      <c r="C27" s="162"/>
      <c r="D27" s="157" t="s">
        <v>556</v>
      </c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9"/>
      <c r="AA27" s="160" t="s">
        <v>18</v>
      </c>
      <c r="AB27" s="161"/>
      <c r="AC27" s="161"/>
      <c r="AD27" s="161"/>
      <c r="AE27" s="162"/>
      <c r="AF27" s="160">
        <v>14</v>
      </c>
      <c r="AG27" s="161"/>
      <c r="AH27" s="162"/>
      <c r="AI27" s="160" t="s">
        <v>1302</v>
      </c>
      <c r="AJ27" s="161"/>
      <c r="AK27" s="162"/>
      <c r="AL27" s="163" t="s">
        <v>580</v>
      </c>
      <c r="AM27" s="164"/>
      <c r="AN27" s="164"/>
      <c r="AO27" s="164"/>
      <c r="AP27" s="164"/>
      <c r="AQ27" s="164"/>
      <c r="AR27" s="164"/>
      <c r="AS27" s="164"/>
      <c r="AT27" s="164"/>
      <c r="AU27" s="164"/>
      <c r="AV27" s="164"/>
      <c r="AW27" s="164"/>
      <c r="AX27" s="164"/>
      <c r="AY27" s="164"/>
      <c r="AZ27" s="164"/>
      <c r="BA27" s="164"/>
      <c r="BB27" s="164"/>
      <c r="BC27" s="164"/>
      <c r="BD27" s="164"/>
      <c r="BE27" s="164"/>
      <c r="BF27" s="164"/>
      <c r="BG27" s="164"/>
      <c r="BH27" s="164"/>
      <c r="BI27" s="164"/>
      <c r="BJ27" s="164"/>
      <c r="BK27" s="164"/>
      <c r="BL27" s="164"/>
      <c r="BM27" s="164"/>
      <c r="BN27" s="164"/>
      <c r="BO27" s="164"/>
      <c r="BP27" s="165"/>
    </row>
    <row r="28" spans="1:68" s="43" customFormat="1" ht="30.75" customHeight="1">
      <c r="A28" s="160">
        <f t="shared" si="0"/>
        <v>20</v>
      </c>
      <c r="B28" s="161"/>
      <c r="C28" s="162"/>
      <c r="D28" s="157" t="s">
        <v>557</v>
      </c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9"/>
      <c r="AA28" s="160" t="s">
        <v>19</v>
      </c>
      <c r="AB28" s="161"/>
      <c r="AC28" s="161"/>
      <c r="AD28" s="161"/>
      <c r="AE28" s="162"/>
      <c r="AF28" s="160">
        <v>2</v>
      </c>
      <c r="AG28" s="161"/>
      <c r="AH28" s="162"/>
      <c r="AI28" s="160"/>
      <c r="AJ28" s="161"/>
      <c r="AK28" s="162"/>
      <c r="AL28" s="163" t="s">
        <v>581</v>
      </c>
      <c r="AM28" s="164"/>
      <c r="AN28" s="164"/>
      <c r="AO28" s="164"/>
      <c r="AP28" s="164"/>
      <c r="AQ28" s="164"/>
      <c r="AR28" s="164"/>
      <c r="AS28" s="164"/>
      <c r="AT28" s="164"/>
      <c r="AU28" s="164"/>
      <c r="AV28" s="164"/>
      <c r="AW28" s="164"/>
      <c r="AX28" s="164"/>
      <c r="AY28" s="164"/>
      <c r="AZ28" s="164"/>
      <c r="BA28" s="164"/>
      <c r="BB28" s="164"/>
      <c r="BC28" s="164"/>
      <c r="BD28" s="164"/>
      <c r="BE28" s="164"/>
      <c r="BF28" s="164"/>
      <c r="BG28" s="164"/>
      <c r="BH28" s="164"/>
      <c r="BI28" s="164"/>
      <c r="BJ28" s="164"/>
      <c r="BK28" s="164"/>
      <c r="BL28" s="164"/>
      <c r="BM28" s="164"/>
      <c r="BN28" s="164"/>
      <c r="BO28" s="164"/>
      <c r="BP28" s="165"/>
    </row>
    <row r="29" spans="1:68" s="43" customFormat="1" ht="30.75" customHeight="1">
      <c r="A29" s="160">
        <f t="shared" si="0"/>
        <v>21</v>
      </c>
      <c r="B29" s="161"/>
      <c r="C29" s="162"/>
      <c r="D29" s="157" t="s">
        <v>558</v>
      </c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9"/>
      <c r="AA29" s="160" t="s">
        <v>19</v>
      </c>
      <c r="AB29" s="161"/>
      <c r="AC29" s="161"/>
      <c r="AD29" s="161"/>
      <c r="AE29" s="162"/>
      <c r="AF29" s="160">
        <v>12</v>
      </c>
      <c r="AG29" s="161"/>
      <c r="AH29" s="162"/>
      <c r="AI29" s="160"/>
      <c r="AJ29" s="161"/>
      <c r="AK29" s="162"/>
      <c r="AL29" s="163" t="s">
        <v>582</v>
      </c>
      <c r="AM29" s="164"/>
      <c r="AN29" s="164"/>
      <c r="AO29" s="164"/>
      <c r="AP29" s="164"/>
      <c r="AQ29" s="164"/>
      <c r="AR29" s="164"/>
      <c r="AS29" s="164"/>
      <c r="AT29" s="164"/>
      <c r="AU29" s="164"/>
      <c r="AV29" s="164"/>
      <c r="AW29" s="164"/>
      <c r="AX29" s="164"/>
      <c r="AY29" s="164"/>
      <c r="AZ29" s="164"/>
      <c r="BA29" s="164"/>
      <c r="BB29" s="164"/>
      <c r="BC29" s="164"/>
      <c r="BD29" s="164"/>
      <c r="BE29" s="164"/>
      <c r="BF29" s="164"/>
      <c r="BG29" s="164"/>
      <c r="BH29" s="164"/>
      <c r="BI29" s="164"/>
      <c r="BJ29" s="164"/>
      <c r="BK29" s="164"/>
      <c r="BL29" s="164"/>
      <c r="BM29" s="164"/>
      <c r="BN29" s="164"/>
      <c r="BO29" s="164"/>
      <c r="BP29" s="165"/>
    </row>
    <row r="30" spans="1:68" s="43" customFormat="1" ht="30.75" customHeight="1">
      <c r="A30" s="160">
        <f t="shared" si="0"/>
        <v>22</v>
      </c>
      <c r="B30" s="161"/>
      <c r="C30" s="162"/>
      <c r="D30" s="157" t="s">
        <v>559</v>
      </c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9"/>
      <c r="AA30" s="160" t="s">
        <v>18</v>
      </c>
      <c r="AB30" s="161"/>
      <c r="AC30" s="161"/>
      <c r="AD30" s="161"/>
      <c r="AE30" s="162"/>
      <c r="AF30" s="160">
        <v>14</v>
      </c>
      <c r="AG30" s="161"/>
      <c r="AH30" s="162"/>
      <c r="AI30" s="160" t="s">
        <v>1302</v>
      </c>
      <c r="AJ30" s="161"/>
      <c r="AK30" s="162"/>
      <c r="AL30" s="163" t="s">
        <v>583</v>
      </c>
      <c r="AM30" s="164"/>
      <c r="AN30" s="164"/>
      <c r="AO30" s="164"/>
      <c r="AP30" s="164"/>
      <c r="AQ30" s="164"/>
      <c r="AR30" s="164"/>
      <c r="AS30" s="164"/>
      <c r="AT30" s="164"/>
      <c r="AU30" s="164"/>
      <c r="AV30" s="164"/>
      <c r="AW30" s="164"/>
      <c r="AX30" s="164"/>
      <c r="AY30" s="164"/>
      <c r="AZ30" s="164"/>
      <c r="BA30" s="164"/>
      <c r="BB30" s="164"/>
      <c r="BC30" s="164"/>
      <c r="BD30" s="164"/>
      <c r="BE30" s="164"/>
      <c r="BF30" s="164"/>
      <c r="BG30" s="164"/>
      <c r="BH30" s="164"/>
      <c r="BI30" s="164"/>
      <c r="BJ30" s="164"/>
      <c r="BK30" s="164"/>
      <c r="BL30" s="164"/>
      <c r="BM30" s="164"/>
      <c r="BN30" s="164"/>
      <c r="BO30" s="164"/>
      <c r="BP30" s="165"/>
    </row>
    <row r="31" spans="1:68" s="43" customFormat="1" ht="30.75" customHeight="1">
      <c r="A31" s="160">
        <f t="shared" si="0"/>
        <v>23</v>
      </c>
      <c r="B31" s="161"/>
      <c r="C31" s="162"/>
      <c r="D31" s="157" t="s">
        <v>550</v>
      </c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9"/>
      <c r="AA31" s="160" t="s">
        <v>18</v>
      </c>
      <c r="AB31" s="161"/>
      <c r="AC31" s="161"/>
      <c r="AD31" s="161"/>
      <c r="AE31" s="162"/>
      <c r="AF31" s="160">
        <v>8</v>
      </c>
      <c r="AG31" s="161"/>
      <c r="AH31" s="162"/>
      <c r="AI31" s="160"/>
      <c r="AJ31" s="161"/>
      <c r="AK31" s="162"/>
      <c r="AL31" s="163" t="s">
        <v>584</v>
      </c>
      <c r="AM31" s="164"/>
      <c r="AN31" s="164"/>
      <c r="AO31" s="164"/>
      <c r="AP31" s="164"/>
      <c r="AQ31" s="164"/>
      <c r="AR31" s="164"/>
      <c r="AS31" s="164"/>
      <c r="AT31" s="164"/>
      <c r="AU31" s="164"/>
      <c r="AV31" s="164"/>
      <c r="AW31" s="164"/>
      <c r="AX31" s="164"/>
      <c r="AY31" s="164"/>
      <c r="AZ31" s="164"/>
      <c r="BA31" s="164"/>
      <c r="BB31" s="164"/>
      <c r="BC31" s="164"/>
      <c r="BD31" s="164"/>
      <c r="BE31" s="164"/>
      <c r="BF31" s="164"/>
      <c r="BG31" s="164"/>
      <c r="BH31" s="164"/>
      <c r="BI31" s="164"/>
      <c r="BJ31" s="164"/>
      <c r="BK31" s="164"/>
      <c r="BL31" s="164"/>
      <c r="BM31" s="164"/>
      <c r="BN31" s="164"/>
      <c r="BO31" s="164"/>
      <c r="BP31" s="165"/>
    </row>
    <row r="32" spans="1:68" s="43" customFormat="1" ht="30.75" customHeight="1">
      <c r="A32" s="156"/>
      <c r="B32" s="156"/>
      <c r="C32" s="156"/>
      <c r="D32" s="157"/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9"/>
      <c r="AA32" s="160"/>
      <c r="AB32" s="161"/>
      <c r="AC32" s="161"/>
      <c r="AD32" s="161"/>
      <c r="AE32" s="162"/>
      <c r="AF32" s="156"/>
      <c r="AG32" s="156"/>
      <c r="AH32" s="156"/>
      <c r="AI32" s="156"/>
      <c r="AJ32" s="156"/>
      <c r="AK32" s="156"/>
      <c r="AL32" s="163"/>
      <c r="AM32" s="164"/>
      <c r="AN32" s="164"/>
      <c r="AO32" s="164"/>
      <c r="AP32" s="164"/>
      <c r="AQ32" s="164"/>
      <c r="AR32" s="164"/>
      <c r="AS32" s="164"/>
      <c r="AT32" s="164"/>
      <c r="AU32" s="164"/>
      <c r="AV32" s="164"/>
      <c r="AW32" s="164"/>
      <c r="AX32" s="164"/>
      <c r="AY32" s="164"/>
      <c r="AZ32" s="164"/>
      <c r="BA32" s="164"/>
      <c r="BB32" s="164"/>
      <c r="BC32" s="164"/>
      <c r="BD32" s="164"/>
      <c r="BE32" s="164"/>
      <c r="BF32" s="164"/>
      <c r="BG32" s="164"/>
      <c r="BH32" s="164"/>
      <c r="BI32" s="164"/>
      <c r="BJ32" s="164"/>
      <c r="BK32" s="164"/>
      <c r="BL32" s="164"/>
      <c r="BM32" s="164"/>
      <c r="BN32" s="164"/>
      <c r="BO32" s="164"/>
      <c r="BP32" s="165"/>
    </row>
    <row r="33" spans="1:68" s="43" customFormat="1" ht="30.75" customHeight="1">
      <c r="A33" s="145"/>
      <c r="B33" s="145"/>
      <c r="C33" s="145"/>
      <c r="D33" s="146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8"/>
      <c r="AA33" s="149"/>
      <c r="AB33" s="150"/>
      <c r="AC33" s="150"/>
      <c r="AD33" s="150"/>
      <c r="AE33" s="151"/>
      <c r="AF33" s="152"/>
      <c r="AG33" s="152"/>
      <c r="AH33" s="152"/>
      <c r="AI33" s="152"/>
      <c r="AJ33" s="152"/>
      <c r="AK33" s="152"/>
      <c r="AL33" s="153"/>
      <c r="AM33" s="154"/>
      <c r="AN33" s="154"/>
      <c r="AO33" s="154"/>
      <c r="AP33" s="154"/>
      <c r="AQ33" s="154"/>
      <c r="AR33" s="154"/>
      <c r="AS33" s="154"/>
      <c r="AT33" s="154"/>
      <c r="AU33" s="154"/>
      <c r="AV33" s="154"/>
      <c r="AW33" s="154"/>
      <c r="AX33" s="154"/>
      <c r="AY33" s="154"/>
      <c r="AZ33" s="154"/>
      <c r="BA33" s="154"/>
      <c r="BB33" s="154"/>
      <c r="BC33" s="154"/>
      <c r="BD33" s="154"/>
      <c r="BE33" s="154"/>
      <c r="BF33" s="154"/>
      <c r="BG33" s="154"/>
      <c r="BH33" s="154"/>
      <c r="BI33" s="154"/>
      <c r="BJ33" s="154"/>
      <c r="BK33" s="154"/>
      <c r="BL33" s="154"/>
      <c r="BM33" s="154"/>
      <c r="BN33" s="154"/>
      <c r="BO33" s="154"/>
      <c r="BP33" s="155"/>
    </row>
    <row r="34" spans="1:68" s="47" customFormat="1" ht="3.75" customHeight="1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6"/>
      <c r="AG34" s="46"/>
      <c r="AH34" s="46"/>
      <c r="AI34" s="46"/>
      <c r="AJ34" s="46"/>
      <c r="AK34" s="46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</row>
    <row r="35" spans="1:68" s="47" customFormat="1" ht="14.25">
      <c r="A35" s="48" t="s">
        <v>14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9"/>
      <c r="AG35" s="49"/>
      <c r="AH35" s="49"/>
      <c r="AI35" s="49"/>
      <c r="AJ35" s="49"/>
      <c r="AK35" s="49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50"/>
    </row>
    <row r="36" spans="1:68" s="47" customFormat="1" ht="20.25" customHeight="1">
      <c r="A36" s="48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50"/>
    </row>
    <row r="37" spans="1:68" s="47" customFormat="1" ht="20.25" customHeight="1">
      <c r="A37" s="48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50"/>
    </row>
    <row r="38" spans="1:68" s="47" customFormat="1" ht="20.25" customHeight="1">
      <c r="A38" s="48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50"/>
    </row>
    <row r="39" spans="1:68" s="47" customFormat="1" ht="20.25" customHeight="1">
      <c r="A39" s="48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50"/>
    </row>
    <row r="40" spans="1:68" s="47" customFormat="1" ht="20.25" customHeight="1">
      <c r="A40" s="51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3"/>
    </row>
    <row r="41" spans="1:68" ht="5.25" customHeight="1"/>
    <row r="44" spans="1:68">
      <c r="AF44" s="56">
        <v>8</v>
      </c>
    </row>
  </sheetData>
  <mergeCells count="175"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9:C9"/>
    <mergeCell ref="D9:Z9"/>
    <mergeCell ref="AA9:AE9"/>
    <mergeCell ref="AF9:AH9"/>
    <mergeCell ref="AI9:AK9"/>
    <mergeCell ref="AL9:BP9"/>
    <mergeCell ref="A8:C8"/>
    <mergeCell ref="D8:Z8"/>
    <mergeCell ref="AA8:AE8"/>
    <mergeCell ref="AF8:AH8"/>
    <mergeCell ref="AI8:AK8"/>
    <mergeCell ref="AL8:BP8"/>
    <mergeCell ref="A11:C11"/>
    <mergeCell ref="D11:Z11"/>
    <mergeCell ref="AA11:AE11"/>
    <mergeCell ref="AF11:AH11"/>
    <mergeCell ref="AI11:AK11"/>
    <mergeCell ref="AL11:BP11"/>
    <mergeCell ref="A10:C10"/>
    <mergeCell ref="D10:Z10"/>
    <mergeCell ref="AA10:AE10"/>
    <mergeCell ref="AF10:AH10"/>
    <mergeCell ref="AI10:AK10"/>
    <mergeCell ref="AL10:BP10"/>
    <mergeCell ref="A13:C13"/>
    <mergeCell ref="D13:Z13"/>
    <mergeCell ref="AA13:AE13"/>
    <mergeCell ref="AF13:AH13"/>
    <mergeCell ref="AI13:AK13"/>
    <mergeCell ref="AL13:BP13"/>
    <mergeCell ref="A12:C12"/>
    <mergeCell ref="D12:Z12"/>
    <mergeCell ref="AA12:AE12"/>
    <mergeCell ref="AF12:AH12"/>
    <mergeCell ref="AI12:AK12"/>
    <mergeCell ref="AL12:BP12"/>
    <mergeCell ref="A15:C15"/>
    <mergeCell ref="D15:Z15"/>
    <mergeCell ref="AA15:AE15"/>
    <mergeCell ref="AF15:AH15"/>
    <mergeCell ref="AI15:AK15"/>
    <mergeCell ref="AL15:BP15"/>
    <mergeCell ref="A14:C14"/>
    <mergeCell ref="D14:Z14"/>
    <mergeCell ref="AA14:AE14"/>
    <mergeCell ref="AF14:AH14"/>
    <mergeCell ref="AI14:AK14"/>
    <mergeCell ref="AL14:BP14"/>
    <mergeCell ref="A17:C17"/>
    <mergeCell ref="D17:Z17"/>
    <mergeCell ref="AA17:AE17"/>
    <mergeCell ref="AF17:AH17"/>
    <mergeCell ref="AI17:AK17"/>
    <mergeCell ref="AL17:BP17"/>
    <mergeCell ref="A16:C16"/>
    <mergeCell ref="D16:Z16"/>
    <mergeCell ref="AA16:AE16"/>
    <mergeCell ref="AF16:AH16"/>
    <mergeCell ref="AI16:AK16"/>
    <mergeCell ref="AL16:BP16"/>
    <mergeCell ref="A19:C19"/>
    <mergeCell ref="D19:Z19"/>
    <mergeCell ref="AA19:AE19"/>
    <mergeCell ref="AF19:AH19"/>
    <mergeCell ref="AI19:AK19"/>
    <mergeCell ref="AL19:BP19"/>
    <mergeCell ref="A18:C18"/>
    <mergeCell ref="D18:Z18"/>
    <mergeCell ref="AA18:AE18"/>
    <mergeCell ref="AF18:AH18"/>
    <mergeCell ref="AI18:AK18"/>
    <mergeCell ref="AL18:BP18"/>
    <mergeCell ref="A21:C21"/>
    <mergeCell ref="D21:Z21"/>
    <mergeCell ref="AA21:AE21"/>
    <mergeCell ref="AF21:AH21"/>
    <mergeCell ref="AI21:AK21"/>
    <mergeCell ref="AL21:BP21"/>
    <mergeCell ref="A20:C20"/>
    <mergeCell ref="D20:Z20"/>
    <mergeCell ref="AA20:AE20"/>
    <mergeCell ref="AF20:AH20"/>
    <mergeCell ref="AI20:AK20"/>
    <mergeCell ref="AL20:BP20"/>
    <mergeCell ref="A23:C23"/>
    <mergeCell ref="D23:Z23"/>
    <mergeCell ref="AA23:AE23"/>
    <mergeCell ref="AF23:AH23"/>
    <mergeCell ref="AI23:AK23"/>
    <mergeCell ref="AL23:BP23"/>
    <mergeCell ref="A22:C22"/>
    <mergeCell ref="D22:Z22"/>
    <mergeCell ref="AA22:AE22"/>
    <mergeCell ref="AF22:AH22"/>
    <mergeCell ref="AI22:AK22"/>
    <mergeCell ref="AL22:BP22"/>
    <mergeCell ref="A25:C25"/>
    <mergeCell ref="D25:Z25"/>
    <mergeCell ref="AA25:AE25"/>
    <mergeCell ref="AF25:AH25"/>
    <mergeCell ref="AI25:AK25"/>
    <mergeCell ref="AL25:BP25"/>
    <mergeCell ref="A24:C24"/>
    <mergeCell ref="D24:Z24"/>
    <mergeCell ref="AA24:AE24"/>
    <mergeCell ref="AF24:AH24"/>
    <mergeCell ref="AI24:AK24"/>
    <mergeCell ref="AL24:BP24"/>
    <mergeCell ref="A27:C27"/>
    <mergeCell ref="D27:Z27"/>
    <mergeCell ref="AA27:AE27"/>
    <mergeCell ref="AF27:AH27"/>
    <mergeCell ref="AI27:AK27"/>
    <mergeCell ref="AL27:BP27"/>
    <mergeCell ref="A26:C26"/>
    <mergeCell ref="D26:Z26"/>
    <mergeCell ref="AA26:AE26"/>
    <mergeCell ref="AF26:AH26"/>
    <mergeCell ref="AI26:AK26"/>
    <mergeCell ref="AL26:BP26"/>
    <mergeCell ref="A29:C29"/>
    <mergeCell ref="D29:Z29"/>
    <mergeCell ref="AA29:AE29"/>
    <mergeCell ref="AF29:AH29"/>
    <mergeCell ref="AI29:AK29"/>
    <mergeCell ref="AL29:BP29"/>
    <mergeCell ref="A28:C28"/>
    <mergeCell ref="D28:Z28"/>
    <mergeCell ref="AA28:AE28"/>
    <mergeCell ref="AF28:AH28"/>
    <mergeCell ref="AI28:AK28"/>
    <mergeCell ref="AL28:BP28"/>
    <mergeCell ref="A31:C31"/>
    <mergeCell ref="D31:Z31"/>
    <mergeCell ref="AA31:AE31"/>
    <mergeCell ref="AF31:AH31"/>
    <mergeCell ref="AI31:AK31"/>
    <mergeCell ref="AL31:BP31"/>
    <mergeCell ref="A30:C30"/>
    <mergeCell ref="D30:Z30"/>
    <mergeCell ref="AA30:AE30"/>
    <mergeCell ref="AF30:AH30"/>
    <mergeCell ref="AI30:AK30"/>
    <mergeCell ref="AL30:BP30"/>
    <mergeCell ref="A33:C33"/>
    <mergeCell ref="D33:Z33"/>
    <mergeCell ref="AA33:AE33"/>
    <mergeCell ref="AF33:AH33"/>
    <mergeCell ref="AI33:AK33"/>
    <mergeCell ref="AL33:BP33"/>
    <mergeCell ref="A32:C32"/>
    <mergeCell ref="D32:Z32"/>
    <mergeCell ref="AA32:AE32"/>
    <mergeCell ref="AF32:AH32"/>
    <mergeCell ref="AI32:AK32"/>
    <mergeCell ref="AL32:BP32"/>
  </mergeCells>
  <phoneticPr fontId="3"/>
  <dataValidations count="1">
    <dataValidation type="list" allowBlank="1" showInputMessage="1" showErrorMessage="1" sqref="BJ6:BP6" xr:uid="{348A2B54-B342-4CAC-A574-101E9DD6217A}">
      <formula1>"原票、画面,帳票,連動ファイル,論理ファイル"</formula1>
    </dataValidation>
  </dataValidations>
  <pageMargins left="0.59055118110236227" right="0.47244094488188981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B7691-B0E0-4A0E-A3ED-341429BA9238}">
  <sheetPr codeName="Sheet11"/>
  <dimension ref="A1:BR46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1" width="2.125" style="55"/>
    <col min="32" max="32" width="2.875" style="55" bestFit="1" customWidth="1"/>
    <col min="33" max="38" width="2.125" style="55"/>
    <col min="39" max="44" width="0" style="55" hidden="1" customWidth="1"/>
    <col min="45" max="16384" width="2.125" style="55"/>
  </cols>
  <sheetData>
    <row r="1" spans="1:70" s="11" customFormat="1" ht="18" customHeight="1">
      <c r="A1" s="11" t="s">
        <v>212</v>
      </c>
      <c r="BP1" s="13" t="s">
        <v>0</v>
      </c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  <c r="BR2" s="16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144" t="s">
        <v>198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95" t="s">
        <v>203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55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10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117">
        <f t="shared" ref="A9:A39" si="0">ROW()-8</f>
        <v>1</v>
      </c>
      <c r="B9" s="118"/>
      <c r="C9" s="119"/>
      <c r="D9" s="114" t="s">
        <v>560</v>
      </c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6"/>
      <c r="AA9" s="117" t="s">
        <v>278</v>
      </c>
      <c r="AB9" s="118"/>
      <c r="AC9" s="118"/>
      <c r="AD9" s="118"/>
      <c r="AE9" s="119"/>
      <c r="AF9" s="117">
        <v>12</v>
      </c>
      <c r="AG9" s="118"/>
      <c r="AH9" s="119"/>
      <c r="AI9" s="117"/>
      <c r="AJ9" s="118"/>
      <c r="AK9" s="119"/>
      <c r="AL9" s="68" t="s">
        <v>585</v>
      </c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70"/>
    </row>
    <row r="10" spans="1:70" s="1" customFormat="1" ht="30.75" customHeight="1">
      <c r="A10" s="74">
        <f t="shared" si="0"/>
        <v>2</v>
      </c>
      <c r="B10" s="75"/>
      <c r="C10" s="76"/>
      <c r="D10" s="71" t="s">
        <v>597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  <c r="AA10" s="74" t="s">
        <v>278</v>
      </c>
      <c r="AB10" s="75"/>
      <c r="AC10" s="75"/>
      <c r="AD10" s="75"/>
      <c r="AE10" s="76"/>
      <c r="AF10" s="74">
        <v>1</v>
      </c>
      <c r="AG10" s="75"/>
      <c r="AH10" s="76"/>
      <c r="AI10" s="74"/>
      <c r="AJ10" s="75"/>
      <c r="AK10" s="76"/>
      <c r="AL10" s="68" t="s">
        <v>586</v>
      </c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74">
        <f t="shared" si="0"/>
        <v>3</v>
      </c>
      <c r="B11" s="75"/>
      <c r="C11" s="76"/>
      <c r="D11" s="71" t="s">
        <v>594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3"/>
      <c r="AA11" s="74" t="s">
        <v>267</v>
      </c>
      <c r="AB11" s="75"/>
      <c r="AC11" s="75"/>
      <c r="AD11" s="75"/>
      <c r="AE11" s="76"/>
      <c r="AF11" s="74">
        <v>8</v>
      </c>
      <c r="AG11" s="75"/>
      <c r="AH11" s="76"/>
      <c r="AI11" s="74"/>
      <c r="AJ11" s="75"/>
      <c r="AK11" s="76"/>
      <c r="AL11" s="68" t="s">
        <v>595</v>
      </c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70"/>
    </row>
    <row r="12" spans="1:70" s="1" customFormat="1" ht="30.75" customHeight="1">
      <c r="A12" s="74">
        <f t="shared" si="0"/>
        <v>4</v>
      </c>
      <c r="B12" s="75"/>
      <c r="C12" s="76"/>
      <c r="D12" s="71" t="s">
        <v>227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3"/>
      <c r="AA12" s="74" t="s">
        <v>278</v>
      </c>
      <c r="AB12" s="75"/>
      <c r="AC12" s="75"/>
      <c r="AD12" s="75"/>
      <c r="AE12" s="76"/>
      <c r="AF12" s="86">
        <v>4</v>
      </c>
      <c r="AG12" s="86"/>
      <c r="AH12" s="86"/>
      <c r="AI12" s="86"/>
      <c r="AJ12" s="86"/>
      <c r="AK12" s="86"/>
      <c r="AL12" s="68" t="s">
        <v>566</v>
      </c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70"/>
    </row>
    <row r="13" spans="1:70" s="1" customFormat="1" ht="30.75" customHeight="1">
      <c r="A13" s="74">
        <f t="shared" si="0"/>
        <v>5</v>
      </c>
      <c r="B13" s="75"/>
      <c r="C13" s="76"/>
      <c r="D13" s="71" t="s">
        <v>225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3"/>
      <c r="AA13" s="74" t="s">
        <v>278</v>
      </c>
      <c r="AB13" s="75"/>
      <c r="AC13" s="75"/>
      <c r="AD13" s="75"/>
      <c r="AE13" s="76"/>
      <c r="AF13" s="74">
        <v>2</v>
      </c>
      <c r="AG13" s="75"/>
      <c r="AH13" s="76"/>
      <c r="AI13" s="74"/>
      <c r="AJ13" s="75"/>
      <c r="AK13" s="76"/>
      <c r="AL13" s="68" t="s">
        <v>564</v>
      </c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70"/>
    </row>
    <row r="14" spans="1:70" s="1" customFormat="1" ht="30.75" customHeight="1">
      <c r="A14" s="74">
        <f t="shared" si="0"/>
        <v>6</v>
      </c>
      <c r="B14" s="75"/>
      <c r="C14" s="76"/>
      <c r="D14" s="71" t="s">
        <v>1160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3"/>
      <c r="AA14" s="74" t="s">
        <v>19</v>
      </c>
      <c r="AB14" s="75"/>
      <c r="AC14" s="75"/>
      <c r="AD14" s="75"/>
      <c r="AE14" s="76"/>
      <c r="AF14" s="74">
        <v>64</v>
      </c>
      <c r="AG14" s="75"/>
      <c r="AH14" s="76"/>
      <c r="AI14" s="86"/>
      <c r="AJ14" s="86"/>
      <c r="AK14" s="86"/>
      <c r="AL14" s="68" t="s">
        <v>1168</v>
      </c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70"/>
    </row>
    <row r="15" spans="1:70" s="1" customFormat="1" ht="30.75" customHeight="1">
      <c r="A15" s="74">
        <f t="shared" si="0"/>
        <v>7</v>
      </c>
      <c r="B15" s="75"/>
      <c r="C15" s="76"/>
      <c r="D15" s="71" t="s">
        <v>1162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3"/>
      <c r="AA15" s="74" t="s">
        <v>19</v>
      </c>
      <c r="AB15" s="75"/>
      <c r="AC15" s="75"/>
      <c r="AD15" s="75"/>
      <c r="AE15" s="76"/>
      <c r="AF15" s="74">
        <v>1000</v>
      </c>
      <c r="AG15" s="75"/>
      <c r="AH15" s="76"/>
      <c r="AI15" s="86"/>
      <c r="AJ15" s="86"/>
      <c r="AK15" s="86"/>
      <c r="AL15" s="68" t="s">
        <v>1169</v>
      </c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70"/>
    </row>
    <row r="16" spans="1:70" s="1" customFormat="1" ht="30.75" customHeight="1">
      <c r="A16" s="74">
        <f t="shared" si="0"/>
        <v>8</v>
      </c>
      <c r="B16" s="75"/>
      <c r="C16" s="76"/>
      <c r="D16" s="71" t="s">
        <v>1164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3"/>
      <c r="AA16" s="74" t="s">
        <v>271</v>
      </c>
      <c r="AB16" s="75"/>
      <c r="AC16" s="75"/>
      <c r="AD16" s="75"/>
      <c r="AE16" s="76"/>
      <c r="AF16" s="74">
        <v>64</v>
      </c>
      <c r="AG16" s="75"/>
      <c r="AH16" s="76"/>
      <c r="AI16" s="86"/>
      <c r="AJ16" s="86"/>
      <c r="AK16" s="86"/>
      <c r="AL16" s="68" t="s">
        <v>1170</v>
      </c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70"/>
    </row>
    <row r="17" spans="1:68" s="1" customFormat="1" ht="30.75" customHeight="1">
      <c r="A17" s="74">
        <f t="shared" si="0"/>
        <v>9</v>
      </c>
      <c r="B17" s="75"/>
      <c r="C17" s="76"/>
      <c r="D17" s="71" t="s">
        <v>847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3"/>
      <c r="AA17" s="74" t="s">
        <v>19</v>
      </c>
      <c r="AB17" s="75"/>
      <c r="AC17" s="75"/>
      <c r="AD17" s="75"/>
      <c r="AE17" s="76"/>
      <c r="AF17" s="74">
        <v>1000</v>
      </c>
      <c r="AG17" s="75"/>
      <c r="AH17" s="76"/>
      <c r="AI17" s="86"/>
      <c r="AJ17" s="86"/>
      <c r="AK17" s="86"/>
      <c r="AL17" s="68" t="s">
        <v>1171</v>
      </c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70"/>
    </row>
    <row r="18" spans="1:68" s="1" customFormat="1" ht="30.75" customHeight="1">
      <c r="A18" s="74">
        <f t="shared" si="0"/>
        <v>10</v>
      </c>
      <c r="B18" s="75"/>
      <c r="C18" s="76"/>
      <c r="D18" s="71" t="s">
        <v>1163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3"/>
      <c r="AA18" s="74" t="s">
        <v>19</v>
      </c>
      <c r="AB18" s="75"/>
      <c r="AC18" s="75"/>
      <c r="AD18" s="75"/>
      <c r="AE18" s="76"/>
      <c r="AF18" s="74">
        <v>64</v>
      </c>
      <c r="AG18" s="75"/>
      <c r="AH18" s="76"/>
      <c r="AI18" s="86"/>
      <c r="AJ18" s="86"/>
      <c r="AK18" s="86"/>
      <c r="AL18" s="68" t="s">
        <v>1172</v>
      </c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70"/>
    </row>
    <row r="19" spans="1:68" s="1" customFormat="1" ht="30.75" customHeight="1">
      <c r="A19" s="74">
        <f t="shared" si="0"/>
        <v>11</v>
      </c>
      <c r="B19" s="75"/>
      <c r="C19" s="76"/>
      <c r="D19" s="71" t="s">
        <v>848</v>
      </c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3"/>
      <c r="AA19" s="74" t="s">
        <v>271</v>
      </c>
      <c r="AB19" s="75"/>
      <c r="AC19" s="75"/>
      <c r="AD19" s="75"/>
      <c r="AE19" s="76"/>
      <c r="AF19" s="74">
        <v>1000</v>
      </c>
      <c r="AG19" s="75"/>
      <c r="AH19" s="76"/>
      <c r="AI19" s="86"/>
      <c r="AJ19" s="86"/>
      <c r="AK19" s="86"/>
      <c r="AL19" s="68" t="s">
        <v>1173</v>
      </c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70"/>
    </row>
    <row r="20" spans="1:68" s="1" customFormat="1" ht="30.75" customHeight="1">
      <c r="A20" s="74">
        <f t="shared" si="0"/>
        <v>12</v>
      </c>
      <c r="B20" s="75"/>
      <c r="C20" s="76"/>
      <c r="D20" s="71" t="s">
        <v>230</v>
      </c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3"/>
      <c r="AA20" s="74" t="s">
        <v>278</v>
      </c>
      <c r="AB20" s="75"/>
      <c r="AC20" s="75"/>
      <c r="AD20" s="75"/>
      <c r="AE20" s="76"/>
      <c r="AF20" s="74">
        <v>500</v>
      </c>
      <c r="AG20" s="75"/>
      <c r="AH20" s="76"/>
      <c r="AI20" s="74"/>
      <c r="AJ20" s="75"/>
      <c r="AK20" s="76"/>
      <c r="AL20" s="68" t="s">
        <v>590</v>
      </c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70"/>
    </row>
    <row r="21" spans="1:68" s="1" customFormat="1" ht="30.75" customHeight="1">
      <c r="A21" s="74">
        <f t="shared" si="0"/>
        <v>13</v>
      </c>
      <c r="B21" s="75"/>
      <c r="C21" s="76"/>
      <c r="D21" s="71" t="s">
        <v>232</v>
      </c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3"/>
      <c r="AA21" s="74" t="s">
        <v>19</v>
      </c>
      <c r="AB21" s="75"/>
      <c r="AC21" s="75"/>
      <c r="AD21" s="75"/>
      <c r="AE21" s="76"/>
      <c r="AF21" s="74">
        <v>6</v>
      </c>
      <c r="AG21" s="75"/>
      <c r="AH21" s="76"/>
      <c r="AI21" s="74"/>
      <c r="AJ21" s="75"/>
      <c r="AK21" s="76"/>
      <c r="AL21" s="68" t="s">
        <v>570</v>
      </c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70"/>
    </row>
    <row r="22" spans="1:68" s="1" customFormat="1" ht="30.75" customHeight="1">
      <c r="A22" s="74">
        <f t="shared" si="0"/>
        <v>14</v>
      </c>
      <c r="B22" s="75"/>
      <c r="C22" s="76"/>
      <c r="D22" s="71" t="s">
        <v>234</v>
      </c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3"/>
      <c r="AA22" s="74" t="s">
        <v>278</v>
      </c>
      <c r="AB22" s="75"/>
      <c r="AC22" s="75"/>
      <c r="AD22" s="75"/>
      <c r="AE22" s="76"/>
      <c r="AF22" s="74">
        <v>4</v>
      </c>
      <c r="AG22" s="75"/>
      <c r="AH22" s="76"/>
      <c r="AI22" s="74"/>
      <c r="AJ22" s="75"/>
      <c r="AK22" s="76"/>
      <c r="AL22" s="68" t="s">
        <v>572</v>
      </c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70"/>
    </row>
    <row r="23" spans="1:68" s="1" customFormat="1" ht="30.75" customHeight="1">
      <c r="A23" s="74">
        <f t="shared" si="0"/>
        <v>15</v>
      </c>
      <c r="B23" s="75"/>
      <c r="C23" s="76"/>
      <c r="D23" s="71" t="s">
        <v>276</v>
      </c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3"/>
      <c r="AA23" s="74" t="s">
        <v>278</v>
      </c>
      <c r="AB23" s="75"/>
      <c r="AC23" s="75"/>
      <c r="AD23" s="75"/>
      <c r="AE23" s="76"/>
      <c r="AF23" s="74">
        <v>4</v>
      </c>
      <c r="AG23" s="75"/>
      <c r="AH23" s="76"/>
      <c r="AI23" s="74"/>
      <c r="AJ23" s="75"/>
      <c r="AK23" s="76"/>
      <c r="AL23" s="68" t="s">
        <v>574</v>
      </c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70"/>
    </row>
    <row r="24" spans="1:68" s="1" customFormat="1" ht="30.75" customHeight="1">
      <c r="A24" s="74">
        <f t="shared" si="0"/>
        <v>16</v>
      </c>
      <c r="B24" s="75"/>
      <c r="C24" s="76"/>
      <c r="D24" s="71" t="s">
        <v>277</v>
      </c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3"/>
      <c r="AA24" s="74" t="s">
        <v>278</v>
      </c>
      <c r="AB24" s="75"/>
      <c r="AC24" s="75"/>
      <c r="AD24" s="75"/>
      <c r="AE24" s="76"/>
      <c r="AF24" s="86">
        <v>20</v>
      </c>
      <c r="AG24" s="86"/>
      <c r="AH24" s="86"/>
      <c r="AI24" s="86"/>
      <c r="AJ24" s="86"/>
      <c r="AK24" s="86"/>
      <c r="AL24" s="68" t="s">
        <v>575</v>
      </c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70"/>
    </row>
    <row r="25" spans="1:68" s="1" customFormat="1" ht="30.75" customHeight="1">
      <c r="A25" s="74">
        <f t="shared" si="0"/>
        <v>17</v>
      </c>
      <c r="B25" s="75"/>
      <c r="C25" s="76"/>
      <c r="D25" s="71" t="s">
        <v>591</v>
      </c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3"/>
      <c r="AA25" s="74" t="s">
        <v>279</v>
      </c>
      <c r="AB25" s="75"/>
      <c r="AC25" s="75"/>
      <c r="AD25" s="75"/>
      <c r="AE25" s="76"/>
      <c r="AF25" s="86">
        <v>14</v>
      </c>
      <c r="AG25" s="86"/>
      <c r="AH25" s="86"/>
      <c r="AI25" s="74" t="s">
        <v>1302</v>
      </c>
      <c r="AJ25" s="75"/>
      <c r="AK25" s="76"/>
      <c r="AL25" s="68" t="s">
        <v>576</v>
      </c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70"/>
    </row>
    <row r="26" spans="1:68" s="1" customFormat="1" ht="30.75" customHeight="1">
      <c r="A26" s="74">
        <f t="shared" si="0"/>
        <v>18</v>
      </c>
      <c r="B26" s="75"/>
      <c r="C26" s="76"/>
      <c r="D26" s="71" t="s">
        <v>561</v>
      </c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3"/>
      <c r="AA26" s="74" t="s">
        <v>267</v>
      </c>
      <c r="AB26" s="75"/>
      <c r="AC26" s="75"/>
      <c r="AD26" s="75"/>
      <c r="AE26" s="76"/>
      <c r="AF26" s="74">
        <v>14</v>
      </c>
      <c r="AG26" s="75"/>
      <c r="AH26" s="76"/>
      <c r="AI26" s="74"/>
      <c r="AJ26" s="75"/>
      <c r="AK26" s="76"/>
      <c r="AL26" s="68" t="s">
        <v>588</v>
      </c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70"/>
    </row>
    <row r="27" spans="1:68" s="1" customFormat="1" ht="30.75" customHeight="1">
      <c r="A27" s="74">
        <f t="shared" si="0"/>
        <v>19</v>
      </c>
      <c r="B27" s="75"/>
      <c r="C27" s="76"/>
      <c r="D27" s="71" t="s">
        <v>592</v>
      </c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3"/>
      <c r="AA27" s="74" t="s">
        <v>278</v>
      </c>
      <c r="AB27" s="75"/>
      <c r="AC27" s="75"/>
      <c r="AD27" s="75"/>
      <c r="AE27" s="76"/>
      <c r="AF27" s="74">
        <v>8</v>
      </c>
      <c r="AG27" s="75"/>
      <c r="AH27" s="76"/>
      <c r="AI27" s="74"/>
      <c r="AJ27" s="75"/>
      <c r="AK27" s="76"/>
      <c r="AL27" s="68" t="s">
        <v>587</v>
      </c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70"/>
    </row>
    <row r="28" spans="1:68" s="1" customFormat="1" ht="30.75" customHeight="1">
      <c r="A28" s="80">
        <f t="shared" si="0"/>
        <v>20</v>
      </c>
      <c r="B28" s="81"/>
      <c r="C28" s="82"/>
      <c r="D28" s="71" t="s">
        <v>266</v>
      </c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3"/>
      <c r="AA28" s="74" t="s">
        <v>278</v>
      </c>
      <c r="AB28" s="75"/>
      <c r="AC28" s="75"/>
      <c r="AD28" s="75"/>
      <c r="AE28" s="76"/>
      <c r="AF28" s="80">
        <v>42</v>
      </c>
      <c r="AG28" s="81"/>
      <c r="AH28" s="82"/>
      <c r="AI28" s="74"/>
      <c r="AJ28" s="75"/>
      <c r="AK28" s="76"/>
      <c r="AL28" s="68" t="s">
        <v>589</v>
      </c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70"/>
    </row>
    <row r="29" spans="1:68" s="1" customFormat="1" ht="30.75" customHeight="1">
      <c r="A29" s="74">
        <f t="shared" si="0"/>
        <v>21</v>
      </c>
      <c r="B29" s="75"/>
      <c r="C29" s="76"/>
      <c r="D29" s="71" t="s">
        <v>1158</v>
      </c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3"/>
      <c r="AA29" s="74" t="s">
        <v>271</v>
      </c>
      <c r="AB29" s="75"/>
      <c r="AC29" s="75"/>
      <c r="AD29" s="75"/>
      <c r="AE29" s="76"/>
      <c r="AF29" s="74">
        <v>1</v>
      </c>
      <c r="AG29" s="75"/>
      <c r="AH29" s="76"/>
      <c r="AI29" s="86"/>
      <c r="AJ29" s="86"/>
      <c r="AK29" s="86"/>
      <c r="AL29" s="104" t="s">
        <v>1159</v>
      </c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70"/>
    </row>
    <row r="30" spans="1:68" s="1" customFormat="1" ht="30.75" customHeight="1">
      <c r="A30" s="74">
        <f t="shared" si="0"/>
        <v>22</v>
      </c>
      <c r="B30" s="75"/>
      <c r="C30" s="76"/>
      <c r="D30" s="71" t="s">
        <v>1234</v>
      </c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3"/>
      <c r="AA30" s="74" t="s">
        <v>271</v>
      </c>
      <c r="AB30" s="75"/>
      <c r="AC30" s="75"/>
      <c r="AD30" s="75"/>
      <c r="AE30" s="76"/>
      <c r="AF30" s="74">
        <v>1</v>
      </c>
      <c r="AG30" s="75"/>
      <c r="AH30" s="76"/>
      <c r="AI30" s="86"/>
      <c r="AJ30" s="86"/>
      <c r="AK30" s="86"/>
      <c r="AL30" s="104" t="s">
        <v>1235</v>
      </c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70"/>
    </row>
    <row r="31" spans="1:68" s="1" customFormat="1" ht="30.75" customHeight="1">
      <c r="A31" s="74">
        <f t="shared" si="0"/>
        <v>23</v>
      </c>
      <c r="B31" s="75"/>
      <c r="C31" s="76"/>
      <c r="D31" s="71" t="s">
        <v>1176</v>
      </c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3"/>
      <c r="AA31" s="74" t="s">
        <v>18</v>
      </c>
      <c r="AB31" s="75"/>
      <c r="AC31" s="75"/>
      <c r="AD31" s="75"/>
      <c r="AE31" s="76"/>
      <c r="AF31" s="74">
        <v>3</v>
      </c>
      <c r="AG31" s="75"/>
      <c r="AH31" s="76"/>
      <c r="AI31" s="74"/>
      <c r="AJ31" s="75"/>
      <c r="AK31" s="76"/>
      <c r="AL31" s="68" t="s">
        <v>1174</v>
      </c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70"/>
    </row>
    <row r="32" spans="1:68" s="1" customFormat="1" ht="30.75" customHeight="1">
      <c r="A32" s="74">
        <f t="shared" si="0"/>
        <v>24</v>
      </c>
      <c r="B32" s="75"/>
      <c r="C32" s="76"/>
      <c r="D32" s="71" t="s">
        <v>1287</v>
      </c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3"/>
      <c r="AA32" s="74" t="s">
        <v>278</v>
      </c>
      <c r="AB32" s="75"/>
      <c r="AC32" s="75"/>
      <c r="AD32" s="75"/>
      <c r="AE32" s="76"/>
      <c r="AF32" s="74">
        <v>1</v>
      </c>
      <c r="AG32" s="75"/>
      <c r="AH32" s="76"/>
      <c r="AI32" s="74"/>
      <c r="AJ32" s="75"/>
      <c r="AK32" s="76"/>
      <c r="AL32" s="68" t="s">
        <v>1286</v>
      </c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70"/>
    </row>
    <row r="33" spans="1:68" s="1" customFormat="1" ht="30.75" customHeight="1">
      <c r="A33" s="74">
        <f t="shared" si="0"/>
        <v>25</v>
      </c>
      <c r="B33" s="75"/>
      <c r="C33" s="76"/>
      <c r="D33" s="71" t="s">
        <v>1177</v>
      </c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3"/>
      <c r="AA33" s="74" t="s">
        <v>278</v>
      </c>
      <c r="AB33" s="75"/>
      <c r="AC33" s="75"/>
      <c r="AD33" s="75"/>
      <c r="AE33" s="76"/>
      <c r="AF33" s="74">
        <v>8</v>
      </c>
      <c r="AG33" s="75"/>
      <c r="AH33" s="76"/>
      <c r="AI33" s="74"/>
      <c r="AJ33" s="75"/>
      <c r="AK33" s="76"/>
      <c r="AL33" s="68" t="s">
        <v>1175</v>
      </c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70"/>
    </row>
    <row r="34" spans="1:68" s="1" customFormat="1" ht="30.75" customHeight="1">
      <c r="A34" s="74">
        <f t="shared" si="0"/>
        <v>26</v>
      </c>
      <c r="B34" s="75"/>
      <c r="C34" s="76"/>
      <c r="D34" s="71" t="s">
        <v>1178</v>
      </c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3"/>
      <c r="AA34" s="74" t="s">
        <v>18</v>
      </c>
      <c r="AB34" s="75"/>
      <c r="AC34" s="75"/>
      <c r="AD34" s="75"/>
      <c r="AE34" s="76"/>
      <c r="AF34" s="86">
        <v>14</v>
      </c>
      <c r="AG34" s="86"/>
      <c r="AH34" s="86"/>
      <c r="AI34" s="74" t="s">
        <v>1302</v>
      </c>
      <c r="AJ34" s="75"/>
      <c r="AK34" s="76"/>
      <c r="AL34" s="68" t="s">
        <v>579</v>
      </c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70"/>
    </row>
    <row r="35" spans="1:68" s="1" customFormat="1" ht="30.75" customHeight="1">
      <c r="A35" s="74">
        <f t="shared" si="0"/>
        <v>27</v>
      </c>
      <c r="B35" s="75"/>
      <c r="C35" s="76"/>
      <c r="D35" s="71" t="s">
        <v>1179</v>
      </c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3"/>
      <c r="AA35" s="74" t="s">
        <v>18</v>
      </c>
      <c r="AB35" s="75"/>
      <c r="AC35" s="75"/>
      <c r="AD35" s="75"/>
      <c r="AE35" s="76"/>
      <c r="AF35" s="86">
        <v>14</v>
      </c>
      <c r="AG35" s="86"/>
      <c r="AH35" s="86"/>
      <c r="AI35" s="74" t="s">
        <v>1302</v>
      </c>
      <c r="AJ35" s="75"/>
      <c r="AK35" s="76"/>
      <c r="AL35" s="68" t="s">
        <v>580</v>
      </c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70"/>
    </row>
    <row r="36" spans="1:68" s="1" customFormat="1" ht="30.75" customHeight="1">
      <c r="A36" s="74">
        <f t="shared" si="0"/>
        <v>28</v>
      </c>
      <c r="B36" s="75"/>
      <c r="C36" s="76"/>
      <c r="D36" s="71" t="s">
        <v>1180</v>
      </c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3"/>
      <c r="AA36" s="74" t="s">
        <v>278</v>
      </c>
      <c r="AB36" s="75"/>
      <c r="AC36" s="75"/>
      <c r="AD36" s="75"/>
      <c r="AE36" s="76"/>
      <c r="AF36" s="86">
        <v>2</v>
      </c>
      <c r="AG36" s="86"/>
      <c r="AH36" s="86"/>
      <c r="AI36" s="86"/>
      <c r="AJ36" s="86"/>
      <c r="AK36" s="86"/>
      <c r="AL36" s="68" t="s">
        <v>581</v>
      </c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70"/>
    </row>
    <row r="37" spans="1:68" s="1" customFormat="1" ht="30.75" customHeight="1">
      <c r="A37" s="74">
        <f t="shared" si="0"/>
        <v>29</v>
      </c>
      <c r="B37" s="75"/>
      <c r="C37" s="76"/>
      <c r="D37" s="71" t="s">
        <v>1181</v>
      </c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3"/>
      <c r="AA37" s="74" t="s">
        <v>18</v>
      </c>
      <c r="AB37" s="75"/>
      <c r="AC37" s="75"/>
      <c r="AD37" s="75"/>
      <c r="AE37" s="76"/>
      <c r="AF37" s="86">
        <v>8</v>
      </c>
      <c r="AG37" s="86"/>
      <c r="AH37" s="86"/>
      <c r="AI37" s="86"/>
      <c r="AJ37" s="86"/>
      <c r="AK37" s="86"/>
      <c r="AL37" s="68" t="s">
        <v>584</v>
      </c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70"/>
    </row>
    <row r="38" spans="1:68" s="1" customFormat="1" ht="30.75" customHeight="1">
      <c r="A38" s="74">
        <f t="shared" si="0"/>
        <v>30</v>
      </c>
      <c r="B38" s="75"/>
      <c r="C38" s="76"/>
      <c r="D38" s="71" t="s">
        <v>1182</v>
      </c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3"/>
      <c r="AA38" s="74" t="s">
        <v>278</v>
      </c>
      <c r="AB38" s="75"/>
      <c r="AC38" s="75"/>
      <c r="AD38" s="75"/>
      <c r="AE38" s="76"/>
      <c r="AF38" s="86">
        <v>1</v>
      </c>
      <c r="AG38" s="86"/>
      <c r="AH38" s="86"/>
      <c r="AI38" s="86"/>
      <c r="AJ38" s="86"/>
      <c r="AK38" s="86"/>
      <c r="AL38" s="68" t="s">
        <v>1184</v>
      </c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70"/>
    </row>
    <row r="39" spans="1:68" s="1" customFormat="1" ht="30.75" customHeight="1">
      <c r="A39" s="74">
        <f t="shared" si="0"/>
        <v>31</v>
      </c>
      <c r="B39" s="75"/>
      <c r="C39" s="76"/>
      <c r="D39" s="71" t="s">
        <v>1183</v>
      </c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3"/>
      <c r="AA39" s="74" t="s">
        <v>278</v>
      </c>
      <c r="AB39" s="75"/>
      <c r="AC39" s="75"/>
      <c r="AD39" s="75"/>
      <c r="AE39" s="76"/>
      <c r="AF39" s="86">
        <v>16</v>
      </c>
      <c r="AG39" s="86"/>
      <c r="AH39" s="86"/>
      <c r="AI39" s="86"/>
      <c r="AJ39" s="86"/>
      <c r="AK39" s="86"/>
      <c r="AL39" s="68" t="s">
        <v>1124</v>
      </c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70"/>
    </row>
    <row r="40" spans="1:68" s="1" customFormat="1" ht="30.75" customHeight="1">
      <c r="A40" s="91"/>
      <c r="B40" s="91"/>
      <c r="C40" s="91"/>
      <c r="D40" s="77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9"/>
      <c r="AA40" s="80"/>
      <c r="AB40" s="81"/>
      <c r="AC40" s="81"/>
      <c r="AD40" s="81"/>
      <c r="AE40" s="82"/>
      <c r="AF40" s="87"/>
      <c r="AG40" s="87"/>
      <c r="AH40" s="87"/>
      <c r="AI40" s="87"/>
      <c r="AJ40" s="87"/>
      <c r="AK40" s="87"/>
      <c r="AL40" s="83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5"/>
    </row>
    <row r="41" spans="1:68" s="4" customFormat="1" ht="3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3"/>
      <c r="AG41" s="3"/>
      <c r="AH41" s="3"/>
      <c r="AI41" s="3"/>
      <c r="AJ41" s="3"/>
      <c r="AK41" s="3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</row>
    <row r="42" spans="1:68" s="4" customFormat="1" ht="14.25">
      <c r="A42" s="5" t="s">
        <v>14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15"/>
      <c r="AG42" s="15"/>
      <c r="AH42" s="15"/>
      <c r="AI42" s="15"/>
      <c r="AJ42" s="15"/>
      <c r="AK42" s="15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6"/>
    </row>
    <row r="43" spans="1:68" s="4" customFormat="1" ht="20.25" customHeight="1">
      <c r="A43" s="5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6"/>
    </row>
    <row r="44" spans="1:68" s="4" customFormat="1" ht="20.25" customHeight="1">
      <c r="A44" s="5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6"/>
    </row>
    <row r="45" spans="1:68" s="4" customFormat="1" ht="20.25" customHeight="1">
      <c r="A45" s="7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9"/>
    </row>
    <row r="46" spans="1:68" ht="5.25" customHeight="1"/>
  </sheetData>
  <mergeCells count="217">
    <mergeCell ref="A32:C32"/>
    <mergeCell ref="D32:Z32"/>
    <mergeCell ref="AA32:AE32"/>
    <mergeCell ref="AF32:AH32"/>
    <mergeCell ref="AI32:AK32"/>
    <mergeCell ref="AL32:BP32"/>
    <mergeCell ref="AL30:BP30"/>
    <mergeCell ref="AF26:AH26"/>
    <mergeCell ref="AI26:AK26"/>
    <mergeCell ref="AL26:BP26"/>
    <mergeCell ref="D28:Z28"/>
    <mergeCell ref="AA28:AE28"/>
    <mergeCell ref="AF28:AH28"/>
    <mergeCell ref="D34:Z34"/>
    <mergeCell ref="AA34:AE34"/>
    <mergeCell ref="AF34:AH34"/>
    <mergeCell ref="AI34:AK34"/>
    <mergeCell ref="AL34:BP34"/>
    <mergeCell ref="D29:Z29"/>
    <mergeCell ref="AA29:AE29"/>
    <mergeCell ref="AF29:AH29"/>
    <mergeCell ref="AI29:AK29"/>
    <mergeCell ref="AL29:BP29"/>
    <mergeCell ref="D31:Z31"/>
    <mergeCell ref="AA31:AE31"/>
    <mergeCell ref="AF31:AH31"/>
    <mergeCell ref="AI31:AK31"/>
    <mergeCell ref="AL31:BP31"/>
    <mergeCell ref="D30:Z30"/>
    <mergeCell ref="AI12:AK12"/>
    <mergeCell ref="AL21:BP21"/>
    <mergeCell ref="D20:Z20"/>
    <mergeCell ref="AA20:AE20"/>
    <mergeCell ref="A35:C35"/>
    <mergeCell ref="D35:Z35"/>
    <mergeCell ref="AA35:AE35"/>
    <mergeCell ref="AF35:AH35"/>
    <mergeCell ref="AL25:BP25"/>
    <mergeCell ref="AF25:AH25"/>
    <mergeCell ref="AI25:AK25"/>
    <mergeCell ref="AL20:BP20"/>
    <mergeCell ref="AF20:AH20"/>
    <mergeCell ref="AI20:AK20"/>
    <mergeCell ref="AF21:AH21"/>
    <mergeCell ref="AI21:AK21"/>
    <mergeCell ref="A14:C14"/>
    <mergeCell ref="D14:Z14"/>
    <mergeCell ref="AA14:AE14"/>
    <mergeCell ref="AF14:AH14"/>
    <mergeCell ref="AI14:AK14"/>
    <mergeCell ref="AF30:AH30"/>
    <mergeCell ref="AI30:AK30"/>
    <mergeCell ref="A12:C12"/>
    <mergeCell ref="AI39:AK39"/>
    <mergeCell ref="AL39:BP39"/>
    <mergeCell ref="D36:Z36"/>
    <mergeCell ref="AA36:AE36"/>
    <mergeCell ref="AF36:AH36"/>
    <mergeCell ref="AI36:AK36"/>
    <mergeCell ref="AL36:BP36"/>
    <mergeCell ref="AF37:AH37"/>
    <mergeCell ref="AI37:AK37"/>
    <mergeCell ref="AL37:BP37"/>
    <mergeCell ref="AA37:AE37"/>
    <mergeCell ref="AF39:AH39"/>
    <mergeCell ref="AF38:AH38"/>
    <mergeCell ref="AI38:AK38"/>
    <mergeCell ref="AL38:BP38"/>
    <mergeCell ref="A20:C20"/>
    <mergeCell ref="A21:C21"/>
    <mergeCell ref="A22:C22"/>
    <mergeCell ref="A36:C36"/>
    <mergeCell ref="A37:C37"/>
    <mergeCell ref="AF27:AH27"/>
    <mergeCell ref="A26:C26"/>
    <mergeCell ref="D12:Z12"/>
    <mergeCell ref="A34:C34"/>
    <mergeCell ref="AA24:AE24"/>
    <mergeCell ref="D22:Z22"/>
    <mergeCell ref="AA22:AE22"/>
    <mergeCell ref="AF22:AH22"/>
    <mergeCell ref="AF23:AH23"/>
    <mergeCell ref="AF24:AH24"/>
    <mergeCell ref="AA12:AE12"/>
    <mergeCell ref="D24:Z24"/>
    <mergeCell ref="A27:C27"/>
    <mergeCell ref="D27:Z27"/>
    <mergeCell ref="AA27:AE27"/>
    <mergeCell ref="A19:C19"/>
    <mergeCell ref="D19:Z19"/>
    <mergeCell ref="AA19:AE19"/>
    <mergeCell ref="AF19:AH19"/>
    <mergeCell ref="AL13:BP13"/>
    <mergeCell ref="AF13:AH13"/>
    <mergeCell ref="AI28:AK28"/>
    <mergeCell ref="AL28:BP28"/>
    <mergeCell ref="AF11:AH11"/>
    <mergeCell ref="A11:C11"/>
    <mergeCell ref="A13:C13"/>
    <mergeCell ref="AI35:AK35"/>
    <mergeCell ref="AL35:BP35"/>
    <mergeCell ref="A33:C33"/>
    <mergeCell ref="D33:Z33"/>
    <mergeCell ref="AA33:AE33"/>
    <mergeCell ref="AF33:AH33"/>
    <mergeCell ref="AI33:AK33"/>
    <mergeCell ref="AI13:AK13"/>
    <mergeCell ref="AL23:BP23"/>
    <mergeCell ref="AL24:BP24"/>
    <mergeCell ref="AL22:BP22"/>
    <mergeCell ref="AI22:AK22"/>
    <mergeCell ref="AI23:AK23"/>
    <mergeCell ref="AL12:BP12"/>
    <mergeCell ref="AI27:AK27"/>
    <mergeCell ref="AI11:AK11"/>
    <mergeCell ref="AF12:AH12"/>
    <mergeCell ref="A6:G6"/>
    <mergeCell ref="H6:N6"/>
    <mergeCell ref="O6:Y6"/>
    <mergeCell ref="Z6:BE6"/>
    <mergeCell ref="BF6:BI6"/>
    <mergeCell ref="BJ6:BP6"/>
    <mergeCell ref="D9:Z9"/>
    <mergeCell ref="AA9:AE9"/>
    <mergeCell ref="A10:C10"/>
    <mergeCell ref="D10:Z10"/>
    <mergeCell ref="AA10:AE10"/>
    <mergeCell ref="A8:C8"/>
    <mergeCell ref="D8:Z8"/>
    <mergeCell ref="AA8:AE8"/>
    <mergeCell ref="AL8:BP8"/>
    <mergeCell ref="A9:C9"/>
    <mergeCell ref="AL9:BP9"/>
    <mergeCell ref="A40:C40"/>
    <mergeCell ref="D21:Z21"/>
    <mergeCell ref="AA21:AE21"/>
    <mergeCell ref="D23:Z23"/>
    <mergeCell ref="AA23:AE23"/>
    <mergeCell ref="A23:C23"/>
    <mergeCell ref="A24:C24"/>
    <mergeCell ref="D25:Z25"/>
    <mergeCell ref="AA25:AE25"/>
    <mergeCell ref="D37:Z37"/>
    <mergeCell ref="A39:C39"/>
    <mergeCell ref="D38:Z38"/>
    <mergeCell ref="AA39:AE39"/>
    <mergeCell ref="A25:C25"/>
    <mergeCell ref="D39:Z39"/>
    <mergeCell ref="D26:Z26"/>
    <mergeCell ref="AA26:AE26"/>
    <mergeCell ref="A31:C31"/>
    <mergeCell ref="A28:C28"/>
    <mergeCell ref="A29:C29"/>
    <mergeCell ref="A30:C30"/>
    <mergeCell ref="AA30:AE30"/>
    <mergeCell ref="A38:C38"/>
    <mergeCell ref="AA38:AE38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I40:AK40"/>
    <mergeCell ref="A4:G4"/>
    <mergeCell ref="H4:BA4"/>
    <mergeCell ref="BB4:BE4"/>
    <mergeCell ref="BF4:BP4"/>
    <mergeCell ref="AF8:AH8"/>
    <mergeCell ref="AI8:AK8"/>
    <mergeCell ref="AF9:AH9"/>
    <mergeCell ref="AI9:AK9"/>
    <mergeCell ref="D40:Z40"/>
    <mergeCell ref="AA40:AE40"/>
    <mergeCell ref="AL40:BP40"/>
    <mergeCell ref="AF40:AH40"/>
    <mergeCell ref="AI24:AK24"/>
    <mergeCell ref="AF10:AH10"/>
    <mergeCell ref="AL33:BP33"/>
    <mergeCell ref="AL27:BP27"/>
    <mergeCell ref="AI10:AK10"/>
    <mergeCell ref="AL10:BP10"/>
    <mergeCell ref="D11:Z11"/>
    <mergeCell ref="AA11:AE11"/>
    <mergeCell ref="AL11:BP11"/>
    <mergeCell ref="D13:Z13"/>
    <mergeCell ref="AA13:AE13"/>
    <mergeCell ref="AL14:BP14"/>
    <mergeCell ref="A15:C15"/>
    <mergeCell ref="D15:Z15"/>
    <mergeCell ref="AA15:AE15"/>
    <mergeCell ref="AF15:AH15"/>
    <mergeCell ref="AI15:AK15"/>
    <mergeCell ref="AL15:BP15"/>
    <mergeCell ref="A16:C16"/>
    <mergeCell ref="D16:Z16"/>
    <mergeCell ref="AA16:AE16"/>
    <mergeCell ref="AF16:AH16"/>
    <mergeCell ref="AI16:AK16"/>
    <mergeCell ref="AL16:BP16"/>
    <mergeCell ref="AI19:AK19"/>
    <mergeCell ref="AL19:BP19"/>
    <mergeCell ref="A17:C17"/>
    <mergeCell ref="D17:Z17"/>
    <mergeCell ref="AA17:AE17"/>
    <mergeCell ref="AF17:AH17"/>
    <mergeCell ref="AI17:AK17"/>
    <mergeCell ref="AL17:BP17"/>
    <mergeCell ref="A18:C18"/>
    <mergeCell ref="D18:Z18"/>
    <mergeCell ref="AA18:AE18"/>
    <mergeCell ref="AF18:AH18"/>
    <mergeCell ref="AI18:AK18"/>
    <mergeCell ref="AL18:BP18"/>
  </mergeCells>
  <phoneticPr fontId="3"/>
  <dataValidations count="1">
    <dataValidation type="list" allowBlank="1" showInputMessage="1" showErrorMessage="1" sqref="BJ6:BP6" xr:uid="{8CD34579-8496-45FE-9001-36F638A78B56}">
      <formula1>"原票、画面,帳票,連動ファイル,論理ファイル"</formula1>
    </dataValidation>
  </dataValidations>
  <pageMargins left="0.59055118110236227" right="0.47244094488188981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06AC4-EFD0-43E9-B737-007BFE83CCB0}">
  <dimension ref="A1:BR45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1" width="2.125" style="56"/>
    <col min="32" max="32" width="2.875" style="56" bestFit="1" customWidth="1"/>
    <col min="33" max="38" width="2.125" style="56"/>
    <col min="39" max="44" width="0" style="56" hidden="1" customWidth="1"/>
    <col min="45" max="16384" width="2.125" style="56"/>
  </cols>
  <sheetData>
    <row r="1" spans="1:70" s="39" customFormat="1" ht="18" customHeight="1">
      <c r="A1" s="39" t="s">
        <v>212</v>
      </c>
      <c r="BP1" s="40" t="s">
        <v>0</v>
      </c>
    </row>
    <row r="2" spans="1:70" s="41" customFormat="1" ht="18" customHeight="1">
      <c r="A2" s="191" t="s">
        <v>213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3"/>
      <c r="BB2" s="182" t="s">
        <v>1</v>
      </c>
      <c r="BC2" s="183"/>
      <c r="BD2" s="183"/>
      <c r="BE2" s="184"/>
      <c r="BF2" s="182" t="s">
        <v>214</v>
      </c>
      <c r="BG2" s="183"/>
      <c r="BH2" s="183"/>
      <c r="BI2" s="184"/>
      <c r="BJ2" s="182" t="s">
        <v>2</v>
      </c>
      <c r="BK2" s="183"/>
      <c r="BL2" s="183"/>
      <c r="BM2" s="184"/>
      <c r="BN2" s="183"/>
      <c r="BO2" s="183"/>
      <c r="BP2" s="184"/>
      <c r="BR2" s="42"/>
    </row>
    <row r="3" spans="1:70" s="39" customFormat="1" ht="18" customHeight="1">
      <c r="A3" s="181" t="s">
        <v>3</v>
      </c>
      <c r="B3" s="181"/>
      <c r="C3" s="181"/>
      <c r="D3" s="181"/>
      <c r="E3" s="181"/>
      <c r="F3" s="181"/>
      <c r="G3" s="181"/>
      <c r="H3" s="144" t="s">
        <v>562</v>
      </c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82" t="s">
        <v>4</v>
      </c>
      <c r="BC3" s="183"/>
      <c r="BD3" s="183"/>
      <c r="BE3" s="184"/>
      <c r="BF3" s="182" t="s">
        <v>563</v>
      </c>
      <c r="BG3" s="183"/>
      <c r="BH3" s="183"/>
      <c r="BI3" s="183"/>
      <c r="BJ3" s="183"/>
      <c r="BK3" s="183"/>
      <c r="BL3" s="183"/>
      <c r="BM3" s="183"/>
      <c r="BN3" s="183"/>
      <c r="BO3" s="183"/>
      <c r="BP3" s="184"/>
    </row>
    <row r="4" spans="1:70" s="39" customFormat="1" ht="18" customHeight="1">
      <c r="A4" s="181" t="s">
        <v>5</v>
      </c>
      <c r="B4" s="181"/>
      <c r="C4" s="181"/>
      <c r="D4" s="181"/>
      <c r="E4" s="181"/>
      <c r="F4" s="181"/>
      <c r="G4" s="181"/>
      <c r="H4" s="144" t="s">
        <v>198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182" t="s">
        <v>6</v>
      </c>
      <c r="BC4" s="183"/>
      <c r="BD4" s="183"/>
      <c r="BE4" s="184"/>
      <c r="BF4" s="182"/>
      <c r="BG4" s="183"/>
      <c r="BH4" s="183"/>
      <c r="BI4" s="183"/>
      <c r="BJ4" s="183"/>
      <c r="BK4" s="183"/>
      <c r="BL4" s="183"/>
      <c r="BM4" s="183"/>
      <c r="BN4" s="183"/>
      <c r="BO4" s="183"/>
      <c r="BP4" s="184"/>
    </row>
    <row r="5" spans="1:70" ht="6" customHeight="1"/>
    <row r="6" spans="1:70" s="43" customFormat="1" ht="20.25" customHeight="1">
      <c r="A6" s="175" t="s">
        <v>7</v>
      </c>
      <c r="B6" s="176"/>
      <c r="C6" s="176"/>
      <c r="D6" s="176"/>
      <c r="E6" s="176"/>
      <c r="F6" s="176"/>
      <c r="G6" s="177"/>
      <c r="H6" s="182" t="s">
        <v>1441</v>
      </c>
      <c r="I6" s="183"/>
      <c r="J6" s="183"/>
      <c r="K6" s="183"/>
      <c r="L6" s="183"/>
      <c r="M6" s="183"/>
      <c r="N6" s="184"/>
      <c r="O6" s="175" t="s">
        <v>8</v>
      </c>
      <c r="P6" s="176"/>
      <c r="Q6" s="176"/>
      <c r="R6" s="176"/>
      <c r="S6" s="176"/>
      <c r="T6" s="176"/>
      <c r="U6" s="176"/>
      <c r="V6" s="176"/>
      <c r="W6" s="176"/>
      <c r="X6" s="176"/>
      <c r="Y6" s="177"/>
      <c r="Z6" s="185" t="s">
        <v>1440</v>
      </c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7"/>
      <c r="BF6" s="175" t="s">
        <v>9</v>
      </c>
      <c r="BG6" s="176"/>
      <c r="BH6" s="176"/>
      <c r="BI6" s="177"/>
      <c r="BJ6" s="188" t="s">
        <v>125</v>
      </c>
      <c r="BK6" s="189"/>
      <c r="BL6" s="189"/>
      <c r="BM6" s="189"/>
      <c r="BN6" s="189"/>
      <c r="BO6" s="189"/>
      <c r="BP6" s="190"/>
    </row>
    <row r="7" spans="1:70" ht="5.25" customHeight="1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</row>
    <row r="8" spans="1:70" s="43" customFormat="1" ht="20.25" customHeight="1">
      <c r="A8" s="175" t="s">
        <v>11</v>
      </c>
      <c r="B8" s="176"/>
      <c r="C8" s="177"/>
      <c r="D8" s="175" t="s">
        <v>12</v>
      </c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7"/>
      <c r="AA8" s="178" t="s">
        <v>13</v>
      </c>
      <c r="AB8" s="179"/>
      <c r="AC8" s="179"/>
      <c r="AD8" s="179"/>
      <c r="AE8" s="180"/>
      <c r="AF8" s="175" t="s">
        <v>215</v>
      </c>
      <c r="AG8" s="176"/>
      <c r="AH8" s="177"/>
      <c r="AI8" s="175" t="s">
        <v>216</v>
      </c>
      <c r="AJ8" s="176"/>
      <c r="AK8" s="177"/>
      <c r="AL8" s="178" t="s">
        <v>199</v>
      </c>
      <c r="AM8" s="179"/>
      <c r="AN8" s="179"/>
      <c r="AO8" s="179"/>
      <c r="AP8" s="179"/>
      <c r="AQ8" s="179"/>
      <c r="AR8" s="179"/>
      <c r="AS8" s="179"/>
      <c r="AT8" s="179"/>
      <c r="AU8" s="179"/>
      <c r="AV8" s="179"/>
      <c r="AW8" s="179"/>
      <c r="AX8" s="179"/>
      <c r="AY8" s="179"/>
      <c r="AZ8" s="179"/>
      <c r="BA8" s="179"/>
      <c r="BB8" s="179"/>
      <c r="BC8" s="179"/>
      <c r="BD8" s="179"/>
      <c r="BE8" s="179"/>
      <c r="BF8" s="179"/>
      <c r="BG8" s="179"/>
      <c r="BH8" s="179"/>
      <c r="BI8" s="179"/>
      <c r="BJ8" s="179"/>
      <c r="BK8" s="179"/>
      <c r="BL8" s="179"/>
      <c r="BM8" s="179"/>
      <c r="BN8" s="179"/>
      <c r="BO8" s="179"/>
      <c r="BP8" s="180"/>
    </row>
    <row r="9" spans="1:70" s="1" customFormat="1" ht="30.75" customHeight="1">
      <c r="A9" s="129">
        <f t="shared" ref="A9" si="0">ROW()-8</f>
        <v>1</v>
      </c>
      <c r="B9" s="130"/>
      <c r="C9" s="131"/>
      <c r="D9" s="132" t="s">
        <v>1561</v>
      </c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4"/>
      <c r="AA9" s="129" t="s">
        <v>278</v>
      </c>
      <c r="AB9" s="130"/>
      <c r="AC9" s="130"/>
      <c r="AD9" s="130"/>
      <c r="AE9" s="131"/>
      <c r="AF9" s="129">
        <v>21</v>
      </c>
      <c r="AG9" s="130"/>
      <c r="AH9" s="131"/>
      <c r="AI9" s="129"/>
      <c r="AJ9" s="130"/>
      <c r="AK9" s="131"/>
      <c r="AL9" s="135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6"/>
      <c r="BH9" s="136"/>
      <c r="BI9" s="136"/>
      <c r="BJ9" s="136"/>
      <c r="BK9" s="136"/>
      <c r="BL9" s="136"/>
      <c r="BM9" s="136"/>
      <c r="BN9" s="136"/>
      <c r="BO9" s="136"/>
      <c r="BP9" s="137"/>
    </row>
    <row r="10" spans="1:70" s="43" customFormat="1" ht="30.75" customHeight="1">
      <c r="A10" s="160">
        <f t="shared" ref="A10:A32" si="1">ROW()-8</f>
        <v>2</v>
      </c>
      <c r="B10" s="161"/>
      <c r="C10" s="162"/>
      <c r="D10" s="157" t="s">
        <v>593</v>
      </c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9"/>
      <c r="AA10" s="160" t="s">
        <v>18</v>
      </c>
      <c r="AB10" s="161"/>
      <c r="AC10" s="161"/>
      <c r="AD10" s="161"/>
      <c r="AE10" s="162"/>
      <c r="AF10" s="160">
        <v>8</v>
      </c>
      <c r="AG10" s="161"/>
      <c r="AH10" s="162"/>
      <c r="AI10" s="160"/>
      <c r="AJ10" s="161"/>
      <c r="AK10" s="162"/>
      <c r="AL10" s="163" t="s">
        <v>595</v>
      </c>
      <c r="AM10" s="164"/>
      <c r="AN10" s="164"/>
      <c r="AO10" s="164"/>
      <c r="AP10" s="164"/>
      <c r="AQ10" s="164"/>
      <c r="AR10" s="164"/>
      <c r="AS10" s="164"/>
      <c r="AT10" s="164"/>
      <c r="AU10" s="164"/>
      <c r="AV10" s="164"/>
      <c r="AW10" s="164"/>
      <c r="AX10" s="164"/>
      <c r="AY10" s="164"/>
      <c r="AZ10" s="164"/>
      <c r="BA10" s="164"/>
      <c r="BB10" s="164"/>
      <c r="BC10" s="164"/>
      <c r="BD10" s="164"/>
      <c r="BE10" s="164"/>
      <c r="BF10" s="164"/>
      <c r="BG10" s="164"/>
      <c r="BH10" s="164"/>
      <c r="BI10" s="164"/>
      <c r="BJ10" s="164"/>
      <c r="BK10" s="164"/>
      <c r="BL10" s="164"/>
      <c r="BM10" s="164"/>
      <c r="BN10" s="164"/>
      <c r="BO10" s="164"/>
      <c r="BP10" s="165"/>
    </row>
    <row r="11" spans="1:70" s="43" customFormat="1" ht="30.75" customHeight="1">
      <c r="A11" s="160">
        <f t="shared" si="1"/>
        <v>3</v>
      </c>
      <c r="B11" s="161"/>
      <c r="C11" s="162"/>
      <c r="D11" s="157" t="s">
        <v>495</v>
      </c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9"/>
      <c r="AA11" s="160" t="s">
        <v>19</v>
      </c>
      <c r="AB11" s="161"/>
      <c r="AC11" s="161"/>
      <c r="AD11" s="161"/>
      <c r="AE11" s="162"/>
      <c r="AF11" s="160">
        <v>2</v>
      </c>
      <c r="AG11" s="161"/>
      <c r="AH11" s="162"/>
      <c r="AI11" s="160"/>
      <c r="AJ11" s="161"/>
      <c r="AK11" s="162"/>
      <c r="AL11" s="163" t="s">
        <v>564</v>
      </c>
      <c r="AM11" s="164"/>
      <c r="AN11" s="164"/>
      <c r="AO11" s="164"/>
      <c r="AP11" s="164"/>
      <c r="AQ11" s="164"/>
      <c r="AR11" s="164"/>
      <c r="AS11" s="164"/>
      <c r="AT11" s="164"/>
      <c r="AU11" s="164"/>
      <c r="AV11" s="164"/>
      <c r="AW11" s="164"/>
      <c r="AX11" s="164"/>
      <c r="AY11" s="164"/>
      <c r="AZ11" s="164"/>
      <c r="BA11" s="164"/>
      <c r="BB11" s="164"/>
      <c r="BC11" s="164"/>
      <c r="BD11" s="164"/>
      <c r="BE11" s="164"/>
      <c r="BF11" s="164"/>
      <c r="BG11" s="164"/>
      <c r="BH11" s="164"/>
      <c r="BI11" s="164"/>
      <c r="BJ11" s="164"/>
      <c r="BK11" s="164"/>
      <c r="BL11" s="164"/>
      <c r="BM11" s="164"/>
      <c r="BN11" s="164"/>
      <c r="BO11" s="164"/>
      <c r="BP11" s="165"/>
    </row>
    <row r="12" spans="1:70" s="43" customFormat="1" ht="30.75" customHeight="1">
      <c r="A12" s="160">
        <f t="shared" si="1"/>
        <v>4</v>
      </c>
      <c r="B12" s="161"/>
      <c r="C12" s="162"/>
      <c r="D12" s="157" t="s">
        <v>541</v>
      </c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9"/>
      <c r="AA12" s="160" t="s">
        <v>19</v>
      </c>
      <c r="AB12" s="161"/>
      <c r="AC12" s="161"/>
      <c r="AD12" s="161"/>
      <c r="AE12" s="162"/>
      <c r="AF12" s="160">
        <v>10</v>
      </c>
      <c r="AG12" s="161"/>
      <c r="AH12" s="162"/>
      <c r="AI12" s="160"/>
      <c r="AJ12" s="161"/>
      <c r="AK12" s="162"/>
      <c r="AL12" s="163" t="s">
        <v>565</v>
      </c>
      <c r="AM12" s="164"/>
      <c r="AN12" s="164"/>
      <c r="AO12" s="164"/>
      <c r="AP12" s="164"/>
      <c r="AQ12" s="164"/>
      <c r="AR12" s="164"/>
      <c r="AS12" s="164"/>
      <c r="AT12" s="164"/>
      <c r="AU12" s="164"/>
      <c r="AV12" s="164"/>
      <c r="AW12" s="164"/>
      <c r="AX12" s="164"/>
      <c r="AY12" s="164"/>
      <c r="AZ12" s="164"/>
      <c r="BA12" s="164"/>
      <c r="BB12" s="164"/>
      <c r="BC12" s="164"/>
      <c r="BD12" s="164"/>
      <c r="BE12" s="164"/>
      <c r="BF12" s="164"/>
      <c r="BG12" s="164"/>
      <c r="BH12" s="164"/>
      <c r="BI12" s="164"/>
      <c r="BJ12" s="164"/>
      <c r="BK12" s="164"/>
      <c r="BL12" s="164"/>
      <c r="BM12" s="164"/>
      <c r="BN12" s="164"/>
      <c r="BO12" s="164"/>
      <c r="BP12" s="165"/>
    </row>
    <row r="13" spans="1:70" s="43" customFormat="1" ht="30.75" customHeight="1">
      <c r="A13" s="160">
        <f t="shared" si="1"/>
        <v>5</v>
      </c>
      <c r="B13" s="161"/>
      <c r="C13" s="162"/>
      <c r="D13" s="157" t="s">
        <v>542</v>
      </c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9"/>
      <c r="AA13" s="160" t="s">
        <v>19</v>
      </c>
      <c r="AB13" s="161"/>
      <c r="AC13" s="161"/>
      <c r="AD13" s="161"/>
      <c r="AE13" s="162"/>
      <c r="AF13" s="160">
        <v>4</v>
      </c>
      <c r="AG13" s="161"/>
      <c r="AH13" s="162"/>
      <c r="AI13" s="160"/>
      <c r="AJ13" s="161"/>
      <c r="AK13" s="162"/>
      <c r="AL13" s="163" t="s">
        <v>566</v>
      </c>
      <c r="AM13" s="164"/>
      <c r="AN13" s="164"/>
      <c r="AO13" s="164"/>
      <c r="AP13" s="164"/>
      <c r="AQ13" s="164"/>
      <c r="AR13" s="164"/>
      <c r="AS13" s="164"/>
      <c r="AT13" s="164"/>
      <c r="AU13" s="164"/>
      <c r="AV13" s="164"/>
      <c r="AW13" s="164"/>
      <c r="AX13" s="164"/>
      <c r="AY13" s="164"/>
      <c r="AZ13" s="164"/>
      <c r="BA13" s="164"/>
      <c r="BB13" s="164"/>
      <c r="BC13" s="164"/>
      <c r="BD13" s="164"/>
      <c r="BE13" s="164"/>
      <c r="BF13" s="164"/>
      <c r="BG13" s="164"/>
      <c r="BH13" s="164"/>
      <c r="BI13" s="164"/>
      <c r="BJ13" s="164"/>
      <c r="BK13" s="164"/>
      <c r="BL13" s="164"/>
      <c r="BM13" s="164"/>
      <c r="BN13" s="164"/>
      <c r="BO13" s="164"/>
      <c r="BP13" s="165"/>
    </row>
    <row r="14" spans="1:70" s="43" customFormat="1" ht="30.75" customHeight="1">
      <c r="A14" s="160">
        <f t="shared" si="1"/>
        <v>6</v>
      </c>
      <c r="B14" s="161"/>
      <c r="C14" s="162"/>
      <c r="D14" s="157" t="s">
        <v>543</v>
      </c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9"/>
      <c r="AA14" s="160" t="s">
        <v>19</v>
      </c>
      <c r="AB14" s="161"/>
      <c r="AC14" s="161"/>
      <c r="AD14" s="161"/>
      <c r="AE14" s="162"/>
      <c r="AF14" s="160">
        <v>15</v>
      </c>
      <c r="AG14" s="161"/>
      <c r="AH14" s="162"/>
      <c r="AI14" s="160"/>
      <c r="AJ14" s="161"/>
      <c r="AK14" s="162"/>
      <c r="AL14" s="163" t="s">
        <v>567</v>
      </c>
      <c r="AM14" s="164"/>
      <c r="AN14" s="164"/>
      <c r="AO14" s="164"/>
      <c r="AP14" s="164"/>
      <c r="AQ14" s="164"/>
      <c r="AR14" s="164"/>
      <c r="AS14" s="164"/>
      <c r="AT14" s="164"/>
      <c r="AU14" s="164"/>
      <c r="AV14" s="164"/>
      <c r="AW14" s="164"/>
      <c r="AX14" s="164"/>
      <c r="AY14" s="164"/>
      <c r="AZ14" s="164"/>
      <c r="BA14" s="164"/>
      <c r="BB14" s="164"/>
      <c r="BC14" s="164"/>
      <c r="BD14" s="164"/>
      <c r="BE14" s="164"/>
      <c r="BF14" s="164"/>
      <c r="BG14" s="164"/>
      <c r="BH14" s="164"/>
      <c r="BI14" s="164"/>
      <c r="BJ14" s="164"/>
      <c r="BK14" s="164"/>
      <c r="BL14" s="164"/>
      <c r="BM14" s="164"/>
      <c r="BN14" s="164"/>
      <c r="BO14" s="164"/>
      <c r="BP14" s="165"/>
    </row>
    <row r="15" spans="1:70" s="43" customFormat="1" ht="30.75" customHeight="1">
      <c r="A15" s="160">
        <f t="shared" si="1"/>
        <v>7</v>
      </c>
      <c r="B15" s="161"/>
      <c r="C15" s="162"/>
      <c r="D15" s="157" t="s">
        <v>544</v>
      </c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9"/>
      <c r="AA15" s="160" t="s">
        <v>19</v>
      </c>
      <c r="AB15" s="161"/>
      <c r="AC15" s="161"/>
      <c r="AD15" s="161"/>
      <c r="AE15" s="162"/>
      <c r="AF15" s="160">
        <v>1</v>
      </c>
      <c r="AG15" s="161"/>
      <c r="AH15" s="162"/>
      <c r="AI15" s="160"/>
      <c r="AJ15" s="161"/>
      <c r="AK15" s="162"/>
      <c r="AL15" s="163" t="s">
        <v>568</v>
      </c>
      <c r="AM15" s="164"/>
      <c r="AN15" s="164"/>
      <c r="AO15" s="164"/>
      <c r="AP15" s="164"/>
      <c r="AQ15" s="164"/>
      <c r="AR15" s="164"/>
      <c r="AS15" s="164"/>
      <c r="AT15" s="164"/>
      <c r="AU15" s="164"/>
      <c r="AV15" s="164"/>
      <c r="AW15" s="164"/>
      <c r="AX15" s="164"/>
      <c r="AY15" s="164"/>
      <c r="AZ15" s="164"/>
      <c r="BA15" s="164"/>
      <c r="BB15" s="164"/>
      <c r="BC15" s="164"/>
      <c r="BD15" s="164"/>
      <c r="BE15" s="164"/>
      <c r="BF15" s="164"/>
      <c r="BG15" s="164"/>
      <c r="BH15" s="164"/>
      <c r="BI15" s="164"/>
      <c r="BJ15" s="164"/>
      <c r="BK15" s="164"/>
      <c r="BL15" s="164"/>
      <c r="BM15" s="164"/>
      <c r="BN15" s="164"/>
      <c r="BO15" s="164"/>
      <c r="BP15" s="165"/>
    </row>
    <row r="16" spans="1:70" s="43" customFormat="1" ht="30.75" customHeight="1">
      <c r="A16" s="160">
        <f t="shared" si="1"/>
        <v>8</v>
      </c>
      <c r="B16" s="161"/>
      <c r="C16" s="162"/>
      <c r="D16" s="157" t="s">
        <v>545</v>
      </c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9"/>
      <c r="AA16" s="160" t="s">
        <v>19</v>
      </c>
      <c r="AB16" s="161"/>
      <c r="AC16" s="161"/>
      <c r="AD16" s="161"/>
      <c r="AE16" s="162"/>
      <c r="AF16" s="160">
        <v>2</v>
      </c>
      <c r="AG16" s="161"/>
      <c r="AH16" s="162"/>
      <c r="AI16" s="160"/>
      <c r="AJ16" s="161"/>
      <c r="AK16" s="162"/>
      <c r="AL16" s="163" t="s">
        <v>569</v>
      </c>
      <c r="AM16" s="164"/>
      <c r="AN16" s="164"/>
      <c r="AO16" s="164"/>
      <c r="AP16" s="164"/>
      <c r="AQ16" s="164"/>
      <c r="AR16" s="164"/>
      <c r="AS16" s="164"/>
      <c r="AT16" s="164"/>
      <c r="AU16" s="164"/>
      <c r="AV16" s="164"/>
      <c r="AW16" s="164"/>
      <c r="AX16" s="164"/>
      <c r="AY16" s="164"/>
      <c r="AZ16" s="164"/>
      <c r="BA16" s="164"/>
      <c r="BB16" s="164"/>
      <c r="BC16" s="164"/>
      <c r="BD16" s="164"/>
      <c r="BE16" s="164"/>
      <c r="BF16" s="164"/>
      <c r="BG16" s="164"/>
      <c r="BH16" s="164"/>
      <c r="BI16" s="164"/>
      <c r="BJ16" s="164"/>
      <c r="BK16" s="164"/>
      <c r="BL16" s="164"/>
      <c r="BM16" s="164"/>
      <c r="BN16" s="164"/>
      <c r="BO16" s="164"/>
      <c r="BP16" s="165"/>
    </row>
    <row r="17" spans="1:68" s="43" customFormat="1" ht="30.75" customHeight="1">
      <c r="A17" s="160">
        <f t="shared" si="1"/>
        <v>9</v>
      </c>
      <c r="B17" s="161"/>
      <c r="C17" s="162"/>
      <c r="D17" s="157" t="s">
        <v>546</v>
      </c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9"/>
      <c r="AA17" s="160" t="s">
        <v>19</v>
      </c>
      <c r="AB17" s="161"/>
      <c r="AC17" s="161"/>
      <c r="AD17" s="161"/>
      <c r="AE17" s="162"/>
      <c r="AF17" s="160">
        <v>8</v>
      </c>
      <c r="AG17" s="161"/>
      <c r="AH17" s="162"/>
      <c r="AI17" s="160"/>
      <c r="AJ17" s="161"/>
      <c r="AK17" s="162"/>
      <c r="AL17" s="163" t="s">
        <v>570</v>
      </c>
      <c r="AM17" s="164"/>
      <c r="AN17" s="164"/>
      <c r="AO17" s="164"/>
      <c r="AP17" s="164"/>
      <c r="AQ17" s="164"/>
      <c r="AR17" s="164"/>
      <c r="AS17" s="164"/>
      <c r="AT17" s="164"/>
      <c r="AU17" s="164"/>
      <c r="AV17" s="164"/>
      <c r="AW17" s="164"/>
      <c r="AX17" s="164"/>
      <c r="AY17" s="164"/>
      <c r="AZ17" s="164"/>
      <c r="BA17" s="164"/>
      <c r="BB17" s="164"/>
      <c r="BC17" s="164"/>
      <c r="BD17" s="164"/>
      <c r="BE17" s="164"/>
      <c r="BF17" s="164"/>
      <c r="BG17" s="164"/>
      <c r="BH17" s="164"/>
      <c r="BI17" s="164"/>
      <c r="BJ17" s="164"/>
      <c r="BK17" s="164"/>
      <c r="BL17" s="164"/>
      <c r="BM17" s="164"/>
      <c r="BN17" s="164"/>
      <c r="BO17" s="164"/>
      <c r="BP17" s="165"/>
    </row>
    <row r="18" spans="1:68" s="43" customFormat="1" ht="30.75" customHeight="1">
      <c r="A18" s="160">
        <f t="shared" si="1"/>
        <v>10</v>
      </c>
      <c r="B18" s="161"/>
      <c r="C18" s="162"/>
      <c r="D18" s="157" t="s">
        <v>547</v>
      </c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9"/>
      <c r="AA18" s="160" t="s">
        <v>19</v>
      </c>
      <c r="AB18" s="161"/>
      <c r="AC18" s="161"/>
      <c r="AD18" s="161"/>
      <c r="AE18" s="162"/>
      <c r="AF18" s="160">
        <v>19</v>
      </c>
      <c r="AG18" s="161"/>
      <c r="AH18" s="162"/>
      <c r="AI18" s="160"/>
      <c r="AJ18" s="161"/>
      <c r="AK18" s="162"/>
      <c r="AL18" s="163" t="s">
        <v>571</v>
      </c>
      <c r="AM18" s="164"/>
      <c r="AN18" s="164"/>
      <c r="AO18" s="164"/>
      <c r="AP18" s="164"/>
      <c r="AQ18" s="164"/>
      <c r="AR18" s="164"/>
      <c r="AS18" s="164"/>
      <c r="AT18" s="164"/>
      <c r="AU18" s="164"/>
      <c r="AV18" s="164"/>
      <c r="AW18" s="164"/>
      <c r="AX18" s="164"/>
      <c r="AY18" s="164"/>
      <c r="AZ18" s="164"/>
      <c r="BA18" s="164"/>
      <c r="BB18" s="164"/>
      <c r="BC18" s="164"/>
      <c r="BD18" s="164"/>
      <c r="BE18" s="164"/>
      <c r="BF18" s="164"/>
      <c r="BG18" s="164"/>
      <c r="BH18" s="164"/>
      <c r="BI18" s="164"/>
      <c r="BJ18" s="164"/>
      <c r="BK18" s="164"/>
      <c r="BL18" s="164"/>
      <c r="BM18" s="164"/>
      <c r="BN18" s="164"/>
      <c r="BO18" s="164"/>
      <c r="BP18" s="165"/>
    </row>
    <row r="19" spans="1:68" s="43" customFormat="1" ht="30.75" customHeight="1">
      <c r="A19" s="160">
        <f t="shared" si="1"/>
        <v>11</v>
      </c>
      <c r="B19" s="161"/>
      <c r="C19" s="162"/>
      <c r="D19" s="157" t="s">
        <v>548</v>
      </c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9"/>
      <c r="AA19" s="160" t="s">
        <v>19</v>
      </c>
      <c r="AB19" s="161"/>
      <c r="AC19" s="161"/>
      <c r="AD19" s="161"/>
      <c r="AE19" s="162"/>
      <c r="AF19" s="160">
        <v>4</v>
      </c>
      <c r="AG19" s="161"/>
      <c r="AH19" s="162"/>
      <c r="AI19" s="160"/>
      <c r="AJ19" s="161"/>
      <c r="AK19" s="162"/>
      <c r="AL19" s="163" t="s">
        <v>572</v>
      </c>
      <c r="AM19" s="164"/>
      <c r="AN19" s="164"/>
      <c r="AO19" s="164"/>
      <c r="AP19" s="164"/>
      <c r="AQ19" s="164"/>
      <c r="AR19" s="164"/>
      <c r="AS19" s="164"/>
      <c r="AT19" s="164"/>
      <c r="AU19" s="164"/>
      <c r="AV19" s="164"/>
      <c r="AW19" s="164"/>
      <c r="AX19" s="164"/>
      <c r="AY19" s="164"/>
      <c r="AZ19" s="164"/>
      <c r="BA19" s="164"/>
      <c r="BB19" s="164"/>
      <c r="BC19" s="164"/>
      <c r="BD19" s="164"/>
      <c r="BE19" s="164"/>
      <c r="BF19" s="164"/>
      <c r="BG19" s="164"/>
      <c r="BH19" s="164"/>
      <c r="BI19" s="164"/>
      <c r="BJ19" s="164"/>
      <c r="BK19" s="164"/>
      <c r="BL19" s="164"/>
      <c r="BM19" s="164"/>
      <c r="BN19" s="164"/>
      <c r="BO19" s="164"/>
      <c r="BP19" s="165"/>
    </row>
    <row r="20" spans="1:68" s="43" customFormat="1" ht="30.75" customHeight="1">
      <c r="A20" s="160">
        <f t="shared" si="1"/>
        <v>12</v>
      </c>
      <c r="B20" s="161"/>
      <c r="C20" s="162"/>
      <c r="D20" s="157" t="s">
        <v>549</v>
      </c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9"/>
      <c r="AA20" s="160" t="s">
        <v>19</v>
      </c>
      <c r="AB20" s="161"/>
      <c r="AC20" s="161"/>
      <c r="AD20" s="161"/>
      <c r="AE20" s="162"/>
      <c r="AF20" s="160">
        <v>18</v>
      </c>
      <c r="AG20" s="161"/>
      <c r="AH20" s="162"/>
      <c r="AI20" s="160"/>
      <c r="AJ20" s="161"/>
      <c r="AK20" s="162"/>
      <c r="AL20" s="163" t="s">
        <v>573</v>
      </c>
      <c r="AM20" s="164"/>
      <c r="AN20" s="164"/>
      <c r="AO20" s="164"/>
      <c r="AP20" s="164"/>
      <c r="AQ20" s="164"/>
      <c r="AR20" s="164"/>
      <c r="AS20" s="164"/>
      <c r="AT20" s="164"/>
      <c r="AU20" s="164"/>
      <c r="AV20" s="164"/>
      <c r="AW20" s="164"/>
      <c r="AX20" s="164"/>
      <c r="AY20" s="164"/>
      <c r="AZ20" s="164"/>
      <c r="BA20" s="164"/>
      <c r="BB20" s="164"/>
      <c r="BC20" s="164"/>
      <c r="BD20" s="164"/>
      <c r="BE20" s="164"/>
      <c r="BF20" s="164"/>
      <c r="BG20" s="164"/>
      <c r="BH20" s="164"/>
      <c r="BI20" s="164"/>
      <c r="BJ20" s="164"/>
      <c r="BK20" s="164"/>
      <c r="BL20" s="164"/>
      <c r="BM20" s="164"/>
      <c r="BN20" s="164"/>
      <c r="BO20" s="164"/>
      <c r="BP20" s="165"/>
    </row>
    <row r="21" spans="1:68" s="43" customFormat="1" ht="30.75" customHeight="1">
      <c r="A21" s="160">
        <f t="shared" si="1"/>
        <v>13</v>
      </c>
      <c r="B21" s="161"/>
      <c r="C21" s="162"/>
      <c r="D21" s="157" t="s">
        <v>551</v>
      </c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9"/>
      <c r="AA21" s="160" t="s">
        <v>19</v>
      </c>
      <c r="AB21" s="161"/>
      <c r="AC21" s="161"/>
      <c r="AD21" s="161"/>
      <c r="AE21" s="162"/>
      <c r="AF21" s="160">
        <v>4</v>
      </c>
      <c r="AG21" s="161"/>
      <c r="AH21" s="162"/>
      <c r="AI21" s="160"/>
      <c r="AJ21" s="161"/>
      <c r="AK21" s="162"/>
      <c r="AL21" s="163" t="s">
        <v>574</v>
      </c>
      <c r="AM21" s="164"/>
      <c r="AN21" s="164"/>
      <c r="AO21" s="164"/>
      <c r="AP21" s="164"/>
      <c r="AQ21" s="164"/>
      <c r="AR21" s="164"/>
      <c r="AS21" s="164"/>
      <c r="AT21" s="164"/>
      <c r="AU21" s="164"/>
      <c r="AV21" s="164"/>
      <c r="AW21" s="164"/>
      <c r="AX21" s="164"/>
      <c r="AY21" s="164"/>
      <c r="AZ21" s="164"/>
      <c r="BA21" s="164"/>
      <c r="BB21" s="164"/>
      <c r="BC21" s="164"/>
      <c r="BD21" s="164"/>
      <c r="BE21" s="164"/>
      <c r="BF21" s="164"/>
      <c r="BG21" s="164"/>
      <c r="BH21" s="164"/>
      <c r="BI21" s="164"/>
      <c r="BJ21" s="164"/>
      <c r="BK21" s="164"/>
      <c r="BL21" s="164"/>
      <c r="BM21" s="164"/>
      <c r="BN21" s="164"/>
      <c r="BO21" s="164"/>
      <c r="BP21" s="165"/>
    </row>
    <row r="22" spans="1:68" s="43" customFormat="1" ht="30.75" customHeight="1">
      <c r="A22" s="160">
        <f t="shared" si="1"/>
        <v>14</v>
      </c>
      <c r="B22" s="161"/>
      <c r="C22" s="162"/>
      <c r="D22" s="157" t="s">
        <v>552</v>
      </c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9"/>
      <c r="AA22" s="160" t="s">
        <v>19</v>
      </c>
      <c r="AB22" s="161"/>
      <c r="AC22" s="161"/>
      <c r="AD22" s="161"/>
      <c r="AE22" s="162"/>
      <c r="AF22" s="160">
        <v>20</v>
      </c>
      <c r="AG22" s="161"/>
      <c r="AH22" s="162"/>
      <c r="AI22" s="160"/>
      <c r="AJ22" s="161"/>
      <c r="AK22" s="162"/>
      <c r="AL22" s="163" t="s">
        <v>575</v>
      </c>
      <c r="AM22" s="164"/>
      <c r="AN22" s="164"/>
      <c r="AO22" s="164"/>
      <c r="AP22" s="164"/>
      <c r="AQ22" s="164"/>
      <c r="AR22" s="164"/>
      <c r="AS22" s="164"/>
      <c r="AT22" s="164"/>
      <c r="AU22" s="164"/>
      <c r="AV22" s="164"/>
      <c r="AW22" s="164"/>
      <c r="AX22" s="164"/>
      <c r="AY22" s="164"/>
      <c r="AZ22" s="164"/>
      <c r="BA22" s="164"/>
      <c r="BB22" s="164"/>
      <c r="BC22" s="164"/>
      <c r="BD22" s="164"/>
      <c r="BE22" s="164"/>
      <c r="BF22" s="164"/>
      <c r="BG22" s="164"/>
      <c r="BH22" s="164"/>
      <c r="BI22" s="164"/>
      <c r="BJ22" s="164"/>
      <c r="BK22" s="164"/>
      <c r="BL22" s="164"/>
      <c r="BM22" s="164"/>
      <c r="BN22" s="164"/>
      <c r="BO22" s="164"/>
      <c r="BP22" s="165"/>
    </row>
    <row r="23" spans="1:68" s="43" customFormat="1" ht="30.75" customHeight="1">
      <c r="A23" s="160">
        <f t="shared" si="1"/>
        <v>15</v>
      </c>
      <c r="B23" s="161"/>
      <c r="C23" s="162"/>
      <c r="D23" s="157" t="s">
        <v>553</v>
      </c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9"/>
      <c r="AA23" s="160" t="s">
        <v>18</v>
      </c>
      <c r="AB23" s="161"/>
      <c r="AC23" s="161"/>
      <c r="AD23" s="161"/>
      <c r="AE23" s="162"/>
      <c r="AF23" s="160">
        <v>14</v>
      </c>
      <c r="AG23" s="161"/>
      <c r="AH23" s="162"/>
      <c r="AI23" s="160" t="s">
        <v>1302</v>
      </c>
      <c r="AJ23" s="161"/>
      <c r="AK23" s="162"/>
      <c r="AL23" s="163" t="s">
        <v>576</v>
      </c>
      <c r="AM23" s="164"/>
      <c r="AN23" s="164"/>
      <c r="AO23" s="164"/>
      <c r="AP23" s="164"/>
      <c r="AQ23" s="164"/>
      <c r="AR23" s="164"/>
      <c r="AS23" s="164"/>
      <c r="AT23" s="164"/>
      <c r="AU23" s="164"/>
      <c r="AV23" s="164"/>
      <c r="AW23" s="164"/>
      <c r="AX23" s="164"/>
      <c r="AY23" s="164"/>
      <c r="AZ23" s="164"/>
      <c r="BA23" s="164"/>
      <c r="BB23" s="164"/>
      <c r="BC23" s="164"/>
      <c r="BD23" s="164"/>
      <c r="BE23" s="164"/>
      <c r="BF23" s="164"/>
      <c r="BG23" s="164"/>
      <c r="BH23" s="164"/>
      <c r="BI23" s="164"/>
      <c r="BJ23" s="164"/>
      <c r="BK23" s="164"/>
      <c r="BL23" s="164"/>
      <c r="BM23" s="164"/>
      <c r="BN23" s="164"/>
      <c r="BO23" s="164"/>
      <c r="BP23" s="165"/>
    </row>
    <row r="24" spans="1:68" s="43" customFormat="1" ht="30.75" customHeight="1">
      <c r="A24" s="160">
        <f t="shared" si="1"/>
        <v>16</v>
      </c>
      <c r="B24" s="161"/>
      <c r="C24" s="162"/>
      <c r="D24" s="157" t="s">
        <v>1283</v>
      </c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9"/>
      <c r="AA24" s="160" t="s">
        <v>19</v>
      </c>
      <c r="AB24" s="161"/>
      <c r="AC24" s="161"/>
      <c r="AD24" s="161"/>
      <c r="AE24" s="162"/>
      <c r="AF24" s="160">
        <v>1</v>
      </c>
      <c r="AG24" s="161"/>
      <c r="AH24" s="162"/>
      <c r="AI24" s="160"/>
      <c r="AJ24" s="161"/>
      <c r="AK24" s="162"/>
      <c r="AL24" s="163" t="s">
        <v>1285</v>
      </c>
      <c r="AM24" s="164"/>
      <c r="AN24" s="164"/>
      <c r="AO24" s="164"/>
      <c r="AP24" s="164"/>
      <c r="AQ24" s="164"/>
      <c r="AR24" s="164"/>
      <c r="AS24" s="164"/>
      <c r="AT24" s="164"/>
      <c r="AU24" s="164"/>
      <c r="AV24" s="164"/>
      <c r="AW24" s="164"/>
      <c r="AX24" s="164"/>
      <c r="AY24" s="164"/>
      <c r="AZ24" s="164"/>
      <c r="BA24" s="164"/>
      <c r="BB24" s="164"/>
      <c r="BC24" s="164"/>
      <c r="BD24" s="164"/>
      <c r="BE24" s="164"/>
      <c r="BF24" s="164"/>
      <c r="BG24" s="164"/>
      <c r="BH24" s="164"/>
      <c r="BI24" s="164"/>
      <c r="BJ24" s="164"/>
      <c r="BK24" s="164"/>
      <c r="BL24" s="164"/>
      <c r="BM24" s="164"/>
      <c r="BN24" s="164"/>
      <c r="BO24" s="164"/>
      <c r="BP24" s="165"/>
    </row>
    <row r="25" spans="1:68" s="43" customFormat="1" ht="30.75" customHeight="1">
      <c r="A25" s="160">
        <f t="shared" si="1"/>
        <v>17</v>
      </c>
      <c r="B25" s="161"/>
      <c r="C25" s="162"/>
      <c r="D25" s="157" t="s">
        <v>1284</v>
      </c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9"/>
      <c r="AA25" s="160" t="s">
        <v>19</v>
      </c>
      <c r="AB25" s="161"/>
      <c r="AC25" s="161"/>
      <c r="AD25" s="161"/>
      <c r="AE25" s="162"/>
      <c r="AF25" s="160">
        <v>8</v>
      </c>
      <c r="AG25" s="161"/>
      <c r="AH25" s="162"/>
      <c r="AI25" s="160"/>
      <c r="AJ25" s="161"/>
      <c r="AK25" s="162"/>
      <c r="AL25" s="163" t="s">
        <v>577</v>
      </c>
      <c r="AM25" s="164"/>
      <c r="AN25" s="164"/>
      <c r="AO25" s="164"/>
      <c r="AP25" s="164"/>
      <c r="AQ25" s="164"/>
      <c r="AR25" s="164"/>
      <c r="AS25" s="164"/>
      <c r="AT25" s="164"/>
      <c r="AU25" s="164"/>
      <c r="AV25" s="164"/>
      <c r="AW25" s="164"/>
      <c r="AX25" s="164"/>
      <c r="AY25" s="164"/>
      <c r="AZ25" s="164"/>
      <c r="BA25" s="164"/>
      <c r="BB25" s="164"/>
      <c r="BC25" s="164"/>
      <c r="BD25" s="164"/>
      <c r="BE25" s="164"/>
      <c r="BF25" s="164"/>
      <c r="BG25" s="164"/>
      <c r="BH25" s="164"/>
      <c r="BI25" s="164"/>
      <c r="BJ25" s="164"/>
      <c r="BK25" s="164"/>
      <c r="BL25" s="164"/>
      <c r="BM25" s="164"/>
      <c r="BN25" s="164"/>
      <c r="BO25" s="164"/>
      <c r="BP25" s="165"/>
    </row>
    <row r="26" spans="1:68" s="43" customFormat="1" ht="30.75" customHeight="1">
      <c r="A26" s="160">
        <f t="shared" si="1"/>
        <v>18</v>
      </c>
      <c r="B26" s="161"/>
      <c r="C26" s="162"/>
      <c r="D26" s="157" t="s">
        <v>554</v>
      </c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9"/>
      <c r="AA26" s="160" t="s">
        <v>19</v>
      </c>
      <c r="AB26" s="161"/>
      <c r="AC26" s="161"/>
      <c r="AD26" s="161"/>
      <c r="AE26" s="162"/>
      <c r="AF26" s="160">
        <v>10</v>
      </c>
      <c r="AG26" s="161"/>
      <c r="AH26" s="162"/>
      <c r="AI26" s="160"/>
      <c r="AJ26" s="161"/>
      <c r="AK26" s="162"/>
      <c r="AL26" s="163" t="s">
        <v>578</v>
      </c>
      <c r="AM26" s="164"/>
      <c r="AN26" s="164"/>
      <c r="AO26" s="164"/>
      <c r="AP26" s="164"/>
      <c r="AQ26" s="164"/>
      <c r="AR26" s="164"/>
      <c r="AS26" s="164"/>
      <c r="AT26" s="164"/>
      <c r="AU26" s="164"/>
      <c r="AV26" s="164"/>
      <c r="AW26" s="164"/>
      <c r="AX26" s="164"/>
      <c r="AY26" s="164"/>
      <c r="AZ26" s="164"/>
      <c r="BA26" s="164"/>
      <c r="BB26" s="164"/>
      <c r="BC26" s="164"/>
      <c r="BD26" s="164"/>
      <c r="BE26" s="164"/>
      <c r="BF26" s="164"/>
      <c r="BG26" s="164"/>
      <c r="BH26" s="164"/>
      <c r="BI26" s="164"/>
      <c r="BJ26" s="164"/>
      <c r="BK26" s="164"/>
      <c r="BL26" s="164"/>
      <c r="BM26" s="164"/>
      <c r="BN26" s="164"/>
      <c r="BO26" s="164"/>
      <c r="BP26" s="165"/>
    </row>
    <row r="27" spans="1:68" s="43" customFormat="1" ht="30.75" customHeight="1">
      <c r="A27" s="160">
        <f t="shared" si="1"/>
        <v>19</v>
      </c>
      <c r="B27" s="161"/>
      <c r="C27" s="162"/>
      <c r="D27" s="157" t="s">
        <v>555</v>
      </c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9"/>
      <c r="AA27" s="160" t="s">
        <v>18</v>
      </c>
      <c r="AB27" s="161"/>
      <c r="AC27" s="161"/>
      <c r="AD27" s="161"/>
      <c r="AE27" s="162"/>
      <c r="AF27" s="160">
        <v>14</v>
      </c>
      <c r="AG27" s="161"/>
      <c r="AH27" s="162"/>
      <c r="AI27" s="160" t="s">
        <v>1302</v>
      </c>
      <c r="AJ27" s="161"/>
      <c r="AK27" s="162"/>
      <c r="AL27" s="163" t="s">
        <v>579</v>
      </c>
      <c r="AM27" s="164"/>
      <c r="AN27" s="164"/>
      <c r="AO27" s="164"/>
      <c r="AP27" s="164"/>
      <c r="AQ27" s="164"/>
      <c r="AR27" s="164"/>
      <c r="AS27" s="164"/>
      <c r="AT27" s="164"/>
      <c r="AU27" s="164"/>
      <c r="AV27" s="164"/>
      <c r="AW27" s="164"/>
      <c r="AX27" s="164"/>
      <c r="AY27" s="164"/>
      <c r="AZ27" s="164"/>
      <c r="BA27" s="164"/>
      <c r="BB27" s="164"/>
      <c r="BC27" s="164"/>
      <c r="BD27" s="164"/>
      <c r="BE27" s="164"/>
      <c r="BF27" s="164"/>
      <c r="BG27" s="164"/>
      <c r="BH27" s="164"/>
      <c r="BI27" s="164"/>
      <c r="BJ27" s="164"/>
      <c r="BK27" s="164"/>
      <c r="BL27" s="164"/>
      <c r="BM27" s="164"/>
      <c r="BN27" s="164"/>
      <c r="BO27" s="164"/>
      <c r="BP27" s="165"/>
    </row>
    <row r="28" spans="1:68" s="43" customFormat="1" ht="30.75" customHeight="1">
      <c r="A28" s="160">
        <f t="shared" si="1"/>
        <v>20</v>
      </c>
      <c r="B28" s="161"/>
      <c r="C28" s="162"/>
      <c r="D28" s="157" t="s">
        <v>556</v>
      </c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9"/>
      <c r="AA28" s="160" t="s">
        <v>18</v>
      </c>
      <c r="AB28" s="161"/>
      <c r="AC28" s="161"/>
      <c r="AD28" s="161"/>
      <c r="AE28" s="162"/>
      <c r="AF28" s="160">
        <v>14</v>
      </c>
      <c r="AG28" s="161"/>
      <c r="AH28" s="162"/>
      <c r="AI28" s="160" t="s">
        <v>1302</v>
      </c>
      <c r="AJ28" s="161"/>
      <c r="AK28" s="162"/>
      <c r="AL28" s="163" t="s">
        <v>580</v>
      </c>
      <c r="AM28" s="164"/>
      <c r="AN28" s="164"/>
      <c r="AO28" s="164"/>
      <c r="AP28" s="164"/>
      <c r="AQ28" s="164"/>
      <c r="AR28" s="164"/>
      <c r="AS28" s="164"/>
      <c r="AT28" s="164"/>
      <c r="AU28" s="164"/>
      <c r="AV28" s="164"/>
      <c r="AW28" s="164"/>
      <c r="AX28" s="164"/>
      <c r="AY28" s="164"/>
      <c r="AZ28" s="164"/>
      <c r="BA28" s="164"/>
      <c r="BB28" s="164"/>
      <c r="BC28" s="164"/>
      <c r="BD28" s="164"/>
      <c r="BE28" s="164"/>
      <c r="BF28" s="164"/>
      <c r="BG28" s="164"/>
      <c r="BH28" s="164"/>
      <c r="BI28" s="164"/>
      <c r="BJ28" s="164"/>
      <c r="BK28" s="164"/>
      <c r="BL28" s="164"/>
      <c r="BM28" s="164"/>
      <c r="BN28" s="164"/>
      <c r="BO28" s="164"/>
      <c r="BP28" s="165"/>
    </row>
    <row r="29" spans="1:68" s="43" customFormat="1" ht="30.75" customHeight="1">
      <c r="A29" s="160">
        <f t="shared" si="1"/>
        <v>21</v>
      </c>
      <c r="B29" s="161"/>
      <c r="C29" s="162"/>
      <c r="D29" s="157" t="s">
        <v>557</v>
      </c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9"/>
      <c r="AA29" s="160" t="s">
        <v>19</v>
      </c>
      <c r="AB29" s="161"/>
      <c r="AC29" s="161"/>
      <c r="AD29" s="161"/>
      <c r="AE29" s="162"/>
      <c r="AF29" s="160">
        <v>2</v>
      </c>
      <c r="AG29" s="161"/>
      <c r="AH29" s="162"/>
      <c r="AI29" s="160"/>
      <c r="AJ29" s="161"/>
      <c r="AK29" s="162"/>
      <c r="AL29" s="163" t="s">
        <v>581</v>
      </c>
      <c r="AM29" s="164"/>
      <c r="AN29" s="164"/>
      <c r="AO29" s="164"/>
      <c r="AP29" s="164"/>
      <c r="AQ29" s="164"/>
      <c r="AR29" s="164"/>
      <c r="AS29" s="164"/>
      <c r="AT29" s="164"/>
      <c r="AU29" s="164"/>
      <c r="AV29" s="164"/>
      <c r="AW29" s="164"/>
      <c r="AX29" s="164"/>
      <c r="AY29" s="164"/>
      <c r="AZ29" s="164"/>
      <c r="BA29" s="164"/>
      <c r="BB29" s="164"/>
      <c r="BC29" s="164"/>
      <c r="BD29" s="164"/>
      <c r="BE29" s="164"/>
      <c r="BF29" s="164"/>
      <c r="BG29" s="164"/>
      <c r="BH29" s="164"/>
      <c r="BI29" s="164"/>
      <c r="BJ29" s="164"/>
      <c r="BK29" s="164"/>
      <c r="BL29" s="164"/>
      <c r="BM29" s="164"/>
      <c r="BN29" s="164"/>
      <c r="BO29" s="164"/>
      <c r="BP29" s="165"/>
    </row>
    <row r="30" spans="1:68" s="43" customFormat="1" ht="30.75" customHeight="1">
      <c r="A30" s="160">
        <f t="shared" si="1"/>
        <v>22</v>
      </c>
      <c r="B30" s="161"/>
      <c r="C30" s="162"/>
      <c r="D30" s="157" t="s">
        <v>558</v>
      </c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9"/>
      <c r="AA30" s="160" t="s">
        <v>19</v>
      </c>
      <c r="AB30" s="161"/>
      <c r="AC30" s="161"/>
      <c r="AD30" s="161"/>
      <c r="AE30" s="162"/>
      <c r="AF30" s="160">
        <v>12</v>
      </c>
      <c r="AG30" s="161"/>
      <c r="AH30" s="162"/>
      <c r="AI30" s="160"/>
      <c r="AJ30" s="161"/>
      <c r="AK30" s="162"/>
      <c r="AL30" s="163" t="s">
        <v>582</v>
      </c>
      <c r="AM30" s="164"/>
      <c r="AN30" s="164"/>
      <c r="AO30" s="164"/>
      <c r="AP30" s="164"/>
      <c r="AQ30" s="164"/>
      <c r="AR30" s="164"/>
      <c r="AS30" s="164"/>
      <c r="AT30" s="164"/>
      <c r="AU30" s="164"/>
      <c r="AV30" s="164"/>
      <c r="AW30" s="164"/>
      <c r="AX30" s="164"/>
      <c r="AY30" s="164"/>
      <c r="AZ30" s="164"/>
      <c r="BA30" s="164"/>
      <c r="BB30" s="164"/>
      <c r="BC30" s="164"/>
      <c r="BD30" s="164"/>
      <c r="BE30" s="164"/>
      <c r="BF30" s="164"/>
      <c r="BG30" s="164"/>
      <c r="BH30" s="164"/>
      <c r="BI30" s="164"/>
      <c r="BJ30" s="164"/>
      <c r="BK30" s="164"/>
      <c r="BL30" s="164"/>
      <c r="BM30" s="164"/>
      <c r="BN30" s="164"/>
      <c r="BO30" s="164"/>
      <c r="BP30" s="165"/>
    </row>
    <row r="31" spans="1:68" s="43" customFormat="1" ht="30.75" customHeight="1">
      <c r="A31" s="160">
        <f t="shared" si="1"/>
        <v>23</v>
      </c>
      <c r="B31" s="161"/>
      <c r="C31" s="162"/>
      <c r="D31" s="157" t="s">
        <v>559</v>
      </c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9"/>
      <c r="AA31" s="160" t="s">
        <v>18</v>
      </c>
      <c r="AB31" s="161"/>
      <c r="AC31" s="161"/>
      <c r="AD31" s="161"/>
      <c r="AE31" s="162"/>
      <c r="AF31" s="160">
        <v>14</v>
      </c>
      <c r="AG31" s="161"/>
      <c r="AH31" s="162"/>
      <c r="AI31" s="160" t="s">
        <v>1302</v>
      </c>
      <c r="AJ31" s="161"/>
      <c r="AK31" s="162"/>
      <c r="AL31" s="163" t="s">
        <v>583</v>
      </c>
      <c r="AM31" s="164"/>
      <c r="AN31" s="164"/>
      <c r="AO31" s="164"/>
      <c r="AP31" s="164"/>
      <c r="AQ31" s="164"/>
      <c r="AR31" s="164"/>
      <c r="AS31" s="164"/>
      <c r="AT31" s="164"/>
      <c r="AU31" s="164"/>
      <c r="AV31" s="164"/>
      <c r="AW31" s="164"/>
      <c r="AX31" s="164"/>
      <c r="AY31" s="164"/>
      <c r="AZ31" s="164"/>
      <c r="BA31" s="164"/>
      <c r="BB31" s="164"/>
      <c r="BC31" s="164"/>
      <c r="BD31" s="164"/>
      <c r="BE31" s="164"/>
      <c r="BF31" s="164"/>
      <c r="BG31" s="164"/>
      <c r="BH31" s="164"/>
      <c r="BI31" s="164"/>
      <c r="BJ31" s="164"/>
      <c r="BK31" s="164"/>
      <c r="BL31" s="164"/>
      <c r="BM31" s="164"/>
      <c r="BN31" s="164"/>
      <c r="BO31" s="164"/>
      <c r="BP31" s="165"/>
    </row>
    <row r="32" spans="1:68" s="43" customFormat="1" ht="30.75" customHeight="1">
      <c r="A32" s="160">
        <f t="shared" si="1"/>
        <v>24</v>
      </c>
      <c r="B32" s="161"/>
      <c r="C32" s="162"/>
      <c r="D32" s="157" t="s">
        <v>550</v>
      </c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9"/>
      <c r="AA32" s="160" t="s">
        <v>18</v>
      </c>
      <c r="AB32" s="161"/>
      <c r="AC32" s="161"/>
      <c r="AD32" s="161"/>
      <c r="AE32" s="162"/>
      <c r="AF32" s="160">
        <v>8</v>
      </c>
      <c r="AG32" s="161"/>
      <c r="AH32" s="162"/>
      <c r="AI32" s="160"/>
      <c r="AJ32" s="161"/>
      <c r="AK32" s="162"/>
      <c r="AL32" s="163" t="s">
        <v>584</v>
      </c>
      <c r="AM32" s="164"/>
      <c r="AN32" s="164"/>
      <c r="AO32" s="164"/>
      <c r="AP32" s="164"/>
      <c r="AQ32" s="164"/>
      <c r="AR32" s="164"/>
      <c r="AS32" s="164"/>
      <c r="AT32" s="164"/>
      <c r="AU32" s="164"/>
      <c r="AV32" s="164"/>
      <c r="AW32" s="164"/>
      <c r="AX32" s="164"/>
      <c r="AY32" s="164"/>
      <c r="AZ32" s="164"/>
      <c r="BA32" s="164"/>
      <c r="BB32" s="164"/>
      <c r="BC32" s="164"/>
      <c r="BD32" s="164"/>
      <c r="BE32" s="164"/>
      <c r="BF32" s="164"/>
      <c r="BG32" s="164"/>
      <c r="BH32" s="164"/>
      <c r="BI32" s="164"/>
      <c r="BJ32" s="164"/>
      <c r="BK32" s="164"/>
      <c r="BL32" s="164"/>
      <c r="BM32" s="164"/>
      <c r="BN32" s="164"/>
      <c r="BO32" s="164"/>
      <c r="BP32" s="165"/>
    </row>
    <row r="33" spans="1:68" s="43" customFormat="1" ht="30.75" customHeight="1">
      <c r="A33" s="156"/>
      <c r="B33" s="156"/>
      <c r="C33" s="156"/>
      <c r="D33" s="157"/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9"/>
      <c r="AA33" s="160"/>
      <c r="AB33" s="161"/>
      <c r="AC33" s="161"/>
      <c r="AD33" s="161"/>
      <c r="AE33" s="162"/>
      <c r="AF33" s="156"/>
      <c r="AG33" s="156"/>
      <c r="AH33" s="156"/>
      <c r="AI33" s="156"/>
      <c r="AJ33" s="156"/>
      <c r="AK33" s="156"/>
      <c r="AL33" s="163"/>
      <c r="AM33" s="164"/>
      <c r="AN33" s="164"/>
      <c r="AO33" s="164"/>
      <c r="AP33" s="164"/>
      <c r="AQ33" s="164"/>
      <c r="AR33" s="164"/>
      <c r="AS33" s="164"/>
      <c r="AT33" s="164"/>
      <c r="AU33" s="164"/>
      <c r="AV33" s="164"/>
      <c r="AW33" s="164"/>
      <c r="AX33" s="164"/>
      <c r="AY33" s="164"/>
      <c r="AZ33" s="164"/>
      <c r="BA33" s="164"/>
      <c r="BB33" s="164"/>
      <c r="BC33" s="164"/>
      <c r="BD33" s="164"/>
      <c r="BE33" s="164"/>
      <c r="BF33" s="164"/>
      <c r="BG33" s="164"/>
      <c r="BH33" s="164"/>
      <c r="BI33" s="164"/>
      <c r="BJ33" s="164"/>
      <c r="BK33" s="164"/>
      <c r="BL33" s="164"/>
      <c r="BM33" s="164"/>
      <c r="BN33" s="164"/>
      <c r="BO33" s="164"/>
      <c r="BP33" s="165"/>
    </row>
    <row r="34" spans="1:68" s="43" customFormat="1" ht="30.75" customHeight="1">
      <c r="A34" s="145"/>
      <c r="B34" s="145"/>
      <c r="C34" s="145"/>
      <c r="D34" s="146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8"/>
      <c r="AA34" s="149"/>
      <c r="AB34" s="150"/>
      <c r="AC34" s="150"/>
      <c r="AD34" s="150"/>
      <c r="AE34" s="151"/>
      <c r="AF34" s="152"/>
      <c r="AG34" s="152"/>
      <c r="AH34" s="152"/>
      <c r="AI34" s="152"/>
      <c r="AJ34" s="152"/>
      <c r="AK34" s="152"/>
      <c r="AL34" s="153"/>
      <c r="AM34" s="154"/>
      <c r="AN34" s="154"/>
      <c r="AO34" s="154"/>
      <c r="AP34" s="154"/>
      <c r="AQ34" s="154"/>
      <c r="AR34" s="154"/>
      <c r="AS34" s="154"/>
      <c r="AT34" s="154"/>
      <c r="AU34" s="154"/>
      <c r="AV34" s="154"/>
      <c r="AW34" s="154"/>
      <c r="AX34" s="154"/>
      <c r="AY34" s="154"/>
      <c r="AZ34" s="154"/>
      <c r="BA34" s="154"/>
      <c r="BB34" s="154"/>
      <c r="BC34" s="154"/>
      <c r="BD34" s="154"/>
      <c r="BE34" s="154"/>
      <c r="BF34" s="154"/>
      <c r="BG34" s="154"/>
      <c r="BH34" s="154"/>
      <c r="BI34" s="154"/>
      <c r="BJ34" s="154"/>
      <c r="BK34" s="154"/>
      <c r="BL34" s="154"/>
      <c r="BM34" s="154"/>
      <c r="BN34" s="154"/>
      <c r="BO34" s="154"/>
      <c r="BP34" s="155"/>
    </row>
    <row r="35" spans="1:68" s="47" customFormat="1" ht="3.75" customHeight="1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6"/>
      <c r="AG35" s="46"/>
      <c r="AH35" s="46"/>
      <c r="AI35" s="46"/>
      <c r="AJ35" s="46"/>
      <c r="AK35" s="46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</row>
    <row r="36" spans="1:68" s="47" customFormat="1" ht="14.25">
      <c r="A36" s="48" t="s">
        <v>14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9"/>
      <c r="AG36" s="49"/>
      <c r="AH36" s="49"/>
      <c r="AI36" s="49"/>
      <c r="AJ36" s="49"/>
      <c r="AK36" s="49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50"/>
    </row>
    <row r="37" spans="1:68" s="47" customFormat="1" ht="20.25" customHeight="1">
      <c r="A37" s="48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50"/>
    </row>
    <row r="38" spans="1:68" s="47" customFormat="1" ht="20.25" customHeight="1">
      <c r="A38" s="48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50"/>
    </row>
    <row r="39" spans="1:68" s="47" customFormat="1" ht="20.25" customHeight="1">
      <c r="A39" s="48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50"/>
    </row>
    <row r="40" spans="1:68" s="47" customFormat="1" ht="20.25" customHeight="1">
      <c r="A40" s="48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50"/>
    </row>
    <row r="41" spans="1:68" s="47" customFormat="1" ht="20.25" customHeight="1">
      <c r="A41" s="51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3"/>
    </row>
    <row r="42" spans="1:68" ht="5.25" customHeight="1"/>
    <row r="45" spans="1:68">
      <c r="AF45" s="56">
        <v>8</v>
      </c>
    </row>
  </sheetData>
  <mergeCells count="181">
    <mergeCell ref="A34:C34"/>
    <mergeCell ref="D34:Z34"/>
    <mergeCell ref="AA34:AE34"/>
    <mergeCell ref="AF34:AH34"/>
    <mergeCell ref="AI34:AK34"/>
    <mergeCell ref="AL34:BP34"/>
    <mergeCell ref="A33:C33"/>
    <mergeCell ref="D33:Z33"/>
    <mergeCell ref="AA33:AE33"/>
    <mergeCell ref="AF33:AH33"/>
    <mergeCell ref="AI33:AK33"/>
    <mergeCell ref="AL33:BP33"/>
    <mergeCell ref="A32:C32"/>
    <mergeCell ref="D32:Z32"/>
    <mergeCell ref="AA32:AE32"/>
    <mergeCell ref="AF32:AH32"/>
    <mergeCell ref="AI32:AK32"/>
    <mergeCell ref="AL32:BP32"/>
    <mergeCell ref="A31:C31"/>
    <mergeCell ref="D31:Z31"/>
    <mergeCell ref="AA31:AE31"/>
    <mergeCell ref="AF31:AH31"/>
    <mergeCell ref="AI31:AK31"/>
    <mergeCell ref="AL31:BP31"/>
    <mergeCell ref="A30:C30"/>
    <mergeCell ref="D30:Z30"/>
    <mergeCell ref="AA30:AE30"/>
    <mergeCell ref="AF30:AH30"/>
    <mergeCell ref="AI30:AK30"/>
    <mergeCell ref="AL30:BP30"/>
    <mergeCell ref="A29:C29"/>
    <mergeCell ref="D29:Z29"/>
    <mergeCell ref="AA29:AE29"/>
    <mergeCell ref="AF29:AH29"/>
    <mergeCell ref="AI29:AK29"/>
    <mergeCell ref="AL29:BP29"/>
    <mergeCell ref="A28:C28"/>
    <mergeCell ref="D28:Z28"/>
    <mergeCell ref="AA28:AE28"/>
    <mergeCell ref="AF28:AH28"/>
    <mergeCell ref="AI28:AK28"/>
    <mergeCell ref="AL28:BP28"/>
    <mergeCell ref="A27:C27"/>
    <mergeCell ref="D27:Z27"/>
    <mergeCell ref="AA27:AE27"/>
    <mergeCell ref="AF27:AH27"/>
    <mergeCell ref="AI27:AK27"/>
    <mergeCell ref="AL27:BP27"/>
    <mergeCell ref="A26:C26"/>
    <mergeCell ref="D26:Z26"/>
    <mergeCell ref="AA26:AE26"/>
    <mergeCell ref="AF26:AH26"/>
    <mergeCell ref="AI26:AK26"/>
    <mergeCell ref="AL26:BP26"/>
    <mergeCell ref="A25:C25"/>
    <mergeCell ref="D25:Z25"/>
    <mergeCell ref="AA25:AE25"/>
    <mergeCell ref="AF25:AH25"/>
    <mergeCell ref="AI25:AK25"/>
    <mergeCell ref="AL25:BP25"/>
    <mergeCell ref="A24:C24"/>
    <mergeCell ref="D24:Z24"/>
    <mergeCell ref="AA24:AE24"/>
    <mergeCell ref="AF24:AH24"/>
    <mergeCell ref="AI24:AK24"/>
    <mergeCell ref="AL24:BP24"/>
    <mergeCell ref="A23:C23"/>
    <mergeCell ref="D23:Z23"/>
    <mergeCell ref="AA23:AE23"/>
    <mergeCell ref="AF23:AH23"/>
    <mergeCell ref="AI23:AK23"/>
    <mergeCell ref="AL23:BP23"/>
    <mergeCell ref="A22:C22"/>
    <mergeCell ref="D22:Z22"/>
    <mergeCell ref="AA22:AE22"/>
    <mergeCell ref="AF22:AH22"/>
    <mergeCell ref="AI22:AK22"/>
    <mergeCell ref="AL22:BP22"/>
    <mergeCell ref="A21:C21"/>
    <mergeCell ref="D21:Z21"/>
    <mergeCell ref="AA21:AE21"/>
    <mergeCell ref="AF21:AH21"/>
    <mergeCell ref="AI21:AK21"/>
    <mergeCell ref="AL21:BP21"/>
    <mergeCell ref="A20:C20"/>
    <mergeCell ref="D20:Z20"/>
    <mergeCell ref="AA20:AE20"/>
    <mergeCell ref="AF20:AH20"/>
    <mergeCell ref="AI20:AK20"/>
    <mergeCell ref="AL20:BP20"/>
    <mergeCell ref="A19:C19"/>
    <mergeCell ref="D19:Z19"/>
    <mergeCell ref="AA19:AE19"/>
    <mergeCell ref="AF19:AH19"/>
    <mergeCell ref="AI19:AK19"/>
    <mergeCell ref="AL19:BP19"/>
    <mergeCell ref="A18:C18"/>
    <mergeCell ref="D18:Z18"/>
    <mergeCell ref="AA18:AE18"/>
    <mergeCell ref="AF18:AH18"/>
    <mergeCell ref="AI18:AK18"/>
    <mergeCell ref="AL18:BP18"/>
    <mergeCell ref="A17:C17"/>
    <mergeCell ref="D17:Z17"/>
    <mergeCell ref="AA17:AE17"/>
    <mergeCell ref="AF17:AH17"/>
    <mergeCell ref="AI17:AK17"/>
    <mergeCell ref="AL17:BP17"/>
    <mergeCell ref="A16:C16"/>
    <mergeCell ref="D16:Z16"/>
    <mergeCell ref="AA16:AE16"/>
    <mergeCell ref="AF16:AH16"/>
    <mergeCell ref="AI16:AK16"/>
    <mergeCell ref="AL16:BP16"/>
    <mergeCell ref="A15:C15"/>
    <mergeCell ref="D15:Z15"/>
    <mergeCell ref="AA15:AE15"/>
    <mergeCell ref="AF15:AH15"/>
    <mergeCell ref="AI15:AK15"/>
    <mergeCell ref="AL15:BP15"/>
    <mergeCell ref="A14:C14"/>
    <mergeCell ref="D14:Z14"/>
    <mergeCell ref="AA14:AE14"/>
    <mergeCell ref="AF14:AH14"/>
    <mergeCell ref="AI14:AK14"/>
    <mergeCell ref="AL14:BP14"/>
    <mergeCell ref="A13:C13"/>
    <mergeCell ref="D13:Z13"/>
    <mergeCell ref="AA13:AE13"/>
    <mergeCell ref="AF13:AH13"/>
    <mergeCell ref="AI13:AK13"/>
    <mergeCell ref="AL13:BP13"/>
    <mergeCell ref="A12:C12"/>
    <mergeCell ref="D12:Z12"/>
    <mergeCell ref="AA12:AE12"/>
    <mergeCell ref="AF12:AH12"/>
    <mergeCell ref="AI12:AK12"/>
    <mergeCell ref="AL12:BP12"/>
    <mergeCell ref="A11:C11"/>
    <mergeCell ref="D11:Z11"/>
    <mergeCell ref="AA11:AE11"/>
    <mergeCell ref="AF11:AH11"/>
    <mergeCell ref="AI11:AK11"/>
    <mergeCell ref="AL11:BP11"/>
    <mergeCell ref="A10:C10"/>
    <mergeCell ref="D10:Z10"/>
    <mergeCell ref="AA10:AE10"/>
    <mergeCell ref="AF10:AH10"/>
    <mergeCell ref="AI10:AK10"/>
    <mergeCell ref="AL10:BP10"/>
    <mergeCell ref="A8:C8"/>
    <mergeCell ref="D8:Z8"/>
    <mergeCell ref="AA8:AE8"/>
    <mergeCell ref="AF8:AH8"/>
    <mergeCell ref="AI8:AK8"/>
    <mergeCell ref="AL8:BP8"/>
    <mergeCell ref="A9:C9"/>
    <mergeCell ref="D9:Z9"/>
    <mergeCell ref="AA9:AE9"/>
    <mergeCell ref="AF9:AH9"/>
    <mergeCell ref="AI9:AK9"/>
    <mergeCell ref="AL9:BP9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</mergeCells>
  <phoneticPr fontId="3"/>
  <dataValidations count="1">
    <dataValidation type="list" allowBlank="1" showInputMessage="1" showErrorMessage="1" sqref="BJ6:BP6" xr:uid="{C0702DB7-DDAB-42A4-ACE6-DDB05F8B2AA1}">
      <formula1>"原票、画面,帳票,連動ファイル,論理ファイル"</formula1>
    </dataValidation>
  </dataValidations>
  <pageMargins left="0.59055118110236227" right="0.47244094488188981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4A98C-CBA8-4A05-9B1E-9ED3FD55D18E}">
  <sheetPr codeName="Sheet33"/>
  <dimension ref="A1:BR45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1" width="2.125" style="56"/>
    <col min="32" max="32" width="2.875" style="56" bestFit="1" customWidth="1"/>
    <col min="33" max="38" width="2.125" style="56"/>
    <col min="39" max="44" width="0" style="56" hidden="1" customWidth="1"/>
    <col min="45" max="16384" width="2.125" style="56"/>
  </cols>
  <sheetData>
    <row r="1" spans="1:70" s="39" customFormat="1" ht="18" customHeight="1">
      <c r="A1" s="39" t="s">
        <v>212</v>
      </c>
      <c r="BP1" s="40" t="s">
        <v>0</v>
      </c>
    </row>
    <row r="2" spans="1:70" s="41" customFormat="1" ht="18" customHeight="1">
      <c r="A2" s="191" t="s">
        <v>213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3"/>
      <c r="BB2" s="182" t="s">
        <v>1</v>
      </c>
      <c r="BC2" s="183"/>
      <c r="BD2" s="183"/>
      <c r="BE2" s="184"/>
      <c r="BF2" s="182" t="s">
        <v>214</v>
      </c>
      <c r="BG2" s="183"/>
      <c r="BH2" s="183"/>
      <c r="BI2" s="184"/>
      <c r="BJ2" s="182" t="s">
        <v>2</v>
      </c>
      <c r="BK2" s="183"/>
      <c r="BL2" s="183"/>
      <c r="BM2" s="184"/>
      <c r="BN2" s="183"/>
      <c r="BO2" s="183"/>
      <c r="BP2" s="184"/>
      <c r="BR2" s="42"/>
    </row>
    <row r="3" spans="1:70" s="39" customFormat="1" ht="18" customHeight="1">
      <c r="A3" s="181" t="s">
        <v>3</v>
      </c>
      <c r="B3" s="181"/>
      <c r="C3" s="181"/>
      <c r="D3" s="181"/>
      <c r="E3" s="181"/>
      <c r="F3" s="181"/>
      <c r="G3" s="181"/>
      <c r="H3" s="144" t="s">
        <v>562</v>
      </c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82" t="s">
        <v>4</v>
      </c>
      <c r="BC3" s="183"/>
      <c r="BD3" s="183"/>
      <c r="BE3" s="184"/>
      <c r="BF3" s="182" t="s">
        <v>563</v>
      </c>
      <c r="BG3" s="183"/>
      <c r="BH3" s="183"/>
      <c r="BI3" s="183"/>
      <c r="BJ3" s="183"/>
      <c r="BK3" s="183"/>
      <c r="BL3" s="183"/>
      <c r="BM3" s="183"/>
      <c r="BN3" s="183"/>
      <c r="BO3" s="183"/>
      <c r="BP3" s="184"/>
    </row>
    <row r="4" spans="1:70" s="39" customFormat="1" ht="18" customHeight="1">
      <c r="A4" s="181" t="s">
        <v>5</v>
      </c>
      <c r="B4" s="181"/>
      <c r="C4" s="181"/>
      <c r="D4" s="181"/>
      <c r="E4" s="181"/>
      <c r="F4" s="181"/>
      <c r="G4" s="181"/>
      <c r="H4" s="144" t="s">
        <v>198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182" t="s">
        <v>6</v>
      </c>
      <c r="BC4" s="183"/>
      <c r="BD4" s="183"/>
      <c r="BE4" s="184"/>
      <c r="BF4" s="182"/>
      <c r="BG4" s="183"/>
      <c r="BH4" s="183"/>
      <c r="BI4" s="183"/>
      <c r="BJ4" s="183"/>
      <c r="BK4" s="183"/>
      <c r="BL4" s="183"/>
      <c r="BM4" s="183"/>
      <c r="BN4" s="183"/>
      <c r="BO4" s="183"/>
      <c r="BP4" s="184"/>
    </row>
    <row r="5" spans="1:70" ht="6" customHeight="1"/>
    <row r="6" spans="1:70" s="43" customFormat="1" ht="20.25" customHeight="1">
      <c r="A6" s="175" t="s">
        <v>7</v>
      </c>
      <c r="B6" s="176"/>
      <c r="C6" s="176"/>
      <c r="D6" s="176"/>
      <c r="E6" s="176"/>
      <c r="F6" s="176"/>
      <c r="G6" s="177"/>
      <c r="H6" s="182" t="s">
        <v>612</v>
      </c>
      <c r="I6" s="183"/>
      <c r="J6" s="183"/>
      <c r="K6" s="183"/>
      <c r="L6" s="183"/>
      <c r="M6" s="183"/>
      <c r="N6" s="184"/>
      <c r="O6" s="175" t="s">
        <v>8</v>
      </c>
      <c r="P6" s="176"/>
      <c r="Q6" s="176"/>
      <c r="R6" s="176"/>
      <c r="S6" s="176"/>
      <c r="T6" s="176"/>
      <c r="U6" s="176"/>
      <c r="V6" s="176"/>
      <c r="W6" s="176"/>
      <c r="X6" s="176"/>
      <c r="Y6" s="177"/>
      <c r="Z6" s="185" t="s">
        <v>598</v>
      </c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7"/>
      <c r="BF6" s="175" t="s">
        <v>9</v>
      </c>
      <c r="BG6" s="176"/>
      <c r="BH6" s="176"/>
      <c r="BI6" s="177"/>
      <c r="BJ6" s="188" t="s">
        <v>125</v>
      </c>
      <c r="BK6" s="189"/>
      <c r="BL6" s="189"/>
      <c r="BM6" s="189"/>
      <c r="BN6" s="189"/>
      <c r="BO6" s="189"/>
      <c r="BP6" s="190"/>
    </row>
    <row r="7" spans="1:70" ht="5.25" customHeight="1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</row>
    <row r="8" spans="1:70" s="43" customFormat="1" ht="20.25" customHeight="1">
      <c r="A8" s="175" t="s">
        <v>11</v>
      </c>
      <c r="B8" s="176"/>
      <c r="C8" s="177"/>
      <c r="D8" s="175" t="s">
        <v>12</v>
      </c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7"/>
      <c r="AA8" s="178" t="s">
        <v>13</v>
      </c>
      <c r="AB8" s="179"/>
      <c r="AC8" s="179"/>
      <c r="AD8" s="179"/>
      <c r="AE8" s="180"/>
      <c r="AF8" s="175" t="s">
        <v>215</v>
      </c>
      <c r="AG8" s="176"/>
      <c r="AH8" s="177"/>
      <c r="AI8" s="175" t="s">
        <v>216</v>
      </c>
      <c r="AJ8" s="176"/>
      <c r="AK8" s="177"/>
      <c r="AL8" s="178" t="s">
        <v>199</v>
      </c>
      <c r="AM8" s="179"/>
      <c r="AN8" s="179"/>
      <c r="AO8" s="179"/>
      <c r="AP8" s="179"/>
      <c r="AQ8" s="179"/>
      <c r="AR8" s="179"/>
      <c r="AS8" s="179"/>
      <c r="AT8" s="179"/>
      <c r="AU8" s="179"/>
      <c r="AV8" s="179"/>
      <c r="AW8" s="179"/>
      <c r="AX8" s="179"/>
      <c r="AY8" s="179"/>
      <c r="AZ8" s="179"/>
      <c r="BA8" s="179"/>
      <c r="BB8" s="179"/>
      <c r="BC8" s="179"/>
      <c r="BD8" s="179"/>
      <c r="BE8" s="179"/>
      <c r="BF8" s="179"/>
      <c r="BG8" s="179"/>
      <c r="BH8" s="179"/>
      <c r="BI8" s="179"/>
      <c r="BJ8" s="179"/>
      <c r="BK8" s="179"/>
      <c r="BL8" s="179"/>
      <c r="BM8" s="179"/>
      <c r="BN8" s="179"/>
      <c r="BO8" s="179"/>
      <c r="BP8" s="180"/>
    </row>
    <row r="9" spans="1:70" s="1" customFormat="1" ht="30.75" customHeight="1">
      <c r="A9" s="129">
        <f t="shared" ref="A9" si="0">ROW()-8</f>
        <v>1</v>
      </c>
      <c r="B9" s="130"/>
      <c r="C9" s="131"/>
      <c r="D9" s="132" t="s">
        <v>1561</v>
      </c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4"/>
      <c r="AA9" s="129" t="s">
        <v>278</v>
      </c>
      <c r="AB9" s="130"/>
      <c r="AC9" s="130"/>
      <c r="AD9" s="130"/>
      <c r="AE9" s="131"/>
      <c r="AF9" s="129">
        <v>21</v>
      </c>
      <c r="AG9" s="130"/>
      <c r="AH9" s="131"/>
      <c r="AI9" s="129"/>
      <c r="AJ9" s="130"/>
      <c r="AK9" s="131"/>
      <c r="AL9" s="135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6"/>
      <c r="BH9" s="136"/>
      <c r="BI9" s="136"/>
      <c r="BJ9" s="136"/>
      <c r="BK9" s="136"/>
      <c r="BL9" s="136"/>
      <c r="BM9" s="136"/>
      <c r="BN9" s="136"/>
      <c r="BO9" s="136"/>
      <c r="BP9" s="137"/>
    </row>
    <row r="10" spans="1:70" s="43" customFormat="1" ht="30.75" customHeight="1">
      <c r="A10" s="160">
        <f t="shared" ref="A10:A32" si="1">ROW()-8</f>
        <v>2</v>
      </c>
      <c r="B10" s="161"/>
      <c r="C10" s="162"/>
      <c r="D10" s="157" t="s">
        <v>593</v>
      </c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9"/>
      <c r="AA10" s="160" t="s">
        <v>18</v>
      </c>
      <c r="AB10" s="161"/>
      <c r="AC10" s="161"/>
      <c r="AD10" s="161"/>
      <c r="AE10" s="162"/>
      <c r="AF10" s="160">
        <v>8</v>
      </c>
      <c r="AG10" s="161"/>
      <c r="AH10" s="162"/>
      <c r="AI10" s="160"/>
      <c r="AJ10" s="161"/>
      <c r="AK10" s="162"/>
      <c r="AL10" s="163" t="s">
        <v>595</v>
      </c>
      <c r="AM10" s="164"/>
      <c r="AN10" s="164"/>
      <c r="AO10" s="164"/>
      <c r="AP10" s="164"/>
      <c r="AQ10" s="164"/>
      <c r="AR10" s="164"/>
      <c r="AS10" s="164"/>
      <c r="AT10" s="164"/>
      <c r="AU10" s="164"/>
      <c r="AV10" s="164"/>
      <c r="AW10" s="164"/>
      <c r="AX10" s="164"/>
      <c r="AY10" s="164"/>
      <c r="AZ10" s="164"/>
      <c r="BA10" s="164"/>
      <c r="BB10" s="164"/>
      <c r="BC10" s="164"/>
      <c r="BD10" s="164"/>
      <c r="BE10" s="164"/>
      <c r="BF10" s="164"/>
      <c r="BG10" s="164"/>
      <c r="BH10" s="164"/>
      <c r="BI10" s="164"/>
      <c r="BJ10" s="164"/>
      <c r="BK10" s="164"/>
      <c r="BL10" s="164"/>
      <c r="BM10" s="164"/>
      <c r="BN10" s="164"/>
      <c r="BO10" s="164"/>
      <c r="BP10" s="165"/>
    </row>
    <row r="11" spans="1:70" s="43" customFormat="1" ht="30.75" customHeight="1">
      <c r="A11" s="160">
        <f t="shared" si="1"/>
        <v>3</v>
      </c>
      <c r="B11" s="161"/>
      <c r="C11" s="162"/>
      <c r="D11" s="157" t="s">
        <v>495</v>
      </c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9"/>
      <c r="AA11" s="160" t="s">
        <v>19</v>
      </c>
      <c r="AB11" s="161"/>
      <c r="AC11" s="161"/>
      <c r="AD11" s="161"/>
      <c r="AE11" s="162"/>
      <c r="AF11" s="160">
        <v>2</v>
      </c>
      <c r="AG11" s="161"/>
      <c r="AH11" s="162"/>
      <c r="AI11" s="160"/>
      <c r="AJ11" s="161"/>
      <c r="AK11" s="162"/>
      <c r="AL11" s="163" t="s">
        <v>564</v>
      </c>
      <c r="AM11" s="164"/>
      <c r="AN11" s="164"/>
      <c r="AO11" s="164"/>
      <c r="AP11" s="164"/>
      <c r="AQ11" s="164"/>
      <c r="AR11" s="164"/>
      <c r="AS11" s="164"/>
      <c r="AT11" s="164"/>
      <c r="AU11" s="164"/>
      <c r="AV11" s="164"/>
      <c r="AW11" s="164"/>
      <c r="AX11" s="164"/>
      <c r="AY11" s="164"/>
      <c r="AZ11" s="164"/>
      <c r="BA11" s="164"/>
      <c r="BB11" s="164"/>
      <c r="BC11" s="164"/>
      <c r="BD11" s="164"/>
      <c r="BE11" s="164"/>
      <c r="BF11" s="164"/>
      <c r="BG11" s="164"/>
      <c r="BH11" s="164"/>
      <c r="BI11" s="164"/>
      <c r="BJ11" s="164"/>
      <c r="BK11" s="164"/>
      <c r="BL11" s="164"/>
      <c r="BM11" s="164"/>
      <c r="BN11" s="164"/>
      <c r="BO11" s="164"/>
      <c r="BP11" s="165"/>
    </row>
    <row r="12" spans="1:70" s="43" customFormat="1" ht="30.75" customHeight="1">
      <c r="A12" s="160">
        <f t="shared" si="1"/>
        <v>4</v>
      </c>
      <c r="B12" s="161"/>
      <c r="C12" s="162"/>
      <c r="D12" s="157" t="s">
        <v>541</v>
      </c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9"/>
      <c r="AA12" s="160" t="s">
        <v>19</v>
      </c>
      <c r="AB12" s="161"/>
      <c r="AC12" s="161"/>
      <c r="AD12" s="161"/>
      <c r="AE12" s="162"/>
      <c r="AF12" s="160">
        <v>10</v>
      </c>
      <c r="AG12" s="161"/>
      <c r="AH12" s="162"/>
      <c r="AI12" s="160"/>
      <c r="AJ12" s="161"/>
      <c r="AK12" s="162"/>
      <c r="AL12" s="163" t="s">
        <v>565</v>
      </c>
      <c r="AM12" s="164"/>
      <c r="AN12" s="164"/>
      <c r="AO12" s="164"/>
      <c r="AP12" s="164"/>
      <c r="AQ12" s="164"/>
      <c r="AR12" s="164"/>
      <c r="AS12" s="164"/>
      <c r="AT12" s="164"/>
      <c r="AU12" s="164"/>
      <c r="AV12" s="164"/>
      <c r="AW12" s="164"/>
      <c r="AX12" s="164"/>
      <c r="AY12" s="164"/>
      <c r="AZ12" s="164"/>
      <c r="BA12" s="164"/>
      <c r="BB12" s="164"/>
      <c r="BC12" s="164"/>
      <c r="BD12" s="164"/>
      <c r="BE12" s="164"/>
      <c r="BF12" s="164"/>
      <c r="BG12" s="164"/>
      <c r="BH12" s="164"/>
      <c r="BI12" s="164"/>
      <c r="BJ12" s="164"/>
      <c r="BK12" s="164"/>
      <c r="BL12" s="164"/>
      <c r="BM12" s="164"/>
      <c r="BN12" s="164"/>
      <c r="BO12" s="164"/>
      <c r="BP12" s="165"/>
    </row>
    <row r="13" spans="1:70" s="43" customFormat="1" ht="30.75" customHeight="1">
      <c r="A13" s="160">
        <f t="shared" si="1"/>
        <v>5</v>
      </c>
      <c r="B13" s="161"/>
      <c r="C13" s="162"/>
      <c r="D13" s="157" t="s">
        <v>542</v>
      </c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9"/>
      <c r="AA13" s="160" t="s">
        <v>19</v>
      </c>
      <c r="AB13" s="161"/>
      <c r="AC13" s="161"/>
      <c r="AD13" s="161"/>
      <c r="AE13" s="162"/>
      <c r="AF13" s="160">
        <v>4</v>
      </c>
      <c r="AG13" s="161"/>
      <c r="AH13" s="162"/>
      <c r="AI13" s="160"/>
      <c r="AJ13" s="161"/>
      <c r="AK13" s="162"/>
      <c r="AL13" s="163" t="s">
        <v>566</v>
      </c>
      <c r="AM13" s="164"/>
      <c r="AN13" s="164"/>
      <c r="AO13" s="164"/>
      <c r="AP13" s="164"/>
      <c r="AQ13" s="164"/>
      <c r="AR13" s="164"/>
      <c r="AS13" s="164"/>
      <c r="AT13" s="164"/>
      <c r="AU13" s="164"/>
      <c r="AV13" s="164"/>
      <c r="AW13" s="164"/>
      <c r="AX13" s="164"/>
      <c r="AY13" s="164"/>
      <c r="AZ13" s="164"/>
      <c r="BA13" s="164"/>
      <c r="BB13" s="164"/>
      <c r="BC13" s="164"/>
      <c r="BD13" s="164"/>
      <c r="BE13" s="164"/>
      <c r="BF13" s="164"/>
      <c r="BG13" s="164"/>
      <c r="BH13" s="164"/>
      <c r="BI13" s="164"/>
      <c r="BJ13" s="164"/>
      <c r="BK13" s="164"/>
      <c r="BL13" s="164"/>
      <c r="BM13" s="164"/>
      <c r="BN13" s="164"/>
      <c r="BO13" s="164"/>
      <c r="BP13" s="165"/>
    </row>
    <row r="14" spans="1:70" s="43" customFormat="1" ht="30.75" customHeight="1">
      <c r="A14" s="160">
        <f t="shared" si="1"/>
        <v>6</v>
      </c>
      <c r="B14" s="161"/>
      <c r="C14" s="162"/>
      <c r="D14" s="157" t="s">
        <v>543</v>
      </c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9"/>
      <c r="AA14" s="160" t="s">
        <v>19</v>
      </c>
      <c r="AB14" s="161"/>
      <c r="AC14" s="161"/>
      <c r="AD14" s="161"/>
      <c r="AE14" s="162"/>
      <c r="AF14" s="160">
        <v>15</v>
      </c>
      <c r="AG14" s="161"/>
      <c r="AH14" s="162"/>
      <c r="AI14" s="160"/>
      <c r="AJ14" s="161"/>
      <c r="AK14" s="162"/>
      <c r="AL14" s="163" t="s">
        <v>567</v>
      </c>
      <c r="AM14" s="164"/>
      <c r="AN14" s="164"/>
      <c r="AO14" s="164"/>
      <c r="AP14" s="164"/>
      <c r="AQ14" s="164"/>
      <c r="AR14" s="164"/>
      <c r="AS14" s="164"/>
      <c r="AT14" s="164"/>
      <c r="AU14" s="164"/>
      <c r="AV14" s="164"/>
      <c r="AW14" s="164"/>
      <c r="AX14" s="164"/>
      <c r="AY14" s="164"/>
      <c r="AZ14" s="164"/>
      <c r="BA14" s="164"/>
      <c r="BB14" s="164"/>
      <c r="BC14" s="164"/>
      <c r="BD14" s="164"/>
      <c r="BE14" s="164"/>
      <c r="BF14" s="164"/>
      <c r="BG14" s="164"/>
      <c r="BH14" s="164"/>
      <c r="BI14" s="164"/>
      <c r="BJ14" s="164"/>
      <c r="BK14" s="164"/>
      <c r="BL14" s="164"/>
      <c r="BM14" s="164"/>
      <c r="BN14" s="164"/>
      <c r="BO14" s="164"/>
      <c r="BP14" s="165"/>
    </row>
    <row r="15" spans="1:70" s="43" customFormat="1" ht="30.75" customHeight="1">
      <c r="A15" s="160">
        <f t="shared" si="1"/>
        <v>7</v>
      </c>
      <c r="B15" s="161"/>
      <c r="C15" s="162"/>
      <c r="D15" s="157" t="s">
        <v>544</v>
      </c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9"/>
      <c r="AA15" s="160" t="s">
        <v>19</v>
      </c>
      <c r="AB15" s="161"/>
      <c r="AC15" s="161"/>
      <c r="AD15" s="161"/>
      <c r="AE15" s="162"/>
      <c r="AF15" s="160">
        <v>1</v>
      </c>
      <c r="AG15" s="161"/>
      <c r="AH15" s="162"/>
      <c r="AI15" s="160"/>
      <c r="AJ15" s="161"/>
      <c r="AK15" s="162"/>
      <c r="AL15" s="163" t="s">
        <v>568</v>
      </c>
      <c r="AM15" s="164"/>
      <c r="AN15" s="164"/>
      <c r="AO15" s="164"/>
      <c r="AP15" s="164"/>
      <c r="AQ15" s="164"/>
      <c r="AR15" s="164"/>
      <c r="AS15" s="164"/>
      <c r="AT15" s="164"/>
      <c r="AU15" s="164"/>
      <c r="AV15" s="164"/>
      <c r="AW15" s="164"/>
      <c r="AX15" s="164"/>
      <c r="AY15" s="164"/>
      <c r="AZ15" s="164"/>
      <c r="BA15" s="164"/>
      <c r="BB15" s="164"/>
      <c r="BC15" s="164"/>
      <c r="BD15" s="164"/>
      <c r="BE15" s="164"/>
      <c r="BF15" s="164"/>
      <c r="BG15" s="164"/>
      <c r="BH15" s="164"/>
      <c r="BI15" s="164"/>
      <c r="BJ15" s="164"/>
      <c r="BK15" s="164"/>
      <c r="BL15" s="164"/>
      <c r="BM15" s="164"/>
      <c r="BN15" s="164"/>
      <c r="BO15" s="164"/>
      <c r="BP15" s="165"/>
    </row>
    <row r="16" spans="1:70" s="43" customFormat="1" ht="30.75" customHeight="1">
      <c r="A16" s="160">
        <f t="shared" si="1"/>
        <v>8</v>
      </c>
      <c r="B16" s="161"/>
      <c r="C16" s="162"/>
      <c r="D16" s="157" t="s">
        <v>545</v>
      </c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9"/>
      <c r="AA16" s="160" t="s">
        <v>19</v>
      </c>
      <c r="AB16" s="161"/>
      <c r="AC16" s="161"/>
      <c r="AD16" s="161"/>
      <c r="AE16" s="162"/>
      <c r="AF16" s="160">
        <v>2</v>
      </c>
      <c r="AG16" s="161"/>
      <c r="AH16" s="162"/>
      <c r="AI16" s="160"/>
      <c r="AJ16" s="161"/>
      <c r="AK16" s="162"/>
      <c r="AL16" s="163" t="s">
        <v>569</v>
      </c>
      <c r="AM16" s="164"/>
      <c r="AN16" s="164"/>
      <c r="AO16" s="164"/>
      <c r="AP16" s="164"/>
      <c r="AQ16" s="164"/>
      <c r="AR16" s="164"/>
      <c r="AS16" s="164"/>
      <c r="AT16" s="164"/>
      <c r="AU16" s="164"/>
      <c r="AV16" s="164"/>
      <c r="AW16" s="164"/>
      <c r="AX16" s="164"/>
      <c r="AY16" s="164"/>
      <c r="AZ16" s="164"/>
      <c r="BA16" s="164"/>
      <c r="BB16" s="164"/>
      <c r="BC16" s="164"/>
      <c r="BD16" s="164"/>
      <c r="BE16" s="164"/>
      <c r="BF16" s="164"/>
      <c r="BG16" s="164"/>
      <c r="BH16" s="164"/>
      <c r="BI16" s="164"/>
      <c r="BJ16" s="164"/>
      <c r="BK16" s="164"/>
      <c r="BL16" s="164"/>
      <c r="BM16" s="164"/>
      <c r="BN16" s="164"/>
      <c r="BO16" s="164"/>
      <c r="BP16" s="165"/>
    </row>
    <row r="17" spans="1:68" s="43" customFormat="1" ht="30.75" customHeight="1">
      <c r="A17" s="160">
        <f t="shared" si="1"/>
        <v>9</v>
      </c>
      <c r="B17" s="161"/>
      <c r="C17" s="162"/>
      <c r="D17" s="157" t="s">
        <v>546</v>
      </c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9"/>
      <c r="AA17" s="160" t="s">
        <v>19</v>
      </c>
      <c r="AB17" s="161"/>
      <c r="AC17" s="161"/>
      <c r="AD17" s="161"/>
      <c r="AE17" s="162"/>
      <c r="AF17" s="160">
        <v>8</v>
      </c>
      <c r="AG17" s="161"/>
      <c r="AH17" s="162"/>
      <c r="AI17" s="160"/>
      <c r="AJ17" s="161"/>
      <c r="AK17" s="162"/>
      <c r="AL17" s="163" t="s">
        <v>570</v>
      </c>
      <c r="AM17" s="164"/>
      <c r="AN17" s="164"/>
      <c r="AO17" s="164"/>
      <c r="AP17" s="164"/>
      <c r="AQ17" s="164"/>
      <c r="AR17" s="164"/>
      <c r="AS17" s="164"/>
      <c r="AT17" s="164"/>
      <c r="AU17" s="164"/>
      <c r="AV17" s="164"/>
      <c r="AW17" s="164"/>
      <c r="AX17" s="164"/>
      <c r="AY17" s="164"/>
      <c r="AZ17" s="164"/>
      <c r="BA17" s="164"/>
      <c r="BB17" s="164"/>
      <c r="BC17" s="164"/>
      <c r="BD17" s="164"/>
      <c r="BE17" s="164"/>
      <c r="BF17" s="164"/>
      <c r="BG17" s="164"/>
      <c r="BH17" s="164"/>
      <c r="BI17" s="164"/>
      <c r="BJ17" s="164"/>
      <c r="BK17" s="164"/>
      <c r="BL17" s="164"/>
      <c r="BM17" s="164"/>
      <c r="BN17" s="164"/>
      <c r="BO17" s="164"/>
      <c r="BP17" s="165"/>
    </row>
    <row r="18" spans="1:68" s="43" customFormat="1" ht="30.75" customHeight="1">
      <c r="A18" s="160">
        <f t="shared" si="1"/>
        <v>10</v>
      </c>
      <c r="B18" s="161"/>
      <c r="C18" s="162"/>
      <c r="D18" s="157" t="s">
        <v>547</v>
      </c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9"/>
      <c r="AA18" s="160" t="s">
        <v>19</v>
      </c>
      <c r="AB18" s="161"/>
      <c r="AC18" s="161"/>
      <c r="AD18" s="161"/>
      <c r="AE18" s="162"/>
      <c r="AF18" s="160">
        <v>19</v>
      </c>
      <c r="AG18" s="161"/>
      <c r="AH18" s="162"/>
      <c r="AI18" s="160"/>
      <c r="AJ18" s="161"/>
      <c r="AK18" s="162"/>
      <c r="AL18" s="163" t="s">
        <v>571</v>
      </c>
      <c r="AM18" s="164"/>
      <c r="AN18" s="164"/>
      <c r="AO18" s="164"/>
      <c r="AP18" s="164"/>
      <c r="AQ18" s="164"/>
      <c r="AR18" s="164"/>
      <c r="AS18" s="164"/>
      <c r="AT18" s="164"/>
      <c r="AU18" s="164"/>
      <c r="AV18" s="164"/>
      <c r="AW18" s="164"/>
      <c r="AX18" s="164"/>
      <c r="AY18" s="164"/>
      <c r="AZ18" s="164"/>
      <c r="BA18" s="164"/>
      <c r="BB18" s="164"/>
      <c r="BC18" s="164"/>
      <c r="BD18" s="164"/>
      <c r="BE18" s="164"/>
      <c r="BF18" s="164"/>
      <c r="BG18" s="164"/>
      <c r="BH18" s="164"/>
      <c r="BI18" s="164"/>
      <c r="BJ18" s="164"/>
      <c r="BK18" s="164"/>
      <c r="BL18" s="164"/>
      <c r="BM18" s="164"/>
      <c r="BN18" s="164"/>
      <c r="BO18" s="164"/>
      <c r="BP18" s="165"/>
    </row>
    <row r="19" spans="1:68" s="43" customFormat="1" ht="30.75" customHeight="1">
      <c r="A19" s="160">
        <f t="shared" si="1"/>
        <v>11</v>
      </c>
      <c r="B19" s="161"/>
      <c r="C19" s="162"/>
      <c r="D19" s="157" t="s">
        <v>548</v>
      </c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9"/>
      <c r="AA19" s="160" t="s">
        <v>19</v>
      </c>
      <c r="AB19" s="161"/>
      <c r="AC19" s="161"/>
      <c r="AD19" s="161"/>
      <c r="AE19" s="162"/>
      <c r="AF19" s="160">
        <v>4</v>
      </c>
      <c r="AG19" s="161"/>
      <c r="AH19" s="162"/>
      <c r="AI19" s="160"/>
      <c r="AJ19" s="161"/>
      <c r="AK19" s="162"/>
      <c r="AL19" s="163" t="s">
        <v>572</v>
      </c>
      <c r="AM19" s="164"/>
      <c r="AN19" s="164"/>
      <c r="AO19" s="164"/>
      <c r="AP19" s="164"/>
      <c r="AQ19" s="164"/>
      <c r="AR19" s="164"/>
      <c r="AS19" s="164"/>
      <c r="AT19" s="164"/>
      <c r="AU19" s="164"/>
      <c r="AV19" s="164"/>
      <c r="AW19" s="164"/>
      <c r="AX19" s="164"/>
      <c r="AY19" s="164"/>
      <c r="AZ19" s="164"/>
      <c r="BA19" s="164"/>
      <c r="BB19" s="164"/>
      <c r="BC19" s="164"/>
      <c r="BD19" s="164"/>
      <c r="BE19" s="164"/>
      <c r="BF19" s="164"/>
      <c r="BG19" s="164"/>
      <c r="BH19" s="164"/>
      <c r="BI19" s="164"/>
      <c r="BJ19" s="164"/>
      <c r="BK19" s="164"/>
      <c r="BL19" s="164"/>
      <c r="BM19" s="164"/>
      <c r="BN19" s="164"/>
      <c r="BO19" s="164"/>
      <c r="BP19" s="165"/>
    </row>
    <row r="20" spans="1:68" s="43" customFormat="1" ht="30.75" customHeight="1">
      <c r="A20" s="160">
        <f t="shared" si="1"/>
        <v>12</v>
      </c>
      <c r="B20" s="161"/>
      <c r="C20" s="162"/>
      <c r="D20" s="157" t="s">
        <v>549</v>
      </c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9"/>
      <c r="AA20" s="160" t="s">
        <v>19</v>
      </c>
      <c r="AB20" s="161"/>
      <c r="AC20" s="161"/>
      <c r="AD20" s="161"/>
      <c r="AE20" s="162"/>
      <c r="AF20" s="160">
        <v>18</v>
      </c>
      <c r="AG20" s="161"/>
      <c r="AH20" s="162"/>
      <c r="AI20" s="160"/>
      <c r="AJ20" s="161"/>
      <c r="AK20" s="162"/>
      <c r="AL20" s="163" t="s">
        <v>573</v>
      </c>
      <c r="AM20" s="164"/>
      <c r="AN20" s="164"/>
      <c r="AO20" s="164"/>
      <c r="AP20" s="164"/>
      <c r="AQ20" s="164"/>
      <c r="AR20" s="164"/>
      <c r="AS20" s="164"/>
      <c r="AT20" s="164"/>
      <c r="AU20" s="164"/>
      <c r="AV20" s="164"/>
      <c r="AW20" s="164"/>
      <c r="AX20" s="164"/>
      <c r="AY20" s="164"/>
      <c r="AZ20" s="164"/>
      <c r="BA20" s="164"/>
      <c r="BB20" s="164"/>
      <c r="BC20" s="164"/>
      <c r="BD20" s="164"/>
      <c r="BE20" s="164"/>
      <c r="BF20" s="164"/>
      <c r="BG20" s="164"/>
      <c r="BH20" s="164"/>
      <c r="BI20" s="164"/>
      <c r="BJ20" s="164"/>
      <c r="BK20" s="164"/>
      <c r="BL20" s="164"/>
      <c r="BM20" s="164"/>
      <c r="BN20" s="164"/>
      <c r="BO20" s="164"/>
      <c r="BP20" s="165"/>
    </row>
    <row r="21" spans="1:68" s="43" customFormat="1" ht="30.75" customHeight="1">
      <c r="A21" s="160">
        <f t="shared" si="1"/>
        <v>13</v>
      </c>
      <c r="B21" s="161"/>
      <c r="C21" s="162"/>
      <c r="D21" s="157" t="s">
        <v>551</v>
      </c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9"/>
      <c r="AA21" s="160" t="s">
        <v>19</v>
      </c>
      <c r="AB21" s="161"/>
      <c r="AC21" s="161"/>
      <c r="AD21" s="161"/>
      <c r="AE21" s="162"/>
      <c r="AF21" s="160">
        <v>4</v>
      </c>
      <c r="AG21" s="161"/>
      <c r="AH21" s="162"/>
      <c r="AI21" s="160"/>
      <c r="AJ21" s="161"/>
      <c r="AK21" s="162"/>
      <c r="AL21" s="163" t="s">
        <v>574</v>
      </c>
      <c r="AM21" s="164"/>
      <c r="AN21" s="164"/>
      <c r="AO21" s="164"/>
      <c r="AP21" s="164"/>
      <c r="AQ21" s="164"/>
      <c r="AR21" s="164"/>
      <c r="AS21" s="164"/>
      <c r="AT21" s="164"/>
      <c r="AU21" s="164"/>
      <c r="AV21" s="164"/>
      <c r="AW21" s="164"/>
      <c r="AX21" s="164"/>
      <c r="AY21" s="164"/>
      <c r="AZ21" s="164"/>
      <c r="BA21" s="164"/>
      <c r="BB21" s="164"/>
      <c r="BC21" s="164"/>
      <c r="BD21" s="164"/>
      <c r="BE21" s="164"/>
      <c r="BF21" s="164"/>
      <c r="BG21" s="164"/>
      <c r="BH21" s="164"/>
      <c r="BI21" s="164"/>
      <c r="BJ21" s="164"/>
      <c r="BK21" s="164"/>
      <c r="BL21" s="164"/>
      <c r="BM21" s="164"/>
      <c r="BN21" s="164"/>
      <c r="BO21" s="164"/>
      <c r="BP21" s="165"/>
    </row>
    <row r="22" spans="1:68" s="43" customFormat="1" ht="30.75" customHeight="1">
      <c r="A22" s="160">
        <f t="shared" si="1"/>
        <v>14</v>
      </c>
      <c r="B22" s="161"/>
      <c r="C22" s="162"/>
      <c r="D22" s="157" t="s">
        <v>552</v>
      </c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9"/>
      <c r="AA22" s="160" t="s">
        <v>19</v>
      </c>
      <c r="AB22" s="161"/>
      <c r="AC22" s="161"/>
      <c r="AD22" s="161"/>
      <c r="AE22" s="162"/>
      <c r="AF22" s="160">
        <v>60</v>
      </c>
      <c r="AG22" s="161"/>
      <c r="AH22" s="162"/>
      <c r="AI22" s="160"/>
      <c r="AJ22" s="161"/>
      <c r="AK22" s="162"/>
      <c r="AL22" s="163" t="s">
        <v>575</v>
      </c>
      <c r="AM22" s="164"/>
      <c r="AN22" s="164"/>
      <c r="AO22" s="164"/>
      <c r="AP22" s="164"/>
      <c r="AQ22" s="164"/>
      <c r="AR22" s="164"/>
      <c r="AS22" s="164"/>
      <c r="AT22" s="164"/>
      <c r="AU22" s="164"/>
      <c r="AV22" s="164"/>
      <c r="AW22" s="164"/>
      <c r="AX22" s="164"/>
      <c r="AY22" s="164"/>
      <c r="AZ22" s="164"/>
      <c r="BA22" s="164"/>
      <c r="BB22" s="164"/>
      <c r="BC22" s="164"/>
      <c r="BD22" s="164"/>
      <c r="BE22" s="164"/>
      <c r="BF22" s="164"/>
      <c r="BG22" s="164"/>
      <c r="BH22" s="164"/>
      <c r="BI22" s="164"/>
      <c r="BJ22" s="164"/>
      <c r="BK22" s="164"/>
      <c r="BL22" s="164"/>
      <c r="BM22" s="164"/>
      <c r="BN22" s="164"/>
      <c r="BO22" s="164"/>
      <c r="BP22" s="165"/>
    </row>
    <row r="23" spans="1:68" s="43" customFormat="1" ht="30.75" customHeight="1">
      <c r="A23" s="160">
        <f t="shared" si="1"/>
        <v>15</v>
      </c>
      <c r="B23" s="161"/>
      <c r="C23" s="162"/>
      <c r="D23" s="157" t="s">
        <v>553</v>
      </c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9"/>
      <c r="AA23" s="160" t="s">
        <v>18</v>
      </c>
      <c r="AB23" s="161"/>
      <c r="AC23" s="161"/>
      <c r="AD23" s="161"/>
      <c r="AE23" s="162"/>
      <c r="AF23" s="160">
        <v>14</v>
      </c>
      <c r="AG23" s="161"/>
      <c r="AH23" s="162"/>
      <c r="AI23" s="160" t="s">
        <v>1302</v>
      </c>
      <c r="AJ23" s="161"/>
      <c r="AK23" s="162"/>
      <c r="AL23" s="163" t="s">
        <v>576</v>
      </c>
      <c r="AM23" s="164"/>
      <c r="AN23" s="164"/>
      <c r="AO23" s="164"/>
      <c r="AP23" s="164"/>
      <c r="AQ23" s="164"/>
      <c r="AR23" s="164"/>
      <c r="AS23" s="164"/>
      <c r="AT23" s="164"/>
      <c r="AU23" s="164"/>
      <c r="AV23" s="164"/>
      <c r="AW23" s="164"/>
      <c r="AX23" s="164"/>
      <c r="AY23" s="164"/>
      <c r="AZ23" s="164"/>
      <c r="BA23" s="164"/>
      <c r="BB23" s="164"/>
      <c r="BC23" s="164"/>
      <c r="BD23" s="164"/>
      <c r="BE23" s="164"/>
      <c r="BF23" s="164"/>
      <c r="BG23" s="164"/>
      <c r="BH23" s="164"/>
      <c r="BI23" s="164"/>
      <c r="BJ23" s="164"/>
      <c r="BK23" s="164"/>
      <c r="BL23" s="164"/>
      <c r="BM23" s="164"/>
      <c r="BN23" s="164"/>
      <c r="BO23" s="164"/>
      <c r="BP23" s="165"/>
    </row>
    <row r="24" spans="1:68" s="43" customFormat="1" ht="30.75" customHeight="1">
      <c r="A24" s="160">
        <f t="shared" si="1"/>
        <v>16</v>
      </c>
      <c r="B24" s="161"/>
      <c r="C24" s="162"/>
      <c r="D24" s="157" t="s">
        <v>1283</v>
      </c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9"/>
      <c r="AA24" s="160" t="s">
        <v>19</v>
      </c>
      <c r="AB24" s="161"/>
      <c r="AC24" s="161"/>
      <c r="AD24" s="161"/>
      <c r="AE24" s="162"/>
      <c r="AF24" s="160">
        <v>1</v>
      </c>
      <c r="AG24" s="161"/>
      <c r="AH24" s="162"/>
      <c r="AI24" s="160"/>
      <c r="AJ24" s="161"/>
      <c r="AK24" s="162"/>
      <c r="AL24" s="163" t="s">
        <v>1285</v>
      </c>
      <c r="AM24" s="164"/>
      <c r="AN24" s="164"/>
      <c r="AO24" s="164"/>
      <c r="AP24" s="164"/>
      <c r="AQ24" s="164"/>
      <c r="AR24" s="164"/>
      <c r="AS24" s="164"/>
      <c r="AT24" s="164"/>
      <c r="AU24" s="164"/>
      <c r="AV24" s="164"/>
      <c r="AW24" s="164"/>
      <c r="AX24" s="164"/>
      <c r="AY24" s="164"/>
      <c r="AZ24" s="164"/>
      <c r="BA24" s="164"/>
      <c r="BB24" s="164"/>
      <c r="BC24" s="164"/>
      <c r="BD24" s="164"/>
      <c r="BE24" s="164"/>
      <c r="BF24" s="164"/>
      <c r="BG24" s="164"/>
      <c r="BH24" s="164"/>
      <c r="BI24" s="164"/>
      <c r="BJ24" s="164"/>
      <c r="BK24" s="164"/>
      <c r="BL24" s="164"/>
      <c r="BM24" s="164"/>
      <c r="BN24" s="164"/>
      <c r="BO24" s="164"/>
      <c r="BP24" s="165"/>
    </row>
    <row r="25" spans="1:68" s="43" customFormat="1" ht="30.75" customHeight="1">
      <c r="A25" s="160">
        <f t="shared" si="1"/>
        <v>17</v>
      </c>
      <c r="B25" s="161"/>
      <c r="C25" s="162"/>
      <c r="D25" s="157" t="s">
        <v>1284</v>
      </c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9"/>
      <c r="AA25" s="160" t="s">
        <v>19</v>
      </c>
      <c r="AB25" s="161"/>
      <c r="AC25" s="161"/>
      <c r="AD25" s="161"/>
      <c r="AE25" s="162"/>
      <c r="AF25" s="160">
        <v>8</v>
      </c>
      <c r="AG25" s="161"/>
      <c r="AH25" s="162"/>
      <c r="AI25" s="160"/>
      <c r="AJ25" s="161"/>
      <c r="AK25" s="162"/>
      <c r="AL25" s="163" t="s">
        <v>577</v>
      </c>
      <c r="AM25" s="164"/>
      <c r="AN25" s="164"/>
      <c r="AO25" s="164"/>
      <c r="AP25" s="164"/>
      <c r="AQ25" s="164"/>
      <c r="AR25" s="164"/>
      <c r="AS25" s="164"/>
      <c r="AT25" s="164"/>
      <c r="AU25" s="164"/>
      <c r="AV25" s="164"/>
      <c r="AW25" s="164"/>
      <c r="AX25" s="164"/>
      <c r="AY25" s="164"/>
      <c r="AZ25" s="164"/>
      <c r="BA25" s="164"/>
      <c r="BB25" s="164"/>
      <c r="BC25" s="164"/>
      <c r="BD25" s="164"/>
      <c r="BE25" s="164"/>
      <c r="BF25" s="164"/>
      <c r="BG25" s="164"/>
      <c r="BH25" s="164"/>
      <c r="BI25" s="164"/>
      <c r="BJ25" s="164"/>
      <c r="BK25" s="164"/>
      <c r="BL25" s="164"/>
      <c r="BM25" s="164"/>
      <c r="BN25" s="164"/>
      <c r="BO25" s="164"/>
      <c r="BP25" s="165"/>
    </row>
    <row r="26" spans="1:68" s="43" customFormat="1" ht="30.75" customHeight="1">
      <c r="A26" s="160">
        <f t="shared" si="1"/>
        <v>18</v>
      </c>
      <c r="B26" s="161"/>
      <c r="C26" s="162"/>
      <c r="D26" s="157" t="s">
        <v>554</v>
      </c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9"/>
      <c r="AA26" s="160" t="s">
        <v>19</v>
      </c>
      <c r="AB26" s="161"/>
      <c r="AC26" s="161"/>
      <c r="AD26" s="161"/>
      <c r="AE26" s="162"/>
      <c r="AF26" s="160">
        <v>10</v>
      </c>
      <c r="AG26" s="161"/>
      <c r="AH26" s="162"/>
      <c r="AI26" s="160"/>
      <c r="AJ26" s="161"/>
      <c r="AK26" s="162"/>
      <c r="AL26" s="163" t="s">
        <v>578</v>
      </c>
      <c r="AM26" s="164"/>
      <c r="AN26" s="164"/>
      <c r="AO26" s="164"/>
      <c r="AP26" s="164"/>
      <c r="AQ26" s="164"/>
      <c r="AR26" s="164"/>
      <c r="AS26" s="164"/>
      <c r="AT26" s="164"/>
      <c r="AU26" s="164"/>
      <c r="AV26" s="164"/>
      <c r="AW26" s="164"/>
      <c r="AX26" s="164"/>
      <c r="AY26" s="164"/>
      <c r="AZ26" s="164"/>
      <c r="BA26" s="164"/>
      <c r="BB26" s="164"/>
      <c r="BC26" s="164"/>
      <c r="BD26" s="164"/>
      <c r="BE26" s="164"/>
      <c r="BF26" s="164"/>
      <c r="BG26" s="164"/>
      <c r="BH26" s="164"/>
      <c r="BI26" s="164"/>
      <c r="BJ26" s="164"/>
      <c r="BK26" s="164"/>
      <c r="BL26" s="164"/>
      <c r="BM26" s="164"/>
      <c r="BN26" s="164"/>
      <c r="BO26" s="164"/>
      <c r="BP26" s="165"/>
    </row>
    <row r="27" spans="1:68" s="43" customFormat="1" ht="30.75" customHeight="1">
      <c r="A27" s="160">
        <f t="shared" si="1"/>
        <v>19</v>
      </c>
      <c r="B27" s="161"/>
      <c r="C27" s="162"/>
      <c r="D27" s="157" t="s">
        <v>555</v>
      </c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9"/>
      <c r="AA27" s="160" t="s">
        <v>18</v>
      </c>
      <c r="AB27" s="161"/>
      <c r="AC27" s="161"/>
      <c r="AD27" s="161"/>
      <c r="AE27" s="162"/>
      <c r="AF27" s="160">
        <v>14</v>
      </c>
      <c r="AG27" s="161"/>
      <c r="AH27" s="162"/>
      <c r="AI27" s="160" t="s">
        <v>1302</v>
      </c>
      <c r="AJ27" s="161"/>
      <c r="AK27" s="162"/>
      <c r="AL27" s="163" t="s">
        <v>579</v>
      </c>
      <c r="AM27" s="164"/>
      <c r="AN27" s="164"/>
      <c r="AO27" s="164"/>
      <c r="AP27" s="164"/>
      <c r="AQ27" s="164"/>
      <c r="AR27" s="164"/>
      <c r="AS27" s="164"/>
      <c r="AT27" s="164"/>
      <c r="AU27" s="164"/>
      <c r="AV27" s="164"/>
      <c r="AW27" s="164"/>
      <c r="AX27" s="164"/>
      <c r="AY27" s="164"/>
      <c r="AZ27" s="164"/>
      <c r="BA27" s="164"/>
      <c r="BB27" s="164"/>
      <c r="BC27" s="164"/>
      <c r="BD27" s="164"/>
      <c r="BE27" s="164"/>
      <c r="BF27" s="164"/>
      <c r="BG27" s="164"/>
      <c r="BH27" s="164"/>
      <c r="BI27" s="164"/>
      <c r="BJ27" s="164"/>
      <c r="BK27" s="164"/>
      <c r="BL27" s="164"/>
      <c r="BM27" s="164"/>
      <c r="BN27" s="164"/>
      <c r="BO27" s="164"/>
      <c r="BP27" s="165"/>
    </row>
    <row r="28" spans="1:68" s="43" customFormat="1" ht="30.75" customHeight="1">
      <c r="A28" s="160">
        <f t="shared" si="1"/>
        <v>20</v>
      </c>
      <c r="B28" s="161"/>
      <c r="C28" s="162"/>
      <c r="D28" s="157" t="s">
        <v>556</v>
      </c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9"/>
      <c r="AA28" s="160" t="s">
        <v>18</v>
      </c>
      <c r="AB28" s="161"/>
      <c r="AC28" s="161"/>
      <c r="AD28" s="161"/>
      <c r="AE28" s="162"/>
      <c r="AF28" s="160">
        <v>14</v>
      </c>
      <c r="AG28" s="161"/>
      <c r="AH28" s="162"/>
      <c r="AI28" s="160" t="s">
        <v>1302</v>
      </c>
      <c r="AJ28" s="161"/>
      <c r="AK28" s="162"/>
      <c r="AL28" s="163" t="s">
        <v>580</v>
      </c>
      <c r="AM28" s="164"/>
      <c r="AN28" s="164"/>
      <c r="AO28" s="164"/>
      <c r="AP28" s="164"/>
      <c r="AQ28" s="164"/>
      <c r="AR28" s="164"/>
      <c r="AS28" s="164"/>
      <c r="AT28" s="164"/>
      <c r="AU28" s="164"/>
      <c r="AV28" s="164"/>
      <c r="AW28" s="164"/>
      <c r="AX28" s="164"/>
      <c r="AY28" s="164"/>
      <c r="AZ28" s="164"/>
      <c r="BA28" s="164"/>
      <c r="BB28" s="164"/>
      <c r="BC28" s="164"/>
      <c r="BD28" s="164"/>
      <c r="BE28" s="164"/>
      <c r="BF28" s="164"/>
      <c r="BG28" s="164"/>
      <c r="BH28" s="164"/>
      <c r="BI28" s="164"/>
      <c r="BJ28" s="164"/>
      <c r="BK28" s="164"/>
      <c r="BL28" s="164"/>
      <c r="BM28" s="164"/>
      <c r="BN28" s="164"/>
      <c r="BO28" s="164"/>
      <c r="BP28" s="165"/>
    </row>
    <row r="29" spans="1:68" s="43" customFormat="1" ht="30.75" customHeight="1">
      <c r="A29" s="160">
        <f t="shared" si="1"/>
        <v>21</v>
      </c>
      <c r="B29" s="161"/>
      <c r="C29" s="162"/>
      <c r="D29" s="157" t="s">
        <v>557</v>
      </c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9"/>
      <c r="AA29" s="160" t="s">
        <v>19</v>
      </c>
      <c r="AB29" s="161"/>
      <c r="AC29" s="161"/>
      <c r="AD29" s="161"/>
      <c r="AE29" s="162"/>
      <c r="AF29" s="160">
        <v>2</v>
      </c>
      <c r="AG29" s="161"/>
      <c r="AH29" s="162"/>
      <c r="AI29" s="160"/>
      <c r="AJ29" s="161"/>
      <c r="AK29" s="162"/>
      <c r="AL29" s="163" t="s">
        <v>581</v>
      </c>
      <c r="AM29" s="164"/>
      <c r="AN29" s="164"/>
      <c r="AO29" s="164"/>
      <c r="AP29" s="164"/>
      <c r="AQ29" s="164"/>
      <c r="AR29" s="164"/>
      <c r="AS29" s="164"/>
      <c r="AT29" s="164"/>
      <c r="AU29" s="164"/>
      <c r="AV29" s="164"/>
      <c r="AW29" s="164"/>
      <c r="AX29" s="164"/>
      <c r="AY29" s="164"/>
      <c r="AZ29" s="164"/>
      <c r="BA29" s="164"/>
      <c r="BB29" s="164"/>
      <c r="BC29" s="164"/>
      <c r="BD29" s="164"/>
      <c r="BE29" s="164"/>
      <c r="BF29" s="164"/>
      <c r="BG29" s="164"/>
      <c r="BH29" s="164"/>
      <c r="BI29" s="164"/>
      <c r="BJ29" s="164"/>
      <c r="BK29" s="164"/>
      <c r="BL29" s="164"/>
      <c r="BM29" s="164"/>
      <c r="BN29" s="164"/>
      <c r="BO29" s="164"/>
      <c r="BP29" s="165"/>
    </row>
    <row r="30" spans="1:68" s="43" customFormat="1" ht="30.75" customHeight="1">
      <c r="A30" s="160">
        <f t="shared" si="1"/>
        <v>22</v>
      </c>
      <c r="B30" s="161"/>
      <c r="C30" s="162"/>
      <c r="D30" s="157" t="s">
        <v>558</v>
      </c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9"/>
      <c r="AA30" s="160" t="s">
        <v>19</v>
      </c>
      <c r="AB30" s="161"/>
      <c r="AC30" s="161"/>
      <c r="AD30" s="161"/>
      <c r="AE30" s="162"/>
      <c r="AF30" s="160">
        <v>12</v>
      </c>
      <c r="AG30" s="161"/>
      <c r="AH30" s="162"/>
      <c r="AI30" s="160"/>
      <c r="AJ30" s="161"/>
      <c r="AK30" s="162"/>
      <c r="AL30" s="163" t="s">
        <v>582</v>
      </c>
      <c r="AM30" s="164"/>
      <c r="AN30" s="164"/>
      <c r="AO30" s="164"/>
      <c r="AP30" s="164"/>
      <c r="AQ30" s="164"/>
      <c r="AR30" s="164"/>
      <c r="AS30" s="164"/>
      <c r="AT30" s="164"/>
      <c r="AU30" s="164"/>
      <c r="AV30" s="164"/>
      <c r="AW30" s="164"/>
      <c r="AX30" s="164"/>
      <c r="AY30" s="164"/>
      <c r="AZ30" s="164"/>
      <c r="BA30" s="164"/>
      <c r="BB30" s="164"/>
      <c r="BC30" s="164"/>
      <c r="BD30" s="164"/>
      <c r="BE30" s="164"/>
      <c r="BF30" s="164"/>
      <c r="BG30" s="164"/>
      <c r="BH30" s="164"/>
      <c r="BI30" s="164"/>
      <c r="BJ30" s="164"/>
      <c r="BK30" s="164"/>
      <c r="BL30" s="164"/>
      <c r="BM30" s="164"/>
      <c r="BN30" s="164"/>
      <c r="BO30" s="164"/>
      <c r="BP30" s="165"/>
    </row>
    <row r="31" spans="1:68" s="43" customFormat="1" ht="30.75" customHeight="1">
      <c r="A31" s="160">
        <f t="shared" si="1"/>
        <v>23</v>
      </c>
      <c r="B31" s="161"/>
      <c r="C31" s="162"/>
      <c r="D31" s="157" t="s">
        <v>559</v>
      </c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9"/>
      <c r="AA31" s="160" t="s">
        <v>18</v>
      </c>
      <c r="AB31" s="161"/>
      <c r="AC31" s="161"/>
      <c r="AD31" s="161"/>
      <c r="AE31" s="162"/>
      <c r="AF31" s="160">
        <v>14</v>
      </c>
      <c r="AG31" s="161"/>
      <c r="AH31" s="162"/>
      <c r="AI31" s="160" t="s">
        <v>1302</v>
      </c>
      <c r="AJ31" s="161"/>
      <c r="AK31" s="162"/>
      <c r="AL31" s="163" t="s">
        <v>583</v>
      </c>
      <c r="AM31" s="164"/>
      <c r="AN31" s="164"/>
      <c r="AO31" s="164"/>
      <c r="AP31" s="164"/>
      <c r="AQ31" s="164"/>
      <c r="AR31" s="164"/>
      <c r="AS31" s="164"/>
      <c r="AT31" s="164"/>
      <c r="AU31" s="164"/>
      <c r="AV31" s="164"/>
      <c r="AW31" s="164"/>
      <c r="AX31" s="164"/>
      <c r="AY31" s="164"/>
      <c r="AZ31" s="164"/>
      <c r="BA31" s="164"/>
      <c r="BB31" s="164"/>
      <c r="BC31" s="164"/>
      <c r="BD31" s="164"/>
      <c r="BE31" s="164"/>
      <c r="BF31" s="164"/>
      <c r="BG31" s="164"/>
      <c r="BH31" s="164"/>
      <c r="BI31" s="164"/>
      <c r="BJ31" s="164"/>
      <c r="BK31" s="164"/>
      <c r="BL31" s="164"/>
      <c r="BM31" s="164"/>
      <c r="BN31" s="164"/>
      <c r="BO31" s="164"/>
      <c r="BP31" s="165"/>
    </row>
    <row r="32" spans="1:68" s="43" customFormat="1" ht="30.75" customHeight="1">
      <c r="A32" s="160">
        <f t="shared" si="1"/>
        <v>24</v>
      </c>
      <c r="B32" s="161"/>
      <c r="C32" s="162"/>
      <c r="D32" s="157" t="s">
        <v>550</v>
      </c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9"/>
      <c r="AA32" s="160" t="s">
        <v>18</v>
      </c>
      <c r="AB32" s="161"/>
      <c r="AC32" s="161"/>
      <c r="AD32" s="161"/>
      <c r="AE32" s="162"/>
      <c r="AF32" s="160">
        <v>8</v>
      </c>
      <c r="AG32" s="161"/>
      <c r="AH32" s="162"/>
      <c r="AI32" s="160"/>
      <c r="AJ32" s="161"/>
      <c r="AK32" s="162"/>
      <c r="AL32" s="163" t="s">
        <v>584</v>
      </c>
      <c r="AM32" s="164"/>
      <c r="AN32" s="164"/>
      <c r="AO32" s="164"/>
      <c r="AP32" s="164"/>
      <c r="AQ32" s="164"/>
      <c r="AR32" s="164"/>
      <c r="AS32" s="164"/>
      <c r="AT32" s="164"/>
      <c r="AU32" s="164"/>
      <c r="AV32" s="164"/>
      <c r="AW32" s="164"/>
      <c r="AX32" s="164"/>
      <c r="AY32" s="164"/>
      <c r="AZ32" s="164"/>
      <c r="BA32" s="164"/>
      <c r="BB32" s="164"/>
      <c r="BC32" s="164"/>
      <c r="BD32" s="164"/>
      <c r="BE32" s="164"/>
      <c r="BF32" s="164"/>
      <c r="BG32" s="164"/>
      <c r="BH32" s="164"/>
      <c r="BI32" s="164"/>
      <c r="BJ32" s="164"/>
      <c r="BK32" s="164"/>
      <c r="BL32" s="164"/>
      <c r="BM32" s="164"/>
      <c r="BN32" s="164"/>
      <c r="BO32" s="164"/>
      <c r="BP32" s="165"/>
    </row>
    <row r="33" spans="1:68" s="43" customFormat="1" ht="30.75" customHeight="1">
      <c r="A33" s="156"/>
      <c r="B33" s="156"/>
      <c r="C33" s="156"/>
      <c r="D33" s="157"/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9"/>
      <c r="AA33" s="160"/>
      <c r="AB33" s="161"/>
      <c r="AC33" s="161"/>
      <c r="AD33" s="161"/>
      <c r="AE33" s="162"/>
      <c r="AF33" s="156"/>
      <c r="AG33" s="156"/>
      <c r="AH33" s="156"/>
      <c r="AI33" s="156"/>
      <c r="AJ33" s="156"/>
      <c r="AK33" s="156"/>
      <c r="AL33" s="163"/>
      <c r="AM33" s="164"/>
      <c r="AN33" s="164"/>
      <c r="AO33" s="164"/>
      <c r="AP33" s="164"/>
      <c r="AQ33" s="164"/>
      <c r="AR33" s="164"/>
      <c r="AS33" s="164"/>
      <c r="AT33" s="164"/>
      <c r="AU33" s="164"/>
      <c r="AV33" s="164"/>
      <c r="AW33" s="164"/>
      <c r="AX33" s="164"/>
      <c r="AY33" s="164"/>
      <c r="AZ33" s="164"/>
      <c r="BA33" s="164"/>
      <c r="BB33" s="164"/>
      <c r="BC33" s="164"/>
      <c r="BD33" s="164"/>
      <c r="BE33" s="164"/>
      <c r="BF33" s="164"/>
      <c r="BG33" s="164"/>
      <c r="BH33" s="164"/>
      <c r="BI33" s="164"/>
      <c r="BJ33" s="164"/>
      <c r="BK33" s="164"/>
      <c r="BL33" s="164"/>
      <c r="BM33" s="164"/>
      <c r="BN33" s="164"/>
      <c r="BO33" s="164"/>
      <c r="BP33" s="165"/>
    </row>
    <row r="34" spans="1:68" s="43" customFormat="1" ht="30.75" customHeight="1">
      <c r="A34" s="145"/>
      <c r="B34" s="145"/>
      <c r="C34" s="145"/>
      <c r="D34" s="146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8"/>
      <c r="AA34" s="149"/>
      <c r="AB34" s="150"/>
      <c r="AC34" s="150"/>
      <c r="AD34" s="150"/>
      <c r="AE34" s="151"/>
      <c r="AF34" s="152"/>
      <c r="AG34" s="152"/>
      <c r="AH34" s="152"/>
      <c r="AI34" s="152"/>
      <c r="AJ34" s="152"/>
      <c r="AK34" s="152"/>
      <c r="AL34" s="153"/>
      <c r="AM34" s="154"/>
      <c r="AN34" s="154"/>
      <c r="AO34" s="154"/>
      <c r="AP34" s="154"/>
      <c r="AQ34" s="154"/>
      <c r="AR34" s="154"/>
      <c r="AS34" s="154"/>
      <c r="AT34" s="154"/>
      <c r="AU34" s="154"/>
      <c r="AV34" s="154"/>
      <c r="AW34" s="154"/>
      <c r="AX34" s="154"/>
      <c r="AY34" s="154"/>
      <c r="AZ34" s="154"/>
      <c r="BA34" s="154"/>
      <c r="BB34" s="154"/>
      <c r="BC34" s="154"/>
      <c r="BD34" s="154"/>
      <c r="BE34" s="154"/>
      <c r="BF34" s="154"/>
      <c r="BG34" s="154"/>
      <c r="BH34" s="154"/>
      <c r="BI34" s="154"/>
      <c r="BJ34" s="154"/>
      <c r="BK34" s="154"/>
      <c r="BL34" s="154"/>
      <c r="BM34" s="154"/>
      <c r="BN34" s="154"/>
      <c r="BO34" s="154"/>
      <c r="BP34" s="155"/>
    </row>
    <row r="35" spans="1:68" s="47" customFormat="1" ht="3.75" customHeight="1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6"/>
      <c r="AG35" s="46"/>
      <c r="AH35" s="46"/>
      <c r="AI35" s="46"/>
      <c r="AJ35" s="46"/>
      <c r="AK35" s="46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</row>
    <row r="36" spans="1:68" s="47" customFormat="1" ht="14.25">
      <c r="A36" s="48" t="s">
        <v>14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9"/>
      <c r="AG36" s="49"/>
      <c r="AH36" s="49"/>
      <c r="AI36" s="49"/>
      <c r="AJ36" s="49"/>
      <c r="AK36" s="49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50"/>
    </row>
    <row r="37" spans="1:68" s="47" customFormat="1" ht="20.25" customHeight="1">
      <c r="A37" s="48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50"/>
    </row>
    <row r="38" spans="1:68" s="47" customFormat="1" ht="20.25" customHeight="1">
      <c r="A38" s="48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50"/>
    </row>
    <row r="39" spans="1:68" s="47" customFormat="1" ht="20.25" customHeight="1">
      <c r="A39" s="48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50"/>
    </row>
    <row r="40" spans="1:68" s="47" customFormat="1" ht="20.25" customHeight="1">
      <c r="A40" s="48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50"/>
    </row>
    <row r="41" spans="1:68" s="47" customFormat="1" ht="20.25" customHeight="1">
      <c r="A41" s="51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3"/>
    </row>
    <row r="42" spans="1:68" ht="5.25" customHeight="1"/>
    <row r="45" spans="1:68">
      <c r="AF45" s="56">
        <v>8</v>
      </c>
    </row>
  </sheetData>
  <mergeCells count="181"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10:C10"/>
    <mergeCell ref="D10:Z10"/>
    <mergeCell ref="AA10:AE10"/>
    <mergeCell ref="AF10:AH10"/>
    <mergeCell ref="AI10:AK10"/>
    <mergeCell ref="AL10:BP10"/>
    <mergeCell ref="A8:C8"/>
    <mergeCell ref="D8:Z8"/>
    <mergeCell ref="AA8:AE8"/>
    <mergeCell ref="AF8:AH8"/>
    <mergeCell ref="AI8:AK8"/>
    <mergeCell ref="AL8:BP8"/>
    <mergeCell ref="A9:C9"/>
    <mergeCell ref="D9:Z9"/>
    <mergeCell ref="AA9:AE9"/>
    <mergeCell ref="AF9:AH9"/>
    <mergeCell ref="AI9:AK9"/>
    <mergeCell ref="AL9:BP9"/>
    <mergeCell ref="A12:C12"/>
    <mergeCell ref="D12:Z12"/>
    <mergeCell ref="AA12:AE12"/>
    <mergeCell ref="AF12:AH12"/>
    <mergeCell ref="AI12:AK12"/>
    <mergeCell ref="AL12:BP12"/>
    <mergeCell ref="A11:C11"/>
    <mergeCell ref="D11:Z11"/>
    <mergeCell ref="AA11:AE11"/>
    <mergeCell ref="AF11:AH11"/>
    <mergeCell ref="AI11:AK11"/>
    <mergeCell ref="AL11:BP11"/>
    <mergeCell ref="A14:C14"/>
    <mergeCell ref="D14:Z14"/>
    <mergeCell ref="AA14:AE14"/>
    <mergeCell ref="AF14:AH14"/>
    <mergeCell ref="AI14:AK14"/>
    <mergeCell ref="AL14:BP14"/>
    <mergeCell ref="A13:C13"/>
    <mergeCell ref="D13:Z13"/>
    <mergeCell ref="AA13:AE13"/>
    <mergeCell ref="AF13:AH13"/>
    <mergeCell ref="AI13:AK13"/>
    <mergeCell ref="AL13:BP13"/>
    <mergeCell ref="A16:C16"/>
    <mergeCell ref="D16:Z16"/>
    <mergeCell ref="AA16:AE16"/>
    <mergeCell ref="AF16:AH16"/>
    <mergeCell ref="AI16:AK16"/>
    <mergeCell ref="AL16:BP16"/>
    <mergeCell ref="A15:C15"/>
    <mergeCell ref="D15:Z15"/>
    <mergeCell ref="AA15:AE15"/>
    <mergeCell ref="AF15:AH15"/>
    <mergeCell ref="AI15:AK15"/>
    <mergeCell ref="AL15:BP15"/>
    <mergeCell ref="A18:C18"/>
    <mergeCell ref="D18:Z18"/>
    <mergeCell ref="AA18:AE18"/>
    <mergeCell ref="AF18:AH18"/>
    <mergeCell ref="AI18:AK18"/>
    <mergeCell ref="AL18:BP18"/>
    <mergeCell ref="A17:C17"/>
    <mergeCell ref="D17:Z17"/>
    <mergeCell ref="AA17:AE17"/>
    <mergeCell ref="AF17:AH17"/>
    <mergeCell ref="AI17:AK17"/>
    <mergeCell ref="AL17:BP17"/>
    <mergeCell ref="A20:C20"/>
    <mergeCell ref="D20:Z20"/>
    <mergeCell ref="AA20:AE20"/>
    <mergeCell ref="AF20:AH20"/>
    <mergeCell ref="AI20:AK20"/>
    <mergeCell ref="AL20:BP20"/>
    <mergeCell ref="A19:C19"/>
    <mergeCell ref="D19:Z19"/>
    <mergeCell ref="AA19:AE19"/>
    <mergeCell ref="AF19:AH19"/>
    <mergeCell ref="AI19:AK19"/>
    <mergeCell ref="AL19:BP19"/>
    <mergeCell ref="A22:C22"/>
    <mergeCell ref="D22:Z22"/>
    <mergeCell ref="AA22:AE22"/>
    <mergeCell ref="AF22:AH22"/>
    <mergeCell ref="AI22:AK22"/>
    <mergeCell ref="AL22:BP22"/>
    <mergeCell ref="A21:C21"/>
    <mergeCell ref="D21:Z21"/>
    <mergeCell ref="AA21:AE21"/>
    <mergeCell ref="AF21:AH21"/>
    <mergeCell ref="AI21:AK21"/>
    <mergeCell ref="AL21:BP21"/>
    <mergeCell ref="A23:C23"/>
    <mergeCell ref="D23:Z23"/>
    <mergeCell ref="AA23:AE23"/>
    <mergeCell ref="AF23:AH23"/>
    <mergeCell ref="AI23:AK23"/>
    <mergeCell ref="AL23:BP23"/>
    <mergeCell ref="A24:C24"/>
    <mergeCell ref="D24:Z24"/>
    <mergeCell ref="AA24:AE24"/>
    <mergeCell ref="AF24:AH24"/>
    <mergeCell ref="AI24:AK24"/>
    <mergeCell ref="AL24:BP24"/>
    <mergeCell ref="A26:C26"/>
    <mergeCell ref="D26:Z26"/>
    <mergeCell ref="AA26:AE26"/>
    <mergeCell ref="AF26:AH26"/>
    <mergeCell ref="AI26:AK26"/>
    <mergeCell ref="AL26:BP26"/>
    <mergeCell ref="A25:C25"/>
    <mergeCell ref="D25:Z25"/>
    <mergeCell ref="AA25:AE25"/>
    <mergeCell ref="AF25:AH25"/>
    <mergeCell ref="AI25:AK25"/>
    <mergeCell ref="AL25:BP25"/>
    <mergeCell ref="A28:C28"/>
    <mergeCell ref="D28:Z28"/>
    <mergeCell ref="AA28:AE28"/>
    <mergeCell ref="AF28:AH28"/>
    <mergeCell ref="AI28:AK28"/>
    <mergeCell ref="AL28:BP28"/>
    <mergeCell ref="A27:C27"/>
    <mergeCell ref="D27:Z27"/>
    <mergeCell ref="AA27:AE27"/>
    <mergeCell ref="AF27:AH27"/>
    <mergeCell ref="AI27:AK27"/>
    <mergeCell ref="AL27:BP27"/>
    <mergeCell ref="A30:C30"/>
    <mergeCell ref="D30:Z30"/>
    <mergeCell ref="AA30:AE30"/>
    <mergeCell ref="AF30:AH30"/>
    <mergeCell ref="AI30:AK30"/>
    <mergeCell ref="AL30:BP30"/>
    <mergeCell ref="A29:C29"/>
    <mergeCell ref="D29:Z29"/>
    <mergeCell ref="AA29:AE29"/>
    <mergeCell ref="AF29:AH29"/>
    <mergeCell ref="AI29:AK29"/>
    <mergeCell ref="AL29:BP29"/>
    <mergeCell ref="A32:C32"/>
    <mergeCell ref="D32:Z32"/>
    <mergeCell ref="AA32:AE32"/>
    <mergeCell ref="AF32:AH32"/>
    <mergeCell ref="AI32:AK32"/>
    <mergeCell ref="AL32:BP32"/>
    <mergeCell ref="A31:C31"/>
    <mergeCell ref="D31:Z31"/>
    <mergeCell ref="AA31:AE31"/>
    <mergeCell ref="AF31:AH31"/>
    <mergeCell ref="AI31:AK31"/>
    <mergeCell ref="AL31:BP31"/>
    <mergeCell ref="A34:C34"/>
    <mergeCell ref="D34:Z34"/>
    <mergeCell ref="AA34:AE34"/>
    <mergeCell ref="AF34:AH34"/>
    <mergeCell ref="AI34:AK34"/>
    <mergeCell ref="AL34:BP34"/>
    <mergeCell ref="A33:C33"/>
    <mergeCell ref="D33:Z33"/>
    <mergeCell ref="AA33:AE33"/>
    <mergeCell ref="AF33:AH33"/>
    <mergeCell ref="AI33:AK33"/>
    <mergeCell ref="AL33:BP33"/>
  </mergeCells>
  <phoneticPr fontId="3"/>
  <dataValidations count="1">
    <dataValidation type="list" allowBlank="1" showInputMessage="1" showErrorMessage="1" sqref="BJ6:BP6" xr:uid="{AAAEBC23-2B5F-4542-96EE-D7964B0F54DD}">
      <formula1>"原票、画面,帳票,連動ファイル,論理ファイル"</formula1>
    </dataValidation>
  </dataValidations>
  <pageMargins left="0.59055118110236227" right="0.47244094488188981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E8C9D-22C7-489F-9293-52A196B2EDF6}">
  <dimension ref="A1:BR26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8" width="2.125" style="55"/>
    <col min="39" max="44" width="0" style="55" hidden="1" customWidth="1"/>
    <col min="45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58" t="s">
        <v>217</v>
      </c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95" t="s">
        <v>1382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1381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17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129">
        <f>ROW()-8</f>
        <v>1</v>
      </c>
      <c r="B9" s="130"/>
      <c r="C9" s="131"/>
      <c r="D9" s="142" t="s">
        <v>1383</v>
      </c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4"/>
      <c r="AA9" s="117" t="s">
        <v>19</v>
      </c>
      <c r="AB9" s="118"/>
      <c r="AC9" s="118"/>
      <c r="AD9" s="118"/>
      <c r="AE9" s="119"/>
      <c r="AF9" s="117">
        <v>1000</v>
      </c>
      <c r="AG9" s="118"/>
      <c r="AH9" s="119"/>
      <c r="AI9" s="117"/>
      <c r="AJ9" s="118"/>
      <c r="AK9" s="119"/>
      <c r="AL9" s="68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70"/>
    </row>
    <row r="10" spans="1:70" s="1" customFormat="1" ht="30.75" customHeight="1">
      <c r="A10" s="74">
        <f>ROW()-8</f>
        <v>2</v>
      </c>
      <c r="B10" s="75"/>
      <c r="C10" s="76"/>
      <c r="D10" s="71" t="s">
        <v>1384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  <c r="AA10" s="74" t="s">
        <v>19</v>
      </c>
      <c r="AB10" s="75"/>
      <c r="AC10" s="75"/>
      <c r="AD10" s="75"/>
      <c r="AE10" s="76"/>
      <c r="AF10" s="74">
        <v>64</v>
      </c>
      <c r="AG10" s="75"/>
      <c r="AH10" s="76"/>
      <c r="AI10" s="74"/>
      <c r="AJ10" s="75"/>
      <c r="AK10" s="76"/>
      <c r="AL10" s="68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74">
        <f t="shared" ref="A11:A16" si="0">ROW()-8</f>
        <v>3</v>
      </c>
      <c r="B11" s="75"/>
      <c r="C11" s="76"/>
      <c r="D11" s="71" t="s">
        <v>1371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3"/>
      <c r="AA11" s="74" t="s">
        <v>19</v>
      </c>
      <c r="AB11" s="75"/>
      <c r="AC11" s="75"/>
      <c r="AD11" s="75"/>
      <c r="AE11" s="76"/>
      <c r="AF11" s="74">
        <v>1000</v>
      </c>
      <c r="AG11" s="75"/>
      <c r="AH11" s="76"/>
      <c r="AI11" s="74"/>
      <c r="AJ11" s="75"/>
      <c r="AK11" s="76"/>
      <c r="AL11" s="68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70"/>
    </row>
    <row r="12" spans="1:70" s="1" customFormat="1" ht="30.75" customHeight="1">
      <c r="A12" s="74">
        <f t="shared" si="0"/>
        <v>4</v>
      </c>
      <c r="B12" s="75"/>
      <c r="C12" s="76"/>
      <c r="D12" s="71" t="s">
        <v>1374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3"/>
      <c r="AA12" s="74" t="s">
        <v>19</v>
      </c>
      <c r="AB12" s="75"/>
      <c r="AC12" s="75"/>
      <c r="AD12" s="75"/>
      <c r="AE12" s="76"/>
      <c r="AF12" s="74">
        <v>64</v>
      </c>
      <c r="AG12" s="75"/>
      <c r="AH12" s="76"/>
      <c r="AI12" s="74"/>
      <c r="AJ12" s="75"/>
      <c r="AK12" s="76"/>
      <c r="AL12" s="68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70"/>
    </row>
    <row r="13" spans="1:70" s="1" customFormat="1" ht="30.75" customHeight="1">
      <c r="A13" s="74">
        <f t="shared" si="0"/>
        <v>5</v>
      </c>
      <c r="B13" s="75"/>
      <c r="C13" s="76"/>
      <c r="D13" s="71" t="s">
        <v>1375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3"/>
      <c r="AA13" s="74" t="s">
        <v>19</v>
      </c>
      <c r="AB13" s="75"/>
      <c r="AC13" s="75"/>
      <c r="AD13" s="75"/>
      <c r="AE13" s="76"/>
      <c r="AF13" s="74">
        <v>1000</v>
      </c>
      <c r="AG13" s="75"/>
      <c r="AH13" s="76"/>
      <c r="AI13" s="74"/>
      <c r="AJ13" s="75"/>
      <c r="AK13" s="76"/>
      <c r="AL13" s="68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70"/>
    </row>
    <row r="14" spans="1:70" s="1" customFormat="1" ht="30.75" customHeight="1">
      <c r="A14" s="74">
        <f t="shared" si="0"/>
        <v>6</v>
      </c>
      <c r="B14" s="75"/>
      <c r="C14" s="76"/>
      <c r="D14" s="71" t="s">
        <v>1376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3"/>
      <c r="AA14" s="74" t="s">
        <v>19</v>
      </c>
      <c r="AB14" s="75"/>
      <c r="AC14" s="75"/>
      <c r="AD14" s="75"/>
      <c r="AE14" s="76"/>
      <c r="AF14" s="74">
        <v>64</v>
      </c>
      <c r="AG14" s="75"/>
      <c r="AH14" s="76"/>
      <c r="AI14" s="86"/>
      <c r="AJ14" s="86"/>
      <c r="AK14" s="86"/>
      <c r="AL14" s="68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70"/>
    </row>
    <row r="15" spans="1:70" s="1" customFormat="1" ht="30.75" customHeight="1">
      <c r="A15" s="74">
        <f t="shared" si="0"/>
        <v>7</v>
      </c>
      <c r="B15" s="75"/>
      <c r="C15" s="76"/>
      <c r="D15" s="71" t="s">
        <v>1377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3"/>
      <c r="AA15" s="74" t="s">
        <v>19</v>
      </c>
      <c r="AB15" s="75"/>
      <c r="AC15" s="75"/>
      <c r="AD15" s="75"/>
      <c r="AE15" s="76"/>
      <c r="AF15" s="74">
        <v>1000</v>
      </c>
      <c r="AG15" s="75"/>
      <c r="AH15" s="76"/>
      <c r="AI15" s="86"/>
      <c r="AJ15" s="86"/>
      <c r="AK15" s="86"/>
      <c r="AL15" s="68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70"/>
    </row>
    <row r="16" spans="1:70" s="1" customFormat="1" ht="30.75" customHeight="1">
      <c r="A16" s="74">
        <f t="shared" si="0"/>
        <v>8</v>
      </c>
      <c r="B16" s="75"/>
      <c r="C16" s="76"/>
      <c r="D16" s="71" t="s">
        <v>1378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3"/>
      <c r="AA16" s="74" t="s">
        <v>19</v>
      </c>
      <c r="AB16" s="75"/>
      <c r="AC16" s="75"/>
      <c r="AD16" s="75"/>
      <c r="AE16" s="76"/>
      <c r="AF16" s="74">
        <v>64</v>
      </c>
      <c r="AG16" s="75"/>
      <c r="AH16" s="76"/>
      <c r="AI16" s="86"/>
      <c r="AJ16" s="86"/>
      <c r="AK16" s="86"/>
      <c r="AL16" s="68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70"/>
    </row>
    <row r="17" spans="1:68" s="1" customFormat="1" ht="30.75" customHeight="1">
      <c r="A17" s="74"/>
      <c r="B17" s="75"/>
      <c r="C17" s="76"/>
      <c r="D17" s="71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3"/>
      <c r="AA17" s="74"/>
      <c r="AB17" s="75"/>
      <c r="AC17" s="75"/>
      <c r="AD17" s="75"/>
      <c r="AE17" s="76"/>
      <c r="AF17" s="74"/>
      <c r="AG17" s="75"/>
      <c r="AH17" s="76"/>
      <c r="AI17" s="74"/>
      <c r="AJ17" s="75"/>
      <c r="AK17" s="76"/>
      <c r="AL17" s="68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70"/>
    </row>
    <row r="18" spans="1:68" s="1" customFormat="1" ht="30.75" customHeight="1">
      <c r="A18" s="91"/>
      <c r="B18" s="91"/>
      <c r="C18" s="91"/>
      <c r="D18" s="77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9"/>
      <c r="AA18" s="80"/>
      <c r="AB18" s="81"/>
      <c r="AC18" s="81"/>
      <c r="AD18" s="81"/>
      <c r="AE18" s="82"/>
      <c r="AF18" s="87"/>
      <c r="AG18" s="87"/>
      <c r="AH18" s="87"/>
      <c r="AI18" s="87"/>
      <c r="AJ18" s="87"/>
      <c r="AK18" s="87"/>
      <c r="AL18" s="83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5"/>
    </row>
    <row r="19" spans="1:68" s="4" customFormat="1" ht="3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3"/>
      <c r="AG19" s="3"/>
      <c r="AH19" s="3"/>
      <c r="AI19" s="3"/>
      <c r="AJ19" s="3"/>
      <c r="AK19" s="3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</row>
    <row r="20" spans="1:68" s="4" customFormat="1" ht="14.25">
      <c r="A20" s="5" t="s">
        <v>14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15"/>
      <c r="AG20" s="15"/>
      <c r="AH20" s="15"/>
      <c r="AI20" s="15"/>
      <c r="AJ20" s="15"/>
      <c r="AK20" s="15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6"/>
    </row>
    <row r="21" spans="1:68" s="4" customFormat="1" ht="20.25" customHeight="1">
      <c r="A21" s="5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6"/>
    </row>
    <row r="22" spans="1:68" s="4" customFormat="1" ht="20.25" customHeight="1">
      <c r="A22" s="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6"/>
    </row>
    <row r="23" spans="1:68" s="4" customFormat="1" ht="20.25" customHeight="1">
      <c r="A23" s="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6"/>
    </row>
    <row r="24" spans="1:68" s="4" customFormat="1" ht="20.25" customHeight="1">
      <c r="A24" s="5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6"/>
    </row>
    <row r="25" spans="1:68" s="4" customFormat="1" ht="20.25" customHeight="1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9"/>
    </row>
    <row r="26" spans="1:68" ht="5.25" customHeight="1"/>
  </sheetData>
  <mergeCells count="85">
    <mergeCell ref="AL18:BP18"/>
    <mergeCell ref="A17:C17"/>
    <mergeCell ref="D17:Z17"/>
    <mergeCell ref="AA17:AE17"/>
    <mergeCell ref="AF17:AH17"/>
    <mergeCell ref="AI17:AK17"/>
    <mergeCell ref="AL17:BP17"/>
    <mergeCell ref="A18:C18"/>
    <mergeCell ref="D18:Z18"/>
    <mergeCell ref="AA18:AE18"/>
    <mergeCell ref="AF18:AH18"/>
    <mergeCell ref="AI18:AK18"/>
    <mergeCell ref="AL16:BP16"/>
    <mergeCell ref="A15:C15"/>
    <mergeCell ref="D15:Z15"/>
    <mergeCell ref="AA15:AE15"/>
    <mergeCell ref="AF15:AH15"/>
    <mergeCell ref="AI15:AK15"/>
    <mergeCell ref="AL15:BP15"/>
    <mergeCell ref="A16:C16"/>
    <mergeCell ref="D16:Z16"/>
    <mergeCell ref="AA16:AE16"/>
    <mergeCell ref="AF16:AH16"/>
    <mergeCell ref="AI16:AK16"/>
    <mergeCell ref="AL14:BP14"/>
    <mergeCell ref="A13:C13"/>
    <mergeCell ref="D13:Z13"/>
    <mergeCell ref="AA13:AE13"/>
    <mergeCell ref="AF13:AH13"/>
    <mergeCell ref="AI13:AK13"/>
    <mergeCell ref="AL13:BP13"/>
    <mergeCell ref="A14:C14"/>
    <mergeCell ref="D14:Z14"/>
    <mergeCell ref="AA14:AE14"/>
    <mergeCell ref="AF14:AH14"/>
    <mergeCell ref="AI14:AK14"/>
    <mergeCell ref="AL12:BP12"/>
    <mergeCell ref="A11:C11"/>
    <mergeCell ref="D11:Z11"/>
    <mergeCell ref="AA11:AE11"/>
    <mergeCell ref="AF11:AH11"/>
    <mergeCell ref="AI11:AK11"/>
    <mergeCell ref="AL11:BP11"/>
    <mergeCell ref="A12:C12"/>
    <mergeCell ref="D12:Z12"/>
    <mergeCell ref="AA12:AE12"/>
    <mergeCell ref="AF12:AH12"/>
    <mergeCell ref="AI12:AK12"/>
    <mergeCell ref="AL10:BP10"/>
    <mergeCell ref="A9:C9"/>
    <mergeCell ref="D9:Z9"/>
    <mergeCell ref="AA9:AE9"/>
    <mergeCell ref="AF9:AH9"/>
    <mergeCell ref="AI9:AK9"/>
    <mergeCell ref="AL9:BP9"/>
    <mergeCell ref="A10:C10"/>
    <mergeCell ref="D10:Z10"/>
    <mergeCell ref="AA10:AE10"/>
    <mergeCell ref="AF10:AH10"/>
    <mergeCell ref="AI10:AK10"/>
    <mergeCell ref="AL8:BP8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8:C8"/>
    <mergeCell ref="D8:Z8"/>
    <mergeCell ref="AA8:AE8"/>
    <mergeCell ref="AF8:AH8"/>
    <mergeCell ref="AI8:AK8"/>
    <mergeCell ref="A3:G3"/>
    <mergeCell ref="H3:BA3"/>
    <mergeCell ref="BB3:BE3"/>
    <mergeCell ref="BF3:BP3"/>
    <mergeCell ref="A2:BA2"/>
    <mergeCell ref="BB2:BE2"/>
    <mergeCell ref="BF2:BI2"/>
    <mergeCell ref="BJ2:BM2"/>
    <mergeCell ref="BN2:BP2"/>
  </mergeCells>
  <phoneticPr fontId="3"/>
  <dataValidations count="1">
    <dataValidation type="list" allowBlank="1" showInputMessage="1" showErrorMessage="1" sqref="BJ6:BP6" xr:uid="{EDF0D08D-F6FB-4580-B4BE-695F2473465B}">
      <formula1>"原票、画面,帳票,連動ファイル,論理ファイル"</formula1>
    </dataValidation>
  </dataValidations>
  <pageMargins left="0.59055118110236227" right="0.47244094488188981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0434E-9669-4F99-851D-738A0D92CC79}">
  <sheetPr codeName="Sheet12"/>
  <dimension ref="A1:BR27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8" width="2.125" style="55"/>
    <col min="39" max="44" width="0" style="55" hidden="1" customWidth="1"/>
    <col min="45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144" t="s">
        <v>198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95" t="s">
        <v>204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56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17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74">
        <f t="shared" ref="A9:A17" si="0">ROW()-8</f>
        <v>1</v>
      </c>
      <c r="B9" s="75"/>
      <c r="C9" s="76"/>
      <c r="D9" s="71" t="s">
        <v>1429</v>
      </c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3"/>
      <c r="AA9" s="194" t="s">
        <v>1503</v>
      </c>
      <c r="AB9" s="195"/>
      <c r="AC9" s="195"/>
      <c r="AD9" s="195"/>
      <c r="AE9" s="196"/>
      <c r="AF9" s="74" t="s">
        <v>1497</v>
      </c>
      <c r="AG9" s="75"/>
      <c r="AH9" s="76"/>
      <c r="AI9" s="74"/>
      <c r="AJ9" s="75"/>
      <c r="AK9" s="76"/>
      <c r="AL9" s="68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70"/>
    </row>
    <row r="10" spans="1:70" s="1" customFormat="1" ht="30.75" customHeight="1">
      <c r="A10" s="74">
        <f t="shared" si="0"/>
        <v>2</v>
      </c>
      <c r="B10" s="75"/>
      <c r="C10" s="76"/>
      <c r="D10" s="71" t="s">
        <v>1428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  <c r="AA10" s="194" t="s">
        <v>1503</v>
      </c>
      <c r="AB10" s="195"/>
      <c r="AC10" s="195"/>
      <c r="AD10" s="195"/>
      <c r="AE10" s="196"/>
      <c r="AF10" s="74" t="s">
        <v>1497</v>
      </c>
      <c r="AG10" s="75"/>
      <c r="AH10" s="76"/>
      <c r="AI10" s="74"/>
      <c r="AJ10" s="75"/>
      <c r="AK10" s="76"/>
      <c r="AL10" s="68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80">
        <f t="shared" si="0"/>
        <v>3</v>
      </c>
      <c r="B11" s="81"/>
      <c r="C11" s="82"/>
      <c r="D11" s="77" t="s">
        <v>1492</v>
      </c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9"/>
      <c r="AA11" s="197" t="s">
        <v>1503</v>
      </c>
      <c r="AB11" s="81"/>
      <c r="AC11" s="81"/>
      <c r="AD11" s="81"/>
      <c r="AE11" s="82"/>
      <c r="AF11" s="86" t="s">
        <v>1498</v>
      </c>
      <c r="AG11" s="86"/>
      <c r="AH11" s="86"/>
      <c r="AI11" s="86"/>
      <c r="AJ11" s="86"/>
      <c r="AK11" s="86"/>
      <c r="AL11" s="83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5"/>
    </row>
    <row r="12" spans="1:70" s="1" customFormat="1" ht="30.75" customHeight="1">
      <c r="A12" s="80">
        <f t="shared" si="0"/>
        <v>4</v>
      </c>
      <c r="B12" s="81"/>
      <c r="C12" s="82"/>
      <c r="D12" s="77" t="s">
        <v>1493</v>
      </c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9"/>
      <c r="AA12" s="80" t="s">
        <v>1503</v>
      </c>
      <c r="AB12" s="81"/>
      <c r="AC12" s="81"/>
      <c r="AD12" s="81"/>
      <c r="AE12" s="82"/>
      <c r="AF12" s="86" t="s">
        <v>1499</v>
      </c>
      <c r="AG12" s="86"/>
      <c r="AH12" s="86"/>
      <c r="AI12" s="86"/>
      <c r="AJ12" s="86"/>
      <c r="AK12" s="86"/>
      <c r="AL12" s="83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5"/>
    </row>
    <row r="13" spans="1:70" s="1" customFormat="1" ht="30.75" customHeight="1">
      <c r="A13" s="80">
        <f t="shared" si="0"/>
        <v>5</v>
      </c>
      <c r="B13" s="81"/>
      <c r="C13" s="82"/>
      <c r="D13" s="77" t="s">
        <v>1494</v>
      </c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9"/>
      <c r="AA13" s="197" t="s">
        <v>1503</v>
      </c>
      <c r="AB13" s="81"/>
      <c r="AC13" s="81"/>
      <c r="AD13" s="81"/>
      <c r="AE13" s="82"/>
      <c r="AF13" s="86" t="s">
        <v>1500</v>
      </c>
      <c r="AG13" s="86"/>
      <c r="AH13" s="86"/>
      <c r="AI13" s="86"/>
      <c r="AJ13" s="86"/>
      <c r="AK13" s="86"/>
      <c r="AL13" s="83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5"/>
    </row>
    <row r="14" spans="1:70" s="1" customFormat="1" ht="30.75" customHeight="1">
      <c r="A14" s="80">
        <f t="shared" si="0"/>
        <v>6</v>
      </c>
      <c r="B14" s="81"/>
      <c r="C14" s="82"/>
      <c r="D14" s="77" t="s">
        <v>1495</v>
      </c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9"/>
      <c r="AA14" s="80" t="s">
        <v>1491</v>
      </c>
      <c r="AB14" s="81"/>
      <c r="AC14" s="81"/>
      <c r="AD14" s="81"/>
      <c r="AE14" s="82"/>
      <c r="AF14" s="86" t="s">
        <v>1499</v>
      </c>
      <c r="AG14" s="86"/>
      <c r="AH14" s="86"/>
      <c r="AI14" s="86"/>
      <c r="AJ14" s="86"/>
      <c r="AK14" s="86"/>
      <c r="AL14" s="83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5"/>
    </row>
    <row r="15" spans="1:70" s="1" customFormat="1" ht="30.75" customHeight="1">
      <c r="A15" s="80">
        <f t="shared" si="0"/>
        <v>7</v>
      </c>
      <c r="B15" s="81"/>
      <c r="C15" s="82"/>
      <c r="D15" s="77" t="s">
        <v>1496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9"/>
      <c r="AA15" s="80" t="s">
        <v>1491</v>
      </c>
      <c r="AB15" s="81"/>
      <c r="AC15" s="81"/>
      <c r="AD15" s="81"/>
      <c r="AE15" s="82"/>
      <c r="AF15" s="86" t="s">
        <v>1499</v>
      </c>
      <c r="AG15" s="86"/>
      <c r="AH15" s="86"/>
      <c r="AI15" s="86"/>
      <c r="AJ15" s="86"/>
      <c r="AK15" s="86"/>
      <c r="AL15" s="83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5"/>
    </row>
    <row r="16" spans="1:70" s="1" customFormat="1" ht="30.75" customHeight="1">
      <c r="A16" s="80">
        <f t="shared" si="0"/>
        <v>8</v>
      </c>
      <c r="B16" s="81"/>
      <c r="C16" s="82"/>
      <c r="D16" s="77" t="s">
        <v>1435</v>
      </c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9"/>
      <c r="AA16" s="80" t="s">
        <v>1491</v>
      </c>
      <c r="AB16" s="81"/>
      <c r="AC16" s="81"/>
      <c r="AD16" s="81"/>
      <c r="AE16" s="82"/>
      <c r="AF16" s="86" t="s">
        <v>1501</v>
      </c>
      <c r="AG16" s="86"/>
      <c r="AH16" s="86"/>
      <c r="AI16" s="86"/>
      <c r="AJ16" s="86"/>
      <c r="AK16" s="86"/>
      <c r="AL16" s="83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5"/>
    </row>
    <row r="17" spans="1:68" s="1" customFormat="1" ht="30.75" customHeight="1">
      <c r="A17" s="80">
        <f t="shared" si="0"/>
        <v>9</v>
      </c>
      <c r="B17" s="81"/>
      <c r="C17" s="82"/>
      <c r="D17" s="77" t="s">
        <v>1126</v>
      </c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9"/>
      <c r="AA17" s="197" t="s">
        <v>1503</v>
      </c>
      <c r="AB17" s="81"/>
      <c r="AC17" s="81"/>
      <c r="AD17" s="81"/>
      <c r="AE17" s="82"/>
      <c r="AF17" s="86" t="s">
        <v>1502</v>
      </c>
      <c r="AG17" s="86"/>
      <c r="AH17" s="86"/>
      <c r="AI17" s="86"/>
      <c r="AJ17" s="86"/>
      <c r="AK17" s="86"/>
      <c r="AL17" s="83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5"/>
    </row>
    <row r="18" spans="1:68" s="1" customFormat="1" ht="30.75" customHeight="1">
      <c r="A18" s="80"/>
      <c r="B18" s="81"/>
      <c r="C18" s="82"/>
      <c r="D18" s="77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9"/>
      <c r="AA18" s="74"/>
      <c r="AB18" s="75"/>
      <c r="AC18" s="75"/>
      <c r="AD18" s="75"/>
      <c r="AE18" s="76"/>
      <c r="AF18" s="86"/>
      <c r="AG18" s="86"/>
      <c r="AH18" s="86"/>
      <c r="AI18" s="86"/>
      <c r="AJ18" s="86"/>
      <c r="AK18" s="86"/>
      <c r="AL18" s="83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5"/>
    </row>
    <row r="19" spans="1:68" s="1" customFormat="1" ht="30.75" customHeight="1">
      <c r="A19" s="80"/>
      <c r="B19" s="81"/>
      <c r="C19" s="82"/>
      <c r="D19" s="77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9"/>
      <c r="AA19" s="80"/>
      <c r="AB19" s="81"/>
      <c r="AC19" s="81"/>
      <c r="AD19" s="81"/>
      <c r="AE19" s="82"/>
      <c r="AF19" s="87"/>
      <c r="AG19" s="87"/>
      <c r="AH19" s="87"/>
      <c r="AI19" s="87"/>
      <c r="AJ19" s="87"/>
      <c r="AK19" s="87"/>
      <c r="AL19" s="83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5"/>
    </row>
    <row r="20" spans="1:68" s="4" customFormat="1" ht="3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3"/>
      <c r="AG20" s="3"/>
      <c r="AH20" s="3"/>
      <c r="AI20" s="3"/>
      <c r="AJ20" s="3"/>
      <c r="AK20" s="3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</row>
    <row r="21" spans="1:68" s="4" customFormat="1" ht="14.25">
      <c r="A21" s="5" t="s">
        <v>14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15"/>
      <c r="AG21" s="15"/>
      <c r="AH21" s="15"/>
      <c r="AI21" s="15"/>
      <c r="AJ21" s="15"/>
      <c r="AK21" s="15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6"/>
    </row>
    <row r="22" spans="1:68" s="4" customFormat="1" ht="20.25" customHeight="1">
      <c r="A22" s="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6"/>
    </row>
    <row r="23" spans="1:68" s="4" customFormat="1" ht="20.25" customHeight="1">
      <c r="A23" s="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6"/>
    </row>
    <row r="24" spans="1:68" s="4" customFormat="1" ht="20.25" customHeight="1">
      <c r="A24" s="5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6"/>
    </row>
    <row r="25" spans="1:68" s="4" customFormat="1" ht="20.25" customHeight="1">
      <c r="A25" s="5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6"/>
    </row>
    <row r="26" spans="1:68" s="4" customFormat="1" ht="20.25" customHeight="1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9"/>
    </row>
    <row r="27" spans="1:68" ht="5.25" customHeight="1"/>
  </sheetData>
  <mergeCells count="91">
    <mergeCell ref="A19:C19"/>
    <mergeCell ref="A18:C18"/>
    <mergeCell ref="A11:C11"/>
    <mergeCell ref="A12:C12"/>
    <mergeCell ref="A13:C13"/>
    <mergeCell ref="A17:C17"/>
    <mergeCell ref="D17:Z17"/>
    <mergeCell ref="A16:C16"/>
    <mergeCell ref="D16:Z16"/>
    <mergeCell ref="D12:Z12"/>
    <mergeCell ref="AL18:BP18"/>
    <mergeCell ref="D18:Z18"/>
    <mergeCell ref="AA18:AE18"/>
    <mergeCell ref="AF18:AH18"/>
    <mergeCell ref="AI18:AK18"/>
    <mergeCell ref="A15:C15"/>
    <mergeCell ref="D15:Z15"/>
    <mergeCell ref="AA15:AE15"/>
    <mergeCell ref="D13:Z13"/>
    <mergeCell ref="AA13:AE13"/>
    <mergeCell ref="AA17:AE17"/>
    <mergeCell ref="AF17:AH17"/>
    <mergeCell ref="D19:Z19"/>
    <mergeCell ref="AA19:AE19"/>
    <mergeCell ref="AL19:BP19"/>
    <mergeCell ref="AF19:AH19"/>
    <mergeCell ref="AI19:AK19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A8:AE8"/>
    <mergeCell ref="A6:G6"/>
    <mergeCell ref="H6:N6"/>
    <mergeCell ref="O6:Y6"/>
    <mergeCell ref="Z6:BE6"/>
    <mergeCell ref="A8:C8"/>
    <mergeCell ref="D8:Z8"/>
    <mergeCell ref="AF10:AH10"/>
    <mergeCell ref="AI10:AK10"/>
    <mergeCell ref="BF6:BI6"/>
    <mergeCell ref="AF8:AH8"/>
    <mergeCell ref="AI8:AK8"/>
    <mergeCell ref="AL8:BP8"/>
    <mergeCell ref="AL10:BP10"/>
    <mergeCell ref="BJ6:BP6"/>
    <mergeCell ref="AF9:AH9"/>
    <mergeCell ref="AI9:AK9"/>
    <mergeCell ref="AL9:BP9"/>
    <mergeCell ref="A9:C9"/>
    <mergeCell ref="D9:Z9"/>
    <mergeCell ref="AA9:AE9"/>
    <mergeCell ref="D11:Z11"/>
    <mergeCell ref="AA11:AE11"/>
    <mergeCell ref="D10:Z10"/>
    <mergeCell ref="AA10:AE10"/>
    <mergeCell ref="A10:C10"/>
    <mergeCell ref="AL11:BP11"/>
    <mergeCell ref="AF12:AH12"/>
    <mergeCell ref="AI12:AK12"/>
    <mergeCell ref="AL13:BP13"/>
    <mergeCell ref="A14:C14"/>
    <mergeCell ref="D14:Z14"/>
    <mergeCell ref="AA14:AE14"/>
    <mergeCell ref="AF14:AH14"/>
    <mergeCell ref="AI14:AK14"/>
    <mergeCell ref="AL14:BP14"/>
    <mergeCell ref="AF13:AH13"/>
    <mergeCell ref="AF11:AH11"/>
    <mergeCell ref="AI11:AK11"/>
    <mergeCell ref="AI17:AK17"/>
    <mergeCell ref="AL17:BP17"/>
    <mergeCell ref="AF15:AH15"/>
    <mergeCell ref="AL12:BP12"/>
    <mergeCell ref="AI13:AK13"/>
    <mergeCell ref="AI15:AK15"/>
    <mergeCell ref="AL15:BP15"/>
    <mergeCell ref="AA16:AE16"/>
    <mergeCell ref="AF16:AH16"/>
    <mergeCell ref="AI16:AK16"/>
    <mergeCell ref="AL16:BP16"/>
    <mergeCell ref="AA12:AE12"/>
  </mergeCells>
  <phoneticPr fontId="3"/>
  <dataValidations count="1">
    <dataValidation type="list" allowBlank="1" showInputMessage="1" showErrorMessage="1" sqref="BJ6:BP6" xr:uid="{AED10F4B-A3E0-4C75-B5D0-A805E51BF661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F1C6D-728C-413B-A78A-67491026E995}">
  <sheetPr codeName="Sheet13"/>
  <dimension ref="A1:BR58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8" width="2.125" style="55"/>
    <col min="39" max="44" width="0" style="55" hidden="1" customWidth="1"/>
    <col min="45" max="16384" width="2.125" style="55"/>
  </cols>
  <sheetData>
    <row r="1" spans="1:70" s="11" customFormat="1" ht="18" customHeight="1">
      <c r="A1" s="11" t="s">
        <v>212</v>
      </c>
      <c r="BP1" s="13" t="s">
        <v>0</v>
      </c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  <c r="BR2" s="16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144" t="s">
        <v>198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95" t="s">
        <v>205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61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10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117">
        <f t="shared" ref="A9:A48" si="0">ROW()-8</f>
        <v>1</v>
      </c>
      <c r="B9" s="118"/>
      <c r="C9" s="119"/>
      <c r="D9" s="114" t="s">
        <v>1203</v>
      </c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6"/>
      <c r="AA9" s="117" t="s">
        <v>272</v>
      </c>
      <c r="AB9" s="118"/>
      <c r="AC9" s="118"/>
      <c r="AD9" s="118"/>
      <c r="AE9" s="119"/>
      <c r="AF9" s="117"/>
      <c r="AG9" s="118"/>
      <c r="AH9" s="119"/>
      <c r="AI9" s="117"/>
      <c r="AJ9" s="118"/>
      <c r="AK9" s="119"/>
      <c r="AL9" s="120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2"/>
    </row>
    <row r="10" spans="1:70" s="1" customFormat="1" ht="30.75" customHeight="1">
      <c r="A10" s="74">
        <f t="shared" si="0"/>
        <v>2</v>
      </c>
      <c r="B10" s="75"/>
      <c r="C10" s="76"/>
      <c r="D10" s="71" t="s">
        <v>1188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  <c r="AA10" s="74" t="s">
        <v>944</v>
      </c>
      <c r="AB10" s="75"/>
      <c r="AC10" s="75"/>
      <c r="AD10" s="75"/>
      <c r="AE10" s="76"/>
      <c r="AF10" s="74">
        <v>12</v>
      </c>
      <c r="AG10" s="75"/>
      <c r="AH10" s="76"/>
      <c r="AI10" s="74"/>
      <c r="AJ10" s="75"/>
      <c r="AK10" s="76"/>
      <c r="AL10" s="68" t="s">
        <v>1205</v>
      </c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74">
        <f t="shared" si="0"/>
        <v>3</v>
      </c>
      <c r="B11" s="75"/>
      <c r="C11" s="76"/>
      <c r="D11" s="71" t="s">
        <v>1126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3"/>
      <c r="AA11" s="74" t="s">
        <v>271</v>
      </c>
      <c r="AB11" s="75"/>
      <c r="AC11" s="75"/>
      <c r="AD11" s="75"/>
      <c r="AE11" s="76"/>
      <c r="AF11" s="74">
        <v>1</v>
      </c>
      <c r="AG11" s="75"/>
      <c r="AH11" s="76"/>
      <c r="AI11" s="74"/>
      <c r="AJ11" s="75"/>
      <c r="AK11" s="76"/>
      <c r="AL11" s="68" t="s">
        <v>1206</v>
      </c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70"/>
    </row>
    <row r="12" spans="1:70" s="1" customFormat="1" ht="30.75" customHeight="1">
      <c r="A12" s="74">
        <f t="shared" si="0"/>
        <v>4</v>
      </c>
      <c r="B12" s="75"/>
      <c r="C12" s="76"/>
      <c r="D12" s="71" t="s">
        <v>1189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3"/>
      <c r="AA12" s="74" t="s">
        <v>271</v>
      </c>
      <c r="AB12" s="75"/>
      <c r="AC12" s="75"/>
      <c r="AD12" s="75"/>
      <c r="AE12" s="76"/>
      <c r="AF12" s="74">
        <v>4</v>
      </c>
      <c r="AG12" s="75"/>
      <c r="AH12" s="76"/>
      <c r="AI12" s="74"/>
      <c r="AJ12" s="75"/>
      <c r="AK12" s="76"/>
      <c r="AL12" s="68" t="s">
        <v>1207</v>
      </c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70"/>
    </row>
    <row r="13" spans="1:70" s="1" customFormat="1" ht="30.75" customHeight="1">
      <c r="A13" s="74">
        <f t="shared" si="0"/>
        <v>5</v>
      </c>
      <c r="B13" s="75"/>
      <c r="C13" s="76"/>
      <c r="D13" s="71" t="s">
        <v>844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3"/>
      <c r="AA13" s="74" t="s">
        <v>271</v>
      </c>
      <c r="AB13" s="75"/>
      <c r="AC13" s="75"/>
      <c r="AD13" s="75"/>
      <c r="AE13" s="76"/>
      <c r="AF13" s="74">
        <v>2</v>
      </c>
      <c r="AG13" s="75"/>
      <c r="AH13" s="76"/>
      <c r="AI13" s="74"/>
      <c r="AJ13" s="75"/>
      <c r="AK13" s="76"/>
      <c r="AL13" s="68" t="s">
        <v>1208</v>
      </c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70"/>
    </row>
    <row r="14" spans="1:70" s="1" customFormat="1" ht="30.75" customHeight="1">
      <c r="A14" s="74">
        <f t="shared" si="0"/>
        <v>6</v>
      </c>
      <c r="B14" s="75"/>
      <c r="C14" s="76"/>
      <c r="D14" s="71" t="s">
        <v>1299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3"/>
      <c r="AA14" s="74" t="s">
        <v>271</v>
      </c>
      <c r="AB14" s="75"/>
      <c r="AC14" s="75"/>
      <c r="AD14" s="75"/>
      <c r="AE14" s="76"/>
      <c r="AF14" s="74">
        <v>6</v>
      </c>
      <c r="AG14" s="75"/>
      <c r="AH14" s="76"/>
      <c r="AI14" s="74"/>
      <c r="AJ14" s="75"/>
      <c r="AK14" s="76"/>
      <c r="AL14" s="68" t="s">
        <v>1301</v>
      </c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70"/>
    </row>
    <row r="15" spans="1:70" s="1" customFormat="1" ht="30.75" customHeight="1">
      <c r="A15" s="74">
        <f t="shared" si="0"/>
        <v>7</v>
      </c>
      <c r="B15" s="75"/>
      <c r="C15" s="76"/>
      <c r="D15" s="71" t="s">
        <v>1190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3"/>
      <c r="AA15" s="74" t="s">
        <v>280</v>
      </c>
      <c r="AB15" s="75"/>
      <c r="AC15" s="75"/>
      <c r="AD15" s="75"/>
      <c r="AE15" s="76"/>
      <c r="AF15" s="74">
        <v>14</v>
      </c>
      <c r="AG15" s="75"/>
      <c r="AH15" s="76"/>
      <c r="AI15" s="74"/>
      <c r="AJ15" s="75"/>
      <c r="AK15" s="76"/>
      <c r="AL15" s="68" t="s">
        <v>1209</v>
      </c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70"/>
    </row>
    <row r="16" spans="1:70" s="1" customFormat="1" ht="30.75" customHeight="1">
      <c r="A16" s="74">
        <f t="shared" si="0"/>
        <v>8</v>
      </c>
      <c r="B16" s="75"/>
      <c r="C16" s="76"/>
      <c r="D16" s="71" t="s">
        <v>1191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3"/>
      <c r="AA16" s="74" t="s">
        <v>280</v>
      </c>
      <c r="AB16" s="75"/>
      <c r="AC16" s="75"/>
      <c r="AD16" s="75"/>
      <c r="AE16" s="76"/>
      <c r="AF16" s="74">
        <v>14</v>
      </c>
      <c r="AG16" s="75"/>
      <c r="AH16" s="76"/>
      <c r="AI16" s="74"/>
      <c r="AJ16" s="75"/>
      <c r="AK16" s="76"/>
      <c r="AL16" s="68" t="s">
        <v>1210</v>
      </c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70"/>
    </row>
    <row r="17" spans="1:68" s="1" customFormat="1" ht="30.75" customHeight="1">
      <c r="A17" s="74">
        <f t="shared" si="0"/>
        <v>9</v>
      </c>
      <c r="B17" s="75"/>
      <c r="C17" s="76"/>
      <c r="D17" s="71" t="s">
        <v>1125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3"/>
      <c r="AA17" s="74" t="s">
        <v>280</v>
      </c>
      <c r="AB17" s="75"/>
      <c r="AC17" s="75"/>
      <c r="AD17" s="75"/>
      <c r="AE17" s="76"/>
      <c r="AF17" s="74">
        <v>14</v>
      </c>
      <c r="AG17" s="75"/>
      <c r="AH17" s="76"/>
      <c r="AI17" s="74"/>
      <c r="AJ17" s="75"/>
      <c r="AK17" s="76"/>
      <c r="AL17" s="68" t="s">
        <v>1195</v>
      </c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70"/>
    </row>
    <row r="18" spans="1:68" s="1" customFormat="1" ht="30.75" customHeight="1">
      <c r="A18" s="74">
        <f t="shared" si="0"/>
        <v>10</v>
      </c>
      <c r="B18" s="75"/>
      <c r="C18" s="76"/>
      <c r="D18" s="71" t="s">
        <v>1192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3"/>
      <c r="AA18" s="74" t="s">
        <v>271</v>
      </c>
      <c r="AB18" s="75"/>
      <c r="AC18" s="75"/>
      <c r="AD18" s="75"/>
      <c r="AE18" s="76"/>
      <c r="AF18" s="74">
        <v>4</v>
      </c>
      <c r="AG18" s="75"/>
      <c r="AH18" s="76"/>
      <c r="AI18" s="74"/>
      <c r="AJ18" s="75"/>
      <c r="AK18" s="76"/>
      <c r="AL18" s="68" t="s">
        <v>1211</v>
      </c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70"/>
    </row>
    <row r="19" spans="1:68" s="1" customFormat="1" ht="30.75" customHeight="1">
      <c r="A19" s="74">
        <f t="shared" si="0"/>
        <v>11</v>
      </c>
      <c r="B19" s="75"/>
      <c r="C19" s="76"/>
      <c r="D19" s="71" t="s">
        <v>1193</v>
      </c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3"/>
      <c r="AA19" s="74" t="s">
        <v>271</v>
      </c>
      <c r="AB19" s="75"/>
      <c r="AC19" s="75"/>
      <c r="AD19" s="75"/>
      <c r="AE19" s="76"/>
      <c r="AF19" s="74">
        <v>4</v>
      </c>
      <c r="AG19" s="75"/>
      <c r="AH19" s="76"/>
      <c r="AI19" s="74"/>
      <c r="AJ19" s="75"/>
      <c r="AK19" s="76"/>
      <c r="AL19" s="68" t="s">
        <v>1212</v>
      </c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70"/>
    </row>
    <row r="20" spans="1:68" s="1" customFormat="1" ht="30.75" customHeight="1">
      <c r="A20" s="74">
        <f t="shared" si="0"/>
        <v>12</v>
      </c>
      <c r="B20" s="75"/>
      <c r="C20" s="76"/>
      <c r="D20" s="71" t="s">
        <v>1034</v>
      </c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3"/>
      <c r="AA20" s="74" t="s">
        <v>271</v>
      </c>
      <c r="AB20" s="75"/>
      <c r="AC20" s="75"/>
      <c r="AD20" s="75"/>
      <c r="AE20" s="76"/>
      <c r="AF20" s="74">
        <v>20</v>
      </c>
      <c r="AG20" s="75"/>
      <c r="AH20" s="76"/>
      <c r="AI20" s="74"/>
      <c r="AJ20" s="75"/>
      <c r="AK20" s="76"/>
      <c r="AL20" s="68" t="s">
        <v>1213</v>
      </c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70"/>
    </row>
    <row r="21" spans="1:68" s="1" customFormat="1" ht="30.75" customHeight="1">
      <c r="A21" s="74">
        <f t="shared" si="0"/>
        <v>13</v>
      </c>
      <c r="B21" s="75"/>
      <c r="C21" s="76"/>
      <c r="D21" s="71" t="s">
        <v>1160</v>
      </c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3"/>
      <c r="AA21" s="74" t="s">
        <v>19</v>
      </c>
      <c r="AB21" s="75"/>
      <c r="AC21" s="75"/>
      <c r="AD21" s="75"/>
      <c r="AE21" s="76"/>
      <c r="AF21" s="74">
        <v>64</v>
      </c>
      <c r="AG21" s="75"/>
      <c r="AH21" s="76"/>
      <c r="AI21" s="86"/>
      <c r="AJ21" s="86"/>
      <c r="AK21" s="86"/>
      <c r="AL21" s="68" t="s">
        <v>1196</v>
      </c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70"/>
    </row>
    <row r="22" spans="1:68" s="1" customFormat="1" ht="30.75" customHeight="1">
      <c r="A22" s="74">
        <f t="shared" si="0"/>
        <v>14</v>
      </c>
      <c r="B22" s="75"/>
      <c r="C22" s="76"/>
      <c r="D22" s="71" t="s">
        <v>1162</v>
      </c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3"/>
      <c r="AA22" s="74" t="s">
        <v>19</v>
      </c>
      <c r="AB22" s="75"/>
      <c r="AC22" s="75"/>
      <c r="AD22" s="75"/>
      <c r="AE22" s="76"/>
      <c r="AF22" s="74">
        <v>1000</v>
      </c>
      <c r="AG22" s="75"/>
      <c r="AH22" s="76"/>
      <c r="AI22" s="86"/>
      <c r="AJ22" s="86"/>
      <c r="AK22" s="86"/>
      <c r="AL22" s="68" t="s">
        <v>1197</v>
      </c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70"/>
    </row>
    <row r="23" spans="1:68" s="1" customFormat="1" ht="30.75" customHeight="1">
      <c r="A23" s="74">
        <f t="shared" si="0"/>
        <v>15</v>
      </c>
      <c r="B23" s="75"/>
      <c r="C23" s="76"/>
      <c r="D23" s="71" t="s">
        <v>1164</v>
      </c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3"/>
      <c r="AA23" s="74" t="s">
        <v>271</v>
      </c>
      <c r="AB23" s="75"/>
      <c r="AC23" s="75"/>
      <c r="AD23" s="75"/>
      <c r="AE23" s="76"/>
      <c r="AF23" s="74">
        <v>64</v>
      </c>
      <c r="AG23" s="75"/>
      <c r="AH23" s="76"/>
      <c r="AI23" s="86"/>
      <c r="AJ23" s="86"/>
      <c r="AK23" s="86"/>
      <c r="AL23" s="68" t="s">
        <v>1198</v>
      </c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70"/>
    </row>
    <row r="24" spans="1:68" s="1" customFormat="1" ht="30.75" customHeight="1">
      <c r="A24" s="74">
        <f t="shared" si="0"/>
        <v>16</v>
      </c>
      <c r="B24" s="75"/>
      <c r="C24" s="76"/>
      <c r="D24" s="71" t="s">
        <v>847</v>
      </c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3"/>
      <c r="AA24" s="74" t="s">
        <v>19</v>
      </c>
      <c r="AB24" s="75"/>
      <c r="AC24" s="75"/>
      <c r="AD24" s="75"/>
      <c r="AE24" s="76"/>
      <c r="AF24" s="74">
        <v>1000</v>
      </c>
      <c r="AG24" s="75"/>
      <c r="AH24" s="76"/>
      <c r="AI24" s="86"/>
      <c r="AJ24" s="86"/>
      <c r="AK24" s="86"/>
      <c r="AL24" s="68" t="s">
        <v>1199</v>
      </c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70"/>
    </row>
    <row r="25" spans="1:68" s="1" customFormat="1" ht="30.75" customHeight="1">
      <c r="A25" s="74">
        <f t="shared" si="0"/>
        <v>17</v>
      </c>
      <c r="B25" s="75"/>
      <c r="C25" s="76"/>
      <c r="D25" s="71" t="s">
        <v>1163</v>
      </c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3"/>
      <c r="AA25" s="74" t="s">
        <v>19</v>
      </c>
      <c r="AB25" s="75"/>
      <c r="AC25" s="75"/>
      <c r="AD25" s="75"/>
      <c r="AE25" s="76"/>
      <c r="AF25" s="74">
        <v>64</v>
      </c>
      <c r="AG25" s="75"/>
      <c r="AH25" s="76"/>
      <c r="AI25" s="86"/>
      <c r="AJ25" s="86"/>
      <c r="AK25" s="86"/>
      <c r="AL25" s="68" t="s">
        <v>1200</v>
      </c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70"/>
    </row>
    <row r="26" spans="1:68" s="1" customFormat="1" ht="30.75" customHeight="1">
      <c r="A26" s="74">
        <f t="shared" si="0"/>
        <v>18</v>
      </c>
      <c r="B26" s="75"/>
      <c r="C26" s="76"/>
      <c r="D26" s="71" t="s">
        <v>848</v>
      </c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3"/>
      <c r="AA26" s="74" t="s">
        <v>271</v>
      </c>
      <c r="AB26" s="75"/>
      <c r="AC26" s="75"/>
      <c r="AD26" s="75"/>
      <c r="AE26" s="76"/>
      <c r="AF26" s="74">
        <v>1000</v>
      </c>
      <c r="AG26" s="75"/>
      <c r="AH26" s="76"/>
      <c r="AI26" s="86"/>
      <c r="AJ26" s="86"/>
      <c r="AK26" s="86"/>
      <c r="AL26" s="68" t="s">
        <v>1201</v>
      </c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70"/>
    </row>
    <row r="27" spans="1:68" s="1" customFormat="1" ht="30.75" customHeight="1">
      <c r="A27" s="74">
        <f t="shared" si="0"/>
        <v>19</v>
      </c>
      <c r="B27" s="75"/>
      <c r="C27" s="76"/>
      <c r="D27" s="71" t="s">
        <v>849</v>
      </c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3"/>
      <c r="AA27" s="74" t="s">
        <v>271</v>
      </c>
      <c r="AB27" s="75"/>
      <c r="AC27" s="75"/>
      <c r="AD27" s="75"/>
      <c r="AE27" s="76"/>
      <c r="AF27" s="74">
        <v>500</v>
      </c>
      <c r="AG27" s="75"/>
      <c r="AH27" s="76"/>
      <c r="AI27" s="74"/>
      <c r="AJ27" s="75"/>
      <c r="AK27" s="76"/>
      <c r="AL27" s="68" t="s">
        <v>1202</v>
      </c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70"/>
    </row>
    <row r="28" spans="1:68" s="1" customFormat="1" ht="30.75" customHeight="1">
      <c r="A28" s="74">
        <f t="shared" si="0"/>
        <v>20</v>
      </c>
      <c r="B28" s="75"/>
      <c r="C28" s="76"/>
      <c r="D28" s="71" t="s">
        <v>1134</v>
      </c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3"/>
      <c r="AA28" s="74" t="s">
        <v>280</v>
      </c>
      <c r="AB28" s="75"/>
      <c r="AC28" s="75"/>
      <c r="AD28" s="75"/>
      <c r="AE28" s="76"/>
      <c r="AF28" s="74">
        <v>14</v>
      </c>
      <c r="AG28" s="75"/>
      <c r="AH28" s="76"/>
      <c r="AI28" s="74"/>
      <c r="AJ28" s="75"/>
      <c r="AK28" s="76"/>
      <c r="AL28" s="68" t="s">
        <v>1214</v>
      </c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70"/>
    </row>
    <row r="29" spans="1:68" s="1" customFormat="1" ht="30.75" customHeight="1">
      <c r="A29" s="74">
        <f t="shared" si="0"/>
        <v>21</v>
      </c>
      <c r="B29" s="75"/>
      <c r="C29" s="76"/>
      <c r="D29" s="71" t="s">
        <v>1135</v>
      </c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3"/>
      <c r="AA29" s="74" t="s">
        <v>271</v>
      </c>
      <c r="AB29" s="75"/>
      <c r="AC29" s="75"/>
      <c r="AD29" s="75"/>
      <c r="AE29" s="76"/>
      <c r="AF29" s="74">
        <v>8</v>
      </c>
      <c r="AG29" s="75"/>
      <c r="AH29" s="76"/>
      <c r="AI29" s="74"/>
      <c r="AJ29" s="75"/>
      <c r="AK29" s="76"/>
      <c r="AL29" s="68" t="s">
        <v>1215</v>
      </c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70"/>
    </row>
    <row r="30" spans="1:68" s="1" customFormat="1" ht="30.75" customHeight="1">
      <c r="A30" s="74">
        <f t="shared" si="0"/>
        <v>22</v>
      </c>
      <c r="B30" s="75"/>
      <c r="C30" s="76"/>
      <c r="D30" s="71" t="s">
        <v>862</v>
      </c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3"/>
      <c r="AA30" s="74" t="s">
        <v>271</v>
      </c>
      <c r="AB30" s="75"/>
      <c r="AC30" s="75"/>
      <c r="AD30" s="75"/>
      <c r="AE30" s="76"/>
      <c r="AF30" s="74">
        <v>42</v>
      </c>
      <c r="AG30" s="75"/>
      <c r="AH30" s="76"/>
      <c r="AI30" s="74"/>
      <c r="AJ30" s="75"/>
      <c r="AK30" s="76"/>
      <c r="AL30" s="68" t="s">
        <v>1216</v>
      </c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70"/>
    </row>
    <row r="31" spans="1:68" s="1" customFormat="1" ht="30.75" customHeight="1">
      <c r="A31" s="74">
        <f t="shared" si="0"/>
        <v>23</v>
      </c>
      <c r="B31" s="75"/>
      <c r="C31" s="76"/>
      <c r="D31" s="71" t="s">
        <v>1315</v>
      </c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3"/>
      <c r="AA31" s="74" t="s">
        <v>19</v>
      </c>
      <c r="AB31" s="75"/>
      <c r="AC31" s="75"/>
      <c r="AD31" s="75"/>
      <c r="AE31" s="76"/>
      <c r="AF31" s="74">
        <v>42</v>
      </c>
      <c r="AG31" s="75"/>
      <c r="AH31" s="76"/>
      <c r="AI31" s="74"/>
      <c r="AJ31" s="75"/>
      <c r="AK31" s="76"/>
      <c r="AL31" s="68" t="s">
        <v>1316</v>
      </c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70"/>
    </row>
    <row r="32" spans="1:68" s="1" customFormat="1" ht="30.75" customHeight="1">
      <c r="A32" s="74">
        <f t="shared" si="0"/>
        <v>24</v>
      </c>
      <c r="B32" s="75"/>
      <c r="C32" s="76"/>
      <c r="D32" s="71" t="s">
        <v>1194</v>
      </c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3"/>
      <c r="AA32" s="74" t="s">
        <v>271</v>
      </c>
      <c r="AB32" s="75"/>
      <c r="AC32" s="75"/>
      <c r="AD32" s="75"/>
      <c r="AE32" s="76"/>
      <c r="AF32" s="74">
        <v>1</v>
      </c>
      <c r="AG32" s="75"/>
      <c r="AH32" s="76"/>
      <c r="AI32" s="86"/>
      <c r="AJ32" s="86"/>
      <c r="AK32" s="86"/>
      <c r="AL32" s="68" t="s">
        <v>1159</v>
      </c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70"/>
    </row>
    <row r="33" spans="1:68" s="1" customFormat="1" ht="30.75" customHeight="1">
      <c r="A33" s="74">
        <f t="shared" si="0"/>
        <v>25</v>
      </c>
      <c r="B33" s="75"/>
      <c r="C33" s="76"/>
      <c r="D33" s="71" t="s">
        <v>1187</v>
      </c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3"/>
      <c r="AA33" s="74" t="s">
        <v>272</v>
      </c>
      <c r="AB33" s="75"/>
      <c r="AC33" s="75"/>
      <c r="AD33" s="75"/>
      <c r="AE33" s="76"/>
      <c r="AF33" s="74"/>
      <c r="AG33" s="75"/>
      <c r="AH33" s="76"/>
      <c r="AI33" s="74"/>
      <c r="AJ33" s="75"/>
      <c r="AK33" s="76"/>
      <c r="AL33" s="68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70"/>
    </row>
    <row r="34" spans="1:68" s="1" customFormat="1" ht="30.75" customHeight="1">
      <c r="A34" s="74">
        <f t="shared" si="0"/>
        <v>26</v>
      </c>
      <c r="B34" s="75"/>
      <c r="C34" s="76"/>
      <c r="D34" s="71" t="s">
        <v>1204</v>
      </c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3"/>
      <c r="AA34" s="74" t="s">
        <v>944</v>
      </c>
      <c r="AB34" s="75"/>
      <c r="AC34" s="75"/>
      <c r="AD34" s="75"/>
      <c r="AE34" s="76"/>
      <c r="AF34" s="74">
        <v>12</v>
      </c>
      <c r="AG34" s="75"/>
      <c r="AH34" s="76"/>
      <c r="AI34" s="74"/>
      <c r="AJ34" s="75"/>
      <c r="AK34" s="76"/>
      <c r="AL34" s="68" t="s">
        <v>1217</v>
      </c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70"/>
    </row>
    <row r="35" spans="1:68" s="1" customFormat="1" ht="30.75" customHeight="1">
      <c r="A35" s="74">
        <f t="shared" si="0"/>
        <v>27</v>
      </c>
      <c r="B35" s="75"/>
      <c r="C35" s="76"/>
      <c r="D35" s="71" t="s">
        <v>1126</v>
      </c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3"/>
      <c r="AA35" s="74" t="s">
        <v>271</v>
      </c>
      <c r="AB35" s="75"/>
      <c r="AC35" s="75"/>
      <c r="AD35" s="75"/>
      <c r="AE35" s="76"/>
      <c r="AF35" s="74">
        <v>1</v>
      </c>
      <c r="AG35" s="75"/>
      <c r="AH35" s="76"/>
      <c r="AI35" s="74"/>
      <c r="AJ35" s="75"/>
      <c r="AK35" s="76"/>
      <c r="AL35" s="68" t="s">
        <v>1218</v>
      </c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70"/>
    </row>
    <row r="36" spans="1:68" s="1" customFormat="1" ht="30.75" customHeight="1">
      <c r="A36" s="74">
        <f t="shared" si="0"/>
        <v>28</v>
      </c>
      <c r="B36" s="75"/>
      <c r="C36" s="76"/>
      <c r="D36" s="71" t="s">
        <v>1189</v>
      </c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3"/>
      <c r="AA36" s="74" t="s">
        <v>271</v>
      </c>
      <c r="AB36" s="75"/>
      <c r="AC36" s="75"/>
      <c r="AD36" s="75"/>
      <c r="AE36" s="76"/>
      <c r="AF36" s="74">
        <v>4</v>
      </c>
      <c r="AG36" s="75"/>
      <c r="AH36" s="76"/>
      <c r="AI36" s="74"/>
      <c r="AJ36" s="75"/>
      <c r="AK36" s="76"/>
      <c r="AL36" s="68" t="s">
        <v>1219</v>
      </c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70"/>
    </row>
    <row r="37" spans="1:68" s="1" customFormat="1" ht="30.75" customHeight="1">
      <c r="A37" s="74">
        <f t="shared" si="0"/>
        <v>29</v>
      </c>
      <c r="B37" s="75"/>
      <c r="C37" s="76"/>
      <c r="D37" s="71" t="s">
        <v>844</v>
      </c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3"/>
      <c r="AA37" s="74" t="s">
        <v>271</v>
      </c>
      <c r="AB37" s="75"/>
      <c r="AC37" s="75"/>
      <c r="AD37" s="75"/>
      <c r="AE37" s="76"/>
      <c r="AF37" s="74">
        <v>2</v>
      </c>
      <c r="AG37" s="75"/>
      <c r="AH37" s="76"/>
      <c r="AI37" s="74"/>
      <c r="AJ37" s="75"/>
      <c r="AK37" s="76"/>
      <c r="AL37" s="68" t="s">
        <v>1220</v>
      </c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70"/>
    </row>
    <row r="38" spans="1:68" s="1" customFormat="1" ht="30.75" customHeight="1">
      <c r="A38" s="74">
        <f t="shared" si="0"/>
        <v>30</v>
      </c>
      <c r="B38" s="75"/>
      <c r="C38" s="76"/>
      <c r="D38" s="71" t="s">
        <v>1299</v>
      </c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3"/>
      <c r="AA38" s="74" t="s">
        <v>271</v>
      </c>
      <c r="AB38" s="75"/>
      <c r="AC38" s="75"/>
      <c r="AD38" s="75"/>
      <c r="AE38" s="76"/>
      <c r="AF38" s="74">
        <v>6</v>
      </c>
      <c r="AG38" s="75"/>
      <c r="AH38" s="76"/>
      <c r="AI38" s="74"/>
      <c r="AJ38" s="75"/>
      <c r="AK38" s="76"/>
      <c r="AL38" s="68" t="s">
        <v>1300</v>
      </c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70"/>
    </row>
    <row r="39" spans="1:68" s="1" customFormat="1" ht="30.75" customHeight="1">
      <c r="A39" s="74">
        <f t="shared" si="0"/>
        <v>31</v>
      </c>
      <c r="B39" s="75"/>
      <c r="C39" s="76"/>
      <c r="D39" s="71" t="s">
        <v>1190</v>
      </c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3"/>
      <c r="AA39" s="74" t="s">
        <v>280</v>
      </c>
      <c r="AB39" s="75"/>
      <c r="AC39" s="75"/>
      <c r="AD39" s="75"/>
      <c r="AE39" s="76"/>
      <c r="AF39" s="74">
        <v>14</v>
      </c>
      <c r="AG39" s="75"/>
      <c r="AH39" s="76"/>
      <c r="AI39" s="74"/>
      <c r="AJ39" s="75"/>
      <c r="AK39" s="76"/>
      <c r="AL39" s="68" t="s">
        <v>1221</v>
      </c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70"/>
    </row>
    <row r="40" spans="1:68" s="1" customFormat="1" ht="30.75" customHeight="1">
      <c r="A40" s="74">
        <f t="shared" si="0"/>
        <v>32</v>
      </c>
      <c r="B40" s="75"/>
      <c r="C40" s="76"/>
      <c r="D40" s="71" t="s">
        <v>1191</v>
      </c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3"/>
      <c r="AA40" s="74" t="s">
        <v>280</v>
      </c>
      <c r="AB40" s="75"/>
      <c r="AC40" s="75"/>
      <c r="AD40" s="75"/>
      <c r="AE40" s="76"/>
      <c r="AF40" s="74">
        <v>14</v>
      </c>
      <c r="AG40" s="75"/>
      <c r="AH40" s="76"/>
      <c r="AI40" s="74"/>
      <c r="AJ40" s="75"/>
      <c r="AK40" s="76"/>
      <c r="AL40" s="68" t="s">
        <v>1222</v>
      </c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70"/>
    </row>
    <row r="41" spans="1:68" s="1" customFormat="1" ht="30.75" customHeight="1">
      <c r="A41" s="74">
        <f t="shared" si="0"/>
        <v>33</v>
      </c>
      <c r="B41" s="75"/>
      <c r="C41" s="76"/>
      <c r="D41" s="71" t="s">
        <v>1192</v>
      </c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3"/>
      <c r="AA41" s="74" t="s">
        <v>271</v>
      </c>
      <c r="AB41" s="75"/>
      <c r="AC41" s="75"/>
      <c r="AD41" s="75"/>
      <c r="AE41" s="76"/>
      <c r="AF41" s="74">
        <v>4</v>
      </c>
      <c r="AG41" s="75"/>
      <c r="AH41" s="76"/>
      <c r="AI41" s="74"/>
      <c r="AJ41" s="75"/>
      <c r="AK41" s="76"/>
      <c r="AL41" s="68" t="s">
        <v>1223</v>
      </c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70"/>
    </row>
    <row r="42" spans="1:68" s="1" customFormat="1" ht="30.75" customHeight="1">
      <c r="A42" s="74">
        <f t="shared" si="0"/>
        <v>34</v>
      </c>
      <c r="B42" s="75"/>
      <c r="C42" s="76"/>
      <c r="D42" s="71" t="s">
        <v>1193</v>
      </c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3"/>
      <c r="AA42" s="74" t="s">
        <v>271</v>
      </c>
      <c r="AB42" s="75"/>
      <c r="AC42" s="75"/>
      <c r="AD42" s="75"/>
      <c r="AE42" s="76"/>
      <c r="AF42" s="74">
        <v>4</v>
      </c>
      <c r="AG42" s="75"/>
      <c r="AH42" s="76"/>
      <c r="AI42" s="74"/>
      <c r="AJ42" s="75"/>
      <c r="AK42" s="76"/>
      <c r="AL42" s="68" t="s">
        <v>1224</v>
      </c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70"/>
    </row>
    <row r="43" spans="1:68" s="1" customFormat="1" ht="30.75" customHeight="1">
      <c r="A43" s="74">
        <f t="shared" si="0"/>
        <v>35</v>
      </c>
      <c r="B43" s="75"/>
      <c r="C43" s="76"/>
      <c r="D43" s="71" t="s">
        <v>1034</v>
      </c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3"/>
      <c r="AA43" s="74" t="s">
        <v>271</v>
      </c>
      <c r="AB43" s="75"/>
      <c r="AC43" s="75"/>
      <c r="AD43" s="75"/>
      <c r="AE43" s="76"/>
      <c r="AF43" s="74">
        <v>20</v>
      </c>
      <c r="AG43" s="75"/>
      <c r="AH43" s="76"/>
      <c r="AI43" s="74"/>
      <c r="AJ43" s="75"/>
      <c r="AK43" s="76"/>
      <c r="AL43" s="68" t="s">
        <v>1225</v>
      </c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  <c r="BM43" s="69"/>
      <c r="BN43" s="69"/>
      <c r="BO43" s="69"/>
      <c r="BP43" s="70"/>
    </row>
    <row r="44" spans="1:68" s="1" customFormat="1" ht="30.75" customHeight="1">
      <c r="A44" s="74">
        <f t="shared" si="0"/>
        <v>36</v>
      </c>
      <c r="B44" s="75"/>
      <c r="C44" s="76"/>
      <c r="D44" s="71" t="s">
        <v>1134</v>
      </c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3"/>
      <c r="AA44" s="74" t="s">
        <v>280</v>
      </c>
      <c r="AB44" s="75"/>
      <c r="AC44" s="75"/>
      <c r="AD44" s="75"/>
      <c r="AE44" s="76"/>
      <c r="AF44" s="74">
        <v>14</v>
      </c>
      <c r="AG44" s="75"/>
      <c r="AH44" s="76"/>
      <c r="AI44" s="74"/>
      <c r="AJ44" s="75"/>
      <c r="AK44" s="76"/>
      <c r="AL44" s="68" t="s">
        <v>1226</v>
      </c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  <c r="BM44" s="69"/>
      <c r="BN44" s="69"/>
      <c r="BO44" s="69"/>
      <c r="BP44" s="70"/>
    </row>
    <row r="45" spans="1:68" s="1" customFormat="1" ht="30.75" customHeight="1">
      <c r="A45" s="74">
        <f t="shared" si="0"/>
        <v>37</v>
      </c>
      <c r="B45" s="75"/>
      <c r="C45" s="76"/>
      <c r="D45" s="71" t="s">
        <v>1135</v>
      </c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3"/>
      <c r="AA45" s="74" t="s">
        <v>271</v>
      </c>
      <c r="AB45" s="75"/>
      <c r="AC45" s="75"/>
      <c r="AD45" s="75"/>
      <c r="AE45" s="76"/>
      <c r="AF45" s="74">
        <v>8</v>
      </c>
      <c r="AG45" s="75"/>
      <c r="AH45" s="76"/>
      <c r="AI45" s="74"/>
      <c r="AJ45" s="75"/>
      <c r="AK45" s="76"/>
      <c r="AL45" s="68" t="s">
        <v>1227</v>
      </c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  <c r="BP45" s="70"/>
    </row>
    <row r="46" spans="1:68" s="1" customFormat="1" ht="30.75" customHeight="1">
      <c r="A46" s="74">
        <f t="shared" si="0"/>
        <v>38</v>
      </c>
      <c r="B46" s="75"/>
      <c r="C46" s="76"/>
      <c r="D46" s="71" t="s">
        <v>862</v>
      </c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3"/>
      <c r="AA46" s="74" t="s">
        <v>271</v>
      </c>
      <c r="AB46" s="75"/>
      <c r="AC46" s="75"/>
      <c r="AD46" s="75"/>
      <c r="AE46" s="76"/>
      <c r="AF46" s="74">
        <v>42</v>
      </c>
      <c r="AG46" s="75"/>
      <c r="AH46" s="76"/>
      <c r="AI46" s="74"/>
      <c r="AJ46" s="75"/>
      <c r="AK46" s="76"/>
      <c r="AL46" s="68" t="s">
        <v>1228</v>
      </c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  <c r="BM46" s="69"/>
      <c r="BN46" s="69"/>
      <c r="BO46" s="69"/>
      <c r="BP46" s="70"/>
    </row>
    <row r="47" spans="1:68" s="1" customFormat="1" ht="30.75" customHeight="1">
      <c r="A47" s="74">
        <f t="shared" si="0"/>
        <v>39</v>
      </c>
      <c r="B47" s="75"/>
      <c r="C47" s="76"/>
      <c r="D47" s="71" t="s">
        <v>1194</v>
      </c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3"/>
      <c r="AA47" s="74" t="s">
        <v>271</v>
      </c>
      <c r="AB47" s="75"/>
      <c r="AC47" s="75"/>
      <c r="AD47" s="75"/>
      <c r="AE47" s="76"/>
      <c r="AF47" s="74">
        <v>1</v>
      </c>
      <c r="AG47" s="75"/>
      <c r="AH47" s="76"/>
      <c r="AI47" s="86"/>
      <c r="AJ47" s="86"/>
      <c r="AK47" s="86"/>
      <c r="AL47" s="68" t="s">
        <v>1159</v>
      </c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  <c r="BP47" s="70"/>
    </row>
    <row r="48" spans="1:68" s="1" customFormat="1" ht="30.75" customHeight="1">
      <c r="A48" s="74">
        <f t="shared" si="0"/>
        <v>40</v>
      </c>
      <c r="B48" s="75"/>
      <c r="C48" s="76"/>
      <c r="D48" s="71" t="s">
        <v>1234</v>
      </c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3"/>
      <c r="AA48" s="74" t="s">
        <v>271</v>
      </c>
      <c r="AB48" s="75"/>
      <c r="AC48" s="75"/>
      <c r="AD48" s="75"/>
      <c r="AE48" s="76"/>
      <c r="AF48" s="74">
        <v>1</v>
      </c>
      <c r="AG48" s="75"/>
      <c r="AH48" s="76"/>
      <c r="AI48" s="86"/>
      <c r="AJ48" s="86"/>
      <c r="AK48" s="86"/>
      <c r="AL48" s="104" t="s">
        <v>1235</v>
      </c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69"/>
      <c r="BN48" s="69"/>
      <c r="BO48" s="69"/>
      <c r="BP48" s="70"/>
    </row>
    <row r="49" spans="1:68" s="1" customFormat="1" ht="30.75" customHeight="1">
      <c r="A49" s="74"/>
      <c r="B49" s="75"/>
      <c r="C49" s="76"/>
      <c r="D49" s="71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3"/>
      <c r="AA49" s="74"/>
      <c r="AB49" s="75"/>
      <c r="AC49" s="75"/>
      <c r="AD49" s="75"/>
      <c r="AE49" s="76"/>
      <c r="AF49" s="74"/>
      <c r="AG49" s="75"/>
      <c r="AH49" s="76"/>
      <c r="AI49" s="74"/>
      <c r="AJ49" s="75"/>
      <c r="AK49" s="76"/>
      <c r="AL49" s="68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69"/>
      <c r="BN49" s="69"/>
      <c r="BO49" s="69"/>
      <c r="BP49" s="70"/>
    </row>
    <row r="50" spans="1:68" s="1" customFormat="1" ht="30.75" customHeight="1">
      <c r="A50" s="80"/>
      <c r="B50" s="81"/>
      <c r="C50" s="82"/>
      <c r="D50" s="77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9"/>
      <c r="AA50" s="80"/>
      <c r="AB50" s="81"/>
      <c r="AC50" s="81"/>
      <c r="AD50" s="81"/>
      <c r="AE50" s="82"/>
      <c r="AF50" s="87"/>
      <c r="AG50" s="87"/>
      <c r="AH50" s="87"/>
      <c r="AI50" s="87"/>
      <c r="AJ50" s="87"/>
      <c r="AK50" s="87"/>
      <c r="AL50" s="83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5"/>
    </row>
    <row r="51" spans="1:68" s="4" customFormat="1" ht="3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3"/>
      <c r="AG51" s="3"/>
      <c r="AH51" s="3"/>
      <c r="AI51" s="3"/>
      <c r="AJ51" s="3"/>
      <c r="AK51" s="3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</row>
    <row r="52" spans="1:68" s="4" customFormat="1" ht="14.25">
      <c r="A52" s="5" t="s">
        <v>14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15"/>
      <c r="AG52" s="15"/>
      <c r="AH52" s="15"/>
      <c r="AI52" s="15"/>
      <c r="AJ52" s="15"/>
      <c r="AK52" s="15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6"/>
    </row>
    <row r="53" spans="1:68" s="4" customFormat="1" ht="20.25" customHeight="1">
      <c r="A53" s="5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6"/>
    </row>
    <row r="54" spans="1:68" s="4" customFormat="1" ht="20.25" customHeight="1">
      <c r="A54" s="5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6"/>
    </row>
    <row r="55" spans="1:68" s="4" customFormat="1" ht="20.25" customHeight="1">
      <c r="A55" s="5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6"/>
    </row>
    <row r="56" spans="1:68" s="4" customFormat="1" ht="20.25" customHeight="1">
      <c r="A56" s="5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6"/>
    </row>
    <row r="57" spans="1:68" s="4" customFormat="1" ht="20.25" customHeight="1">
      <c r="A57" s="7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9"/>
    </row>
    <row r="58" spans="1:68" ht="5.25" customHeight="1"/>
  </sheetData>
  <mergeCells count="277">
    <mergeCell ref="A48:C48"/>
    <mergeCell ref="D48:Z48"/>
    <mergeCell ref="AA48:AE48"/>
    <mergeCell ref="AF48:AH48"/>
    <mergeCell ref="AI48:AK48"/>
    <mergeCell ref="AL48:BP48"/>
    <mergeCell ref="AL25:BP25"/>
    <mergeCell ref="A26:C26"/>
    <mergeCell ref="D26:Z26"/>
    <mergeCell ref="AA26:AE26"/>
    <mergeCell ref="AF26:AH26"/>
    <mergeCell ref="AI26:AK26"/>
    <mergeCell ref="AL26:BP26"/>
    <mergeCell ref="A25:C25"/>
    <mergeCell ref="D25:Z25"/>
    <mergeCell ref="AA25:AE25"/>
    <mergeCell ref="AF29:AH29"/>
    <mergeCell ref="AI29:AK29"/>
    <mergeCell ref="AF25:AH25"/>
    <mergeCell ref="AI25:AK25"/>
    <mergeCell ref="D34:Z34"/>
    <mergeCell ref="AA34:AE34"/>
    <mergeCell ref="AF34:AH34"/>
    <mergeCell ref="AI34:AK34"/>
    <mergeCell ref="A19:C19"/>
    <mergeCell ref="A20:C20"/>
    <mergeCell ref="AA20:AE20"/>
    <mergeCell ref="AA17:AE17"/>
    <mergeCell ref="AA14:AE14"/>
    <mergeCell ref="D12:Z12"/>
    <mergeCell ref="D13:Z13"/>
    <mergeCell ref="D14:Z14"/>
    <mergeCell ref="D17:Z17"/>
    <mergeCell ref="D19:Z19"/>
    <mergeCell ref="D20:Z20"/>
    <mergeCell ref="A15:C15"/>
    <mergeCell ref="D15:Z15"/>
    <mergeCell ref="AA15:AE15"/>
    <mergeCell ref="A16:C16"/>
    <mergeCell ref="D16:Z16"/>
    <mergeCell ref="AA16:AE16"/>
    <mergeCell ref="A24:C24"/>
    <mergeCell ref="D24:Z24"/>
    <mergeCell ref="AA24:AE24"/>
    <mergeCell ref="A33:C33"/>
    <mergeCell ref="D33:Z33"/>
    <mergeCell ref="AA33:AE33"/>
    <mergeCell ref="A28:C28"/>
    <mergeCell ref="A29:C29"/>
    <mergeCell ref="A27:C27"/>
    <mergeCell ref="A30:C30"/>
    <mergeCell ref="D30:Z30"/>
    <mergeCell ref="D27:Z27"/>
    <mergeCell ref="D28:Z28"/>
    <mergeCell ref="D29:Z29"/>
    <mergeCell ref="A32:C32"/>
    <mergeCell ref="D32:Z32"/>
    <mergeCell ref="AA32:AE32"/>
    <mergeCell ref="A21:C21"/>
    <mergeCell ref="D21:Z21"/>
    <mergeCell ref="AA21:AE21"/>
    <mergeCell ref="A22:C22"/>
    <mergeCell ref="D22:Z22"/>
    <mergeCell ref="AA22:AE22"/>
    <mergeCell ref="A23:C23"/>
    <mergeCell ref="D23:Z23"/>
    <mergeCell ref="AA23:AE23"/>
    <mergeCell ref="A50:C50"/>
    <mergeCell ref="A49:C49"/>
    <mergeCell ref="AL31:BP31"/>
    <mergeCell ref="D50:Z50"/>
    <mergeCell ref="AA50:AE50"/>
    <mergeCell ref="AL50:BP50"/>
    <mergeCell ref="AF50:AH50"/>
    <mergeCell ref="AI50:AK50"/>
    <mergeCell ref="AL49:BP49"/>
    <mergeCell ref="AI49:AK49"/>
    <mergeCell ref="A31:C31"/>
    <mergeCell ref="A34:C34"/>
    <mergeCell ref="AF49:AH49"/>
    <mergeCell ref="D49:Z49"/>
    <mergeCell ref="AA49:AE49"/>
    <mergeCell ref="D31:Z31"/>
    <mergeCell ref="AI32:AK32"/>
    <mergeCell ref="A36:C36"/>
    <mergeCell ref="A35:C35"/>
    <mergeCell ref="D35:Z35"/>
    <mergeCell ref="AA35:AE35"/>
    <mergeCell ref="AF35:AH35"/>
    <mergeCell ref="AI35:AK35"/>
    <mergeCell ref="AL34:BP34"/>
    <mergeCell ref="AF23:AH23"/>
    <mergeCell ref="AI23:AK23"/>
    <mergeCell ref="AL23:BP23"/>
    <mergeCell ref="AF24:AH24"/>
    <mergeCell ref="AF12:AH12"/>
    <mergeCell ref="AI12:AK12"/>
    <mergeCell ref="AF13:AH13"/>
    <mergeCell ref="AI13:AK13"/>
    <mergeCell ref="AF14:AH14"/>
    <mergeCell ref="AI14:AK14"/>
    <mergeCell ref="AF17:AH17"/>
    <mergeCell ref="AI17:AK17"/>
    <mergeCell ref="AF19:AH19"/>
    <mergeCell ref="AI19:AK19"/>
    <mergeCell ref="AL12:BP12"/>
    <mergeCell ref="AL13:BP13"/>
    <mergeCell ref="AL14:BP14"/>
    <mergeCell ref="AL20:BP20"/>
    <mergeCell ref="AI24:AK24"/>
    <mergeCell ref="AL24:BP24"/>
    <mergeCell ref="AF15:AH15"/>
    <mergeCell ref="AI15:AK15"/>
    <mergeCell ref="AL15:BP15"/>
    <mergeCell ref="AF16:AH1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BF4:BP4"/>
    <mergeCell ref="AF8:AH8"/>
    <mergeCell ref="AI8:AK8"/>
    <mergeCell ref="AF10:AH10"/>
    <mergeCell ref="AF31:AH31"/>
    <mergeCell ref="AI31:AK31"/>
    <mergeCell ref="AL19:BP19"/>
    <mergeCell ref="AA27:AE27"/>
    <mergeCell ref="AL27:BP27"/>
    <mergeCell ref="AF20:AH20"/>
    <mergeCell ref="AI20:AK20"/>
    <mergeCell ref="AL28:BP28"/>
    <mergeCell ref="AA30:AE30"/>
    <mergeCell ref="AA29:AE29"/>
    <mergeCell ref="AA19:AE19"/>
    <mergeCell ref="AA28:AE28"/>
    <mergeCell ref="AA31:AE31"/>
    <mergeCell ref="AL29:BP29"/>
    <mergeCell ref="AF21:AH21"/>
    <mergeCell ref="AI21:AK21"/>
    <mergeCell ref="AL21:BP21"/>
    <mergeCell ref="AF22:AH22"/>
    <mergeCell ref="AI22:AK22"/>
    <mergeCell ref="AL22:BP22"/>
    <mergeCell ref="A4:G4"/>
    <mergeCell ref="H4:BA4"/>
    <mergeCell ref="BB4:BE4"/>
    <mergeCell ref="A6:G6"/>
    <mergeCell ref="H6:N6"/>
    <mergeCell ref="O6:Y6"/>
    <mergeCell ref="A8:C8"/>
    <mergeCell ref="AA11:AE11"/>
    <mergeCell ref="AL17:BP17"/>
    <mergeCell ref="AI10:AK10"/>
    <mergeCell ref="AF11:AH11"/>
    <mergeCell ref="AI11:AK11"/>
    <mergeCell ref="AL8:BP8"/>
    <mergeCell ref="AL10:BP10"/>
    <mergeCell ref="AL11:BP11"/>
    <mergeCell ref="Z6:BE6"/>
    <mergeCell ref="BF6:BI6"/>
    <mergeCell ref="BJ6:BP6"/>
    <mergeCell ref="D8:Z8"/>
    <mergeCell ref="AA8:AE8"/>
    <mergeCell ref="AA10:AE10"/>
    <mergeCell ref="D10:Z10"/>
    <mergeCell ref="D11:Z11"/>
    <mergeCell ref="AA12:AE12"/>
    <mergeCell ref="AF27:AH27"/>
    <mergeCell ref="AI27:AK27"/>
    <mergeCell ref="AF28:AH28"/>
    <mergeCell ref="AI28:AK28"/>
    <mergeCell ref="AF33:AH33"/>
    <mergeCell ref="AI33:AK33"/>
    <mergeCell ref="AL33:BP33"/>
    <mergeCell ref="AL32:BP32"/>
    <mergeCell ref="AF32:AH32"/>
    <mergeCell ref="AF30:AH30"/>
    <mergeCell ref="AI30:AK30"/>
    <mergeCell ref="AL30:BP30"/>
    <mergeCell ref="A9:C9"/>
    <mergeCell ref="D9:Z9"/>
    <mergeCell ref="AA9:AE9"/>
    <mergeCell ref="AF9:AH9"/>
    <mergeCell ref="AI9:AK9"/>
    <mergeCell ref="AL9:BP9"/>
    <mergeCell ref="A18:C18"/>
    <mergeCell ref="D18:Z18"/>
    <mergeCell ref="AA18:AE18"/>
    <mergeCell ref="AF18:AH18"/>
    <mergeCell ref="AI18:AK18"/>
    <mergeCell ref="AL18:BP18"/>
    <mergeCell ref="AI16:AK16"/>
    <mergeCell ref="AL16:BP16"/>
    <mergeCell ref="A10:C10"/>
    <mergeCell ref="A11:C11"/>
    <mergeCell ref="AA13:AE13"/>
    <mergeCell ref="A12:C12"/>
    <mergeCell ref="A13:C13"/>
    <mergeCell ref="A14:C14"/>
    <mergeCell ref="A17:C17"/>
    <mergeCell ref="AL35:BP35"/>
    <mergeCell ref="D36:Z36"/>
    <mergeCell ref="AA36:AE36"/>
    <mergeCell ref="AF36:AH36"/>
    <mergeCell ref="AI36:AK36"/>
    <mergeCell ref="AL36:BP36"/>
    <mergeCell ref="A37:C37"/>
    <mergeCell ref="D37:Z37"/>
    <mergeCell ref="AA37:AE37"/>
    <mergeCell ref="AF37:AH37"/>
    <mergeCell ref="AI37:AK37"/>
    <mergeCell ref="AL37:BP37"/>
    <mergeCell ref="A40:C40"/>
    <mergeCell ref="D40:Z40"/>
    <mergeCell ref="AA40:AE40"/>
    <mergeCell ref="AF40:AH40"/>
    <mergeCell ref="AI40:AK40"/>
    <mergeCell ref="A38:C38"/>
    <mergeCell ref="D38:Z38"/>
    <mergeCell ref="AA38:AE38"/>
    <mergeCell ref="AF38:AH38"/>
    <mergeCell ref="AI38:AK38"/>
    <mergeCell ref="A39:C39"/>
    <mergeCell ref="D39:Z39"/>
    <mergeCell ref="AA39:AE39"/>
    <mergeCell ref="AF39:AH39"/>
    <mergeCell ref="AI39:AK39"/>
    <mergeCell ref="A44:C44"/>
    <mergeCell ref="D44:Z44"/>
    <mergeCell ref="AA44:AE44"/>
    <mergeCell ref="A43:C43"/>
    <mergeCell ref="D43:Z43"/>
    <mergeCell ref="AA43:AE43"/>
    <mergeCell ref="AF43:AH43"/>
    <mergeCell ref="AI43:AK43"/>
    <mergeCell ref="A41:C41"/>
    <mergeCell ref="D41:Z41"/>
    <mergeCell ref="AA41:AE41"/>
    <mergeCell ref="AF41:AH41"/>
    <mergeCell ref="AI41:AK41"/>
    <mergeCell ref="A42:C42"/>
    <mergeCell ref="D42:Z42"/>
    <mergeCell ref="AA42:AE42"/>
    <mergeCell ref="AF42:AH42"/>
    <mergeCell ref="AI42:AK42"/>
    <mergeCell ref="A45:C45"/>
    <mergeCell ref="D45:Z45"/>
    <mergeCell ref="AA45:AE45"/>
    <mergeCell ref="AF45:AH45"/>
    <mergeCell ref="AI45:AK45"/>
    <mergeCell ref="AL47:BP47"/>
    <mergeCell ref="AL45:BP45"/>
    <mergeCell ref="AL46:BP46"/>
    <mergeCell ref="A47:C47"/>
    <mergeCell ref="D47:Z47"/>
    <mergeCell ref="AA47:AE47"/>
    <mergeCell ref="AF47:AH47"/>
    <mergeCell ref="AI47:AK47"/>
    <mergeCell ref="A46:C46"/>
    <mergeCell ref="D46:Z46"/>
    <mergeCell ref="AA46:AE46"/>
    <mergeCell ref="AF46:AH46"/>
    <mergeCell ref="AI46:AK46"/>
    <mergeCell ref="AL38:BP38"/>
    <mergeCell ref="AL39:BP39"/>
    <mergeCell ref="AL40:BP40"/>
    <mergeCell ref="AL41:BP41"/>
    <mergeCell ref="AL42:BP42"/>
    <mergeCell ref="AL43:BP43"/>
    <mergeCell ref="AL44:BP44"/>
    <mergeCell ref="AF44:AH44"/>
    <mergeCell ref="AI44:AK44"/>
  </mergeCells>
  <phoneticPr fontId="2"/>
  <dataValidations count="1">
    <dataValidation type="list" allowBlank="1" showInputMessage="1" showErrorMessage="1" sqref="BJ6:BP6" xr:uid="{632CC0B8-61E4-43D4-9128-1CCD1842BBB1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E08AE-6FBD-4D8A-9967-F144FC979033}">
  <dimension ref="A1:BR26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8" width="2.125" style="55"/>
    <col min="39" max="44" width="0" style="55" hidden="1" customWidth="1"/>
    <col min="45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144" t="s">
        <v>198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95" t="s">
        <v>1427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1426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17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117">
        <f t="shared" ref="A9:A16" si="0">ROW()-8</f>
        <v>1</v>
      </c>
      <c r="B9" s="118"/>
      <c r="C9" s="119"/>
      <c r="D9" s="77" t="s">
        <v>1428</v>
      </c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9"/>
      <c r="AA9" s="74" t="s">
        <v>19</v>
      </c>
      <c r="AB9" s="75"/>
      <c r="AC9" s="75"/>
      <c r="AD9" s="75"/>
      <c r="AE9" s="76"/>
      <c r="AF9" s="117">
        <v>4</v>
      </c>
      <c r="AG9" s="118"/>
      <c r="AH9" s="119"/>
      <c r="AI9" s="117"/>
      <c r="AJ9" s="118"/>
      <c r="AK9" s="119"/>
      <c r="AL9" s="68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70"/>
    </row>
    <row r="10" spans="1:70" s="1" customFormat="1" ht="30.75" customHeight="1">
      <c r="A10" s="74">
        <f t="shared" si="0"/>
        <v>2</v>
      </c>
      <c r="B10" s="75"/>
      <c r="C10" s="76"/>
      <c r="D10" s="77" t="s">
        <v>1429</v>
      </c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9"/>
      <c r="AA10" s="74" t="s">
        <v>19</v>
      </c>
      <c r="AB10" s="75"/>
      <c r="AC10" s="75"/>
      <c r="AD10" s="75"/>
      <c r="AE10" s="76"/>
      <c r="AF10" s="74">
        <v>4</v>
      </c>
      <c r="AG10" s="75"/>
      <c r="AH10" s="76"/>
      <c r="AI10" s="74"/>
      <c r="AJ10" s="75"/>
      <c r="AK10" s="76"/>
      <c r="AL10" s="68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74">
        <f t="shared" si="0"/>
        <v>3</v>
      </c>
      <c r="B11" s="75"/>
      <c r="C11" s="76"/>
      <c r="D11" s="77" t="s">
        <v>1430</v>
      </c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9"/>
      <c r="AA11" s="74" t="s">
        <v>19</v>
      </c>
      <c r="AB11" s="75"/>
      <c r="AC11" s="75"/>
      <c r="AD11" s="75"/>
      <c r="AE11" s="76"/>
      <c r="AF11" s="74">
        <v>2</v>
      </c>
      <c r="AG11" s="75"/>
      <c r="AH11" s="76"/>
      <c r="AI11" s="74"/>
      <c r="AJ11" s="75"/>
      <c r="AK11" s="76"/>
      <c r="AL11" s="68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70"/>
    </row>
    <row r="12" spans="1:70" s="1" customFormat="1" ht="30.75" customHeight="1">
      <c r="A12" s="74">
        <f t="shared" si="0"/>
        <v>4</v>
      </c>
      <c r="B12" s="75"/>
      <c r="C12" s="76"/>
      <c r="D12" s="77" t="s">
        <v>1431</v>
      </c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9"/>
      <c r="AA12" s="74" t="s">
        <v>19</v>
      </c>
      <c r="AB12" s="75"/>
      <c r="AC12" s="75"/>
      <c r="AD12" s="75"/>
      <c r="AE12" s="76"/>
      <c r="AF12" s="86">
        <v>8</v>
      </c>
      <c r="AG12" s="86"/>
      <c r="AH12" s="86"/>
      <c r="AI12" s="86"/>
      <c r="AJ12" s="86"/>
      <c r="AK12" s="86"/>
      <c r="AL12" s="68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70"/>
    </row>
    <row r="13" spans="1:70" s="1" customFormat="1" ht="30.75" customHeight="1">
      <c r="A13" s="74">
        <f t="shared" si="0"/>
        <v>5</v>
      </c>
      <c r="B13" s="75"/>
      <c r="C13" s="76"/>
      <c r="D13" s="77" t="s">
        <v>1432</v>
      </c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9"/>
      <c r="AA13" s="74" t="s">
        <v>19</v>
      </c>
      <c r="AB13" s="75"/>
      <c r="AC13" s="75"/>
      <c r="AD13" s="75"/>
      <c r="AE13" s="76"/>
      <c r="AF13" s="86">
        <v>20</v>
      </c>
      <c r="AG13" s="86"/>
      <c r="AH13" s="86"/>
      <c r="AI13" s="86"/>
      <c r="AJ13" s="86"/>
      <c r="AK13" s="86"/>
      <c r="AL13" s="68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70"/>
    </row>
    <row r="14" spans="1:70" s="1" customFormat="1" ht="30.75" customHeight="1">
      <c r="A14" s="74">
        <f t="shared" si="0"/>
        <v>6</v>
      </c>
      <c r="B14" s="75"/>
      <c r="C14" s="76"/>
      <c r="D14" s="77" t="s">
        <v>1433</v>
      </c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9"/>
      <c r="AA14" s="74" t="s">
        <v>280</v>
      </c>
      <c r="AB14" s="75"/>
      <c r="AC14" s="75"/>
      <c r="AD14" s="75"/>
      <c r="AE14" s="76"/>
      <c r="AF14" s="74">
        <v>8</v>
      </c>
      <c r="AG14" s="75"/>
      <c r="AH14" s="76"/>
      <c r="AI14" s="74"/>
      <c r="AJ14" s="75"/>
      <c r="AK14" s="76"/>
      <c r="AL14" s="68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70"/>
    </row>
    <row r="15" spans="1:70" s="1" customFormat="1" ht="30.75" customHeight="1">
      <c r="A15" s="74">
        <f t="shared" si="0"/>
        <v>7</v>
      </c>
      <c r="B15" s="75"/>
      <c r="C15" s="76"/>
      <c r="D15" s="77" t="s">
        <v>1434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9"/>
      <c r="AA15" s="74" t="s">
        <v>280</v>
      </c>
      <c r="AB15" s="75"/>
      <c r="AC15" s="75"/>
      <c r="AD15" s="75"/>
      <c r="AE15" s="76"/>
      <c r="AF15" s="74">
        <v>8</v>
      </c>
      <c r="AG15" s="75"/>
      <c r="AH15" s="76"/>
      <c r="AI15" s="74"/>
      <c r="AJ15" s="75"/>
      <c r="AK15" s="76"/>
      <c r="AL15" s="68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70"/>
    </row>
    <row r="16" spans="1:70" s="1" customFormat="1" ht="30.75" customHeight="1">
      <c r="A16" s="74">
        <f t="shared" si="0"/>
        <v>8</v>
      </c>
      <c r="B16" s="75"/>
      <c r="C16" s="76"/>
      <c r="D16" s="77" t="s">
        <v>1435</v>
      </c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9"/>
      <c r="AA16" s="74" t="s">
        <v>280</v>
      </c>
      <c r="AB16" s="75"/>
      <c r="AC16" s="75"/>
      <c r="AD16" s="75"/>
      <c r="AE16" s="76"/>
      <c r="AF16" s="74">
        <v>12</v>
      </c>
      <c r="AG16" s="75"/>
      <c r="AH16" s="76"/>
      <c r="AI16" s="74"/>
      <c r="AJ16" s="75"/>
      <c r="AK16" s="76"/>
      <c r="AL16" s="68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70"/>
    </row>
    <row r="17" spans="1:68" s="1" customFormat="1" ht="30.75" customHeight="1">
      <c r="A17" s="80"/>
      <c r="B17" s="81"/>
      <c r="C17" s="82"/>
      <c r="D17" s="77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9"/>
      <c r="AA17" s="80"/>
      <c r="AB17" s="81"/>
      <c r="AC17" s="81"/>
      <c r="AD17" s="81"/>
      <c r="AE17" s="82"/>
      <c r="AF17" s="86"/>
      <c r="AG17" s="86"/>
      <c r="AH17" s="86"/>
      <c r="AI17" s="86"/>
      <c r="AJ17" s="86"/>
      <c r="AK17" s="86"/>
      <c r="AL17" s="83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5"/>
    </row>
    <row r="18" spans="1:68" s="1" customFormat="1" ht="30.75" customHeight="1">
      <c r="A18" s="80"/>
      <c r="B18" s="81"/>
      <c r="C18" s="82"/>
      <c r="D18" s="77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9"/>
      <c r="AA18" s="80"/>
      <c r="AB18" s="81"/>
      <c r="AC18" s="81"/>
      <c r="AD18" s="81"/>
      <c r="AE18" s="82"/>
      <c r="AF18" s="87"/>
      <c r="AG18" s="87"/>
      <c r="AH18" s="87"/>
      <c r="AI18" s="87"/>
      <c r="AJ18" s="87"/>
      <c r="AK18" s="87"/>
      <c r="AL18" s="83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5"/>
    </row>
    <row r="19" spans="1:68" s="4" customFormat="1" ht="3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3"/>
      <c r="AG19" s="3"/>
      <c r="AH19" s="3"/>
      <c r="AI19" s="3"/>
      <c r="AJ19" s="3"/>
      <c r="AK19" s="3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</row>
    <row r="20" spans="1:68" s="4" customFormat="1" ht="14.25">
      <c r="A20" s="5" t="s">
        <v>14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15"/>
      <c r="AG20" s="15"/>
      <c r="AH20" s="15"/>
      <c r="AI20" s="15"/>
      <c r="AJ20" s="15"/>
      <c r="AK20" s="15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6"/>
    </row>
    <row r="21" spans="1:68" s="4" customFormat="1" ht="20.25" customHeight="1">
      <c r="A21" s="5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6"/>
    </row>
    <row r="22" spans="1:68" s="4" customFormat="1" ht="20.25" customHeight="1">
      <c r="A22" s="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6"/>
    </row>
    <row r="23" spans="1:68" s="4" customFormat="1" ht="20.25" customHeight="1">
      <c r="A23" s="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6"/>
    </row>
    <row r="24" spans="1:68" s="4" customFormat="1" ht="20.25" customHeight="1">
      <c r="A24" s="5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6"/>
    </row>
    <row r="25" spans="1:68" s="4" customFormat="1" ht="20.25" customHeight="1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9"/>
    </row>
    <row r="26" spans="1:68" ht="5.25" customHeight="1"/>
  </sheetData>
  <mergeCells count="85">
    <mergeCell ref="AL18:BP18"/>
    <mergeCell ref="A17:C17"/>
    <mergeCell ref="D17:Z17"/>
    <mergeCell ref="AA17:AE17"/>
    <mergeCell ref="AF17:AH17"/>
    <mergeCell ref="AI17:AK17"/>
    <mergeCell ref="AL17:BP17"/>
    <mergeCell ref="A18:C18"/>
    <mergeCell ref="D18:Z18"/>
    <mergeCell ref="AA18:AE18"/>
    <mergeCell ref="AF18:AH18"/>
    <mergeCell ref="AI18:AK18"/>
    <mergeCell ref="A16:C16"/>
    <mergeCell ref="AA16:AE16"/>
    <mergeCell ref="AF16:AH16"/>
    <mergeCell ref="AI16:AK16"/>
    <mergeCell ref="AL16:BP16"/>
    <mergeCell ref="D16:Z16"/>
    <mergeCell ref="A15:C15"/>
    <mergeCell ref="AA15:AE15"/>
    <mergeCell ref="AF15:AH15"/>
    <mergeCell ref="AI15:AK15"/>
    <mergeCell ref="AL15:BP15"/>
    <mergeCell ref="D15:Z15"/>
    <mergeCell ref="A14:C14"/>
    <mergeCell ref="AA14:AE14"/>
    <mergeCell ref="AF14:AH14"/>
    <mergeCell ref="AI14:AK14"/>
    <mergeCell ref="AL14:BP14"/>
    <mergeCell ref="D14:Z14"/>
    <mergeCell ref="A13:C13"/>
    <mergeCell ref="AA13:AE13"/>
    <mergeCell ref="AF13:AH13"/>
    <mergeCell ref="AI13:AK13"/>
    <mergeCell ref="AL13:BP13"/>
    <mergeCell ref="D13:Z13"/>
    <mergeCell ref="A12:C12"/>
    <mergeCell ref="AA12:AE12"/>
    <mergeCell ref="AF12:AH12"/>
    <mergeCell ref="AI12:AK12"/>
    <mergeCell ref="AL12:BP12"/>
    <mergeCell ref="D12:Z12"/>
    <mergeCell ref="A11:C11"/>
    <mergeCell ref="AA11:AE11"/>
    <mergeCell ref="AF11:AH11"/>
    <mergeCell ref="AI11:AK11"/>
    <mergeCell ref="AL11:BP11"/>
    <mergeCell ref="D11:Z11"/>
    <mergeCell ref="A10:C10"/>
    <mergeCell ref="AA10:AE10"/>
    <mergeCell ref="AF10:AH10"/>
    <mergeCell ref="AI10:AK10"/>
    <mergeCell ref="AL10:BP10"/>
    <mergeCell ref="D10:Z10"/>
    <mergeCell ref="AL9:BP9"/>
    <mergeCell ref="A8:C8"/>
    <mergeCell ref="D8:Z8"/>
    <mergeCell ref="AA8:AE8"/>
    <mergeCell ref="AF8:AH8"/>
    <mergeCell ref="AI8:AK8"/>
    <mergeCell ref="AL8:BP8"/>
    <mergeCell ref="A9:C9"/>
    <mergeCell ref="D9:Z9"/>
    <mergeCell ref="AA9:AE9"/>
    <mergeCell ref="AF9:AH9"/>
    <mergeCell ref="AI9:AK9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3:G3"/>
    <mergeCell ref="H3:BA3"/>
    <mergeCell ref="BB3:BE3"/>
    <mergeCell ref="BF3:BP3"/>
    <mergeCell ref="A2:BA2"/>
    <mergeCell ref="BB2:BE2"/>
    <mergeCell ref="BF2:BI2"/>
    <mergeCell ref="BJ2:BM2"/>
    <mergeCell ref="BN2:BP2"/>
  </mergeCells>
  <phoneticPr fontId="3"/>
  <dataValidations count="1">
    <dataValidation type="list" allowBlank="1" showInputMessage="1" showErrorMessage="1" sqref="BJ6:BP6" xr:uid="{4B83C7A4-58E4-4821-9531-F11456207E8C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7E13C-F7FA-4B4E-A115-1488B8055F22}">
  <sheetPr codeName="Sheet24"/>
  <dimension ref="A1:BR95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8" width="2.125" style="55"/>
    <col min="39" max="44" width="0" style="55" hidden="1" customWidth="1"/>
    <col min="45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144" t="s">
        <v>198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143" t="s">
        <v>206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198" t="s">
        <v>207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17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129">
        <f t="shared" ref="A9:A72" si="0">ROW()-8</f>
        <v>1</v>
      </c>
      <c r="B9" s="130"/>
      <c r="C9" s="131"/>
      <c r="D9" s="77" t="s">
        <v>1121</v>
      </c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9"/>
      <c r="AA9" s="80" t="s">
        <v>18</v>
      </c>
      <c r="AB9" s="81"/>
      <c r="AC9" s="81"/>
      <c r="AD9" s="81"/>
      <c r="AE9" s="82"/>
      <c r="AF9" s="129">
        <v>6</v>
      </c>
      <c r="AG9" s="130"/>
      <c r="AH9" s="131"/>
      <c r="AI9" s="129"/>
      <c r="AJ9" s="130"/>
      <c r="AK9" s="131"/>
      <c r="AL9" s="83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4"/>
      <c r="BI9" s="84"/>
      <c r="BJ9" s="84"/>
      <c r="BK9" s="84"/>
      <c r="BL9" s="84"/>
      <c r="BM9" s="84"/>
      <c r="BN9" s="84"/>
      <c r="BO9" s="84"/>
      <c r="BP9" s="85"/>
    </row>
    <row r="10" spans="1:70" s="1" customFormat="1" ht="30.75" customHeight="1">
      <c r="A10" s="74">
        <f t="shared" si="0"/>
        <v>2</v>
      </c>
      <c r="B10" s="75"/>
      <c r="C10" s="76"/>
      <c r="D10" s="71" t="s">
        <v>63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  <c r="AA10" s="74" t="s">
        <v>18</v>
      </c>
      <c r="AB10" s="75"/>
      <c r="AC10" s="75"/>
      <c r="AD10" s="75"/>
      <c r="AE10" s="76"/>
      <c r="AF10" s="74">
        <v>8</v>
      </c>
      <c r="AG10" s="75"/>
      <c r="AH10" s="76"/>
      <c r="AI10" s="74"/>
      <c r="AJ10" s="75"/>
      <c r="AK10" s="76"/>
      <c r="AL10" s="68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74">
        <f t="shared" si="0"/>
        <v>3</v>
      </c>
      <c r="B11" s="75"/>
      <c r="C11" s="76"/>
      <c r="D11" s="71" t="s">
        <v>64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3"/>
      <c r="AA11" s="74" t="s">
        <v>18</v>
      </c>
      <c r="AB11" s="75"/>
      <c r="AC11" s="75"/>
      <c r="AD11" s="75"/>
      <c r="AE11" s="76"/>
      <c r="AF11" s="74">
        <v>1</v>
      </c>
      <c r="AG11" s="75"/>
      <c r="AH11" s="76"/>
      <c r="AI11" s="74"/>
      <c r="AJ11" s="75"/>
      <c r="AK11" s="76"/>
      <c r="AL11" s="68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70"/>
    </row>
    <row r="12" spans="1:70" s="1" customFormat="1" ht="30.75" customHeight="1">
      <c r="A12" s="74">
        <f t="shared" si="0"/>
        <v>4</v>
      </c>
      <c r="B12" s="75"/>
      <c r="C12" s="76"/>
      <c r="D12" s="71" t="s">
        <v>65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3"/>
      <c r="AA12" s="74" t="s">
        <v>18</v>
      </c>
      <c r="AB12" s="75"/>
      <c r="AC12" s="75"/>
      <c r="AD12" s="75"/>
      <c r="AE12" s="76"/>
      <c r="AF12" s="74">
        <v>1</v>
      </c>
      <c r="AG12" s="75"/>
      <c r="AH12" s="76"/>
      <c r="AI12" s="74"/>
      <c r="AJ12" s="75"/>
      <c r="AK12" s="76"/>
      <c r="AL12" s="68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70"/>
    </row>
    <row r="13" spans="1:70" s="1" customFormat="1" ht="30.75" customHeight="1">
      <c r="A13" s="74">
        <f t="shared" si="0"/>
        <v>5</v>
      </c>
      <c r="B13" s="75"/>
      <c r="C13" s="76"/>
      <c r="D13" s="71" t="s">
        <v>66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3"/>
      <c r="AA13" s="74" t="s">
        <v>18</v>
      </c>
      <c r="AB13" s="75"/>
      <c r="AC13" s="75"/>
      <c r="AD13" s="75"/>
      <c r="AE13" s="76"/>
      <c r="AF13" s="74">
        <v>4</v>
      </c>
      <c r="AG13" s="75"/>
      <c r="AH13" s="76"/>
      <c r="AI13" s="74"/>
      <c r="AJ13" s="75"/>
      <c r="AK13" s="76"/>
      <c r="AL13" s="68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70"/>
    </row>
    <row r="14" spans="1:70" s="1" customFormat="1" ht="30.75" customHeight="1">
      <c r="A14" s="74">
        <f t="shared" si="0"/>
        <v>6</v>
      </c>
      <c r="B14" s="75"/>
      <c r="C14" s="76"/>
      <c r="D14" s="71" t="s">
        <v>67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3"/>
      <c r="AA14" s="74" t="s">
        <v>18</v>
      </c>
      <c r="AB14" s="75"/>
      <c r="AC14" s="75"/>
      <c r="AD14" s="75"/>
      <c r="AE14" s="76"/>
      <c r="AF14" s="74">
        <v>2</v>
      </c>
      <c r="AG14" s="75"/>
      <c r="AH14" s="76"/>
      <c r="AI14" s="74"/>
      <c r="AJ14" s="75"/>
      <c r="AK14" s="76"/>
      <c r="AL14" s="68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70"/>
    </row>
    <row r="15" spans="1:70" s="1" customFormat="1" ht="30.75" customHeight="1">
      <c r="A15" s="74">
        <f t="shared" si="0"/>
        <v>7</v>
      </c>
      <c r="B15" s="75"/>
      <c r="C15" s="76"/>
      <c r="D15" s="71" t="s">
        <v>68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3"/>
      <c r="AA15" s="74" t="s">
        <v>18</v>
      </c>
      <c r="AB15" s="75"/>
      <c r="AC15" s="75"/>
      <c r="AD15" s="75"/>
      <c r="AE15" s="76"/>
      <c r="AF15" s="86">
        <v>2</v>
      </c>
      <c r="AG15" s="86"/>
      <c r="AH15" s="86"/>
      <c r="AI15" s="86"/>
      <c r="AJ15" s="86"/>
      <c r="AK15" s="86"/>
      <c r="AL15" s="68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70"/>
    </row>
    <row r="16" spans="1:70" s="1" customFormat="1" ht="30.75" customHeight="1">
      <c r="A16" s="74">
        <f t="shared" si="0"/>
        <v>8</v>
      </c>
      <c r="B16" s="75"/>
      <c r="C16" s="76"/>
      <c r="D16" s="71" t="s">
        <v>39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3"/>
      <c r="AA16" s="74" t="s">
        <v>18</v>
      </c>
      <c r="AB16" s="75"/>
      <c r="AC16" s="75"/>
      <c r="AD16" s="75"/>
      <c r="AE16" s="76"/>
      <c r="AF16" s="86">
        <v>2</v>
      </c>
      <c r="AG16" s="86"/>
      <c r="AH16" s="86"/>
      <c r="AI16" s="86"/>
      <c r="AJ16" s="86"/>
      <c r="AK16" s="86"/>
      <c r="AL16" s="68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70"/>
    </row>
    <row r="17" spans="1:68" s="1" customFormat="1" ht="30.75" customHeight="1">
      <c r="A17" s="74">
        <f t="shared" si="0"/>
        <v>9</v>
      </c>
      <c r="B17" s="75"/>
      <c r="C17" s="76"/>
      <c r="D17" s="71" t="s">
        <v>59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3"/>
      <c r="AA17" s="74" t="s">
        <v>18</v>
      </c>
      <c r="AB17" s="75"/>
      <c r="AC17" s="75"/>
      <c r="AD17" s="75"/>
      <c r="AE17" s="76"/>
      <c r="AF17" s="86">
        <v>4</v>
      </c>
      <c r="AG17" s="86"/>
      <c r="AH17" s="86"/>
      <c r="AI17" s="86"/>
      <c r="AJ17" s="86"/>
      <c r="AK17" s="86"/>
      <c r="AL17" s="68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70"/>
    </row>
    <row r="18" spans="1:68" s="1" customFormat="1" ht="30.75" customHeight="1">
      <c r="A18" s="74">
        <f t="shared" si="0"/>
        <v>10</v>
      </c>
      <c r="B18" s="75"/>
      <c r="C18" s="76"/>
      <c r="D18" s="71" t="s">
        <v>69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3"/>
      <c r="AA18" s="74" t="s">
        <v>19</v>
      </c>
      <c r="AB18" s="75"/>
      <c r="AC18" s="75"/>
      <c r="AD18" s="75"/>
      <c r="AE18" s="76"/>
      <c r="AF18" s="86">
        <v>20</v>
      </c>
      <c r="AG18" s="86"/>
      <c r="AH18" s="86"/>
      <c r="AI18" s="86"/>
      <c r="AJ18" s="86"/>
      <c r="AK18" s="86"/>
      <c r="AL18" s="68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70"/>
    </row>
    <row r="19" spans="1:68" s="1" customFormat="1" ht="30.75" customHeight="1">
      <c r="A19" s="74">
        <f t="shared" si="0"/>
        <v>11</v>
      </c>
      <c r="B19" s="75"/>
      <c r="C19" s="76"/>
      <c r="D19" s="71" t="s">
        <v>70</v>
      </c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3"/>
      <c r="AA19" s="74" t="s">
        <v>19</v>
      </c>
      <c r="AB19" s="75"/>
      <c r="AC19" s="75"/>
      <c r="AD19" s="75"/>
      <c r="AE19" s="76"/>
      <c r="AF19" s="74">
        <v>20</v>
      </c>
      <c r="AG19" s="75"/>
      <c r="AH19" s="76"/>
      <c r="AI19" s="74"/>
      <c r="AJ19" s="75"/>
      <c r="AK19" s="76"/>
      <c r="AL19" s="68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70"/>
    </row>
    <row r="20" spans="1:68" s="1" customFormat="1" ht="30.75" customHeight="1">
      <c r="A20" s="74">
        <f t="shared" si="0"/>
        <v>12</v>
      </c>
      <c r="B20" s="75"/>
      <c r="C20" s="76"/>
      <c r="D20" s="71" t="s">
        <v>71</v>
      </c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3"/>
      <c r="AA20" s="74" t="s">
        <v>19</v>
      </c>
      <c r="AB20" s="75"/>
      <c r="AC20" s="75"/>
      <c r="AD20" s="75"/>
      <c r="AE20" s="76"/>
      <c r="AF20" s="74">
        <v>20</v>
      </c>
      <c r="AG20" s="75"/>
      <c r="AH20" s="76"/>
      <c r="AI20" s="74"/>
      <c r="AJ20" s="75"/>
      <c r="AK20" s="76"/>
      <c r="AL20" s="68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70"/>
    </row>
    <row r="21" spans="1:68" s="1" customFormat="1" ht="30.75" customHeight="1">
      <c r="A21" s="74">
        <f t="shared" si="0"/>
        <v>13</v>
      </c>
      <c r="B21" s="75"/>
      <c r="C21" s="76"/>
      <c r="D21" s="71" t="s">
        <v>72</v>
      </c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3"/>
      <c r="AA21" s="74" t="s">
        <v>19</v>
      </c>
      <c r="AB21" s="75"/>
      <c r="AC21" s="75"/>
      <c r="AD21" s="75"/>
      <c r="AE21" s="76"/>
      <c r="AF21" s="74">
        <v>20</v>
      </c>
      <c r="AG21" s="75"/>
      <c r="AH21" s="76"/>
      <c r="AI21" s="74"/>
      <c r="AJ21" s="75"/>
      <c r="AK21" s="76"/>
      <c r="AL21" s="68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70"/>
    </row>
    <row r="22" spans="1:68" s="1" customFormat="1" ht="30.75" customHeight="1">
      <c r="A22" s="74">
        <f t="shared" si="0"/>
        <v>14</v>
      </c>
      <c r="B22" s="75"/>
      <c r="C22" s="76"/>
      <c r="D22" s="71" t="s">
        <v>54</v>
      </c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3"/>
      <c r="AA22" s="74" t="s">
        <v>19</v>
      </c>
      <c r="AB22" s="75"/>
      <c r="AC22" s="75"/>
      <c r="AD22" s="75"/>
      <c r="AE22" s="76"/>
      <c r="AF22" s="74">
        <v>2</v>
      </c>
      <c r="AG22" s="75"/>
      <c r="AH22" s="76"/>
      <c r="AI22" s="74"/>
      <c r="AJ22" s="75"/>
      <c r="AK22" s="76"/>
      <c r="AL22" s="68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70"/>
    </row>
    <row r="23" spans="1:68" s="1" customFormat="1" ht="30.75" customHeight="1">
      <c r="A23" s="74">
        <f t="shared" si="0"/>
        <v>15</v>
      </c>
      <c r="B23" s="75"/>
      <c r="C23" s="76"/>
      <c r="D23" s="71" t="s">
        <v>58</v>
      </c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3"/>
      <c r="AA23" s="74" t="s">
        <v>19</v>
      </c>
      <c r="AB23" s="75"/>
      <c r="AC23" s="75"/>
      <c r="AD23" s="75"/>
      <c r="AE23" s="76"/>
      <c r="AF23" s="74">
        <v>10</v>
      </c>
      <c r="AG23" s="75"/>
      <c r="AH23" s="76"/>
      <c r="AI23" s="74"/>
      <c r="AJ23" s="75"/>
      <c r="AK23" s="76"/>
      <c r="AL23" s="68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70"/>
    </row>
    <row r="24" spans="1:68" s="1" customFormat="1" ht="30.75" customHeight="1">
      <c r="A24" s="74">
        <f t="shared" si="0"/>
        <v>16</v>
      </c>
      <c r="B24" s="75"/>
      <c r="C24" s="76"/>
      <c r="D24" s="71" t="s">
        <v>73</v>
      </c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3"/>
      <c r="AA24" s="74" t="s">
        <v>18</v>
      </c>
      <c r="AB24" s="75"/>
      <c r="AC24" s="75"/>
      <c r="AD24" s="75"/>
      <c r="AE24" s="76"/>
      <c r="AF24" s="74">
        <v>4</v>
      </c>
      <c r="AG24" s="75"/>
      <c r="AH24" s="76"/>
      <c r="AI24" s="74"/>
      <c r="AJ24" s="75"/>
      <c r="AK24" s="76"/>
      <c r="AL24" s="68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70"/>
    </row>
    <row r="25" spans="1:68" s="1" customFormat="1" ht="30.75" customHeight="1">
      <c r="A25" s="74">
        <f t="shared" si="0"/>
        <v>17</v>
      </c>
      <c r="B25" s="75"/>
      <c r="C25" s="76"/>
      <c r="D25" s="71" t="s">
        <v>60</v>
      </c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3"/>
      <c r="AA25" s="74" t="s">
        <v>19</v>
      </c>
      <c r="AB25" s="75"/>
      <c r="AC25" s="75"/>
      <c r="AD25" s="75"/>
      <c r="AE25" s="76"/>
      <c r="AF25" s="74">
        <v>15</v>
      </c>
      <c r="AG25" s="75"/>
      <c r="AH25" s="76"/>
      <c r="AI25" s="74"/>
      <c r="AJ25" s="75"/>
      <c r="AK25" s="76"/>
      <c r="AL25" s="68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70"/>
    </row>
    <row r="26" spans="1:68" s="1" customFormat="1" ht="30.75" customHeight="1">
      <c r="A26" s="74">
        <f t="shared" si="0"/>
        <v>18</v>
      </c>
      <c r="B26" s="75"/>
      <c r="C26" s="76"/>
      <c r="D26" s="71" t="s">
        <v>74</v>
      </c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3"/>
      <c r="AA26" s="74" t="s">
        <v>18</v>
      </c>
      <c r="AB26" s="75"/>
      <c r="AC26" s="75"/>
      <c r="AD26" s="75"/>
      <c r="AE26" s="76"/>
      <c r="AF26" s="86">
        <v>14</v>
      </c>
      <c r="AG26" s="86"/>
      <c r="AH26" s="86"/>
      <c r="AI26" s="86"/>
      <c r="AJ26" s="86"/>
      <c r="AK26" s="86"/>
      <c r="AL26" s="68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70"/>
    </row>
    <row r="27" spans="1:68" s="1" customFormat="1" ht="30.75" customHeight="1">
      <c r="A27" s="74">
        <f t="shared" si="0"/>
        <v>19</v>
      </c>
      <c r="B27" s="75"/>
      <c r="C27" s="76"/>
      <c r="D27" s="71" t="s">
        <v>75</v>
      </c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3"/>
      <c r="AA27" s="74" t="s">
        <v>18</v>
      </c>
      <c r="AB27" s="75"/>
      <c r="AC27" s="75"/>
      <c r="AD27" s="75"/>
      <c r="AE27" s="76"/>
      <c r="AF27" s="74">
        <v>14</v>
      </c>
      <c r="AG27" s="75"/>
      <c r="AH27" s="76"/>
      <c r="AI27" s="86"/>
      <c r="AJ27" s="86"/>
      <c r="AK27" s="86"/>
      <c r="AL27" s="68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70"/>
    </row>
    <row r="28" spans="1:68" s="1" customFormat="1" ht="30.75" customHeight="1">
      <c r="A28" s="74">
        <f t="shared" si="0"/>
        <v>20</v>
      </c>
      <c r="B28" s="75"/>
      <c r="C28" s="76"/>
      <c r="D28" s="71" t="s">
        <v>76</v>
      </c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3"/>
      <c r="AA28" s="74" t="s">
        <v>18</v>
      </c>
      <c r="AB28" s="75"/>
      <c r="AC28" s="75"/>
      <c r="AD28" s="75"/>
      <c r="AE28" s="76"/>
      <c r="AF28" s="74">
        <v>14</v>
      </c>
      <c r="AG28" s="75"/>
      <c r="AH28" s="76"/>
      <c r="AI28" s="86"/>
      <c r="AJ28" s="86"/>
      <c r="AK28" s="86"/>
      <c r="AL28" s="68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70"/>
    </row>
    <row r="29" spans="1:68" s="1" customFormat="1" ht="30.75" customHeight="1">
      <c r="A29" s="74">
        <f t="shared" si="0"/>
        <v>21</v>
      </c>
      <c r="B29" s="75"/>
      <c r="C29" s="76"/>
      <c r="D29" s="71" t="s">
        <v>77</v>
      </c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3"/>
      <c r="AA29" s="74" t="s">
        <v>18</v>
      </c>
      <c r="AB29" s="75"/>
      <c r="AC29" s="75"/>
      <c r="AD29" s="75"/>
      <c r="AE29" s="76"/>
      <c r="AF29" s="74">
        <v>14</v>
      </c>
      <c r="AG29" s="75"/>
      <c r="AH29" s="76"/>
      <c r="AI29" s="86"/>
      <c r="AJ29" s="86"/>
      <c r="AK29" s="86"/>
      <c r="AL29" s="68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70"/>
    </row>
    <row r="30" spans="1:68" s="1" customFormat="1" ht="30.75" customHeight="1">
      <c r="A30" s="74">
        <f t="shared" si="0"/>
        <v>22</v>
      </c>
      <c r="B30" s="75"/>
      <c r="C30" s="76"/>
      <c r="D30" s="71" t="s">
        <v>78</v>
      </c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3"/>
      <c r="AA30" s="74" t="s">
        <v>18</v>
      </c>
      <c r="AB30" s="75"/>
      <c r="AC30" s="75"/>
      <c r="AD30" s="75"/>
      <c r="AE30" s="76"/>
      <c r="AF30" s="74">
        <v>14</v>
      </c>
      <c r="AG30" s="75"/>
      <c r="AH30" s="76"/>
      <c r="AI30" s="86"/>
      <c r="AJ30" s="86"/>
      <c r="AK30" s="86"/>
      <c r="AL30" s="68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70"/>
    </row>
    <row r="31" spans="1:68" s="1" customFormat="1" ht="30.75" customHeight="1">
      <c r="A31" s="74">
        <f t="shared" si="0"/>
        <v>23</v>
      </c>
      <c r="B31" s="75"/>
      <c r="C31" s="76"/>
      <c r="D31" s="71" t="s">
        <v>79</v>
      </c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3"/>
      <c r="AA31" s="74" t="s">
        <v>18</v>
      </c>
      <c r="AB31" s="75"/>
      <c r="AC31" s="75"/>
      <c r="AD31" s="75"/>
      <c r="AE31" s="76"/>
      <c r="AF31" s="74">
        <v>14</v>
      </c>
      <c r="AG31" s="75"/>
      <c r="AH31" s="76"/>
      <c r="AI31" s="86"/>
      <c r="AJ31" s="86"/>
      <c r="AK31" s="86"/>
      <c r="AL31" s="68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70"/>
    </row>
    <row r="32" spans="1:68" s="1" customFormat="1" ht="30.75" customHeight="1">
      <c r="A32" s="74">
        <f t="shared" si="0"/>
        <v>24</v>
      </c>
      <c r="B32" s="75"/>
      <c r="C32" s="76"/>
      <c r="D32" s="71" t="s">
        <v>80</v>
      </c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3"/>
      <c r="AA32" s="74" t="s">
        <v>18</v>
      </c>
      <c r="AB32" s="75"/>
      <c r="AC32" s="75"/>
      <c r="AD32" s="75"/>
      <c r="AE32" s="76"/>
      <c r="AF32" s="74">
        <v>14</v>
      </c>
      <c r="AG32" s="75"/>
      <c r="AH32" s="76"/>
      <c r="AI32" s="86"/>
      <c r="AJ32" s="86"/>
      <c r="AK32" s="86"/>
      <c r="AL32" s="68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70"/>
    </row>
    <row r="33" spans="1:68" s="1" customFormat="1" ht="30.75" customHeight="1">
      <c r="A33" s="74">
        <f t="shared" si="0"/>
        <v>25</v>
      </c>
      <c r="B33" s="75"/>
      <c r="C33" s="76"/>
      <c r="D33" s="71" t="s">
        <v>81</v>
      </c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3"/>
      <c r="AA33" s="74" t="s">
        <v>18</v>
      </c>
      <c r="AB33" s="75"/>
      <c r="AC33" s="75"/>
      <c r="AD33" s="75"/>
      <c r="AE33" s="76"/>
      <c r="AF33" s="74">
        <v>14</v>
      </c>
      <c r="AG33" s="75"/>
      <c r="AH33" s="76"/>
      <c r="AI33" s="86"/>
      <c r="AJ33" s="86"/>
      <c r="AK33" s="86"/>
      <c r="AL33" s="68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70"/>
    </row>
    <row r="34" spans="1:68" s="1" customFormat="1" ht="30.75" customHeight="1">
      <c r="A34" s="74">
        <f t="shared" si="0"/>
        <v>26</v>
      </c>
      <c r="B34" s="75"/>
      <c r="C34" s="76"/>
      <c r="D34" s="71" t="s">
        <v>82</v>
      </c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3"/>
      <c r="AA34" s="74" t="s">
        <v>18</v>
      </c>
      <c r="AB34" s="75"/>
      <c r="AC34" s="75"/>
      <c r="AD34" s="75"/>
      <c r="AE34" s="76"/>
      <c r="AF34" s="74">
        <v>14</v>
      </c>
      <c r="AG34" s="75"/>
      <c r="AH34" s="76"/>
      <c r="AI34" s="86"/>
      <c r="AJ34" s="86"/>
      <c r="AK34" s="86"/>
      <c r="AL34" s="68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70"/>
    </row>
    <row r="35" spans="1:68" s="1" customFormat="1" ht="30.75" customHeight="1">
      <c r="A35" s="74">
        <f t="shared" si="0"/>
        <v>27</v>
      </c>
      <c r="B35" s="75"/>
      <c r="C35" s="76"/>
      <c r="D35" s="71" t="s">
        <v>83</v>
      </c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3"/>
      <c r="AA35" s="74" t="s">
        <v>18</v>
      </c>
      <c r="AB35" s="75"/>
      <c r="AC35" s="75"/>
      <c r="AD35" s="75"/>
      <c r="AE35" s="76"/>
      <c r="AF35" s="74">
        <v>14</v>
      </c>
      <c r="AG35" s="75"/>
      <c r="AH35" s="76"/>
      <c r="AI35" s="86"/>
      <c r="AJ35" s="86"/>
      <c r="AK35" s="86"/>
      <c r="AL35" s="68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70"/>
    </row>
    <row r="36" spans="1:68" s="1" customFormat="1" ht="30.75" customHeight="1">
      <c r="A36" s="74">
        <f t="shared" si="0"/>
        <v>28</v>
      </c>
      <c r="B36" s="75"/>
      <c r="C36" s="76"/>
      <c r="D36" s="71" t="s">
        <v>1320</v>
      </c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3"/>
      <c r="AA36" s="74" t="s">
        <v>18</v>
      </c>
      <c r="AB36" s="75"/>
      <c r="AC36" s="75"/>
      <c r="AD36" s="75"/>
      <c r="AE36" s="76"/>
      <c r="AF36" s="74">
        <v>14</v>
      </c>
      <c r="AG36" s="75"/>
      <c r="AH36" s="76"/>
      <c r="AI36" s="86"/>
      <c r="AJ36" s="86"/>
      <c r="AK36" s="86"/>
      <c r="AL36" s="68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70"/>
    </row>
    <row r="37" spans="1:68" s="1" customFormat="1" ht="30.75" customHeight="1">
      <c r="A37" s="74">
        <f t="shared" si="0"/>
        <v>29</v>
      </c>
      <c r="B37" s="75"/>
      <c r="C37" s="76"/>
      <c r="D37" s="71" t="s">
        <v>84</v>
      </c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3"/>
      <c r="AA37" s="74" t="s">
        <v>18</v>
      </c>
      <c r="AB37" s="75"/>
      <c r="AC37" s="75"/>
      <c r="AD37" s="75"/>
      <c r="AE37" s="76"/>
      <c r="AF37" s="74">
        <v>14</v>
      </c>
      <c r="AG37" s="75"/>
      <c r="AH37" s="76"/>
      <c r="AI37" s="86"/>
      <c r="AJ37" s="86"/>
      <c r="AK37" s="86"/>
      <c r="AL37" s="68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70"/>
    </row>
    <row r="38" spans="1:68" s="1" customFormat="1" ht="30.75" customHeight="1">
      <c r="A38" s="74">
        <f t="shared" si="0"/>
        <v>30</v>
      </c>
      <c r="B38" s="75"/>
      <c r="C38" s="76"/>
      <c r="D38" s="71" t="s">
        <v>85</v>
      </c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3"/>
      <c r="AA38" s="74" t="s">
        <v>18</v>
      </c>
      <c r="AB38" s="75"/>
      <c r="AC38" s="75"/>
      <c r="AD38" s="75"/>
      <c r="AE38" s="76"/>
      <c r="AF38" s="74">
        <v>14</v>
      </c>
      <c r="AG38" s="75"/>
      <c r="AH38" s="76"/>
      <c r="AI38" s="86"/>
      <c r="AJ38" s="86"/>
      <c r="AK38" s="86"/>
      <c r="AL38" s="68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70"/>
    </row>
    <row r="39" spans="1:68" s="1" customFormat="1" ht="30.75" customHeight="1">
      <c r="A39" s="74">
        <f t="shared" si="0"/>
        <v>31</v>
      </c>
      <c r="B39" s="75"/>
      <c r="C39" s="76"/>
      <c r="D39" s="71" t="s">
        <v>86</v>
      </c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3"/>
      <c r="AA39" s="74" t="s">
        <v>18</v>
      </c>
      <c r="AB39" s="75"/>
      <c r="AC39" s="75"/>
      <c r="AD39" s="75"/>
      <c r="AE39" s="76"/>
      <c r="AF39" s="74">
        <v>14</v>
      </c>
      <c r="AG39" s="75"/>
      <c r="AH39" s="76"/>
      <c r="AI39" s="86"/>
      <c r="AJ39" s="86"/>
      <c r="AK39" s="86"/>
      <c r="AL39" s="68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70"/>
    </row>
    <row r="40" spans="1:68" s="1" customFormat="1" ht="30.75" customHeight="1">
      <c r="A40" s="74">
        <f t="shared" si="0"/>
        <v>32</v>
      </c>
      <c r="B40" s="75"/>
      <c r="C40" s="76"/>
      <c r="D40" s="71" t="s">
        <v>87</v>
      </c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3"/>
      <c r="AA40" s="74" t="s">
        <v>18</v>
      </c>
      <c r="AB40" s="75"/>
      <c r="AC40" s="75"/>
      <c r="AD40" s="75"/>
      <c r="AE40" s="76"/>
      <c r="AF40" s="74">
        <v>14</v>
      </c>
      <c r="AG40" s="75"/>
      <c r="AH40" s="76"/>
      <c r="AI40" s="74"/>
      <c r="AJ40" s="75"/>
      <c r="AK40" s="76"/>
      <c r="AL40" s="68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70"/>
    </row>
    <row r="41" spans="1:68" s="1" customFormat="1" ht="30.75" customHeight="1">
      <c r="A41" s="74">
        <f t="shared" si="0"/>
        <v>33</v>
      </c>
      <c r="B41" s="75"/>
      <c r="C41" s="76"/>
      <c r="D41" s="71" t="s">
        <v>88</v>
      </c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3"/>
      <c r="AA41" s="74" t="s">
        <v>18</v>
      </c>
      <c r="AB41" s="75"/>
      <c r="AC41" s="75"/>
      <c r="AD41" s="75"/>
      <c r="AE41" s="76"/>
      <c r="AF41" s="74">
        <v>14</v>
      </c>
      <c r="AG41" s="75"/>
      <c r="AH41" s="76"/>
      <c r="AI41" s="74"/>
      <c r="AJ41" s="75"/>
      <c r="AK41" s="76"/>
      <c r="AL41" s="68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70"/>
    </row>
    <row r="42" spans="1:68" s="1" customFormat="1" ht="30.75" customHeight="1">
      <c r="A42" s="74">
        <f t="shared" si="0"/>
        <v>34</v>
      </c>
      <c r="B42" s="75"/>
      <c r="C42" s="76"/>
      <c r="D42" s="77" t="s">
        <v>89</v>
      </c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9"/>
      <c r="AA42" s="80" t="s">
        <v>18</v>
      </c>
      <c r="AB42" s="81"/>
      <c r="AC42" s="81"/>
      <c r="AD42" s="81"/>
      <c r="AE42" s="82"/>
      <c r="AF42" s="74">
        <v>14</v>
      </c>
      <c r="AG42" s="75"/>
      <c r="AH42" s="76"/>
      <c r="AI42" s="74"/>
      <c r="AJ42" s="75"/>
      <c r="AK42" s="76"/>
      <c r="AL42" s="83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5"/>
    </row>
    <row r="43" spans="1:68" s="1" customFormat="1" ht="30.75" customHeight="1">
      <c r="A43" s="80">
        <f t="shared" si="0"/>
        <v>35</v>
      </c>
      <c r="B43" s="81"/>
      <c r="C43" s="82"/>
      <c r="D43" s="77" t="s">
        <v>90</v>
      </c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9"/>
      <c r="AA43" s="80" t="s">
        <v>18</v>
      </c>
      <c r="AB43" s="81"/>
      <c r="AC43" s="81"/>
      <c r="AD43" s="81"/>
      <c r="AE43" s="82"/>
      <c r="AF43" s="74">
        <v>14</v>
      </c>
      <c r="AG43" s="75"/>
      <c r="AH43" s="76"/>
      <c r="AI43" s="80"/>
      <c r="AJ43" s="81"/>
      <c r="AK43" s="82"/>
      <c r="AL43" s="83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5"/>
    </row>
    <row r="44" spans="1:68" s="1" customFormat="1" ht="30.75" customHeight="1">
      <c r="A44" s="74">
        <f t="shared" si="0"/>
        <v>36</v>
      </c>
      <c r="B44" s="75"/>
      <c r="C44" s="76"/>
      <c r="D44" s="71" t="s">
        <v>1325</v>
      </c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3"/>
      <c r="AA44" s="74" t="s">
        <v>18</v>
      </c>
      <c r="AB44" s="75"/>
      <c r="AC44" s="75"/>
      <c r="AD44" s="75"/>
      <c r="AE44" s="76"/>
      <c r="AF44" s="74">
        <v>14</v>
      </c>
      <c r="AG44" s="75"/>
      <c r="AH44" s="76"/>
      <c r="AI44" s="86"/>
      <c r="AJ44" s="86"/>
      <c r="AK44" s="86"/>
      <c r="AL44" s="68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  <c r="BM44" s="69"/>
      <c r="BN44" s="69"/>
      <c r="BO44" s="69"/>
      <c r="BP44" s="70"/>
    </row>
    <row r="45" spans="1:68" s="1" customFormat="1" ht="30.75" customHeight="1">
      <c r="A45" s="74">
        <f t="shared" si="0"/>
        <v>37</v>
      </c>
      <c r="B45" s="75"/>
      <c r="C45" s="76"/>
      <c r="D45" s="71" t="s">
        <v>91</v>
      </c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3"/>
      <c r="AA45" s="74" t="s">
        <v>18</v>
      </c>
      <c r="AB45" s="75"/>
      <c r="AC45" s="75"/>
      <c r="AD45" s="75"/>
      <c r="AE45" s="76"/>
      <c r="AF45" s="74">
        <v>14</v>
      </c>
      <c r="AG45" s="75"/>
      <c r="AH45" s="76"/>
      <c r="AI45" s="141"/>
      <c r="AJ45" s="141"/>
      <c r="AK45" s="141"/>
      <c r="AL45" s="68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  <c r="BP45" s="70"/>
    </row>
    <row r="46" spans="1:68" s="1" customFormat="1" ht="30.75" customHeight="1">
      <c r="A46" s="74">
        <f t="shared" si="0"/>
        <v>38</v>
      </c>
      <c r="B46" s="75"/>
      <c r="C46" s="76"/>
      <c r="D46" s="71" t="s">
        <v>92</v>
      </c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3"/>
      <c r="AA46" s="74" t="s">
        <v>18</v>
      </c>
      <c r="AB46" s="75"/>
      <c r="AC46" s="75"/>
      <c r="AD46" s="75"/>
      <c r="AE46" s="76"/>
      <c r="AF46" s="74">
        <v>14</v>
      </c>
      <c r="AG46" s="75"/>
      <c r="AH46" s="76"/>
      <c r="AI46" s="86"/>
      <c r="AJ46" s="86"/>
      <c r="AK46" s="86"/>
      <c r="AL46" s="68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  <c r="BM46" s="69"/>
      <c r="BN46" s="69"/>
      <c r="BO46" s="69"/>
      <c r="BP46" s="70"/>
    </row>
    <row r="47" spans="1:68" s="1" customFormat="1" ht="30.75" customHeight="1">
      <c r="A47" s="74">
        <f t="shared" si="0"/>
        <v>39</v>
      </c>
      <c r="B47" s="75"/>
      <c r="C47" s="76"/>
      <c r="D47" s="71" t="s">
        <v>93</v>
      </c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3"/>
      <c r="AA47" s="74" t="s">
        <v>18</v>
      </c>
      <c r="AB47" s="75"/>
      <c r="AC47" s="75"/>
      <c r="AD47" s="75"/>
      <c r="AE47" s="76"/>
      <c r="AF47" s="74">
        <v>14</v>
      </c>
      <c r="AG47" s="75"/>
      <c r="AH47" s="76"/>
      <c r="AI47" s="86"/>
      <c r="AJ47" s="86"/>
      <c r="AK47" s="86"/>
      <c r="AL47" s="68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  <c r="BP47" s="70"/>
    </row>
    <row r="48" spans="1:68" s="1" customFormat="1" ht="30.75" customHeight="1">
      <c r="A48" s="74">
        <f t="shared" si="0"/>
        <v>40</v>
      </c>
      <c r="B48" s="75"/>
      <c r="C48" s="76"/>
      <c r="D48" s="71" t="s">
        <v>94</v>
      </c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3"/>
      <c r="AA48" s="74" t="s">
        <v>18</v>
      </c>
      <c r="AB48" s="75"/>
      <c r="AC48" s="75"/>
      <c r="AD48" s="75"/>
      <c r="AE48" s="76"/>
      <c r="AF48" s="74">
        <v>14</v>
      </c>
      <c r="AG48" s="75"/>
      <c r="AH48" s="76"/>
      <c r="AI48" s="74"/>
      <c r="AJ48" s="75"/>
      <c r="AK48" s="76"/>
      <c r="AL48" s="68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69"/>
      <c r="BN48" s="69"/>
      <c r="BO48" s="69"/>
      <c r="BP48" s="70"/>
    </row>
    <row r="49" spans="1:68" s="1" customFormat="1" ht="30.75" customHeight="1">
      <c r="A49" s="74">
        <f t="shared" si="0"/>
        <v>41</v>
      </c>
      <c r="B49" s="75"/>
      <c r="C49" s="76"/>
      <c r="D49" s="71" t="s">
        <v>95</v>
      </c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3"/>
      <c r="AA49" s="74" t="s">
        <v>18</v>
      </c>
      <c r="AB49" s="75"/>
      <c r="AC49" s="75"/>
      <c r="AD49" s="75"/>
      <c r="AE49" s="76"/>
      <c r="AF49" s="74">
        <v>14</v>
      </c>
      <c r="AG49" s="75"/>
      <c r="AH49" s="76"/>
      <c r="AI49" s="74"/>
      <c r="AJ49" s="75"/>
      <c r="AK49" s="76"/>
      <c r="AL49" s="68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69"/>
      <c r="BN49" s="69"/>
      <c r="BO49" s="69"/>
      <c r="BP49" s="70"/>
    </row>
    <row r="50" spans="1:68" s="1" customFormat="1" ht="30.75" customHeight="1">
      <c r="A50" s="74">
        <f t="shared" si="0"/>
        <v>42</v>
      </c>
      <c r="B50" s="75"/>
      <c r="C50" s="76"/>
      <c r="D50" s="71" t="s">
        <v>96</v>
      </c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3"/>
      <c r="AA50" s="74" t="s">
        <v>18</v>
      </c>
      <c r="AB50" s="75"/>
      <c r="AC50" s="75"/>
      <c r="AD50" s="75"/>
      <c r="AE50" s="76"/>
      <c r="AF50" s="74">
        <v>14</v>
      </c>
      <c r="AG50" s="75"/>
      <c r="AH50" s="76"/>
      <c r="AI50" s="74"/>
      <c r="AJ50" s="75"/>
      <c r="AK50" s="76"/>
      <c r="AL50" s="68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69"/>
      <c r="BN50" s="69"/>
      <c r="BO50" s="69"/>
      <c r="BP50" s="70"/>
    </row>
    <row r="51" spans="1:68" s="1" customFormat="1" ht="30.75" customHeight="1">
      <c r="A51" s="74">
        <f t="shared" si="0"/>
        <v>43</v>
      </c>
      <c r="B51" s="75"/>
      <c r="C51" s="76"/>
      <c r="D51" s="71" t="s">
        <v>97</v>
      </c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3"/>
      <c r="AA51" s="74" t="s">
        <v>18</v>
      </c>
      <c r="AB51" s="75"/>
      <c r="AC51" s="75"/>
      <c r="AD51" s="75"/>
      <c r="AE51" s="76"/>
      <c r="AF51" s="74">
        <v>14</v>
      </c>
      <c r="AG51" s="75"/>
      <c r="AH51" s="76"/>
      <c r="AI51" s="74"/>
      <c r="AJ51" s="75"/>
      <c r="AK51" s="76"/>
      <c r="AL51" s="68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69"/>
      <c r="BN51" s="69"/>
      <c r="BO51" s="69"/>
      <c r="BP51" s="70"/>
    </row>
    <row r="52" spans="1:68" s="1" customFormat="1" ht="30.75" customHeight="1">
      <c r="A52" s="74">
        <f t="shared" si="0"/>
        <v>44</v>
      </c>
      <c r="B52" s="75"/>
      <c r="C52" s="76"/>
      <c r="D52" s="71" t="s">
        <v>98</v>
      </c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3"/>
      <c r="AA52" s="74" t="s">
        <v>18</v>
      </c>
      <c r="AB52" s="75"/>
      <c r="AC52" s="75"/>
      <c r="AD52" s="75"/>
      <c r="AE52" s="76"/>
      <c r="AF52" s="74">
        <v>14</v>
      </c>
      <c r="AG52" s="75"/>
      <c r="AH52" s="76"/>
      <c r="AI52" s="74"/>
      <c r="AJ52" s="75"/>
      <c r="AK52" s="76"/>
      <c r="AL52" s="68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69"/>
      <c r="BN52" s="69"/>
      <c r="BO52" s="69"/>
      <c r="BP52" s="70"/>
    </row>
    <row r="53" spans="1:68" s="1" customFormat="1" ht="30.75" customHeight="1">
      <c r="A53" s="74">
        <f t="shared" si="0"/>
        <v>45</v>
      </c>
      <c r="B53" s="75"/>
      <c r="C53" s="76"/>
      <c r="D53" s="71" t="s">
        <v>99</v>
      </c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3"/>
      <c r="AA53" s="74" t="s">
        <v>18</v>
      </c>
      <c r="AB53" s="75"/>
      <c r="AC53" s="75"/>
      <c r="AD53" s="75"/>
      <c r="AE53" s="76"/>
      <c r="AF53" s="74">
        <v>14</v>
      </c>
      <c r="AG53" s="75"/>
      <c r="AH53" s="76"/>
      <c r="AI53" s="74"/>
      <c r="AJ53" s="75"/>
      <c r="AK53" s="76"/>
      <c r="AL53" s="68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  <c r="BP53" s="70"/>
    </row>
    <row r="54" spans="1:68" s="1" customFormat="1" ht="30.75" customHeight="1">
      <c r="A54" s="74">
        <f t="shared" si="0"/>
        <v>46</v>
      </c>
      <c r="B54" s="75"/>
      <c r="C54" s="76"/>
      <c r="D54" s="71" t="s">
        <v>100</v>
      </c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3"/>
      <c r="AA54" s="74" t="s">
        <v>18</v>
      </c>
      <c r="AB54" s="75"/>
      <c r="AC54" s="75"/>
      <c r="AD54" s="75"/>
      <c r="AE54" s="76"/>
      <c r="AF54" s="74">
        <v>14</v>
      </c>
      <c r="AG54" s="75"/>
      <c r="AH54" s="76"/>
      <c r="AI54" s="86"/>
      <c r="AJ54" s="86"/>
      <c r="AK54" s="86"/>
      <c r="AL54" s="68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69"/>
      <c r="BN54" s="69"/>
      <c r="BO54" s="69"/>
      <c r="BP54" s="70"/>
    </row>
    <row r="55" spans="1:68" s="1" customFormat="1" ht="30.75" customHeight="1">
      <c r="A55" s="74">
        <f t="shared" si="0"/>
        <v>47</v>
      </c>
      <c r="B55" s="75"/>
      <c r="C55" s="76"/>
      <c r="D55" s="71" t="s">
        <v>101</v>
      </c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3"/>
      <c r="AA55" s="74" t="s">
        <v>18</v>
      </c>
      <c r="AB55" s="75"/>
      <c r="AC55" s="75"/>
      <c r="AD55" s="75"/>
      <c r="AE55" s="76"/>
      <c r="AF55" s="74">
        <v>14</v>
      </c>
      <c r="AG55" s="75"/>
      <c r="AH55" s="76"/>
      <c r="AI55" s="86"/>
      <c r="AJ55" s="86"/>
      <c r="AK55" s="86"/>
      <c r="AL55" s="68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69"/>
      <c r="BN55" s="69"/>
      <c r="BO55" s="69"/>
      <c r="BP55" s="70"/>
    </row>
    <row r="56" spans="1:68" s="1" customFormat="1" ht="30.75" customHeight="1">
      <c r="A56" s="74">
        <f t="shared" si="0"/>
        <v>48</v>
      </c>
      <c r="B56" s="75"/>
      <c r="C56" s="76"/>
      <c r="D56" s="71" t="s">
        <v>102</v>
      </c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3"/>
      <c r="AA56" s="74" t="s">
        <v>18</v>
      </c>
      <c r="AB56" s="75"/>
      <c r="AC56" s="75"/>
      <c r="AD56" s="75"/>
      <c r="AE56" s="76"/>
      <c r="AF56" s="74">
        <v>14</v>
      </c>
      <c r="AG56" s="75"/>
      <c r="AH56" s="76"/>
      <c r="AI56" s="74"/>
      <c r="AJ56" s="75"/>
      <c r="AK56" s="76"/>
      <c r="AL56" s="68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69"/>
      <c r="BN56" s="69"/>
      <c r="BO56" s="69"/>
      <c r="BP56" s="70"/>
    </row>
    <row r="57" spans="1:68" s="1" customFormat="1" ht="30.75" customHeight="1">
      <c r="A57" s="74">
        <f t="shared" si="0"/>
        <v>49</v>
      </c>
      <c r="B57" s="75"/>
      <c r="C57" s="76"/>
      <c r="D57" s="71" t="s">
        <v>103</v>
      </c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3"/>
      <c r="AA57" s="74" t="s">
        <v>18</v>
      </c>
      <c r="AB57" s="75"/>
      <c r="AC57" s="75"/>
      <c r="AD57" s="75"/>
      <c r="AE57" s="76"/>
      <c r="AF57" s="74">
        <v>14</v>
      </c>
      <c r="AG57" s="75"/>
      <c r="AH57" s="76"/>
      <c r="AI57" s="74"/>
      <c r="AJ57" s="75"/>
      <c r="AK57" s="76"/>
      <c r="AL57" s="68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69"/>
      <c r="BN57" s="69"/>
      <c r="BO57" s="69"/>
      <c r="BP57" s="70"/>
    </row>
    <row r="58" spans="1:68" s="1" customFormat="1" ht="30.75" customHeight="1">
      <c r="A58" s="74">
        <f t="shared" si="0"/>
        <v>50</v>
      </c>
      <c r="B58" s="75"/>
      <c r="C58" s="76"/>
      <c r="D58" s="71" t="s">
        <v>104</v>
      </c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3"/>
      <c r="AA58" s="74" t="s">
        <v>18</v>
      </c>
      <c r="AB58" s="75"/>
      <c r="AC58" s="75"/>
      <c r="AD58" s="75"/>
      <c r="AE58" s="76"/>
      <c r="AF58" s="74">
        <v>14</v>
      </c>
      <c r="AG58" s="75"/>
      <c r="AH58" s="76"/>
      <c r="AI58" s="74"/>
      <c r="AJ58" s="75"/>
      <c r="AK58" s="76"/>
      <c r="AL58" s="68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  <c r="BP58" s="70"/>
    </row>
    <row r="59" spans="1:68" s="1" customFormat="1" ht="30.75" customHeight="1">
      <c r="A59" s="74">
        <f t="shared" si="0"/>
        <v>51</v>
      </c>
      <c r="B59" s="75"/>
      <c r="C59" s="76"/>
      <c r="D59" s="71" t="s">
        <v>1330</v>
      </c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3"/>
      <c r="AA59" s="74" t="s">
        <v>18</v>
      </c>
      <c r="AB59" s="75"/>
      <c r="AC59" s="75"/>
      <c r="AD59" s="75"/>
      <c r="AE59" s="76"/>
      <c r="AF59" s="74">
        <v>14</v>
      </c>
      <c r="AG59" s="75"/>
      <c r="AH59" s="76"/>
      <c r="AI59" s="74"/>
      <c r="AJ59" s="75"/>
      <c r="AK59" s="76"/>
      <c r="AL59" s="68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  <c r="BM59" s="69"/>
      <c r="BN59" s="69"/>
      <c r="BO59" s="69"/>
      <c r="BP59" s="70"/>
    </row>
    <row r="60" spans="1:68" s="1" customFormat="1" ht="30.75" customHeight="1">
      <c r="A60" s="74">
        <f t="shared" si="0"/>
        <v>52</v>
      </c>
      <c r="B60" s="75"/>
      <c r="C60" s="76"/>
      <c r="D60" s="71" t="s">
        <v>1335</v>
      </c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3"/>
      <c r="AA60" s="74" t="s">
        <v>18</v>
      </c>
      <c r="AB60" s="75"/>
      <c r="AC60" s="75"/>
      <c r="AD60" s="75"/>
      <c r="AE60" s="76"/>
      <c r="AF60" s="74">
        <v>14</v>
      </c>
      <c r="AG60" s="75"/>
      <c r="AH60" s="76"/>
      <c r="AI60" s="74"/>
      <c r="AJ60" s="75"/>
      <c r="AK60" s="76"/>
      <c r="AL60" s="68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69"/>
      <c r="BN60" s="69"/>
      <c r="BO60" s="69"/>
      <c r="BP60" s="70"/>
    </row>
    <row r="61" spans="1:68" s="1" customFormat="1" ht="30.75" customHeight="1">
      <c r="A61" s="74">
        <f t="shared" si="0"/>
        <v>53</v>
      </c>
      <c r="B61" s="75"/>
      <c r="C61" s="76"/>
      <c r="D61" s="71" t="s">
        <v>1354</v>
      </c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3"/>
      <c r="AA61" s="74" t="s">
        <v>18</v>
      </c>
      <c r="AB61" s="75"/>
      <c r="AC61" s="75"/>
      <c r="AD61" s="75"/>
      <c r="AE61" s="76"/>
      <c r="AF61" s="86">
        <v>14</v>
      </c>
      <c r="AG61" s="86"/>
      <c r="AH61" s="86"/>
      <c r="AI61" s="86"/>
      <c r="AJ61" s="86"/>
      <c r="AK61" s="86"/>
      <c r="AL61" s="68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69"/>
      <c r="BN61" s="69"/>
      <c r="BO61" s="69"/>
      <c r="BP61" s="70"/>
    </row>
    <row r="62" spans="1:68" s="1" customFormat="1" ht="30.75" customHeight="1">
      <c r="A62" s="74">
        <f t="shared" si="0"/>
        <v>54</v>
      </c>
      <c r="B62" s="75"/>
      <c r="C62" s="76"/>
      <c r="D62" s="71" t="s">
        <v>1340</v>
      </c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3"/>
      <c r="AA62" s="74" t="s">
        <v>18</v>
      </c>
      <c r="AB62" s="75"/>
      <c r="AC62" s="75"/>
      <c r="AD62" s="75"/>
      <c r="AE62" s="76"/>
      <c r="AF62" s="86">
        <v>14</v>
      </c>
      <c r="AG62" s="86"/>
      <c r="AH62" s="86"/>
      <c r="AI62" s="86"/>
      <c r="AJ62" s="86"/>
      <c r="AK62" s="86"/>
      <c r="AL62" s="68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9"/>
      <c r="BF62" s="69"/>
      <c r="BG62" s="69"/>
      <c r="BH62" s="69"/>
      <c r="BI62" s="69"/>
      <c r="BJ62" s="69"/>
      <c r="BK62" s="69"/>
      <c r="BL62" s="69"/>
      <c r="BM62" s="69"/>
      <c r="BN62" s="69"/>
      <c r="BO62" s="69"/>
      <c r="BP62" s="70"/>
    </row>
    <row r="63" spans="1:68" s="1" customFormat="1" ht="30.75" customHeight="1">
      <c r="A63" s="74">
        <f t="shared" si="0"/>
        <v>55</v>
      </c>
      <c r="B63" s="75"/>
      <c r="C63" s="76"/>
      <c r="D63" s="71" t="s">
        <v>105</v>
      </c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3"/>
      <c r="AA63" s="74" t="s">
        <v>18</v>
      </c>
      <c r="AB63" s="75"/>
      <c r="AC63" s="75"/>
      <c r="AD63" s="75"/>
      <c r="AE63" s="76"/>
      <c r="AF63" s="86">
        <v>14</v>
      </c>
      <c r="AG63" s="86"/>
      <c r="AH63" s="86"/>
      <c r="AI63" s="86"/>
      <c r="AJ63" s="86"/>
      <c r="AK63" s="86"/>
      <c r="AL63" s="68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  <c r="BM63" s="69"/>
      <c r="BN63" s="69"/>
      <c r="BO63" s="69"/>
      <c r="BP63" s="70"/>
    </row>
    <row r="64" spans="1:68" s="1" customFormat="1" ht="30.75" customHeight="1">
      <c r="A64" s="74">
        <f t="shared" si="0"/>
        <v>56</v>
      </c>
      <c r="B64" s="75"/>
      <c r="C64" s="76"/>
      <c r="D64" s="71" t="s">
        <v>106</v>
      </c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3"/>
      <c r="AA64" s="74" t="s">
        <v>18</v>
      </c>
      <c r="AB64" s="75"/>
      <c r="AC64" s="75"/>
      <c r="AD64" s="75"/>
      <c r="AE64" s="76"/>
      <c r="AF64" s="74">
        <v>14</v>
      </c>
      <c r="AG64" s="75"/>
      <c r="AH64" s="76"/>
      <c r="AI64" s="74"/>
      <c r="AJ64" s="75"/>
      <c r="AK64" s="76"/>
      <c r="AL64" s="68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69"/>
      <c r="BN64" s="69"/>
      <c r="BO64" s="69"/>
      <c r="BP64" s="70"/>
    </row>
    <row r="65" spans="1:68" s="1" customFormat="1" ht="30.75" customHeight="1">
      <c r="A65" s="74">
        <f t="shared" si="0"/>
        <v>57</v>
      </c>
      <c r="B65" s="75"/>
      <c r="C65" s="76"/>
      <c r="D65" s="71" t="s">
        <v>107</v>
      </c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3"/>
      <c r="AA65" s="74" t="s">
        <v>18</v>
      </c>
      <c r="AB65" s="75"/>
      <c r="AC65" s="75"/>
      <c r="AD65" s="75"/>
      <c r="AE65" s="76"/>
      <c r="AF65" s="74">
        <v>14</v>
      </c>
      <c r="AG65" s="75"/>
      <c r="AH65" s="76"/>
      <c r="AI65" s="74"/>
      <c r="AJ65" s="75"/>
      <c r="AK65" s="76"/>
      <c r="AL65" s="68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69"/>
      <c r="BN65" s="69"/>
      <c r="BO65" s="69"/>
      <c r="BP65" s="70"/>
    </row>
    <row r="66" spans="1:68" s="1" customFormat="1" ht="30.75" customHeight="1">
      <c r="A66" s="74">
        <f t="shared" si="0"/>
        <v>58</v>
      </c>
      <c r="B66" s="75"/>
      <c r="C66" s="76"/>
      <c r="D66" s="71" t="s">
        <v>108</v>
      </c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3"/>
      <c r="AA66" s="74" t="s">
        <v>18</v>
      </c>
      <c r="AB66" s="75"/>
      <c r="AC66" s="75"/>
      <c r="AD66" s="75"/>
      <c r="AE66" s="76"/>
      <c r="AF66" s="74">
        <v>14</v>
      </c>
      <c r="AG66" s="75"/>
      <c r="AH66" s="76"/>
      <c r="AI66" s="74"/>
      <c r="AJ66" s="75"/>
      <c r="AK66" s="76"/>
      <c r="AL66" s="68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  <c r="BM66" s="69"/>
      <c r="BN66" s="69"/>
      <c r="BO66" s="69"/>
      <c r="BP66" s="70"/>
    </row>
    <row r="67" spans="1:68" s="1" customFormat="1" ht="30.75" customHeight="1">
      <c r="A67" s="74">
        <f t="shared" si="0"/>
        <v>59</v>
      </c>
      <c r="B67" s="75"/>
      <c r="C67" s="76"/>
      <c r="D67" s="71" t="s">
        <v>109</v>
      </c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3"/>
      <c r="AA67" s="74" t="s">
        <v>18</v>
      </c>
      <c r="AB67" s="75"/>
      <c r="AC67" s="75"/>
      <c r="AD67" s="75"/>
      <c r="AE67" s="76"/>
      <c r="AF67" s="74">
        <v>14</v>
      </c>
      <c r="AG67" s="75"/>
      <c r="AH67" s="76"/>
      <c r="AI67" s="74"/>
      <c r="AJ67" s="75"/>
      <c r="AK67" s="76"/>
      <c r="AL67" s="68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  <c r="BM67" s="69"/>
      <c r="BN67" s="69"/>
      <c r="BO67" s="69"/>
      <c r="BP67" s="70"/>
    </row>
    <row r="68" spans="1:68" s="1" customFormat="1" ht="30.75" customHeight="1">
      <c r="A68" s="74">
        <f t="shared" si="0"/>
        <v>60</v>
      </c>
      <c r="B68" s="75"/>
      <c r="C68" s="76"/>
      <c r="D68" s="71" t="s">
        <v>110</v>
      </c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3"/>
      <c r="AA68" s="74" t="s">
        <v>18</v>
      </c>
      <c r="AB68" s="75"/>
      <c r="AC68" s="75"/>
      <c r="AD68" s="75"/>
      <c r="AE68" s="76"/>
      <c r="AF68" s="74">
        <v>14</v>
      </c>
      <c r="AG68" s="75"/>
      <c r="AH68" s="76"/>
      <c r="AI68" s="74"/>
      <c r="AJ68" s="75"/>
      <c r="AK68" s="76"/>
      <c r="AL68" s="68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  <c r="BM68" s="69"/>
      <c r="BN68" s="69"/>
      <c r="BO68" s="69"/>
      <c r="BP68" s="70"/>
    </row>
    <row r="69" spans="1:68" s="1" customFormat="1" ht="30.75" customHeight="1">
      <c r="A69" s="74">
        <f t="shared" si="0"/>
        <v>61</v>
      </c>
      <c r="B69" s="75"/>
      <c r="C69" s="76"/>
      <c r="D69" s="71" t="s">
        <v>111</v>
      </c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3"/>
      <c r="AA69" s="74" t="s">
        <v>18</v>
      </c>
      <c r="AB69" s="75"/>
      <c r="AC69" s="75"/>
      <c r="AD69" s="75"/>
      <c r="AE69" s="76"/>
      <c r="AF69" s="74">
        <v>14</v>
      </c>
      <c r="AG69" s="75"/>
      <c r="AH69" s="76"/>
      <c r="AI69" s="74"/>
      <c r="AJ69" s="75"/>
      <c r="AK69" s="76"/>
      <c r="AL69" s="68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69"/>
      <c r="BN69" s="69"/>
      <c r="BO69" s="69"/>
      <c r="BP69" s="70"/>
    </row>
    <row r="70" spans="1:68" s="1" customFormat="1" ht="30.75" customHeight="1">
      <c r="A70" s="74">
        <f t="shared" si="0"/>
        <v>62</v>
      </c>
      <c r="B70" s="75"/>
      <c r="C70" s="76"/>
      <c r="D70" s="71" t="s">
        <v>112</v>
      </c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3"/>
      <c r="AA70" s="74" t="s">
        <v>18</v>
      </c>
      <c r="AB70" s="75"/>
      <c r="AC70" s="75"/>
      <c r="AD70" s="75"/>
      <c r="AE70" s="76"/>
      <c r="AF70" s="74">
        <v>14</v>
      </c>
      <c r="AG70" s="75"/>
      <c r="AH70" s="76"/>
      <c r="AI70" s="74"/>
      <c r="AJ70" s="75"/>
      <c r="AK70" s="76"/>
      <c r="AL70" s="68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69"/>
      <c r="BN70" s="69"/>
      <c r="BO70" s="69"/>
      <c r="BP70" s="70"/>
    </row>
    <row r="71" spans="1:68" s="1" customFormat="1" ht="30.75" customHeight="1">
      <c r="A71" s="74">
        <f t="shared" si="0"/>
        <v>63</v>
      </c>
      <c r="B71" s="75"/>
      <c r="C71" s="76"/>
      <c r="D71" s="71" t="s">
        <v>113</v>
      </c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3"/>
      <c r="AA71" s="74" t="s">
        <v>18</v>
      </c>
      <c r="AB71" s="75"/>
      <c r="AC71" s="75"/>
      <c r="AD71" s="75"/>
      <c r="AE71" s="76"/>
      <c r="AF71" s="74">
        <v>14</v>
      </c>
      <c r="AG71" s="75"/>
      <c r="AH71" s="76"/>
      <c r="AI71" s="86"/>
      <c r="AJ71" s="86"/>
      <c r="AK71" s="86"/>
      <c r="AL71" s="68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  <c r="BM71" s="69"/>
      <c r="BN71" s="69"/>
      <c r="BO71" s="69"/>
      <c r="BP71" s="70"/>
    </row>
    <row r="72" spans="1:68" s="1" customFormat="1" ht="30.75" customHeight="1">
      <c r="A72" s="74">
        <f t="shared" si="0"/>
        <v>64</v>
      </c>
      <c r="B72" s="75"/>
      <c r="C72" s="76"/>
      <c r="D72" s="71" t="s">
        <v>1341</v>
      </c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3"/>
      <c r="AA72" s="74" t="s">
        <v>18</v>
      </c>
      <c r="AB72" s="75"/>
      <c r="AC72" s="75"/>
      <c r="AD72" s="75"/>
      <c r="AE72" s="76"/>
      <c r="AF72" s="74">
        <v>14</v>
      </c>
      <c r="AG72" s="75"/>
      <c r="AH72" s="76"/>
      <c r="AI72" s="86"/>
      <c r="AJ72" s="86"/>
      <c r="AK72" s="86"/>
      <c r="AL72" s="68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69"/>
      <c r="BN72" s="69"/>
      <c r="BO72" s="69"/>
      <c r="BP72" s="70"/>
    </row>
    <row r="73" spans="1:68" s="1" customFormat="1" ht="30.75" customHeight="1">
      <c r="A73" s="74">
        <f t="shared" ref="A73:A84" si="1">ROW()-8</f>
        <v>65</v>
      </c>
      <c r="B73" s="75"/>
      <c r="C73" s="76"/>
      <c r="D73" s="71" t="s">
        <v>114</v>
      </c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3"/>
      <c r="AA73" s="74" t="s">
        <v>18</v>
      </c>
      <c r="AB73" s="75"/>
      <c r="AC73" s="75"/>
      <c r="AD73" s="75"/>
      <c r="AE73" s="76"/>
      <c r="AF73" s="74">
        <v>14</v>
      </c>
      <c r="AG73" s="75"/>
      <c r="AH73" s="76"/>
      <c r="AI73" s="86"/>
      <c r="AJ73" s="86"/>
      <c r="AK73" s="86"/>
      <c r="AL73" s="68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69"/>
      <c r="BO73" s="69"/>
      <c r="BP73" s="70"/>
    </row>
    <row r="74" spans="1:68" s="1" customFormat="1" ht="30.75" customHeight="1">
      <c r="A74" s="74">
        <f t="shared" si="1"/>
        <v>66</v>
      </c>
      <c r="B74" s="75"/>
      <c r="C74" s="76"/>
      <c r="D74" s="71" t="s">
        <v>1342</v>
      </c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3"/>
      <c r="AA74" s="74" t="s">
        <v>18</v>
      </c>
      <c r="AB74" s="75"/>
      <c r="AC74" s="75"/>
      <c r="AD74" s="75"/>
      <c r="AE74" s="76"/>
      <c r="AF74" s="74">
        <v>14</v>
      </c>
      <c r="AG74" s="75"/>
      <c r="AH74" s="76"/>
      <c r="AI74" s="86"/>
      <c r="AJ74" s="86"/>
      <c r="AK74" s="86"/>
      <c r="AL74" s="68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  <c r="BC74" s="69"/>
      <c r="BD74" s="69"/>
      <c r="BE74" s="69"/>
      <c r="BF74" s="69"/>
      <c r="BG74" s="69"/>
      <c r="BH74" s="69"/>
      <c r="BI74" s="69"/>
      <c r="BJ74" s="69"/>
      <c r="BK74" s="69"/>
      <c r="BL74" s="69"/>
      <c r="BM74" s="69"/>
      <c r="BN74" s="69"/>
      <c r="BO74" s="69"/>
      <c r="BP74" s="70"/>
    </row>
    <row r="75" spans="1:68" s="1" customFormat="1" ht="30.75" customHeight="1">
      <c r="A75" s="74">
        <f t="shared" si="1"/>
        <v>67</v>
      </c>
      <c r="B75" s="75"/>
      <c r="C75" s="76"/>
      <c r="D75" s="77" t="s">
        <v>115</v>
      </c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9"/>
      <c r="AA75" s="80" t="s">
        <v>18</v>
      </c>
      <c r="AB75" s="81"/>
      <c r="AC75" s="81"/>
      <c r="AD75" s="81"/>
      <c r="AE75" s="82"/>
      <c r="AF75" s="74">
        <v>14</v>
      </c>
      <c r="AG75" s="75"/>
      <c r="AH75" s="76"/>
      <c r="AI75" s="86"/>
      <c r="AJ75" s="86"/>
      <c r="AK75" s="86"/>
      <c r="AL75" s="83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5"/>
    </row>
    <row r="76" spans="1:68" s="1" customFormat="1" ht="30.75" customHeight="1">
      <c r="A76" s="74">
        <f t="shared" si="1"/>
        <v>68</v>
      </c>
      <c r="B76" s="75"/>
      <c r="C76" s="76"/>
      <c r="D76" s="77" t="s">
        <v>1343</v>
      </c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9"/>
      <c r="AA76" s="80" t="s">
        <v>18</v>
      </c>
      <c r="AB76" s="81"/>
      <c r="AC76" s="81"/>
      <c r="AD76" s="81"/>
      <c r="AE76" s="82"/>
      <c r="AF76" s="74">
        <v>14</v>
      </c>
      <c r="AG76" s="75"/>
      <c r="AH76" s="76"/>
      <c r="AI76" s="91"/>
      <c r="AJ76" s="91"/>
      <c r="AK76" s="91"/>
      <c r="AL76" s="83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5"/>
    </row>
    <row r="77" spans="1:68" s="1" customFormat="1" ht="30.75" customHeight="1">
      <c r="A77" s="74">
        <f t="shared" si="1"/>
        <v>69</v>
      </c>
      <c r="B77" s="75"/>
      <c r="C77" s="76"/>
      <c r="D77" s="71" t="s">
        <v>116</v>
      </c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3"/>
      <c r="AA77" s="74" t="s">
        <v>18</v>
      </c>
      <c r="AB77" s="75"/>
      <c r="AC77" s="75"/>
      <c r="AD77" s="75"/>
      <c r="AE77" s="76"/>
      <c r="AF77" s="74">
        <v>14</v>
      </c>
      <c r="AG77" s="75"/>
      <c r="AH77" s="76"/>
      <c r="AI77" s="86"/>
      <c r="AJ77" s="86"/>
      <c r="AK77" s="86"/>
      <c r="AL77" s="68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69"/>
      <c r="BG77" s="69"/>
      <c r="BH77" s="69"/>
      <c r="BI77" s="69"/>
      <c r="BJ77" s="69"/>
      <c r="BK77" s="69"/>
      <c r="BL77" s="69"/>
      <c r="BM77" s="69"/>
      <c r="BN77" s="69"/>
      <c r="BO77" s="69"/>
      <c r="BP77" s="70"/>
    </row>
    <row r="78" spans="1:68" s="1" customFormat="1" ht="30.75" customHeight="1">
      <c r="A78" s="74">
        <f t="shared" si="1"/>
        <v>70</v>
      </c>
      <c r="B78" s="75"/>
      <c r="C78" s="76"/>
      <c r="D78" s="71" t="s">
        <v>117</v>
      </c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3"/>
      <c r="AA78" s="74" t="s">
        <v>18</v>
      </c>
      <c r="AB78" s="75"/>
      <c r="AC78" s="75"/>
      <c r="AD78" s="75"/>
      <c r="AE78" s="76"/>
      <c r="AF78" s="74">
        <v>14</v>
      </c>
      <c r="AG78" s="75"/>
      <c r="AH78" s="76"/>
      <c r="AI78" s="86"/>
      <c r="AJ78" s="86"/>
      <c r="AK78" s="86"/>
      <c r="AL78" s="68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69"/>
      <c r="BJ78" s="69"/>
      <c r="BK78" s="69"/>
      <c r="BL78" s="69"/>
      <c r="BM78" s="69"/>
      <c r="BN78" s="69"/>
      <c r="BO78" s="69"/>
      <c r="BP78" s="70"/>
    </row>
    <row r="79" spans="1:68" s="1" customFormat="1" ht="30.75" customHeight="1">
      <c r="A79" s="74">
        <f t="shared" si="1"/>
        <v>71</v>
      </c>
      <c r="B79" s="75"/>
      <c r="C79" s="76"/>
      <c r="D79" s="71" t="s">
        <v>118</v>
      </c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3"/>
      <c r="AA79" s="74" t="s">
        <v>18</v>
      </c>
      <c r="AB79" s="75"/>
      <c r="AC79" s="75"/>
      <c r="AD79" s="75"/>
      <c r="AE79" s="76"/>
      <c r="AF79" s="74">
        <v>14</v>
      </c>
      <c r="AG79" s="75"/>
      <c r="AH79" s="76"/>
      <c r="AI79" s="86"/>
      <c r="AJ79" s="86"/>
      <c r="AK79" s="86"/>
      <c r="AL79" s="68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  <c r="BC79" s="69"/>
      <c r="BD79" s="69"/>
      <c r="BE79" s="69"/>
      <c r="BF79" s="69"/>
      <c r="BG79" s="69"/>
      <c r="BH79" s="69"/>
      <c r="BI79" s="69"/>
      <c r="BJ79" s="69"/>
      <c r="BK79" s="69"/>
      <c r="BL79" s="69"/>
      <c r="BM79" s="69"/>
      <c r="BN79" s="69"/>
      <c r="BO79" s="69"/>
      <c r="BP79" s="70"/>
    </row>
    <row r="80" spans="1:68" s="1" customFormat="1" ht="30.75" customHeight="1">
      <c r="A80" s="74">
        <f t="shared" si="1"/>
        <v>72</v>
      </c>
      <c r="B80" s="75"/>
      <c r="C80" s="76"/>
      <c r="D80" s="71" t="s">
        <v>119</v>
      </c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3"/>
      <c r="AA80" s="74" t="s">
        <v>18</v>
      </c>
      <c r="AB80" s="75"/>
      <c r="AC80" s="75"/>
      <c r="AD80" s="75"/>
      <c r="AE80" s="76"/>
      <c r="AF80" s="74">
        <v>14</v>
      </c>
      <c r="AG80" s="75"/>
      <c r="AH80" s="76"/>
      <c r="AI80" s="86"/>
      <c r="AJ80" s="86"/>
      <c r="AK80" s="86"/>
      <c r="AL80" s="68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69"/>
      <c r="BN80" s="69"/>
      <c r="BO80" s="69"/>
      <c r="BP80" s="70"/>
    </row>
    <row r="81" spans="1:68" s="1" customFormat="1" ht="30.75" customHeight="1">
      <c r="A81" s="74">
        <f t="shared" si="1"/>
        <v>73</v>
      </c>
      <c r="B81" s="75"/>
      <c r="C81" s="76"/>
      <c r="D81" s="71" t="s">
        <v>120</v>
      </c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3"/>
      <c r="AA81" s="74" t="s">
        <v>18</v>
      </c>
      <c r="AB81" s="75"/>
      <c r="AC81" s="75"/>
      <c r="AD81" s="75"/>
      <c r="AE81" s="76"/>
      <c r="AF81" s="74">
        <v>14</v>
      </c>
      <c r="AG81" s="75"/>
      <c r="AH81" s="76"/>
      <c r="AI81" s="86"/>
      <c r="AJ81" s="86"/>
      <c r="AK81" s="86"/>
      <c r="AL81" s="68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69"/>
      <c r="BE81" s="69"/>
      <c r="BF81" s="69"/>
      <c r="BG81" s="69"/>
      <c r="BH81" s="69"/>
      <c r="BI81" s="69"/>
      <c r="BJ81" s="69"/>
      <c r="BK81" s="69"/>
      <c r="BL81" s="69"/>
      <c r="BM81" s="69"/>
      <c r="BN81" s="69"/>
      <c r="BO81" s="69"/>
      <c r="BP81" s="70"/>
    </row>
    <row r="82" spans="1:68" s="1" customFormat="1" ht="30.75" customHeight="1">
      <c r="A82" s="74">
        <f t="shared" si="1"/>
        <v>74</v>
      </c>
      <c r="B82" s="75"/>
      <c r="C82" s="76"/>
      <c r="D82" s="71" t="s">
        <v>121</v>
      </c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3"/>
      <c r="AA82" s="74" t="s">
        <v>18</v>
      </c>
      <c r="AB82" s="75"/>
      <c r="AC82" s="75"/>
      <c r="AD82" s="75"/>
      <c r="AE82" s="76"/>
      <c r="AF82" s="74">
        <v>14</v>
      </c>
      <c r="AG82" s="75"/>
      <c r="AH82" s="76"/>
      <c r="AI82" s="86"/>
      <c r="AJ82" s="86"/>
      <c r="AK82" s="86"/>
      <c r="AL82" s="68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69"/>
      <c r="BE82" s="69"/>
      <c r="BF82" s="69"/>
      <c r="BG82" s="69"/>
      <c r="BH82" s="69"/>
      <c r="BI82" s="69"/>
      <c r="BJ82" s="69"/>
      <c r="BK82" s="69"/>
      <c r="BL82" s="69"/>
      <c r="BM82" s="69"/>
      <c r="BN82" s="69"/>
      <c r="BO82" s="69"/>
      <c r="BP82" s="70"/>
    </row>
    <row r="83" spans="1:68" s="1" customFormat="1" ht="30.75" customHeight="1">
      <c r="A83" s="74">
        <f t="shared" si="1"/>
        <v>75</v>
      </c>
      <c r="B83" s="75"/>
      <c r="C83" s="76"/>
      <c r="D83" s="71" t="s">
        <v>122</v>
      </c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3"/>
      <c r="AA83" s="74" t="s">
        <v>18</v>
      </c>
      <c r="AB83" s="75"/>
      <c r="AC83" s="75"/>
      <c r="AD83" s="75"/>
      <c r="AE83" s="76"/>
      <c r="AF83" s="86">
        <v>14</v>
      </c>
      <c r="AG83" s="86"/>
      <c r="AH83" s="86"/>
      <c r="AI83" s="86"/>
      <c r="AJ83" s="86"/>
      <c r="AK83" s="86"/>
      <c r="AL83" s="68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  <c r="BH83" s="69"/>
      <c r="BI83" s="69"/>
      <c r="BJ83" s="69"/>
      <c r="BK83" s="69"/>
      <c r="BL83" s="69"/>
      <c r="BM83" s="69"/>
      <c r="BN83" s="69"/>
      <c r="BO83" s="69"/>
      <c r="BP83" s="70"/>
    </row>
    <row r="84" spans="1:68" s="1" customFormat="1" ht="30.75" customHeight="1">
      <c r="A84" s="74">
        <f t="shared" si="1"/>
        <v>76</v>
      </c>
      <c r="B84" s="75"/>
      <c r="C84" s="76"/>
      <c r="D84" s="71" t="s">
        <v>123</v>
      </c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3"/>
      <c r="AA84" s="74" t="s">
        <v>18</v>
      </c>
      <c r="AB84" s="75"/>
      <c r="AC84" s="75"/>
      <c r="AD84" s="75"/>
      <c r="AE84" s="76"/>
      <c r="AF84" s="86">
        <v>14</v>
      </c>
      <c r="AG84" s="86"/>
      <c r="AH84" s="86"/>
      <c r="AI84" s="86"/>
      <c r="AJ84" s="86"/>
      <c r="AK84" s="86"/>
      <c r="AL84" s="68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  <c r="BC84" s="69"/>
      <c r="BD84" s="69"/>
      <c r="BE84" s="69"/>
      <c r="BF84" s="69"/>
      <c r="BG84" s="69"/>
      <c r="BH84" s="69"/>
      <c r="BI84" s="69"/>
      <c r="BJ84" s="69"/>
      <c r="BK84" s="69"/>
      <c r="BL84" s="69"/>
      <c r="BM84" s="69"/>
      <c r="BN84" s="69"/>
      <c r="BO84" s="69"/>
      <c r="BP84" s="70"/>
    </row>
    <row r="85" spans="1:68" s="1" customFormat="1" ht="30.75" customHeight="1">
      <c r="A85" s="74">
        <v>77</v>
      </c>
      <c r="B85" s="75"/>
      <c r="C85" s="76"/>
      <c r="D85" s="71" t="s">
        <v>1355</v>
      </c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3"/>
      <c r="AA85" s="74" t="s">
        <v>18</v>
      </c>
      <c r="AB85" s="75"/>
      <c r="AC85" s="75"/>
      <c r="AD85" s="75"/>
      <c r="AE85" s="76"/>
      <c r="AF85" s="74">
        <v>14</v>
      </c>
      <c r="AG85" s="75"/>
      <c r="AH85" s="76"/>
      <c r="AI85" s="74"/>
      <c r="AJ85" s="75"/>
      <c r="AK85" s="76"/>
      <c r="AL85" s="68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  <c r="BC85" s="69"/>
      <c r="BD85" s="69"/>
      <c r="BE85" s="69"/>
      <c r="BF85" s="69"/>
      <c r="BG85" s="69"/>
      <c r="BH85" s="69"/>
      <c r="BI85" s="69"/>
      <c r="BJ85" s="69"/>
      <c r="BK85" s="69"/>
      <c r="BL85" s="69"/>
      <c r="BM85" s="69"/>
      <c r="BN85" s="69"/>
      <c r="BO85" s="69"/>
      <c r="BP85" s="70"/>
    </row>
    <row r="86" spans="1:68" s="1" customFormat="1" ht="30.75" customHeight="1">
      <c r="A86" s="74"/>
      <c r="B86" s="75"/>
      <c r="C86" s="76"/>
      <c r="D86" s="71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3"/>
      <c r="AA86" s="74"/>
      <c r="AB86" s="75"/>
      <c r="AC86" s="75"/>
      <c r="AD86" s="75"/>
      <c r="AE86" s="76"/>
      <c r="AF86" s="74"/>
      <c r="AG86" s="75"/>
      <c r="AH86" s="76"/>
      <c r="AI86" s="74"/>
      <c r="AJ86" s="75"/>
      <c r="AK86" s="76"/>
      <c r="AL86" s="68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69"/>
      <c r="BM86" s="69"/>
      <c r="BN86" s="69"/>
      <c r="BO86" s="69"/>
      <c r="BP86" s="70"/>
    </row>
    <row r="87" spans="1:68" s="1" customFormat="1" ht="30.75" customHeight="1">
      <c r="A87" s="80"/>
      <c r="B87" s="81"/>
      <c r="C87" s="82"/>
      <c r="D87" s="77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9"/>
      <c r="AA87" s="80"/>
      <c r="AB87" s="81"/>
      <c r="AC87" s="81"/>
      <c r="AD87" s="81"/>
      <c r="AE87" s="82"/>
      <c r="AF87" s="87"/>
      <c r="AG87" s="87"/>
      <c r="AH87" s="87"/>
      <c r="AI87" s="87"/>
      <c r="AJ87" s="87"/>
      <c r="AK87" s="87"/>
      <c r="AL87" s="83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  <c r="BM87" s="84"/>
      <c r="BN87" s="84"/>
      <c r="BO87" s="84"/>
      <c r="BP87" s="85"/>
    </row>
    <row r="88" spans="1:68" s="4" customFormat="1" ht="3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3"/>
      <c r="AG88" s="3"/>
      <c r="AH88" s="3"/>
      <c r="AI88" s="3"/>
      <c r="AJ88" s="3"/>
      <c r="AK88" s="3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</row>
    <row r="89" spans="1:68" s="4" customFormat="1" ht="14.25">
      <c r="A89" s="5" t="s">
        <v>14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15"/>
      <c r="AG89" s="15"/>
      <c r="AH89" s="15"/>
      <c r="AI89" s="15"/>
      <c r="AJ89" s="15"/>
      <c r="AK89" s="15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6"/>
    </row>
    <row r="90" spans="1:68" s="4" customFormat="1" ht="20.25" customHeight="1">
      <c r="A90" s="5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6"/>
    </row>
    <row r="91" spans="1:68" s="4" customFormat="1" ht="20.25" customHeight="1">
      <c r="A91" s="5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6"/>
    </row>
    <row r="92" spans="1:68" s="4" customFormat="1" ht="20.25" customHeight="1">
      <c r="A92" s="5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6"/>
    </row>
    <row r="93" spans="1:68" s="4" customFormat="1" ht="20.25" customHeight="1">
      <c r="A93" s="5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6"/>
    </row>
    <row r="94" spans="1:68" s="4" customFormat="1" ht="20.25" customHeight="1">
      <c r="A94" s="7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9"/>
    </row>
    <row r="95" spans="1:68" ht="5.25" customHeight="1"/>
  </sheetData>
  <mergeCells count="499">
    <mergeCell ref="AF87:AH87"/>
    <mergeCell ref="AI87:AK87"/>
    <mergeCell ref="A10:C10"/>
    <mergeCell ref="D10:Z10"/>
    <mergeCell ref="AA10:AE10"/>
    <mergeCell ref="AF10:AH10"/>
    <mergeCell ref="AI10:AK10"/>
    <mergeCell ref="AL10:BP10"/>
    <mergeCell ref="A87:C87"/>
    <mergeCell ref="D87:Z87"/>
    <mergeCell ref="AA87:AE87"/>
    <mergeCell ref="AL87:BP87"/>
    <mergeCell ref="AF83:AH83"/>
    <mergeCell ref="AI83:AK83"/>
    <mergeCell ref="A86:C86"/>
    <mergeCell ref="D86:Z86"/>
    <mergeCell ref="AA86:AE86"/>
    <mergeCell ref="AL86:BP86"/>
    <mergeCell ref="A84:C84"/>
    <mergeCell ref="D84:Z84"/>
    <mergeCell ref="AA84:AE84"/>
    <mergeCell ref="AL84:BP84"/>
    <mergeCell ref="A85:C85"/>
    <mergeCell ref="D85:Z85"/>
    <mergeCell ref="AA85:AE85"/>
    <mergeCell ref="AL85:BP85"/>
    <mergeCell ref="AF84:AH84"/>
    <mergeCell ref="AI84:AK84"/>
    <mergeCell ref="AF85:AH85"/>
    <mergeCell ref="AI85:AK85"/>
    <mergeCell ref="AF86:AH86"/>
    <mergeCell ref="AI86:AK86"/>
    <mergeCell ref="AF79:AH79"/>
    <mergeCell ref="AI79:AK79"/>
    <mergeCell ref="A82:C82"/>
    <mergeCell ref="D82:Z82"/>
    <mergeCell ref="AA82:AE82"/>
    <mergeCell ref="AL82:BP82"/>
    <mergeCell ref="A83:C83"/>
    <mergeCell ref="D83:Z83"/>
    <mergeCell ref="AA83:AE83"/>
    <mergeCell ref="AL83:BP83"/>
    <mergeCell ref="A80:C80"/>
    <mergeCell ref="D80:Z80"/>
    <mergeCell ref="AA80:AE80"/>
    <mergeCell ref="AL80:BP80"/>
    <mergeCell ref="A81:C81"/>
    <mergeCell ref="D81:Z81"/>
    <mergeCell ref="AA81:AE81"/>
    <mergeCell ref="AL81:BP81"/>
    <mergeCell ref="AF80:AH80"/>
    <mergeCell ref="AI80:AK80"/>
    <mergeCell ref="AF81:AH81"/>
    <mergeCell ref="AI81:AK81"/>
    <mergeCell ref="AF82:AH82"/>
    <mergeCell ref="AI82:AK82"/>
    <mergeCell ref="AF75:AH75"/>
    <mergeCell ref="AI75:AK75"/>
    <mergeCell ref="A78:C78"/>
    <mergeCell ref="D78:Z78"/>
    <mergeCell ref="AA78:AE78"/>
    <mergeCell ref="AL78:BP78"/>
    <mergeCell ref="A79:C79"/>
    <mergeCell ref="D79:Z79"/>
    <mergeCell ref="AA79:AE79"/>
    <mergeCell ref="AL79:BP79"/>
    <mergeCell ref="A76:C76"/>
    <mergeCell ref="D76:Z76"/>
    <mergeCell ref="AA76:AE76"/>
    <mergeCell ref="AL76:BP76"/>
    <mergeCell ref="A77:C77"/>
    <mergeCell ref="D77:Z77"/>
    <mergeCell ref="AA77:AE77"/>
    <mergeCell ref="AL77:BP77"/>
    <mergeCell ref="AF76:AH76"/>
    <mergeCell ref="AI76:AK76"/>
    <mergeCell ref="AF77:AH77"/>
    <mergeCell ref="AI77:AK77"/>
    <mergeCell ref="AF78:AH78"/>
    <mergeCell ref="AI78:AK78"/>
    <mergeCell ref="AF71:AH71"/>
    <mergeCell ref="AI71:AK71"/>
    <mergeCell ref="A74:C74"/>
    <mergeCell ref="D74:Z74"/>
    <mergeCell ref="AA74:AE74"/>
    <mergeCell ref="AL74:BP74"/>
    <mergeCell ref="A75:C75"/>
    <mergeCell ref="D75:Z75"/>
    <mergeCell ref="AA75:AE75"/>
    <mergeCell ref="AL75:BP75"/>
    <mergeCell ref="A72:C72"/>
    <mergeCell ref="D72:Z72"/>
    <mergeCell ref="AA72:AE72"/>
    <mergeCell ref="AL72:BP72"/>
    <mergeCell ref="A73:C73"/>
    <mergeCell ref="D73:Z73"/>
    <mergeCell ref="AA73:AE73"/>
    <mergeCell ref="AL73:BP73"/>
    <mergeCell ref="AF72:AH72"/>
    <mergeCell ref="AI72:AK72"/>
    <mergeCell ref="AF73:AH73"/>
    <mergeCell ref="AI73:AK73"/>
    <mergeCell ref="AF74:AH74"/>
    <mergeCell ref="AI74:AK74"/>
    <mergeCell ref="AF67:AH67"/>
    <mergeCell ref="AI67:AK67"/>
    <mergeCell ref="A70:C70"/>
    <mergeCell ref="D70:Z70"/>
    <mergeCell ref="AA70:AE70"/>
    <mergeCell ref="AL70:BP70"/>
    <mergeCell ref="A71:C71"/>
    <mergeCell ref="D71:Z71"/>
    <mergeCell ref="AA71:AE71"/>
    <mergeCell ref="AL71:BP71"/>
    <mergeCell ref="A68:C68"/>
    <mergeCell ref="D68:Z68"/>
    <mergeCell ref="AA68:AE68"/>
    <mergeCell ref="AL68:BP68"/>
    <mergeCell ref="A69:C69"/>
    <mergeCell ref="D69:Z69"/>
    <mergeCell ref="AA69:AE69"/>
    <mergeCell ref="AL69:BP69"/>
    <mergeCell ref="AF68:AH68"/>
    <mergeCell ref="AI68:AK68"/>
    <mergeCell ref="AF69:AH69"/>
    <mergeCell ref="AI69:AK69"/>
    <mergeCell ref="AF70:AH70"/>
    <mergeCell ref="AI70:AK70"/>
    <mergeCell ref="A60:C60"/>
    <mergeCell ref="D60:Z60"/>
    <mergeCell ref="A66:C66"/>
    <mergeCell ref="D66:Z66"/>
    <mergeCell ref="AA66:AE66"/>
    <mergeCell ref="AL66:BP66"/>
    <mergeCell ref="A67:C67"/>
    <mergeCell ref="D67:Z67"/>
    <mergeCell ref="AA67:AE67"/>
    <mergeCell ref="AL67:BP67"/>
    <mergeCell ref="A64:C64"/>
    <mergeCell ref="D64:Z64"/>
    <mergeCell ref="AA64:AE64"/>
    <mergeCell ref="AL64:BP64"/>
    <mergeCell ref="A65:C65"/>
    <mergeCell ref="D65:Z65"/>
    <mergeCell ref="AA65:AE65"/>
    <mergeCell ref="AL65:BP65"/>
    <mergeCell ref="AF64:AH64"/>
    <mergeCell ref="AI64:AK64"/>
    <mergeCell ref="AF65:AH65"/>
    <mergeCell ref="AI65:AK65"/>
    <mergeCell ref="AF66:AH66"/>
    <mergeCell ref="AI66:AK66"/>
    <mergeCell ref="A62:C62"/>
    <mergeCell ref="D62:Z62"/>
    <mergeCell ref="AA62:AE62"/>
    <mergeCell ref="AL62:BP62"/>
    <mergeCell ref="A63:C63"/>
    <mergeCell ref="D63:Z63"/>
    <mergeCell ref="AA63:AE63"/>
    <mergeCell ref="AL63:BP63"/>
    <mergeCell ref="A61:C61"/>
    <mergeCell ref="D61:Z61"/>
    <mergeCell ref="AA61:AE61"/>
    <mergeCell ref="AL61:BP61"/>
    <mergeCell ref="AF61:AH61"/>
    <mergeCell ref="AI61:AK61"/>
    <mergeCell ref="AF62:AH62"/>
    <mergeCell ref="AI62:AK62"/>
    <mergeCell ref="AF63:AH63"/>
    <mergeCell ref="AI63:AK63"/>
    <mergeCell ref="A58:C58"/>
    <mergeCell ref="D58:Z58"/>
    <mergeCell ref="AA58:AE58"/>
    <mergeCell ref="AL58:BP58"/>
    <mergeCell ref="A59:C59"/>
    <mergeCell ref="D59:Z59"/>
    <mergeCell ref="AA59:AE59"/>
    <mergeCell ref="AL59:BP59"/>
    <mergeCell ref="A56:C56"/>
    <mergeCell ref="D56:Z56"/>
    <mergeCell ref="AA56:AE56"/>
    <mergeCell ref="AL56:BP56"/>
    <mergeCell ref="A57:C57"/>
    <mergeCell ref="D57:Z57"/>
    <mergeCell ref="AA57:AE57"/>
    <mergeCell ref="AL57:BP57"/>
    <mergeCell ref="AF56:AH56"/>
    <mergeCell ref="AI56:AK56"/>
    <mergeCell ref="AF57:AH57"/>
    <mergeCell ref="AI57:AK57"/>
    <mergeCell ref="AF58:AH58"/>
    <mergeCell ref="AI58:AK58"/>
    <mergeCell ref="AF59:AH59"/>
    <mergeCell ref="AI59:AK59"/>
    <mergeCell ref="A54:C54"/>
    <mergeCell ref="D54:Z54"/>
    <mergeCell ref="AA54:AE54"/>
    <mergeCell ref="AL54:BP54"/>
    <mergeCell ref="A55:C55"/>
    <mergeCell ref="D55:Z55"/>
    <mergeCell ref="AA55:AE55"/>
    <mergeCell ref="AL55:BP55"/>
    <mergeCell ref="A52:C52"/>
    <mergeCell ref="D52:Z52"/>
    <mergeCell ref="AA52:AE52"/>
    <mergeCell ref="AL52:BP52"/>
    <mergeCell ref="A53:C53"/>
    <mergeCell ref="D53:Z53"/>
    <mergeCell ref="AA53:AE53"/>
    <mergeCell ref="AL53:BP53"/>
    <mergeCell ref="AF52:AH52"/>
    <mergeCell ref="AI52:AK52"/>
    <mergeCell ref="AF53:AH53"/>
    <mergeCell ref="AI53:AK53"/>
    <mergeCell ref="AF54:AH54"/>
    <mergeCell ref="AI54:AK54"/>
    <mergeCell ref="AF55:AH55"/>
    <mergeCell ref="AI55:AK55"/>
    <mergeCell ref="AF47:AH47"/>
    <mergeCell ref="AI47:AK47"/>
    <mergeCell ref="AF48:AH48"/>
    <mergeCell ref="AI48:AK48"/>
    <mergeCell ref="A51:C51"/>
    <mergeCell ref="D51:Z51"/>
    <mergeCell ref="AA51:AE51"/>
    <mergeCell ref="AL51:BP51"/>
    <mergeCell ref="A49:C49"/>
    <mergeCell ref="D49:Z49"/>
    <mergeCell ref="AA49:AE49"/>
    <mergeCell ref="AL49:BP49"/>
    <mergeCell ref="A50:C50"/>
    <mergeCell ref="D50:Z50"/>
    <mergeCell ref="AA50:AE50"/>
    <mergeCell ref="AL50:BP50"/>
    <mergeCell ref="AF49:AH49"/>
    <mergeCell ref="AI49:AK49"/>
    <mergeCell ref="AF50:AH50"/>
    <mergeCell ref="AI50:AK50"/>
    <mergeCell ref="AF51:AH51"/>
    <mergeCell ref="AI51:AK51"/>
    <mergeCell ref="AF43:AH43"/>
    <mergeCell ref="AI43:AK43"/>
    <mergeCell ref="AF44:AH44"/>
    <mergeCell ref="AI44:AK44"/>
    <mergeCell ref="A47:C47"/>
    <mergeCell ref="D47:Z47"/>
    <mergeCell ref="AA47:AE47"/>
    <mergeCell ref="AL47:BP47"/>
    <mergeCell ref="A48:C48"/>
    <mergeCell ref="D48:Z48"/>
    <mergeCell ref="AA48:AE48"/>
    <mergeCell ref="AL48:BP48"/>
    <mergeCell ref="A45:C45"/>
    <mergeCell ref="D45:Z45"/>
    <mergeCell ref="AA45:AE45"/>
    <mergeCell ref="AL45:BP45"/>
    <mergeCell ref="A46:C46"/>
    <mergeCell ref="D46:Z46"/>
    <mergeCell ref="AA46:AE46"/>
    <mergeCell ref="AL46:BP46"/>
    <mergeCell ref="AF45:AH45"/>
    <mergeCell ref="AI45:AK45"/>
    <mergeCell ref="AF46:AH46"/>
    <mergeCell ref="AI46:AK46"/>
    <mergeCell ref="AF39:AH39"/>
    <mergeCell ref="AI39:AK39"/>
    <mergeCell ref="AF40:AH40"/>
    <mergeCell ref="AI40:AK40"/>
    <mergeCell ref="A43:C43"/>
    <mergeCell ref="D43:Z43"/>
    <mergeCell ref="AA43:AE43"/>
    <mergeCell ref="AL43:BP43"/>
    <mergeCell ref="A44:C44"/>
    <mergeCell ref="D44:Z44"/>
    <mergeCell ref="AA44:AE44"/>
    <mergeCell ref="AL44:BP44"/>
    <mergeCell ref="A41:C41"/>
    <mergeCell ref="D41:Z41"/>
    <mergeCell ref="AA41:AE41"/>
    <mergeCell ref="AL41:BP41"/>
    <mergeCell ref="A42:C42"/>
    <mergeCell ref="D42:Z42"/>
    <mergeCell ref="AA42:AE42"/>
    <mergeCell ref="AL42:BP42"/>
    <mergeCell ref="AF41:AH41"/>
    <mergeCell ref="AI41:AK41"/>
    <mergeCell ref="AF42:AH42"/>
    <mergeCell ref="AI42:AK42"/>
    <mergeCell ref="AF35:AH35"/>
    <mergeCell ref="AI35:AK35"/>
    <mergeCell ref="AF36:AH36"/>
    <mergeCell ref="AI36:AK36"/>
    <mergeCell ref="A39:C39"/>
    <mergeCell ref="D39:Z39"/>
    <mergeCell ref="AA39:AE39"/>
    <mergeCell ref="AL39:BP39"/>
    <mergeCell ref="A40:C40"/>
    <mergeCell ref="D40:Z40"/>
    <mergeCell ref="AA40:AE40"/>
    <mergeCell ref="AL40:BP40"/>
    <mergeCell ref="A37:C37"/>
    <mergeCell ref="D37:Z37"/>
    <mergeCell ref="AA37:AE37"/>
    <mergeCell ref="AL37:BP37"/>
    <mergeCell ref="A38:C38"/>
    <mergeCell ref="D38:Z38"/>
    <mergeCell ref="AA38:AE38"/>
    <mergeCell ref="AL38:BP38"/>
    <mergeCell ref="AF37:AH37"/>
    <mergeCell ref="AI37:AK37"/>
    <mergeCell ref="AF38:AH38"/>
    <mergeCell ref="AI38:AK38"/>
    <mergeCell ref="AF31:AH31"/>
    <mergeCell ref="AI31:AK31"/>
    <mergeCell ref="AF32:AH32"/>
    <mergeCell ref="AI32:AK32"/>
    <mergeCell ref="A35:C35"/>
    <mergeCell ref="D35:Z35"/>
    <mergeCell ref="AA35:AE35"/>
    <mergeCell ref="AL35:BP35"/>
    <mergeCell ref="A36:C36"/>
    <mergeCell ref="D36:Z36"/>
    <mergeCell ref="AA36:AE36"/>
    <mergeCell ref="AL36:BP36"/>
    <mergeCell ref="A33:C33"/>
    <mergeCell ref="D33:Z33"/>
    <mergeCell ref="AA33:AE33"/>
    <mergeCell ref="AL33:BP33"/>
    <mergeCell ref="A34:C34"/>
    <mergeCell ref="D34:Z34"/>
    <mergeCell ref="AA34:AE34"/>
    <mergeCell ref="AL34:BP34"/>
    <mergeCell ref="AF33:AH33"/>
    <mergeCell ref="AI33:AK33"/>
    <mergeCell ref="AF34:AH34"/>
    <mergeCell ref="AI34:AK34"/>
    <mergeCell ref="AF27:AH27"/>
    <mergeCell ref="AI27:AK27"/>
    <mergeCell ref="AF28:AH28"/>
    <mergeCell ref="AI28:AK28"/>
    <mergeCell ref="A31:C31"/>
    <mergeCell ref="D31:Z31"/>
    <mergeCell ref="AA31:AE31"/>
    <mergeCell ref="AL31:BP31"/>
    <mergeCell ref="A32:C32"/>
    <mergeCell ref="D32:Z32"/>
    <mergeCell ref="AA32:AE32"/>
    <mergeCell ref="AL32:BP32"/>
    <mergeCell ref="A29:C29"/>
    <mergeCell ref="D29:Z29"/>
    <mergeCell ref="AA29:AE29"/>
    <mergeCell ref="AL29:BP29"/>
    <mergeCell ref="A30:C30"/>
    <mergeCell ref="D30:Z30"/>
    <mergeCell ref="AA30:AE30"/>
    <mergeCell ref="AL30:BP30"/>
    <mergeCell ref="AF29:AH29"/>
    <mergeCell ref="AI29:AK29"/>
    <mergeCell ref="AF30:AH30"/>
    <mergeCell ref="AI30:AK30"/>
    <mergeCell ref="AF23:AH23"/>
    <mergeCell ref="AI23:AK23"/>
    <mergeCell ref="AF24:AH24"/>
    <mergeCell ref="AI24:AK24"/>
    <mergeCell ref="A27:C27"/>
    <mergeCell ref="D27:Z27"/>
    <mergeCell ref="AA27:AE27"/>
    <mergeCell ref="AL27:BP27"/>
    <mergeCell ref="A28:C28"/>
    <mergeCell ref="D28:Z28"/>
    <mergeCell ref="AA28:AE28"/>
    <mergeCell ref="AL28:BP28"/>
    <mergeCell ref="A25:C25"/>
    <mergeCell ref="D25:Z25"/>
    <mergeCell ref="AA25:AE25"/>
    <mergeCell ref="AL25:BP25"/>
    <mergeCell ref="A26:C26"/>
    <mergeCell ref="D26:Z26"/>
    <mergeCell ref="AA26:AE26"/>
    <mergeCell ref="AL26:BP26"/>
    <mergeCell ref="AF25:AH25"/>
    <mergeCell ref="AI25:AK25"/>
    <mergeCell ref="AF26:AH26"/>
    <mergeCell ref="AI26:AK26"/>
    <mergeCell ref="AF19:AH19"/>
    <mergeCell ref="AI19:AK19"/>
    <mergeCell ref="AF20:AH20"/>
    <mergeCell ref="AI20:AK20"/>
    <mergeCell ref="A23:C23"/>
    <mergeCell ref="D23:Z23"/>
    <mergeCell ref="AA23:AE23"/>
    <mergeCell ref="AL23:BP23"/>
    <mergeCell ref="A24:C24"/>
    <mergeCell ref="D24:Z24"/>
    <mergeCell ref="AA24:AE24"/>
    <mergeCell ref="AL24:BP24"/>
    <mergeCell ref="A21:C21"/>
    <mergeCell ref="D21:Z21"/>
    <mergeCell ref="AA21:AE21"/>
    <mergeCell ref="AL21:BP21"/>
    <mergeCell ref="A22:C22"/>
    <mergeCell ref="D22:Z22"/>
    <mergeCell ref="AA22:AE22"/>
    <mergeCell ref="AL22:BP22"/>
    <mergeCell ref="AF21:AH21"/>
    <mergeCell ref="AI21:AK21"/>
    <mergeCell ref="AF22:AH22"/>
    <mergeCell ref="AI22:AK22"/>
    <mergeCell ref="AF15:AH15"/>
    <mergeCell ref="AI15:AK15"/>
    <mergeCell ref="AF16:AH16"/>
    <mergeCell ref="AI16:AK16"/>
    <mergeCell ref="A19:C19"/>
    <mergeCell ref="D19:Z19"/>
    <mergeCell ref="AA19:AE19"/>
    <mergeCell ref="AL19:BP19"/>
    <mergeCell ref="A20:C20"/>
    <mergeCell ref="D20:Z20"/>
    <mergeCell ref="AA20:AE20"/>
    <mergeCell ref="AL20:BP20"/>
    <mergeCell ref="A17:C17"/>
    <mergeCell ref="D17:Z17"/>
    <mergeCell ref="AA17:AE17"/>
    <mergeCell ref="AL17:BP17"/>
    <mergeCell ref="A18:C18"/>
    <mergeCell ref="D18:Z18"/>
    <mergeCell ref="AA18:AE18"/>
    <mergeCell ref="AL18:BP18"/>
    <mergeCell ref="AF17:AH17"/>
    <mergeCell ref="AI17:AK17"/>
    <mergeCell ref="AF18:AH18"/>
    <mergeCell ref="AI18:AK18"/>
    <mergeCell ref="AA13:AE13"/>
    <mergeCell ref="AL13:BP13"/>
    <mergeCell ref="A14:C14"/>
    <mergeCell ref="D14:Z14"/>
    <mergeCell ref="AA14:AE14"/>
    <mergeCell ref="AL14:BP14"/>
    <mergeCell ref="AF13:AH13"/>
    <mergeCell ref="AI13:AK13"/>
    <mergeCell ref="AF14:AH14"/>
    <mergeCell ref="AI14:AK14"/>
    <mergeCell ref="A4:G4"/>
    <mergeCell ref="H4:BA4"/>
    <mergeCell ref="BB4:BE4"/>
    <mergeCell ref="BF4:BP4"/>
    <mergeCell ref="A11:C11"/>
    <mergeCell ref="D11:Z11"/>
    <mergeCell ref="AA11:AE11"/>
    <mergeCell ref="AL11:BP11"/>
    <mergeCell ref="A12:C12"/>
    <mergeCell ref="D12:Z12"/>
    <mergeCell ref="AA12:AE12"/>
    <mergeCell ref="AL12:BP12"/>
    <mergeCell ref="A8:C8"/>
    <mergeCell ref="D8:Z8"/>
    <mergeCell ref="AA8:AE8"/>
    <mergeCell ref="AL8:BP8"/>
    <mergeCell ref="A9:C9"/>
    <mergeCell ref="D9:Z9"/>
    <mergeCell ref="AA9:AE9"/>
    <mergeCell ref="AL9:BP9"/>
    <mergeCell ref="AF8:AH8"/>
    <mergeCell ref="AI8:AK8"/>
    <mergeCell ref="AF9:AH9"/>
    <mergeCell ref="AI9:AK9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A60:AE60"/>
    <mergeCell ref="AF60:AH60"/>
    <mergeCell ref="AI60:AK60"/>
    <mergeCell ref="AL60:BP60"/>
    <mergeCell ref="A6:G6"/>
    <mergeCell ref="H6:N6"/>
    <mergeCell ref="O6:Y6"/>
    <mergeCell ref="Z6:BE6"/>
    <mergeCell ref="BF6:BI6"/>
    <mergeCell ref="BJ6:BP6"/>
    <mergeCell ref="AF11:AH11"/>
    <mergeCell ref="AI11:AK11"/>
    <mergeCell ref="AF12:AH12"/>
    <mergeCell ref="AI12:AK12"/>
    <mergeCell ref="A15:C15"/>
    <mergeCell ref="D15:Z15"/>
    <mergeCell ref="AA15:AE15"/>
    <mergeCell ref="AL15:BP15"/>
    <mergeCell ref="A16:C16"/>
    <mergeCell ref="D16:Z16"/>
    <mergeCell ref="AA16:AE16"/>
    <mergeCell ref="AL16:BP16"/>
    <mergeCell ref="A13:C13"/>
    <mergeCell ref="D13:Z13"/>
  </mergeCells>
  <phoneticPr fontId="3"/>
  <dataValidations count="1">
    <dataValidation type="list" allowBlank="1" showInputMessage="1" showErrorMessage="1" sqref="BJ6:BP6" xr:uid="{D03B966D-0253-4AD5-807D-401F67BAA245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F9A22-DB05-4379-9EE8-4F0B8626688E}">
  <sheetPr codeName="Sheet15"/>
  <dimension ref="A1:BR110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8" width="2.125" style="55"/>
    <col min="39" max="44" width="0" style="55" hidden="1" customWidth="1"/>
    <col min="45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144" t="s">
        <v>198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95" t="s">
        <v>208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124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125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117">
        <v>1</v>
      </c>
      <c r="B9" s="118"/>
      <c r="C9" s="119"/>
      <c r="D9" s="208" t="s">
        <v>282</v>
      </c>
      <c r="E9" s="209"/>
      <c r="F9" s="209"/>
      <c r="G9" s="209"/>
      <c r="H9" s="209"/>
      <c r="I9" s="209"/>
      <c r="J9" s="209"/>
      <c r="K9" s="209"/>
      <c r="L9" s="209"/>
      <c r="M9" s="209"/>
      <c r="N9" s="209"/>
      <c r="O9" s="209"/>
      <c r="P9" s="209"/>
      <c r="Q9" s="209"/>
      <c r="R9" s="209"/>
      <c r="S9" s="209"/>
      <c r="T9" s="209"/>
      <c r="U9" s="209"/>
      <c r="V9" s="209"/>
      <c r="W9" s="209"/>
      <c r="X9" s="209"/>
      <c r="Y9" s="209"/>
      <c r="Z9" s="210"/>
      <c r="AA9" s="117" t="s">
        <v>18</v>
      </c>
      <c r="AB9" s="118"/>
      <c r="AC9" s="118"/>
      <c r="AD9" s="118"/>
      <c r="AE9" s="119"/>
      <c r="AF9" s="117">
        <v>8</v>
      </c>
      <c r="AG9" s="118"/>
      <c r="AH9" s="119"/>
      <c r="AI9" s="117"/>
      <c r="AJ9" s="118"/>
      <c r="AK9" s="119"/>
      <c r="AL9" s="211" t="s">
        <v>635</v>
      </c>
      <c r="AM9" s="212"/>
      <c r="AN9" s="212"/>
      <c r="AO9" s="212"/>
      <c r="AP9" s="212"/>
      <c r="AQ9" s="212"/>
      <c r="AR9" s="212"/>
      <c r="AS9" s="212"/>
      <c r="AT9" s="212"/>
      <c r="AU9" s="212"/>
      <c r="AV9" s="212"/>
      <c r="AW9" s="212"/>
      <c r="AX9" s="212"/>
      <c r="AY9" s="212"/>
      <c r="AZ9" s="212"/>
      <c r="BA9" s="212"/>
      <c r="BB9" s="212"/>
      <c r="BC9" s="212"/>
      <c r="BD9" s="212"/>
      <c r="BE9" s="212"/>
      <c r="BF9" s="212"/>
      <c r="BG9" s="212"/>
      <c r="BH9" s="212"/>
      <c r="BI9" s="212"/>
      <c r="BJ9" s="212"/>
      <c r="BK9" s="212"/>
      <c r="BL9" s="212"/>
      <c r="BM9" s="212"/>
      <c r="BN9" s="212"/>
      <c r="BO9" s="212"/>
      <c r="BP9" s="213"/>
    </row>
    <row r="10" spans="1:70" s="1" customFormat="1" ht="30.75" customHeight="1">
      <c r="A10" s="74">
        <v>2</v>
      </c>
      <c r="B10" s="75"/>
      <c r="C10" s="76"/>
      <c r="D10" s="199" t="s">
        <v>283</v>
      </c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1"/>
      <c r="AA10" s="205" t="s">
        <v>653</v>
      </c>
      <c r="AB10" s="206"/>
      <c r="AC10" s="206"/>
      <c r="AD10" s="206"/>
      <c r="AE10" s="207"/>
      <c r="AF10" s="74">
        <v>1</v>
      </c>
      <c r="AG10" s="75"/>
      <c r="AH10" s="76"/>
      <c r="AI10" s="74"/>
      <c r="AJ10" s="75"/>
      <c r="AK10" s="76"/>
      <c r="AL10" s="202" t="s">
        <v>636</v>
      </c>
      <c r="AM10" s="203"/>
      <c r="AN10" s="203"/>
      <c r="AO10" s="203"/>
      <c r="AP10" s="203"/>
      <c r="AQ10" s="203"/>
      <c r="AR10" s="203"/>
      <c r="AS10" s="203"/>
      <c r="AT10" s="203"/>
      <c r="AU10" s="203"/>
      <c r="AV10" s="203"/>
      <c r="AW10" s="203"/>
      <c r="AX10" s="203"/>
      <c r="AY10" s="203"/>
      <c r="AZ10" s="203"/>
      <c r="BA10" s="203"/>
      <c r="BB10" s="203"/>
      <c r="BC10" s="203"/>
      <c r="BD10" s="203"/>
      <c r="BE10" s="203"/>
      <c r="BF10" s="203"/>
      <c r="BG10" s="203"/>
      <c r="BH10" s="203"/>
      <c r="BI10" s="203"/>
      <c r="BJ10" s="203"/>
      <c r="BK10" s="203"/>
      <c r="BL10" s="203"/>
      <c r="BM10" s="203"/>
      <c r="BN10" s="203"/>
      <c r="BO10" s="203"/>
      <c r="BP10" s="204"/>
    </row>
    <row r="11" spans="1:70" s="1" customFormat="1" ht="30.75" customHeight="1">
      <c r="A11" s="74">
        <v>3</v>
      </c>
      <c r="B11" s="75"/>
      <c r="C11" s="76"/>
      <c r="D11" s="199" t="s">
        <v>284</v>
      </c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1"/>
      <c r="AA11" s="205" t="s">
        <v>654</v>
      </c>
      <c r="AB11" s="206"/>
      <c r="AC11" s="206"/>
      <c r="AD11" s="206"/>
      <c r="AE11" s="207"/>
      <c r="AF11" s="74">
        <v>20</v>
      </c>
      <c r="AG11" s="75"/>
      <c r="AH11" s="76"/>
      <c r="AI11" s="74"/>
      <c r="AJ11" s="75"/>
      <c r="AK11" s="76"/>
      <c r="AL11" s="202" t="s">
        <v>637</v>
      </c>
      <c r="AM11" s="203"/>
      <c r="AN11" s="203"/>
      <c r="AO11" s="203"/>
      <c r="AP11" s="203"/>
      <c r="AQ11" s="203"/>
      <c r="AR11" s="203"/>
      <c r="AS11" s="203"/>
      <c r="AT11" s="203"/>
      <c r="AU11" s="203"/>
      <c r="AV11" s="203"/>
      <c r="AW11" s="203"/>
      <c r="AX11" s="203"/>
      <c r="AY11" s="203"/>
      <c r="AZ11" s="203"/>
      <c r="BA11" s="203"/>
      <c r="BB11" s="203"/>
      <c r="BC11" s="203"/>
      <c r="BD11" s="203"/>
      <c r="BE11" s="203"/>
      <c r="BF11" s="203"/>
      <c r="BG11" s="203"/>
      <c r="BH11" s="203"/>
      <c r="BI11" s="203"/>
      <c r="BJ11" s="203"/>
      <c r="BK11" s="203"/>
      <c r="BL11" s="203"/>
      <c r="BM11" s="203"/>
      <c r="BN11" s="203"/>
      <c r="BO11" s="203"/>
      <c r="BP11" s="204"/>
    </row>
    <row r="12" spans="1:70" s="1" customFormat="1" ht="30.75" customHeight="1">
      <c r="A12" s="74">
        <v>4</v>
      </c>
      <c r="B12" s="75"/>
      <c r="C12" s="76"/>
      <c r="D12" s="199" t="s">
        <v>285</v>
      </c>
      <c r="E12" s="200"/>
      <c r="F12" s="200"/>
      <c r="G12" s="200"/>
      <c r="H12" s="200"/>
      <c r="I12" s="200"/>
      <c r="J12" s="200"/>
      <c r="K12" s="200"/>
      <c r="L12" s="200"/>
      <c r="M12" s="200"/>
      <c r="N12" s="200"/>
      <c r="O12" s="200"/>
      <c r="P12" s="200"/>
      <c r="Q12" s="200"/>
      <c r="R12" s="200"/>
      <c r="S12" s="200"/>
      <c r="T12" s="200"/>
      <c r="U12" s="200"/>
      <c r="V12" s="200"/>
      <c r="W12" s="200"/>
      <c r="X12" s="200"/>
      <c r="Y12" s="200"/>
      <c r="Z12" s="201"/>
      <c r="AA12" s="205" t="s">
        <v>653</v>
      </c>
      <c r="AB12" s="206"/>
      <c r="AC12" s="206"/>
      <c r="AD12" s="206"/>
      <c r="AE12" s="207"/>
      <c r="AF12" s="74">
        <v>1</v>
      </c>
      <c r="AG12" s="75"/>
      <c r="AH12" s="76"/>
      <c r="AI12" s="74"/>
      <c r="AJ12" s="75"/>
      <c r="AK12" s="76"/>
      <c r="AL12" s="202" t="s">
        <v>1313</v>
      </c>
      <c r="AM12" s="203"/>
      <c r="AN12" s="203"/>
      <c r="AO12" s="203"/>
      <c r="AP12" s="203"/>
      <c r="AQ12" s="203"/>
      <c r="AR12" s="203"/>
      <c r="AS12" s="203"/>
      <c r="AT12" s="203"/>
      <c r="AU12" s="203"/>
      <c r="AV12" s="203"/>
      <c r="AW12" s="203"/>
      <c r="AX12" s="203"/>
      <c r="AY12" s="203"/>
      <c r="AZ12" s="203"/>
      <c r="BA12" s="203"/>
      <c r="BB12" s="203"/>
      <c r="BC12" s="203"/>
      <c r="BD12" s="203"/>
      <c r="BE12" s="203"/>
      <c r="BF12" s="203"/>
      <c r="BG12" s="203"/>
      <c r="BH12" s="203"/>
      <c r="BI12" s="203"/>
      <c r="BJ12" s="203"/>
      <c r="BK12" s="203"/>
      <c r="BL12" s="203"/>
      <c r="BM12" s="203"/>
      <c r="BN12" s="203"/>
      <c r="BO12" s="203"/>
      <c r="BP12" s="204"/>
    </row>
    <row r="13" spans="1:70" s="1" customFormat="1" ht="30.75" customHeight="1">
      <c r="A13" s="74">
        <v>5</v>
      </c>
      <c r="B13" s="75"/>
      <c r="C13" s="76"/>
      <c r="D13" s="199" t="s">
        <v>286</v>
      </c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1"/>
      <c r="AA13" s="205" t="s">
        <v>654</v>
      </c>
      <c r="AB13" s="206"/>
      <c r="AC13" s="206"/>
      <c r="AD13" s="206"/>
      <c r="AE13" s="207"/>
      <c r="AF13" s="74">
        <v>20</v>
      </c>
      <c r="AG13" s="75"/>
      <c r="AH13" s="76"/>
      <c r="AI13" s="74"/>
      <c r="AJ13" s="75"/>
      <c r="AK13" s="76"/>
      <c r="AL13" s="202" t="s">
        <v>638</v>
      </c>
      <c r="AM13" s="203"/>
      <c r="AN13" s="203"/>
      <c r="AO13" s="203"/>
      <c r="AP13" s="203"/>
      <c r="AQ13" s="203"/>
      <c r="AR13" s="203"/>
      <c r="AS13" s="203"/>
      <c r="AT13" s="203"/>
      <c r="AU13" s="203"/>
      <c r="AV13" s="203"/>
      <c r="AW13" s="203"/>
      <c r="AX13" s="203"/>
      <c r="AY13" s="203"/>
      <c r="AZ13" s="203"/>
      <c r="BA13" s="203"/>
      <c r="BB13" s="203"/>
      <c r="BC13" s="203"/>
      <c r="BD13" s="203"/>
      <c r="BE13" s="203"/>
      <c r="BF13" s="203"/>
      <c r="BG13" s="203"/>
      <c r="BH13" s="203"/>
      <c r="BI13" s="203"/>
      <c r="BJ13" s="203"/>
      <c r="BK13" s="203"/>
      <c r="BL13" s="203"/>
      <c r="BM13" s="203"/>
      <c r="BN13" s="203"/>
      <c r="BO13" s="203"/>
      <c r="BP13" s="204"/>
    </row>
    <row r="14" spans="1:70" s="1" customFormat="1" ht="30.75" customHeight="1">
      <c r="A14" s="74">
        <v>6</v>
      </c>
      <c r="B14" s="75"/>
      <c r="C14" s="76"/>
      <c r="D14" s="199" t="s">
        <v>287</v>
      </c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1"/>
      <c r="AA14" s="205" t="s">
        <v>653</v>
      </c>
      <c r="AB14" s="206"/>
      <c r="AC14" s="206"/>
      <c r="AD14" s="206"/>
      <c r="AE14" s="207"/>
      <c r="AF14" s="86">
        <v>4</v>
      </c>
      <c r="AG14" s="86"/>
      <c r="AH14" s="86"/>
      <c r="AI14" s="86"/>
      <c r="AJ14" s="86"/>
      <c r="AK14" s="86"/>
      <c r="AL14" s="202" t="s">
        <v>639</v>
      </c>
      <c r="AM14" s="203"/>
      <c r="AN14" s="203"/>
      <c r="AO14" s="203"/>
      <c r="AP14" s="203"/>
      <c r="AQ14" s="203"/>
      <c r="AR14" s="203"/>
      <c r="AS14" s="203"/>
      <c r="AT14" s="203"/>
      <c r="AU14" s="203"/>
      <c r="AV14" s="203"/>
      <c r="AW14" s="203"/>
      <c r="AX14" s="203"/>
      <c r="AY14" s="203"/>
      <c r="AZ14" s="203"/>
      <c r="BA14" s="203"/>
      <c r="BB14" s="203"/>
      <c r="BC14" s="203"/>
      <c r="BD14" s="203"/>
      <c r="BE14" s="203"/>
      <c r="BF14" s="203"/>
      <c r="BG14" s="203"/>
      <c r="BH14" s="203"/>
      <c r="BI14" s="203"/>
      <c r="BJ14" s="203"/>
      <c r="BK14" s="203"/>
      <c r="BL14" s="203"/>
      <c r="BM14" s="203"/>
      <c r="BN14" s="203"/>
      <c r="BO14" s="203"/>
      <c r="BP14" s="204"/>
    </row>
    <row r="15" spans="1:70" s="1" customFormat="1" ht="30.75" customHeight="1">
      <c r="A15" s="74">
        <v>7</v>
      </c>
      <c r="B15" s="75"/>
      <c r="C15" s="76"/>
      <c r="D15" s="199" t="s">
        <v>288</v>
      </c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201"/>
      <c r="AA15" s="205" t="s">
        <v>654</v>
      </c>
      <c r="AB15" s="206"/>
      <c r="AC15" s="206"/>
      <c r="AD15" s="206"/>
      <c r="AE15" s="207"/>
      <c r="AF15" s="86">
        <v>20</v>
      </c>
      <c r="AG15" s="86"/>
      <c r="AH15" s="86"/>
      <c r="AI15" s="86"/>
      <c r="AJ15" s="86"/>
      <c r="AK15" s="86"/>
      <c r="AL15" s="202" t="s">
        <v>640</v>
      </c>
      <c r="AM15" s="203"/>
      <c r="AN15" s="203"/>
      <c r="AO15" s="203"/>
      <c r="AP15" s="203"/>
      <c r="AQ15" s="203"/>
      <c r="AR15" s="203"/>
      <c r="AS15" s="203"/>
      <c r="AT15" s="203"/>
      <c r="AU15" s="203"/>
      <c r="AV15" s="203"/>
      <c r="AW15" s="203"/>
      <c r="AX15" s="203"/>
      <c r="AY15" s="203"/>
      <c r="AZ15" s="203"/>
      <c r="BA15" s="203"/>
      <c r="BB15" s="203"/>
      <c r="BC15" s="203"/>
      <c r="BD15" s="203"/>
      <c r="BE15" s="203"/>
      <c r="BF15" s="203"/>
      <c r="BG15" s="203"/>
      <c r="BH15" s="203"/>
      <c r="BI15" s="203"/>
      <c r="BJ15" s="203"/>
      <c r="BK15" s="203"/>
      <c r="BL15" s="203"/>
      <c r="BM15" s="203"/>
      <c r="BN15" s="203"/>
      <c r="BO15" s="203"/>
      <c r="BP15" s="204"/>
    </row>
    <row r="16" spans="1:70" s="1" customFormat="1" ht="30.75" customHeight="1">
      <c r="A16" s="74">
        <v>8</v>
      </c>
      <c r="B16" s="75"/>
      <c r="C16" s="76"/>
      <c r="D16" s="199" t="s">
        <v>289</v>
      </c>
      <c r="E16" s="200"/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200"/>
      <c r="V16" s="200"/>
      <c r="W16" s="200"/>
      <c r="X16" s="200"/>
      <c r="Y16" s="200"/>
      <c r="Z16" s="201"/>
      <c r="AA16" s="205" t="s">
        <v>653</v>
      </c>
      <c r="AB16" s="206"/>
      <c r="AC16" s="206"/>
      <c r="AD16" s="206"/>
      <c r="AE16" s="207"/>
      <c r="AF16" s="86">
        <v>2</v>
      </c>
      <c r="AG16" s="86"/>
      <c r="AH16" s="86"/>
      <c r="AI16" s="86"/>
      <c r="AJ16" s="86"/>
      <c r="AK16" s="86"/>
      <c r="AL16" s="202" t="s">
        <v>641</v>
      </c>
      <c r="AM16" s="203"/>
      <c r="AN16" s="203"/>
      <c r="AO16" s="203"/>
      <c r="AP16" s="203"/>
      <c r="AQ16" s="203"/>
      <c r="AR16" s="203"/>
      <c r="AS16" s="203"/>
      <c r="AT16" s="203"/>
      <c r="AU16" s="203"/>
      <c r="AV16" s="203"/>
      <c r="AW16" s="203"/>
      <c r="AX16" s="203"/>
      <c r="AY16" s="203"/>
      <c r="AZ16" s="203"/>
      <c r="BA16" s="203"/>
      <c r="BB16" s="203"/>
      <c r="BC16" s="203"/>
      <c r="BD16" s="203"/>
      <c r="BE16" s="203"/>
      <c r="BF16" s="203"/>
      <c r="BG16" s="203"/>
      <c r="BH16" s="203"/>
      <c r="BI16" s="203"/>
      <c r="BJ16" s="203"/>
      <c r="BK16" s="203"/>
      <c r="BL16" s="203"/>
      <c r="BM16" s="203"/>
      <c r="BN16" s="203"/>
      <c r="BO16" s="203"/>
      <c r="BP16" s="204"/>
    </row>
    <row r="17" spans="1:68" s="1" customFormat="1" ht="30.75" customHeight="1">
      <c r="A17" s="74">
        <v>9</v>
      </c>
      <c r="B17" s="75"/>
      <c r="C17" s="76"/>
      <c r="D17" s="199" t="s">
        <v>290</v>
      </c>
      <c r="E17" s="200"/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200"/>
      <c r="W17" s="200"/>
      <c r="X17" s="200"/>
      <c r="Y17" s="200"/>
      <c r="Z17" s="201"/>
      <c r="AA17" s="205" t="s">
        <v>654</v>
      </c>
      <c r="AB17" s="206"/>
      <c r="AC17" s="206"/>
      <c r="AD17" s="206"/>
      <c r="AE17" s="207"/>
      <c r="AF17" s="86">
        <v>20</v>
      </c>
      <c r="AG17" s="86"/>
      <c r="AH17" s="86"/>
      <c r="AI17" s="86"/>
      <c r="AJ17" s="86"/>
      <c r="AK17" s="86"/>
      <c r="AL17" s="202" t="s">
        <v>642</v>
      </c>
      <c r="AM17" s="203"/>
      <c r="AN17" s="203"/>
      <c r="AO17" s="203"/>
      <c r="AP17" s="203"/>
      <c r="AQ17" s="203"/>
      <c r="AR17" s="203"/>
      <c r="AS17" s="203"/>
      <c r="AT17" s="203"/>
      <c r="AU17" s="203"/>
      <c r="AV17" s="203"/>
      <c r="AW17" s="203"/>
      <c r="AX17" s="203"/>
      <c r="AY17" s="203"/>
      <c r="AZ17" s="203"/>
      <c r="BA17" s="203"/>
      <c r="BB17" s="203"/>
      <c r="BC17" s="203"/>
      <c r="BD17" s="203"/>
      <c r="BE17" s="203"/>
      <c r="BF17" s="203"/>
      <c r="BG17" s="203"/>
      <c r="BH17" s="203"/>
      <c r="BI17" s="203"/>
      <c r="BJ17" s="203"/>
      <c r="BK17" s="203"/>
      <c r="BL17" s="203"/>
      <c r="BM17" s="203"/>
      <c r="BN17" s="203"/>
      <c r="BO17" s="203"/>
      <c r="BP17" s="204"/>
    </row>
    <row r="18" spans="1:68" s="1" customFormat="1" ht="30.75" customHeight="1">
      <c r="A18" s="74">
        <v>10</v>
      </c>
      <c r="B18" s="75"/>
      <c r="C18" s="76"/>
      <c r="D18" s="199" t="s">
        <v>291</v>
      </c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1"/>
      <c r="AA18" s="205" t="s">
        <v>653</v>
      </c>
      <c r="AB18" s="206"/>
      <c r="AC18" s="206"/>
      <c r="AD18" s="206"/>
      <c r="AE18" s="207"/>
      <c r="AF18" s="74">
        <v>2</v>
      </c>
      <c r="AG18" s="75"/>
      <c r="AH18" s="76"/>
      <c r="AI18" s="74"/>
      <c r="AJ18" s="75"/>
      <c r="AK18" s="76"/>
      <c r="AL18" s="202" t="s">
        <v>643</v>
      </c>
      <c r="AM18" s="203"/>
      <c r="AN18" s="203"/>
      <c r="AO18" s="203"/>
      <c r="AP18" s="203"/>
      <c r="AQ18" s="203"/>
      <c r="AR18" s="203"/>
      <c r="AS18" s="203"/>
      <c r="AT18" s="203"/>
      <c r="AU18" s="203"/>
      <c r="AV18" s="203"/>
      <c r="AW18" s="203"/>
      <c r="AX18" s="203"/>
      <c r="AY18" s="203"/>
      <c r="AZ18" s="203"/>
      <c r="BA18" s="203"/>
      <c r="BB18" s="203"/>
      <c r="BC18" s="203"/>
      <c r="BD18" s="203"/>
      <c r="BE18" s="203"/>
      <c r="BF18" s="203"/>
      <c r="BG18" s="203"/>
      <c r="BH18" s="203"/>
      <c r="BI18" s="203"/>
      <c r="BJ18" s="203"/>
      <c r="BK18" s="203"/>
      <c r="BL18" s="203"/>
      <c r="BM18" s="203"/>
      <c r="BN18" s="203"/>
      <c r="BO18" s="203"/>
      <c r="BP18" s="204"/>
    </row>
    <row r="19" spans="1:68" s="1" customFormat="1" ht="30.75" customHeight="1">
      <c r="A19" s="74">
        <v>11</v>
      </c>
      <c r="B19" s="75"/>
      <c r="C19" s="76"/>
      <c r="D19" s="199" t="s">
        <v>292</v>
      </c>
      <c r="E19" s="200"/>
      <c r="F19" s="200"/>
      <c r="G19" s="200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200"/>
      <c r="S19" s="200"/>
      <c r="T19" s="200"/>
      <c r="U19" s="200"/>
      <c r="V19" s="200"/>
      <c r="W19" s="200"/>
      <c r="X19" s="200"/>
      <c r="Y19" s="200"/>
      <c r="Z19" s="201"/>
      <c r="AA19" s="205" t="s">
        <v>654</v>
      </c>
      <c r="AB19" s="206"/>
      <c r="AC19" s="206"/>
      <c r="AD19" s="206"/>
      <c r="AE19" s="207"/>
      <c r="AF19" s="74">
        <v>20</v>
      </c>
      <c r="AG19" s="75"/>
      <c r="AH19" s="76"/>
      <c r="AI19" s="74"/>
      <c r="AJ19" s="75"/>
      <c r="AK19" s="76"/>
      <c r="AL19" s="202" t="s">
        <v>644</v>
      </c>
      <c r="AM19" s="203"/>
      <c r="AN19" s="203"/>
      <c r="AO19" s="203"/>
      <c r="AP19" s="203"/>
      <c r="AQ19" s="203"/>
      <c r="AR19" s="203"/>
      <c r="AS19" s="203"/>
      <c r="AT19" s="203"/>
      <c r="AU19" s="203"/>
      <c r="AV19" s="203"/>
      <c r="AW19" s="203"/>
      <c r="AX19" s="203"/>
      <c r="AY19" s="203"/>
      <c r="AZ19" s="203"/>
      <c r="BA19" s="203"/>
      <c r="BB19" s="203"/>
      <c r="BC19" s="203"/>
      <c r="BD19" s="203"/>
      <c r="BE19" s="203"/>
      <c r="BF19" s="203"/>
      <c r="BG19" s="203"/>
      <c r="BH19" s="203"/>
      <c r="BI19" s="203"/>
      <c r="BJ19" s="203"/>
      <c r="BK19" s="203"/>
      <c r="BL19" s="203"/>
      <c r="BM19" s="203"/>
      <c r="BN19" s="203"/>
      <c r="BO19" s="203"/>
      <c r="BP19" s="204"/>
    </row>
    <row r="20" spans="1:68" s="1" customFormat="1" ht="30.75" customHeight="1">
      <c r="A20" s="74">
        <v>12</v>
      </c>
      <c r="B20" s="75"/>
      <c r="C20" s="76"/>
      <c r="D20" s="199" t="s">
        <v>357</v>
      </c>
      <c r="E20" s="200"/>
      <c r="F20" s="200"/>
      <c r="G20" s="200"/>
      <c r="H20" s="200"/>
      <c r="I20" s="200"/>
      <c r="J20" s="200"/>
      <c r="K20" s="200"/>
      <c r="L20" s="200"/>
      <c r="M20" s="200"/>
      <c r="N20" s="200"/>
      <c r="O20" s="200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1"/>
      <c r="AA20" s="205" t="s">
        <v>19</v>
      </c>
      <c r="AB20" s="206"/>
      <c r="AC20" s="206"/>
      <c r="AD20" s="206"/>
      <c r="AE20" s="207"/>
      <c r="AF20" s="74">
        <v>2</v>
      </c>
      <c r="AG20" s="75"/>
      <c r="AH20" s="76"/>
      <c r="AI20" s="74"/>
      <c r="AJ20" s="75"/>
      <c r="AK20" s="76"/>
      <c r="AL20" s="202" t="s">
        <v>656</v>
      </c>
      <c r="AM20" s="203"/>
      <c r="AN20" s="203"/>
      <c r="AO20" s="203"/>
      <c r="AP20" s="203"/>
      <c r="AQ20" s="203"/>
      <c r="AR20" s="203"/>
      <c r="AS20" s="203"/>
      <c r="AT20" s="203"/>
      <c r="AU20" s="203"/>
      <c r="AV20" s="203"/>
      <c r="AW20" s="203"/>
      <c r="AX20" s="203"/>
      <c r="AY20" s="203"/>
      <c r="AZ20" s="203"/>
      <c r="BA20" s="203"/>
      <c r="BB20" s="203"/>
      <c r="BC20" s="203"/>
      <c r="BD20" s="203"/>
      <c r="BE20" s="203"/>
      <c r="BF20" s="203"/>
      <c r="BG20" s="203"/>
      <c r="BH20" s="203"/>
      <c r="BI20" s="203"/>
      <c r="BJ20" s="203"/>
      <c r="BK20" s="203"/>
      <c r="BL20" s="203"/>
      <c r="BM20" s="203"/>
      <c r="BN20" s="203"/>
      <c r="BO20" s="203"/>
      <c r="BP20" s="204"/>
    </row>
    <row r="21" spans="1:68" s="1" customFormat="1" ht="30.75" customHeight="1">
      <c r="A21" s="74">
        <v>13</v>
      </c>
      <c r="B21" s="75"/>
      <c r="C21" s="76"/>
      <c r="D21" s="199" t="s">
        <v>645</v>
      </c>
      <c r="E21" s="200"/>
      <c r="F21" s="200"/>
      <c r="G21" s="200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1"/>
      <c r="AA21" s="205" t="s">
        <v>654</v>
      </c>
      <c r="AB21" s="206"/>
      <c r="AC21" s="206"/>
      <c r="AD21" s="206"/>
      <c r="AE21" s="207"/>
      <c r="AF21" s="74">
        <v>10</v>
      </c>
      <c r="AG21" s="75"/>
      <c r="AH21" s="76"/>
      <c r="AI21" s="74"/>
      <c r="AJ21" s="75"/>
      <c r="AK21" s="76"/>
      <c r="AL21" s="202" t="s">
        <v>657</v>
      </c>
      <c r="AM21" s="203"/>
      <c r="AN21" s="203"/>
      <c r="AO21" s="203"/>
      <c r="AP21" s="203"/>
      <c r="AQ21" s="203"/>
      <c r="AR21" s="203"/>
      <c r="AS21" s="203"/>
      <c r="AT21" s="203"/>
      <c r="AU21" s="203"/>
      <c r="AV21" s="203"/>
      <c r="AW21" s="203"/>
      <c r="AX21" s="203"/>
      <c r="AY21" s="203"/>
      <c r="AZ21" s="203"/>
      <c r="BA21" s="203"/>
      <c r="BB21" s="203"/>
      <c r="BC21" s="203"/>
      <c r="BD21" s="203"/>
      <c r="BE21" s="203"/>
      <c r="BF21" s="203"/>
      <c r="BG21" s="203"/>
      <c r="BH21" s="203"/>
      <c r="BI21" s="203"/>
      <c r="BJ21" s="203"/>
      <c r="BK21" s="203"/>
      <c r="BL21" s="203"/>
      <c r="BM21" s="203"/>
      <c r="BN21" s="203"/>
      <c r="BO21" s="203"/>
      <c r="BP21" s="204"/>
    </row>
    <row r="22" spans="1:68" s="1" customFormat="1" ht="30.75" customHeight="1">
      <c r="A22" s="74">
        <v>14</v>
      </c>
      <c r="B22" s="75"/>
      <c r="C22" s="76"/>
      <c r="D22" s="199" t="s">
        <v>358</v>
      </c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1"/>
      <c r="AA22" s="205" t="s">
        <v>653</v>
      </c>
      <c r="AB22" s="206"/>
      <c r="AC22" s="206"/>
      <c r="AD22" s="206"/>
      <c r="AE22" s="207"/>
      <c r="AF22" s="74">
        <v>4</v>
      </c>
      <c r="AG22" s="75"/>
      <c r="AH22" s="76"/>
      <c r="AI22" s="74"/>
      <c r="AJ22" s="75"/>
      <c r="AK22" s="76"/>
      <c r="AL22" s="202" t="s">
        <v>658</v>
      </c>
      <c r="AM22" s="203"/>
      <c r="AN22" s="203"/>
      <c r="AO22" s="203"/>
      <c r="AP22" s="203"/>
      <c r="AQ22" s="203"/>
      <c r="AR22" s="203"/>
      <c r="AS22" s="203"/>
      <c r="AT22" s="203"/>
      <c r="AU22" s="203"/>
      <c r="AV22" s="203"/>
      <c r="AW22" s="203"/>
      <c r="AX22" s="203"/>
      <c r="AY22" s="203"/>
      <c r="AZ22" s="203"/>
      <c r="BA22" s="203"/>
      <c r="BB22" s="203"/>
      <c r="BC22" s="203"/>
      <c r="BD22" s="203"/>
      <c r="BE22" s="203"/>
      <c r="BF22" s="203"/>
      <c r="BG22" s="203"/>
      <c r="BH22" s="203"/>
      <c r="BI22" s="203"/>
      <c r="BJ22" s="203"/>
      <c r="BK22" s="203"/>
      <c r="BL22" s="203"/>
      <c r="BM22" s="203"/>
      <c r="BN22" s="203"/>
      <c r="BO22" s="203"/>
      <c r="BP22" s="204"/>
    </row>
    <row r="23" spans="1:68" s="1" customFormat="1" ht="30.75" customHeight="1">
      <c r="A23" s="74">
        <v>15</v>
      </c>
      <c r="B23" s="75"/>
      <c r="C23" s="76"/>
      <c r="D23" s="199" t="s">
        <v>646</v>
      </c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201"/>
      <c r="AA23" s="205" t="s">
        <v>654</v>
      </c>
      <c r="AB23" s="206"/>
      <c r="AC23" s="206"/>
      <c r="AD23" s="206"/>
      <c r="AE23" s="207"/>
      <c r="AF23" s="74">
        <v>15</v>
      </c>
      <c r="AG23" s="75"/>
      <c r="AH23" s="76"/>
      <c r="AI23" s="74"/>
      <c r="AJ23" s="75"/>
      <c r="AK23" s="76"/>
      <c r="AL23" s="202" t="s">
        <v>659</v>
      </c>
      <c r="AM23" s="203"/>
      <c r="AN23" s="203"/>
      <c r="AO23" s="203"/>
      <c r="AP23" s="203"/>
      <c r="AQ23" s="203"/>
      <c r="AR23" s="203"/>
      <c r="AS23" s="203"/>
      <c r="AT23" s="203"/>
      <c r="AU23" s="203"/>
      <c r="AV23" s="203"/>
      <c r="AW23" s="203"/>
      <c r="AX23" s="203"/>
      <c r="AY23" s="203"/>
      <c r="AZ23" s="203"/>
      <c r="BA23" s="203"/>
      <c r="BB23" s="203"/>
      <c r="BC23" s="203"/>
      <c r="BD23" s="203"/>
      <c r="BE23" s="203"/>
      <c r="BF23" s="203"/>
      <c r="BG23" s="203"/>
      <c r="BH23" s="203"/>
      <c r="BI23" s="203"/>
      <c r="BJ23" s="203"/>
      <c r="BK23" s="203"/>
      <c r="BL23" s="203"/>
      <c r="BM23" s="203"/>
      <c r="BN23" s="203"/>
      <c r="BO23" s="203"/>
      <c r="BP23" s="204"/>
    </row>
    <row r="24" spans="1:68" s="1" customFormat="1" ht="30.75" customHeight="1">
      <c r="A24" s="74">
        <v>16</v>
      </c>
      <c r="B24" s="75"/>
      <c r="C24" s="76"/>
      <c r="D24" s="199" t="s">
        <v>647</v>
      </c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1"/>
      <c r="AA24" s="205" t="s">
        <v>653</v>
      </c>
      <c r="AB24" s="206"/>
      <c r="AC24" s="206"/>
      <c r="AD24" s="206"/>
      <c r="AE24" s="207"/>
      <c r="AF24" s="74">
        <v>5</v>
      </c>
      <c r="AG24" s="75"/>
      <c r="AH24" s="76"/>
      <c r="AI24" s="74"/>
      <c r="AJ24" s="75"/>
      <c r="AK24" s="76"/>
      <c r="AL24" s="202" t="s">
        <v>660</v>
      </c>
      <c r="AM24" s="203"/>
      <c r="AN24" s="203"/>
      <c r="AO24" s="203"/>
      <c r="AP24" s="203"/>
      <c r="AQ24" s="203"/>
      <c r="AR24" s="203"/>
      <c r="AS24" s="203"/>
      <c r="AT24" s="203"/>
      <c r="AU24" s="203"/>
      <c r="AV24" s="203"/>
      <c r="AW24" s="203"/>
      <c r="AX24" s="203"/>
      <c r="AY24" s="203"/>
      <c r="AZ24" s="203"/>
      <c r="BA24" s="203"/>
      <c r="BB24" s="203"/>
      <c r="BC24" s="203"/>
      <c r="BD24" s="203"/>
      <c r="BE24" s="203"/>
      <c r="BF24" s="203"/>
      <c r="BG24" s="203"/>
      <c r="BH24" s="203"/>
      <c r="BI24" s="203"/>
      <c r="BJ24" s="203"/>
      <c r="BK24" s="203"/>
      <c r="BL24" s="203"/>
      <c r="BM24" s="203"/>
      <c r="BN24" s="203"/>
      <c r="BO24" s="203"/>
      <c r="BP24" s="204"/>
    </row>
    <row r="25" spans="1:68" s="1" customFormat="1" ht="30.75" customHeight="1">
      <c r="A25" s="74">
        <v>17</v>
      </c>
      <c r="B25" s="75"/>
      <c r="C25" s="76"/>
      <c r="D25" s="199" t="s">
        <v>648</v>
      </c>
      <c r="E25" s="200"/>
      <c r="F25" s="200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0"/>
      <c r="V25" s="200"/>
      <c r="W25" s="200"/>
      <c r="X25" s="200"/>
      <c r="Y25" s="200"/>
      <c r="Z25" s="201"/>
      <c r="AA25" s="74" t="s">
        <v>654</v>
      </c>
      <c r="AB25" s="75"/>
      <c r="AC25" s="75"/>
      <c r="AD25" s="75"/>
      <c r="AE25" s="76"/>
      <c r="AF25" s="86">
        <v>30</v>
      </c>
      <c r="AG25" s="86"/>
      <c r="AH25" s="86"/>
      <c r="AI25" s="86"/>
      <c r="AJ25" s="86"/>
      <c r="AK25" s="86"/>
      <c r="AL25" s="202" t="s">
        <v>661</v>
      </c>
      <c r="AM25" s="203"/>
      <c r="AN25" s="203"/>
      <c r="AO25" s="203"/>
      <c r="AP25" s="203"/>
      <c r="AQ25" s="203"/>
      <c r="AR25" s="203"/>
      <c r="AS25" s="203"/>
      <c r="AT25" s="203"/>
      <c r="AU25" s="203"/>
      <c r="AV25" s="203"/>
      <c r="AW25" s="203"/>
      <c r="AX25" s="203"/>
      <c r="AY25" s="203"/>
      <c r="AZ25" s="203"/>
      <c r="BA25" s="203"/>
      <c r="BB25" s="203"/>
      <c r="BC25" s="203"/>
      <c r="BD25" s="203"/>
      <c r="BE25" s="203"/>
      <c r="BF25" s="203"/>
      <c r="BG25" s="203"/>
      <c r="BH25" s="203"/>
      <c r="BI25" s="203"/>
      <c r="BJ25" s="203"/>
      <c r="BK25" s="203"/>
      <c r="BL25" s="203"/>
      <c r="BM25" s="203"/>
      <c r="BN25" s="203"/>
      <c r="BO25" s="203"/>
      <c r="BP25" s="204"/>
    </row>
    <row r="26" spans="1:68" s="1" customFormat="1" ht="30.75" customHeight="1">
      <c r="A26" s="74">
        <v>18</v>
      </c>
      <c r="B26" s="75"/>
      <c r="C26" s="76"/>
      <c r="D26" s="199" t="s">
        <v>649</v>
      </c>
      <c r="E26" s="200"/>
      <c r="F26" s="200"/>
      <c r="G26" s="200"/>
      <c r="H26" s="200"/>
      <c r="I26" s="200"/>
      <c r="J26" s="200"/>
      <c r="K26" s="200"/>
      <c r="L26" s="200"/>
      <c r="M26" s="200"/>
      <c r="N26" s="200"/>
      <c r="O26" s="200"/>
      <c r="P26" s="200"/>
      <c r="Q26" s="200"/>
      <c r="R26" s="200"/>
      <c r="S26" s="200"/>
      <c r="T26" s="200"/>
      <c r="U26" s="200"/>
      <c r="V26" s="200"/>
      <c r="W26" s="200"/>
      <c r="X26" s="200"/>
      <c r="Y26" s="200"/>
      <c r="Z26" s="201"/>
      <c r="AA26" s="74" t="s">
        <v>18</v>
      </c>
      <c r="AB26" s="75"/>
      <c r="AC26" s="75"/>
      <c r="AD26" s="75"/>
      <c r="AE26" s="76"/>
      <c r="AF26" s="86">
        <v>8</v>
      </c>
      <c r="AG26" s="86"/>
      <c r="AH26" s="86"/>
      <c r="AI26" s="86"/>
      <c r="AJ26" s="86"/>
      <c r="AK26" s="86"/>
      <c r="AL26" s="202" t="s">
        <v>662</v>
      </c>
      <c r="AM26" s="203"/>
      <c r="AN26" s="203"/>
      <c r="AO26" s="203"/>
      <c r="AP26" s="203"/>
      <c r="AQ26" s="203"/>
      <c r="AR26" s="203"/>
      <c r="AS26" s="203"/>
      <c r="AT26" s="203"/>
      <c r="AU26" s="203"/>
      <c r="AV26" s="203"/>
      <c r="AW26" s="203"/>
      <c r="AX26" s="203"/>
      <c r="AY26" s="203"/>
      <c r="AZ26" s="203"/>
      <c r="BA26" s="203"/>
      <c r="BB26" s="203"/>
      <c r="BC26" s="203"/>
      <c r="BD26" s="203"/>
      <c r="BE26" s="203"/>
      <c r="BF26" s="203"/>
      <c r="BG26" s="203"/>
      <c r="BH26" s="203"/>
      <c r="BI26" s="203"/>
      <c r="BJ26" s="203"/>
      <c r="BK26" s="203"/>
      <c r="BL26" s="203"/>
      <c r="BM26" s="203"/>
      <c r="BN26" s="203"/>
      <c r="BO26" s="203"/>
      <c r="BP26" s="204"/>
    </row>
    <row r="27" spans="1:68" s="1" customFormat="1" ht="30.75" customHeight="1">
      <c r="A27" s="74">
        <v>19</v>
      </c>
      <c r="B27" s="75"/>
      <c r="C27" s="76"/>
      <c r="D27" s="199" t="s">
        <v>650</v>
      </c>
      <c r="E27" s="200"/>
      <c r="F27" s="200"/>
      <c r="G27" s="200"/>
      <c r="H27" s="200"/>
      <c r="I27" s="200"/>
      <c r="J27" s="200"/>
      <c r="K27" s="200"/>
      <c r="L27" s="200"/>
      <c r="M27" s="200"/>
      <c r="N27" s="200"/>
      <c r="O27" s="200"/>
      <c r="P27" s="200"/>
      <c r="Q27" s="200"/>
      <c r="R27" s="200"/>
      <c r="S27" s="200"/>
      <c r="T27" s="200"/>
      <c r="U27" s="200"/>
      <c r="V27" s="200"/>
      <c r="W27" s="200"/>
      <c r="X27" s="200"/>
      <c r="Y27" s="200"/>
      <c r="Z27" s="201"/>
      <c r="AA27" s="205" t="s">
        <v>653</v>
      </c>
      <c r="AB27" s="206"/>
      <c r="AC27" s="206"/>
      <c r="AD27" s="206"/>
      <c r="AE27" s="207"/>
      <c r="AF27" s="86">
        <v>5</v>
      </c>
      <c r="AG27" s="86"/>
      <c r="AH27" s="86"/>
      <c r="AI27" s="86"/>
      <c r="AJ27" s="86"/>
      <c r="AK27" s="86"/>
      <c r="AL27" s="202" t="s">
        <v>663</v>
      </c>
      <c r="AM27" s="203"/>
      <c r="AN27" s="203"/>
      <c r="AO27" s="203"/>
      <c r="AP27" s="203"/>
      <c r="AQ27" s="203"/>
      <c r="AR27" s="203"/>
      <c r="AS27" s="203"/>
      <c r="AT27" s="203"/>
      <c r="AU27" s="203"/>
      <c r="AV27" s="203"/>
      <c r="AW27" s="203"/>
      <c r="AX27" s="203"/>
      <c r="AY27" s="203"/>
      <c r="AZ27" s="203"/>
      <c r="BA27" s="203"/>
      <c r="BB27" s="203"/>
      <c r="BC27" s="203"/>
      <c r="BD27" s="203"/>
      <c r="BE27" s="203"/>
      <c r="BF27" s="203"/>
      <c r="BG27" s="203"/>
      <c r="BH27" s="203"/>
      <c r="BI27" s="203"/>
      <c r="BJ27" s="203"/>
      <c r="BK27" s="203"/>
      <c r="BL27" s="203"/>
      <c r="BM27" s="203"/>
      <c r="BN27" s="203"/>
      <c r="BO27" s="203"/>
      <c r="BP27" s="204"/>
    </row>
    <row r="28" spans="1:68" s="1" customFormat="1" ht="30.75" customHeight="1">
      <c r="A28" s="74">
        <v>20</v>
      </c>
      <c r="B28" s="75"/>
      <c r="C28" s="76"/>
      <c r="D28" s="199" t="s">
        <v>651</v>
      </c>
      <c r="E28" s="200"/>
      <c r="F28" s="200"/>
      <c r="G28" s="200"/>
      <c r="H28" s="200"/>
      <c r="I28" s="200"/>
      <c r="J28" s="200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200"/>
      <c r="X28" s="200"/>
      <c r="Y28" s="200"/>
      <c r="Z28" s="201"/>
      <c r="AA28" s="74" t="s">
        <v>654</v>
      </c>
      <c r="AB28" s="75"/>
      <c r="AC28" s="75"/>
      <c r="AD28" s="75"/>
      <c r="AE28" s="76"/>
      <c r="AF28" s="86">
        <v>30</v>
      </c>
      <c r="AG28" s="86"/>
      <c r="AH28" s="86"/>
      <c r="AI28" s="86"/>
      <c r="AJ28" s="86"/>
      <c r="AK28" s="86"/>
      <c r="AL28" s="202" t="s">
        <v>664</v>
      </c>
      <c r="AM28" s="203"/>
      <c r="AN28" s="203"/>
      <c r="AO28" s="203"/>
      <c r="AP28" s="203"/>
      <c r="AQ28" s="203"/>
      <c r="AR28" s="203"/>
      <c r="AS28" s="203"/>
      <c r="AT28" s="203"/>
      <c r="AU28" s="203"/>
      <c r="AV28" s="203"/>
      <c r="AW28" s="203"/>
      <c r="AX28" s="203"/>
      <c r="AY28" s="203"/>
      <c r="AZ28" s="203"/>
      <c r="BA28" s="203"/>
      <c r="BB28" s="203"/>
      <c r="BC28" s="203"/>
      <c r="BD28" s="203"/>
      <c r="BE28" s="203"/>
      <c r="BF28" s="203"/>
      <c r="BG28" s="203"/>
      <c r="BH28" s="203"/>
      <c r="BI28" s="203"/>
      <c r="BJ28" s="203"/>
      <c r="BK28" s="203"/>
      <c r="BL28" s="203"/>
      <c r="BM28" s="203"/>
      <c r="BN28" s="203"/>
      <c r="BO28" s="203"/>
      <c r="BP28" s="204"/>
    </row>
    <row r="29" spans="1:68" s="1" customFormat="1" ht="30.75" customHeight="1">
      <c r="A29" s="74">
        <v>21</v>
      </c>
      <c r="B29" s="75"/>
      <c r="C29" s="76"/>
      <c r="D29" s="199" t="s">
        <v>652</v>
      </c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0"/>
      <c r="Y29" s="200"/>
      <c r="Z29" s="201"/>
      <c r="AA29" s="74" t="s">
        <v>18</v>
      </c>
      <c r="AB29" s="75"/>
      <c r="AC29" s="75"/>
      <c r="AD29" s="75"/>
      <c r="AE29" s="76"/>
      <c r="AF29" s="86">
        <v>8</v>
      </c>
      <c r="AG29" s="86"/>
      <c r="AH29" s="86"/>
      <c r="AI29" s="86"/>
      <c r="AJ29" s="86"/>
      <c r="AK29" s="86"/>
      <c r="AL29" s="202" t="s">
        <v>665</v>
      </c>
      <c r="AM29" s="203"/>
      <c r="AN29" s="203"/>
      <c r="AO29" s="203"/>
      <c r="AP29" s="203"/>
      <c r="AQ29" s="203"/>
      <c r="AR29" s="203"/>
      <c r="AS29" s="203"/>
      <c r="AT29" s="203"/>
      <c r="AU29" s="203"/>
      <c r="AV29" s="203"/>
      <c r="AW29" s="203"/>
      <c r="AX29" s="203"/>
      <c r="AY29" s="203"/>
      <c r="AZ29" s="203"/>
      <c r="BA29" s="203"/>
      <c r="BB29" s="203"/>
      <c r="BC29" s="203"/>
      <c r="BD29" s="203"/>
      <c r="BE29" s="203"/>
      <c r="BF29" s="203"/>
      <c r="BG29" s="203"/>
      <c r="BH29" s="203"/>
      <c r="BI29" s="203"/>
      <c r="BJ29" s="203"/>
      <c r="BK29" s="203"/>
      <c r="BL29" s="203"/>
      <c r="BM29" s="203"/>
      <c r="BN29" s="203"/>
      <c r="BO29" s="203"/>
      <c r="BP29" s="204"/>
    </row>
    <row r="30" spans="1:68" s="1" customFormat="1" ht="30.75" customHeight="1">
      <c r="A30" s="74"/>
      <c r="B30" s="75"/>
      <c r="C30" s="76"/>
      <c r="D30" s="199" t="s">
        <v>293</v>
      </c>
      <c r="E30" s="200"/>
      <c r="F30" s="200"/>
      <c r="G30" s="200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1"/>
      <c r="AA30" s="74"/>
      <c r="AB30" s="75"/>
      <c r="AC30" s="75"/>
      <c r="AD30" s="75"/>
      <c r="AE30" s="76"/>
      <c r="AF30" s="86"/>
      <c r="AG30" s="86"/>
      <c r="AH30" s="86"/>
      <c r="AI30" s="86"/>
      <c r="AJ30" s="86"/>
      <c r="AK30" s="86"/>
      <c r="AL30" s="202"/>
      <c r="AM30" s="203"/>
      <c r="AN30" s="203"/>
      <c r="AO30" s="203"/>
      <c r="AP30" s="203"/>
      <c r="AQ30" s="203"/>
      <c r="AR30" s="203"/>
      <c r="AS30" s="203"/>
      <c r="AT30" s="203"/>
      <c r="AU30" s="203"/>
      <c r="AV30" s="203"/>
      <c r="AW30" s="203"/>
      <c r="AX30" s="203"/>
      <c r="AY30" s="203"/>
      <c r="AZ30" s="203"/>
      <c r="BA30" s="203"/>
      <c r="BB30" s="203"/>
      <c r="BC30" s="203"/>
      <c r="BD30" s="203"/>
      <c r="BE30" s="203"/>
      <c r="BF30" s="203"/>
      <c r="BG30" s="203"/>
      <c r="BH30" s="203"/>
      <c r="BI30" s="203"/>
      <c r="BJ30" s="203"/>
      <c r="BK30" s="203"/>
      <c r="BL30" s="203"/>
      <c r="BM30" s="203"/>
      <c r="BN30" s="203"/>
      <c r="BO30" s="203"/>
      <c r="BP30" s="204"/>
    </row>
    <row r="31" spans="1:68" s="1" customFormat="1" ht="30.75" customHeight="1">
      <c r="A31" s="74">
        <v>22</v>
      </c>
      <c r="B31" s="75"/>
      <c r="C31" s="76"/>
      <c r="D31" s="199" t="s">
        <v>294</v>
      </c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0"/>
      <c r="X31" s="200"/>
      <c r="Y31" s="200"/>
      <c r="Z31" s="201"/>
      <c r="AA31" s="74" t="s">
        <v>655</v>
      </c>
      <c r="AB31" s="75"/>
      <c r="AC31" s="75"/>
      <c r="AD31" s="75"/>
      <c r="AE31" s="76"/>
      <c r="AF31" s="86">
        <v>14</v>
      </c>
      <c r="AG31" s="86"/>
      <c r="AH31" s="86"/>
      <c r="AI31" s="86" t="s">
        <v>1302</v>
      </c>
      <c r="AJ31" s="86"/>
      <c r="AK31" s="86"/>
      <c r="AL31" s="202" t="s">
        <v>666</v>
      </c>
      <c r="AM31" s="203"/>
      <c r="AN31" s="203"/>
      <c r="AO31" s="203"/>
      <c r="AP31" s="203"/>
      <c r="AQ31" s="203"/>
      <c r="AR31" s="203"/>
      <c r="AS31" s="203"/>
      <c r="AT31" s="203"/>
      <c r="AU31" s="203"/>
      <c r="AV31" s="203"/>
      <c r="AW31" s="203"/>
      <c r="AX31" s="203"/>
      <c r="AY31" s="203"/>
      <c r="AZ31" s="203"/>
      <c r="BA31" s="203"/>
      <c r="BB31" s="203"/>
      <c r="BC31" s="203"/>
      <c r="BD31" s="203"/>
      <c r="BE31" s="203"/>
      <c r="BF31" s="203"/>
      <c r="BG31" s="203"/>
      <c r="BH31" s="203"/>
      <c r="BI31" s="203"/>
      <c r="BJ31" s="203"/>
      <c r="BK31" s="203"/>
      <c r="BL31" s="203"/>
      <c r="BM31" s="203"/>
      <c r="BN31" s="203"/>
      <c r="BO31" s="203"/>
      <c r="BP31" s="204"/>
    </row>
    <row r="32" spans="1:68" s="1" customFormat="1" ht="30.75" customHeight="1">
      <c r="A32" s="74">
        <v>23</v>
      </c>
      <c r="B32" s="75"/>
      <c r="C32" s="76"/>
      <c r="D32" s="199" t="s">
        <v>295</v>
      </c>
      <c r="E32" s="200"/>
      <c r="F32" s="200"/>
      <c r="G32" s="200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0"/>
      <c r="T32" s="200"/>
      <c r="U32" s="200"/>
      <c r="V32" s="200"/>
      <c r="W32" s="200"/>
      <c r="X32" s="200"/>
      <c r="Y32" s="200"/>
      <c r="Z32" s="201"/>
      <c r="AA32" s="74" t="s">
        <v>655</v>
      </c>
      <c r="AB32" s="75"/>
      <c r="AC32" s="75"/>
      <c r="AD32" s="75"/>
      <c r="AE32" s="76"/>
      <c r="AF32" s="86">
        <v>14</v>
      </c>
      <c r="AG32" s="86"/>
      <c r="AH32" s="86"/>
      <c r="AI32" s="86" t="s">
        <v>1302</v>
      </c>
      <c r="AJ32" s="86"/>
      <c r="AK32" s="86"/>
      <c r="AL32" s="202" t="s">
        <v>667</v>
      </c>
      <c r="AM32" s="203"/>
      <c r="AN32" s="203"/>
      <c r="AO32" s="203"/>
      <c r="AP32" s="203"/>
      <c r="AQ32" s="203"/>
      <c r="AR32" s="203"/>
      <c r="AS32" s="203"/>
      <c r="AT32" s="203"/>
      <c r="AU32" s="203"/>
      <c r="AV32" s="203"/>
      <c r="AW32" s="203"/>
      <c r="AX32" s="203"/>
      <c r="AY32" s="203"/>
      <c r="AZ32" s="203"/>
      <c r="BA32" s="203"/>
      <c r="BB32" s="203"/>
      <c r="BC32" s="203"/>
      <c r="BD32" s="203"/>
      <c r="BE32" s="203"/>
      <c r="BF32" s="203"/>
      <c r="BG32" s="203"/>
      <c r="BH32" s="203"/>
      <c r="BI32" s="203"/>
      <c r="BJ32" s="203"/>
      <c r="BK32" s="203"/>
      <c r="BL32" s="203"/>
      <c r="BM32" s="203"/>
      <c r="BN32" s="203"/>
      <c r="BO32" s="203"/>
      <c r="BP32" s="204"/>
    </row>
    <row r="33" spans="1:68" s="1" customFormat="1" ht="30.75" customHeight="1">
      <c r="A33" s="74">
        <v>24</v>
      </c>
      <c r="B33" s="75"/>
      <c r="C33" s="76"/>
      <c r="D33" s="199" t="s">
        <v>296</v>
      </c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1"/>
      <c r="AA33" s="74" t="s">
        <v>655</v>
      </c>
      <c r="AB33" s="75"/>
      <c r="AC33" s="75"/>
      <c r="AD33" s="75"/>
      <c r="AE33" s="76"/>
      <c r="AF33" s="86">
        <v>14</v>
      </c>
      <c r="AG33" s="86"/>
      <c r="AH33" s="86"/>
      <c r="AI33" s="86" t="s">
        <v>1302</v>
      </c>
      <c r="AJ33" s="86"/>
      <c r="AK33" s="86"/>
      <c r="AL33" s="202" t="s">
        <v>668</v>
      </c>
      <c r="AM33" s="203"/>
      <c r="AN33" s="203"/>
      <c r="AO33" s="203"/>
      <c r="AP33" s="203"/>
      <c r="AQ33" s="203"/>
      <c r="AR33" s="203"/>
      <c r="AS33" s="203"/>
      <c r="AT33" s="203"/>
      <c r="AU33" s="203"/>
      <c r="AV33" s="203"/>
      <c r="AW33" s="203"/>
      <c r="AX33" s="203"/>
      <c r="AY33" s="203"/>
      <c r="AZ33" s="203"/>
      <c r="BA33" s="203"/>
      <c r="BB33" s="203"/>
      <c r="BC33" s="203"/>
      <c r="BD33" s="203"/>
      <c r="BE33" s="203"/>
      <c r="BF33" s="203"/>
      <c r="BG33" s="203"/>
      <c r="BH33" s="203"/>
      <c r="BI33" s="203"/>
      <c r="BJ33" s="203"/>
      <c r="BK33" s="203"/>
      <c r="BL33" s="203"/>
      <c r="BM33" s="203"/>
      <c r="BN33" s="203"/>
      <c r="BO33" s="203"/>
      <c r="BP33" s="204"/>
    </row>
    <row r="34" spans="1:68" s="1" customFormat="1" ht="30.75" customHeight="1">
      <c r="A34" s="74">
        <v>25</v>
      </c>
      <c r="B34" s="75"/>
      <c r="C34" s="76"/>
      <c r="D34" s="199" t="s">
        <v>297</v>
      </c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R34" s="200"/>
      <c r="S34" s="200"/>
      <c r="T34" s="200"/>
      <c r="U34" s="200"/>
      <c r="V34" s="200"/>
      <c r="W34" s="200"/>
      <c r="X34" s="200"/>
      <c r="Y34" s="200"/>
      <c r="Z34" s="201"/>
      <c r="AA34" s="74" t="s">
        <v>655</v>
      </c>
      <c r="AB34" s="75"/>
      <c r="AC34" s="75"/>
      <c r="AD34" s="75"/>
      <c r="AE34" s="76"/>
      <c r="AF34" s="86">
        <v>14</v>
      </c>
      <c r="AG34" s="86"/>
      <c r="AH34" s="86"/>
      <c r="AI34" s="86" t="s">
        <v>1302</v>
      </c>
      <c r="AJ34" s="86"/>
      <c r="AK34" s="86"/>
      <c r="AL34" s="202" t="s">
        <v>669</v>
      </c>
      <c r="AM34" s="203"/>
      <c r="AN34" s="203"/>
      <c r="AO34" s="203"/>
      <c r="AP34" s="203"/>
      <c r="AQ34" s="203"/>
      <c r="AR34" s="203"/>
      <c r="AS34" s="203"/>
      <c r="AT34" s="203"/>
      <c r="AU34" s="203"/>
      <c r="AV34" s="203"/>
      <c r="AW34" s="203"/>
      <c r="AX34" s="203"/>
      <c r="AY34" s="203"/>
      <c r="AZ34" s="203"/>
      <c r="BA34" s="203"/>
      <c r="BB34" s="203"/>
      <c r="BC34" s="203"/>
      <c r="BD34" s="203"/>
      <c r="BE34" s="203"/>
      <c r="BF34" s="203"/>
      <c r="BG34" s="203"/>
      <c r="BH34" s="203"/>
      <c r="BI34" s="203"/>
      <c r="BJ34" s="203"/>
      <c r="BK34" s="203"/>
      <c r="BL34" s="203"/>
      <c r="BM34" s="203"/>
      <c r="BN34" s="203"/>
      <c r="BO34" s="203"/>
      <c r="BP34" s="204"/>
    </row>
    <row r="35" spans="1:68" s="1" customFormat="1" ht="30.75" customHeight="1">
      <c r="A35" s="74">
        <v>26</v>
      </c>
      <c r="B35" s="75"/>
      <c r="C35" s="76"/>
      <c r="D35" s="199" t="s">
        <v>298</v>
      </c>
      <c r="E35" s="200"/>
      <c r="F35" s="20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1"/>
      <c r="AA35" s="74" t="s">
        <v>655</v>
      </c>
      <c r="AB35" s="75"/>
      <c r="AC35" s="75"/>
      <c r="AD35" s="75"/>
      <c r="AE35" s="76"/>
      <c r="AF35" s="86">
        <v>14</v>
      </c>
      <c r="AG35" s="86"/>
      <c r="AH35" s="86"/>
      <c r="AI35" s="86" t="s">
        <v>1302</v>
      </c>
      <c r="AJ35" s="86"/>
      <c r="AK35" s="86"/>
      <c r="AL35" s="202" t="s">
        <v>670</v>
      </c>
      <c r="AM35" s="203"/>
      <c r="AN35" s="203"/>
      <c r="AO35" s="203"/>
      <c r="AP35" s="203"/>
      <c r="AQ35" s="203"/>
      <c r="AR35" s="203"/>
      <c r="AS35" s="203"/>
      <c r="AT35" s="203"/>
      <c r="AU35" s="203"/>
      <c r="AV35" s="203"/>
      <c r="AW35" s="203"/>
      <c r="AX35" s="203"/>
      <c r="AY35" s="203"/>
      <c r="AZ35" s="203"/>
      <c r="BA35" s="203"/>
      <c r="BB35" s="203"/>
      <c r="BC35" s="203"/>
      <c r="BD35" s="203"/>
      <c r="BE35" s="203"/>
      <c r="BF35" s="203"/>
      <c r="BG35" s="203"/>
      <c r="BH35" s="203"/>
      <c r="BI35" s="203"/>
      <c r="BJ35" s="203"/>
      <c r="BK35" s="203"/>
      <c r="BL35" s="203"/>
      <c r="BM35" s="203"/>
      <c r="BN35" s="203"/>
      <c r="BO35" s="203"/>
      <c r="BP35" s="204"/>
    </row>
    <row r="36" spans="1:68" s="1" customFormat="1" ht="30.75" customHeight="1">
      <c r="A36" s="74">
        <v>27</v>
      </c>
      <c r="B36" s="75"/>
      <c r="C36" s="76"/>
      <c r="D36" s="199" t="s">
        <v>299</v>
      </c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1"/>
      <c r="AA36" s="74" t="s">
        <v>655</v>
      </c>
      <c r="AB36" s="75"/>
      <c r="AC36" s="75"/>
      <c r="AD36" s="75"/>
      <c r="AE36" s="76"/>
      <c r="AF36" s="86">
        <v>14</v>
      </c>
      <c r="AG36" s="86"/>
      <c r="AH36" s="86"/>
      <c r="AI36" s="86" t="s">
        <v>1302</v>
      </c>
      <c r="AJ36" s="86"/>
      <c r="AK36" s="86"/>
      <c r="AL36" s="202" t="s">
        <v>671</v>
      </c>
      <c r="AM36" s="203"/>
      <c r="AN36" s="203"/>
      <c r="AO36" s="203"/>
      <c r="AP36" s="203"/>
      <c r="AQ36" s="203"/>
      <c r="AR36" s="203"/>
      <c r="AS36" s="203"/>
      <c r="AT36" s="203"/>
      <c r="AU36" s="203"/>
      <c r="AV36" s="203"/>
      <c r="AW36" s="203"/>
      <c r="AX36" s="203"/>
      <c r="AY36" s="203"/>
      <c r="AZ36" s="203"/>
      <c r="BA36" s="203"/>
      <c r="BB36" s="203"/>
      <c r="BC36" s="203"/>
      <c r="BD36" s="203"/>
      <c r="BE36" s="203"/>
      <c r="BF36" s="203"/>
      <c r="BG36" s="203"/>
      <c r="BH36" s="203"/>
      <c r="BI36" s="203"/>
      <c r="BJ36" s="203"/>
      <c r="BK36" s="203"/>
      <c r="BL36" s="203"/>
      <c r="BM36" s="203"/>
      <c r="BN36" s="203"/>
      <c r="BO36" s="203"/>
      <c r="BP36" s="204"/>
    </row>
    <row r="37" spans="1:68" s="1" customFormat="1" ht="30.75" customHeight="1">
      <c r="A37" s="74">
        <v>28</v>
      </c>
      <c r="B37" s="75"/>
      <c r="C37" s="76"/>
      <c r="D37" s="199" t="s">
        <v>300</v>
      </c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1"/>
      <c r="AA37" s="74" t="s">
        <v>655</v>
      </c>
      <c r="AB37" s="75"/>
      <c r="AC37" s="75"/>
      <c r="AD37" s="75"/>
      <c r="AE37" s="76"/>
      <c r="AF37" s="86">
        <v>14</v>
      </c>
      <c r="AG37" s="86"/>
      <c r="AH37" s="86"/>
      <c r="AI37" s="86" t="s">
        <v>1302</v>
      </c>
      <c r="AJ37" s="86"/>
      <c r="AK37" s="86"/>
      <c r="AL37" s="202" t="s">
        <v>672</v>
      </c>
      <c r="AM37" s="203"/>
      <c r="AN37" s="203"/>
      <c r="AO37" s="203"/>
      <c r="AP37" s="203"/>
      <c r="AQ37" s="203"/>
      <c r="AR37" s="203"/>
      <c r="AS37" s="203"/>
      <c r="AT37" s="203"/>
      <c r="AU37" s="203"/>
      <c r="AV37" s="203"/>
      <c r="AW37" s="203"/>
      <c r="AX37" s="203"/>
      <c r="AY37" s="203"/>
      <c r="AZ37" s="203"/>
      <c r="BA37" s="203"/>
      <c r="BB37" s="203"/>
      <c r="BC37" s="203"/>
      <c r="BD37" s="203"/>
      <c r="BE37" s="203"/>
      <c r="BF37" s="203"/>
      <c r="BG37" s="203"/>
      <c r="BH37" s="203"/>
      <c r="BI37" s="203"/>
      <c r="BJ37" s="203"/>
      <c r="BK37" s="203"/>
      <c r="BL37" s="203"/>
      <c r="BM37" s="203"/>
      <c r="BN37" s="203"/>
      <c r="BO37" s="203"/>
      <c r="BP37" s="204"/>
    </row>
    <row r="38" spans="1:68" s="1" customFormat="1" ht="30.75" customHeight="1">
      <c r="A38" s="74">
        <v>29</v>
      </c>
      <c r="B38" s="75"/>
      <c r="C38" s="76"/>
      <c r="D38" s="199" t="s">
        <v>301</v>
      </c>
      <c r="E38" s="200"/>
      <c r="F38" s="200"/>
      <c r="G38" s="200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1"/>
      <c r="AA38" s="74" t="s">
        <v>655</v>
      </c>
      <c r="AB38" s="75"/>
      <c r="AC38" s="75"/>
      <c r="AD38" s="75"/>
      <c r="AE38" s="76"/>
      <c r="AF38" s="86">
        <v>14</v>
      </c>
      <c r="AG38" s="86"/>
      <c r="AH38" s="86"/>
      <c r="AI38" s="86" t="s">
        <v>1302</v>
      </c>
      <c r="AJ38" s="86"/>
      <c r="AK38" s="86"/>
      <c r="AL38" s="202" t="s">
        <v>673</v>
      </c>
      <c r="AM38" s="203"/>
      <c r="AN38" s="203"/>
      <c r="AO38" s="203"/>
      <c r="AP38" s="203"/>
      <c r="AQ38" s="203"/>
      <c r="AR38" s="203"/>
      <c r="AS38" s="203"/>
      <c r="AT38" s="203"/>
      <c r="AU38" s="203"/>
      <c r="AV38" s="203"/>
      <c r="AW38" s="203"/>
      <c r="AX38" s="203"/>
      <c r="AY38" s="203"/>
      <c r="AZ38" s="203"/>
      <c r="BA38" s="203"/>
      <c r="BB38" s="203"/>
      <c r="BC38" s="203"/>
      <c r="BD38" s="203"/>
      <c r="BE38" s="203"/>
      <c r="BF38" s="203"/>
      <c r="BG38" s="203"/>
      <c r="BH38" s="203"/>
      <c r="BI38" s="203"/>
      <c r="BJ38" s="203"/>
      <c r="BK38" s="203"/>
      <c r="BL38" s="203"/>
      <c r="BM38" s="203"/>
      <c r="BN38" s="203"/>
      <c r="BO38" s="203"/>
      <c r="BP38" s="204"/>
    </row>
    <row r="39" spans="1:68" s="1" customFormat="1" ht="30.75" customHeight="1">
      <c r="A39" s="74">
        <v>30</v>
      </c>
      <c r="B39" s="75"/>
      <c r="C39" s="76"/>
      <c r="D39" s="199" t="s">
        <v>302</v>
      </c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1"/>
      <c r="AA39" s="74" t="s">
        <v>655</v>
      </c>
      <c r="AB39" s="75"/>
      <c r="AC39" s="75"/>
      <c r="AD39" s="75"/>
      <c r="AE39" s="76"/>
      <c r="AF39" s="86">
        <v>14</v>
      </c>
      <c r="AG39" s="86"/>
      <c r="AH39" s="86"/>
      <c r="AI39" s="74" t="s">
        <v>1302</v>
      </c>
      <c r="AJ39" s="75"/>
      <c r="AK39" s="76"/>
      <c r="AL39" s="202" t="s">
        <v>674</v>
      </c>
      <c r="AM39" s="203"/>
      <c r="AN39" s="203"/>
      <c r="AO39" s="203"/>
      <c r="AP39" s="203"/>
      <c r="AQ39" s="203"/>
      <c r="AR39" s="203"/>
      <c r="AS39" s="203"/>
      <c r="AT39" s="203"/>
      <c r="AU39" s="203"/>
      <c r="AV39" s="203"/>
      <c r="AW39" s="203"/>
      <c r="AX39" s="203"/>
      <c r="AY39" s="203"/>
      <c r="AZ39" s="203"/>
      <c r="BA39" s="203"/>
      <c r="BB39" s="203"/>
      <c r="BC39" s="203"/>
      <c r="BD39" s="203"/>
      <c r="BE39" s="203"/>
      <c r="BF39" s="203"/>
      <c r="BG39" s="203"/>
      <c r="BH39" s="203"/>
      <c r="BI39" s="203"/>
      <c r="BJ39" s="203"/>
      <c r="BK39" s="203"/>
      <c r="BL39" s="203"/>
      <c r="BM39" s="203"/>
      <c r="BN39" s="203"/>
      <c r="BO39" s="203"/>
      <c r="BP39" s="204"/>
    </row>
    <row r="40" spans="1:68" s="1" customFormat="1" ht="30.75" customHeight="1">
      <c r="A40" s="74">
        <v>31</v>
      </c>
      <c r="B40" s="75"/>
      <c r="C40" s="76"/>
      <c r="D40" s="199" t="s">
        <v>303</v>
      </c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200"/>
      <c r="X40" s="200"/>
      <c r="Y40" s="200"/>
      <c r="Z40" s="201"/>
      <c r="AA40" s="74" t="s">
        <v>655</v>
      </c>
      <c r="AB40" s="75"/>
      <c r="AC40" s="75"/>
      <c r="AD40" s="75"/>
      <c r="AE40" s="76"/>
      <c r="AF40" s="86">
        <v>14</v>
      </c>
      <c r="AG40" s="86"/>
      <c r="AH40" s="86"/>
      <c r="AI40" s="74" t="s">
        <v>1302</v>
      </c>
      <c r="AJ40" s="75"/>
      <c r="AK40" s="76"/>
      <c r="AL40" s="202" t="s">
        <v>675</v>
      </c>
      <c r="AM40" s="203"/>
      <c r="AN40" s="203"/>
      <c r="AO40" s="203"/>
      <c r="AP40" s="203"/>
      <c r="AQ40" s="203"/>
      <c r="AR40" s="203"/>
      <c r="AS40" s="203"/>
      <c r="AT40" s="203"/>
      <c r="AU40" s="203"/>
      <c r="AV40" s="203"/>
      <c r="AW40" s="203"/>
      <c r="AX40" s="203"/>
      <c r="AY40" s="203"/>
      <c r="AZ40" s="203"/>
      <c r="BA40" s="203"/>
      <c r="BB40" s="203"/>
      <c r="BC40" s="203"/>
      <c r="BD40" s="203"/>
      <c r="BE40" s="203"/>
      <c r="BF40" s="203"/>
      <c r="BG40" s="203"/>
      <c r="BH40" s="203"/>
      <c r="BI40" s="203"/>
      <c r="BJ40" s="203"/>
      <c r="BK40" s="203"/>
      <c r="BL40" s="203"/>
      <c r="BM40" s="203"/>
      <c r="BN40" s="203"/>
      <c r="BO40" s="203"/>
      <c r="BP40" s="204"/>
    </row>
    <row r="41" spans="1:68" s="1" customFormat="1" ht="30.75" customHeight="1">
      <c r="A41" s="74"/>
      <c r="B41" s="75"/>
      <c r="C41" s="76"/>
      <c r="D41" s="199" t="s">
        <v>304</v>
      </c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1"/>
      <c r="AA41" s="74"/>
      <c r="AB41" s="75"/>
      <c r="AC41" s="75"/>
      <c r="AD41" s="75"/>
      <c r="AE41" s="76"/>
      <c r="AF41" s="74"/>
      <c r="AG41" s="75"/>
      <c r="AH41" s="76"/>
      <c r="AI41" s="74"/>
      <c r="AJ41" s="75"/>
      <c r="AK41" s="76"/>
      <c r="AL41" s="202"/>
      <c r="AM41" s="203"/>
      <c r="AN41" s="203"/>
      <c r="AO41" s="203"/>
      <c r="AP41" s="203"/>
      <c r="AQ41" s="203"/>
      <c r="AR41" s="203"/>
      <c r="AS41" s="203"/>
      <c r="AT41" s="203"/>
      <c r="AU41" s="203"/>
      <c r="AV41" s="203"/>
      <c r="AW41" s="203"/>
      <c r="AX41" s="203"/>
      <c r="AY41" s="203"/>
      <c r="AZ41" s="203"/>
      <c r="BA41" s="203"/>
      <c r="BB41" s="203"/>
      <c r="BC41" s="203"/>
      <c r="BD41" s="203"/>
      <c r="BE41" s="203"/>
      <c r="BF41" s="203"/>
      <c r="BG41" s="203"/>
      <c r="BH41" s="203"/>
      <c r="BI41" s="203"/>
      <c r="BJ41" s="203"/>
      <c r="BK41" s="203"/>
      <c r="BL41" s="203"/>
      <c r="BM41" s="203"/>
      <c r="BN41" s="203"/>
      <c r="BO41" s="203"/>
      <c r="BP41" s="204"/>
    </row>
    <row r="42" spans="1:68" s="1" customFormat="1" ht="30.75" customHeight="1">
      <c r="A42" s="80">
        <v>32</v>
      </c>
      <c r="B42" s="81"/>
      <c r="C42" s="82"/>
      <c r="D42" s="199" t="s">
        <v>1321</v>
      </c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200"/>
      <c r="Y42" s="200"/>
      <c r="Z42" s="201"/>
      <c r="AA42" s="74" t="s">
        <v>655</v>
      </c>
      <c r="AB42" s="75"/>
      <c r="AC42" s="75"/>
      <c r="AD42" s="75"/>
      <c r="AE42" s="76"/>
      <c r="AF42" s="80">
        <v>14</v>
      </c>
      <c r="AG42" s="81"/>
      <c r="AH42" s="82"/>
      <c r="AI42" s="80" t="s">
        <v>1302</v>
      </c>
      <c r="AJ42" s="81"/>
      <c r="AK42" s="82"/>
      <c r="AL42" s="202" t="s">
        <v>1338</v>
      </c>
      <c r="AM42" s="203"/>
      <c r="AN42" s="203"/>
      <c r="AO42" s="203"/>
      <c r="AP42" s="203"/>
      <c r="AQ42" s="203"/>
      <c r="AR42" s="203"/>
      <c r="AS42" s="203"/>
      <c r="AT42" s="203"/>
      <c r="AU42" s="203"/>
      <c r="AV42" s="203"/>
      <c r="AW42" s="203"/>
      <c r="AX42" s="203"/>
      <c r="AY42" s="203"/>
      <c r="AZ42" s="203"/>
      <c r="BA42" s="203"/>
      <c r="BB42" s="203"/>
      <c r="BC42" s="203"/>
      <c r="BD42" s="203"/>
      <c r="BE42" s="203"/>
      <c r="BF42" s="203"/>
      <c r="BG42" s="203"/>
      <c r="BH42" s="203"/>
      <c r="BI42" s="203"/>
      <c r="BJ42" s="203"/>
      <c r="BK42" s="203"/>
      <c r="BL42" s="203"/>
      <c r="BM42" s="203"/>
      <c r="BN42" s="203"/>
      <c r="BO42" s="203"/>
      <c r="BP42" s="204"/>
    </row>
    <row r="43" spans="1:68" s="1" customFormat="1" ht="30.75" customHeight="1">
      <c r="A43" s="74">
        <v>33</v>
      </c>
      <c r="B43" s="75"/>
      <c r="C43" s="76"/>
      <c r="D43" s="199" t="s">
        <v>305</v>
      </c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1"/>
      <c r="AA43" s="74" t="s">
        <v>655</v>
      </c>
      <c r="AB43" s="75"/>
      <c r="AC43" s="75"/>
      <c r="AD43" s="75"/>
      <c r="AE43" s="76"/>
      <c r="AF43" s="80">
        <v>14</v>
      </c>
      <c r="AG43" s="81"/>
      <c r="AH43" s="82"/>
      <c r="AI43" s="86" t="s">
        <v>1302</v>
      </c>
      <c r="AJ43" s="86"/>
      <c r="AK43" s="86"/>
      <c r="AL43" s="202" t="s">
        <v>676</v>
      </c>
      <c r="AM43" s="203"/>
      <c r="AN43" s="203"/>
      <c r="AO43" s="203"/>
      <c r="AP43" s="203"/>
      <c r="AQ43" s="203"/>
      <c r="AR43" s="203"/>
      <c r="AS43" s="203"/>
      <c r="AT43" s="203"/>
      <c r="AU43" s="203"/>
      <c r="AV43" s="203"/>
      <c r="AW43" s="203"/>
      <c r="AX43" s="203"/>
      <c r="AY43" s="203"/>
      <c r="AZ43" s="203"/>
      <c r="BA43" s="203"/>
      <c r="BB43" s="203"/>
      <c r="BC43" s="203"/>
      <c r="BD43" s="203"/>
      <c r="BE43" s="203"/>
      <c r="BF43" s="203"/>
      <c r="BG43" s="203"/>
      <c r="BH43" s="203"/>
      <c r="BI43" s="203"/>
      <c r="BJ43" s="203"/>
      <c r="BK43" s="203"/>
      <c r="BL43" s="203"/>
      <c r="BM43" s="203"/>
      <c r="BN43" s="203"/>
      <c r="BO43" s="203"/>
      <c r="BP43" s="204"/>
    </row>
    <row r="44" spans="1:68" s="1" customFormat="1" ht="30.75" customHeight="1">
      <c r="A44" s="74">
        <v>34</v>
      </c>
      <c r="B44" s="75"/>
      <c r="C44" s="76"/>
      <c r="D44" s="199" t="s">
        <v>306</v>
      </c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1"/>
      <c r="AA44" s="74" t="s">
        <v>655</v>
      </c>
      <c r="AB44" s="75"/>
      <c r="AC44" s="75"/>
      <c r="AD44" s="75"/>
      <c r="AE44" s="76"/>
      <c r="AF44" s="80">
        <v>14</v>
      </c>
      <c r="AG44" s="81"/>
      <c r="AH44" s="82"/>
      <c r="AI44" s="141" t="s">
        <v>1302</v>
      </c>
      <c r="AJ44" s="141"/>
      <c r="AK44" s="141"/>
      <c r="AL44" s="202" t="s">
        <v>677</v>
      </c>
      <c r="AM44" s="203"/>
      <c r="AN44" s="203"/>
      <c r="AO44" s="203"/>
      <c r="AP44" s="203"/>
      <c r="AQ44" s="203"/>
      <c r="AR44" s="203"/>
      <c r="AS44" s="203"/>
      <c r="AT44" s="203"/>
      <c r="AU44" s="203"/>
      <c r="AV44" s="203"/>
      <c r="AW44" s="203"/>
      <c r="AX44" s="203"/>
      <c r="AY44" s="203"/>
      <c r="AZ44" s="203"/>
      <c r="BA44" s="203"/>
      <c r="BB44" s="203"/>
      <c r="BC44" s="203"/>
      <c r="BD44" s="203"/>
      <c r="BE44" s="203"/>
      <c r="BF44" s="203"/>
      <c r="BG44" s="203"/>
      <c r="BH44" s="203"/>
      <c r="BI44" s="203"/>
      <c r="BJ44" s="203"/>
      <c r="BK44" s="203"/>
      <c r="BL44" s="203"/>
      <c r="BM44" s="203"/>
      <c r="BN44" s="203"/>
      <c r="BO44" s="203"/>
      <c r="BP44" s="204"/>
    </row>
    <row r="45" spans="1:68" s="1" customFormat="1" ht="30.75" customHeight="1">
      <c r="A45" s="74">
        <v>35</v>
      </c>
      <c r="B45" s="75"/>
      <c r="C45" s="76"/>
      <c r="D45" s="199" t="s">
        <v>307</v>
      </c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1"/>
      <c r="AA45" s="74" t="s">
        <v>655</v>
      </c>
      <c r="AB45" s="75"/>
      <c r="AC45" s="75"/>
      <c r="AD45" s="75"/>
      <c r="AE45" s="76"/>
      <c r="AF45" s="80">
        <v>14</v>
      </c>
      <c r="AG45" s="81"/>
      <c r="AH45" s="82"/>
      <c r="AI45" s="86" t="s">
        <v>1302</v>
      </c>
      <c r="AJ45" s="86"/>
      <c r="AK45" s="86"/>
      <c r="AL45" s="202" t="s">
        <v>678</v>
      </c>
      <c r="AM45" s="203"/>
      <c r="AN45" s="203"/>
      <c r="AO45" s="203"/>
      <c r="AP45" s="203"/>
      <c r="AQ45" s="203"/>
      <c r="AR45" s="203"/>
      <c r="AS45" s="203"/>
      <c r="AT45" s="203"/>
      <c r="AU45" s="203"/>
      <c r="AV45" s="203"/>
      <c r="AW45" s="203"/>
      <c r="AX45" s="203"/>
      <c r="AY45" s="203"/>
      <c r="AZ45" s="203"/>
      <c r="BA45" s="203"/>
      <c r="BB45" s="203"/>
      <c r="BC45" s="203"/>
      <c r="BD45" s="203"/>
      <c r="BE45" s="203"/>
      <c r="BF45" s="203"/>
      <c r="BG45" s="203"/>
      <c r="BH45" s="203"/>
      <c r="BI45" s="203"/>
      <c r="BJ45" s="203"/>
      <c r="BK45" s="203"/>
      <c r="BL45" s="203"/>
      <c r="BM45" s="203"/>
      <c r="BN45" s="203"/>
      <c r="BO45" s="203"/>
      <c r="BP45" s="204"/>
    </row>
    <row r="46" spans="1:68" s="1" customFormat="1" ht="30.75" customHeight="1">
      <c r="A46" s="74">
        <v>36</v>
      </c>
      <c r="B46" s="75"/>
      <c r="C46" s="76"/>
      <c r="D46" s="199" t="s">
        <v>308</v>
      </c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1"/>
      <c r="AA46" s="74" t="s">
        <v>655</v>
      </c>
      <c r="AB46" s="75"/>
      <c r="AC46" s="75"/>
      <c r="AD46" s="75"/>
      <c r="AE46" s="76"/>
      <c r="AF46" s="80">
        <v>14</v>
      </c>
      <c r="AG46" s="81"/>
      <c r="AH46" s="82"/>
      <c r="AI46" s="86" t="s">
        <v>1302</v>
      </c>
      <c r="AJ46" s="86"/>
      <c r="AK46" s="86"/>
      <c r="AL46" s="202" t="s">
        <v>679</v>
      </c>
      <c r="AM46" s="203"/>
      <c r="AN46" s="203"/>
      <c r="AO46" s="203"/>
      <c r="AP46" s="203"/>
      <c r="AQ46" s="203"/>
      <c r="AR46" s="203"/>
      <c r="AS46" s="203"/>
      <c r="AT46" s="203"/>
      <c r="AU46" s="203"/>
      <c r="AV46" s="203"/>
      <c r="AW46" s="203"/>
      <c r="AX46" s="203"/>
      <c r="AY46" s="203"/>
      <c r="AZ46" s="203"/>
      <c r="BA46" s="203"/>
      <c r="BB46" s="203"/>
      <c r="BC46" s="203"/>
      <c r="BD46" s="203"/>
      <c r="BE46" s="203"/>
      <c r="BF46" s="203"/>
      <c r="BG46" s="203"/>
      <c r="BH46" s="203"/>
      <c r="BI46" s="203"/>
      <c r="BJ46" s="203"/>
      <c r="BK46" s="203"/>
      <c r="BL46" s="203"/>
      <c r="BM46" s="203"/>
      <c r="BN46" s="203"/>
      <c r="BO46" s="203"/>
      <c r="BP46" s="204"/>
    </row>
    <row r="47" spans="1:68" s="1" customFormat="1" ht="30.75" customHeight="1">
      <c r="A47" s="74">
        <v>37</v>
      </c>
      <c r="B47" s="75"/>
      <c r="C47" s="76"/>
      <c r="D47" s="199" t="s">
        <v>309</v>
      </c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1"/>
      <c r="AA47" s="74" t="s">
        <v>655</v>
      </c>
      <c r="AB47" s="75"/>
      <c r="AC47" s="75"/>
      <c r="AD47" s="75"/>
      <c r="AE47" s="76"/>
      <c r="AF47" s="80">
        <v>14</v>
      </c>
      <c r="AG47" s="81"/>
      <c r="AH47" s="82"/>
      <c r="AI47" s="74" t="s">
        <v>1302</v>
      </c>
      <c r="AJ47" s="75"/>
      <c r="AK47" s="76"/>
      <c r="AL47" s="202" t="s">
        <v>680</v>
      </c>
      <c r="AM47" s="203"/>
      <c r="AN47" s="203"/>
      <c r="AO47" s="203"/>
      <c r="AP47" s="203"/>
      <c r="AQ47" s="203"/>
      <c r="AR47" s="203"/>
      <c r="AS47" s="203"/>
      <c r="AT47" s="203"/>
      <c r="AU47" s="203"/>
      <c r="AV47" s="203"/>
      <c r="AW47" s="203"/>
      <c r="AX47" s="203"/>
      <c r="AY47" s="203"/>
      <c r="AZ47" s="203"/>
      <c r="BA47" s="203"/>
      <c r="BB47" s="203"/>
      <c r="BC47" s="203"/>
      <c r="BD47" s="203"/>
      <c r="BE47" s="203"/>
      <c r="BF47" s="203"/>
      <c r="BG47" s="203"/>
      <c r="BH47" s="203"/>
      <c r="BI47" s="203"/>
      <c r="BJ47" s="203"/>
      <c r="BK47" s="203"/>
      <c r="BL47" s="203"/>
      <c r="BM47" s="203"/>
      <c r="BN47" s="203"/>
      <c r="BO47" s="203"/>
      <c r="BP47" s="204"/>
    </row>
    <row r="48" spans="1:68" s="1" customFormat="1" ht="30.75" customHeight="1">
      <c r="A48" s="74">
        <v>38</v>
      </c>
      <c r="B48" s="75"/>
      <c r="C48" s="76"/>
      <c r="D48" s="199" t="s">
        <v>310</v>
      </c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201"/>
      <c r="AA48" s="74" t="s">
        <v>655</v>
      </c>
      <c r="AB48" s="75"/>
      <c r="AC48" s="75"/>
      <c r="AD48" s="75"/>
      <c r="AE48" s="76"/>
      <c r="AF48" s="80">
        <v>14</v>
      </c>
      <c r="AG48" s="81"/>
      <c r="AH48" s="82"/>
      <c r="AI48" s="74" t="s">
        <v>1302</v>
      </c>
      <c r="AJ48" s="75"/>
      <c r="AK48" s="76"/>
      <c r="AL48" s="202" t="s">
        <v>681</v>
      </c>
      <c r="AM48" s="203"/>
      <c r="AN48" s="203"/>
      <c r="AO48" s="203"/>
      <c r="AP48" s="203"/>
      <c r="AQ48" s="203"/>
      <c r="AR48" s="203"/>
      <c r="AS48" s="203"/>
      <c r="AT48" s="203"/>
      <c r="AU48" s="203"/>
      <c r="AV48" s="203"/>
      <c r="AW48" s="203"/>
      <c r="AX48" s="203"/>
      <c r="AY48" s="203"/>
      <c r="AZ48" s="203"/>
      <c r="BA48" s="203"/>
      <c r="BB48" s="203"/>
      <c r="BC48" s="203"/>
      <c r="BD48" s="203"/>
      <c r="BE48" s="203"/>
      <c r="BF48" s="203"/>
      <c r="BG48" s="203"/>
      <c r="BH48" s="203"/>
      <c r="BI48" s="203"/>
      <c r="BJ48" s="203"/>
      <c r="BK48" s="203"/>
      <c r="BL48" s="203"/>
      <c r="BM48" s="203"/>
      <c r="BN48" s="203"/>
      <c r="BO48" s="203"/>
      <c r="BP48" s="204"/>
    </row>
    <row r="49" spans="1:68" s="1" customFormat="1" ht="30.75" customHeight="1">
      <c r="A49" s="74">
        <v>39</v>
      </c>
      <c r="B49" s="75"/>
      <c r="C49" s="76"/>
      <c r="D49" s="199" t="s">
        <v>311</v>
      </c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1"/>
      <c r="AA49" s="74" t="s">
        <v>655</v>
      </c>
      <c r="AB49" s="75"/>
      <c r="AC49" s="75"/>
      <c r="AD49" s="75"/>
      <c r="AE49" s="76"/>
      <c r="AF49" s="80">
        <v>14</v>
      </c>
      <c r="AG49" s="81"/>
      <c r="AH49" s="82"/>
      <c r="AI49" s="74" t="s">
        <v>1302</v>
      </c>
      <c r="AJ49" s="75"/>
      <c r="AK49" s="76"/>
      <c r="AL49" s="202" t="s">
        <v>682</v>
      </c>
      <c r="AM49" s="203"/>
      <c r="AN49" s="203"/>
      <c r="AO49" s="203"/>
      <c r="AP49" s="203"/>
      <c r="AQ49" s="203"/>
      <c r="AR49" s="203"/>
      <c r="AS49" s="203"/>
      <c r="AT49" s="203"/>
      <c r="AU49" s="203"/>
      <c r="AV49" s="203"/>
      <c r="AW49" s="203"/>
      <c r="AX49" s="203"/>
      <c r="AY49" s="203"/>
      <c r="AZ49" s="203"/>
      <c r="BA49" s="203"/>
      <c r="BB49" s="203"/>
      <c r="BC49" s="203"/>
      <c r="BD49" s="203"/>
      <c r="BE49" s="203"/>
      <c r="BF49" s="203"/>
      <c r="BG49" s="203"/>
      <c r="BH49" s="203"/>
      <c r="BI49" s="203"/>
      <c r="BJ49" s="203"/>
      <c r="BK49" s="203"/>
      <c r="BL49" s="203"/>
      <c r="BM49" s="203"/>
      <c r="BN49" s="203"/>
      <c r="BO49" s="203"/>
      <c r="BP49" s="204"/>
    </row>
    <row r="50" spans="1:68" s="1" customFormat="1" ht="30.75" customHeight="1">
      <c r="A50" s="74">
        <v>40</v>
      </c>
      <c r="B50" s="75"/>
      <c r="C50" s="76"/>
      <c r="D50" s="199" t="s">
        <v>1325</v>
      </c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1"/>
      <c r="AA50" s="74" t="s">
        <v>655</v>
      </c>
      <c r="AB50" s="75"/>
      <c r="AC50" s="75"/>
      <c r="AD50" s="75"/>
      <c r="AE50" s="76"/>
      <c r="AF50" s="74">
        <v>14</v>
      </c>
      <c r="AG50" s="75"/>
      <c r="AH50" s="76"/>
      <c r="AI50" s="74" t="s">
        <v>1302</v>
      </c>
      <c r="AJ50" s="75"/>
      <c r="AK50" s="76"/>
      <c r="AL50" s="202" t="s">
        <v>1336</v>
      </c>
      <c r="AM50" s="203"/>
      <c r="AN50" s="203"/>
      <c r="AO50" s="203"/>
      <c r="AP50" s="203"/>
      <c r="AQ50" s="203"/>
      <c r="AR50" s="203"/>
      <c r="AS50" s="203"/>
      <c r="AT50" s="203"/>
      <c r="AU50" s="203"/>
      <c r="AV50" s="203"/>
      <c r="AW50" s="203"/>
      <c r="AX50" s="203"/>
      <c r="AY50" s="203"/>
      <c r="AZ50" s="203"/>
      <c r="BA50" s="203"/>
      <c r="BB50" s="203"/>
      <c r="BC50" s="203"/>
      <c r="BD50" s="203"/>
      <c r="BE50" s="203"/>
      <c r="BF50" s="203"/>
      <c r="BG50" s="203"/>
      <c r="BH50" s="203"/>
      <c r="BI50" s="203"/>
      <c r="BJ50" s="203"/>
      <c r="BK50" s="203"/>
      <c r="BL50" s="203"/>
      <c r="BM50" s="203"/>
      <c r="BN50" s="203"/>
      <c r="BO50" s="203"/>
      <c r="BP50" s="204"/>
    </row>
    <row r="51" spans="1:68" s="1" customFormat="1" ht="30.75" customHeight="1">
      <c r="A51" s="74">
        <v>41</v>
      </c>
      <c r="B51" s="75"/>
      <c r="C51" s="76"/>
      <c r="D51" s="199" t="s">
        <v>312</v>
      </c>
      <c r="E51" s="200"/>
      <c r="F51" s="200"/>
      <c r="G51" s="200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Z51" s="201"/>
      <c r="AA51" s="74" t="s">
        <v>655</v>
      </c>
      <c r="AB51" s="75"/>
      <c r="AC51" s="75"/>
      <c r="AD51" s="75"/>
      <c r="AE51" s="76"/>
      <c r="AF51" s="74">
        <v>14</v>
      </c>
      <c r="AG51" s="75"/>
      <c r="AH51" s="76"/>
      <c r="AI51" s="74" t="s">
        <v>1302</v>
      </c>
      <c r="AJ51" s="75"/>
      <c r="AK51" s="76"/>
      <c r="AL51" s="202" t="s">
        <v>683</v>
      </c>
      <c r="AM51" s="203"/>
      <c r="AN51" s="203"/>
      <c r="AO51" s="203"/>
      <c r="AP51" s="203"/>
      <c r="AQ51" s="203"/>
      <c r="AR51" s="203"/>
      <c r="AS51" s="203"/>
      <c r="AT51" s="203"/>
      <c r="AU51" s="203"/>
      <c r="AV51" s="203"/>
      <c r="AW51" s="203"/>
      <c r="AX51" s="203"/>
      <c r="AY51" s="203"/>
      <c r="AZ51" s="203"/>
      <c r="BA51" s="203"/>
      <c r="BB51" s="203"/>
      <c r="BC51" s="203"/>
      <c r="BD51" s="203"/>
      <c r="BE51" s="203"/>
      <c r="BF51" s="203"/>
      <c r="BG51" s="203"/>
      <c r="BH51" s="203"/>
      <c r="BI51" s="203"/>
      <c r="BJ51" s="203"/>
      <c r="BK51" s="203"/>
      <c r="BL51" s="203"/>
      <c r="BM51" s="203"/>
      <c r="BN51" s="203"/>
      <c r="BO51" s="203"/>
      <c r="BP51" s="204"/>
    </row>
    <row r="52" spans="1:68" s="1" customFormat="1" ht="30.75" customHeight="1">
      <c r="A52" s="74">
        <v>42</v>
      </c>
      <c r="B52" s="75"/>
      <c r="C52" s="76"/>
      <c r="D52" s="199" t="s">
        <v>313</v>
      </c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200"/>
      <c r="Y52" s="200"/>
      <c r="Z52" s="201"/>
      <c r="AA52" s="74" t="s">
        <v>655</v>
      </c>
      <c r="AB52" s="75"/>
      <c r="AC52" s="75"/>
      <c r="AD52" s="75"/>
      <c r="AE52" s="76"/>
      <c r="AF52" s="74">
        <v>14</v>
      </c>
      <c r="AG52" s="75"/>
      <c r="AH52" s="76"/>
      <c r="AI52" s="74" t="s">
        <v>1302</v>
      </c>
      <c r="AJ52" s="75"/>
      <c r="AK52" s="76"/>
      <c r="AL52" s="202" t="s">
        <v>684</v>
      </c>
      <c r="AM52" s="203"/>
      <c r="AN52" s="203"/>
      <c r="AO52" s="203"/>
      <c r="AP52" s="203"/>
      <c r="AQ52" s="203"/>
      <c r="AR52" s="203"/>
      <c r="AS52" s="203"/>
      <c r="AT52" s="203"/>
      <c r="AU52" s="203"/>
      <c r="AV52" s="203"/>
      <c r="AW52" s="203"/>
      <c r="AX52" s="203"/>
      <c r="AY52" s="203"/>
      <c r="AZ52" s="203"/>
      <c r="BA52" s="203"/>
      <c r="BB52" s="203"/>
      <c r="BC52" s="203"/>
      <c r="BD52" s="203"/>
      <c r="BE52" s="203"/>
      <c r="BF52" s="203"/>
      <c r="BG52" s="203"/>
      <c r="BH52" s="203"/>
      <c r="BI52" s="203"/>
      <c r="BJ52" s="203"/>
      <c r="BK52" s="203"/>
      <c r="BL52" s="203"/>
      <c r="BM52" s="203"/>
      <c r="BN52" s="203"/>
      <c r="BO52" s="203"/>
      <c r="BP52" s="204"/>
    </row>
    <row r="53" spans="1:68" s="1" customFormat="1" ht="30.75" customHeight="1">
      <c r="A53" s="74">
        <v>43</v>
      </c>
      <c r="B53" s="75"/>
      <c r="C53" s="76"/>
      <c r="D53" s="199" t="s">
        <v>314</v>
      </c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1"/>
      <c r="AA53" s="74" t="s">
        <v>655</v>
      </c>
      <c r="AB53" s="75"/>
      <c r="AC53" s="75"/>
      <c r="AD53" s="75"/>
      <c r="AE53" s="76"/>
      <c r="AF53" s="74">
        <v>14</v>
      </c>
      <c r="AG53" s="75"/>
      <c r="AH53" s="76"/>
      <c r="AI53" s="74" t="s">
        <v>1302</v>
      </c>
      <c r="AJ53" s="75"/>
      <c r="AK53" s="76"/>
      <c r="AL53" s="202" t="s">
        <v>685</v>
      </c>
      <c r="AM53" s="203"/>
      <c r="AN53" s="203"/>
      <c r="AO53" s="203"/>
      <c r="AP53" s="203"/>
      <c r="AQ53" s="203"/>
      <c r="AR53" s="203"/>
      <c r="AS53" s="203"/>
      <c r="AT53" s="203"/>
      <c r="AU53" s="203"/>
      <c r="AV53" s="203"/>
      <c r="AW53" s="203"/>
      <c r="AX53" s="203"/>
      <c r="AY53" s="203"/>
      <c r="AZ53" s="203"/>
      <c r="BA53" s="203"/>
      <c r="BB53" s="203"/>
      <c r="BC53" s="203"/>
      <c r="BD53" s="203"/>
      <c r="BE53" s="203"/>
      <c r="BF53" s="203"/>
      <c r="BG53" s="203"/>
      <c r="BH53" s="203"/>
      <c r="BI53" s="203"/>
      <c r="BJ53" s="203"/>
      <c r="BK53" s="203"/>
      <c r="BL53" s="203"/>
      <c r="BM53" s="203"/>
      <c r="BN53" s="203"/>
      <c r="BO53" s="203"/>
      <c r="BP53" s="204"/>
    </row>
    <row r="54" spans="1:68" s="1" customFormat="1" ht="30.75" customHeight="1">
      <c r="A54" s="74">
        <v>44</v>
      </c>
      <c r="B54" s="75"/>
      <c r="C54" s="76"/>
      <c r="D54" s="199" t="s">
        <v>315</v>
      </c>
      <c r="E54" s="200"/>
      <c r="F54" s="200"/>
      <c r="G54" s="200"/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1"/>
      <c r="AA54" s="74" t="s">
        <v>655</v>
      </c>
      <c r="AB54" s="75"/>
      <c r="AC54" s="75"/>
      <c r="AD54" s="75"/>
      <c r="AE54" s="76"/>
      <c r="AF54" s="74">
        <v>14</v>
      </c>
      <c r="AG54" s="75"/>
      <c r="AH54" s="76"/>
      <c r="AI54" s="86" t="s">
        <v>1302</v>
      </c>
      <c r="AJ54" s="86"/>
      <c r="AK54" s="86"/>
      <c r="AL54" s="202" t="s">
        <v>686</v>
      </c>
      <c r="AM54" s="203"/>
      <c r="AN54" s="203"/>
      <c r="AO54" s="203"/>
      <c r="AP54" s="203"/>
      <c r="AQ54" s="203"/>
      <c r="AR54" s="203"/>
      <c r="AS54" s="203"/>
      <c r="AT54" s="203"/>
      <c r="AU54" s="203"/>
      <c r="AV54" s="203"/>
      <c r="AW54" s="203"/>
      <c r="AX54" s="203"/>
      <c r="AY54" s="203"/>
      <c r="AZ54" s="203"/>
      <c r="BA54" s="203"/>
      <c r="BB54" s="203"/>
      <c r="BC54" s="203"/>
      <c r="BD54" s="203"/>
      <c r="BE54" s="203"/>
      <c r="BF54" s="203"/>
      <c r="BG54" s="203"/>
      <c r="BH54" s="203"/>
      <c r="BI54" s="203"/>
      <c r="BJ54" s="203"/>
      <c r="BK54" s="203"/>
      <c r="BL54" s="203"/>
      <c r="BM54" s="203"/>
      <c r="BN54" s="203"/>
      <c r="BO54" s="203"/>
      <c r="BP54" s="204"/>
    </row>
    <row r="55" spans="1:68" s="1" customFormat="1" ht="30.75" customHeight="1">
      <c r="A55" s="74">
        <v>45</v>
      </c>
      <c r="B55" s="75"/>
      <c r="C55" s="76"/>
      <c r="D55" s="199" t="s">
        <v>316</v>
      </c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1"/>
      <c r="AA55" s="74" t="s">
        <v>655</v>
      </c>
      <c r="AB55" s="75"/>
      <c r="AC55" s="75"/>
      <c r="AD55" s="75"/>
      <c r="AE55" s="76"/>
      <c r="AF55" s="74">
        <v>14</v>
      </c>
      <c r="AG55" s="75"/>
      <c r="AH55" s="76"/>
      <c r="AI55" s="86" t="s">
        <v>1302</v>
      </c>
      <c r="AJ55" s="86"/>
      <c r="AK55" s="86"/>
      <c r="AL55" s="202" t="s">
        <v>687</v>
      </c>
      <c r="AM55" s="203"/>
      <c r="AN55" s="203"/>
      <c r="AO55" s="203"/>
      <c r="AP55" s="203"/>
      <c r="AQ55" s="203"/>
      <c r="AR55" s="203"/>
      <c r="AS55" s="203"/>
      <c r="AT55" s="203"/>
      <c r="AU55" s="203"/>
      <c r="AV55" s="203"/>
      <c r="AW55" s="203"/>
      <c r="AX55" s="203"/>
      <c r="AY55" s="203"/>
      <c r="AZ55" s="203"/>
      <c r="BA55" s="203"/>
      <c r="BB55" s="203"/>
      <c r="BC55" s="203"/>
      <c r="BD55" s="203"/>
      <c r="BE55" s="203"/>
      <c r="BF55" s="203"/>
      <c r="BG55" s="203"/>
      <c r="BH55" s="203"/>
      <c r="BI55" s="203"/>
      <c r="BJ55" s="203"/>
      <c r="BK55" s="203"/>
      <c r="BL55" s="203"/>
      <c r="BM55" s="203"/>
      <c r="BN55" s="203"/>
      <c r="BO55" s="203"/>
      <c r="BP55" s="204"/>
    </row>
    <row r="56" spans="1:68" s="1" customFormat="1" ht="30.75" customHeight="1">
      <c r="A56" s="74">
        <v>46</v>
      </c>
      <c r="B56" s="75"/>
      <c r="C56" s="76"/>
      <c r="D56" s="199" t="s">
        <v>317</v>
      </c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1"/>
      <c r="AA56" s="74" t="s">
        <v>655</v>
      </c>
      <c r="AB56" s="75"/>
      <c r="AC56" s="75"/>
      <c r="AD56" s="75"/>
      <c r="AE56" s="76"/>
      <c r="AF56" s="74">
        <v>14</v>
      </c>
      <c r="AG56" s="75"/>
      <c r="AH56" s="76"/>
      <c r="AI56" s="86" t="s">
        <v>1302</v>
      </c>
      <c r="AJ56" s="86"/>
      <c r="AK56" s="86"/>
      <c r="AL56" s="202" t="s">
        <v>688</v>
      </c>
      <c r="AM56" s="203"/>
      <c r="AN56" s="203"/>
      <c r="AO56" s="203"/>
      <c r="AP56" s="203"/>
      <c r="AQ56" s="203"/>
      <c r="AR56" s="203"/>
      <c r="AS56" s="203"/>
      <c r="AT56" s="203"/>
      <c r="AU56" s="203"/>
      <c r="AV56" s="203"/>
      <c r="AW56" s="203"/>
      <c r="AX56" s="203"/>
      <c r="AY56" s="203"/>
      <c r="AZ56" s="203"/>
      <c r="BA56" s="203"/>
      <c r="BB56" s="203"/>
      <c r="BC56" s="203"/>
      <c r="BD56" s="203"/>
      <c r="BE56" s="203"/>
      <c r="BF56" s="203"/>
      <c r="BG56" s="203"/>
      <c r="BH56" s="203"/>
      <c r="BI56" s="203"/>
      <c r="BJ56" s="203"/>
      <c r="BK56" s="203"/>
      <c r="BL56" s="203"/>
      <c r="BM56" s="203"/>
      <c r="BN56" s="203"/>
      <c r="BO56" s="203"/>
      <c r="BP56" s="204"/>
    </row>
    <row r="57" spans="1:68" s="1" customFormat="1" ht="30.75" customHeight="1">
      <c r="A57" s="74">
        <v>47</v>
      </c>
      <c r="B57" s="75"/>
      <c r="C57" s="76"/>
      <c r="D57" s="199" t="s">
        <v>318</v>
      </c>
      <c r="E57" s="200"/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1"/>
      <c r="AA57" s="74" t="s">
        <v>655</v>
      </c>
      <c r="AB57" s="75"/>
      <c r="AC57" s="75"/>
      <c r="AD57" s="75"/>
      <c r="AE57" s="76"/>
      <c r="AF57" s="74">
        <v>14</v>
      </c>
      <c r="AG57" s="75"/>
      <c r="AH57" s="76"/>
      <c r="AI57" s="86" t="s">
        <v>1302</v>
      </c>
      <c r="AJ57" s="86"/>
      <c r="AK57" s="86"/>
      <c r="AL57" s="202" t="s">
        <v>689</v>
      </c>
      <c r="AM57" s="203"/>
      <c r="AN57" s="203"/>
      <c r="AO57" s="203"/>
      <c r="AP57" s="203"/>
      <c r="AQ57" s="203"/>
      <c r="AR57" s="203"/>
      <c r="AS57" s="203"/>
      <c r="AT57" s="203"/>
      <c r="AU57" s="203"/>
      <c r="AV57" s="203"/>
      <c r="AW57" s="203"/>
      <c r="AX57" s="203"/>
      <c r="AY57" s="203"/>
      <c r="AZ57" s="203"/>
      <c r="BA57" s="203"/>
      <c r="BB57" s="203"/>
      <c r="BC57" s="203"/>
      <c r="BD57" s="203"/>
      <c r="BE57" s="203"/>
      <c r="BF57" s="203"/>
      <c r="BG57" s="203"/>
      <c r="BH57" s="203"/>
      <c r="BI57" s="203"/>
      <c r="BJ57" s="203"/>
      <c r="BK57" s="203"/>
      <c r="BL57" s="203"/>
      <c r="BM57" s="203"/>
      <c r="BN57" s="203"/>
      <c r="BO57" s="203"/>
      <c r="BP57" s="204"/>
    </row>
    <row r="58" spans="1:68" s="1" customFormat="1" ht="30.75" customHeight="1">
      <c r="A58" s="74">
        <v>48</v>
      </c>
      <c r="B58" s="75"/>
      <c r="C58" s="76"/>
      <c r="D58" s="199" t="s">
        <v>319</v>
      </c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1"/>
      <c r="AA58" s="74" t="s">
        <v>655</v>
      </c>
      <c r="AB58" s="75"/>
      <c r="AC58" s="75"/>
      <c r="AD58" s="75"/>
      <c r="AE58" s="76"/>
      <c r="AF58" s="86">
        <v>14</v>
      </c>
      <c r="AG58" s="86"/>
      <c r="AH58" s="86"/>
      <c r="AI58" s="86" t="s">
        <v>1302</v>
      </c>
      <c r="AJ58" s="86"/>
      <c r="AK58" s="86"/>
      <c r="AL58" s="202" t="s">
        <v>690</v>
      </c>
      <c r="AM58" s="203"/>
      <c r="AN58" s="203"/>
      <c r="AO58" s="203"/>
      <c r="AP58" s="203"/>
      <c r="AQ58" s="203"/>
      <c r="AR58" s="203"/>
      <c r="AS58" s="203"/>
      <c r="AT58" s="203"/>
      <c r="AU58" s="203"/>
      <c r="AV58" s="203"/>
      <c r="AW58" s="203"/>
      <c r="AX58" s="203"/>
      <c r="AY58" s="203"/>
      <c r="AZ58" s="203"/>
      <c r="BA58" s="203"/>
      <c r="BB58" s="203"/>
      <c r="BC58" s="203"/>
      <c r="BD58" s="203"/>
      <c r="BE58" s="203"/>
      <c r="BF58" s="203"/>
      <c r="BG58" s="203"/>
      <c r="BH58" s="203"/>
      <c r="BI58" s="203"/>
      <c r="BJ58" s="203"/>
      <c r="BK58" s="203"/>
      <c r="BL58" s="203"/>
      <c r="BM58" s="203"/>
      <c r="BN58" s="203"/>
      <c r="BO58" s="203"/>
      <c r="BP58" s="204"/>
    </row>
    <row r="59" spans="1:68" s="1" customFormat="1" ht="30.75" customHeight="1">
      <c r="A59" s="74">
        <v>49</v>
      </c>
      <c r="B59" s="75"/>
      <c r="C59" s="76"/>
      <c r="D59" s="199" t="s">
        <v>320</v>
      </c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1"/>
      <c r="AA59" s="74" t="s">
        <v>655</v>
      </c>
      <c r="AB59" s="75"/>
      <c r="AC59" s="75"/>
      <c r="AD59" s="75"/>
      <c r="AE59" s="76"/>
      <c r="AF59" s="86">
        <v>14</v>
      </c>
      <c r="AG59" s="86"/>
      <c r="AH59" s="86"/>
      <c r="AI59" s="86" t="s">
        <v>1302</v>
      </c>
      <c r="AJ59" s="86"/>
      <c r="AK59" s="86"/>
      <c r="AL59" s="202" t="s">
        <v>691</v>
      </c>
      <c r="AM59" s="203"/>
      <c r="AN59" s="203"/>
      <c r="AO59" s="203"/>
      <c r="AP59" s="203"/>
      <c r="AQ59" s="203"/>
      <c r="AR59" s="203"/>
      <c r="AS59" s="203"/>
      <c r="AT59" s="203"/>
      <c r="AU59" s="203"/>
      <c r="AV59" s="203"/>
      <c r="AW59" s="203"/>
      <c r="AX59" s="203"/>
      <c r="AY59" s="203"/>
      <c r="AZ59" s="203"/>
      <c r="BA59" s="203"/>
      <c r="BB59" s="203"/>
      <c r="BC59" s="203"/>
      <c r="BD59" s="203"/>
      <c r="BE59" s="203"/>
      <c r="BF59" s="203"/>
      <c r="BG59" s="203"/>
      <c r="BH59" s="203"/>
      <c r="BI59" s="203"/>
      <c r="BJ59" s="203"/>
      <c r="BK59" s="203"/>
      <c r="BL59" s="203"/>
      <c r="BM59" s="203"/>
      <c r="BN59" s="203"/>
      <c r="BO59" s="203"/>
      <c r="BP59" s="204"/>
    </row>
    <row r="60" spans="1:68" s="1" customFormat="1" ht="30.75" customHeight="1">
      <c r="A60" s="74">
        <v>50</v>
      </c>
      <c r="B60" s="75"/>
      <c r="C60" s="76"/>
      <c r="D60" s="199" t="s">
        <v>321</v>
      </c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1"/>
      <c r="AA60" s="74" t="s">
        <v>655</v>
      </c>
      <c r="AB60" s="75"/>
      <c r="AC60" s="75"/>
      <c r="AD60" s="75"/>
      <c r="AE60" s="76"/>
      <c r="AF60" s="86">
        <v>14</v>
      </c>
      <c r="AG60" s="86"/>
      <c r="AH60" s="86"/>
      <c r="AI60" s="86" t="s">
        <v>1302</v>
      </c>
      <c r="AJ60" s="86"/>
      <c r="AK60" s="86"/>
      <c r="AL60" s="202" t="s">
        <v>692</v>
      </c>
      <c r="AM60" s="203"/>
      <c r="AN60" s="203"/>
      <c r="AO60" s="203"/>
      <c r="AP60" s="203"/>
      <c r="AQ60" s="203"/>
      <c r="AR60" s="203"/>
      <c r="AS60" s="203"/>
      <c r="AT60" s="203"/>
      <c r="AU60" s="203"/>
      <c r="AV60" s="203"/>
      <c r="AW60" s="203"/>
      <c r="AX60" s="203"/>
      <c r="AY60" s="203"/>
      <c r="AZ60" s="203"/>
      <c r="BA60" s="203"/>
      <c r="BB60" s="203"/>
      <c r="BC60" s="203"/>
      <c r="BD60" s="203"/>
      <c r="BE60" s="203"/>
      <c r="BF60" s="203"/>
      <c r="BG60" s="203"/>
      <c r="BH60" s="203"/>
      <c r="BI60" s="203"/>
      <c r="BJ60" s="203"/>
      <c r="BK60" s="203"/>
      <c r="BL60" s="203"/>
      <c r="BM60" s="203"/>
      <c r="BN60" s="203"/>
      <c r="BO60" s="203"/>
      <c r="BP60" s="204"/>
    </row>
    <row r="61" spans="1:68" s="1" customFormat="1" ht="30.75" customHeight="1">
      <c r="A61" s="74">
        <v>51</v>
      </c>
      <c r="B61" s="75"/>
      <c r="C61" s="76"/>
      <c r="D61" s="199" t="s">
        <v>321</v>
      </c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  <c r="V61" s="200"/>
      <c r="W61" s="200"/>
      <c r="X61" s="200"/>
      <c r="Y61" s="200"/>
      <c r="Z61" s="201"/>
      <c r="AA61" s="74" t="s">
        <v>655</v>
      </c>
      <c r="AB61" s="75"/>
      <c r="AC61" s="75"/>
      <c r="AD61" s="75"/>
      <c r="AE61" s="76"/>
      <c r="AF61" s="86">
        <v>14</v>
      </c>
      <c r="AG61" s="86"/>
      <c r="AH61" s="86"/>
      <c r="AI61" s="86" t="s">
        <v>1302</v>
      </c>
      <c r="AJ61" s="86"/>
      <c r="AK61" s="86"/>
      <c r="AL61" s="202" t="s">
        <v>693</v>
      </c>
      <c r="AM61" s="203"/>
      <c r="AN61" s="203"/>
      <c r="AO61" s="203"/>
      <c r="AP61" s="203"/>
      <c r="AQ61" s="203"/>
      <c r="AR61" s="203"/>
      <c r="AS61" s="203"/>
      <c r="AT61" s="203"/>
      <c r="AU61" s="203"/>
      <c r="AV61" s="203"/>
      <c r="AW61" s="203"/>
      <c r="AX61" s="203"/>
      <c r="AY61" s="203"/>
      <c r="AZ61" s="203"/>
      <c r="BA61" s="203"/>
      <c r="BB61" s="203"/>
      <c r="BC61" s="203"/>
      <c r="BD61" s="203"/>
      <c r="BE61" s="203"/>
      <c r="BF61" s="203"/>
      <c r="BG61" s="203"/>
      <c r="BH61" s="203"/>
      <c r="BI61" s="203"/>
      <c r="BJ61" s="203"/>
      <c r="BK61" s="203"/>
      <c r="BL61" s="203"/>
      <c r="BM61" s="203"/>
      <c r="BN61" s="203"/>
      <c r="BO61" s="203"/>
      <c r="BP61" s="204"/>
    </row>
    <row r="62" spans="1:68" s="1" customFormat="1" ht="30.75" customHeight="1">
      <c r="A62" s="74">
        <v>52</v>
      </c>
      <c r="B62" s="75"/>
      <c r="C62" s="76"/>
      <c r="D62" s="199" t="s">
        <v>323</v>
      </c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  <c r="X62" s="200"/>
      <c r="Y62" s="200"/>
      <c r="Z62" s="201"/>
      <c r="AA62" s="74" t="s">
        <v>655</v>
      </c>
      <c r="AB62" s="75"/>
      <c r="AC62" s="75"/>
      <c r="AD62" s="75"/>
      <c r="AE62" s="76"/>
      <c r="AF62" s="86">
        <v>14</v>
      </c>
      <c r="AG62" s="86"/>
      <c r="AH62" s="86"/>
      <c r="AI62" s="86" t="s">
        <v>1302</v>
      </c>
      <c r="AJ62" s="86"/>
      <c r="AK62" s="86"/>
      <c r="AL62" s="202" t="s">
        <v>694</v>
      </c>
      <c r="AM62" s="203"/>
      <c r="AN62" s="203"/>
      <c r="AO62" s="203"/>
      <c r="AP62" s="203"/>
      <c r="AQ62" s="203"/>
      <c r="AR62" s="203"/>
      <c r="AS62" s="203"/>
      <c r="AT62" s="203"/>
      <c r="AU62" s="203"/>
      <c r="AV62" s="203"/>
      <c r="AW62" s="203"/>
      <c r="AX62" s="203"/>
      <c r="AY62" s="203"/>
      <c r="AZ62" s="203"/>
      <c r="BA62" s="203"/>
      <c r="BB62" s="203"/>
      <c r="BC62" s="203"/>
      <c r="BD62" s="203"/>
      <c r="BE62" s="203"/>
      <c r="BF62" s="203"/>
      <c r="BG62" s="203"/>
      <c r="BH62" s="203"/>
      <c r="BI62" s="203"/>
      <c r="BJ62" s="203"/>
      <c r="BK62" s="203"/>
      <c r="BL62" s="203"/>
      <c r="BM62" s="203"/>
      <c r="BN62" s="203"/>
      <c r="BO62" s="203"/>
      <c r="BP62" s="204"/>
    </row>
    <row r="63" spans="1:68" s="1" customFormat="1" ht="30.75" customHeight="1">
      <c r="A63" s="74">
        <v>53</v>
      </c>
      <c r="B63" s="75"/>
      <c r="C63" s="76"/>
      <c r="D63" s="199" t="s">
        <v>324</v>
      </c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1"/>
      <c r="AA63" s="74" t="s">
        <v>655</v>
      </c>
      <c r="AB63" s="75"/>
      <c r="AC63" s="75"/>
      <c r="AD63" s="75"/>
      <c r="AE63" s="76"/>
      <c r="AF63" s="86">
        <v>14</v>
      </c>
      <c r="AG63" s="86"/>
      <c r="AH63" s="86"/>
      <c r="AI63" s="86" t="s">
        <v>1302</v>
      </c>
      <c r="AJ63" s="86"/>
      <c r="AK63" s="86"/>
      <c r="AL63" s="202" t="s">
        <v>695</v>
      </c>
      <c r="AM63" s="203"/>
      <c r="AN63" s="203"/>
      <c r="AO63" s="203"/>
      <c r="AP63" s="203"/>
      <c r="AQ63" s="203"/>
      <c r="AR63" s="203"/>
      <c r="AS63" s="203"/>
      <c r="AT63" s="203"/>
      <c r="AU63" s="203"/>
      <c r="AV63" s="203"/>
      <c r="AW63" s="203"/>
      <c r="AX63" s="203"/>
      <c r="AY63" s="203"/>
      <c r="AZ63" s="203"/>
      <c r="BA63" s="203"/>
      <c r="BB63" s="203"/>
      <c r="BC63" s="203"/>
      <c r="BD63" s="203"/>
      <c r="BE63" s="203"/>
      <c r="BF63" s="203"/>
      <c r="BG63" s="203"/>
      <c r="BH63" s="203"/>
      <c r="BI63" s="203"/>
      <c r="BJ63" s="203"/>
      <c r="BK63" s="203"/>
      <c r="BL63" s="203"/>
      <c r="BM63" s="203"/>
      <c r="BN63" s="203"/>
      <c r="BO63" s="203"/>
      <c r="BP63" s="204"/>
    </row>
    <row r="64" spans="1:68" s="1" customFormat="1" ht="30.75" customHeight="1">
      <c r="A64" s="74">
        <v>54</v>
      </c>
      <c r="B64" s="75"/>
      <c r="C64" s="76"/>
      <c r="D64" s="199" t="s">
        <v>325</v>
      </c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1"/>
      <c r="AA64" s="74" t="s">
        <v>655</v>
      </c>
      <c r="AB64" s="75"/>
      <c r="AC64" s="75"/>
      <c r="AD64" s="75"/>
      <c r="AE64" s="76"/>
      <c r="AF64" s="86">
        <v>14</v>
      </c>
      <c r="AG64" s="86"/>
      <c r="AH64" s="86"/>
      <c r="AI64" s="86" t="s">
        <v>1302</v>
      </c>
      <c r="AJ64" s="86"/>
      <c r="AK64" s="86"/>
      <c r="AL64" s="202" t="s">
        <v>696</v>
      </c>
      <c r="AM64" s="203"/>
      <c r="AN64" s="203"/>
      <c r="AO64" s="203"/>
      <c r="AP64" s="203"/>
      <c r="AQ64" s="203"/>
      <c r="AR64" s="203"/>
      <c r="AS64" s="203"/>
      <c r="AT64" s="203"/>
      <c r="AU64" s="203"/>
      <c r="AV64" s="203"/>
      <c r="AW64" s="203"/>
      <c r="AX64" s="203"/>
      <c r="AY64" s="203"/>
      <c r="AZ64" s="203"/>
      <c r="BA64" s="203"/>
      <c r="BB64" s="203"/>
      <c r="BC64" s="203"/>
      <c r="BD64" s="203"/>
      <c r="BE64" s="203"/>
      <c r="BF64" s="203"/>
      <c r="BG64" s="203"/>
      <c r="BH64" s="203"/>
      <c r="BI64" s="203"/>
      <c r="BJ64" s="203"/>
      <c r="BK64" s="203"/>
      <c r="BL64" s="203"/>
      <c r="BM64" s="203"/>
      <c r="BN64" s="203"/>
      <c r="BO64" s="203"/>
      <c r="BP64" s="204"/>
    </row>
    <row r="65" spans="1:68" s="1" customFormat="1" ht="30.75" customHeight="1">
      <c r="A65" s="74">
        <v>55</v>
      </c>
      <c r="B65" s="75"/>
      <c r="C65" s="76"/>
      <c r="D65" s="199" t="s">
        <v>326</v>
      </c>
      <c r="E65" s="200"/>
      <c r="F65" s="200"/>
      <c r="G65" s="20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1"/>
      <c r="AA65" s="74" t="s">
        <v>655</v>
      </c>
      <c r="AB65" s="75"/>
      <c r="AC65" s="75"/>
      <c r="AD65" s="75"/>
      <c r="AE65" s="76"/>
      <c r="AF65" s="86">
        <v>14</v>
      </c>
      <c r="AG65" s="86"/>
      <c r="AH65" s="86"/>
      <c r="AI65" s="86" t="s">
        <v>1302</v>
      </c>
      <c r="AJ65" s="86"/>
      <c r="AK65" s="86"/>
      <c r="AL65" s="202" t="s">
        <v>697</v>
      </c>
      <c r="AM65" s="203"/>
      <c r="AN65" s="203"/>
      <c r="AO65" s="203"/>
      <c r="AP65" s="203"/>
      <c r="AQ65" s="203"/>
      <c r="AR65" s="203"/>
      <c r="AS65" s="203"/>
      <c r="AT65" s="203"/>
      <c r="AU65" s="203"/>
      <c r="AV65" s="203"/>
      <c r="AW65" s="203"/>
      <c r="AX65" s="203"/>
      <c r="AY65" s="203"/>
      <c r="AZ65" s="203"/>
      <c r="BA65" s="203"/>
      <c r="BB65" s="203"/>
      <c r="BC65" s="203"/>
      <c r="BD65" s="203"/>
      <c r="BE65" s="203"/>
      <c r="BF65" s="203"/>
      <c r="BG65" s="203"/>
      <c r="BH65" s="203"/>
      <c r="BI65" s="203"/>
      <c r="BJ65" s="203"/>
      <c r="BK65" s="203"/>
      <c r="BL65" s="203"/>
      <c r="BM65" s="203"/>
      <c r="BN65" s="203"/>
      <c r="BO65" s="203"/>
      <c r="BP65" s="204"/>
    </row>
    <row r="66" spans="1:68" s="1" customFormat="1" ht="30.75" customHeight="1">
      <c r="A66" s="74">
        <v>56</v>
      </c>
      <c r="B66" s="75"/>
      <c r="C66" s="76"/>
      <c r="D66" s="199" t="s">
        <v>327</v>
      </c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0"/>
      <c r="Y66" s="200"/>
      <c r="Z66" s="201"/>
      <c r="AA66" s="74" t="s">
        <v>655</v>
      </c>
      <c r="AB66" s="75"/>
      <c r="AC66" s="75"/>
      <c r="AD66" s="75"/>
      <c r="AE66" s="76"/>
      <c r="AF66" s="86">
        <v>14</v>
      </c>
      <c r="AG66" s="86"/>
      <c r="AH66" s="86"/>
      <c r="AI66" s="86" t="s">
        <v>1302</v>
      </c>
      <c r="AJ66" s="86"/>
      <c r="AK66" s="86"/>
      <c r="AL66" s="202" t="s">
        <v>698</v>
      </c>
      <c r="AM66" s="203"/>
      <c r="AN66" s="203"/>
      <c r="AO66" s="203"/>
      <c r="AP66" s="203"/>
      <c r="AQ66" s="203"/>
      <c r="AR66" s="203"/>
      <c r="AS66" s="203"/>
      <c r="AT66" s="203"/>
      <c r="AU66" s="203"/>
      <c r="AV66" s="203"/>
      <c r="AW66" s="203"/>
      <c r="AX66" s="203"/>
      <c r="AY66" s="203"/>
      <c r="AZ66" s="203"/>
      <c r="BA66" s="203"/>
      <c r="BB66" s="203"/>
      <c r="BC66" s="203"/>
      <c r="BD66" s="203"/>
      <c r="BE66" s="203"/>
      <c r="BF66" s="203"/>
      <c r="BG66" s="203"/>
      <c r="BH66" s="203"/>
      <c r="BI66" s="203"/>
      <c r="BJ66" s="203"/>
      <c r="BK66" s="203"/>
      <c r="BL66" s="203"/>
      <c r="BM66" s="203"/>
      <c r="BN66" s="203"/>
      <c r="BO66" s="203"/>
      <c r="BP66" s="204"/>
    </row>
    <row r="67" spans="1:68" s="1" customFormat="1" ht="30.75" customHeight="1">
      <c r="A67" s="74">
        <v>57</v>
      </c>
      <c r="B67" s="75"/>
      <c r="C67" s="76"/>
      <c r="D67" s="199" t="s">
        <v>1317</v>
      </c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1"/>
      <c r="AA67" s="74" t="s">
        <v>655</v>
      </c>
      <c r="AB67" s="75"/>
      <c r="AC67" s="75"/>
      <c r="AD67" s="75"/>
      <c r="AE67" s="76"/>
      <c r="AF67" s="86">
        <v>14</v>
      </c>
      <c r="AG67" s="86"/>
      <c r="AH67" s="86"/>
      <c r="AI67" s="86" t="s">
        <v>1302</v>
      </c>
      <c r="AJ67" s="86"/>
      <c r="AK67" s="86"/>
      <c r="AL67" s="202" t="s">
        <v>1318</v>
      </c>
      <c r="AM67" s="203"/>
      <c r="AN67" s="203"/>
      <c r="AO67" s="203"/>
      <c r="AP67" s="203"/>
      <c r="AQ67" s="203"/>
      <c r="AR67" s="203"/>
      <c r="AS67" s="203"/>
      <c r="AT67" s="203"/>
      <c r="AU67" s="203"/>
      <c r="AV67" s="203"/>
      <c r="AW67" s="203"/>
      <c r="AX67" s="203"/>
      <c r="AY67" s="203"/>
      <c r="AZ67" s="203"/>
      <c r="BA67" s="203"/>
      <c r="BB67" s="203"/>
      <c r="BC67" s="203"/>
      <c r="BD67" s="203"/>
      <c r="BE67" s="203"/>
      <c r="BF67" s="203"/>
      <c r="BG67" s="203"/>
      <c r="BH67" s="203"/>
      <c r="BI67" s="203"/>
      <c r="BJ67" s="203"/>
      <c r="BK67" s="203"/>
      <c r="BL67" s="203"/>
      <c r="BM67" s="203"/>
      <c r="BN67" s="203"/>
      <c r="BO67" s="203"/>
      <c r="BP67" s="204"/>
    </row>
    <row r="68" spans="1:68" s="1" customFormat="1" ht="30.75" customHeight="1">
      <c r="A68" s="74"/>
      <c r="B68" s="75"/>
      <c r="C68" s="76"/>
      <c r="D68" s="199" t="s">
        <v>328</v>
      </c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1"/>
      <c r="AA68" s="74"/>
      <c r="AB68" s="75"/>
      <c r="AC68" s="75"/>
      <c r="AD68" s="75"/>
      <c r="AE68" s="76"/>
      <c r="AF68" s="86"/>
      <c r="AG68" s="86"/>
      <c r="AH68" s="86"/>
      <c r="AI68" s="86"/>
      <c r="AJ68" s="86"/>
      <c r="AK68" s="86"/>
      <c r="AL68" s="202"/>
      <c r="AM68" s="203"/>
      <c r="AN68" s="203"/>
      <c r="AO68" s="203"/>
      <c r="AP68" s="203"/>
      <c r="AQ68" s="203"/>
      <c r="AR68" s="203"/>
      <c r="AS68" s="203"/>
      <c r="AT68" s="203"/>
      <c r="AU68" s="203"/>
      <c r="AV68" s="203"/>
      <c r="AW68" s="203"/>
      <c r="AX68" s="203"/>
      <c r="AY68" s="203"/>
      <c r="AZ68" s="203"/>
      <c r="BA68" s="203"/>
      <c r="BB68" s="203"/>
      <c r="BC68" s="203"/>
      <c r="BD68" s="203"/>
      <c r="BE68" s="203"/>
      <c r="BF68" s="203"/>
      <c r="BG68" s="203"/>
      <c r="BH68" s="203"/>
      <c r="BI68" s="203"/>
      <c r="BJ68" s="203"/>
      <c r="BK68" s="203"/>
      <c r="BL68" s="203"/>
      <c r="BM68" s="203"/>
      <c r="BN68" s="203"/>
      <c r="BO68" s="203"/>
      <c r="BP68" s="204"/>
    </row>
    <row r="69" spans="1:68" s="1" customFormat="1" ht="30.75" customHeight="1">
      <c r="A69" s="74">
        <v>58</v>
      </c>
      <c r="B69" s="75"/>
      <c r="C69" s="76"/>
      <c r="D69" s="199" t="s">
        <v>629</v>
      </c>
      <c r="E69" s="200"/>
      <c r="F69" s="200"/>
      <c r="G69" s="200"/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1"/>
      <c r="AA69" s="74" t="s">
        <v>655</v>
      </c>
      <c r="AB69" s="75"/>
      <c r="AC69" s="75"/>
      <c r="AD69" s="75"/>
      <c r="AE69" s="76"/>
      <c r="AF69" s="86">
        <v>14</v>
      </c>
      <c r="AG69" s="86"/>
      <c r="AH69" s="86"/>
      <c r="AI69" s="86" t="s">
        <v>1302</v>
      </c>
      <c r="AJ69" s="86"/>
      <c r="AK69" s="86"/>
      <c r="AL69" s="202" t="s">
        <v>699</v>
      </c>
      <c r="AM69" s="203"/>
      <c r="AN69" s="203"/>
      <c r="AO69" s="203"/>
      <c r="AP69" s="203"/>
      <c r="AQ69" s="203"/>
      <c r="AR69" s="203"/>
      <c r="AS69" s="203"/>
      <c r="AT69" s="203"/>
      <c r="AU69" s="203"/>
      <c r="AV69" s="203"/>
      <c r="AW69" s="203"/>
      <c r="AX69" s="203"/>
      <c r="AY69" s="203"/>
      <c r="AZ69" s="203"/>
      <c r="BA69" s="203"/>
      <c r="BB69" s="203"/>
      <c r="BC69" s="203"/>
      <c r="BD69" s="203"/>
      <c r="BE69" s="203"/>
      <c r="BF69" s="203"/>
      <c r="BG69" s="203"/>
      <c r="BH69" s="203"/>
      <c r="BI69" s="203"/>
      <c r="BJ69" s="203"/>
      <c r="BK69" s="203"/>
      <c r="BL69" s="203"/>
      <c r="BM69" s="203"/>
      <c r="BN69" s="203"/>
      <c r="BO69" s="203"/>
      <c r="BP69" s="204"/>
    </row>
    <row r="70" spans="1:68" s="1" customFormat="1" ht="30.75" customHeight="1">
      <c r="A70" s="74">
        <v>59</v>
      </c>
      <c r="B70" s="75"/>
      <c r="C70" s="76"/>
      <c r="D70" s="199" t="s">
        <v>329</v>
      </c>
      <c r="E70" s="200"/>
      <c r="F70" s="200"/>
      <c r="G70" s="200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00"/>
      <c r="Y70" s="200"/>
      <c r="Z70" s="201"/>
      <c r="AA70" s="74" t="s">
        <v>655</v>
      </c>
      <c r="AB70" s="75"/>
      <c r="AC70" s="75"/>
      <c r="AD70" s="75"/>
      <c r="AE70" s="76"/>
      <c r="AF70" s="86">
        <v>14</v>
      </c>
      <c r="AG70" s="86"/>
      <c r="AH70" s="86"/>
      <c r="AI70" s="86" t="s">
        <v>1302</v>
      </c>
      <c r="AJ70" s="86"/>
      <c r="AK70" s="86"/>
      <c r="AL70" s="202" t="s">
        <v>700</v>
      </c>
      <c r="AM70" s="203"/>
      <c r="AN70" s="203"/>
      <c r="AO70" s="203"/>
      <c r="AP70" s="203"/>
      <c r="AQ70" s="203"/>
      <c r="AR70" s="203"/>
      <c r="AS70" s="203"/>
      <c r="AT70" s="203"/>
      <c r="AU70" s="203"/>
      <c r="AV70" s="203"/>
      <c r="AW70" s="203"/>
      <c r="AX70" s="203"/>
      <c r="AY70" s="203"/>
      <c r="AZ70" s="203"/>
      <c r="BA70" s="203"/>
      <c r="BB70" s="203"/>
      <c r="BC70" s="203"/>
      <c r="BD70" s="203"/>
      <c r="BE70" s="203"/>
      <c r="BF70" s="203"/>
      <c r="BG70" s="203"/>
      <c r="BH70" s="203"/>
      <c r="BI70" s="203"/>
      <c r="BJ70" s="203"/>
      <c r="BK70" s="203"/>
      <c r="BL70" s="203"/>
      <c r="BM70" s="203"/>
      <c r="BN70" s="203"/>
      <c r="BO70" s="203"/>
      <c r="BP70" s="204"/>
    </row>
    <row r="71" spans="1:68" s="1" customFormat="1" ht="30.75" customHeight="1">
      <c r="A71" s="74">
        <v>60</v>
      </c>
      <c r="B71" s="75"/>
      <c r="C71" s="76"/>
      <c r="D71" s="199" t="s">
        <v>330</v>
      </c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1"/>
      <c r="AA71" s="74" t="s">
        <v>655</v>
      </c>
      <c r="AB71" s="75"/>
      <c r="AC71" s="75"/>
      <c r="AD71" s="75"/>
      <c r="AE71" s="76"/>
      <c r="AF71" s="86">
        <v>14</v>
      </c>
      <c r="AG71" s="86"/>
      <c r="AH71" s="86"/>
      <c r="AI71" s="86" t="s">
        <v>1302</v>
      </c>
      <c r="AJ71" s="86"/>
      <c r="AK71" s="86"/>
      <c r="AL71" s="202" t="s">
        <v>701</v>
      </c>
      <c r="AM71" s="203"/>
      <c r="AN71" s="203"/>
      <c r="AO71" s="203"/>
      <c r="AP71" s="203"/>
      <c r="AQ71" s="203"/>
      <c r="AR71" s="203"/>
      <c r="AS71" s="203"/>
      <c r="AT71" s="203"/>
      <c r="AU71" s="203"/>
      <c r="AV71" s="203"/>
      <c r="AW71" s="203"/>
      <c r="AX71" s="203"/>
      <c r="AY71" s="203"/>
      <c r="AZ71" s="203"/>
      <c r="BA71" s="203"/>
      <c r="BB71" s="203"/>
      <c r="BC71" s="203"/>
      <c r="BD71" s="203"/>
      <c r="BE71" s="203"/>
      <c r="BF71" s="203"/>
      <c r="BG71" s="203"/>
      <c r="BH71" s="203"/>
      <c r="BI71" s="203"/>
      <c r="BJ71" s="203"/>
      <c r="BK71" s="203"/>
      <c r="BL71" s="203"/>
      <c r="BM71" s="203"/>
      <c r="BN71" s="203"/>
      <c r="BO71" s="203"/>
      <c r="BP71" s="204"/>
    </row>
    <row r="72" spans="1:68" s="1" customFormat="1" ht="30.75" customHeight="1">
      <c r="A72" s="74">
        <v>61</v>
      </c>
      <c r="B72" s="75"/>
      <c r="C72" s="76"/>
      <c r="D72" s="199" t="s">
        <v>331</v>
      </c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1"/>
      <c r="AA72" s="74" t="s">
        <v>655</v>
      </c>
      <c r="AB72" s="75"/>
      <c r="AC72" s="75"/>
      <c r="AD72" s="75"/>
      <c r="AE72" s="76"/>
      <c r="AF72" s="86">
        <v>14</v>
      </c>
      <c r="AG72" s="86"/>
      <c r="AH72" s="86"/>
      <c r="AI72" s="86" t="s">
        <v>1302</v>
      </c>
      <c r="AJ72" s="86"/>
      <c r="AK72" s="86"/>
      <c r="AL72" s="202" t="s">
        <v>702</v>
      </c>
      <c r="AM72" s="203"/>
      <c r="AN72" s="203"/>
      <c r="AO72" s="203"/>
      <c r="AP72" s="203"/>
      <c r="AQ72" s="203"/>
      <c r="AR72" s="203"/>
      <c r="AS72" s="203"/>
      <c r="AT72" s="203"/>
      <c r="AU72" s="203"/>
      <c r="AV72" s="203"/>
      <c r="AW72" s="203"/>
      <c r="AX72" s="203"/>
      <c r="AY72" s="203"/>
      <c r="AZ72" s="203"/>
      <c r="BA72" s="203"/>
      <c r="BB72" s="203"/>
      <c r="BC72" s="203"/>
      <c r="BD72" s="203"/>
      <c r="BE72" s="203"/>
      <c r="BF72" s="203"/>
      <c r="BG72" s="203"/>
      <c r="BH72" s="203"/>
      <c r="BI72" s="203"/>
      <c r="BJ72" s="203"/>
      <c r="BK72" s="203"/>
      <c r="BL72" s="203"/>
      <c r="BM72" s="203"/>
      <c r="BN72" s="203"/>
      <c r="BO72" s="203"/>
      <c r="BP72" s="204"/>
    </row>
    <row r="73" spans="1:68" s="1" customFormat="1" ht="30.75" customHeight="1">
      <c r="A73" s="74"/>
      <c r="B73" s="75"/>
      <c r="C73" s="76"/>
      <c r="D73" s="199" t="s">
        <v>332</v>
      </c>
      <c r="E73" s="200"/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1"/>
      <c r="AA73" s="74"/>
      <c r="AB73" s="75"/>
      <c r="AC73" s="75"/>
      <c r="AD73" s="75"/>
      <c r="AE73" s="76"/>
      <c r="AF73" s="86"/>
      <c r="AG73" s="86"/>
      <c r="AH73" s="86"/>
      <c r="AI73" s="86"/>
      <c r="AJ73" s="86"/>
      <c r="AK73" s="86"/>
      <c r="AL73" s="202"/>
      <c r="AM73" s="203"/>
      <c r="AN73" s="203"/>
      <c r="AO73" s="203"/>
      <c r="AP73" s="203"/>
      <c r="AQ73" s="203"/>
      <c r="AR73" s="203"/>
      <c r="AS73" s="203"/>
      <c r="AT73" s="203"/>
      <c r="AU73" s="203"/>
      <c r="AV73" s="203"/>
      <c r="AW73" s="203"/>
      <c r="AX73" s="203"/>
      <c r="AY73" s="203"/>
      <c r="AZ73" s="203"/>
      <c r="BA73" s="203"/>
      <c r="BB73" s="203"/>
      <c r="BC73" s="203"/>
      <c r="BD73" s="203"/>
      <c r="BE73" s="203"/>
      <c r="BF73" s="203"/>
      <c r="BG73" s="203"/>
      <c r="BH73" s="203"/>
      <c r="BI73" s="203"/>
      <c r="BJ73" s="203"/>
      <c r="BK73" s="203"/>
      <c r="BL73" s="203"/>
      <c r="BM73" s="203"/>
      <c r="BN73" s="203"/>
      <c r="BO73" s="203"/>
      <c r="BP73" s="204"/>
    </row>
    <row r="74" spans="1:68" s="1" customFormat="1" ht="30.75" customHeight="1">
      <c r="A74" s="74">
        <v>62</v>
      </c>
      <c r="B74" s="75"/>
      <c r="C74" s="76"/>
      <c r="D74" s="199" t="s">
        <v>316</v>
      </c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200"/>
      <c r="Y74" s="200"/>
      <c r="Z74" s="201"/>
      <c r="AA74" s="74" t="s">
        <v>655</v>
      </c>
      <c r="AB74" s="75"/>
      <c r="AC74" s="75"/>
      <c r="AD74" s="75"/>
      <c r="AE74" s="76"/>
      <c r="AF74" s="86">
        <v>14</v>
      </c>
      <c r="AG74" s="86"/>
      <c r="AH74" s="86"/>
      <c r="AI74" s="86" t="s">
        <v>1302</v>
      </c>
      <c r="AJ74" s="86"/>
      <c r="AK74" s="86"/>
      <c r="AL74" s="202" t="s">
        <v>703</v>
      </c>
      <c r="AM74" s="203"/>
      <c r="AN74" s="203"/>
      <c r="AO74" s="203"/>
      <c r="AP74" s="203"/>
      <c r="AQ74" s="203"/>
      <c r="AR74" s="203"/>
      <c r="AS74" s="203"/>
      <c r="AT74" s="203"/>
      <c r="AU74" s="203"/>
      <c r="AV74" s="203"/>
      <c r="AW74" s="203"/>
      <c r="AX74" s="203"/>
      <c r="AY74" s="203"/>
      <c r="AZ74" s="203"/>
      <c r="BA74" s="203"/>
      <c r="BB74" s="203"/>
      <c r="BC74" s="203"/>
      <c r="BD74" s="203"/>
      <c r="BE74" s="203"/>
      <c r="BF74" s="203"/>
      <c r="BG74" s="203"/>
      <c r="BH74" s="203"/>
      <c r="BI74" s="203"/>
      <c r="BJ74" s="203"/>
      <c r="BK74" s="203"/>
      <c r="BL74" s="203"/>
      <c r="BM74" s="203"/>
      <c r="BN74" s="203"/>
      <c r="BO74" s="203"/>
      <c r="BP74" s="204"/>
    </row>
    <row r="75" spans="1:68" s="1" customFormat="1" ht="30.75" customHeight="1">
      <c r="A75" s="74">
        <v>63</v>
      </c>
      <c r="B75" s="75"/>
      <c r="C75" s="76"/>
      <c r="D75" s="199" t="s">
        <v>317</v>
      </c>
      <c r="E75" s="200"/>
      <c r="F75" s="200"/>
      <c r="G75" s="200"/>
      <c r="H75" s="200"/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1"/>
      <c r="AA75" s="74" t="s">
        <v>655</v>
      </c>
      <c r="AB75" s="75"/>
      <c r="AC75" s="75"/>
      <c r="AD75" s="75"/>
      <c r="AE75" s="76"/>
      <c r="AF75" s="86">
        <v>14</v>
      </c>
      <c r="AG75" s="86"/>
      <c r="AH75" s="86"/>
      <c r="AI75" s="86" t="s">
        <v>1302</v>
      </c>
      <c r="AJ75" s="86"/>
      <c r="AK75" s="86"/>
      <c r="AL75" s="202" t="s">
        <v>704</v>
      </c>
      <c r="AM75" s="203"/>
      <c r="AN75" s="203"/>
      <c r="AO75" s="203"/>
      <c r="AP75" s="203"/>
      <c r="AQ75" s="203"/>
      <c r="AR75" s="203"/>
      <c r="AS75" s="203"/>
      <c r="AT75" s="203"/>
      <c r="AU75" s="203"/>
      <c r="AV75" s="203"/>
      <c r="AW75" s="203"/>
      <c r="AX75" s="203"/>
      <c r="AY75" s="203"/>
      <c r="AZ75" s="203"/>
      <c r="BA75" s="203"/>
      <c r="BB75" s="203"/>
      <c r="BC75" s="203"/>
      <c r="BD75" s="203"/>
      <c r="BE75" s="203"/>
      <c r="BF75" s="203"/>
      <c r="BG75" s="203"/>
      <c r="BH75" s="203"/>
      <c r="BI75" s="203"/>
      <c r="BJ75" s="203"/>
      <c r="BK75" s="203"/>
      <c r="BL75" s="203"/>
      <c r="BM75" s="203"/>
      <c r="BN75" s="203"/>
      <c r="BO75" s="203"/>
      <c r="BP75" s="204"/>
    </row>
    <row r="76" spans="1:68" s="1" customFormat="1" ht="30.75" customHeight="1">
      <c r="A76" s="74">
        <v>64</v>
      </c>
      <c r="B76" s="75"/>
      <c r="C76" s="76"/>
      <c r="D76" s="199" t="s">
        <v>333</v>
      </c>
      <c r="E76" s="200"/>
      <c r="F76" s="200"/>
      <c r="G76" s="200"/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1"/>
      <c r="AA76" s="74" t="s">
        <v>655</v>
      </c>
      <c r="AB76" s="75"/>
      <c r="AC76" s="75"/>
      <c r="AD76" s="75"/>
      <c r="AE76" s="76"/>
      <c r="AF76" s="86">
        <v>14</v>
      </c>
      <c r="AG76" s="86"/>
      <c r="AH76" s="86"/>
      <c r="AI76" s="86" t="s">
        <v>1302</v>
      </c>
      <c r="AJ76" s="86"/>
      <c r="AK76" s="86"/>
      <c r="AL76" s="202" t="s">
        <v>705</v>
      </c>
      <c r="AM76" s="203"/>
      <c r="AN76" s="203"/>
      <c r="AO76" s="203"/>
      <c r="AP76" s="203"/>
      <c r="AQ76" s="203"/>
      <c r="AR76" s="203"/>
      <c r="AS76" s="203"/>
      <c r="AT76" s="203"/>
      <c r="AU76" s="203"/>
      <c r="AV76" s="203"/>
      <c r="AW76" s="203"/>
      <c r="AX76" s="203"/>
      <c r="AY76" s="203"/>
      <c r="AZ76" s="203"/>
      <c r="BA76" s="203"/>
      <c r="BB76" s="203"/>
      <c r="BC76" s="203"/>
      <c r="BD76" s="203"/>
      <c r="BE76" s="203"/>
      <c r="BF76" s="203"/>
      <c r="BG76" s="203"/>
      <c r="BH76" s="203"/>
      <c r="BI76" s="203"/>
      <c r="BJ76" s="203"/>
      <c r="BK76" s="203"/>
      <c r="BL76" s="203"/>
      <c r="BM76" s="203"/>
      <c r="BN76" s="203"/>
      <c r="BO76" s="203"/>
      <c r="BP76" s="204"/>
    </row>
    <row r="77" spans="1:68" s="1" customFormat="1" ht="30.75" customHeight="1">
      <c r="A77" s="74">
        <v>65</v>
      </c>
      <c r="B77" s="75"/>
      <c r="C77" s="76"/>
      <c r="D77" s="199" t="s">
        <v>1344</v>
      </c>
      <c r="E77" s="200"/>
      <c r="F77" s="200"/>
      <c r="G77" s="200"/>
      <c r="H77" s="200"/>
      <c r="I77" s="200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200"/>
      <c r="U77" s="200"/>
      <c r="V77" s="200"/>
      <c r="W77" s="200"/>
      <c r="X77" s="200"/>
      <c r="Y77" s="200"/>
      <c r="Z77" s="201"/>
      <c r="AA77" s="74" t="s">
        <v>655</v>
      </c>
      <c r="AB77" s="75"/>
      <c r="AC77" s="75"/>
      <c r="AD77" s="75"/>
      <c r="AE77" s="76"/>
      <c r="AF77" s="86">
        <v>14</v>
      </c>
      <c r="AG77" s="86"/>
      <c r="AH77" s="86"/>
      <c r="AI77" s="86" t="s">
        <v>1302</v>
      </c>
      <c r="AJ77" s="86"/>
      <c r="AK77" s="86"/>
      <c r="AL77" s="202" t="s">
        <v>1345</v>
      </c>
      <c r="AM77" s="203"/>
      <c r="AN77" s="203"/>
      <c r="AO77" s="203"/>
      <c r="AP77" s="203"/>
      <c r="AQ77" s="203"/>
      <c r="AR77" s="203"/>
      <c r="AS77" s="203"/>
      <c r="AT77" s="203"/>
      <c r="AU77" s="203"/>
      <c r="AV77" s="203"/>
      <c r="AW77" s="203"/>
      <c r="AX77" s="203"/>
      <c r="AY77" s="203"/>
      <c r="AZ77" s="203"/>
      <c r="BA77" s="203"/>
      <c r="BB77" s="203"/>
      <c r="BC77" s="203"/>
      <c r="BD77" s="203"/>
      <c r="BE77" s="203"/>
      <c r="BF77" s="203"/>
      <c r="BG77" s="203"/>
      <c r="BH77" s="203"/>
      <c r="BI77" s="203"/>
      <c r="BJ77" s="203"/>
      <c r="BK77" s="203"/>
      <c r="BL77" s="203"/>
      <c r="BM77" s="203"/>
      <c r="BN77" s="203"/>
      <c r="BO77" s="203"/>
      <c r="BP77" s="204"/>
    </row>
    <row r="78" spans="1:68" s="1" customFormat="1" ht="30.75" customHeight="1">
      <c r="A78" s="74"/>
      <c r="B78" s="75"/>
      <c r="C78" s="76"/>
      <c r="D78" s="199" t="s">
        <v>334</v>
      </c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00"/>
      <c r="V78" s="200"/>
      <c r="W78" s="200"/>
      <c r="X78" s="200"/>
      <c r="Y78" s="200"/>
      <c r="Z78" s="201"/>
      <c r="AA78" s="74"/>
      <c r="AB78" s="75"/>
      <c r="AC78" s="75"/>
      <c r="AD78" s="75"/>
      <c r="AE78" s="76"/>
      <c r="AF78" s="86"/>
      <c r="AG78" s="86"/>
      <c r="AH78" s="86"/>
      <c r="AI78" s="86"/>
      <c r="AJ78" s="86"/>
      <c r="AK78" s="86"/>
      <c r="AL78" s="202"/>
      <c r="AM78" s="203"/>
      <c r="AN78" s="203"/>
      <c r="AO78" s="203"/>
      <c r="AP78" s="203"/>
      <c r="AQ78" s="203"/>
      <c r="AR78" s="203"/>
      <c r="AS78" s="203"/>
      <c r="AT78" s="203"/>
      <c r="AU78" s="203"/>
      <c r="AV78" s="203"/>
      <c r="AW78" s="203"/>
      <c r="AX78" s="203"/>
      <c r="AY78" s="203"/>
      <c r="AZ78" s="203"/>
      <c r="BA78" s="203"/>
      <c r="BB78" s="203"/>
      <c r="BC78" s="203"/>
      <c r="BD78" s="203"/>
      <c r="BE78" s="203"/>
      <c r="BF78" s="203"/>
      <c r="BG78" s="203"/>
      <c r="BH78" s="203"/>
      <c r="BI78" s="203"/>
      <c r="BJ78" s="203"/>
      <c r="BK78" s="203"/>
      <c r="BL78" s="203"/>
      <c r="BM78" s="203"/>
      <c r="BN78" s="203"/>
      <c r="BO78" s="203"/>
      <c r="BP78" s="204"/>
    </row>
    <row r="79" spans="1:68" s="1" customFormat="1" ht="30.75" customHeight="1">
      <c r="A79" s="74">
        <v>66</v>
      </c>
      <c r="B79" s="75"/>
      <c r="C79" s="76"/>
      <c r="D79" s="199" t="s">
        <v>316</v>
      </c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  <c r="V79" s="200"/>
      <c r="W79" s="200"/>
      <c r="X79" s="200"/>
      <c r="Y79" s="200"/>
      <c r="Z79" s="201"/>
      <c r="AA79" s="74" t="s">
        <v>655</v>
      </c>
      <c r="AB79" s="75"/>
      <c r="AC79" s="75"/>
      <c r="AD79" s="75"/>
      <c r="AE79" s="76"/>
      <c r="AF79" s="86">
        <v>14</v>
      </c>
      <c r="AG79" s="86"/>
      <c r="AH79" s="86"/>
      <c r="AI79" s="86" t="s">
        <v>1302</v>
      </c>
      <c r="AJ79" s="86"/>
      <c r="AK79" s="86"/>
      <c r="AL79" s="202" t="s">
        <v>706</v>
      </c>
      <c r="AM79" s="203"/>
      <c r="AN79" s="203"/>
      <c r="AO79" s="203"/>
      <c r="AP79" s="203"/>
      <c r="AQ79" s="203"/>
      <c r="AR79" s="203"/>
      <c r="AS79" s="203"/>
      <c r="AT79" s="203"/>
      <c r="AU79" s="203"/>
      <c r="AV79" s="203"/>
      <c r="AW79" s="203"/>
      <c r="AX79" s="203"/>
      <c r="AY79" s="203"/>
      <c r="AZ79" s="203"/>
      <c r="BA79" s="203"/>
      <c r="BB79" s="203"/>
      <c r="BC79" s="203"/>
      <c r="BD79" s="203"/>
      <c r="BE79" s="203"/>
      <c r="BF79" s="203"/>
      <c r="BG79" s="203"/>
      <c r="BH79" s="203"/>
      <c r="BI79" s="203"/>
      <c r="BJ79" s="203"/>
      <c r="BK79" s="203"/>
      <c r="BL79" s="203"/>
      <c r="BM79" s="203"/>
      <c r="BN79" s="203"/>
      <c r="BO79" s="203"/>
      <c r="BP79" s="204"/>
    </row>
    <row r="80" spans="1:68" s="1" customFormat="1" ht="30.75" customHeight="1">
      <c r="A80" s="74">
        <v>67</v>
      </c>
      <c r="B80" s="75"/>
      <c r="C80" s="76"/>
      <c r="D80" s="199" t="s">
        <v>317</v>
      </c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1"/>
      <c r="AA80" s="74" t="s">
        <v>655</v>
      </c>
      <c r="AB80" s="75"/>
      <c r="AC80" s="75"/>
      <c r="AD80" s="75"/>
      <c r="AE80" s="76"/>
      <c r="AF80" s="86">
        <v>14</v>
      </c>
      <c r="AG80" s="86"/>
      <c r="AH80" s="86"/>
      <c r="AI80" s="86" t="s">
        <v>1302</v>
      </c>
      <c r="AJ80" s="86"/>
      <c r="AK80" s="86"/>
      <c r="AL80" s="202" t="s">
        <v>707</v>
      </c>
      <c r="AM80" s="203"/>
      <c r="AN80" s="203"/>
      <c r="AO80" s="203"/>
      <c r="AP80" s="203"/>
      <c r="AQ80" s="203"/>
      <c r="AR80" s="203"/>
      <c r="AS80" s="203"/>
      <c r="AT80" s="203"/>
      <c r="AU80" s="203"/>
      <c r="AV80" s="203"/>
      <c r="AW80" s="203"/>
      <c r="AX80" s="203"/>
      <c r="AY80" s="203"/>
      <c r="AZ80" s="203"/>
      <c r="BA80" s="203"/>
      <c r="BB80" s="203"/>
      <c r="BC80" s="203"/>
      <c r="BD80" s="203"/>
      <c r="BE80" s="203"/>
      <c r="BF80" s="203"/>
      <c r="BG80" s="203"/>
      <c r="BH80" s="203"/>
      <c r="BI80" s="203"/>
      <c r="BJ80" s="203"/>
      <c r="BK80" s="203"/>
      <c r="BL80" s="203"/>
      <c r="BM80" s="203"/>
      <c r="BN80" s="203"/>
      <c r="BO80" s="203"/>
      <c r="BP80" s="204"/>
    </row>
    <row r="81" spans="1:70" s="1" customFormat="1" ht="30.75" customHeight="1">
      <c r="A81" s="74">
        <v>68</v>
      </c>
      <c r="B81" s="75"/>
      <c r="C81" s="76"/>
      <c r="D81" s="199" t="s">
        <v>333</v>
      </c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200"/>
      <c r="Z81" s="201"/>
      <c r="AA81" s="74" t="s">
        <v>655</v>
      </c>
      <c r="AB81" s="75"/>
      <c r="AC81" s="75"/>
      <c r="AD81" s="75"/>
      <c r="AE81" s="76"/>
      <c r="AF81" s="86">
        <v>14</v>
      </c>
      <c r="AG81" s="86"/>
      <c r="AH81" s="86"/>
      <c r="AI81" s="86" t="s">
        <v>1302</v>
      </c>
      <c r="AJ81" s="86"/>
      <c r="AK81" s="86"/>
      <c r="AL81" s="202" t="s">
        <v>708</v>
      </c>
      <c r="AM81" s="203"/>
      <c r="AN81" s="203"/>
      <c r="AO81" s="203"/>
      <c r="AP81" s="203"/>
      <c r="AQ81" s="203"/>
      <c r="AR81" s="203"/>
      <c r="AS81" s="203"/>
      <c r="AT81" s="203"/>
      <c r="AU81" s="203"/>
      <c r="AV81" s="203"/>
      <c r="AW81" s="203"/>
      <c r="AX81" s="203"/>
      <c r="AY81" s="203"/>
      <c r="AZ81" s="203"/>
      <c r="BA81" s="203"/>
      <c r="BB81" s="203"/>
      <c r="BC81" s="203"/>
      <c r="BD81" s="203"/>
      <c r="BE81" s="203"/>
      <c r="BF81" s="203"/>
      <c r="BG81" s="203"/>
      <c r="BH81" s="203"/>
      <c r="BI81" s="203"/>
      <c r="BJ81" s="203"/>
      <c r="BK81" s="203"/>
      <c r="BL81" s="203"/>
      <c r="BM81" s="203"/>
      <c r="BN81" s="203"/>
      <c r="BO81" s="203"/>
      <c r="BP81" s="204"/>
    </row>
    <row r="82" spans="1:70" s="1" customFormat="1" ht="30.75" customHeight="1">
      <c r="A82" s="74">
        <v>69</v>
      </c>
      <c r="B82" s="75"/>
      <c r="C82" s="76"/>
      <c r="D82" s="199" t="s">
        <v>1344</v>
      </c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200"/>
      <c r="Y82" s="200"/>
      <c r="Z82" s="201"/>
      <c r="AA82" s="74" t="s">
        <v>655</v>
      </c>
      <c r="AB82" s="75"/>
      <c r="AC82" s="75"/>
      <c r="AD82" s="75"/>
      <c r="AE82" s="76"/>
      <c r="AF82" s="86">
        <v>14</v>
      </c>
      <c r="AG82" s="86"/>
      <c r="AH82" s="86"/>
      <c r="AI82" s="86" t="s">
        <v>1302</v>
      </c>
      <c r="AJ82" s="86"/>
      <c r="AK82" s="86"/>
      <c r="AL82" s="202" t="s">
        <v>1346</v>
      </c>
      <c r="AM82" s="203"/>
      <c r="AN82" s="203"/>
      <c r="AO82" s="203"/>
      <c r="AP82" s="203"/>
      <c r="AQ82" s="203"/>
      <c r="AR82" s="203"/>
      <c r="AS82" s="203"/>
      <c r="AT82" s="203"/>
      <c r="AU82" s="203"/>
      <c r="AV82" s="203"/>
      <c r="AW82" s="203"/>
      <c r="AX82" s="203"/>
      <c r="AY82" s="203"/>
      <c r="AZ82" s="203"/>
      <c r="BA82" s="203"/>
      <c r="BB82" s="203"/>
      <c r="BC82" s="203"/>
      <c r="BD82" s="203"/>
      <c r="BE82" s="203"/>
      <c r="BF82" s="203"/>
      <c r="BG82" s="203"/>
      <c r="BH82" s="203"/>
      <c r="BI82" s="203"/>
      <c r="BJ82" s="203"/>
      <c r="BK82" s="203"/>
      <c r="BL82" s="203"/>
      <c r="BM82" s="203"/>
      <c r="BN82" s="203"/>
      <c r="BO82" s="203"/>
      <c r="BP82" s="204"/>
    </row>
    <row r="83" spans="1:70" s="1" customFormat="1" ht="30.75" customHeight="1">
      <c r="A83" s="74"/>
      <c r="B83" s="75"/>
      <c r="C83" s="76"/>
      <c r="D83" s="199" t="s">
        <v>335</v>
      </c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1"/>
      <c r="AA83" s="74"/>
      <c r="AB83" s="75"/>
      <c r="AC83" s="75"/>
      <c r="AD83" s="75"/>
      <c r="AE83" s="76"/>
      <c r="AF83" s="86"/>
      <c r="AG83" s="86"/>
      <c r="AH83" s="86"/>
      <c r="AI83" s="86"/>
      <c r="AJ83" s="86"/>
      <c r="AK83" s="86"/>
      <c r="AL83" s="202"/>
      <c r="AM83" s="203"/>
      <c r="AN83" s="203"/>
      <c r="AO83" s="203"/>
      <c r="AP83" s="203"/>
      <c r="AQ83" s="203"/>
      <c r="AR83" s="203"/>
      <c r="AS83" s="203"/>
      <c r="AT83" s="203"/>
      <c r="AU83" s="203"/>
      <c r="AV83" s="203"/>
      <c r="AW83" s="203"/>
      <c r="AX83" s="203"/>
      <c r="AY83" s="203"/>
      <c r="AZ83" s="203"/>
      <c r="BA83" s="203"/>
      <c r="BB83" s="203"/>
      <c r="BC83" s="203"/>
      <c r="BD83" s="203"/>
      <c r="BE83" s="203"/>
      <c r="BF83" s="203"/>
      <c r="BG83" s="203"/>
      <c r="BH83" s="203"/>
      <c r="BI83" s="203"/>
      <c r="BJ83" s="203"/>
      <c r="BK83" s="203"/>
      <c r="BL83" s="203"/>
      <c r="BM83" s="203"/>
      <c r="BN83" s="203"/>
      <c r="BO83" s="203"/>
      <c r="BP83" s="204"/>
    </row>
    <row r="84" spans="1:70" s="1" customFormat="1" ht="30.75" customHeight="1">
      <c r="A84" s="74">
        <v>70</v>
      </c>
      <c r="B84" s="75"/>
      <c r="C84" s="76"/>
      <c r="D84" s="199" t="s">
        <v>316</v>
      </c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  <c r="X84" s="200"/>
      <c r="Y84" s="200"/>
      <c r="Z84" s="201"/>
      <c r="AA84" s="74" t="s">
        <v>655</v>
      </c>
      <c r="AB84" s="75"/>
      <c r="AC84" s="75"/>
      <c r="AD84" s="75"/>
      <c r="AE84" s="76"/>
      <c r="AF84" s="86">
        <v>14</v>
      </c>
      <c r="AG84" s="86"/>
      <c r="AH84" s="86"/>
      <c r="AI84" s="86" t="s">
        <v>1302</v>
      </c>
      <c r="AJ84" s="86"/>
      <c r="AK84" s="86"/>
      <c r="AL84" s="202" t="s">
        <v>709</v>
      </c>
      <c r="AM84" s="203"/>
      <c r="AN84" s="203"/>
      <c r="AO84" s="203"/>
      <c r="AP84" s="203"/>
      <c r="AQ84" s="203"/>
      <c r="AR84" s="203"/>
      <c r="AS84" s="203"/>
      <c r="AT84" s="203"/>
      <c r="AU84" s="203"/>
      <c r="AV84" s="203"/>
      <c r="AW84" s="203"/>
      <c r="AX84" s="203"/>
      <c r="AY84" s="203"/>
      <c r="AZ84" s="203"/>
      <c r="BA84" s="203"/>
      <c r="BB84" s="203"/>
      <c r="BC84" s="203"/>
      <c r="BD84" s="203"/>
      <c r="BE84" s="203"/>
      <c r="BF84" s="203"/>
      <c r="BG84" s="203"/>
      <c r="BH84" s="203"/>
      <c r="BI84" s="203"/>
      <c r="BJ84" s="203"/>
      <c r="BK84" s="203"/>
      <c r="BL84" s="203"/>
      <c r="BM84" s="203"/>
      <c r="BN84" s="203"/>
      <c r="BO84" s="203"/>
      <c r="BP84" s="204"/>
    </row>
    <row r="85" spans="1:70" s="1" customFormat="1" ht="30.75" customHeight="1">
      <c r="A85" s="74">
        <v>71</v>
      </c>
      <c r="B85" s="75"/>
      <c r="C85" s="76"/>
      <c r="D85" s="199" t="s">
        <v>317</v>
      </c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  <c r="U85" s="200"/>
      <c r="V85" s="200"/>
      <c r="W85" s="200"/>
      <c r="X85" s="200"/>
      <c r="Y85" s="200"/>
      <c r="Z85" s="201"/>
      <c r="AA85" s="74" t="s">
        <v>655</v>
      </c>
      <c r="AB85" s="75"/>
      <c r="AC85" s="75"/>
      <c r="AD85" s="75"/>
      <c r="AE85" s="76"/>
      <c r="AF85" s="86">
        <v>14</v>
      </c>
      <c r="AG85" s="86"/>
      <c r="AH85" s="86"/>
      <c r="AI85" s="86" t="s">
        <v>1302</v>
      </c>
      <c r="AJ85" s="86"/>
      <c r="AK85" s="86"/>
      <c r="AL85" s="202" t="s">
        <v>710</v>
      </c>
      <c r="AM85" s="203"/>
      <c r="AN85" s="203"/>
      <c r="AO85" s="203"/>
      <c r="AP85" s="203"/>
      <c r="AQ85" s="203"/>
      <c r="AR85" s="203"/>
      <c r="AS85" s="203"/>
      <c r="AT85" s="203"/>
      <c r="AU85" s="203"/>
      <c r="AV85" s="203"/>
      <c r="AW85" s="203"/>
      <c r="AX85" s="203"/>
      <c r="AY85" s="203"/>
      <c r="AZ85" s="203"/>
      <c r="BA85" s="203"/>
      <c r="BB85" s="203"/>
      <c r="BC85" s="203"/>
      <c r="BD85" s="203"/>
      <c r="BE85" s="203"/>
      <c r="BF85" s="203"/>
      <c r="BG85" s="203"/>
      <c r="BH85" s="203"/>
      <c r="BI85" s="203"/>
      <c r="BJ85" s="203"/>
      <c r="BK85" s="203"/>
      <c r="BL85" s="203"/>
      <c r="BM85" s="203"/>
      <c r="BN85" s="203"/>
      <c r="BO85" s="203"/>
      <c r="BP85" s="204"/>
    </row>
    <row r="86" spans="1:70" s="1" customFormat="1" ht="30.75" customHeight="1">
      <c r="A86" s="74">
        <v>72</v>
      </c>
      <c r="B86" s="75"/>
      <c r="C86" s="76"/>
      <c r="D86" s="199" t="s">
        <v>333</v>
      </c>
      <c r="E86" s="200"/>
      <c r="F86" s="200"/>
      <c r="G86" s="200"/>
      <c r="H86" s="200"/>
      <c r="I86" s="200"/>
      <c r="J86" s="200"/>
      <c r="K86" s="200"/>
      <c r="L86" s="200"/>
      <c r="M86" s="200"/>
      <c r="N86" s="200"/>
      <c r="O86" s="200"/>
      <c r="P86" s="200"/>
      <c r="Q86" s="200"/>
      <c r="R86" s="200"/>
      <c r="S86" s="200"/>
      <c r="T86" s="200"/>
      <c r="U86" s="200"/>
      <c r="V86" s="200"/>
      <c r="W86" s="200"/>
      <c r="X86" s="200"/>
      <c r="Y86" s="200"/>
      <c r="Z86" s="201"/>
      <c r="AA86" s="74" t="s">
        <v>655</v>
      </c>
      <c r="AB86" s="75"/>
      <c r="AC86" s="75"/>
      <c r="AD86" s="75"/>
      <c r="AE86" s="76"/>
      <c r="AF86" s="86">
        <v>14</v>
      </c>
      <c r="AG86" s="86"/>
      <c r="AH86" s="86"/>
      <c r="AI86" s="86" t="s">
        <v>1302</v>
      </c>
      <c r="AJ86" s="86"/>
      <c r="AK86" s="86"/>
      <c r="AL86" s="202" t="s">
        <v>711</v>
      </c>
      <c r="AM86" s="203"/>
      <c r="AN86" s="203"/>
      <c r="AO86" s="203"/>
      <c r="AP86" s="203"/>
      <c r="AQ86" s="203"/>
      <c r="AR86" s="203"/>
      <c r="AS86" s="203"/>
      <c r="AT86" s="203"/>
      <c r="AU86" s="203"/>
      <c r="AV86" s="203"/>
      <c r="AW86" s="203"/>
      <c r="AX86" s="203"/>
      <c r="AY86" s="203"/>
      <c r="AZ86" s="203"/>
      <c r="BA86" s="203"/>
      <c r="BB86" s="203"/>
      <c r="BC86" s="203"/>
      <c r="BD86" s="203"/>
      <c r="BE86" s="203"/>
      <c r="BF86" s="203"/>
      <c r="BG86" s="203"/>
      <c r="BH86" s="203"/>
      <c r="BI86" s="203"/>
      <c r="BJ86" s="203"/>
      <c r="BK86" s="203"/>
      <c r="BL86" s="203"/>
      <c r="BM86" s="203"/>
      <c r="BN86" s="203"/>
      <c r="BO86" s="203"/>
      <c r="BP86" s="204"/>
    </row>
    <row r="87" spans="1:70" s="1" customFormat="1" ht="30.75" customHeight="1">
      <c r="A87" s="74">
        <v>73</v>
      </c>
      <c r="B87" s="75"/>
      <c r="C87" s="76"/>
      <c r="D87" s="199" t="s">
        <v>1344</v>
      </c>
      <c r="E87" s="200"/>
      <c r="F87" s="200"/>
      <c r="G87" s="200"/>
      <c r="H87" s="200"/>
      <c r="I87" s="200"/>
      <c r="J87" s="200"/>
      <c r="K87" s="200"/>
      <c r="L87" s="200"/>
      <c r="M87" s="200"/>
      <c r="N87" s="200"/>
      <c r="O87" s="200"/>
      <c r="P87" s="200"/>
      <c r="Q87" s="200"/>
      <c r="R87" s="200"/>
      <c r="S87" s="200"/>
      <c r="T87" s="200"/>
      <c r="U87" s="200"/>
      <c r="V87" s="200"/>
      <c r="W87" s="200"/>
      <c r="X87" s="200"/>
      <c r="Y87" s="200"/>
      <c r="Z87" s="201"/>
      <c r="AA87" s="74" t="s">
        <v>655</v>
      </c>
      <c r="AB87" s="75"/>
      <c r="AC87" s="75"/>
      <c r="AD87" s="75"/>
      <c r="AE87" s="76"/>
      <c r="AF87" s="86">
        <v>14</v>
      </c>
      <c r="AG87" s="86"/>
      <c r="AH87" s="86"/>
      <c r="AI87" s="86" t="s">
        <v>1302</v>
      </c>
      <c r="AJ87" s="86"/>
      <c r="AK87" s="86"/>
      <c r="AL87" s="202" t="s">
        <v>1347</v>
      </c>
      <c r="AM87" s="203"/>
      <c r="AN87" s="203"/>
      <c r="AO87" s="203"/>
      <c r="AP87" s="203"/>
      <c r="AQ87" s="203"/>
      <c r="AR87" s="203"/>
      <c r="AS87" s="203"/>
      <c r="AT87" s="203"/>
      <c r="AU87" s="203"/>
      <c r="AV87" s="203"/>
      <c r="AW87" s="203"/>
      <c r="AX87" s="203"/>
      <c r="AY87" s="203"/>
      <c r="AZ87" s="203"/>
      <c r="BA87" s="203"/>
      <c r="BB87" s="203"/>
      <c r="BC87" s="203"/>
      <c r="BD87" s="203"/>
      <c r="BE87" s="203"/>
      <c r="BF87" s="203"/>
      <c r="BG87" s="203"/>
      <c r="BH87" s="203"/>
      <c r="BI87" s="203"/>
      <c r="BJ87" s="203"/>
      <c r="BK87" s="203"/>
      <c r="BL87" s="203"/>
      <c r="BM87" s="203"/>
      <c r="BN87" s="203"/>
      <c r="BO87" s="203"/>
      <c r="BP87" s="204"/>
    </row>
    <row r="88" spans="1:70" s="1" customFormat="1" ht="30.75" customHeight="1">
      <c r="A88" s="74"/>
      <c r="B88" s="75"/>
      <c r="C88" s="76"/>
      <c r="D88" s="199" t="s">
        <v>336</v>
      </c>
      <c r="E88" s="200"/>
      <c r="F88" s="200"/>
      <c r="G88" s="200"/>
      <c r="H88" s="200"/>
      <c r="I88" s="200"/>
      <c r="J88" s="200"/>
      <c r="K88" s="200"/>
      <c r="L88" s="200"/>
      <c r="M88" s="200"/>
      <c r="N88" s="200"/>
      <c r="O88" s="200"/>
      <c r="P88" s="200"/>
      <c r="Q88" s="200"/>
      <c r="R88" s="200"/>
      <c r="S88" s="200"/>
      <c r="T88" s="200"/>
      <c r="U88" s="200"/>
      <c r="V88" s="200"/>
      <c r="W88" s="200"/>
      <c r="X88" s="200"/>
      <c r="Y88" s="200"/>
      <c r="Z88" s="201"/>
      <c r="AA88" s="74"/>
      <c r="AB88" s="75"/>
      <c r="AC88" s="75"/>
      <c r="AD88" s="75"/>
      <c r="AE88" s="76"/>
      <c r="AF88" s="86"/>
      <c r="AG88" s="86"/>
      <c r="AH88" s="86"/>
      <c r="AI88" s="86"/>
      <c r="AJ88" s="86"/>
      <c r="AK88" s="86"/>
      <c r="AL88" s="202"/>
      <c r="AM88" s="203"/>
      <c r="AN88" s="203"/>
      <c r="AO88" s="203"/>
      <c r="AP88" s="203"/>
      <c r="AQ88" s="203"/>
      <c r="AR88" s="203"/>
      <c r="AS88" s="203"/>
      <c r="AT88" s="203"/>
      <c r="AU88" s="203"/>
      <c r="AV88" s="203"/>
      <c r="AW88" s="203"/>
      <c r="AX88" s="203"/>
      <c r="AY88" s="203"/>
      <c r="AZ88" s="203"/>
      <c r="BA88" s="203"/>
      <c r="BB88" s="203"/>
      <c r="BC88" s="203"/>
      <c r="BD88" s="203"/>
      <c r="BE88" s="203"/>
      <c r="BF88" s="203"/>
      <c r="BG88" s="203"/>
      <c r="BH88" s="203"/>
      <c r="BI88" s="203"/>
      <c r="BJ88" s="203"/>
      <c r="BK88" s="203"/>
      <c r="BL88" s="203"/>
      <c r="BM88" s="203"/>
      <c r="BN88" s="203"/>
      <c r="BO88" s="203"/>
      <c r="BP88" s="204"/>
    </row>
    <row r="89" spans="1:70" s="1" customFormat="1" ht="30.75" customHeight="1">
      <c r="A89" s="74">
        <v>74</v>
      </c>
      <c r="B89" s="75"/>
      <c r="C89" s="76"/>
      <c r="D89" s="199" t="s">
        <v>337</v>
      </c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200"/>
      <c r="W89" s="200"/>
      <c r="X89" s="200"/>
      <c r="Y89" s="200"/>
      <c r="Z89" s="201"/>
      <c r="AA89" s="74" t="s">
        <v>655</v>
      </c>
      <c r="AB89" s="75"/>
      <c r="AC89" s="75"/>
      <c r="AD89" s="75"/>
      <c r="AE89" s="76"/>
      <c r="AF89" s="86">
        <v>14</v>
      </c>
      <c r="AG89" s="86"/>
      <c r="AH89" s="86"/>
      <c r="AI89" s="86" t="s">
        <v>1302</v>
      </c>
      <c r="AJ89" s="86"/>
      <c r="AK89" s="86"/>
      <c r="AL89" s="202" t="s">
        <v>712</v>
      </c>
      <c r="AM89" s="203"/>
      <c r="AN89" s="203"/>
      <c r="AO89" s="203"/>
      <c r="AP89" s="203"/>
      <c r="AQ89" s="203"/>
      <c r="AR89" s="203"/>
      <c r="AS89" s="203"/>
      <c r="AT89" s="203"/>
      <c r="AU89" s="203"/>
      <c r="AV89" s="203"/>
      <c r="AW89" s="203"/>
      <c r="AX89" s="203"/>
      <c r="AY89" s="203"/>
      <c r="AZ89" s="203"/>
      <c r="BA89" s="203"/>
      <c r="BB89" s="203"/>
      <c r="BC89" s="203"/>
      <c r="BD89" s="203"/>
      <c r="BE89" s="203"/>
      <c r="BF89" s="203"/>
      <c r="BG89" s="203"/>
      <c r="BH89" s="203"/>
      <c r="BI89" s="203"/>
      <c r="BJ89" s="203"/>
      <c r="BK89" s="203"/>
      <c r="BL89" s="203"/>
      <c r="BM89" s="203"/>
      <c r="BN89" s="203"/>
      <c r="BO89" s="203"/>
      <c r="BP89" s="204"/>
    </row>
    <row r="90" spans="1:70" s="1" customFormat="1" ht="30.75" customHeight="1">
      <c r="A90" s="74">
        <v>75</v>
      </c>
      <c r="B90" s="75"/>
      <c r="C90" s="76"/>
      <c r="D90" s="199" t="s">
        <v>323</v>
      </c>
      <c r="E90" s="200"/>
      <c r="F90" s="200"/>
      <c r="G90" s="200"/>
      <c r="H90" s="200"/>
      <c r="I90" s="200"/>
      <c r="J90" s="200"/>
      <c r="K90" s="200"/>
      <c r="L90" s="200"/>
      <c r="M90" s="200"/>
      <c r="N90" s="200"/>
      <c r="O90" s="200"/>
      <c r="P90" s="200"/>
      <c r="Q90" s="200"/>
      <c r="R90" s="200"/>
      <c r="S90" s="200"/>
      <c r="T90" s="200"/>
      <c r="U90" s="200"/>
      <c r="V90" s="200"/>
      <c r="W90" s="200"/>
      <c r="X90" s="200"/>
      <c r="Y90" s="200"/>
      <c r="Z90" s="201"/>
      <c r="AA90" s="74" t="s">
        <v>655</v>
      </c>
      <c r="AB90" s="75"/>
      <c r="AC90" s="75"/>
      <c r="AD90" s="75"/>
      <c r="AE90" s="76"/>
      <c r="AF90" s="86">
        <v>14</v>
      </c>
      <c r="AG90" s="86"/>
      <c r="AH90" s="86"/>
      <c r="AI90" s="86" t="s">
        <v>1302</v>
      </c>
      <c r="AJ90" s="86"/>
      <c r="AK90" s="86"/>
      <c r="AL90" s="202" t="s">
        <v>713</v>
      </c>
      <c r="AM90" s="203"/>
      <c r="AN90" s="203"/>
      <c r="AO90" s="203"/>
      <c r="AP90" s="203"/>
      <c r="AQ90" s="203"/>
      <c r="AR90" s="203"/>
      <c r="AS90" s="203"/>
      <c r="AT90" s="203"/>
      <c r="AU90" s="203"/>
      <c r="AV90" s="203"/>
      <c r="AW90" s="203"/>
      <c r="AX90" s="203"/>
      <c r="AY90" s="203"/>
      <c r="AZ90" s="203"/>
      <c r="BA90" s="203"/>
      <c r="BB90" s="203"/>
      <c r="BC90" s="203"/>
      <c r="BD90" s="203"/>
      <c r="BE90" s="203"/>
      <c r="BF90" s="203"/>
      <c r="BG90" s="203"/>
      <c r="BH90" s="203"/>
      <c r="BI90" s="203"/>
      <c r="BJ90" s="203"/>
      <c r="BK90" s="203"/>
      <c r="BL90" s="203"/>
      <c r="BM90" s="203"/>
      <c r="BN90" s="203"/>
      <c r="BO90" s="203"/>
      <c r="BP90" s="204"/>
    </row>
    <row r="91" spans="1:70" s="1" customFormat="1" ht="30.75" customHeight="1">
      <c r="A91" s="74">
        <v>76</v>
      </c>
      <c r="B91" s="75"/>
      <c r="C91" s="76"/>
      <c r="D91" s="71" t="s">
        <v>338</v>
      </c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3"/>
      <c r="AA91" s="74" t="s">
        <v>655</v>
      </c>
      <c r="AB91" s="75"/>
      <c r="AC91" s="75"/>
      <c r="AD91" s="75"/>
      <c r="AE91" s="76"/>
      <c r="AF91" s="86">
        <v>14</v>
      </c>
      <c r="AG91" s="86"/>
      <c r="AH91" s="86"/>
      <c r="AI91" s="86" t="s">
        <v>1302</v>
      </c>
      <c r="AJ91" s="86"/>
      <c r="AK91" s="86"/>
      <c r="AL91" s="202" t="s">
        <v>714</v>
      </c>
      <c r="AM91" s="203"/>
      <c r="AN91" s="203"/>
      <c r="AO91" s="203"/>
      <c r="AP91" s="203"/>
      <c r="AQ91" s="203"/>
      <c r="AR91" s="203"/>
      <c r="AS91" s="203"/>
      <c r="AT91" s="203"/>
      <c r="AU91" s="203"/>
      <c r="AV91" s="203"/>
      <c r="AW91" s="203"/>
      <c r="AX91" s="203"/>
      <c r="AY91" s="203"/>
      <c r="AZ91" s="203"/>
      <c r="BA91" s="203"/>
      <c r="BB91" s="203"/>
      <c r="BC91" s="203"/>
      <c r="BD91" s="203"/>
      <c r="BE91" s="203"/>
      <c r="BF91" s="203"/>
      <c r="BG91" s="203"/>
      <c r="BH91" s="203"/>
      <c r="BI91" s="203"/>
      <c r="BJ91" s="203"/>
      <c r="BK91" s="203"/>
      <c r="BL91" s="203"/>
      <c r="BM91" s="203"/>
      <c r="BN91" s="203"/>
      <c r="BO91" s="203"/>
      <c r="BP91" s="204"/>
    </row>
    <row r="92" spans="1:70" s="1" customFormat="1" ht="30.75" customHeight="1">
      <c r="A92" s="74">
        <v>77</v>
      </c>
      <c r="B92" s="75"/>
      <c r="C92" s="76"/>
      <c r="D92" s="71" t="s">
        <v>339</v>
      </c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3"/>
      <c r="AA92" s="74" t="s">
        <v>655</v>
      </c>
      <c r="AB92" s="75"/>
      <c r="AC92" s="75"/>
      <c r="AD92" s="75"/>
      <c r="AE92" s="76"/>
      <c r="AF92" s="86">
        <v>14</v>
      </c>
      <c r="AG92" s="86"/>
      <c r="AH92" s="86"/>
      <c r="AI92" s="86" t="s">
        <v>1302</v>
      </c>
      <c r="AJ92" s="86"/>
      <c r="AK92" s="86"/>
      <c r="AL92" s="202" t="s">
        <v>715</v>
      </c>
      <c r="AM92" s="203"/>
      <c r="AN92" s="203"/>
      <c r="AO92" s="203"/>
      <c r="AP92" s="203"/>
      <c r="AQ92" s="203"/>
      <c r="AR92" s="203"/>
      <c r="AS92" s="203"/>
      <c r="AT92" s="203"/>
      <c r="AU92" s="203"/>
      <c r="AV92" s="203"/>
      <c r="AW92" s="203"/>
      <c r="AX92" s="203"/>
      <c r="AY92" s="203"/>
      <c r="AZ92" s="203"/>
      <c r="BA92" s="203"/>
      <c r="BB92" s="203"/>
      <c r="BC92" s="203"/>
      <c r="BD92" s="203"/>
      <c r="BE92" s="203"/>
      <c r="BF92" s="203"/>
      <c r="BG92" s="203"/>
      <c r="BH92" s="203"/>
      <c r="BI92" s="203"/>
      <c r="BJ92" s="203"/>
      <c r="BK92" s="203"/>
      <c r="BL92" s="203"/>
      <c r="BM92" s="203"/>
      <c r="BN92" s="203"/>
      <c r="BO92" s="203"/>
      <c r="BP92" s="204"/>
    </row>
    <row r="93" spans="1:70" s="1" customFormat="1" ht="30.75" customHeight="1">
      <c r="A93" s="74"/>
      <c r="B93" s="75"/>
      <c r="C93" s="76"/>
      <c r="D93" s="71" t="s">
        <v>340</v>
      </c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3"/>
      <c r="AA93" s="74"/>
      <c r="AB93" s="75"/>
      <c r="AC93" s="75"/>
      <c r="AD93" s="75"/>
      <c r="AE93" s="76"/>
      <c r="AF93" s="86"/>
      <c r="AG93" s="86"/>
      <c r="AH93" s="86"/>
      <c r="AI93" s="86"/>
      <c r="AJ93" s="86"/>
      <c r="AK93" s="86"/>
      <c r="AL93" s="202"/>
      <c r="AM93" s="203"/>
      <c r="AN93" s="203"/>
      <c r="AO93" s="203"/>
      <c r="AP93" s="203"/>
      <c r="AQ93" s="203"/>
      <c r="AR93" s="203"/>
      <c r="AS93" s="203"/>
      <c r="AT93" s="203"/>
      <c r="AU93" s="203"/>
      <c r="AV93" s="203"/>
      <c r="AW93" s="203"/>
      <c r="AX93" s="203"/>
      <c r="AY93" s="203"/>
      <c r="AZ93" s="203"/>
      <c r="BA93" s="203"/>
      <c r="BB93" s="203"/>
      <c r="BC93" s="203"/>
      <c r="BD93" s="203"/>
      <c r="BE93" s="203"/>
      <c r="BF93" s="203"/>
      <c r="BG93" s="203"/>
      <c r="BH93" s="203"/>
      <c r="BI93" s="203"/>
      <c r="BJ93" s="203"/>
      <c r="BK93" s="203"/>
      <c r="BL93" s="203"/>
      <c r="BM93" s="203"/>
      <c r="BN93" s="203"/>
      <c r="BO93" s="203"/>
      <c r="BP93" s="204"/>
    </row>
    <row r="94" spans="1:70" s="1" customFormat="1" ht="30.75" customHeight="1">
      <c r="A94" s="74">
        <v>78</v>
      </c>
      <c r="B94" s="75"/>
      <c r="C94" s="76"/>
      <c r="D94" s="71" t="s">
        <v>341</v>
      </c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3"/>
      <c r="AA94" s="74" t="s">
        <v>655</v>
      </c>
      <c r="AB94" s="75"/>
      <c r="AC94" s="75"/>
      <c r="AD94" s="75"/>
      <c r="AE94" s="76"/>
      <c r="AF94" s="86">
        <v>14</v>
      </c>
      <c r="AG94" s="86"/>
      <c r="AH94" s="86"/>
      <c r="AI94" s="86" t="s">
        <v>1302</v>
      </c>
      <c r="AJ94" s="86"/>
      <c r="AK94" s="86"/>
      <c r="AL94" s="202" t="s">
        <v>716</v>
      </c>
      <c r="AM94" s="203"/>
      <c r="AN94" s="203"/>
      <c r="AO94" s="203"/>
      <c r="AP94" s="203"/>
      <c r="AQ94" s="203"/>
      <c r="AR94" s="203"/>
      <c r="AS94" s="203"/>
      <c r="AT94" s="203"/>
      <c r="AU94" s="203"/>
      <c r="AV94" s="203"/>
      <c r="AW94" s="203"/>
      <c r="AX94" s="203"/>
      <c r="AY94" s="203"/>
      <c r="AZ94" s="203"/>
      <c r="BA94" s="203"/>
      <c r="BB94" s="203"/>
      <c r="BC94" s="203"/>
      <c r="BD94" s="203"/>
      <c r="BE94" s="203"/>
      <c r="BF94" s="203"/>
      <c r="BG94" s="203"/>
      <c r="BH94" s="203"/>
      <c r="BI94" s="203"/>
      <c r="BJ94" s="203"/>
      <c r="BK94" s="203"/>
      <c r="BL94" s="203"/>
      <c r="BM94" s="203"/>
      <c r="BN94" s="203"/>
      <c r="BO94" s="203"/>
      <c r="BP94" s="204"/>
    </row>
    <row r="95" spans="1:70" s="1" customFormat="1" ht="30.75" customHeight="1">
      <c r="A95" s="74">
        <v>79</v>
      </c>
      <c r="B95" s="75"/>
      <c r="C95" s="76"/>
      <c r="D95" s="71" t="s">
        <v>342</v>
      </c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3"/>
      <c r="AA95" s="74" t="s">
        <v>655</v>
      </c>
      <c r="AB95" s="75"/>
      <c r="AC95" s="75"/>
      <c r="AD95" s="75"/>
      <c r="AE95" s="76"/>
      <c r="AF95" s="86">
        <v>14</v>
      </c>
      <c r="AG95" s="86"/>
      <c r="AH95" s="86"/>
      <c r="AI95" s="86" t="s">
        <v>1302</v>
      </c>
      <c r="AJ95" s="86"/>
      <c r="AK95" s="86"/>
      <c r="AL95" s="202" t="s">
        <v>717</v>
      </c>
      <c r="AM95" s="203"/>
      <c r="AN95" s="203"/>
      <c r="AO95" s="203"/>
      <c r="AP95" s="203"/>
      <c r="AQ95" s="203"/>
      <c r="AR95" s="203"/>
      <c r="AS95" s="203"/>
      <c r="AT95" s="203"/>
      <c r="AU95" s="203"/>
      <c r="AV95" s="203"/>
      <c r="AW95" s="203"/>
      <c r="AX95" s="203"/>
      <c r="AY95" s="203"/>
      <c r="AZ95" s="203"/>
      <c r="BA95" s="203"/>
      <c r="BB95" s="203"/>
      <c r="BC95" s="203"/>
      <c r="BD95" s="203"/>
      <c r="BE95" s="203"/>
      <c r="BF95" s="203"/>
      <c r="BG95" s="203"/>
      <c r="BH95" s="203"/>
      <c r="BI95" s="203"/>
      <c r="BJ95" s="203"/>
      <c r="BK95" s="203"/>
      <c r="BL95" s="203"/>
      <c r="BM95" s="203"/>
      <c r="BN95" s="203"/>
      <c r="BO95" s="203"/>
      <c r="BP95" s="204"/>
      <c r="BR95" s="1" t="s">
        <v>717</v>
      </c>
    </row>
    <row r="96" spans="1:70" s="1" customFormat="1" ht="30.75" customHeight="1">
      <c r="A96" s="74">
        <v>80</v>
      </c>
      <c r="B96" s="75"/>
      <c r="C96" s="76"/>
      <c r="D96" s="71" t="s">
        <v>337</v>
      </c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3"/>
      <c r="AA96" s="74" t="s">
        <v>655</v>
      </c>
      <c r="AB96" s="75"/>
      <c r="AC96" s="75"/>
      <c r="AD96" s="75"/>
      <c r="AE96" s="76"/>
      <c r="AF96" s="86">
        <v>14</v>
      </c>
      <c r="AG96" s="86"/>
      <c r="AH96" s="86"/>
      <c r="AI96" s="86" t="s">
        <v>1302</v>
      </c>
      <c r="AJ96" s="86"/>
      <c r="AK96" s="86"/>
      <c r="AL96" s="202" t="s">
        <v>718</v>
      </c>
      <c r="AM96" s="203"/>
      <c r="AN96" s="203"/>
      <c r="AO96" s="203"/>
      <c r="AP96" s="203"/>
      <c r="AQ96" s="203"/>
      <c r="AR96" s="203"/>
      <c r="AS96" s="203"/>
      <c r="AT96" s="203"/>
      <c r="AU96" s="203"/>
      <c r="AV96" s="203"/>
      <c r="AW96" s="203"/>
      <c r="AX96" s="203"/>
      <c r="AY96" s="203"/>
      <c r="AZ96" s="203"/>
      <c r="BA96" s="203"/>
      <c r="BB96" s="203"/>
      <c r="BC96" s="203"/>
      <c r="BD96" s="203"/>
      <c r="BE96" s="203"/>
      <c r="BF96" s="203"/>
      <c r="BG96" s="203"/>
      <c r="BH96" s="203"/>
      <c r="BI96" s="203"/>
      <c r="BJ96" s="203"/>
      <c r="BK96" s="203"/>
      <c r="BL96" s="203"/>
      <c r="BM96" s="203"/>
      <c r="BN96" s="203"/>
      <c r="BO96" s="203"/>
      <c r="BP96" s="204"/>
    </row>
    <row r="97" spans="1:68" s="1" customFormat="1" ht="30.75" customHeight="1">
      <c r="A97" s="74">
        <v>81</v>
      </c>
      <c r="B97" s="75"/>
      <c r="C97" s="76"/>
      <c r="D97" s="71" t="s">
        <v>343</v>
      </c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3"/>
      <c r="AA97" s="74" t="s">
        <v>655</v>
      </c>
      <c r="AB97" s="75"/>
      <c r="AC97" s="75"/>
      <c r="AD97" s="75"/>
      <c r="AE97" s="76"/>
      <c r="AF97" s="86">
        <v>14</v>
      </c>
      <c r="AG97" s="86"/>
      <c r="AH97" s="86"/>
      <c r="AI97" s="86" t="s">
        <v>1302</v>
      </c>
      <c r="AJ97" s="86"/>
      <c r="AK97" s="86"/>
      <c r="AL97" s="202" t="s">
        <v>719</v>
      </c>
      <c r="AM97" s="203"/>
      <c r="AN97" s="203"/>
      <c r="AO97" s="203"/>
      <c r="AP97" s="203"/>
      <c r="AQ97" s="203"/>
      <c r="AR97" s="203"/>
      <c r="AS97" s="203"/>
      <c r="AT97" s="203"/>
      <c r="AU97" s="203"/>
      <c r="AV97" s="203"/>
      <c r="AW97" s="203"/>
      <c r="AX97" s="203"/>
      <c r="AY97" s="203"/>
      <c r="AZ97" s="203"/>
      <c r="BA97" s="203"/>
      <c r="BB97" s="203"/>
      <c r="BC97" s="203"/>
      <c r="BD97" s="203"/>
      <c r="BE97" s="203"/>
      <c r="BF97" s="203"/>
      <c r="BG97" s="203"/>
      <c r="BH97" s="203"/>
      <c r="BI97" s="203"/>
      <c r="BJ97" s="203"/>
      <c r="BK97" s="203"/>
      <c r="BL97" s="203"/>
      <c r="BM97" s="203"/>
      <c r="BN97" s="203"/>
      <c r="BO97" s="203"/>
      <c r="BP97" s="204"/>
    </row>
    <row r="98" spans="1:68" s="1" customFormat="1" ht="30.75" customHeight="1">
      <c r="A98" s="74">
        <v>82</v>
      </c>
      <c r="B98" s="75"/>
      <c r="C98" s="76"/>
      <c r="D98" s="71" t="s">
        <v>344</v>
      </c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3"/>
      <c r="AA98" s="74" t="s">
        <v>655</v>
      </c>
      <c r="AB98" s="75"/>
      <c r="AC98" s="75"/>
      <c r="AD98" s="75"/>
      <c r="AE98" s="76"/>
      <c r="AF98" s="86">
        <v>14</v>
      </c>
      <c r="AG98" s="86"/>
      <c r="AH98" s="86"/>
      <c r="AI98" s="86" t="s">
        <v>1302</v>
      </c>
      <c r="AJ98" s="86"/>
      <c r="AK98" s="86"/>
      <c r="AL98" s="202" t="s">
        <v>720</v>
      </c>
      <c r="AM98" s="203"/>
      <c r="AN98" s="203"/>
      <c r="AO98" s="203"/>
      <c r="AP98" s="203"/>
      <c r="AQ98" s="203"/>
      <c r="AR98" s="203"/>
      <c r="AS98" s="203"/>
      <c r="AT98" s="203"/>
      <c r="AU98" s="203"/>
      <c r="AV98" s="203"/>
      <c r="AW98" s="203"/>
      <c r="AX98" s="203"/>
      <c r="AY98" s="203"/>
      <c r="AZ98" s="203"/>
      <c r="BA98" s="203"/>
      <c r="BB98" s="203"/>
      <c r="BC98" s="203"/>
      <c r="BD98" s="203"/>
      <c r="BE98" s="203"/>
      <c r="BF98" s="203"/>
      <c r="BG98" s="203"/>
      <c r="BH98" s="203"/>
      <c r="BI98" s="203"/>
      <c r="BJ98" s="203"/>
      <c r="BK98" s="203"/>
      <c r="BL98" s="203"/>
      <c r="BM98" s="203"/>
      <c r="BN98" s="203"/>
      <c r="BO98" s="203"/>
      <c r="BP98" s="204"/>
    </row>
    <row r="99" spans="1:68" s="1" customFormat="1" ht="30.75" customHeight="1">
      <c r="A99" s="74"/>
      <c r="B99" s="75"/>
      <c r="C99" s="76"/>
      <c r="D99" s="71" t="s">
        <v>345</v>
      </c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3"/>
      <c r="AA99" s="74"/>
      <c r="AB99" s="75"/>
      <c r="AC99" s="75"/>
      <c r="AD99" s="75"/>
      <c r="AE99" s="76"/>
      <c r="AF99" s="86"/>
      <c r="AG99" s="86"/>
      <c r="AH99" s="86"/>
      <c r="AI99" s="86"/>
      <c r="AJ99" s="86"/>
      <c r="AK99" s="86"/>
      <c r="AL99" s="202"/>
      <c r="AM99" s="203"/>
      <c r="AN99" s="203"/>
      <c r="AO99" s="203"/>
      <c r="AP99" s="203"/>
      <c r="AQ99" s="203"/>
      <c r="AR99" s="203"/>
      <c r="AS99" s="203"/>
      <c r="AT99" s="203"/>
      <c r="AU99" s="203"/>
      <c r="AV99" s="203"/>
      <c r="AW99" s="203"/>
      <c r="AX99" s="203"/>
      <c r="AY99" s="203"/>
      <c r="AZ99" s="203"/>
      <c r="BA99" s="203"/>
      <c r="BB99" s="203"/>
      <c r="BC99" s="203"/>
      <c r="BD99" s="203"/>
      <c r="BE99" s="203"/>
      <c r="BF99" s="203"/>
      <c r="BG99" s="203"/>
      <c r="BH99" s="203"/>
      <c r="BI99" s="203"/>
      <c r="BJ99" s="203"/>
      <c r="BK99" s="203"/>
      <c r="BL99" s="203"/>
      <c r="BM99" s="203"/>
      <c r="BN99" s="203"/>
      <c r="BO99" s="203"/>
      <c r="BP99" s="204"/>
    </row>
    <row r="100" spans="1:68" s="1" customFormat="1" ht="30.75" customHeight="1">
      <c r="A100" s="74">
        <v>83</v>
      </c>
      <c r="B100" s="75"/>
      <c r="C100" s="76"/>
      <c r="D100" s="71" t="s">
        <v>629</v>
      </c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3"/>
      <c r="AA100" s="74" t="s">
        <v>655</v>
      </c>
      <c r="AB100" s="75"/>
      <c r="AC100" s="75"/>
      <c r="AD100" s="75"/>
      <c r="AE100" s="76"/>
      <c r="AF100" s="86">
        <v>14</v>
      </c>
      <c r="AG100" s="86"/>
      <c r="AH100" s="86"/>
      <c r="AI100" s="86" t="s">
        <v>1302</v>
      </c>
      <c r="AJ100" s="86"/>
      <c r="AK100" s="86"/>
      <c r="AL100" s="202" t="s">
        <v>699</v>
      </c>
      <c r="AM100" s="203"/>
      <c r="AN100" s="203"/>
      <c r="AO100" s="203"/>
      <c r="AP100" s="203"/>
      <c r="AQ100" s="203"/>
      <c r="AR100" s="203"/>
      <c r="AS100" s="203"/>
      <c r="AT100" s="203"/>
      <c r="AU100" s="203"/>
      <c r="AV100" s="203"/>
      <c r="AW100" s="203"/>
      <c r="AX100" s="203"/>
      <c r="AY100" s="203"/>
      <c r="AZ100" s="203"/>
      <c r="BA100" s="203"/>
      <c r="BB100" s="203"/>
      <c r="BC100" s="203"/>
      <c r="BD100" s="203"/>
      <c r="BE100" s="203"/>
      <c r="BF100" s="203"/>
      <c r="BG100" s="203"/>
      <c r="BH100" s="203"/>
      <c r="BI100" s="203"/>
      <c r="BJ100" s="203"/>
      <c r="BK100" s="203"/>
      <c r="BL100" s="203"/>
      <c r="BM100" s="203"/>
      <c r="BN100" s="203"/>
      <c r="BO100" s="203"/>
      <c r="BP100" s="204"/>
    </row>
    <row r="101" spans="1:68" s="1" customFormat="1" ht="30.75" customHeight="1">
      <c r="A101" s="74"/>
      <c r="B101" s="75"/>
      <c r="C101" s="76"/>
      <c r="D101" s="30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2"/>
      <c r="AA101" s="33"/>
      <c r="AB101" s="34"/>
      <c r="AC101" s="34"/>
      <c r="AD101" s="34"/>
      <c r="AE101" s="35"/>
      <c r="AF101" s="86"/>
      <c r="AG101" s="86"/>
      <c r="AH101" s="86"/>
      <c r="AI101" s="86"/>
      <c r="AJ101" s="86"/>
      <c r="AK101" s="86"/>
      <c r="AL101" s="68"/>
      <c r="AM101" s="69"/>
      <c r="AN101" s="69"/>
      <c r="AO101" s="69"/>
      <c r="AP101" s="69"/>
      <c r="AQ101" s="69"/>
      <c r="AR101" s="69"/>
      <c r="AS101" s="69"/>
      <c r="AT101" s="69"/>
      <c r="AU101" s="69"/>
      <c r="AV101" s="69"/>
      <c r="AW101" s="69"/>
      <c r="AX101" s="69"/>
      <c r="AY101" s="69"/>
      <c r="AZ101" s="69"/>
      <c r="BA101" s="69"/>
      <c r="BB101" s="69"/>
      <c r="BC101" s="69"/>
      <c r="BD101" s="69"/>
      <c r="BE101" s="69"/>
      <c r="BF101" s="69"/>
      <c r="BG101" s="69"/>
      <c r="BH101" s="69"/>
      <c r="BI101" s="69"/>
      <c r="BJ101" s="69"/>
      <c r="BK101" s="69"/>
      <c r="BL101" s="69"/>
      <c r="BM101" s="69"/>
      <c r="BN101" s="69"/>
      <c r="BO101" s="69"/>
      <c r="BP101" s="70"/>
    </row>
    <row r="102" spans="1:68" s="1" customFormat="1" ht="30.75" customHeight="1">
      <c r="A102" s="80"/>
      <c r="B102" s="81"/>
      <c r="C102" s="82"/>
      <c r="D102" s="77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9"/>
      <c r="AA102" s="80"/>
      <c r="AB102" s="81"/>
      <c r="AC102" s="81"/>
      <c r="AD102" s="81"/>
      <c r="AE102" s="82"/>
      <c r="AF102" s="87"/>
      <c r="AG102" s="87"/>
      <c r="AH102" s="87"/>
      <c r="AI102" s="87"/>
      <c r="AJ102" s="87"/>
      <c r="AK102" s="87"/>
      <c r="AL102" s="83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/>
      <c r="BP102" s="85"/>
    </row>
    <row r="103" spans="1:68" s="4" customFormat="1" ht="3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3"/>
      <c r="AG103" s="3"/>
      <c r="AH103" s="3"/>
      <c r="AI103" s="3"/>
      <c r="AJ103" s="3"/>
      <c r="AK103" s="3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</row>
    <row r="104" spans="1:68" s="4" customFormat="1" ht="14.25">
      <c r="A104" s="5" t="s">
        <v>14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15"/>
      <c r="AG104" s="15"/>
      <c r="AH104" s="15"/>
      <c r="AI104" s="15"/>
      <c r="AJ104" s="15"/>
      <c r="AK104" s="15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6"/>
    </row>
    <row r="105" spans="1:68" s="4" customFormat="1" ht="20.25" customHeight="1">
      <c r="A105" s="5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6"/>
    </row>
    <row r="106" spans="1:68" s="4" customFormat="1" ht="20.25" customHeight="1">
      <c r="A106" s="5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6"/>
    </row>
    <row r="107" spans="1:68" s="4" customFormat="1" ht="20.25" customHeight="1">
      <c r="A107" s="5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6"/>
    </row>
    <row r="108" spans="1:68" s="4" customFormat="1" ht="20.25" customHeight="1">
      <c r="A108" s="5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6"/>
    </row>
    <row r="109" spans="1:68" s="4" customFormat="1" ht="20.25" customHeight="1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9"/>
    </row>
    <row r="110" spans="1:68" ht="5.25" customHeight="1"/>
  </sheetData>
  <mergeCells count="587">
    <mergeCell ref="A17:C17"/>
    <mergeCell ref="A18:C18"/>
    <mergeCell ref="A19:C19"/>
    <mergeCell ref="A20:C20"/>
    <mergeCell ref="A21:C21"/>
    <mergeCell ref="A22:C22"/>
    <mergeCell ref="A11:C11"/>
    <mergeCell ref="A12:C12"/>
    <mergeCell ref="A13:C13"/>
    <mergeCell ref="A14:C14"/>
    <mergeCell ref="A15:C15"/>
    <mergeCell ref="A16:C16"/>
    <mergeCell ref="A29:C29"/>
    <mergeCell ref="A30:C30"/>
    <mergeCell ref="A31:C31"/>
    <mergeCell ref="A32:C32"/>
    <mergeCell ref="A33:C33"/>
    <mergeCell ref="A34:C34"/>
    <mergeCell ref="A23:C23"/>
    <mergeCell ref="A24:C24"/>
    <mergeCell ref="A25:C25"/>
    <mergeCell ref="A26:C26"/>
    <mergeCell ref="A27:C27"/>
    <mergeCell ref="A28:C28"/>
    <mergeCell ref="A41:C41"/>
    <mergeCell ref="A42:C42"/>
    <mergeCell ref="A43:C43"/>
    <mergeCell ref="A44:C44"/>
    <mergeCell ref="A45:C45"/>
    <mergeCell ref="A46:C46"/>
    <mergeCell ref="A35:C35"/>
    <mergeCell ref="A36:C36"/>
    <mergeCell ref="A37:C37"/>
    <mergeCell ref="A38:C38"/>
    <mergeCell ref="A39:C39"/>
    <mergeCell ref="A40:C40"/>
    <mergeCell ref="A53:C53"/>
    <mergeCell ref="A54:C54"/>
    <mergeCell ref="A55:C55"/>
    <mergeCell ref="A56:C56"/>
    <mergeCell ref="A57:C57"/>
    <mergeCell ref="A58:C58"/>
    <mergeCell ref="A47:C47"/>
    <mergeCell ref="A48:C48"/>
    <mergeCell ref="A49:C49"/>
    <mergeCell ref="A50:C50"/>
    <mergeCell ref="A51:C51"/>
    <mergeCell ref="A52:C52"/>
    <mergeCell ref="A102:C102"/>
    <mergeCell ref="A59:C59"/>
    <mergeCell ref="A60:C60"/>
    <mergeCell ref="A61:C61"/>
    <mergeCell ref="A62:C62"/>
    <mergeCell ref="A65:C65"/>
    <mergeCell ref="A68:C68"/>
    <mergeCell ref="A70:C70"/>
    <mergeCell ref="A72:C72"/>
    <mergeCell ref="A74:C74"/>
    <mergeCell ref="A76:C76"/>
    <mergeCell ref="A78:C78"/>
    <mergeCell ref="A80:C80"/>
    <mergeCell ref="A63:C63"/>
    <mergeCell ref="A66:C66"/>
    <mergeCell ref="A69:C69"/>
    <mergeCell ref="A71:C71"/>
    <mergeCell ref="A73:C73"/>
    <mergeCell ref="A75:C75"/>
    <mergeCell ref="A77:C77"/>
    <mergeCell ref="A79:C79"/>
    <mergeCell ref="A81:C81"/>
    <mergeCell ref="A83:C83"/>
    <mergeCell ref="A85:C85"/>
    <mergeCell ref="AL11:BP11"/>
    <mergeCell ref="D12:Z12"/>
    <mergeCell ref="AA12:AE12"/>
    <mergeCell ref="AL12:BP12"/>
    <mergeCell ref="D13:Z13"/>
    <mergeCell ref="AA13:AE13"/>
    <mergeCell ref="AL13:BP13"/>
    <mergeCell ref="D9:Z9"/>
    <mergeCell ref="AA9:AE9"/>
    <mergeCell ref="D10:Z10"/>
    <mergeCell ref="AA10:AE10"/>
    <mergeCell ref="D11:Z11"/>
    <mergeCell ref="AA11:AE11"/>
    <mergeCell ref="AF11:AH11"/>
    <mergeCell ref="AI11:AK11"/>
    <mergeCell ref="AF12:AH12"/>
    <mergeCell ref="AI12:AK12"/>
    <mergeCell ref="AF13:AH13"/>
    <mergeCell ref="AI13:AK13"/>
    <mergeCell ref="AL9:BP9"/>
    <mergeCell ref="AL10:BP10"/>
    <mergeCell ref="D16:Z16"/>
    <mergeCell ref="AA16:AE16"/>
    <mergeCell ref="AL16:BP16"/>
    <mergeCell ref="D17:Z17"/>
    <mergeCell ref="AA17:AE17"/>
    <mergeCell ref="AL17:BP17"/>
    <mergeCell ref="D14:Z14"/>
    <mergeCell ref="AA14:AE14"/>
    <mergeCell ref="AL14:BP14"/>
    <mergeCell ref="D15:Z15"/>
    <mergeCell ref="AA15:AE15"/>
    <mergeCell ref="AL15:BP15"/>
    <mergeCell ref="AF14:AH14"/>
    <mergeCell ref="AI14:AK14"/>
    <mergeCell ref="AF15:AH15"/>
    <mergeCell ref="AI15:AK15"/>
    <mergeCell ref="AF16:AH16"/>
    <mergeCell ref="AI16:AK16"/>
    <mergeCell ref="AF17:AH17"/>
    <mergeCell ref="AI17:AK17"/>
    <mergeCell ref="D20:Z20"/>
    <mergeCell ref="AA20:AE20"/>
    <mergeCell ref="AL20:BP20"/>
    <mergeCell ref="D21:Z21"/>
    <mergeCell ref="AA21:AE21"/>
    <mergeCell ref="AL21:BP21"/>
    <mergeCell ref="D18:Z18"/>
    <mergeCell ref="AA18:AE18"/>
    <mergeCell ref="AL18:BP18"/>
    <mergeCell ref="D19:Z19"/>
    <mergeCell ref="AA19:AE19"/>
    <mergeCell ref="AL19:BP19"/>
    <mergeCell ref="AF18:AH18"/>
    <mergeCell ref="AI18:AK18"/>
    <mergeCell ref="AF19:AH19"/>
    <mergeCell ref="AI19:AK19"/>
    <mergeCell ref="AF20:AH20"/>
    <mergeCell ref="AI20:AK20"/>
    <mergeCell ref="AF21:AH21"/>
    <mergeCell ref="AI21:AK21"/>
    <mergeCell ref="D24:Z24"/>
    <mergeCell ref="AA24:AE24"/>
    <mergeCell ref="AL24:BP24"/>
    <mergeCell ref="D25:Z25"/>
    <mergeCell ref="AA25:AE25"/>
    <mergeCell ref="AL25:BP25"/>
    <mergeCell ref="D22:Z22"/>
    <mergeCell ref="AA22:AE22"/>
    <mergeCell ref="AL22:BP22"/>
    <mergeCell ref="D23:Z23"/>
    <mergeCell ref="AA23:AE23"/>
    <mergeCell ref="AL23:BP23"/>
    <mergeCell ref="AF22:AH22"/>
    <mergeCell ref="AI22:AK22"/>
    <mergeCell ref="AF23:AH23"/>
    <mergeCell ref="AI23:AK23"/>
    <mergeCell ref="AF24:AH24"/>
    <mergeCell ref="AI24:AK24"/>
    <mergeCell ref="AF25:AH25"/>
    <mergeCell ref="AI25:AK25"/>
    <mergeCell ref="D28:Z28"/>
    <mergeCell ref="AA28:AE28"/>
    <mergeCell ref="AL28:BP28"/>
    <mergeCell ref="D29:Z29"/>
    <mergeCell ref="AA29:AE29"/>
    <mergeCell ref="AL29:BP29"/>
    <mergeCell ref="D26:Z26"/>
    <mergeCell ref="AA26:AE26"/>
    <mergeCell ref="AL26:BP26"/>
    <mergeCell ref="D27:Z27"/>
    <mergeCell ref="AA27:AE27"/>
    <mergeCell ref="AL27:BP27"/>
    <mergeCell ref="AF26:AH26"/>
    <mergeCell ref="AI26:AK26"/>
    <mergeCell ref="AF27:AH27"/>
    <mergeCell ref="AI27:AK27"/>
    <mergeCell ref="AF28:AH28"/>
    <mergeCell ref="AI28:AK28"/>
    <mergeCell ref="AF29:AH29"/>
    <mergeCell ref="AI29:AK29"/>
    <mergeCell ref="D32:Z32"/>
    <mergeCell ref="AA32:AE32"/>
    <mergeCell ref="AL32:BP32"/>
    <mergeCell ref="D33:Z33"/>
    <mergeCell ref="AA33:AE33"/>
    <mergeCell ref="AL33:BP33"/>
    <mergeCell ref="D30:Z30"/>
    <mergeCell ref="AA30:AE30"/>
    <mergeCell ref="AL30:BP30"/>
    <mergeCell ref="D31:Z31"/>
    <mergeCell ref="AA31:AE31"/>
    <mergeCell ref="AL31:BP31"/>
    <mergeCell ref="AF30:AH30"/>
    <mergeCell ref="AI30:AK30"/>
    <mergeCell ref="AF31:AH31"/>
    <mergeCell ref="AI31:AK31"/>
    <mergeCell ref="AF32:AH32"/>
    <mergeCell ref="AI32:AK32"/>
    <mergeCell ref="AF33:AH33"/>
    <mergeCell ref="AI33:AK33"/>
    <mergeCell ref="D36:Z36"/>
    <mergeCell ref="AA36:AE36"/>
    <mergeCell ref="AL36:BP36"/>
    <mergeCell ref="D37:Z37"/>
    <mergeCell ref="AA37:AE37"/>
    <mergeCell ref="AL37:BP37"/>
    <mergeCell ref="D34:Z34"/>
    <mergeCell ref="AA34:AE34"/>
    <mergeCell ref="AL34:BP34"/>
    <mergeCell ref="D35:Z35"/>
    <mergeCell ref="AA35:AE35"/>
    <mergeCell ref="AL35:BP35"/>
    <mergeCell ref="AF34:AH34"/>
    <mergeCell ref="AI34:AK34"/>
    <mergeCell ref="AF35:AH35"/>
    <mergeCell ref="AI35:AK35"/>
    <mergeCell ref="AF36:AH36"/>
    <mergeCell ref="AI36:AK36"/>
    <mergeCell ref="AF37:AH37"/>
    <mergeCell ref="AI37:AK37"/>
    <mergeCell ref="D40:Z40"/>
    <mergeCell ref="AA40:AE40"/>
    <mergeCell ref="AL40:BP40"/>
    <mergeCell ref="D41:Z41"/>
    <mergeCell ref="AA41:AE41"/>
    <mergeCell ref="AL41:BP41"/>
    <mergeCell ref="D38:Z38"/>
    <mergeCell ref="AA38:AE38"/>
    <mergeCell ref="AL38:BP38"/>
    <mergeCell ref="D39:Z39"/>
    <mergeCell ref="AA39:AE39"/>
    <mergeCell ref="AL39:BP39"/>
    <mergeCell ref="AF38:AH38"/>
    <mergeCell ref="AI38:AK38"/>
    <mergeCell ref="AF39:AH39"/>
    <mergeCell ref="AI39:AK39"/>
    <mergeCell ref="AF40:AH40"/>
    <mergeCell ref="AI40:AK40"/>
    <mergeCell ref="AF41:AH41"/>
    <mergeCell ref="AI41:AK41"/>
    <mergeCell ref="D44:Z44"/>
    <mergeCell ref="AA44:AE44"/>
    <mergeCell ref="AL44:BP44"/>
    <mergeCell ref="D45:Z45"/>
    <mergeCell ref="AA45:AE45"/>
    <mergeCell ref="AL45:BP45"/>
    <mergeCell ref="D42:Z42"/>
    <mergeCell ref="AA42:AE42"/>
    <mergeCell ref="AL42:BP42"/>
    <mergeCell ref="D43:Z43"/>
    <mergeCell ref="AA43:AE43"/>
    <mergeCell ref="AL43:BP43"/>
    <mergeCell ref="AF42:AH42"/>
    <mergeCell ref="AI42:AK42"/>
    <mergeCell ref="AF43:AH43"/>
    <mergeCell ref="AI43:AK43"/>
    <mergeCell ref="AF44:AH44"/>
    <mergeCell ref="AI44:AK44"/>
    <mergeCell ref="AF45:AH45"/>
    <mergeCell ref="AI45:AK45"/>
    <mergeCell ref="D48:Z48"/>
    <mergeCell ref="AA48:AE48"/>
    <mergeCell ref="AL48:BP48"/>
    <mergeCell ref="D49:Z49"/>
    <mergeCell ref="AA49:AE49"/>
    <mergeCell ref="AL49:BP49"/>
    <mergeCell ref="D46:Z46"/>
    <mergeCell ref="AA46:AE46"/>
    <mergeCell ref="AL46:BP46"/>
    <mergeCell ref="D47:Z47"/>
    <mergeCell ref="AA47:AE47"/>
    <mergeCell ref="AL47:BP47"/>
    <mergeCell ref="AF46:AH46"/>
    <mergeCell ref="AI46:AK46"/>
    <mergeCell ref="AF47:AH47"/>
    <mergeCell ref="AI47:AK47"/>
    <mergeCell ref="AF48:AH48"/>
    <mergeCell ref="AI48:AK48"/>
    <mergeCell ref="AF49:AH49"/>
    <mergeCell ref="AI49:AK49"/>
    <mergeCell ref="D52:Z52"/>
    <mergeCell ref="AA52:AE52"/>
    <mergeCell ref="AL52:BP52"/>
    <mergeCell ref="D53:Z53"/>
    <mergeCell ref="AA53:AE53"/>
    <mergeCell ref="AL53:BP53"/>
    <mergeCell ref="D50:Z50"/>
    <mergeCell ref="AA50:AE50"/>
    <mergeCell ref="AL50:BP50"/>
    <mergeCell ref="D51:Z51"/>
    <mergeCell ref="AA51:AE51"/>
    <mergeCell ref="AL51:BP51"/>
    <mergeCell ref="AF50:AH50"/>
    <mergeCell ref="AI50:AK50"/>
    <mergeCell ref="AF51:AH51"/>
    <mergeCell ref="AI51:AK51"/>
    <mergeCell ref="AF52:AH52"/>
    <mergeCell ref="AI52:AK52"/>
    <mergeCell ref="AF53:AH53"/>
    <mergeCell ref="AI53:AK53"/>
    <mergeCell ref="D56:Z56"/>
    <mergeCell ref="AA56:AE56"/>
    <mergeCell ref="AL56:BP56"/>
    <mergeCell ref="D57:Z57"/>
    <mergeCell ref="AA57:AE57"/>
    <mergeCell ref="AL57:BP57"/>
    <mergeCell ref="D54:Z54"/>
    <mergeCell ref="AA54:AE54"/>
    <mergeCell ref="AL54:BP54"/>
    <mergeCell ref="D55:Z55"/>
    <mergeCell ref="AA55:AE55"/>
    <mergeCell ref="AL55:BP55"/>
    <mergeCell ref="AF54:AH54"/>
    <mergeCell ref="AI54:AK54"/>
    <mergeCell ref="AF55:AH55"/>
    <mergeCell ref="AI55:AK55"/>
    <mergeCell ref="AF56:AH56"/>
    <mergeCell ref="AI56:AK56"/>
    <mergeCell ref="AF57:AH57"/>
    <mergeCell ref="AI57:AK57"/>
    <mergeCell ref="D59:Z59"/>
    <mergeCell ref="AA59:AE59"/>
    <mergeCell ref="AL59:BP59"/>
    <mergeCell ref="D58:Z58"/>
    <mergeCell ref="AA58:AE58"/>
    <mergeCell ref="AL58:BP58"/>
    <mergeCell ref="AF58:AH58"/>
    <mergeCell ref="AI58:AK58"/>
    <mergeCell ref="AF59:AH59"/>
    <mergeCell ref="AI59:AK59"/>
    <mergeCell ref="D102:Z102"/>
    <mergeCell ref="AA102:AE102"/>
    <mergeCell ref="AL102:BP102"/>
    <mergeCell ref="D60:Z60"/>
    <mergeCell ref="AA60:AE60"/>
    <mergeCell ref="AL60:BP60"/>
    <mergeCell ref="AF60:AH60"/>
    <mergeCell ref="AI60:AK60"/>
    <mergeCell ref="D61:Z61"/>
    <mergeCell ref="AA61:AE61"/>
    <mergeCell ref="AF61:AH61"/>
    <mergeCell ref="AI61:AK61"/>
    <mergeCell ref="AL61:BP61"/>
    <mergeCell ref="D62:Z62"/>
    <mergeCell ref="AA62:AE62"/>
    <mergeCell ref="AF62:AH62"/>
    <mergeCell ref="AI62:AK62"/>
    <mergeCell ref="AF102:AH102"/>
    <mergeCell ref="AI102:AK102"/>
    <mergeCell ref="AL62:BP62"/>
    <mergeCell ref="D63:Z63"/>
    <mergeCell ref="AA63:AE63"/>
    <mergeCell ref="AF63:AH63"/>
    <mergeCell ref="AI63:AK63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F8:AH8"/>
    <mergeCell ref="AI8:AK8"/>
    <mergeCell ref="AF9:AH9"/>
    <mergeCell ref="AI9:AK9"/>
    <mergeCell ref="AF10:AH10"/>
    <mergeCell ref="AI10:AK10"/>
    <mergeCell ref="A8:C8"/>
    <mergeCell ref="D8:Z8"/>
    <mergeCell ref="AA8:AE8"/>
    <mergeCell ref="AL8:BP8"/>
    <mergeCell ref="A9:C9"/>
    <mergeCell ref="A10:C10"/>
    <mergeCell ref="A6:G6"/>
    <mergeCell ref="H6:N6"/>
    <mergeCell ref="O6:Y6"/>
    <mergeCell ref="Z6:BE6"/>
    <mergeCell ref="BF6:BI6"/>
    <mergeCell ref="BJ6:BP6"/>
    <mergeCell ref="AL63:BP63"/>
    <mergeCell ref="A64:C64"/>
    <mergeCell ref="D64:Z64"/>
    <mergeCell ref="AA64:AE64"/>
    <mergeCell ref="AF64:AH64"/>
    <mergeCell ref="AI64:AK64"/>
    <mergeCell ref="AL64:BP64"/>
    <mergeCell ref="D65:Z65"/>
    <mergeCell ref="AA65:AE65"/>
    <mergeCell ref="AF65:AH65"/>
    <mergeCell ref="AI65:AK65"/>
    <mergeCell ref="AL65:BP65"/>
    <mergeCell ref="D66:Z66"/>
    <mergeCell ref="AA66:AE66"/>
    <mergeCell ref="AF66:AH66"/>
    <mergeCell ref="AI66:AK66"/>
    <mergeCell ref="AL66:BP66"/>
    <mergeCell ref="D68:Z68"/>
    <mergeCell ref="AA68:AE68"/>
    <mergeCell ref="AF68:AH68"/>
    <mergeCell ref="AI68:AK68"/>
    <mergeCell ref="AL68:BP68"/>
    <mergeCell ref="D69:Z69"/>
    <mergeCell ref="AA69:AE69"/>
    <mergeCell ref="AF69:AH69"/>
    <mergeCell ref="AI69:AK69"/>
    <mergeCell ref="AL69:BP69"/>
    <mergeCell ref="D70:Z70"/>
    <mergeCell ref="AA70:AE70"/>
    <mergeCell ref="AF70:AH70"/>
    <mergeCell ref="AI70:AK70"/>
    <mergeCell ref="AL70:BP70"/>
    <mergeCell ref="D71:Z71"/>
    <mergeCell ref="AA71:AE71"/>
    <mergeCell ref="AF71:AH71"/>
    <mergeCell ref="AI71:AK71"/>
    <mergeCell ref="AL71:BP71"/>
    <mergeCell ref="D72:Z72"/>
    <mergeCell ref="AA72:AE72"/>
    <mergeCell ref="AF72:AH72"/>
    <mergeCell ref="AI72:AK72"/>
    <mergeCell ref="AL72:BP72"/>
    <mergeCell ref="D73:Z73"/>
    <mergeCell ref="AA73:AE73"/>
    <mergeCell ref="AF73:AH73"/>
    <mergeCell ref="AI73:AK73"/>
    <mergeCell ref="AL73:BP73"/>
    <mergeCell ref="D74:Z74"/>
    <mergeCell ref="AA74:AE74"/>
    <mergeCell ref="AF74:AH74"/>
    <mergeCell ref="AI74:AK74"/>
    <mergeCell ref="AL74:BP74"/>
    <mergeCell ref="D75:Z75"/>
    <mergeCell ref="AA75:AE75"/>
    <mergeCell ref="AF75:AH75"/>
    <mergeCell ref="AI75:AK75"/>
    <mergeCell ref="AL75:BP75"/>
    <mergeCell ref="D76:Z76"/>
    <mergeCell ref="AA76:AE76"/>
    <mergeCell ref="AF76:AH76"/>
    <mergeCell ref="AI76:AK76"/>
    <mergeCell ref="AL76:BP76"/>
    <mergeCell ref="D77:Z77"/>
    <mergeCell ref="AA77:AE77"/>
    <mergeCell ref="AF77:AH77"/>
    <mergeCell ref="AI77:AK77"/>
    <mergeCell ref="AL77:BP77"/>
    <mergeCell ref="D78:Z78"/>
    <mergeCell ref="AA78:AE78"/>
    <mergeCell ref="AF78:AH78"/>
    <mergeCell ref="AI78:AK78"/>
    <mergeCell ref="AL78:BP78"/>
    <mergeCell ref="D79:Z79"/>
    <mergeCell ref="AA79:AE79"/>
    <mergeCell ref="AF79:AH79"/>
    <mergeCell ref="AI79:AK79"/>
    <mergeCell ref="AL79:BP79"/>
    <mergeCell ref="D80:Z80"/>
    <mergeCell ref="AA80:AE80"/>
    <mergeCell ref="AF80:AH80"/>
    <mergeCell ref="AI80:AK80"/>
    <mergeCell ref="AL80:BP80"/>
    <mergeCell ref="D81:Z81"/>
    <mergeCell ref="AA81:AE81"/>
    <mergeCell ref="AF81:AH81"/>
    <mergeCell ref="AI81:AK81"/>
    <mergeCell ref="AL81:BP81"/>
    <mergeCell ref="A82:C82"/>
    <mergeCell ref="D82:Z82"/>
    <mergeCell ref="AA82:AE82"/>
    <mergeCell ref="AF82:AH82"/>
    <mergeCell ref="AI82:AK82"/>
    <mergeCell ref="AL82:BP82"/>
    <mergeCell ref="D83:Z83"/>
    <mergeCell ref="AA83:AE83"/>
    <mergeCell ref="AF83:AH83"/>
    <mergeCell ref="AI83:AK83"/>
    <mergeCell ref="AL83:BP83"/>
    <mergeCell ref="A84:C84"/>
    <mergeCell ref="D84:Z84"/>
    <mergeCell ref="AA84:AE84"/>
    <mergeCell ref="AF84:AH84"/>
    <mergeCell ref="AI84:AK84"/>
    <mergeCell ref="AL84:BP84"/>
    <mergeCell ref="A89:C89"/>
    <mergeCell ref="D89:Z89"/>
    <mergeCell ref="AA89:AE89"/>
    <mergeCell ref="AF89:AH89"/>
    <mergeCell ref="D86:Z86"/>
    <mergeCell ref="AA86:AE86"/>
    <mergeCell ref="AF86:AH86"/>
    <mergeCell ref="AI86:AK86"/>
    <mergeCell ref="AL86:BP86"/>
    <mergeCell ref="AL95:BP95"/>
    <mergeCell ref="D91:Z91"/>
    <mergeCell ref="D92:Z92"/>
    <mergeCell ref="D93:Z93"/>
    <mergeCell ref="A101:C101"/>
    <mergeCell ref="AF101:AH101"/>
    <mergeCell ref="AI101:AK101"/>
    <mergeCell ref="AL101:BP101"/>
    <mergeCell ref="A87:C87"/>
    <mergeCell ref="D87:Z87"/>
    <mergeCell ref="AA87:AE87"/>
    <mergeCell ref="AF87:AH87"/>
    <mergeCell ref="AI87:AK87"/>
    <mergeCell ref="AL87:BP87"/>
    <mergeCell ref="A88:C88"/>
    <mergeCell ref="D88:Z88"/>
    <mergeCell ref="AA88:AE88"/>
    <mergeCell ref="AF88:AH88"/>
    <mergeCell ref="AI88:AK88"/>
    <mergeCell ref="AL88:BP88"/>
    <mergeCell ref="A100:C100"/>
    <mergeCell ref="AF100:AH100"/>
    <mergeCell ref="AI100:AK100"/>
    <mergeCell ref="AL100:BP100"/>
    <mergeCell ref="D94:Z94"/>
    <mergeCell ref="D95:Z95"/>
    <mergeCell ref="D96:Z96"/>
    <mergeCell ref="D97:Z97"/>
    <mergeCell ref="A90:C90"/>
    <mergeCell ref="D90:Z90"/>
    <mergeCell ref="AA90:AE90"/>
    <mergeCell ref="AF90:AH90"/>
    <mergeCell ref="AI90:AK90"/>
    <mergeCell ref="A99:C99"/>
    <mergeCell ref="AF99:AH99"/>
    <mergeCell ref="AI99:AK99"/>
    <mergeCell ref="AL99:BP99"/>
    <mergeCell ref="A96:C96"/>
    <mergeCell ref="AF96:AH96"/>
    <mergeCell ref="AI96:AK96"/>
    <mergeCell ref="AL96:BP96"/>
    <mergeCell ref="A97:C97"/>
    <mergeCell ref="AF97:AH97"/>
    <mergeCell ref="AI97:AK97"/>
    <mergeCell ref="AL97:BP97"/>
    <mergeCell ref="A98:C98"/>
    <mergeCell ref="AF98:AH98"/>
    <mergeCell ref="D98:Z98"/>
    <mergeCell ref="D100:Z100"/>
    <mergeCell ref="AA100:AE100"/>
    <mergeCell ref="A94:C94"/>
    <mergeCell ref="AF94:AH94"/>
    <mergeCell ref="AI92:AK92"/>
    <mergeCell ref="AL92:BP92"/>
    <mergeCell ref="A93:C93"/>
    <mergeCell ref="AF93:AH93"/>
    <mergeCell ref="AI93:AK93"/>
    <mergeCell ref="AL93:BP93"/>
    <mergeCell ref="D99:Z99"/>
    <mergeCell ref="AA94:AE94"/>
    <mergeCell ref="AA95:AE95"/>
    <mergeCell ref="AA96:AE96"/>
    <mergeCell ref="AA97:AE97"/>
    <mergeCell ref="AA98:AE98"/>
    <mergeCell ref="AA99:AE99"/>
    <mergeCell ref="AI98:AK98"/>
    <mergeCell ref="AL98:BP98"/>
    <mergeCell ref="AI94:AK94"/>
    <mergeCell ref="AL94:BP94"/>
    <mergeCell ref="A95:C95"/>
    <mergeCell ref="AF95:AH95"/>
    <mergeCell ref="AI95:AK95"/>
    <mergeCell ref="A67:C67"/>
    <mergeCell ref="D67:Z67"/>
    <mergeCell ref="AA67:AE67"/>
    <mergeCell ref="AF67:AH67"/>
    <mergeCell ref="AI67:AK67"/>
    <mergeCell ref="AL67:BP67"/>
    <mergeCell ref="AA91:AE91"/>
    <mergeCell ref="AA92:AE92"/>
    <mergeCell ref="AA93:AE93"/>
    <mergeCell ref="A91:C91"/>
    <mergeCell ref="AF91:AH91"/>
    <mergeCell ref="AI91:AK91"/>
    <mergeCell ref="AL91:BP91"/>
    <mergeCell ref="A92:C92"/>
    <mergeCell ref="AF92:AH92"/>
    <mergeCell ref="D85:Z85"/>
    <mergeCell ref="AA85:AE85"/>
    <mergeCell ref="AF85:AH85"/>
    <mergeCell ref="AI85:AK85"/>
    <mergeCell ref="AL85:BP85"/>
    <mergeCell ref="A86:C86"/>
    <mergeCell ref="AI89:AK89"/>
    <mergeCell ref="AL89:BP89"/>
    <mergeCell ref="AL90:BP90"/>
  </mergeCells>
  <phoneticPr fontId="3"/>
  <dataValidations count="1">
    <dataValidation type="list" allowBlank="1" showInputMessage="1" showErrorMessage="1" sqref="BJ6:BP6" xr:uid="{EF9DE44C-DBB2-4C73-866E-86672A988FBD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749AB-9A5E-4EF6-9DF1-FD410699862E}">
  <sheetPr codeName="Sheet14"/>
  <dimension ref="A1:BR105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8" width="2.125" style="55"/>
    <col min="39" max="44" width="0" style="55" hidden="1" customWidth="1"/>
    <col min="45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144" t="s">
        <v>198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143" t="s">
        <v>600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62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10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117">
        <f t="shared" ref="A9:A76" si="0">ROW()-8</f>
        <v>1</v>
      </c>
      <c r="B9" s="118"/>
      <c r="C9" s="119"/>
      <c r="D9" s="114" t="s">
        <v>349</v>
      </c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6"/>
      <c r="AA9" s="117" t="s">
        <v>348</v>
      </c>
      <c r="AB9" s="118"/>
      <c r="AC9" s="118"/>
      <c r="AD9" s="118"/>
      <c r="AE9" s="119"/>
      <c r="AF9" s="117"/>
      <c r="AG9" s="118"/>
      <c r="AH9" s="119"/>
      <c r="AI9" s="117"/>
      <c r="AJ9" s="118"/>
      <c r="AK9" s="119"/>
      <c r="AL9" s="68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70"/>
    </row>
    <row r="10" spans="1:70" s="1" customFormat="1" ht="30.75" customHeight="1">
      <c r="A10" s="74">
        <f t="shared" si="0"/>
        <v>2</v>
      </c>
      <c r="B10" s="75"/>
      <c r="C10" s="76"/>
      <c r="D10" s="71" t="s">
        <v>350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  <c r="AA10" s="74" t="s">
        <v>347</v>
      </c>
      <c r="AB10" s="75"/>
      <c r="AC10" s="75"/>
      <c r="AD10" s="75"/>
      <c r="AE10" s="76"/>
      <c r="AF10" s="74">
        <v>6</v>
      </c>
      <c r="AG10" s="75"/>
      <c r="AH10" s="76"/>
      <c r="AI10" s="74"/>
      <c r="AJ10" s="75"/>
      <c r="AK10" s="76"/>
      <c r="AL10" s="68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74">
        <f t="shared" si="0"/>
        <v>3</v>
      </c>
      <c r="B11" s="75"/>
      <c r="C11" s="76"/>
      <c r="D11" s="71" t="s">
        <v>1303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3"/>
      <c r="AA11" s="74" t="s">
        <v>19</v>
      </c>
      <c r="AB11" s="75"/>
      <c r="AC11" s="75"/>
      <c r="AD11" s="75"/>
      <c r="AE11" s="76"/>
      <c r="AF11" s="74">
        <v>64</v>
      </c>
      <c r="AG11" s="75"/>
      <c r="AH11" s="76"/>
      <c r="AI11" s="74"/>
      <c r="AJ11" s="75"/>
      <c r="AK11" s="76"/>
      <c r="AL11" s="68" t="s">
        <v>1310</v>
      </c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70"/>
    </row>
    <row r="12" spans="1:70" s="1" customFormat="1" ht="30.75" customHeight="1">
      <c r="A12" s="74">
        <f t="shared" si="0"/>
        <v>4</v>
      </c>
      <c r="B12" s="75"/>
      <c r="C12" s="76"/>
      <c r="D12" s="71" t="s">
        <v>1304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3"/>
      <c r="AA12" s="74" t="s">
        <v>19</v>
      </c>
      <c r="AB12" s="75"/>
      <c r="AC12" s="75"/>
      <c r="AD12" s="75"/>
      <c r="AE12" s="76"/>
      <c r="AF12" s="74">
        <v>1000</v>
      </c>
      <c r="AG12" s="75"/>
      <c r="AH12" s="76"/>
      <c r="AI12" s="74"/>
      <c r="AJ12" s="75"/>
      <c r="AK12" s="76"/>
      <c r="AL12" s="68" t="s">
        <v>1309</v>
      </c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70"/>
    </row>
    <row r="13" spans="1:70" s="1" customFormat="1" ht="30.75" customHeight="1">
      <c r="A13" s="74">
        <f t="shared" si="0"/>
        <v>5</v>
      </c>
      <c r="B13" s="75"/>
      <c r="C13" s="76"/>
      <c r="D13" s="71" t="s">
        <v>1305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3"/>
      <c r="AA13" s="74" t="s">
        <v>19</v>
      </c>
      <c r="AB13" s="75"/>
      <c r="AC13" s="75"/>
      <c r="AD13" s="75"/>
      <c r="AE13" s="76"/>
      <c r="AF13" s="74">
        <v>64</v>
      </c>
      <c r="AG13" s="75"/>
      <c r="AH13" s="76"/>
      <c r="AI13" s="74"/>
      <c r="AJ13" s="75"/>
      <c r="AK13" s="76"/>
      <c r="AL13" s="68" t="s">
        <v>1310</v>
      </c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70"/>
    </row>
    <row r="14" spans="1:70" s="1" customFormat="1" ht="30.75" customHeight="1">
      <c r="A14" s="74">
        <f t="shared" si="0"/>
        <v>6</v>
      </c>
      <c r="B14" s="75"/>
      <c r="C14" s="76"/>
      <c r="D14" s="71" t="s">
        <v>1308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3"/>
      <c r="AA14" s="74" t="s">
        <v>19</v>
      </c>
      <c r="AB14" s="75"/>
      <c r="AC14" s="75"/>
      <c r="AD14" s="75"/>
      <c r="AE14" s="76"/>
      <c r="AF14" s="74">
        <v>1000</v>
      </c>
      <c r="AG14" s="75"/>
      <c r="AH14" s="76"/>
      <c r="AI14" s="74"/>
      <c r="AJ14" s="75"/>
      <c r="AK14" s="76"/>
      <c r="AL14" s="68" t="s">
        <v>1309</v>
      </c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70"/>
    </row>
    <row r="15" spans="1:70" s="1" customFormat="1" ht="30.75" customHeight="1">
      <c r="A15" s="74">
        <f t="shared" si="0"/>
        <v>7</v>
      </c>
      <c r="B15" s="75"/>
      <c r="C15" s="76"/>
      <c r="D15" s="71" t="s">
        <v>1307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3"/>
      <c r="AA15" s="74" t="s">
        <v>19</v>
      </c>
      <c r="AB15" s="75"/>
      <c r="AC15" s="75"/>
      <c r="AD15" s="75"/>
      <c r="AE15" s="76"/>
      <c r="AF15" s="74">
        <v>64</v>
      </c>
      <c r="AG15" s="75"/>
      <c r="AH15" s="76"/>
      <c r="AI15" s="74"/>
      <c r="AJ15" s="75"/>
      <c r="AK15" s="76"/>
      <c r="AL15" s="68" t="s">
        <v>1310</v>
      </c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70"/>
    </row>
    <row r="16" spans="1:70" s="1" customFormat="1" ht="30.75" customHeight="1">
      <c r="A16" s="74">
        <f t="shared" si="0"/>
        <v>8</v>
      </c>
      <c r="B16" s="75"/>
      <c r="C16" s="76"/>
      <c r="D16" s="71" t="s">
        <v>1306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3"/>
      <c r="AA16" s="74" t="s">
        <v>19</v>
      </c>
      <c r="AB16" s="75"/>
      <c r="AC16" s="75"/>
      <c r="AD16" s="75"/>
      <c r="AE16" s="76"/>
      <c r="AF16" s="74">
        <v>1000</v>
      </c>
      <c r="AG16" s="75"/>
      <c r="AH16" s="76"/>
      <c r="AI16" s="74"/>
      <c r="AJ16" s="75"/>
      <c r="AK16" s="76"/>
      <c r="AL16" s="68" t="s">
        <v>1309</v>
      </c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70"/>
    </row>
    <row r="17" spans="1:68" s="1" customFormat="1" ht="30.75" customHeight="1">
      <c r="A17" s="74">
        <f t="shared" si="0"/>
        <v>9</v>
      </c>
      <c r="B17" s="75"/>
      <c r="C17" s="76"/>
      <c r="D17" s="71" t="s">
        <v>270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3"/>
      <c r="AA17" s="74" t="s">
        <v>271</v>
      </c>
      <c r="AB17" s="75"/>
      <c r="AC17" s="75"/>
      <c r="AD17" s="75"/>
      <c r="AE17" s="76"/>
      <c r="AF17" s="74">
        <v>500</v>
      </c>
      <c r="AG17" s="75"/>
      <c r="AH17" s="76"/>
      <c r="AI17" s="74"/>
      <c r="AJ17" s="75"/>
      <c r="AK17" s="76"/>
      <c r="AL17" s="68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70"/>
    </row>
    <row r="18" spans="1:68" s="1" customFormat="1" ht="30.75" customHeight="1">
      <c r="A18" s="74">
        <f t="shared" si="0"/>
        <v>10</v>
      </c>
      <c r="B18" s="75"/>
      <c r="C18" s="76"/>
      <c r="D18" s="71" t="s">
        <v>351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3"/>
      <c r="AA18" s="74" t="s">
        <v>275</v>
      </c>
      <c r="AB18" s="75"/>
      <c r="AC18" s="75"/>
      <c r="AD18" s="75"/>
      <c r="AE18" s="76"/>
      <c r="AF18" s="74"/>
      <c r="AG18" s="75"/>
      <c r="AH18" s="76"/>
      <c r="AI18" s="74"/>
      <c r="AJ18" s="75"/>
      <c r="AK18" s="76"/>
      <c r="AL18" s="68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70"/>
    </row>
    <row r="19" spans="1:68" s="1" customFormat="1" ht="30.75" customHeight="1">
      <c r="A19" s="74">
        <f t="shared" si="0"/>
        <v>11</v>
      </c>
      <c r="B19" s="75"/>
      <c r="C19" s="76"/>
      <c r="D19" s="71" t="s">
        <v>282</v>
      </c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3"/>
      <c r="AA19" s="74" t="s">
        <v>347</v>
      </c>
      <c r="AB19" s="75"/>
      <c r="AC19" s="75"/>
      <c r="AD19" s="75"/>
      <c r="AE19" s="76"/>
      <c r="AF19" s="86">
        <v>8</v>
      </c>
      <c r="AG19" s="86"/>
      <c r="AH19" s="86"/>
      <c r="AI19" s="86"/>
      <c r="AJ19" s="86"/>
      <c r="AK19" s="86"/>
      <c r="AL19" s="68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70"/>
    </row>
    <row r="20" spans="1:68" s="1" customFormat="1" ht="30.75" customHeight="1">
      <c r="A20" s="74">
        <f t="shared" si="0"/>
        <v>12</v>
      </c>
      <c r="B20" s="75"/>
      <c r="C20" s="76"/>
      <c r="D20" s="71" t="s">
        <v>352</v>
      </c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3"/>
      <c r="AA20" s="74" t="s">
        <v>271</v>
      </c>
      <c r="AB20" s="75"/>
      <c r="AC20" s="75"/>
      <c r="AD20" s="75"/>
      <c r="AE20" s="76"/>
      <c r="AF20" s="86">
        <v>1</v>
      </c>
      <c r="AG20" s="86"/>
      <c r="AH20" s="86"/>
      <c r="AI20" s="86"/>
      <c r="AJ20" s="86"/>
      <c r="AK20" s="86"/>
      <c r="AL20" s="68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70"/>
    </row>
    <row r="21" spans="1:68" s="1" customFormat="1" ht="30.75" customHeight="1">
      <c r="A21" s="74">
        <f t="shared" si="0"/>
        <v>13</v>
      </c>
      <c r="B21" s="75"/>
      <c r="C21" s="76"/>
      <c r="D21" s="71" t="s">
        <v>353</v>
      </c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3"/>
      <c r="AA21" s="74" t="s">
        <v>271</v>
      </c>
      <c r="AB21" s="75"/>
      <c r="AC21" s="75"/>
      <c r="AD21" s="75"/>
      <c r="AE21" s="76"/>
      <c r="AF21" s="86">
        <v>1</v>
      </c>
      <c r="AG21" s="86"/>
      <c r="AH21" s="86"/>
      <c r="AI21" s="86"/>
      <c r="AJ21" s="86"/>
      <c r="AK21" s="86"/>
      <c r="AL21" s="68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70"/>
    </row>
    <row r="22" spans="1:68" s="1" customFormat="1" ht="30.75" customHeight="1">
      <c r="A22" s="74">
        <f t="shared" si="0"/>
        <v>14</v>
      </c>
      <c r="B22" s="75"/>
      <c r="C22" s="76"/>
      <c r="D22" s="71" t="s">
        <v>287</v>
      </c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3"/>
      <c r="AA22" s="74" t="s">
        <v>347</v>
      </c>
      <c r="AB22" s="75"/>
      <c r="AC22" s="75"/>
      <c r="AD22" s="75"/>
      <c r="AE22" s="76"/>
      <c r="AF22" s="86">
        <v>4</v>
      </c>
      <c r="AG22" s="86"/>
      <c r="AH22" s="86"/>
      <c r="AI22" s="86"/>
      <c r="AJ22" s="86"/>
      <c r="AK22" s="86"/>
      <c r="AL22" s="68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70"/>
    </row>
    <row r="23" spans="1:68" s="1" customFormat="1" ht="30.75" customHeight="1">
      <c r="A23" s="74">
        <f t="shared" si="0"/>
        <v>15</v>
      </c>
      <c r="B23" s="75"/>
      <c r="C23" s="76"/>
      <c r="D23" s="71" t="s">
        <v>354</v>
      </c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3"/>
      <c r="AA23" s="74" t="s">
        <v>271</v>
      </c>
      <c r="AB23" s="75"/>
      <c r="AC23" s="75"/>
      <c r="AD23" s="75"/>
      <c r="AE23" s="76"/>
      <c r="AF23" s="74">
        <v>20</v>
      </c>
      <c r="AG23" s="75"/>
      <c r="AH23" s="76"/>
      <c r="AI23" s="74"/>
      <c r="AJ23" s="75"/>
      <c r="AK23" s="76"/>
      <c r="AL23" s="68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70"/>
    </row>
    <row r="24" spans="1:68" s="1" customFormat="1" ht="30.75" customHeight="1">
      <c r="A24" s="74">
        <f t="shared" si="0"/>
        <v>16</v>
      </c>
      <c r="B24" s="75"/>
      <c r="C24" s="76"/>
      <c r="D24" s="71" t="s">
        <v>355</v>
      </c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3"/>
      <c r="AA24" s="74" t="s">
        <v>271</v>
      </c>
      <c r="AB24" s="75"/>
      <c r="AC24" s="75"/>
      <c r="AD24" s="75"/>
      <c r="AE24" s="76"/>
      <c r="AF24" s="74">
        <v>2</v>
      </c>
      <c r="AG24" s="75"/>
      <c r="AH24" s="76"/>
      <c r="AI24" s="74"/>
      <c r="AJ24" s="75"/>
      <c r="AK24" s="76"/>
      <c r="AL24" s="68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70"/>
    </row>
    <row r="25" spans="1:68" s="1" customFormat="1" ht="30.75" customHeight="1">
      <c r="A25" s="74">
        <f t="shared" si="0"/>
        <v>17</v>
      </c>
      <c r="B25" s="75"/>
      <c r="C25" s="76"/>
      <c r="D25" s="71" t="s">
        <v>356</v>
      </c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3"/>
      <c r="AA25" s="74" t="s">
        <v>271</v>
      </c>
      <c r="AB25" s="75"/>
      <c r="AC25" s="75"/>
      <c r="AD25" s="75"/>
      <c r="AE25" s="76"/>
      <c r="AF25" s="74">
        <v>2</v>
      </c>
      <c r="AG25" s="75"/>
      <c r="AH25" s="76"/>
      <c r="AI25" s="74"/>
      <c r="AJ25" s="75"/>
      <c r="AK25" s="76"/>
      <c r="AL25" s="68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70"/>
    </row>
    <row r="26" spans="1:68" s="1" customFormat="1" ht="30.75" customHeight="1">
      <c r="A26" s="74">
        <f t="shared" si="0"/>
        <v>18</v>
      </c>
      <c r="B26" s="75"/>
      <c r="C26" s="76"/>
      <c r="D26" s="71" t="s">
        <v>357</v>
      </c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3"/>
      <c r="AA26" s="74" t="s">
        <v>271</v>
      </c>
      <c r="AB26" s="75"/>
      <c r="AC26" s="75"/>
      <c r="AD26" s="75"/>
      <c r="AE26" s="76"/>
      <c r="AF26" s="74">
        <v>2</v>
      </c>
      <c r="AG26" s="75"/>
      <c r="AH26" s="76"/>
      <c r="AI26" s="74"/>
      <c r="AJ26" s="75"/>
      <c r="AK26" s="76"/>
      <c r="AL26" s="68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70"/>
    </row>
    <row r="27" spans="1:68" s="1" customFormat="1" ht="30.75" customHeight="1">
      <c r="A27" s="74">
        <f t="shared" si="0"/>
        <v>19</v>
      </c>
      <c r="B27" s="75"/>
      <c r="C27" s="76"/>
      <c r="D27" s="71" t="s">
        <v>269</v>
      </c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3"/>
      <c r="AA27" s="74" t="s">
        <v>271</v>
      </c>
      <c r="AB27" s="75"/>
      <c r="AC27" s="75"/>
      <c r="AD27" s="75"/>
      <c r="AE27" s="76"/>
      <c r="AF27" s="74">
        <v>10</v>
      </c>
      <c r="AG27" s="75"/>
      <c r="AH27" s="76"/>
      <c r="AI27" s="74"/>
      <c r="AJ27" s="75"/>
      <c r="AK27" s="76"/>
      <c r="AL27" s="68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70"/>
    </row>
    <row r="28" spans="1:68" s="1" customFormat="1" ht="30.75" customHeight="1">
      <c r="A28" s="74">
        <f t="shared" si="0"/>
        <v>20</v>
      </c>
      <c r="B28" s="75"/>
      <c r="C28" s="76"/>
      <c r="D28" s="71" t="s">
        <v>358</v>
      </c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3"/>
      <c r="AA28" s="74" t="s">
        <v>347</v>
      </c>
      <c r="AB28" s="75"/>
      <c r="AC28" s="75"/>
      <c r="AD28" s="75"/>
      <c r="AE28" s="76"/>
      <c r="AF28" s="74">
        <v>4</v>
      </c>
      <c r="AG28" s="75"/>
      <c r="AH28" s="76"/>
      <c r="AI28" s="74"/>
      <c r="AJ28" s="75"/>
      <c r="AK28" s="76"/>
      <c r="AL28" s="68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70"/>
    </row>
    <row r="29" spans="1:68" s="1" customFormat="1" ht="30.75" customHeight="1">
      <c r="A29" s="74">
        <f t="shared" si="0"/>
        <v>21</v>
      </c>
      <c r="B29" s="75"/>
      <c r="C29" s="76"/>
      <c r="D29" s="71" t="s">
        <v>359</v>
      </c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3"/>
      <c r="AA29" s="74" t="s">
        <v>271</v>
      </c>
      <c r="AB29" s="75"/>
      <c r="AC29" s="75"/>
      <c r="AD29" s="75"/>
      <c r="AE29" s="76"/>
      <c r="AF29" s="74">
        <v>15</v>
      </c>
      <c r="AG29" s="75"/>
      <c r="AH29" s="76"/>
      <c r="AI29" s="74"/>
      <c r="AJ29" s="75"/>
      <c r="AK29" s="76"/>
      <c r="AL29" s="68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70"/>
    </row>
    <row r="30" spans="1:68" s="1" customFormat="1" ht="30.75" customHeight="1">
      <c r="A30" s="74">
        <f t="shared" si="0"/>
        <v>22</v>
      </c>
      <c r="B30" s="75"/>
      <c r="C30" s="76"/>
      <c r="D30" s="71" t="s">
        <v>360</v>
      </c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3"/>
      <c r="AA30" s="74" t="s">
        <v>275</v>
      </c>
      <c r="AB30" s="75"/>
      <c r="AC30" s="75"/>
      <c r="AD30" s="75"/>
      <c r="AE30" s="76"/>
      <c r="AF30" s="86"/>
      <c r="AG30" s="86"/>
      <c r="AH30" s="86"/>
      <c r="AI30" s="86"/>
      <c r="AJ30" s="86"/>
      <c r="AK30" s="86"/>
      <c r="AL30" s="68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70"/>
    </row>
    <row r="31" spans="1:68" s="1" customFormat="1" ht="30.75" customHeight="1">
      <c r="A31" s="74">
        <f t="shared" si="0"/>
        <v>23</v>
      </c>
      <c r="B31" s="75"/>
      <c r="C31" s="76"/>
      <c r="D31" s="71" t="s">
        <v>294</v>
      </c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3"/>
      <c r="AA31" s="74" t="s">
        <v>347</v>
      </c>
      <c r="AB31" s="75"/>
      <c r="AC31" s="75"/>
      <c r="AD31" s="75"/>
      <c r="AE31" s="76"/>
      <c r="AF31" s="86">
        <v>14</v>
      </c>
      <c r="AG31" s="86"/>
      <c r="AH31" s="86"/>
      <c r="AI31" s="86"/>
      <c r="AJ31" s="86"/>
      <c r="AK31" s="86"/>
      <c r="AL31" s="68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70"/>
    </row>
    <row r="32" spans="1:68" s="1" customFormat="1" ht="30.75" customHeight="1">
      <c r="A32" s="74">
        <f t="shared" si="0"/>
        <v>24</v>
      </c>
      <c r="B32" s="75"/>
      <c r="C32" s="76"/>
      <c r="D32" s="71" t="s">
        <v>295</v>
      </c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3"/>
      <c r="AA32" s="74" t="s">
        <v>347</v>
      </c>
      <c r="AB32" s="75"/>
      <c r="AC32" s="75"/>
      <c r="AD32" s="75"/>
      <c r="AE32" s="76"/>
      <c r="AF32" s="86">
        <v>14</v>
      </c>
      <c r="AG32" s="86"/>
      <c r="AH32" s="86"/>
      <c r="AI32" s="86"/>
      <c r="AJ32" s="86"/>
      <c r="AK32" s="86"/>
      <c r="AL32" s="68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70"/>
    </row>
    <row r="33" spans="1:68" s="1" customFormat="1" ht="30.75" customHeight="1">
      <c r="A33" s="74">
        <f t="shared" si="0"/>
        <v>25</v>
      </c>
      <c r="B33" s="75"/>
      <c r="C33" s="76"/>
      <c r="D33" s="71" t="s">
        <v>361</v>
      </c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3"/>
      <c r="AA33" s="74" t="s">
        <v>347</v>
      </c>
      <c r="AB33" s="75"/>
      <c r="AC33" s="75"/>
      <c r="AD33" s="75"/>
      <c r="AE33" s="76"/>
      <c r="AF33" s="86">
        <v>14</v>
      </c>
      <c r="AG33" s="86"/>
      <c r="AH33" s="86"/>
      <c r="AI33" s="86"/>
      <c r="AJ33" s="86"/>
      <c r="AK33" s="86"/>
      <c r="AL33" s="68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70"/>
    </row>
    <row r="34" spans="1:68" s="1" customFormat="1" ht="30.75" customHeight="1">
      <c r="A34" s="74">
        <f t="shared" si="0"/>
        <v>26</v>
      </c>
      <c r="B34" s="75"/>
      <c r="C34" s="76"/>
      <c r="D34" s="71" t="s">
        <v>297</v>
      </c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3"/>
      <c r="AA34" s="74" t="s">
        <v>347</v>
      </c>
      <c r="AB34" s="75"/>
      <c r="AC34" s="75"/>
      <c r="AD34" s="75"/>
      <c r="AE34" s="76"/>
      <c r="AF34" s="86">
        <v>14</v>
      </c>
      <c r="AG34" s="86"/>
      <c r="AH34" s="86"/>
      <c r="AI34" s="86"/>
      <c r="AJ34" s="86"/>
      <c r="AK34" s="86"/>
      <c r="AL34" s="68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70"/>
    </row>
    <row r="35" spans="1:68" s="1" customFormat="1" ht="30.75" customHeight="1">
      <c r="A35" s="74">
        <f t="shared" si="0"/>
        <v>27</v>
      </c>
      <c r="B35" s="75"/>
      <c r="C35" s="76"/>
      <c r="D35" s="71" t="s">
        <v>298</v>
      </c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3"/>
      <c r="AA35" s="74" t="s">
        <v>347</v>
      </c>
      <c r="AB35" s="75"/>
      <c r="AC35" s="75"/>
      <c r="AD35" s="75"/>
      <c r="AE35" s="76"/>
      <c r="AF35" s="86">
        <v>14</v>
      </c>
      <c r="AG35" s="86"/>
      <c r="AH35" s="86"/>
      <c r="AI35" s="86"/>
      <c r="AJ35" s="86"/>
      <c r="AK35" s="86"/>
      <c r="AL35" s="68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70"/>
    </row>
    <row r="36" spans="1:68" s="1" customFormat="1" ht="30.75" customHeight="1">
      <c r="A36" s="74">
        <f t="shared" si="0"/>
        <v>28</v>
      </c>
      <c r="B36" s="75"/>
      <c r="C36" s="76"/>
      <c r="D36" s="71" t="s">
        <v>299</v>
      </c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3"/>
      <c r="AA36" s="74" t="s">
        <v>347</v>
      </c>
      <c r="AB36" s="75"/>
      <c r="AC36" s="75"/>
      <c r="AD36" s="75"/>
      <c r="AE36" s="76"/>
      <c r="AF36" s="86">
        <v>14</v>
      </c>
      <c r="AG36" s="86"/>
      <c r="AH36" s="86"/>
      <c r="AI36" s="86"/>
      <c r="AJ36" s="86"/>
      <c r="AK36" s="86"/>
      <c r="AL36" s="68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70"/>
    </row>
    <row r="37" spans="1:68" s="1" customFormat="1" ht="30.75" customHeight="1">
      <c r="A37" s="74">
        <f t="shared" si="0"/>
        <v>29</v>
      </c>
      <c r="B37" s="75"/>
      <c r="C37" s="76"/>
      <c r="D37" s="71" t="s">
        <v>300</v>
      </c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3"/>
      <c r="AA37" s="74" t="s">
        <v>347</v>
      </c>
      <c r="AB37" s="75"/>
      <c r="AC37" s="75"/>
      <c r="AD37" s="75"/>
      <c r="AE37" s="76"/>
      <c r="AF37" s="86">
        <v>14</v>
      </c>
      <c r="AG37" s="86"/>
      <c r="AH37" s="86"/>
      <c r="AI37" s="86"/>
      <c r="AJ37" s="86"/>
      <c r="AK37" s="86"/>
      <c r="AL37" s="68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70"/>
    </row>
    <row r="38" spans="1:68" s="1" customFormat="1" ht="30.75" customHeight="1">
      <c r="A38" s="74">
        <f t="shared" si="0"/>
        <v>30</v>
      </c>
      <c r="B38" s="75"/>
      <c r="C38" s="76"/>
      <c r="D38" s="71" t="s">
        <v>301</v>
      </c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3"/>
      <c r="AA38" s="74" t="s">
        <v>347</v>
      </c>
      <c r="AB38" s="75"/>
      <c r="AC38" s="75"/>
      <c r="AD38" s="75"/>
      <c r="AE38" s="76"/>
      <c r="AF38" s="86">
        <v>14</v>
      </c>
      <c r="AG38" s="86"/>
      <c r="AH38" s="86"/>
      <c r="AI38" s="86"/>
      <c r="AJ38" s="86"/>
      <c r="AK38" s="86"/>
      <c r="AL38" s="68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70"/>
    </row>
    <row r="39" spans="1:68" s="1" customFormat="1" ht="30.75" customHeight="1">
      <c r="A39" s="74">
        <f t="shared" si="0"/>
        <v>31</v>
      </c>
      <c r="B39" s="75"/>
      <c r="C39" s="76"/>
      <c r="D39" s="71" t="s">
        <v>362</v>
      </c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3"/>
      <c r="AA39" s="74" t="s">
        <v>347</v>
      </c>
      <c r="AB39" s="75"/>
      <c r="AC39" s="75"/>
      <c r="AD39" s="75"/>
      <c r="AE39" s="76"/>
      <c r="AF39" s="86">
        <v>14</v>
      </c>
      <c r="AG39" s="86"/>
      <c r="AH39" s="86"/>
      <c r="AI39" s="86"/>
      <c r="AJ39" s="86"/>
      <c r="AK39" s="86"/>
      <c r="AL39" s="68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70"/>
    </row>
    <row r="40" spans="1:68" s="1" customFormat="1" ht="30.75" customHeight="1">
      <c r="A40" s="74">
        <f t="shared" si="0"/>
        <v>32</v>
      </c>
      <c r="B40" s="75"/>
      <c r="C40" s="76"/>
      <c r="D40" s="71" t="s">
        <v>303</v>
      </c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3"/>
      <c r="AA40" s="74" t="s">
        <v>347</v>
      </c>
      <c r="AB40" s="75"/>
      <c r="AC40" s="75"/>
      <c r="AD40" s="75"/>
      <c r="AE40" s="76"/>
      <c r="AF40" s="86">
        <v>14</v>
      </c>
      <c r="AG40" s="86"/>
      <c r="AH40" s="86"/>
      <c r="AI40" s="86"/>
      <c r="AJ40" s="86"/>
      <c r="AK40" s="86"/>
      <c r="AL40" s="68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70"/>
    </row>
    <row r="41" spans="1:68" s="1" customFormat="1" ht="30.75" customHeight="1">
      <c r="A41" s="74">
        <f t="shared" si="0"/>
        <v>33</v>
      </c>
      <c r="B41" s="75"/>
      <c r="C41" s="76"/>
      <c r="D41" s="71" t="s">
        <v>363</v>
      </c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3"/>
      <c r="AA41" s="74" t="s">
        <v>275</v>
      </c>
      <c r="AB41" s="75"/>
      <c r="AC41" s="75"/>
      <c r="AD41" s="75"/>
      <c r="AE41" s="76"/>
      <c r="AF41" s="86"/>
      <c r="AG41" s="86"/>
      <c r="AH41" s="86"/>
      <c r="AI41" s="86"/>
      <c r="AJ41" s="86"/>
      <c r="AK41" s="86"/>
      <c r="AL41" s="68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70"/>
    </row>
    <row r="42" spans="1:68" s="1" customFormat="1" ht="30.75" customHeight="1">
      <c r="A42" s="74">
        <f t="shared" si="0"/>
        <v>34</v>
      </c>
      <c r="B42" s="75"/>
      <c r="C42" s="76"/>
      <c r="D42" s="71" t="s">
        <v>1321</v>
      </c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3"/>
      <c r="AA42" s="74" t="s">
        <v>347</v>
      </c>
      <c r="AB42" s="75"/>
      <c r="AC42" s="75"/>
      <c r="AD42" s="75"/>
      <c r="AE42" s="76"/>
      <c r="AF42" s="86">
        <v>14</v>
      </c>
      <c r="AG42" s="86"/>
      <c r="AH42" s="86"/>
      <c r="AI42" s="86"/>
      <c r="AJ42" s="86"/>
      <c r="AK42" s="86"/>
      <c r="AL42" s="68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70"/>
    </row>
    <row r="43" spans="1:68" s="1" customFormat="1" ht="30.75" customHeight="1">
      <c r="A43" s="74">
        <f t="shared" si="0"/>
        <v>35</v>
      </c>
      <c r="B43" s="75"/>
      <c r="C43" s="76"/>
      <c r="D43" s="71" t="s">
        <v>364</v>
      </c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3"/>
      <c r="AA43" s="74" t="s">
        <v>347</v>
      </c>
      <c r="AB43" s="75"/>
      <c r="AC43" s="75"/>
      <c r="AD43" s="75"/>
      <c r="AE43" s="76"/>
      <c r="AF43" s="86">
        <v>14</v>
      </c>
      <c r="AG43" s="86"/>
      <c r="AH43" s="86"/>
      <c r="AI43" s="86"/>
      <c r="AJ43" s="86"/>
      <c r="AK43" s="86"/>
      <c r="AL43" s="68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  <c r="BM43" s="69"/>
      <c r="BN43" s="69"/>
      <c r="BO43" s="69"/>
      <c r="BP43" s="70"/>
    </row>
    <row r="44" spans="1:68" s="1" customFormat="1" ht="30.75" customHeight="1">
      <c r="A44" s="74">
        <f t="shared" si="0"/>
        <v>36</v>
      </c>
      <c r="B44" s="75"/>
      <c r="C44" s="76"/>
      <c r="D44" s="71" t="s">
        <v>365</v>
      </c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3"/>
      <c r="AA44" s="74" t="s">
        <v>347</v>
      </c>
      <c r="AB44" s="75"/>
      <c r="AC44" s="75"/>
      <c r="AD44" s="75"/>
      <c r="AE44" s="76"/>
      <c r="AF44" s="86">
        <v>14</v>
      </c>
      <c r="AG44" s="86"/>
      <c r="AH44" s="86"/>
      <c r="AI44" s="74"/>
      <c r="AJ44" s="75"/>
      <c r="AK44" s="76"/>
      <c r="AL44" s="68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  <c r="BM44" s="69"/>
      <c r="BN44" s="69"/>
      <c r="BO44" s="69"/>
      <c r="BP44" s="70"/>
    </row>
    <row r="45" spans="1:68" s="1" customFormat="1" ht="30.75" customHeight="1">
      <c r="A45" s="74">
        <f t="shared" si="0"/>
        <v>37</v>
      </c>
      <c r="B45" s="75"/>
      <c r="C45" s="76"/>
      <c r="D45" s="71" t="s">
        <v>366</v>
      </c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3"/>
      <c r="AA45" s="74" t="s">
        <v>347</v>
      </c>
      <c r="AB45" s="75"/>
      <c r="AC45" s="75"/>
      <c r="AD45" s="75"/>
      <c r="AE45" s="76"/>
      <c r="AF45" s="86">
        <v>14</v>
      </c>
      <c r="AG45" s="86"/>
      <c r="AH45" s="86"/>
      <c r="AI45" s="74"/>
      <c r="AJ45" s="75"/>
      <c r="AK45" s="76"/>
      <c r="AL45" s="68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  <c r="BP45" s="70"/>
    </row>
    <row r="46" spans="1:68" s="1" customFormat="1" ht="30.75" customHeight="1">
      <c r="A46" s="74">
        <f t="shared" si="0"/>
        <v>38</v>
      </c>
      <c r="B46" s="75"/>
      <c r="C46" s="76"/>
      <c r="D46" s="71" t="s">
        <v>308</v>
      </c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3"/>
      <c r="AA46" s="74" t="s">
        <v>347</v>
      </c>
      <c r="AB46" s="75"/>
      <c r="AC46" s="75"/>
      <c r="AD46" s="75"/>
      <c r="AE46" s="76"/>
      <c r="AF46" s="86">
        <v>14</v>
      </c>
      <c r="AG46" s="86"/>
      <c r="AH46" s="86"/>
      <c r="AI46" s="74"/>
      <c r="AJ46" s="75"/>
      <c r="AK46" s="76"/>
      <c r="AL46" s="83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5"/>
    </row>
    <row r="47" spans="1:68" s="1" customFormat="1" ht="30.75" customHeight="1">
      <c r="A47" s="74">
        <f t="shared" si="0"/>
        <v>39</v>
      </c>
      <c r="B47" s="75"/>
      <c r="C47" s="76"/>
      <c r="D47" s="71" t="s">
        <v>367</v>
      </c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3"/>
      <c r="AA47" s="74" t="s">
        <v>347</v>
      </c>
      <c r="AB47" s="75"/>
      <c r="AC47" s="75"/>
      <c r="AD47" s="75"/>
      <c r="AE47" s="76"/>
      <c r="AF47" s="74">
        <v>14</v>
      </c>
      <c r="AG47" s="75"/>
      <c r="AH47" s="76"/>
      <c r="AI47" s="74"/>
      <c r="AJ47" s="75"/>
      <c r="AK47" s="76"/>
      <c r="AL47" s="68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  <c r="BP47" s="70"/>
    </row>
    <row r="48" spans="1:68" s="1" customFormat="1" ht="30.75" customHeight="1">
      <c r="A48" s="74">
        <f t="shared" si="0"/>
        <v>40</v>
      </c>
      <c r="B48" s="75"/>
      <c r="C48" s="76"/>
      <c r="D48" s="71" t="s">
        <v>310</v>
      </c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3"/>
      <c r="AA48" s="74" t="s">
        <v>347</v>
      </c>
      <c r="AB48" s="75"/>
      <c r="AC48" s="75"/>
      <c r="AD48" s="75"/>
      <c r="AE48" s="76"/>
      <c r="AF48" s="86">
        <v>14</v>
      </c>
      <c r="AG48" s="86"/>
      <c r="AH48" s="86"/>
      <c r="AI48" s="86"/>
      <c r="AJ48" s="86"/>
      <c r="AK48" s="86"/>
      <c r="AL48" s="68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69"/>
      <c r="BN48" s="69"/>
      <c r="BO48" s="69"/>
      <c r="BP48" s="70"/>
    </row>
    <row r="49" spans="1:68" s="1" customFormat="1" ht="30.75" customHeight="1">
      <c r="A49" s="74">
        <f t="shared" si="0"/>
        <v>41</v>
      </c>
      <c r="B49" s="75"/>
      <c r="C49" s="76"/>
      <c r="D49" s="71" t="s">
        <v>311</v>
      </c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3"/>
      <c r="AA49" s="74" t="s">
        <v>347</v>
      </c>
      <c r="AB49" s="75"/>
      <c r="AC49" s="75"/>
      <c r="AD49" s="75"/>
      <c r="AE49" s="76"/>
      <c r="AF49" s="86">
        <v>14</v>
      </c>
      <c r="AG49" s="86"/>
      <c r="AH49" s="86"/>
      <c r="AI49" s="141"/>
      <c r="AJ49" s="141"/>
      <c r="AK49" s="141"/>
      <c r="AL49" s="68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69"/>
      <c r="BN49" s="69"/>
      <c r="BO49" s="69"/>
      <c r="BP49" s="70"/>
    </row>
    <row r="50" spans="1:68" s="1" customFormat="1" ht="30.75" customHeight="1">
      <c r="A50" s="74">
        <f t="shared" si="0"/>
        <v>42</v>
      </c>
      <c r="B50" s="75"/>
      <c r="C50" s="76"/>
      <c r="D50" s="71" t="s">
        <v>1326</v>
      </c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3"/>
      <c r="AA50" s="74" t="s">
        <v>347</v>
      </c>
      <c r="AB50" s="75"/>
      <c r="AC50" s="75"/>
      <c r="AD50" s="75"/>
      <c r="AE50" s="76"/>
      <c r="AF50" s="86">
        <v>14</v>
      </c>
      <c r="AG50" s="86"/>
      <c r="AH50" s="86"/>
      <c r="AI50" s="86"/>
      <c r="AJ50" s="86"/>
      <c r="AK50" s="86"/>
      <c r="AL50" s="68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69"/>
      <c r="BN50" s="69"/>
      <c r="BO50" s="69"/>
      <c r="BP50" s="70"/>
    </row>
    <row r="51" spans="1:68" s="1" customFormat="1" ht="30.75" customHeight="1">
      <c r="A51" s="74">
        <f t="shared" si="0"/>
        <v>43</v>
      </c>
      <c r="B51" s="75"/>
      <c r="C51" s="76"/>
      <c r="D51" s="71" t="s">
        <v>312</v>
      </c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3"/>
      <c r="AA51" s="74" t="s">
        <v>347</v>
      </c>
      <c r="AB51" s="75"/>
      <c r="AC51" s="75"/>
      <c r="AD51" s="75"/>
      <c r="AE51" s="76"/>
      <c r="AF51" s="86">
        <v>14</v>
      </c>
      <c r="AG51" s="86"/>
      <c r="AH51" s="86"/>
      <c r="AI51" s="86"/>
      <c r="AJ51" s="86"/>
      <c r="AK51" s="86"/>
      <c r="AL51" s="68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69"/>
      <c r="BN51" s="69"/>
      <c r="BO51" s="69"/>
      <c r="BP51" s="70"/>
    </row>
    <row r="52" spans="1:68" s="1" customFormat="1" ht="30.75" customHeight="1">
      <c r="A52" s="74">
        <f t="shared" si="0"/>
        <v>44</v>
      </c>
      <c r="B52" s="75"/>
      <c r="C52" s="76"/>
      <c r="D52" s="71" t="s">
        <v>368</v>
      </c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3"/>
      <c r="AA52" s="74" t="s">
        <v>347</v>
      </c>
      <c r="AB52" s="75"/>
      <c r="AC52" s="75"/>
      <c r="AD52" s="75"/>
      <c r="AE52" s="76"/>
      <c r="AF52" s="86">
        <v>14</v>
      </c>
      <c r="AG52" s="86"/>
      <c r="AH52" s="86"/>
      <c r="AI52" s="74"/>
      <c r="AJ52" s="75"/>
      <c r="AK52" s="76"/>
      <c r="AL52" s="68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69"/>
      <c r="BN52" s="69"/>
      <c r="BO52" s="69"/>
      <c r="BP52" s="70"/>
    </row>
    <row r="53" spans="1:68" s="1" customFormat="1" ht="30.75" customHeight="1">
      <c r="A53" s="74">
        <f t="shared" si="0"/>
        <v>45</v>
      </c>
      <c r="B53" s="75"/>
      <c r="C53" s="76"/>
      <c r="D53" s="71" t="s">
        <v>314</v>
      </c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3"/>
      <c r="AA53" s="74" t="s">
        <v>347</v>
      </c>
      <c r="AB53" s="75"/>
      <c r="AC53" s="75"/>
      <c r="AD53" s="75"/>
      <c r="AE53" s="76"/>
      <c r="AF53" s="86">
        <v>14</v>
      </c>
      <c r="AG53" s="86"/>
      <c r="AH53" s="86"/>
      <c r="AI53" s="74"/>
      <c r="AJ53" s="75"/>
      <c r="AK53" s="76"/>
      <c r="AL53" s="68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  <c r="BP53" s="70"/>
    </row>
    <row r="54" spans="1:68" s="1" customFormat="1" ht="30.75" customHeight="1">
      <c r="A54" s="74">
        <f t="shared" si="0"/>
        <v>46</v>
      </c>
      <c r="B54" s="75"/>
      <c r="C54" s="76"/>
      <c r="D54" s="71" t="s">
        <v>315</v>
      </c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3"/>
      <c r="AA54" s="74" t="s">
        <v>347</v>
      </c>
      <c r="AB54" s="75"/>
      <c r="AC54" s="75"/>
      <c r="AD54" s="75"/>
      <c r="AE54" s="76"/>
      <c r="AF54" s="86">
        <v>14</v>
      </c>
      <c r="AG54" s="86"/>
      <c r="AH54" s="86"/>
      <c r="AI54" s="74"/>
      <c r="AJ54" s="75"/>
      <c r="AK54" s="76"/>
      <c r="AL54" s="68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69"/>
      <c r="BN54" s="69"/>
      <c r="BO54" s="69"/>
      <c r="BP54" s="70"/>
    </row>
    <row r="55" spans="1:68" s="1" customFormat="1" ht="30.75" customHeight="1">
      <c r="A55" s="74">
        <f t="shared" si="0"/>
        <v>47</v>
      </c>
      <c r="B55" s="75"/>
      <c r="C55" s="76"/>
      <c r="D55" s="71" t="s">
        <v>316</v>
      </c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3"/>
      <c r="AA55" s="74" t="s">
        <v>347</v>
      </c>
      <c r="AB55" s="75"/>
      <c r="AC55" s="75"/>
      <c r="AD55" s="75"/>
      <c r="AE55" s="76"/>
      <c r="AF55" s="86">
        <v>14</v>
      </c>
      <c r="AG55" s="86"/>
      <c r="AH55" s="86"/>
      <c r="AI55" s="74"/>
      <c r="AJ55" s="75"/>
      <c r="AK55" s="76"/>
      <c r="AL55" s="68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69"/>
      <c r="BN55" s="69"/>
      <c r="BO55" s="69"/>
      <c r="BP55" s="70"/>
    </row>
    <row r="56" spans="1:68" s="1" customFormat="1" ht="30.75" customHeight="1">
      <c r="A56" s="74">
        <f t="shared" si="0"/>
        <v>48</v>
      </c>
      <c r="B56" s="75"/>
      <c r="C56" s="76"/>
      <c r="D56" s="71" t="s">
        <v>317</v>
      </c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3"/>
      <c r="AA56" s="74" t="s">
        <v>347</v>
      </c>
      <c r="AB56" s="75"/>
      <c r="AC56" s="75"/>
      <c r="AD56" s="75"/>
      <c r="AE56" s="76"/>
      <c r="AF56" s="86">
        <v>14</v>
      </c>
      <c r="AG56" s="86"/>
      <c r="AH56" s="86"/>
      <c r="AI56" s="74"/>
      <c r="AJ56" s="75"/>
      <c r="AK56" s="76"/>
      <c r="AL56" s="68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69"/>
      <c r="BN56" s="69"/>
      <c r="BO56" s="69"/>
      <c r="BP56" s="70"/>
    </row>
    <row r="57" spans="1:68" s="1" customFormat="1" ht="30.75" customHeight="1">
      <c r="A57" s="74">
        <f t="shared" si="0"/>
        <v>49</v>
      </c>
      <c r="B57" s="75"/>
      <c r="C57" s="76"/>
      <c r="D57" s="71" t="s">
        <v>318</v>
      </c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3"/>
      <c r="AA57" s="74" t="s">
        <v>347</v>
      </c>
      <c r="AB57" s="75"/>
      <c r="AC57" s="75"/>
      <c r="AD57" s="75"/>
      <c r="AE57" s="76"/>
      <c r="AF57" s="86">
        <v>14</v>
      </c>
      <c r="AG57" s="86"/>
      <c r="AH57" s="86"/>
      <c r="AI57" s="74"/>
      <c r="AJ57" s="75"/>
      <c r="AK57" s="76"/>
      <c r="AL57" s="68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69"/>
      <c r="BN57" s="69"/>
      <c r="BO57" s="69"/>
      <c r="BP57" s="70"/>
    </row>
    <row r="58" spans="1:68" s="1" customFormat="1" ht="30.75" customHeight="1">
      <c r="A58" s="74">
        <f t="shared" si="0"/>
        <v>50</v>
      </c>
      <c r="B58" s="75"/>
      <c r="C58" s="76"/>
      <c r="D58" s="71" t="s">
        <v>369</v>
      </c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3"/>
      <c r="AA58" s="74" t="s">
        <v>347</v>
      </c>
      <c r="AB58" s="75"/>
      <c r="AC58" s="75"/>
      <c r="AD58" s="75"/>
      <c r="AE58" s="76"/>
      <c r="AF58" s="86">
        <v>14</v>
      </c>
      <c r="AG58" s="86"/>
      <c r="AH58" s="86"/>
      <c r="AI58" s="74"/>
      <c r="AJ58" s="75"/>
      <c r="AK58" s="76"/>
      <c r="AL58" s="68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  <c r="BP58" s="70"/>
    </row>
    <row r="59" spans="1:68" s="1" customFormat="1" ht="30.75" customHeight="1">
      <c r="A59" s="74">
        <f t="shared" si="0"/>
        <v>51</v>
      </c>
      <c r="B59" s="75"/>
      <c r="C59" s="76"/>
      <c r="D59" s="71" t="s">
        <v>320</v>
      </c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3"/>
      <c r="AA59" s="74" t="s">
        <v>347</v>
      </c>
      <c r="AB59" s="75"/>
      <c r="AC59" s="75"/>
      <c r="AD59" s="75"/>
      <c r="AE59" s="76"/>
      <c r="AF59" s="86">
        <v>14</v>
      </c>
      <c r="AG59" s="86"/>
      <c r="AH59" s="86"/>
      <c r="AI59" s="86"/>
      <c r="AJ59" s="86"/>
      <c r="AK59" s="86"/>
      <c r="AL59" s="68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  <c r="BM59" s="69"/>
      <c r="BN59" s="69"/>
      <c r="BO59" s="69"/>
      <c r="BP59" s="70"/>
    </row>
    <row r="60" spans="1:68" s="1" customFormat="1" ht="30.75" customHeight="1">
      <c r="A60" s="74">
        <f t="shared" si="0"/>
        <v>52</v>
      </c>
      <c r="B60" s="75"/>
      <c r="C60" s="76"/>
      <c r="D60" s="71" t="s">
        <v>321</v>
      </c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3"/>
      <c r="AA60" s="74" t="s">
        <v>347</v>
      </c>
      <c r="AB60" s="75"/>
      <c r="AC60" s="75"/>
      <c r="AD60" s="75"/>
      <c r="AE60" s="76"/>
      <c r="AF60" s="86">
        <v>14</v>
      </c>
      <c r="AG60" s="86"/>
      <c r="AH60" s="86"/>
      <c r="AI60" s="86"/>
      <c r="AJ60" s="86"/>
      <c r="AK60" s="86"/>
      <c r="AL60" s="68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69"/>
      <c r="BN60" s="69"/>
      <c r="BO60" s="69"/>
      <c r="BP60" s="70"/>
    </row>
    <row r="61" spans="1:68" s="1" customFormat="1" ht="30.75" customHeight="1">
      <c r="A61" s="74">
        <f t="shared" si="0"/>
        <v>53</v>
      </c>
      <c r="B61" s="75"/>
      <c r="C61" s="76"/>
      <c r="D61" s="71" t="s">
        <v>322</v>
      </c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3"/>
      <c r="AA61" s="74" t="s">
        <v>347</v>
      </c>
      <c r="AB61" s="75"/>
      <c r="AC61" s="75"/>
      <c r="AD61" s="75"/>
      <c r="AE61" s="76"/>
      <c r="AF61" s="86">
        <v>14</v>
      </c>
      <c r="AG61" s="86"/>
      <c r="AH61" s="86"/>
      <c r="AI61" s="74"/>
      <c r="AJ61" s="75"/>
      <c r="AK61" s="76"/>
      <c r="AL61" s="68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69"/>
      <c r="BN61" s="69"/>
      <c r="BO61" s="69"/>
      <c r="BP61" s="70"/>
    </row>
    <row r="62" spans="1:68" s="1" customFormat="1" ht="30.75" customHeight="1">
      <c r="A62" s="74">
        <f t="shared" si="0"/>
        <v>54</v>
      </c>
      <c r="B62" s="75"/>
      <c r="C62" s="76"/>
      <c r="D62" s="71" t="s">
        <v>323</v>
      </c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3"/>
      <c r="AA62" s="74" t="s">
        <v>347</v>
      </c>
      <c r="AB62" s="75"/>
      <c r="AC62" s="75"/>
      <c r="AD62" s="75"/>
      <c r="AE62" s="76"/>
      <c r="AF62" s="86">
        <v>14</v>
      </c>
      <c r="AG62" s="86"/>
      <c r="AH62" s="86"/>
      <c r="AI62" s="74"/>
      <c r="AJ62" s="75"/>
      <c r="AK62" s="76"/>
      <c r="AL62" s="68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9"/>
      <c r="BF62" s="69"/>
      <c r="BG62" s="69"/>
      <c r="BH62" s="69"/>
      <c r="BI62" s="69"/>
      <c r="BJ62" s="69"/>
      <c r="BK62" s="69"/>
      <c r="BL62" s="69"/>
      <c r="BM62" s="69"/>
      <c r="BN62" s="69"/>
      <c r="BO62" s="69"/>
      <c r="BP62" s="70"/>
    </row>
    <row r="63" spans="1:68" s="1" customFormat="1" ht="30.75" customHeight="1">
      <c r="A63" s="74">
        <f t="shared" si="0"/>
        <v>55</v>
      </c>
      <c r="B63" s="75"/>
      <c r="C63" s="76"/>
      <c r="D63" s="71" t="s">
        <v>370</v>
      </c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3"/>
      <c r="AA63" s="74" t="s">
        <v>347</v>
      </c>
      <c r="AB63" s="75"/>
      <c r="AC63" s="75"/>
      <c r="AD63" s="75"/>
      <c r="AE63" s="76"/>
      <c r="AF63" s="86">
        <v>14</v>
      </c>
      <c r="AG63" s="86"/>
      <c r="AH63" s="86"/>
      <c r="AI63" s="74"/>
      <c r="AJ63" s="75"/>
      <c r="AK63" s="76"/>
      <c r="AL63" s="68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  <c r="BM63" s="69"/>
      <c r="BN63" s="69"/>
      <c r="BO63" s="69"/>
      <c r="BP63" s="70"/>
    </row>
    <row r="64" spans="1:68" s="1" customFormat="1" ht="30.75" customHeight="1">
      <c r="A64" s="74">
        <f t="shared" si="0"/>
        <v>56</v>
      </c>
      <c r="B64" s="75"/>
      <c r="C64" s="76"/>
      <c r="D64" s="71" t="s">
        <v>325</v>
      </c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3"/>
      <c r="AA64" s="74" t="s">
        <v>347</v>
      </c>
      <c r="AB64" s="75"/>
      <c r="AC64" s="75"/>
      <c r="AD64" s="75"/>
      <c r="AE64" s="76"/>
      <c r="AF64" s="86">
        <v>14</v>
      </c>
      <c r="AG64" s="86"/>
      <c r="AH64" s="86"/>
      <c r="AI64" s="74"/>
      <c r="AJ64" s="75"/>
      <c r="AK64" s="76"/>
      <c r="AL64" s="68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69"/>
      <c r="BN64" s="69"/>
      <c r="BO64" s="69"/>
      <c r="BP64" s="70"/>
    </row>
    <row r="65" spans="1:68" s="1" customFormat="1" ht="30.75" customHeight="1">
      <c r="A65" s="74">
        <f t="shared" si="0"/>
        <v>57</v>
      </c>
      <c r="B65" s="75"/>
      <c r="C65" s="76"/>
      <c r="D65" s="71" t="s">
        <v>326</v>
      </c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3"/>
      <c r="AA65" s="74" t="s">
        <v>347</v>
      </c>
      <c r="AB65" s="75"/>
      <c r="AC65" s="75"/>
      <c r="AD65" s="75"/>
      <c r="AE65" s="76"/>
      <c r="AF65" s="86">
        <v>14</v>
      </c>
      <c r="AG65" s="86"/>
      <c r="AH65" s="86"/>
      <c r="AI65" s="86"/>
      <c r="AJ65" s="86"/>
      <c r="AK65" s="86"/>
      <c r="AL65" s="68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69"/>
      <c r="BN65" s="69"/>
      <c r="BO65" s="69"/>
      <c r="BP65" s="70"/>
    </row>
    <row r="66" spans="1:68" s="1" customFormat="1" ht="30.75" customHeight="1">
      <c r="A66" s="74">
        <f t="shared" si="0"/>
        <v>58</v>
      </c>
      <c r="B66" s="75"/>
      <c r="C66" s="76"/>
      <c r="D66" s="71" t="s">
        <v>1331</v>
      </c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3"/>
      <c r="AA66" s="74" t="s">
        <v>347</v>
      </c>
      <c r="AB66" s="75"/>
      <c r="AC66" s="75"/>
      <c r="AD66" s="75"/>
      <c r="AE66" s="76"/>
      <c r="AF66" s="86">
        <v>14</v>
      </c>
      <c r="AG66" s="86"/>
      <c r="AH66" s="86"/>
      <c r="AI66" s="86"/>
      <c r="AJ66" s="86"/>
      <c r="AK66" s="86"/>
      <c r="AL66" s="68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  <c r="BM66" s="69"/>
      <c r="BN66" s="69"/>
      <c r="BO66" s="69"/>
      <c r="BP66" s="70"/>
    </row>
    <row r="67" spans="1:68" s="1" customFormat="1" ht="30.75" customHeight="1">
      <c r="A67" s="74">
        <f t="shared" si="0"/>
        <v>59</v>
      </c>
      <c r="B67" s="75"/>
      <c r="C67" s="76"/>
      <c r="D67" s="71" t="s">
        <v>631</v>
      </c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3"/>
      <c r="AA67" s="74" t="s">
        <v>347</v>
      </c>
      <c r="AB67" s="75"/>
      <c r="AC67" s="75"/>
      <c r="AD67" s="75"/>
      <c r="AE67" s="76"/>
      <c r="AF67" s="86">
        <v>14</v>
      </c>
      <c r="AG67" s="86"/>
      <c r="AH67" s="86"/>
      <c r="AI67" s="86"/>
      <c r="AJ67" s="86"/>
      <c r="AK67" s="86"/>
      <c r="AL67" s="68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  <c r="BM67" s="69"/>
      <c r="BN67" s="69"/>
      <c r="BO67" s="69"/>
      <c r="BP67" s="70"/>
    </row>
    <row r="68" spans="1:68" s="1" customFormat="1" ht="30.75" customHeight="1">
      <c r="A68" s="74">
        <f t="shared" si="0"/>
        <v>60</v>
      </c>
      <c r="B68" s="75"/>
      <c r="C68" s="76"/>
      <c r="D68" s="71" t="s">
        <v>371</v>
      </c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3"/>
      <c r="AA68" s="74" t="s">
        <v>347</v>
      </c>
      <c r="AB68" s="75"/>
      <c r="AC68" s="75"/>
      <c r="AD68" s="75"/>
      <c r="AE68" s="76"/>
      <c r="AF68" s="74">
        <v>14</v>
      </c>
      <c r="AG68" s="75"/>
      <c r="AH68" s="76"/>
      <c r="AI68" s="74"/>
      <c r="AJ68" s="75"/>
      <c r="AK68" s="76"/>
      <c r="AL68" s="68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  <c r="BM68" s="69"/>
      <c r="BN68" s="69"/>
      <c r="BO68" s="69"/>
      <c r="BP68" s="70"/>
    </row>
    <row r="69" spans="1:68" s="1" customFormat="1" ht="30.75" customHeight="1">
      <c r="A69" s="74">
        <f t="shared" si="0"/>
        <v>61</v>
      </c>
      <c r="B69" s="75"/>
      <c r="C69" s="76"/>
      <c r="D69" s="71" t="s">
        <v>372</v>
      </c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3"/>
      <c r="AA69" s="74" t="s">
        <v>347</v>
      </c>
      <c r="AB69" s="75"/>
      <c r="AC69" s="75"/>
      <c r="AD69" s="75"/>
      <c r="AE69" s="76"/>
      <c r="AF69" s="74">
        <v>14</v>
      </c>
      <c r="AG69" s="75"/>
      <c r="AH69" s="76"/>
      <c r="AI69" s="74"/>
      <c r="AJ69" s="75"/>
      <c r="AK69" s="76"/>
      <c r="AL69" s="68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69"/>
      <c r="BN69" s="69"/>
      <c r="BO69" s="69"/>
      <c r="BP69" s="70"/>
    </row>
    <row r="70" spans="1:68" s="1" customFormat="1" ht="30.75" customHeight="1">
      <c r="A70" s="74">
        <f t="shared" si="0"/>
        <v>62</v>
      </c>
      <c r="B70" s="75"/>
      <c r="C70" s="76"/>
      <c r="D70" s="71" t="s">
        <v>373</v>
      </c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3"/>
      <c r="AA70" s="74" t="s">
        <v>347</v>
      </c>
      <c r="AB70" s="75"/>
      <c r="AC70" s="75"/>
      <c r="AD70" s="75"/>
      <c r="AE70" s="76"/>
      <c r="AF70" s="74">
        <v>14</v>
      </c>
      <c r="AG70" s="75"/>
      <c r="AH70" s="76"/>
      <c r="AI70" s="74"/>
      <c r="AJ70" s="75"/>
      <c r="AK70" s="76"/>
      <c r="AL70" s="68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69"/>
      <c r="BN70" s="69"/>
      <c r="BO70" s="69"/>
      <c r="BP70" s="70"/>
    </row>
    <row r="71" spans="1:68" s="1" customFormat="1" ht="30.75" customHeight="1">
      <c r="A71" s="74">
        <f t="shared" si="0"/>
        <v>63</v>
      </c>
      <c r="B71" s="75"/>
      <c r="C71" s="76"/>
      <c r="D71" s="71" t="s">
        <v>374</v>
      </c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3"/>
      <c r="AA71" s="74" t="s">
        <v>275</v>
      </c>
      <c r="AB71" s="75"/>
      <c r="AC71" s="75"/>
      <c r="AD71" s="75"/>
      <c r="AE71" s="76"/>
      <c r="AF71" s="74"/>
      <c r="AG71" s="75"/>
      <c r="AH71" s="76"/>
      <c r="AI71" s="74"/>
      <c r="AJ71" s="75"/>
      <c r="AK71" s="76"/>
      <c r="AL71" s="68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  <c r="BM71" s="69"/>
      <c r="BN71" s="69"/>
      <c r="BO71" s="69"/>
      <c r="BP71" s="70"/>
    </row>
    <row r="72" spans="1:68" s="1" customFormat="1" ht="30.75" customHeight="1">
      <c r="A72" s="74">
        <f t="shared" si="0"/>
        <v>64</v>
      </c>
      <c r="B72" s="75"/>
      <c r="C72" s="76"/>
      <c r="D72" s="71" t="s">
        <v>375</v>
      </c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3"/>
      <c r="AA72" s="74" t="s">
        <v>347</v>
      </c>
      <c r="AB72" s="75"/>
      <c r="AC72" s="75"/>
      <c r="AD72" s="75"/>
      <c r="AE72" s="76"/>
      <c r="AF72" s="74">
        <v>14</v>
      </c>
      <c r="AG72" s="75"/>
      <c r="AH72" s="76"/>
      <c r="AI72" s="74"/>
      <c r="AJ72" s="75"/>
      <c r="AK72" s="76"/>
      <c r="AL72" s="68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69"/>
      <c r="BN72" s="69"/>
      <c r="BO72" s="69"/>
      <c r="BP72" s="70"/>
    </row>
    <row r="73" spans="1:68" s="1" customFormat="1" ht="30.75" customHeight="1">
      <c r="A73" s="74">
        <f t="shared" si="0"/>
        <v>65</v>
      </c>
      <c r="B73" s="75"/>
      <c r="C73" s="76"/>
      <c r="D73" s="71" t="s">
        <v>376</v>
      </c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3"/>
      <c r="AA73" s="74" t="s">
        <v>347</v>
      </c>
      <c r="AB73" s="75"/>
      <c r="AC73" s="75"/>
      <c r="AD73" s="75"/>
      <c r="AE73" s="76"/>
      <c r="AF73" s="74">
        <v>14</v>
      </c>
      <c r="AG73" s="75"/>
      <c r="AH73" s="76"/>
      <c r="AI73" s="74"/>
      <c r="AJ73" s="75"/>
      <c r="AK73" s="76"/>
      <c r="AL73" s="68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69"/>
      <c r="BO73" s="69"/>
      <c r="BP73" s="70"/>
    </row>
    <row r="74" spans="1:68" s="1" customFormat="1" ht="30.75" customHeight="1">
      <c r="A74" s="74">
        <f t="shared" si="0"/>
        <v>66</v>
      </c>
      <c r="B74" s="75"/>
      <c r="C74" s="76"/>
      <c r="D74" s="71" t="s">
        <v>377</v>
      </c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3"/>
      <c r="AA74" s="74" t="s">
        <v>347</v>
      </c>
      <c r="AB74" s="75"/>
      <c r="AC74" s="75"/>
      <c r="AD74" s="75"/>
      <c r="AE74" s="76"/>
      <c r="AF74" s="74">
        <v>14</v>
      </c>
      <c r="AG74" s="75"/>
      <c r="AH74" s="76"/>
      <c r="AI74" s="74"/>
      <c r="AJ74" s="75"/>
      <c r="AK74" s="76"/>
      <c r="AL74" s="68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  <c r="BC74" s="69"/>
      <c r="BD74" s="69"/>
      <c r="BE74" s="69"/>
      <c r="BF74" s="69"/>
      <c r="BG74" s="69"/>
      <c r="BH74" s="69"/>
      <c r="BI74" s="69"/>
      <c r="BJ74" s="69"/>
      <c r="BK74" s="69"/>
      <c r="BL74" s="69"/>
      <c r="BM74" s="69"/>
      <c r="BN74" s="69"/>
      <c r="BO74" s="69"/>
      <c r="BP74" s="70"/>
    </row>
    <row r="75" spans="1:68" s="1" customFormat="1" ht="30.75" customHeight="1">
      <c r="A75" s="74">
        <f t="shared" si="0"/>
        <v>67</v>
      </c>
      <c r="B75" s="75"/>
      <c r="C75" s="76"/>
      <c r="D75" s="71" t="s">
        <v>378</v>
      </c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3"/>
      <c r="AA75" s="74" t="s">
        <v>347</v>
      </c>
      <c r="AB75" s="75"/>
      <c r="AC75" s="75"/>
      <c r="AD75" s="75"/>
      <c r="AE75" s="76"/>
      <c r="AF75" s="86">
        <v>14</v>
      </c>
      <c r="AG75" s="86"/>
      <c r="AH75" s="86"/>
      <c r="AI75" s="86"/>
      <c r="AJ75" s="86"/>
      <c r="AK75" s="86"/>
      <c r="AL75" s="68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69"/>
      <c r="BE75" s="69"/>
      <c r="BF75" s="69"/>
      <c r="BG75" s="69"/>
      <c r="BH75" s="69"/>
      <c r="BI75" s="69"/>
      <c r="BJ75" s="69"/>
      <c r="BK75" s="69"/>
      <c r="BL75" s="69"/>
      <c r="BM75" s="69"/>
      <c r="BN75" s="69"/>
      <c r="BO75" s="69"/>
      <c r="BP75" s="70"/>
    </row>
    <row r="76" spans="1:68" s="1" customFormat="1" ht="30.75" customHeight="1">
      <c r="A76" s="74">
        <f t="shared" si="0"/>
        <v>68</v>
      </c>
      <c r="B76" s="75"/>
      <c r="C76" s="76"/>
      <c r="D76" s="71" t="s">
        <v>379</v>
      </c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3"/>
      <c r="AA76" s="74" t="s">
        <v>347</v>
      </c>
      <c r="AB76" s="75"/>
      <c r="AC76" s="75"/>
      <c r="AD76" s="75"/>
      <c r="AE76" s="76"/>
      <c r="AF76" s="86">
        <v>14</v>
      </c>
      <c r="AG76" s="86"/>
      <c r="AH76" s="86"/>
      <c r="AI76" s="86"/>
      <c r="AJ76" s="86"/>
      <c r="AK76" s="86"/>
      <c r="AL76" s="68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  <c r="BM76" s="69"/>
      <c r="BN76" s="69"/>
      <c r="BO76" s="69"/>
      <c r="BP76" s="70"/>
    </row>
    <row r="77" spans="1:68" s="1" customFormat="1" ht="30.75" customHeight="1">
      <c r="A77" s="74">
        <f t="shared" ref="A77:A96" si="1">ROW()-8</f>
        <v>69</v>
      </c>
      <c r="B77" s="75"/>
      <c r="C77" s="76"/>
      <c r="D77" s="71" t="s">
        <v>380</v>
      </c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3"/>
      <c r="AA77" s="74" t="s">
        <v>347</v>
      </c>
      <c r="AB77" s="75"/>
      <c r="AC77" s="75"/>
      <c r="AD77" s="75"/>
      <c r="AE77" s="76"/>
      <c r="AF77" s="86">
        <v>14</v>
      </c>
      <c r="AG77" s="86"/>
      <c r="AH77" s="86"/>
      <c r="AI77" s="86"/>
      <c r="AJ77" s="86"/>
      <c r="AK77" s="86"/>
      <c r="AL77" s="68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69"/>
      <c r="BG77" s="69"/>
      <c r="BH77" s="69"/>
      <c r="BI77" s="69"/>
      <c r="BJ77" s="69"/>
      <c r="BK77" s="69"/>
      <c r="BL77" s="69"/>
      <c r="BM77" s="69"/>
      <c r="BN77" s="69"/>
      <c r="BO77" s="69"/>
      <c r="BP77" s="70"/>
    </row>
    <row r="78" spans="1:68" s="1" customFormat="1" ht="30.75" customHeight="1">
      <c r="A78" s="74">
        <f t="shared" si="1"/>
        <v>70</v>
      </c>
      <c r="B78" s="75"/>
      <c r="C78" s="76"/>
      <c r="D78" s="71" t="s">
        <v>381</v>
      </c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3"/>
      <c r="AA78" s="74" t="s">
        <v>275</v>
      </c>
      <c r="AB78" s="75"/>
      <c r="AC78" s="75"/>
      <c r="AD78" s="75"/>
      <c r="AE78" s="76"/>
      <c r="AF78" s="86"/>
      <c r="AG78" s="86"/>
      <c r="AH78" s="86"/>
      <c r="AI78" s="86"/>
      <c r="AJ78" s="86"/>
      <c r="AK78" s="86"/>
      <c r="AL78" s="68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69"/>
      <c r="BJ78" s="69"/>
      <c r="BK78" s="69"/>
      <c r="BL78" s="69"/>
      <c r="BM78" s="69"/>
      <c r="BN78" s="69"/>
      <c r="BO78" s="69"/>
      <c r="BP78" s="70"/>
    </row>
    <row r="79" spans="1:68" s="1" customFormat="1" ht="30.75" customHeight="1">
      <c r="A79" s="74">
        <f t="shared" si="1"/>
        <v>71</v>
      </c>
      <c r="B79" s="75"/>
      <c r="C79" s="76"/>
      <c r="D79" s="71" t="s">
        <v>382</v>
      </c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3"/>
      <c r="AA79" s="74" t="s">
        <v>347</v>
      </c>
      <c r="AB79" s="75"/>
      <c r="AC79" s="75"/>
      <c r="AD79" s="75"/>
      <c r="AE79" s="76"/>
      <c r="AF79" s="86">
        <v>14</v>
      </c>
      <c r="AG79" s="86"/>
      <c r="AH79" s="86"/>
      <c r="AI79" s="86"/>
      <c r="AJ79" s="86"/>
      <c r="AK79" s="86"/>
      <c r="AL79" s="83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5"/>
    </row>
    <row r="80" spans="1:68" s="1" customFormat="1" ht="30.75" customHeight="1">
      <c r="A80" s="80">
        <f t="shared" si="1"/>
        <v>72</v>
      </c>
      <c r="B80" s="81"/>
      <c r="C80" s="82"/>
      <c r="D80" s="71" t="s">
        <v>1348</v>
      </c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3"/>
      <c r="AA80" s="74" t="s">
        <v>347</v>
      </c>
      <c r="AB80" s="75"/>
      <c r="AC80" s="75"/>
      <c r="AD80" s="75"/>
      <c r="AE80" s="76"/>
      <c r="AF80" s="91">
        <v>14</v>
      </c>
      <c r="AG80" s="91"/>
      <c r="AH80" s="91"/>
      <c r="AI80" s="91"/>
      <c r="AJ80" s="91"/>
      <c r="AK80" s="91"/>
      <c r="AL80" s="83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5"/>
    </row>
    <row r="81" spans="1:68" s="1" customFormat="1" ht="30.75" customHeight="1">
      <c r="A81" s="74">
        <f t="shared" si="1"/>
        <v>73</v>
      </c>
      <c r="B81" s="75"/>
      <c r="C81" s="76"/>
      <c r="D81" s="71" t="s">
        <v>383</v>
      </c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3"/>
      <c r="AA81" s="74" t="s">
        <v>347</v>
      </c>
      <c r="AB81" s="75"/>
      <c r="AC81" s="75"/>
      <c r="AD81" s="75"/>
      <c r="AE81" s="76"/>
      <c r="AF81" s="86">
        <v>14</v>
      </c>
      <c r="AG81" s="86"/>
      <c r="AH81" s="86"/>
      <c r="AI81" s="86"/>
      <c r="AJ81" s="86"/>
      <c r="AK81" s="86"/>
      <c r="AL81" s="68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69"/>
      <c r="BE81" s="69"/>
      <c r="BF81" s="69"/>
      <c r="BG81" s="69"/>
      <c r="BH81" s="69"/>
      <c r="BI81" s="69"/>
      <c r="BJ81" s="69"/>
      <c r="BK81" s="69"/>
      <c r="BL81" s="69"/>
      <c r="BM81" s="69"/>
      <c r="BN81" s="69"/>
      <c r="BO81" s="69"/>
      <c r="BP81" s="70"/>
    </row>
    <row r="82" spans="1:68" s="1" customFormat="1" ht="30.75" customHeight="1">
      <c r="A82" s="74">
        <f t="shared" si="1"/>
        <v>74</v>
      </c>
      <c r="B82" s="75"/>
      <c r="C82" s="76"/>
      <c r="D82" s="71" t="s">
        <v>1349</v>
      </c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3"/>
      <c r="AA82" s="74" t="s">
        <v>347</v>
      </c>
      <c r="AB82" s="75"/>
      <c r="AC82" s="75"/>
      <c r="AD82" s="75"/>
      <c r="AE82" s="76"/>
      <c r="AF82" s="86">
        <v>14</v>
      </c>
      <c r="AG82" s="86"/>
      <c r="AH82" s="86"/>
      <c r="AI82" s="86"/>
      <c r="AJ82" s="86"/>
      <c r="AK82" s="86"/>
      <c r="AL82" s="68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69"/>
      <c r="BE82" s="69"/>
      <c r="BF82" s="69"/>
      <c r="BG82" s="69"/>
      <c r="BH82" s="69"/>
      <c r="BI82" s="69"/>
      <c r="BJ82" s="69"/>
      <c r="BK82" s="69"/>
      <c r="BL82" s="69"/>
      <c r="BM82" s="69"/>
      <c r="BN82" s="69"/>
      <c r="BO82" s="69"/>
      <c r="BP82" s="70"/>
    </row>
    <row r="83" spans="1:68" s="1" customFormat="1" ht="30.75" customHeight="1">
      <c r="A83" s="74">
        <f t="shared" si="1"/>
        <v>75</v>
      </c>
      <c r="B83" s="75"/>
      <c r="C83" s="76"/>
      <c r="D83" s="71" t="s">
        <v>384</v>
      </c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3"/>
      <c r="AA83" s="74" t="s">
        <v>347</v>
      </c>
      <c r="AB83" s="75"/>
      <c r="AC83" s="75"/>
      <c r="AD83" s="75"/>
      <c r="AE83" s="76"/>
      <c r="AF83" s="86">
        <v>14</v>
      </c>
      <c r="AG83" s="86"/>
      <c r="AH83" s="86"/>
      <c r="AI83" s="86"/>
      <c r="AJ83" s="86"/>
      <c r="AK83" s="86"/>
      <c r="AL83" s="68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  <c r="BH83" s="69"/>
      <c r="BI83" s="69"/>
      <c r="BJ83" s="69"/>
      <c r="BK83" s="69"/>
      <c r="BL83" s="69"/>
      <c r="BM83" s="69"/>
      <c r="BN83" s="69"/>
      <c r="BO83" s="69"/>
      <c r="BP83" s="70"/>
    </row>
    <row r="84" spans="1:68" s="1" customFormat="1" ht="30.75" customHeight="1">
      <c r="A84" s="74">
        <f t="shared" si="1"/>
        <v>76</v>
      </c>
      <c r="B84" s="75"/>
      <c r="C84" s="76"/>
      <c r="D84" s="71" t="s">
        <v>1350</v>
      </c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3"/>
      <c r="AA84" s="74" t="s">
        <v>347</v>
      </c>
      <c r="AB84" s="75"/>
      <c r="AC84" s="75"/>
      <c r="AD84" s="75"/>
      <c r="AE84" s="76"/>
      <c r="AF84" s="86">
        <v>14</v>
      </c>
      <c r="AG84" s="86"/>
      <c r="AH84" s="86"/>
      <c r="AI84" s="86"/>
      <c r="AJ84" s="86"/>
      <c r="AK84" s="86"/>
      <c r="AL84" s="68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  <c r="BC84" s="69"/>
      <c r="BD84" s="69"/>
      <c r="BE84" s="69"/>
      <c r="BF84" s="69"/>
      <c r="BG84" s="69"/>
      <c r="BH84" s="69"/>
      <c r="BI84" s="69"/>
      <c r="BJ84" s="69"/>
      <c r="BK84" s="69"/>
      <c r="BL84" s="69"/>
      <c r="BM84" s="69"/>
      <c r="BN84" s="69"/>
      <c r="BO84" s="69"/>
      <c r="BP84" s="70"/>
    </row>
    <row r="85" spans="1:68" s="1" customFormat="1" ht="30.75" customHeight="1">
      <c r="A85" s="74">
        <f t="shared" si="1"/>
        <v>77</v>
      </c>
      <c r="B85" s="75"/>
      <c r="C85" s="76"/>
      <c r="D85" s="71" t="s">
        <v>385</v>
      </c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3"/>
      <c r="AA85" s="74" t="s">
        <v>275</v>
      </c>
      <c r="AB85" s="75"/>
      <c r="AC85" s="75"/>
      <c r="AD85" s="75"/>
      <c r="AE85" s="76"/>
      <c r="AF85" s="86"/>
      <c r="AG85" s="86"/>
      <c r="AH85" s="86"/>
      <c r="AI85" s="86"/>
      <c r="AJ85" s="86"/>
      <c r="AK85" s="86"/>
      <c r="AL85" s="68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  <c r="BC85" s="69"/>
      <c r="BD85" s="69"/>
      <c r="BE85" s="69"/>
      <c r="BF85" s="69"/>
      <c r="BG85" s="69"/>
      <c r="BH85" s="69"/>
      <c r="BI85" s="69"/>
      <c r="BJ85" s="69"/>
      <c r="BK85" s="69"/>
      <c r="BL85" s="69"/>
      <c r="BM85" s="69"/>
      <c r="BN85" s="69"/>
      <c r="BO85" s="69"/>
      <c r="BP85" s="70"/>
    </row>
    <row r="86" spans="1:68" s="1" customFormat="1" ht="30.75" customHeight="1">
      <c r="A86" s="74">
        <f t="shared" si="1"/>
        <v>78</v>
      </c>
      <c r="B86" s="75"/>
      <c r="C86" s="76"/>
      <c r="D86" s="71" t="s">
        <v>386</v>
      </c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3"/>
      <c r="AA86" s="74" t="s">
        <v>347</v>
      </c>
      <c r="AB86" s="75"/>
      <c r="AC86" s="75"/>
      <c r="AD86" s="75"/>
      <c r="AE86" s="76"/>
      <c r="AF86" s="86">
        <v>14</v>
      </c>
      <c r="AG86" s="86"/>
      <c r="AH86" s="86"/>
      <c r="AI86" s="86"/>
      <c r="AJ86" s="86"/>
      <c r="AK86" s="86"/>
      <c r="AL86" s="68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69"/>
      <c r="BM86" s="69"/>
      <c r="BN86" s="69"/>
      <c r="BO86" s="69"/>
      <c r="BP86" s="70"/>
    </row>
    <row r="87" spans="1:68" s="1" customFormat="1" ht="30.75" customHeight="1">
      <c r="A87" s="74">
        <f t="shared" si="1"/>
        <v>79</v>
      </c>
      <c r="B87" s="75"/>
      <c r="C87" s="76"/>
      <c r="D87" s="71" t="s">
        <v>323</v>
      </c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3"/>
      <c r="AA87" s="74" t="s">
        <v>347</v>
      </c>
      <c r="AB87" s="75"/>
      <c r="AC87" s="75"/>
      <c r="AD87" s="75"/>
      <c r="AE87" s="76"/>
      <c r="AF87" s="86">
        <v>14</v>
      </c>
      <c r="AG87" s="86"/>
      <c r="AH87" s="86"/>
      <c r="AI87" s="86"/>
      <c r="AJ87" s="86"/>
      <c r="AK87" s="86"/>
      <c r="AL87" s="68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69"/>
      <c r="BH87" s="69"/>
      <c r="BI87" s="69"/>
      <c r="BJ87" s="69"/>
      <c r="BK87" s="69"/>
      <c r="BL87" s="69"/>
      <c r="BM87" s="69"/>
      <c r="BN87" s="69"/>
      <c r="BO87" s="69"/>
      <c r="BP87" s="70"/>
    </row>
    <row r="88" spans="1:68" s="1" customFormat="1" ht="30.75" customHeight="1">
      <c r="A88" s="74">
        <f t="shared" si="1"/>
        <v>80</v>
      </c>
      <c r="B88" s="75"/>
      <c r="C88" s="76"/>
      <c r="D88" s="71" t="s">
        <v>387</v>
      </c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3"/>
      <c r="AA88" s="74" t="s">
        <v>347</v>
      </c>
      <c r="AB88" s="75"/>
      <c r="AC88" s="75"/>
      <c r="AD88" s="75"/>
      <c r="AE88" s="76"/>
      <c r="AF88" s="86">
        <v>14</v>
      </c>
      <c r="AG88" s="86"/>
      <c r="AH88" s="86"/>
      <c r="AI88" s="86"/>
      <c r="AJ88" s="86"/>
      <c r="AK88" s="86"/>
      <c r="AL88" s="68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  <c r="BM88" s="69"/>
      <c r="BN88" s="69"/>
      <c r="BO88" s="69"/>
      <c r="BP88" s="70"/>
    </row>
    <row r="89" spans="1:68" s="1" customFormat="1" ht="30.75" customHeight="1">
      <c r="A89" s="74">
        <f t="shared" si="1"/>
        <v>81</v>
      </c>
      <c r="B89" s="75"/>
      <c r="C89" s="76"/>
      <c r="D89" s="71" t="s">
        <v>339</v>
      </c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3"/>
      <c r="AA89" s="74" t="s">
        <v>347</v>
      </c>
      <c r="AB89" s="75"/>
      <c r="AC89" s="75"/>
      <c r="AD89" s="75"/>
      <c r="AE89" s="76"/>
      <c r="AF89" s="74">
        <v>14</v>
      </c>
      <c r="AG89" s="75"/>
      <c r="AH89" s="76"/>
      <c r="AI89" s="74"/>
      <c r="AJ89" s="75"/>
      <c r="AK89" s="76"/>
      <c r="AL89" s="68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9"/>
      <c r="BJ89" s="69"/>
      <c r="BK89" s="69"/>
      <c r="BL89" s="69"/>
      <c r="BM89" s="69"/>
      <c r="BN89" s="69"/>
      <c r="BO89" s="69"/>
      <c r="BP89" s="70"/>
    </row>
    <row r="90" spans="1:68" s="1" customFormat="1" ht="30.75" customHeight="1">
      <c r="A90" s="74">
        <f t="shared" si="1"/>
        <v>82</v>
      </c>
      <c r="B90" s="75"/>
      <c r="C90" s="76"/>
      <c r="D90" s="71" t="s">
        <v>341</v>
      </c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3"/>
      <c r="AA90" s="74" t="s">
        <v>347</v>
      </c>
      <c r="AB90" s="75"/>
      <c r="AC90" s="75"/>
      <c r="AD90" s="75"/>
      <c r="AE90" s="76"/>
      <c r="AF90" s="74">
        <v>14</v>
      </c>
      <c r="AG90" s="75"/>
      <c r="AH90" s="76"/>
      <c r="AI90" s="74"/>
      <c r="AJ90" s="75"/>
      <c r="AK90" s="76"/>
      <c r="AL90" s="68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69"/>
      <c r="BH90" s="69"/>
      <c r="BI90" s="69"/>
      <c r="BJ90" s="69"/>
      <c r="BK90" s="69"/>
      <c r="BL90" s="69"/>
      <c r="BM90" s="69"/>
      <c r="BN90" s="69"/>
      <c r="BO90" s="69"/>
      <c r="BP90" s="70"/>
    </row>
    <row r="91" spans="1:68" s="1" customFormat="1" ht="30.75" customHeight="1">
      <c r="A91" s="74">
        <f t="shared" si="1"/>
        <v>83</v>
      </c>
      <c r="B91" s="75"/>
      <c r="C91" s="76"/>
      <c r="D91" s="71" t="s">
        <v>342</v>
      </c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3"/>
      <c r="AA91" s="74" t="s">
        <v>347</v>
      </c>
      <c r="AB91" s="75"/>
      <c r="AC91" s="75"/>
      <c r="AD91" s="75"/>
      <c r="AE91" s="76"/>
      <c r="AF91" s="74">
        <v>14</v>
      </c>
      <c r="AG91" s="75"/>
      <c r="AH91" s="76"/>
      <c r="AI91" s="74"/>
      <c r="AJ91" s="75"/>
      <c r="AK91" s="76"/>
      <c r="AL91" s="68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69"/>
      <c r="BH91" s="69"/>
      <c r="BI91" s="69"/>
      <c r="BJ91" s="69"/>
      <c r="BK91" s="69"/>
      <c r="BL91" s="69"/>
      <c r="BM91" s="69"/>
      <c r="BN91" s="69"/>
      <c r="BO91" s="69"/>
      <c r="BP91" s="70"/>
    </row>
    <row r="92" spans="1:68" s="1" customFormat="1" ht="30.75" customHeight="1">
      <c r="A92" s="74">
        <f t="shared" si="1"/>
        <v>84</v>
      </c>
      <c r="B92" s="75"/>
      <c r="C92" s="76"/>
      <c r="D92" s="71" t="s">
        <v>388</v>
      </c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3"/>
      <c r="AA92" s="74" t="s">
        <v>347</v>
      </c>
      <c r="AB92" s="75"/>
      <c r="AC92" s="75"/>
      <c r="AD92" s="75"/>
      <c r="AE92" s="76"/>
      <c r="AF92" s="74">
        <v>14</v>
      </c>
      <c r="AG92" s="75"/>
      <c r="AH92" s="76"/>
      <c r="AI92" s="74"/>
      <c r="AJ92" s="75"/>
      <c r="AK92" s="76"/>
      <c r="AL92" s="68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  <c r="BC92" s="69"/>
      <c r="BD92" s="69"/>
      <c r="BE92" s="69"/>
      <c r="BF92" s="69"/>
      <c r="BG92" s="69"/>
      <c r="BH92" s="69"/>
      <c r="BI92" s="69"/>
      <c r="BJ92" s="69"/>
      <c r="BK92" s="69"/>
      <c r="BL92" s="69"/>
      <c r="BM92" s="69"/>
      <c r="BN92" s="69"/>
      <c r="BO92" s="69"/>
      <c r="BP92" s="70"/>
    </row>
    <row r="93" spans="1:68" s="1" customFormat="1" ht="30.75" customHeight="1">
      <c r="A93" s="74">
        <f t="shared" si="1"/>
        <v>85</v>
      </c>
      <c r="B93" s="75"/>
      <c r="C93" s="76"/>
      <c r="D93" s="71" t="s">
        <v>343</v>
      </c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3"/>
      <c r="AA93" s="74" t="s">
        <v>347</v>
      </c>
      <c r="AB93" s="75"/>
      <c r="AC93" s="75"/>
      <c r="AD93" s="75"/>
      <c r="AE93" s="76"/>
      <c r="AF93" s="74">
        <v>14</v>
      </c>
      <c r="AG93" s="75"/>
      <c r="AH93" s="76"/>
      <c r="AI93" s="74"/>
      <c r="AJ93" s="75"/>
      <c r="AK93" s="76"/>
      <c r="AL93" s="68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69"/>
      <c r="BK93" s="69"/>
      <c r="BL93" s="69"/>
      <c r="BM93" s="69"/>
      <c r="BN93" s="69"/>
      <c r="BO93" s="69"/>
      <c r="BP93" s="70"/>
    </row>
    <row r="94" spans="1:68" s="1" customFormat="1" ht="30.75" customHeight="1">
      <c r="A94" s="74">
        <f t="shared" si="1"/>
        <v>86</v>
      </c>
      <c r="B94" s="75"/>
      <c r="C94" s="76"/>
      <c r="D94" s="71" t="s">
        <v>389</v>
      </c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3"/>
      <c r="AA94" s="74" t="s">
        <v>347</v>
      </c>
      <c r="AB94" s="75"/>
      <c r="AC94" s="75"/>
      <c r="AD94" s="75"/>
      <c r="AE94" s="76"/>
      <c r="AF94" s="74">
        <v>14</v>
      </c>
      <c r="AG94" s="75"/>
      <c r="AH94" s="76"/>
      <c r="AI94" s="74"/>
      <c r="AJ94" s="75"/>
      <c r="AK94" s="76"/>
      <c r="AL94" s="68"/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69"/>
      <c r="BH94" s="69"/>
      <c r="BI94" s="69"/>
      <c r="BJ94" s="69"/>
      <c r="BK94" s="69"/>
      <c r="BL94" s="69"/>
      <c r="BM94" s="69"/>
      <c r="BN94" s="69"/>
      <c r="BO94" s="69"/>
      <c r="BP94" s="70"/>
    </row>
    <row r="95" spans="1:68" s="1" customFormat="1" ht="30.75" customHeight="1">
      <c r="A95" s="74">
        <f t="shared" si="1"/>
        <v>87</v>
      </c>
      <c r="B95" s="75"/>
      <c r="C95" s="76"/>
      <c r="D95" s="71" t="s">
        <v>630</v>
      </c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3"/>
      <c r="AA95" s="74" t="s">
        <v>347</v>
      </c>
      <c r="AB95" s="75"/>
      <c r="AC95" s="75"/>
      <c r="AD95" s="75"/>
      <c r="AE95" s="76"/>
      <c r="AF95" s="74">
        <v>14</v>
      </c>
      <c r="AG95" s="75"/>
      <c r="AH95" s="76"/>
      <c r="AI95" s="74"/>
      <c r="AJ95" s="75"/>
      <c r="AK95" s="76"/>
      <c r="AL95" s="68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69"/>
      <c r="BH95" s="69"/>
      <c r="BI95" s="69"/>
      <c r="BJ95" s="69"/>
      <c r="BK95" s="69"/>
      <c r="BL95" s="69"/>
      <c r="BM95" s="69"/>
      <c r="BN95" s="69"/>
      <c r="BO95" s="69"/>
      <c r="BP95" s="70"/>
    </row>
    <row r="96" spans="1:68" s="1" customFormat="1" ht="30.75" customHeight="1">
      <c r="A96" s="74">
        <f t="shared" si="1"/>
        <v>88</v>
      </c>
      <c r="B96" s="75"/>
      <c r="C96" s="76"/>
      <c r="D96" s="71" t="s">
        <v>1234</v>
      </c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3"/>
      <c r="AA96" s="74" t="s">
        <v>271</v>
      </c>
      <c r="AB96" s="75"/>
      <c r="AC96" s="75"/>
      <c r="AD96" s="75"/>
      <c r="AE96" s="76"/>
      <c r="AF96" s="74">
        <v>1</v>
      </c>
      <c r="AG96" s="75"/>
      <c r="AH96" s="76"/>
      <c r="AI96" s="86"/>
      <c r="AJ96" s="86"/>
      <c r="AK96" s="86"/>
      <c r="AL96" s="104" t="s">
        <v>1235</v>
      </c>
      <c r="AM96" s="69"/>
      <c r="AN96" s="69"/>
      <c r="AO96" s="69"/>
      <c r="AP96" s="69"/>
      <c r="AQ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69"/>
      <c r="BH96" s="69"/>
      <c r="BI96" s="69"/>
      <c r="BJ96" s="69"/>
      <c r="BK96" s="69"/>
      <c r="BL96" s="69"/>
      <c r="BM96" s="69"/>
      <c r="BN96" s="69"/>
      <c r="BO96" s="69"/>
      <c r="BP96" s="70"/>
    </row>
    <row r="97" spans="1:68" s="1" customFormat="1" ht="30.75" customHeight="1">
      <c r="A97" s="80"/>
      <c r="B97" s="81"/>
      <c r="C97" s="82"/>
      <c r="D97" s="77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9"/>
      <c r="AA97" s="80"/>
      <c r="AB97" s="81"/>
      <c r="AC97" s="81"/>
      <c r="AD97" s="81"/>
      <c r="AE97" s="82"/>
      <c r="AF97" s="87"/>
      <c r="AG97" s="87"/>
      <c r="AH97" s="87"/>
      <c r="AI97" s="87"/>
      <c r="AJ97" s="87"/>
      <c r="AK97" s="87"/>
      <c r="AL97" s="83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4"/>
      <c r="BI97" s="84"/>
      <c r="BJ97" s="84"/>
      <c r="BK97" s="84"/>
      <c r="BL97" s="84"/>
      <c r="BM97" s="84"/>
      <c r="BN97" s="84"/>
      <c r="BO97" s="84"/>
      <c r="BP97" s="85"/>
    </row>
    <row r="98" spans="1:68" s="4" customFormat="1" ht="3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3"/>
      <c r="AG98" s="3"/>
      <c r="AH98" s="3"/>
      <c r="AI98" s="3"/>
      <c r="AJ98" s="3"/>
      <c r="AK98" s="3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</row>
    <row r="99" spans="1:68" s="4" customFormat="1" ht="14.25">
      <c r="A99" s="5" t="s">
        <v>14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15"/>
      <c r="AG99" s="15"/>
      <c r="AH99" s="15"/>
      <c r="AI99" s="15"/>
      <c r="AJ99" s="15"/>
      <c r="AK99" s="15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6"/>
    </row>
    <row r="100" spans="1:68" s="4" customFormat="1" ht="20.25" customHeight="1">
      <c r="A100" s="5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6"/>
    </row>
    <row r="101" spans="1:68" s="4" customFormat="1" ht="20.25" customHeight="1">
      <c r="A101" s="5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6"/>
    </row>
    <row r="102" spans="1:68" s="4" customFormat="1" ht="20.25" customHeight="1">
      <c r="A102" s="5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6"/>
    </row>
    <row r="103" spans="1:68" s="4" customFormat="1" ht="20.25" customHeight="1">
      <c r="A103" s="5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6"/>
    </row>
    <row r="104" spans="1:68" s="4" customFormat="1" ht="20.25" customHeight="1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9"/>
    </row>
    <row r="105" spans="1:68" ht="5.25" customHeight="1"/>
  </sheetData>
  <mergeCells count="559">
    <mergeCell ref="D96:Z96"/>
    <mergeCell ref="AA96:AE96"/>
    <mergeCell ref="AF96:AH96"/>
    <mergeCell ref="AI96:AK96"/>
    <mergeCell ref="AL96:BP96"/>
    <mergeCell ref="D9:Z9"/>
    <mergeCell ref="AA9:AE9"/>
    <mergeCell ref="D10:Z10"/>
    <mergeCell ref="AA10:AE10"/>
    <mergeCell ref="AL21:BP21"/>
    <mergeCell ref="AL22:BP22"/>
    <mergeCell ref="AL19:BP19"/>
    <mergeCell ref="AL20:BP20"/>
    <mergeCell ref="AF21:AH21"/>
    <mergeCell ref="AI21:AK21"/>
    <mergeCell ref="AF22:AH22"/>
    <mergeCell ref="AI22:AK22"/>
    <mergeCell ref="AL17:BP17"/>
    <mergeCell ref="AL18:BP18"/>
    <mergeCell ref="AF17:AH17"/>
    <mergeCell ref="AI17:AK17"/>
    <mergeCell ref="AF18:AH18"/>
    <mergeCell ref="AI18:AK18"/>
    <mergeCell ref="AF19:AH19"/>
    <mergeCell ref="D24:Z24"/>
    <mergeCell ref="AA24:AE24"/>
    <mergeCell ref="D25:Z25"/>
    <mergeCell ref="D26:Z26"/>
    <mergeCell ref="AA26:AE26"/>
    <mergeCell ref="D20:Z20"/>
    <mergeCell ref="AA20:AE20"/>
    <mergeCell ref="D17:Z17"/>
    <mergeCell ref="AA17:AE17"/>
    <mergeCell ref="D18:Z18"/>
    <mergeCell ref="AA18:AE18"/>
    <mergeCell ref="A33:C33"/>
    <mergeCell ref="A27:C27"/>
    <mergeCell ref="A17:C17"/>
    <mergeCell ref="A18:C18"/>
    <mergeCell ref="A19:C19"/>
    <mergeCell ref="A20:C20"/>
    <mergeCell ref="A21:C21"/>
    <mergeCell ref="A40:C40"/>
    <mergeCell ref="A41:C41"/>
    <mergeCell ref="A34:C34"/>
    <mergeCell ref="A35:C35"/>
    <mergeCell ref="A28:C28"/>
    <mergeCell ref="A29:C29"/>
    <mergeCell ref="A30:C30"/>
    <mergeCell ref="A31:C31"/>
    <mergeCell ref="A32:C32"/>
    <mergeCell ref="A22:C22"/>
    <mergeCell ref="A23:C23"/>
    <mergeCell ref="A24:C24"/>
    <mergeCell ref="A25:C25"/>
    <mergeCell ref="A26:C26"/>
    <mergeCell ref="A42:C42"/>
    <mergeCell ref="A43:C43"/>
    <mergeCell ref="A44:C44"/>
    <mergeCell ref="A45:C45"/>
    <mergeCell ref="A36:C36"/>
    <mergeCell ref="A37:C37"/>
    <mergeCell ref="A38:C38"/>
    <mergeCell ref="A39:C39"/>
    <mergeCell ref="A52:C52"/>
    <mergeCell ref="A97:C97"/>
    <mergeCell ref="A80:C80"/>
    <mergeCell ref="A69:C69"/>
    <mergeCell ref="A70:C70"/>
    <mergeCell ref="A71:C71"/>
    <mergeCell ref="A72:C72"/>
    <mergeCell ref="A73:C73"/>
    <mergeCell ref="A74:C74"/>
    <mergeCell ref="A87:C87"/>
    <mergeCell ref="A88:C88"/>
    <mergeCell ref="A89:C89"/>
    <mergeCell ref="A81:C81"/>
    <mergeCell ref="A78:C78"/>
    <mergeCell ref="A79:C79"/>
    <mergeCell ref="A82:C82"/>
    <mergeCell ref="A83:C83"/>
    <mergeCell ref="A84:C84"/>
    <mergeCell ref="A85:C85"/>
    <mergeCell ref="A86:C86"/>
    <mergeCell ref="A91:C91"/>
    <mergeCell ref="A95:C95"/>
    <mergeCell ref="A96:C96"/>
    <mergeCell ref="A90:C90"/>
    <mergeCell ref="AI19:AK19"/>
    <mergeCell ref="AF20:AH20"/>
    <mergeCell ref="AI20:AK20"/>
    <mergeCell ref="D19:Z19"/>
    <mergeCell ref="AA19:AE19"/>
    <mergeCell ref="AL25:BP25"/>
    <mergeCell ref="AL26:BP26"/>
    <mergeCell ref="AL23:BP23"/>
    <mergeCell ref="AL24:BP24"/>
    <mergeCell ref="AF23:AH23"/>
    <mergeCell ref="AI23:AK23"/>
    <mergeCell ref="AF24:AH24"/>
    <mergeCell ref="AI24:AK24"/>
    <mergeCell ref="AF25:AH25"/>
    <mergeCell ref="AI25:AK25"/>
    <mergeCell ref="AF26:AH26"/>
    <mergeCell ref="AI26:AK26"/>
    <mergeCell ref="D21:Z21"/>
    <mergeCell ref="D22:Z22"/>
    <mergeCell ref="AA22:AE22"/>
    <mergeCell ref="D23:Z23"/>
    <mergeCell ref="AA23:AE23"/>
    <mergeCell ref="AA21:AE21"/>
    <mergeCell ref="AA25:AE25"/>
    <mergeCell ref="AL29:BP29"/>
    <mergeCell ref="D30:Z30"/>
    <mergeCell ref="AA30:AE30"/>
    <mergeCell ref="AL30:BP30"/>
    <mergeCell ref="D27:Z27"/>
    <mergeCell ref="AA27:AE27"/>
    <mergeCell ref="AL27:BP27"/>
    <mergeCell ref="D28:Z28"/>
    <mergeCell ref="AA28:AE28"/>
    <mergeCell ref="AL28:BP28"/>
    <mergeCell ref="AF27:AH27"/>
    <mergeCell ref="AI27:AK27"/>
    <mergeCell ref="AF28:AH28"/>
    <mergeCell ref="AI28:AK28"/>
    <mergeCell ref="AF29:AH29"/>
    <mergeCell ref="AI29:AK29"/>
    <mergeCell ref="AF30:AH30"/>
    <mergeCell ref="AI30:AK30"/>
    <mergeCell ref="D29:Z29"/>
    <mergeCell ref="AA29:AE29"/>
    <mergeCell ref="AL33:BP33"/>
    <mergeCell ref="D34:Z34"/>
    <mergeCell ref="AA34:AE34"/>
    <mergeCell ref="AL34:BP34"/>
    <mergeCell ref="D31:Z31"/>
    <mergeCell ref="AA31:AE31"/>
    <mergeCell ref="AL31:BP31"/>
    <mergeCell ref="D32:Z32"/>
    <mergeCell ref="AA32:AE32"/>
    <mergeCell ref="AL32:BP32"/>
    <mergeCell ref="AF31:AH31"/>
    <mergeCell ref="AI31:AK31"/>
    <mergeCell ref="AF32:AH32"/>
    <mergeCell ref="AI32:AK32"/>
    <mergeCell ref="AF33:AH33"/>
    <mergeCell ref="AI33:AK33"/>
    <mergeCell ref="AF34:AH34"/>
    <mergeCell ref="AI34:AK34"/>
    <mergeCell ref="D33:Z33"/>
    <mergeCell ref="AA33:AE33"/>
    <mergeCell ref="AL35:BP35"/>
    <mergeCell ref="D36:Z36"/>
    <mergeCell ref="AA36:AE36"/>
    <mergeCell ref="AL36:BP36"/>
    <mergeCell ref="AF35:AH35"/>
    <mergeCell ref="AI35:AK35"/>
    <mergeCell ref="AF36:AH36"/>
    <mergeCell ref="AI36:AK36"/>
    <mergeCell ref="AF37:AH37"/>
    <mergeCell ref="AI37:AK37"/>
    <mergeCell ref="D37:Z37"/>
    <mergeCell ref="AA37:AE37"/>
    <mergeCell ref="AL39:BP39"/>
    <mergeCell ref="D40:Z40"/>
    <mergeCell ref="AA40:AE40"/>
    <mergeCell ref="AL40:BP40"/>
    <mergeCell ref="AF39:AH39"/>
    <mergeCell ref="AI39:AK39"/>
    <mergeCell ref="AF40:AH40"/>
    <mergeCell ref="AI40:AK40"/>
    <mergeCell ref="AL37:BP37"/>
    <mergeCell ref="D38:Z38"/>
    <mergeCell ref="AA38:AE38"/>
    <mergeCell ref="AL38:BP38"/>
    <mergeCell ref="AF38:AH38"/>
    <mergeCell ref="AI38:AK38"/>
    <mergeCell ref="AI44:AK44"/>
    <mergeCell ref="AF45:AH45"/>
    <mergeCell ref="AI45:AK45"/>
    <mergeCell ref="AF46:AH46"/>
    <mergeCell ref="AI46:AK46"/>
    <mergeCell ref="D45:Z45"/>
    <mergeCell ref="AA45:AE45"/>
    <mergeCell ref="AL41:BP41"/>
    <mergeCell ref="D42:Z42"/>
    <mergeCell ref="AA42:AE42"/>
    <mergeCell ref="AL42:BP42"/>
    <mergeCell ref="AF41:AH41"/>
    <mergeCell ref="AI41:AK41"/>
    <mergeCell ref="AF42:AH42"/>
    <mergeCell ref="AI42:AK42"/>
    <mergeCell ref="D41:Z41"/>
    <mergeCell ref="AA41:AE41"/>
    <mergeCell ref="D44:Z44"/>
    <mergeCell ref="AA44:AE44"/>
    <mergeCell ref="AL44:BP44"/>
    <mergeCell ref="AF43:AH43"/>
    <mergeCell ref="AI43:AK43"/>
    <mergeCell ref="AF44:AH44"/>
    <mergeCell ref="AL49:BP49"/>
    <mergeCell ref="D50:Z50"/>
    <mergeCell ref="AA50:AE50"/>
    <mergeCell ref="AL50:BP50"/>
    <mergeCell ref="D48:Z48"/>
    <mergeCell ref="AA48:AE48"/>
    <mergeCell ref="AL48:BP48"/>
    <mergeCell ref="AF48:AH48"/>
    <mergeCell ref="AI48:AK48"/>
    <mergeCell ref="AF49:AH49"/>
    <mergeCell ref="AI49:AK49"/>
    <mergeCell ref="AF50:AH50"/>
    <mergeCell ref="AI50:AK50"/>
    <mergeCell ref="D49:Z49"/>
    <mergeCell ref="AA49:AE49"/>
    <mergeCell ref="AL53:BP53"/>
    <mergeCell ref="D54:Z54"/>
    <mergeCell ref="AA54:AE54"/>
    <mergeCell ref="AL54:BP54"/>
    <mergeCell ref="D51:Z51"/>
    <mergeCell ref="AA51:AE51"/>
    <mergeCell ref="AL51:BP51"/>
    <mergeCell ref="D52:Z52"/>
    <mergeCell ref="AA52:AE52"/>
    <mergeCell ref="AL52:BP52"/>
    <mergeCell ref="AF51:AH51"/>
    <mergeCell ref="AI51:AK51"/>
    <mergeCell ref="AF52:AH52"/>
    <mergeCell ref="AI52:AK52"/>
    <mergeCell ref="AF53:AH53"/>
    <mergeCell ref="AI53:AK53"/>
    <mergeCell ref="AF54:AH54"/>
    <mergeCell ref="AI54:AK54"/>
    <mergeCell ref="D53:Z53"/>
    <mergeCell ref="AA53:AE53"/>
    <mergeCell ref="AL57:BP57"/>
    <mergeCell ref="D58:Z58"/>
    <mergeCell ref="AA58:AE58"/>
    <mergeCell ref="AL58:BP58"/>
    <mergeCell ref="D55:Z55"/>
    <mergeCell ref="AA55:AE55"/>
    <mergeCell ref="AL55:BP55"/>
    <mergeCell ref="D56:Z56"/>
    <mergeCell ref="AA56:AE56"/>
    <mergeCell ref="AL56:BP56"/>
    <mergeCell ref="AF55:AH55"/>
    <mergeCell ref="AI55:AK55"/>
    <mergeCell ref="AF56:AH56"/>
    <mergeCell ref="AI56:AK56"/>
    <mergeCell ref="AF57:AH57"/>
    <mergeCell ref="AI57:AK57"/>
    <mergeCell ref="AF58:AH58"/>
    <mergeCell ref="AI58:AK58"/>
    <mergeCell ref="D57:Z57"/>
    <mergeCell ref="AA57:AE57"/>
    <mergeCell ref="AL61:BP61"/>
    <mergeCell ref="D62:Z62"/>
    <mergeCell ref="AA62:AE62"/>
    <mergeCell ref="AL62:BP62"/>
    <mergeCell ref="D59:Z59"/>
    <mergeCell ref="AA59:AE59"/>
    <mergeCell ref="AL59:BP59"/>
    <mergeCell ref="D60:Z60"/>
    <mergeCell ref="AA60:AE60"/>
    <mergeCell ref="AL60:BP60"/>
    <mergeCell ref="AF59:AH59"/>
    <mergeCell ref="AI59:AK59"/>
    <mergeCell ref="AF60:AH60"/>
    <mergeCell ref="AI60:AK60"/>
    <mergeCell ref="AF61:AH61"/>
    <mergeCell ref="AI61:AK61"/>
    <mergeCell ref="AF62:AH62"/>
    <mergeCell ref="AI62:AK62"/>
    <mergeCell ref="D61:Z61"/>
    <mergeCell ref="AA61:AE61"/>
    <mergeCell ref="AL65:BP65"/>
    <mergeCell ref="D66:Z66"/>
    <mergeCell ref="AA66:AE66"/>
    <mergeCell ref="AL66:BP66"/>
    <mergeCell ref="D63:Z63"/>
    <mergeCell ref="AA63:AE63"/>
    <mergeCell ref="AL63:BP63"/>
    <mergeCell ref="D64:Z64"/>
    <mergeCell ref="AA64:AE64"/>
    <mergeCell ref="AL64:BP64"/>
    <mergeCell ref="AF63:AH63"/>
    <mergeCell ref="AI63:AK63"/>
    <mergeCell ref="AF64:AH64"/>
    <mergeCell ref="AI64:AK64"/>
    <mergeCell ref="AF65:AH65"/>
    <mergeCell ref="AI65:AK65"/>
    <mergeCell ref="AF66:AH66"/>
    <mergeCell ref="AI66:AK66"/>
    <mergeCell ref="D65:Z65"/>
    <mergeCell ref="AA65:AE65"/>
    <mergeCell ref="AL68:BP68"/>
    <mergeCell ref="D69:Z69"/>
    <mergeCell ref="AA69:AE69"/>
    <mergeCell ref="AL69:BP69"/>
    <mergeCell ref="D67:Z67"/>
    <mergeCell ref="AA67:AE67"/>
    <mergeCell ref="AL67:BP67"/>
    <mergeCell ref="AF67:AH67"/>
    <mergeCell ref="AI67:AK67"/>
    <mergeCell ref="AF68:AH68"/>
    <mergeCell ref="AI68:AK68"/>
    <mergeCell ref="AF69:AH69"/>
    <mergeCell ref="AI69:AK69"/>
    <mergeCell ref="D68:Z68"/>
    <mergeCell ref="AA68:AE68"/>
    <mergeCell ref="AL72:BP72"/>
    <mergeCell ref="D73:Z73"/>
    <mergeCell ref="AA73:AE73"/>
    <mergeCell ref="AL73:BP73"/>
    <mergeCell ref="D70:Z70"/>
    <mergeCell ref="AA70:AE70"/>
    <mergeCell ref="AL70:BP70"/>
    <mergeCell ref="D71:Z71"/>
    <mergeCell ref="AA71:AE71"/>
    <mergeCell ref="AL71:BP71"/>
    <mergeCell ref="AF70:AH70"/>
    <mergeCell ref="AI70:AK70"/>
    <mergeCell ref="AF71:AH71"/>
    <mergeCell ref="AI71:AK71"/>
    <mergeCell ref="AF72:AH72"/>
    <mergeCell ref="AI72:AK72"/>
    <mergeCell ref="AF73:AH73"/>
    <mergeCell ref="AI73:AK73"/>
    <mergeCell ref="D72:Z72"/>
    <mergeCell ref="AA72:AE72"/>
    <mergeCell ref="AL76:BP76"/>
    <mergeCell ref="D77:Z77"/>
    <mergeCell ref="AA77:AE77"/>
    <mergeCell ref="AL77:BP77"/>
    <mergeCell ref="D74:Z74"/>
    <mergeCell ref="AA74:AE74"/>
    <mergeCell ref="AL74:BP74"/>
    <mergeCell ref="D75:Z75"/>
    <mergeCell ref="AA75:AE75"/>
    <mergeCell ref="AL75:BP75"/>
    <mergeCell ref="AF74:AH74"/>
    <mergeCell ref="AI74:AK74"/>
    <mergeCell ref="AF75:AH75"/>
    <mergeCell ref="AI75:AK75"/>
    <mergeCell ref="AF76:AH76"/>
    <mergeCell ref="AI76:AK76"/>
    <mergeCell ref="AF77:AH77"/>
    <mergeCell ref="AI77:AK77"/>
    <mergeCell ref="D76:Z76"/>
    <mergeCell ref="AA76:AE76"/>
    <mergeCell ref="AL80:BP80"/>
    <mergeCell ref="D81:Z81"/>
    <mergeCell ref="AA81:AE81"/>
    <mergeCell ref="AL81:BP81"/>
    <mergeCell ref="D78:Z78"/>
    <mergeCell ref="AA78:AE78"/>
    <mergeCell ref="AL78:BP78"/>
    <mergeCell ref="D79:Z79"/>
    <mergeCell ref="AA79:AE79"/>
    <mergeCell ref="AL79:BP79"/>
    <mergeCell ref="AF78:AH78"/>
    <mergeCell ref="AI78:AK78"/>
    <mergeCell ref="AF79:AH79"/>
    <mergeCell ref="AI79:AK79"/>
    <mergeCell ref="AF80:AH80"/>
    <mergeCell ref="AI80:AK80"/>
    <mergeCell ref="AF81:AH81"/>
    <mergeCell ref="AI81:AK81"/>
    <mergeCell ref="D80:Z80"/>
    <mergeCell ref="AA80:AE80"/>
    <mergeCell ref="AL84:BP84"/>
    <mergeCell ref="D85:Z85"/>
    <mergeCell ref="AA85:AE85"/>
    <mergeCell ref="AL85:BP85"/>
    <mergeCell ref="D82:Z82"/>
    <mergeCell ref="AA82:AE82"/>
    <mergeCell ref="AL82:BP82"/>
    <mergeCell ref="D83:Z83"/>
    <mergeCell ref="AA83:AE83"/>
    <mergeCell ref="AL83:BP83"/>
    <mergeCell ref="AF82:AH82"/>
    <mergeCell ref="AI82:AK82"/>
    <mergeCell ref="AF83:AH83"/>
    <mergeCell ref="AI83:AK83"/>
    <mergeCell ref="AF84:AH84"/>
    <mergeCell ref="AI84:AK84"/>
    <mergeCell ref="AF85:AH85"/>
    <mergeCell ref="AI85:AK85"/>
    <mergeCell ref="D84:Z84"/>
    <mergeCell ref="AA84:AE84"/>
    <mergeCell ref="AF90:AH90"/>
    <mergeCell ref="D89:Z89"/>
    <mergeCell ref="AA89:AE89"/>
    <mergeCell ref="AL86:BP86"/>
    <mergeCell ref="D87:Z87"/>
    <mergeCell ref="AA87:AE87"/>
    <mergeCell ref="AL87:BP87"/>
    <mergeCell ref="AF86:AH86"/>
    <mergeCell ref="AI86:AK86"/>
    <mergeCell ref="AF87:AH87"/>
    <mergeCell ref="AI87:AK87"/>
    <mergeCell ref="AF88:AH88"/>
    <mergeCell ref="AI88:AK88"/>
    <mergeCell ref="D86:Z86"/>
    <mergeCell ref="AA86:AE86"/>
    <mergeCell ref="D97:Z97"/>
    <mergeCell ref="AA97:AE97"/>
    <mergeCell ref="AL97:BP97"/>
    <mergeCell ref="AF97:AH97"/>
    <mergeCell ref="AI97:AK97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BB4:BE4"/>
    <mergeCell ref="BF4:BP4"/>
    <mergeCell ref="AF8:AH8"/>
    <mergeCell ref="AI8:AK8"/>
    <mergeCell ref="AF9:AH9"/>
    <mergeCell ref="AI9:AK9"/>
    <mergeCell ref="AF10:AH10"/>
    <mergeCell ref="AI10:AK10"/>
    <mergeCell ref="A8:C8"/>
    <mergeCell ref="D8:Z8"/>
    <mergeCell ref="AA8:AE8"/>
    <mergeCell ref="AL8:BP8"/>
    <mergeCell ref="A9:C9"/>
    <mergeCell ref="A10:C10"/>
    <mergeCell ref="AL9:BP9"/>
    <mergeCell ref="AL10:BP10"/>
    <mergeCell ref="A6:G6"/>
    <mergeCell ref="H6:N6"/>
    <mergeCell ref="O6:Y6"/>
    <mergeCell ref="Z6:BE6"/>
    <mergeCell ref="BF6:BI6"/>
    <mergeCell ref="BJ6:BP6"/>
    <mergeCell ref="A4:G4"/>
    <mergeCell ref="H4:BA4"/>
    <mergeCell ref="AF95:AH95"/>
    <mergeCell ref="AI95:AK95"/>
    <mergeCell ref="AL95:BP95"/>
    <mergeCell ref="D95:Z95"/>
    <mergeCell ref="AA95:AE95"/>
    <mergeCell ref="D94:Z94"/>
    <mergeCell ref="AA94:AE94"/>
    <mergeCell ref="A92:C92"/>
    <mergeCell ref="AF92:AH92"/>
    <mergeCell ref="D93:Z93"/>
    <mergeCell ref="AA93:AE93"/>
    <mergeCell ref="AI92:AK92"/>
    <mergeCell ref="AL92:BP92"/>
    <mergeCell ref="D92:Z92"/>
    <mergeCell ref="AA92:AE92"/>
    <mergeCell ref="A93:C93"/>
    <mergeCell ref="AF93:AH93"/>
    <mergeCell ref="AI93:AK93"/>
    <mergeCell ref="AL93:BP93"/>
    <mergeCell ref="A94:C94"/>
    <mergeCell ref="AF94:AH94"/>
    <mergeCell ref="AI94:AK94"/>
    <mergeCell ref="AL94:BP94"/>
    <mergeCell ref="A75:C75"/>
    <mergeCell ref="A76:C76"/>
    <mergeCell ref="A77:C77"/>
    <mergeCell ref="A64:C64"/>
    <mergeCell ref="A65:C65"/>
    <mergeCell ref="A66:C66"/>
    <mergeCell ref="A67:C67"/>
    <mergeCell ref="A68:C68"/>
    <mergeCell ref="AL89:BP89"/>
    <mergeCell ref="D90:Z90"/>
    <mergeCell ref="AA90:AE90"/>
    <mergeCell ref="D91:Z91"/>
    <mergeCell ref="AA91:AE91"/>
    <mergeCell ref="AF89:AH89"/>
    <mergeCell ref="AI89:AK89"/>
    <mergeCell ref="D88:Z88"/>
    <mergeCell ref="AA88:AE88"/>
    <mergeCell ref="AL88:BP88"/>
    <mergeCell ref="AI90:AK90"/>
    <mergeCell ref="AL90:BP90"/>
    <mergeCell ref="AF91:AH91"/>
    <mergeCell ref="AI91:AK91"/>
    <mergeCell ref="AL91:BP91"/>
    <mergeCell ref="A58:C58"/>
    <mergeCell ref="A59:C59"/>
    <mergeCell ref="A60:C60"/>
    <mergeCell ref="A61:C61"/>
    <mergeCell ref="A62:C62"/>
    <mergeCell ref="A63:C63"/>
    <mergeCell ref="A16:C16"/>
    <mergeCell ref="D16:Z16"/>
    <mergeCell ref="AA16:AE16"/>
    <mergeCell ref="D39:Z39"/>
    <mergeCell ref="AA39:AE39"/>
    <mergeCell ref="D35:Z35"/>
    <mergeCell ref="AA35:AE35"/>
    <mergeCell ref="A53:C53"/>
    <mergeCell ref="A54:C54"/>
    <mergeCell ref="A55:C55"/>
    <mergeCell ref="A56:C56"/>
    <mergeCell ref="A57:C57"/>
    <mergeCell ref="A46:C46"/>
    <mergeCell ref="A47:C47"/>
    <mergeCell ref="A48:C48"/>
    <mergeCell ref="A49:C49"/>
    <mergeCell ref="A50:C50"/>
    <mergeCell ref="A51:C51"/>
    <mergeCell ref="A12:C12"/>
    <mergeCell ref="D12:Z12"/>
    <mergeCell ref="AA12:AE12"/>
    <mergeCell ref="AF12:AH12"/>
    <mergeCell ref="AI12:AK12"/>
    <mergeCell ref="AL12:BP12"/>
    <mergeCell ref="A13:C13"/>
    <mergeCell ref="D13:Z13"/>
    <mergeCell ref="AA13:AE13"/>
    <mergeCell ref="AF13:AH13"/>
    <mergeCell ref="AI13:AK13"/>
    <mergeCell ref="AL13:BP13"/>
    <mergeCell ref="AF15:AH15"/>
    <mergeCell ref="AI15:AK15"/>
    <mergeCell ref="AL15:BP15"/>
    <mergeCell ref="A14:C14"/>
    <mergeCell ref="D14:Z14"/>
    <mergeCell ref="AA14:AE14"/>
    <mergeCell ref="AF14:AH14"/>
    <mergeCell ref="AI14:AK14"/>
    <mergeCell ref="AL14:BP14"/>
    <mergeCell ref="A11:C11"/>
    <mergeCell ref="D11:Z11"/>
    <mergeCell ref="AA11:AE11"/>
    <mergeCell ref="AI47:AK47"/>
    <mergeCell ref="AF47:AH47"/>
    <mergeCell ref="AL47:BP47"/>
    <mergeCell ref="AA47:AE47"/>
    <mergeCell ref="D47:Z47"/>
    <mergeCell ref="AF16:AH16"/>
    <mergeCell ref="AI16:AK16"/>
    <mergeCell ref="AL16:BP16"/>
    <mergeCell ref="AF11:AH11"/>
    <mergeCell ref="AI11:AK11"/>
    <mergeCell ref="AL11:BP11"/>
    <mergeCell ref="AL45:BP45"/>
    <mergeCell ref="D46:Z46"/>
    <mergeCell ref="AA46:AE46"/>
    <mergeCell ref="AL46:BP46"/>
    <mergeCell ref="D43:Z43"/>
    <mergeCell ref="AA43:AE43"/>
    <mergeCell ref="AL43:BP43"/>
    <mergeCell ref="A15:C15"/>
    <mergeCell ref="D15:Z15"/>
    <mergeCell ref="AA15:AE15"/>
  </mergeCells>
  <phoneticPr fontId="3"/>
  <dataValidations count="1">
    <dataValidation type="list" allowBlank="1" showInputMessage="1" showErrorMessage="1" sqref="BJ6:BP6" xr:uid="{B3D9332E-1012-4C70-B7D5-E45C04DF369A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A6120-F88E-430C-97E1-08EFF42028A1}">
  <sheetPr codeName="Sheet34"/>
  <dimension ref="A1:BR103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8" width="2.125" style="55"/>
    <col min="39" max="44" width="0" style="55" hidden="1" customWidth="1"/>
    <col min="45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144" t="s">
        <v>198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143" t="s">
        <v>613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198" t="s">
        <v>599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125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117">
        <f t="shared" ref="A9" si="0">ROW()-8</f>
        <v>1</v>
      </c>
      <c r="B9" s="118"/>
      <c r="C9" s="119"/>
      <c r="D9" s="208" t="s">
        <v>1045</v>
      </c>
      <c r="E9" s="209"/>
      <c r="F9" s="209"/>
      <c r="G9" s="209"/>
      <c r="H9" s="209"/>
      <c r="I9" s="209"/>
      <c r="J9" s="209"/>
      <c r="K9" s="209"/>
      <c r="L9" s="209"/>
      <c r="M9" s="209"/>
      <c r="N9" s="209"/>
      <c r="O9" s="209"/>
      <c r="P9" s="209"/>
      <c r="Q9" s="209"/>
      <c r="R9" s="209"/>
      <c r="S9" s="209"/>
      <c r="T9" s="209"/>
      <c r="U9" s="209"/>
      <c r="V9" s="209"/>
      <c r="W9" s="209"/>
      <c r="X9" s="209"/>
      <c r="Y9" s="209"/>
      <c r="Z9" s="210"/>
      <c r="AA9" s="117" t="s">
        <v>1297</v>
      </c>
      <c r="AB9" s="118"/>
      <c r="AC9" s="118"/>
      <c r="AD9" s="118"/>
      <c r="AE9" s="119"/>
      <c r="AF9" s="117">
        <v>6</v>
      </c>
      <c r="AG9" s="118"/>
      <c r="AH9" s="119"/>
      <c r="AI9" s="117"/>
      <c r="AJ9" s="118"/>
      <c r="AK9" s="119"/>
      <c r="AL9" s="211" t="s">
        <v>1046</v>
      </c>
      <c r="AM9" s="212"/>
      <c r="AN9" s="212"/>
      <c r="AO9" s="212"/>
      <c r="AP9" s="212"/>
      <c r="AQ9" s="212"/>
      <c r="AR9" s="212"/>
      <c r="AS9" s="212"/>
      <c r="AT9" s="212"/>
      <c r="AU9" s="212"/>
      <c r="AV9" s="212"/>
      <c r="AW9" s="212"/>
      <c r="AX9" s="212"/>
      <c r="AY9" s="212"/>
      <c r="AZ9" s="212"/>
      <c r="BA9" s="212"/>
      <c r="BB9" s="212"/>
      <c r="BC9" s="212"/>
      <c r="BD9" s="212"/>
      <c r="BE9" s="212"/>
      <c r="BF9" s="212"/>
      <c r="BG9" s="212"/>
      <c r="BH9" s="212"/>
      <c r="BI9" s="212"/>
      <c r="BJ9" s="212"/>
      <c r="BK9" s="212"/>
      <c r="BL9" s="212"/>
      <c r="BM9" s="212"/>
      <c r="BN9" s="212"/>
      <c r="BO9" s="212"/>
      <c r="BP9" s="213"/>
    </row>
    <row r="10" spans="1:70" s="1" customFormat="1" ht="30.75" customHeight="1">
      <c r="A10" s="205">
        <f t="shared" ref="A10:A24" si="1">ROW()-8</f>
        <v>2</v>
      </c>
      <c r="B10" s="206"/>
      <c r="C10" s="207"/>
      <c r="D10" s="215" t="s">
        <v>282</v>
      </c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  <c r="X10" s="216"/>
      <c r="Y10" s="216"/>
      <c r="Z10" s="217"/>
      <c r="AA10" s="205" t="s">
        <v>347</v>
      </c>
      <c r="AB10" s="206"/>
      <c r="AC10" s="206"/>
      <c r="AD10" s="206"/>
      <c r="AE10" s="207"/>
      <c r="AF10" s="205">
        <v>8</v>
      </c>
      <c r="AG10" s="206"/>
      <c r="AH10" s="207"/>
      <c r="AI10" s="205"/>
      <c r="AJ10" s="206"/>
      <c r="AK10" s="207"/>
      <c r="AL10" s="218" t="s">
        <v>1056</v>
      </c>
      <c r="AM10" s="219"/>
      <c r="AN10" s="219"/>
      <c r="AO10" s="219"/>
      <c r="AP10" s="219"/>
      <c r="AQ10" s="219"/>
      <c r="AR10" s="219"/>
      <c r="AS10" s="219"/>
      <c r="AT10" s="219"/>
      <c r="AU10" s="219"/>
      <c r="AV10" s="219"/>
      <c r="AW10" s="219"/>
      <c r="AX10" s="219"/>
      <c r="AY10" s="219"/>
      <c r="AZ10" s="219"/>
      <c r="BA10" s="219"/>
      <c r="BB10" s="219"/>
      <c r="BC10" s="219"/>
      <c r="BD10" s="219"/>
      <c r="BE10" s="219"/>
      <c r="BF10" s="219"/>
      <c r="BG10" s="219"/>
      <c r="BH10" s="219"/>
      <c r="BI10" s="219"/>
      <c r="BJ10" s="219"/>
      <c r="BK10" s="219"/>
      <c r="BL10" s="219"/>
      <c r="BM10" s="219"/>
      <c r="BN10" s="219"/>
      <c r="BO10" s="219"/>
      <c r="BP10" s="220"/>
    </row>
    <row r="11" spans="1:70" s="1" customFormat="1" ht="30.75" customHeight="1">
      <c r="A11" s="74">
        <f t="shared" si="1"/>
        <v>3</v>
      </c>
      <c r="B11" s="75"/>
      <c r="C11" s="76"/>
      <c r="D11" s="199" t="s">
        <v>283</v>
      </c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1"/>
      <c r="AA11" s="74" t="s">
        <v>632</v>
      </c>
      <c r="AB11" s="75"/>
      <c r="AC11" s="75"/>
      <c r="AD11" s="75"/>
      <c r="AE11" s="76"/>
      <c r="AF11" s="74">
        <v>1</v>
      </c>
      <c r="AG11" s="75"/>
      <c r="AH11" s="76"/>
      <c r="AI11" s="74"/>
      <c r="AJ11" s="75"/>
      <c r="AK11" s="76"/>
      <c r="AL11" s="202" t="s">
        <v>1057</v>
      </c>
      <c r="AM11" s="203"/>
      <c r="AN11" s="203"/>
      <c r="AO11" s="203"/>
      <c r="AP11" s="203"/>
      <c r="AQ11" s="203"/>
      <c r="AR11" s="203"/>
      <c r="AS11" s="203"/>
      <c r="AT11" s="203"/>
      <c r="AU11" s="203"/>
      <c r="AV11" s="203"/>
      <c r="AW11" s="203"/>
      <c r="AX11" s="203"/>
      <c r="AY11" s="203"/>
      <c r="AZ11" s="203"/>
      <c r="BA11" s="203"/>
      <c r="BB11" s="203"/>
      <c r="BC11" s="203"/>
      <c r="BD11" s="203"/>
      <c r="BE11" s="203"/>
      <c r="BF11" s="203"/>
      <c r="BG11" s="203"/>
      <c r="BH11" s="203"/>
      <c r="BI11" s="203"/>
      <c r="BJ11" s="203"/>
      <c r="BK11" s="203"/>
      <c r="BL11" s="203"/>
      <c r="BM11" s="203"/>
      <c r="BN11" s="203"/>
      <c r="BO11" s="203"/>
      <c r="BP11" s="204"/>
    </row>
    <row r="12" spans="1:70" s="1" customFormat="1" ht="30.75" customHeight="1">
      <c r="A12" s="74">
        <f t="shared" si="1"/>
        <v>4</v>
      </c>
      <c r="B12" s="75"/>
      <c r="C12" s="76"/>
      <c r="D12" s="199" t="s">
        <v>284</v>
      </c>
      <c r="E12" s="200"/>
      <c r="F12" s="200"/>
      <c r="G12" s="200"/>
      <c r="H12" s="200"/>
      <c r="I12" s="200"/>
      <c r="J12" s="200"/>
      <c r="K12" s="200"/>
      <c r="L12" s="200"/>
      <c r="M12" s="200"/>
      <c r="N12" s="200"/>
      <c r="O12" s="200"/>
      <c r="P12" s="200"/>
      <c r="Q12" s="200"/>
      <c r="R12" s="200"/>
      <c r="S12" s="200"/>
      <c r="T12" s="200"/>
      <c r="U12" s="200"/>
      <c r="V12" s="200"/>
      <c r="W12" s="200"/>
      <c r="X12" s="200"/>
      <c r="Y12" s="200"/>
      <c r="Z12" s="201"/>
      <c r="AA12" s="74" t="s">
        <v>633</v>
      </c>
      <c r="AB12" s="75"/>
      <c r="AC12" s="75"/>
      <c r="AD12" s="75"/>
      <c r="AE12" s="76"/>
      <c r="AF12" s="74">
        <v>8</v>
      </c>
      <c r="AG12" s="75"/>
      <c r="AH12" s="76"/>
      <c r="AI12" s="74"/>
      <c r="AJ12" s="75"/>
      <c r="AK12" s="76"/>
      <c r="AL12" s="202" t="s">
        <v>1058</v>
      </c>
      <c r="AM12" s="203"/>
      <c r="AN12" s="203"/>
      <c r="AO12" s="203"/>
      <c r="AP12" s="203"/>
      <c r="AQ12" s="203"/>
      <c r="AR12" s="203"/>
      <c r="AS12" s="203"/>
      <c r="AT12" s="203"/>
      <c r="AU12" s="203"/>
      <c r="AV12" s="203"/>
      <c r="AW12" s="203"/>
      <c r="AX12" s="203"/>
      <c r="AY12" s="203"/>
      <c r="AZ12" s="203"/>
      <c r="BA12" s="203"/>
      <c r="BB12" s="203"/>
      <c r="BC12" s="203"/>
      <c r="BD12" s="203"/>
      <c r="BE12" s="203"/>
      <c r="BF12" s="203"/>
      <c r="BG12" s="203"/>
      <c r="BH12" s="203"/>
      <c r="BI12" s="203"/>
      <c r="BJ12" s="203"/>
      <c r="BK12" s="203"/>
      <c r="BL12" s="203"/>
      <c r="BM12" s="203"/>
      <c r="BN12" s="203"/>
      <c r="BO12" s="203"/>
      <c r="BP12" s="204"/>
    </row>
    <row r="13" spans="1:70" s="1" customFormat="1" ht="30.75" customHeight="1">
      <c r="A13" s="74">
        <f t="shared" si="1"/>
        <v>5</v>
      </c>
      <c r="B13" s="75"/>
      <c r="C13" s="76"/>
      <c r="D13" s="199" t="s">
        <v>285</v>
      </c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1"/>
      <c r="AA13" s="74" t="s">
        <v>632</v>
      </c>
      <c r="AB13" s="75"/>
      <c r="AC13" s="75"/>
      <c r="AD13" s="75"/>
      <c r="AE13" s="76"/>
      <c r="AF13" s="74">
        <v>1</v>
      </c>
      <c r="AG13" s="75"/>
      <c r="AH13" s="76"/>
      <c r="AI13" s="74"/>
      <c r="AJ13" s="75"/>
      <c r="AK13" s="76"/>
      <c r="AL13" s="202" t="s">
        <v>1059</v>
      </c>
      <c r="AM13" s="203"/>
      <c r="AN13" s="203"/>
      <c r="AO13" s="203"/>
      <c r="AP13" s="203"/>
      <c r="AQ13" s="203"/>
      <c r="AR13" s="203"/>
      <c r="AS13" s="203"/>
      <c r="AT13" s="203"/>
      <c r="AU13" s="203"/>
      <c r="AV13" s="203"/>
      <c r="AW13" s="203"/>
      <c r="AX13" s="203"/>
      <c r="AY13" s="203"/>
      <c r="AZ13" s="203"/>
      <c r="BA13" s="203"/>
      <c r="BB13" s="203"/>
      <c r="BC13" s="203"/>
      <c r="BD13" s="203"/>
      <c r="BE13" s="203"/>
      <c r="BF13" s="203"/>
      <c r="BG13" s="203"/>
      <c r="BH13" s="203"/>
      <c r="BI13" s="203"/>
      <c r="BJ13" s="203"/>
      <c r="BK13" s="203"/>
      <c r="BL13" s="203"/>
      <c r="BM13" s="203"/>
      <c r="BN13" s="203"/>
      <c r="BO13" s="203"/>
      <c r="BP13" s="204"/>
    </row>
    <row r="14" spans="1:70" s="1" customFormat="1" ht="30.75" customHeight="1">
      <c r="A14" s="74">
        <f t="shared" si="1"/>
        <v>6</v>
      </c>
      <c r="B14" s="75"/>
      <c r="C14" s="76"/>
      <c r="D14" s="199" t="s">
        <v>286</v>
      </c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1"/>
      <c r="AA14" s="74" t="s">
        <v>633</v>
      </c>
      <c r="AB14" s="75"/>
      <c r="AC14" s="75"/>
      <c r="AD14" s="75"/>
      <c r="AE14" s="76"/>
      <c r="AF14" s="74">
        <v>5</v>
      </c>
      <c r="AG14" s="75"/>
      <c r="AH14" s="76"/>
      <c r="AI14" s="74"/>
      <c r="AJ14" s="75"/>
      <c r="AK14" s="76"/>
      <c r="AL14" s="202" t="s">
        <v>1060</v>
      </c>
      <c r="AM14" s="203"/>
      <c r="AN14" s="203"/>
      <c r="AO14" s="203"/>
      <c r="AP14" s="203"/>
      <c r="AQ14" s="203"/>
      <c r="AR14" s="203"/>
      <c r="AS14" s="203"/>
      <c r="AT14" s="203"/>
      <c r="AU14" s="203"/>
      <c r="AV14" s="203"/>
      <c r="AW14" s="203"/>
      <c r="AX14" s="203"/>
      <c r="AY14" s="203"/>
      <c r="AZ14" s="203"/>
      <c r="BA14" s="203"/>
      <c r="BB14" s="203"/>
      <c r="BC14" s="203"/>
      <c r="BD14" s="203"/>
      <c r="BE14" s="203"/>
      <c r="BF14" s="203"/>
      <c r="BG14" s="203"/>
      <c r="BH14" s="203"/>
      <c r="BI14" s="203"/>
      <c r="BJ14" s="203"/>
      <c r="BK14" s="203"/>
      <c r="BL14" s="203"/>
      <c r="BM14" s="203"/>
      <c r="BN14" s="203"/>
      <c r="BO14" s="203"/>
      <c r="BP14" s="204"/>
    </row>
    <row r="15" spans="1:70" s="1" customFormat="1" ht="30.75" customHeight="1">
      <c r="A15" s="74">
        <f t="shared" si="1"/>
        <v>7</v>
      </c>
      <c r="B15" s="75"/>
      <c r="C15" s="76"/>
      <c r="D15" s="199" t="s">
        <v>287</v>
      </c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201"/>
      <c r="AA15" s="74" t="s">
        <v>632</v>
      </c>
      <c r="AB15" s="75"/>
      <c r="AC15" s="75"/>
      <c r="AD15" s="75"/>
      <c r="AE15" s="76"/>
      <c r="AF15" s="86">
        <v>4</v>
      </c>
      <c r="AG15" s="86"/>
      <c r="AH15" s="86"/>
      <c r="AI15" s="86"/>
      <c r="AJ15" s="86"/>
      <c r="AK15" s="86"/>
      <c r="AL15" s="202" t="s">
        <v>1061</v>
      </c>
      <c r="AM15" s="203"/>
      <c r="AN15" s="203"/>
      <c r="AO15" s="203"/>
      <c r="AP15" s="203"/>
      <c r="AQ15" s="203"/>
      <c r="AR15" s="203"/>
      <c r="AS15" s="203"/>
      <c r="AT15" s="203"/>
      <c r="AU15" s="203"/>
      <c r="AV15" s="203"/>
      <c r="AW15" s="203"/>
      <c r="AX15" s="203"/>
      <c r="AY15" s="203"/>
      <c r="AZ15" s="203"/>
      <c r="BA15" s="203"/>
      <c r="BB15" s="203"/>
      <c r="BC15" s="203"/>
      <c r="BD15" s="203"/>
      <c r="BE15" s="203"/>
      <c r="BF15" s="203"/>
      <c r="BG15" s="203"/>
      <c r="BH15" s="203"/>
      <c r="BI15" s="203"/>
      <c r="BJ15" s="203"/>
      <c r="BK15" s="203"/>
      <c r="BL15" s="203"/>
      <c r="BM15" s="203"/>
      <c r="BN15" s="203"/>
      <c r="BO15" s="203"/>
      <c r="BP15" s="204"/>
    </row>
    <row r="16" spans="1:70" s="1" customFormat="1" ht="30.75" customHeight="1">
      <c r="A16" s="74">
        <f t="shared" si="1"/>
        <v>8</v>
      </c>
      <c r="B16" s="75"/>
      <c r="C16" s="76"/>
      <c r="D16" s="199" t="s">
        <v>288</v>
      </c>
      <c r="E16" s="200"/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200"/>
      <c r="V16" s="200"/>
      <c r="W16" s="200"/>
      <c r="X16" s="200"/>
      <c r="Y16" s="200"/>
      <c r="Z16" s="201"/>
      <c r="AA16" s="74" t="s">
        <v>633</v>
      </c>
      <c r="AB16" s="75"/>
      <c r="AC16" s="75"/>
      <c r="AD16" s="75"/>
      <c r="AE16" s="76"/>
      <c r="AF16" s="86">
        <v>20</v>
      </c>
      <c r="AG16" s="86"/>
      <c r="AH16" s="86"/>
      <c r="AI16" s="86"/>
      <c r="AJ16" s="86"/>
      <c r="AK16" s="86"/>
      <c r="AL16" s="202" t="s">
        <v>1062</v>
      </c>
      <c r="AM16" s="203"/>
      <c r="AN16" s="203"/>
      <c r="AO16" s="203"/>
      <c r="AP16" s="203"/>
      <c r="AQ16" s="203"/>
      <c r="AR16" s="203"/>
      <c r="AS16" s="203"/>
      <c r="AT16" s="203"/>
      <c r="AU16" s="203"/>
      <c r="AV16" s="203"/>
      <c r="AW16" s="203"/>
      <c r="AX16" s="203"/>
      <c r="AY16" s="203"/>
      <c r="AZ16" s="203"/>
      <c r="BA16" s="203"/>
      <c r="BB16" s="203"/>
      <c r="BC16" s="203"/>
      <c r="BD16" s="203"/>
      <c r="BE16" s="203"/>
      <c r="BF16" s="203"/>
      <c r="BG16" s="203"/>
      <c r="BH16" s="203"/>
      <c r="BI16" s="203"/>
      <c r="BJ16" s="203"/>
      <c r="BK16" s="203"/>
      <c r="BL16" s="203"/>
      <c r="BM16" s="203"/>
      <c r="BN16" s="203"/>
      <c r="BO16" s="203"/>
      <c r="BP16" s="204"/>
    </row>
    <row r="17" spans="1:68" s="1" customFormat="1" ht="30.75" customHeight="1">
      <c r="A17" s="74">
        <f t="shared" si="1"/>
        <v>9</v>
      </c>
      <c r="B17" s="75"/>
      <c r="C17" s="76"/>
      <c r="D17" s="199" t="s">
        <v>289</v>
      </c>
      <c r="E17" s="200"/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200"/>
      <c r="W17" s="200"/>
      <c r="X17" s="200"/>
      <c r="Y17" s="200"/>
      <c r="Z17" s="201"/>
      <c r="AA17" s="74" t="s">
        <v>632</v>
      </c>
      <c r="AB17" s="75"/>
      <c r="AC17" s="75"/>
      <c r="AD17" s="75"/>
      <c r="AE17" s="76"/>
      <c r="AF17" s="86">
        <v>2</v>
      </c>
      <c r="AG17" s="86"/>
      <c r="AH17" s="86"/>
      <c r="AI17" s="86"/>
      <c r="AJ17" s="86"/>
      <c r="AK17" s="86"/>
      <c r="AL17" s="202" t="s">
        <v>1063</v>
      </c>
      <c r="AM17" s="203"/>
      <c r="AN17" s="203"/>
      <c r="AO17" s="203"/>
      <c r="AP17" s="203"/>
      <c r="AQ17" s="203"/>
      <c r="AR17" s="203"/>
      <c r="AS17" s="203"/>
      <c r="AT17" s="203"/>
      <c r="AU17" s="203"/>
      <c r="AV17" s="203"/>
      <c r="AW17" s="203"/>
      <c r="AX17" s="203"/>
      <c r="AY17" s="203"/>
      <c r="AZ17" s="203"/>
      <c r="BA17" s="203"/>
      <c r="BB17" s="203"/>
      <c r="BC17" s="203"/>
      <c r="BD17" s="203"/>
      <c r="BE17" s="203"/>
      <c r="BF17" s="203"/>
      <c r="BG17" s="203"/>
      <c r="BH17" s="203"/>
      <c r="BI17" s="203"/>
      <c r="BJ17" s="203"/>
      <c r="BK17" s="203"/>
      <c r="BL17" s="203"/>
      <c r="BM17" s="203"/>
      <c r="BN17" s="203"/>
      <c r="BO17" s="203"/>
      <c r="BP17" s="204"/>
    </row>
    <row r="18" spans="1:68" s="1" customFormat="1" ht="30.75" customHeight="1">
      <c r="A18" s="74">
        <f t="shared" si="1"/>
        <v>10</v>
      </c>
      <c r="B18" s="75"/>
      <c r="C18" s="76"/>
      <c r="D18" s="199" t="s">
        <v>290</v>
      </c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1"/>
      <c r="AA18" s="74" t="s">
        <v>633</v>
      </c>
      <c r="AB18" s="75"/>
      <c r="AC18" s="75"/>
      <c r="AD18" s="75"/>
      <c r="AE18" s="76"/>
      <c r="AF18" s="86">
        <v>20</v>
      </c>
      <c r="AG18" s="86"/>
      <c r="AH18" s="86"/>
      <c r="AI18" s="86"/>
      <c r="AJ18" s="86"/>
      <c r="AK18" s="86"/>
      <c r="AL18" s="202" t="s">
        <v>1064</v>
      </c>
      <c r="AM18" s="203"/>
      <c r="AN18" s="203"/>
      <c r="AO18" s="203"/>
      <c r="AP18" s="203"/>
      <c r="AQ18" s="203"/>
      <c r="AR18" s="203"/>
      <c r="AS18" s="203"/>
      <c r="AT18" s="203"/>
      <c r="AU18" s="203"/>
      <c r="AV18" s="203"/>
      <c r="AW18" s="203"/>
      <c r="AX18" s="203"/>
      <c r="AY18" s="203"/>
      <c r="AZ18" s="203"/>
      <c r="BA18" s="203"/>
      <c r="BB18" s="203"/>
      <c r="BC18" s="203"/>
      <c r="BD18" s="203"/>
      <c r="BE18" s="203"/>
      <c r="BF18" s="203"/>
      <c r="BG18" s="203"/>
      <c r="BH18" s="203"/>
      <c r="BI18" s="203"/>
      <c r="BJ18" s="203"/>
      <c r="BK18" s="203"/>
      <c r="BL18" s="203"/>
      <c r="BM18" s="203"/>
      <c r="BN18" s="203"/>
      <c r="BO18" s="203"/>
      <c r="BP18" s="204"/>
    </row>
    <row r="19" spans="1:68" s="1" customFormat="1" ht="30.75" customHeight="1">
      <c r="A19" s="74">
        <f t="shared" si="1"/>
        <v>11</v>
      </c>
      <c r="B19" s="75"/>
      <c r="C19" s="76"/>
      <c r="D19" s="199" t="s">
        <v>291</v>
      </c>
      <c r="E19" s="200"/>
      <c r="F19" s="200"/>
      <c r="G19" s="200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200"/>
      <c r="S19" s="200"/>
      <c r="T19" s="200"/>
      <c r="U19" s="200"/>
      <c r="V19" s="200"/>
      <c r="W19" s="200"/>
      <c r="X19" s="200"/>
      <c r="Y19" s="200"/>
      <c r="Z19" s="201"/>
      <c r="AA19" s="74" t="s">
        <v>632</v>
      </c>
      <c r="AB19" s="75"/>
      <c r="AC19" s="75"/>
      <c r="AD19" s="75"/>
      <c r="AE19" s="76"/>
      <c r="AF19" s="74">
        <v>2</v>
      </c>
      <c r="AG19" s="75"/>
      <c r="AH19" s="76"/>
      <c r="AI19" s="74"/>
      <c r="AJ19" s="75"/>
      <c r="AK19" s="76"/>
      <c r="AL19" s="202" t="s">
        <v>1065</v>
      </c>
      <c r="AM19" s="203"/>
      <c r="AN19" s="203"/>
      <c r="AO19" s="203"/>
      <c r="AP19" s="203"/>
      <c r="AQ19" s="203"/>
      <c r="AR19" s="203"/>
      <c r="AS19" s="203"/>
      <c r="AT19" s="203"/>
      <c r="AU19" s="203"/>
      <c r="AV19" s="203"/>
      <c r="AW19" s="203"/>
      <c r="AX19" s="203"/>
      <c r="AY19" s="203"/>
      <c r="AZ19" s="203"/>
      <c r="BA19" s="203"/>
      <c r="BB19" s="203"/>
      <c r="BC19" s="203"/>
      <c r="BD19" s="203"/>
      <c r="BE19" s="203"/>
      <c r="BF19" s="203"/>
      <c r="BG19" s="203"/>
      <c r="BH19" s="203"/>
      <c r="BI19" s="203"/>
      <c r="BJ19" s="203"/>
      <c r="BK19" s="203"/>
      <c r="BL19" s="203"/>
      <c r="BM19" s="203"/>
      <c r="BN19" s="203"/>
      <c r="BO19" s="203"/>
      <c r="BP19" s="204"/>
    </row>
    <row r="20" spans="1:68" s="1" customFormat="1" ht="30.75" customHeight="1">
      <c r="A20" s="74">
        <f t="shared" si="1"/>
        <v>12</v>
      </c>
      <c r="B20" s="75"/>
      <c r="C20" s="76"/>
      <c r="D20" s="199" t="s">
        <v>292</v>
      </c>
      <c r="E20" s="200"/>
      <c r="F20" s="200"/>
      <c r="G20" s="200"/>
      <c r="H20" s="200"/>
      <c r="I20" s="200"/>
      <c r="J20" s="200"/>
      <c r="K20" s="200"/>
      <c r="L20" s="200"/>
      <c r="M20" s="200"/>
      <c r="N20" s="200"/>
      <c r="O20" s="200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1"/>
      <c r="AA20" s="74" t="s">
        <v>633</v>
      </c>
      <c r="AB20" s="75"/>
      <c r="AC20" s="75"/>
      <c r="AD20" s="75"/>
      <c r="AE20" s="76"/>
      <c r="AF20" s="74">
        <v>20</v>
      </c>
      <c r="AG20" s="75"/>
      <c r="AH20" s="76"/>
      <c r="AI20" s="74"/>
      <c r="AJ20" s="75"/>
      <c r="AK20" s="76"/>
      <c r="AL20" s="202" t="s">
        <v>1066</v>
      </c>
      <c r="AM20" s="203"/>
      <c r="AN20" s="203"/>
      <c r="AO20" s="203"/>
      <c r="AP20" s="203"/>
      <c r="AQ20" s="203"/>
      <c r="AR20" s="203"/>
      <c r="AS20" s="203"/>
      <c r="AT20" s="203"/>
      <c r="AU20" s="203"/>
      <c r="AV20" s="203"/>
      <c r="AW20" s="203"/>
      <c r="AX20" s="203"/>
      <c r="AY20" s="203"/>
      <c r="AZ20" s="203"/>
      <c r="BA20" s="203"/>
      <c r="BB20" s="203"/>
      <c r="BC20" s="203"/>
      <c r="BD20" s="203"/>
      <c r="BE20" s="203"/>
      <c r="BF20" s="203"/>
      <c r="BG20" s="203"/>
      <c r="BH20" s="203"/>
      <c r="BI20" s="203"/>
      <c r="BJ20" s="203"/>
      <c r="BK20" s="203"/>
      <c r="BL20" s="203"/>
      <c r="BM20" s="203"/>
      <c r="BN20" s="203"/>
      <c r="BO20" s="203"/>
      <c r="BP20" s="204"/>
    </row>
    <row r="21" spans="1:68" s="1" customFormat="1" ht="30.75" customHeight="1">
      <c r="A21" s="74">
        <f t="shared" si="1"/>
        <v>13</v>
      </c>
      <c r="B21" s="75"/>
      <c r="C21" s="76"/>
      <c r="D21" s="199" t="s">
        <v>225</v>
      </c>
      <c r="E21" s="200"/>
      <c r="F21" s="200"/>
      <c r="G21" s="200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1"/>
      <c r="AA21" s="74" t="s">
        <v>1311</v>
      </c>
      <c r="AB21" s="75"/>
      <c r="AC21" s="75"/>
      <c r="AD21" s="75"/>
      <c r="AE21" s="76"/>
      <c r="AF21" s="74">
        <v>2</v>
      </c>
      <c r="AG21" s="75"/>
      <c r="AH21" s="76"/>
      <c r="AI21" s="86"/>
      <c r="AJ21" s="86"/>
      <c r="AK21" s="86"/>
      <c r="AL21" s="214" t="s">
        <v>1048</v>
      </c>
      <c r="AM21" s="203"/>
      <c r="AN21" s="203"/>
      <c r="AO21" s="203"/>
      <c r="AP21" s="203"/>
      <c r="AQ21" s="203"/>
      <c r="AR21" s="203"/>
      <c r="AS21" s="203"/>
      <c r="AT21" s="203"/>
      <c r="AU21" s="203"/>
      <c r="AV21" s="203"/>
      <c r="AW21" s="203"/>
      <c r="AX21" s="203"/>
      <c r="AY21" s="203"/>
      <c r="AZ21" s="203"/>
      <c r="BA21" s="203"/>
      <c r="BB21" s="203"/>
      <c r="BC21" s="203"/>
      <c r="BD21" s="203"/>
      <c r="BE21" s="203"/>
      <c r="BF21" s="203"/>
      <c r="BG21" s="203"/>
      <c r="BH21" s="203"/>
      <c r="BI21" s="203"/>
      <c r="BJ21" s="203"/>
      <c r="BK21" s="203"/>
      <c r="BL21" s="203"/>
      <c r="BM21" s="203"/>
      <c r="BN21" s="203"/>
      <c r="BO21" s="203"/>
      <c r="BP21" s="204"/>
    </row>
    <row r="22" spans="1:68" s="1" customFormat="1" ht="30.75" customHeight="1">
      <c r="A22" s="74">
        <f t="shared" si="1"/>
        <v>14</v>
      </c>
      <c r="B22" s="75"/>
      <c r="C22" s="76"/>
      <c r="D22" s="199" t="s">
        <v>1049</v>
      </c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1"/>
      <c r="AA22" s="74" t="s">
        <v>1050</v>
      </c>
      <c r="AB22" s="75"/>
      <c r="AC22" s="75"/>
      <c r="AD22" s="75"/>
      <c r="AE22" s="76"/>
      <c r="AF22" s="74">
        <v>10</v>
      </c>
      <c r="AG22" s="75"/>
      <c r="AH22" s="76"/>
      <c r="AI22" s="86"/>
      <c r="AJ22" s="86"/>
      <c r="AK22" s="86"/>
      <c r="AL22" s="202" t="s">
        <v>1051</v>
      </c>
      <c r="AM22" s="203"/>
      <c r="AN22" s="203"/>
      <c r="AO22" s="203"/>
      <c r="AP22" s="203"/>
      <c r="AQ22" s="203"/>
      <c r="AR22" s="203"/>
      <c r="AS22" s="203"/>
      <c r="AT22" s="203"/>
      <c r="AU22" s="203"/>
      <c r="AV22" s="203"/>
      <c r="AW22" s="203"/>
      <c r="AX22" s="203"/>
      <c r="AY22" s="203"/>
      <c r="AZ22" s="203"/>
      <c r="BA22" s="203"/>
      <c r="BB22" s="203"/>
      <c r="BC22" s="203"/>
      <c r="BD22" s="203"/>
      <c r="BE22" s="203"/>
      <c r="BF22" s="203"/>
      <c r="BG22" s="203"/>
      <c r="BH22" s="203"/>
      <c r="BI22" s="203"/>
      <c r="BJ22" s="203"/>
      <c r="BK22" s="203"/>
      <c r="BL22" s="203"/>
      <c r="BM22" s="203"/>
      <c r="BN22" s="203"/>
      <c r="BO22" s="203"/>
      <c r="BP22" s="204"/>
    </row>
    <row r="23" spans="1:68" s="1" customFormat="1" ht="30.75" customHeight="1">
      <c r="A23" s="74">
        <f t="shared" si="1"/>
        <v>15</v>
      </c>
      <c r="B23" s="75"/>
      <c r="C23" s="76"/>
      <c r="D23" s="199" t="s">
        <v>1052</v>
      </c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201"/>
      <c r="AA23" s="74" t="s">
        <v>1047</v>
      </c>
      <c r="AB23" s="75"/>
      <c r="AC23" s="75"/>
      <c r="AD23" s="75"/>
      <c r="AE23" s="76"/>
      <c r="AF23" s="74">
        <v>4</v>
      </c>
      <c r="AG23" s="75"/>
      <c r="AH23" s="76"/>
      <c r="AI23" s="74"/>
      <c r="AJ23" s="75"/>
      <c r="AK23" s="76"/>
      <c r="AL23" s="202" t="s">
        <v>1053</v>
      </c>
      <c r="AM23" s="203"/>
      <c r="AN23" s="203"/>
      <c r="AO23" s="203"/>
      <c r="AP23" s="203"/>
      <c r="AQ23" s="203"/>
      <c r="AR23" s="203"/>
      <c r="AS23" s="203"/>
      <c r="AT23" s="203"/>
      <c r="AU23" s="203"/>
      <c r="AV23" s="203"/>
      <c r="AW23" s="203"/>
      <c r="AX23" s="203"/>
      <c r="AY23" s="203"/>
      <c r="AZ23" s="203"/>
      <c r="BA23" s="203"/>
      <c r="BB23" s="203"/>
      <c r="BC23" s="203"/>
      <c r="BD23" s="203"/>
      <c r="BE23" s="203"/>
      <c r="BF23" s="203"/>
      <c r="BG23" s="203"/>
      <c r="BH23" s="203"/>
      <c r="BI23" s="203"/>
      <c r="BJ23" s="203"/>
      <c r="BK23" s="203"/>
      <c r="BL23" s="203"/>
      <c r="BM23" s="203"/>
      <c r="BN23" s="203"/>
      <c r="BO23" s="203"/>
      <c r="BP23" s="204"/>
    </row>
    <row r="24" spans="1:68" s="1" customFormat="1" ht="30.75" customHeight="1">
      <c r="A24" s="74">
        <f t="shared" si="1"/>
        <v>16</v>
      </c>
      <c r="B24" s="75"/>
      <c r="C24" s="76"/>
      <c r="D24" s="199" t="s">
        <v>1054</v>
      </c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1"/>
      <c r="AA24" s="74" t="s">
        <v>1050</v>
      </c>
      <c r="AB24" s="75"/>
      <c r="AC24" s="75"/>
      <c r="AD24" s="75"/>
      <c r="AE24" s="76"/>
      <c r="AF24" s="74">
        <v>15</v>
      </c>
      <c r="AG24" s="75"/>
      <c r="AH24" s="76"/>
      <c r="AI24" s="74"/>
      <c r="AJ24" s="75"/>
      <c r="AK24" s="76"/>
      <c r="AL24" s="202" t="s">
        <v>1055</v>
      </c>
      <c r="AM24" s="203"/>
      <c r="AN24" s="203"/>
      <c r="AO24" s="203"/>
      <c r="AP24" s="203"/>
      <c r="AQ24" s="203"/>
      <c r="AR24" s="203"/>
      <c r="AS24" s="203"/>
      <c r="AT24" s="203"/>
      <c r="AU24" s="203"/>
      <c r="AV24" s="203"/>
      <c r="AW24" s="203"/>
      <c r="AX24" s="203"/>
      <c r="AY24" s="203"/>
      <c r="AZ24" s="203"/>
      <c r="BA24" s="203"/>
      <c r="BB24" s="203"/>
      <c r="BC24" s="203"/>
      <c r="BD24" s="203"/>
      <c r="BE24" s="203"/>
      <c r="BF24" s="203"/>
      <c r="BG24" s="203"/>
      <c r="BH24" s="203"/>
      <c r="BI24" s="203"/>
      <c r="BJ24" s="203"/>
      <c r="BK24" s="203"/>
      <c r="BL24" s="203"/>
      <c r="BM24" s="203"/>
      <c r="BN24" s="203"/>
      <c r="BO24" s="203"/>
      <c r="BP24" s="204"/>
    </row>
    <row r="25" spans="1:68" s="1" customFormat="1" ht="30.75" customHeight="1">
      <c r="A25" s="74"/>
      <c r="B25" s="75"/>
      <c r="C25" s="76"/>
      <c r="D25" s="199" t="s">
        <v>293</v>
      </c>
      <c r="E25" s="200"/>
      <c r="F25" s="200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0"/>
      <c r="V25" s="200"/>
      <c r="W25" s="200"/>
      <c r="X25" s="200"/>
      <c r="Y25" s="200"/>
      <c r="Z25" s="201"/>
      <c r="AA25" s="74"/>
      <c r="AB25" s="75"/>
      <c r="AC25" s="75"/>
      <c r="AD25" s="75"/>
      <c r="AE25" s="76"/>
      <c r="AF25" s="74"/>
      <c r="AG25" s="75"/>
      <c r="AH25" s="76"/>
      <c r="AI25" s="74"/>
      <c r="AJ25" s="75"/>
      <c r="AK25" s="76"/>
      <c r="AL25" s="202"/>
      <c r="AM25" s="203"/>
      <c r="AN25" s="203"/>
      <c r="AO25" s="203"/>
      <c r="AP25" s="203"/>
      <c r="AQ25" s="203"/>
      <c r="AR25" s="203"/>
      <c r="AS25" s="203"/>
      <c r="AT25" s="203"/>
      <c r="AU25" s="203"/>
      <c r="AV25" s="203"/>
      <c r="AW25" s="203"/>
      <c r="AX25" s="203"/>
      <c r="AY25" s="203"/>
      <c r="AZ25" s="203"/>
      <c r="BA25" s="203"/>
      <c r="BB25" s="203"/>
      <c r="BC25" s="203"/>
      <c r="BD25" s="203"/>
      <c r="BE25" s="203"/>
      <c r="BF25" s="203"/>
      <c r="BG25" s="203"/>
      <c r="BH25" s="203"/>
      <c r="BI25" s="203"/>
      <c r="BJ25" s="203"/>
      <c r="BK25" s="203"/>
      <c r="BL25" s="203"/>
      <c r="BM25" s="203"/>
      <c r="BN25" s="203"/>
      <c r="BO25" s="203"/>
      <c r="BP25" s="204"/>
    </row>
    <row r="26" spans="1:68" s="1" customFormat="1" ht="30.75" customHeight="1">
      <c r="A26" s="74">
        <f>ROW()-8-1</f>
        <v>17</v>
      </c>
      <c r="B26" s="75"/>
      <c r="C26" s="76"/>
      <c r="D26" s="199" t="s">
        <v>294</v>
      </c>
      <c r="E26" s="200"/>
      <c r="F26" s="200"/>
      <c r="G26" s="200"/>
      <c r="H26" s="200"/>
      <c r="I26" s="200"/>
      <c r="J26" s="200"/>
      <c r="K26" s="200"/>
      <c r="L26" s="200"/>
      <c r="M26" s="200"/>
      <c r="N26" s="200"/>
      <c r="O26" s="200"/>
      <c r="P26" s="200"/>
      <c r="Q26" s="200"/>
      <c r="R26" s="200"/>
      <c r="S26" s="200"/>
      <c r="T26" s="200"/>
      <c r="U26" s="200"/>
      <c r="V26" s="200"/>
      <c r="W26" s="200"/>
      <c r="X26" s="200"/>
      <c r="Y26" s="200"/>
      <c r="Z26" s="201"/>
      <c r="AA26" s="74" t="s">
        <v>634</v>
      </c>
      <c r="AB26" s="75"/>
      <c r="AC26" s="75"/>
      <c r="AD26" s="75"/>
      <c r="AE26" s="76"/>
      <c r="AF26" s="74">
        <v>14</v>
      </c>
      <c r="AG26" s="75"/>
      <c r="AH26" s="76"/>
      <c r="AI26" s="74" t="s">
        <v>1302</v>
      </c>
      <c r="AJ26" s="75"/>
      <c r="AK26" s="76"/>
      <c r="AL26" s="202" t="s">
        <v>1067</v>
      </c>
      <c r="AM26" s="203"/>
      <c r="AN26" s="203"/>
      <c r="AO26" s="203"/>
      <c r="AP26" s="203"/>
      <c r="AQ26" s="203"/>
      <c r="AR26" s="203"/>
      <c r="AS26" s="203"/>
      <c r="AT26" s="203"/>
      <c r="AU26" s="203"/>
      <c r="AV26" s="203"/>
      <c r="AW26" s="203"/>
      <c r="AX26" s="203"/>
      <c r="AY26" s="203"/>
      <c r="AZ26" s="203"/>
      <c r="BA26" s="203"/>
      <c r="BB26" s="203"/>
      <c r="BC26" s="203"/>
      <c r="BD26" s="203"/>
      <c r="BE26" s="203"/>
      <c r="BF26" s="203"/>
      <c r="BG26" s="203"/>
      <c r="BH26" s="203"/>
      <c r="BI26" s="203"/>
      <c r="BJ26" s="203"/>
      <c r="BK26" s="203"/>
      <c r="BL26" s="203"/>
      <c r="BM26" s="203"/>
      <c r="BN26" s="203"/>
      <c r="BO26" s="203"/>
      <c r="BP26" s="204"/>
    </row>
    <row r="27" spans="1:68" s="1" customFormat="1" ht="30.75" customHeight="1">
      <c r="A27" s="74">
        <f t="shared" ref="A27:A35" si="2">ROW()-8-1</f>
        <v>18</v>
      </c>
      <c r="B27" s="75"/>
      <c r="C27" s="76"/>
      <c r="D27" s="199" t="s">
        <v>295</v>
      </c>
      <c r="E27" s="200"/>
      <c r="F27" s="200"/>
      <c r="G27" s="200"/>
      <c r="H27" s="200"/>
      <c r="I27" s="200"/>
      <c r="J27" s="200"/>
      <c r="K27" s="200"/>
      <c r="L27" s="200"/>
      <c r="M27" s="200"/>
      <c r="N27" s="200"/>
      <c r="O27" s="200"/>
      <c r="P27" s="200"/>
      <c r="Q27" s="200"/>
      <c r="R27" s="200"/>
      <c r="S27" s="200"/>
      <c r="T27" s="200"/>
      <c r="U27" s="200"/>
      <c r="V27" s="200"/>
      <c r="W27" s="200"/>
      <c r="X27" s="200"/>
      <c r="Y27" s="200"/>
      <c r="Z27" s="201"/>
      <c r="AA27" s="74" t="s">
        <v>634</v>
      </c>
      <c r="AB27" s="75"/>
      <c r="AC27" s="75"/>
      <c r="AD27" s="75"/>
      <c r="AE27" s="76"/>
      <c r="AF27" s="74">
        <v>14</v>
      </c>
      <c r="AG27" s="75"/>
      <c r="AH27" s="76"/>
      <c r="AI27" s="74" t="s">
        <v>1302</v>
      </c>
      <c r="AJ27" s="75"/>
      <c r="AK27" s="76"/>
      <c r="AL27" s="202" t="s">
        <v>1068</v>
      </c>
      <c r="AM27" s="203"/>
      <c r="AN27" s="203"/>
      <c r="AO27" s="203"/>
      <c r="AP27" s="203"/>
      <c r="AQ27" s="203"/>
      <c r="AR27" s="203"/>
      <c r="AS27" s="203"/>
      <c r="AT27" s="203"/>
      <c r="AU27" s="203"/>
      <c r="AV27" s="203"/>
      <c r="AW27" s="203"/>
      <c r="AX27" s="203"/>
      <c r="AY27" s="203"/>
      <c r="AZ27" s="203"/>
      <c r="BA27" s="203"/>
      <c r="BB27" s="203"/>
      <c r="BC27" s="203"/>
      <c r="BD27" s="203"/>
      <c r="BE27" s="203"/>
      <c r="BF27" s="203"/>
      <c r="BG27" s="203"/>
      <c r="BH27" s="203"/>
      <c r="BI27" s="203"/>
      <c r="BJ27" s="203"/>
      <c r="BK27" s="203"/>
      <c r="BL27" s="203"/>
      <c r="BM27" s="203"/>
      <c r="BN27" s="203"/>
      <c r="BO27" s="203"/>
      <c r="BP27" s="204"/>
    </row>
    <row r="28" spans="1:68" s="1" customFormat="1" ht="30.75" customHeight="1">
      <c r="A28" s="74">
        <f t="shared" si="2"/>
        <v>19</v>
      </c>
      <c r="B28" s="75"/>
      <c r="C28" s="76"/>
      <c r="D28" s="199" t="s">
        <v>296</v>
      </c>
      <c r="E28" s="200"/>
      <c r="F28" s="200"/>
      <c r="G28" s="200"/>
      <c r="H28" s="200"/>
      <c r="I28" s="200"/>
      <c r="J28" s="200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200"/>
      <c r="X28" s="200"/>
      <c r="Y28" s="200"/>
      <c r="Z28" s="201"/>
      <c r="AA28" s="74" t="s">
        <v>634</v>
      </c>
      <c r="AB28" s="75"/>
      <c r="AC28" s="75"/>
      <c r="AD28" s="75"/>
      <c r="AE28" s="76"/>
      <c r="AF28" s="74">
        <v>14</v>
      </c>
      <c r="AG28" s="75"/>
      <c r="AH28" s="76"/>
      <c r="AI28" s="74" t="s">
        <v>1302</v>
      </c>
      <c r="AJ28" s="75"/>
      <c r="AK28" s="76"/>
      <c r="AL28" s="202" t="s">
        <v>1069</v>
      </c>
      <c r="AM28" s="203"/>
      <c r="AN28" s="203"/>
      <c r="AO28" s="203"/>
      <c r="AP28" s="203"/>
      <c r="AQ28" s="203"/>
      <c r="AR28" s="203"/>
      <c r="AS28" s="203"/>
      <c r="AT28" s="203"/>
      <c r="AU28" s="203"/>
      <c r="AV28" s="203"/>
      <c r="AW28" s="203"/>
      <c r="AX28" s="203"/>
      <c r="AY28" s="203"/>
      <c r="AZ28" s="203"/>
      <c r="BA28" s="203"/>
      <c r="BB28" s="203"/>
      <c r="BC28" s="203"/>
      <c r="BD28" s="203"/>
      <c r="BE28" s="203"/>
      <c r="BF28" s="203"/>
      <c r="BG28" s="203"/>
      <c r="BH28" s="203"/>
      <c r="BI28" s="203"/>
      <c r="BJ28" s="203"/>
      <c r="BK28" s="203"/>
      <c r="BL28" s="203"/>
      <c r="BM28" s="203"/>
      <c r="BN28" s="203"/>
      <c r="BO28" s="203"/>
      <c r="BP28" s="204"/>
    </row>
    <row r="29" spans="1:68" s="1" customFormat="1" ht="30.75" customHeight="1">
      <c r="A29" s="74">
        <f t="shared" si="2"/>
        <v>20</v>
      </c>
      <c r="B29" s="75"/>
      <c r="C29" s="76"/>
      <c r="D29" s="199" t="s">
        <v>297</v>
      </c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0"/>
      <c r="Y29" s="200"/>
      <c r="Z29" s="201"/>
      <c r="AA29" s="74" t="s">
        <v>634</v>
      </c>
      <c r="AB29" s="75"/>
      <c r="AC29" s="75"/>
      <c r="AD29" s="75"/>
      <c r="AE29" s="76"/>
      <c r="AF29" s="74">
        <v>14</v>
      </c>
      <c r="AG29" s="75"/>
      <c r="AH29" s="76"/>
      <c r="AI29" s="74" t="s">
        <v>1302</v>
      </c>
      <c r="AJ29" s="75"/>
      <c r="AK29" s="76"/>
      <c r="AL29" s="202" t="s">
        <v>1070</v>
      </c>
      <c r="AM29" s="203"/>
      <c r="AN29" s="203"/>
      <c r="AO29" s="203"/>
      <c r="AP29" s="203"/>
      <c r="AQ29" s="203"/>
      <c r="AR29" s="203"/>
      <c r="AS29" s="203"/>
      <c r="AT29" s="203"/>
      <c r="AU29" s="203"/>
      <c r="AV29" s="203"/>
      <c r="AW29" s="203"/>
      <c r="AX29" s="203"/>
      <c r="AY29" s="203"/>
      <c r="AZ29" s="203"/>
      <c r="BA29" s="203"/>
      <c r="BB29" s="203"/>
      <c r="BC29" s="203"/>
      <c r="BD29" s="203"/>
      <c r="BE29" s="203"/>
      <c r="BF29" s="203"/>
      <c r="BG29" s="203"/>
      <c r="BH29" s="203"/>
      <c r="BI29" s="203"/>
      <c r="BJ29" s="203"/>
      <c r="BK29" s="203"/>
      <c r="BL29" s="203"/>
      <c r="BM29" s="203"/>
      <c r="BN29" s="203"/>
      <c r="BO29" s="203"/>
      <c r="BP29" s="204"/>
    </row>
    <row r="30" spans="1:68" s="1" customFormat="1" ht="30.75" customHeight="1">
      <c r="A30" s="74">
        <f t="shared" si="2"/>
        <v>21</v>
      </c>
      <c r="B30" s="75"/>
      <c r="C30" s="76"/>
      <c r="D30" s="199" t="s">
        <v>298</v>
      </c>
      <c r="E30" s="200"/>
      <c r="F30" s="200"/>
      <c r="G30" s="200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1"/>
      <c r="AA30" s="74" t="s">
        <v>634</v>
      </c>
      <c r="AB30" s="75"/>
      <c r="AC30" s="75"/>
      <c r="AD30" s="75"/>
      <c r="AE30" s="76"/>
      <c r="AF30" s="74">
        <v>14</v>
      </c>
      <c r="AG30" s="75"/>
      <c r="AH30" s="76"/>
      <c r="AI30" s="86" t="s">
        <v>1302</v>
      </c>
      <c r="AJ30" s="86"/>
      <c r="AK30" s="86"/>
      <c r="AL30" s="202" t="s">
        <v>1071</v>
      </c>
      <c r="AM30" s="203"/>
      <c r="AN30" s="203"/>
      <c r="AO30" s="203"/>
      <c r="AP30" s="203"/>
      <c r="AQ30" s="203"/>
      <c r="AR30" s="203"/>
      <c r="AS30" s="203"/>
      <c r="AT30" s="203"/>
      <c r="AU30" s="203"/>
      <c r="AV30" s="203"/>
      <c r="AW30" s="203"/>
      <c r="AX30" s="203"/>
      <c r="AY30" s="203"/>
      <c r="AZ30" s="203"/>
      <c r="BA30" s="203"/>
      <c r="BB30" s="203"/>
      <c r="BC30" s="203"/>
      <c r="BD30" s="203"/>
      <c r="BE30" s="203"/>
      <c r="BF30" s="203"/>
      <c r="BG30" s="203"/>
      <c r="BH30" s="203"/>
      <c r="BI30" s="203"/>
      <c r="BJ30" s="203"/>
      <c r="BK30" s="203"/>
      <c r="BL30" s="203"/>
      <c r="BM30" s="203"/>
      <c r="BN30" s="203"/>
      <c r="BO30" s="203"/>
      <c r="BP30" s="204"/>
    </row>
    <row r="31" spans="1:68" s="1" customFormat="1" ht="30.75" customHeight="1">
      <c r="A31" s="74">
        <f t="shared" si="2"/>
        <v>22</v>
      </c>
      <c r="B31" s="75"/>
      <c r="C31" s="76"/>
      <c r="D31" s="199" t="s">
        <v>299</v>
      </c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0"/>
      <c r="X31" s="200"/>
      <c r="Y31" s="200"/>
      <c r="Z31" s="201"/>
      <c r="AA31" s="74" t="s">
        <v>634</v>
      </c>
      <c r="AB31" s="75"/>
      <c r="AC31" s="75"/>
      <c r="AD31" s="75"/>
      <c r="AE31" s="76"/>
      <c r="AF31" s="74">
        <v>14</v>
      </c>
      <c r="AG31" s="75"/>
      <c r="AH31" s="76"/>
      <c r="AI31" s="86" t="s">
        <v>1302</v>
      </c>
      <c r="AJ31" s="86"/>
      <c r="AK31" s="86"/>
      <c r="AL31" s="202" t="s">
        <v>1072</v>
      </c>
      <c r="AM31" s="203"/>
      <c r="AN31" s="203"/>
      <c r="AO31" s="203"/>
      <c r="AP31" s="203"/>
      <c r="AQ31" s="203"/>
      <c r="AR31" s="203"/>
      <c r="AS31" s="203"/>
      <c r="AT31" s="203"/>
      <c r="AU31" s="203"/>
      <c r="AV31" s="203"/>
      <c r="AW31" s="203"/>
      <c r="AX31" s="203"/>
      <c r="AY31" s="203"/>
      <c r="AZ31" s="203"/>
      <c r="BA31" s="203"/>
      <c r="BB31" s="203"/>
      <c r="BC31" s="203"/>
      <c r="BD31" s="203"/>
      <c r="BE31" s="203"/>
      <c r="BF31" s="203"/>
      <c r="BG31" s="203"/>
      <c r="BH31" s="203"/>
      <c r="BI31" s="203"/>
      <c r="BJ31" s="203"/>
      <c r="BK31" s="203"/>
      <c r="BL31" s="203"/>
      <c r="BM31" s="203"/>
      <c r="BN31" s="203"/>
      <c r="BO31" s="203"/>
      <c r="BP31" s="204"/>
    </row>
    <row r="32" spans="1:68" s="1" customFormat="1" ht="30.75" customHeight="1">
      <c r="A32" s="74">
        <f t="shared" si="2"/>
        <v>23</v>
      </c>
      <c r="B32" s="75"/>
      <c r="C32" s="76"/>
      <c r="D32" s="199" t="s">
        <v>300</v>
      </c>
      <c r="E32" s="200"/>
      <c r="F32" s="200"/>
      <c r="G32" s="200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0"/>
      <c r="T32" s="200"/>
      <c r="U32" s="200"/>
      <c r="V32" s="200"/>
      <c r="W32" s="200"/>
      <c r="X32" s="200"/>
      <c r="Y32" s="200"/>
      <c r="Z32" s="201"/>
      <c r="AA32" s="74" t="s">
        <v>634</v>
      </c>
      <c r="AB32" s="75"/>
      <c r="AC32" s="75"/>
      <c r="AD32" s="75"/>
      <c r="AE32" s="76"/>
      <c r="AF32" s="74">
        <v>14</v>
      </c>
      <c r="AG32" s="75"/>
      <c r="AH32" s="76"/>
      <c r="AI32" s="86" t="s">
        <v>1302</v>
      </c>
      <c r="AJ32" s="86"/>
      <c r="AK32" s="86"/>
      <c r="AL32" s="202" t="s">
        <v>1073</v>
      </c>
      <c r="AM32" s="203"/>
      <c r="AN32" s="203"/>
      <c r="AO32" s="203"/>
      <c r="AP32" s="203"/>
      <c r="AQ32" s="203"/>
      <c r="AR32" s="203"/>
      <c r="AS32" s="203"/>
      <c r="AT32" s="203"/>
      <c r="AU32" s="203"/>
      <c r="AV32" s="203"/>
      <c r="AW32" s="203"/>
      <c r="AX32" s="203"/>
      <c r="AY32" s="203"/>
      <c r="AZ32" s="203"/>
      <c r="BA32" s="203"/>
      <c r="BB32" s="203"/>
      <c r="BC32" s="203"/>
      <c r="BD32" s="203"/>
      <c r="BE32" s="203"/>
      <c r="BF32" s="203"/>
      <c r="BG32" s="203"/>
      <c r="BH32" s="203"/>
      <c r="BI32" s="203"/>
      <c r="BJ32" s="203"/>
      <c r="BK32" s="203"/>
      <c r="BL32" s="203"/>
      <c r="BM32" s="203"/>
      <c r="BN32" s="203"/>
      <c r="BO32" s="203"/>
      <c r="BP32" s="204"/>
    </row>
    <row r="33" spans="1:68" s="1" customFormat="1" ht="30.75" customHeight="1">
      <c r="A33" s="74">
        <f t="shared" si="2"/>
        <v>24</v>
      </c>
      <c r="B33" s="75"/>
      <c r="C33" s="76"/>
      <c r="D33" s="199" t="s">
        <v>301</v>
      </c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1"/>
      <c r="AA33" s="74" t="s">
        <v>634</v>
      </c>
      <c r="AB33" s="75"/>
      <c r="AC33" s="75"/>
      <c r="AD33" s="75"/>
      <c r="AE33" s="76"/>
      <c r="AF33" s="74">
        <v>14</v>
      </c>
      <c r="AG33" s="75"/>
      <c r="AH33" s="76"/>
      <c r="AI33" s="86" t="s">
        <v>1302</v>
      </c>
      <c r="AJ33" s="86"/>
      <c r="AK33" s="86"/>
      <c r="AL33" s="202" t="s">
        <v>1074</v>
      </c>
      <c r="AM33" s="203"/>
      <c r="AN33" s="203"/>
      <c r="AO33" s="203"/>
      <c r="AP33" s="203"/>
      <c r="AQ33" s="203"/>
      <c r="AR33" s="203"/>
      <c r="AS33" s="203"/>
      <c r="AT33" s="203"/>
      <c r="AU33" s="203"/>
      <c r="AV33" s="203"/>
      <c r="AW33" s="203"/>
      <c r="AX33" s="203"/>
      <c r="AY33" s="203"/>
      <c r="AZ33" s="203"/>
      <c r="BA33" s="203"/>
      <c r="BB33" s="203"/>
      <c r="BC33" s="203"/>
      <c r="BD33" s="203"/>
      <c r="BE33" s="203"/>
      <c r="BF33" s="203"/>
      <c r="BG33" s="203"/>
      <c r="BH33" s="203"/>
      <c r="BI33" s="203"/>
      <c r="BJ33" s="203"/>
      <c r="BK33" s="203"/>
      <c r="BL33" s="203"/>
      <c r="BM33" s="203"/>
      <c r="BN33" s="203"/>
      <c r="BO33" s="203"/>
      <c r="BP33" s="204"/>
    </row>
    <row r="34" spans="1:68" s="1" customFormat="1" ht="30.75" customHeight="1">
      <c r="A34" s="74">
        <f t="shared" si="2"/>
        <v>25</v>
      </c>
      <c r="B34" s="75"/>
      <c r="C34" s="76"/>
      <c r="D34" s="199" t="s">
        <v>302</v>
      </c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R34" s="200"/>
      <c r="S34" s="200"/>
      <c r="T34" s="200"/>
      <c r="U34" s="200"/>
      <c r="V34" s="200"/>
      <c r="W34" s="200"/>
      <c r="X34" s="200"/>
      <c r="Y34" s="200"/>
      <c r="Z34" s="201"/>
      <c r="AA34" s="74" t="s">
        <v>634</v>
      </c>
      <c r="AB34" s="75"/>
      <c r="AC34" s="75"/>
      <c r="AD34" s="75"/>
      <c r="AE34" s="76"/>
      <c r="AF34" s="74">
        <v>14</v>
      </c>
      <c r="AG34" s="75"/>
      <c r="AH34" s="76"/>
      <c r="AI34" s="86" t="s">
        <v>1302</v>
      </c>
      <c r="AJ34" s="86"/>
      <c r="AK34" s="86"/>
      <c r="AL34" s="202" t="s">
        <v>1075</v>
      </c>
      <c r="AM34" s="203"/>
      <c r="AN34" s="203"/>
      <c r="AO34" s="203"/>
      <c r="AP34" s="203"/>
      <c r="AQ34" s="203"/>
      <c r="AR34" s="203"/>
      <c r="AS34" s="203"/>
      <c r="AT34" s="203"/>
      <c r="AU34" s="203"/>
      <c r="AV34" s="203"/>
      <c r="AW34" s="203"/>
      <c r="AX34" s="203"/>
      <c r="AY34" s="203"/>
      <c r="AZ34" s="203"/>
      <c r="BA34" s="203"/>
      <c r="BB34" s="203"/>
      <c r="BC34" s="203"/>
      <c r="BD34" s="203"/>
      <c r="BE34" s="203"/>
      <c r="BF34" s="203"/>
      <c r="BG34" s="203"/>
      <c r="BH34" s="203"/>
      <c r="BI34" s="203"/>
      <c r="BJ34" s="203"/>
      <c r="BK34" s="203"/>
      <c r="BL34" s="203"/>
      <c r="BM34" s="203"/>
      <c r="BN34" s="203"/>
      <c r="BO34" s="203"/>
      <c r="BP34" s="204"/>
    </row>
    <row r="35" spans="1:68" s="1" customFormat="1" ht="30.75" customHeight="1">
      <c r="A35" s="74">
        <f t="shared" si="2"/>
        <v>26</v>
      </c>
      <c r="B35" s="75"/>
      <c r="C35" s="76"/>
      <c r="D35" s="199" t="s">
        <v>303</v>
      </c>
      <c r="E35" s="200"/>
      <c r="F35" s="20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1"/>
      <c r="AA35" s="74" t="s">
        <v>634</v>
      </c>
      <c r="AB35" s="75"/>
      <c r="AC35" s="75"/>
      <c r="AD35" s="75"/>
      <c r="AE35" s="76"/>
      <c r="AF35" s="74">
        <v>14</v>
      </c>
      <c r="AG35" s="75"/>
      <c r="AH35" s="76"/>
      <c r="AI35" s="86" t="s">
        <v>1302</v>
      </c>
      <c r="AJ35" s="86"/>
      <c r="AK35" s="86"/>
      <c r="AL35" s="202" t="s">
        <v>1076</v>
      </c>
      <c r="AM35" s="203"/>
      <c r="AN35" s="203"/>
      <c r="AO35" s="203"/>
      <c r="AP35" s="203"/>
      <c r="AQ35" s="203"/>
      <c r="AR35" s="203"/>
      <c r="AS35" s="203"/>
      <c r="AT35" s="203"/>
      <c r="AU35" s="203"/>
      <c r="AV35" s="203"/>
      <c r="AW35" s="203"/>
      <c r="AX35" s="203"/>
      <c r="AY35" s="203"/>
      <c r="AZ35" s="203"/>
      <c r="BA35" s="203"/>
      <c r="BB35" s="203"/>
      <c r="BC35" s="203"/>
      <c r="BD35" s="203"/>
      <c r="BE35" s="203"/>
      <c r="BF35" s="203"/>
      <c r="BG35" s="203"/>
      <c r="BH35" s="203"/>
      <c r="BI35" s="203"/>
      <c r="BJ35" s="203"/>
      <c r="BK35" s="203"/>
      <c r="BL35" s="203"/>
      <c r="BM35" s="203"/>
      <c r="BN35" s="203"/>
      <c r="BO35" s="203"/>
      <c r="BP35" s="204"/>
    </row>
    <row r="36" spans="1:68" s="1" customFormat="1" ht="30.75" customHeight="1">
      <c r="A36" s="74"/>
      <c r="B36" s="75"/>
      <c r="C36" s="76"/>
      <c r="D36" s="199" t="s">
        <v>304</v>
      </c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1"/>
      <c r="AA36" s="74"/>
      <c r="AB36" s="75"/>
      <c r="AC36" s="75"/>
      <c r="AD36" s="75"/>
      <c r="AE36" s="76"/>
      <c r="AF36" s="86"/>
      <c r="AG36" s="86"/>
      <c r="AH36" s="86"/>
      <c r="AI36" s="86"/>
      <c r="AJ36" s="86"/>
      <c r="AK36" s="86"/>
      <c r="AL36" s="202"/>
      <c r="AM36" s="203"/>
      <c r="AN36" s="203"/>
      <c r="AO36" s="203"/>
      <c r="AP36" s="203"/>
      <c r="AQ36" s="203"/>
      <c r="AR36" s="203"/>
      <c r="AS36" s="203"/>
      <c r="AT36" s="203"/>
      <c r="AU36" s="203"/>
      <c r="AV36" s="203"/>
      <c r="AW36" s="203"/>
      <c r="AX36" s="203"/>
      <c r="AY36" s="203"/>
      <c r="AZ36" s="203"/>
      <c r="BA36" s="203"/>
      <c r="BB36" s="203"/>
      <c r="BC36" s="203"/>
      <c r="BD36" s="203"/>
      <c r="BE36" s="203"/>
      <c r="BF36" s="203"/>
      <c r="BG36" s="203"/>
      <c r="BH36" s="203"/>
      <c r="BI36" s="203"/>
      <c r="BJ36" s="203"/>
      <c r="BK36" s="203"/>
      <c r="BL36" s="203"/>
      <c r="BM36" s="203"/>
      <c r="BN36" s="203"/>
      <c r="BO36" s="203"/>
      <c r="BP36" s="204"/>
    </row>
    <row r="37" spans="1:68" s="1" customFormat="1" ht="30.75" customHeight="1">
      <c r="A37" s="74">
        <f>ROW()-8-2</f>
        <v>27</v>
      </c>
      <c r="B37" s="75"/>
      <c r="C37" s="76"/>
      <c r="D37" s="199" t="s">
        <v>1321</v>
      </c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1"/>
      <c r="AA37" s="74" t="s">
        <v>634</v>
      </c>
      <c r="AB37" s="75"/>
      <c r="AC37" s="75"/>
      <c r="AD37" s="75"/>
      <c r="AE37" s="76"/>
      <c r="AF37" s="86">
        <v>14</v>
      </c>
      <c r="AG37" s="86"/>
      <c r="AH37" s="86"/>
      <c r="AI37" s="86" t="s">
        <v>1302</v>
      </c>
      <c r="AJ37" s="86"/>
      <c r="AK37" s="86"/>
      <c r="AL37" s="202" t="s">
        <v>1339</v>
      </c>
      <c r="AM37" s="203"/>
      <c r="AN37" s="203"/>
      <c r="AO37" s="203"/>
      <c r="AP37" s="203"/>
      <c r="AQ37" s="203"/>
      <c r="AR37" s="203"/>
      <c r="AS37" s="203"/>
      <c r="AT37" s="203"/>
      <c r="AU37" s="203"/>
      <c r="AV37" s="203"/>
      <c r="AW37" s="203"/>
      <c r="AX37" s="203"/>
      <c r="AY37" s="203"/>
      <c r="AZ37" s="203"/>
      <c r="BA37" s="203"/>
      <c r="BB37" s="203"/>
      <c r="BC37" s="203"/>
      <c r="BD37" s="203"/>
      <c r="BE37" s="203"/>
      <c r="BF37" s="203"/>
      <c r="BG37" s="203"/>
      <c r="BH37" s="203"/>
      <c r="BI37" s="203"/>
      <c r="BJ37" s="203"/>
      <c r="BK37" s="203"/>
      <c r="BL37" s="203"/>
      <c r="BM37" s="203"/>
      <c r="BN37" s="203"/>
      <c r="BO37" s="203"/>
      <c r="BP37" s="204"/>
    </row>
    <row r="38" spans="1:68" s="1" customFormat="1" ht="30.75" customHeight="1">
      <c r="A38" s="74">
        <f t="shared" ref="A38:A61" si="3">ROW()-8-2</f>
        <v>28</v>
      </c>
      <c r="B38" s="75"/>
      <c r="C38" s="76"/>
      <c r="D38" s="199" t="s">
        <v>305</v>
      </c>
      <c r="E38" s="200"/>
      <c r="F38" s="200"/>
      <c r="G38" s="200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1"/>
      <c r="AA38" s="74" t="s">
        <v>634</v>
      </c>
      <c r="AB38" s="75"/>
      <c r="AC38" s="75"/>
      <c r="AD38" s="75"/>
      <c r="AE38" s="76"/>
      <c r="AF38" s="86">
        <v>14</v>
      </c>
      <c r="AG38" s="86"/>
      <c r="AH38" s="86"/>
      <c r="AI38" s="86" t="s">
        <v>1302</v>
      </c>
      <c r="AJ38" s="86"/>
      <c r="AK38" s="86"/>
      <c r="AL38" s="202" t="s">
        <v>1077</v>
      </c>
      <c r="AM38" s="203"/>
      <c r="AN38" s="203"/>
      <c r="AO38" s="203"/>
      <c r="AP38" s="203"/>
      <c r="AQ38" s="203"/>
      <c r="AR38" s="203"/>
      <c r="AS38" s="203"/>
      <c r="AT38" s="203"/>
      <c r="AU38" s="203"/>
      <c r="AV38" s="203"/>
      <c r="AW38" s="203"/>
      <c r="AX38" s="203"/>
      <c r="AY38" s="203"/>
      <c r="AZ38" s="203"/>
      <c r="BA38" s="203"/>
      <c r="BB38" s="203"/>
      <c r="BC38" s="203"/>
      <c r="BD38" s="203"/>
      <c r="BE38" s="203"/>
      <c r="BF38" s="203"/>
      <c r="BG38" s="203"/>
      <c r="BH38" s="203"/>
      <c r="BI38" s="203"/>
      <c r="BJ38" s="203"/>
      <c r="BK38" s="203"/>
      <c r="BL38" s="203"/>
      <c r="BM38" s="203"/>
      <c r="BN38" s="203"/>
      <c r="BO38" s="203"/>
      <c r="BP38" s="204"/>
    </row>
    <row r="39" spans="1:68" s="1" customFormat="1" ht="30.75" customHeight="1">
      <c r="A39" s="74">
        <f t="shared" si="3"/>
        <v>29</v>
      </c>
      <c r="B39" s="75"/>
      <c r="C39" s="76"/>
      <c r="D39" s="199" t="s">
        <v>306</v>
      </c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1"/>
      <c r="AA39" s="74" t="s">
        <v>634</v>
      </c>
      <c r="AB39" s="75"/>
      <c r="AC39" s="75"/>
      <c r="AD39" s="75"/>
      <c r="AE39" s="76"/>
      <c r="AF39" s="86">
        <v>14</v>
      </c>
      <c r="AG39" s="86"/>
      <c r="AH39" s="86"/>
      <c r="AI39" s="86" t="s">
        <v>1302</v>
      </c>
      <c r="AJ39" s="86"/>
      <c r="AK39" s="86"/>
      <c r="AL39" s="202" t="s">
        <v>1078</v>
      </c>
      <c r="AM39" s="203"/>
      <c r="AN39" s="203"/>
      <c r="AO39" s="203"/>
      <c r="AP39" s="203"/>
      <c r="AQ39" s="203"/>
      <c r="AR39" s="203"/>
      <c r="AS39" s="203"/>
      <c r="AT39" s="203"/>
      <c r="AU39" s="203"/>
      <c r="AV39" s="203"/>
      <c r="AW39" s="203"/>
      <c r="AX39" s="203"/>
      <c r="AY39" s="203"/>
      <c r="AZ39" s="203"/>
      <c r="BA39" s="203"/>
      <c r="BB39" s="203"/>
      <c r="BC39" s="203"/>
      <c r="BD39" s="203"/>
      <c r="BE39" s="203"/>
      <c r="BF39" s="203"/>
      <c r="BG39" s="203"/>
      <c r="BH39" s="203"/>
      <c r="BI39" s="203"/>
      <c r="BJ39" s="203"/>
      <c r="BK39" s="203"/>
      <c r="BL39" s="203"/>
      <c r="BM39" s="203"/>
      <c r="BN39" s="203"/>
      <c r="BO39" s="203"/>
      <c r="BP39" s="204"/>
    </row>
    <row r="40" spans="1:68" s="1" customFormat="1" ht="30.75" customHeight="1">
      <c r="A40" s="74">
        <f t="shared" si="3"/>
        <v>30</v>
      </c>
      <c r="B40" s="75"/>
      <c r="C40" s="76"/>
      <c r="D40" s="199" t="s">
        <v>307</v>
      </c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200"/>
      <c r="X40" s="200"/>
      <c r="Y40" s="200"/>
      <c r="Z40" s="201"/>
      <c r="AA40" s="74" t="s">
        <v>634</v>
      </c>
      <c r="AB40" s="75"/>
      <c r="AC40" s="75"/>
      <c r="AD40" s="75"/>
      <c r="AE40" s="76"/>
      <c r="AF40" s="86">
        <v>14</v>
      </c>
      <c r="AG40" s="86"/>
      <c r="AH40" s="86"/>
      <c r="AI40" s="86" t="s">
        <v>1302</v>
      </c>
      <c r="AJ40" s="86"/>
      <c r="AK40" s="86"/>
      <c r="AL40" s="202" t="s">
        <v>1079</v>
      </c>
      <c r="AM40" s="203"/>
      <c r="AN40" s="203"/>
      <c r="AO40" s="203"/>
      <c r="AP40" s="203"/>
      <c r="AQ40" s="203"/>
      <c r="AR40" s="203"/>
      <c r="AS40" s="203"/>
      <c r="AT40" s="203"/>
      <c r="AU40" s="203"/>
      <c r="AV40" s="203"/>
      <c r="AW40" s="203"/>
      <c r="AX40" s="203"/>
      <c r="AY40" s="203"/>
      <c r="AZ40" s="203"/>
      <c r="BA40" s="203"/>
      <c r="BB40" s="203"/>
      <c r="BC40" s="203"/>
      <c r="BD40" s="203"/>
      <c r="BE40" s="203"/>
      <c r="BF40" s="203"/>
      <c r="BG40" s="203"/>
      <c r="BH40" s="203"/>
      <c r="BI40" s="203"/>
      <c r="BJ40" s="203"/>
      <c r="BK40" s="203"/>
      <c r="BL40" s="203"/>
      <c r="BM40" s="203"/>
      <c r="BN40" s="203"/>
      <c r="BO40" s="203"/>
      <c r="BP40" s="204"/>
    </row>
    <row r="41" spans="1:68" s="1" customFormat="1" ht="30.75" customHeight="1">
      <c r="A41" s="74">
        <f t="shared" si="3"/>
        <v>31</v>
      </c>
      <c r="B41" s="75"/>
      <c r="C41" s="76"/>
      <c r="D41" s="199" t="s">
        <v>308</v>
      </c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1"/>
      <c r="AA41" s="74" t="s">
        <v>634</v>
      </c>
      <c r="AB41" s="75"/>
      <c r="AC41" s="75"/>
      <c r="AD41" s="75"/>
      <c r="AE41" s="76"/>
      <c r="AF41" s="86">
        <v>14</v>
      </c>
      <c r="AG41" s="86"/>
      <c r="AH41" s="86"/>
      <c r="AI41" s="86" t="s">
        <v>1302</v>
      </c>
      <c r="AJ41" s="86"/>
      <c r="AK41" s="86"/>
      <c r="AL41" s="202" t="s">
        <v>1080</v>
      </c>
      <c r="AM41" s="203"/>
      <c r="AN41" s="203"/>
      <c r="AO41" s="203"/>
      <c r="AP41" s="203"/>
      <c r="AQ41" s="203"/>
      <c r="AR41" s="203"/>
      <c r="AS41" s="203"/>
      <c r="AT41" s="203"/>
      <c r="AU41" s="203"/>
      <c r="AV41" s="203"/>
      <c r="AW41" s="203"/>
      <c r="AX41" s="203"/>
      <c r="AY41" s="203"/>
      <c r="AZ41" s="203"/>
      <c r="BA41" s="203"/>
      <c r="BB41" s="203"/>
      <c r="BC41" s="203"/>
      <c r="BD41" s="203"/>
      <c r="BE41" s="203"/>
      <c r="BF41" s="203"/>
      <c r="BG41" s="203"/>
      <c r="BH41" s="203"/>
      <c r="BI41" s="203"/>
      <c r="BJ41" s="203"/>
      <c r="BK41" s="203"/>
      <c r="BL41" s="203"/>
      <c r="BM41" s="203"/>
      <c r="BN41" s="203"/>
      <c r="BO41" s="203"/>
      <c r="BP41" s="204"/>
    </row>
    <row r="42" spans="1:68" s="1" customFormat="1" ht="30.75" customHeight="1">
      <c r="A42" s="74">
        <f t="shared" si="3"/>
        <v>32</v>
      </c>
      <c r="B42" s="75"/>
      <c r="C42" s="76"/>
      <c r="D42" s="199" t="s">
        <v>309</v>
      </c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200"/>
      <c r="Y42" s="200"/>
      <c r="Z42" s="201"/>
      <c r="AA42" s="74" t="s">
        <v>634</v>
      </c>
      <c r="AB42" s="75"/>
      <c r="AC42" s="75"/>
      <c r="AD42" s="75"/>
      <c r="AE42" s="76"/>
      <c r="AF42" s="86">
        <v>14</v>
      </c>
      <c r="AG42" s="86"/>
      <c r="AH42" s="86"/>
      <c r="AI42" s="86" t="s">
        <v>1302</v>
      </c>
      <c r="AJ42" s="86"/>
      <c r="AK42" s="86"/>
      <c r="AL42" s="202" t="s">
        <v>1081</v>
      </c>
      <c r="AM42" s="203"/>
      <c r="AN42" s="203"/>
      <c r="AO42" s="203"/>
      <c r="AP42" s="203"/>
      <c r="AQ42" s="203"/>
      <c r="AR42" s="203"/>
      <c r="AS42" s="203"/>
      <c r="AT42" s="203"/>
      <c r="AU42" s="203"/>
      <c r="AV42" s="203"/>
      <c r="AW42" s="203"/>
      <c r="AX42" s="203"/>
      <c r="AY42" s="203"/>
      <c r="AZ42" s="203"/>
      <c r="BA42" s="203"/>
      <c r="BB42" s="203"/>
      <c r="BC42" s="203"/>
      <c r="BD42" s="203"/>
      <c r="BE42" s="203"/>
      <c r="BF42" s="203"/>
      <c r="BG42" s="203"/>
      <c r="BH42" s="203"/>
      <c r="BI42" s="203"/>
      <c r="BJ42" s="203"/>
      <c r="BK42" s="203"/>
      <c r="BL42" s="203"/>
      <c r="BM42" s="203"/>
      <c r="BN42" s="203"/>
      <c r="BO42" s="203"/>
      <c r="BP42" s="204"/>
    </row>
    <row r="43" spans="1:68" s="1" customFormat="1" ht="30.75" customHeight="1">
      <c r="A43" s="74">
        <f t="shared" si="3"/>
        <v>33</v>
      </c>
      <c r="B43" s="75"/>
      <c r="C43" s="76"/>
      <c r="D43" s="199" t="s">
        <v>310</v>
      </c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1"/>
      <c r="AA43" s="74" t="s">
        <v>634</v>
      </c>
      <c r="AB43" s="75"/>
      <c r="AC43" s="75"/>
      <c r="AD43" s="75"/>
      <c r="AE43" s="76"/>
      <c r="AF43" s="86">
        <v>14</v>
      </c>
      <c r="AG43" s="86"/>
      <c r="AH43" s="86"/>
      <c r="AI43" s="86" t="s">
        <v>1302</v>
      </c>
      <c r="AJ43" s="86"/>
      <c r="AK43" s="86"/>
      <c r="AL43" s="202" t="s">
        <v>1082</v>
      </c>
      <c r="AM43" s="203"/>
      <c r="AN43" s="203"/>
      <c r="AO43" s="203"/>
      <c r="AP43" s="203"/>
      <c r="AQ43" s="203"/>
      <c r="AR43" s="203"/>
      <c r="AS43" s="203"/>
      <c r="AT43" s="203"/>
      <c r="AU43" s="203"/>
      <c r="AV43" s="203"/>
      <c r="AW43" s="203"/>
      <c r="AX43" s="203"/>
      <c r="AY43" s="203"/>
      <c r="AZ43" s="203"/>
      <c r="BA43" s="203"/>
      <c r="BB43" s="203"/>
      <c r="BC43" s="203"/>
      <c r="BD43" s="203"/>
      <c r="BE43" s="203"/>
      <c r="BF43" s="203"/>
      <c r="BG43" s="203"/>
      <c r="BH43" s="203"/>
      <c r="BI43" s="203"/>
      <c r="BJ43" s="203"/>
      <c r="BK43" s="203"/>
      <c r="BL43" s="203"/>
      <c r="BM43" s="203"/>
      <c r="BN43" s="203"/>
      <c r="BO43" s="203"/>
      <c r="BP43" s="204"/>
    </row>
    <row r="44" spans="1:68" s="1" customFormat="1" ht="30.75" customHeight="1">
      <c r="A44" s="74">
        <f t="shared" si="3"/>
        <v>34</v>
      </c>
      <c r="B44" s="75"/>
      <c r="C44" s="76"/>
      <c r="D44" s="199" t="s">
        <v>311</v>
      </c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1"/>
      <c r="AA44" s="74" t="s">
        <v>634</v>
      </c>
      <c r="AB44" s="75"/>
      <c r="AC44" s="75"/>
      <c r="AD44" s="75"/>
      <c r="AE44" s="76"/>
      <c r="AF44" s="86">
        <v>14</v>
      </c>
      <c r="AG44" s="86"/>
      <c r="AH44" s="86"/>
      <c r="AI44" s="74" t="s">
        <v>1302</v>
      </c>
      <c r="AJ44" s="75"/>
      <c r="AK44" s="76"/>
      <c r="AL44" s="202" t="s">
        <v>1083</v>
      </c>
      <c r="AM44" s="203"/>
      <c r="AN44" s="203"/>
      <c r="AO44" s="203"/>
      <c r="AP44" s="203"/>
      <c r="AQ44" s="203"/>
      <c r="AR44" s="203"/>
      <c r="AS44" s="203"/>
      <c r="AT44" s="203"/>
      <c r="AU44" s="203"/>
      <c r="AV44" s="203"/>
      <c r="AW44" s="203"/>
      <c r="AX44" s="203"/>
      <c r="AY44" s="203"/>
      <c r="AZ44" s="203"/>
      <c r="BA44" s="203"/>
      <c r="BB44" s="203"/>
      <c r="BC44" s="203"/>
      <c r="BD44" s="203"/>
      <c r="BE44" s="203"/>
      <c r="BF44" s="203"/>
      <c r="BG44" s="203"/>
      <c r="BH44" s="203"/>
      <c r="BI44" s="203"/>
      <c r="BJ44" s="203"/>
      <c r="BK44" s="203"/>
      <c r="BL44" s="203"/>
      <c r="BM44" s="203"/>
      <c r="BN44" s="203"/>
      <c r="BO44" s="203"/>
      <c r="BP44" s="204"/>
    </row>
    <row r="45" spans="1:68" s="1" customFormat="1" ht="30.75" customHeight="1">
      <c r="A45" s="74">
        <f t="shared" si="3"/>
        <v>35</v>
      </c>
      <c r="B45" s="75"/>
      <c r="C45" s="76"/>
      <c r="D45" s="199" t="s">
        <v>1325</v>
      </c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1"/>
      <c r="AA45" s="74" t="s">
        <v>634</v>
      </c>
      <c r="AB45" s="75"/>
      <c r="AC45" s="75"/>
      <c r="AD45" s="75"/>
      <c r="AE45" s="76"/>
      <c r="AF45" s="74">
        <v>14</v>
      </c>
      <c r="AG45" s="75"/>
      <c r="AH45" s="76"/>
      <c r="AI45" s="74" t="s">
        <v>1302</v>
      </c>
      <c r="AJ45" s="75"/>
      <c r="AK45" s="76"/>
      <c r="AL45" s="202" t="s">
        <v>1337</v>
      </c>
      <c r="AM45" s="203"/>
      <c r="AN45" s="203"/>
      <c r="AO45" s="203"/>
      <c r="AP45" s="203"/>
      <c r="AQ45" s="203"/>
      <c r="AR45" s="203"/>
      <c r="AS45" s="203"/>
      <c r="AT45" s="203"/>
      <c r="AU45" s="203"/>
      <c r="AV45" s="203"/>
      <c r="AW45" s="203"/>
      <c r="AX45" s="203"/>
      <c r="AY45" s="203"/>
      <c r="AZ45" s="203"/>
      <c r="BA45" s="203"/>
      <c r="BB45" s="203"/>
      <c r="BC45" s="203"/>
      <c r="BD45" s="203"/>
      <c r="BE45" s="203"/>
      <c r="BF45" s="203"/>
      <c r="BG45" s="203"/>
      <c r="BH45" s="203"/>
      <c r="BI45" s="203"/>
      <c r="BJ45" s="203"/>
      <c r="BK45" s="203"/>
      <c r="BL45" s="203"/>
      <c r="BM45" s="203"/>
      <c r="BN45" s="203"/>
      <c r="BO45" s="203"/>
      <c r="BP45" s="204"/>
    </row>
    <row r="46" spans="1:68" s="1" customFormat="1" ht="30.75" customHeight="1">
      <c r="A46" s="74">
        <f t="shared" si="3"/>
        <v>36</v>
      </c>
      <c r="B46" s="75"/>
      <c r="C46" s="76"/>
      <c r="D46" s="199" t="s">
        <v>312</v>
      </c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1"/>
      <c r="AA46" s="80" t="s">
        <v>634</v>
      </c>
      <c r="AB46" s="81"/>
      <c r="AC46" s="81"/>
      <c r="AD46" s="81"/>
      <c r="AE46" s="82"/>
      <c r="AF46" s="74">
        <v>14</v>
      </c>
      <c r="AG46" s="75"/>
      <c r="AH46" s="76"/>
      <c r="AI46" s="74" t="s">
        <v>1302</v>
      </c>
      <c r="AJ46" s="75"/>
      <c r="AK46" s="76"/>
      <c r="AL46" s="202" t="s">
        <v>1084</v>
      </c>
      <c r="AM46" s="203"/>
      <c r="AN46" s="203"/>
      <c r="AO46" s="203"/>
      <c r="AP46" s="203"/>
      <c r="AQ46" s="203"/>
      <c r="AR46" s="203"/>
      <c r="AS46" s="203"/>
      <c r="AT46" s="203"/>
      <c r="AU46" s="203"/>
      <c r="AV46" s="203"/>
      <c r="AW46" s="203"/>
      <c r="AX46" s="203"/>
      <c r="AY46" s="203"/>
      <c r="AZ46" s="203"/>
      <c r="BA46" s="203"/>
      <c r="BB46" s="203"/>
      <c r="BC46" s="203"/>
      <c r="BD46" s="203"/>
      <c r="BE46" s="203"/>
      <c r="BF46" s="203"/>
      <c r="BG46" s="203"/>
      <c r="BH46" s="203"/>
      <c r="BI46" s="203"/>
      <c r="BJ46" s="203"/>
      <c r="BK46" s="203"/>
      <c r="BL46" s="203"/>
      <c r="BM46" s="203"/>
      <c r="BN46" s="203"/>
      <c r="BO46" s="203"/>
      <c r="BP46" s="204"/>
    </row>
    <row r="47" spans="1:68" s="1" customFormat="1" ht="30.75" customHeight="1">
      <c r="A47" s="74">
        <f t="shared" si="3"/>
        <v>37</v>
      </c>
      <c r="B47" s="75"/>
      <c r="C47" s="76"/>
      <c r="D47" s="199" t="s">
        <v>313</v>
      </c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1"/>
      <c r="AA47" s="80" t="s">
        <v>634</v>
      </c>
      <c r="AB47" s="81"/>
      <c r="AC47" s="81"/>
      <c r="AD47" s="81"/>
      <c r="AE47" s="82"/>
      <c r="AF47" s="74">
        <v>14</v>
      </c>
      <c r="AG47" s="75"/>
      <c r="AH47" s="76"/>
      <c r="AI47" s="80" t="s">
        <v>1302</v>
      </c>
      <c r="AJ47" s="81"/>
      <c r="AK47" s="82"/>
      <c r="AL47" s="202" t="s">
        <v>1085</v>
      </c>
      <c r="AM47" s="203"/>
      <c r="AN47" s="203"/>
      <c r="AO47" s="203"/>
      <c r="AP47" s="203"/>
      <c r="AQ47" s="203"/>
      <c r="AR47" s="203"/>
      <c r="AS47" s="203"/>
      <c r="AT47" s="203"/>
      <c r="AU47" s="203"/>
      <c r="AV47" s="203"/>
      <c r="AW47" s="203"/>
      <c r="AX47" s="203"/>
      <c r="AY47" s="203"/>
      <c r="AZ47" s="203"/>
      <c r="BA47" s="203"/>
      <c r="BB47" s="203"/>
      <c r="BC47" s="203"/>
      <c r="BD47" s="203"/>
      <c r="BE47" s="203"/>
      <c r="BF47" s="203"/>
      <c r="BG47" s="203"/>
      <c r="BH47" s="203"/>
      <c r="BI47" s="203"/>
      <c r="BJ47" s="203"/>
      <c r="BK47" s="203"/>
      <c r="BL47" s="203"/>
      <c r="BM47" s="203"/>
      <c r="BN47" s="203"/>
      <c r="BO47" s="203"/>
      <c r="BP47" s="204"/>
    </row>
    <row r="48" spans="1:68" s="1" customFormat="1" ht="30.75" customHeight="1">
      <c r="A48" s="74">
        <f t="shared" si="3"/>
        <v>38</v>
      </c>
      <c r="B48" s="75"/>
      <c r="C48" s="76"/>
      <c r="D48" s="199" t="s">
        <v>314</v>
      </c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201"/>
      <c r="AA48" s="74" t="s">
        <v>634</v>
      </c>
      <c r="AB48" s="75"/>
      <c r="AC48" s="75"/>
      <c r="AD48" s="75"/>
      <c r="AE48" s="76"/>
      <c r="AF48" s="74">
        <v>14</v>
      </c>
      <c r="AG48" s="75"/>
      <c r="AH48" s="76"/>
      <c r="AI48" s="86" t="s">
        <v>1302</v>
      </c>
      <c r="AJ48" s="86"/>
      <c r="AK48" s="86"/>
      <c r="AL48" s="202" t="s">
        <v>1086</v>
      </c>
      <c r="AM48" s="203"/>
      <c r="AN48" s="203"/>
      <c r="AO48" s="203"/>
      <c r="AP48" s="203"/>
      <c r="AQ48" s="203"/>
      <c r="AR48" s="203"/>
      <c r="AS48" s="203"/>
      <c r="AT48" s="203"/>
      <c r="AU48" s="203"/>
      <c r="AV48" s="203"/>
      <c r="AW48" s="203"/>
      <c r="AX48" s="203"/>
      <c r="AY48" s="203"/>
      <c r="AZ48" s="203"/>
      <c r="BA48" s="203"/>
      <c r="BB48" s="203"/>
      <c r="BC48" s="203"/>
      <c r="BD48" s="203"/>
      <c r="BE48" s="203"/>
      <c r="BF48" s="203"/>
      <c r="BG48" s="203"/>
      <c r="BH48" s="203"/>
      <c r="BI48" s="203"/>
      <c r="BJ48" s="203"/>
      <c r="BK48" s="203"/>
      <c r="BL48" s="203"/>
      <c r="BM48" s="203"/>
      <c r="BN48" s="203"/>
      <c r="BO48" s="203"/>
      <c r="BP48" s="204"/>
    </row>
    <row r="49" spans="1:68" s="1" customFormat="1" ht="30.75" customHeight="1">
      <c r="A49" s="74">
        <f t="shared" si="3"/>
        <v>39</v>
      </c>
      <c r="B49" s="75"/>
      <c r="C49" s="76"/>
      <c r="D49" s="199" t="s">
        <v>315</v>
      </c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1"/>
      <c r="AA49" s="74" t="s">
        <v>634</v>
      </c>
      <c r="AB49" s="75"/>
      <c r="AC49" s="75"/>
      <c r="AD49" s="75"/>
      <c r="AE49" s="76"/>
      <c r="AF49" s="74">
        <v>14</v>
      </c>
      <c r="AG49" s="75"/>
      <c r="AH49" s="76"/>
      <c r="AI49" s="141" t="s">
        <v>1302</v>
      </c>
      <c r="AJ49" s="141"/>
      <c r="AK49" s="141"/>
      <c r="AL49" s="202" t="s">
        <v>1087</v>
      </c>
      <c r="AM49" s="203"/>
      <c r="AN49" s="203"/>
      <c r="AO49" s="203"/>
      <c r="AP49" s="203"/>
      <c r="AQ49" s="203"/>
      <c r="AR49" s="203"/>
      <c r="AS49" s="203"/>
      <c r="AT49" s="203"/>
      <c r="AU49" s="203"/>
      <c r="AV49" s="203"/>
      <c r="AW49" s="203"/>
      <c r="AX49" s="203"/>
      <c r="AY49" s="203"/>
      <c r="AZ49" s="203"/>
      <c r="BA49" s="203"/>
      <c r="BB49" s="203"/>
      <c r="BC49" s="203"/>
      <c r="BD49" s="203"/>
      <c r="BE49" s="203"/>
      <c r="BF49" s="203"/>
      <c r="BG49" s="203"/>
      <c r="BH49" s="203"/>
      <c r="BI49" s="203"/>
      <c r="BJ49" s="203"/>
      <c r="BK49" s="203"/>
      <c r="BL49" s="203"/>
      <c r="BM49" s="203"/>
      <c r="BN49" s="203"/>
      <c r="BO49" s="203"/>
      <c r="BP49" s="204"/>
    </row>
    <row r="50" spans="1:68" s="1" customFormat="1" ht="30.75" customHeight="1">
      <c r="A50" s="74">
        <f t="shared" si="3"/>
        <v>40</v>
      </c>
      <c r="B50" s="75"/>
      <c r="C50" s="76"/>
      <c r="D50" s="199" t="s">
        <v>316</v>
      </c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1"/>
      <c r="AA50" s="74" t="s">
        <v>634</v>
      </c>
      <c r="AB50" s="75"/>
      <c r="AC50" s="75"/>
      <c r="AD50" s="75"/>
      <c r="AE50" s="76"/>
      <c r="AF50" s="74">
        <v>14</v>
      </c>
      <c r="AG50" s="75"/>
      <c r="AH50" s="76"/>
      <c r="AI50" s="86" t="s">
        <v>1302</v>
      </c>
      <c r="AJ50" s="86"/>
      <c r="AK50" s="86"/>
      <c r="AL50" s="202" t="s">
        <v>1088</v>
      </c>
      <c r="AM50" s="203"/>
      <c r="AN50" s="203"/>
      <c r="AO50" s="203"/>
      <c r="AP50" s="203"/>
      <c r="AQ50" s="203"/>
      <c r="AR50" s="203"/>
      <c r="AS50" s="203"/>
      <c r="AT50" s="203"/>
      <c r="AU50" s="203"/>
      <c r="AV50" s="203"/>
      <c r="AW50" s="203"/>
      <c r="AX50" s="203"/>
      <c r="AY50" s="203"/>
      <c r="AZ50" s="203"/>
      <c r="BA50" s="203"/>
      <c r="BB50" s="203"/>
      <c r="BC50" s="203"/>
      <c r="BD50" s="203"/>
      <c r="BE50" s="203"/>
      <c r="BF50" s="203"/>
      <c r="BG50" s="203"/>
      <c r="BH50" s="203"/>
      <c r="BI50" s="203"/>
      <c r="BJ50" s="203"/>
      <c r="BK50" s="203"/>
      <c r="BL50" s="203"/>
      <c r="BM50" s="203"/>
      <c r="BN50" s="203"/>
      <c r="BO50" s="203"/>
      <c r="BP50" s="204"/>
    </row>
    <row r="51" spans="1:68" s="1" customFormat="1" ht="30.75" customHeight="1">
      <c r="A51" s="74">
        <f t="shared" si="3"/>
        <v>41</v>
      </c>
      <c r="B51" s="75"/>
      <c r="C51" s="76"/>
      <c r="D51" s="199" t="s">
        <v>317</v>
      </c>
      <c r="E51" s="200"/>
      <c r="F51" s="200"/>
      <c r="G51" s="200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Z51" s="201"/>
      <c r="AA51" s="74" t="s">
        <v>634</v>
      </c>
      <c r="AB51" s="75"/>
      <c r="AC51" s="75"/>
      <c r="AD51" s="75"/>
      <c r="AE51" s="76"/>
      <c r="AF51" s="74">
        <v>14</v>
      </c>
      <c r="AG51" s="75"/>
      <c r="AH51" s="76"/>
      <c r="AI51" s="86" t="s">
        <v>1302</v>
      </c>
      <c r="AJ51" s="86"/>
      <c r="AK51" s="86"/>
      <c r="AL51" s="202" t="s">
        <v>1089</v>
      </c>
      <c r="AM51" s="203"/>
      <c r="AN51" s="203"/>
      <c r="AO51" s="203"/>
      <c r="AP51" s="203"/>
      <c r="AQ51" s="203"/>
      <c r="AR51" s="203"/>
      <c r="AS51" s="203"/>
      <c r="AT51" s="203"/>
      <c r="AU51" s="203"/>
      <c r="AV51" s="203"/>
      <c r="AW51" s="203"/>
      <c r="AX51" s="203"/>
      <c r="AY51" s="203"/>
      <c r="AZ51" s="203"/>
      <c r="BA51" s="203"/>
      <c r="BB51" s="203"/>
      <c r="BC51" s="203"/>
      <c r="BD51" s="203"/>
      <c r="BE51" s="203"/>
      <c r="BF51" s="203"/>
      <c r="BG51" s="203"/>
      <c r="BH51" s="203"/>
      <c r="BI51" s="203"/>
      <c r="BJ51" s="203"/>
      <c r="BK51" s="203"/>
      <c r="BL51" s="203"/>
      <c r="BM51" s="203"/>
      <c r="BN51" s="203"/>
      <c r="BO51" s="203"/>
      <c r="BP51" s="204"/>
    </row>
    <row r="52" spans="1:68" s="1" customFormat="1" ht="30.75" customHeight="1">
      <c r="A52" s="74">
        <f t="shared" si="3"/>
        <v>42</v>
      </c>
      <c r="B52" s="75"/>
      <c r="C52" s="76"/>
      <c r="D52" s="199" t="s">
        <v>318</v>
      </c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200"/>
      <c r="Y52" s="200"/>
      <c r="Z52" s="201"/>
      <c r="AA52" s="74" t="s">
        <v>634</v>
      </c>
      <c r="AB52" s="75"/>
      <c r="AC52" s="75"/>
      <c r="AD52" s="75"/>
      <c r="AE52" s="76"/>
      <c r="AF52" s="74">
        <v>14</v>
      </c>
      <c r="AG52" s="75"/>
      <c r="AH52" s="76"/>
      <c r="AI52" s="74" t="s">
        <v>1302</v>
      </c>
      <c r="AJ52" s="75"/>
      <c r="AK52" s="76"/>
      <c r="AL52" s="202" t="s">
        <v>1090</v>
      </c>
      <c r="AM52" s="203"/>
      <c r="AN52" s="203"/>
      <c r="AO52" s="203"/>
      <c r="AP52" s="203"/>
      <c r="AQ52" s="203"/>
      <c r="AR52" s="203"/>
      <c r="AS52" s="203"/>
      <c r="AT52" s="203"/>
      <c r="AU52" s="203"/>
      <c r="AV52" s="203"/>
      <c r="AW52" s="203"/>
      <c r="AX52" s="203"/>
      <c r="AY52" s="203"/>
      <c r="AZ52" s="203"/>
      <c r="BA52" s="203"/>
      <c r="BB52" s="203"/>
      <c r="BC52" s="203"/>
      <c r="BD52" s="203"/>
      <c r="BE52" s="203"/>
      <c r="BF52" s="203"/>
      <c r="BG52" s="203"/>
      <c r="BH52" s="203"/>
      <c r="BI52" s="203"/>
      <c r="BJ52" s="203"/>
      <c r="BK52" s="203"/>
      <c r="BL52" s="203"/>
      <c r="BM52" s="203"/>
      <c r="BN52" s="203"/>
      <c r="BO52" s="203"/>
      <c r="BP52" s="204"/>
    </row>
    <row r="53" spans="1:68" s="1" customFormat="1" ht="30.75" customHeight="1">
      <c r="A53" s="74">
        <f t="shared" si="3"/>
        <v>43</v>
      </c>
      <c r="B53" s="75"/>
      <c r="C53" s="76"/>
      <c r="D53" s="199" t="s">
        <v>320</v>
      </c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1"/>
      <c r="AA53" s="74" t="s">
        <v>634</v>
      </c>
      <c r="AB53" s="75"/>
      <c r="AC53" s="75"/>
      <c r="AD53" s="75"/>
      <c r="AE53" s="76"/>
      <c r="AF53" s="74">
        <v>14</v>
      </c>
      <c r="AG53" s="75"/>
      <c r="AH53" s="76"/>
      <c r="AI53" s="74" t="s">
        <v>1302</v>
      </c>
      <c r="AJ53" s="75"/>
      <c r="AK53" s="76"/>
      <c r="AL53" s="202" t="s">
        <v>1091</v>
      </c>
      <c r="AM53" s="203"/>
      <c r="AN53" s="203"/>
      <c r="AO53" s="203"/>
      <c r="AP53" s="203"/>
      <c r="AQ53" s="203"/>
      <c r="AR53" s="203"/>
      <c r="AS53" s="203"/>
      <c r="AT53" s="203"/>
      <c r="AU53" s="203"/>
      <c r="AV53" s="203"/>
      <c r="AW53" s="203"/>
      <c r="AX53" s="203"/>
      <c r="AY53" s="203"/>
      <c r="AZ53" s="203"/>
      <c r="BA53" s="203"/>
      <c r="BB53" s="203"/>
      <c r="BC53" s="203"/>
      <c r="BD53" s="203"/>
      <c r="BE53" s="203"/>
      <c r="BF53" s="203"/>
      <c r="BG53" s="203"/>
      <c r="BH53" s="203"/>
      <c r="BI53" s="203"/>
      <c r="BJ53" s="203"/>
      <c r="BK53" s="203"/>
      <c r="BL53" s="203"/>
      <c r="BM53" s="203"/>
      <c r="BN53" s="203"/>
      <c r="BO53" s="203"/>
      <c r="BP53" s="204"/>
    </row>
    <row r="54" spans="1:68" s="1" customFormat="1" ht="30.75" customHeight="1">
      <c r="A54" s="74">
        <f t="shared" si="3"/>
        <v>44</v>
      </c>
      <c r="B54" s="75"/>
      <c r="C54" s="76"/>
      <c r="D54" s="199" t="s">
        <v>321</v>
      </c>
      <c r="E54" s="200"/>
      <c r="F54" s="200"/>
      <c r="G54" s="200"/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1"/>
      <c r="AA54" s="74" t="s">
        <v>634</v>
      </c>
      <c r="AB54" s="75"/>
      <c r="AC54" s="75"/>
      <c r="AD54" s="75"/>
      <c r="AE54" s="76"/>
      <c r="AF54" s="74">
        <v>14</v>
      </c>
      <c r="AG54" s="75"/>
      <c r="AH54" s="76"/>
      <c r="AI54" s="74" t="s">
        <v>1302</v>
      </c>
      <c r="AJ54" s="75"/>
      <c r="AK54" s="76"/>
      <c r="AL54" s="202" t="s">
        <v>1092</v>
      </c>
      <c r="AM54" s="203"/>
      <c r="AN54" s="203"/>
      <c r="AO54" s="203"/>
      <c r="AP54" s="203"/>
      <c r="AQ54" s="203"/>
      <c r="AR54" s="203"/>
      <c r="AS54" s="203"/>
      <c r="AT54" s="203"/>
      <c r="AU54" s="203"/>
      <c r="AV54" s="203"/>
      <c r="AW54" s="203"/>
      <c r="AX54" s="203"/>
      <c r="AY54" s="203"/>
      <c r="AZ54" s="203"/>
      <c r="BA54" s="203"/>
      <c r="BB54" s="203"/>
      <c r="BC54" s="203"/>
      <c r="BD54" s="203"/>
      <c r="BE54" s="203"/>
      <c r="BF54" s="203"/>
      <c r="BG54" s="203"/>
      <c r="BH54" s="203"/>
      <c r="BI54" s="203"/>
      <c r="BJ54" s="203"/>
      <c r="BK54" s="203"/>
      <c r="BL54" s="203"/>
      <c r="BM54" s="203"/>
      <c r="BN54" s="203"/>
      <c r="BO54" s="203"/>
      <c r="BP54" s="204"/>
    </row>
    <row r="55" spans="1:68" s="1" customFormat="1" ht="30.75" customHeight="1">
      <c r="A55" s="74">
        <f t="shared" si="3"/>
        <v>45</v>
      </c>
      <c r="B55" s="75"/>
      <c r="C55" s="76"/>
      <c r="D55" s="199" t="s">
        <v>322</v>
      </c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1"/>
      <c r="AA55" s="74" t="s">
        <v>634</v>
      </c>
      <c r="AB55" s="75"/>
      <c r="AC55" s="75"/>
      <c r="AD55" s="75"/>
      <c r="AE55" s="76"/>
      <c r="AF55" s="74">
        <v>14</v>
      </c>
      <c r="AG55" s="75"/>
      <c r="AH55" s="76"/>
      <c r="AI55" s="74" t="s">
        <v>1302</v>
      </c>
      <c r="AJ55" s="75"/>
      <c r="AK55" s="76"/>
      <c r="AL55" s="202" t="s">
        <v>1093</v>
      </c>
      <c r="AM55" s="203"/>
      <c r="AN55" s="203"/>
      <c r="AO55" s="203"/>
      <c r="AP55" s="203"/>
      <c r="AQ55" s="203"/>
      <c r="AR55" s="203"/>
      <c r="AS55" s="203"/>
      <c r="AT55" s="203"/>
      <c r="AU55" s="203"/>
      <c r="AV55" s="203"/>
      <c r="AW55" s="203"/>
      <c r="AX55" s="203"/>
      <c r="AY55" s="203"/>
      <c r="AZ55" s="203"/>
      <c r="BA55" s="203"/>
      <c r="BB55" s="203"/>
      <c r="BC55" s="203"/>
      <c r="BD55" s="203"/>
      <c r="BE55" s="203"/>
      <c r="BF55" s="203"/>
      <c r="BG55" s="203"/>
      <c r="BH55" s="203"/>
      <c r="BI55" s="203"/>
      <c r="BJ55" s="203"/>
      <c r="BK55" s="203"/>
      <c r="BL55" s="203"/>
      <c r="BM55" s="203"/>
      <c r="BN55" s="203"/>
      <c r="BO55" s="203"/>
      <c r="BP55" s="204"/>
    </row>
    <row r="56" spans="1:68" s="1" customFormat="1" ht="30.75" customHeight="1">
      <c r="A56" s="74">
        <f t="shared" si="3"/>
        <v>46</v>
      </c>
      <c r="B56" s="75"/>
      <c r="C56" s="76"/>
      <c r="D56" s="199" t="s">
        <v>323</v>
      </c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1"/>
      <c r="AA56" s="74" t="s">
        <v>634</v>
      </c>
      <c r="AB56" s="75"/>
      <c r="AC56" s="75"/>
      <c r="AD56" s="75"/>
      <c r="AE56" s="76"/>
      <c r="AF56" s="74">
        <v>14</v>
      </c>
      <c r="AG56" s="75"/>
      <c r="AH56" s="76"/>
      <c r="AI56" s="74" t="s">
        <v>1302</v>
      </c>
      <c r="AJ56" s="75"/>
      <c r="AK56" s="76"/>
      <c r="AL56" s="202" t="s">
        <v>1094</v>
      </c>
      <c r="AM56" s="203"/>
      <c r="AN56" s="203"/>
      <c r="AO56" s="203"/>
      <c r="AP56" s="203"/>
      <c r="AQ56" s="203"/>
      <c r="AR56" s="203"/>
      <c r="AS56" s="203"/>
      <c r="AT56" s="203"/>
      <c r="AU56" s="203"/>
      <c r="AV56" s="203"/>
      <c r="AW56" s="203"/>
      <c r="AX56" s="203"/>
      <c r="AY56" s="203"/>
      <c r="AZ56" s="203"/>
      <c r="BA56" s="203"/>
      <c r="BB56" s="203"/>
      <c r="BC56" s="203"/>
      <c r="BD56" s="203"/>
      <c r="BE56" s="203"/>
      <c r="BF56" s="203"/>
      <c r="BG56" s="203"/>
      <c r="BH56" s="203"/>
      <c r="BI56" s="203"/>
      <c r="BJ56" s="203"/>
      <c r="BK56" s="203"/>
      <c r="BL56" s="203"/>
      <c r="BM56" s="203"/>
      <c r="BN56" s="203"/>
      <c r="BO56" s="203"/>
      <c r="BP56" s="204"/>
    </row>
    <row r="57" spans="1:68" s="1" customFormat="1" ht="30.75" customHeight="1">
      <c r="A57" s="74">
        <f t="shared" si="3"/>
        <v>47</v>
      </c>
      <c r="B57" s="75"/>
      <c r="C57" s="76"/>
      <c r="D57" s="199" t="s">
        <v>324</v>
      </c>
      <c r="E57" s="200"/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1"/>
      <c r="AA57" s="74" t="s">
        <v>634</v>
      </c>
      <c r="AB57" s="75"/>
      <c r="AC57" s="75"/>
      <c r="AD57" s="75"/>
      <c r="AE57" s="76"/>
      <c r="AF57" s="74">
        <v>14</v>
      </c>
      <c r="AG57" s="75"/>
      <c r="AH57" s="76"/>
      <c r="AI57" s="74" t="s">
        <v>1302</v>
      </c>
      <c r="AJ57" s="75"/>
      <c r="AK57" s="76"/>
      <c r="AL57" s="202" t="s">
        <v>1095</v>
      </c>
      <c r="AM57" s="203"/>
      <c r="AN57" s="203"/>
      <c r="AO57" s="203"/>
      <c r="AP57" s="203"/>
      <c r="AQ57" s="203"/>
      <c r="AR57" s="203"/>
      <c r="AS57" s="203"/>
      <c r="AT57" s="203"/>
      <c r="AU57" s="203"/>
      <c r="AV57" s="203"/>
      <c r="AW57" s="203"/>
      <c r="AX57" s="203"/>
      <c r="AY57" s="203"/>
      <c r="AZ57" s="203"/>
      <c r="BA57" s="203"/>
      <c r="BB57" s="203"/>
      <c r="BC57" s="203"/>
      <c r="BD57" s="203"/>
      <c r="BE57" s="203"/>
      <c r="BF57" s="203"/>
      <c r="BG57" s="203"/>
      <c r="BH57" s="203"/>
      <c r="BI57" s="203"/>
      <c r="BJ57" s="203"/>
      <c r="BK57" s="203"/>
      <c r="BL57" s="203"/>
      <c r="BM57" s="203"/>
      <c r="BN57" s="203"/>
      <c r="BO57" s="203"/>
      <c r="BP57" s="204"/>
    </row>
    <row r="58" spans="1:68" s="1" customFormat="1" ht="30.75" customHeight="1">
      <c r="A58" s="74">
        <f t="shared" si="3"/>
        <v>48</v>
      </c>
      <c r="B58" s="75"/>
      <c r="C58" s="76"/>
      <c r="D58" s="199" t="s">
        <v>325</v>
      </c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1"/>
      <c r="AA58" s="74" t="s">
        <v>634</v>
      </c>
      <c r="AB58" s="75"/>
      <c r="AC58" s="75"/>
      <c r="AD58" s="75"/>
      <c r="AE58" s="76"/>
      <c r="AF58" s="74">
        <v>14</v>
      </c>
      <c r="AG58" s="75"/>
      <c r="AH58" s="76"/>
      <c r="AI58" s="86" t="s">
        <v>1302</v>
      </c>
      <c r="AJ58" s="86"/>
      <c r="AK58" s="86"/>
      <c r="AL58" s="202" t="s">
        <v>1096</v>
      </c>
      <c r="AM58" s="203"/>
      <c r="AN58" s="203"/>
      <c r="AO58" s="203"/>
      <c r="AP58" s="203"/>
      <c r="AQ58" s="203"/>
      <c r="AR58" s="203"/>
      <c r="AS58" s="203"/>
      <c r="AT58" s="203"/>
      <c r="AU58" s="203"/>
      <c r="AV58" s="203"/>
      <c r="AW58" s="203"/>
      <c r="AX58" s="203"/>
      <c r="AY58" s="203"/>
      <c r="AZ58" s="203"/>
      <c r="BA58" s="203"/>
      <c r="BB58" s="203"/>
      <c r="BC58" s="203"/>
      <c r="BD58" s="203"/>
      <c r="BE58" s="203"/>
      <c r="BF58" s="203"/>
      <c r="BG58" s="203"/>
      <c r="BH58" s="203"/>
      <c r="BI58" s="203"/>
      <c r="BJ58" s="203"/>
      <c r="BK58" s="203"/>
      <c r="BL58" s="203"/>
      <c r="BM58" s="203"/>
      <c r="BN58" s="203"/>
      <c r="BO58" s="203"/>
      <c r="BP58" s="204"/>
    </row>
    <row r="59" spans="1:68" s="1" customFormat="1" ht="30.75" customHeight="1">
      <c r="A59" s="74">
        <f t="shared" si="3"/>
        <v>49</v>
      </c>
      <c r="B59" s="75"/>
      <c r="C59" s="76"/>
      <c r="D59" s="199" t="s">
        <v>326</v>
      </c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1"/>
      <c r="AA59" s="74" t="s">
        <v>634</v>
      </c>
      <c r="AB59" s="75"/>
      <c r="AC59" s="75"/>
      <c r="AD59" s="75"/>
      <c r="AE59" s="76"/>
      <c r="AF59" s="74">
        <v>14</v>
      </c>
      <c r="AG59" s="75"/>
      <c r="AH59" s="76"/>
      <c r="AI59" s="86" t="s">
        <v>1302</v>
      </c>
      <c r="AJ59" s="86"/>
      <c r="AK59" s="86"/>
      <c r="AL59" s="202" t="s">
        <v>1097</v>
      </c>
      <c r="AM59" s="203"/>
      <c r="AN59" s="203"/>
      <c r="AO59" s="203"/>
      <c r="AP59" s="203"/>
      <c r="AQ59" s="203"/>
      <c r="AR59" s="203"/>
      <c r="AS59" s="203"/>
      <c r="AT59" s="203"/>
      <c r="AU59" s="203"/>
      <c r="AV59" s="203"/>
      <c r="AW59" s="203"/>
      <c r="AX59" s="203"/>
      <c r="AY59" s="203"/>
      <c r="AZ59" s="203"/>
      <c r="BA59" s="203"/>
      <c r="BB59" s="203"/>
      <c r="BC59" s="203"/>
      <c r="BD59" s="203"/>
      <c r="BE59" s="203"/>
      <c r="BF59" s="203"/>
      <c r="BG59" s="203"/>
      <c r="BH59" s="203"/>
      <c r="BI59" s="203"/>
      <c r="BJ59" s="203"/>
      <c r="BK59" s="203"/>
      <c r="BL59" s="203"/>
      <c r="BM59" s="203"/>
      <c r="BN59" s="203"/>
      <c r="BO59" s="203"/>
      <c r="BP59" s="204"/>
    </row>
    <row r="60" spans="1:68" s="1" customFormat="1" ht="30.75" customHeight="1">
      <c r="A60" s="74">
        <f t="shared" si="3"/>
        <v>50</v>
      </c>
      <c r="B60" s="75"/>
      <c r="C60" s="76"/>
      <c r="D60" s="199" t="s">
        <v>327</v>
      </c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1"/>
      <c r="AA60" s="74" t="s">
        <v>634</v>
      </c>
      <c r="AB60" s="75"/>
      <c r="AC60" s="75"/>
      <c r="AD60" s="75"/>
      <c r="AE60" s="76"/>
      <c r="AF60" s="74">
        <v>14</v>
      </c>
      <c r="AG60" s="75"/>
      <c r="AH60" s="76"/>
      <c r="AI60" s="74" t="s">
        <v>1302</v>
      </c>
      <c r="AJ60" s="75"/>
      <c r="AK60" s="76"/>
      <c r="AL60" s="202" t="s">
        <v>1098</v>
      </c>
      <c r="AM60" s="203"/>
      <c r="AN60" s="203"/>
      <c r="AO60" s="203"/>
      <c r="AP60" s="203"/>
      <c r="AQ60" s="203"/>
      <c r="AR60" s="203"/>
      <c r="AS60" s="203"/>
      <c r="AT60" s="203"/>
      <c r="AU60" s="203"/>
      <c r="AV60" s="203"/>
      <c r="AW60" s="203"/>
      <c r="AX60" s="203"/>
      <c r="AY60" s="203"/>
      <c r="AZ60" s="203"/>
      <c r="BA60" s="203"/>
      <c r="BB60" s="203"/>
      <c r="BC60" s="203"/>
      <c r="BD60" s="203"/>
      <c r="BE60" s="203"/>
      <c r="BF60" s="203"/>
      <c r="BG60" s="203"/>
      <c r="BH60" s="203"/>
      <c r="BI60" s="203"/>
      <c r="BJ60" s="203"/>
      <c r="BK60" s="203"/>
      <c r="BL60" s="203"/>
      <c r="BM60" s="203"/>
      <c r="BN60" s="203"/>
      <c r="BO60" s="203"/>
      <c r="BP60" s="204"/>
    </row>
    <row r="61" spans="1:68" s="1" customFormat="1" ht="30.75" customHeight="1">
      <c r="A61" s="74">
        <f t="shared" si="3"/>
        <v>51</v>
      </c>
      <c r="B61" s="75"/>
      <c r="C61" s="76"/>
      <c r="D61" s="199" t="s">
        <v>1317</v>
      </c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  <c r="V61" s="200"/>
      <c r="W61" s="200"/>
      <c r="X61" s="200"/>
      <c r="Y61" s="200"/>
      <c r="Z61" s="201"/>
      <c r="AA61" s="74" t="s">
        <v>634</v>
      </c>
      <c r="AB61" s="75"/>
      <c r="AC61" s="75"/>
      <c r="AD61" s="75"/>
      <c r="AE61" s="76"/>
      <c r="AF61" s="74">
        <v>14</v>
      </c>
      <c r="AG61" s="75"/>
      <c r="AH61" s="76"/>
      <c r="AI61" s="74" t="s">
        <v>1302</v>
      </c>
      <c r="AJ61" s="75"/>
      <c r="AK61" s="76"/>
      <c r="AL61" s="202" t="s">
        <v>1319</v>
      </c>
      <c r="AM61" s="203"/>
      <c r="AN61" s="203"/>
      <c r="AO61" s="203"/>
      <c r="AP61" s="203"/>
      <c r="AQ61" s="203"/>
      <c r="AR61" s="203"/>
      <c r="AS61" s="203"/>
      <c r="AT61" s="203"/>
      <c r="AU61" s="203"/>
      <c r="AV61" s="203"/>
      <c r="AW61" s="203"/>
      <c r="AX61" s="203"/>
      <c r="AY61" s="203"/>
      <c r="AZ61" s="203"/>
      <c r="BA61" s="203"/>
      <c r="BB61" s="203"/>
      <c r="BC61" s="203"/>
      <c r="BD61" s="203"/>
      <c r="BE61" s="203"/>
      <c r="BF61" s="203"/>
      <c r="BG61" s="203"/>
      <c r="BH61" s="203"/>
      <c r="BI61" s="203"/>
      <c r="BJ61" s="203"/>
      <c r="BK61" s="203"/>
      <c r="BL61" s="203"/>
      <c r="BM61" s="203"/>
      <c r="BN61" s="203"/>
      <c r="BO61" s="203"/>
      <c r="BP61" s="204"/>
    </row>
    <row r="62" spans="1:68" s="1" customFormat="1" ht="30.75" customHeight="1">
      <c r="A62" s="74"/>
      <c r="B62" s="75"/>
      <c r="C62" s="76"/>
      <c r="D62" s="199" t="s">
        <v>328</v>
      </c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  <c r="X62" s="200"/>
      <c r="Y62" s="200"/>
      <c r="Z62" s="201"/>
      <c r="AA62" s="74"/>
      <c r="AB62" s="75"/>
      <c r="AC62" s="75"/>
      <c r="AD62" s="75"/>
      <c r="AE62" s="76"/>
      <c r="AF62" s="74"/>
      <c r="AG62" s="75"/>
      <c r="AH62" s="76"/>
      <c r="AI62" s="74"/>
      <c r="AJ62" s="75"/>
      <c r="AK62" s="76"/>
      <c r="AL62" s="202"/>
      <c r="AM62" s="203"/>
      <c r="AN62" s="203"/>
      <c r="AO62" s="203"/>
      <c r="AP62" s="203"/>
      <c r="AQ62" s="203"/>
      <c r="AR62" s="203"/>
      <c r="AS62" s="203"/>
      <c r="AT62" s="203"/>
      <c r="AU62" s="203"/>
      <c r="AV62" s="203"/>
      <c r="AW62" s="203"/>
      <c r="AX62" s="203"/>
      <c r="AY62" s="203"/>
      <c r="AZ62" s="203"/>
      <c r="BA62" s="203"/>
      <c r="BB62" s="203"/>
      <c r="BC62" s="203"/>
      <c r="BD62" s="203"/>
      <c r="BE62" s="203"/>
      <c r="BF62" s="203"/>
      <c r="BG62" s="203"/>
      <c r="BH62" s="203"/>
      <c r="BI62" s="203"/>
      <c r="BJ62" s="203"/>
      <c r="BK62" s="203"/>
      <c r="BL62" s="203"/>
      <c r="BM62" s="203"/>
      <c r="BN62" s="203"/>
      <c r="BO62" s="203"/>
      <c r="BP62" s="204"/>
    </row>
    <row r="63" spans="1:68" s="1" customFormat="1" ht="30.75" customHeight="1">
      <c r="A63" s="74">
        <f>ROW()-8-3</f>
        <v>52</v>
      </c>
      <c r="B63" s="75"/>
      <c r="C63" s="76"/>
      <c r="D63" s="199" t="s">
        <v>629</v>
      </c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1"/>
      <c r="AA63" s="74" t="s">
        <v>634</v>
      </c>
      <c r="AB63" s="75"/>
      <c r="AC63" s="75"/>
      <c r="AD63" s="75"/>
      <c r="AE63" s="76"/>
      <c r="AF63" s="74">
        <v>14</v>
      </c>
      <c r="AG63" s="75"/>
      <c r="AH63" s="76"/>
      <c r="AI63" s="74" t="s">
        <v>1302</v>
      </c>
      <c r="AJ63" s="75"/>
      <c r="AK63" s="76"/>
      <c r="AL63" s="202" t="s">
        <v>1099</v>
      </c>
      <c r="AM63" s="203"/>
      <c r="AN63" s="203"/>
      <c r="AO63" s="203"/>
      <c r="AP63" s="203"/>
      <c r="AQ63" s="203"/>
      <c r="AR63" s="203"/>
      <c r="AS63" s="203"/>
      <c r="AT63" s="203"/>
      <c r="AU63" s="203"/>
      <c r="AV63" s="203"/>
      <c r="AW63" s="203"/>
      <c r="AX63" s="203"/>
      <c r="AY63" s="203"/>
      <c r="AZ63" s="203"/>
      <c r="BA63" s="203"/>
      <c r="BB63" s="203"/>
      <c r="BC63" s="203"/>
      <c r="BD63" s="203"/>
      <c r="BE63" s="203"/>
      <c r="BF63" s="203"/>
      <c r="BG63" s="203"/>
      <c r="BH63" s="203"/>
      <c r="BI63" s="203"/>
      <c r="BJ63" s="203"/>
      <c r="BK63" s="203"/>
      <c r="BL63" s="203"/>
      <c r="BM63" s="203"/>
      <c r="BN63" s="203"/>
      <c r="BO63" s="203"/>
      <c r="BP63" s="204"/>
    </row>
    <row r="64" spans="1:68" s="1" customFormat="1" ht="30.75" customHeight="1">
      <c r="A64" s="74">
        <f t="shared" ref="A64:A66" si="4">ROW()-8-3</f>
        <v>53</v>
      </c>
      <c r="B64" s="75"/>
      <c r="C64" s="76"/>
      <c r="D64" s="199" t="s">
        <v>329</v>
      </c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1"/>
      <c r="AA64" s="74" t="s">
        <v>634</v>
      </c>
      <c r="AB64" s="75"/>
      <c r="AC64" s="75"/>
      <c r="AD64" s="75"/>
      <c r="AE64" s="76"/>
      <c r="AF64" s="74">
        <v>14</v>
      </c>
      <c r="AG64" s="75"/>
      <c r="AH64" s="76"/>
      <c r="AI64" s="74" t="s">
        <v>1302</v>
      </c>
      <c r="AJ64" s="75"/>
      <c r="AK64" s="76"/>
      <c r="AL64" s="202" t="s">
        <v>1100</v>
      </c>
      <c r="AM64" s="203"/>
      <c r="AN64" s="203"/>
      <c r="AO64" s="203"/>
      <c r="AP64" s="203"/>
      <c r="AQ64" s="203"/>
      <c r="AR64" s="203"/>
      <c r="AS64" s="203"/>
      <c r="AT64" s="203"/>
      <c r="AU64" s="203"/>
      <c r="AV64" s="203"/>
      <c r="AW64" s="203"/>
      <c r="AX64" s="203"/>
      <c r="AY64" s="203"/>
      <c r="AZ64" s="203"/>
      <c r="BA64" s="203"/>
      <c r="BB64" s="203"/>
      <c r="BC64" s="203"/>
      <c r="BD64" s="203"/>
      <c r="BE64" s="203"/>
      <c r="BF64" s="203"/>
      <c r="BG64" s="203"/>
      <c r="BH64" s="203"/>
      <c r="BI64" s="203"/>
      <c r="BJ64" s="203"/>
      <c r="BK64" s="203"/>
      <c r="BL64" s="203"/>
      <c r="BM64" s="203"/>
      <c r="BN64" s="203"/>
      <c r="BO64" s="203"/>
      <c r="BP64" s="204"/>
    </row>
    <row r="65" spans="1:68" s="1" customFormat="1" ht="30.75" customHeight="1">
      <c r="A65" s="74">
        <f t="shared" si="4"/>
        <v>54</v>
      </c>
      <c r="B65" s="75"/>
      <c r="C65" s="76"/>
      <c r="D65" s="199" t="s">
        <v>330</v>
      </c>
      <c r="E65" s="200"/>
      <c r="F65" s="200"/>
      <c r="G65" s="20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1"/>
      <c r="AA65" s="74" t="s">
        <v>634</v>
      </c>
      <c r="AB65" s="75"/>
      <c r="AC65" s="75"/>
      <c r="AD65" s="75"/>
      <c r="AE65" s="76"/>
      <c r="AF65" s="74">
        <v>14</v>
      </c>
      <c r="AG65" s="75"/>
      <c r="AH65" s="76"/>
      <c r="AI65" s="86" t="s">
        <v>1302</v>
      </c>
      <c r="AJ65" s="86"/>
      <c r="AK65" s="86"/>
      <c r="AL65" s="202" t="s">
        <v>1101</v>
      </c>
      <c r="AM65" s="203"/>
      <c r="AN65" s="203"/>
      <c r="AO65" s="203"/>
      <c r="AP65" s="203"/>
      <c r="AQ65" s="203"/>
      <c r="AR65" s="203"/>
      <c r="AS65" s="203"/>
      <c r="AT65" s="203"/>
      <c r="AU65" s="203"/>
      <c r="AV65" s="203"/>
      <c r="AW65" s="203"/>
      <c r="AX65" s="203"/>
      <c r="AY65" s="203"/>
      <c r="AZ65" s="203"/>
      <c r="BA65" s="203"/>
      <c r="BB65" s="203"/>
      <c r="BC65" s="203"/>
      <c r="BD65" s="203"/>
      <c r="BE65" s="203"/>
      <c r="BF65" s="203"/>
      <c r="BG65" s="203"/>
      <c r="BH65" s="203"/>
      <c r="BI65" s="203"/>
      <c r="BJ65" s="203"/>
      <c r="BK65" s="203"/>
      <c r="BL65" s="203"/>
      <c r="BM65" s="203"/>
      <c r="BN65" s="203"/>
      <c r="BO65" s="203"/>
      <c r="BP65" s="204"/>
    </row>
    <row r="66" spans="1:68" s="1" customFormat="1" ht="30.75" customHeight="1">
      <c r="A66" s="74">
        <f t="shared" si="4"/>
        <v>55</v>
      </c>
      <c r="B66" s="75"/>
      <c r="C66" s="76"/>
      <c r="D66" s="199" t="s">
        <v>331</v>
      </c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0"/>
      <c r="Y66" s="200"/>
      <c r="Z66" s="201"/>
      <c r="AA66" s="74" t="s">
        <v>634</v>
      </c>
      <c r="AB66" s="75"/>
      <c r="AC66" s="75"/>
      <c r="AD66" s="75"/>
      <c r="AE66" s="76"/>
      <c r="AF66" s="74">
        <v>14</v>
      </c>
      <c r="AG66" s="75"/>
      <c r="AH66" s="76"/>
      <c r="AI66" s="86" t="s">
        <v>1302</v>
      </c>
      <c r="AJ66" s="86"/>
      <c r="AK66" s="86"/>
      <c r="AL66" s="202" t="s">
        <v>1102</v>
      </c>
      <c r="AM66" s="203"/>
      <c r="AN66" s="203"/>
      <c r="AO66" s="203"/>
      <c r="AP66" s="203"/>
      <c r="AQ66" s="203"/>
      <c r="AR66" s="203"/>
      <c r="AS66" s="203"/>
      <c r="AT66" s="203"/>
      <c r="AU66" s="203"/>
      <c r="AV66" s="203"/>
      <c r="AW66" s="203"/>
      <c r="AX66" s="203"/>
      <c r="AY66" s="203"/>
      <c r="AZ66" s="203"/>
      <c r="BA66" s="203"/>
      <c r="BB66" s="203"/>
      <c r="BC66" s="203"/>
      <c r="BD66" s="203"/>
      <c r="BE66" s="203"/>
      <c r="BF66" s="203"/>
      <c r="BG66" s="203"/>
      <c r="BH66" s="203"/>
      <c r="BI66" s="203"/>
      <c r="BJ66" s="203"/>
      <c r="BK66" s="203"/>
      <c r="BL66" s="203"/>
      <c r="BM66" s="203"/>
      <c r="BN66" s="203"/>
      <c r="BO66" s="203"/>
      <c r="BP66" s="204"/>
    </row>
    <row r="67" spans="1:68" s="1" customFormat="1" ht="30.75" customHeight="1">
      <c r="A67" s="74"/>
      <c r="B67" s="75"/>
      <c r="C67" s="76"/>
      <c r="D67" s="199" t="s">
        <v>332</v>
      </c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1"/>
      <c r="AA67" s="74"/>
      <c r="AB67" s="75"/>
      <c r="AC67" s="75"/>
      <c r="AD67" s="75"/>
      <c r="AE67" s="76"/>
      <c r="AF67" s="86"/>
      <c r="AG67" s="86"/>
      <c r="AH67" s="86"/>
      <c r="AI67" s="86"/>
      <c r="AJ67" s="86"/>
      <c r="AK67" s="86"/>
      <c r="AL67" s="202"/>
      <c r="AM67" s="203"/>
      <c r="AN67" s="203"/>
      <c r="AO67" s="203"/>
      <c r="AP67" s="203"/>
      <c r="AQ67" s="203"/>
      <c r="AR67" s="203"/>
      <c r="AS67" s="203"/>
      <c r="AT67" s="203"/>
      <c r="AU67" s="203"/>
      <c r="AV67" s="203"/>
      <c r="AW67" s="203"/>
      <c r="AX67" s="203"/>
      <c r="AY67" s="203"/>
      <c r="AZ67" s="203"/>
      <c r="BA67" s="203"/>
      <c r="BB67" s="203"/>
      <c r="BC67" s="203"/>
      <c r="BD67" s="203"/>
      <c r="BE67" s="203"/>
      <c r="BF67" s="203"/>
      <c r="BG67" s="203"/>
      <c r="BH67" s="203"/>
      <c r="BI67" s="203"/>
      <c r="BJ67" s="203"/>
      <c r="BK67" s="203"/>
      <c r="BL67" s="203"/>
      <c r="BM67" s="203"/>
      <c r="BN67" s="203"/>
      <c r="BO67" s="203"/>
      <c r="BP67" s="204"/>
    </row>
    <row r="68" spans="1:68" s="1" customFormat="1" ht="30.75" customHeight="1">
      <c r="A68" s="74">
        <f>ROW()-8-4</f>
        <v>56</v>
      </c>
      <c r="B68" s="75"/>
      <c r="C68" s="76"/>
      <c r="D68" s="199" t="s">
        <v>316</v>
      </c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1"/>
      <c r="AA68" s="74" t="s">
        <v>634</v>
      </c>
      <c r="AB68" s="75"/>
      <c r="AC68" s="75"/>
      <c r="AD68" s="75"/>
      <c r="AE68" s="76"/>
      <c r="AF68" s="86">
        <v>14</v>
      </c>
      <c r="AG68" s="86"/>
      <c r="AH68" s="86"/>
      <c r="AI68" s="86" t="s">
        <v>1302</v>
      </c>
      <c r="AJ68" s="86"/>
      <c r="AK68" s="86"/>
      <c r="AL68" s="202" t="s">
        <v>1103</v>
      </c>
      <c r="AM68" s="203"/>
      <c r="AN68" s="203"/>
      <c r="AO68" s="203"/>
      <c r="AP68" s="203"/>
      <c r="AQ68" s="203"/>
      <c r="AR68" s="203"/>
      <c r="AS68" s="203"/>
      <c r="AT68" s="203"/>
      <c r="AU68" s="203"/>
      <c r="AV68" s="203"/>
      <c r="AW68" s="203"/>
      <c r="AX68" s="203"/>
      <c r="AY68" s="203"/>
      <c r="AZ68" s="203"/>
      <c r="BA68" s="203"/>
      <c r="BB68" s="203"/>
      <c r="BC68" s="203"/>
      <c r="BD68" s="203"/>
      <c r="BE68" s="203"/>
      <c r="BF68" s="203"/>
      <c r="BG68" s="203"/>
      <c r="BH68" s="203"/>
      <c r="BI68" s="203"/>
      <c r="BJ68" s="203"/>
      <c r="BK68" s="203"/>
      <c r="BL68" s="203"/>
      <c r="BM68" s="203"/>
      <c r="BN68" s="203"/>
      <c r="BO68" s="203"/>
      <c r="BP68" s="204"/>
    </row>
    <row r="69" spans="1:68" s="1" customFormat="1" ht="30.75" customHeight="1">
      <c r="A69" s="74">
        <f t="shared" ref="A69:A71" si="5">ROW()-8-4</f>
        <v>57</v>
      </c>
      <c r="B69" s="75"/>
      <c r="C69" s="76"/>
      <c r="D69" s="199" t="s">
        <v>317</v>
      </c>
      <c r="E69" s="200"/>
      <c r="F69" s="200"/>
      <c r="G69" s="200"/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1"/>
      <c r="AA69" s="74" t="s">
        <v>634</v>
      </c>
      <c r="AB69" s="75"/>
      <c r="AC69" s="75"/>
      <c r="AD69" s="75"/>
      <c r="AE69" s="76"/>
      <c r="AF69" s="74">
        <v>14</v>
      </c>
      <c r="AG69" s="75"/>
      <c r="AH69" s="76"/>
      <c r="AI69" s="74" t="s">
        <v>1302</v>
      </c>
      <c r="AJ69" s="75"/>
      <c r="AK69" s="76"/>
      <c r="AL69" s="202" t="s">
        <v>1104</v>
      </c>
      <c r="AM69" s="203"/>
      <c r="AN69" s="203"/>
      <c r="AO69" s="203"/>
      <c r="AP69" s="203"/>
      <c r="AQ69" s="203"/>
      <c r="AR69" s="203"/>
      <c r="AS69" s="203"/>
      <c r="AT69" s="203"/>
      <c r="AU69" s="203"/>
      <c r="AV69" s="203"/>
      <c r="AW69" s="203"/>
      <c r="AX69" s="203"/>
      <c r="AY69" s="203"/>
      <c r="AZ69" s="203"/>
      <c r="BA69" s="203"/>
      <c r="BB69" s="203"/>
      <c r="BC69" s="203"/>
      <c r="BD69" s="203"/>
      <c r="BE69" s="203"/>
      <c r="BF69" s="203"/>
      <c r="BG69" s="203"/>
      <c r="BH69" s="203"/>
      <c r="BI69" s="203"/>
      <c r="BJ69" s="203"/>
      <c r="BK69" s="203"/>
      <c r="BL69" s="203"/>
      <c r="BM69" s="203"/>
      <c r="BN69" s="203"/>
      <c r="BO69" s="203"/>
      <c r="BP69" s="204"/>
    </row>
    <row r="70" spans="1:68" s="1" customFormat="1" ht="30.75" customHeight="1">
      <c r="A70" s="74">
        <f t="shared" si="5"/>
        <v>58</v>
      </c>
      <c r="B70" s="75"/>
      <c r="C70" s="76"/>
      <c r="D70" s="199" t="s">
        <v>333</v>
      </c>
      <c r="E70" s="200"/>
      <c r="F70" s="200"/>
      <c r="G70" s="200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00"/>
      <c r="Y70" s="200"/>
      <c r="Z70" s="201"/>
      <c r="AA70" s="74" t="s">
        <v>634</v>
      </c>
      <c r="AB70" s="75"/>
      <c r="AC70" s="75"/>
      <c r="AD70" s="75"/>
      <c r="AE70" s="76"/>
      <c r="AF70" s="74">
        <v>14</v>
      </c>
      <c r="AG70" s="75"/>
      <c r="AH70" s="76"/>
      <c r="AI70" s="74" t="s">
        <v>1302</v>
      </c>
      <c r="AJ70" s="75"/>
      <c r="AK70" s="76"/>
      <c r="AL70" s="202" t="s">
        <v>1105</v>
      </c>
      <c r="AM70" s="203"/>
      <c r="AN70" s="203"/>
      <c r="AO70" s="203"/>
      <c r="AP70" s="203"/>
      <c r="AQ70" s="203"/>
      <c r="AR70" s="203"/>
      <c r="AS70" s="203"/>
      <c r="AT70" s="203"/>
      <c r="AU70" s="203"/>
      <c r="AV70" s="203"/>
      <c r="AW70" s="203"/>
      <c r="AX70" s="203"/>
      <c r="AY70" s="203"/>
      <c r="AZ70" s="203"/>
      <c r="BA70" s="203"/>
      <c r="BB70" s="203"/>
      <c r="BC70" s="203"/>
      <c r="BD70" s="203"/>
      <c r="BE70" s="203"/>
      <c r="BF70" s="203"/>
      <c r="BG70" s="203"/>
      <c r="BH70" s="203"/>
      <c r="BI70" s="203"/>
      <c r="BJ70" s="203"/>
      <c r="BK70" s="203"/>
      <c r="BL70" s="203"/>
      <c r="BM70" s="203"/>
      <c r="BN70" s="203"/>
      <c r="BO70" s="203"/>
      <c r="BP70" s="204"/>
    </row>
    <row r="71" spans="1:68" s="1" customFormat="1" ht="30.75" customHeight="1">
      <c r="A71" s="74">
        <f t="shared" si="5"/>
        <v>59</v>
      </c>
      <c r="B71" s="75"/>
      <c r="C71" s="76"/>
      <c r="D71" s="199" t="s">
        <v>1344</v>
      </c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1"/>
      <c r="AA71" s="74" t="s">
        <v>634</v>
      </c>
      <c r="AB71" s="75"/>
      <c r="AC71" s="75"/>
      <c r="AD71" s="75"/>
      <c r="AE71" s="76"/>
      <c r="AF71" s="74">
        <v>14</v>
      </c>
      <c r="AG71" s="75"/>
      <c r="AH71" s="76"/>
      <c r="AI71" s="74" t="s">
        <v>1302</v>
      </c>
      <c r="AJ71" s="75"/>
      <c r="AK71" s="76"/>
      <c r="AL71" s="202" t="s">
        <v>1351</v>
      </c>
      <c r="AM71" s="203"/>
      <c r="AN71" s="203"/>
      <c r="AO71" s="203"/>
      <c r="AP71" s="203"/>
      <c r="AQ71" s="203"/>
      <c r="AR71" s="203"/>
      <c r="AS71" s="203"/>
      <c r="AT71" s="203"/>
      <c r="AU71" s="203"/>
      <c r="AV71" s="203"/>
      <c r="AW71" s="203"/>
      <c r="AX71" s="203"/>
      <c r="AY71" s="203"/>
      <c r="AZ71" s="203"/>
      <c r="BA71" s="203"/>
      <c r="BB71" s="203"/>
      <c r="BC71" s="203"/>
      <c r="BD71" s="203"/>
      <c r="BE71" s="203"/>
      <c r="BF71" s="203"/>
      <c r="BG71" s="203"/>
      <c r="BH71" s="203"/>
      <c r="BI71" s="203"/>
      <c r="BJ71" s="203"/>
      <c r="BK71" s="203"/>
      <c r="BL71" s="203"/>
      <c r="BM71" s="203"/>
      <c r="BN71" s="203"/>
      <c r="BO71" s="203"/>
      <c r="BP71" s="204"/>
    </row>
    <row r="72" spans="1:68" s="1" customFormat="1" ht="30.75" customHeight="1">
      <c r="A72" s="74"/>
      <c r="B72" s="75"/>
      <c r="C72" s="76"/>
      <c r="D72" s="199" t="s">
        <v>334</v>
      </c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1"/>
      <c r="AA72" s="74"/>
      <c r="AB72" s="75"/>
      <c r="AC72" s="75"/>
      <c r="AD72" s="75"/>
      <c r="AE72" s="76"/>
      <c r="AF72" s="74"/>
      <c r="AG72" s="75"/>
      <c r="AH72" s="76"/>
      <c r="AI72" s="74"/>
      <c r="AJ72" s="75"/>
      <c r="AK72" s="76"/>
      <c r="AL72" s="202"/>
      <c r="AM72" s="203"/>
      <c r="AN72" s="203"/>
      <c r="AO72" s="203"/>
      <c r="AP72" s="203"/>
      <c r="AQ72" s="203"/>
      <c r="AR72" s="203"/>
      <c r="AS72" s="203"/>
      <c r="AT72" s="203"/>
      <c r="AU72" s="203"/>
      <c r="AV72" s="203"/>
      <c r="AW72" s="203"/>
      <c r="AX72" s="203"/>
      <c r="AY72" s="203"/>
      <c r="AZ72" s="203"/>
      <c r="BA72" s="203"/>
      <c r="BB72" s="203"/>
      <c r="BC72" s="203"/>
      <c r="BD72" s="203"/>
      <c r="BE72" s="203"/>
      <c r="BF72" s="203"/>
      <c r="BG72" s="203"/>
      <c r="BH72" s="203"/>
      <c r="BI72" s="203"/>
      <c r="BJ72" s="203"/>
      <c r="BK72" s="203"/>
      <c r="BL72" s="203"/>
      <c r="BM72" s="203"/>
      <c r="BN72" s="203"/>
      <c r="BO72" s="203"/>
      <c r="BP72" s="204"/>
    </row>
    <row r="73" spans="1:68" s="1" customFormat="1" ht="30.75" customHeight="1">
      <c r="A73" s="74">
        <f>ROW()-8-5</f>
        <v>60</v>
      </c>
      <c r="B73" s="75"/>
      <c r="C73" s="76"/>
      <c r="D73" s="199" t="s">
        <v>316</v>
      </c>
      <c r="E73" s="200"/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1"/>
      <c r="AA73" s="74" t="s">
        <v>634</v>
      </c>
      <c r="AB73" s="75"/>
      <c r="AC73" s="75"/>
      <c r="AD73" s="75"/>
      <c r="AE73" s="76"/>
      <c r="AF73" s="74">
        <v>14</v>
      </c>
      <c r="AG73" s="75"/>
      <c r="AH73" s="76"/>
      <c r="AI73" s="74" t="s">
        <v>1302</v>
      </c>
      <c r="AJ73" s="75"/>
      <c r="AK73" s="76"/>
      <c r="AL73" s="202" t="s">
        <v>1106</v>
      </c>
      <c r="AM73" s="203"/>
      <c r="AN73" s="203"/>
      <c r="AO73" s="203"/>
      <c r="AP73" s="203"/>
      <c r="AQ73" s="203"/>
      <c r="AR73" s="203"/>
      <c r="AS73" s="203"/>
      <c r="AT73" s="203"/>
      <c r="AU73" s="203"/>
      <c r="AV73" s="203"/>
      <c r="AW73" s="203"/>
      <c r="AX73" s="203"/>
      <c r="AY73" s="203"/>
      <c r="AZ73" s="203"/>
      <c r="BA73" s="203"/>
      <c r="BB73" s="203"/>
      <c r="BC73" s="203"/>
      <c r="BD73" s="203"/>
      <c r="BE73" s="203"/>
      <c r="BF73" s="203"/>
      <c r="BG73" s="203"/>
      <c r="BH73" s="203"/>
      <c r="BI73" s="203"/>
      <c r="BJ73" s="203"/>
      <c r="BK73" s="203"/>
      <c r="BL73" s="203"/>
      <c r="BM73" s="203"/>
      <c r="BN73" s="203"/>
      <c r="BO73" s="203"/>
      <c r="BP73" s="204"/>
    </row>
    <row r="74" spans="1:68" s="1" customFormat="1" ht="30.75" customHeight="1">
      <c r="A74" s="74">
        <f t="shared" ref="A74:A76" si="6">ROW()-8-5</f>
        <v>61</v>
      </c>
      <c r="B74" s="75"/>
      <c r="C74" s="76"/>
      <c r="D74" s="199" t="s">
        <v>317</v>
      </c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200"/>
      <c r="Y74" s="200"/>
      <c r="Z74" s="201"/>
      <c r="AA74" s="74" t="s">
        <v>634</v>
      </c>
      <c r="AB74" s="75"/>
      <c r="AC74" s="75"/>
      <c r="AD74" s="75"/>
      <c r="AE74" s="76"/>
      <c r="AF74" s="74">
        <v>14</v>
      </c>
      <c r="AG74" s="75"/>
      <c r="AH74" s="76"/>
      <c r="AI74" s="74" t="s">
        <v>1302</v>
      </c>
      <c r="AJ74" s="75"/>
      <c r="AK74" s="76"/>
      <c r="AL74" s="202" t="s">
        <v>1107</v>
      </c>
      <c r="AM74" s="203"/>
      <c r="AN74" s="203"/>
      <c r="AO74" s="203"/>
      <c r="AP74" s="203"/>
      <c r="AQ74" s="203"/>
      <c r="AR74" s="203"/>
      <c r="AS74" s="203"/>
      <c r="AT74" s="203"/>
      <c r="AU74" s="203"/>
      <c r="AV74" s="203"/>
      <c r="AW74" s="203"/>
      <c r="AX74" s="203"/>
      <c r="AY74" s="203"/>
      <c r="AZ74" s="203"/>
      <c r="BA74" s="203"/>
      <c r="BB74" s="203"/>
      <c r="BC74" s="203"/>
      <c r="BD74" s="203"/>
      <c r="BE74" s="203"/>
      <c r="BF74" s="203"/>
      <c r="BG74" s="203"/>
      <c r="BH74" s="203"/>
      <c r="BI74" s="203"/>
      <c r="BJ74" s="203"/>
      <c r="BK74" s="203"/>
      <c r="BL74" s="203"/>
      <c r="BM74" s="203"/>
      <c r="BN74" s="203"/>
      <c r="BO74" s="203"/>
      <c r="BP74" s="204"/>
    </row>
    <row r="75" spans="1:68" s="1" customFormat="1" ht="30.75" customHeight="1">
      <c r="A75" s="74">
        <f t="shared" si="6"/>
        <v>62</v>
      </c>
      <c r="B75" s="75"/>
      <c r="C75" s="76"/>
      <c r="D75" s="199" t="s">
        <v>333</v>
      </c>
      <c r="E75" s="200"/>
      <c r="F75" s="200"/>
      <c r="G75" s="200"/>
      <c r="H75" s="200"/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1"/>
      <c r="AA75" s="74" t="s">
        <v>634</v>
      </c>
      <c r="AB75" s="75"/>
      <c r="AC75" s="75"/>
      <c r="AD75" s="75"/>
      <c r="AE75" s="76"/>
      <c r="AF75" s="74">
        <v>14</v>
      </c>
      <c r="AG75" s="75"/>
      <c r="AH75" s="76"/>
      <c r="AI75" s="74" t="s">
        <v>1302</v>
      </c>
      <c r="AJ75" s="75"/>
      <c r="AK75" s="76"/>
      <c r="AL75" s="202" t="s">
        <v>1108</v>
      </c>
      <c r="AM75" s="203"/>
      <c r="AN75" s="203"/>
      <c r="AO75" s="203"/>
      <c r="AP75" s="203"/>
      <c r="AQ75" s="203"/>
      <c r="AR75" s="203"/>
      <c r="AS75" s="203"/>
      <c r="AT75" s="203"/>
      <c r="AU75" s="203"/>
      <c r="AV75" s="203"/>
      <c r="AW75" s="203"/>
      <c r="AX75" s="203"/>
      <c r="AY75" s="203"/>
      <c r="AZ75" s="203"/>
      <c r="BA75" s="203"/>
      <c r="BB75" s="203"/>
      <c r="BC75" s="203"/>
      <c r="BD75" s="203"/>
      <c r="BE75" s="203"/>
      <c r="BF75" s="203"/>
      <c r="BG75" s="203"/>
      <c r="BH75" s="203"/>
      <c r="BI75" s="203"/>
      <c r="BJ75" s="203"/>
      <c r="BK75" s="203"/>
      <c r="BL75" s="203"/>
      <c r="BM75" s="203"/>
      <c r="BN75" s="203"/>
      <c r="BO75" s="203"/>
      <c r="BP75" s="204"/>
    </row>
    <row r="76" spans="1:68" s="1" customFormat="1" ht="30.75" customHeight="1">
      <c r="A76" s="74">
        <f t="shared" si="6"/>
        <v>63</v>
      </c>
      <c r="B76" s="75"/>
      <c r="C76" s="76"/>
      <c r="D76" s="199" t="s">
        <v>1344</v>
      </c>
      <c r="E76" s="200"/>
      <c r="F76" s="200"/>
      <c r="G76" s="200"/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1"/>
      <c r="AA76" s="74" t="s">
        <v>634</v>
      </c>
      <c r="AB76" s="75"/>
      <c r="AC76" s="75"/>
      <c r="AD76" s="75"/>
      <c r="AE76" s="76"/>
      <c r="AF76" s="86">
        <v>14</v>
      </c>
      <c r="AG76" s="86"/>
      <c r="AH76" s="86"/>
      <c r="AI76" s="86" t="s">
        <v>1302</v>
      </c>
      <c r="AJ76" s="86"/>
      <c r="AK76" s="86"/>
      <c r="AL76" s="202" t="s">
        <v>1352</v>
      </c>
      <c r="AM76" s="203"/>
      <c r="AN76" s="203"/>
      <c r="AO76" s="203"/>
      <c r="AP76" s="203"/>
      <c r="AQ76" s="203"/>
      <c r="AR76" s="203"/>
      <c r="AS76" s="203"/>
      <c r="AT76" s="203"/>
      <c r="AU76" s="203"/>
      <c r="AV76" s="203"/>
      <c r="AW76" s="203"/>
      <c r="AX76" s="203"/>
      <c r="AY76" s="203"/>
      <c r="AZ76" s="203"/>
      <c r="BA76" s="203"/>
      <c r="BB76" s="203"/>
      <c r="BC76" s="203"/>
      <c r="BD76" s="203"/>
      <c r="BE76" s="203"/>
      <c r="BF76" s="203"/>
      <c r="BG76" s="203"/>
      <c r="BH76" s="203"/>
      <c r="BI76" s="203"/>
      <c r="BJ76" s="203"/>
      <c r="BK76" s="203"/>
      <c r="BL76" s="203"/>
      <c r="BM76" s="203"/>
      <c r="BN76" s="203"/>
      <c r="BO76" s="203"/>
      <c r="BP76" s="204"/>
    </row>
    <row r="77" spans="1:68" s="1" customFormat="1" ht="30.75" customHeight="1">
      <c r="A77" s="74"/>
      <c r="B77" s="75"/>
      <c r="C77" s="76"/>
      <c r="D77" s="199" t="s">
        <v>335</v>
      </c>
      <c r="E77" s="200"/>
      <c r="F77" s="200"/>
      <c r="G77" s="200"/>
      <c r="H77" s="200"/>
      <c r="I77" s="200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200"/>
      <c r="U77" s="200"/>
      <c r="V77" s="200"/>
      <c r="W77" s="200"/>
      <c r="X77" s="200"/>
      <c r="Y77" s="200"/>
      <c r="Z77" s="201"/>
      <c r="AA77" s="74"/>
      <c r="AB77" s="75"/>
      <c r="AC77" s="75"/>
      <c r="AD77" s="75"/>
      <c r="AE77" s="76"/>
      <c r="AF77" s="86"/>
      <c r="AG77" s="86"/>
      <c r="AH77" s="86"/>
      <c r="AI77" s="86"/>
      <c r="AJ77" s="86"/>
      <c r="AK77" s="86"/>
      <c r="AL77" s="202"/>
      <c r="AM77" s="203"/>
      <c r="AN77" s="203"/>
      <c r="AO77" s="203"/>
      <c r="AP77" s="203"/>
      <c r="AQ77" s="203"/>
      <c r="AR77" s="203"/>
      <c r="AS77" s="203"/>
      <c r="AT77" s="203"/>
      <c r="AU77" s="203"/>
      <c r="AV77" s="203"/>
      <c r="AW77" s="203"/>
      <c r="AX77" s="203"/>
      <c r="AY77" s="203"/>
      <c r="AZ77" s="203"/>
      <c r="BA77" s="203"/>
      <c r="BB77" s="203"/>
      <c r="BC77" s="203"/>
      <c r="BD77" s="203"/>
      <c r="BE77" s="203"/>
      <c r="BF77" s="203"/>
      <c r="BG77" s="203"/>
      <c r="BH77" s="203"/>
      <c r="BI77" s="203"/>
      <c r="BJ77" s="203"/>
      <c r="BK77" s="203"/>
      <c r="BL77" s="203"/>
      <c r="BM77" s="203"/>
      <c r="BN77" s="203"/>
      <c r="BO77" s="203"/>
      <c r="BP77" s="204"/>
    </row>
    <row r="78" spans="1:68" s="1" customFormat="1" ht="30.75" customHeight="1">
      <c r="A78" s="74">
        <f>ROW()-8-6</f>
        <v>64</v>
      </c>
      <c r="B78" s="75"/>
      <c r="C78" s="76"/>
      <c r="D78" s="199" t="s">
        <v>316</v>
      </c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00"/>
      <c r="V78" s="200"/>
      <c r="W78" s="200"/>
      <c r="X78" s="200"/>
      <c r="Y78" s="200"/>
      <c r="Z78" s="201"/>
      <c r="AA78" s="74" t="s">
        <v>634</v>
      </c>
      <c r="AB78" s="75"/>
      <c r="AC78" s="75"/>
      <c r="AD78" s="75"/>
      <c r="AE78" s="76"/>
      <c r="AF78" s="86">
        <v>14</v>
      </c>
      <c r="AG78" s="86"/>
      <c r="AH78" s="86"/>
      <c r="AI78" s="86" t="s">
        <v>1302</v>
      </c>
      <c r="AJ78" s="86"/>
      <c r="AK78" s="86"/>
      <c r="AL78" s="202" t="s">
        <v>1109</v>
      </c>
      <c r="AM78" s="203"/>
      <c r="AN78" s="203"/>
      <c r="AO78" s="203"/>
      <c r="AP78" s="203"/>
      <c r="AQ78" s="203"/>
      <c r="AR78" s="203"/>
      <c r="AS78" s="203"/>
      <c r="AT78" s="203"/>
      <c r="AU78" s="203"/>
      <c r="AV78" s="203"/>
      <c r="AW78" s="203"/>
      <c r="AX78" s="203"/>
      <c r="AY78" s="203"/>
      <c r="AZ78" s="203"/>
      <c r="BA78" s="203"/>
      <c r="BB78" s="203"/>
      <c r="BC78" s="203"/>
      <c r="BD78" s="203"/>
      <c r="BE78" s="203"/>
      <c r="BF78" s="203"/>
      <c r="BG78" s="203"/>
      <c r="BH78" s="203"/>
      <c r="BI78" s="203"/>
      <c r="BJ78" s="203"/>
      <c r="BK78" s="203"/>
      <c r="BL78" s="203"/>
      <c r="BM78" s="203"/>
      <c r="BN78" s="203"/>
      <c r="BO78" s="203"/>
      <c r="BP78" s="204"/>
    </row>
    <row r="79" spans="1:68" s="1" customFormat="1" ht="30.75" customHeight="1">
      <c r="A79" s="74">
        <f t="shared" ref="A79:A81" si="7">ROW()-8-6</f>
        <v>65</v>
      </c>
      <c r="B79" s="75"/>
      <c r="C79" s="76"/>
      <c r="D79" s="199" t="s">
        <v>317</v>
      </c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  <c r="V79" s="200"/>
      <c r="W79" s="200"/>
      <c r="X79" s="200"/>
      <c r="Y79" s="200"/>
      <c r="Z79" s="201"/>
      <c r="AA79" s="74" t="s">
        <v>634</v>
      </c>
      <c r="AB79" s="75"/>
      <c r="AC79" s="75"/>
      <c r="AD79" s="75"/>
      <c r="AE79" s="76"/>
      <c r="AF79" s="86">
        <v>14</v>
      </c>
      <c r="AG79" s="86"/>
      <c r="AH79" s="86"/>
      <c r="AI79" s="86" t="s">
        <v>1302</v>
      </c>
      <c r="AJ79" s="86"/>
      <c r="AK79" s="86"/>
      <c r="AL79" s="202" t="s">
        <v>1110</v>
      </c>
      <c r="AM79" s="203"/>
      <c r="AN79" s="203"/>
      <c r="AO79" s="203"/>
      <c r="AP79" s="203"/>
      <c r="AQ79" s="203"/>
      <c r="AR79" s="203"/>
      <c r="AS79" s="203"/>
      <c r="AT79" s="203"/>
      <c r="AU79" s="203"/>
      <c r="AV79" s="203"/>
      <c r="AW79" s="203"/>
      <c r="AX79" s="203"/>
      <c r="AY79" s="203"/>
      <c r="AZ79" s="203"/>
      <c r="BA79" s="203"/>
      <c r="BB79" s="203"/>
      <c r="BC79" s="203"/>
      <c r="BD79" s="203"/>
      <c r="BE79" s="203"/>
      <c r="BF79" s="203"/>
      <c r="BG79" s="203"/>
      <c r="BH79" s="203"/>
      <c r="BI79" s="203"/>
      <c r="BJ79" s="203"/>
      <c r="BK79" s="203"/>
      <c r="BL79" s="203"/>
      <c r="BM79" s="203"/>
      <c r="BN79" s="203"/>
      <c r="BO79" s="203"/>
      <c r="BP79" s="204"/>
    </row>
    <row r="80" spans="1:68" s="1" customFormat="1" ht="30.75" customHeight="1">
      <c r="A80" s="74">
        <f t="shared" si="7"/>
        <v>66</v>
      </c>
      <c r="B80" s="75"/>
      <c r="C80" s="76"/>
      <c r="D80" s="199" t="s">
        <v>333</v>
      </c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1"/>
      <c r="AA80" s="80" t="s">
        <v>634</v>
      </c>
      <c r="AB80" s="81"/>
      <c r="AC80" s="81"/>
      <c r="AD80" s="81"/>
      <c r="AE80" s="82"/>
      <c r="AF80" s="86">
        <v>14</v>
      </c>
      <c r="AG80" s="86"/>
      <c r="AH80" s="86"/>
      <c r="AI80" s="86" t="s">
        <v>1302</v>
      </c>
      <c r="AJ80" s="86"/>
      <c r="AK80" s="86"/>
      <c r="AL80" s="202" t="s">
        <v>1111</v>
      </c>
      <c r="AM80" s="203"/>
      <c r="AN80" s="203"/>
      <c r="AO80" s="203"/>
      <c r="AP80" s="203"/>
      <c r="AQ80" s="203"/>
      <c r="AR80" s="203"/>
      <c r="AS80" s="203"/>
      <c r="AT80" s="203"/>
      <c r="AU80" s="203"/>
      <c r="AV80" s="203"/>
      <c r="AW80" s="203"/>
      <c r="AX80" s="203"/>
      <c r="AY80" s="203"/>
      <c r="AZ80" s="203"/>
      <c r="BA80" s="203"/>
      <c r="BB80" s="203"/>
      <c r="BC80" s="203"/>
      <c r="BD80" s="203"/>
      <c r="BE80" s="203"/>
      <c r="BF80" s="203"/>
      <c r="BG80" s="203"/>
      <c r="BH80" s="203"/>
      <c r="BI80" s="203"/>
      <c r="BJ80" s="203"/>
      <c r="BK80" s="203"/>
      <c r="BL80" s="203"/>
      <c r="BM80" s="203"/>
      <c r="BN80" s="203"/>
      <c r="BO80" s="203"/>
      <c r="BP80" s="204"/>
    </row>
    <row r="81" spans="1:68" s="1" customFormat="1" ht="30.75" customHeight="1">
      <c r="A81" s="74">
        <f t="shared" si="7"/>
        <v>67</v>
      </c>
      <c r="B81" s="75"/>
      <c r="C81" s="76"/>
      <c r="D81" s="199" t="s">
        <v>1344</v>
      </c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200"/>
      <c r="Z81" s="201"/>
      <c r="AA81" s="80" t="s">
        <v>634</v>
      </c>
      <c r="AB81" s="81"/>
      <c r="AC81" s="81"/>
      <c r="AD81" s="81"/>
      <c r="AE81" s="82"/>
      <c r="AF81" s="91">
        <v>14</v>
      </c>
      <c r="AG81" s="91"/>
      <c r="AH81" s="91"/>
      <c r="AI81" s="91" t="s">
        <v>1302</v>
      </c>
      <c r="AJ81" s="91"/>
      <c r="AK81" s="91"/>
      <c r="AL81" s="202" t="s">
        <v>1353</v>
      </c>
      <c r="AM81" s="203"/>
      <c r="AN81" s="203"/>
      <c r="AO81" s="203"/>
      <c r="AP81" s="203"/>
      <c r="AQ81" s="203"/>
      <c r="AR81" s="203"/>
      <c r="AS81" s="203"/>
      <c r="AT81" s="203"/>
      <c r="AU81" s="203"/>
      <c r="AV81" s="203"/>
      <c r="AW81" s="203"/>
      <c r="AX81" s="203"/>
      <c r="AY81" s="203"/>
      <c r="AZ81" s="203"/>
      <c r="BA81" s="203"/>
      <c r="BB81" s="203"/>
      <c r="BC81" s="203"/>
      <c r="BD81" s="203"/>
      <c r="BE81" s="203"/>
      <c r="BF81" s="203"/>
      <c r="BG81" s="203"/>
      <c r="BH81" s="203"/>
      <c r="BI81" s="203"/>
      <c r="BJ81" s="203"/>
      <c r="BK81" s="203"/>
      <c r="BL81" s="203"/>
      <c r="BM81" s="203"/>
      <c r="BN81" s="203"/>
      <c r="BO81" s="203"/>
      <c r="BP81" s="204"/>
    </row>
    <row r="82" spans="1:68" s="1" customFormat="1" ht="30.75" customHeight="1">
      <c r="A82" s="74"/>
      <c r="B82" s="75"/>
      <c r="C82" s="76"/>
      <c r="D82" s="199" t="s">
        <v>336</v>
      </c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200"/>
      <c r="Y82" s="200"/>
      <c r="Z82" s="201"/>
      <c r="AA82" s="74"/>
      <c r="AB82" s="75"/>
      <c r="AC82" s="75"/>
      <c r="AD82" s="75"/>
      <c r="AE82" s="76"/>
      <c r="AF82" s="86"/>
      <c r="AG82" s="86"/>
      <c r="AH82" s="86"/>
      <c r="AI82" s="86"/>
      <c r="AJ82" s="86"/>
      <c r="AK82" s="86"/>
      <c r="AL82" s="202"/>
      <c r="AM82" s="203"/>
      <c r="AN82" s="203"/>
      <c r="AO82" s="203"/>
      <c r="AP82" s="203"/>
      <c r="AQ82" s="203"/>
      <c r="AR82" s="203"/>
      <c r="AS82" s="203"/>
      <c r="AT82" s="203"/>
      <c r="AU82" s="203"/>
      <c r="AV82" s="203"/>
      <c r="AW82" s="203"/>
      <c r="AX82" s="203"/>
      <c r="AY82" s="203"/>
      <c r="AZ82" s="203"/>
      <c r="BA82" s="203"/>
      <c r="BB82" s="203"/>
      <c r="BC82" s="203"/>
      <c r="BD82" s="203"/>
      <c r="BE82" s="203"/>
      <c r="BF82" s="203"/>
      <c r="BG82" s="203"/>
      <c r="BH82" s="203"/>
      <c r="BI82" s="203"/>
      <c r="BJ82" s="203"/>
      <c r="BK82" s="203"/>
      <c r="BL82" s="203"/>
      <c r="BM82" s="203"/>
      <c r="BN82" s="203"/>
      <c r="BO82" s="203"/>
      <c r="BP82" s="204"/>
    </row>
    <row r="83" spans="1:68" s="1" customFormat="1" ht="30.75" customHeight="1">
      <c r="A83" s="74">
        <f>ROW()-8-7</f>
        <v>68</v>
      </c>
      <c r="B83" s="75"/>
      <c r="C83" s="76"/>
      <c r="D83" s="199" t="s">
        <v>337</v>
      </c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1"/>
      <c r="AA83" s="74" t="s">
        <v>634</v>
      </c>
      <c r="AB83" s="75"/>
      <c r="AC83" s="75"/>
      <c r="AD83" s="75"/>
      <c r="AE83" s="76"/>
      <c r="AF83" s="86">
        <v>14</v>
      </c>
      <c r="AG83" s="86"/>
      <c r="AH83" s="86"/>
      <c r="AI83" s="86" t="s">
        <v>1302</v>
      </c>
      <c r="AJ83" s="86"/>
      <c r="AK83" s="86"/>
      <c r="AL83" s="202" t="s">
        <v>1112</v>
      </c>
      <c r="AM83" s="203"/>
      <c r="AN83" s="203"/>
      <c r="AO83" s="203"/>
      <c r="AP83" s="203"/>
      <c r="AQ83" s="203"/>
      <c r="AR83" s="203"/>
      <c r="AS83" s="203"/>
      <c r="AT83" s="203"/>
      <c r="AU83" s="203"/>
      <c r="AV83" s="203"/>
      <c r="AW83" s="203"/>
      <c r="AX83" s="203"/>
      <c r="AY83" s="203"/>
      <c r="AZ83" s="203"/>
      <c r="BA83" s="203"/>
      <c r="BB83" s="203"/>
      <c r="BC83" s="203"/>
      <c r="BD83" s="203"/>
      <c r="BE83" s="203"/>
      <c r="BF83" s="203"/>
      <c r="BG83" s="203"/>
      <c r="BH83" s="203"/>
      <c r="BI83" s="203"/>
      <c r="BJ83" s="203"/>
      <c r="BK83" s="203"/>
      <c r="BL83" s="203"/>
      <c r="BM83" s="203"/>
      <c r="BN83" s="203"/>
      <c r="BO83" s="203"/>
      <c r="BP83" s="204"/>
    </row>
    <row r="84" spans="1:68" s="1" customFormat="1" ht="30.75" customHeight="1">
      <c r="A84" s="74">
        <f t="shared" ref="A84:A86" si="8">ROW()-8-7</f>
        <v>69</v>
      </c>
      <c r="B84" s="75"/>
      <c r="C84" s="76"/>
      <c r="D84" s="199" t="s">
        <v>323</v>
      </c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  <c r="X84" s="200"/>
      <c r="Y84" s="200"/>
      <c r="Z84" s="201"/>
      <c r="AA84" s="74" t="s">
        <v>634</v>
      </c>
      <c r="AB84" s="75"/>
      <c r="AC84" s="75"/>
      <c r="AD84" s="75"/>
      <c r="AE84" s="76"/>
      <c r="AF84" s="86">
        <v>14</v>
      </c>
      <c r="AG84" s="86"/>
      <c r="AH84" s="86"/>
      <c r="AI84" s="86" t="s">
        <v>1302</v>
      </c>
      <c r="AJ84" s="86"/>
      <c r="AK84" s="86"/>
      <c r="AL84" s="202" t="s">
        <v>1113</v>
      </c>
      <c r="AM84" s="203"/>
      <c r="AN84" s="203"/>
      <c r="AO84" s="203"/>
      <c r="AP84" s="203"/>
      <c r="AQ84" s="203"/>
      <c r="AR84" s="203"/>
      <c r="AS84" s="203"/>
      <c r="AT84" s="203"/>
      <c r="AU84" s="203"/>
      <c r="AV84" s="203"/>
      <c r="AW84" s="203"/>
      <c r="AX84" s="203"/>
      <c r="AY84" s="203"/>
      <c r="AZ84" s="203"/>
      <c r="BA84" s="203"/>
      <c r="BB84" s="203"/>
      <c r="BC84" s="203"/>
      <c r="BD84" s="203"/>
      <c r="BE84" s="203"/>
      <c r="BF84" s="203"/>
      <c r="BG84" s="203"/>
      <c r="BH84" s="203"/>
      <c r="BI84" s="203"/>
      <c r="BJ84" s="203"/>
      <c r="BK84" s="203"/>
      <c r="BL84" s="203"/>
      <c r="BM84" s="203"/>
      <c r="BN84" s="203"/>
      <c r="BO84" s="203"/>
      <c r="BP84" s="204"/>
    </row>
    <row r="85" spans="1:68" s="1" customFormat="1" ht="30.75" customHeight="1">
      <c r="A85" s="74">
        <f t="shared" si="8"/>
        <v>70</v>
      </c>
      <c r="B85" s="75"/>
      <c r="C85" s="76"/>
      <c r="D85" s="199" t="s">
        <v>338</v>
      </c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  <c r="U85" s="200"/>
      <c r="V85" s="200"/>
      <c r="W85" s="200"/>
      <c r="X85" s="200"/>
      <c r="Y85" s="200"/>
      <c r="Z85" s="201"/>
      <c r="AA85" s="74" t="s">
        <v>634</v>
      </c>
      <c r="AB85" s="75"/>
      <c r="AC85" s="75"/>
      <c r="AD85" s="75"/>
      <c r="AE85" s="76"/>
      <c r="AF85" s="86">
        <v>14</v>
      </c>
      <c r="AG85" s="86"/>
      <c r="AH85" s="86"/>
      <c r="AI85" s="86" t="s">
        <v>1302</v>
      </c>
      <c r="AJ85" s="86"/>
      <c r="AK85" s="86"/>
      <c r="AL85" s="202" t="s">
        <v>1114</v>
      </c>
      <c r="AM85" s="203"/>
      <c r="AN85" s="203"/>
      <c r="AO85" s="203"/>
      <c r="AP85" s="203"/>
      <c r="AQ85" s="203"/>
      <c r="AR85" s="203"/>
      <c r="AS85" s="203"/>
      <c r="AT85" s="203"/>
      <c r="AU85" s="203"/>
      <c r="AV85" s="203"/>
      <c r="AW85" s="203"/>
      <c r="AX85" s="203"/>
      <c r="AY85" s="203"/>
      <c r="AZ85" s="203"/>
      <c r="BA85" s="203"/>
      <c r="BB85" s="203"/>
      <c r="BC85" s="203"/>
      <c r="BD85" s="203"/>
      <c r="BE85" s="203"/>
      <c r="BF85" s="203"/>
      <c r="BG85" s="203"/>
      <c r="BH85" s="203"/>
      <c r="BI85" s="203"/>
      <c r="BJ85" s="203"/>
      <c r="BK85" s="203"/>
      <c r="BL85" s="203"/>
      <c r="BM85" s="203"/>
      <c r="BN85" s="203"/>
      <c r="BO85" s="203"/>
      <c r="BP85" s="204"/>
    </row>
    <row r="86" spans="1:68" s="1" customFormat="1" ht="30.75" customHeight="1">
      <c r="A86" s="74">
        <f t="shared" si="8"/>
        <v>71</v>
      </c>
      <c r="B86" s="75"/>
      <c r="C86" s="76"/>
      <c r="D86" s="199" t="s">
        <v>339</v>
      </c>
      <c r="E86" s="200"/>
      <c r="F86" s="200"/>
      <c r="G86" s="200"/>
      <c r="H86" s="200"/>
      <c r="I86" s="200"/>
      <c r="J86" s="200"/>
      <c r="K86" s="200"/>
      <c r="L86" s="200"/>
      <c r="M86" s="200"/>
      <c r="N86" s="200"/>
      <c r="O86" s="200"/>
      <c r="P86" s="200"/>
      <c r="Q86" s="200"/>
      <c r="R86" s="200"/>
      <c r="S86" s="200"/>
      <c r="T86" s="200"/>
      <c r="U86" s="200"/>
      <c r="V86" s="200"/>
      <c r="W86" s="200"/>
      <c r="X86" s="200"/>
      <c r="Y86" s="200"/>
      <c r="Z86" s="201"/>
      <c r="AA86" s="74" t="s">
        <v>634</v>
      </c>
      <c r="AB86" s="75"/>
      <c r="AC86" s="75"/>
      <c r="AD86" s="75"/>
      <c r="AE86" s="76"/>
      <c r="AF86" s="86">
        <v>14</v>
      </c>
      <c r="AG86" s="86"/>
      <c r="AH86" s="86"/>
      <c r="AI86" s="86" t="s">
        <v>1302</v>
      </c>
      <c r="AJ86" s="86"/>
      <c r="AK86" s="86"/>
      <c r="AL86" s="202" t="s">
        <v>1115</v>
      </c>
      <c r="AM86" s="203"/>
      <c r="AN86" s="203"/>
      <c r="AO86" s="203"/>
      <c r="AP86" s="203"/>
      <c r="AQ86" s="203"/>
      <c r="AR86" s="203"/>
      <c r="AS86" s="203"/>
      <c r="AT86" s="203"/>
      <c r="AU86" s="203"/>
      <c r="AV86" s="203"/>
      <c r="AW86" s="203"/>
      <c r="AX86" s="203"/>
      <c r="AY86" s="203"/>
      <c r="AZ86" s="203"/>
      <c r="BA86" s="203"/>
      <c r="BB86" s="203"/>
      <c r="BC86" s="203"/>
      <c r="BD86" s="203"/>
      <c r="BE86" s="203"/>
      <c r="BF86" s="203"/>
      <c r="BG86" s="203"/>
      <c r="BH86" s="203"/>
      <c r="BI86" s="203"/>
      <c r="BJ86" s="203"/>
      <c r="BK86" s="203"/>
      <c r="BL86" s="203"/>
      <c r="BM86" s="203"/>
      <c r="BN86" s="203"/>
      <c r="BO86" s="203"/>
      <c r="BP86" s="204"/>
    </row>
    <row r="87" spans="1:68" s="1" customFormat="1" ht="30.75" customHeight="1">
      <c r="A87" s="74"/>
      <c r="B87" s="75"/>
      <c r="C87" s="76"/>
      <c r="D87" s="199" t="s">
        <v>340</v>
      </c>
      <c r="E87" s="200"/>
      <c r="F87" s="200"/>
      <c r="G87" s="200"/>
      <c r="H87" s="200"/>
      <c r="I87" s="200"/>
      <c r="J87" s="200"/>
      <c r="K87" s="200"/>
      <c r="L87" s="200"/>
      <c r="M87" s="200"/>
      <c r="N87" s="200"/>
      <c r="O87" s="200"/>
      <c r="P87" s="200"/>
      <c r="Q87" s="200"/>
      <c r="R87" s="200"/>
      <c r="S87" s="200"/>
      <c r="T87" s="200"/>
      <c r="U87" s="200"/>
      <c r="V87" s="200"/>
      <c r="W87" s="200"/>
      <c r="X87" s="200"/>
      <c r="Y87" s="200"/>
      <c r="Z87" s="201"/>
      <c r="AA87" s="74"/>
      <c r="AB87" s="75"/>
      <c r="AC87" s="75"/>
      <c r="AD87" s="75"/>
      <c r="AE87" s="76"/>
      <c r="AF87" s="86"/>
      <c r="AG87" s="86"/>
      <c r="AH87" s="86"/>
      <c r="AI87" s="86"/>
      <c r="AJ87" s="86"/>
      <c r="AK87" s="86"/>
      <c r="AL87" s="202"/>
      <c r="AM87" s="203"/>
      <c r="AN87" s="203"/>
      <c r="AO87" s="203"/>
      <c r="AP87" s="203"/>
      <c r="AQ87" s="203"/>
      <c r="AR87" s="203"/>
      <c r="AS87" s="203"/>
      <c r="AT87" s="203"/>
      <c r="AU87" s="203"/>
      <c r="AV87" s="203"/>
      <c r="AW87" s="203"/>
      <c r="AX87" s="203"/>
      <c r="AY87" s="203"/>
      <c r="AZ87" s="203"/>
      <c r="BA87" s="203"/>
      <c r="BB87" s="203"/>
      <c r="BC87" s="203"/>
      <c r="BD87" s="203"/>
      <c r="BE87" s="203"/>
      <c r="BF87" s="203"/>
      <c r="BG87" s="203"/>
      <c r="BH87" s="203"/>
      <c r="BI87" s="203"/>
      <c r="BJ87" s="203"/>
      <c r="BK87" s="203"/>
      <c r="BL87" s="203"/>
      <c r="BM87" s="203"/>
      <c r="BN87" s="203"/>
      <c r="BO87" s="203"/>
      <c r="BP87" s="204"/>
    </row>
    <row r="88" spans="1:68" s="1" customFormat="1" ht="30.75" customHeight="1">
      <c r="A88" s="74">
        <f>ROW()-8-8</f>
        <v>72</v>
      </c>
      <c r="B88" s="75"/>
      <c r="C88" s="76"/>
      <c r="D88" s="199" t="s">
        <v>341</v>
      </c>
      <c r="E88" s="200"/>
      <c r="F88" s="200"/>
      <c r="G88" s="200"/>
      <c r="H88" s="200"/>
      <c r="I88" s="200"/>
      <c r="J88" s="200"/>
      <c r="K88" s="200"/>
      <c r="L88" s="200"/>
      <c r="M88" s="200"/>
      <c r="N88" s="200"/>
      <c r="O88" s="200"/>
      <c r="P88" s="200"/>
      <c r="Q88" s="200"/>
      <c r="R88" s="200"/>
      <c r="S88" s="200"/>
      <c r="T88" s="200"/>
      <c r="U88" s="200"/>
      <c r="V88" s="200"/>
      <c r="W88" s="200"/>
      <c r="X88" s="200"/>
      <c r="Y88" s="200"/>
      <c r="Z88" s="201"/>
      <c r="AA88" s="74" t="s">
        <v>634</v>
      </c>
      <c r="AB88" s="75"/>
      <c r="AC88" s="75"/>
      <c r="AD88" s="75"/>
      <c r="AE88" s="76"/>
      <c r="AF88" s="86">
        <v>14</v>
      </c>
      <c r="AG88" s="86"/>
      <c r="AH88" s="86"/>
      <c r="AI88" s="86" t="s">
        <v>1302</v>
      </c>
      <c r="AJ88" s="86"/>
      <c r="AK88" s="86"/>
      <c r="AL88" s="202" t="s">
        <v>1116</v>
      </c>
      <c r="AM88" s="203"/>
      <c r="AN88" s="203"/>
      <c r="AO88" s="203"/>
      <c r="AP88" s="203"/>
      <c r="AQ88" s="203"/>
      <c r="AR88" s="203"/>
      <c r="AS88" s="203"/>
      <c r="AT88" s="203"/>
      <c r="AU88" s="203"/>
      <c r="AV88" s="203"/>
      <c r="AW88" s="203"/>
      <c r="AX88" s="203"/>
      <c r="AY88" s="203"/>
      <c r="AZ88" s="203"/>
      <c r="BA88" s="203"/>
      <c r="BB88" s="203"/>
      <c r="BC88" s="203"/>
      <c r="BD88" s="203"/>
      <c r="BE88" s="203"/>
      <c r="BF88" s="203"/>
      <c r="BG88" s="203"/>
      <c r="BH88" s="203"/>
      <c r="BI88" s="203"/>
      <c r="BJ88" s="203"/>
      <c r="BK88" s="203"/>
      <c r="BL88" s="203"/>
      <c r="BM88" s="203"/>
      <c r="BN88" s="203"/>
      <c r="BO88" s="203"/>
      <c r="BP88" s="204"/>
    </row>
    <row r="89" spans="1:68" s="1" customFormat="1" ht="30.75" customHeight="1">
      <c r="A89" s="74">
        <f t="shared" ref="A89:A92" si="9">ROW()-8-8</f>
        <v>73</v>
      </c>
      <c r="B89" s="75"/>
      <c r="C89" s="76"/>
      <c r="D89" s="199" t="s">
        <v>342</v>
      </c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200"/>
      <c r="W89" s="200"/>
      <c r="X89" s="200"/>
      <c r="Y89" s="200"/>
      <c r="Z89" s="201"/>
      <c r="AA89" s="74" t="s">
        <v>634</v>
      </c>
      <c r="AB89" s="75"/>
      <c r="AC89" s="75"/>
      <c r="AD89" s="75"/>
      <c r="AE89" s="76"/>
      <c r="AF89" s="86">
        <v>14</v>
      </c>
      <c r="AG89" s="86"/>
      <c r="AH89" s="86"/>
      <c r="AI89" s="86" t="s">
        <v>1302</v>
      </c>
      <c r="AJ89" s="86"/>
      <c r="AK89" s="86"/>
      <c r="AL89" s="202" t="s">
        <v>1117</v>
      </c>
      <c r="AM89" s="203"/>
      <c r="AN89" s="203"/>
      <c r="AO89" s="203"/>
      <c r="AP89" s="203"/>
      <c r="AQ89" s="203"/>
      <c r="AR89" s="203"/>
      <c r="AS89" s="203"/>
      <c r="AT89" s="203"/>
      <c r="AU89" s="203"/>
      <c r="AV89" s="203"/>
      <c r="AW89" s="203"/>
      <c r="AX89" s="203"/>
      <c r="AY89" s="203"/>
      <c r="AZ89" s="203"/>
      <c r="BA89" s="203"/>
      <c r="BB89" s="203"/>
      <c r="BC89" s="203"/>
      <c r="BD89" s="203"/>
      <c r="BE89" s="203"/>
      <c r="BF89" s="203"/>
      <c r="BG89" s="203"/>
      <c r="BH89" s="203"/>
      <c r="BI89" s="203"/>
      <c r="BJ89" s="203"/>
      <c r="BK89" s="203"/>
      <c r="BL89" s="203"/>
      <c r="BM89" s="203"/>
      <c r="BN89" s="203"/>
      <c r="BO89" s="203"/>
      <c r="BP89" s="204"/>
    </row>
    <row r="90" spans="1:68" s="1" customFormat="1" ht="30.75" customHeight="1">
      <c r="A90" s="74">
        <f t="shared" si="9"/>
        <v>74</v>
      </c>
      <c r="B90" s="75"/>
      <c r="C90" s="76"/>
      <c r="D90" s="199" t="s">
        <v>337</v>
      </c>
      <c r="E90" s="200"/>
      <c r="F90" s="200"/>
      <c r="G90" s="200"/>
      <c r="H90" s="200"/>
      <c r="I90" s="200"/>
      <c r="J90" s="200"/>
      <c r="K90" s="200"/>
      <c r="L90" s="200"/>
      <c r="M90" s="200"/>
      <c r="N90" s="200"/>
      <c r="O90" s="200"/>
      <c r="P90" s="200"/>
      <c r="Q90" s="200"/>
      <c r="R90" s="200"/>
      <c r="S90" s="200"/>
      <c r="T90" s="200"/>
      <c r="U90" s="200"/>
      <c r="V90" s="200"/>
      <c r="W90" s="200"/>
      <c r="X90" s="200"/>
      <c r="Y90" s="200"/>
      <c r="Z90" s="201"/>
      <c r="AA90" s="74" t="s">
        <v>634</v>
      </c>
      <c r="AB90" s="75"/>
      <c r="AC90" s="75"/>
      <c r="AD90" s="75"/>
      <c r="AE90" s="76"/>
      <c r="AF90" s="74">
        <v>14</v>
      </c>
      <c r="AG90" s="75"/>
      <c r="AH90" s="76"/>
      <c r="AI90" s="74" t="s">
        <v>1302</v>
      </c>
      <c r="AJ90" s="75"/>
      <c r="AK90" s="76"/>
      <c r="AL90" s="202" t="s">
        <v>1118</v>
      </c>
      <c r="AM90" s="203"/>
      <c r="AN90" s="203"/>
      <c r="AO90" s="203"/>
      <c r="AP90" s="203"/>
      <c r="AQ90" s="203"/>
      <c r="AR90" s="203"/>
      <c r="AS90" s="203"/>
      <c r="AT90" s="203"/>
      <c r="AU90" s="203"/>
      <c r="AV90" s="203"/>
      <c r="AW90" s="203"/>
      <c r="AX90" s="203"/>
      <c r="AY90" s="203"/>
      <c r="AZ90" s="203"/>
      <c r="BA90" s="203"/>
      <c r="BB90" s="203"/>
      <c r="BC90" s="203"/>
      <c r="BD90" s="203"/>
      <c r="BE90" s="203"/>
      <c r="BF90" s="203"/>
      <c r="BG90" s="203"/>
      <c r="BH90" s="203"/>
      <c r="BI90" s="203"/>
      <c r="BJ90" s="203"/>
      <c r="BK90" s="203"/>
      <c r="BL90" s="203"/>
      <c r="BM90" s="203"/>
      <c r="BN90" s="203"/>
      <c r="BO90" s="203"/>
      <c r="BP90" s="204"/>
    </row>
    <row r="91" spans="1:68" s="1" customFormat="1" ht="30.75" customHeight="1">
      <c r="A91" s="74">
        <f t="shared" si="9"/>
        <v>75</v>
      </c>
      <c r="B91" s="75"/>
      <c r="C91" s="76"/>
      <c r="D91" s="199" t="s">
        <v>343</v>
      </c>
      <c r="E91" s="200"/>
      <c r="F91" s="200"/>
      <c r="G91" s="200"/>
      <c r="H91" s="200"/>
      <c r="I91" s="200"/>
      <c r="J91" s="200"/>
      <c r="K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1"/>
      <c r="AA91" s="74" t="s">
        <v>634</v>
      </c>
      <c r="AB91" s="75"/>
      <c r="AC91" s="75"/>
      <c r="AD91" s="75"/>
      <c r="AE91" s="76"/>
      <c r="AF91" s="74">
        <v>14</v>
      </c>
      <c r="AG91" s="75"/>
      <c r="AH91" s="76"/>
      <c r="AI91" s="74" t="s">
        <v>1302</v>
      </c>
      <c r="AJ91" s="75"/>
      <c r="AK91" s="76"/>
      <c r="AL91" s="202" t="s">
        <v>1119</v>
      </c>
      <c r="AM91" s="203"/>
      <c r="AN91" s="203"/>
      <c r="AO91" s="203"/>
      <c r="AP91" s="203"/>
      <c r="AQ91" s="203"/>
      <c r="AR91" s="203"/>
      <c r="AS91" s="203"/>
      <c r="AT91" s="203"/>
      <c r="AU91" s="203"/>
      <c r="AV91" s="203"/>
      <c r="AW91" s="203"/>
      <c r="AX91" s="203"/>
      <c r="AY91" s="203"/>
      <c r="AZ91" s="203"/>
      <c r="BA91" s="203"/>
      <c r="BB91" s="203"/>
      <c r="BC91" s="203"/>
      <c r="BD91" s="203"/>
      <c r="BE91" s="203"/>
      <c r="BF91" s="203"/>
      <c r="BG91" s="203"/>
      <c r="BH91" s="203"/>
      <c r="BI91" s="203"/>
      <c r="BJ91" s="203"/>
      <c r="BK91" s="203"/>
      <c r="BL91" s="203"/>
      <c r="BM91" s="203"/>
      <c r="BN91" s="203"/>
      <c r="BO91" s="203"/>
      <c r="BP91" s="204"/>
    </row>
    <row r="92" spans="1:68" s="1" customFormat="1" ht="30.75" customHeight="1">
      <c r="A92" s="74">
        <f t="shared" si="9"/>
        <v>76</v>
      </c>
      <c r="B92" s="75"/>
      <c r="C92" s="76"/>
      <c r="D92" s="199" t="s">
        <v>344</v>
      </c>
      <c r="E92" s="200"/>
      <c r="F92" s="200"/>
      <c r="G92" s="200"/>
      <c r="H92" s="200"/>
      <c r="I92" s="200"/>
      <c r="J92" s="200"/>
      <c r="K92" s="200"/>
      <c r="L92" s="200"/>
      <c r="M92" s="200"/>
      <c r="N92" s="200"/>
      <c r="O92" s="200"/>
      <c r="P92" s="200"/>
      <c r="Q92" s="200"/>
      <c r="R92" s="200"/>
      <c r="S92" s="200"/>
      <c r="T92" s="200"/>
      <c r="U92" s="200"/>
      <c r="V92" s="200"/>
      <c r="W92" s="200"/>
      <c r="X92" s="200"/>
      <c r="Y92" s="200"/>
      <c r="Z92" s="201"/>
      <c r="AA92" s="74" t="s">
        <v>634</v>
      </c>
      <c r="AB92" s="75"/>
      <c r="AC92" s="75"/>
      <c r="AD92" s="75"/>
      <c r="AE92" s="76"/>
      <c r="AF92" s="74">
        <v>14</v>
      </c>
      <c r="AG92" s="75"/>
      <c r="AH92" s="76"/>
      <c r="AI92" s="74" t="s">
        <v>1302</v>
      </c>
      <c r="AJ92" s="75"/>
      <c r="AK92" s="76"/>
      <c r="AL92" s="202" t="s">
        <v>1120</v>
      </c>
      <c r="AM92" s="203"/>
      <c r="AN92" s="203"/>
      <c r="AO92" s="203"/>
      <c r="AP92" s="203"/>
      <c r="AQ92" s="203"/>
      <c r="AR92" s="203"/>
      <c r="AS92" s="203"/>
      <c r="AT92" s="203"/>
      <c r="AU92" s="203"/>
      <c r="AV92" s="203"/>
      <c r="AW92" s="203"/>
      <c r="AX92" s="203"/>
      <c r="AY92" s="203"/>
      <c r="AZ92" s="203"/>
      <c r="BA92" s="203"/>
      <c r="BB92" s="203"/>
      <c r="BC92" s="203"/>
      <c r="BD92" s="203"/>
      <c r="BE92" s="203"/>
      <c r="BF92" s="203"/>
      <c r="BG92" s="203"/>
      <c r="BH92" s="203"/>
      <c r="BI92" s="203"/>
      <c r="BJ92" s="203"/>
      <c r="BK92" s="203"/>
      <c r="BL92" s="203"/>
      <c r="BM92" s="203"/>
      <c r="BN92" s="203"/>
      <c r="BO92" s="203"/>
      <c r="BP92" s="204"/>
    </row>
    <row r="93" spans="1:68" s="1" customFormat="1" ht="30.75" customHeight="1">
      <c r="A93" s="74"/>
      <c r="B93" s="75"/>
      <c r="C93" s="76"/>
      <c r="D93" s="199" t="s">
        <v>345</v>
      </c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200"/>
      <c r="V93" s="200"/>
      <c r="W93" s="200"/>
      <c r="X93" s="200"/>
      <c r="Y93" s="200"/>
      <c r="Z93" s="201"/>
      <c r="AA93" s="74"/>
      <c r="AB93" s="75"/>
      <c r="AC93" s="75"/>
      <c r="AD93" s="75"/>
      <c r="AE93" s="76"/>
      <c r="AF93" s="80"/>
      <c r="AG93" s="81"/>
      <c r="AH93" s="82"/>
      <c r="AI93" s="80"/>
      <c r="AJ93" s="81"/>
      <c r="AK93" s="82"/>
      <c r="AL93" s="202"/>
      <c r="AM93" s="203"/>
      <c r="AN93" s="203"/>
      <c r="AO93" s="203"/>
      <c r="AP93" s="203"/>
      <c r="AQ93" s="203"/>
      <c r="AR93" s="203"/>
      <c r="AS93" s="203"/>
      <c r="AT93" s="203"/>
      <c r="AU93" s="203"/>
      <c r="AV93" s="203"/>
      <c r="AW93" s="203"/>
      <c r="AX93" s="203"/>
      <c r="AY93" s="203"/>
      <c r="AZ93" s="203"/>
      <c r="BA93" s="203"/>
      <c r="BB93" s="203"/>
      <c r="BC93" s="203"/>
      <c r="BD93" s="203"/>
      <c r="BE93" s="203"/>
      <c r="BF93" s="203"/>
      <c r="BG93" s="203"/>
      <c r="BH93" s="203"/>
      <c r="BI93" s="203"/>
      <c r="BJ93" s="203"/>
      <c r="BK93" s="203"/>
      <c r="BL93" s="203"/>
      <c r="BM93" s="203"/>
      <c r="BN93" s="203"/>
      <c r="BO93" s="203"/>
      <c r="BP93" s="204"/>
    </row>
    <row r="94" spans="1:68" s="1" customFormat="1" ht="30.75" customHeight="1">
      <c r="A94" s="74">
        <f>ROW()-8-9</f>
        <v>77</v>
      </c>
      <c r="B94" s="75"/>
      <c r="C94" s="76"/>
      <c r="D94" s="199" t="s">
        <v>629</v>
      </c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1"/>
      <c r="AA94" s="74" t="s">
        <v>634</v>
      </c>
      <c r="AB94" s="75"/>
      <c r="AC94" s="75"/>
      <c r="AD94" s="75"/>
      <c r="AE94" s="76"/>
      <c r="AF94" s="86">
        <v>14</v>
      </c>
      <c r="AG94" s="86"/>
      <c r="AH94" s="86"/>
      <c r="AI94" s="86" t="s">
        <v>1302</v>
      </c>
      <c r="AJ94" s="86"/>
      <c r="AK94" s="86"/>
      <c r="AL94" s="202" t="s">
        <v>1099</v>
      </c>
      <c r="AM94" s="203"/>
      <c r="AN94" s="203"/>
      <c r="AO94" s="203"/>
      <c r="AP94" s="203"/>
      <c r="AQ94" s="203"/>
      <c r="AR94" s="203"/>
      <c r="AS94" s="203"/>
      <c r="AT94" s="203"/>
      <c r="AU94" s="203"/>
      <c r="AV94" s="203"/>
      <c r="AW94" s="203"/>
      <c r="AX94" s="203"/>
      <c r="AY94" s="203"/>
      <c r="AZ94" s="203"/>
      <c r="BA94" s="203"/>
      <c r="BB94" s="203"/>
      <c r="BC94" s="203"/>
      <c r="BD94" s="203"/>
      <c r="BE94" s="203"/>
      <c r="BF94" s="203"/>
      <c r="BG94" s="203"/>
      <c r="BH94" s="203"/>
      <c r="BI94" s="203"/>
      <c r="BJ94" s="203"/>
      <c r="BK94" s="203"/>
      <c r="BL94" s="203"/>
      <c r="BM94" s="203"/>
      <c r="BN94" s="203"/>
      <c r="BO94" s="203"/>
      <c r="BP94" s="204"/>
    </row>
    <row r="95" spans="1:68" s="1" customFormat="1" ht="30.75" customHeight="1">
      <c r="A95" s="80"/>
      <c r="B95" s="81"/>
      <c r="C95" s="82"/>
      <c r="D95" s="77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9"/>
      <c r="AA95" s="80"/>
      <c r="AB95" s="81"/>
      <c r="AC95" s="81"/>
      <c r="AD95" s="81"/>
      <c r="AE95" s="82"/>
      <c r="AF95" s="87"/>
      <c r="AG95" s="87"/>
      <c r="AH95" s="87"/>
      <c r="AI95" s="87"/>
      <c r="AJ95" s="87"/>
      <c r="AK95" s="87"/>
      <c r="AL95" s="83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84"/>
      <c r="BK95" s="84"/>
      <c r="BL95" s="84"/>
      <c r="BM95" s="84"/>
      <c r="BN95" s="84"/>
      <c r="BO95" s="84"/>
      <c r="BP95" s="85"/>
    </row>
    <row r="96" spans="1:68" s="4" customFormat="1" ht="3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3"/>
      <c r="AG96" s="3"/>
      <c r="AH96" s="3"/>
      <c r="AI96" s="3"/>
      <c r="AJ96" s="3"/>
      <c r="AK96" s="3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</row>
    <row r="97" spans="1:68" s="4" customFormat="1" ht="14.25">
      <c r="A97" s="5" t="s">
        <v>14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15"/>
      <c r="AG97" s="15"/>
      <c r="AH97" s="15"/>
      <c r="AI97" s="15"/>
      <c r="AJ97" s="15"/>
      <c r="AK97" s="15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6"/>
    </row>
    <row r="98" spans="1:68" s="4" customFormat="1" ht="20.25" customHeight="1">
      <c r="A98" s="5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6"/>
    </row>
    <row r="99" spans="1:68" s="4" customFormat="1" ht="20.25" customHeight="1">
      <c r="A99" s="5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6"/>
    </row>
    <row r="100" spans="1:68" s="4" customFormat="1" ht="20.25" customHeight="1">
      <c r="A100" s="5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6"/>
    </row>
    <row r="101" spans="1:68" s="4" customFormat="1" ht="20.25" customHeight="1">
      <c r="A101" s="5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6"/>
    </row>
    <row r="102" spans="1:68" s="4" customFormat="1" ht="20.25" customHeight="1">
      <c r="A102" s="7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9"/>
    </row>
    <row r="103" spans="1:68" ht="5.25" customHeight="1"/>
  </sheetData>
  <mergeCells count="547">
    <mergeCell ref="A9:C9"/>
    <mergeCell ref="D9:Z9"/>
    <mergeCell ref="AA9:AE9"/>
    <mergeCell ref="AF9:AH9"/>
    <mergeCell ref="AI9:AK9"/>
    <mergeCell ref="AL9:BP9"/>
    <mergeCell ref="A21:C21"/>
    <mergeCell ref="D21:Z21"/>
    <mergeCell ref="AA21:AE21"/>
    <mergeCell ref="AF21:AH21"/>
    <mergeCell ref="AI21:AK21"/>
    <mergeCell ref="AL21:BP21"/>
    <mergeCell ref="A11:C11"/>
    <mergeCell ref="D11:Z11"/>
    <mergeCell ref="AA11:AE11"/>
    <mergeCell ref="AF11:AH11"/>
    <mergeCell ref="AI11:AK11"/>
    <mergeCell ref="AL11:BP11"/>
    <mergeCell ref="A10:C10"/>
    <mergeCell ref="D10:Z10"/>
    <mergeCell ref="AA10:AE10"/>
    <mergeCell ref="AF10:AH10"/>
    <mergeCell ref="AI10:AK10"/>
    <mergeCell ref="AL10:BP10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8:C8"/>
    <mergeCell ref="D8:Z8"/>
    <mergeCell ref="AA8:AE8"/>
    <mergeCell ref="AF8:AH8"/>
    <mergeCell ref="AI8:AK8"/>
    <mergeCell ref="AL8:BP8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13:C13"/>
    <mergeCell ref="D13:Z13"/>
    <mergeCell ref="AA13:AE13"/>
    <mergeCell ref="AF13:AH13"/>
    <mergeCell ref="AI13:AK13"/>
    <mergeCell ref="AL13:BP13"/>
    <mergeCell ref="A12:C12"/>
    <mergeCell ref="D12:Z12"/>
    <mergeCell ref="AA12:AE12"/>
    <mergeCell ref="AF12:AH12"/>
    <mergeCell ref="AI12:AK12"/>
    <mergeCell ref="AL12:BP12"/>
    <mergeCell ref="A15:C15"/>
    <mergeCell ref="D15:Z15"/>
    <mergeCell ref="AA15:AE15"/>
    <mergeCell ref="AF15:AH15"/>
    <mergeCell ref="AI15:AK15"/>
    <mergeCell ref="AL15:BP15"/>
    <mergeCell ref="A14:C14"/>
    <mergeCell ref="D14:Z14"/>
    <mergeCell ref="AA14:AE14"/>
    <mergeCell ref="AF14:AH14"/>
    <mergeCell ref="AI14:AK14"/>
    <mergeCell ref="AL14:BP14"/>
    <mergeCell ref="A17:C17"/>
    <mergeCell ref="D17:Z17"/>
    <mergeCell ref="AA17:AE17"/>
    <mergeCell ref="AF17:AH17"/>
    <mergeCell ref="AI17:AK17"/>
    <mergeCell ref="AL17:BP17"/>
    <mergeCell ref="A16:C16"/>
    <mergeCell ref="D16:Z16"/>
    <mergeCell ref="AA16:AE16"/>
    <mergeCell ref="AF16:AH16"/>
    <mergeCell ref="AI16:AK16"/>
    <mergeCell ref="AL16:BP16"/>
    <mergeCell ref="A22:C22"/>
    <mergeCell ref="D22:Z22"/>
    <mergeCell ref="AA22:AE22"/>
    <mergeCell ref="AF22:AH22"/>
    <mergeCell ref="AI22:AK22"/>
    <mergeCell ref="AL22:BP22"/>
    <mergeCell ref="A18:C18"/>
    <mergeCell ref="D18:Z18"/>
    <mergeCell ref="AA18:AE18"/>
    <mergeCell ref="AF18:AH18"/>
    <mergeCell ref="AI18:AK18"/>
    <mergeCell ref="AL18:BP18"/>
    <mergeCell ref="A19:C19"/>
    <mergeCell ref="D19:Z19"/>
    <mergeCell ref="AA19:AE19"/>
    <mergeCell ref="AF19:AH19"/>
    <mergeCell ref="AI19:AK19"/>
    <mergeCell ref="AL19:BP19"/>
    <mergeCell ref="A20:C20"/>
    <mergeCell ref="D20:Z20"/>
    <mergeCell ref="AA20:AE20"/>
    <mergeCell ref="AF20:AH20"/>
    <mergeCell ref="AI20:AK20"/>
    <mergeCell ref="AL20:BP20"/>
    <mergeCell ref="A25:C25"/>
    <mergeCell ref="D25:Z25"/>
    <mergeCell ref="AA25:AE25"/>
    <mergeCell ref="AF25:AH25"/>
    <mergeCell ref="AI25:AK25"/>
    <mergeCell ref="AL25:BP25"/>
    <mergeCell ref="A23:C23"/>
    <mergeCell ref="D23:Z23"/>
    <mergeCell ref="AA23:AE23"/>
    <mergeCell ref="AF23:AH23"/>
    <mergeCell ref="AI23:AK23"/>
    <mergeCell ref="AL23:BP23"/>
    <mergeCell ref="A24:C24"/>
    <mergeCell ref="D24:Z24"/>
    <mergeCell ref="AA24:AE24"/>
    <mergeCell ref="AF24:AH24"/>
    <mergeCell ref="AI24:AK24"/>
    <mergeCell ref="AL24:BP24"/>
    <mergeCell ref="A27:C27"/>
    <mergeCell ref="D27:Z27"/>
    <mergeCell ref="AA27:AE27"/>
    <mergeCell ref="AF27:AH27"/>
    <mergeCell ref="AI27:AK27"/>
    <mergeCell ref="AL27:BP27"/>
    <mergeCell ref="A26:C26"/>
    <mergeCell ref="D26:Z26"/>
    <mergeCell ref="AA26:AE26"/>
    <mergeCell ref="AF26:AH26"/>
    <mergeCell ref="AI26:AK26"/>
    <mergeCell ref="AL26:BP26"/>
    <mergeCell ref="A29:C29"/>
    <mergeCell ref="D29:Z29"/>
    <mergeCell ref="AA29:AE29"/>
    <mergeCell ref="AF29:AH29"/>
    <mergeCell ref="AI29:AK29"/>
    <mergeCell ref="AL29:BP29"/>
    <mergeCell ref="A28:C28"/>
    <mergeCell ref="D28:Z28"/>
    <mergeCell ref="AA28:AE28"/>
    <mergeCell ref="AF28:AH28"/>
    <mergeCell ref="AI28:AK28"/>
    <mergeCell ref="AL28:BP28"/>
    <mergeCell ref="A31:C31"/>
    <mergeCell ref="D31:Z31"/>
    <mergeCell ref="AA31:AE31"/>
    <mergeCell ref="AF31:AH31"/>
    <mergeCell ref="AI31:AK31"/>
    <mergeCell ref="AL31:BP31"/>
    <mergeCell ref="A30:C30"/>
    <mergeCell ref="D30:Z30"/>
    <mergeCell ref="AA30:AE30"/>
    <mergeCell ref="AF30:AH30"/>
    <mergeCell ref="AI30:AK30"/>
    <mergeCell ref="AL30:BP30"/>
    <mergeCell ref="A33:C33"/>
    <mergeCell ref="D33:Z33"/>
    <mergeCell ref="AA33:AE33"/>
    <mergeCell ref="AF33:AH33"/>
    <mergeCell ref="AI33:AK33"/>
    <mergeCell ref="AL33:BP33"/>
    <mergeCell ref="A32:C32"/>
    <mergeCell ref="D32:Z32"/>
    <mergeCell ref="AA32:AE32"/>
    <mergeCell ref="AF32:AH32"/>
    <mergeCell ref="AI32:AK32"/>
    <mergeCell ref="AL32:BP32"/>
    <mergeCell ref="A35:C35"/>
    <mergeCell ref="D35:Z35"/>
    <mergeCell ref="AA35:AE35"/>
    <mergeCell ref="AF35:AH35"/>
    <mergeCell ref="AI35:AK35"/>
    <mergeCell ref="AL35:BP35"/>
    <mergeCell ref="A34:C34"/>
    <mergeCell ref="D34:Z34"/>
    <mergeCell ref="AA34:AE34"/>
    <mergeCell ref="AF34:AH34"/>
    <mergeCell ref="AI34:AK34"/>
    <mergeCell ref="AL34:BP34"/>
    <mergeCell ref="A37:C37"/>
    <mergeCell ref="D37:Z37"/>
    <mergeCell ref="AA37:AE37"/>
    <mergeCell ref="AF37:AH37"/>
    <mergeCell ref="AI37:AK37"/>
    <mergeCell ref="AL37:BP37"/>
    <mergeCell ref="A36:C36"/>
    <mergeCell ref="D36:Z36"/>
    <mergeCell ref="AA36:AE36"/>
    <mergeCell ref="AF36:AH36"/>
    <mergeCell ref="AI36:AK36"/>
    <mergeCell ref="AL36:BP36"/>
    <mergeCell ref="A39:C39"/>
    <mergeCell ref="D39:Z39"/>
    <mergeCell ref="AA39:AE39"/>
    <mergeCell ref="AF39:AH39"/>
    <mergeCell ref="AI39:AK39"/>
    <mergeCell ref="AL39:BP39"/>
    <mergeCell ref="A38:C38"/>
    <mergeCell ref="D38:Z38"/>
    <mergeCell ref="AA38:AE38"/>
    <mergeCell ref="AF38:AH38"/>
    <mergeCell ref="AI38:AK38"/>
    <mergeCell ref="AL38:BP38"/>
    <mergeCell ref="A41:C41"/>
    <mergeCell ref="D41:Z41"/>
    <mergeCell ref="AA41:AE41"/>
    <mergeCell ref="AF41:AH41"/>
    <mergeCell ref="AI41:AK41"/>
    <mergeCell ref="AL41:BP41"/>
    <mergeCell ref="A40:C40"/>
    <mergeCell ref="D40:Z40"/>
    <mergeCell ref="AA40:AE40"/>
    <mergeCell ref="AF40:AH40"/>
    <mergeCell ref="AI40:AK40"/>
    <mergeCell ref="AL40:BP40"/>
    <mergeCell ref="A43:C43"/>
    <mergeCell ref="D43:Z43"/>
    <mergeCell ref="AA43:AE43"/>
    <mergeCell ref="AF43:AH43"/>
    <mergeCell ref="AI43:AK43"/>
    <mergeCell ref="AL43:BP43"/>
    <mergeCell ref="A42:C42"/>
    <mergeCell ref="D42:Z42"/>
    <mergeCell ref="AA42:AE42"/>
    <mergeCell ref="AF42:AH42"/>
    <mergeCell ref="AI42:AK42"/>
    <mergeCell ref="AL42:BP42"/>
    <mergeCell ref="A45:C45"/>
    <mergeCell ref="D45:Z45"/>
    <mergeCell ref="AA45:AE45"/>
    <mergeCell ref="AF45:AH45"/>
    <mergeCell ref="AI45:AK45"/>
    <mergeCell ref="AL45:BP45"/>
    <mergeCell ref="A44:C44"/>
    <mergeCell ref="D44:Z44"/>
    <mergeCell ref="AA44:AE44"/>
    <mergeCell ref="AF44:AH44"/>
    <mergeCell ref="AI44:AK44"/>
    <mergeCell ref="AL44:BP44"/>
    <mergeCell ref="A47:C47"/>
    <mergeCell ref="D47:Z47"/>
    <mergeCell ref="AA47:AE47"/>
    <mergeCell ref="AF47:AH47"/>
    <mergeCell ref="AI47:AK47"/>
    <mergeCell ref="AL47:BP47"/>
    <mergeCell ref="A46:C46"/>
    <mergeCell ref="D46:Z46"/>
    <mergeCell ref="AA46:AE46"/>
    <mergeCell ref="AF46:AH46"/>
    <mergeCell ref="AI46:AK46"/>
    <mergeCell ref="AL46:BP46"/>
    <mergeCell ref="A49:C49"/>
    <mergeCell ref="D49:Z49"/>
    <mergeCell ref="AA49:AE49"/>
    <mergeCell ref="AF49:AH49"/>
    <mergeCell ref="AI49:AK49"/>
    <mergeCell ref="AL49:BP49"/>
    <mergeCell ref="A48:C48"/>
    <mergeCell ref="D48:Z48"/>
    <mergeCell ref="AA48:AE48"/>
    <mergeCell ref="AF48:AH48"/>
    <mergeCell ref="AI48:AK48"/>
    <mergeCell ref="AL48:BP48"/>
    <mergeCell ref="A51:C51"/>
    <mergeCell ref="D51:Z51"/>
    <mergeCell ref="AA51:AE51"/>
    <mergeCell ref="AF51:AH51"/>
    <mergeCell ref="AI51:AK51"/>
    <mergeCell ref="AL51:BP51"/>
    <mergeCell ref="A50:C50"/>
    <mergeCell ref="D50:Z50"/>
    <mergeCell ref="AA50:AE50"/>
    <mergeCell ref="AF50:AH50"/>
    <mergeCell ref="AI50:AK50"/>
    <mergeCell ref="AL50:BP50"/>
    <mergeCell ref="A53:C53"/>
    <mergeCell ref="D53:Z53"/>
    <mergeCell ref="AA53:AE53"/>
    <mergeCell ref="AF53:AH53"/>
    <mergeCell ref="AI53:AK53"/>
    <mergeCell ref="AL53:BP53"/>
    <mergeCell ref="A52:C52"/>
    <mergeCell ref="D52:Z52"/>
    <mergeCell ref="AA52:AE52"/>
    <mergeCell ref="AF52:AH52"/>
    <mergeCell ref="AI52:AK52"/>
    <mergeCell ref="AL52:BP52"/>
    <mergeCell ref="A55:C55"/>
    <mergeCell ref="D55:Z55"/>
    <mergeCell ref="AA55:AE55"/>
    <mergeCell ref="AF55:AH55"/>
    <mergeCell ref="AI55:AK55"/>
    <mergeCell ref="AL55:BP55"/>
    <mergeCell ref="A54:C54"/>
    <mergeCell ref="D54:Z54"/>
    <mergeCell ref="AA54:AE54"/>
    <mergeCell ref="AF54:AH54"/>
    <mergeCell ref="AI54:AK54"/>
    <mergeCell ref="AL54:BP54"/>
    <mergeCell ref="A57:C57"/>
    <mergeCell ref="D57:Z57"/>
    <mergeCell ref="AA57:AE57"/>
    <mergeCell ref="AF57:AH57"/>
    <mergeCell ref="AI57:AK57"/>
    <mergeCell ref="AL57:BP57"/>
    <mergeCell ref="A56:C56"/>
    <mergeCell ref="D56:Z56"/>
    <mergeCell ref="AA56:AE56"/>
    <mergeCell ref="AF56:AH56"/>
    <mergeCell ref="AI56:AK56"/>
    <mergeCell ref="AL56:BP56"/>
    <mergeCell ref="A59:C59"/>
    <mergeCell ref="D59:Z59"/>
    <mergeCell ref="AA59:AE59"/>
    <mergeCell ref="AF59:AH59"/>
    <mergeCell ref="AI59:AK59"/>
    <mergeCell ref="AL59:BP59"/>
    <mergeCell ref="A58:C58"/>
    <mergeCell ref="D58:Z58"/>
    <mergeCell ref="AA58:AE58"/>
    <mergeCell ref="AF58:AH58"/>
    <mergeCell ref="AI58:AK58"/>
    <mergeCell ref="AL58:BP58"/>
    <mergeCell ref="A60:C60"/>
    <mergeCell ref="D60:Z60"/>
    <mergeCell ref="AA60:AE60"/>
    <mergeCell ref="AF60:AH60"/>
    <mergeCell ref="AI60:AK60"/>
    <mergeCell ref="AL60:BP60"/>
    <mergeCell ref="A61:C61"/>
    <mergeCell ref="D61:Z61"/>
    <mergeCell ref="AA61:AE61"/>
    <mergeCell ref="AF61:AH61"/>
    <mergeCell ref="AI61:AK61"/>
    <mergeCell ref="AL61:BP61"/>
    <mergeCell ref="A63:C63"/>
    <mergeCell ref="D63:Z63"/>
    <mergeCell ref="AA63:AE63"/>
    <mergeCell ref="AF63:AH63"/>
    <mergeCell ref="AI63:AK63"/>
    <mergeCell ref="AL63:BP63"/>
    <mergeCell ref="A62:C62"/>
    <mergeCell ref="D62:Z62"/>
    <mergeCell ref="AA62:AE62"/>
    <mergeCell ref="AF62:AH62"/>
    <mergeCell ref="AI62:AK62"/>
    <mergeCell ref="AL62:BP62"/>
    <mergeCell ref="A65:C65"/>
    <mergeCell ref="D65:Z65"/>
    <mergeCell ref="AA65:AE65"/>
    <mergeCell ref="AF65:AH65"/>
    <mergeCell ref="AI65:AK65"/>
    <mergeCell ref="AL65:BP65"/>
    <mergeCell ref="A64:C64"/>
    <mergeCell ref="D64:Z64"/>
    <mergeCell ref="AA64:AE64"/>
    <mergeCell ref="AF64:AH64"/>
    <mergeCell ref="AI64:AK64"/>
    <mergeCell ref="AL64:BP64"/>
    <mergeCell ref="A67:C67"/>
    <mergeCell ref="D67:Z67"/>
    <mergeCell ref="AA67:AE67"/>
    <mergeCell ref="AF67:AH67"/>
    <mergeCell ref="AI67:AK67"/>
    <mergeCell ref="AL67:BP67"/>
    <mergeCell ref="A66:C66"/>
    <mergeCell ref="D66:Z66"/>
    <mergeCell ref="AA66:AE66"/>
    <mergeCell ref="AF66:AH66"/>
    <mergeCell ref="AI66:AK66"/>
    <mergeCell ref="AL66:BP66"/>
    <mergeCell ref="A69:C69"/>
    <mergeCell ref="D69:Z69"/>
    <mergeCell ref="AA69:AE69"/>
    <mergeCell ref="AF69:AH69"/>
    <mergeCell ref="AI69:AK69"/>
    <mergeCell ref="AL69:BP69"/>
    <mergeCell ref="A68:C68"/>
    <mergeCell ref="D68:Z68"/>
    <mergeCell ref="AA68:AE68"/>
    <mergeCell ref="AF68:AH68"/>
    <mergeCell ref="AI68:AK68"/>
    <mergeCell ref="AL68:BP68"/>
    <mergeCell ref="A71:C71"/>
    <mergeCell ref="D71:Z71"/>
    <mergeCell ref="AA71:AE71"/>
    <mergeCell ref="AF71:AH71"/>
    <mergeCell ref="AI71:AK71"/>
    <mergeCell ref="AL71:BP71"/>
    <mergeCell ref="A70:C70"/>
    <mergeCell ref="D70:Z70"/>
    <mergeCell ref="AA70:AE70"/>
    <mergeCell ref="AF70:AH70"/>
    <mergeCell ref="AI70:AK70"/>
    <mergeCell ref="AL70:BP70"/>
    <mergeCell ref="A73:C73"/>
    <mergeCell ref="D73:Z73"/>
    <mergeCell ref="AA73:AE73"/>
    <mergeCell ref="AF73:AH73"/>
    <mergeCell ref="AI73:AK73"/>
    <mergeCell ref="AL73:BP73"/>
    <mergeCell ref="A72:C72"/>
    <mergeCell ref="D72:Z72"/>
    <mergeCell ref="AA72:AE72"/>
    <mergeCell ref="AF72:AH72"/>
    <mergeCell ref="AI72:AK72"/>
    <mergeCell ref="AL72:BP72"/>
    <mergeCell ref="A75:C75"/>
    <mergeCell ref="D75:Z75"/>
    <mergeCell ref="AA75:AE75"/>
    <mergeCell ref="AF75:AH75"/>
    <mergeCell ref="AI75:AK75"/>
    <mergeCell ref="AL75:BP75"/>
    <mergeCell ref="A74:C74"/>
    <mergeCell ref="D74:Z74"/>
    <mergeCell ref="AA74:AE74"/>
    <mergeCell ref="AF74:AH74"/>
    <mergeCell ref="AI74:AK74"/>
    <mergeCell ref="AL74:BP74"/>
    <mergeCell ref="A77:C77"/>
    <mergeCell ref="D77:Z77"/>
    <mergeCell ref="AA77:AE77"/>
    <mergeCell ref="AF77:AH77"/>
    <mergeCell ref="AI77:AK77"/>
    <mergeCell ref="AL77:BP77"/>
    <mergeCell ref="A76:C76"/>
    <mergeCell ref="D76:Z76"/>
    <mergeCell ref="AA76:AE76"/>
    <mergeCell ref="AF76:AH76"/>
    <mergeCell ref="AI76:AK76"/>
    <mergeCell ref="AL76:BP76"/>
    <mergeCell ref="A79:C79"/>
    <mergeCell ref="D79:Z79"/>
    <mergeCell ref="AA79:AE79"/>
    <mergeCell ref="AF79:AH79"/>
    <mergeCell ref="AI79:AK79"/>
    <mergeCell ref="AL79:BP79"/>
    <mergeCell ref="A78:C78"/>
    <mergeCell ref="D78:Z78"/>
    <mergeCell ref="AA78:AE78"/>
    <mergeCell ref="AF78:AH78"/>
    <mergeCell ref="AI78:AK78"/>
    <mergeCell ref="AL78:BP78"/>
    <mergeCell ref="A81:C81"/>
    <mergeCell ref="D81:Z81"/>
    <mergeCell ref="AA81:AE81"/>
    <mergeCell ref="AF81:AH81"/>
    <mergeCell ref="AI81:AK81"/>
    <mergeCell ref="AL81:BP81"/>
    <mergeCell ref="A80:C80"/>
    <mergeCell ref="D80:Z80"/>
    <mergeCell ref="AA80:AE80"/>
    <mergeCell ref="AF80:AH80"/>
    <mergeCell ref="AI80:AK80"/>
    <mergeCell ref="AL80:BP80"/>
    <mergeCell ref="A83:C83"/>
    <mergeCell ref="D83:Z83"/>
    <mergeCell ref="AA83:AE83"/>
    <mergeCell ref="AF83:AH83"/>
    <mergeCell ref="AI83:AK83"/>
    <mergeCell ref="AL83:BP83"/>
    <mergeCell ref="A82:C82"/>
    <mergeCell ref="D82:Z82"/>
    <mergeCell ref="AA82:AE82"/>
    <mergeCell ref="AF82:AH82"/>
    <mergeCell ref="AI82:AK82"/>
    <mergeCell ref="AL82:BP82"/>
    <mergeCell ref="A85:C85"/>
    <mergeCell ref="D85:Z85"/>
    <mergeCell ref="AA85:AE85"/>
    <mergeCell ref="AF85:AH85"/>
    <mergeCell ref="AI85:AK85"/>
    <mergeCell ref="AL85:BP85"/>
    <mergeCell ref="A84:C84"/>
    <mergeCell ref="D84:Z84"/>
    <mergeCell ref="AA84:AE84"/>
    <mergeCell ref="AF84:AH84"/>
    <mergeCell ref="AI84:AK84"/>
    <mergeCell ref="AL84:BP84"/>
    <mergeCell ref="A87:C87"/>
    <mergeCell ref="D87:Z87"/>
    <mergeCell ref="AA87:AE87"/>
    <mergeCell ref="AF87:AH87"/>
    <mergeCell ref="AI87:AK87"/>
    <mergeCell ref="AL87:BP87"/>
    <mergeCell ref="A86:C86"/>
    <mergeCell ref="D86:Z86"/>
    <mergeCell ref="AA86:AE86"/>
    <mergeCell ref="AF86:AH86"/>
    <mergeCell ref="AI86:AK86"/>
    <mergeCell ref="AL86:BP86"/>
    <mergeCell ref="A89:C89"/>
    <mergeCell ref="D89:Z89"/>
    <mergeCell ref="AA89:AE89"/>
    <mergeCell ref="AF89:AH89"/>
    <mergeCell ref="AI89:AK89"/>
    <mergeCell ref="AL89:BP89"/>
    <mergeCell ref="A88:C88"/>
    <mergeCell ref="D88:Z88"/>
    <mergeCell ref="AA88:AE88"/>
    <mergeCell ref="AF88:AH88"/>
    <mergeCell ref="AI88:AK88"/>
    <mergeCell ref="AL88:BP88"/>
    <mergeCell ref="A91:C91"/>
    <mergeCell ref="D91:Z91"/>
    <mergeCell ref="AA91:AE91"/>
    <mergeCell ref="AF91:AH91"/>
    <mergeCell ref="AI91:AK91"/>
    <mergeCell ref="AL91:BP91"/>
    <mergeCell ref="A90:C90"/>
    <mergeCell ref="D90:Z90"/>
    <mergeCell ref="AA90:AE90"/>
    <mergeCell ref="AF90:AH90"/>
    <mergeCell ref="AI90:AK90"/>
    <mergeCell ref="AL90:BP90"/>
    <mergeCell ref="A93:C93"/>
    <mergeCell ref="D93:Z93"/>
    <mergeCell ref="AA93:AE93"/>
    <mergeCell ref="AF93:AH93"/>
    <mergeCell ref="AI93:AK93"/>
    <mergeCell ref="AL93:BP93"/>
    <mergeCell ref="A92:C92"/>
    <mergeCell ref="D92:Z92"/>
    <mergeCell ref="AA92:AE92"/>
    <mergeCell ref="AF92:AH92"/>
    <mergeCell ref="AI92:AK92"/>
    <mergeCell ref="AL92:BP92"/>
    <mergeCell ref="A95:C95"/>
    <mergeCell ref="D95:Z95"/>
    <mergeCell ref="AA95:AE95"/>
    <mergeCell ref="AF95:AH95"/>
    <mergeCell ref="AI95:AK95"/>
    <mergeCell ref="AL95:BP95"/>
    <mergeCell ref="A94:C94"/>
    <mergeCell ref="D94:Z94"/>
    <mergeCell ref="AA94:AE94"/>
    <mergeCell ref="AF94:AH94"/>
    <mergeCell ref="AI94:AK94"/>
    <mergeCell ref="AL94:BP94"/>
  </mergeCells>
  <phoneticPr fontId="3"/>
  <dataValidations count="1">
    <dataValidation type="list" allowBlank="1" showInputMessage="1" showErrorMessage="1" sqref="BJ6:BP6" xr:uid="{78FB5E96-BB86-49F7-9418-17413A43A61F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A1C6A-558D-4381-A3B9-6EBE1F9087A5}">
  <dimension ref="A1:BR25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8" width="2.125" style="55"/>
    <col min="39" max="44" width="0" style="55" hidden="1" customWidth="1"/>
    <col min="45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58" t="s">
        <v>217</v>
      </c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95" t="s">
        <v>1386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1385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17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129">
        <f>ROW()-8</f>
        <v>1</v>
      </c>
      <c r="B9" s="130"/>
      <c r="C9" s="131"/>
      <c r="D9" s="142" t="s">
        <v>1387</v>
      </c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4"/>
      <c r="AA9" s="117" t="s">
        <v>19</v>
      </c>
      <c r="AB9" s="118"/>
      <c r="AC9" s="118"/>
      <c r="AD9" s="118"/>
      <c r="AE9" s="119"/>
      <c r="AF9" s="117">
        <v>64</v>
      </c>
      <c r="AG9" s="118"/>
      <c r="AH9" s="119"/>
      <c r="AI9" s="117"/>
      <c r="AJ9" s="118"/>
      <c r="AK9" s="119"/>
      <c r="AL9" s="68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70"/>
    </row>
    <row r="10" spans="1:70" s="1" customFormat="1" ht="30.75" customHeight="1">
      <c r="A10" s="74">
        <f>ROW()-8</f>
        <v>2</v>
      </c>
      <c r="B10" s="75"/>
      <c r="C10" s="76"/>
      <c r="D10" s="71" t="s">
        <v>1388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  <c r="AA10" s="74" t="s">
        <v>19</v>
      </c>
      <c r="AB10" s="75"/>
      <c r="AC10" s="75"/>
      <c r="AD10" s="75"/>
      <c r="AE10" s="76"/>
      <c r="AF10" s="74">
        <v>64</v>
      </c>
      <c r="AG10" s="75"/>
      <c r="AH10" s="76"/>
      <c r="AI10" s="74"/>
      <c r="AJ10" s="75"/>
      <c r="AK10" s="76"/>
      <c r="AL10" s="68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74">
        <f t="shared" ref="A11:A16" si="0">ROW()-8</f>
        <v>3</v>
      </c>
      <c r="B11" s="75"/>
      <c r="C11" s="76"/>
      <c r="D11" s="71" t="s">
        <v>1371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3"/>
      <c r="AA11" s="74" t="s">
        <v>19</v>
      </c>
      <c r="AB11" s="75"/>
      <c r="AC11" s="75"/>
      <c r="AD11" s="75"/>
      <c r="AE11" s="76"/>
      <c r="AF11" s="74">
        <v>64</v>
      </c>
      <c r="AG11" s="75"/>
      <c r="AH11" s="76"/>
      <c r="AI11" s="74"/>
      <c r="AJ11" s="75"/>
      <c r="AK11" s="76"/>
      <c r="AL11" s="68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70"/>
    </row>
    <row r="12" spans="1:70" s="1" customFormat="1" ht="30.75" customHeight="1">
      <c r="A12" s="74">
        <f t="shared" si="0"/>
        <v>4</v>
      </c>
      <c r="B12" s="75"/>
      <c r="C12" s="76"/>
      <c r="D12" s="71" t="s">
        <v>1374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3"/>
      <c r="AA12" s="74" t="s">
        <v>19</v>
      </c>
      <c r="AB12" s="75"/>
      <c r="AC12" s="75"/>
      <c r="AD12" s="75"/>
      <c r="AE12" s="76"/>
      <c r="AF12" s="74">
        <v>64</v>
      </c>
      <c r="AG12" s="75"/>
      <c r="AH12" s="76"/>
      <c r="AI12" s="74"/>
      <c r="AJ12" s="75"/>
      <c r="AK12" s="76"/>
      <c r="AL12" s="68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70"/>
    </row>
    <row r="13" spans="1:70" s="1" customFormat="1" ht="30.75" customHeight="1">
      <c r="A13" s="74">
        <f t="shared" si="0"/>
        <v>5</v>
      </c>
      <c r="B13" s="75"/>
      <c r="C13" s="76"/>
      <c r="D13" s="71" t="s">
        <v>1375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3"/>
      <c r="AA13" s="74" t="s">
        <v>19</v>
      </c>
      <c r="AB13" s="75"/>
      <c r="AC13" s="75"/>
      <c r="AD13" s="75"/>
      <c r="AE13" s="76"/>
      <c r="AF13" s="74">
        <v>64</v>
      </c>
      <c r="AG13" s="75"/>
      <c r="AH13" s="76"/>
      <c r="AI13" s="74"/>
      <c r="AJ13" s="75"/>
      <c r="AK13" s="76"/>
      <c r="AL13" s="68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70"/>
    </row>
    <row r="14" spans="1:70" s="1" customFormat="1" ht="30.75" customHeight="1">
      <c r="A14" s="74">
        <f t="shared" si="0"/>
        <v>6</v>
      </c>
      <c r="B14" s="75"/>
      <c r="C14" s="76"/>
      <c r="D14" s="71" t="s">
        <v>1376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3"/>
      <c r="AA14" s="74" t="s">
        <v>19</v>
      </c>
      <c r="AB14" s="75"/>
      <c r="AC14" s="75"/>
      <c r="AD14" s="75"/>
      <c r="AE14" s="76"/>
      <c r="AF14" s="74">
        <v>64</v>
      </c>
      <c r="AG14" s="75"/>
      <c r="AH14" s="76"/>
      <c r="AI14" s="86"/>
      <c r="AJ14" s="86"/>
      <c r="AK14" s="86"/>
      <c r="AL14" s="68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70"/>
    </row>
    <row r="15" spans="1:70" s="1" customFormat="1" ht="30.75" customHeight="1">
      <c r="A15" s="74">
        <f t="shared" si="0"/>
        <v>7</v>
      </c>
      <c r="B15" s="75"/>
      <c r="C15" s="76"/>
      <c r="D15" s="71" t="s">
        <v>1377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3"/>
      <c r="AA15" s="74" t="s">
        <v>19</v>
      </c>
      <c r="AB15" s="75"/>
      <c r="AC15" s="75"/>
      <c r="AD15" s="75"/>
      <c r="AE15" s="76"/>
      <c r="AF15" s="74">
        <v>64</v>
      </c>
      <c r="AG15" s="75"/>
      <c r="AH15" s="76"/>
      <c r="AI15" s="86"/>
      <c r="AJ15" s="86"/>
      <c r="AK15" s="86"/>
      <c r="AL15" s="68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70"/>
    </row>
    <row r="16" spans="1:70" s="1" customFormat="1" ht="30.6" customHeight="1">
      <c r="A16" s="74">
        <f t="shared" si="0"/>
        <v>8</v>
      </c>
      <c r="B16" s="75"/>
      <c r="C16" s="76"/>
      <c r="D16" s="71" t="s">
        <v>1378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3"/>
      <c r="AA16" s="74" t="s">
        <v>19</v>
      </c>
      <c r="AB16" s="75"/>
      <c r="AC16" s="75"/>
      <c r="AD16" s="75"/>
      <c r="AE16" s="76"/>
      <c r="AF16" s="74">
        <v>64</v>
      </c>
      <c r="AG16" s="75"/>
      <c r="AH16" s="76"/>
      <c r="AI16" s="86"/>
      <c r="AJ16" s="86"/>
      <c r="AK16" s="86"/>
      <c r="AL16" s="68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70"/>
    </row>
    <row r="17" spans="1:68" s="1" customFormat="1" ht="30.75" customHeight="1">
      <c r="A17" s="91"/>
      <c r="B17" s="91"/>
      <c r="C17" s="91"/>
      <c r="D17" s="77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9"/>
      <c r="AA17" s="80"/>
      <c r="AB17" s="81"/>
      <c r="AC17" s="81"/>
      <c r="AD17" s="81"/>
      <c r="AE17" s="82"/>
      <c r="AF17" s="87"/>
      <c r="AG17" s="87"/>
      <c r="AH17" s="87"/>
      <c r="AI17" s="87"/>
      <c r="AJ17" s="87"/>
      <c r="AK17" s="87"/>
      <c r="AL17" s="83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5"/>
    </row>
    <row r="18" spans="1:68" s="4" customFormat="1" ht="3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3"/>
      <c r="AG18" s="3"/>
      <c r="AH18" s="3"/>
      <c r="AI18" s="3"/>
      <c r="AJ18" s="3"/>
      <c r="AK18" s="3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</row>
    <row r="19" spans="1:68" s="4" customFormat="1" ht="14.25">
      <c r="A19" s="5" t="s">
        <v>14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15"/>
      <c r="AG19" s="15"/>
      <c r="AH19" s="15"/>
      <c r="AI19" s="15"/>
      <c r="AJ19" s="15"/>
      <c r="AK19" s="15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6"/>
    </row>
    <row r="20" spans="1:68" s="4" customFormat="1" ht="20.25" customHeight="1">
      <c r="A20" s="5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6"/>
    </row>
    <row r="21" spans="1:68" s="4" customFormat="1" ht="20.25" customHeight="1">
      <c r="A21" s="5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6"/>
    </row>
    <row r="22" spans="1:68" s="4" customFormat="1" ht="20.25" customHeight="1">
      <c r="A22" s="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6"/>
    </row>
    <row r="23" spans="1:68" s="4" customFormat="1" ht="20.25" customHeight="1">
      <c r="A23" s="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6"/>
    </row>
    <row r="24" spans="1:68" s="4" customFormat="1" ht="20.25" customHeight="1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9"/>
    </row>
    <row r="25" spans="1:68" ht="5.25" customHeight="1"/>
  </sheetData>
  <mergeCells count="79">
    <mergeCell ref="AL17:BP17"/>
    <mergeCell ref="A16:C16"/>
    <mergeCell ref="D16:Z16"/>
    <mergeCell ref="AA16:AE16"/>
    <mergeCell ref="AF16:AH16"/>
    <mergeCell ref="AI16:AK16"/>
    <mergeCell ref="AL16:BP16"/>
    <mergeCell ref="A17:C17"/>
    <mergeCell ref="D17:Z17"/>
    <mergeCell ref="AA17:AE17"/>
    <mergeCell ref="AF17:AH17"/>
    <mergeCell ref="AI17:AK17"/>
    <mergeCell ref="AL15:BP15"/>
    <mergeCell ref="A14:C14"/>
    <mergeCell ref="D14:Z14"/>
    <mergeCell ref="AA14:AE14"/>
    <mergeCell ref="AF14:AH14"/>
    <mergeCell ref="AI14:AK14"/>
    <mergeCell ref="AL14:BP14"/>
    <mergeCell ref="A15:C15"/>
    <mergeCell ref="D15:Z15"/>
    <mergeCell ref="AA15:AE15"/>
    <mergeCell ref="AF15:AH15"/>
    <mergeCell ref="AI15:AK15"/>
    <mergeCell ref="AL13:BP13"/>
    <mergeCell ref="A12:C12"/>
    <mergeCell ref="D12:Z12"/>
    <mergeCell ref="AA12:AE12"/>
    <mergeCell ref="AF12:AH12"/>
    <mergeCell ref="AI12:AK12"/>
    <mergeCell ref="AL12:BP12"/>
    <mergeCell ref="A13:C13"/>
    <mergeCell ref="D13:Z13"/>
    <mergeCell ref="AA13:AE13"/>
    <mergeCell ref="AF13:AH13"/>
    <mergeCell ref="AI13:AK13"/>
    <mergeCell ref="AL11:BP11"/>
    <mergeCell ref="A10:C10"/>
    <mergeCell ref="D10:Z10"/>
    <mergeCell ref="AA10:AE10"/>
    <mergeCell ref="AF10:AH10"/>
    <mergeCell ref="AI10:AK10"/>
    <mergeCell ref="AL10:BP10"/>
    <mergeCell ref="A11:C11"/>
    <mergeCell ref="D11:Z11"/>
    <mergeCell ref="AA11:AE11"/>
    <mergeCell ref="AF11:AH11"/>
    <mergeCell ref="AI11:AK11"/>
    <mergeCell ref="AL9:BP9"/>
    <mergeCell ref="A8:C8"/>
    <mergeCell ref="D8:Z8"/>
    <mergeCell ref="AA8:AE8"/>
    <mergeCell ref="AF8:AH8"/>
    <mergeCell ref="AI8:AK8"/>
    <mergeCell ref="AL8:BP8"/>
    <mergeCell ref="A9:C9"/>
    <mergeCell ref="D9:Z9"/>
    <mergeCell ref="AA9:AE9"/>
    <mergeCell ref="AF9:AH9"/>
    <mergeCell ref="AI9:AK9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3:G3"/>
    <mergeCell ref="H3:BA3"/>
    <mergeCell ref="BB3:BE3"/>
    <mergeCell ref="BF3:BP3"/>
    <mergeCell ref="A2:BA2"/>
    <mergeCell ref="BB2:BE2"/>
    <mergeCell ref="BF2:BI2"/>
    <mergeCell ref="BJ2:BM2"/>
    <mergeCell ref="BN2:BP2"/>
  </mergeCells>
  <phoneticPr fontId="3"/>
  <dataValidations count="1">
    <dataValidation type="list" allowBlank="1" showInputMessage="1" showErrorMessage="1" sqref="BJ6:BP6" xr:uid="{04F7354A-150C-4197-BFCC-58B2AE21139C}">
      <formula1>"原票、画面,帳票,連動ファイル,論理ファイル"</formula1>
    </dataValidation>
  </dataValidations>
  <pageMargins left="0.59055118110236227" right="0.47244094488188981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F5C20-58CF-43F6-84FB-BA366FEBD03A}">
  <sheetPr codeName="Sheet16"/>
  <dimension ref="A1:BR104"/>
  <sheetViews>
    <sheetView view="pageBreakPreview" zoomScale="85" zoomScaleNormal="100" zoomScaleSheetLayoutView="85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8" width="2.125" style="55"/>
    <col min="39" max="44" width="0" style="55" hidden="1" customWidth="1"/>
    <col min="45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144" t="s">
        <v>198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95" t="s">
        <v>602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143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17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117">
        <f t="shared" ref="A9:A69" si="0">ROW()-8</f>
        <v>1</v>
      </c>
      <c r="B9" s="118"/>
      <c r="C9" s="119"/>
      <c r="D9" s="71" t="s">
        <v>52</v>
      </c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3"/>
      <c r="AA9" s="74" t="s">
        <v>18</v>
      </c>
      <c r="AB9" s="75"/>
      <c r="AC9" s="75"/>
      <c r="AD9" s="75"/>
      <c r="AE9" s="76"/>
      <c r="AF9" s="117">
        <v>1</v>
      </c>
      <c r="AG9" s="118"/>
      <c r="AH9" s="119"/>
      <c r="AI9" s="117"/>
      <c r="AJ9" s="118"/>
      <c r="AK9" s="119"/>
      <c r="AL9" s="68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70"/>
    </row>
    <row r="10" spans="1:70" s="1" customFormat="1" ht="30.75" customHeight="1">
      <c r="A10" s="74">
        <f t="shared" si="0"/>
        <v>2</v>
      </c>
      <c r="B10" s="75"/>
      <c r="C10" s="76"/>
      <c r="D10" s="71" t="s">
        <v>144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  <c r="AA10" s="74" t="s">
        <v>18</v>
      </c>
      <c r="AB10" s="75"/>
      <c r="AC10" s="75"/>
      <c r="AD10" s="75"/>
      <c r="AE10" s="76"/>
      <c r="AF10" s="74">
        <v>2</v>
      </c>
      <c r="AG10" s="75"/>
      <c r="AH10" s="76"/>
      <c r="AI10" s="74"/>
      <c r="AJ10" s="75"/>
      <c r="AK10" s="76"/>
      <c r="AL10" s="68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74">
        <f t="shared" si="0"/>
        <v>3</v>
      </c>
      <c r="B11" s="75"/>
      <c r="C11" s="76"/>
      <c r="D11" s="71" t="s">
        <v>68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3"/>
      <c r="AA11" s="74" t="s">
        <v>18</v>
      </c>
      <c r="AB11" s="75"/>
      <c r="AC11" s="75"/>
      <c r="AD11" s="75"/>
      <c r="AE11" s="76"/>
      <c r="AF11" s="74">
        <v>2</v>
      </c>
      <c r="AG11" s="75"/>
      <c r="AH11" s="76"/>
      <c r="AI11" s="74"/>
      <c r="AJ11" s="75"/>
      <c r="AK11" s="76"/>
      <c r="AL11" s="68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70"/>
    </row>
    <row r="12" spans="1:70" s="1" customFormat="1" ht="30.75" customHeight="1">
      <c r="A12" s="74">
        <f t="shared" si="0"/>
        <v>4</v>
      </c>
      <c r="B12" s="75"/>
      <c r="C12" s="76"/>
      <c r="D12" s="71" t="s">
        <v>145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3"/>
      <c r="AA12" s="74" t="s">
        <v>18</v>
      </c>
      <c r="AB12" s="75"/>
      <c r="AC12" s="75"/>
      <c r="AD12" s="75"/>
      <c r="AE12" s="76"/>
      <c r="AF12" s="74">
        <v>1</v>
      </c>
      <c r="AG12" s="75"/>
      <c r="AH12" s="76"/>
      <c r="AI12" s="74"/>
      <c r="AJ12" s="75"/>
      <c r="AK12" s="76"/>
      <c r="AL12" s="68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70"/>
    </row>
    <row r="13" spans="1:70" s="1" customFormat="1" ht="30.75" customHeight="1">
      <c r="A13" s="74">
        <f t="shared" si="0"/>
        <v>5</v>
      </c>
      <c r="B13" s="75"/>
      <c r="C13" s="76"/>
      <c r="D13" s="71" t="s">
        <v>59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3"/>
      <c r="AA13" s="74" t="s">
        <v>18</v>
      </c>
      <c r="AB13" s="75"/>
      <c r="AC13" s="75"/>
      <c r="AD13" s="75"/>
      <c r="AE13" s="76"/>
      <c r="AF13" s="74">
        <v>4</v>
      </c>
      <c r="AG13" s="75"/>
      <c r="AH13" s="76"/>
      <c r="AI13" s="74"/>
      <c r="AJ13" s="75"/>
      <c r="AK13" s="76"/>
      <c r="AL13" s="68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70"/>
    </row>
    <row r="14" spans="1:70" s="1" customFormat="1" ht="30.75" customHeight="1">
      <c r="A14" s="74">
        <f t="shared" si="0"/>
        <v>6</v>
      </c>
      <c r="B14" s="75"/>
      <c r="C14" s="76"/>
      <c r="D14" s="71" t="s">
        <v>51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3"/>
      <c r="AA14" s="74" t="s">
        <v>18</v>
      </c>
      <c r="AB14" s="75"/>
      <c r="AC14" s="75"/>
      <c r="AD14" s="75"/>
      <c r="AE14" s="76"/>
      <c r="AF14" s="86">
        <v>1</v>
      </c>
      <c r="AG14" s="86"/>
      <c r="AH14" s="86"/>
      <c r="AI14" s="86"/>
      <c r="AJ14" s="86"/>
      <c r="AK14" s="86"/>
      <c r="AL14" s="68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70"/>
    </row>
    <row r="15" spans="1:70" s="1" customFormat="1" ht="30.75" customHeight="1">
      <c r="A15" s="74">
        <f t="shared" si="0"/>
        <v>7</v>
      </c>
      <c r="B15" s="75"/>
      <c r="C15" s="76"/>
      <c r="D15" s="71" t="s">
        <v>53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3"/>
      <c r="AA15" s="74" t="s">
        <v>18</v>
      </c>
      <c r="AB15" s="75"/>
      <c r="AC15" s="75"/>
      <c r="AD15" s="75"/>
      <c r="AE15" s="76"/>
      <c r="AF15" s="86">
        <v>8</v>
      </c>
      <c r="AG15" s="86"/>
      <c r="AH15" s="86"/>
      <c r="AI15" s="86"/>
      <c r="AJ15" s="86"/>
      <c r="AK15" s="86"/>
      <c r="AL15" s="68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70"/>
    </row>
    <row r="16" spans="1:70" s="1" customFormat="1" ht="30.75" customHeight="1">
      <c r="A16" s="74">
        <f t="shared" si="0"/>
        <v>8</v>
      </c>
      <c r="B16" s="75"/>
      <c r="C16" s="76"/>
      <c r="D16" s="71" t="s">
        <v>146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3"/>
      <c r="AA16" s="74" t="s">
        <v>18</v>
      </c>
      <c r="AB16" s="75"/>
      <c r="AC16" s="75"/>
      <c r="AD16" s="75"/>
      <c r="AE16" s="76"/>
      <c r="AF16" s="86">
        <v>4</v>
      </c>
      <c r="AG16" s="86"/>
      <c r="AH16" s="86"/>
      <c r="AI16" s="86"/>
      <c r="AJ16" s="86"/>
      <c r="AK16" s="86"/>
      <c r="AL16" s="68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70"/>
    </row>
    <row r="17" spans="1:68" s="1" customFormat="1" ht="30.75" customHeight="1">
      <c r="A17" s="74">
        <f t="shared" si="0"/>
        <v>9</v>
      </c>
      <c r="B17" s="75"/>
      <c r="C17" s="76"/>
      <c r="D17" s="71" t="s">
        <v>147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3"/>
      <c r="AA17" s="74" t="s">
        <v>19</v>
      </c>
      <c r="AB17" s="75"/>
      <c r="AC17" s="75"/>
      <c r="AD17" s="75"/>
      <c r="AE17" s="76"/>
      <c r="AF17" s="74">
        <v>15</v>
      </c>
      <c r="AG17" s="75"/>
      <c r="AH17" s="76"/>
      <c r="AI17" s="74"/>
      <c r="AJ17" s="75"/>
      <c r="AK17" s="76"/>
      <c r="AL17" s="68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70"/>
    </row>
    <row r="18" spans="1:68" s="1" customFormat="1" ht="30.75" customHeight="1">
      <c r="A18" s="74">
        <f t="shared" si="0"/>
        <v>10</v>
      </c>
      <c r="B18" s="75"/>
      <c r="C18" s="76"/>
      <c r="D18" s="71" t="s">
        <v>54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3"/>
      <c r="AA18" s="74" t="s">
        <v>19</v>
      </c>
      <c r="AB18" s="75"/>
      <c r="AC18" s="75"/>
      <c r="AD18" s="75"/>
      <c r="AE18" s="76"/>
      <c r="AF18" s="74">
        <v>2</v>
      </c>
      <c r="AG18" s="75"/>
      <c r="AH18" s="76"/>
      <c r="AI18" s="74"/>
      <c r="AJ18" s="75"/>
      <c r="AK18" s="76"/>
      <c r="AL18" s="68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70"/>
    </row>
    <row r="19" spans="1:68" s="1" customFormat="1" ht="30.75" customHeight="1">
      <c r="A19" s="74">
        <f t="shared" si="0"/>
        <v>11</v>
      </c>
      <c r="B19" s="75"/>
      <c r="C19" s="76"/>
      <c r="D19" s="71" t="s">
        <v>21</v>
      </c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3"/>
      <c r="AA19" s="74" t="s">
        <v>19</v>
      </c>
      <c r="AB19" s="75"/>
      <c r="AC19" s="75"/>
      <c r="AD19" s="75"/>
      <c r="AE19" s="76"/>
      <c r="AF19" s="74">
        <v>10</v>
      </c>
      <c r="AG19" s="75"/>
      <c r="AH19" s="76"/>
      <c r="AI19" s="74"/>
      <c r="AJ19" s="75"/>
      <c r="AK19" s="76"/>
      <c r="AL19" s="68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70"/>
    </row>
    <row r="20" spans="1:68" s="1" customFormat="1" ht="30.75" customHeight="1">
      <c r="A20" s="74">
        <f t="shared" si="0"/>
        <v>12</v>
      </c>
      <c r="B20" s="75"/>
      <c r="C20" s="76"/>
      <c r="D20" s="71" t="s">
        <v>148</v>
      </c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3"/>
      <c r="AA20" s="74" t="s">
        <v>19</v>
      </c>
      <c r="AB20" s="75"/>
      <c r="AC20" s="75"/>
      <c r="AD20" s="75"/>
      <c r="AE20" s="76"/>
      <c r="AF20" s="74">
        <v>20</v>
      </c>
      <c r="AG20" s="75"/>
      <c r="AH20" s="76"/>
      <c r="AI20" s="74"/>
      <c r="AJ20" s="75"/>
      <c r="AK20" s="76"/>
      <c r="AL20" s="68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70"/>
    </row>
    <row r="21" spans="1:68" s="1" customFormat="1" ht="30.75" customHeight="1">
      <c r="A21" s="74">
        <f t="shared" si="0"/>
        <v>13</v>
      </c>
      <c r="B21" s="75"/>
      <c r="C21" s="76"/>
      <c r="D21" s="71" t="s">
        <v>149</v>
      </c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3"/>
      <c r="AA21" s="74" t="s">
        <v>19</v>
      </c>
      <c r="AB21" s="75"/>
      <c r="AC21" s="75"/>
      <c r="AD21" s="75"/>
      <c r="AE21" s="76"/>
      <c r="AF21" s="74">
        <v>20</v>
      </c>
      <c r="AG21" s="75"/>
      <c r="AH21" s="76"/>
      <c r="AI21" s="74"/>
      <c r="AJ21" s="75"/>
      <c r="AK21" s="76"/>
      <c r="AL21" s="68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70"/>
    </row>
    <row r="22" spans="1:68" s="1" customFormat="1" ht="30.75" customHeight="1">
      <c r="A22" s="74">
        <f t="shared" si="0"/>
        <v>14</v>
      </c>
      <c r="B22" s="75"/>
      <c r="C22" s="76"/>
      <c r="D22" s="71" t="s">
        <v>150</v>
      </c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3"/>
      <c r="AA22" s="74" t="s">
        <v>19</v>
      </c>
      <c r="AB22" s="75"/>
      <c r="AC22" s="75"/>
      <c r="AD22" s="75"/>
      <c r="AE22" s="76"/>
      <c r="AF22" s="74">
        <v>15</v>
      </c>
      <c r="AG22" s="75"/>
      <c r="AH22" s="76"/>
      <c r="AI22" s="74"/>
      <c r="AJ22" s="75"/>
      <c r="AK22" s="76"/>
      <c r="AL22" s="68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70"/>
    </row>
    <row r="23" spans="1:68" s="1" customFormat="1" ht="30.75" customHeight="1">
      <c r="A23" s="74">
        <f t="shared" si="0"/>
        <v>15</v>
      </c>
      <c r="B23" s="75"/>
      <c r="C23" s="76"/>
      <c r="D23" s="71" t="s">
        <v>1029</v>
      </c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3"/>
      <c r="AA23" s="74" t="s">
        <v>18</v>
      </c>
      <c r="AB23" s="75"/>
      <c r="AC23" s="75"/>
      <c r="AD23" s="75"/>
      <c r="AE23" s="76"/>
      <c r="AF23" s="74">
        <v>4</v>
      </c>
      <c r="AG23" s="75"/>
      <c r="AH23" s="76"/>
      <c r="AI23" s="74"/>
      <c r="AJ23" s="75"/>
      <c r="AK23" s="76"/>
      <c r="AL23" s="68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70"/>
    </row>
    <row r="24" spans="1:68" s="1" customFormat="1" ht="30.75" customHeight="1">
      <c r="A24" s="74">
        <f t="shared" si="0"/>
        <v>16</v>
      </c>
      <c r="B24" s="75"/>
      <c r="C24" s="76"/>
      <c r="D24" s="71" t="s">
        <v>1030</v>
      </c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3"/>
      <c r="AA24" s="74" t="s">
        <v>19</v>
      </c>
      <c r="AB24" s="75"/>
      <c r="AC24" s="75"/>
      <c r="AD24" s="75"/>
      <c r="AE24" s="76"/>
      <c r="AF24" s="86">
        <v>18</v>
      </c>
      <c r="AG24" s="86"/>
      <c r="AH24" s="86"/>
      <c r="AI24" s="86"/>
      <c r="AJ24" s="86"/>
      <c r="AK24" s="86"/>
      <c r="AL24" s="68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70"/>
    </row>
    <row r="25" spans="1:68" s="1" customFormat="1" ht="30.75" customHeight="1">
      <c r="A25" s="74">
        <f t="shared" si="0"/>
        <v>17</v>
      </c>
      <c r="B25" s="75"/>
      <c r="C25" s="76"/>
      <c r="D25" s="71" t="s">
        <v>1031</v>
      </c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3"/>
      <c r="AA25" s="74" t="s">
        <v>19</v>
      </c>
      <c r="AB25" s="75"/>
      <c r="AC25" s="75"/>
      <c r="AD25" s="75"/>
      <c r="AE25" s="76"/>
      <c r="AF25" s="86">
        <v>4</v>
      </c>
      <c r="AG25" s="86"/>
      <c r="AH25" s="86"/>
      <c r="AI25" s="86"/>
      <c r="AJ25" s="86"/>
      <c r="AK25" s="86"/>
      <c r="AL25" s="68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70"/>
    </row>
    <row r="26" spans="1:68" s="1" customFormat="1" ht="30.75" customHeight="1">
      <c r="A26" s="74">
        <f t="shared" si="0"/>
        <v>18</v>
      </c>
      <c r="B26" s="75"/>
      <c r="C26" s="76"/>
      <c r="D26" s="71" t="s">
        <v>126</v>
      </c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3"/>
      <c r="AA26" s="74" t="s">
        <v>18</v>
      </c>
      <c r="AB26" s="75"/>
      <c r="AC26" s="75"/>
      <c r="AD26" s="75"/>
      <c r="AE26" s="76"/>
      <c r="AF26" s="86">
        <v>14</v>
      </c>
      <c r="AG26" s="86"/>
      <c r="AH26" s="86"/>
      <c r="AI26" s="86"/>
      <c r="AJ26" s="86"/>
      <c r="AK26" s="86"/>
      <c r="AL26" s="68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70"/>
    </row>
    <row r="27" spans="1:68" s="1" customFormat="1" ht="30.75" customHeight="1">
      <c r="A27" s="74">
        <f t="shared" si="0"/>
        <v>19</v>
      </c>
      <c r="B27" s="75"/>
      <c r="C27" s="76"/>
      <c r="D27" s="71" t="s">
        <v>127</v>
      </c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3"/>
      <c r="AA27" s="74" t="s">
        <v>18</v>
      </c>
      <c r="AB27" s="75"/>
      <c r="AC27" s="75"/>
      <c r="AD27" s="75"/>
      <c r="AE27" s="76"/>
      <c r="AF27" s="86">
        <v>14</v>
      </c>
      <c r="AG27" s="86"/>
      <c r="AH27" s="86"/>
      <c r="AI27" s="86"/>
      <c r="AJ27" s="86"/>
      <c r="AK27" s="86"/>
      <c r="AL27" s="68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70"/>
    </row>
    <row r="28" spans="1:68" s="1" customFormat="1" ht="30.75" customHeight="1">
      <c r="A28" s="74">
        <f t="shared" si="0"/>
        <v>20</v>
      </c>
      <c r="B28" s="75"/>
      <c r="C28" s="76"/>
      <c r="D28" s="71" t="s">
        <v>151</v>
      </c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3"/>
      <c r="AA28" s="74" t="s">
        <v>18</v>
      </c>
      <c r="AB28" s="75"/>
      <c r="AC28" s="75"/>
      <c r="AD28" s="75"/>
      <c r="AE28" s="76"/>
      <c r="AF28" s="86">
        <v>14</v>
      </c>
      <c r="AG28" s="86"/>
      <c r="AH28" s="86"/>
      <c r="AI28" s="86"/>
      <c r="AJ28" s="86"/>
      <c r="AK28" s="86"/>
      <c r="AL28" s="68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70"/>
    </row>
    <row r="29" spans="1:68" s="1" customFormat="1" ht="30.75" customHeight="1">
      <c r="A29" s="74">
        <f t="shared" si="0"/>
        <v>21</v>
      </c>
      <c r="B29" s="75"/>
      <c r="C29" s="76"/>
      <c r="D29" s="71" t="s">
        <v>152</v>
      </c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3"/>
      <c r="AA29" s="74" t="s">
        <v>18</v>
      </c>
      <c r="AB29" s="75"/>
      <c r="AC29" s="75"/>
      <c r="AD29" s="75"/>
      <c r="AE29" s="76"/>
      <c r="AF29" s="86">
        <v>14</v>
      </c>
      <c r="AG29" s="86"/>
      <c r="AH29" s="86"/>
      <c r="AI29" s="86"/>
      <c r="AJ29" s="86"/>
      <c r="AK29" s="86"/>
      <c r="AL29" s="68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70"/>
    </row>
    <row r="30" spans="1:68" s="1" customFormat="1" ht="30.75" customHeight="1">
      <c r="A30" s="74">
        <f t="shared" si="0"/>
        <v>22</v>
      </c>
      <c r="B30" s="75"/>
      <c r="C30" s="76"/>
      <c r="D30" s="71" t="s">
        <v>128</v>
      </c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3"/>
      <c r="AA30" s="74" t="s">
        <v>18</v>
      </c>
      <c r="AB30" s="75"/>
      <c r="AC30" s="75"/>
      <c r="AD30" s="75"/>
      <c r="AE30" s="76"/>
      <c r="AF30" s="86">
        <v>14</v>
      </c>
      <c r="AG30" s="86"/>
      <c r="AH30" s="86"/>
      <c r="AI30" s="86"/>
      <c r="AJ30" s="86"/>
      <c r="AK30" s="86"/>
      <c r="AL30" s="68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70"/>
    </row>
    <row r="31" spans="1:68" s="1" customFormat="1" ht="30.75" customHeight="1">
      <c r="A31" s="74">
        <f t="shared" si="0"/>
        <v>23</v>
      </c>
      <c r="B31" s="75"/>
      <c r="C31" s="76"/>
      <c r="D31" s="71" t="s">
        <v>129</v>
      </c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3"/>
      <c r="AA31" s="74" t="s">
        <v>18</v>
      </c>
      <c r="AB31" s="75"/>
      <c r="AC31" s="75"/>
      <c r="AD31" s="75"/>
      <c r="AE31" s="76"/>
      <c r="AF31" s="86">
        <v>14</v>
      </c>
      <c r="AG31" s="86"/>
      <c r="AH31" s="86"/>
      <c r="AI31" s="86"/>
      <c r="AJ31" s="86"/>
      <c r="AK31" s="86"/>
      <c r="AL31" s="68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70"/>
    </row>
    <row r="32" spans="1:68" s="1" customFormat="1" ht="30.75" customHeight="1">
      <c r="A32" s="74">
        <f t="shared" si="0"/>
        <v>24</v>
      </c>
      <c r="B32" s="75"/>
      <c r="C32" s="76"/>
      <c r="D32" s="71" t="s">
        <v>153</v>
      </c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3"/>
      <c r="AA32" s="74" t="s">
        <v>18</v>
      </c>
      <c r="AB32" s="75"/>
      <c r="AC32" s="75"/>
      <c r="AD32" s="75"/>
      <c r="AE32" s="76"/>
      <c r="AF32" s="86">
        <v>14</v>
      </c>
      <c r="AG32" s="86"/>
      <c r="AH32" s="86"/>
      <c r="AI32" s="86"/>
      <c r="AJ32" s="86"/>
      <c r="AK32" s="86"/>
      <c r="AL32" s="68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70"/>
    </row>
    <row r="33" spans="1:68" s="1" customFormat="1" ht="30.75" customHeight="1">
      <c r="A33" s="74">
        <f t="shared" si="0"/>
        <v>25</v>
      </c>
      <c r="B33" s="75"/>
      <c r="C33" s="76"/>
      <c r="D33" s="71" t="s">
        <v>154</v>
      </c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3"/>
      <c r="AA33" s="74" t="s">
        <v>18</v>
      </c>
      <c r="AB33" s="75"/>
      <c r="AC33" s="75"/>
      <c r="AD33" s="75"/>
      <c r="AE33" s="76"/>
      <c r="AF33" s="86">
        <v>14</v>
      </c>
      <c r="AG33" s="86"/>
      <c r="AH33" s="86"/>
      <c r="AI33" s="86"/>
      <c r="AJ33" s="86"/>
      <c r="AK33" s="86"/>
      <c r="AL33" s="68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70"/>
    </row>
    <row r="34" spans="1:68" s="1" customFormat="1" ht="30.75" customHeight="1">
      <c r="A34" s="74">
        <f t="shared" si="0"/>
        <v>26</v>
      </c>
      <c r="B34" s="75"/>
      <c r="C34" s="76"/>
      <c r="D34" s="71" t="s">
        <v>155</v>
      </c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3"/>
      <c r="AA34" s="74" t="s">
        <v>18</v>
      </c>
      <c r="AB34" s="75"/>
      <c r="AC34" s="75"/>
      <c r="AD34" s="75"/>
      <c r="AE34" s="76"/>
      <c r="AF34" s="86">
        <v>14</v>
      </c>
      <c r="AG34" s="86"/>
      <c r="AH34" s="86"/>
      <c r="AI34" s="86"/>
      <c r="AJ34" s="86"/>
      <c r="AK34" s="86"/>
      <c r="AL34" s="68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70"/>
    </row>
    <row r="35" spans="1:68" s="1" customFormat="1" ht="30.75" customHeight="1">
      <c r="A35" s="74">
        <f t="shared" si="0"/>
        <v>27</v>
      </c>
      <c r="B35" s="75"/>
      <c r="C35" s="76"/>
      <c r="D35" s="71" t="s">
        <v>130</v>
      </c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3"/>
      <c r="AA35" s="74" t="s">
        <v>18</v>
      </c>
      <c r="AB35" s="75"/>
      <c r="AC35" s="75"/>
      <c r="AD35" s="75"/>
      <c r="AE35" s="76"/>
      <c r="AF35" s="86">
        <v>14</v>
      </c>
      <c r="AG35" s="86"/>
      <c r="AH35" s="86"/>
      <c r="AI35" s="86"/>
      <c r="AJ35" s="86"/>
      <c r="AK35" s="86"/>
      <c r="AL35" s="68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70"/>
    </row>
    <row r="36" spans="1:68" s="1" customFormat="1" ht="30.75" customHeight="1">
      <c r="A36" s="74">
        <f t="shared" si="0"/>
        <v>28</v>
      </c>
      <c r="B36" s="75"/>
      <c r="C36" s="76"/>
      <c r="D36" s="71" t="s">
        <v>131</v>
      </c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3"/>
      <c r="AA36" s="74" t="s">
        <v>18</v>
      </c>
      <c r="AB36" s="75"/>
      <c r="AC36" s="75"/>
      <c r="AD36" s="75"/>
      <c r="AE36" s="76"/>
      <c r="AF36" s="86">
        <v>14</v>
      </c>
      <c r="AG36" s="86"/>
      <c r="AH36" s="86"/>
      <c r="AI36" s="86"/>
      <c r="AJ36" s="86"/>
      <c r="AK36" s="86"/>
      <c r="AL36" s="68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70"/>
    </row>
    <row r="37" spans="1:68" s="1" customFormat="1" ht="30.75" customHeight="1">
      <c r="A37" s="74">
        <f t="shared" si="0"/>
        <v>29</v>
      </c>
      <c r="B37" s="75"/>
      <c r="C37" s="76"/>
      <c r="D37" s="71" t="s">
        <v>156</v>
      </c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3"/>
      <c r="AA37" s="74" t="s">
        <v>18</v>
      </c>
      <c r="AB37" s="75"/>
      <c r="AC37" s="75"/>
      <c r="AD37" s="75"/>
      <c r="AE37" s="76"/>
      <c r="AF37" s="86">
        <v>14</v>
      </c>
      <c r="AG37" s="86"/>
      <c r="AH37" s="86"/>
      <c r="AI37" s="86"/>
      <c r="AJ37" s="86"/>
      <c r="AK37" s="86"/>
      <c r="AL37" s="68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70"/>
    </row>
    <row r="38" spans="1:68" s="1" customFormat="1" ht="30.75" customHeight="1">
      <c r="A38" s="74">
        <f t="shared" si="0"/>
        <v>30</v>
      </c>
      <c r="B38" s="75"/>
      <c r="C38" s="76"/>
      <c r="D38" s="71" t="s">
        <v>157</v>
      </c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3"/>
      <c r="AA38" s="74" t="s">
        <v>18</v>
      </c>
      <c r="AB38" s="75"/>
      <c r="AC38" s="75"/>
      <c r="AD38" s="75"/>
      <c r="AE38" s="76"/>
      <c r="AF38" s="86">
        <v>14</v>
      </c>
      <c r="AG38" s="86"/>
      <c r="AH38" s="86"/>
      <c r="AI38" s="74"/>
      <c r="AJ38" s="75"/>
      <c r="AK38" s="76"/>
      <c r="AL38" s="68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70"/>
    </row>
    <row r="39" spans="1:68" s="1" customFormat="1" ht="30.75" customHeight="1">
      <c r="A39" s="74">
        <f t="shared" si="0"/>
        <v>31</v>
      </c>
      <c r="B39" s="75"/>
      <c r="C39" s="76"/>
      <c r="D39" s="71" t="s">
        <v>158</v>
      </c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3"/>
      <c r="AA39" s="74" t="s">
        <v>18</v>
      </c>
      <c r="AB39" s="75"/>
      <c r="AC39" s="75"/>
      <c r="AD39" s="75"/>
      <c r="AE39" s="76"/>
      <c r="AF39" s="86">
        <v>14</v>
      </c>
      <c r="AG39" s="86"/>
      <c r="AH39" s="86"/>
      <c r="AI39" s="74"/>
      <c r="AJ39" s="75"/>
      <c r="AK39" s="76"/>
      <c r="AL39" s="68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70"/>
    </row>
    <row r="40" spans="1:68" s="1" customFormat="1" ht="30.75" customHeight="1">
      <c r="A40" s="74">
        <f t="shared" si="0"/>
        <v>32</v>
      </c>
      <c r="B40" s="75"/>
      <c r="C40" s="76"/>
      <c r="D40" s="71" t="s">
        <v>1356</v>
      </c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3"/>
      <c r="AA40" s="74" t="s">
        <v>18</v>
      </c>
      <c r="AB40" s="75"/>
      <c r="AC40" s="75"/>
      <c r="AD40" s="75"/>
      <c r="AE40" s="76"/>
      <c r="AF40" s="86">
        <v>14</v>
      </c>
      <c r="AG40" s="86"/>
      <c r="AH40" s="86"/>
      <c r="AI40" s="74"/>
      <c r="AJ40" s="75"/>
      <c r="AK40" s="76"/>
      <c r="AL40" s="68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70"/>
    </row>
    <row r="41" spans="1:68" s="1" customFormat="1" ht="30.75" customHeight="1">
      <c r="A41" s="74">
        <f t="shared" si="0"/>
        <v>33</v>
      </c>
      <c r="B41" s="75"/>
      <c r="C41" s="76"/>
      <c r="D41" s="71" t="s">
        <v>1357</v>
      </c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3"/>
      <c r="AA41" s="74" t="s">
        <v>18</v>
      </c>
      <c r="AB41" s="75"/>
      <c r="AC41" s="75"/>
      <c r="AD41" s="75"/>
      <c r="AE41" s="76"/>
      <c r="AF41" s="86">
        <v>14</v>
      </c>
      <c r="AG41" s="86"/>
      <c r="AH41" s="86"/>
      <c r="AI41" s="74"/>
      <c r="AJ41" s="75"/>
      <c r="AK41" s="76"/>
      <c r="AL41" s="68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70"/>
    </row>
    <row r="42" spans="1:68" s="1" customFormat="1" ht="30.75" customHeight="1">
      <c r="A42" s="74">
        <f t="shared" si="0"/>
        <v>34</v>
      </c>
      <c r="B42" s="75"/>
      <c r="C42" s="76"/>
      <c r="D42" s="71" t="s">
        <v>1322</v>
      </c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3"/>
      <c r="AA42" s="74" t="s">
        <v>18</v>
      </c>
      <c r="AB42" s="75"/>
      <c r="AC42" s="75"/>
      <c r="AD42" s="75"/>
      <c r="AE42" s="76"/>
      <c r="AF42" s="86">
        <v>14</v>
      </c>
      <c r="AG42" s="86"/>
      <c r="AH42" s="86"/>
      <c r="AI42" s="86"/>
      <c r="AJ42" s="86"/>
      <c r="AK42" s="86"/>
      <c r="AL42" s="68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70"/>
    </row>
    <row r="43" spans="1:68" s="1" customFormat="1" ht="30.75" customHeight="1">
      <c r="A43" s="74">
        <f t="shared" si="0"/>
        <v>35</v>
      </c>
      <c r="B43" s="75"/>
      <c r="C43" s="76"/>
      <c r="D43" s="71" t="s">
        <v>132</v>
      </c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3"/>
      <c r="AA43" s="74" t="s">
        <v>18</v>
      </c>
      <c r="AB43" s="75"/>
      <c r="AC43" s="75"/>
      <c r="AD43" s="75"/>
      <c r="AE43" s="76"/>
      <c r="AF43" s="86">
        <v>14</v>
      </c>
      <c r="AG43" s="86"/>
      <c r="AH43" s="86"/>
      <c r="AI43" s="86"/>
      <c r="AJ43" s="86"/>
      <c r="AK43" s="86"/>
      <c r="AL43" s="68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  <c r="BM43" s="69"/>
      <c r="BN43" s="69"/>
      <c r="BO43" s="69"/>
      <c r="BP43" s="70"/>
    </row>
    <row r="44" spans="1:68" s="1" customFormat="1" ht="30.75" customHeight="1">
      <c r="A44" s="74">
        <f t="shared" si="0"/>
        <v>36</v>
      </c>
      <c r="B44" s="75"/>
      <c r="C44" s="76"/>
      <c r="D44" s="71" t="s">
        <v>133</v>
      </c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3"/>
      <c r="AA44" s="74" t="s">
        <v>18</v>
      </c>
      <c r="AB44" s="75"/>
      <c r="AC44" s="75"/>
      <c r="AD44" s="75"/>
      <c r="AE44" s="76"/>
      <c r="AF44" s="86">
        <v>14</v>
      </c>
      <c r="AG44" s="86"/>
      <c r="AH44" s="86"/>
      <c r="AI44" s="86"/>
      <c r="AJ44" s="86"/>
      <c r="AK44" s="86"/>
      <c r="AL44" s="68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  <c r="BM44" s="69"/>
      <c r="BN44" s="69"/>
      <c r="BO44" s="69"/>
      <c r="BP44" s="70"/>
    </row>
    <row r="45" spans="1:68" s="1" customFormat="1" ht="30.75" customHeight="1">
      <c r="A45" s="74">
        <f t="shared" si="0"/>
        <v>37</v>
      </c>
      <c r="B45" s="75"/>
      <c r="C45" s="76"/>
      <c r="D45" s="71" t="s">
        <v>159</v>
      </c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3"/>
      <c r="AA45" s="74" t="s">
        <v>18</v>
      </c>
      <c r="AB45" s="75"/>
      <c r="AC45" s="75"/>
      <c r="AD45" s="75"/>
      <c r="AE45" s="76"/>
      <c r="AF45" s="86">
        <v>14</v>
      </c>
      <c r="AG45" s="86"/>
      <c r="AH45" s="86"/>
      <c r="AI45" s="86"/>
      <c r="AJ45" s="86"/>
      <c r="AK45" s="86"/>
      <c r="AL45" s="68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  <c r="BP45" s="70"/>
    </row>
    <row r="46" spans="1:68" s="1" customFormat="1" ht="30.75" customHeight="1">
      <c r="A46" s="74">
        <f t="shared" si="0"/>
        <v>38</v>
      </c>
      <c r="B46" s="75"/>
      <c r="C46" s="76"/>
      <c r="D46" s="71" t="s">
        <v>160</v>
      </c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3"/>
      <c r="AA46" s="74" t="s">
        <v>18</v>
      </c>
      <c r="AB46" s="75"/>
      <c r="AC46" s="75"/>
      <c r="AD46" s="75"/>
      <c r="AE46" s="76"/>
      <c r="AF46" s="86">
        <v>14</v>
      </c>
      <c r="AG46" s="86"/>
      <c r="AH46" s="86"/>
      <c r="AI46" s="74"/>
      <c r="AJ46" s="75"/>
      <c r="AK46" s="76"/>
      <c r="AL46" s="68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  <c r="BM46" s="69"/>
      <c r="BN46" s="69"/>
      <c r="BO46" s="69"/>
      <c r="BP46" s="70"/>
    </row>
    <row r="47" spans="1:68" s="1" customFormat="1" ht="30.75" customHeight="1">
      <c r="A47" s="74">
        <f t="shared" si="0"/>
        <v>39</v>
      </c>
      <c r="B47" s="75"/>
      <c r="C47" s="76"/>
      <c r="D47" s="71" t="s">
        <v>161</v>
      </c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3"/>
      <c r="AA47" s="74" t="s">
        <v>18</v>
      </c>
      <c r="AB47" s="75"/>
      <c r="AC47" s="75"/>
      <c r="AD47" s="75"/>
      <c r="AE47" s="76"/>
      <c r="AF47" s="86">
        <v>14</v>
      </c>
      <c r="AG47" s="86"/>
      <c r="AH47" s="86"/>
      <c r="AI47" s="74"/>
      <c r="AJ47" s="75"/>
      <c r="AK47" s="76"/>
      <c r="AL47" s="68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  <c r="BP47" s="70"/>
    </row>
    <row r="48" spans="1:68" s="1" customFormat="1" ht="30.75" customHeight="1">
      <c r="A48" s="74">
        <f t="shared" si="0"/>
        <v>40</v>
      </c>
      <c r="B48" s="75"/>
      <c r="C48" s="76"/>
      <c r="D48" s="71" t="s">
        <v>134</v>
      </c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3"/>
      <c r="AA48" s="74" t="s">
        <v>18</v>
      </c>
      <c r="AB48" s="75"/>
      <c r="AC48" s="75"/>
      <c r="AD48" s="75"/>
      <c r="AE48" s="76"/>
      <c r="AF48" s="86">
        <v>14</v>
      </c>
      <c r="AG48" s="86"/>
      <c r="AH48" s="86"/>
      <c r="AI48" s="74"/>
      <c r="AJ48" s="75"/>
      <c r="AK48" s="76"/>
      <c r="AL48" s="68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69"/>
      <c r="BN48" s="69"/>
      <c r="BO48" s="69"/>
      <c r="BP48" s="70"/>
    </row>
    <row r="49" spans="1:68" s="1" customFormat="1" ht="30.75" customHeight="1">
      <c r="A49" s="74">
        <f t="shared" si="0"/>
        <v>41</v>
      </c>
      <c r="B49" s="75"/>
      <c r="C49" s="76"/>
      <c r="D49" s="71" t="s">
        <v>135</v>
      </c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3"/>
      <c r="AA49" s="74" t="s">
        <v>18</v>
      </c>
      <c r="AB49" s="75"/>
      <c r="AC49" s="75"/>
      <c r="AD49" s="75"/>
      <c r="AE49" s="76"/>
      <c r="AF49" s="86">
        <v>14</v>
      </c>
      <c r="AG49" s="86"/>
      <c r="AH49" s="86"/>
      <c r="AI49" s="74"/>
      <c r="AJ49" s="75"/>
      <c r="AK49" s="76"/>
      <c r="AL49" s="68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69"/>
      <c r="BN49" s="69"/>
      <c r="BO49" s="69"/>
      <c r="BP49" s="70"/>
    </row>
    <row r="50" spans="1:68" s="1" customFormat="1" ht="30.75" customHeight="1">
      <c r="A50" s="74">
        <f t="shared" si="0"/>
        <v>42</v>
      </c>
      <c r="B50" s="75"/>
      <c r="C50" s="76"/>
      <c r="D50" s="71" t="s">
        <v>1327</v>
      </c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3"/>
      <c r="AA50" s="74" t="s">
        <v>18</v>
      </c>
      <c r="AB50" s="75"/>
      <c r="AC50" s="75"/>
      <c r="AD50" s="75"/>
      <c r="AE50" s="76"/>
      <c r="AF50" s="86">
        <v>14</v>
      </c>
      <c r="AG50" s="86"/>
      <c r="AH50" s="86"/>
      <c r="AI50" s="74"/>
      <c r="AJ50" s="75"/>
      <c r="AK50" s="76"/>
      <c r="AL50" s="68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69"/>
      <c r="BN50" s="69"/>
      <c r="BO50" s="69"/>
      <c r="BP50" s="70"/>
    </row>
    <row r="51" spans="1:68" s="1" customFormat="1" ht="30.75" customHeight="1">
      <c r="A51" s="74">
        <f t="shared" si="0"/>
        <v>43</v>
      </c>
      <c r="B51" s="75"/>
      <c r="C51" s="76"/>
      <c r="D51" s="71" t="s">
        <v>136</v>
      </c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3"/>
      <c r="AA51" s="74" t="s">
        <v>18</v>
      </c>
      <c r="AB51" s="75"/>
      <c r="AC51" s="75"/>
      <c r="AD51" s="75"/>
      <c r="AE51" s="76"/>
      <c r="AF51" s="86">
        <v>14</v>
      </c>
      <c r="AG51" s="86"/>
      <c r="AH51" s="86"/>
      <c r="AI51" s="74"/>
      <c r="AJ51" s="75"/>
      <c r="AK51" s="76"/>
      <c r="AL51" s="68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69"/>
      <c r="BN51" s="69"/>
      <c r="BO51" s="69"/>
      <c r="BP51" s="70"/>
    </row>
    <row r="52" spans="1:68" s="1" customFormat="1" ht="30.75" customHeight="1">
      <c r="A52" s="74">
        <f t="shared" si="0"/>
        <v>44</v>
      </c>
      <c r="B52" s="75"/>
      <c r="C52" s="76"/>
      <c r="D52" s="71" t="s">
        <v>162</v>
      </c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3"/>
      <c r="AA52" s="74" t="s">
        <v>18</v>
      </c>
      <c r="AB52" s="75"/>
      <c r="AC52" s="75"/>
      <c r="AD52" s="75"/>
      <c r="AE52" s="76"/>
      <c r="AF52" s="74">
        <v>14</v>
      </c>
      <c r="AG52" s="75"/>
      <c r="AH52" s="76"/>
      <c r="AI52" s="74"/>
      <c r="AJ52" s="75"/>
      <c r="AK52" s="76"/>
      <c r="AL52" s="68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69"/>
      <c r="BN52" s="69"/>
      <c r="BO52" s="69"/>
      <c r="BP52" s="70"/>
    </row>
    <row r="53" spans="1:68" s="1" customFormat="1" ht="30.75" customHeight="1">
      <c r="A53" s="74">
        <f t="shared" si="0"/>
        <v>45</v>
      </c>
      <c r="B53" s="75"/>
      <c r="C53" s="76"/>
      <c r="D53" s="71" t="s">
        <v>163</v>
      </c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3"/>
      <c r="AA53" s="74" t="s">
        <v>18</v>
      </c>
      <c r="AB53" s="75"/>
      <c r="AC53" s="75"/>
      <c r="AD53" s="75"/>
      <c r="AE53" s="76"/>
      <c r="AF53" s="74">
        <v>14</v>
      </c>
      <c r="AG53" s="75"/>
      <c r="AH53" s="76"/>
      <c r="AI53" s="86"/>
      <c r="AJ53" s="86"/>
      <c r="AK53" s="86"/>
      <c r="AL53" s="68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  <c r="BP53" s="70"/>
    </row>
    <row r="54" spans="1:68" s="1" customFormat="1" ht="30.75" customHeight="1">
      <c r="A54" s="74">
        <f t="shared" si="0"/>
        <v>46</v>
      </c>
      <c r="B54" s="75"/>
      <c r="C54" s="76"/>
      <c r="D54" s="71" t="s">
        <v>164</v>
      </c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3"/>
      <c r="AA54" s="74" t="s">
        <v>18</v>
      </c>
      <c r="AB54" s="75"/>
      <c r="AC54" s="75"/>
      <c r="AD54" s="75"/>
      <c r="AE54" s="76"/>
      <c r="AF54" s="74">
        <v>14</v>
      </c>
      <c r="AG54" s="75"/>
      <c r="AH54" s="76"/>
      <c r="AI54" s="86"/>
      <c r="AJ54" s="86"/>
      <c r="AK54" s="86"/>
      <c r="AL54" s="68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69"/>
      <c r="BN54" s="69"/>
      <c r="BO54" s="69"/>
      <c r="BP54" s="70"/>
    </row>
    <row r="55" spans="1:68" s="1" customFormat="1" ht="30.75" customHeight="1">
      <c r="A55" s="74">
        <f t="shared" si="0"/>
        <v>47</v>
      </c>
      <c r="B55" s="75"/>
      <c r="C55" s="76"/>
      <c r="D55" s="71" t="s">
        <v>137</v>
      </c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3"/>
      <c r="AA55" s="74" t="s">
        <v>18</v>
      </c>
      <c r="AB55" s="75"/>
      <c r="AC55" s="75"/>
      <c r="AD55" s="75"/>
      <c r="AE55" s="76"/>
      <c r="AF55" s="74">
        <v>14</v>
      </c>
      <c r="AG55" s="75"/>
      <c r="AH55" s="76"/>
      <c r="AI55" s="86"/>
      <c r="AJ55" s="86"/>
      <c r="AK55" s="86"/>
      <c r="AL55" s="68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69"/>
      <c r="BN55" s="69"/>
      <c r="BO55" s="69"/>
      <c r="BP55" s="70"/>
    </row>
    <row r="56" spans="1:68" s="1" customFormat="1" ht="30.75" customHeight="1">
      <c r="A56" s="74">
        <f t="shared" si="0"/>
        <v>48</v>
      </c>
      <c r="B56" s="75"/>
      <c r="C56" s="76"/>
      <c r="D56" s="71" t="s">
        <v>165</v>
      </c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3"/>
      <c r="AA56" s="74" t="s">
        <v>18</v>
      </c>
      <c r="AB56" s="75"/>
      <c r="AC56" s="75"/>
      <c r="AD56" s="75"/>
      <c r="AE56" s="76"/>
      <c r="AF56" s="74">
        <v>14</v>
      </c>
      <c r="AG56" s="75"/>
      <c r="AH56" s="76"/>
      <c r="AI56" s="86"/>
      <c r="AJ56" s="86"/>
      <c r="AK56" s="86"/>
      <c r="AL56" s="68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69"/>
      <c r="BN56" s="69"/>
      <c r="BO56" s="69"/>
      <c r="BP56" s="70"/>
    </row>
    <row r="57" spans="1:68" s="1" customFormat="1" ht="30.75" customHeight="1">
      <c r="A57" s="74">
        <f t="shared" si="0"/>
        <v>49</v>
      </c>
      <c r="B57" s="75"/>
      <c r="C57" s="76"/>
      <c r="D57" s="71" t="s">
        <v>138</v>
      </c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3"/>
      <c r="AA57" s="74" t="s">
        <v>18</v>
      </c>
      <c r="AB57" s="75"/>
      <c r="AC57" s="75"/>
      <c r="AD57" s="75"/>
      <c r="AE57" s="76"/>
      <c r="AF57" s="74">
        <v>14</v>
      </c>
      <c r="AG57" s="75"/>
      <c r="AH57" s="76"/>
      <c r="AI57" s="86"/>
      <c r="AJ57" s="86"/>
      <c r="AK57" s="86"/>
      <c r="AL57" s="68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69"/>
      <c r="BN57" s="69"/>
      <c r="BO57" s="69"/>
      <c r="BP57" s="70"/>
    </row>
    <row r="58" spans="1:68" s="1" customFormat="1" ht="30.75" customHeight="1">
      <c r="A58" s="74">
        <f t="shared" si="0"/>
        <v>50</v>
      </c>
      <c r="B58" s="75"/>
      <c r="C58" s="76"/>
      <c r="D58" s="71" t="s">
        <v>166</v>
      </c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3"/>
      <c r="AA58" s="74" t="s">
        <v>18</v>
      </c>
      <c r="AB58" s="75"/>
      <c r="AC58" s="75"/>
      <c r="AD58" s="75"/>
      <c r="AE58" s="76"/>
      <c r="AF58" s="74">
        <v>14</v>
      </c>
      <c r="AG58" s="75"/>
      <c r="AH58" s="76"/>
      <c r="AI58" s="86"/>
      <c r="AJ58" s="86"/>
      <c r="AK58" s="86"/>
      <c r="AL58" s="68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  <c r="BP58" s="70"/>
    </row>
    <row r="59" spans="1:68" s="1" customFormat="1" ht="30.75" customHeight="1">
      <c r="A59" s="74">
        <f t="shared" si="0"/>
        <v>51</v>
      </c>
      <c r="B59" s="75"/>
      <c r="C59" s="76"/>
      <c r="D59" s="71" t="s">
        <v>139</v>
      </c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3"/>
      <c r="AA59" s="74" t="s">
        <v>18</v>
      </c>
      <c r="AB59" s="75"/>
      <c r="AC59" s="75"/>
      <c r="AD59" s="75"/>
      <c r="AE59" s="76"/>
      <c r="AF59" s="74">
        <v>14</v>
      </c>
      <c r="AG59" s="75"/>
      <c r="AH59" s="76"/>
      <c r="AI59" s="86"/>
      <c r="AJ59" s="86"/>
      <c r="AK59" s="86"/>
      <c r="AL59" s="68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  <c r="BM59" s="69"/>
      <c r="BN59" s="69"/>
      <c r="BO59" s="69"/>
      <c r="BP59" s="70"/>
    </row>
    <row r="60" spans="1:68" s="1" customFormat="1" ht="30.75" customHeight="1">
      <c r="A60" s="74">
        <f t="shared" si="0"/>
        <v>52</v>
      </c>
      <c r="B60" s="75"/>
      <c r="C60" s="76"/>
      <c r="D60" s="71" t="s">
        <v>140</v>
      </c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3"/>
      <c r="AA60" s="74" t="s">
        <v>18</v>
      </c>
      <c r="AB60" s="75"/>
      <c r="AC60" s="75"/>
      <c r="AD60" s="75"/>
      <c r="AE60" s="76"/>
      <c r="AF60" s="86">
        <v>14</v>
      </c>
      <c r="AG60" s="86"/>
      <c r="AH60" s="86"/>
      <c r="AI60" s="86"/>
      <c r="AJ60" s="86"/>
      <c r="AK60" s="86"/>
      <c r="AL60" s="68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69"/>
      <c r="BN60" s="69"/>
      <c r="BO60" s="69"/>
      <c r="BP60" s="70"/>
    </row>
    <row r="61" spans="1:68" s="1" customFormat="1" ht="30.75" customHeight="1">
      <c r="A61" s="74">
        <f t="shared" si="0"/>
        <v>53</v>
      </c>
      <c r="B61" s="75"/>
      <c r="C61" s="76"/>
      <c r="D61" s="71" t="s">
        <v>167</v>
      </c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3"/>
      <c r="AA61" s="74" t="s">
        <v>18</v>
      </c>
      <c r="AB61" s="75"/>
      <c r="AC61" s="75"/>
      <c r="AD61" s="75"/>
      <c r="AE61" s="76"/>
      <c r="AF61" s="86">
        <v>14</v>
      </c>
      <c r="AG61" s="86"/>
      <c r="AH61" s="86"/>
      <c r="AI61" s="86"/>
      <c r="AJ61" s="86"/>
      <c r="AK61" s="86"/>
      <c r="AL61" s="68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69"/>
      <c r="BN61" s="69"/>
      <c r="BO61" s="69"/>
      <c r="BP61" s="70"/>
    </row>
    <row r="62" spans="1:68" s="1" customFormat="1" ht="30.75" customHeight="1">
      <c r="A62" s="74">
        <f t="shared" si="0"/>
        <v>54</v>
      </c>
      <c r="B62" s="75"/>
      <c r="C62" s="76"/>
      <c r="D62" s="71" t="s">
        <v>141</v>
      </c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3"/>
      <c r="AA62" s="74" t="s">
        <v>18</v>
      </c>
      <c r="AB62" s="75"/>
      <c r="AC62" s="75"/>
      <c r="AD62" s="75"/>
      <c r="AE62" s="76"/>
      <c r="AF62" s="86">
        <v>14</v>
      </c>
      <c r="AG62" s="86"/>
      <c r="AH62" s="86"/>
      <c r="AI62" s="86"/>
      <c r="AJ62" s="86"/>
      <c r="AK62" s="86"/>
      <c r="AL62" s="68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9"/>
      <c r="BF62" s="69"/>
      <c r="BG62" s="69"/>
      <c r="BH62" s="69"/>
      <c r="BI62" s="69"/>
      <c r="BJ62" s="69"/>
      <c r="BK62" s="69"/>
      <c r="BL62" s="69"/>
      <c r="BM62" s="69"/>
      <c r="BN62" s="69"/>
      <c r="BO62" s="69"/>
      <c r="BP62" s="70"/>
    </row>
    <row r="63" spans="1:68" s="1" customFormat="1" ht="30.75" customHeight="1">
      <c r="A63" s="74">
        <f t="shared" si="0"/>
        <v>55</v>
      </c>
      <c r="B63" s="75"/>
      <c r="C63" s="76"/>
      <c r="D63" s="71" t="s">
        <v>168</v>
      </c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3"/>
      <c r="AA63" s="74" t="s">
        <v>18</v>
      </c>
      <c r="AB63" s="75"/>
      <c r="AC63" s="75"/>
      <c r="AD63" s="75"/>
      <c r="AE63" s="76"/>
      <c r="AF63" s="86">
        <v>14</v>
      </c>
      <c r="AG63" s="86"/>
      <c r="AH63" s="86"/>
      <c r="AI63" s="86"/>
      <c r="AJ63" s="86"/>
      <c r="AK63" s="86"/>
      <c r="AL63" s="68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  <c r="BM63" s="69"/>
      <c r="BN63" s="69"/>
      <c r="BO63" s="69"/>
      <c r="BP63" s="70"/>
    </row>
    <row r="64" spans="1:68" s="1" customFormat="1" ht="30.75" customHeight="1">
      <c r="A64" s="74">
        <f t="shared" si="0"/>
        <v>56</v>
      </c>
      <c r="B64" s="75"/>
      <c r="C64" s="76"/>
      <c r="D64" s="71" t="s">
        <v>142</v>
      </c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3"/>
      <c r="AA64" s="74" t="s">
        <v>18</v>
      </c>
      <c r="AB64" s="75"/>
      <c r="AC64" s="75"/>
      <c r="AD64" s="75"/>
      <c r="AE64" s="76"/>
      <c r="AF64" s="86">
        <v>14</v>
      </c>
      <c r="AG64" s="86"/>
      <c r="AH64" s="86"/>
      <c r="AI64" s="86"/>
      <c r="AJ64" s="86"/>
      <c r="AK64" s="86"/>
      <c r="AL64" s="68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69"/>
      <c r="BN64" s="69"/>
      <c r="BO64" s="69"/>
      <c r="BP64" s="70"/>
    </row>
    <row r="65" spans="1:68" s="1" customFormat="1" ht="30.75" customHeight="1">
      <c r="A65" s="74">
        <f t="shared" si="0"/>
        <v>57</v>
      </c>
      <c r="B65" s="75"/>
      <c r="C65" s="76"/>
      <c r="D65" s="71" t="s">
        <v>1332</v>
      </c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3"/>
      <c r="AA65" s="74" t="s">
        <v>18</v>
      </c>
      <c r="AB65" s="75"/>
      <c r="AC65" s="75"/>
      <c r="AD65" s="75"/>
      <c r="AE65" s="76"/>
      <c r="AF65" s="86">
        <v>14</v>
      </c>
      <c r="AG65" s="86"/>
      <c r="AH65" s="86"/>
      <c r="AI65" s="86"/>
      <c r="AJ65" s="86"/>
      <c r="AK65" s="86"/>
      <c r="AL65" s="68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69"/>
      <c r="BN65" s="69"/>
      <c r="BO65" s="69"/>
      <c r="BP65" s="70"/>
    </row>
    <row r="66" spans="1:68" s="1" customFormat="1" ht="30.75" customHeight="1">
      <c r="A66" s="74">
        <f t="shared" si="0"/>
        <v>58</v>
      </c>
      <c r="B66" s="75"/>
      <c r="C66" s="76"/>
      <c r="D66" s="71" t="s">
        <v>1296</v>
      </c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3"/>
      <c r="AA66" s="74" t="s">
        <v>18</v>
      </c>
      <c r="AB66" s="75"/>
      <c r="AC66" s="75"/>
      <c r="AD66" s="75"/>
      <c r="AE66" s="76"/>
      <c r="AF66" s="86">
        <v>1</v>
      </c>
      <c r="AG66" s="86"/>
      <c r="AH66" s="86"/>
      <c r="AI66" s="86"/>
      <c r="AJ66" s="86"/>
      <c r="AK66" s="86"/>
      <c r="AL66" s="68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  <c r="BM66" s="69"/>
      <c r="BN66" s="69"/>
      <c r="BO66" s="69"/>
      <c r="BP66" s="70"/>
    </row>
    <row r="67" spans="1:68" s="1" customFormat="1" ht="30.75" customHeight="1">
      <c r="A67" s="74">
        <f t="shared" si="0"/>
        <v>59</v>
      </c>
      <c r="B67" s="75"/>
      <c r="C67" s="76"/>
      <c r="D67" s="71" t="s">
        <v>169</v>
      </c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3"/>
      <c r="AA67" s="74" t="s">
        <v>18</v>
      </c>
      <c r="AB67" s="75"/>
      <c r="AC67" s="75"/>
      <c r="AD67" s="75"/>
      <c r="AE67" s="76"/>
      <c r="AF67" s="86">
        <v>8</v>
      </c>
      <c r="AG67" s="86"/>
      <c r="AH67" s="86"/>
      <c r="AI67" s="86"/>
      <c r="AJ67" s="86"/>
      <c r="AK67" s="86"/>
      <c r="AL67" s="68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  <c r="BM67" s="69"/>
      <c r="BN67" s="69"/>
      <c r="BO67" s="69"/>
      <c r="BP67" s="70"/>
    </row>
    <row r="68" spans="1:68" s="1" customFormat="1" ht="30.75" customHeight="1">
      <c r="A68" s="74">
        <f t="shared" si="0"/>
        <v>60</v>
      </c>
      <c r="B68" s="75"/>
      <c r="C68" s="76"/>
      <c r="D68" s="71" t="s">
        <v>170</v>
      </c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3"/>
      <c r="AA68" s="74" t="s">
        <v>18</v>
      </c>
      <c r="AB68" s="75"/>
      <c r="AC68" s="75"/>
      <c r="AD68" s="75"/>
      <c r="AE68" s="76"/>
      <c r="AF68" s="86">
        <v>14</v>
      </c>
      <c r="AG68" s="86"/>
      <c r="AH68" s="86"/>
      <c r="AI68" s="86"/>
      <c r="AJ68" s="86"/>
      <c r="AK68" s="86"/>
      <c r="AL68" s="68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  <c r="BM68" s="69"/>
      <c r="BN68" s="69"/>
      <c r="BO68" s="69"/>
      <c r="BP68" s="70"/>
    </row>
    <row r="69" spans="1:68" s="1" customFormat="1" ht="30.75" customHeight="1">
      <c r="A69" s="74">
        <f t="shared" si="0"/>
        <v>61</v>
      </c>
      <c r="B69" s="75"/>
      <c r="C69" s="76"/>
      <c r="D69" s="71" t="s">
        <v>171</v>
      </c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3"/>
      <c r="AA69" s="74" t="s">
        <v>18</v>
      </c>
      <c r="AB69" s="75"/>
      <c r="AC69" s="75"/>
      <c r="AD69" s="75"/>
      <c r="AE69" s="76"/>
      <c r="AF69" s="74">
        <v>8</v>
      </c>
      <c r="AG69" s="75"/>
      <c r="AH69" s="76"/>
      <c r="AI69" s="74"/>
      <c r="AJ69" s="75"/>
      <c r="AK69" s="76"/>
      <c r="AL69" s="68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69"/>
      <c r="BN69" s="69"/>
      <c r="BO69" s="69"/>
      <c r="BP69" s="70"/>
    </row>
    <row r="70" spans="1:68" s="1" customFormat="1" ht="30.75" customHeight="1">
      <c r="A70" s="74">
        <f t="shared" ref="A70:A94" si="1">ROW()-8</f>
        <v>62</v>
      </c>
      <c r="B70" s="75"/>
      <c r="C70" s="76"/>
      <c r="D70" s="71" t="s">
        <v>172</v>
      </c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3"/>
      <c r="AA70" s="74" t="s">
        <v>18</v>
      </c>
      <c r="AB70" s="75"/>
      <c r="AC70" s="75"/>
      <c r="AD70" s="75"/>
      <c r="AE70" s="76"/>
      <c r="AF70" s="74">
        <v>1</v>
      </c>
      <c r="AG70" s="75"/>
      <c r="AH70" s="76"/>
      <c r="AI70" s="74"/>
      <c r="AJ70" s="75"/>
      <c r="AK70" s="76"/>
      <c r="AL70" s="68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69"/>
      <c r="BN70" s="69"/>
      <c r="BO70" s="69"/>
      <c r="BP70" s="70"/>
    </row>
    <row r="71" spans="1:68" s="1" customFormat="1" ht="30.75" customHeight="1">
      <c r="A71" s="74">
        <f t="shared" si="1"/>
        <v>63</v>
      </c>
      <c r="B71" s="75"/>
      <c r="C71" s="76"/>
      <c r="D71" s="71" t="s">
        <v>173</v>
      </c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3"/>
      <c r="AA71" s="74" t="s">
        <v>654</v>
      </c>
      <c r="AB71" s="75"/>
      <c r="AC71" s="75"/>
      <c r="AD71" s="75"/>
      <c r="AE71" s="76"/>
      <c r="AF71" s="74">
        <v>20</v>
      </c>
      <c r="AG71" s="75"/>
      <c r="AH71" s="76"/>
      <c r="AI71" s="74"/>
      <c r="AJ71" s="75"/>
      <c r="AK71" s="76"/>
      <c r="AL71" s="68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  <c r="BM71" s="69"/>
      <c r="BN71" s="69"/>
      <c r="BO71" s="69"/>
      <c r="BP71" s="70"/>
    </row>
    <row r="72" spans="1:68" s="1" customFormat="1" ht="30.75" customHeight="1">
      <c r="A72" s="74">
        <f t="shared" si="1"/>
        <v>64</v>
      </c>
      <c r="B72" s="75"/>
      <c r="C72" s="76"/>
      <c r="D72" s="71" t="s">
        <v>174</v>
      </c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3"/>
      <c r="AA72" s="74" t="s">
        <v>654</v>
      </c>
      <c r="AB72" s="75"/>
      <c r="AC72" s="75"/>
      <c r="AD72" s="75"/>
      <c r="AE72" s="76"/>
      <c r="AF72" s="86">
        <v>30</v>
      </c>
      <c r="AG72" s="86"/>
      <c r="AH72" s="86"/>
      <c r="AI72" s="86"/>
      <c r="AJ72" s="86"/>
      <c r="AK72" s="86"/>
      <c r="AL72" s="68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69"/>
      <c r="BN72" s="69"/>
      <c r="BO72" s="69"/>
      <c r="BP72" s="70"/>
    </row>
    <row r="73" spans="1:68" s="1" customFormat="1" ht="30.75" customHeight="1">
      <c r="A73" s="74">
        <f t="shared" si="1"/>
        <v>65</v>
      </c>
      <c r="B73" s="75"/>
      <c r="C73" s="76"/>
      <c r="D73" s="71" t="s">
        <v>175</v>
      </c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3"/>
      <c r="AA73" s="74" t="s">
        <v>18</v>
      </c>
      <c r="AB73" s="75"/>
      <c r="AC73" s="75"/>
      <c r="AD73" s="75"/>
      <c r="AE73" s="76"/>
      <c r="AF73" s="86">
        <v>4</v>
      </c>
      <c r="AG73" s="86"/>
      <c r="AH73" s="86"/>
      <c r="AI73" s="86"/>
      <c r="AJ73" s="86"/>
      <c r="AK73" s="86"/>
      <c r="AL73" s="68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69"/>
      <c r="BO73" s="69"/>
      <c r="BP73" s="70"/>
    </row>
    <row r="74" spans="1:68" s="1" customFormat="1" ht="30.75" customHeight="1">
      <c r="A74" s="74">
        <f t="shared" si="1"/>
        <v>66</v>
      </c>
      <c r="B74" s="75"/>
      <c r="C74" s="76"/>
      <c r="D74" s="71" t="s">
        <v>176</v>
      </c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3"/>
      <c r="AA74" s="74" t="s">
        <v>18</v>
      </c>
      <c r="AB74" s="75"/>
      <c r="AC74" s="75"/>
      <c r="AD74" s="75"/>
      <c r="AE74" s="76"/>
      <c r="AF74" s="86">
        <v>7</v>
      </c>
      <c r="AG74" s="86"/>
      <c r="AH74" s="86"/>
      <c r="AI74" s="86"/>
      <c r="AJ74" s="86"/>
      <c r="AK74" s="86"/>
      <c r="AL74" s="68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  <c r="BC74" s="69"/>
      <c r="BD74" s="69"/>
      <c r="BE74" s="69"/>
      <c r="BF74" s="69"/>
      <c r="BG74" s="69"/>
      <c r="BH74" s="69"/>
      <c r="BI74" s="69"/>
      <c r="BJ74" s="69"/>
      <c r="BK74" s="69"/>
      <c r="BL74" s="69"/>
      <c r="BM74" s="69"/>
      <c r="BN74" s="69"/>
      <c r="BO74" s="69"/>
      <c r="BP74" s="70"/>
    </row>
    <row r="75" spans="1:68" s="1" customFormat="1" ht="30.75" customHeight="1">
      <c r="A75" s="74">
        <f t="shared" si="1"/>
        <v>67</v>
      </c>
      <c r="B75" s="75"/>
      <c r="C75" s="76"/>
      <c r="D75" s="71" t="s">
        <v>177</v>
      </c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3"/>
      <c r="AA75" s="74" t="s">
        <v>18</v>
      </c>
      <c r="AB75" s="75"/>
      <c r="AC75" s="75"/>
      <c r="AD75" s="75"/>
      <c r="AE75" s="76"/>
      <c r="AF75" s="74">
        <v>2</v>
      </c>
      <c r="AG75" s="75"/>
      <c r="AH75" s="76"/>
      <c r="AI75" s="74"/>
      <c r="AJ75" s="75"/>
      <c r="AK75" s="76"/>
      <c r="AL75" s="68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69"/>
      <c r="BE75" s="69"/>
      <c r="BF75" s="69"/>
      <c r="BG75" s="69"/>
      <c r="BH75" s="69"/>
      <c r="BI75" s="69"/>
      <c r="BJ75" s="69"/>
      <c r="BK75" s="69"/>
      <c r="BL75" s="69"/>
      <c r="BM75" s="69"/>
      <c r="BN75" s="69"/>
      <c r="BO75" s="69"/>
      <c r="BP75" s="70"/>
    </row>
    <row r="76" spans="1:68" s="1" customFormat="1" ht="30.75" customHeight="1">
      <c r="A76" s="74">
        <f t="shared" si="1"/>
        <v>68</v>
      </c>
      <c r="B76" s="75"/>
      <c r="C76" s="76"/>
      <c r="D76" s="71" t="s">
        <v>178</v>
      </c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3"/>
      <c r="AA76" s="74" t="s">
        <v>18</v>
      </c>
      <c r="AB76" s="75"/>
      <c r="AC76" s="75"/>
      <c r="AD76" s="75"/>
      <c r="AE76" s="76"/>
      <c r="AF76" s="74">
        <v>7</v>
      </c>
      <c r="AG76" s="75"/>
      <c r="AH76" s="76"/>
      <c r="AI76" s="74"/>
      <c r="AJ76" s="75"/>
      <c r="AK76" s="76"/>
      <c r="AL76" s="68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  <c r="BM76" s="69"/>
      <c r="BN76" s="69"/>
      <c r="BO76" s="69"/>
      <c r="BP76" s="70"/>
    </row>
    <row r="77" spans="1:68" s="1" customFormat="1" ht="30.75" customHeight="1">
      <c r="A77" s="74">
        <f t="shared" si="1"/>
        <v>69</v>
      </c>
      <c r="B77" s="75"/>
      <c r="C77" s="76"/>
      <c r="D77" s="71" t="s">
        <v>179</v>
      </c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3"/>
      <c r="AA77" s="74" t="s">
        <v>18</v>
      </c>
      <c r="AB77" s="75"/>
      <c r="AC77" s="75"/>
      <c r="AD77" s="75"/>
      <c r="AE77" s="76"/>
      <c r="AF77" s="74">
        <v>14</v>
      </c>
      <c r="AG77" s="75"/>
      <c r="AH77" s="76"/>
      <c r="AI77" s="74"/>
      <c r="AJ77" s="75"/>
      <c r="AK77" s="76"/>
      <c r="AL77" s="68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69"/>
      <c r="BG77" s="69"/>
      <c r="BH77" s="69"/>
      <c r="BI77" s="69"/>
      <c r="BJ77" s="69"/>
      <c r="BK77" s="69"/>
      <c r="BL77" s="69"/>
      <c r="BM77" s="69"/>
      <c r="BN77" s="69"/>
      <c r="BO77" s="69"/>
      <c r="BP77" s="70"/>
    </row>
    <row r="78" spans="1:68" s="1" customFormat="1" ht="30.75" customHeight="1">
      <c r="A78" s="74">
        <f t="shared" si="1"/>
        <v>70</v>
      </c>
      <c r="B78" s="75"/>
      <c r="C78" s="76"/>
      <c r="D78" s="71" t="s">
        <v>180</v>
      </c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3"/>
      <c r="AA78" s="74" t="s">
        <v>18</v>
      </c>
      <c r="AB78" s="75"/>
      <c r="AC78" s="75"/>
      <c r="AD78" s="75"/>
      <c r="AE78" s="76"/>
      <c r="AF78" s="74">
        <v>1</v>
      </c>
      <c r="AG78" s="75"/>
      <c r="AH78" s="76"/>
      <c r="AI78" s="74"/>
      <c r="AJ78" s="75"/>
      <c r="AK78" s="76"/>
      <c r="AL78" s="68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69"/>
      <c r="BJ78" s="69"/>
      <c r="BK78" s="69"/>
      <c r="BL78" s="69"/>
      <c r="BM78" s="69"/>
      <c r="BN78" s="69"/>
      <c r="BO78" s="69"/>
      <c r="BP78" s="70"/>
    </row>
    <row r="79" spans="1:68" s="1" customFormat="1" ht="30.75" customHeight="1">
      <c r="A79" s="74">
        <f t="shared" si="1"/>
        <v>71</v>
      </c>
      <c r="B79" s="75"/>
      <c r="C79" s="76"/>
      <c r="D79" s="71" t="s">
        <v>181</v>
      </c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3"/>
      <c r="AA79" s="74" t="s">
        <v>654</v>
      </c>
      <c r="AB79" s="75"/>
      <c r="AC79" s="75"/>
      <c r="AD79" s="75"/>
      <c r="AE79" s="76"/>
      <c r="AF79" s="74">
        <v>20</v>
      </c>
      <c r="AG79" s="75"/>
      <c r="AH79" s="76"/>
      <c r="AI79" s="74"/>
      <c r="AJ79" s="75"/>
      <c r="AK79" s="76"/>
      <c r="AL79" s="68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  <c r="BC79" s="69"/>
      <c r="BD79" s="69"/>
      <c r="BE79" s="69"/>
      <c r="BF79" s="69"/>
      <c r="BG79" s="69"/>
      <c r="BH79" s="69"/>
      <c r="BI79" s="69"/>
      <c r="BJ79" s="69"/>
      <c r="BK79" s="69"/>
      <c r="BL79" s="69"/>
      <c r="BM79" s="69"/>
      <c r="BN79" s="69"/>
      <c r="BO79" s="69"/>
      <c r="BP79" s="70"/>
    </row>
    <row r="80" spans="1:68" s="1" customFormat="1" ht="30.75" customHeight="1">
      <c r="A80" s="74">
        <f t="shared" si="1"/>
        <v>72</v>
      </c>
      <c r="B80" s="75"/>
      <c r="C80" s="76"/>
      <c r="D80" s="71" t="s">
        <v>182</v>
      </c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3"/>
      <c r="AA80" s="74" t="s">
        <v>654</v>
      </c>
      <c r="AB80" s="75"/>
      <c r="AC80" s="75"/>
      <c r="AD80" s="75"/>
      <c r="AE80" s="76"/>
      <c r="AF80" s="86">
        <v>30</v>
      </c>
      <c r="AG80" s="86"/>
      <c r="AH80" s="86"/>
      <c r="AI80" s="86"/>
      <c r="AJ80" s="86"/>
      <c r="AK80" s="86"/>
      <c r="AL80" s="68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69"/>
      <c r="BN80" s="69"/>
      <c r="BO80" s="69"/>
      <c r="BP80" s="70"/>
    </row>
    <row r="81" spans="1:68" s="1" customFormat="1" ht="30.75" customHeight="1">
      <c r="A81" s="74">
        <f t="shared" si="1"/>
        <v>73</v>
      </c>
      <c r="B81" s="75"/>
      <c r="C81" s="76"/>
      <c r="D81" s="71" t="s">
        <v>183</v>
      </c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3"/>
      <c r="AA81" s="74" t="s">
        <v>18</v>
      </c>
      <c r="AB81" s="75"/>
      <c r="AC81" s="75"/>
      <c r="AD81" s="75"/>
      <c r="AE81" s="76"/>
      <c r="AF81" s="86">
        <v>4</v>
      </c>
      <c r="AG81" s="86"/>
      <c r="AH81" s="86"/>
      <c r="AI81" s="86"/>
      <c r="AJ81" s="86"/>
      <c r="AK81" s="86"/>
      <c r="AL81" s="68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69"/>
      <c r="BE81" s="69"/>
      <c r="BF81" s="69"/>
      <c r="BG81" s="69"/>
      <c r="BH81" s="69"/>
      <c r="BI81" s="69"/>
      <c r="BJ81" s="69"/>
      <c r="BK81" s="69"/>
      <c r="BL81" s="69"/>
      <c r="BM81" s="69"/>
      <c r="BN81" s="69"/>
      <c r="BO81" s="69"/>
      <c r="BP81" s="70"/>
    </row>
    <row r="82" spans="1:68" s="1" customFormat="1" ht="30.75" customHeight="1">
      <c r="A82" s="74">
        <f t="shared" si="1"/>
        <v>74</v>
      </c>
      <c r="B82" s="75"/>
      <c r="C82" s="76"/>
      <c r="D82" s="71" t="s">
        <v>184</v>
      </c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3"/>
      <c r="AA82" s="74" t="s">
        <v>18</v>
      </c>
      <c r="AB82" s="75"/>
      <c r="AC82" s="75"/>
      <c r="AD82" s="75"/>
      <c r="AE82" s="76"/>
      <c r="AF82" s="86">
        <v>7</v>
      </c>
      <c r="AG82" s="86"/>
      <c r="AH82" s="86"/>
      <c r="AI82" s="86"/>
      <c r="AJ82" s="86"/>
      <c r="AK82" s="86"/>
      <c r="AL82" s="68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69"/>
      <c r="BE82" s="69"/>
      <c r="BF82" s="69"/>
      <c r="BG82" s="69"/>
      <c r="BH82" s="69"/>
      <c r="BI82" s="69"/>
      <c r="BJ82" s="69"/>
      <c r="BK82" s="69"/>
      <c r="BL82" s="69"/>
      <c r="BM82" s="69"/>
      <c r="BN82" s="69"/>
      <c r="BO82" s="69"/>
      <c r="BP82" s="70"/>
    </row>
    <row r="83" spans="1:68" s="1" customFormat="1" ht="30.75" customHeight="1">
      <c r="A83" s="74">
        <f t="shared" si="1"/>
        <v>75</v>
      </c>
      <c r="B83" s="75"/>
      <c r="C83" s="76"/>
      <c r="D83" s="71" t="s">
        <v>185</v>
      </c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3"/>
      <c r="AA83" s="74" t="s">
        <v>18</v>
      </c>
      <c r="AB83" s="75"/>
      <c r="AC83" s="75"/>
      <c r="AD83" s="75"/>
      <c r="AE83" s="76"/>
      <c r="AF83" s="86">
        <v>2</v>
      </c>
      <c r="AG83" s="86"/>
      <c r="AH83" s="86"/>
      <c r="AI83" s="86"/>
      <c r="AJ83" s="86"/>
      <c r="AK83" s="86"/>
      <c r="AL83" s="68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  <c r="BH83" s="69"/>
      <c r="BI83" s="69"/>
      <c r="BJ83" s="69"/>
      <c r="BK83" s="69"/>
      <c r="BL83" s="69"/>
      <c r="BM83" s="69"/>
      <c r="BN83" s="69"/>
      <c r="BO83" s="69"/>
      <c r="BP83" s="70"/>
    </row>
    <row r="84" spans="1:68" s="1" customFormat="1" ht="30.75" customHeight="1">
      <c r="A84" s="74">
        <f t="shared" si="1"/>
        <v>76</v>
      </c>
      <c r="B84" s="75"/>
      <c r="C84" s="76"/>
      <c r="D84" s="71" t="s">
        <v>186</v>
      </c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3"/>
      <c r="AA84" s="74" t="s">
        <v>18</v>
      </c>
      <c r="AB84" s="75"/>
      <c r="AC84" s="75"/>
      <c r="AD84" s="75"/>
      <c r="AE84" s="76"/>
      <c r="AF84" s="86">
        <v>7</v>
      </c>
      <c r="AG84" s="86"/>
      <c r="AH84" s="86"/>
      <c r="AI84" s="86"/>
      <c r="AJ84" s="86"/>
      <c r="AK84" s="86"/>
      <c r="AL84" s="68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  <c r="BC84" s="69"/>
      <c r="BD84" s="69"/>
      <c r="BE84" s="69"/>
      <c r="BF84" s="69"/>
      <c r="BG84" s="69"/>
      <c r="BH84" s="69"/>
      <c r="BI84" s="69"/>
      <c r="BJ84" s="69"/>
      <c r="BK84" s="69"/>
      <c r="BL84" s="69"/>
      <c r="BM84" s="69"/>
      <c r="BN84" s="69"/>
      <c r="BO84" s="69"/>
      <c r="BP84" s="70"/>
    </row>
    <row r="85" spans="1:68" s="1" customFormat="1" ht="30.75" customHeight="1">
      <c r="A85" s="74">
        <f t="shared" si="1"/>
        <v>77</v>
      </c>
      <c r="B85" s="75"/>
      <c r="C85" s="76"/>
      <c r="D85" s="71" t="s">
        <v>187</v>
      </c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3"/>
      <c r="AA85" s="74" t="s">
        <v>18</v>
      </c>
      <c r="AB85" s="75"/>
      <c r="AC85" s="75"/>
      <c r="AD85" s="75"/>
      <c r="AE85" s="76"/>
      <c r="AF85" s="86">
        <v>14</v>
      </c>
      <c r="AG85" s="86"/>
      <c r="AH85" s="86"/>
      <c r="AI85" s="86"/>
      <c r="AJ85" s="86"/>
      <c r="AK85" s="86"/>
      <c r="AL85" s="68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  <c r="BC85" s="69"/>
      <c r="BD85" s="69"/>
      <c r="BE85" s="69"/>
      <c r="BF85" s="69"/>
      <c r="BG85" s="69"/>
      <c r="BH85" s="69"/>
      <c r="BI85" s="69"/>
      <c r="BJ85" s="69"/>
      <c r="BK85" s="69"/>
      <c r="BL85" s="69"/>
      <c r="BM85" s="69"/>
      <c r="BN85" s="69"/>
      <c r="BO85" s="69"/>
      <c r="BP85" s="70"/>
    </row>
    <row r="86" spans="1:68" s="1" customFormat="1" ht="30.75" customHeight="1">
      <c r="A86" s="74">
        <f t="shared" si="1"/>
        <v>78</v>
      </c>
      <c r="B86" s="75"/>
      <c r="C86" s="76"/>
      <c r="D86" s="71" t="s">
        <v>188</v>
      </c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3"/>
      <c r="AA86" s="74" t="s">
        <v>18</v>
      </c>
      <c r="AB86" s="75"/>
      <c r="AC86" s="75"/>
      <c r="AD86" s="75"/>
      <c r="AE86" s="76"/>
      <c r="AF86" s="86">
        <v>1</v>
      </c>
      <c r="AG86" s="86"/>
      <c r="AH86" s="86"/>
      <c r="AI86" s="86"/>
      <c r="AJ86" s="86"/>
      <c r="AK86" s="86"/>
      <c r="AL86" s="68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69"/>
      <c r="BM86" s="69"/>
      <c r="BN86" s="69"/>
      <c r="BO86" s="69"/>
      <c r="BP86" s="70"/>
    </row>
    <row r="87" spans="1:68" s="1" customFormat="1" ht="30.75" customHeight="1">
      <c r="A87" s="74">
        <f t="shared" si="1"/>
        <v>79</v>
      </c>
      <c r="B87" s="75"/>
      <c r="C87" s="76"/>
      <c r="D87" s="71" t="s">
        <v>189</v>
      </c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3"/>
      <c r="AA87" s="74" t="s">
        <v>654</v>
      </c>
      <c r="AB87" s="75"/>
      <c r="AC87" s="75"/>
      <c r="AD87" s="75"/>
      <c r="AE87" s="76"/>
      <c r="AF87" s="74">
        <v>20</v>
      </c>
      <c r="AG87" s="75"/>
      <c r="AH87" s="76"/>
      <c r="AI87" s="86"/>
      <c r="AJ87" s="86"/>
      <c r="AK87" s="86"/>
      <c r="AL87" s="68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69"/>
      <c r="BH87" s="69"/>
      <c r="BI87" s="69"/>
      <c r="BJ87" s="69"/>
      <c r="BK87" s="69"/>
      <c r="BL87" s="69"/>
      <c r="BM87" s="69"/>
      <c r="BN87" s="69"/>
      <c r="BO87" s="69"/>
      <c r="BP87" s="70"/>
    </row>
    <row r="88" spans="1:68" s="1" customFormat="1" ht="30.75" customHeight="1">
      <c r="A88" s="74">
        <f t="shared" si="1"/>
        <v>80</v>
      </c>
      <c r="B88" s="75"/>
      <c r="C88" s="76"/>
      <c r="D88" s="71" t="s">
        <v>190</v>
      </c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3"/>
      <c r="AA88" s="74" t="s">
        <v>654</v>
      </c>
      <c r="AB88" s="75"/>
      <c r="AC88" s="75"/>
      <c r="AD88" s="75"/>
      <c r="AE88" s="76"/>
      <c r="AF88" s="86">
        <v>30</v>
      </c>
      <c r="AG88" s="86"/>
      <c r="AH88" s="86"/>
      <c r="AI88" s="86"/>
      <c r="AJ88" s="86"/>
      <c r="AK88" s="86"/>
      <c r="AL88" s="68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  <c r="BM88" s="69"/>
      <c r="BN88" s="69"/>
      <c r="BO88" s="69"/>
      <c r="BP88" s="70"/>
    </row>
    <row r="89" spans="1:68" s="1" customFormat="1" ht="30.75" customHeight="1">
      <c r="A89" s="74">
        <f t="shared" si="1"/>
        <v>81</v>
      </c>
      <c r="B89" s="75"/>
      <c r="C89" s="76"/>
      <c r="D89" s="71" t="s">
        <v>191</v>
      </c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3"/>
      <c r="AA89" s="74" t="s">
        <v>18</v>
      </c>
      <c r="AB89" s="75"/>
      <c r="AC89" s="75"/>
      <c r="AD89" s="75"/>
      <c r="AE89" s="76"/>
      <c r="AF89" s="86">
        <v>4</v>
      </c>
      <c r="AG89" s="86"/>
      <c r="AH89" s="86"/>
      <c r="AI89" s="86"/>
      <c r="AJ89" s="86"/>
      <c r="AK89" s="86"/>
      <c r="AL89" s="68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9"/>
      <c r="BJ89" s="69"/>
      <c r="BK89" s="69"/>
      <c r="BL89" s="69"/>
      <c r="BM89" s="69"/>
      <c r="BN89" s="69"/>
      <c r="BO89" s="69"/>
      <c r="BP89" s="70"/>
    </row>
    <row r="90" spans="1:68" s="1" customFormat="1" ht="30.75" customHeight="1">
      <c r="A90" s="74">
        <f t="shared" si="1"/>
        <v>82</v>
      </c>
      <c r="B90" s="75"/>
      <c r="C90" s="76"/>
      <c r="D90" s="71" t="s">
        <v>192</v>
      </c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3"/>
      <c r="AA90" s="74" t="s">
        <v>18</v>
      </c>
      <c r="AB90" s="75"/>
      <c r="AC90" s="75"/>
      <c r="AD90" s="75"/>
      <c r="AE90" s="76"/>
      <c r="AF90" s="86">
        <v>7</v>
      </c>
      <c r="AG90" s="86"/>
      <c r="AH90" s="86"/>
      <c r="AI90" s="86"/>
      <c r="AJ90" s="86"/>
      <c r="AK90" s="86"/>
      <c r="AL90" s="68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69"/>
      <c r="BH90" s="69"/>
      <c r="BI90" s="69"/>
      <c r="BJ90" s="69"/>
      <c r="BK90" s="69"/>
      <c r="BL90" s="69"/>
      <c r="BM90" s="69"/>
      <c r="BN90" s="69"/>
      <c r="BO90" s="69"/>
      <c r="BP90" s="70"/>
    </row>
    <row r="91" spans="1:68" s="1" customFormat="1" ht="30.75" customHeight="1">
      <c r="A91" s="74">
        <f t="shared" si="1"/>
        <v>83</v>
      </c>
      <c r="B91" s="75"/>
      <c r="C91" s="76"/>
      <c r="D91" s="71" t="s">
        <v>193</v>
      </c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3"/>
      <c r="AA91" s="74" t="s">
        <v>18</v>
      </c>
      <c r="AB91" s="75"/>
      <c r="AC91" s="75"/>
      <c r="AD91" s="75"/>
      <c r="AE91" s="76"/>
      <c r="AF91" s="74">
        <v>2</v>
      </c>
      <c r="AG91" s="75"/>
      <c r="AH91" s="76"/>
      <c r="AI91" s="74"/>
      <c r="AJ91" s="75"/>
      <c r="AK91" s="76"/>
      <c r="AL91" s="68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69"/>
      <c r="BH91" s="69"/>
      <c r="BI91" s="69"/>
      <c r="BJ91" s="69"/>
      <c r="BK91" s="69"/>
      <c r="BL91" s="69"/>
      <c r="BM91" s="69"/>
      <c r="BN91" s="69"/>
      <c r="BO91" s="69"/>
      <c r="BP91" s="70"/>
    </row>
    <row r="92" spans="1:68" s="1" customFormat="1" ht="30.75" customHeight="1">
      <c r="A92" s="74">
        <f t="shared" si="1"/>
        <v>84</v>
      </c>
      <c r="B92" s="75"/>
      <c r="C92" s="76"/>
      <c r="D92" s="71" t="s">
        <v>194</v>
      </c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3"/>
      <c r="AA92" s="74" t="s">
        <v>18</v>
      </c>
      <c r="AB92" s="75"/>
      <c r="AC92" s="75"/>
      <c r="AD92" s="75"/>
      <c r="AE92" s="76"/>
      <c r="AF92" s="74">
        <v>7</v>
      </c>
      <c r="AG92" s="75"/>
      <c r="AH92" s="76"/>
      <c r="AI92" s="74"/>
      <c r="AJ92" s="75"/>
      <c r="AK92" s="76"/>
      <c r="AL92" s="68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  <c r="BC92" s="69"/>
      <c r="BD92" s="69"/>
      <c r="BE92" s="69"/>
      <c r="BF92" s="69"/>
      <c r="BG92" s="69"/>
      <c r="BH92" s="69"/>
      <c r="BI92" s="69"/>
      <c r="BJ92" s="69"/>
      <c r="BK92" s="69"/>
      <c r="BL92" s="69"/>
      <c r="BM92" s="69"/>
      <c r="BN92" s="69"/>
      <c r="BO92" s="69"/>
      <c r="BP92" s="70"/>
    </row>
    <row r="93" spans="1:68" s="1" customFormat="1" ht="30.75" customHeight="1">
      <c r="A93" s="74">
        <f t="shared" si="1"/>
        <v>85</v>
      </c>
      <c r="B93" s="75"/>
      <c r="C93" s="76"/>
      <c r="D93" s="71" t="s">
        <v>195</v>
      </c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3"/>
      <c r="AA93" s="74" t="s">
        <v>18</v>
      </c>
      <c r="AB93" s="75"/>
      <c r="AC93" s="75"/>
      <c r="AD93" s="75"/>
      <c r="AE93" s="76"/>
      <c r="AF93" s="86">
        <v>14</v>
      </c>
      <c r="AG93" s="86"/>
      <c r="AH93" s="86"/>
      <c r="AI93" s="86"/>
      <c r="AJ93" s="86"/>
      <c r="AK93" s="86"/>
      <c r="AL93" s="68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69"/>
      <c r="BK93" s="69"/>
      <c r="BL93" s="69"/>
      <c r="BM93" s="69"/>
      <c r="BN93" s="69"/>
      <c r="BO93" s="69"/>
      <c r="BP93" s="70"/>
    </row>
    <row r="94" spans="1:68" s="1" customFormat="1" ht="30.75" customHeight="1">
      <c r="A94" s="74">
        <f t="shared" si="1"/>
        <v>86</v>
      </c>
      <c r="B94" s="75"/>
      <c r="C94" s="76"/>
      <c r="D94" s="71" t="s">
        <v>196</v>
      </c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3"/>
      <c r="AA94" s="74" t="s">
        <v>18</v>
      </c>
      <c r="AB94" s="75"/>
      <c r="AC94" s="75"/>
      <c r="AD94" s="75"/>
      <c r="AE94" s="76"/>
      <c r="AF94" s="86">
        <v>8</v>
      </c>
      <c r="AG94" s="86"/>
      <c r="AH94" s="86"/>
      <c r="AI94" s="86"/>
      <c r="AJ94" s="86"/>
      <c r="AK94" s="86"/>
      <c r="AL94" s="68"/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69"/>
      <c r="BH94" s="69"/>
      <c r="BI94" s="69"/>
      <c r="BJ94" s="69"/>
      <c r="BK94" s="69"/>
      <c r="BL94" s="69"/>
      <c r="BM94" s="69"/>
      <c r="BN94" s="69"/>
      <c r="BO94" s="69"/>
      <c r="BP94" s="70"/>
    </row>
    <row r="95" spans="1:68" s="1" customFormat="1" ht="30.75" customHeight="1">
      <c r="A95" s="74"/>
      <c r="B95" s="75"/>
      <c r="C95" s="76"/>
      <c r="D95" s="71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3"/>
      <c r="AA95" s="74"/>
      <c r="AB95" s="75"/>
      <c r="AC95" s="75"/>
      <c r="AD95" s="75"/>
      <c r="AE95" s="76"/>
      <c r="AF95" s="74"/>
      <c r="AG95" s="75"/>
      <c r="AH95" s="76"/>
      <c r="AI95" s="74"/>
      <c r="AJ95" s="75"/>
      <c r="AK95" s="76"/>
      <c r="AL95" s="68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69"/>
      <c r="BH95" s="69"/>
      <c r="BI95" s="69"/>
      <c r="BJ95" s="69"/>
      <c r="BK95" s="69"/>
      <c r="BL95" s="69"/>
      <c r="BM95" s="69"/>
      <c r="BN95" s="69"/>
      <c r="BO95" s="69"/>
      <c r="BP95" s="70"/>
    </row>
    <row r="96" spans="1:68" s="1" customFormat="1" ht="30.75" customHeight="1">
      <c r="A96" s="224"/>
      <c r="B96" s="225"/>
      <c r="C96" s="226"/>
      <c r="D96" s="221"/>
      <c r="E96" s="222"/>
      <c r="F96" s="222"/>
      <c r="G96" s="222"/>
      <c r="H96" s="222"/>
      <c r="I96" s="222"/>
      <c r="J96" s="222"/>
      <c r="K96" s="222"/>
      <c r="L96" s="222"/>
      <c r="M96" s="222"/>
      <c r="N96" s="222"/>
      <c r="O96" s="222"/>
      <c r="P96" s="222"/>
      <c r="Q96" s="222"/>
      <c r="R96" s="222"/>
      <c r="S96" s="222"/>
      <c r="T96" s="222"/>
      <c r="U96" s="222"/>
      <c r="V96" s="222"/>
      <c r="W96" s="222"/>
      <c r="X96" s="222"/>
      <c r="Y96" s="222"/>
      <c r="Z96" s="223"/>
      <c r="AA96" s="224"/>
      <c r="AB96" s="225"/>
      <c r="AC96" s="225"/>
      <c r="AD96" s="225"/>
      <c r="AE96" s="226"/>
      <c r="AF96" s="230"/>
      <c r="AG96" s="231"/>
      <c r="AH96" s="232"/>
      <c r="AI96" s="230"/>
      <c r="AJ96" s="231"/>
      <c r="AK96" s="232"/>
      <c r="AL96" s="227"/>
      <c r="AM96" s="228"/>
      <c r="AN96" s="228"/>
      <c r="AO96" s="228"/>
      <c r="AP96" s="228"/>
      <c r="AQ96" s="228"/>
      <c r="AR96" s="228"/>
      <c r="AS96" s="228"/>
      <c r="AT96" s="228"/>
      <c r="AU96" s="228"/>
      <c r="AV96" s="228"/>
      <c r="AW96" s="228"/>
      <c r="AX96" s="228"/>
      <c r="AY96" s="228"/>
      <c r="AZ96" s="228"/>
      <c r="BA96" s="228"/>
      <c r="BB96" s="228"/>
      <c r="BC96" s="228"/>
      <c r="BD96" s="228"/>
      <c r="BE96" s="228"/>
      <c r="BF96" s="228"/>
      <c r="BG96" s="228"/>
      <c r="BH96" s="228"/>
      <c r="BI96" s="228"/>
      <c r="BJ96" s="228"/>
      <c r="BK96" s="228"/>
      <c r="BL96" s="228"/>
      <c r="BM96" s="228"/>
      <c r="BN96" s="228"/>
      <c r="BO96" s="228"/>
      <c r="BP96" s="229"/>
    </row>
    <row r="97" spans="1:68" s="4" customFormat="1" ht="3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3"/>
      <c r="AG97" s="3"/>
      <c r="AH97" s="3"/>
      <c r="AI97" s="3"/>
      <c r="AJ97" s="3"/>
      <c r="AK97" s="3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</row>
    <row r="98" spans="1:68" s="4" customFormat="1" ht="14.25">
      <c r="A98" s="5" t="s">
        <v>14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15"/>
      <c r="AG98" s="15"/>
      <c r="AH98" s="15"/>
      <c r="AI98" s="15"/>
      <c r="AJ98" s="15"/>
      <c r="AK98" s="15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6"/>
    </row>
    <row r="99" spans="1:68" s="4" customFormat="1" ht="20.25" customHeight="1">
      <c r="A99" s="5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6"/>
    </row>
    <row r="100" spans="1:68" s="4" customFormat="1" ht="20.25" customHeight="1">
      <c r="A100" s="5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6"/>
    </row>
    <row r="101" spans="1:68" s="4" customFormat="1" ht="20.25" customHeight="1">
      <c r="A101" s="5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6"/>
    </row>
    <row r="102" spans="1:68" s="4" customFormat="1" ht="20.25" customHeight="1">
      <c r="A102" s="5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6"/>
    </row>
    <row r="103" spans="1:68" s="4" customFormat="1" ht="20.25" customHeight="1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9"/>
    </row>
    <row r="104" spans="1:68" ht="5.25" customHeight="1"/>
  </sheetData>
  <mergeCells count="553">
    <mergeCell ref="AL8:BP8"/>
    <mergeCell ref="A9:C9"/>
    <mergeCell ref="A10:C10"/>
    <mergeCell ref="AL9:BP9"/>
    <mergeCell ref="AL10:BP10"/>
    <mergeCell ref="A6:G6"/>
    <mergeCell ref="H6:N6"/>
    <mergeCell ref="O6:Y6"/>
    <mergeCell ref="Z6:BE6"/>
    <mergeCell ref="BF6:BI6"/>
    <mergeCell ref="BJ6:BP6"/>
    <mergeCell ref="AF8:AH8"/>
    <mergeCell ref="AI8:AK8"/>
    <mergeCell ref="AF9:AH9"/>
    <mergeCell ref="AI9:AK9"/>
    <mergeCell ref="AF10:AH10"/>
    <mergeCell ref="AI10:AK10"/>
    <mergeCell ref="A8:C8"/>
    <mergeCell ref="D8:Z8"/>
    <mergeCell ref="AA8:AE8"/>
    <mergeCell ref="D9:Z9"/>
    <mergeCell ref="AA9:AE9"/>
    <mergeCell ref="D10:Z10"/>
    <mergeCell ref="AA10:AE10"/>
    <mergeCell ref="D11:Z11"/>
    <mergeCell ref="AA11:AE11"/>
    <mergeCell ref="A16:C16"/>
    <mergeCell ref="A17:C17"/>
    <mergeCell ref="A18:C18"/>
    <mergeCell ref="A19:C19"/>
    <mergeCell ref="A20:C20"/>
    <mergeCell ref="A21:C21"/>
    <mergeCell ref="A11:C11"/>
    <mergeCell ref="A12:C12"/>
    <mergeCell ref="A13:C13"/>
    <mergeCell ref="A14:C14"/>
    <mergeCell ref="A15:C15"/>
    <mergeCell ref="A28:C28"/>
    <mergeCell ref="A29:C29"/>
    <mergeCell ref="A30:C30"/>
    <mergeCell ref="A31:C31"/>
    <mergeCell ref="A32:C32"/>
    <mergeCell ref="A33:C33"/>
    <mergeCell ref="A22:C22"/>
    <mergeCell ref="A23:C23"/>
    <mergeCell ref="A24:C24"/>
    <mergeCell ref="A25:C25"/>
    <mergeCell ref="A26:C26"/>
    <mergeCell ref="A27:C27"/>
    <mergeCell ref="A40:C40"/>
    <mergeCell ref="A41:C41"/>
    <mergeCell ref="A42:C42"/>
    <mergeCell ref="A43:C43"/>
    <mergeCell ref="A44:C44"/>
    <mergeCell ref="A45:C45"/>
    <mergeCell ref="A34:C34"/>
    <mergeCell ref="A35:C35"/>
    <mergeCell ref="A36:C36"/>
    <mergeCell ref="A37:C37"/>
    <mergeCell ref="A38:C38"/>
    <mergeCell ref="A39:C39"/>
    <mergeCell ref="A52:C52"/>
    <mergeCell ref="A53:C53"/>
    <mergeCell ref="A54:C54"/>
    <mergeCell ref="A55:C55"/>
    <mergeCell ref="A56:C56"/>
    <mergeCell ref="A57:C57"/>
    <mergeCell ref="A46:C46"/>
    <mergeCell ref="A47:C47"/>
    <mergeCell ref="A48:C48"/>
    <mergeCell ref="A49:C49"/>
    <mergeCell ref="A50:C50"/>
    <mergeCell ref="A51:C51"/>
    <mergeCell ref="A70:C70"/>
    <mergeCell ref="A71:C71"/>
    <mergeCell ref="A72:C72"/>
    <mergeCell ref="A63:C63"/>
    <mergeCell ref="A64:C64"/>
    <mergeCell ref="A65:C65"/>
    <mergeCell ref="A66:C66"/>
    <mergeCell ref="A67:C67"/>
    <mergeCell ref="A58:C58"/>
    <mergeCell ref="A59:C59"/>
    <mergeCell ref="A60:C60"/>
    <mergeCell ref="A61:C61"/>
    <mergeCell ref="A62:C62"/>
    <mergeCell ref="A74:C74"/>
    <mergeCell ref="A75:C75"/>
    <mergeCell ref="A76:C76"/>
    <mergeCell ref="A95:C95"/>
    <mergeCell ref="A96:C96"/>
    <mergeCell ref="A91:C91"/>
    <mergeCell ref="A92:C92"/>
    <mergeCell ref="A93:C93"/>
    <mergeCell ref="A94:C94"/>
    <mergeCell ref="AL11:BP11"/>
    <mergeCell ref="D12:Z12"/>
    <mergeCell ref="AA12:AE12"/>
    <mergeCell ref="AL12:BP12"/>
    <mergeCell ref="D13:Z13"/>
    <mergeCell ref="AA13:AE13"/>
    <mergeCell ref="AL13:BP13"/>
    <mergeCell ref="A89:C89"/>
    <mergeCell ref="A90:C90"/>
    <mergeCell ref="A82:C82"/>
    <mergeCell ref="A83:C83"/>
    <mergeCell ref="A84:C84"/>
    <mergeCell ref="A85:C85"/>
    <mergeCell ref="A77:C77"/>
    <mergeCell ref="A78:C78"/>
    <mergeCell ref="A79:C79"/>
    <mergeCell ref="A80:C80"/>
    <mergeCell ref="A81:C81"/>
    <mergeCell ref="A73:C73"/>
    <mergeCell ref="A68:C68"/>
    <mergeCell ref="A69:C69"/>
    <mergeCell ref="A86:C86"/>
    <mergeCell ref="A87:C87"/>
    <mergeCell ref="A88:C88"/>
    <mergeCell ref="AF20:AH20"/>
    <mergeCell ref="AI20:AK20"/>
    <mergeCell ref="AL15:BP15"/>
    <mergeCell ref="D16:Z16"/>
    <mergeCell ref="AA16:AE16"/>
    <mergeCell ref="AL16:BP16"/>
    <mergeCell ref="D14:Z14"/>
    <mergeCell ref="AA14:AE14"/>
    <mergeCell ref="AL14:BP14"/>
    <mergeCell ref="AF16:AH16"/>
    <mergeCell ref="AI16:AK16"/>
    <mergeCell ref="D15:Z15"/>
    <mergeCell ref="AA15:AE15"/>
    <mergeCell ref="D17:Z17"/>
    <mergeCell ref="AA17:AE17"/>
    <mergeCell ref="AL17:BP17"/>
    <mergeCell ref="D18:Z18"/>
    <mergeCell ref="AA18:AE18"/>
    <mergeCell ref="AL18:BP18"/>
    <mergeCell ref="AF18:AH18"/>
    <mergeCell ref="AI18:AK18"/>
    <mergeCell ref="AF19:AH19"/>
    <mergeCell ref="AI19:AK19"/>
    <mergeCell ref="D23:Z23"/>
    <mergeCell ref="AA23:AE23"/>
    <mergeCell ref="AL23:BP23"/>
    <mergeCell ref="D24:Z24"/>
    <mergeCell ref="AA24:AE24"/>
    <mergeCell ref="AL24:BP24"/>
    <mergeCell ref="D21:Z21"/>
    <mergeCell ref="AA21:AE21"/>
    <mergeCell ref="AL21:BP21"/>
    <mergeCell ref="D22:Z22"/>
    <mergeCell ref="AA22:AE22"/>
    <mergeCell ref="AL22:BP22"/>
    <mergeCell ref="AF22:AH22"/>
    <mergeCell ref="AI22:AK22"/>
    <mergeCell ref="AF23:AH23"/>
    <mergeCell ref="AI23:AK23"/>
    <mergeCell ref="AF24:AH24"/>
    <mergeCell ref="AI24:AK24"/>
    <mergeCell ref="D27:Z27"/>
    <mergeCell ref="AA27:AE27"/>
    <mergeCell ref="AL27:BP27"/>
    <mergeCell ref="D28:Z28"/>
    <mergeCell ref="AA28:AE28"/>
    <mergeCell ref="AL28:BP28"/>
    <mergeCell ref="D25:Z25"/>
    <mergeCell ref="AA25:AE25"/>
    <mergeCell ref="AL25:BP25"/>
    <mergeCell ref="D26:Z26"/>
    <mergeCell ref="AA26:AE26"/>
    <mergeCell ref="AL26:BP26"/>
    <mergeCell ref="AF26:AH26"/>
    <mergeCell ref="AI26:AK26"/>
    <mergeCell ref="AF27:AH27"/>
    <mergeCell ref="AI27:AK27"/>
    <mergeCell ref="AF28:AH28"/>
    <mergeCell ref="AI28:AK28"/>
    <mergeCell ref="AF25:AH25"/>
    <mergeCell ref="AI25:AK25"/>
    <mergeCell ref="D31:Z31"/>
    <mergeCell ref="AA31:AE31"/>
    <mergeCell ref="AL31:BP31"/>
    <mergeCell ref="D32:Z32"/>
    <mergeCell ref="AA32:AE32"/>
    <mergeCell ref="AL32:BP32"/>
    <mergeCell ref="D29:Z29"/>
    <mergeCell ref="AA29:AE29"/>
    <mergeCell ref="AL29:BP29"/>
    <mergeCell ref="D30:Z30"/>
    <mergeCell ref="AA30:AE30"/>
    <mergeCell ref="AL30:BP30"/>
    <mergeCell ref="AF30:AH30"/>
    <mergeCell ref="AI30:AK30"/>
    <mergeCell ref="AF31:AH31"/>
    <mergeCell ref="AI31:AK31"/>
    <mergeCell ref="AF32:AH32"/>
    <mergeCell ref="AI32:AK32"/>
    <mergeCell ref="AF29:AH29"/>
    <mergeCell ref="AI29:AK29"/>
    <mergeCell ref="D35:Z35"/>
    <mergeCell ref="AA35:AE35"/>
    <mergeCell ref="AL35:BP35"/>
    <mergeCell ref="D36:Z36"/>
    <mergeCell ref="AA36:AE36"/>
    <mergeCell ref="AL36:BP36"/>
    <mergeCell ref="D33:Z33"/>
    <mergeCell ref="AA33:AE33"/>
    <mergeCell ref="AL33:BP33"/>
    <mergeCell ref="D34:Z34"/>
    <mergeCell ref="AA34:AE34"/>
    <mergeCell ref="AL34:BP34"/>
    <mergeCell ref="AF34:AH34"/>
    <mergeCell ref="AI34:AK34"/>
    <mergeCell ref="AF35:AH35"/>
    <mergeCell ref="AI35:AK35"/>
    <mergeCell ref="AF36:AH36"/>
    <mergeCell ref="AI36:AK36"/>
    <mergeCell ref="AF33:AH33"/>
    <mergeCell ref="AI33:AK33"/>
    <mergeCell ref="D39:Z39"/>
    <mergeCell ref="AA39:AE39"/>
    <mergeCell ref="AL39:BP39"/>
    <mergeCell ref="D40:Z40"/>
    <mergeCell ref="AA40:AE40"/>
    <mergeCell ref="AL40:BP40"/>
    <mergeCell ref="D37:Z37"/>
    <mergeCell ref="AA37:AE37"/>
    <mergeCell ref="AL37:BP37"/>
    <mergeCell ref="D38:Z38"/>
    <mergeCell ref="AA38:AE38"/>
    <mergeCell ref="AL38:BP38"/>
    <mergeCell ref="AF38:AH38"/>
    <mergeCell ref="AI38:AK38"/>
    <mergeCell ref="AF39:AH39"/>
    <mergeCell ref="AI39:AK39"/>
    <mergeCell ref="AF40:AH40"/>
    <mergeCell ref="AI40:AK40"/>
    <mergeCell ref="AF37:AH37"/>
    <mergeCell ref="AI37:AK37"/>
    <mergeCell ref="D43:Z43"/>
    <mergeCell ref="AA43:AE43"/>
    <mergeCell ref="AL43:BP43"/>
    <mergeCell ref="D44:Z44"/>
    <mergeCell ref="AA44:AE44"/>
    <mergeCell ref="AL44:BP44"/>
    <mergeCell ref="D41:Z41"/>
    <mergeCell ref="AA41:AE41"/>
    <mergeCell ref="AL41:BP41"/>
    <mergeCell ref="D42:Z42"/>
    <mergeCell ref="AA42:AE42"/>
    <mergeCell ref="AL42:BP42"/>
    <mergeCell ref="AF42:AH42"/>
    <mergeCell ref="AI42:AK42"/>
    <mergeCell ref="AF43:AH43"/>
    <mergeCell ref="AI43:AK43"/>
    <mergeCell ref="AF44:AH44"/>
    <mergeCell ref="AI44:AK44"/>
    <mergeCell ref="AF41:AH41"/>
    <mergeCell ref="AI41:AK41"/>
    <mergeCell ref="D47:Z47"/>
    <mergeCell ref="AA47:AE47"/>
    <mergeCell ref="AL47:BP47"/>
    <mergeCell ref="D48:Z48"/>
    <mergeCell ref="AA48:AE48"/>
    <mergeCell ref="AL48:BP48"/>
    <mergeCell ref="D45:Z45"/>
    <mergeCell ref="AA45:AE45"/>
    <mergeCell ref="AL45:BP45"/>
    <mergeCell ref="D46:Z46"/>
    <mergeCell ref="AA46:AE46"/>
    <mergeCell ref="AL46:BP46"/>
    <mergeCell ref="AF46:AH46"/>
    <mergeCell ref="AI46:AK46"/>
    <mergeCell ref="AF47:AH47"/>
    <mergeCell ref="AI47:AK47"/>
    <mergeCell ref="AF48:AH48"/>
    <mergeCell ref="AI48:AK48"/>
    <mergeCell ref="AF45:AH45"/>
    <mergeCell ref="AI45:AK45"/>
    <mergeCell ref="D51:Z51"/>
    <mergeCell ref="AA51:AE51"/>
    <mergeCell ref="AL51:BP51"/>
    <mergeCell ref="D52:Z52"/>
    <mergeCell ref="AA52:AE52"/>
    <mergeCell ref="AL52:BP52"/>
    <mergeCell ref="D49:Z49"/>
    <mergeCell ref="AA49:AE49"/>
    <mergeCell ref="AL49:BP49"/>
    <mergeCell ref="D50:Z50"/>
    <mergeCell ref="AA50:AE50"/>
    <mergeCell ref="AL50:BP50"/>
    <mergeCell ref="AF50:AH50"/>
    <mergeCell ref="AI50:AK50"/>
    <mergeCell ref="AF51:AH51"/>
    <mergeCell ref="AI51:AK51"/>
    <mergeCell ref="AF52:AH52"/>
    <mergeCell ref="AI52:AK52"/>
    <mergeCell ref="AF49:AH49"/>
    <mergeCell ref="AI49:AK49"/>
    <mergeCell ref="D55:Z55"/>
    <mergeCell ref="AA55:AE55"/>
    <mergeCell ref="AL55:BP55"/>
    <mergeCell ref="D56:Z56"/>
    <mergeCell ref="AA56:AE56"/>
    <mergeCell ref="AL56:BP56"/>
    <mergeCell ref="D53:Z53"/>
    <mergeCell ref="AA53:AE53"/>
    <mergeCell ref="AL53:BP53"/>
    <mergeCell ref="D54:Z54"/>
    <mergeCell ref="AA54:AE54"/>
    <mergeCell ref="AL54:BP54"/>
    <mergeCell ref="AF54:AH54"/>
    <mergeCell ref="AI54:AK54"/>
    <mergeCell ref="AF55:AH55"/>
    <mergeCell ref="AI55:AK55"/>
    <mergeCell ref="AF56:AH56"/>
    <mergeCell ref="AI56:AK56"/>
    <mergeCell ref="AF53:AH53"/>
    <mergeCell ref="AI53:AK53"/>
    <mergeCell ref="D58:Z58"/>
    <mergeCell ref="AA58:AE58"/>
    <mergeCell ref="AL58:BP58"/>
    <mergeCell ref="D59:Z59"/>
    <mergeCell ref="AA59:AE59"/>
    <mergeCell ref="AL59:BP59"/>
    <mergeCell ref="D57:Z57"/>
    <mergeCell ref="AA57:AE57"/>
    <mergeCell ref="AL57:BP57"/>
    <mergeCell ref="AF58:AH58"/>
    <mergeCell ref="AI58:AK58"/>
    <mergeCell ref="AF59:AH59"/>
    <mergeCell ref="AI59:AK59"/>
    <mergeCell ref="AF57:AH57"/>
    <mergeCell ref="AI57:AK57"/>
    <mergeCell ref="D62:Z62"/>
    <mergeCell ref="AA62:AE62"/>
    <mergeCell ref="AL62:BP62"/>
    <mergeCell ref="D63:Z63"/>
    <mergeCell ref="AA63:AE63"/>
    <mergeCell ref="AL63:BP63"/>
    <mergeCell ref="D60:Z60"/>
    <mergeCell ref="AA60:AE60"/>
    <mergeCell ref="AL60:BP60"/>
    <mergeCell ref="D61:Z61"/>
    <mergeCell ref="AA61:AE61"/>
    <mergeCell ref="AL61:BP61"/>
    <mergeCell ref="AF61:AH61"/>
    <mergeCell ref="AI61:AK61"/>
    <mergeCell ref="AF62:AH62"/>
    <mergeCell ref="AI62:AK62"/>
    <mergeCell ref="AF63:AH63"/>
    <mergeCell ref="AI63:AK63"/>
    <mergeCell ref="AF60:AH60"/>
    <mergeCell ref="AI60:AK60"/>
    <mergeCell ref="D66:Z66"/>
    <mergeCell ref="AA66:AE66"/>
    <mergeCell ref="AL66:BP66"/>
    <mergeCell ref="D67:Z67"/>
    <mergeCell ref="AA67:AE67"/>
    <mergeCell ref="AL67:BP67"/>
    <mergeCell ref="D64:Z64"/>
    <mergeCell ref="AA64:AE64"/>
    <mergeCell ref="AL64:BP64"/>
    <mergeCell ref="D65:Z65"/>
    <mergeCell ref="AA65:AE65"/>
    <mergeCell ref="AL65:BP65"/>
    <mergeCell ref="AF65:AH65"/>
    <mergeCell ref="AI65:AK65"/>
    <mergeCell ref="AF66:AH66"/>
    <mergeCell ref="AI66:AK66"/>
    <mergeCell ref="AF67:AH67"/>
    <mergeCell ref="AI67:AK67"/>
    <mergeCell ref="AF64:AH64"/>
    <mergeCell ref="AI64:AK64"/>
    <mergeCell ref="D70:Z70"/>
    <mergeCell ref="AA70:AE70"/>
    <mergeCell ref="AL70:BP70"/>
    <mergeCell ref="D68:Z68"/>
    <mergeCell ref="AA68:AE68"/>
    <mergeCell ref="AL68:BP68"/>
    <mergeCell ref="AF68:AH68"/>
    <mergeCell ref="AI68:AK68"/>
    <mergeCell ref="AF69:AH69"/>
    <mergeCell ref="AI69:AK69"/>
    <mergeCell ref="AF70:AH70"/>
    <mergeCell ref="AI70:AK70"/>
    <mergeCell ref="D69:Z69"/>
    <mergeCell ref="AA69:AE69"/>
    <mergeCell ref="AL69:BP69"/>
    <mergeCell ref="D72:Z72"/>
    <mergeCell ref="AA72:AE72"/>
    <mergeCell ref="AL72:BP72"/>
    <mergeCell ref="D73:Z73"/>
    <mergeCell ref="AA73:AE73"/>
    <mergeCell ref="AL73:BP73"/>
    <mergeCell ref="D71:Z71"/>
    <mergeCell ref="AA71:AE71"/>
    <mergeCell ref="AL71:BP71"/>
    <mergeCell ref="AF71:AH71"/>
    <mergeCell ref="AI71:AK71"/>
    <mergeCell ref="AF72:AH72"/>
    <mergeCell ref="AI72:AK72"/>
    <mergeCell ref="AF73:AH73"/>
    <mergeCell ref="AI73:AK73"/>
    <mergeCell ref="D75:Z75"/>
    <mergeCell ref="AA75:AE75"/>
    <mergeCell ref="AL75:BP75"/>
    <mergeCell ref="D74:Z74"/>
    <mergeCell ref="AA74:AE74"/>
    <mergeCell ref="AL74:BP74"/>
    <mergeCell ref="AF74:AH74"/>
    <mergeCell ref="AI74:AK74"/>
    <mergeCell ref="AF75:AH75"/>
    <mergeCell ref="AI75:AK75"/>
    <mergeCell ref="D78:Z78"/>
    <mergeCell ref="AA78:AE78"/>
    <mergeCell ref="AL78:BP78"/>
    <mergeCell ref="D76:Z76"/>
    <mergeCell ref="AA76:AE76"/>
    <mergeCell ref="AL76:BP76"/>
    <mergeCell ref="D77:Z77"/>
    <mergeCell ref="AA77:AE77"/>
    <mergeCell ref="AL77:BP77"/>
    <mergeCell ref="AF76:AH76"/>
    <mergeCell ref="AI76:AK76"/>
    <mergeCell ref="AF77:AH77"/>
    <mergeCell ref="AI77:AK77"/>
    <mergeCell ref="AF78:AH78"/>
    <mergeCell ref="AI78:AK78"/>
    <mergeCell ref="D81:Z81"/>
    <mergeCell ref="AA81:AE81"/>
    <mergeCell ref="AL81:BP81"/>
    <mergeCell ref="D82:Z82"/>
    <mergeCell ref="AA82:AE82"/>
    <mergeCell ref="AL82:BP82"/>
    <mergeCell ref="D79:Z79"/>
    <mergeCell ref="AA79:AE79"/>
    <mergeCell ref="AL79:BP79"/>
    <mergeCell ref="D80:Z80"/>
    <mergeCell ref="AA80:AE80"/>
    <mergeCell ref="AL80:BP80"/>
    <mergeCell ref="AF79:AH79"/>
    <mergeCell ref="AI79:AK79"/>
    <mergeCell ref="AF80:AH80"/>
    <mergeCell ref="AI80:AK80"/>
    <mergeCell ref="AF81:AH81"/>
    <mergeCell ref="AI81:AK81"/>
    <mergeCell ref="AF82:AH82"/>
    <mergeCell ref="AI82:AK82"/>
    <mergeCell ref="D84:Z84"/>
    <mergeCell ref="AA84:AE84"/>
    <mergeCell ref="AL84:BP84"/>
    <mergeCell ref="D83:Z83"/>
    <mergeCell ref="AA83:AE83"/>
    <mergeCell ref="AL83:BP83"/>
    <mergeCell ref="AF83:AH83"/>
    <mergeCell ref="AI83:AK83"/>
    <mergeCell ref="AF84:AH84"/>
    <mergeCell ref="AI84:AK84"/>
    <mergeCell ref="D87:Z87"/>
    <mergeCell ref="AA87:AE87"/>
    <mergeCell ref="AL87:BP87"/>
    <mergeCell ref="D85:Z85"/>
    <mergeCell ref="AA85:AE85"/>
    <mergeCell ref="AL85:BP85"/>
    <mergeCell ref="D86:Z86"/>
    <mergeCell ref="AA86:AE86"/>
    <mergeCell ref="AL86:BP86"/>
    <mergeCell ref="AF85:AH85"/>
    <mergeCell ref="AI85:AK85"/>
    <mergeCell ref="AF86:AH86"/>
    <mergeCell ref="AI86:AK86"/>
    <mergeCell ref="AF87:AH87"/>
    <mergeCell ref="AI87:AK87"/>
    <mergeCell ref="D90:Z90"/>
    <mergeCell ref="AA90:AE90"/>
    <mergeCell ref="AL90:BP90"/>
    <mergeCell ref="D88:Z88"/>
    <mergeCell ref="AA88:AE88"/>
    <mergeCell ref="AL88:BP88"/>
    <mergeCell ref="D89:Z89"/>
    <mergeCell ref="AA89:AE89"/>
    <mergeCell ref="AL89:BP89"/>
    <mergeCell ref="AF88:AH88"/>
    <mergeCell ref="AI88:AK88"/>
    <mergeCell ref="AF89:AH89"/>
    <mergeCell ref="AI89:AK89"/>
    <mergeCell ref="AF90:AH90"/>
    <mergeCell ref="AI90:AK90"/>
    <mergeCell ref="D92:Z92"/>
    <mergeCell ref="AA92:AE92"/>
    <mergeCell ref="AL92:BP92"/>
    <mergeCell ref="D93:Z93"/>
    <mergeCell ref="AA93:AE93"/>
    <mergeCell ref="AL93:BP93"/>
    <mergeCell ref="D91:Z91"/>
    <mergeCell ref="AA91:AE91"/>
    <mergeCell ref="AL91:BP91"/>
    <mergeCell ref="AF91:AH91"/>
    <mergeCell ref="AI91:AK91"/>
    <mergeCell ref="AF92:AH92"/>
    <mergeCell ref="AI92:AK92"/>
    <mergeCell ref="AF93:AH93"/>
    <mergeCell ref="AI93:AK93"/>
    <mergeCell ref="D96:Z96"/>
    <mergeCell ref="AA96:AE96"/>
    <mergeCell ref="AL96:BP96"/>
    <mergeCell ref="D94:Z94"/>
    <mergeCell ref="AA94:AE94"/>
    <mergeCell ref="AL94:BP94"/>
    <mergeCell ref="D95:Z95"/>
    <mergeCell ref="AA95:AE95"/>
    <mergeCell ref="AL95:BP95"/>
    <mergeCell ref="AF94:AH94"/>
    <mergeCell ref="AI94:AK94"/>
    <mergeCell ref="AF95:AH95"/>
    <mergeCell ref="AI95:AK95"/>
    <mergeCell ref="AF96:AH96"/>
    <mergeCell ref="AI96:AK9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F11:AH11"/>
    <mergeCell ref="AI11:AK11"/>
    <mergeCell ref="AF17:AH17"/>
    <mergeCell ref="AI17:AK17"/>
    <mergeCell ref="AF21:AH21"/>
    <mergeCell ref="AI21:AK21"/>
    <mergeCell ref="AF12:AH12"/>
    <mergeCell ref="AI12:AK12"/>
    <mergeCell ref="AF13:AH13"/>
    <mergeCell ref="AI13:AK13"/>
    <mergeCell ref="AF14:AH14"/>
    <mergeCell ref="AI14:AK14"/>
    <mergeCell ref="AF15:AH15"/>
    <mergeCell ref="AI15:AK15"/>
    <mergeCell ref="D19:Z19"/>
    <mergeCell ref="AA19:AE19"/>
    <mergeCell ref="AL19:BP19"/>
    <mergeCell ref="D20:Z20"/>
    <mergeCell ref="AA20:AE20"/>
    <mergeCell ref="AL20:BP20"/>
  </mergeCells>
  <phoneticPr fontId="3"/>
  <dataValidations count="1">
    <dataValidation type="list" allowBlank="1" showInputMessage="1" showErrorMessage="1" sqref="BJ6:BP6" xr:uid="{809AAF02-AD8B-4A06-8AEE-988A9D5BAFBD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CBC2A-4D69-420C-A6C8-BA4E44EBBCC1}">
  <sheetPr codeName="Sheet17"/>
  <dimension ref="A1:BR104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8" width="2.125" style="55"/>
    <col min="39" max="44" width="0" style="55" hidden="1" customWidth="1"/>
    <col min="45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144" t="s">
        <v>198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95" t="s">
        <v>603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197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10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117">
        <f t="shared" ref="A9:A75" si="0">ROW()-8</f>
        <v>1</v>
      </c>
      <c r="B9" s="118"/>
      <c r="C9" s="119"/>
      <c r="D9" s="114" t="s">
        <v>390</v>
      </c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6"/>
      <c r="AA9" s="117" t="s">
        <v>348</v>
      </c>
      <c r="AB9" s="118"/>
      <c r="AC9" s="118"/>
      <c r="AD9" s="118"/>
      <c r="AE9" s="119"/>
      <c r="AF9" s="117"/>
      <c r="AG9" s="118"/>
      <c r="AH9" s="119"/>
      <c r="AI9" s="117"/>
      <c r="AJ9" s="118"/>
      <c r="AK9" s="119"/>
      <c r="AL9" s="68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70"/>
    </row>
    <row r="10" spans="1:70" s="1" customFormat="1" ht="30.75" customHeight="1">
      <c r="A10" s="74">
        <f t="shared" si="0"/>
        <v>2</v>
      </c>
      <c r="B10" s="75"/>
      <c r="C10" s="76"/>
      <c r="D10" s="71" t="s">
        <v>391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  <c r="AA10" s="74" t="s">
        <v>347</v>
      </c>
      <c r="AB10" s="75"/>
      <c r="AC10" s="75"/>
      <c r="AD10" s="75"/>
      <c r="AE10" s="76"/>
      <c r="AF10" s="74">
        <v>8</v>
      </c>
      <c r="AG10" s="75"/>
      <c r="AH10" s="76"/>
      <c r="AI10" s="74"/>
      <c r="AJ10" s="75"/>
      <c r="AK10" s="76"/>
      <c r="AL10" s="68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74">
        <f t="shared" si="0"/>
        <v>3</v>
      </c>
      <c r="B11" s="75"/>
      <c r="C11" s="76"/>
      <c r="D11" s="71" t="s">
        <v>392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3"/>
      <c r="AA11" s="74" t="s">
        <v>271</v>
      </c>
      <c r="AB11" s="75"/>
      <c r="AC11" s="75"/>
      <c r="AD11" s="75"/>
      <c r="AE11" s="76"/>
      <c r="AF11" s="74">
        <v>20</v>
      </c>
      <c r="AG11" s="75"/>
      <c r="AH11" s="76"/>
      <c r="AI11" s="74"/>
      <c r="AJ11" s="75"/>
      <c r="AK11" s="76"/>
      <c r="AL11" s="68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70"/>
    </row>
    <row r="12" spans="1:70" s="1" customFormat="1" ht="30.75" customHeight="1">
      <c r="A12" s="74">
        <f t="shared" si="0"/>
        <v>4</v>
      </c>
      <c r="B12" s="75"/>
      <c r="C12" s="76"/>
      <c r="D12" s="71" t="s">
        <v>393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3"/>
      <c r="AA12" s="74" t="s">
        <v>347</v>
      </c>
      <c r="AB12" s="75"/>
      <c r="AC12" s="75"/>
      <c r="AD12" s="75"/>
      <c r="AE12" s="76"/>
      <c r="AF12" s="74">
        <v>4</v>
      </c>
      <c r="AG12" s="75"/>
      <c r="AH12" s="76"/>
      <c r="AI12" s="74"/>
      <c r="AJ12" s="75"/>
      <c r="AK12" s="76"/>
      <c r="AL12" s="68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70"/>
    </row>
    <row r="13" spans="1:70" s="1" customFormat="1" ht="30.75" customHeight="1">
      <c r="A13" s="74">
        <f t="shared" si="0"/>
        <v>5</v>
      </c>
      <c r="B13" s="75"/>
      <c r="C13" s="76"/>
      <c r="D13" s="71" t="s">
        <v>394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3"/>
      <c r="AA13" s="74" t="s">
        <v>271</v>
      </c>
      <c r="AB13" s="75"/>
      <c r="AC13" s="75"/>
      <c r="AD13" s="75"/>
      <c r="AE13" s="76"/>
      <c r="AF13" s="74">
        <v>50</v>
      </c>
      <c r="AG13" s="75"/>
      <c r="AH13" s="76"/>
      <c r="AI13" s="74"/>
      <c r="AJ13" s="75"/>
      <c r="AK13" s="76"/>
      <c r="AL13" s="68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70"/>
    </row>
    <row r="14" spans="1:70" s="1" customFormat="1" ht="30.75" customHeight="1">
      <c r="A14" s="74">
        <f t="shared" si="0"/>
        <v>6</v>
      </c>
      <c r="B14" s="75"/>
      <c r="C14" s="76"/>
      <c r="D14" s="71" t="s">
        <v>395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3"/>
      <c r="AA14" s="74" t="s">
        <v>347</v>
      </c>
      <c r="AB14" s="75"/>
      <c r="AC14" s="75"/>
      <c r="AD14" s="75"/>
      <c r="AE14" s="76"/>
      <c r="AF14" s="86">
        <v>8</v>
      </c>
      <c r="AG14" s="86"/>
      <c r="AH14" s="86"/>
      <c r="AI14" s="86"/>
      <c r="AJ14" s="86"/>
      <c r="AK14" s="86"/>
      <c r="AL14" s="68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70"/>
    </row>
    <row r="15" spans="1:70" s="1" customFormat="1" ht="30.75" customHeight="1">
      <c r="A15" s="74">
        <f t="shared" si="0"/>
        <v>7</v>
      </c>
      <c r="B15" s="75"/>
      <c r="C15" s="76"/>
      <c r="D15" s="71" t="s">
        <v>396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3"/>
      <c r="AA15" s="74" t="s">
        <v>347</v>
      </c>
      <c r="AB15" s="75"/>
      <c r="AC15" s="75"/>
      <c r="AD15" s="75"/>
      <c r="AE15" s="76"/>
      <c r="AF15" s="86">
        <v>4</v>
      </c>
      <c r="AG15" s="86"/>
      <c r="AH15" s="86"/>
      <c r="AI15" s="86"/>
      <c r="AJ15" s="86"/>
      <c r="AK15" s="86"/>
      <c r="AL15" s="68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70"/>
    </row>
    <row r="16" spans="1:70" s="1" customFormat="1" ht="30.75" customHeight="1">
      <c r="A16" s="74">
        <f t="shared" si="0"/>
        <v>8</v>
      </c>
      <c r="B16" s="75"/>
      <c r="C16" s="76"/>
      <c r="D16" s="71" t="s">
        <v>397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3"/>
      <c r="AA16" s="74" t="s">
        <v>271</v>
      </c>
      <c r="AB16" s="75"/>
      <c r="AC16" s="75"/>
      <c r="AD16" s="75"/>
      <c r="AE16" s="76"/>
      <c r="AF16" s="74">
        <v>50</v>
      </c>
      <c r="AG16" s="75"/>
      <c r="AH16" s="76"/>
      <c r="AI16" s="86"/>
      <c r="AJ16" s="86"/>
      <c r="AK16" s="86"/>
      <c r="AL16" s="68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70"/>
    </row>
    <row r="17" spans="1:68" s="1" customFormat="1" ht="30.75" customHeight="1">
      <c r="A17" s="74">
        <f t="shared" si="0"/>
        <v>9</v>
      </c>
      <c r="B17" s="75"/>
      <c r="C17" s="76"/>
      <c r="D17" s="71" t="s">
        <v>357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3"/>
      <c r="AA17" s="74" t="s">
        <v>271</v>
      </c>
      <c r="AB17" s="75"/>
      <c r="AC17" s="75"/>
      <c r="AD17" s="75"/>
      <c r="AE17" s="76"/>
      <c r="AF17" s="74">
        <v>2</v>
      </c>
      <c r="AG17" s="75"/>
      <c r="AH17" s="76"/>
      <c r="AI17" s="74"/>
      <c r="AJ17" s="75"/>
      <c r="AK17" s="76"/>
      <c r="AL17" s="68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70"/>
    </row>
    <row r="18" spans="1:68" s="1" customFormat="1" ht="30.75" customHeight="1">
      <c r="A18" s="74">
        <f t="shared" si="0"/>
        <v>10</v>
      </c>
      <c r="B18" s="75"/>
      <c r="C18" s="76"/>
      <c r="D18" s="71" t="s">
        <v>269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3"/>
      <c r="AA18" s="74" t="s">
        <v>271</v>
      </c>
      <c r="AB18" s="75"/>
      <c r="AC18" s="75"/>
      <c r="AD18" s="75"/>
      <c r="AE18" s="76"/>
      <c r="AF18" s="74">
        <v>10</v>
      </c>
      <c r="AG18" s="75"/>
      <c r="AH18" s="76"/>
      <c r="AI18" s="74"/>
      <c r="AJ18" s="75"/>
      <c r="AK18" s="76"/>
      <c r="AL18" s="68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70"/>
    </row>
    <row r="19" spans="1:68" s="1" customFormat="1" ht="30.75" customHeight="1">
      <c r="A19" s="74">
        <f t="shared" si="0"/>
        <v>11</v>
      </c>
      <c r="B19" s="75"/>
      <c r="C19" s="76"/>
      <c r="D19" s="71" t="s">
        <v>289</v>
      </c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3"/>
      <c r="AA19" s="74" t="s">
        <v>347</v>
      </c>
      <c r="AB19" s="75"/>
      <c r="AC19" s="75"/>
      <c r="AD19" s="75"/>
      <c r="AE19" s="76"/>
      <c r="AF19" s="74">
        <v>2</v>
      </c>
      <c r="AG19" s="75"/>
      <c r="AH19" s="76"/>
      <c r="AI19" s="74"/>
      <c r="AJ19" s="75"/>
      <c r="AK19" s="76"/>
      <c r="AL19" s="68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70"/>
    </row>
    <row r="20" spans="1:68" s="1" customFormat="1" ht="30.75" customHeight="1">
      <c r="A20" s="74">
        <f t="shared" si="0"/>
        <v>12</v>
      </c>
      <c r="B20" s="75"/>
      <c r="C20" s="76"/>
      <c r="D20" s="71" t="s">
        <v>398</v>
      </c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3"/>
      <c r="AA20" s="74" t="s">
        <v>271</v>
      </c>
      <c r="AB20" s="75"/>
      <c r="AC20" s="75"/>
      <c r="AD20" s="75"/>
      <c r="AE20" s="76"/>
      <c r="AF20" s="74">
        <v>20</v>
      </c>
      <c r="AG20" s="75"/>
      <c r="AH20" s="76"/>
      <c r="AI20" s="74"/>
      <c r="AJ20" s="75"/>
      <c r="AK20" s="76"/>
      <c r="AL20" s="68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70"/>
    </row>
    <row r="21" spans="1:68" s="1" customFormat="1" ht="30.75" customHeight="1">
      <c r="A21" s="74">
        <f t="shared" si="0"/>
        <v>13</v>
      </c>
      <c r="B21" s="75"/>
      <c r="C21" s="76"/>
      <c r="D21" s="71" t="s">
        <v>291</v>
      </c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3"/>
      <c r="AA21" s="74" t="s">
        <v>347</v>
      </c>
      <c r="AB21" s="75"/>
      <c r="AC21" s="75"/>
      <c r="AD21" s="75"/>
      <c r="AE21" s="76"/>
      <c r="AF21" s="74">
        <v>2</v>
      </c>
      <c r="AG21" s="75"/>
      <c r="AH21" s="76"/>
      <c r="AI21" s="74"/>
      <c r="AJ21" s="75"/>
      <c r="AK21" s="76"/>
      <c r="AL21" s="68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70"/>
    </row>
    <row r="22" spans="1:68" s="1" customFormat="1" ht="30.75" customHeight="1">
      <c r="A22" s="74">
        <f t="shared" si="0"/>
        <v>14</v>
      </c>
      <c r="B22" s="75"/>
      <c r="C22" s="76"/>
      <c r="D22" s="71" t="s">
        <v>399</v>
      </c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3"/>
      <c r="AA22" s="74" t="s">
        <v>271</v>
      </c>
      <c r="AB22" s="75"/>
      <c r="AC22" s="75"/>
      <c r="AD22" s="75"/>
      <c r="AE22" s="76"/>
      <c r="AF22" s="74">
        <v>20</v>
      </c>
      <c r="AG22" s="75"/>
      <c r="AH22" s="76"/>
      <c r="AI22" s="74"/>
      <c r="AJ22" s="75"/>
      <c r="AK22" s="76"/>
      <c r="AL22" s="68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70"/>
    </row>
    <row r="23" spans="1:68" s="1" customFormat="1" ht="30.75" customHeight="1">
      <c r="A23" s="74">
        <f t="shared" si="0"/>
        <v>15</v>
      </c>
      <c r="B23" s="75"/>
      <c r="C23" s="76"/>
      <c r="D23" s="71" t="s">
        <v>400</v>
      </c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3"/>
      <c r="AA23" s="74" t="s">
        <v>347</v>
      </c>
      <c r="AB23" s="75"/>
      <c r="AC23" s="75"/>
      <c r="AD23" s="75"/>
      <c r="AE23" s="76"/>
      <c r="AF23" s="74">
        <v>1</v>
      </c>
      <c r="AG23" s="75"/>
      <c r="AH23" s="76"/>
      <c r="AI23" s="74"/>
      <c r="AJ23" s="75"/>
      <c r="AK23" s="76"/>
      <c r="AL23" s="68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70"/>
    </row>
    <row r="24" spans="1:68" s="1" customFormat="1" ht="30.75" customHeight="1">
      <c r="A24" s="74">
        <f t="shared" si="0"/>
        <v>16</v>
      </c>
      <c r="B24" s="75"/>
      <c r="C24" s="76"/>
      <c r="D24" s="71" t="s">
        <v>401</v>
      </c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3"/>
      <c r="AA24" s="74" t="s">
        <v>271</v>
      </c>
      <c r="AB24" s="75"/>
      <c r="AC24" s="75"/>
      <c r="AD24" s="75"/>
      <c r="AE24" s="76"/>
      <c r="AF24" s="86">
        <v>20</v>
      </c>
      <c r="AG24" s="86"/>
      <c r="AH24" s="86"/>
      <c r="AI24" s="86"/>
      <c r="AJ24" s="86"/>
      <c r="AK24" s="86"/>
      <c r="AL24" s="68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70"/>
    </row>
    <row r="25" spans="1:68" s="1" customFormat="1" ht="30.75" customHeight="1">
      <c r="A25" s="74">
        <f t="shared" si="0"/>
        <v>17</v>
      </c>
      <c r="B25" s="75"/>
      <c r="C25" s="76"/>
      <c r="D25" s="71" t="s">
        <v>358</v>
      </c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3"/>
      <c r="AA25" s="74" t="s">
        <v>347</v>
      </c>
      <c r="AB25" s="75"/>
      <c r="AC25" s="75"/>
      <c r="AD25" s="75"/>
      <c r="AE25" s="76"/>
      <c r="AF25" s="86">
        <v>4</v>
      </c>
      <c r="AG25" s="86"/>
      <c r="AH25" s="86"/>
      <c r="AI25" s="86"/>
      <c r="AJ25" s="86"/>
      <c r="AK25" s="86"/>
      <c r="AL25" s="68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70"/>
    </row>
    <row r="26" spans="1:68" s="1" customFormat="1" ht="30.75" customHeight="1">
      <c r="A26" s="74">
        <f t="shared" si="0"/>
        <v>18</v>
      </c>
      <c r="B26" s="75"/>
      <c r="C26" s="76"/>
      <c r="D26" s="71" t="s">
        <v>359</v>
      </c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3"/>
      <c r="AA26" s="74" t="s">
        <v>271</v>
      </c>
      <c r="AB26" s="75"/>
      <c r="AC26" s="75"/>
      <c r="AD26" s="75"/>
      <c r="AE26" s="76"/>
      <c r="AF26" s="86">
        <v>15</v>
      </c>
      <c r="AG26" s="86"/>
      <c r="AH26" s="86"/>
      <c r="AI26" s="86"/>
      <c r="AJ26" s="86"/>
      <c r="AK26" s="86"/>
      <c r="AL26" s="68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70"/>
    </row>
    <row r="27" spans="1:68" s="1" customFormat="1" ht="30.75" customHeight="1">
      <c r="A27" s="74">
        <f t="shared" si="0"/>
        <v>19</v>
      </c>
      <c r="B27" s="75"/>
      <c r="C27" s="76"/>
      <c r="D27" s="71" t="s">
        <v>1032</v>
      </c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3"/>
      <c r="AA27" s="74" t="s">
        <v>347</v>
      </c>
      <c r="AB27" s="75"/>
      <c r="AC27" s="75"/>
      <c r="AD27" s="75"/>
      <c r="AE27" s="76"/>
      <c r="AF27" s="86">
        <v>4</v>
      </c>
      <c r="AG27" s="86"/>
      <c r="AH27" s="86"/>
      <c r="AI27" s="86"/>
      <c r="AJ27" s="86"/>
      <c r="AK27" s="86"/>
      <c r="AL27" s="68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70"/>
    </row>
    <row r="28" spans="1:68" s="1" customFormat="1" ht="30.75" customHeight="1">
      <c r="A28" s="74">
        <f t="shared" si="0"/>
        <v>20</v>
      </c>
      <c r="B28" s="75"/>
      <c r="C28" s="76"/>
      <c r="D28" s="71" t="s">
        <v>1033</v>
      </c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3"/>
      <c r="AA28" s="74" t="s">
        <v>271</v>
      </c>
      <c r="AB28" s="75"/>
      <c r="AC28" s="75"/>
      <c r="AD28" s="75"/>
      <c r="AE28" s="76"/>
      <c r="AF28" s="86">
        <v>18</v>
      </c>
      <c r="AG28" s="86"/>
      <c r="AH28" s="86"/>
      <c r="AI28" s="86"/>
      <c r="AJ28" s="86"/>
      <c r="AK28" s="86"/>
      <c r="AL28" s="68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70"/>
    </row>
    <row r="29" spans="1:68" s="1" customFormat="1" ht="30.75" customHeight="1">
      <c r="A29" s="74">
        <f t="shared" si="0"/>
        <v>21</v>
      </c>
      <c r="B29" s="75"/>
      <c r="C29" s="76"/>
      <c r="D29" s="71" t="s">
        <v>1034</v>
      </c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3"/>
      <c r="AA29" s="74" t="s">
        <v>271</v>
      </c>
      <c r="AB29" s="75"/>
      <c r="AC29" s="75"/>
      <c r="AD29" s="75"/>
      <c r="AE29" s="76"/>
      <c r="AF29" s="86">
        <v>60</v>
      </c>
      <c r="AG29" s="86"/>
      <c r="AH29" s="86"/>
      <c r="AI29" s="86"/>
      <c r="AJ29" s="86"/>
      <c r="AK29" s="86"/>
      <c r="AL29" s="68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70"/>
    </row>
    <row r="30" spans="1:68" s="1" customFormat="1" ht="30.75" customHeight="1">
      <c r="A30" s="74">
        <f t="shared" si="0"/>
        <v>22</v>
      </c>
      <c r="B30" s="75"/>
      <c r="C30" s="76"/>
      <c r="D30" s="71" t="s">
        <v>1303</v>
      </c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3"/>
      <c r="AA30" s="74" t="s">
        <v>19</v>
      </c>
      <c r="AB30" s="75"/>
      <c r="AC30" s="75"/>
      <c r="AD30" s="75"/>
      <c r="AE30" s="76"/>
      <c r="AF30" s="74">
        <v>64</v>
      </c>
      <c r="AG30" s="75"/>
      <c r="AH30" s="76"/>
      <c r="AI30" s="74"/>
      <c r="AJ30" s="75"/>
      <c r="AK30" s="76"/>
      <c r="AL30" s="68" t="s">
        <v>1310</v>
      </c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70"/>
    </row>
    <row r="31" spans="1:68" s="1" customFormat="1" ht="30.75" customHeight="1">
      <c r="A31" s="74">
        <f t="shared" si="0"/>
        <v>23</v>
      </c>
      <c r="B31" s="75"/>
      <c r="C31" s="76"/>
      <c r="D31" s="71" t="s">
        <v>1304</v>
      </c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3"/>
      <c r="AA31" s="74" t="s">
        <v>19</v>
      </c>
      <c r="AB31" s="75"/>
      <c r="AC31" s="75"/>
      <c r="AD31" s="75"/>
      <c r="AE31" s="76"/>
      <c r="AF31" s="74">
        <v>1000</v>
      </c>
      <c r="AG31" s="75"/>
      <c r="AH31" s="76"/>
      <c r="AI31" s="74"/>
      <c r="AJ31" s="75"/>
      <c r="AK31" s="76"/>
      <c r="AL31" s="68" t="s">
        <v>1309</v>
      </c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70"/>
    </row>
    <row r="32" spans="1:68" s="1" customFormat="1" ht="30.75" customHeight="1">
      <c r="A32" s="74">
        <f t="shared" si="0"/>
        <v>24</v>
      </c>
      <c r="B32" s="75"/>
      <c r="C32" s="76"/>
      <c r="D32" s="71" t="s">
        <v>1305</v>
      </c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3"/>
      <c r="AA32" s="74" t="s">
        <v>19</v>
      </c>
      <c r="AB32" s="75"/>
      <c r="AC32" s="75"/>
      <c r="AD32" s="75"/>
      <c r="AE32" s="76"/>
      <c r="AF32" s="74">
        <v>64</v>
      </c>
      <c r="AG32" s="75"/>
      <c r="AH32" s="76"/>
      <c r="AI32" s="74"/>
      <c r="AJ32" s="75"/>
      <c r="AK32" s="76"/>
      <c r="AL32" s="68" t="s">
        <v>1310</v>
      </c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70"/>
    </row>
    <row r="33" spans="1:68" s="1" customFormat="1" ht="30.75" customHeight="1">
      <c r="A33" s="74">
        <f t="shared" si="0"/>
        <v>25</v>
      </c>
      <c r="B33" s="75"/>
      <c r="C33" s="76"/>
      <c r="D33" s="71" t="s">
        <v>1308</v>
      </c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3"/>
      <c r="AA33" s="74" t="s">
        <v>19</v>
      </c>
      <c r="AB33" s="75"/>
      <c r="AC33" s="75"/>
      <c r="AD33" s="75"/>
      <c r="AE33" s="76"/>
      <c r="AF33" s="74">
        <v>1000</v>
      </c>
      <c r="AG33" s="75"/>
      <c r="AH33" s="76"/>
      <c r="AI33" s="74"/>
      <c r="AJ33" s="75"/>
      <c r="AK33" s="76"/>
      <c r="AL33" s="68" t="s">
        <v>1309</v>
      </c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70"/>
    </row>
    <row r="34" spans="1:68" s="1" customFormat="1" ht="30.75" customHeight="1">
      <c r="A34" s="74">
        <f t="shared" si="0"/>
        <v>26</v>
      </c>
      <c r="B34" s="75"/>
      <c r="C34" s="76"/>
      <c r="D34" s="71" t="s">
        <v>1307</v>
      </c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3"/>
      <c r="AA34" s="74" t="s">
        <v>19</v>
      </c>
      <c r="AB34" s="75"/>
      <c r="AC34" s="75"/>
      <c r="AD34" s="75"/>
      <c r="AE34" s="76"/>
      <c r="AF34" s="74">
        <v>64</v>
      </c>
      <c r="AG34" s="75"/>
      <c r="AH34" s="76"/>
      <c r="AI34" s="74"/>
      <c r="AJ34" s="75"/>
      <c r="AK34" s="76"/>
      <c r="AL34" s="68" t="s">
        <v>1310</v>
      </c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70"/>
    </row>
    <row r="35" spans="1:68" s="1" customFormat="1" ht="30.75" customHeight="1">
      <c r="A35" s="74">
        <f t="shared" si="0"/>
        <v>27</v>
      </c>
      <c r="B35" s="75"/>
      <c r="C35" s="76"/>
      <c r="D35" s="71" t="s">
        <v>1306</v>
      </c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3"/>
      <c r="AA35" s="74" t="s">
        <v>19</v>
      </c>
      <c r="AB35" s="75"/>
      <c r="AC35" s="75"/>
      <c r="AD35" s="75"/>
      <c r="AE35" s="76"/>
      <c r="AF35" s="74">
        <v>1000</v>
      </c>
      <c r="AG35" s="75"/>
      <c r="AH35" s="76"/>
      <c r="AI35" s="74"/>
      <c r="AJ35" s="75"/>
      <c r="AK35" s="76"/>
      <c r="AL35" s="68" t="s">
        <v>1309</v>
      </c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70"/>
    </row>
    <row r="36" spans="1:68" s="1" customFormat="1" ht="30.75" customHeight="1">
      <c r="A36" s="74">
        <f t="shared" si="0"/>
        <v>28</v>
      </c>
      <c r="B36" s="75"/>
      <c r="C36" s="76"/>
      <c r="D36" s="71" t="s">
        <v>270</v>
      </c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3"/>
      <c r="AA36" s="74" t="s">
        <v>271</v>
      </c>
      <c r="AB36" s="75"/>
      <c r="AC36" s="75"/>
      <c r="AD36" s="75"/>
      <c r="AE36" s="76"/>
      <c r="AF36" s="74">
        <v>500</v>
      </c>
      <c r="AG36" s="75"/>
      <c r="AH36" s="76"/>
      <c r="AI36" s="74"/>
      <c r="AJ36" s="75"/>
      <c r="AK36" s="76"/>
      <c r="AL36" s="68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70"/>
    </row>
    <row r="37" spans="1:68" s="1" customFormat="1" ht="30.75" customHeight="1">
      <c r="A37" s="74">
        <f t="shared" si="0"/>
        <v>29</v>
      </c>
      <c r="B37" s="75"/>
      <c r="C37" s="76"/>
      <c r="D37" s="71" t="s">
        <v>402</v>
      </c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3"/>
      <c r="AA37" s="74" t="s">
        <v>275</v>
      </c>
      <c r="AB37" s="75"/>
      <c r="AC37" s="75"/>
      <c r="AD37" s="75"/>
      <c r="AE37" s="76"/>
      <c r="AF37" s="86"/>
      <c r="AG37" s="86"/>
      <c r="AH37" s="86"/>
      <c r="AI37" s="86"/>
      <c r="AJ37" s="86"/>
      <c r="AK37" s="86"/>
      <c r="AL37" s="68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70"/>
    </row>
    <row r="38" spans="1:68" s="1" customFormat="1" ht="30.75" customHeight="1">
      <c r="A38" s="74">
        <f t="shared" si="0"/>
        <v>30</v>
      </c>
      <c r="B38" s="75"/>
      <c r="C38" s="76"/>
      <c r="D38" s="71" t="s">
        <v>294</v>
      </c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3"/>
      <c r="AA38" s="74" t="s">
        <v>347</v>
      </c>
      <c r="AB38" s="75"/>
      <c r="AC38" s="75"/>
      <c r="AD38" s="75"/>
      <c r="AE38" s="76"/>
      <c r="AF38" s="86">
        <v>14</v>
      </c>
      <c r="AG38" s="86"/>
      <c r="AH38" s="86"/>
      <c r="AI38" s="86"/>
      <c r="AJ38" s="86"/>
      <c r="AK38" s="86"/>
      <c r="AL38" s="68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70"/>
    </row>
    <row r="39" spans="1:68" s="1" customFormat="1" ht="30.75" customHeight="1">
      <c r="A39" s="74">
        <f t="shared" si="0"/>
        <v>31</v>
      </c>
      <c r="B39" s="75"/>
      <c r="C39" s="76"/>
      <c r="D39" s="71" t="s">
        <v>295</v>
      </c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3"/>
      <c r="AA39" s="74" t="s">
        <v>347</v>
      </c>
      <c r="AB39" s="75"/>
      <c r="AC39" s="75"/>
      <c r="AD39" s="75"/>
      <c r="AE39" s="76"/>
      <c r="AF39" s="86">
        <v>14</v>
      </c>
      <c r="AG39" s="86"/>
      <c r="AH39" s="86"/>
      <c r="AI39" s="86"/>
      <c r="AJ39" s="86"/>
      <c r="AK39" s="86"/>
      <c r="AL39" s="68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70"/>
    </row>
    <row r="40" spans="1:68" s="1" customFormat="1" ht="30.75" customHeight="1">
      <c r="A40" s="74">
        <f t="shared" si="0"/>
        <v>32</v>
      </c>
      <c r="B40" s="75"/>
      <c r="C40" s="76"/>
      <c r="D40" s="71" t="s">
        <v>361</v>
      </c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3"/>
      <c r="AA40" s="74" t="s">
        <v>347</v>
      </c>
      <c r="AB40" s="75"/>
      <c r="AC40" s="75"/>
      <c r="AD40" s="75"/>
      <c r="AE40" s="76"/>
      <c r="AF40" s="86">
        <v>14</v>
      </c>
      <c r="AG40" s="86"/>
      <c r="AH40" s="86"/>
      <c r="AI40" s="86"/>
      <c r="AJ40" s="86"/>
      <c r="AK40" s="86"/>
      <c r="AL40" s="68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70"/>
    </row>
    <row r="41" spans="1:68" s="1" customFormat="1" ht="30.75" customHeight="1">
      <c r="A41" s="74">
        <f t="shared" si="0"/>
        <v>33</v>
      </c>
      <c r="B41" s="75"/>
      <c r="C41" s="76"/>
      <c r="D41" s="71" t="s">
        <v>297</v>
      </c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3"/>
      <c r="AA41" s="74" t="s">
        <v>347</v>
      </c>
      <c r="AB41" s="75"/>
      <c r="AC41" s="75"/>
      <c r="AD41" s="75"/>
      <c r="AE41" s="76"/>
      <c r="AF41" s="86">
        <v>14</v>
      </c>
      <c r="AG41" s="86"/>
      <c r="AH41" s="86"/>
      <c r="AI41" s="86"/>
      <c r="AJ41" s="86"/>
      <c r="AK41" s="86"/>
      <c r="AL41" s="68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70"/>
    </row>
    <row r="42" spans="1:68" s="1" customFormat="1" ht="30.75" customHeight="1">
      <c r="A42" s="74">
        <f t="shared" si="0"/>
        <v>34</v>
      </c>
      <c r="B42" s="75"/>
      <c r="C42" s="76"/>
      <c r="D42" s="71" t="s">
        <v>298</v>
      </c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3"/>
      <c r="AA42" s="74" t="s">
        <v>347</v>
      </c>
      <c r="AB42" s="75"/>
      <c r="AC42" s="75"/>
      <c r="AD42" s="75"/>
      <c r="AE42" s="76"/>
      <c r="AF42" s="86">
        <v>14</v>
      </c>
      <c r="AG42" s="86"/>
      <c r="AH42" s="86"/>
      <c r="AI42" s="86"/>
      <c r="AJ42" s="86"/>
      <c r="AK42" s="86"/>
      <c r="AL42" s="68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70"/>
    </row>
    <row r="43" spans="1:68" s="1" customFormat="1" ht="30.75" customHeight="1">
      <c r="A43" s="74">
        <f t="shared" si="0"/>
        <v>35</v>
      </c>
      <c r="B43" s="75"/>
      <c r="C43" s="76"/>
      <c r="D43" s="71" t="s">
        <v>299</v>
      </c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3"/>
      <c r="AA43" s="74" t="s">
        <v>347</v>
      </c>
      <c r="AB43" s="75"/>
      <c r="AC43" s="75"/>
      <c r="AD43" s="75"/>
      <c r="AE43" s="76"/>
      <c r="AF43" s="86">
        <v>14</v>
      </c>
      <c r="AG43" s="86"/>
      <c r="AH43" s="86"/>
      <c r="AI43" s="74"/>
      <c r="AJ43" s="75"/>
      <c r="AK43" s="76"/>
      <c r="AL43" s="68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  <c r="BM43" s="69"/>
      <c r="BN43" s="69"/>
      <c r="BO43" s="69"/>
      <c r="BP43" s="70"/>
    </row>
    <row r="44" spans="1:68" s="1" customFormat="1" ht="30.75" customHeight="1">
      <c r="A44" s="74">
        <f t="shared" si="0"/>
        <v>36</v>
      </c>
      <c r="B44" s="75"/>
      <c r="C44" s="76"/>
      <c r="D44" s="71" t="s">
        <v>300</v>
      </c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3"/>
      <c r="AA44" s="74" t="s">
        <v>347</v>
      </c>
      <c r="AB44" s="75"/>
      <c r="AC44" s="75"/>
      <c r="AD44" s="75"/>
      <c r="AE44" s="76"/>
      <c r="AF44" s="86">
        <v>14</v>
      </c>
      <c r="AG44" s="86"/>
      <c r="AH44" s="86"/>
      <c r="AI44" s="74"/>
      <c r="AJ44" s="75"/>
      <c r="AK44" s="76"/>
      <c r="AL44" s="68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  <c r="BM44" s="69"/>
      <c r="BN44" s="69"/>
      <c r="BO44" s="69"/>
      <c r="BP44" s="70"/>
    </row>
    <row r="45" spans="1:68" s="1" customFormat="1" ht="30.75" customHeight="1">
      <c r="A45" s="74">
        <f t="shared" si="0"/>
        <v>37</v>
      </c>
      <c r="B45" s="75"/>
      <c r="C45" s="76"/>
      <c r="D45" s="71" t="s">
        <v>301</v>
      </c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3"/>
      <c r="AA45" s="74" t="s">
        <v>347</v>
      </c>
      <c r="AB45" s="75"/>
      <c r="AC45" s="75"/>
      <c r="AD45" s="75"/>
      <c r="AE45" s="76"/>
      <c r="AF45" s="86">
        <v>14</v>
      </c>
      <c r="AG45" s="86"/>
      <c r="AH45" s="86"/>
      <c r="AI45" s="74"/>
      <c r="AJ45" s="75"/>
      <c r="AK45" s="76"/>
      <c r="AL45" s="68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  <c r="BP45" s="70"/>
    </row>
    <row r="46" spans="1:68" s="1" customFormat="1" ht="30.75" customHeight="1">
      <c r="A46" s="74">
        <f t="shared" si="0"/>
        <v>38</v>
      </c>
      <c r="B46" s="75"/>
      <c r="C46" s="76"/>
      <c r="D46" s="71" t="s">
        <v>362</v>
      </c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3"/>
      <c r="AA46" s="74" t="s">
        <v>347</v>
      </c>
      <c r="AB46" s="75"/>
      <c r="AC46" s="75"/>
      <c r="AD46" s="75"/>
      <c r="AE46" s="76"/>
      <c r="AF46" s="86">
        <v>14</v>
      </c>
      <c r="AG46" s="86"/>
      <c r="AH46" s="86"/>
      <c r="AI46" s="74"/>
      <c r="AJ46" s="75"/>
      <c r="AK46" s="76"/>
      <c r="AL46" s="68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  <c r="BM46" s="69"/>
      <c r="BN46" s="69"/>
      <c r="BO46" s="69"/>
      <c r="BP46" s="70"/>
    </row>
    <row r="47" spans="1:68" s="1" customFormat="1" ht="30.75" customHeight="1">
      <c r="A47" s="74">
        <f t="shared" si="0"/>
        <v>39</v>
      </c>
      <c r="B47" s="75"/>
      <c r="C47" s="76"/>
      <c r="D47" s="71" t="s">
        <v>303</v>
      </c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3"/>
      <c r="AA47" s="74" t="s">
        <v>347</v>
      </c>
      <c r="AB47" s="75"/>
      <c r="AC47" s="75"/>
      <c r="AD47" s="75"/>
      <c r="AE47" s="76"/>
      <c r="AF47" s="86">
        <v>14</v>
      </c>
      <c r="AG47" s="86"/>
      <c r="AH47" s="86"/>
      <c r="AI47" s="86"/>
      <c r="AJ47" s="86"/>
      <c r="AK47" s="86"/>
      <c r="AL47" s="68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  <c r="BP47" s="70"/>
    </row>
    <row r="48" spans="1:68" s="1" customFormat="1" ht="30.75" customHeight="1">
      <c r="A48" s="74">
        <f t="shared" si="0"/>
        <v>40</v>
      </c>
      <c r="B48" s="75"/>
      <c r="C48" s="76"/>
      <c r="D48" s="71" t="s">
        <v>403</v>
      </c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3"/>
      <c r="AA48" s="74" t="s">
        <v>347</v>
      </c>
      <c r="AB48" s="75"/>
      <c r="AC48" s="75"/>
      <c r="AD48" s="75"/>
      <c r="AE48" s="76"/>
      <c r="AF48" s="74">
        <v>14</v>
      </c>
      <c r="AG48" s="75"/>
      <c r="AH48" s="76"/>
      <c r="AI48" s="86"/>
      <c r="AJ48" s="86"/>
      <c r="AK48" s="86"/>
      <c r="AL48" s="68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69"/>
      <c r="BN48" s="69"/>
      <c r="BO48" s="69"/>
      <c r="BP48" s="70"/>
    </row>
    <row r="49" spans="1:68" s="1" customFormat="1" ht="30.75" customHeight="1">
      <c r="A49" s="74">
        <f t="shared" si="0"/>
        <v>41</v>
      </c>
      <c r="B49" s="75"/>
      <c r="C49" s="76"/>
      <c r="D49" s="71" t="s">
        <v>404</v>
      </c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3"/>
      <c r="AA49" s="74" t="s">
        <v>347</v>
      </c>
      <c r="AB49" s="75"/>
      <c r="AC49" s="75"/>
      <c r="AD49" s="75"/>
      <c r="AE49" s="76"/>
      <c r="AF49" s="74">
        <v>14</v>
      </c>
      <c r="AG49" s="75"/>
      <c r="AH49" s="76"/>
      <c r="AI49" s="86"/>
      <c r="AJ49" s="86"/>
      <c r="AK49" s="86"/>
      <c r="AL49" s="68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69"/>
      <c r="BN49" s="69"/>
      <c r="BO49" s="69"/>
      <c r="BP49" s="70"/>
    </row>
    <row r="50" spans="1:68" s="1" customFormat="1" ht="30.75" customHeight="1">
      <c r="A50" s="74">
        <f t="shared" si="0"/>
        <v>42</v>
      </c>
      <c r="B50" s="75"/>
      <c r="C50" s="76"/>
      <c r="D50" s="71" t="s">
        <v>405</v>
      </c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3"/>
      <c r="AA50" s="74" t="s">
        <v>347</v>
      </c>
      <c r="AB50" s="75"/>
      <c r="AC50" s="75"/>
      <c r="AD50" s="75"/>
      <c r="AE50" s="76"/>
      <c r="AF50" s="74">
        <v>14</v>
      </c>
      <c r="AG50" s="75"/>
      <c r="AH50" s="76"/>
      <c r="AI50" s="86"/>
      <c r="AJ50" s="86"/>
      <c r="AK50" s="86"/>
      <c r="AL50" s="68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69"/>
      <c r="BN50" s="69"/>
      <c r="BO50" s="69"/>
      <c r="BP50" s="70"/>
    </row>
    <row r="51" spans="1:68" s="1" customFormat="1" ht="30.75" customHeight="1">
      <c r="A51" s="74">
        <f t="shared" si="0"/>
        <v>43</v>
      </c>
      <c r="B51" s="75"/>
      <c r="C51" s="76"/>
      <c r="D51" s="71" t="s">
        <v>1359</v>
      </c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3"/>
      <c r="AA51" s="74" t="s">
        <v>347</v>
      </c>
      <c r="AB51" s="75"/>
      <c r="AC51" s="75"/>
      <c r="AD51" s="75"/>
      <c r="AE51" s="76"/>
      <c r="AF51" s="74">
        <v>14</v>
      </c>
      <c r="AG51" s="75"/>
      <c r="AH51" s="76"/>
      <c r="AI51" s="74"/>
      <c r="AJ51" s="75"/>
      <c r="AK51" s="76"/>
      <c r="AL51" s="68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69"/>
      <c r="BN51" s="69"/>
      <c r="BO51" s="69"/>
      <c r="BP51" s="70"/>
    </row>
    <row r="52" spans="1:68" s="1" customFormat="1" ht="30.75" customHeight="1">
      <c r="A52" s="74">
        <f t="shared" si="0"/>
        <v>44</v>
      </c>
      <c r="B52" s="75"/>
      <c r="C52" s="76"/>
      <c r="D52" s="71" t="s">
        <v>1360</v>
      </c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3"/>
      <c r="AA52" s="74" t="s">
        <v>347</v>
      </c>
      <c r="AB52" s="75"/>
      <c r="AC52" s="75"/>
      <c r="AD52" s="75"/>
      <c r="AE52" s="76"/>
      <c r="AF52" s="74">
        <v>14</v>
      </c>
      <c r="AG52" s="75"/>
      <c r="AH52" s="76"/>
      <c r="AI52" s="74"/>
      <c r="AJ52" s="75"/>
      <c r="AK52" s="76"/>
      <c r="AL52" s="68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69"/>
      <c r="BN52" s="69"/>
      <c r="BO52" s="69"/>
      <c r="BP52" s="70"/>
    </row>
    <row r="53" spans="1:68" s="1" customFormat="1" ht="30.75" customHeight="1">
      <c r="A53" s="74">
        <f t="shared" si="0"/>
        <v>45</v>
      </c>
      <c r="B53" s="75"/>
      <c r="C53" s="76"/>
      <c r="D53" s="71" t="s">
        <v>1321</v>
      </c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3"/>
      <c r="AA53" s="74" t="s">
        <v>347</v>
      </c>
      <c r="AB53" s="75"/>
      <c r="AC53" s="75"/>
      <c r="AD53" s="75"/>
      <c r="AE53" s="76"/>
      <c r="AF53" s="74">
        <v>14</v>
      </c>
      <c r="AG53" s="75"/>
      <c r="AH53" s="76"/>
      <c r="AI53" s="74"/>
      <c r="AJ53" s="75"/>
      <c r="AK53" s="76"/>
      <c r="AL53" s="68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  <c r="BP53" s="70"/>
    </row>
    <row r="54" spans="1:68" s="1" customFormat="1" ht="30.75" customHeight="1">
      <c r="A54" s="74">
        <f t="shared" si="0"/>
        <v>46</v>
      </c>
      <c r="B54" s="75"/>
      <c r="C54" s="76"/>
      <c r="D54" s="71" t="s">
        <v>364</v>
      </c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3"/>
      <c r="AA54" s="74" t="s">
        <v>347</v>
      </c>
      <c r="AB54" s="75"/>
      <c r="AC54" s="75"/>
      <c r="AD54" s="75"/>
      <c r="AE54" s="76"/>
      <c r="AF54" s="74">
        <v>14</v>
      </c>
      <c r="AG54" s="75"/>
      <c r="AH54" s="76"/>
      <c r="AI54" s="74"/>
      <c r="AJ54" s="75"/>
      <c r="AK54" s="76"/>
      <c r="AL54" s="68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69"/>
      <c r="BN54" s="69"/>
      <c r="BO54" s="69"/>
      <c r="BP54" s="70"/>
    </row>
    <row r="55" spans="1:68" s="1" customFormat="1" ht="30.75" customHeight="1">
      <c r="A55" s="74">
        <f t="shared" si="0"/>
        <v>47</v>
      </c>
      <c r="B55" s="75"/>
      <c r="C55" s="76"/>
      <c r="D55" s="71" t="s">
        <v>365</v>
      </c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3"/>
      <c r="AA55" s="74" t="s">
        <v>347</v>
      </c>
      <c r="AB55" s="75"/>
      <c r="AC55" s="75"/>
      <c r="AD55" s="75"/>
      <c r="AE55" s="76"/>
      <c r="AF55" s="74">
        <v>14</v>
      </c>
      <c r="AG55" s="75"/>
      <c r="AH55" s="76"/>
      <c r="AI55" s="74"/>
      <c r="AJ55" s="75"/>
      <c r="AK55" s="76"/>
      <c r="AL55" s="68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69"/>
      <c r="BN55" s="69"/>
      <c r="BO55" s="69"/>
      <c r="BP55" s="70"/>
    </row>
    <row r="56" spans="1:68" s="1" customFormat="1" ht="30.75" customHeight="1">
      <c r="A56" s="74">
        <f t="shared" si="0"/>
        <v>48</v>
      </c>
      <c r="B56" s="75"/>
      <c r="C56" s="76"/>
      <c r="D56" s="71" t="s">
        <v>365</v>
      </c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3"/>
      <c r="AA56" s="74" t="s">
        <v>347</v>
      </c>
      <c r="AB56" s="75"/>
      <c r="AC56" s="75"/>
      <c r="AD56" s="75"/>
      <c r="AE56" s="76"/>
      <c r="AF56" s="74">
        <v>14</v>
      </c>
      <c r="AG56" s="75"/>
      <c r="AH56" s="76"/>
      <c r="AI56" s="74"/>
      <c r="AJ56" s="75"/>
      <c r="AK56" s="76"/>
      <c r="AL56" s="68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69"/>
      <c r="BN56" s="69"/>
      <c r="BO56" s="69"/>
      <c r="BP56" s="70"/>
    </row>
    <row r="57" spans="1:68" s="1" customFormat="1" ht="30.75" customHeight="1">
      <c r="A57" s="74">
        <f t="shared" si="0"/>
        <v>49</v>
      </c>
      <c r="B57" s="75"/>
      <c r="C57" s="76"/>
      <c r="D57" s="71" t="s">
        <v>366</v>
      </c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3"/>
      <c r="AA57" s="74" t="s">
        <v>347</v>
      </c>
      <c r="AB57" s="75"/>
      <c r="AC57" s="75"/>
      <c r="AD57" s="75"/>
      <c r="AE57" s="76"/>
      <c r="AF57" s="74">
        <v>14</v>
      </c>
      <c r="AG57" s="75"/>
      <c r="AH57" s="76"/>
      <c r="AI57" s="74"/>
      <c r="AJ57" s="75"/>
      <c r="AK57" s="76"/>
      <c r="AL57" s="68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69"/>
      <c r="BN57" s="69"/>
      <c r="BO57" s="69"/>
      <c r="BP57" s="70"/>
    </row>
    <row r="58" spans="1:68" s="1" customFormat="1" ht="30.75" customHeight="1">
      <c r="A58" s="74">
        <f t="shared" si="0"/>
        <v>50</v>
      </c>
      <c r="B58" s="75"/>
      <c r="C58" s="76"/>
      <c r="D58" s="71" t="s">
        <v>308</v>
      </c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3"/>
      <c r="AA58" s="74" t="s">
        <v>347</v>
      </c>
      <c r="AB58" s="75"/>
      <c r="AC58" s="75"/>
      <c r="AD58" s="75"/>
      <c r="AE58" s="76"/>
      <c r="AF58" s="74">
        <v>14</v>
      </c>
      <c r="AG58" s="75"/>
      <c r="AH58" s="76"/>
      <c r="AI58" s="86"/>
      <c r="AJ58" s="86"/>
      <c r="AK58" s="86"/>
      <c r="AL58" s="68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  <c r="BP58" s="70"/>
    </row>
    <row r="59" spans="1:68" s="1" customFormat="1" ht="30.75" customHeight="1">
      <c r="A59" s="74">
        <f t="shared" si="0"/>
        <v>51</v>
      </c>
      <c r="B59" s="75"/>
      <c r="C59" s="76"/>
      <c r="D59" s="71" t="s">
        <v>309</v>
      </c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3"/>
      <c r="AA59" s="74" t="s">
        <v>347</v>
      </c>
      <c r="AB59" s="75"/>
      <c r="AC59" s="75"/>
      <c r="AD59" s="75"/>
      <c r="AE59" s="76"/>
      <c r="AF59" s="74">
        <v>14</v>
      </c>
      <c r="AG59" s="75"/>
      <c r="AH59" s="76"/>
      <c r="AI59" s="86"/>
      <c r="AJ59" s="86"/>
      <c r="AK59" s="86"/>
      <c r="AL59" s="68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  <c r="BM59" s="69"/>
      <c r="BN59" s="69"/>
      <c r="BO59" s="69"/>
      <c r="BP59" s="70"/>
    </row>
    <row r="60" spans="1:68" s="1" customFormat="1" ht="30.75" customHeight="1">
      <c r="A60" s="74">
        <f t="shared" si="0"/>
        <v>52</v>
      </c>
      <c r="B60" s="75"/>
      <c r="C60" s="76"/>
      <c r="D60" s="71" t="s">
        <v>310</v>
      </c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3"/>
      <c r="AA60" s="74" t="s">
        <v>347</v>
      </c>
      <c r="AB60" s="75"/>
      <c r="AC60" s="75"/>
      <c r="AD60" s="75"/>
      <c r="AE60" s="76"/>
      <c r="AF60" s="74">
        <v>14</v>
      </c>
      <c r="AG60" s="75"/>
      <c r="AH60" s="76"/>
      <c r="AI60" s="86"/>
      <c r="AJ60" s="86"/>
      <c r="AK60" s="86"/>
      <c r="AL60" s="68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69"/>
      <c r="BN60" s="69"/>
      <c r="BO60" s="69"/>
      <c r="BP60" s="70"/>
    </row>
    <row r="61" spans="1:68" s="1" customFormat="1" ht="30.75" customHeight="1">
      <c r="A61" s="74">
        <f t="shared" si="0"/>
        <v>53</v>
      </c>
      <c r="B61" s="75"/>
      <c r="C61" s="76"/>
      <c r="D61" s="71" t="s">
        <v>311</v>
      </c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3"/>
      <c r="AA61" s="74" t="s">
        <v>347</v>
      </c>
      <c r="AB61" s="75"/>
      <c r="AC61" s="75"/>
      <c r="AD61" s="75"/>
      <c r="AE61" s="76"/>
      <c r="AF61" s="74">
        <v>14</v>
      </c>
      <c r="AG61" s="75"/>
      <c r="AH61" s="76"/>
      <c r="AI61" s="86"/>
      <c r="AJ61" s="86"/>
      <c r="AK61" s="86"/>
      <c r="AL61" s="68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69"/>
      <c r="BN61" s="69"/>
      <c r="BO61" s="69"/>
      <c r="BP61" s="70"/>
    </row>
    <row r="62" spans="1:68" s="1" customFormat="1" ht="30.75" customHeight="1">
      <c r="A62" s="74">
        <f t="shared" si="0"/>
        <v>54</v>
      </c>
      <c r="B62" s="75"/>
      <c r="C62" s="76"/>
      <c r="D62" s="71" t="s">
        <v>1326</v>
      </c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3"/>
      <c r="AA62" s="74" t="s">
        <v>347</v>
      </c>
      <c r="AB62" s="75"/>
      <c r="AC62" s="75"/>
      <c r="AD62" s="75"/>
      <c r="AE62" s="76"/>
      <c r="AF62" s="74">
        <v>14</v>
      </c>
      <c r="AG62" s="75"/>
      <c r="AH62" s="76"/>
      <c r="AI62" s="86"/>
      <c r="AJ62" s="86"/>
      <c r="AK62" s="86"/>
      <c r="AL62" s="68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9"/>
      <c r="BF62" s="69"/>
      <c r="BG62" s="69"/>
      <c r="BH62" s="69"/>
      <c r="BI62" s="69"/>
      <c r="BJ62" s="69"/>
      <c r="BK62" s="69"/>
      <c r="BL62" s="69"/>
      <c r="BM62" s="69"/>
      <c r="BN62" s="69"/>
      <c r="BO62" s="69"/>
      <c r="BP62" s="70"/>
    </row>
    <row r="63" spans="1:68" s="1" customFormat="1" ht="30.75" customHeight="1">
      <c r="A63" s="74">
        <f t="shared" si="0"/>
        <v>55</v>
      </c>
      <c r="B63" s="75"/>
      <c r="C63" s="76"/>
      <c r="D63" s="71" t="s">
        <v>312</v>
      </c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3"/>
      <c r="AA63" s="74" t="s">
        <v>347</v>
      </c>
      <c r="AB63" s="75"/>
      <c r="AC63" s="75"/>
      <c r="AD63" s="75"/>
      <c r="AE63" s="76"/>
      <c r="AF63" s="74">
        <v>14</v>
      </c>
      <c r="AG63" s="75"/>
      <c r="AH63" s="76"/>
      <c r="AI63" s="86"/>
      <c r="AJ63" s="86"/>
      <c r="AK63" s="86"/>
      <c r="AL63" s="68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  <c r="BM63" s="69"/>
      <c r="BN63" s="69"/>
      <c r="BO63" s="69"/>
      <c r="BP63" s="70"/>
    </row>
    <row r="64" spans="1:68" s="1" customFormat="1" ht="30.75" customHeight="1">
      <c r="A64" s="74">
        <f t="shared" si="0"/>
        <v>56</v>
      </c>
      <c r="B64" s="75"/>
      <c r="C64" s="76"/>
      <c r="D64" s="71" t="s">
        <v>368</v>
      </c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3"/>
      <c r="AA64" s="74" t="s">
        <v>347</v>
      </c>
      <c r="AB64" s="75"/>
      <c r="AC64" s="75"/>
      <c r="AD64" s="75"/>
      <c r="AE64" s="76"/>
      <c r="AF64" s="74">
        <v>14</v>
      </c>
      <c r="AG64" s="75"/>
      <c r="AH64" s="76"/>
      <c r="AI64" s="86"/>
      <c r="AJ64" s="86"/>
      <c r="AK64" s="86"/>
      <c r="AL64" s="68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69"/>
      <c r="BN64" s="69"/>
      <c r="BO64" s="69"/>
      <c r="BP64" s="70"/>
    </row>
    <row r="65" spans="1:68" s="1" customFormat="1" ht="30.75" customHeight="1">
      <c r="A65" s="74">
        <f t="shared" si="0"/>
        <v>57</v>
      </c>
      <c r="B65" s="75"/>
      <c r="C65" s="76"/>
      <c r="D65" s="71" t="s">
        <v>314</v>
      </c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3"/>
      <c r="AA65" s="74" t="s">
        <v>347</v>
      </c>
      <c r="AB65" s="75"/>
      <c r="AC65" s="75"/>
      <c r="AD65" s="75"/>
      <c r="AE65" s="76"/>
      <c r="AF65" s="74">
        <v>14</v>
      </c>
      <c r="AG65" s="75"/>
      <c r="AH65" s="76"/>
      <c r="AI65" s="86"/>
      <c r="AJ65" s="86"/>
      <c r="AK65" s="86"/>
      <c r="AL65" s="68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69"/>
      <c r="BN65" s="69"/>
      <c r="BO65" s="69"/>
      <c r="BP65" s="70"/>
    </row>
    <row r="66" spans="1:68" s="1" customFormat="1" ht="30.75" customHeight="1">
      <c r="A66" s="74">
        <f t="shared" si="0"/>
        <v>58</v>
      </c>
      <c r="B66" s="75"/>
      <c r="C66" s="76"/>
      <c r="D66" s="71" t="s">
        <v>315</v>
      </c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3"/>
      <c r="AA66" s="74" t="s">
        <v>347</v>
      </c>
      <c r="AB66" s="75"/>
      <c r="AC66" s="75"/>
      <c r="AD66" s="75"/>
      <c r="AE66" s="76"/>
      <c r="AF66" s="74">
        <v>14</v>
      </c>
      <c r="AG66" s="75"/>
      <c r="AH66" s="76"/>
      <c r="AI66" s="86"/>
      <c r="AJ66" s="86"/>
      <c r="AK66" s="86"/>
      <c r="AL66" s="68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  <c r="BM66" s="69"/>
      <c r="BN66" s="69"/>
      <c r="BO66" s="69"/>
      <c r="BP66" s="70"/>
    </row>
    <row r="67" spans="1:68" s="1" customFormat="1" ht="30.75" customHeight="1">
      <c r="A67" s="74">
        <f t="shared" si="0"/>
        <v>59</v>
      </c>
      <c r="B67" s="75"/>
      <c r="C67" s="76"/>
      <c r="D67" s="71" t="s">
        <v>316</v>
      </c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3"/>
      <c r="AA67" s="74" t="s">
        <v>347</v>
      </c>
      <c r="AB67" s="75"/>
      <c r="AC67" s="75"/>
      <c r="AD67" s="75"/>
      <c r="AE67" s="76"/>
      <c r="AF67" s="74">
        <v>14</v>
      </c>
      <c r="AG67" s="75"/>
      <c r="AH67" s="76"/>
      <c r="AI67" s="86"/>
      <c r="AJ67" s="86"/>
      <c r="AK67" s="86"/>
      <c r="AL67" s="68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  <c r="BM67" s="69"/>
      <c r="BN67" s="69"/>
      <c r="BO67" s="69"/>
      <c r="BP67" s="70"/>
    </row>
    <row r="68" spans="1:68" s="1" customFormat="1" ht="30.75" customHeight="1">
      <c r="A68" s="74">
        <f t="shared" si="0"/>
        <v>60</v>
      </c>
      <c r="B68" s="75"/>
      <c r="C68" s="76"/>
      <c r="D68" s="71" t="s">
        <v>317</v>
      </c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3"/>
      <c r="AA68" s="74" t="s">
        <v>347</v>
      </c>
      <c r="AB68" s="75"/>
      <c r="AC68" s="75"/>
      <c r="AD68" s="75"/>
      <c r="AE68" s="76"/>
      <c r="AF68" s="74">
        <v>14</v>
      </c>
      <c r="AG68" s="75"/>
      <c r="AH68" s="76"/>
      <c r="AI68" s="86"/>
      <c r="AJ68" s="86"/>
      <c r="AK68" s="86"/>
      <c r="AL68" s="68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  <c r="BM68" s="69"/>
      <c r="BN68" s="69"/>
      <c r="BO68" s="69"/>
      <c r="BP68" s="70"/>
    </row>
    <row r="69" spans="1:68" s="1" customFormat="1" ht="30.75" customHeight="1">
      <c r="A69" s="74">
        <f t="shared" si="0"/>
        <v>61</v>
      </c>
      <c r="B69" s="75"/>
      <c r="C69" s="76"/>
      <c r="D69" s="71" t="s">
        <v>318</v>
      </c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3"/>
      <c r="AA69" s="74" t="s">
        <v>347</v>
      </c>
      <c r="AB69" s="75"/>
      <c r="AC69" s="75"/>
      <c r="AD69" s="75"/>
      <c r="AE69" s="76"/>
      <c r="AF69" s="74">
        <v>14</v>
      </c>
      <c r="AG69" s="75"/>
      <c r="AH69" s="76"/>
      <c r="AI69" s="86"/>
      <c r="AJ69" s="86"/>
      <c r="AK69" s="86"/>
      <c r="AL69" s="68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69"/>
      <c r="BN69" s="69"/>
      <c r="BO69" s="69"/>
      <c r="BP69" s="70"/>
    </row>
    <row r="70" spans="1:68" s="1" customFormat="1" ht="30.75" customHeight="1">
      <c r="A70" s="74">
        <f t="shared" si="0"/>
        <v>62</v>
      </c>
      <c r="B70" s="75"/>
      <c r="C70" s="76"/>
      <c r="D70" s="71" t="s">
        <v>320</v>
      </c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3"/>
      <c r="AA70" s="74" t="s">
        <v>347</v>
      </c>
      <c r="AB70" s="75"/>
      <c r="AC70" s="75"/>
      <c r="AD70" s="75"/>
      <c r="AE70" s="76"/>
      <c r="AF70" s="74">
        <v>14</v>
      </c>
      <c r="AG70" s="75"/>
      <c r="AH70" s="76"/>
      <c r="AI70" s="86"/>
      <c r="AJ70" s="86"/>
      <c r="AK70" s="86"/>
      <c r="AL70" s="68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69"/>
      <c r="BN70" s="69"/>
      <c r="BO70" s="69"/>
      <c r="BP70" s="70"/>
    </row>
    <row r="71" spans="1:68" s="1" customFormat="1" ht="30.75" customHeight="1">
      <c r="A71" s="74">
        <f t="shared" si="0"/>
        <v>63</v>
      </c>
      <c r="B71" s="75"/>
      <c r="C71" s="76"/>
      <c r="D71" s="71" t="s">
        <v>321</v>
      </c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3"/>
      <c r="AA71" s="74" t="s">
        <v>347</v>
      </c>
      <c r="AB71" s="75"/>
      <c r="AC71" s="75"/>
      <c r="AD71" s="75"/>
      <c r="AE71" s="76"/>
      <c r="AF71" s="74">
        <v>14</v>
      </c>
      <c r="AG71" s="75"/>
      <c r="AH71" s="76"/>
      <c r="AI71" s="86"/>
      <c r="AJ71" s="86"/>
      <c r="AK71" s="86"/>
      <c r="AL71" s="68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  <c r="BM71" s="69"/>
      <c r="BN71" s="69"/>
      <c r="BO71" s="69"/>
      <c r="BP71" s="70"/>
    </row>
    <row r="72" spans="1:68" s="1" customFormat="1" ht="30.75" customHeight="1">
      <c r="A72" s="74">
        <f t="shared" si="0"/>
        <v>64</v>
      </c>
      <c r="B72" s="75"/>
      <c r="C72" s="76"/>
      <c r="D72" s="71" t="s">
        <v>322</v>
      </c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3"/>
      <c r="AA72" s="74" t="s">
        <v>347</v>
      </c>
      <c r="AB72" s="75"/>
      <c r="AC72" s="75"/>
      <c r="AD72" s="75"/>
      <c r="AE72" s="76"/>
      <c r="AF72" s="74">
        <v>14</v>
      </c>
      <c r="AG72" s="75"/>
      <c r="AH72" s="76"/>
      <c r="AI72" s="86"/>
      <c r="AJ72" s="86"/>
      <c r="AK72" s="86"/>
      <c r="AL72" s="68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69"/>
      <c r="BN72" s="69"/>
      <c r="BO72" s="69"/>
      <c r="BP72" s="70"/>
    </row>
    <row r="73" spans="1:68" s="1" customFormat="1" ht="30.75" customHeight="1">
      <c r="A73" s="74">
        <f t="shared" si="0"/>
        <v>65</v>
      </c>
      <c r="B73" s="75"/>
      <c r="C73" s="76"/>
      <c r="D73" s="71" t="s">
        <v>323</v>
      </c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3"/>
      <c r="AA73" s="74" t="s">
        <v>347</v>
      </c>
      <c r="AB73" s="75"/>
      <c r="AC73" s="75"/>
      <c r="AD73" s="75"/>
      <c r="AE73" s="76"/>
      <c r="AF73" s="74">
        <v>14</v>
      </c>
      <c r="AG73" s="75"/>
      <c r="AH73" s="76"/>
      <c r="AI73" s="86"/>
      <c r="AJ73" s="86"/>
      <c r="AK73" s="86"/>
      <c r="AL73" s="68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69"/>
      <c r="BO73" s="69"/>
      <c r="BP73" s="70"/>
    </row>
    <row r="74" spans="1:68" s="1" customFormat="1" ht="30.75" customHeight="1">
      <c r="A74" s="74">
        <f t="shared" si="0"/>
        <v>66</v>
      </c>
      <c r="B74" s="75"/>
      <c r="C74" s="76"/>
      <c r="D74" s="71" t="s">
        <v>370</v>
      </c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3"/>
      <c r="AA74" s="74" t="s">
        <v>347</v>
      </c>
      <c r="AB74" s="75"/>
      <c r="AC74" s="75"/>
      <c r="AD74" s="75"/>
      <c r="AE74" s="76"/>
      <c r="AF74" s="74">
        <v>14</v>
      </c>
      <c r="AG74" s="75"/>
      <c r="AH74" s="76"/>
      <c r="AI74" s="86"/>
      <c r="AJ74" s="86"/>
      <c r="AK74" s="86"/>
      <c r="AL74" s="68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  <c r="BC74" s="69"/>
      <c r="BD74" s="69"/>
      <c r="BE74" s="69"/>
      <c r="BF74" s="69"/>
      <c r="BG74" s="69"/>
      <c r="BH74" s="69"/>
      <c r="BI74" s="69"/>
      <c r="BJ74" s="69"/>
      <c r="BK74" s="69"/>
      <c r="BL74" s="69"/>
      <c r="BM74" s="69"/>
      <c r="BN74" s="69"/>
      <c r="BO74" s="69"/>
      <c r="BP74" s="70"/>
    </row>
    <row r="75" spans="1:68" s="1" customFormat="1" ht="30.75" customHeight="1">
      <c r="A75" s="74">
        <f t="shared" si="0"/>
        <v>67</v>
      </c>
      <c r="B75" s="75"/>
      <c r="C75" s="76"/>
      <c r="D75" s="71" t="s">
        <v>325</v>
      </c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3"/>
      <c r="AA75" s="74" t="s">
        <v>347</v>
      </c>
      <c r="AB75" s="75"/>
      <c r="AC75" s="75"/>
      <c r="AD75" s="75"/>
      <c r="AE75" s="76"/>
      <c r="AF75" s="74">
        <v>14</v>
      </c>
      <c r="AG75" s="75"/>
      <c r="AH75" s="76"/>
      <c r="AI75" s="74"/>
      <c r="AJ75" s="75"/>
      <c r="AK75" s="76"/>
      <c r="AL75" s="68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69"/>
      <c r="BE75" s="69"/>
      <c r="BF75" s="69"/>
      <c r="BG75" s="69"/>
      <c r="BH75" s="69"/>
      <c r="BI75" s="69"/>
      <c r="BJ75" s="69"/>
      <c r="BK75" s="69"/>
      <c r="BL75" s="69"/>
      <c r="BM75" s="69"/>
      <c r="BN75" s="69"/>
      <c r="BO75" s="69"/>
      <c r="BP75" s="70"/>
    </row>
    <row r="76" spans="1:68" s="1" customFormat="1" ht="30.75" customHeight="1">
      <c r="A76" s="74">
        <f t="shared" ref="A76:A94" si="1">ROW()-8</f>
        <v>68</v>
      </c>
      <c r="B76" s="75"/>
      <c r="C76" s="76"/>
      <c r="D76" s="71" t="s">
        <v>326</v>
      </c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3"/>
      <c r="AA76" s="74" t="s">
        <v>347</v>
      </c>
      <c r="AB76" s="75"/>
      <c r="AC76" s="75"/>
      <c r="AD76" s="75"/>
      <c r="AE76" s="76"/>
      <c r="AF76" s="74">
        <v>14</v>
      </c>
      <c r="AG76" s="75"/>
      <c r="AH76" s="76"/>
      <c r="AI76" s="74"/>
      <c r="AJ76" s="75"/>
      <c r="AK76" s="76"/>
      <c r="AL76" s="68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  <c r="BM76" s="69"/>
      <c r="BN76" s="69"/>
      <c r="BO76" s="69"/>
      <c r="BP76" s="70"/>
    </row>
    <row r="77" spans="1:68" s="1" customFormat="1" ht="30.75" customHeight="1">
      <c r="A77" s="74">
        <f t="shared" si="1"/>
        <v>69</v>
      </c>
      <c r="B77" s="75"/>
      <c r="C77" s="76"/>
      <c r="D77" s="71" t="s">
        <v>1331</v>
      </c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3"/>
      <c r="AA77" s="74" t="s">
        <v>347</v>
      </c>
      <c r="AB77" s="75"/>
      <c r="AC77" s="75"/>
      <c r="AD77" s="75"/>
      <c r="AE77" s="76"/>
      <c r="AF77" s="74">
        <v>14</v>
      </c>
      <c r="AG77" s="75"/>
      <c r="AH77" s="76"/>
      <c r="AI77" s="74"/>
      <c r="AJ77" s="75"/>
      <c r="AK77" s="76"/>
      <c r="AL77" s="68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69"/>
      <c r="BG77" s="69"/>
      <c r="BH77" s="69"/>
      <c r="BI77" s="69"/>
      <c r="BJ77" s="69"/>
      <c r="BK77" s="69"/>
      <c r="BL77" s="69"/>
      <c r="BM77" s="69"/>
      <c r="BN77" s="69"/>
      <c r="BO77" s="69"/>
      <c r="BP77" s="70"/>
    </row>
    <row r="78" spans="1:68" s="1" customFormat="1" ht="30.75" customHeight="1">
      <c r="A78" s="74">
        <f t="shared" si="1"/>
        <v>70</v>
      </c>
      <c r="B78" s="75"/>
      <c r="C78" s="76"/>
      <c r="D78" s="71" t="s">
        <v>406</v>
      </c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3"/>
      <c r="AA78" s="74" t="s">
        <v>275</v>
      </c>
      <c r="AB78" s="75"/>
      <c r="AC78" s="75"/>
      <c r="AD78" s="75"/>
      <c r="AE78" s="76"/>
      <c r="AF78" s="74"/>
      <c r="AG78" s="75"/>
      <c r="AH78" s="76"/>
      <c r="AI78" s="74"/>
      <c r="AJ78" s="75"/>
      <c r="AK78" s="76"/>
      <c r="AL78" s="68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69"/>
      <c r="BJ78" s="69"/>
      <c r="BK78" s="69"/>
      <c r="BL78" s="69"/>
      <c r="BM78" s="69"/>
      <c r="BN78" s="69"/>
      <c r="BO78" s="69"/>
      <c r="BP78" s="70"/>
    </row>
    <row r="79" spans="1:68" s="1" customFormat="1" ht="30.75" customHeight="1">
      <c r="A79" s="74">
        <f t="shared" si="1"/>
        <v>71</v>
      </c>
      <c r="B79" s="75"/>
      <c r="C79" s="76"/>
      <c r="D79" s="71" t="s">
        <v>407</v>
      </c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3"/>
      <c r="AA79" s="74" t="s">
        <v>347</v>
      </c>
      <c r="AB79" s="75"/>
      <c r="AC79" s="75"/>
      <c r="AD79" s="75"/>
      <c r="AE79" s="76"/>
      <c r="AF79" s="86">
        <v>14</v>
      </c>
      <c r="AG79" s="86"/>
      <c r="AH79" s="86"/>
      <c r="AI79" s="86"/>
      <c r="AJ79" s="86"/>
      <c r="AK79" s="86"/>
      <c r="AL79" s="68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  <c r="BC79" s="69"/>
      <c r="BD79" s="69"/>
      <c r="BE79" s="69"/>
      <c r="BF79" s="69"/>
      <c r="BG79" s="69"/>
      <c r="BH79" s="69"/>
      <c r="BI79" s="69"/>
      <c r="BJ79" s="69"/>
      <c r="BK79" s="69"/>
      <c r="BL79" s="69"/>
      <c r="BM79" s="69"/>
      <c r="BN79" s="69"/>
      <c r="BO79" s="69"/>
      <c r="BP79" s="70"/>
    </row>
    <row r="80" spans="1:68" s="1" customFormat="1" ht="30.75" customHeight="1">
      <c r="A80" s="74">
        <f t="shared" si="1"/>
        <v>72</v>
      </c>
      <c r="B80" s="75"/>
      <c r="C80" s="76"/>
      <c r="D80" s="71" t="s">
        <v>408</v>
      </c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3"/>
      <c r="AA80" s="74" t="s">
        <v>347</v>
      </c>
      <c r="AB80" s="75"/>
      <c r="AC80" s="75"/>
      <c r="AD80" s="75"/>
      <c r="AE80" s="76"/>
      <c r="AF80" s="86">
        <v>8</v>
      </c>
      <c r="AG80" s="86"/>
      <c r="AH80" s="86"/>
      <c r="AI80" s="86"/>
      <c r="AJ80" s="86"/>
      <c r="AK80" s="86"/>
      <c r="AL80" s="68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69"/>
      <c r="BN80" s="69"/>
      <c r="BO80" s="69"/>
      <c r="BP80" s="70"/>
    </row>
    <row r="81" spans="1:68" s="1" customFormat="1" ht="30.75" customHeight="1">
      <c r="A81" s="74">
        <f t="shared" si="1"/>
        <v>73</v>
      </c>
      <c r="B81" s="75"/>
      <c r="C81" s="76"/>
      <c r="D81" s="71" t="s">
        <v>409</v>
      </c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3"/>
      <c r="AA81" s="74" t="s">
        <v>271</v>
      </c>
      <c r="AB81" s="75"/>
      <c r="AC81" s="75"/>
      <c r="AD81" s="75"/>
      <c r="AE81" s="76"/>
      <c r="AF81" s="86">
        <v>20</v>
      </c>
      <c r="AG81" s="86"/>
      <c r="AH81" s="86"/>
      <c r="AI81" s="86"/>
      <c r="AJ81" s="86"/>
      <c r="AK81" s="86"/>
      <c r="AL81" s="68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69"/>
      <c r="BE81" s="69"/>
      <c r="BF81" s="69"/>
      <c r="BG81" s="69"/>
      <c r="BH81" s="69"/>
      <c r="BI81" s="69"/>
      <c r="BJ81" s="69"/>
      <c r="BK81" s="69"/>
      <c r="BL81" s="69"/>
      <c r="BM81" s="69"/>
      <c r="BN81" s="69"/>
      <c r="BO81" s="69"/>
      <c r="BP81" s="70"/>
    </row>
    <row r="82" spans="1:68" s="1" customFormat="1" ht="30.75" customHeight="1">
      <c r="A82" s="74">
        <f t="shared" si="1"/>
        <v>74</v>
      </c>
      <c r="B82" s="75"/>
      <c r="C82" s="76"/>
      <c r="D82" s="71" t="s">
        <v>410</v>
      </c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3"/>
      <c r="AA82" s="74" t="s">
        <v>271</v>
      </c>
      <c r="AB82" s="75"/>
      <c r="AC82" s="75"/>
      <c r="AD82" s="75"/>
      <c r="AE82" s="76"/>
      <c r="AF82" s="86">
        <v>30</v>
      </c>
      <c r="AG82" s="86"/>
      <c r="AH82" s="86"/>
      <c r="AI82" s="86"/>
      <c r="AJ82" s="86"/>
      <c r="AK82" s="86"/>
      <c r="AL82" s="68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69"/>
      <c r="BE82" s="69"/>
      <c r="BF82" s="69"/>
      <c r="BG82" s="69"/>
      <c r="BH82" s="69"/>
      <c r="BI82" s="69"/>
      <c r="BJ82" s="69"/>
      <c r="BK82" s="69"/>
      <c r="BL82" s="69"/>
      <c r="BM82" s="69"/>
      <c r="BN82" s="69"/>
      <c r="BO82" s="69"/>
      <c r="BP82" s="70"/>
    </row>
    <row r="83" spans="1:68" s="1" customFormat="1" ht="30.75" customHeight="1">
      <c r="A83" s="74">
        <f t="shared" si="1"/>
        <v>75</v>
      </c>
      <c r="B83" s="75"/>
      <c r="C83" s="76"/>
      <c r="D83" s="71" t="s">
        <v>411</v>
      </c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3"/>
      <c r="AA83" s="74" t="s">
        <v>347</v>
      </c>
      <c r="AB83" s="75"/>
      <c r="AC83" s="75"/>
      <c r="AD83" s="75"/>
      <c r="AE83" s="76"/>
      <c r="AF83" s="74">
        <v>4</v>
      </c>
      <c r="AG83" s="75"/>
      <c r="AH83" s="76"/>
      <c r="AI83" s="74"/>
      <c r="AJ83" s="75"/>
      <c r="AK83" s="76"/>
      <c r="AL83" s="68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  <c r="BH83" s="69"/>
      <c r="BI83" s="69"/>
      <c r="BJ83" s="69"/>
      <c r="BK83" s="69"/>
      <c r="BL83" s="69"/>
      <c r="BM83" s="69"/>
      <c r="BN83" s="69"/>
      <c r="BO83" s="69"/>
      <c r="BP83" s="70"/>
    </row>
    <row r="84" spans="1:68" s="1" customFormat="1" ht="30.75" customHeight="1">
      <c r="A84" s="74">
        <f t="shared" si="1"/>
        <v>76</v>
      </c>
      <c r="B84" s="75"/>
      <c r="C84" s="76"/>
      <c r="D84" s="71" t="s">
        <v>412</v>
      </c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3"/>
      <c r="AA84" s="74" t="s">
        <v>347</v>
      </c>
      <c r="AB84" s="75"/>
      <c r="AC84" s="75"/>
      <c r="AD84" s="75"/>
      <c r="AE84" s="76"/>
      <c r="AF84" s="74">
        <v>7</v>
      </c>
      <c r="AG84" s="75"/>
      <c r="AH84" s="76"/>
      <c r="AI84" s="74"/>
      <c r="AJ84" s="75"/>
      <c r="AK84" s="76"/>
      <c r="AL84" s="68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  <c r="BC84" s="69"/>
      <c r="BD84" s="69"/>
      <c r="BE84" s="69"/>
      <c r="BF84" s="69"/>
      <c r="BG84" s="69"/>
      <c r="BH84" s="69"/>
      <c r="BI84" s="69"/>
      <c r="BJ84" s="69"/>
      <c r="BK84" s="69"/>
      <c r="BL84" s="69"/>
      <c r="BM84" s="69"/>
      <c r="BN84" s="69"/>
      <c r="BO84" s="69"/>
      <c r="BP84" s="70"/>
    </row>
    <row r="85" spans="1:68" s="1" customFormat="1" ht="30.75" customHeight="1">
      <c r="A85" s="74">
        <f t="shared" si="1"/>
        <v>77</v>
      </c>
      <c r="B85" s="75"/>
      <c r="C85" s="76"/>
      <c r="D85" s="71" t="s">
        <v>413</v>
      </c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3"/>
      <c r="AA85" s="74" t="s">
        <v>633</v>
      </c>
      <c r="AB85" s="75"/>
      <c r="AC85" s="75"/>
      <c r="AD85" s="75"/>
      <c r="AE85" s="76"/>
      <c r="AF85" s="74">
        <v>30</v>
      </c>
      <c r="AG85" s="75"/>
      <c r="AH85" s="76"/>
      <c r="AI85" s="74"/>
      <c r="AJ85" s="75"/>
      <c r="AK85" s="76"/>
      <c r="AL85" s="68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  <c r="BC85" s="69"/>
      <c r="BD85" s="69"/>
      <c r="BE85" s="69"/>
      <c r="BF85" s="69"/>
      <c r="BG85" s="69"/>
      <c r="BH85" s="69"/>
      <c r="BI85" s="69"/>
      <c r="BJ85" s="69"/>
      <c r="BK85" s="69"/>
      <c r="BL85" s="69"/>
      <c r="BM85" s="69"/>
      <c r="BN85" s="69"/>
      <c r="BO85" s="69"/>
      <c r="BP85" s="70"/>
    </row>
    <row r="86" spans="1:68" s="1" customFormat="1" ht="30.75" customHeight="1">
      <c r="A86" s="74">
        <f t="shared" si="1"/>
        <v>78</v>
      </c>
      <c r="B86" s="75"/>
      <c r="C86" s="76"/>
      <c r="D86" s="71" t="s">
        <v>414</v>
      </c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3"/>
      <c r="AA86" s="74" t="s">
        <v>633</v>
      </c>
      <c r="AB86" s="75"/>
      <c r="AC86" s="75"/>
      <c r="AD86" s="75"/>
      <c r="AE86" s="76"/>
      <c r="AF86" s="74">
        <v>30</v>
      </c>
      <c r="AG86" s="75"/>
      <c r="AH86" s="76"/>
      <c r="AI86" s="74"/>
      <c r="AJ86" s="75"/>
      <c r="AK86" s="76"/>
      <c r="AL86" s="68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69"/>
      <c r="BM86" s="69"/>
      <c r="BN86" s="69"/>
      <c r="BO86" s="69"/>
      <c r="BP86" s="70"/>
    </row>
    <row r="87" spans="1:68" s="1" customFormat="1" ht="30.75" customHeight="1">
      <c r="A87" s="74">
        <f t="shared" si="1"/>
        <v>79</v>
      </c>
      <c r="B87" s="75"/>
      <c r="C87" s="76"/>
      <c r="D87" s="71" t="s">
        <v>415</v>
      </c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3"/>
      <c r="AA87" s="74" t="s">
        <v>271</v>
      </c>
      <c r="AB87" s="75"/>
      <c r="AC87" s="75"/>
      <c r="AD87" s="75"/>
      <c r="AE87" s="76"/>
      <c r="AF87" s="74">
        <v>2</v>
      </c>
      <c r="AG87" s="75"/>
      <c r="AH87" s="76"/>
      <c r="AI87" s="74"/>
      <c r="AJ87" s="75"/>
      <c r="AK87" s="76"/>
      <c r="AL87" s="68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69"/>
      <c r="BH87" s="69"/>
      <c r="BI87" s="69"/>
      <c r="BJ87" s="69"/>
      <c r="BK87" s="69"/>
      <c r="BL87" s="69"/>
      <c r="BM87" s="69"/>
      <c r="BN87" s="69"/>
      <c r="BO87" s="69"/>
      <c r="BP87" s="70"/>
    </row>
    <row r="88" spans="1:68" s="1" customFormat="1" ht="30.75" customHeight="1">
      <c r="A88" s="74">
        <f t="shared" si="1"/>
        <v>80</v>
      </c>
      <c r="B88" s="75"/>
      <c r="C88" s="76"/>
      <c r="D88" s="71" t="s">
        <v>224</v>
      </c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3"/>
      <c r="AA88" s="74" t="s">
        <v>347</v>
      </c>
      <c r="AB88" s="75"/>
      <c r="AC88" s="75"/>
      <c r="AD88" s="75"/>
      <c r="AE88" s="76"/>
      <c r="AF88" s="74">
        <v>7</v>
      </c>
      <c r="AG88" s="75"/>
      <c r="AH88" s="76"/>
      <c r="AI88" s="74"/>
      <c r="AJ88" s="75"/>
      <c r="AK88" s="76"/>
      <c r="AL88" s="68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  <c r="BM88" s="69"/>
      <c r="BN88" s="69"/>
      <c r="BO88" s="69"/>
      <c r="BP88" s="70"/>
    </row>
    <row r="89" spans="1:68" s="1" customFormat="1" ht="30.75" customHeight="1">
      <c r="A89" s="74">
        <f t="shared" si="1"/>
        <v>81</v>
      </c>
      <c r="B89" s="75"/>
      <c r="C89" s="76"/>
      <c r="D89" s="71" t="s">
        <v>416</v>
      </c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3"/>
      <c r="AA89" s="74" t="s">
        <v>275</v>
      </c>
      <c r="AB89" s="75"/>
      <c r="AC89" s="75"/>
      <c r="AD89" s="75"/>
      <c r="AE89" s="76"/>
      <c r="AF89" s="74"/>
      <c r="AG89" s="75"/>
      <c r="AH89" s="76"/>
      <c r="AI89" s="74"/>
      <c r="AJ89" s="75"/>
      <c r="AK89" s="76"/>
      <c r="AL89" s="68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9"/>
      <c r="BJ89" s="69"/>
      <c r="BK89" s="69"/>
      <c r="BL89" s="69"/>
      <c r="BM89" s="69"/>
      <c r="BN89" s="69"/>
      <c r="BO89" s="69"/>
      <c r="BP89" s="70"/>
    </row>
    <row r="90" spans="1:68" s="1" customFormat="1" ht="30.75" customHeight="1">
      <c r="A90" s="74">
        <f t="shared" si="1"/>
        <v>82</v>
      </c>
      <c r="B90" s="75"/>
      <c r="C90" s="76"/>
      <c r="D90" s="71" t="s">
        <v>417</v>
      </c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3"/>
      <c r="AA90" s="74" t="s">
        <v>347</v>
      </c>
      <c r="AB90" s="75"/>
      <c r="AC90" s="75"/>
      <c r="AD90" s="75"/>
      <c r="AE90" s="76"/>
      <c r="AF90" s="86">
        <v>14</v>
      </c>
      <c r="AG90" s="86"/>
      <c r="AH90" s="86"/>
      <c r="AI90" s="86"/>
      <c r="AJ90" s="86"/>
      <c r="AK90" s="86"/>
      <c r="AL90" s="68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69"/>
      <c r="BH90" s="69"/>
      <c r="BI90" s="69"/>
      <c r="BJ90" s="69"/>
      <c r="BK90" s="69"/>
      <c r="BL90" s="69"/>
      <c r="BM90" s="69"/>
      <c r="BN90" s="69"/>
      <c r="BO90" s="69"/>
      <c r="BP90" s="70"/>
    </row>
    <row r="91" spans="1:68" s="1" customFormat="1" ht="30.75" customHeight="1">
      <c r="A91" s="74">
        <f t="shared" si="1"/>
        <v>83</v>
      </c>
      <c r="B91" s="75"/>
      <c r="C91" s="76"/>
      <c r="D91" s="71" t="s">
        <v>418</v>
      </c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3"/>
      <c r="AA91" s="74" t="s">
        <v>347</v>
      </c>
      <c r="AB91" s="75"/>
      <c r="AC91" s="75"/>
      <c r="AD91" s="75"/>
      <c r="AE91" s="76"/>
      <c r="AF91" s="86">
        <v>14</v>
      </c>
      <c r="AG91" s="86"/>
      <c r="AH91" s="86"/>
      <c r="AI91" s="86"/>
      <c r="AJ91" s="86"/>
      <c r="AK91" s="86"/>
      <c r="AL91" s="68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69"/>
      <c r="BH91" s="69"/>
      <c r="BI91" s="69"/>
      <c r="BJ91" s="69"/>
      <c r="BK91" s="69"/>
      <c r="BL91" s="69"/>
      <c r="BM91" s="69"/>
      <c r="BN91" s="69"/>
      <c r="BO91" s="69"/>
      <c r="BP91" s="70"/>
    </row>
    <row r="92" spans="1:68" s="1" customFormat="1" ht="30.75" customHeight="1">
      <c r="A92" s="74">
        <f t="shared" si="1"/>
        <v>84</v>
      </c>
      <c r="B92" s="75"/>
      <c r="C92" s="76"/>
      <c r="D92" s="71" t="s">
        <v>1358</v>
      </c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3"/>
      <c r="AA92" s="74" t="s">
        <v>347</v>
      </c>
      <c r="AB92" s="75"/>
      <c r="AC92" s="75"/>
      <c r="AD92" s="75"/>
      <c r="AE92" s="76"/>
      <c r="AF92" s="86">
        <v>14</v>
      </c>
      <c r="AG92" s="86"/>
      <c r="AH92" s="86"/>
      <c r="AI92" s="86"/>
      <c r="AJ92" s="86"/>
      <c r="AK92" s="86"/>
      <c r="AL92" s="68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  <c r="BC92" s="69"/>
      <c r="BD92" s="69"/>
      <c r="BE92" s="69"/>
      <c r="BF92" s="69"/>
      <c r="BG92" s="69"/>
      <c r="BH92" s="69"/>
      <c r="BI92" s="69"/>
      <c r="BJ92" s="69"/>
      <c r="BK92" s="69"/>
      <c r="BL92" s="69"/>
      <c r="BM92" s="69"/>
      <c r="BN92" s="69"/>
      <c r="BO92" s="69"/>
      <c r="BP92" s="70"/>
    </row>
    <row r="93" spans="1:68" s="1" customFormat="1" ht="30.75" customHeight="1">
      <c r="A93" s="74">
        <f t="shared" si="1"/>
        <v>85</v>
      </c>
      <c r="B93" s="75"/>
      <c r="C93" s="76"/>
      <c r="D93" s="71" t="s">
        <v>419</v>
      </c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3"/>
      <c r="AA93" s="74" t="s">
        <v>347</v>
      </c>
      <c r="AB93" s="75"/>
      <c r="AC93" s="75"/>
      <c r="AD93" s="75"/>
      <c r="AE93" s="76"/>
      <c r="AF93" s="86">
        <v>14</v>
      </c>
      <c r="AG93" s="86"/>
      <c r="AH93" s="86"/>
      <c r="AI93" s="86"/>
      <c r="AJ93" s="86"/>
      <c r="AK93" s="86"/>
      <c r="AL93" s="68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69"/>
      <c r="BK93" s="69"/>
      <c r="BL93" s="69"/>
      <c r="BM93" s="69"/>
      <c r="BN93" s="69"/>
      <c r="BO93" s="69"/>
      <c r="BP93" s="70"/>
    </row>
    <row r="94" spans="1:68" s="1" customFormat="1" ht="30.75" customHeight="1">
      <c r="A94" s="74">
        <f t="shared" si="1"/>
        <v>86</v>
      </c>
      <c r="B94" s="75"/>
      <c r="C94" s="76"/>
      <c r="D94" s="71" t="s">
        <v>1234</v>
      </c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3"/>
      <c r="AA94" s="74" t="s">
        <v>271</v>
      </c>
      <c r="AB94" s="75"/>
      <c r="AC94" s="75"/>
      <c r="AD94" s="75"/>
      <c r="AE94" s="76"/>
      <c r="AF94" s="74">
        <v>1</v>
      </c>
      <c r="AG94" s="75"/>
      <c r="AH94" s="76"/>
      <c r="AI94" s="86"/>
      <c r="AJ94" s="86"/>
      <c r="AK94" s="86"/>
      <c r="AL94" s="104" t="s">
        <v>1235</v>
      </c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69"/>
      <c r="BH94" s="69"/>
      <c r="BI94" s="69"/>
      <c r="BJ94" s="69"/>
      <c r="BK94" s="69"/>
      <c r="BL94" s="69"/>
      <c r="BM94" s="69"/>
      <c r="BN94" s="69"/>
      <c r="BO94" s="69"/>
      <c r="BP94" s="70"/>
    </row>
    <row r="95" spans="1:68" s="1" customFormat="1" ht="30.75" customHeight="1">
      <c r="A95" s="74"/>
      <c r="B95" s="75"/>
      <c r="C95" s="76"/>
      <c r="D95" s="71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3"/>
      <c r="AA95" s="74"/>
      <c r="AB95" s="75"/>
      <c r="AC95" s="75"/>
      <c r="AD95" s="75"/>
      <c r="AE95" s="76"/>
      <c r="AF95" s="86"/>
      <c r="AG95" s="86"/>
      <c r="AH95" s="86"/>
      <c r="AI95" s="86"/>
      <c r="AJ95" s="86"/>
      <c r="AK95" s="86"/>
      <c r="AL95" s="68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69"/>
      <c r="BH95" s="69"/>
      <c r="BI95" s="69"/>
      <c r="BJ95" s="69"/>
      <c r="BK95" s="69"/>
      <c r="BL95" s="69"/>
      <c r="BM95" s="69"/>
      <c r="BN95" s="69"/>
      <c r="BO95" s="69"/>
      <c r="BP95" s="70"/>
    </row>
    <row r="96" spans="1:68" s="1" customFormat="1" ht="30.75" customHeight="1">
      <c r="A96" s="80"/>
      <c r="B96" s="81"/>
      <c r="C96" s="82"/>
      <c r="D96" s="77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9"/>
      <c r="AA96" s="80"/>
      <c r="AB96" s="81"/>
      <c r="AC96" s="81"/>
      <c r="AD96" s="81"/>
      <c r="AE96" s="82"/>
      <c r="AF96" s="87"/>
      <c r="AG96" s="87"/>
      <c r="AH96" s="87"/>
      <c r="AI96" s="87"/>
      <c r="AJ96" s="87"/>
      <c r="AK96" s="87"/>
      <c r="AL96" s="83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  <c r="BN96" s="84"/>
      <c r="BO96" s="84"/>
      <c r="BP96" s="85"/>
    </row>
    <row r="97" spans="1:68" s="4" customFormat="1" ht="3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3"/>
      <c r="AG97" s="3"/>
      <c r="AH97" s="3"/>
      <c r="AI97" s="3"/>
      <c r="AJ97" s="3"/>
      <c r="AK97" s="3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</row>
    <row r="98" spans="1:68" s="4" customFormat="1" ht="14.25">
      <c r="A98" s="5" t="s">
        <v>14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15"/>
      <c r="AG98" s="15"/>
      <c r="AH98" s="15"/>
      <c r="AI98" s="15"/>
      <c r="AJ98" s="15"/>
      <c r="AK98" s="15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6"/>
    </row>
    <row r="99" spans="1:68" s="4" customFormat="1" ht="20.25" customHeight="1">
      <c r="A99" s="5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6"/>
    </row>
    <row r="100" spans="1:68" s="4" customFormat="1" ht="20.25" customHeight="1">
      <c r="A100" s="5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6"/>
    </row>
    <row r="101" spans="1:68" s="4" customFormat="1" ht="20.25" customHeight="1">
      <c r="A101" s="5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6"/>
    </row>
    <row r="102" spans="1:68" s="4" customFormat="1" ht="20.25" customHeight="1">
      <c r="A102" s="5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6"/>
    </row>
    <row r="103" spans="1:68" s="4" customFormat="1" ht="20.25" customHeight="1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9"/>
    </row>
    <row r="104" spans="1:68" ht="5.25" customHeight="1"/>
  </sheetData>
  <mergeCells count="553">
    <mergeCell ref="AI35:AK35"/>
    <mergeCell ref="AL35:BP35"/>
    <mergeCell ref="AF94:AH94"/>
    <mergeCell ref="AI94:AK94"/>
    <mergeCell ref="AL94:BP94"/>
    <mergeCell ref="D9:Z9"/>
    <mergeCell ref="AA9:AE9"/>
    <mergeCell ref="D10:Z10"/>
    <mergeCell ref="AA10:AE10"/>
    <mergeCell ref="AL12:BP12"/>
    <mergeCell ref="AL13:BP13"/>
    <mergeCell ref="AL15:BP15"/>
    <mergeCell ref="AL16:BP16"/>
    <mergeCell ref="AL14:BP14"/>
    <mergeCell ref="AF15:AH15"/>
    <mergeCell ref="AI15:AK15"/>
    <mergeCell ref="AF16:AH16"/>
    <mergeCell ref="AI16:AK16"/>
    <mergeCell ref="AL11:BP11"/>
    <mergeCell ref="AF11:AH11"/>
    <mergeCell ref="AI11:AK11"/>
    <mergeCell ref="AF12:AH12"/>
    <mergeCell ref="AI12:AK12"/>
    <mergeCell ref="D30:Z30"/>
    <mergeCell ref="AF30:AH30"/>
    <mergeCell ref="D18:Z18"/>
    <mergeCell ref="AA18:AE18"/>
    <mergeCell ref="D19:Z19"/>
    <mergeCell ref="D12:Z12"/>
    <mergeCell ref="AA12:AE12"/>
    <mergeCell ref="D13:Z13"/>
    <mergeCell ref="AA13:AE13"/>
    <mergeCell ref="AA19:AE19"/>
    <mergeCell ref="AF13:AH13"/>
    <mergeCell ref="D20:Z20"/>
    <mergeCell ref="AA20:AE20"/>
    <mergeCell ref="D21:Z21"/>
    <mergeCell ref="AA21:AE21"/>
    <mergeCell ref="D22:Z22"/>
    <mergeCell ref="AA22:AE22"/>
    <mergeCell ref="D23:Z23"/>
    <mergeCell ref="AA23:AE23"/>
    <mergeCell ref="D24:Z24"/>
    <mergeCell ref="AA24:AE24"/>
    <mergeCell ref="D25:Z25"/>
    <mergeCell ref="AA25:AE25"/>
    <mergeCell ref="D26:Z26"/>
    <mergeCell ref="AA26:AE26"/>
    <mergeCell ref="D94:Z94"/>
    <mergeCell ref="AA94:AE94"/>
    <mergeCell ref="D31:Z31"/>
    <mergeCell ref="AA31:AE31"/>
    <mergeCell ref="D32:Z32"/>
    <mergeCell ref="AA32:AE32"/>
    <mergeCell ref="D33:Z33"/>
    <mergeCell ref="AA33:AE33"/>
    <mergeCell ref="D34:Z34"/>
    <mergeCell ref="AA34:AE34"/>
    <mergeCell ref="D35:Z35"/>
    <mergeCell ref="AA35:AE35"/>
    <mergeCell ref="D56:Z56"/>
    <mergeCell ref="AA56:AE56"/>
    <mergeCell ref="D60:Z60"/>
    <mergeCell ref="AA60:AE60"/>
    <mergeCell ref="D64:Z64"/>
    <mergeCell ref="AA64:AE64"/>
    <mergeCell ref="D68:Z68"/>
    <mergeCell ref="AA68:AE68"/>
    <mergeCell ref="D71:Z71"/>
    <mergeCell ref="AA71:AE71"/>
    <mergeCell ref="D75:Z75"/>
    <mergeCell ref="AA75:AE75"/>
    <mergeCell ref="D11:Z11"/>
    <mergeCell ref="AA11:AE11"/>
    <mergeCell ref="D14:Z14"/>
    <mergeCell ref="AA14:AE14"/>
    <mergeCell ref="D15:Z15"/>
    <mergeCell ref="AA15:AE15"/>
    <mergeCell ref="D16:Z16"/>
    <mergeCell ref="AA16:AE16"/>
    <mergeCell ref="D17:Z17"/>
    <mergeCell ref="AA17:AE17"/>
    <mergeCell ref="A21:C21"/>
    <mergeCell ref="A11:C11"/>
    <mergeCell ref="A12:C12"/>
    <mergeCell ref="A13:C13"/>
    <mergeCell ref="A14:C14"/>
    <mergeCell ref="A15:C15"/>
    <mergeCell ref="A28:C28"/>
    <mergeCell ref="A29:C29"/>
    <mergeCell ref="A16:C16"/>
    <mergeCell ref="A17:C17"/>
    <mergeCell ref="A18:C18"/>
    <mergeCell ref="A19:C19"/>
    <mergeCell ref="A20:C20"/>
    <mergeCell ref="A39:C39"/>
    <mergeCell ref="A40:C40"/>
    <mergeCell ref="A41:C41"/>
    <mergeCell ref="A42:C42"/>
    <mergeCell ref="A43:C43"/>
    <mergeCell ref="A44:C44"/>
    <mergeCell ref="A37:C37"/>
    <mergeCell ref="A38:C38"/>
    <mergeCell ref="A22:C22"/>
    <mergeCell ref="A23:C23"/>
    <mergeCell ref="A24:C24"/>
    <mergeCell ref="A25:C25"/>
    <mergeCell ref="A26:C26"/>
    <mergeCell ref="A27:C27"/>
    <mergeCell ref="A36:C36"/>
    <mergeCell ref="A30:C30"/>
    <mergeCell ref="A32:C32"/>
    <mergeCell ref="A34:C34"/>
    <mergeCell ref="A31:C31"/>
    <mergeCell ref="A33:C33"/>
    <mergeCell ref="A35:C35"/>
    <mergeCell ref="A51:C51"/>
    <mergeCell ref="A52:C52"/>
    <mergeCell ref="A53:C53"/>
    <mergeCell ref="A54:C54"/>
    <mergeCell ref="A55:C55"/>
    <mergeCell ref="A56:C56"/>
    <mergeCell ref="A45:C45"/>
    <mergeCell ref="A46:C46"/>
    <mergeCell ref="A47:C47"/>
    <mergeCell ref="A48:C48"/>
    <mergeCell ref="A49:C49"/>
    <mergeCell ref="A50:C50"/>
    <mergeCell ref="A63:C63"/>
    <mergeCell ref="A64:C64"/>
    <mergeCell ref="A65:C65"/>
    <mergeCell ref="A66:C66"/>
    <mergeCell ref="A67:C67"/>
    <mergeCell ref="A68:C68"/>
    <mergeCell ref="A57:C57"/>
    <mergeCell ref="A58:C58"/>
    <mergeCell ref="A59:C59"/>
    <mergeCell ref="A60:C60"/>
    <mergeCell ref="A61:C61"/>
    <mergeCell ref="A62:C62"/>
    <mergeCell ref="A83:C83"/>
    <mergeCell ref="A84:C84"/>
    <mergeCell ref="A85:C85"/>
    <mergeCell ref="A95:C95"/>
    <mergeCell ref="A70:C70"/>
    <mergeCell ref="A71:C71"/>
    <mergeCell ref="A72:C72"/>
    <mergeCell ref="A73:C73"/>
    <mergeCell ref="A94:C94"/>
    <mergeCell ref="A92:C92"/>
    <mergeCell ref="A93:C93"/>
    <mergeCell ref="A86:C86"/>
    <mergeCell ref="A87:C87"/>
    <mergeCell ref="A88:C88"/>
    <mergeCell ref="A89:C89"/>
    <mergeCell ref="A90:C90"/>
    <mergeCell ref="A91:C91"/>
    <mergeCell ref="A80:C80"/>
    <mergeCell ref="A69:C69"/>
    <mergeCell ref="A74:C74"/>
    <mergeCell ref="A75:C75"/>
    <mergeCell ref="A76:C76"/>
    <mergeCell ref="A77:C77"/>
    <mergeCell ref="A78:C78"/>
    <mergeCell ref="A79:C79"/>
    <mergeCell ref="A81:C81"/>
    <mergeCell ref="A82:C82"/>
    <mergeCell ref="AI13:AK13"/>
    <mergeCell ref="AF14:AH14"/>
    <mergeCell ref="AI14:AK14"/>
    <mergeCell ref="AL19:BP19"/>
    <mergeCell ref="AL20:BP20"/>
    <mergeCell ref="AL17:BP17"/>
    <mergeCell ref="AL18:BP18"/>
    <mergeCell ref="AF17:AH17"/>
    <mergeCell ref="AI17:AK17"/>
    <mergeCell ref="AF18:AH18"/>
    <mergeCell ref="AI18:AK18"/>
    <mergeCell ref="AF19:AH19"/>
    <mergeCell ref="AI19:AK19"/>
    <mergeCell ref="AF20:AH20"/>
    <mergeCell ref="AI20:AK20"/>
    <mergeCell ref="AL23:BP23"/>
    <mergeCell ref="AL24:BP24"/>
    <mergeCell ref="AL21:BP21"/>
    <mergeCell ref="AL22:BP22"/>
    <mergeCell ref="AF21:AH21"/>
    <mergeCell ref="AI21:AK21"/>
    <mergeCell ref="AF22:AH22"/>
    <mergeCell ref="AI22:AK22"/>
    <mergeCell ref="AF23:AH23"/>
    <mergeCell ref="AI23:AK23"/>
    <mergeCell ref="AF24:AH24"/>
    <mergeCell ref="AI24:AK24"/>
    <mergeCell ref="AL27:BP27"/>
    <mergeCell ref="AL28:BP28"/>
    <mergeCell ref="AL25:BP25"/>
    <mergeCell ref="AL26:BP26"/>
    <mergeCell ref="AF25:AH25"/>
    <mergeCell ref="AI25:AK25"/>
    <mergeCell ref="AF26:AH26"/>
    <mergeCell ref="AI26:AK26"/>
    <mergeCell ref="AF27:AH27"/>
    <mergeCell ref="AI27:AK27"/>
    <mergeCell ref="AF28:AH28"/>
    <mergeCell ref="AI28:AK28"/>
    <mergeCell ref="AL37:BP37"/>
    <mergeCell ref="AL29:BP29"/>
    <mergeCell ref="AF29:AH29"/>
    <mergeCell ref="AI29:AK29"/>
    <mergeCell ref="AF37:AH37"/>
    <mergeCell ref="AI37:AK37"/>
    <mergeCell ref="AF36:AH36"/>
    <mergeCell ref="AI36:AK36"/>
    <mergeCell ref="AL36:BP36"/>
    <mergeCell ref="AI30:AK30"/>
    <mergeCell ref="AL30:BP30"/>
    <mergeCell ref="AF31:AH31"/>
    <mergeCell ref="AI31:AK31"/>
    <mergeCell ref="AL31:BP31"/>
    <mergeCell ref="AF32:AH32"/>
    <mergeCell ref="AI32:AK32"/>
    <mergeCell ref="AL32:BP32"/>
    <mergeCell ref="AF33:AH33"/>
    <mergeCell ref="AI33:AK33"/>
    <mergeCell ref="AL33:BP33"/>
    <mergeCell ref="AF34:AH34"/>
    <mergeCell ref="AI34:AK34"/>
    <mergeCell ref="AL34:BP34"/>
    <mergeCell ref="AF35:AH35"/>
    <mergeCell ref="AL40:BP40"/>
    <mergeCell ref="AL41:BP41"/>
    <mergeCell ref="AL38:BP38"/>
    <mergeCell ref="AL39:BP39"/>
    <mergeCell ref="AF38:AH38"/>
    <mergeCell ref="AI38:AK38"/>
    <mergeCell ref="AF39:AH39"/>
    <mergeCell ref="AI39:AK39"/>
    <mergeCell ref="AF40:AH40"/>
    <mergeCell ref="AI40:AK40"/>
    <mergeCell ref="AF41:AH41"/>
    <mergeCell ref="AI41:AK41"/>
    <mergeCell ref="AL44:BP44"/>
    <mergeCell ref="AL45:BP45"/>
    <mergeCell ref="AL42:BP42"/>
    <mergeCell ref="AL43:BP43"/>
    <mergeCell ref="AF42:AH42"/>
    <mergeCell ref="AI42:AK42"/>
    <mergeCell ref="AF43:AH43"/>
    <mergeCell ref="AI43:AK43"/>
    <mergeCell ref="AF44:AH44"/>
    <mergeCell ref="AI44:AK44"/>
    <mergeCell ref="AF45:AH45"/>
    <mergeCell ref="AI45:AK45"/>
    <mergeCell ref="AL48:BP48"/>
    <mergeCell ref="AL49:BP49"/>
    <mergeCell ref="AL46:BP46"/>
    <mergeCell ref="AL47:BP47"/>
    <mergeCell ref="AF46:AH46"/>
    <mergeCell ref="AI46:AK46"/>
    <mergeCell ref="AF47:AH47"/>
    <mergeCell ref="AI47:AK47"/>
    <mergeCell ref="AF48:AH48"/>
    <mergeCell ref="AI48:AK48"/>
    <mergeCell ref="AF49:AH49"/>
    <mergeCell ref="AI49:AK49"/>
    <mergeCell ref="AL52:BP52"/>
    <mergeCell ref="AL53:BP53"/>
    <mergeCell ref="AL50:BP50"/>
    <mergeCell ref="AL51:BP51"/>
    <mergeCell ref="AF50:AH50"/>
    <mergeCell ref="AI50:AK50"/>
    <mergeCell ref="AF51:AH51"/>
    <mergeCell ref="AI51:AK51"/>
    <mergeCell ref="AF52:AH52"/>
    <mergeCell ref="AI52:AK52"/>
    <mergeCell ref="AF53:AH53"/>
    <mergeCell ref="AI53:AK53"/>
    <mergeCell ref="AL56:BP56"/>
    <mergeCell ref="D57:Z57"/>
    <mergeCell ref="AA57:AE57"/>
    <mergeCell ref="AL57:BP57"/>
    <mergeCell ref="D54:Z54"/>
    <mergeCell ref="AA54:AE54"/>
    <mergeCell ref="AL54:BP54"/>
    <mergeCell ref="D55:Z55"/>
    <mergeCell ref="AA55:AE55"/>
    <mergeCell ref="AL55:BP55"/>
    <mergeCell ref="AF54:AH54"/>
    <mergeCell ref="AI54:AK54"/>
    <mergeCell ref="AF55:AH55"/>
    <mergeCell ref="AI55:AK55"/>
    <mergeCell ref="AF56:AH56"/>
    <mergeCell ref="AI56:AK56"/>
    <mergeCell ref="AF57:AH57"/>
    <mergeCell ref="AI57:AK57"/>
    <mergeCell ref="AL60:BP60"/>
    <mergeCell ref="D61:Z61"/>
    <mergeCell ref="AA61:AE61"/>
    <mergeCell ref="AL61:BP61"/>
    <mergeCell ref="D58:Z58"/>
    <mergeCell ref="AA58:AE58"/>
    <mergeCell ref="AL58:BP58"/>
    <mergeCell ref="D59:Z59"/>
    <mergeCell ref="AA59:AE59"/>
    <mergeCell ref="AL59:BP59"/>
    <mergeCell ref="AF58:AH58"/>
    <mergeCell ref="AI58:AK58"/>
    <mergeCell ref="AF59:AH59"/>
    <mergeCell ref="AI59:AK59"/>
    <mergeCell ref="AF60:AH60"/>
    <mergeCell ref="AI60:AK60"/>
    <mergeCell ref="AF61:AH61"/>
    <mergeCell ref="AI61:AK61"/>
    <mergeCell ref="AL64:BP64"/>
    <mergeCell ref="D65:Z65"/>
    <mergeCell ref="AA65:AE65"/>
    <mergeCell ref="AL65:BP65"/>
    <mergeCell ref="D62:Z62"/>
    <mergeCell ref="AA62:AE62"/>
    <mergeCell ref="AL62:BP62"/>
    <mergeCell ref="D63:Z63"/>
    <mergeCell ref="AA63:AE63"/>
    <mergeCell ref="AL63:BP63"/>
    <mergeCell ref="AF62:AH62"/>
    <mergeCell ref="AI62:AK62"/>
    <mergeCell ref="AF63:AH63"/>
    <mergeCell ref="AI63:AK63"/>
    <mergeCell ref="AF64:AH64"/>
    <mergeCell ref="AI64:AK64"/>
    <mergeCell ref="AF65:AH65"/>
    <mergeCell ref="AI65:AK65"/>
    <mergeCell ref="AL68:BP68"/>
    <mergeCell ref="D69:Z69"/>
    <mergeCell ref="AA69:AE69"/>
    <mergeCell ref="AL69:BP69"/>
    <mergeCell ref="D66:Z66"/>
    <mergeCell ref="AA66:AE66"/>
    <mergeCell ref="AL66:BP66"/>
    <mergeCell ref="D67:Z67"/>
    <mergeCell ref="AA67:AE67"/>
    <mergeCell ref="AL67:BP67"/>
    <mergeCell ref="AF66:AH66"/>
    <mergeCell ref="AI66:AK66"/>
    <mergeCell ref="AF67:AH67"/>
    <mergeCell ref="AI67:AK67"/>
    <mergeCell ref="AF68:AH68"/>
    <mergeCell ref="AI68:AK68"/>
    <mergeCell ref="AF69:AH69"/>
    <mergeCell ref="AI69:AK69"/>
    <mergeCell ref="AL71:BP71"/>
    <mergeCell ref="D72:Z72"/>
    <mergeCell ref="AA72:AE72"/>
    <mergeCell ref="AL72:BP72"/>
    <mergeCell ref="D70:Z70"/>
    <mergeCell ref="AA70:AE70"/>
    <mergeCell ref="AL70:BP70"/>
    <mergeCell ref="AF70:AH70"/>
    <mergeCell ref="AI70:AK70"/>
    <mergeCell ref="AF71:AH71"/>
    <mergeCell ref="AI71:AK71"/>
    <mergeCell ref="AF72:AH72"/>
    <mergeCell ref="AI72:AK72"/>
    <mergeCell ref="AL75:BP75"/>
    <mergeCell ref="D76:Z76"/>
    <mergeCell ref="AA76:AE76"/>
    <mergeCell ref="AL76:BP76"/>
    <mergeCell ref="D73:Z73"/>
    <mergeCell ref="AA73:AE73"/>
    <mergeCell ref="AL73:BP73"/>
    <mergeCell ref="D74:Z74"/>
    <mergeCell ref="AA74:AE74"/>
    <mergeCell ref="AL74:BP74"/>
    <mergeCell ref="AF73:AH73"/>
    <mergeCell ref="AI73:AK73"/>
    <mergeCell ref="AF74:AH74"/>
    <mergeCell ref="AI74:AK74"/>
    <mergeCell ref="AF75:AH75"/>
    <mergeCell ref="AI75:AK75"/>
    <mergeCell ref="AF76:AH76"/>
    <mergeCell ref="AI76:AK76"/>
    <mergeCell ref="D79:Z79"/>
    <mergeCell ref="AA79:AE79"/>
    <mergeCell ref="AL79:BP79"/>
    <mergeCell ref="D80:Z80"/>
    <mergeCell ref="AA80:AE80"/>
    <mergeCell ref="AL80:BP80"/>
    <mergeCell ref="D77:Z77"/>
    <mergeCell ref="AA77:AE77"/>
    <mergeCell ref="AL77:BP77"/>
    <mergeCell ref="D78:Z78"/>
    <mergeCell ref="AA78:AE78"/>
    <mergeCell ref="AL78:BP78"/>
    <mergeCell ref="AF77:AH77"/>
    <mergeCell ref="AI77:AK77"/>
    <mergeCell ref="AF78:AH78"/>
    <mergeCell ref="AI78:AK78"/>
    <mergeCell ref="AF79:AH79"/>
    <mergeCell ref="AI79:AK79"/>
    <mergeCell ref="AF80:AH80"/>
    <mergeCell ref="AI80:AK80"/>
    <mergeCell ref="D83:Z83"/>
    <mergeCell ref="AA83:AE83"/>
    <mergeCell ref="AL83:BP83"/>
    <mergeCell ref="D84:Z84"/>
    <mergeCell ref="AA84:AE84"/>
    <mergeCell ref="AL84:BP84"/>
    <mergeCell ref="D81:Z81"/>
    <mergeCell ref="AA81:AE81"/>
    <mergeCell ref="AL81:BP81"/>
    <mergeCell ref="D82:Z82"/>
    <mergeCell ref="AA82:AE82"/>
    <mergeCell ref="AL82:BP82"/>
    <mergeCell ref="AF81:AH81"/>
    <mergeCell ref="AI81:AK81"/>
    <mergeCell ref="AF82:AH82"/>
    <mergeCell ref="AI82:AK82"/>
    <mergeCell ref="AF83:AH83"/>
    <mergeCell ref="AI83:AK83"/>
    <mergeCell ref="AF84:AH84"/>
    <mergeCell ref="AI84:AK84"/>
    <mergeCell ref="D87:Z87"/>
    <mergeCell ref="AA87:AE87"/>
    <mergeCell ref="AL87:BP87"/>
    <mergeCell ref="D88:Z88"/>
    <mergeCell ref="AA88:AE88"/>
    <mergeCell ref="AL88:BP88"/>
    <mergeCell ref="D85:Z85"/>
    <mergeCell ref="AA85:AE85"/>
    <mergeCell ref="AL85:BP85"/>
    <mergeCell ref="D86:Z86"/>
    <mergeCell ref="AA86:AE86"/>
    <mergeCell ref="AL86:BP86"/>
    <mergeCell ref="AF85:AH85"/>
    <mergeCell ref="AI85:AK85"/>
    <mergeCell ref="AF86:AH86"/>
    <mergeCell ref="AI86:AK86"/>
    <mergeCell ref="AF87:AH87"/>
    <mergeCell ref="AI87:AK87"/>
    <mergeCell ref="AF88:AH88"/>
    <mergeCell ref="AI88:AK88"/>
    <mergeCell ref="D89:Z89"/>
    <mergeCell ref="AA89:AE89"/>
    <mergeCell ref="AL89:BP89"/>
    <mergeCell ref="D90:Z90"/>
    <mergeCell ref="AA90:AE90"/>
    <mergeCell ref="AL90:BP90"/>
    <mergeCell ref="AF89:AH89"/>
    <mergeCell ref="AI89:AK89"/>
    <mergeCell ref="AF90:AH90"/>
    <mergeCell ref="AI90:AK90"/>
    <mergeCell ref="D93:Z93"/>
    <mergeCell ref="AA93:AE93"/>
    <mergeCell ref="AL93:BP93"/>
    <mergeCell ref="AF93:AH93"/>
    <mergeCell ref="AI93:AK93"/>
    <mergeCell ref="D91:Z91"/>
    <mergeCell ref="AA91:AE91"/>
    <mergeCell ref="AL91:BP91"/>
    <mergeCell ref="D92:Z92"/>
    <mergeCell ref="AA92:AE92"/>
    <mergeCell ref="AL92:BP92"/>
    <mergeCell ref="AF91:AH91"/>
    <mergeCell ref="AI91:AK91"/>
    <mergeCell ref="AF92:AH92"/>
    <mergeCell ref="AI92:AK92"/>
    <mergeCell ref="D96:Z96"/>
    <mergeCell ref="AA96:AE96"/>
    <mergeCell ref="AL96:BP96"/>
    <mergeCell ref="A96:C96"/>
    <mergeCell ref="AF95:AH95"/>
    <mergeCell ref="AI95:AK95"/>
    <mergeCell ref="D95:Z95"/>
    <mergeCell ref="AA95:AE95"/>
    <mergeCell ref="AL95:BP95"/>
    <mergeCell ref="AF96:AH96"/>
    <mergeCell ref="AI96:AK9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F8:AH8"/>
    <mergeCell ref="AI8:AK8"/>
    <mergeCell ref="AF9:AH9"/>
    <mergeCell ref="AI9:AK9"/>
    <mergeCell ref="AF10:AH10"/>
    <mergeCell ref="AI10:AK10"/>
    <mergeCell ref="A8:C8"/>
    <mergeCell ref="D8:Z8"/>
    <mergeCell ref="AA8:AE8"/>
    <mergeCell ref="AL8:BP8"/>
    <mergeCell ref="A9:C9"/>
    <mergeCell ref="A10:C10"/>
    <mergeCell ref="AL9:BP9"/>
    <mergeCell ref="AL10:BP10"/>
    <mergeCell ref="A6:G6"/>
    <mergeCell ref="H6:N6"/>
    <mergeCell ref="O6:Y6"/>
    <mergeCell ref="Z6:BE6"/>
    <mergeCell ref="BF6:BI6"/>
    <mergeCell ref="BJ6:BP6"/>
    <mergeCell ref="D27:Z27"/>
    <mergeCell ref="AA27:AE27"/>
    <mergeCell ref="D28:Z28"/>
    <mergeCell ref="AA28:AE28"/>
    <mergeCell ref="D29:Z29"/>
    <mergeCell ref="AA29:AE29"/>
    <mergeCell ref="D37:Z37"/>
    <mergeCell ref="AA37:AE37"/>
    <mergeCell ref="AA30:AE30"/>
    <mergeCell ref="D38:Z38"/>
    <mergeCell ref="AA38:AE38"/>
    <mergeCell ref="D36:Z36"/>
    <mergeCell ref="AA36:AE36"/>
    <mergeCell ref="D39:Z39"/>
    <mergeCell ref="AA39:AE39"/>
    <mergeCell ref="D40:Z40"/>
    <mergeCell ref="AA40:AE40"/>
    <mergeCell ref="D41:Z41"/>
    <mergeCell ref="AA41:AE41"/>
    <mergeCell ref="D42:Z42"/>
    <mergeCell ref="AA42:AE42"/>
    <mergeCell ref="D43:Z43"/>
    <mergeCell ref="AA43:AE43"/>
    <mergeCell ref="D44:Z44"/>
    <mergeCell ref="AA44:AE44"/>
    <mergeCell ref="D45:Z45"/>
    <mergeCell ref="AA45:AE45"/>
    <mergeCell ref="D51:Z51"/>
    <mergeCell ref="AA51:AE51"/>
    <mergeCell ref="D52:Z52"/>
    <mergeCell ref="AA52:AE52"/>
    <mergeCell ref="D53:Z53"/>
    <mergeCell ref="AA53:AE53"/>
    <mergeCell ref="D46:Z46"/>
    <mergeCell ref="AA46:AE46"/>
    <mergeCell ref="D47:Z47"/>
    <mergeCell ref="AA47:AE47"/>
    <mergeCell ref="D48:Z48"/>
    <mergeCell ref="AA48:AE48"/>
    <mergeCell ref="D49:Z49"/>
    <mergeCell ref="AA49:AE49"/>
    <mergeCell ref="D50:Z50"/>
    <mergeCell ref="AA50:AE50"/>
  </mergeCells>
  <phoneticPr fontId="3"/>
  <dataValidations count="1">
    <dataValidation type="list" allowBlank="1" showInputMessage="1" showErrorMessage="1" sqref="BJ6:BP6" xr:uid="{BBBD832B-5962-469B-AD2D-F7C777D72544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53591-5111-471D-A62E-95A61256BFF8}">
  <sheetPr codeName="Sheet35"/>
  <dimension ref="A1:BR88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8" width="2.125" style="55"/>
    <col min="39" max="44" width="0" style="55" hidden="1" customWidth="1"/>
    <col min="45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144" t="s">
        <v>198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95" t="s">
        <v>614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601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125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117">
        <f t="shared" ref="A9:A71" si="0">ROW()-8</f>
        <v>1</v>
      </c>
      <c r="B9" s="118"/>
      <c r="C9" s="119"/>
      <c r="D9" s="208" t="s">
        <v>721</v>
      </c>
      <c r="E9" s="209"/>
      <c r="F9" s="209"/>
      <c r="G9" s="209"/>
      <c r="H9" s="209"/>
      <c r="I9" s="209"/>
      <c r="J9" s="209"/>
      <c r="K9" s="209"/>
      <c r="L9" s="209"/>
      <c r="M9" s="209"/>
      <c r="N9" s="209"/>
      <c r="O9" s="209"/>
      <c r="P9" s="209"/>
      <c r="Q9" s="209"/>
      <c r="R9" s="209"/>
      <c r="S9" s="209"/>
      <c r="T9" s="209"/>
      <c r="U9" s="209"/>
      <c r="V9" s="209"/>
      <c r="W9" s="209"/>
      <c r="X9" s="209"/>
      <c r="Y9" s="209"/>
      <c r="Z9" s="210"/>
      <c r="AA9" s="117" t="s">
        <v>653</v>
      </c>
      <c r="AB9" s="118"/>
      <c r="AC9" s="118"/>
      <c r="AD9" s="118"/>
      <c r="AE9" s="119"/>
      <c r="AF9" s="117">
        <v>4</v>
      </c>
      <c r="AG9" s="118"/>
      <c r="AH9" s="119"/>
      <c r="AI9" s="117"/>
      <c r="AJ9" s="118"/>
      <c r="AK9" s="119"/>
      <c r="AL9" s="211" t="s">
        <v>782</v>
      </c>
      <c r="AM9" s="212"/>
      <c r="AN9" s="212"/>
      <c r="AO9" s="212"/>
      <c r="AP9" s="212"/>
      <c r="AQ9" s="212"/>
      <c r="AR9" s="212"/>
      <c r="AS9" s="212"/>
      <c r="AT9" s="212"/>
      <c r="AU9" s="212"/>
      <c r="AV9" s="212"/>
      <c r="AW9" s="212"/>
      <c r="AX9" s="212"/>
      <c r="AY9" s="212"/>
      <c r="AZ9" s="212"/>
      <c r="BA9" s="212"/>
      <c r="BB9" s="212"/>
      <c r="BC9" s="212"/>
      <c r="BD9" s="212"/>
      <c r="BE9" s="212"/>
      <c r="BF9" s="212"/>
      <c r="BG9" s="212"/>
      <c r="BH9" s="212"/>
      <c r="BI9" s="212"/>
      <c r="BJ9" s="212"/>
      <c r="BK9" s="212"/>
      <c r="BL9" s="212"/>
      <c r="BM9" s="212"/>
      <c r="BN9" s="212"/>
      <c r="BO9" s="212"/>
      <c r="BP9" s="213"/>
    </row>
    <row r="10" spans="1:70" s="1" customFormat="1" ht="30.75" customHeight="1">
      <c r="A10" s="74">
        <f t="shared" si="0"/>
        <v>2</v>
      </c>
      <c r="B10" s="75"/>
      <c r="C10" s="76"/>
      <c r="D10" s="199" t="s">
        <v>722</v>
      </c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1"/>
      <c r="AA10" s="205" t="s">
        <v>654</v>
      </c>
      <c r="AB10" s="206"/>
      <c r="AC10" s="206"/>
      <c r="AD10" s="206"/>
      <c r="AE10" s="207"/>
      <c r="AF10" s="74">
        <v>15</v>
      </c>
      <c r="AG10" s="75"/>
      <c r="AH10" s="76"/>
      <c r="AI10" s="74"/>
      <c r="AJ10" s="75"/>
      <c r="AK10" s="76"/>
      <c r="AL10" s="202" t="s">
        <v>783</v>
      </c>
      <c r="AM10" s="203"/>
      <c r="AN10" s="203"/>
      <c r="AO10" s="203"/>
      <c r="AP10" s="203"/>
      <c r="AQ10" s="203"/>
      <c r="AR10" s="203"/>
      <c r="AS10" s="203"/>
      <c r="AT10" s="203"/>
      <c r="AU10" s="203"/>
      <c r="AV10" s="203"/>
      <c r="AW10" s="203"/>
      <c r="AX10" s="203"/>
      <c r="AY10" s="203"/>
      <c r="AZ10" s="203"/>
      <c r="BA10" s="203"/>
      <c r="BB10" s="203"/>
      <c r="BC10" s="203"/>
      <c r="BD10" s="203"/>
      <c r="BE10" s="203"/>
      <c r="BF10" s="203"/>
      <c r="BG10" s="203"/>
      <c r="BH10" s="203"/>
      <c r="BI10" s="203"/>
      <c r="BJ10" s="203"/>
      <c r="BK10" s="203"/>
      <c r="BL10" s="203"/>
      <c r="BM10" s="203"/>
      <c r="BN10" s="203"/>
      <c r="BO10" s="203"/>
      <c r="BP10" s="204"/>
    </row>
    <row r="11" spans="1:70" s="1" customFormat="1" ht="30.75" customHeight="1">
      <c r="A11" s="74">
        <f t="shared" si="0"/>
        <v>3</v>
      </c>
      <c r="B11" s="75"/>
      <c r="C11" s="76"/>
      <c r="D11" s="199" t="s">
        <v>723</v>
      </c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1"/>
      <c r="AA11" s="205" t="s">
        <v>19</v>
      </c>
      <c r="AB11" s="206"/>
      <c r="AC11" s="206"/>
      <c r="AD11" s="206"/>
      <c r="AE11" s="207"/>
      <c r="AF11" s="74">
        <v>2</v>
      </c>
      <c r="AG11" s="75"/>
      <c r="AH11" s="76"/>
      <c r="AI11" s="74"/>
      <c r="AJ11" s="75"/>
      <c r="AK11" s="76"/>
      <c r="AL11" s="202" t="s">
        <v>784</v>
      </c>
      <c r="AM11" s="203"/>
      <c r="AN11" s="203"/>
      <c r="AO11" s="203"/>
      <c r="AP11" s="203"/>
      <c r="AQ11" s="203"/>
      <c r="AR11" s="203"/>
      <c r="AS11" s="203"/>
      <c r="AT11" s="203"/>
      <c r="AU11" s="203"/>
      <c r="AV11" s="203"/>
      <c r="AW11" s="203"/>
      <c r="AX11" s="203"/>
      <c r="AY11" s="203"/>
      <c r="AZ11" s="203"/>
      <c r="BA11" s="203"/>
      <c r="BB11" s="203"/>
      <c r="BC11" s="203"/>
      <c r="BD11" s="203"/>
      <c r="BE11" s="203"/>
      <c r="BF11" s="203"/>
      <c r="BG11" s="203"/>
      <c r="BH11" s="203"/>
      <c r="BI11" s="203"/>
      <c r="BJ11" s="203"/>
      <c r="BK11" s="203"/>
      <c r="BL11" s="203"/>
      <c r="BM11" s="203"/>
      <c r="BN11" s="203"/>
      <c r="BO11" s="203"/>
      <c r="BP11" s="204"/>
    </row>
    <row r="12" spans="1:70" s="1" customFormat="1" ht="30.75" customHeight="1">
      <c r="A12" s="74">
        <f t="shared" si="0"/>
        <v>4</v>
      </c>
      <c r="B12" s="75"/>
      <c r="C12" s="76"/>
      <c r="D12" s="199" t="s">
        <v>724</v>
      </c>
      <c r="E12" s="200"/>
      <c r="F12" s="200"/>
      <c r="G12" s="200"/>
      <c r="H12" s="200"/>
      <c r="I12" s="200"/>
      <c r="J12" s="200"/>
      <c r="K12" s="200"/>
      <c r="L12" s="200"/>
      <c r="M12" s="200"/>
      <c r="N12" s="200"/>
      <c r="O12" s="200"/>
      <c r="P12" s="200"/>
      <c r="Q12" s="200"/>
      <c r="R12" s="200"/>
      <c r="S12" s="200"/>
      <c r="T12" s="200"/>
      <c r="U12" s="200"/>
      <c r="V12" s="200"/>
      <c r="W12" s="200"/>
      <c r="X12" s="200"/>
      <c r="Y12" s="200"/>
      <c r="Z12" s="201"/>
      <c r="AA12" s="205" t="s">
        <v>654</v>
      </c>
      <c r="AB12" s="206"/>
      <c r="AC12" s="206"/>
      <c r="AD12" s="206"/>
      <c r="AE12" s="207"/>
      <c r="AF12" s="74">
        <v>10</v>
      </c>
      <c r="AG12" s="75"/>
      <c r="AH12" s="76"/>
      <c r="AI12" s="74"/>
      <c r="AJ12" s="75"/>
      <c r="AK12" s="76"/>
      <c r="AL12" s="202" t="s">
        <v>785</v>
      </c>
      <c r="AM12" s="203"/>
      <c r="AN12" s="203"/>
      <c r="AO12" s="203"/>
      <c r="AP12" s="203"/>
      <c r="AQ12" s="203"/>
      <c r="AR12" s="203"/>
      <c r="AS12" s="203"/>
      <c r="AT12" s="203"/>
      <c r="AU12" s="203"/>
      <c r="AV12" s="203"/>
      <c r="AW12" s="203"/>
      <c r="AX12" s="203"/>
      <c r="AY12" s="203"/>
      <c r="AZ12" s="203"/>
      <c r="BA12" s="203"/>
      <c r="BB12" s="203"/>
      <c r="BC12" s="203"/>
      <c r="BD12" s="203"/>
      <c r="BE12" s="203"/>
      <c r="BF12" s="203"/>
      <c r="BG12" s="203"/>
      <c r="BH12" s="203"/>
      <c r="BI12" s="203"/>
      <c r="BJ12" s="203"/>
      <c r="BK12" s="203"/>
      <c r="BL12" s="203"/>
      <c r="BM12" s="203"/>
      <c r="BN12" s="203"/>
      <c r="BO12" s="203"/>
      <c r="BP12" s="204"/>
    </row>
    <row r="13" spans="1:70" s="1" customFormat="1" ht="67.5" customHeight="1">
      <c r="A13" s="74">
        <f t="shared" si="0"/>
        <v>5</v>
      </c>
      <c r="B13" s="75"/>
      <c r="C13" s="76"/>
      <c r="D13" s="199" t="s">
        <v>725</v>
      </c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1"/>
      <c r="AA13" s="205" t="s">
        <v>653</v>
      </c>
      <c r="AB13" s="206"/>
      <c r="AC13" s="206"/>
      <c r="AD13" s="206"/>
      <c r="AE13" s="207"/>
      <c r="AF13" s="74">
        <v>2</v>
      </c>
      <c r="AG13" s="75"/>
      <c r="AH13" s="76"/>
      <c r="AI13" s="74"/>
      <c r="AJ13" s="75"/>
      <c r="AK13" s="76"/>
      <c r="AL13" s="202" t="s">
        <v>1314</v>
      </c>
      <c r="AM13" s="203"/>
      <c r="AN13" s="203"/>
      <c r="AO13" s="203"/>
      <c r="AP13" s="203"/>
      <c r="AQ13" s="203"/>
      <c r="AR13" s="203"/>
      <c r="AS13" s="203"/>
      <c r="AT13" s="203"/>
      <c r="AU13" s="203"/>
      <c r="AV13" s="203"/>
      <c r="AW13" s="203"/>
      <c r="AX13" s="203"/>
      <c r="AY13" s="203"/>
      <c r="AZ13" s="203"/>
      <c r="BA13" s="203"/>
      <c r="BB13" s="203"/>
      <c r="BC13" s="203"/>
      <c r="BD13" s="203"/>
      <c r="BE13" s="203"/>
      <c r="BF13" s="203"/>
      <c r="BG13" s="203"/>
      <c r="BH13" s="203"/>
      <c r="BI13" s="203"/>
      <c r="BJ13" s="203"/>
      <c r="BK13" s="203"/>
      <c r="BL13" s="203"/>
      <c r="BM13" s="203"/>
      <c r="BN13" s="203"/>
      <c r="BO13" s="203"/>
      <c r="BP13" s="204"/>
    </row>
    <row r="14" spans="1:70" s="1" customFormat="1" ht="30.75" customHeight="1">
      <c r="A14" s="74">
        <f t="shared" si="0"/>
        <v>6</v>
      </c>
      <c r="B14" s="75"/>
      <c r="C14" s="76"/>
      <c r="D14" s="199" t="s">
        <v>726</v>
      </c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1"/>
      <c r="AA14" s="205" t="s">
        <v>654</v>
      </c>
      <c r="AB14" s="206"/>
      <c r="AC14" s="206"/>
      <c r="AD14" s="206"/>
      <c r="AE14" s="207"/>
      <c r="AF14" s="86">
        <v>20</v>
      </c>
      <c r="AG14" s="86"/>
      <c r="AH14" s="86"/>
      <c r="AI14" s="86"/>
      <c r="AJ14" s="86"/>
      <c r="AK14" s="86"/>
      <c r="AL14" s="202" t="s">
        <v>786</v>
      </c>
      <c r="AM14" s="203"/>
      <c r="AN14" s="203"/>
      <c r="AO14" s="203"/>
      <c r="AP14" s="203"/>
      <c r="AQ14" s="203"/>
      <c r="AR14" s="203"/>
      <c r="AS14" s="203"/>
      <c r="AT14" s="203"/>
      <c r="AU14" s="203"/>
      <c r="AV14" s="203"/>
      <c r="AW14" s="203"/>
      <c r="AX14" s="203"/>
      <c r="AY14" s="203"/>
      <c r="AZ14" s="203"/>
      <c r="BA14" s="203"/>
      <c r="BB14" s="203"/>
      <c r="BC14" s="203"/>
      <c r="BD14" s="203"/>
      <c r="BE14" s="203"/>
      <c r="BF14" s="203"/>
      <c r="BG14" s="203"/>
      <c r="BH14" s="203"/>
      <c r="BI14" s="203"/>
      <c r="BJ14" s="203"/>
      <c r="BK14" s="203"/>
      <c r="BL14" s="203"/>
      <c r="BM14" s="203"/>
      <c r="BN14" s="203"/>
      <c r="BO14" s="203"/>
      <c r="BP14" s="204"/>
    </row>
    <row r="15" spans="1:70" s="1" customFormat="1" ht="30.75" customHeight="1">
      <c r="A15" s="74">
        <f t="shared" si="0"/>
        <v>7</v>
      </c>
      <c r="B15" s="75"/>
      <c r="C15" s="76"/>
      <c r="D15" s="199" t="s">
        <v>727</v>
      </c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201"/>
      <c r="AA15" s="205" t="s">
        <v>653</v>
      </c>
      <c r="AB15" s="206"/>
      <c r="AC15" s="206"/>
      <c r="AD15" s="206"/>
      <c r="AE15" s="207"/>
      <c r="AF15" s="86">
        <v>2</v>
      </c>
      <c r="AG15" s="86"/>
      <c r="AH15" s="86"/>
      <c r="AI15" s="86"/>
      <c r="AJ15" s="86"/>
      <c r="AK15" s="86"/>
      <c r="AL15" s="202" t="s">
        <v>787</v>
      </c>
      <c r="AM15" s="203"/>
      <c r="AN15" s="203"/>
      <c r="AO15" s="203"/>
      <c r="AP15" s="203"/>
      <c r="AQ15" s="203"/>
      <c r="AR15" s="203"/>
      <c r="AS15" s="203"/>
      <c r="AT15" s="203"/>
      <c r="AU15" s="203"/>
      <c r="AV15" s="203"/>
      <c r="AW15" s="203"/>
      <c r="AX15" s="203"/>
      <c r="AY15" s="203"/>
      <c r="AZ15" s="203"/>
      <c r="BA15" s="203"/>
      <c r="BB15" s="203"/>
      <c r="BC15" s="203"/>
      <c r="BD15" s="203"/>
      <c r="BE15" s="203"/>
      <c r="BF15" s="203"/>
      <c r="BG15" s="203"/>
      <c r="BH15" s="203"/>
      <c r="BI15" s="203"/>
      <c r="BJ15" s="203"/>
      <c r="BK15" s="203"/>
      <c r="BL15" s="203"/>
      <c r="BM15" s="203"/>
      <c r="BN15" s="203"/>
      <c r="BO15" s="203"/>
      <c r="BP15" s="204"/>
    </row>
    <row r="16" spans="1:70" s="1" customFormat="1" ht="30.75" customHeight="1">
      <c r="A16" s="74">
        <f t="shared" si="0"/>
        <v>8</v>
      </c>
      <c r="B16" s="75"/>
      <c r="C16" s="76"/>
      <c r="D16" s="199" t="s">
        <v>728</v>
      </c>
      <c r="E16" s="200"/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200"/>
      <c r="V16" s="200"/>
      <c r="W16" s="200"/>
      <c r="X16" s="200"/>
      <c r="Y16" s="200"/>
      <c r="Z16" s="201"/>
      <c r="AA16" s="205" t="s">
        <v>654</v>
      </c>
      <c r="AB16" s="206"/>
      <c r="AC16" s="206"/>
      <c r="AD16" s="206"/>
      <c r="AE16" s="207"/>
      <c r="AF16" s="86">
        <v>20</v>
      </c>
      <c r="AG16" s="86"/>
      <c r="AH16" s="86"/>
      <c r="AI16" s="86"/>
      <c r="AJ16" s="86"/>
      <c r="AK16" s="86"/>
      <c r="AL16" s="202" t="s">
        <v>788</v>
      </c>
      <c r="AM16" s="203"/>
      <c r="AN16" s="203"/>
      <c r="AO16" s="203"/>
      <c r="AP16" s="203"/>
      <c r="AQ16" s="203"/>
      <c r="AR16" s="203"/>
      <c r="AS16" s="203"/>
      <c r="AT16" s="203"/>
      <c r="AU16" s="203"/>
      <c r="AV16" s="203"/>
      <c r="AW16" s="203"/>
      <c r="AX16" s="203"/>
      <c r="AY16" s="203"/>
      <c r="AZ16" s="203"/>
      <c r="BA16" s="203"/>
      <c r="BB16" s="203"/>
      <c r="BC16" s="203"/>
      <c r="BD16" s="203"/>
      <c r="BE16" s="203"/>
      <c r="BF16" s="203"/>
      <c r="BG16" s="203"/>
      <c r="BH16" s="203"/>
      <c r="BI16" s="203"/>
      <c r="BJ16" s="203"/>
      <c r="BK16" s="203"/>
      <c r="BL16" s="203"/>
      <c r="BM16" s="203"/>
      <c r="BN16" s="203"/>
      <c r="BO16" s="203"/>
      <c r="BP16" s="204"/>
    </row>
    <row r="17" spans="1:68" s="1" customFormat="1" ht="30.75" customHeight="1">
      <c r="A17" s="74">
        <f t="shared" si="0"/>
        <v>9</v>
      </c>
      <c r="B17" s="75"/>
      <c r="C17" s="76"/>
      <c r="D17" s="199" t="s">
        <v>729</v>
      </c>
      <c r="E17" s="200"/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200"/>
      <c r="W17" s="200"/>
      <c r="X17" s="200"/>
      <c r="Y17" s="200"/>
      <c r="Z17" s="201"/>
      <c r="AA17" s="205" t="s">
        <v>653</v>
      </c>
      <c r="AB17" s="206"/>
      <c r="AC17" s="206"/>
      <c r="AD17" s="206"/>
      <c r="AE17" s="207"/>
      <c r="AF17" s="86">
        <v>1</v>
      </c>
      <c r="AG17" s="86"/>
      <c r="AH17" s="86"/>
      <c r="AI17" s="86"/>
      <c r="AJ17" s="86"/>
      <c r="AK17" s="86"/>
      <c r="AL17" s="202" t="s">
        <v>1361</v>
      </c>
      <c r="AM17" s="203"/>
      <c r="AN17" s="203"/>
      <c r="AO17" s="203"/>
      <c r="AP17" s="203"/>
      <c r="AQ17" s="203"/>
      <c r="AR17" s="203"/>
      <c r="AS17" s="203"/>
      <c r="AT17" s="203"/>
      <c r="AU17" s="203"/>
      <c r="AV17" s="203"/>
      <c r="AW17" s="203"/>
      <c r="AX17" s="203"/>
      <c r="AY17" s="203"/>
      <c r="AZ17" s="203"/>
      <c r="BA17" s="203"/>
      <c r="BB17" s="203"/>
      <c r="BC17" s="203"/>
      <c r="BD17" s="203"/>
      <c r="BE17" s="203"/>
      <c r="BF17" s="203"/>
      <c r="BG17" s="203"/>
      <c r="BH17" s="203"/>
      <c r="BI17" s="203"/>
      <c r="BJ17" s="203"/>
      <c r="BK17" s="203"/>
      <c r="BL17" s="203"/>
      <c r="BM17" s="203"/>
      <c r="BN17" s="203"/>
      <c r="BO17" s="203"/>
      <c r="BP17" s="204"/>
    </row>
    <row r="18" spans="1:68" s="1" customFormat="1" ht="30.75" customHeight="1">
      <c r="A18" s="74">
        <f t="shared" si="0"/>
        <v>10</v>
      </c>
      <c r="B18" s="75"/>
      <c r="C18" s="76"/>
      <c r="D18" s="199" t="s">
        <v>730</v>
      </c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1"/>
      <c r="AA18" s="205" t="s">
        <v>654</v>
      </c>
      <c r="AB18" s="206"/>
      <c r="AC18" s="206"/>
      <c r="AD18" s="206"/>
      <c r="AE18" s="207"/>
      <c r="AF18" s="74">
        <v>20</v>
      </c>
      <c r="AG18" s="75"/>
      <c r="AH18" s="76"/>
      <c r="AI18" s="74"/>
      <c r="AJ18" s="75"/>
      <c r="AK18" s="76"/>
      <c r="AL18" s="202" t="s">
        <v>789</v>
      </c>
      <c r="AM18" s="203"/>
      <c r="AN18" s="203"/>
      <c r="AO18" s="203"/>
      <c r="AP18" s="203"/>
      <c r="AQ18" s="203"/>
      <c r="AR18" s="203"/>
      <c r="AS18" s="203"/>
      <c r="AT18" s="203"/>
      <c r="AU18" s="203"/>
      <c r="AV18" s="203"/>
      <c r="AW18" s="203"/>
      <c r="AX18" s="203"/>
      <c r="AY18" s="203"/>
      <c r="AZ18" s="203"/>
      <c r="BA18" s="203"/>
      <c r="BB18" s="203"/>
      <c r="BC18" s="203"/>
      <c r="BD18" s="203"/>
      <c r="BE18" s="203"/>
      <c r="BF18" s="203"/>
      <c r="BG18" s="203"/>
      <c r="BH18" s="203"/>
      <c r="BI18" s="203"/>
      <c r="BJ18" s="203"/>
      <c r="BK18" s="203"/>
      <c r="BL18" s="203"/>
      <c r="BM18" s="203"/>
      <c r="BN18" s="203"/>
      <c r="BO18" s="203"/>
      <c r="BP18" s="204"/>
    </row>
    <row r="19" spans="1:68" s="1" customFormat="1" ht="30.75" customHeight="1">
      <c r="A19" s="74">
        <f t="shared" si="0"/>
        <v>11</v>
      </c>
      <c r="B19" s="75"/>
      <c r="C19" s="76"/>
      <c r="D19" s="199" t="s">
        <v>731</v>
      </c>
      <c r="E19" s="200"/>
      <c r="F19" s="200"/>
      <c r="G19" s="200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200"/>
      <c r="S19" s="200"/>
      <c r="T19" s="200"/>
      <c r="U19" s="200"/>
      <c r="V19" s="200"/>
      <c r="W19" s="200"/>
      <c r="X19" s="200"/>
      <c r="Y19" s="200"/>
      <c r="Z19" s="201"/>
      <c r="AA19" s="205" t="s">
        <v>653</v>
      </c>
      <c r="AB19" s="206"/>
      <c r="AC19" s="206"/>
      <c r="AD19" s="206"/>
      <c r="AE19" s="207"/>
      <c r="AF19" s="74">
        <v>4</v>
      </c>
      <c r="AG19" s="75"/>
      <c r="AH19" s="76"/>
      <c r="AI19" s="74"/>
      <c r="AJ19" s="75"/>
      <c r="AK19" s="76"/>
      <c r="AL19" s="202" t="s">
        <v>790</v>
      </c>
      <c r="AM19" s="203"/>
      <c r="AN19" s="203"/>
      <c r="AO19" s="203"/>
      <c r="AP19" s="203"/>
      <c r="AQ19" s="203"/>
      <c r="AR19" s="203"/>
      <c r="AS19" s="203"/>
      <c r="AT19" s="203"/>
      <c r="AU19" s="203"/>
      <c r="AV19" s="203"/>
      <c r="AW19" s="203"/>
      <c r="AX19" s="203"/>
      <c r="AY19" s="203"/>
      <c r="AZ19" s="203"/>
      <c r="BA19" s="203"/>
      <c r="BB19" s="203"/>
      <c r="BC19" s="203"/>
      <c r="BD19" s="203"/>
      <c r="BE19" s="203"/>
      <c r="BF19" s="203"/>
      <c r="BG19" s="203"/>
      <c r="BH19" s="203"/>
      <c r="BI19" s="203"/>
      <c r="BJ19" s="203"/>
      <c r="BK19" s="203"/>
      <c r="BL19" s="203"/>
      <c r="BM19" s="203"/>
      <c r="BN19" s="203"/>
      <c r="BO19" s="203"/>
      <c r="BP19" s="204"/>
    </row>
    <row r="20" spans="1:68" s="1" customFormat="1" ht="30.75" customHeight="1">
      <c r="A20" s="74">
        <f t="shared" si="0"/>
        <v>12</v>
      </c>
      <c r="B20" s="75"/>
      <c r="C20" s="76"/>
      <c r="D20" s="199" t="s">
        <v>732</v>
      </c>
      <c r="E20" s="200"/>
      <c r="F20" s="200"/>
      <c r="G20" s="200"/>
      <c r="H20" s="200"/>
      <c r="I20" s="200"/>
      <c r="J20" s="200"/>
      <c r="K20" s="200"/>
      <c r="L20" s="200"/>
      <c r="M20" s="200"/>
      <c r="N20" s="200"/>
      <c r="O20" s="200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1"/>
      <c r="AA20" s="74" t="s">
        <v>654</v>
      </c>
      <c r="AB20" s="75"/>
      <c r="AC20" s="75"/>
      <c r="AD20" s="75"/>
      <c r="AE20" s="76"/>
      <c r="AF20" s="74">
        <v>15</v>
      </c>
      <c r="AG20" s="75"/>
      <c r="AH20" s="76"/>
      <c r="AI20" s="74"/>
      <c r="AJ20" s="75"/>
      <c r="AK20" s="76"/>
      <c r="AL20" s="202" t="s">
        <v>791</v>
      </c>
      <c r="AM20" s="203"/>
      <c r="AN20" s="203"/>
      <c r="AO20" s="203"/>
      <c r="AP20" s="203"/>
      <c r="AQ20" s="203"/>
      <c r="AR20" s="203"/>
      <c r="AS20" s="203"/>
      <c r="AT20" s="203"/>
      <c r="AU20" s="203"/>
      <c r="AV20" s="203"/>
      <c r="AW20" s="203"/>
      <c r="AX20" s="203"/>
      <c r="AY20" s="203"/>
      <c r="AZ20" s="203"/>
      <c r="BA20" s="203"/>
      <c r="BB20" s="203"/>
      <c r="BC20" s="203"/>
      <c r="BD20" s="203"/>
      <c r="BE20" s="203"/>
      <c r="BF20" s="203"/>
      <c r="BG20" s="203"/>
      <c r="BH20" s="203"/>
      <c r="BI20" s="203"/>
      <c r="BJ20" s="203"/>
      <c r="BK20" s="203"/>
      <c r="BL20" s="203"/>
      <c r="BM20" s="203"/>
      <c r="BN20" s="203"/>
      <c r="BO20" s="203"/>
      <c r="BP20" s="204"/>
    </row>
    <row r="21" spans="1:68" s="1" customFormat="1" ht="30.75" customHeight="1">
      <c r="A21" s="74">
        <f t="shared" si="0"/>
        <v>13</v>
      </c>
      <c r="B21" s="75"/>
      <c r="C21" s="76"/>
      <c r="D21" s="199" t="s">
        <v>733</v>
      </c>
      <c r="E21" s="200"/>
      <c r="F21" s="200"/>
      <c r="G21" s="200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1"/>
      <c r="AA21" s="74" t="s">
        <v>653</v>
      </c>
      <c r="AB21" s="75"/>
      <c r="AC21" s="75"/>
      <c r="AD21" s="75"/>
      <c r="AE21" s="76"/>
      <c r="AF21" s="74">
        <v>1</v>
      </c>
      <c r="AG21" s="75"/>
      <c r="AH21" s="76"/>
      <c r="AI21" s="74"/>
      <c r="AJ21" s="75"/>
      <c r="AK21" s="76"/>
      <c r="AL21" s="202" t="s">
        <v>792</v>
      </c>
      <c r="AM21" s="203"/>
      <c r="AN21" s="203"/>
      <c r="AO21" s="203"/>
      <c r="AP21" s="203"/>
      <c r="AQ21" s="203"/>
      <c r="AR21" s="203"/>
      <c r="AS21" s="203"/>
      <c r="AT21" s="203"/>
      <c r="AU21" s="203"/>
      <c r="AV21" s="203"/>
      <c r="AW21" s="203"/>
      <c r="AX21" s="203"/>
      <c r="AY21" s="203"/>
      <c r="AZ21" s="203"/>
      <c r="BA21" s="203"/>
      <c r="BB21" s="203"/>
      <c r="BC21" s="203"/>
      <c r="BD21" s="203"/>
      <c r="BE21" s="203"/>
      <c r="BF21" s="203"/>
      <c r="BG21" s="203"/>
      <c r="BH21" s="203"/>
      <c r="BI21" s="203"/>
      <c r="BJ21" s="203"/>
      <c r="BK21" s="203"/>
      <c r="BL21" s="203"/>
      <c r="BM21" s="203"/>
      <c r="BN21" s="203"/>
      <c r="BO21" s="203"/>
      <c r="BP21" s="204"/>
    </row>
    <row r="22" spans="1:68" s="1" customFormat="1" ht="30.75" customHeight="1">
      <c r="A22" s="74">
        <f t="shared" si="0"/>
        <v>14</v>
      </c>
      <c r="B22" s="75"/>
      <c r="C22" s="76"/>
      <c r="D22" s="199" t="s">
        <v>734</v>
      </c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1"/>
      <c r="AA22" s="74" t="s">
        <v>653</v>
      </c>
      <c r="AB22" s="75"/>
      <c r="AC22" s="75"/>
      <c r="AD22" s="75"/>
      <c r="AE22" s="76"/>
      <c r="AF22" s="74">
        <v>1</v>
      </c>
      <c r="AG22" s="75"/>
      <c r="AH22" s="76"/>
      <c r="AI22" s="74"/>
      <c r="AJ22" s="75"/>
      <c r="AK22" s="76"/>
      <c r="AL22" s="202" t="s">
        <v>793</v>
      </c>
      <c r="AM22" s="203"/>
      <c r="AN22" s="203"/>
      <c r="AO22" s="203"/>
      <c r="AP22" s="203"/>
      <c r="AQ22" s="203"/>
      <c r="AR22" s="203"/>
      <c r="AS22" s="203"/>
      <c r="AT22" s="203"/>
      <c r="AU22" s="203"/>
      <c r="AV22" s="203"/>
      <c r="AW22" s="203"/>
      <c r="AX22" s="203"/>
      <c r="AY22" s="203"/>
      <c r="AZ22" s="203"/>
      <c r="BA22" s="203"/>
      <c r="BB22" s="203"/>
      <c r="BC22" s="203"/>
      <c r="BD22" s="203"/>
      <c r="BE22" s="203"/>
      <c r="BF22" s="203"/>
      <c r="BG22" s="203"/>
      <c r="BH22" s="203"/>
      <c r="BI22" s="203"/>
      <c r="BJ22" s="203"/>
      <c r="BK22" s="203"/>
      <c r="BL22" s="203"/>
      <c r="BM22" s="203"/>
      <c r="BN22" s="203"/>
      <c r="BO22" s="203"/>
      <c r="BP22" s="204"/>
    </row>
    <row r="23" spans="1:68" s="1" customFormat="1" ht="30.75" customHeight="1">
      <c r="A23" s="74">
        <f t="shared" si="0"/>
        <v>15</v>
      </c>
      <c r="B23" s="75"/>
      <c r="C23" s="76"/>
      <c r="D23" s="199" t="s">
        <v>1035</v>
      </c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201"/>
      <c r="AA23" s="74" t="s">
        <v>653</v>
      </c>
      <c r="AB23" s="75"/>
      <c r="AC23" s="75"/>
      <c r="AD23" s="75"/>
      <c r="AE23" s="76"/>
      <c r="AF23" s="74">
        <v>4</v>
      </c>
      <c r="AG23" s="75"/>
      <c r="AH23" s="76"/>
      <c r="AI23" s="74"/>
      <c r="AJ23" s="75"/>
      <c r="AK23" s="76"/>
      <c r="AL23" s="202" t="s">
        <v>1036</v>
      </c>
      <c r="AM23" s="203"/>
      <c r="AN23" s="203"/>
      <c r="AO23" s="203"/>
      <c r="AP23" s="203"/>
      <c r="AQ23" s="203"/>
      <c r="AR23" s="203"/>
      <c r="AS23" s="203"/>
      <c r="AT23" s="203"/>
      <c r="AU23" s="203"/>
      <c r="AV23" s="203"/>
      <c r="AW23" s="203"/>
      <c r="AX23" s="203"/>
      <c r="AY23" s="203"/>
      <c r="AZ23" s="203"/>
      <c r="BA23" s="203"/>
      <c r="BB23" s="203"/>
      <c r="BC23" s="203"/>
      <c r="BD23" s="203"/>
      <c r="BE23" s="203"/>
      <c r="BF23" s="203"/>
      <c r="BG23" s="203"/>
      <c r="BH23" s="203"/>
      <c r="BI23" s="203"/>
      <c r="BJ23" s="203"/>
      <c r="BK23" s="203"/>
      <c r="BL23" s="203"/>
      <c r="BM23" s="203"/>
      <c r="BN23" s="203"/>
      <c r="BO23" s="203"/>
      <c r="BP23" s="204"/>
    </row>
    <row r="24" spans="1:68" s="1" customFormat="1" ht="30.75" customHeight="1">
      <c r="A24" s="74">
        <f t="shared" si="0"/>
        <v>16</v>
      </c>
      <c r="B24" s="75"/>
      <c r="C24" s="76"/>
      <c r="D24" s="199" t="s">
        <v>1037</v>
      </c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1"/>
      <c r="AA24" s="74" t="s">
        <v>654</v>
      </c>
      <c r="AB24" s="75"/>
      <c r="AC24" s="75"/>
      <c r="AD24" s="75"/>
      <c r="AE24" s="76"/>
      <c r="AF24" s="74">
        <v>18</v>
      </c>
      <c r="AG24" s="75"/>
      <c r="AH24" s="76"/>
      <c r="AI24" s="74"/>
      <c r="AJ24" s="75"/>
      <c r="AK24" s="76"/>
      <c r="AL24" s="202" t="s">
        <v>1038</v>
      </c>
      <c r="AM24" s="203"/>
      <c r="AN24" s="203"/>
      <c r="AO24" s="203"/>
      <c r="AP24" s="203"/>
      <c r="AQ24" s="203"/>
      <c r="AR24" s="203"/>
      <c r="AS24" s="203"/>
      <c r="AT24" s="203"/>
      <c r="AU24" s="203"/>
      <c r="AV24" s="203"/>
      <c r="AW24" s="203"/>
      <c r="AX24" s="203"/>
      <c r="AY24" s="203"/>
      <c r="AZ24" s="203"/>
      <c r="BA24" s="203"/>
      <c r="BB24" s="203"/>
      <c r="BC24" s="203"/>
      <c r="BD24" s="203"/>
      <c r="BE24" s="203"/>
      <c r="BF24" s="203"/>
      <c r="BG24" s="203"/>
      <c r="BH24" s="203"/>
      <c r="BI24" s="203"/>
      <c r="BJ24" s="203"/>
      <c r="BK24" s="203"/>
      <c r="BL24" s="203"/>
      <c r="BM24" s="203"/>
      <c r="BN24" s="203"/>
      <c r="BO24" s="203"/>
      <c r="BP24" s="204"/>
    </row>
    <row r="25" spans="1:68" s="1" customFormat="1" ht="30.75" customHeight="1">
      <c r="A25" s="74">
        <f t="shared" si="0"/>
        <v>17</v>
      </c>
      <c r="B25" s="75"/>
      <c r="C25" s="76"/>
      <c r="D25" s="199" t="s">
        <v>1034</v>
      </c>
      <c r="E25" s="200"/>
      <c r="F25" s="200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0"/>
      <c r="V25" s="200"/>
      <c r="W25" s="200"/>
      <c r="X25" s="200"/>
      <c r="Y25" s="200"/>
      <c r="Z25" s="201"/>
      <c r="AA25" s="74" t="s">
        <v>654</v>
      </c>
      <c r="AB25" s="75"/>
      <c r="AC25" s="75"/>
      <c r="AD25" s="75"/>
      <c r="AE25" s="76"/>
      <c r="AF25" s="86">
        <v>60</v>
      </c>
      <c r="AG25" s="86"/>
      <c r="AH25" s="86"/>
      <c r="AI25" s="86"/>
      <c r="AJ25" s="86"/>
      <c r="AK25" s="86"/>
      <c r="AL25" s="202" t="s">
        <v>1039</v>
      </c>
      <c r="AM25" s="203"/>
      <c r="AN25" s="203"/>
      <c r="AO25" s="203"/>
      <c r="AP25" s="203"/>
      <c r="AQ25" s="203"/>
      <c r="AR25" s="203"/>
      <c r="AS25" s="203"/>
      <c r="AT25" s="203"/>
      <c r="AU25" s="203"/>
      <c r="AV25" s="203"/>
      <c r="AW25" s="203"/>
      <c r="AX25" s="203"/>
      <c r="AY25" s="203"/>
      <c r="AZ25" s="203"/>
      <c r="BA25" s="203"/>
      <c r="BB25" s="203"/>
      <c r="BC25" s="203"/>
      <c r="BD25" s="203"/>
      <c r="BE25" s="203"/>
      <c r="BF25" s="203"/>
      <c r="BG25" s="203"/>
      <c r="BH25" s="203"/>
      <c r="BI25" s="203"/>
      <c r="BJ25" s="203"/>
      <c r="BK25" s="203"/>
      <c r="BL25" s="203"/>
      <c r="BM25" s="203"/>
      <c r="BN25" s="203"/>
      <c r="BO25" s="203"/>
      <c r="BP25" s="204"/>
    </row>
    <row r="26" spans="1:68" s="1" customFormat="1" ht="30.75" customHeight="1">
      <c r="A26" s="74">
        <f t="shared" si="0"/>
        <v>18</v>
      </c>
      <c r="B26" s="75"/>
      <c r="C26" s="76"/>
      <c r="D26" s="199" t="s">
        <v>735</v>
      </c>
      <c r="E26" s="200"/>
      <c r="F26" s="200"/>
      <c r="G26" s="200"/>
      <c r="H26" s="200"/>
      <c r="I26" s="200"/>
      <c r="J26" s="200"/>
      <c r="K26" s="200"/>
      <c r="L26" s="200"/>
      <c r="M26" s="200"/>
      <c r="N26" s="200"/>
      <c r="O26" s="200"/>
      <c r="P26" s="200"/>
      <c r="Q26" s="200"/>
      <c r="R26" s="200"/>
      <c r="S26" s="200"/>
      <c r="T26" s="200"/>
      <c r="U26" s="200"/>
      <c r="V26" s="200"/>
      <c r="W26" s="200"/>
      <c r="X26" s="200"/>
      <c r="Y26" s="200"/>
      <c r="Z26" s="201"/>
      <c r="AA26" s="74" t="s">
        <v>655</v>
      </c>
      <c r="AB26" s="75"/>
      <c r="AC26" s="75"/>
      <c r="AD26" s="75"/>
      <c r="AE26" s="76"/>
      <c r="AF26" s="86">
        <v>14</v>
      </c>
      <c r="AG26" s="86"/>
      <c r="AH26" s="86"/>
      <c r="AI26" s="86" t="s">
        <v>1302</v>
      </c>
      <c r="AJ26" s="86"/>
      <c r="AK26" s="86"/>
      <c r="AL26" s="202" t="s">
        <v>794</v>
      </c>
      <c r="AM26" s="203"/>
      <c r="AN26" s="203"/>
      <c r="AO26" s="203"/>
      <c r="AP26" s="203"/>
      <c r="AQ26" s="203"/>
      <c r="AR26" s="203"/>
      <c r="AS26" s="203"/>
      <c r="AT26" s="203"/>
      <c r="AU26" s="203"/>
      <c r="AV26" s="203"/>
      <c r="AW26" s="203"/>
      <c r="AX26" s="203"/>
      <c r="AY26" s="203"/>
      <c r="AZ26" s="203"/>
      <c r="BA26" s="203"/>
      <c r="BB26" s="203"/>
      <c r="BC26" s="203"/>
      <c r="BD26" s="203"/>
      <c r="BE26" s="203"/>
      <c r="BF26" s="203"/>
      <c r="BG26" s="203"/>
      <c r="BH26" s="203"/>
      <c r="BI26" s="203"/>
      <c r="BJ26" s="203"/>
      <c r="BK26" s="203"/>
      <c r="BL26" s="203"/>
      <c r="BM26" s="203"/>
      <c r="BN26" s="203"/>
      <c r="BO26" s="203"/>
      <c r="BP26" s="204"/>
    </row>
    <row r="27" spans="1:68" s="1" customFormat="1" ht="30.75" customHeight="1">
      <c r="A27" s="74">
        <f t="shared" si="0"/>
        <v>19</v>
      </c>
      <c r="B27" s="75"/>
      <c r="C27" s="76"/>
      <c r="D27" s="199" t="s">
        <v>736</v>
      </c>
      <c r="E27" s="200"/>
      <c r="F27" s="200"/>
      <c r="G27" s="200"/>
      <c r="H27" s="200"/>
      <c r="I27" s="200"/>
      <c r="J27" s="200"/>
      <c r="K27" s="200"/>
      <c r="L27" s="200"/>
      <c r="M27" s="200"/>
      <c r="N27" s="200"/>
      <c r="O27" s="200"/>
      <c r="P27" s="200"/>
      <c r="Q27" s="200"/>
      <c r="R27" s="200"/>
      <c r="S27" s="200"/>
      <c r="T27" s="200"/>
      <c r="U27" s="200"/>
      <c r="V27" s="200"/>
      <c r="W27" s="200"/>
      <c r="X27" s="200"/>
      <c r="Y27" s="200"/>
      <c r="Z27" s="201"/>
      <c r="AA27" s="74" t="s">
        <v>655</v>
      </c>
      <c r="AB27" s="75"/>
      <c r="AC27" s="75"/>
      <c r="AD27" s="75"/>
      <c r="AE27" s="76"/>
      <c r="AF27" s="86">
        <v>14</v>
      </c>
      <c r="AG27" s="86"/>
      <c r="AH27" s="86"/>
      <c r="AI27" s="86" t="s">
        <v>1302</v>
      </c>
      <c r="AJ27" s="86"/>
      <c r="AK27" s="86"/>
      <c r="AL27" s="202" t="s">
        <v>795</v>
      </c>
      <c r="AM27" s="203"/>
      <c r="AN27" s="203"/>
      <c r="AO27" s="203"/>
      <c r="AP27" s="203"/>
      <c r="AQ27" s="203"/>
      <c r="AR27" s="203"/>
      <c r="AS27" s="203"/>
      <c r="AT27" s="203"/>
      <c r="AU27" s="203"/>
      <c r="AV27" s="203"/>
      <c r="AW27" s="203"/>
      <c r="AX27" s="203"/>
      <c r="AY27" s="203"/>
      <c r="AZ27" s="203"/>
      <c r="BA27" s="203"/>
      <c r="BB27" s="203"/>
      <c r="BC27" s="203"/>
      <c r="BD27" s="203"/>
      <c r="BE27" s="203"/>
      <c r="BF27" s="203"/>
      <c r="BG27" s="203"/>
      <c r="BH27" s="203"/>
      <c r="BI27" s="203"/>
      <c r="BJ27" s="203"/>
      <c r="BK27" s="203"/>
      <c r="BL27" s="203"/>
      <c r="BM27" s="203"/>
      <c r="BN27" s="203"/>
      <c r="BO27" s="203"/>
      <c r="BP27" s="204"/>
    </row>
    <row r="28" spans="1:68" s="1" customFormat="1" ht="30.75" customHeight="1">
      <c r="A28" s="74">
        <f t="shared" si="0"/>
        <v>20</v>
      </c>
      <c r="B28" s="75"/>
      <c r="C28" s="76"/>
      <c r="D28" s="199" t="s">
        <v>1362</v>
      </c>
      <c r="E28" s="200"/>
      <c r="F28" s="200"/>
      <c r="G28" s="200"/>
      <c r="H28" s="200"/>
      <c r="I28" s="200"/>
      <c r="J28" s="200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200"/>
      <c r="X28" s="200"/>
      <c r="Y28" s="200"/>
      <c r="Z28" s="201"/>
      <c r="AA28" s="74" t="s">
        <v>655</v>
      </c>
      <c r="AB28" s="75"/>
      <c r="AC28" s="75"/>
      <c r="AD28" s="75"/>
      <c r="AE28" s="76"/>
      <c r="AF28" s="86">
        <v>14</v>
      </c>
      <c r="AG28" s="86"/>
      <c r="AH28" s="86"/>
      <c r="AI28" s="86" t="s">
        <v>1302</v>
      </c>
      <c r="AJ28" s="86"/>
      <c r="AK28" s="86"/>
      <c r="AL28" s="202" t="s">
        <v>1363</v>
      </c>
      <c r="AM28" s="203"/>
      <c r="AN28" s="203"/>
      <c r="AO28" s="203"/>
      <c r="AP28" s="203"/>
      <c r="AQ28" s="203"/>
      <c r="AR28" s="203"/>
      <c r="AS28" s="203"/>
      <c r="AT28" s="203"/>
      <c r="AU28" s="203"/>
      <c r="AV28" s="203"/>
      <c r="AW28" s="203"/>
      <c r="AX28" s="203"/>
      <c r="AY28" s="203"/>
      <c r="AZ28" s="203"/>
      <c r="BA28" s="203"/>
      <c r="BB28" s="203"/>
      <c r="BC28" s="203"/>
      <c r="BD28" s="203"/>
      <c r="BE28" s="203"/>
      <c r="BF28" s="203"/>
      <c r="BG28" s="203"/>
      <c r="BH28" s="203"/>
      <c r="BI28" s="203"/>
      <c r="BJ28" s="203"/>
      <c r="BK28" s="203"/>
      <c r="BL28" s="203"/>
      <c r="BM28" s="203"/>
      <c r="BN28" s="203"/>
      <c r="BO28" s="203"/>
      <c r="BP28" s="204"/>
    </row>
    <row r="29" spans="1:68" s="1" customFormat="1" ht="30.75" customHeight="1">
      <c r="A29" s="74">
        <f t="shared" si="0"/>
        <v>21</v>
      </c>
      <c r="B29" s="75"/>
      <c r="C29" s="76"/>
      <c r="D29" s="199" t="s">
        <v>737</v>
      </c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0"/>
      <c r="Y29" s="200"/>
      <c r="Z29" s="201"/>
      <c r="AA29" s="74" t="s">
        <v>655</v>
      </c>
      <c r="AB29" s="75"/>
      <c r="AC29" s="75"/>
      <c r="AD29" s="75"/>
      <c r="AE29" s="76"/>
      <c r="AF29" s="86">
        <v>14</v>
      </c>
      <c r="AG29" s="86"/>
      <c r="AH29" s="86"/>
      <c r="AI29" s="86" t="s">
        <v>1302</v>
      </c>
      <c r="AJ29" s="86"/>
      <c r="AK29" s="86"/>
      <c r="AL29" s="202" t="s">
        <v>796</v>
      </c>
      <c r="AM29" s="203"/>
      <c r="AN29" s="203"/>
      <c r="AO29" s="203"/>
      <c r="AP29" s="203"/>
      <c r="AQ29" s="203"/>
      <c r="AR29" s="203"/>
      <c r="AS29" s="203"/>
      <c r="AT29" s="203"/>
      <c r="AU29" s="203"/>
      <c r="AV29" s="203"/>
      <c r="AW29" s="203"/>
      <c r="AX29" s="203"/>
      <c r="AY29" s="203"/>
      <c r="AZ29" s="203"/>
      <c r="BA29" s="203"/>
      <c r="BB29" s="203"/>
      <c r="BC29" s="203"/>
      <c r="BD29" s="203"/>
      <c r="BE29" s="203"/>
      <c r="BF29" s="203"/>
      <c r="BG29" s="203"/>
      <c r="BH29" s="203"/>
      <c r="BI29" s="203"/>
      <c r="BJ29" s="203"/>
      <c r="BK29" s="203"/>
      <c r="BL29" s="203"/>
      <c r="BM29" s="203"/>
      <c r="BN29" s="203"/>
      <c r="BO29" s="203"/>
      <c r="BP29" s="204"/>
    </row>
    <row r="30" spans="1:68" s="1" customFormat="1" ht="30.75" customHeight="1">
      <c r="A30" s="74">
        <f t="shared" si="0"/>
        <v>22</v>
      </c>
      <c r="B30" s="75"/>
      <c r="C30" s="76"/>
      <c r="D30" s="199" t="s">
        <v>738</v>
      </c>
      <c r="E30" s="200"/>
      <c r="F30" s="200"/>
      <c r="G30" s="200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1"/>
      <c r="AA30" s="74" t="s">
        <v>655</v>
      </c>
      <c r="AB30" s="75"/>
      <c r="AC30" s="75"/>
      <c r="AD30" s="75"/>
      <c r="AE30" s="76"/>
      <c r="AF30" s="86">
        <v>14</v>
      </c>
      <c r="AG30" s="86"/>
      <c r="AH30" s="86"/>
      <c r="AI30" s="86" t="s">
        <v>1302</v>
      </c>
      <c r="AJ30" s="86"/>
      <c r="AK30" s="86"/>
      <c r="AL30" s="202" t="s">
        <v>797</v>
      </c>
      <c r="AM30" s="203"/>
      <c r="AN30" s="203"/>
      <c r="AO30" s="203"/>
      <c r="AP30" s="203"/>
      <c r="AQ30" s="203"/>
      <c r="AR30" s="203"/>
      <c r="AS30" s="203"/>
      <c r="AT30" s="203"/>
      <c r="AU30" s="203"/>
      <c r="AV30" s="203"/>
      <c r="AW30" s="203"/>
      <c r="AX30" s="203"/>
      <c r="AY30" s="203"/>
      <c r="AZ30" s="203"/>
      <c r="BA30" s="203"/>
      <c r="BB30" s="203"/>
      <c r="BC30" s="203"/>
      <c r="BD30" s="203"/>
      <c r="BE30" s="203"/>
      <c r="BF30" s="203"/>
      <c r="BG30" s="203"/>
      <c r="BH30" s="203"/>
      <c r="BI30" s="203"/>
      <c r="BJ30" s="203"/>
      <c r="BK30" s="203"/>
      <c r="BL30" s="203"/>
      <c r="BM30" s="203"/>
      <c r="BN30" s="203"/>
      <c r="BO30" s="203"/>
      <c r="BP30" s="204"/>
    </row>
    <row r="31" spans="1:68" s="1" customFormat="1" ht="30.75" customHeight="1">
      <c r="A31" s="74">
        <f t="shared" si="0"/>
        <v>23</v>
      </c>
      <c r="B31" s="75"/>
      <c r="C31" s="76"/>
      <c r="D31" s="199" t="s">
        <v>739</v>
      </c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0"/>
      <c r="X31" s="200"/>
      <c r="Y31" s="200"/>
      <c r="Z31" s="201"/>
      <c r="AA31" s="74" t="s">
        <v>655</v>
      </c>
      <c r="AB31" s="75"/>
      <c r="AC31" s="75"/>
      <c r="AD31" s="75"/>
      <c r="AE31" s="76"/>
      <c r="AF31" s="86">
        <v>14</v>
      </c>
      <c r="AG31" s="86"/>
      <c r="AH31" s="86"/>
      <c r="AI31" s="86" t="s">
        <v>1302</v>
      </c>
      <c r="AJ31" s="86"/>
      <c r="AK31" s="86"/>
      <c r="AL31" s="202" t="s">
        <v>798</v>
      </c>
      <c r="AM31" s="203"/>
      <c r="AN31" s="203"/>
      <c r="AO31" s="203"/>
      <c r="AP31" s="203"/>
      <c r="AQ31" s="203"/>
      <c r="AR31" s="203"/>
      <c r="AS31" s="203"/>
      <c r="AT31" s="203"/>
      <c r="AU31" s="203"/>
      <c r="AV31" s="203"/>
      <c r="AW31" s="203"/>
      <c r="AX31" s="203"/>
      <c r="AY31" s="203"/>
      <c r="AZ31" s="203"/>
      <c r="BA31" s="203"/>
      <c r="BB31" s="203"/>
      <c r="BC31" s="203"/>
      <c r="BD31" s="203"/>
      <c r="BE31" s="203"/>
      <c r="BF31" s="203"/>
      <c r="BG31" s="203"/>
      <c r="BH31" s="203"/>
      <c r="BI31" s="203"/>
      <c r="BJ31" s="203"/>
      <c r="BK31" s="203"/>
      <c r="BL31" s="203"/>
      <c r="BM31" s="203"/>
      <c r="BN31" s="203"/>
      <c r="BO31" s="203"/>
      <c r="BP31" s="204"/>
    </row>
    <row r="32" spans="1:68" s="1" customFormat="1" ht="30.75" customHeight="1">
      <c r="A32" s="74">
        <f t="shared" si="0"/>
        <v>24</v>
      </c>
      <c r="B32" s="75"/>
      <c r="C32" s="76"/>
      <c r="D32" s="199" t="s">
        <v>740</v>
      </c>
      <c r="E32" s="200"/>
      <c r="F32" s="200"/>
      <c r="G32" s="200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0"/>
      <c r="T32" s="200"/>
      <c r="U32" s="200"/>
      <c r="V32" s="200"/>
      <c r="W32" s="200"/>
      <c r="X32" s="200"/>
      <c r="Y32" s="200"/>
      <c r="Z32" s="201"/>
      <c r="AA32" s="74" t="s">
        <v>655</v>
      </c>
      <c r="AB32" s="75"/>
      <c r="AC32" s="75"/>
      <c r="AD32" s="75"/>
      <c r="AE32" s="76"/>
      <c r="AF32" s="86">
        <v>14</v>
      </c>
      <c r="AG32" s="86"/>
      <c r="AH32" s="86"/>
      <c r="AI32" s="86" t="s">
        <v>1302</v>
      </c>
      <c r="AJ32" s="86"/>
      <c r="AK32" s="86"/>
      <c r="AL32" s="202" t="s">
        <v>799</v>
      </c>
      <c r="AM32" s="203"/>
      <c r="AN32" s="203"/>
      <c r="AO32" s="203"/>
      <c r="AP32" s="203"/>
      <c r="AQ32" s="203"/>
      <c r="AR32" s="203"/>
      <c r="AS32" s="203"/>
      <c r="AT32" s="203"/>
      <c r="AU32" s="203"/>
      <c r="AV32" s="203"/>
      <c r="AW32" s="203"/>
      <c r="AX32" s="203"/>
      <c r="AY32" s="203"/>
      <c r="AZ32" s="203"/>
      <c r="BA32" s="203"/>
      <c r="BB32" s="203"/>
      <c r="BC32" s="203"/>
      <c r="BD32" s="203"/>
      <c r="BE32" s="203"/>
      <c r="BF32" s="203"/>
      <c r="BG32" s="203"/>
      <c r="BH32" s="203"/>
      <c r="BI32" s="203"/>
      <c r="BJ32" s="203"/>
      <c r="BK32" s="203"/>
      <c r="BL32" s="203"/>
      <c r="BM32" s="203"/>
      <c r="BN32" s="203"/>
      <c r="BO32" s="203"/>
      <c r="BP32" s="204"/>
    </row>
    <row r="33" spans="1:68" s="1" customFormat="1" ht="30.75" customHeight="1">
      <c r="A33" s="74">
        <f t="shared" si="0"/>
        <v>25</v>
      </c>
      <c r="B33" s="75"/>
      <c r="C33" s="76"/>
      <c r="D33" s="199" t="s">
        <v>741</v>
      </c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1"/>
      <c r="AA33" s="74" t="s">
        <v>655</v>
      </c>
      <c r="AB33" s="75"/>
      <c r="AC33" s="75"/>
      <c r="AD33" s="75"/>
      <c r="AE33" s="76"/>
      <c r="AF33" s="86">
        <v>14</v>
      </c>
      <c r="AG33" s="86"/>
      <c r="AH33" s="86"/>
      <c r="AI33" s="86" t="s">
        <v>1302</v>
      </c>
      <c r="AJ33" s="86"/>
      <c r="AK33" s="86"/>
      <c r="AL33" s="202" t="s">
        <v>800</v>
      </c>
      <c r="AM33" s="203"/>
      <c r="AN33" s="203"/>
      <c r="AO33" s="203"/>
      <c r="AP33" s="203"/>
      <c r="AQ33" s="203"/>
      <c r="AR33" s="203"/>
      <c r="AS33" s="203"/>
      <c r="AT33" s="203"/>
      <c r="AU33" s="203"/>
      <c r="AV33" s="203"/>
      <c r="AW33" s="203"/>
      <c r="AX33" s="203"/>
      <c r="AY33" s="203"/>
      <c r="AZ33" s="203"/>
      <c r="BA33" s="203"/>
      <c r="BB33" s="203"/>
      <c r="BC33" s="203"/>
      <c r="BD33" s="203"/>
      <c r="BE33" s="203"/>
      <c r="BF33" s="203"/>
      <c r="BG33" s="203"/>
      <c r="BH33" s="203"/>
      <c r="BI33" s="203"/>
      <c r="BJ33" s="203"/>
      <c r="BK33" s="203"/>
      <c r="BL33" s="203"/>
      <c r="BM33" s="203"/>
      <c r="BN33" s="203"/>
      <c r="BO33" s="203"/>
      <c r="BP33" s="204"/>
    </row>
    <row r="34" spans="1:68" s="1" customFormat="1" ht="30.75" customHeight="1">
      <c r="A34" s="74">
        <f t="shared" si="0"/>
        <v>26</v>
      </c>
      <c r="B34" s="75"/>
      <c r="C34" s="76"/>
      <c r="D34" s="199" t="s">
        <v>742</v>
      </c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R34" s="200"/>
      <c r="S34" s="200"/>
      <c r="T34" s="200"/>
      <c r="U34" s="200"/>
      <c r="V34" s="200"/>
      <c r="W34" s="200"/>
      <c r="X34" s="200"/>
      <c r="Y34" s="200"/>
      <c r="Z34" s="201"/>
      <c r="AA34" s="74" t="s">
        <v>655</v>
      </c>
      <c r="AB34" s="75"/>
      <c r="AC34" s="75"/>
      <c r="AD34" s="75"/>
      <c r="AE34" s="76"/>
      <c r="AF34" s="86">
        <v>14</v>
      </c>
      <c r="AG34" s="86"/>
      <c r="AH34" s="86"/>
      <c r="AI34" s="86" t="s">
        <v>1302</v>
      </c>
      <c r="AJ34" s="86"/>
      <c r="AK34" s="86"/>
      <c r="AL34" s="202" t="s">
        <v>801</v>
      </c>
      <c r="AM34" s="203"/>
      <c r="AN34" s="203"/>
      <c r="AO34" s="203"/>
      <c r="AP34" s="203"/>
      <c r="AQ34" s="203"/>
      <c r="AR34" s="203"/>
      <c r="AS34" s="203"/>
      <c r="AT34" s="203"/>
      <c r="AU34" s="203"/>
      <c r="AV34" s="203"/>
      <c r="AW34" s="203"/>
      <c r="AX34" s="203"/>
      <c r="AY34" s="203"/>
      <c r="AZ34" s="203"/>
      <c r="BA34" s="203"/>
      <c r="BB34" s="203"/>
      <c r="BC34" s="203"/>
      <c r="BD34" s="203"/>
      <c r="BE34" s="203"/>
      <c r="BF34" s="203"/>
      <c r="BG34" s="203"/>
      <c r="BH34" s="203"/>
      <c r="BI34" s="203"/>
      <c r="BJ34" s="203"/>
      <c r="BK34" s="203"/>
      <c r="BL34" s="203"/>
      <c r="BM34" s="203"/>
      <c r="BN34" s="203"/>
      <c r="BO34" s="203"/>
      <c r="BP34" s="204"/>
    </row>
    <row r="35" spans="1:68" s="1" customFormat="1" ht="30.75" customHeight="1">
      <c r="A35" s="74">
        <f t="shared" si="0"/>
        <v>27</v>
      </c>
      <c r="B35" s="75"/>
      <c r="C35" s="76"/>
      <c r="D35" s="199" t="s">
        <v>743</v>
      </c>
      <c r="E35" s="200"/>
      <c r="F35" s="20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1"/>
      <c r="AA35" s="74" t="s">
        <v>655</v>
      </c>
      <c r="AB35" s="75"/>
      <c r="AC35" s="75"/>
      <c r="AD35" s="75"/>
      <c r="AE35" s="76"/>
      <c r="AF35" s="86">
        <v>14</v>
      </c>
      <c r="AG35" s="86"/>
      <c r="AH35" s="86"/>
      <c r="AI35" s="86" t="s">
        <v>1302</v>
      </c>
      <c r="AJ35" s="86"/>
      <c r="AK35" s="86"/>
      <c r="AL35" s="202" t="s">
        <v>802</v>
      </c>
      <c r="AM35" s="203"/>
      <c r="AN35" s="203"/>
      <c r="AO35" s="203"/>
      <c r="AP35" s="203"/>
      <c r="AQ35" s="203"/>
      <c r="AR35" s="203"/>
      <c r="AS35" s="203"/>
      <c r="AT35" s="203"/>
      <c r="AU35" s="203"/>
      <c r="AV35" s="203"/>
      <c r="AW35" s="203"/>
      <c r="AX35" s="203"/>
      <c r="AY35" s="203"/>
      <c r="AZ35" s="203"/>
      <c r="BA35" s="203"/>
      <c r="BB35" s="203"/>
      <c r="BC35" s="203"/>
      <c r="BD35" s="203"/>
      <c r="BE35" s="203"/>
      <c r="BF35" s="203"/>
      <c r="BG35" s="203"/>
      <c r="BH35" s="203"/>
      <c r="BI35" s="203"/>
      <c r="BJ35" s="203"/>
      <c r="BK35" s="203"/>
      <c r="BL35" s="203"/>
      <c r="BM35" s="203"/>
      <c r="BN35" s="203"/>
      <c r="BO35" s="203"/>
      <c r="BP35" s="204"/>
    </row>
    <row r="36" spans="1:68" s="1" customFormat="1" ht="30.75" customHeight="1">
      <c r="A36" s="74">
        <f t="shared" si="0"/>
        <v>28</v>
      </c>
      <c r="B36" s="75"/>
      <c r="C36" s="76"/>
      <c r="D36" s="199" t="s">
        <v>744</v>
      </c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1"/>
      <c r="AA36" s="74" t="s">
        <v>655</v>
      </c>
      <c r="AB36" s="75"/>
      <c r="AC36" s="75"/>
      <c r="AD36" s="75"/>
      <c r="AE36" s="76"/>
      <c r="AF36" s="86">
        <v>14</v>
      </c>
      <c r="AG36" s="86"/>
      <c r="AH36" s="86"/>
      <c r="AI36" s="86" t="s">
        <v>1302</v>
      </c>
      <c r="AJ36" s="86"/>
      <c r="AK36" s="86"/>
      <c r="AL36" s="202" t="s">
        <v>803</v>
      </c>
      <c r="AM36" s="203"/>
      <c r="AN36" s="203"/>
      <c r="AO36" s="203"/>
      <c r="AP36" s="203"/>
      <c r="AQ36" s="203"/>
      <c r="AR36" s="203"/>
      <c r="AS36" s="203"/>
      <c r="AT36" s="203"/>
      <c r="AU36" s="203"/>
      <c r="AV36" s="203"/>
      <c r="AW36" s="203"/>
      <c r="AX36" s="203"/>
      <c r="AY36" s="203"/>
      <c r="AZ36" s="203"/>
      <c r="BA36" s="203"/>
      <c r="BB36" s="203"/>
      <c r="BC36" s="203"/>
      <c r="BD36" s="203"/>
      <c r="BE36" s="203"/>
      <c r="BF36" s="203"/>
      <c r="BG36" s="203"/>
      <c r="BH36" s="203"/>
      <c r="BI36" s="203"/>
      <c r="BJ36" s="203"/>
      <c r="BK36" s="203"/>
      <c r="BL36" s="203"/>
      <c r="BM36" s="203"/>
      <c r="BN36" s="203"/>
      <c r="BO36" s="203"/>
      <c r="BP36" s="204"/>
    </row>
    <row r="37" spans="1:68" s="1" customFormat="1" ht="30.75" customHeight="1">
      <c r="A37" s="74">
        <f t="shared" si="0"/>
        <v>29</v>
      </c>
      <c r="B37" s="75"/>
      <c r="C37" s="76"/>
      <c r="D37" s="199" t="s">
        <v>745</v>
      </c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1"/>
      <c r="AA37" s="74" t="s">
        <v>655</v>
      </c>
      <c r="AB37" s="75"/>
      <c r="AC37" s="75"/>
      <c r="AD37" s="75"/>
      <c r="AE37" s="76"/>
      <c r="AF37" s="86">
        <v>14</v>
      </c>
      <c r="AG37" s="86"/>
      <c r="AH37" s="86"/>
      <c r="AI37" s="86" t="s">
        <v>1302</v>
      </c>
      <c r="AJ37" s="86"/>
      <c r="AK37" s="86"/>
      <c r="AL37" s="202" t="s">
        <v>804</v>
      </c>
      <c r="AM37" s="203"/>
      <c r="AN37" s="203"/>
      <c r="AO37" s="203"/>
      <c r="AP37" s="203"/>
      <c r="AQ37" s="203"/>
      <c r="AR37" s="203"/>
      <c r="AS37" s="203"/>
      <c r="AT37" s="203"/>
      <c r="AU37" s="203"/>
      <c r="AV37" s="203"/>
      <c r="AW37" s="203"/>
      <c r="AX37" s="203"/>
      <c r="AY37" s="203"/>
      <c r="AZ37" s="203"/>
      <c r="BA37" s="203"/>
      <c r="BB37" s="203"/>
      <c r="BC37" s="203"/>
      <c r="BD37" s="203"/>
      <c r="BE37" s="203"/>
      <c r="BF37" s="203"/>
      <c r="BG37" s="203"/>
      <c r="BH37" s="203"/>
      <c r="BI37" s="203"/>
      <c r="BJ37" s="203"/>
      <c r="BK37" s="203"/>
      <c r="BL37" s="203"/>
      <c r="BM37" s="203"/>
      <c r="BN37" s="203"/>
      <c r="BO37" s="203"/>
      <c r="BP37" s="204"/>
    </row>
    <row r="38" spans="1:68" s="1" customFormat="1" ht="30.75" customHeight="1">
      <c r="A38" s="74">
        <f t="shared" si="0"/>
        <v>30</v>
      </c>
      <c r="B38" s="75"/>
      <c r="C38" s="76"/>
      <c r="D38" s="199" t="s">
        <v>746</v>
      </c>
      <c r="E38" s="200"/>
      <c r="F38" s="200"/>
      <c r="G38" s="200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1"/>
      <c r="AA38" s="74" t="s">
        <v>655</v>
      </c>
      <c r="AB38" s="75"/>
      <c r="AC38" s="75"/>
      <c r="AD38" s="75"/>
      <c r="AE38" s="76"/>
      <c r="AF38" s="86">
        <v>14</v>
      </c>
      <c r="AG38" s="86"/>
      <c r="AH38" s="86"/>
      <c r="AI38" s="86" t="s">
        <v>1302</v>
      </c>
      <c r="AJ38" s="86"/>
      <c r="AK38" s="86"/>
      <c r="AL38" s="202" t="s">
        <v>805</v>
      </c>
      <c r="AM38" s="203"/>
      <c r="AN38" s="203"/>
      <c r="AO38" s="203"/>
      <c r="AP38" s="203"/>
      <c r="AQ38" s="203"/>
      <c r="AR38" s="203"/>
      <c r="AS38" s="203"/>
      <c r="AT38" s="203"/>
      <c r="AU38" s="203"/>
      <c r="AV38" s="203"/>
      <c r="AW38" s="203"/>
      <c r="AX38" s="203"/>
      <c r="AY38" s="203"/>
      <c r="AZ38" s="203"/>
      <c r="BA38" s="203"/>
      <c r="BB38" s="203"/>
      <c r="BC38" s="203"/>
      <c r="BD38" s="203"/>
      <c r="BE38" s="203"/>
      <c r="BF38" s="203"/>
      <c r="BG38" s="203"/>
      <c r="BH38" s="203"/>
      <c r="BI38" s="203"/>
      <c r="BJ38" s="203"/>
      <c r="BK38" s="203"/>
      <c r="BL38" s="203"/>
      <c r="BM38" s="203"/>
      <c r="BN38" s="203"/>
      <c r="BO38" s="203"/>
      <c r="BP38" s="204"/>
    </row>
    <row r="39" spans="1:68" s="1" customFormat="1" ht="30.75" customHeight="1">
      <c r="A39" s="74">
        <f t="shared" si="0"/>
        <v>31</v>
      </c>
      <c r="B39" s="75"/>
      <c r="C39" s="76"/>
      <c r="D39" s="199" t="s">
        <v>747</v>
      </c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1"/>
      <c r="AA39" s="74" t="s">
        <v>655</v>
      </c>
      <c r="AB39" s="75"/>
      <c r="AC39" s="75"/>
      <c r="AD39" s="75"/>
      <c r="AE39" s="76"/>
      <c r="AF39" s="86">
        <v>14</v>
      </c>
      <c r="AG39" s="86"/>
      <c r="AH39" s="86"/>
      <c r="AI39" s="74" t="s">
        <v>1302</v>
      </c>
      <c r="AJ39" s="75"/>
      <c r="AK39" s="76"/>
      <c r="AL39" s="202" t="s">
        <v>806</v>
      </c>
      <c r="AM39" s="203"/>
      <c r="AN39" s="203"/>
      <c r="AO39" s="203"/>
      <c r="AP39" s="203"/>
      <c r="AQ39" s="203"/>
      <c r="AR39" s="203"/>
      <c r="AS39" s="203"/>
      <c r="AT39" s="203"/>
      <c r="AU39" s="203"/>
      <c r="AV39" s="203"/>
      <c r="AW39" s="203"/>
      <c r="AX39" s="203"/>
      <c r="AY39" s="203"/>
      <c r="AZ39" s="203"/>
      <c r="BA39" s="203"/>
      <c r="BB39" s="203"/>
      <c r="BC39" s="203"/>
      <c r="BD39" s="203"/>
      <c r="BE39" s="203"/>
      <c r="BF39" s="203"/>
      <c r="BG39" s="203"/>
      <c r="BH39" s="203"/>
      <c r="BI39" s="203"/>
      <c r="BJ39" s="203"/>
      <c r="BK39" s="203"/>
      <c r="BL39" s="203"/>
      <c r="BM39" s="203"/>
      <c r="BN39" s="203"/>
      <c r="BO39" s="203"/>
      <c r="BP39" s="204"/>
    </row>
    <row r="40" spans="1:68" s="1" customFormat="1" ht="30.75" customHeight="1">
      <c r="A40" s="74">
        <f t="shared" si="0"/>
        <v>32</v>
      </c>
      <c r="B40" s="75"/>
      <c r="C40" s="76"/>
      <c r="D40" s="199" t="s">
        <v>748</v>
      </c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200"/>
      <c r="X40" s="200"/>
      <c r="Y40" s="200"/>
      <c r="Z40" s="201"/>
      <c r="AA40" s="74" t="s">
        <v>655</v>
      </c>
      <c r="AB40" s="75"/>
      <c r="AC40" s="75"/>
      <c r="AD40" s="75"/>
      <c r="AE40" s="76"/>
      <c r="AF40" s="86">
        <v>14</v>
      </c>
      <c r="AG40" s="86"/>
      <c r="AH40" s="86"/>
      <c r="AI40" s="74" t="s">
        <v>1302</v>
      </c>
      <c r="AJ40" s="75"/>
      <c r="AK40" s="76"/>
      <c r="AL40" s="202" t="s">
        <v>807</v>
      </c>
      <c r="AM40" s="203"/>
      <c r="AN40" s="203"/>
      <c r="AO40" s="203"/>
      <c r="AP40" s="203"/>
      <c r="AQ40" s="203"/>
      <c r="AR40" s="203"/>
      <c r="AS40" s="203"/>
      <c r="AT40" s="203"/>
      <c r="AU40" s="203"/>
      <c r="AV40" s="203"/>
      <c r="AW40" s="203"/>
      <c r="AX40" s="203"/>
      <c r="AY40" s="203"/>
      <c r="AZ40" s="203"/>
      <c r="BA40" s="203"/>
      <c r="BB40" s="203"/>
      <c r="BC40" s="203"/>
      <c r="BD40" s="203"/>
      <c r="BE40" s="203"/>
      <c r="BF40" s="203"/>
      <c r="BG40" s="203"/>
      <c r="BH40" s="203"/>
      <c r="BI40" s="203"/>
      <c r="BJ40" s="203"/>
      <c r="BK40" s="203"/>
      <c r="BL40" s="203"/>
      <c r="BM40" s="203"/>
      <c r="BN40" s="203"/>
      <c r="BO40" s="203"/>
      <c r="BP40" s="204"/>
    </row>
    <row r="41" spans="1:68" s="1" customFormat="1" ht="30.75" customHeight="1">
      <c r="A41" s="74">
        <f t="shared" si="0"/>
        <v>33</v>
      </c>
      <c r="B41" s="75"/>
      <c r="C41" s="76"/>
      <c r="D41" s="199" t="s">
        <v>749</v>
      </c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1"/>
      <c r="AA41" s="74" t="s">
        <v>655</v>
      </c>
      <c r="AB41" s="75"/>
      <c r="AC41" s="75"/>
      <c r="AD41" s="75"/>
      <c r="AE41" s="76"/>
      <c r="AF41" s="86">
        <v>14</v>
      </c>
      <c r="AG41" s="86"/>
      <c r="AH41" s="86"/>
      <c r="AI41" s="74" t="s">
        <v>1302</v>
      </c>
      <c r="AJ41" s="75"/>
      <c r="AK41" s="76"/>
      <c r="AL41" s="202" t="s">
        <v>808</v>
      </c>
      <c r="AM41" s="203"/>
      <c r="AN41" s="203"/>
      <c r="AO41" s="203"/>
      <c r="AP41" s="203"/>
      <c r="AQ41" s="203"/>
      <c r="AR41" s="203"/>
      <c r="AS41" s="203"/>
      <c r="AT41" s="203"/>
      <c r="AU41" s="203"/>
      <c r="AV41" s="203"/>
      <c r="AW41" s="203"/>
      <c r="AX41" s="203"/>
      <c r="AY41" s="203"/>
      <c r="AZ41" s="203"/>
      <c r="BA41" s="203"/>
      <c r="BB41" s="203"/>
      <c r="BC41" s="203"/>
      <c r="BD41" s="203"/>
      <c r="BE41" s="203"/>
      <c r="BF41" s="203"/>
      <c r="BG41" s="203"/>
      <c r="BH41" s="203"/>
      <c r="BI41" s="203"/>
      <c r="BJ41" s="203"/>
      <c r="BK41" s="203"/>
      <c r="BL41" s="203"/>
      <c r="BM41" s="203"/>
      <c r="BN41" s="203"/>
      <c r="BO41" s="203"/>
      <c r="BP41" s="204"/>
    </row>
    <row r="42" spans="1:68" s="1" customFormat="1" ht="30.75" customHeight="1">
      <c r="A42" s="74">
        <f t="shared" si="0"/>
        <v>34</v>
      </c>
      <c r="B42" s="75"/>
      <c r="C42" s="76"/>
      <c r="D42" s="199" t="s">
        <v>750</v>
      </c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200"/>
      <c r="Y42" s="200"/>
      <c r="Z42" s="201"/>
      <c r="AA42" s="74" t="s">
        <v>655</v>
      </c>
      <c r="AB42" s="75"/>
      <c r="AC42" s="75"/>
      <c r="AD42" s="75"/>
      <c r="AE42" s="76"/>
      <c r="AF42" s="86">
        <v>14</v>
      </c>
      <c r="AG42" s="86"/>
      <c r="AH42" s="86"/>
      <c r="AI42" s="74" t="s">
        <v>1302</v>
      </c>
      <c r="AJ42" s="75"/>
      <c r="AK42" s="76"/>
      <c r="AL42" s="202" t="s">
        <v>809</v>
      </c>
      <c r="AM42" s="203"/>
      <c r="AN42" s="203"/>
      <c r="AO42" s="203"/>
      <c r="AP42" s="203"/>
      <c r="AQ42" s="203"/>
      <c r="AR42" s="203"/>
      <c r="AS42" s="203"/>
      <c r="AT42" s="203"/>
      <c r="AU42" s="203"/>
      <c r="AV42" s="203"/>
      <c r="AW42" s="203"/>
      <c r="AX42" s="203"/>
      <c r="AY42" s="203"/>
      <c r="AZ42" s="203"/>
      <c r="BA42" s="203"/>
      <c r="BB42" s="203"/>
      <c r="BC42" s="203"/>
      <c r="BD42" s="203"/>
      <c r="BE42" s="203"/>
      <c r="BF42" s="203"/>
      <c r="BG42" s="203"/>
      <c r="BH42" s="203"/>
      <c r="BI42" s="203"/>
      <c r="BJ42" s="203"/>
      <c r="BK42" s="203"/>
      <c r="BL42" s="203"/>
      <c r="BM42" s="203"/>
      <c r="BN42" s="203"/>
      <c r="BO42" s="203"/>
      <c r="BP42" s="204"/>
    </row>
    <row r="43" spans="1:68" s="1" customFormat="1" ht="30.75" customHeight="1">
      <c r="A43" s="205">
        <f t="shared" si="0"/>
        <v>35</v>
      </c>
      <c r="B43" s="206"/>
      <c r="C43" s="207"/>
      <c r="D43" s="215" t="s">
        <v>1364</v>
      </c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16"/>
      <c r="T43" s="216"/>
      <c r="U43" s="216"/>
      <c r="V43" s="216"/>
      <c r="W43" s="216"/>
      <c r="X43" s="216"/>
      <c r="Y43" s="216"/>
      <c r="Z43" s="217"/>
      <c r="AA43" s="205" t="s">
        <v>655</v>
      </c>
      <c r="AB43" s="206"/>
      <c r="AC43" s="206"/>
      <c r="AD43" s="206"/>
      <c r="AE43" s="207"/>
      <c r="AF43" s="86">
        <v>14</v>
      </c>
      <c r="AG43" s="86"/>
      <c r="AH43" s="86"/>
      <c r="AI43" s="141" t="s">
        <v>1302</v>
      </c>
      <c r="AJ43" s="141"/>
      <c r="AK43" s="141"/>
      <c r="AL43" s="218" t="s">
        <v>1365</v>
      </c>
      <c r="AM43" s="219"/>
      <c r="AN43" s="219"/>
      <c r="AO43" s="219"/>
      <c r="AP43" s="219"/>
      <c r="AQ43" s="219"/>
      <c r="AR43" s="219"/>
      <c r="AS43" s="219"/>
      <c r="AT43" s="219"/>
      <c r="AU43" s="219"/>
      <c r="AV43" s="219"/>
      <c r="AW43" s="219"/>
      <c r="AX43" s="219"/>
      <c r="AY43" s="219"/>
      <c r="AZ43" s="219"/>
      <c r="BA43" s="219"/>
      <c r="BB43" s="219"/>
      <c r="BC43" s="219"/>
      <c r="BD43" s="219"/>
      <c r="BE43" s="219"/>
      <c r="BF43" s="219"/>
      <c r="BG43" s="219"/>
      <c r="BH43" s="219"/>
      <c r="BI43" s="219"/>
      <c r="BJ43" s="219"/>
      <c r="BK43" s="219"/>
      <c r="BL43" s="219"/>
      <c r="BM43" s="219"/>
      <c r="BN43" s="219"/>
      <c r="BO43" s="219"/>
      <c r="BP43" s="220"/>
    </row>
    <row r="44" spans="1:68" s="1" customFormat="1" ht="30.75" customHeight="1">
      <c r="A44" s="74">
        <f t="shared" si="0"/>
        <v>36</v>
      </c>
      <c r="B44" s="75"/>
      <c r="C44" s="76"/>
      <c r="D44" s="199" t="s">
        <v>1366</v>
      </c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1"/>
      <c r="AA44" s="74" t="s">
        <v>655</v>
      </c>
      <c r="AB44" s="75"/>
      <c r="AC44" s="75"/>
      <c r="AD44" s="75"/>
      <c r="AE44" s="76"/>
      <c r="AF44" s="86">
        <v>14</v>
      </c>
      <c r="AG44" s="86"/>
      <c r="AH44" s="86"/>
      <c r="AI44" s="141" t="s">
        <v>1302</v>
      </c>
      <c r="AJ44" s="141"/>
      <c r="AK44" s="141"/>
      <c r="AL44" s="202" t="s">
        <v>1367</v>
      </c>
      <c r="AM44" s="203"/>
      <c r="AN44" s="203"/>
      <c r="AO44" s="203"/>
      <c r="AP44" s="203"/>
      <c r="AQ44" s="203"/>
      <c r="AR44" s="203"/>
      <c r="AS44" s="203"/>
      <c r="AT44" s="203"/>
      <c r="AU44" s="203"/>
      <c r="AV44" s="203"/>
      <c r="AW44" s="203"/>
      <c r="AX44" s="203"/>
      <c r="AY44" s="203"/>
      <c r="AZ44" s="203"/>
      <c r="BA44" s="203"/>
      <c r="BB44" s="203"/>
      <c r="BC44" s="203"/>
      <c r="BD44" s="203"/>
      <c r="BE44" s="203"/>
      <c r="BF44" s="203"/>
      <c r="BG44" s="203"/>
      <c r="BH44" s="203"/>
      <c r="BI44" s="203"/>
      <c r="BJ44" s="203"/>
      <c r="BK44" s="203"/>
      <c r="BL44" s="203"/>
      <c r="BM44" s="203"/>
      <c r="BN44" s="203"/>
      <c r="BO44" s="203"/>
      <c r="BP44" s="204"/>
    </row>
    <row r="45" spans="1:68" s="1" customFormat="1" ht="30.75" customHeight="1">
      <c r="A45" s="74">
        <f t="shared" si="0"/>
        <v>37</v>
      </c>
      <c r="B45" s="75"/>
      <c r="C45" s="76"/>
      <c r="D45" s="199" t="s">
        <v>1323</v>
      </c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1"/>
      <c r="AA45" s="74" t="s">
        <v>655</v>
      </c>
      <c r="AB45" s="75"/>
      <c r="AC45" s="75"/>
      <c r="AD45" s="75"/>
      <c r="AE45" s="76"/>
      <c r="AF45" s="86">
        <v>14</v>
      </c>
      <c r="AG45" s="86"/>
      <c r="AH45" s="86"/>
      <c r="AI45" s="86" t="s">
        <v>1302</v>
      </c>
      <c r="AJ45" s="86"/>
      <c r="AK45" s="86"/>
      <c r="AL45" s="202" t="s">
        <v>1324</v>
      </c>
      <c r="AM45" s="203"/>
      <c r="AN45" s="203"/>
      <c r="AO45" s="203"/>
      <c r="AP45" s="203"/>
      <c r="AQ45" s="203"/>
      <c r="AR45" s="203"/>
      <c r="AS45" s="203"/>
      <c r="AT45" s="203"/>
      <c r="AU45" s="203"/>
      <c r="AV45" s="203"/>
      <c r="AW45" s="203"/>
      <c r="AX45" s="203"/>
      <c r="AY45" s="203"/>
      <c r="AZ45" s="203"/>
      <c r="BA45" s="203"/>
      <c r="BB45" s="203"/>
      <c r="BC45" s="203"/>
      <c r="BD45" s="203"/>
      <c r="BE45" s="203"/>
      <c r="BF45" s="203"/>
      <c r="BG45" s="203"/>
      <c r="BH45" s="203"/>
      <c r="BI45" s="203"/>
      <c r="BJ45" s="203"/>
      <c r="BK45" s="203"/>
      <c r="BL45" s="203"/>
      <c r="BM45" s="203"/>
      <c r="BN45" s="203"/>
      <c r="BO45" s="203"/>
      <c r="BP45" s="204"/>
    </row>
    <row r="46" spans="1:68" s="1" customFormat="1" ht="30.75" customHeight="1">
      <c r="A46" s="74">
        <f t="shared" si="0"/>
        <v>38</v>
      </c>
      <c r="B46" s="75"/>
      <c r="C46" s="76"/>
      <c r="D46" s="199" t="s">
        <v>751</v>
      </c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1"/>
      <c r="AA46" s="74" t="s">
        <v>655</v>
      </c>
      <c r="AB46" s="75"/>
      <c r="AC46" s="75"/>
      <c r="AD46" s="75"/>
      <c r="AE46" s="76"/>
      <c r="AF46" s="86">
        <v>14</v>
      </c>
      <c r="AG46" s="86"/>
      <c r="AH46" s="86"/>
      <c r="AI46" s="86" t="s">
        <v>1302</v>
      </c>
      <c r="AJ46" s="86"/>
      <c r="AK46" s="86"/>
      <c r="AL46" s="202" t="s">
        <v>810</v>
      </c>
      <c r="AM46" s="203"/>
      <c r="AN46" s="203"/>
      <c r="AO46" s="203"/>
      <c r="AP46" s="203"/>
      <c r="AQ46" s="203"/>
      <c r="AR46" s="203"/>
      <c r="AS46" s="203"/>
      <c r="AT46" s="203"/>
      <c r="AU46" s="203"/>
      <c r="AV46" s="203"/>
      <c r="AW46" s="203"/>
      <c r="AX46" s="203"/>
      <c r="AY46" s="203"/>
      <c r="AZ46" s="203"/>
      <c r="BA46" s="203"/>
      <c r="BB46" s="203"/>
      <c r="BC46" s="203"/>
      <c r="BD46" s="203"/>
      <c r="BE46" s="203"/>
      <c r="BF46" s="203"/>
      <c r="BG46" s="203"/>
      <c r="BH46" s="203"/>
      <c r="BI46" s="203"/>
      <c r="BJ46" s="203"/>
      <c r="BK46" s="203"/>
      <c r="BL46" s="203"/>
      <c r="BM46" s="203"/>
      <c r="BN46" s="203"/>
      <c r="BO46" s="203"/>
      <c r="BP46" s="204"/>
    </row>
    <row r="47" spans="1:68" s="1" customFormat="1" ht="30.75" customHeight="1">
      <c r="A47" s="74">
        <f t="shared" si="0"/>
        <v>39</v>
      </c>
      <c r="B47" s="75"/>
      <c r="C47" s="76"/>
      <c r="D47" s="199" t="s">
        <v>752</v>
      </c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1"/>
      <c r="AA47" s="74" t="s">
        <v>655</v>
      </c>
      <c r="AB47" s="75"/>
      <c r="AC47" s="75"/>
      <c r="AD47" s="75"/>
      <c r="AE47" s="76"/>
      <c r="AF47" s="86">
        <v>14</v>
      </c>
      <c r="AG47" s="86"/>
      <c r="AH47" s="86"/>
      <c r="AI47" s="74" t="s">
        <v>1302</v>
      </c>
      <c r="AJ47" s="75"/>
      <c r="AK47" s="76"/>
      <c r="AL47" s="202" t="s">
        <v>811</v>
      </c>
      <c r="AM47" s="203"/>
      <c r="AN47" s="203"/>
      <c r="AO47" s="203"/>
      <c r="AP47" s="203"/>
      <c r="AQ47" s="203"/>
      <c r="AR47" s="203"/>
      <c r="AS47" s="203"/>
      <c r="AT47" s="203"/>
      <c r="AU47" s="203"/>
      <c r="AV47" s="203"/>
      <c r="AW47" s="203"/>
      <c r="AX47" s="203"/>
      <c r="AY47" s="203"/>
      <c r="AZ47" s="203"/>
      <c r="BA47" s="203"/>
      <c r="BB47" s="203"/>
      <c r="BC47" s="203"/>
      <c r="BD47" s="203"/>
      <c r="BE47" s="203"/>
      <c r="BF47" s="203"/>
      <c r="BG47" s="203"/>
      <c r="BH47" s="203"/>
      <c r="BI47" s="203"/>
      <c r="BJ47" s="203"/>
      <c r="BK47" s="203"/>
      <c r="BL47" s="203"/>
      <c r="BM47" s="203"/>
      <c r="BN47" s="203"/>
      <c r="BO47" s="203"/>
      <c r="BP47" s="204"/>
    </row>
    <row r="48" spans="1:68" s="1" customFormat="1" ht="30.75" customHeight="1">
      <c r="A48" s="74">
        <f t="shared" si="0"/>
        <v>40</v>
      </c>
      <c r="B48" s="75"/>
      <c r="C48" s="76"/>
      <c r="D48" s="199" t="s">
        <v>753</v>
      </c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201"/>
      <c r="AA48" s="74" t="s">
        <v>655</v>
      </c>
      <c r="AB48" s="75"/>
      <c r="AC48" s="75"/>
      <c r="AD48" s="75"/>
      <c r="AE48" s="76"/>
      <c r="AF48" s="86">
        <v>14</v>
      </c>
      <c r="AG48" s="86"/>
      <c r="AH48" s="86"/>
      <c r="AI48" s="74" t="s">
        <v>1302</v>
      </c>
      <c r="AJ48" s="75"/>
      <c r="AK48" s="76"/>
      <c r="AL48" s="202" t="s">
        <v>812</v>
      </c>
      <c r="AM48" s="203"/>
      <c r="AN48" s="203"/>
      <c r="AO48" s="203"/>
      <c r="AP48" s="203"/>
      <c r="AQ48" s="203"/>
      <c r="AR48" s="203"/>
      <c r="AS48" s="203"/>
      <c r="AT48" s="203"/>
      <c r="AU48" s="203"/>
      <c r="AV48" s="203"/>
      <c r="AW48" s="203"/>
      <c r="AX48" s="203"/>
      <c r="AY48" s="203"/>
      <c r="AZ48" s="203"/>
      <c r="BA48" s="203"/>
      <c r="BB48" s="203"/>
      <c r="BC48" s="203"/>
      <c r="BD48" s="203"/>
      <c r="BE48" s="203"/>
      <c r="BF48" s="203"/>
      <c r="BG48" s="203"/>
      <c r="BH48" s="203"/>
      <c r="BI48" s="203"/>
      <c r="BJ48" s="203"/>
      <c r="BK48" s="203"/>
      <c r="BL48" s="203"/>
      <c r="BM48" s="203"/>
      <c r="BN48" s="203"/>
      <c r="BO48" s="203"/>
      <c r="BP48" s="204"/>
    </row>
    <row r="49" spans="1:68" s="1" customFormat="1" ht="30.75" customHeight="1">
      <c r="A49" s="74">
        <f t="shared" si="0"/>
        <v>41</v>
      </c>
      <c r="B49" s="75"/>
      <c r="C49" s="76"/>
      <c r="D49" s="199" t="s">
        <v>754</v>
      </c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1"/>
      <c r="AA49" s="74" t="s">
        <v>655</v>
      </c>
      <c r="AB49" s="75"/>
      <c r="AC49" s="75"/>
      <c r="AD49" s="75"/>
      <c r="AE49" s="76"/>
      <c r="AF49" s="86">
        <v>14</v>
      </c>
      <c r="AG49" s="86"/>
      <c r="AH49" s="86"/>
      <c r="AI49" s="74" t="s">
        <v>1302</v>
      </c>
      <c r="AJ49" s="75"/>
      <c r="AK49" s="76"/>
      <c r="AL49" s="202" t="s">
        <v>813</v>
      </c>
      <c r="AM49" s="203"/>
      <c r="AN49" s="203"/>
      <c r="AO49" s="203"/>
      <c r="AP49" s="203"/>
      <c r="AQ49" s="203"/>
      <c r="AR49" s="203"/>
      <c r="AS49" s="203"/>
      <c r="AT49" s="203"/>
      <c r="AU49" s="203"/>
      <c r="AV49" s="203"/>
      <c r="AW49" s="203"/>
      <c r="AX49" s="203"/>
      <c r="AY49" s="203"/>
      <c r="AZ49" s="203"/>
      <c r="BA49" s="203"/>
      <c r="BB49" s="203"/>
      <c r="BC49" s="203"/>
      <c r="BD49" s="203"/>
      <c r="BE49" s="203"/>
      <c r="BF49" s="203"/>
      <c r="BG49" s="203"/>
      <c r="BH49" s="203"/>
      <c r="BI49" s="203"/>
      <c r="BJ49" s="203"/>
      <c r="BK49" s="203"/>
      <c r="BL49" s="203"/>
      <c r="BM49" s="203"/>
      <c r="BN49" s="203"/>
      <c r="BO49" s="203"/>
      <c r="BP49" s="204"/>
    </row>
    <row r="50" spans="1:68" s="1" customFormat="1" ht="30.75" customHeight="1">
      <c r="A50" s="74">
        <f t="shared" si="0"/>
        <v>42</v>
      </c>
      <c r="B50" s="75"/>
      <c r="C50" s="76"/>
      <c r="D50" s="199" t="s">
        <v>755</v>
      </c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1"/>
      <c r="AA50" s="74" t="s">
        <v>655</v>
      </c>
      <c r="AB50" s="75"/>
      <c r="AC50" s="75"/>
      <c r="AD50" s="75"/>
      <c r="AE50" s="76"/>
      <c r="AF50" s="86">
        <v>14</v>
      </c>
      <c r="AG50" s="86"/>
      <c r="AH50" s="86"/>
      <c r="AI50" s="74" t="s">
        <v>1302</v>
      </c>
      <c r="AJ50" s="75"/>
      <c r="AK50" s="76"/>
      <c r="AL50" s="202" t="s">
        <v>814</v>
      </c>
      <c r="AM50" s="203"/>
      <c r="AN50" s="203"/>
      <c r="AO50" s="203"/>
      <c r="AP50" s="203"/>
      <c r="AQ50" s="203"/>
      <c r="AR50" s="203"/>
      <c r="AS50" s="203"/>
      <c r="AT50" s="203"/>
      <c r="AU50" s="203"/>
      <c r="AV50" s="203"/>
      <c r="AW50" s="203"/>
      <c r="AX50" s="203"/>
      <c r="AY50" s="203"/>
      <c r="AZ50" s="203"/>
      <c r="BA50" s="203"/>
      <c r="BB50" s="203"/>
      <c r="BC50" s="203"/>
      <c r="BD50" s="203"/>
      <c r="BE50" s="203"/>
      <c r="BF50" s="203"/>
      <c r="BG50" s="203"/>
      <c r="BH50" s="203"/>
      <c r="BI50" s="203"/>
      <c r="BJ50" s="203"/>
      <c r="BK50" s="203"/>
      <c r="BL50" s="203"/>
      <c r="BM50" s="203"/>
      <c r="BN50" s="203"/>
      <c r="BO50" s="203"/>
      <c r="BP50" s="204"/>
    </row>
    <row r="51" spans="1:68" s="1" customFormat="1" ht="30.75" customHeight="1">
      <c r="A51" s="74">
        <f t="shared" si="0"/>
        <v>43</v>
      </c>
      <c r="B51" s="75"/>
      <c r="C51" s="76"/>
      <c r="D51" s="199" t="s">
        <v>756</v>
      </c>
      <c r="E51" s="200"/>
      <c r="F51" s="200"/>
      <c r="G51" s="200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Z51" s="201"/>
      <c r="AA51" s="74" t="s">
        <v>655</v>
      </c>
      <c r="AB51" s="75"/>
      <c r="AC51" s="75"/>
      <c r="AD51" s="75"/>
      <c r="AE51" s="76"/>
      <c r="AF51" s="86">
        <v>14</v>
      </c>
      <c r="AG51" s="86"/>
      <c r="AH51" s="86"/>
      <c r="AI51" s="74" t="s">
        <v>1302</v>
      </c>
      <c r="AJ51" s="75"/>
      <c r="AK51" s="76"/>
      <c r="AL51" s="202" t="s">
        <v>815</v>
      </c>
      <c r="AM51" s="203"/>
      <c r="AN51" s="203"/>
      <c r="AO51" s="203"/>
      <c r="AP51" s="203"/>
      <c r="AQ51" s="203"/>
      <c r="AR51" s="203"/>
      <c r="AS51" s="203"/>
      <c r="AT51" s="203"/>
      <c r="AU51" s="203"/>
      <c r="AV51" s="203"/>
      <c r="AW51" s="203"/>
      <c r="AX51" s="203"/>
      <c r="AY51" s="203"/>
      <c r="AZ51" s="203"/>
      <c r="BA51" s="203"/>
      <c r="BB51" s="203"/>
      <c r="BC51" s="203"/>
      <c r="BD51" s="203"/>
      <c r="BE51" s="203"/>
      <c r="BF51" s="203"/>
      <c r="BG51" s="203"/>
      <c r="BH51" s="203"/>
      <c r="BI51" s="203"/>
      <c r="BJ51" s="203"/>
      <c r="BK51" s="203"/>
      <c r="BL51" s="203"/>
      <c r="BM51" s="203"/>
      <c r="BN51" s="203"/>
      <c r="BO51" s="203"/>
      <c r="BP51" s="204"/>
    </row>
    <row r="52" spans="1:68" s="1" customFormat="1" ht="30.75" customHeight="1">
      <c r="A52" s="74">
        <f t="shared" si="0"/>
        <v>44</v>
      </c>
      <c r="B52" s="75"/>
      <c r="C52" s="76"/>
      <c r="D52" s="199" t="s">
        <v>757</v>
      </c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200"/>
      <c r="Y52" s="200"/>
      <c r="Z52" s="201"/>
      <c r="AA52" s="74" t="s">
        <v>655</v>
      </c>
      <c r="AB52" s="75"/>
      <c r="AC52" s="75"/>
      <c r="AD52" s="75"/>
      <c r="AE52" s="76"/>
      <c r="AF52" s="86">
        <v>14</v>
      </c>
      <c r="AG52" s="86"/>
      <c r="AH52" s="86"/>
      <c r="AI52" s="74" t="s">
        <v>1302</v>
      </c>
      <c r="AJ52" s="75"/>
      <c r="AK52" s="76"/>
      <c r="AL52" s="202" t="s">
        <v>816</v>
      </c>
      <c r="AM52" s="203"/>
      <c r="AN52" s="203"/>
      <c r="AO52" s="203"/>
      <c r="AP52" s="203"/>
      <c r="AQ52" s="203"/>
      <c r="AR52" s="203"/>
      <c r="AS52" s="203"/>
      <c r="AT52" s="203"/>
      <c r="AU52" s="203"/>
      <c r="AV52" s="203"/>
      <c r="AW52" s="203"/>
      <c r="AX52" s="203"/>
      <c r="AY52" s="203"/>
      <c r="AZ52" s="203"/>
      <c r="BA52" s="203"/>
      <c r="BB52" s="203"/>
      <c r="BC52" s="203"/>
      <c r="BD52" s="203"/>
      <c r="BE52" s="203"/>
      <c r="BF52" s="203"/>
      <c r="BG52" s="203"/>
      <c r="BH52" s="203"/>
      <c r="BI52" s="203"/>
      <c r="BJ52" s="203"/>
      <c r="BK52" s="203"/>
      <c r="BL52" s="203"/>
      <c r="BM52" s="203"/>
      <c r="BN52" s="203"/>
      <c r="BO52" s="203"/>
      <c r="BP52" s="204"/>
    </row>
    <row r="53" spans="1:68" s="1" customFormat="1" ht="30.75" customHeight="1">
      <c r="A53" s="74">
        <f t="shared" si="0"/>
        <v>45</v>
      </c>
      <c r="B53" s="75"/>
      <c r="C53" s="76"/>
      <c r="D53" s="199" t="s">
        <v>1328</v>
      </c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1"/>
      <c r="AA53" s="74" t="s">
        <v>655</v>
      </c>
      <c r="AB53" s="75"/>
      <c r="AC53" s="75"/>
      <c r="AD53" s="75"/>
      <c r="AE53" s="76"/>
      <c r="AF53" s="86">
        <v>14</v>
      </c>
      <c r="AG53" s="86"/>
      <c r="AH53" s="86"/>
      <c r="AI53" s="74" t="s">
        <v>1302</v>
      </c>
      <c r="AJ53" s="75"/>
      <c r="AK53" s="76"/>
      <c r="AL53" s="202" t="s">
        <v>1329</v>
      </c>
      <c r="AM53" s="203"/>
      <c r="AN53" s="203"/>
      <c r="AO53" s="203"/>
      <c r="AP53" s="203"/>
      <c r="AQ53" s="203"/>
      <c r="AR53" s="203"/>
      <c r="AS53" s="203"/>
      <c r="AT53" s="203"/>
      <c r="AU53" s="203"/>
      <c r="AV53" s="203"/>
      <c r="AW53" s="203"/>
      <c r="AX53" s="203"/>
      <c r="AY53" s="203"/>
      <c r="AZ53" s="203"/>
      <c r="BA53" s="203"/>
      <c r="BB53" s="203"/>
      <c r="BC53" s="203"/>
      <c r="BD53" s="203"/>
      <c r="BE53" s="203"/>
      <c r="BF53" s="203"/>
      <c r="BG53" s="203"/>
      <c r="BH53" s="203"/>
      <c r="BI53" s="203"/>
      <c r="BJ53" s="203"/>
      <c r="BK53" s="203"/>
      <c r="BL53" s="203"/>
      <c r="BM53" s="203"/>
      <c r="BN53" s="203"/>
      <c r="BO53" s="203"/>
      <c r="BP53" s="204"/>
    </row>
    <row r="54" spans="1:68" s="1" customFormat="1" ht="30.75" customHeight="1">
      <c r="A54" s="74">
        <f t="shared" si="0"/>
        <v>46</v>
      </c>
      <c r="B54" s="75"/>
      <c r="C54" s="76"/>
      <c r="D54" s="199" t="s">
        <v>758</v>
      </c>
      <c r="E54" s="200"/>
      <c r="F54" s="200"/>
      <c r="G54" s="200"/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1"/>
      <c r="AA54" s="74" t="s">
        <v>655</v>
      </c>
      <c r="AB54" s="75"/>
      <c r="AC54" s="75"/>
      <c r="AD54" s="75"/>
      <c r="AE54" s="76"/>
      <c r="AF54" s="86">
        <v>14</v>
      </c>
      <c r="AG54" s="86"/>
      <c r="AH54" s="86"/>
      <c r="AI54" s="86" t="s">
        <v>1302</v>
      </c>
      <c r="AJ54" s="86"/>
      <c r="AK54" s="86"/>
      <c r="AL54" s="202" t="s">
        <v>817</v>
      </c>
      <c r="AM54" s="203"/>
      <c r="AN54" s="203"/>
      <c r="AO54" s="203"/>
      <c r="AP54" s="203"/>
      <c r="AQ54" s="203"/>
      <c r="AR54" s="203"/>
      <c r="AS54" s="203"/>
      <c r="AT54" s="203"/>
      <c r="AU54" s="203"/>
      <c r="AV54" s="203"/>
      <c r="AW54" s="203"/>
      <c r="AX54" s="203"/>
      <c r="AY54" s="203"/>
      <c r="AZ54" s="203"/>
      <c r="BA54" s="203"/>
      <c r="BB54" s="203"/>
      <c r="BC54" s="203"/>
      <c r="BD54" s="203"/>
      <c r="BE54" s="203"/>
      <c r="BF54" s="203"/>
      <c r="BG54" s="203"/>
      <c r="BH54" s="203"/>
      <c r="BI54" s="203"/>
      <c r="BJ54" s="203"/>
      <c r="BK54" s="203"/>
      <c r="BL54" s="203"/>
      <c r="BM54" s="203"/>
      <c r="BN54" s="203"/>
      <c r="BO54" s="203"/>
      <c r="BP54" s="204"/>
    </row>
    <row r="55" spans="1:68" s="1" customFormat="1" ht="30.75" customHeight="1">
      <c r="A55" s="74">
        <f t="shared" si="0"/>
        <v>47</v>
      </c>
      <c r="B55" s="75"/>
      <c r="C55" s="76"/>
      <c r="D55" s="199" t="s">
        <v>759</v>
      </c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1"/>
      <c r="AA55" s="74" t="s">
        <v>655</v>
      </c>
      <c r="AB55" s="75"/>
      <c r="AC55" s="75"/>
      <c r="AD55" s="75"/>
      <c r="AE55" s="76"/>
      <c r="AF55" s="86">
        <v>14</v>
      </c>
      <c r="AG55" s="86"/>
      <c r="AH55" s="86"/>
      <c r="AI55" s="86" t="s">
        <v>1302</v>
      </c>
      <c r="AJ55" s="86"/>
      <c r="AK55" s="86"/>
      <c r="AL55" s="202" t="s">
        <v>818</v>
      </c>
      <c r="AM55" s="203"/>
      <c r="AN55" s="203"/>
      <c r="AO55" s="203"/>
      <c r="AP55" s="203"/>
      <c r="AQ55" s="203"/>
      <c r="AR55" s="203"/>
      <c r="AS55" s="203"/>
      <c r="AT55" s="203"/>
      <c r="AU55" s="203"/>
      <c r="AV55" s="203"/>
      <c r="AW55" s="203"/>
      <c r="AX55" s="203"/>
      <c r="AY55" s="203"/>
      <c r="AZ55" s="203"/>
      <c r="BA55" s="203"/>
      <c r="BB55" s="203"/>
      <c r="BC55" s="203"/>
      <c r="BD55" s="203"/>
      <c r="BE55" s="203"/>
      <c r="BF55" s="203"/>
      <c r="BG55" s="203"/>
      <c r="BH55" s="203"/>
      <c r="BI55" s="203"/>
      <c r="BJ55" s="203"/>
      <c r="BK55" s="203"/>
      <c r="BL55" s="203"/>
      <c r="BM55" s="203"/>
      <c r="BN55" s="203"/>
      <c r="BO55" s="203"/>
      <c r="BP55" s="204"/>
    </row>
    <row r="56" spans="1:68" s="1" customFormat="1" ht="30.75" customHeight="1">
      <c r="A56" s="74">
        <f t="shared" si="0"/>
        <v>48</v>
      </c>
      <c r="B56" s="75"/>
      <c r="C56" s="76"/>
      <c r="D56" s="199" t="s">
        <v>760</v>
      </c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1"/>
      <c r="AA56" s="74" t="s">
        <v>655</v>
      </c>
      <c r="AB56" s="75"/>
      <c r="AC56" s="75"/>
      <c r="AD56" s="75"/>
      <c r="AE56" s="76"/>
      <c r="AF56" s="86">
        <v>14</v>
      </c>
      <c r="AG56" s="86"/>
      <c r="AH56" s="86"/>
      <c r="AI56" s="86" t="s">
        <v>1302</v>
      </c>
      <c r="AJ56" s="86"/>
      <c r="AK56" s="86"/>
      <c r="AL56" s="202" t="s">
        <v>819</v>
      </c>
      <c r="AM56" s="203"/>
      <c r="AN56" s="203"/>
      <c r="AO56" s="203"/>
      <c r="AP56" s="203"/>
      <c r="AQ56" s="203"/>
      <c r="AR56" s="203"/>
      <c r="AS56" s="203"/>
      <c r="AT56" s="203"/>
      <c r="AU56" s="203"/>
      <c r="AV56" s="203"/>
      <c r="AW56" s="203"/>
      <c r="AX56" s="203"/>
      <c r="AY56" s="203"/>
      <c r="AZ56" s="203"/>
      <c r="BA56" s="203"/>
      <c r="BB56" s="203"/>
      <c r="BC56" s="203"/>
      <c r="BD56" s="203"/>
      <c r="BE56" s="203"/>
      <c r="BF56" s="203"/>
      <c r="BG56" s="203"/>
      <c r="BH56" s="203"/>
      <c r="BI56" s="203"/>
      <c r="BJ56" s="203"/>
      <c r="BK56" s="203"/>
      <c r="BL56" s="203"/>
      <c r="BM56" s="203"/>
      <c r="BN56" s="203"/>
      <c r="BO56" s="203"/>
      <c r="BP56" s="204"/>
    </row>
    <row r="57" spans="1:68" s="1" customFormat="1" ht="30.75" customHeight="1">
      <c r="A57" s="74">
        <f t="shared" si="0"/>
        <v>49</v>
      </c>
      <c r="B57" s="75"/>
      <c r="C57" s="76"/>
      <c r="D57" s="199" t="s">
        <v>761</v>
      </c>
      <c r="E57" s="200"/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1"/>
      <c r="AA57" s="74" t="s">
        <v>655</v>
      </c>
      <c r="AB57" s="75"/>
      <c r="AC57" s="75"/>
      <c r="AD57" s="75"/>
      <c r="AE57" s="76"/>
      <c r="AF57" s="86">
        <v>14</v>
      </c>
      <c r="AG57" s="86"/>
      <c r="AH57" s="86"/>
      <c r="AI57" s="86" t="s">
        <v>1302</v>
      </c>
      <c r="AJ57" s="86"/>
      <c r="AK57" s="86"/>
      <c r="AL57" s="202" t="s">
        <v>820</v>
      </c>
      <c r="AM57" s="203"/>
      <c r="AN57" s="203"/>
      <c r="AO57" s="203"/>
      <c r="AP57" s="203"/>
      <c r="AQ57" s="203"/>
      <c r="AR57" s="203"/>
      <c r="AS57" s="203"/>
      <c r="AT57" s="203"/>
      <c r="AU57" s="203"/>
      <c r="AV57" s="203"/>
      <c r="AW57" s="203"/>
      <c r="AX57" s="203"/>
      <c r="AY57" s="203"/>
      <c r="AZ57" s="203"/>
      <c r="BA57" s="203"/>
      <c r="BB57" s="203"/>
      <c r="BC57" s="203"/>
      <c r="BD57" s="203"/>
      <c r="BE57" s="203"/>
      <c r="BF57" s="203"/>
      <c r="BG57" s="203"/>
      <c r="BH57" s="203"/>
      <c r="BI57" s="203"/>
      <c r="BJ57" s="203"/>
      <c r="BK57" s="203"/>
      <c r="BL57" s="203"/>
      <c r="BM57" s="203"/>
      <c r="BN57" s="203"/>
      <c r="BO57" s="203"/>
      <c r="BP57" s="204"/>
    </row>
    <row r="58" spans="1:68" s="1" customFormat="1" ht="30.75" customHeight="1">
      <c r="A58" s="74">
        <f t="shared" si="0"/>
        <v>50</v>
      </c>
      <c r="B58" s="75"/>
      <c r="C58" s="76"/>
      <c r="D58" s="199" t="s">
        <v>762</v>
      </c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1"/>
      <c r="AA58" s="74" t="s">
        <v>655</v>
      </c>
      <c r="AB58" s="75"/>
      <c r="AC58" s="75"/>
      <c r="AD58" s="75"/>
      <c r="AE58" s="76"/>
      <c r="AF58" s="86">
        <v>14</v>
      </c>
      <c r="AG58" s="86"/>
      <c r="AH58" s="86"/>
      <c r="AI58" s="86" t="s">
        <v>1302</v>
      </c>
      <c r="AJ58" s="86"/>
      <c r="AK58" s="86"/>
      <c r="AL58" s="202" t="s">
        <v>821</v>
      </c>
      <c r="AM58" s="203"/>
      <c r="AN58" s="203"/>
      <c r="AO58" s="203"/>
      <c r="AP58" s="203"/>
      <c r="AQ58" s="203"/>
      <c r="AR58" s="203"/>
      <c r="AS58" s="203"/>
      <c r="AT58" s="203"/>
      <c r="AU58" s="203"/>
      <c r="AV58" s="203"/>
      <c r="AW58" s="203"/>
      <c r="AX58" s="203"/>
      <c r="AY58" s="203"/>
      <c r="AZ58" s="203"/>
      <c r="BA58" s="203"/>
      <c r="BB58" s="203"/>
      <c r="BC58" s="203"/>
      <c r="BD58" s="203"/>
      <c r="BE58" s="203"/>
      <c r="BF58" s="203"/>
      <c r="BG58" s="203"/>
      <c r="BH58" s="203"/>
      <c r="BI58" s="203"/>
      <c r="BJ58" s="203"/>
      <c r="BK58" s="203"/>
      <c r="BL58" s="203"/>
      <c r="BM58" s="203"/>
      <c r="BN58" s="203"/>
      <c r="BO58" s="203"/>
      <c r="BP58" s="204"/>
    </row>
    <row r="59" spans="1:68" s="1" customFormat="1" ht="30.75" customHeight="1">
      <c r="A59" s="74">
        <f t="shared" si="0"/>
        <v>51</v>
      </c>
      <c r="B59" s="75"/>
      <c r="C59" s="76"/>
      <c r="D59" s="199" t="s">
        <v>763</v>
      </c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1"/>
      <c r="AA59" s="74" t="s">
        <v>655</v>
      </c>
      <c r="AB59" s="75"/>
      <c r="AC59" s="75"/>
      <c r="AD59" s="75"/>
      <c r="AE59" s="76"/>
      <c r="AF59" s="86">
        <v>14</v>
      </c>
      <c r="AG59" s="86"/>
      <c r="AH59" s="86"/>
      <c r="AI59" s="86" t="s">
        <v>1302</v>
      </c>
      <c r="AJ59" s="86"/>
      <c r="AK59" s="86"/>
      <c r="AL59" s="202" t="s">
        <v>822</v>
      </c>
      <c r="AM59" s="203"/>
      <c r="AN59" s="203"/>
      <c r="AO59" s="203"/>
      <c r="AP59" s="203"/>
      <c r="AQ59" s="203"/>
      <c r="AR59" s="203"/>
      <c r="AS59" s="203"/>
      <c r="AT59" s="203"/>
      <c r="AU59" s="203"/>
      <c r="AV59" s="203"/>
      <c r="AW59" s="203"/>
      <c r="AX59" s="203"/>
      <c r="AY59" s="203"/>
      <c r="AZ59" s="203"/>
      <c r="BA59" s="203"/>
      <c r="BB59" s="203"/>
      <c r="BC59" s="203"/>
      <c r="BD59" s="203"/>
      <c r="BE59" s="203"/>
      <c r="BF59" s="203"/>
      <c r="BG59" s="203"/>
      <c r="BH59" s="203"/>
      <c r="BI59" s="203"/>
      <c r="BJ59" s="203"/>
      <c r="BK59" s="203"/>
      <c r="BL59" s="203"/>
      <c r="BM59" s="203"/>
      <c r="BN59" s="203"/>
      <c r="BO59" s="203"/>
      <c r="BP59" s="204"/>
    </row>
    <row r="60" spans="1:68" s="1" customFormat="1" ht="30.75" customHeight="1">
      <c r="A60" s="74">
        <f t="shared" si="0"/>
        <v>52</v>
      </c>
      <c r="B60" s="75"/>
      <c r="C60" s="76"/>
      <c r="D60" s="199" t="s">
        <v>764</v>
      </c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1"/>
      <c r="AA60" s="74" t="s">
        <v>655</v>
      </c>
      <c r="AB60" s="75"/>
      <c r="AC60" s="75"/>
      <c r="AD60" s="75"/>
      <c r="AE60" s="76"/>
      <c r="AF60" s="86">
        <v>14</v>
      </c>
      <c r="AG60" s="86"/>
      <c r="AH60" s="86"/>
      <c r="AI60" s="86" t="s">
        <v>1302</v>
      </c>
      <c r="AJ60" s="86"/>
      <c r="AK60" s="86"/>
      <c r="AL60" s="202" t="s">
        <v>823</v>
      </c>
      <c r="AM60" s="203"/>
      <c r="AN60" s="203"/>
      <c r="AO60" s="203"/>
      <c r="AP60" s="203"/>
      <c r="AQ60" s="203"/>
      <c r="AR60" s="203"/>
      <c r="AS60" s="203"/>
      <c r="AT60" s="203"/>
      <c r="AU60" s="203"/>
      <c r="AV60" s="203"/>
      <c r="AW60" s="203"/>
      <c r="AX60" s="203"/>
      <c r="AY60" s="203"/>
      <c r="AZ60" s="203"/>
      <c r="BA60" s="203"/>
      <c r="BB60" s="203"/>
      <c r="BC60" s="203"/>
      <c r="BD60" s="203"/>
      <c r="BE60" s="203"/>
      <c r="BF60" s="203"/>
      <c r="BG60" s="203"/>
      <c r="BH60" s="203"/>
      <c r="BI60" s="203"/>
      <c r="BJ60" s="203"/>
      <c r="BK60" s="203"/>
      <c r="BL60" s="203"/>
      <c r="BM60" s="203"/>
      <c r="BN60" s="203"/>
      <c r="BO60" s="203"/>
      <c r="BP60" s="204"/>
    </row>
    <row r="61" spans="1:68" s="1" customFormat="1" ht="30.75" customHeight="1">
      <c r="A61" s="74">
        <f t="shared" si="0"/>
        <v>53</v>
      </c>
      <c r="B61" s="75"/>
      <c r="C61" s="76"/>
      <c r="D61" s="199" t="s">
        <v>765</v>
      </c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  <c r="V61" s="200"/>
      <c r="W61" s="200"/>
      <c r="X61" s="200"/>
      <c r="Y61" s="200"/>
      <c r="Z61" s="201"/>
      <c r="AA61" s="74" t="s">
        <v>655</v>
      </c>
      <c r="AB61" s="75"/>
      <c r="AC61" s="75"/>
      <c r="AD61" s="75"/>
      <c r="AE61" s="76"/>
      <c r="AF61" s="86">
        <v>14</v>
      </c>
      <c r="AG61" s="86"/>
      <c r="AH61" s="86"/>
      <c r="AI61" s="86" t="s">
        <v>1302</v>
      </c>
      <c r="AJ61" s="86"/>
      <c r="AK61" s="86"/>
      <c r="AL61" s="202" t="s">
        <v>824</v>
      </c>
      <c r="AM61" s="203"/>
      <c r="AN61" s="203"/>
      <c r="AO61" s="203"/>
      <c r="AP61" s="203"/>
      <c r="AQ61" s="203"/>
      <c r="AR61" s="203"/>
      <c r="AS61" s="203"/>
      <c r="AT61" s="203"/>
      <c r="AU61" s="203"/>
      <c r="AV61" s="203"/>
      <c r="AW61" s="203"/>
      <c r="AX61" s="203"/>
      <c r="AY61" s="203"/>
      <c r="AZ61" s="203"/>
      <c r="BA61" s="203"/>
      <c r="BB61" s="203"/>
      <c r="BC61" s="203"/>
      <c r="BD61" s="203"/>
      <c r="BE61" s="203"/>
      <c r="BF61" s="203"/>
      <c r="BG61" s="203"/>
      <c r="BH61" s="203"/>
      <c r="BI61" s="203"/>
      <c r="BJ61" s="203"/>
      <c r="BK61" s="203"/>
      <c r="BL61" s="203"/>
      <c r="BM61" s="203"/>
      <c r="BN61" s="203"/>
      <c r="BO61" s="203"/>
      <c r="BP61" s="204"/>
    </row>
    <row r="62" spans="1:68" s="1" customFormat="1" ht="30.75" customHeight="1">
      <c r="A62" s="74">
        <f t="shared" si="0"/>
        <v>54</v>
      </c>
      <c r="B62" s="75"/>
      <c r="C62" s="76"/>
      <c r="D62" s="199" t="s">
        <v>766</v>
      </c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  <c r="X62" s="200"/>
      <c r="Y62" s="200"/>
      <c r="Z62" s="201"/>
      <c r="AA62" s="74" t="s">
        <v>655</v>
      </c>
      <c r="AB62" s="75"/>
      <c r="AC62" s="75"/>
      <c r="AD62" s="75"/>
      <c r="AE62" s="76"/>
      <c r="AF62" s="86">
        <v>14</v>
      </c>
      <c r="AG62" s="86"/>
      <c r="AH62" s="86"/>
      <c r="AI62" s="86" t="s">
        <v>1302</v>
      </c>
      <c r="AJ62" s="86"/>
      <c r="AK62" s="86"/>
      <c r="AL62" s="202" t="s">
        <v>825</v>
      </c>
      <c r="AM62" s="203"/>
      <c r="AN62" s="203"/>
      <c r="AO62" s="203"/>
      <c r="AP62" s="203"/>
      <c r="AQ62" s="203"/>
      <c r="AR62" s="203"/>
      <c r="AS62" s="203"/>
      <c r="AT62" s="203"/>
      <c r="AU62" s="203"/>
      <c r="AV62" s="203"/>
      <c r="AW62" s="203"/>
      <c r="AX62" s="203"/>
      <c r="AY62" s="203"/>
      <c r="AZ62" s="203"/>
      <c r="BA62" s="203"/>
      <c r="BB62" s="203"/>
      <c r="BC62" s="203"/>
      <c r="BD62" s="203"/>
      <c r="BE62" s="203"/>
      <c r="BF62" s="203"/>
      <c r="BG62" s="203"/>
      <c r="BH62" s="203"/>
      <c r="BI62" s="203"/>
      <c r="BJ62" s="203"/>
      <c r="BK62" s="203"/>
      <c r="BL62" s="203"/>
      <c r="BM62" s="203"/>
      <c r="BN62" s="203"/>
      <c r="BO62" s="203"/>
      <c r="BP62" s="204"/>
    </row>
    <row r="63" spans="1:68" s="1" customFormat="1" ht="30.75" customHeight="1">
      <c r="A63" s="74">
        <f t="shared" si="0"/>
        <v>55</v>
      </c>
      <c r="B63" s="75"/>
      <c r="C63" s="76"/>
      <c r="D63" s="199" t="s">
        <v>767</v>
      </c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1"/>
      <c r="AA63" s="74" t="s">
        <v>655</v>
      </c>
      <c r="AB63" s="75"/>
      <c r="AC63" s="75"/>
      <c r="AD63" s="75"/>
      <c r="AE63" s="76"/>
      <c r="AF63" s="86">
        <v>14</v>
      </c>
      <c r="AG63" s="86"/>
      <c r="AH63" s="86"/>
      <c r="AI63" s="86" t="s">
        <v>1302</v>
      </c>
      <c r="AJ63" s="86"/>
      <c r="AK63" s="86"/>
      <c r="AL63" s="202" t="s">
        <v>826</v>
      </c>
      <c r="AM63" s="203"/>
      <c r="AN63" s="203"/>
      <c r="AO63" s="203"/>
      <c r="AP63" s="203"/>
      <c r="AQ63" s="203"/>
      <c r="AR63" s="203"/>
      <c r="AS63" s="203"/>
      <c r="AT63" s="203"/>
      <c r="AU63" s="203"/>
      <c r="AV63" s="203"/>
      <c r="AW63" s="203"/>
      <c r="AX63" s="203"/>
      <c r="AY63" s="203"/>
      <c r="AZ63" s="203"/>
      <c r="BA63" s="203"/>
      <c r="BB63" s="203"/>
      <c r="BC63" s="203"/>
      <c r="BD63" s="203"/>
      <c r="BE63" s="203"/>
      <c r="BF63" s="203"/>
      <c r="BG63" s="203"/>
      <c r="BH63" s="203"/>
      <c r="BI63" s="203"/>
      <c r="BJ63" s="203"/>
      <c r="BK63" s="203"/>
      <c r="BL63" s="203"/>
      <c r="BM63" s="203"/>
      <c r="BN63" s="203"/>
      <c r="BO63" s="203"/>
      <c r="BP63" s="204"/>
    </row>
    <row r="64" spans="1:68" s="1" customFormat="1" ht="30.75" customHeight="1">
      <c r="A64" s="74">
        <f t="shared" si="0"/>
        <v>56</v>
      </c>
      <c r="B64" s="75"/>
      <c r="C64" s="76"/>
      <c r="D64" s="199" t="s">
        <v>768</v>
      </c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1"/>
      <c r="AA64" s="74" t="s">
        <v>655</v>
      </c>
      <c r="AB64" s="75"/>
      <c r="AC64" s="75"/>
      <c r="AD64" s="75"/>
      <c r="AE64" s="76"/>
      <c r="AF64" s="86">
        <v>14</v>
      </c>
      <c r="AG64" s="86"/>
      <c r="AH64" s="86"/>
      <c r="AI64" s="86" t="s">
        <v>1302</v>
      </c>
      <c r="AJ64" s="86"/>
      <c r="AK64" s="86"/>
      <c r="AL64" s="202" t="s">
        <v>827</v>
      </c>
      <c r="AM64" s="203"/>
      <c r="AN64" s="203"/>
      <c r="AO64" s="203"/>
      <c r="AP64" s="203"/>
      <c r="AQ64" s="203"/>
      <c r="AR64" s="203"/>
      <c r="AS64" s="203"/>
      <c r="AT64" s="203"/>
      <c r="AU64" s="203"/>
      <c r="AV64" s="203"/>
      <c r="AW64" s="203"/>
      <c r="AX64" s="203"/>
      <c r="AY64" s="203"/>
      <c r="AZ64" s="203"/>
      <c r="BA64" s="203"/>
      <c r="BB64" s="203"/>
      <c r="BC64" s="203"/>
      <c r="BD64" s="203"/>
      <c r="BE64" s="203"/>
      <c r="BF64" s="203"/>
      <c r="BG64" s="203"/>
      <c r="BH64" s="203"/>
      <c r="BI64" s="203"/>
      <c r="BJ64" s="203"/>
      <c r="BK64" s="203"/>
      <c r="BL64" s="203"/>
      <c r="BM64" s="203"/>
      <c r="BN64" s="203"/>
      <c r="BO64" s="203"/>
      <c r="BP64" s="204"/>
    </row>
    <row r="65" spans="1:68" s="1" customFormat="1" ht="30.75" customHeight="1">
      <c r="A65" s="74">
        <f t="shared" si="0"/>
        <v>57</v>
      </c>
      <c r="B65" s="75"/>
      <c r="C65" s="76"/>
      <c r="D65" s="199" t="s">
        <v>769</v>
      </c>
      <c r="E65" s="200"/>
      <c r="F65" s="200"/>
      <c r="G65" s="20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1"/>
      <c r="AA65" s="74" t="s">
        <v>655</v>
      </c>
      <c r="AB65" s="75"/>
      <c r="AC65" s="75"/>
      <c r="AD65" s="75"/>
      <c r="AE65" s="76"/>
      <c r="AF65" s="86">
        <v>14</v>
      </c>
      <c r="AG65" s="86"/>
      <c r="AH65" s="86"/>
      <c r="AI65" s="86" t="s">
        <v>1302</v>
      </c>
      <c r="AJ65" s="86"/>
      <c r="AK65" s="86"/>
      <c r="AL65" s="202" t="s">
        <v>828</v>
      </c>
      <c r="AM65" s="203"/>
      <c r="AN65" s="203"/>
      <c r="AO65" s="203"/>
      <c r="AP65" s="203"/>
      <c r="AQ65" s="203"/>
      <c r="AR65" s="203"/>
      <c r="AS65" s="203"/>
      <c r="AT65" s="203"/>
      <c r="AU65" s="203"/>
      <c r="AV65" s="203"/>
      <c r="AW65" s="203"/>
      <c r="AX65" s="203"/>
      <c r="AY65" s="203"/>
      <c r="AZ65" s="203"/>
      <c r="BA65" s="203"/>
      <c r="BB65" s="203"/>
      <c r="BC65" s="203"/>
      <c r="BD65" s="203"/>
      <c r="BE65" s="203"/>
      <c r="BF65" s="203"/>
      <c r="BG65" s="203"/>
      <c r="BH65" s="203"/>
      <c r="BI65" s="203"/>
      <c r="BJ65" s="203"/>
      <c r="BK65" s="203"/>
      <c r="BL65" s="203"/>
      <c r="BM65" s="203"/>
      <c r="BN65" s="203"/>
      <c r="BO65" s="203"/>
      <c r="BP65" s="204"/>
    </row>
    <row r="66" spans="1:68" s="1" customFormat="1" ht="30.75" customHeight="1">
      <c r="A66" s="74">
        <f t="shared" si="0"/>
        <v>58</v>
      </c>
      <c r="B66" s="75"/>
      <c r="C66" s="76"/>
      <c r="D66" s="199" t="s">
        <v>770</v>
      </c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0"/>
      <c r="Y66" s="200"/>
      <c r="Z66" s="201"/>
      <c r="AA66" s="74" t="s">
        <v>655</v>
      </c>
      <c r="AB66" s="75"/>
      <c r="AC66" s="75"/>
      <c r="AD66" s="75"/>
      <c r="AE66" s="76"/>
      <c r="AF66" s="86">
        <v>14</v>
      </c>
      <c r="AG66" s="86"/>
      <c r="AH66" s="86"/>
      <c r="AI66" s="86" t="s">
        <v>1302</v>
      </c>
      <c r="AJ66" s="86"/>
      <c r="AK66" s="86"/>
      <c r="AL66" s="202" t="s">
        <v>829</v>
      </c>
      <c r="AM66" s="203"/>
      <c r="AN66" s="203"/>
      <c r="AO66" s="203"/>
      <c r="AP66" s="203"/>
      <c r="AQ66" s="203"/>
      <c r="AR66" s="203"/>
      <c r="AS66" s="203"/>
      <c r="AT66" s="203"/>
      <c r="AU66" s="203"/>
      <c r="AV66" s="203"/>
      <c r="AW66" s="203"/>
      <c r="AX66" s="203"/>
      <c r="AY66" s="203"/>
      <c r="AZ66" s="203"/>
      <c r="BA66" s="203"/>
      <c r="BB66" s="203"/>
      <c r="BC66" s="203"/>
      <c r="BD66" s="203"/>
      <c r="BE66" s="203"/>
      <c r="BF66" s="203"/>
      <c r="BG66" s="203"/>
      <c r="BH66" s="203"/>
      <c r="BI66" s="203"/>
      <c r="BJ66" s="203"/>
      <c r="BK66" s="203"/>
      <c r="BL66" s="203"/>
      <c r="BM66" s="203"/>
      <c r="BN66" s="203"/>
      <c r="BO66" s="203"/>
      <c r="BP66" s="204"/>
    </row>
    <row r="67" spans="1:68" s="1" customFormat="1" ht="30.75" customHeight="1">
      <c r="A67" s="74">
        <f t="shared" si="0"/>
        <v>59</v>
      </c>
      <c r="B67" s="75"/>
      <c r="C67" s="76"/>
      <c r="D67" s="199" t="s">
        <v>771</v>
      </c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1"/>
      <c r="AA67" s="74" t="s">
        <v>655</v>
      </c>
      <c r="AB67" s="75"/>
      <c r="AC67" s="75"/>
      <c r="AD67" s="75"/>
      <c r="AE67" s="76"/>
      <c r="AF67" s="86">
        <v>14</v>
      </c>
      <c r="AG67" s="86"/>
      <c r="AH67" s="86"/>
      <c r="AI67" s="86" t="s">
        <v>1302</v>
      </c>
      <c r="AJ67" s="86"/>
      <c r="AK67" s="86"/>
      <c r="AL67" s="202" t="s">
        <v>830</v>
      </c>
      <c r="AM67" s="203"/>
      <c r="AN67" s="203"/>
      <c r="AO67" s="203"/>
      <c r="AP67" s="203"/>
      <c r="AQ67" s="203"/>
      <c r="AR67" s="203"/>
      <c r="AS67" s="203"/>
      <c r="AT67" s="203"/>
      <c r="AU67" s="203"/>
      <c r="AV67" s="203"/>
      <c r="AW67" s="203"/>
      <c r="AX67" s="203"/>
      <c r="AY67" s="203"/>
      <c r="AZ67" s="203"/>
      <c r="BA67" s="203"/>
      <c r="BB67" s="203"/>
      <c r="BC67" s="203"/>
      <c r="BD67" s="203"/>
      <c r="BE67" s="203"/>
      <c r="BF67" s="203"/>
      <c r="BG67" s="203"/>
      <c r="BH67" s="203"/>
      <c r="BI67" s="203"/>
      <c r="BJ67" s="203"/>
      <c r="BK67" s="203"/>
      <c r="BL67" s="203"/>
      <c r="BM67" s="203"/>
      <c r="BN67" s="203"/>
      <c r="BO67" s="203"/>
      <c r="BP67" s="204"/>
    </row>
    <row r="68" spans="1:68" s="1" customFormat="1" ht="30.75" customHeight="1">
      <c r="A68" s="74">
        <f t="shared" si="0"/>
        <v>60</v>
      </c>
      <c r="B68" s="75"/>
      <c r="C68" s="76"/>
      <c r="D68" s="199" t="s">
        <v>1333</v>
      </c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1"/>
      <c r="AA68" s="74" t="s">
        <v>655</v>
      </c>
      <c r="AB68" s="75"/>
      <c r="AC68" s="75"/>
      <c r="AD68" s="75"/>
      <c r="AE68" s="76"/>
      <c r="AF68" s="86">
        <v>14</v>
      </c>
      <c r="AG68" s="86"/>
      <c r="AH68" s="86"/>
      <c r="AI68" s="86" t="s">
        <v>1302</v>
      </c>
      <c r="AJ68" s="86"/>
      <c r="AK68" s="86"/>
      <c r="AL68" s="202" t="s">
        <v>1334</v>
      </c>
      <c r="AM68" s="203"/>
      <c r="AN68" s="203"/>
      <c r="AO68" s="203"/>
      <c r="AP68" s="203"/>
      <c r="AQ68" s="203"/>
      <c r="AR68" s="203"/>
      <c r="AS68" s="203"/>
      <c r="AT68" s="203"/>
      <c r="AU68" s="203"/>
      <c r="AV68" s="203"/>
      <c r="AW68" s="203"/>
      <c r="AX68" s="203"/>
      <c r="AY68" s="203"/>
      <c r="AZ68" s="203"/>
      <c r="BA68" s="203"/>
      <c r="BB68" s="203"/>
      <c r="BC68" s="203"/>
      <c r="BD68" s="203"/>
      <c r="BE68" s="203"/>
      <c r="BF68" s="203"/>
      <c r="BG68" s="203"/>
      <c r="BH68" s="203"/>
      <c r="BI68" s="203"/>
      <c r="BJ68" s="203"/>
      <c r="BK68" s="203"/>
      <c r="BL68" s="203"/>
      <c r="BM68" s="203"/>
      <c r="BN68" s="203"/>
      <c r="BO68" s="203"/>
      <c r="BP68" s="204"/>
    </row>
    <row r="69" spans="1:68" s="1" customFormat="1" ht="30.75" customHeight="1">
      <c r="A69" s="74">
        <f t="shared" si="0"/>
        <v>61</v>
      </c>
      <c r="B69" s="75"/>
      <c r="C69" s="76"/>
      <c r="D69" s="199" t="s">
        <v>772</v>
      </c>
      <c r="E69" s="200"/>
      <c r="F69" s="200"/>
      <c r="G69" s="200"/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1"/>
      <c r="AA69" s="74" t="s">
        <v>655</v>
      </c>
      <c r="AB69" s="75"/>
      <c r="AC69" s="75"/>
      <c r="AD69" s="75"/>
      <c r="AE69" s="76"/>
      <c r="AF69" s="86">
        <v>14</v>
      </c>
      <c r="AG69" s="86"/>
      <c r="AH69" s="86"/>
      <c r="AI69" s="86" t="s">
        <v>1302</v>
      </c>
      <c r="AJ69" s="86"/>
      <c r="AK69" s="86"/>
      <c r="AL69" s="202" t="s">
        <v>831</v>
      </c>
      <c r="AM69" s="203"/>
      <c r="AN69" s="203"/>
      <c r="AO69" s="203"/>
      <c r="AP69" s="203"/>
      <c r="AQ69" s="203"/>
      <c r="AR69" s="203"/>
      <c r="AS69" s="203"/>
      <c r="AT69" s="203"/>
      <c r="AU69" s="203"/>
      <c r="AV69" s="203"/>
      <c r="AW69" s="203"/>
      <c r="AX69" s="203"/>
      <c r="AY69" s="203"/>
      <c r="AZ69" s="203"/>
      <c r="BA69" s="203"/>
      <c r="BB69" s="203"/>
      <c r="BC69" s="203"/>
      <c r="BD69" s="203"/>
      <c r="BE69" s="203"/>
      <c r="BF69" s="203"/>
      <c r="BG69" s="203"/>
      <c r="BH69" s="203"/>
      <c r="BI69" s="203"/>
      <c r="BJ69" s="203"/>
      <c r="BK69" s="203"/>
      <c r="BL69" s="203"/>
      <c r="BM69" s="203"/>
      <c r="BN69" s="203"/>
      <c r="BO69" s="203"/>
      <c r="BP69" s="204"/>
    </row>
    <row r="70" spans="1:68" s="1" customFormat="1" ht="30.75" customHeight="1">
      <c r="A70" s="74">
        <f t="shared" si="0"/>
        <v>62</v>
      </c>
      <c r="B70" s="75"/>
      <c r="C70" s="76"/>
      <c r="D70" s="199" t="s">
        <v>773</v>
      </c>
      <c r="E70" s="200"/>
      <c r="F70" s="200"/>
      <c r="G70" s="200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00"/>
      <c r="Y70" s="200"/>
      <c r="Z70" s="201"/>
      <c r="AA70" s="74" t="s">
        <v>18</v>
      </c>
      <c r="AB70" s="75"/>
      <c r="AC70" s="75"/>
      <c r="AD70" s="75"/>
      <c r="AE70" s="76"/>
      <c r="AF70" s="86">
        <v>8</v>
      </c>
      <c r="AG70" s="86"/>
      <c r="AH70" s="86"/>
      <c r="AI70" s="86"/>
      <c r="AJ70" s="86"/>
      <c r="AK70" s="86"/>
      <c r="AL70" s="202" t="s">
        <v>832</v>
      </c>
      <c r="AM70" s="203"/>
      <c r="AN70" s="203"/>
      <c r="AO70" s="203"/>
      <c r="AP70" s="203"/>
      <c r="AQ70" s="203"/>
      <c r="AR70" s="203"/>
      <c r="AS70" s="203"/>
      <c r="AT70" s="203"/>
      <c r="AU70" s="203"/>
      <c r="AV70" s="203"/>
      <c r="AW70" s="203"/>
      <c r="AX70" s="203"/>
      <c r="AY70" s="203"/>
      <c r="AZ70" s="203"/>
      <c r="BA70" s="203"/>
      <c r="BB70" s="203"/>
      <c r="BC70" s="203"/>
      <c r="BD70" s="203"/>
      <c r="BE70" s="203"/>
      <c r="BF70" s="203"/>
      <c r="BG70" s="203"/>
      <c r="BH70" s="203"/>
      <c r="BI70" s="203"/>
      <c r="BJ70" s="203"/>
      <c r="BK70" s="203"/>
      <c r="BL70" s="203"/>
      <c r="BM70" s="203"/>
      <c r="BN70" s="203"/>
      <c r="BO70" s="203"/>
      <c r="BP70" s="204"/>
    </row>
    <row r="71" spans="1:68" s="1" customFormat="1" ht="30.75" customHeight="1">
      <c r="A71" s="74">
        <f t="shared" si="0"/>
        <v>63</v>
      </c>
      <c r="B71" s="75"/>
      <c r="C71" s="76"/>
      <c r="D71" s="199" t="s">
        <v>774</v>
      </c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1"/>
      <c r="AA71" s="74" t="s">
        <v>654</v>
      </c>
      <c r="AB71" s="75"/>
      <c r="AC71" s="75"/>
      <c r="AD71" s="75"/>
      <c r="AE71" s="76"/>
      <c r="AF71" s="74">
        <v>20</v>
      </c>
      <c r="AG71" s="75"/>
      <c r="AH71" s="76"/>
      <c r="AI71" s="74"/>
      <c r="AJ71" s="75"/>
      <c r="AK71" s="76"/>
      <c r="AL71" s="202" t="s">
        <v>833</v>
      </c>
      <c r="AM71" s="203"/>
      <c r="AN71" s="203"/>
      <c r="AO71" s="203"/>
      <c r="AP71" s="203"/>
      <c r="AQ71" s="203"/>
      <c r="AR71" s="203"/>
      <c r="AS71" s="203"/>
      <c r="AT71" s="203"/>
      <c r="AU71" s="203"/>
      <c r="AV71" s="203"/>
      <c r="AW71" s="203"/>
      <c r="AX71" s="203"/>
      <c r="AY71" s="203"/>
      <c r="AZ71" s="203"/>
      <c r="BA71" s="203"/>
      <c r="BB71" s="203"/>
      <c r="BC71" s="203"/>
      <c r="BD71" s="203"/>
      <c r="BE71" s="203"/>
      <c r="BF71" s="203"/>
      <c r="BG71" s="203"/>
      <c r="BH71" s="203"/>
      <c r="BI71" s="203"/>
      <c r="BJ71" s="203"/>
      <c r="BK71" s="203"/>
      <c r="BL71" s="203"/>
      <c r="BM71" s="203"/>
      <c r="BN71" s="203"/>
      <c r="BO71" s="203"/>
      <c r="BP71" s="204"/>
    </row>
    <row r="72" spans="1:68" s="1" customFormat="1" ht="30.75" customHeight="1">
      <c r="A72" s="117">
        <f t="shared" ref="A72:A78" si="1">ROW()-8</f>
        <v>64</v>
      </c>
      <c r="B72" s="118"/>
      <c r="C72" s="119"/>
      <c r="D72" s="199" t="s">
        <v>775</v>
      </c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1"/>
      <c r="AA72" s="74" t="s">
        <v>654</v>
      </c>
      <c r="AB72" s="75"/>
      <c r="AC72" s="75"/>
      <c r="AD72" s="75"/>
      <c r="AE72" s="76"/>
      <c r="AF72" s="74">
        <v>30</v>
      </c>
      <c r="AG72" s="75"/>
      <c r="AH72" s="76"/>
      <c r="AI72" s="74"/>
      <c r="AJ72" s="75"/>
      <c r="AK72" s="76"/>
      <c r="AL72" s="202" t="s">
        <v>834</v>
      </c>
      <c r="AM72" s="203"/>
      <c r="AN72" s="203"/>
      <c r="AO72" s="203"/>
      <c r="AP72" s="203"/>
      <c r="AQ72" s="203"/>
      <c r="AR72" s="203"/>
      <c r="AS72" s="203"/>
      <c r="AT72" s="203"/>
      <c r="AU72" s="203"/>
      <c r="AV72" s="203"/>
      <c r="AW72" s="203"/>
      <c r="AX72" s="203"/>
      <c r="AY72" s="203"/>
      <c r="AZ72" s="203"/>
      <c r="BA72" s="203"/>
      <c r="BB72" s="203"/>
      <c r="BC72" s="203"/>
      <c r="BD72" s="203"/>
      <c r="BE72" s="203"/>
      <c r="BF72" s="203"/>
      <c r="BG72" s="203"/>
      <c r="BH72" s="203"/>
      <c r="BI72" s="203"/>
      <c r="BJ72" s="203"/>
      <c r="BK72" s="203"/>
      <c r="BL72" s="203"/>
      <c r="BM72" s="203"/>
      <c r="BN72" s="203"/>
      <c r="BO72" s="203"/>
      <c r="BP72" s="204"/>
    </row>
    <row r="73" spans="1:68" s="1" customFormat="1" ht="30.75" customHeight="1">
      <c r="A73" s="74">
        <f t="shared" si="1"/>
        <v>65</v>
      </c>
      <c r="B73" s="75"/>
      <c r="C73" s="76"/>
      <c r="D73" s="199" t="s">
        <v>776</v>
      </c>
      <c r="E73" s="200"/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1"/>
      <c r="AA73" s="74" t="s">
        <v>653</v>
      </c>
      <c r="AB73" s="75"/>
      <c r="AC73" s="75"/>
      <c r="AD73" s="75"/>
      <c r="AE73" s="76"/>
      <c r="AF73" s="74">
        <v>4</v>
      </c>
      <c r="AG73" s="75"/>
      <c r="AH73" s="76"/>
      <c r="AI73" s="74"/>
      <c r="AJ73" s="75"/>
      <c r="AK73" s="76"/>
      <c r="AL73" s="202" t="s">
        <v>835</v>
      </c>
      <c r="AM73" s="203"/>
      <c r="AN73" s="203"/>
      <c r="AO73" s="203"/>
      <c r="AP73" s="203"/>
      <c r="AQ73" s="203"/>
      <c r="AR73" s="203"/>
      <c r="AS73" s="203"/>
      <c r="AT73" s="203"/>
      <c r="AU73" s="203"/>
      <c r="AV73" s="203"/>
      <c r="AW73" s="203"/>
      <c r="AX73" s="203"/>
      <c r="AY73" s="203"/>
      <c r="AZ73" s="203"/>
      <c r="BA73" s="203"/>
      <c r="BB73" s="203"/>
      <c r="BC73" s="203"/>
      <c r="BD73" s="203"/>
      <c r="BE73" s="203"/>
      <c r="BF73" s="203"/>
      <c r="BG73" s="203"/>
      <c r="BH73" s="203"/>
      <c r="BI73" s="203"/>
      <c r="BJ73" s="203"/>
      <c r="BK73" s="203"/>
      <c r="BL73" s="203"/>
      <c r="BM73" s="203"/>
      <c r="BN73" s="203"/>
      <c r="BO73" s="203"/>
      <c r="BP73" s="204"/>
    </row>
    <row r="74" spans="1:68" s="1" customFormat="1" ht="30.75" customHeight="1">
      <c r="A74" s="74">
        <f t="shared" si="1"/>
        <v>66</v>
      </c>
      <c r="B74" s="75"/>
      <c r="C74" s="76"/>
      <c r="D74" s="199" t="s">
        <v>777</v>
      </c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200"/>
      <c r="Y74" s="200"/>
      <c r="Z74" s="201"/>
      <c r="AA74" s="74" t="s">
        <v>653</v>
      </c>
      <c r="AB74" s="75"/>
      <c r="AC74" s="75"/>
      <c r="AD74" s="75"/>
      <c r="AE74" s="76"/>
      <c r="AF74" s="74">
        <v>7</v>
      </c>
      <c r="AG74" s="75"/>
      <c r="AH74" s="76"/>
      <c r="AI74" s="74"/>
      <c r="AJ74" s="75"/>
      <c r="AK74" s="76"/>
      <c r="AL74" s="202" t="s">
        <v>836</v>
      </c>
      <c r="AM74" s="203"/>
      <c r="AN74" s="203"/>
      <c r="AO74" s="203"/>
      <c r="AP74" s="203"/>
      <c r="AQ74" s="203"/>
      <c r="AR74" s="203"/>
      <c r="AS74" s="203"/>
      <c r="AT74" s="203"/>
      <c r="AU74" s="203"/>
      <c r="AV74" s="203"/>
      <c r="AW74" s="203"/>
      <c r="AX74" s="203"/>
      <c r="AY74" s="203"/>
      <c r="AZ74" s="203"/>
      <c r="BA74" s="203"/>
      <c r="BB74" s="203"/>
      <c r="BC74" s="203"/>
      <c r="BD74" s="203"/>
      <c r="BE74" s="203"/>
      <c r="BF74" s="203"/>
      <c r="BG74" s="203"/>
      <c r="BH74" s="203"/>
      <c r="BI74" s="203"/>
      <c r="BJ74" s="203"/>
      <c r="BK74" s="203"/>
      <c r="BL74" s="203"/>
      <c r="BM74" s="203"/>
      <c r="BN74" s="203"/>
      <c r="BO74" s="203"/>
      <c r="BP74" s="204"/>
    </row>
    <row r="75" spans="1:68" s="1" customFormat="1" ht="30.75" customHeight="1">
      <c r="A75" s="80">
        <f t="shared" si="1"/>
        <v>67</v>
      </c>
      <c r="B75" s="81"/>
      <c r="C75" s="82"/>
      <c r="D75" s="199" t="s">
        <v>778</v>
      </c>
      <c r="E75" s="200"/>
      <c r="F75" s="200"/>
      <c r="G75" s="200"/>
      <c r="H75" s="200"/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1"/>
      <c r="AA75" s="74" t="s">
        <v>654</v>
      </c>
      <c r="AB75" s="75"/>
      <c r="AC75" s="75"/>
      <c r="AD75" s="75"/>
      <c r="AE75" s="76"/>
      <c r="AF75" s="86">
        <v>30</v>
      </c>
      <c r="AG75" s="86"/>
      <c r="AH75" s="86"/>
      <c r="AI75" s="86"/>
      <c r="AJ75" s="86"/>
      <c r="AK75" s="86"/>
      <c r="AL75" s="202" t="s">
        <v>837</v>
      </c>
      <c r="AM75" s="203"/>
      <c r="AN75" s="203"/>
      <c r="AO75" s="203"/>
      <c r="AP75" s="203"/>
      <c r="AQ75" s="203"/>
      <c r="AR75" s="203"/>
      <c r="AS75" s="203"/>
      <c r="AT75" s="203"/>
      <c r="AU75" s="203"/>
      <c r="AV75" s="203"/>
      <c r="AW75" s="203"/>
      <c r="AX75" s="203"/>
      <c r="AY75" s="203"/>
      <c r="AZ75" s="203"/>
      <c r="BA75" s="203"/>
      <c r="BB75" s="203"/>
      <c r="BC75" s="203"/>
      <c r="BD75" s="203"/>
      <c r="BE75" s="203"/>
      <c r="BF75" s="203"/>
      <c r="BG75" s="203"/>
      <c r="BH75" s="203"/>
      <c r="BI75" s="203"/>
      <c r="BJ75" s="203"/>
      <c r="BK75" s="203"/>
      <c r="BL75" s="203"/>
      <c r="BM75" s="203"/>
      <c r="BN75" s="203"/>
      <c r="BO75" s="203"/>
      <c r="BP75" s="204"/>
    </row>
    <row r="76" spans="1:68" s="1" customFormat="1" ht="30.75" customHeight="1">
      <c r="A76" s="74">
        <f t="shared" si="1"/>
        <v>68</v>
      </c>
      <c r="B76" s="75"/>
      <c r="C76" s="76"/>
      <c r="D76" s="199" t="s">
        <v>779</v>
      </c>
      <c r="E76" s="200"/>
      <c r="F76" s="200"/>
      <c r="G76" s="200"/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1"/>
      <c r="AA76" s="74" t="s">
        <v>654</v>
      </c>
      <c r="AB76" s="75"/>
      <c r="AC76" s="75"/>
      <c r="AD76" s="75"/>
      <c r="AE76" s="76"/>
      <c r="AF76" s="86">
        <v>30</v>
      </c>
      <c r="AG76" s="86"/>
      <c r="AH76" s="86"/>
      <c r="AI76" s="86"/>
      <c r="AJ76" s="86"/>
      <c r="AK76" s="86"/>
      <c r="AL76" s="202" t="s">
        <v>838</v>
      </c>
      <c r="AM76" s="203"/>
      <c r="AN76" s="203"/>
      <c r="AO76" s="203"/>
      <c r="AP76" s="203"/>
      <c r="AQ76" s="203"/>
      <c r="AR76" s="203"/>
      <c r="AS76" s="203"/>
      <c r="AT76" s="203"/>
      <c r="AU76" s="203"/>
      <c r="AV76" s="203"/>
      <c r="AW76" s="203"/>
      <c r="AX76" s="203"/>
      <c r="AY76" s="203"/>
      <c r="AZ76" s="203"/>
      <c r="BA76" s="203"/>
      <c r="BB76" s="203"/>
      <c r="BC76" s="203"/>
      <c r="BD76" s="203"/>
      <c r="BE76" s="203"/>
      <c r="BF76" s="203"/>
      <c r="BG76" s="203"/>
      <c r="BH76" s="203"/>
      <c r="BI76" s="203"/>
      <c r="BJ76" s="203"/>
      <c r="BK76" s="203"/>
      <c r="BL76" s="203"/>
      <c r="BM76" s="203"/>
      <c r="BN76" s="203"/>
      <c r="BO76" s="203"/>
      <c r="BP76" s="204"/>
    </row>
    <row r="77" spans="1:68" s="1" customFormat="1" ht="30.75" customHeight="1">
      <c r="A77" s="74">
        <f t="shared" si="1"/>
        <v>69</v>
      </c>
      <c r="B77" s="75"/>
      <c r="C77" s="76"/>
      <c r="D77" s="199" t="s">
        <v>780</v>
      </c>
      <c r="E77" s="200"/>
      <c r="F77" s="200"/>
      <c r="G77" s="200"/>
      <c r="H77" s="200"/>
      <c r="I77" s="200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200"/>
      <c r="U77" s="200"/>
      <c r="V77" s="200"/>
      <c r="W77" s="200"/>
      <c r="X77" s="200"/>
      <c r="Y77" s="200"/>
      <c r="Z77" s="201"/>
      <c r="AA77" s="74" t="s">
        <v>653</v>
      </c>
      <c r="AB77" s="75"/>
      <c r="AC77" s="75"/>
      <c r="AD77" s="75"/>
      <c r="AE77" s="76"/>
      <c r="AF77" s="86">
        <v>2</v>
      </c>
      <c r="AG77" s="86"/>
      <c r="AH77" s="86"/>
      <c r="AI77" s="86"/>
      <c r="AJ77" s="86"/>
      <c r="AK77" s="86"/>
      <c r="AL77" s="202" t="s">
        <v>839</v>
      </c>
      <c r="AM77" s="203"/>
      <c r="AN77" s="203"/>
      <c r="AO77" s="203"/>
      <c r="AP77" s="203"/>
      <c r="AQ77" s="203"/>
      <c r="AR77" s="203"/>
      <c r="AS77" s="203"/>
      <c r="AT77" s="203"/>
      <c r="AU77" s="203"/>
      <c r="AV77" s="203"/>
      <c r="AW77" s="203"/>
      <c r="AX77" s="203"/>
      <c r="AY77" s="203"/>
      <c r="AZ77" s="203"/>
      <c r="BA77" s="203"/>
      <c r="BB77" s="203"/>
      <c r="BC77" s="203"/>
      <c r="BD77" s="203"/>
      <c r="BE77" s="203"/>
      <c r="BF77" s="203"/>
      <c r="BG77" s="203"/>
      <c r="BH77" s="203"/>
      <c r="BI77" s="203"/>
      <c r="BJ77" s="203"/>
      <c r="BK77" s="203"/>
      <c r="BL77" s="203"/>
      <c r="BM77" s="203"/>
      <c r="BN77" s="203"/>
      <c r="BO77" s="203"/>
      <c r="BP77" s="204"/>
    </row>
    <row r="78" spans="1:68" s="1" customFormat="1" ht="30.75" customHeight="1">
      <c r="A78" s="74">
        <f t="shared" si="1"/>
        <v>70</v>
      </c>
      <c r="B78" s="75"/>
      <c r="C78" s="76"/>
      <c r="D78" s="199" t="s">
        <v>781</v>
      </c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00"/>
      <c r="V78" s="200"/>
      <c r="W78" s="200"/>
      <c r="X78" s="200"/>
      <c r="Y78" s="200"/>
      <c r="Z78" s="201"/>
      <c r="AA78" s="74" t="s">
        <v>653</v>
      </c>
      <c r="AB78" s="75"/>
      <c r="AC78" s="75"/>
      <c r="AD78" s="75"/>
      <c r="AE78" s="76"/>
      <c r="AF78" s="86">
        <v>7</v>
      </c>
      <c r="AG78" s="86"/>
      <c r="AH78" s="86"/>
      <c r="AI78" s="86"/>
      <c r="AJ78" s="86"/>
      <c r="AK78" s="86"/>
      <c r="AL78" s="202" t="s">
        <v>840</v>
      </c>
      <c r="AM78" s="203"/>
      <c r="AN78" s="203"/>
      <c r="AO78" s="203"/>
      <c r="AP78" s="203"/>
      <c r="AQ78" s="203"/>
      <c r="AR78" s="203"/>
      <c r="AS78" s="203"/>
      <c r="AT78" s="203"/>
      <c r="AU78" s="203"/>
      <c r="AV78" s="203"/>
      <c r="AW78" s="203"/>
      <c r="AX78" s="203"/>
      <c r="AY78" s="203"/>
      <c r="AZ78" s="203"/>
      <c r="BA78" s="203"/>
      <c r="BB78" s="203"/>
      <c r="BC78" s="203"/>
      <c r="BD78" s="203"/>
      <c r="BE78" s="203"/>
      <c r="BF78" s="203"/>
      <c r="BG78" s="203"/>
      <c r="BH78" s="203"/>
      <c r="BI78" s="203"/>
      <c r="BJ78" s="203"/>
      <c r="BK78" s="203"/>
      <c r="BL78" s="203"/>
      <c r="BM78" s="203"/>
      <c r="BN78" s="203"/>
      <c r="BO78" s="203"/>
      <c r="BP78" s="204"/>
    </row>
    <row r="79" spans="1:68" s="1" customFormat="1" ht="30.6" customHeight="1">
      <c r="A79" s="74"/>
      <c r="B79" s="75"/>
      <c r="C79" s="76"/>
      <c r="D79" s="71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3"/>
      <c r="AA79" s="74"/>
      <c r="AB79" s="75"/>
      <c r="AC79" s="75"/>
      <c r="AD79" s="75"/>
      <c r="AE79" s="76"/>
      <c r="AF79" s="74"/>
      <c r="AG79" s="75"/>
      <c r="AH79" s="76"/>
      <c r="AI79" s="74"/>
      <c r="AJ79" s="75"/>
      <c r="AK79" s="76"/>
      <c r="AL79" s="68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  <c r="BC79" s="69"/>
      <c r="BD79" s="69"/>
      <c r="BE79" s="69"/>
      <c r="BF79" s="69"/>
      <c r="BG79" s="69"/>
      <c r="BH79" s="69"/>
      <c r="BI79" s="69"/>
      <c r="BJ79" s="69"/>
      <c r="BK79" s="69"/>
      <c r="BL79" s="69"/>
      <c r="BM79" s="69"/>
      <c r="BN79" s="69"/>
      <c r="BO79" s="69"/>
      <c r="BP79" s="70"/>
    </row>
    <row r="80" spans="1:68" s="1" customFormat="1" ht="30.75" customHeight="1">
      <c r="A80" s="80"/>
      <c r="B80" s="81"/>
      <c r="C80" s="82"/>
      <c r="D80" s="77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9"/>
      <c r="AA80" s="80"/>
      <c r="AB80" s="81"/>
      <c r="AC80" s="81"/>
      <c r="AD80" s="81"/>
      <c r="AE80" s="82"/>
      <c r="AF80" s="87"/>
      <c r="AG80" s="87"/>
      <c r="AH80" s="87"/>
      <c r="AI80" s="87"/>
      <c r="AJ80" s="87"/>
      <c r="AK80" s="87"/>
      <c r="AL80" s="83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5"/>
    </row>
    <row r="81" spans="1:68" s="4" customFormat="1" ht="3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3"/>
      <c r="AG81" s="3"/>
      <c r="AH81" s="3"/>
      <c r="AI81" s="3"/>
      <c r="AJ81" s="3"/>
      <c r="AK81" s="3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</row>
    <row r="82" spans="1:68" s="4" customFormat="1" ht="14.25">
      <c r="A82" s="5" t="s">
        <v>14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15"/>
      <c r="AG82" s="15"/>
      <c r="AH82" s="15"/>
      <c r="AI82" s="15"/>
      <c r="AJ82" s="15"/>
      <c r="AK82" s="15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6"/>
    </row>
    <row r="83" spans="1:68" s="4" customFormat="1" ht="20.25" customHeight="1">
      <c r="A83" s="5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6"/>
    </row>
    <row r="84" spans="1:68" s="4" customFormat="1" ht="20.25" customHeight="1">
      <c r="A84" s="5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6"/>
    </row>
    <row r="85" spans="1:68" s="4" customFormat="1" ht="20.25" customHeight="1">
      <c r="A85" s="5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6"/>
    </row>
    <row r="86" spans="1:68" s="4" customFormat="1" ht="20.25" customHeight="1">
      <c r="A86" s="5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6"/>
    </row>
    <row r="87" spans="1:68" s="4" customFormat="1" ht="20.25" customHeight="1">
      <c r="A87" s="7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9"/>
    </row>
    <row r="88" spans="1:68" ht="5.25" customHeight="1"/>
  </sheetData>
  <mergeCells count="457"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8:C8"/>
    <mergeCell ref="D8:Z8"/>
    <mergeCell ref="AA8:AE8"/>
    <mergeCell ref="AF8:AH8"/>
    <mergeCell ref="AI8:AK8"/>
    <mergeCell ref="AL8:BP8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10:C10"/>
    <mergeCell ref="D10:Z10"/>
    <mergeCell ref="AA10:AE10"/>
    <mergeCell ref="AF10:AH10"/>
    <mergeCell ref="AI10:AK10"/>
    <mergeCell ref="A9:C9"/>
    <mergeCell ref="D9:Z9"/>
    <mergeCell ref="AA9:AE9"/>
    <mergeCell ref="AF9:AH9"/>
    <mergeCell ref="AI9:AK9"/>
    <mergeCell ref="A12:C12"/>
    <mergeCell ref="D12:Z12"/>
    <mergeCell ref="AA12:AE12"/>
    <mergeCell ref="AF12:AH12"/>
    <mergeCell ref="AI12:AK12"/>
    <mergeCell ref="A11:C11"/>
    <mergeCell ref="D11:Z11"/>
    <mergeCell ref="AA11:AE11"/>
    <mergeCell ref="AF11:AH11"/>
    <mergeCell ref="AI11:AK11"/>
    <mergeCell ref="A14:C14"/>
    <mergeCell ref="D14:Z14"/>
    <mergeCell ref="AA14:AE14"/>
    <mergeCell ref="AF14:AH14"/>
    <mergeCell ref="AI14:AK14"/>
    <mergeCell ref="A13:C13"/>
    <mergeCell ref="D13:Z13"/>
    <mergeCell ref="AA13:AE13"/>
    <mergeCell ref="AF13:AH13"/>
    <mergeCell ref="AI13:AK13"/>
    <mergeCell ref="A16:C16"/>
    <mergeCell ref="D16:Z16"/>
    <mergeCell ref="AA16:AE16"/>
    <mergeCell ref="AF16:AH16"/>
    <mergeCell ref="AI16:AK16"/>
    <mergeCell ref="A15:C15"/>
    <mergeCell ref="D15:Z15"/>
    <mergeCell ref="AA15:AE15"/>
    <mergeCell ref="AF15:AH15"/>
    <mergeCell ref="AI15:AK15"/>
    <mergeCell ref="A18:C18"/>
    <mergeCell ref="D18:Z18"/>
    <mergeCell ref="AA18:AE18"/>
    <mergeCell ref="AF18:AH18"/>
    <mergeCell ref="AI18:AK18"/>
    <mergeCell ref="A17:C17"/>
    <mergeCell ref="D17:Z17"/>
    <mergeCell ref="AA17:AE17"/>
    <mergeCell ref="AF17:AH17"/>
    <mergeCell ref="AI17:AK17"/>
    <mergeCell ref="A20:C20"/>
    <mergeCell ref="D20:Z20"/>
    <mergeCell ref="AA20:AE20"/>
    <mergeCell ref="AF20:AH20"/>
    <mergeCell ref="AI20:AK20"/>
    <mergeCell ref="A19:C19"/>
    <mergeCell ref="D19:Z19"/>
    <mergeCell ref="AA19:AE19"/>
    <mergeCell ref="AF19:AH19"/>
    <mergeCell ref="AI19:AK19"/>
    <mergeCell ref="A22:C22"/>
    <mergeCell ref="D22:Z22"/>
    <mergeCell ref="AA22:AE22"/>
    <mergeCell ref="AF22:AH22"/>
    <mergeCell ref="AI22:AK22"/>
    <mergeCell ref="A21:C21"/>
    <mergeCell ref="D21:Z21"/>
    <mergeCell ref="AA21:AE21"/>
    <mergeCell ref="AF21:AH21"/>
    <mergeCell ref="AI21:AK21"/>
    <mergeCell ref="A24:C24"/>
    <mergeCell ref="D24:Z24"/>
    <mergeCell ref="AA24:AE24"/>
    <mergeCell ref="AF24:AH24"/>
    <mergeCell ref="AI24:AK24"/>
    <mergeCell ref="A23:C23"/>
    <mergeCell ref="D23:Z23"/>
    <mergeCell ref="AA23:AE23"/>
    <mergeCell ref="AF23:AH23"/>
    <mergeCell ref="AI23:AK23"/>
    <mergeCell ref="A26:C26"/>
    <mergeCell ref="D26:Z26"/>
    <mergeCell ref="AA26:AE26"/>
    <mergeCell ref="AF26:AH26"/>
    <mergeCell ref="AI26:AK26"/>
    <mergeCell ref="A25:C25"/>
    <mergeCell ref="D25:Z25"/>
    <mergeCell ref="AA25:AE25"/>
    <mergeCell ref="AF25:AH25"/>
    <mergeCell ref="AI25:AK25"/>
    <mergeCell ref="A28:C28"/>
    <mergeCell ref="D28:Z28"/>
    <mergeCell ref="AA28:AE28"/>
    <mergeCell ref="AF28:AH28"/>
    <mergeCell ref="AI28:AK28"/>
    <mergeCell ref="A27:C27"/>
    <mergeCell ref="D27:Z27"/>
    <mergeCell ref="AA27:AE27"/>
    <mergeCell ref="AF27:AH27"/>
    <mergeCell ref="AI27:AK27"/>
    <mergeCell ref="A30:C30"/>
    <mergeCell ref="D30:Z30"/>
    <mergeCell ref="AA30:AE30"/>
    <mergeCell ref="AF30:AH30"/>
    <mergeCell ref="AI30:AK30"/>
    <mergeCell ref="A29:C29"/>
    <mergeCell ref="D29:Z29"/>
    <mergeCell ref="AA29:AE29"/>
    <mergeCell ref="AF29:AH29"/>
    <mergeCell ref="AI29:AK29"/>
    <mergeCell ref="A32:C32"/>
    <mergeCell ref="D32:Z32"/>
    <mergeCell ref="AA32:AE32"/>
    <mergeCell ref="AF32:AH32"/>
    <mergeCell ref="AI32:AK32"/>
    <mergeCell ref="A31:C31"/>
    <mergeCell ref="D31:Z31"/>
    <mergeCell ref="AA31:AE31"/>
    <mergeCell ref="AF31:AH31"/>
    <mergeCell ref="AI31:AK31"/>
    <mergeCell ref="A34:C34"/>
    <mergeCell ref="D34:Z34"/>
    <mergeCell ref="AA34:AE34"/>
    <mergeCell ref="AF34:AH34"/>
    <mergeCell ref="AI34:AK34"/>
    <mergeCell ref="A33:C33"/>
    <mergeCell ref="D33:Z33"/>
    <mergeCell ref="AA33:AE33"/>
    <mergeCell ref="AF33:AH33"/>
    <mergeCell ref="AI33:AK33"/>
    <mergeCell ref="A36:C36"/>
    <mergeCell ref="D36:Z36"/>
    <mergeCell ref="AA36:AE36"/>
    <mergeCell ref="AF36:AH36"/>
    <mergeCell ref="AI36:AK36"/>
    <mergeCell ref="A35:C35"/>
    <mergeCell ref="D35:Z35"/>
    <mergeCell ref="AA35:AE35"/>
    <mergeCell ref="AF35:AH35"/>
    <mergeCell ref="AI35:AK35"/>
    <mergeCell ref="A38:C38"/>
    <mergeCell ref="D38:Z38"/>
    <mergeCell ref="AA38:AE38"/>
    <mergeCell ref="AF38:AH38"/>
    <mergeCell ref="AI38:AK38"/>
    <mergeCell ref="A37:C37"/>
    <mergeCell ref="D37:Z37"/>
    <mergeCell ref="AA37:AE37"/>
    <mergeCell ref="AF37:AH37"/>
    <mergeCell ref="AI37:AK37"/>
    <mergeCell ref="A40:C40"/>
    <mergeCell ref="D40:Z40"/>
    <mergeCell ref="AA40:AE40"/>
    <mergeCell ref="AF40:AH40"/>
    <mergeCell ref="AI40:AK40"/>
    <mergeCell ref="A39:C39"/>
    <mergeCell ref="D39:Z39"/>
    <mergeCell ref="AA39:AE39"/>
    <mergeCell ref="AF39:AH39"/>
    <mergeCell ref="AI39:AK39"/>
    <mergeCell ref="A42:C42"/>
    <mergeCell ref="D42:Z42"/>
    <mergeCell ref="AA42:AE42"/>
    <mergeCell ref="AF42:AH42"/>
    <mergeCell ref="AI42:AK42"/>
    <mergeCell ref="A41:C41"/>
    <mergeCell ref="D41:Z41"/>
    <mergeCell ref="AA41:AE41"/>
    <mergeCell ref="AF41:AH41"/>
    <mergeCell ref="AI41:AK41"/>
    <mergeCell ref="A44:C44"/>
    <mergeCell ref="D44:Z44"/>
    <mergeCell ref="AA44:AE44"/>
    <mergeCell ref="AF44:AH44"/>
    <mergeCell ref="AI44:AK44"/>
    <mergeCell ref="A43:C43"/>
    <mergeCell ref="D43:Z43"/>
    <mergeCell ref="AA43:AE43"/>
    <mergeCell ref="AF43:AH43"/>
    <mergeCell ref="AI43:AK43"/>
    <mergeCell ref="A46:C46"/>
    <mergeCell ref="D46:Z46"/>
    <mergeCell ref="AA46:AE46"/>
    <mergeCell ref="AF46:AH46"/>
    <mergeCell ref="AI46:AK46"/>
    <mergeCell ref="A45:C45"/>
    <mergeCell ref="D45:Z45"/>
    <mergeCell ref="AA45:AE45"/>
    <mergeCell ref="AF45:AH45"/>
    <mergeCell ref="AI45:AK45"/>
    <mergeCell ref="A48:C48"/>
    <mergeCell ref="D48:Z48"/>
    <mergeCell ref="AA48:AE48"/>
    <mergeCell ref="AF48:AH48"/>
    <mergeCell ref="AI48:AK48"/>
    <mergeCell ref="A47:C47"/>
    <mergeCell ref="D47:Z47"/>
    <mergeCell ref="AA47:AE47"/>
    <mergeCell ref="AF47:AH47"/>
    <mergeCell ref="AI47:AK47"/>
    <mergeCell ref="A50:C50"/>
    <mergeCell ref="D50:Z50"/>
    <mergeCell ref="AA50:AE50"/>
    <mergeCell ref="AF50:AH50"/>
    <mergeCell ref="AI50:AK50"/>
    <mergeCell ref="A49:C49"/>
    <mergeCell ref="D49:Z49"/>
    <mergeCell ref="AA49:AE49"/>
    <mergeCell ref="AF49:AH49"/>
    <mergeCell ref="AI49:AK49"/>
    <mergeCell ref="A52:C52"/>
    <mergeCell ref="D52:Z52"/>
    <mergeCell ref="AA52:AE52"/>
    <mergeCell ref="AF52:AH52"/>
    <mergeCell ref="AI52:AK52"/>
    <mergeCell ref="A51:C51"/>
    <mergeCell ref="D51:Z51"/>
    <mergeCell ref="AA51:AE51"/>
    <mergeCell ref="AF51:AH51"/>
    <mergeCell ref="AI51:AK51"/>
    <mergeCell ref="A54:C54"/>
    <mergeCell ref="D54:Z54"/>
    <mergeCell ref="AA54:AE54"/>
    <mergeCell ref="AF54:AH54"/>
    <mergeCell ref="AI54:AK54"/>
    <mergeCell ref="A53:C53"/>
    <mergeCell ref="D53:Z53"/>
    <mergeCell ref="AA53:AE53"/>
    <mergeCell ref="AF53:AH53"/>
    <mergeCell ref="AI53:AK53"/>
    <mergeCell ref="A56:C56"/>
    <mergeCell ref="D56:Z56"/>
    <mergeCell ref="AA56:AE56"/>
    <mergeCell ref="AF56:AH56"/>
    <mergeCell ref="AI56:AK56"/>
    <mergeCell ref="A55:C55"/>
    <mergeCell ref="D55:Z55"/>
    <mergeCell ref="AA55:AE55"/>
    <mergeCell ref="AF55:AH55"/>
    <mergeCell ref="AI55:AK55"/>
    <mergeCell ref="A58:C58"/>
    <mergeCell ref="D58:Z58"/>
    <mergeCell ref="AA58:AE58"/>
    <mergeCell ref="AF58:AH58"/>
    <mergeCell ref="AI58:AK58"/>
    <mergeCell ref="A57:C57"/>
    <mergeCell ref="D57:Z57"/>
    <mergeCell ref="AA57:AE57"/>
    <mergeCell ref="AF57:AH57"/>
    <mergeCell ref="AI57:AK57"/>
    <mergeCell ref="A60:C60"/>
    <mergeCell ref="D60:Z60"/>
    <mergeCell ref="AA60:AE60"/>
    <mergeCell ref="AF60:AH60"/>
    <mergeCell ref="AI60:AK60"/>
    <mergeCell ref="A59:C59"/>
    <mergeCell ref="D59:Z59"/>
    <mergeCell ref="AA59:AE59"/>
    <mergeCell ref="AF59:AH59"/>
    <mergeCell ref="AI59:AK59"/>
    <mergeCell ref="A62:C62"/>
    <mergeCell ref="D62:Z62"/>
    <mergeCell ref="AA62:AE62"/>
    <mergeCell ref="AF62:AH62"/>
    <mergeCell ref="AI62:AK62"/>
    <mergeCell ref="A61:C61"/>
    <mergeCell ref="D61:Z61"/>
    <mergeCell ref="AA61:AE61"/>
    <mergeCell ref="AF61:AH61"/>
    <mergeCell ref="AI61:AK61"/>
    <mergeCell ref="A64:C64"/>
    <mergeCell ref="D64:Z64"/>
    <mergeCell ref="AA64:AE64"/>
    <mergeCell ref="AF64:AH64"/>
    <mergeCell ref="AI64:AK64"/>
    <mergeCell ref="A63:C63"/>
    <mergeCell ref="D63:Z63"/>
    <mergeCell ref="AA63:AE63"/>
    <mergeCell ref="AF63:AH63"/>
    <mergeCell ref="AI63:AK63"/>
    <mergeCell ref="A66:C66"/>
    <mergeCell ref="D66:Z66"/>
    <mergeCell ref="AA66:AE66"/>
    <mergeCell ref="AF66:AH66"/>
    <mergeCell ref="AI66:AK66"/>
    <mergeCell ref="A65:C65"/>
    <mergeCell ref="D65:Z65"/>
    <mergeCell ref="AA65:AE65"/>
    <mergeCell ref="AF65:AH65"/>
    <mergeCell ref="AI65:AK65"/>
    <mergeCell ref="A68:C68"/>
    <mergeCell ref="D68:Z68"/>
    <mergeCell ref="AA68:AE68"/>
    <mergeCell ref="AF68:AH68"/>
    <mergeCell ref="AI68:AK68"/>
    <mergeCell ref="A67:C67"/>
    <mergeCell ref="D67:Z67"/>
    <mergeCell ref="AA67:AE67"/>
    <mergeCell ref="AF67:AH67"/>
    <mergeCell ref="AI67:AK67"/>
    <mergeCell ref="A70:C70"/>
    <mergeCell ref="D70:Z70"/>
    <mergeCell ref="AA70:AE70"/>
    <mergeCell ref="AF70:AH70"/>
    <mergeCell ref="AI70:AK70"/>
    <mergeCell ref="A69:C69"/>
    <mergeCell ref="D69:Z69"/>
    <mergeCell ref="AA69:AE69"/>
    <mergeCell ref="AF69:AH69"/>
    <mergeCell ref="AI69:AK69"/>
    <mergeCell ref="A72:C72"/>
    <mergeCell ref="D72:Z72"/>
    <mergeCell ref="AA72:AE72"/>
    <mergeCell ref="AF72:AH72"/>
    <mergeCell ref="AI72:AK72"/>
    <mergeCell ref="A71:C71"/>
    <mergeCell ref="D71:Z71"/>
    <mergeCell ref="AA71:AE71"/>
    <mergeCell ref="AF71:AH71"/>
    <mergeCell ref="AI71:AK71"/>
    <mergeCell ref="A74:C74"/>
    <mergeCell ref="D74:Z74"/>
    <mergeCell ref="AA74:AE74"/>
    <mergeCell ref="AF74:AH74"/>
    <mergeCell ref="AI74:AK74"/>
    <mergeCell ref="A73:C73"/>
    <mergeCell ref="D73:Z73"/>
    <mergeCell ref="AA73:AE73"/>
    <mergeCell ref="AF73:AH73"/>
    <mergeCell ref="AI73:AK73"/>
    <mergeCell ref="A76:C76"/>
    <mergeCell ref="D76:Z76"/>
    <mergeCell ref="AA76:AE76"/>
    <mergeCell ref="AF76:AH76"/>
    <mergeCell ref="AI76:AK76"/>
    <mergeCell ref="A75:C75"/>
    <mergeCell ref="D75:Z75"/>
    <mergeCell ref="AA75:AE75"/>
    <mergeCell ref="AF75:AH75"/>
    <mergeCell ref="AI75:AK75"/>
    <mergeCell ref="A78:C78"/>
    <mergeCell ref="D78:Z78"/>
    <mergeCell ref="AA78:AE78"/>
    <mergeCell ref="AF78:AH78"/>
    <mergeCell ref="AI78:AK78"/>
    <mergeCell ref="AL78:BP78"/>
    <mergeCell ref="A77:C77"/>
    <mergeCell ref="D77:Z77"/>
    <mergeCell ref="AA77:AE77"/>
    <mergeCell ref="AF77:AH77"/>
    <mergeCell ref="AI77:AK77"/>
    <mergeCell ref="A79:C79"/>
    <mergeCell ref="D79:Z79"/>
    <mergeCell ref="AA79:AE79"/>
    <mergeCell ref="AF79:AH79"/>
    <mergeCell ref="AI79:AK79"/>
    <mergeCell ref="AL79:BP79"/>
    <mergeCell ref="A80:C80"/>
    <mergeCell ref="D80:Z80"/>
    <mergeCell ref="AA80:AE80"/>
    <mergeCell ref="AF80:AH80"/>
    <mergeCell ref="AI80:AK80"/>
    <mergeCell ref="AL80:BP80"/>
    <mergeCell ref="AL9:BP9"/>
    <mergeCell ref="AL10:BP10"/>
    <mergeCell ref="AL11:BP11"/>
    <mergeCell ref="AL12:BP12"/>
    <mergeCell ref="AL13:BP13"/>
    <mergeCell ref="AL14:BP14"/>
    <mergeCell ref="AL15:BP15"/>
    <mergeCell ref="AL16:BP16"/>
    <mergeCell ref="AL17:BP17"/>
    <mergeCell ref="AL18:BP18"/>
    <mergeCell ref="AL19:BP19"/>
    <mergeCell ref="AL20:BP20"/>
    <mergeCell ref="AL21:BP21"/>
    <mergeCell ref="AL22:BP22"/>
    <mergeCell ref="AL23:BP23"/>
    <mergeCell ref="AL24:BP24"/>
    <mergeCell ref="AL25:BP25"/>
    <mergeCell ref="AL26:BP26"/>
    <mergeCell ref="AL27:BP27"/>
    <mergeCell ref="AL28:BP28"/>
    <mergeCell ref="AL29:BP29"/>
    <mergeCell ref="AL30:BP30"/>
    <mergeCell ref="AL31:BP31"/>
    <mergeCell ref="AL32:BP32"/>
    <mergeCell ref="AL33:BP33"/>
    <mergeCell ref="AL34:BP34"/>
    <mergeCell ref="AL35:BP35"/>
    <mergeCell ref="AL36:BP36"/>
    <mergeCell ref="AL37:BP37"/>
    <mergeCell ref="AL38:BP38"/>
    <mergeCell ref="AL39:BP39"/>
    <mergeCell ref="AL40:BP40"/>
    <mergeCell ref="AL41:BP41"/>
    <mergeCell ref="AL42:BP42"/>
    <mergeCell ref="AL43:BP43"/>
    <mergeCell ref="AL44:BP44"/>
    <mergeCell ref="AL54:BP54"/>
    <mergeCell ref="AL55:BP55"/>
    <mergeCell ref="AL56:BP56"/>
    <mergeCell ref="AL57:BP57"/>
    <mergeCell ref="AL58:BP58"/>
    <mergeCell ref="AL59:BP59"/>
    <mergeCell ref="AL60:BP60"/>
    <mergeCell ref="AL61:BP61"/>
    <mergeCell ref="AL45:BP45"/>
    <mergeCell ref="AL46:BP46"/>
    <mergeCell ref="AL47:BP47"/>
    <mergeCell ref="AL48:BP48"/>
    <mergeCell ref="AL49:BP49"/>
    <mergeCell ref="AL50:BP50"/>
    <mergeCell ref="AL51:BP51"/>
    <mergeCell ref="AL52:BP52"/>
    <mergeCell ref="AL53:BP53"/>
    <mergeCell ref="AL71:BP71"/>
    <mergeCell ref="AL72:BP72"/>
    <mergeCell ref="AL73:BP73"/>
    <mergeCell ref="AL74:BP74"/>
    <mergeCell ref="AL75:BP75"/>
    <mergeCell ref="AL76:BP76"/>
    <mergeCell ref="AL77:BP77"/>
    <mergeCell ref="AL62:BP62"/>
    <mergeCell ref="AL63:BP63"/>
    <mergeCell ref="AL64:BP64"/>
    <mergeCell ref="AL65:BP65"/>
    <mergeCell ref="AL66:BP66"/>
    <mergeCell ref="AL67:BP67"/>
    <mergeCell ref="AL68:BP68"/>
    <mergeCell ref="AL69:BP69"/>
    <mergeCell ref="AL70:BP70"/>
  </mergeCells>
  <phoneticPr fontId="3"/>
  <dataValidations count="1">
    <dataValidation type="list" allowBlank="1" showInputMessage="1" showErrorMessage="1" sqref="BJ6:BP6" xr:uid="{95F7948F-BE7C-4B71-AD42-678AB9295D58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7F7FA-D4DA-4DB2-92B7-A39A88873FB6}">
  <dimension ref="A1:BR26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8" width="2.125" style="55"/>
    <col min="39" max="44" width="0" style="55" hidden="1" customWidth="1"/>
    <col min="45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58" t="s">
        <v>217</v>
      </c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95" t="s">
        <v>1392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1391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17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129">
        <f>ROW()-8</f>
        <v>1</v>
      </c>
      <c r="B9" s="130"/>
      <c r="C9" s="131"/>
      <c r="D9" s="142" t="s">
        <v>1389</v>
      </c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4"/>
      <c r="AA9" s="117" t="s">
        <v>19</v>
      </c>
      <c r="AB9" s="118"/>
      <c r="AC9" s="118"/>
      <c r="AD9" s="118"/>
      <c r="AE9" s="119"/>
      <c r="AF9" s="117">
        <v>64</v>
      </c>
      <c r="AG9" s="118"/>
      <c r="AH9" s="119"/>
      <c r="AI9" s="117"/>
      <c r="AJ9" s="118"/>
      <c r="AK9" s="119"/>
      <c r="AL9" s="68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70"/>
    </row>
    <row r="10" spans="1:70" s="1" customFormat="1" ht="30.75" customHeight="1">
      <c r="A10" s="74">
        <f>ROW()-8</f>
        <v>2</v>
      </c>
      <c r="B10" s="75"/>
      <c r="C10" s="76"/>
      <c r="D10" s="71" t="s">
        <v>1390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  <c r="AA10" s="74" t="s">
        <v>19</v>
      </c>
      <c r="AB10" s="75"/>
      <c r="AC10" s="75"/>
      <c r="AD10" s="75"/>
      <c r="AE10" s="76"/>
      <c r="AF10" s="74">
        <v>64</v>
      </c>
      <c r="AG10" s="75"/>
      <c r="AH10" s="76"/>
      <c r="AI10" s="74"/>
      <c r="AJ10" s="75"/>
      <c r="AK10" s="76"/>
      <c r="AL10" s="68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74">
        <f t="shared" ref="A11:A16" si="0">ROW()-8</f>
        <v>3</v>
      </c>
      <c r="B11" s="75"/>
      <c r="C11" s="76"/>
      <c r="D11" s="71" t="s">
        <v>1371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3"/>
      <c r="AA11" s="74" t="s">
        <v>19</v>
      </c>
      <c r="AB11" s="75"/>
      <c r="AC11" s="75"/>
      <c r="AD11" s="75"/>
      <c r="AE11" s="76"/>
      <c r="AF11" s="74">
        <v>64</v>
      </c>
      <c r="AG11" s="75"/>
      <c r="AH11" s="76"/>
      <c r="AI11" s="74"/>
      <c r="AJ11" s="75"/>
      <c r="AK11" s="76"/>
      <c r="AL11" s="68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70"/>
    </row>
    <row r="12" spans="1:70" s="1" customFormat="1" ht="30.75" customHeight="1">
      <c r="A12" s="74">
        <f t="shared" si="0"/>
        <v>4</v>
      </c>
      <c r="B12" s="75"/>
      <c r="C12" s="76"/>
      <c r="D12" s="71" t="s">
        <v>1374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3"/>
      <c r="AA12" s="74" t="s">
        <v>19</v>
      </c>
      <c r="AB12" s="75"/>
      <c r="AC12" s="75"/>
      <c r="AD12" s="75"/>
      <c r="AE12" s="76"/>
      <c r="AF12" s="74">
        <v>64</v>
      </c>
      <c r="AG12" s="75"/>
      <c r="AH12" s="76"/>
      <c r="AI12" s="74"/>
      <c r="AJ12" s="75"/>
      <c r="AK12" s="76"/>
      <c r="AL12" s="68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70"/>
    </row>
    <row r="13" spans="1:70" s="1" customFormat="1" ht="30.75" customHeight="1">
      <c r="A13" s="74">
        <f t="shared" si="0"/>
        <v>5</v>
      </c>
      <c r="B13" s="75"/>
      <c r="C13" s="76"/>
      <c r="D13" s="71" t="s">
        <v>1375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3"/>
      <c r="AA13" s="74" t="s">
        <v>19</v>
      </c>
      <c r="AB13" s="75"/>
      <c r="AC13" s="75"/>
      <c r="AD13" s="75"/>
      <c r="AE13" s="76"/>
      <c r="AF13" s="74">
        <v>64</v>
      </c>
      <c r="AG13" s="75"/>
      <c r="AH13" s="76"/>
      <c r="AI13" s="74"/>
      <c r="AJ13" s="75"/>
      <c r="AK13" s="76"/>
      <c r="AL13" s="68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70"/>
    </row>
    <row r="14" spans="1:70" s="1" customFormat="1" ht="30.75" customHeight="1">
      <c r="A14" s="74">
        <f t="shared" si="0"/>
        <v>6</v>
      </c>
      <c r="B14" s="75"/>
      <c r="C14" s="76"/>
      <c r="D14" s="71" t="s">
        <v>1376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3"/>
      <c r="AA14" s="74" t="s">
        <v>19</v>
      </c>
      <c r="AB14" s="75"/>
      <c r="AC14" s="75"/>
      <c r="AD14" s="75"/>
      <c r="AE14" s="76"/>
      <c r="AF14" s="74">
        <v>64</v>
      </c>
      <c r="AG14" s="75"/>
      <c r="AH14" s="76"/>
      <c r="AI14" s="86"/>
      <c r="AJ14" s="86"/>
      <c r="AK14" s="86"/>
      <c r="AL14" s="68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70"/>
    </row>
    <row r="15" spans="1:70" s="1" customFormat="1" ht="30.75" customHeight="1">
      <c r="A15" s="74">
        <f t="shared" si="0"/>
        <v>7</v>
      </c>
      <c r="B15" s="75"/>
      <c r="C15" s="76"/>
      <c r="D15" s="71" t="s">
        <v>1377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3"/>
      <c r="AA15" s="74" t="s">
        <v>19</v>
      </c>
      <c r="AB15" s="75"/>
      <c r="AC15" s="75"/>
      <c r="AD15" s="75"/>
      <c r="AE15" s="76"/>
      <c r="AF15" s="74">
        <v>64</v>
      </c>
      <c r="AG15" s="75"/>
      <c r="AH15" s="76"/>
      <c r="AI15" s="86"/>
      <c r="AJ15" s="86"/>
      <c r="AK15" s="86"/>
      <c r="AL15" s="68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70"/>
    </row>
    <row r="16" spans="1:70" s="1" customFormat="1" ht="30.75" customHeight="1">
      <c r="A16" s="74">
        <f t="shared" si="0"/>
        <v>8</v>
      </c>
      <c r="B16" s="75"/>
      <c r="C16" s="76"/>
      <c r="D16" s="71" t="s">
        <v>1378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3"/>
      <c r="AA16" s="74" t="s">
        <v>19</v>
      </c>
      <c r="AB16" s="75"/>
      <c r="AC16" s="75"/>
      <c r="AD16" s="75"/>
      <c r="AE16" s="76"/>
      <c r="AF16" s="74">
        <v>64</v>
      </c>
      <c r="AG16" s="75"/>
      <c r="AH16" s="76"/>
      <c r="AI16" s="86"/>
      <c r="AJ16" s="86"/>
      <c r="AK16" s="86"/>
      <c r="AL16" s="68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70"/>
    </row>
    <row r="17" spans="1:68" s="1" customFormat="1" ht="30.75" customHeight="1">
      <c r="A17" s="74"/>
      <c r="B17" s="75"/>
      <c r="C17" s="76"/>
      <c r="D17" s="71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3"/>
      <c r="AA17" s="74"/>
      <c r="AB17" s="75"/>
      <c r="AC17" s="75"/>
      <c r="AD17" s="75"/>
      <c r="AE17" s="76"/>
      <c r="AF17" s="74"/>
      <c r="AG17" s="75"/>
      <c r="AH17" s="76"/>
      <c r="AI17" s="74"/>
      <c r="AJ17" s="75"/>
      <c r="AK17" s="76"/>
      <c r="AL17" s="68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70"/>
    </row>
    <row r="18" spans="1:68" s="1" customFormat="1" ht="30.75" customHeight="1">
      <c r="A18" s="91"/>
      <c r="B18" s="91"/>
      <c r="C18" s="91"/>
      <c r="D18" s="77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9"/>
      <c r="AA18" s="80"/>
      <c r="AB18" s="81"/>
      <c r="AC18" s="81"/>
      <c r="AD18" s="81"/>
      <c r="AE18" s="82"/>
      <c r="AF18" s="87"/>
      <c r="AG18" s="87"/>
      <c r="AH18" s="87"/>
      <c r="AI18" s="87"/>
      <c r="AJ18" s="87"/>
      <c r="AK18" s="87"/>
      <c r="AL18" s="83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5"/>
    </row>
    <row r="19" spans="1:68" s="4" customFormat="1" ht="3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3"/>
      <c r="AG19" s="3"/>
      <c r="AH19" s="3"/>
      <c r="AI19" s="3"/>
      <c r="AJ19" s="3"/>
      <c r="AK19" s="3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</row>
    <row r="20" spans="1:68" s="4" customFormat="1" ht="14.25">
      <c r="A20" s="5" t="s">
        <v>14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15"/>
      <c r="AG20" s="15"/>
      <c r="AH20" s="15"/>
      <c r="AI20" s="15"/>
      <c r="AJ20" s="15"/>
      <c r="AK20" s="15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6"/>
    </row>
    <row r="21" spans="1:68" s="4" customFormat="1" ht="20.25" customHeight="1">
      <c r="A21" s="5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6"/>
    </row>
    <row r="22" spans="1:68" s="4" customFormat="1" ht="20.25" customHeight="1">
      <c r="A22" s="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6"/>
    </row>
    <row r="23" spans="1:68" s="4" customFormat="1" ht="20.25" customHeight="1">
      <c r="A23" s="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6"/>
    </row>
    <row r="24" spans="1:68" s="4" customFormat="1" ht="20.25" customHeight="1">
      <c r="A24" s="5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6"/>
    </row>
    <row r="25" spans="1:68" s="4" customFormat="1" ht="20.25" customHeight="1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9"/>
    </row>
    <row r="26" spans="1:68" ht="5.25" customHeight="1"/>
  </sheetData>
  <mergeCells count="85">
    <mergeCell ref="AL18:BP18"/>
    <mergeCell ref="A17:C17"/>
    <mergeCell ref="D17:Z17"/>
    <mergeCell ref="AA17:AE17"/>
    <mergeCell ref="AF17:AH17"/>
    <mergeCell ref="AI17:AK17"/>
    <mergeCell ref="AL17:BP17"/>
    <mergeCell ref="A18:C18"/>
    <mergeCell ref="D18:Z18"/>
    <mergeCell ref="AA18:AE18"/>
    <mergeCell ref="AF18:AH18"/>
    <mergeCell ref="AI18:AK18"/>
    <mergeCell ref="AL16:BP16"/>
    <mergeCell ref="A15:C15"/>
    <mergeCell ref="D15:Z15"/>
    <mergeCell ref="AA15:AE15"/>
    <mergeCell ref="AF15:AH15"/>
    <mergeCell ref="AI15:AK15"/>
    <mergeCell ref="AL15:BP15"/>
    <mergeCell ref="A16:C16"/>
    <mergeCell ref="D16:Z16"/>
    <mergeCell ref="AA16:AE16"/>
    <mergeCell ref="AF16:AH16"/>
    <mergeCell ref="AI16:AK16"/>
    <mergeCell ref="AL14:BP14"/>
    <mergeCell ref="A13:C13"/>
    <mergeCell ref="D13:Z13"/>
    <mergeCell ref="AA13:AE13"/>
    <mergeCell ref="AF13:AH13"/>
    <mergeCell ref="AI13:AK13"/>
    <mergeCell ref="AL13:BP13"/>
    <mergeCell ref="A14:C14"/>
    <mergeCell ref="D14:Z14"/>
    <mergeCell ref="AA14:AE14"/>
    <mergeCell ref="AF14:AH14"/>
    <mergeCell ref="AI14:AK14"/>
    <mergeCell ref="AL12:BP12"/>
    <mergeCell ref="A11:C11"/>
    <mergeCell ref="D11:Z11"/>
    <mergeCell ref="AA11:AE11"/>
    <mergeCell ref="AF11:AH11"/>
    <mergeCell ref="AI11:AK11"/>
    <mergeCell ref="AL11:BP11"/>
    <mergeCell ref="A12:C12"/>
    <mergeCell ref="D12:Z12"/>
    <mergeCell ref="AA12:AE12"/>
    <mergeCell ref="AF12:AH12"/>
    <mergeCell ref="AI12:AK12"/>
    <mergeCell ref="AL10:BP10"/>
    <mergeCell ref="A9:C9"/>
    <mergeCell ref="D9:Z9"/>
    <mergeCell ref="AA9:AE9"/>
    <mergeCell ref="AF9:AH9"/>
    <mergeCell ref="AI9:AK9"/>
    <mergeCell ref="AL9:BP9"/>
    <mergeCell ref="A10:C10"/>
    <mergeCell ref="D10:Z10"/>
    <mergeCell ref="AA10:AE10"/>
    <mergeCell ref="AF10:AH10"/>
    <mergeCell ref="AI10:AK10"/>
    <mergeCell ref="AL8:BP8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8:C8"/>
    <mergeCell ref="D8:Z8"/>
    <mergeCell ref="AA8:AE8"/>
    <mergeCell ref="AF8:AH8"/>
    <mergeCell ref="AI8:AK8"/>
    <mergeCell ref="A3:G3"/>
    <mergeCell ref="H3:BA3"/>
    <mergeCell ref="BB3:BE3"/>
    <mergeCell ref="BF3:BP3"/>
    <mergeCell ref="A2:BA2"/>
    <mergeCell ref="BB2:BE2"/>
    <mergeCell ref="BF2:BI2"/>
    <mergeCell ref="BJ2:BM2"/>
    <mergeCell ref="BN2:BP2"/>
  </mergeCells>
  <phoneticPr fontId="3"/>
  <dataValidations count="1">
    <dataValidation type="list" allowBlank="1" showInputMessage="1" showErrorMessage="1" sqref="BJ6:BP6" xr:uid="{CF7634C8-3736-4D23-A7E0-250625DD0708}">
      <formula1>"原票、画面,帳票,連動ファイル,論理ファイル"</formula1>
    </dataValidation>
  </dataValidations>
  <pageMargins left="0.59055118110236227" right="0.47244094488188981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72019-34DD-4505-BB81-A8C04A170830}">
  <sheetPr codeName="Sheet7"/>
  <dimension ref="A1:BR49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1" width="2.125" style="55"/>
    <col min="32" max="32" width="2.875" style="55" bestFit="1" customWidth="1"/>
    <col min="33" max="38" width="2.125" style="55"/>
    <col min="39" max="44" width="0" style="55" hidden="1" customWidth="1"/>
    <col min="45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144" t="s">
        <v>198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143" t="s">
        <v>604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540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1238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117">
        <f t="shared" ref="A9:A22" si="0">ROW()-8</f>
        <v>1</v>
      </c>
      <c r="B9" s="118"/>
      <c r="C9" s="119"/>
      <c r="D9" s="114" t="s">
        <v>1004</v>
      </c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6"/>
      <c r="AA9" s="117" t="s">
        <v>267</v>
      </c>
      <c r="AB9" s="118"/>
      <c r="AC9" s="118"/>
      <c r="AD9" s="118"/>
      <c r="AE9" s="119"/>
      <c r="AF9" s="117">
        <v>4</v>
      </c>
      <c r="AG9" s="118"/>
      <c r="AH9" s="119"/>
      <c r="AI9" s="117"/>
      <c r="AJ9" s="118"/>
      <c r="AK9" s="119"/>
      <c r="AL9" s="120" t="s">
        <v>1016</v>
      </c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2"/>
    </row>
    <row r="10" spans="1:70" s="1" customFormat="1" ht="30.75" customHeight="1">
      <c r="A10" s="74">
        <f t="shared" si="0"/>
        <v>2</v>
      </c>
      <c r="B10" s="75"/>
      <c r="C10" s="76"/>
      <c r="D10" s="71" t="s">
        <v>1005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  <c r="AA10" s="74" t="s">
        <v>267</v>
      </c>
      <c r="AB10" s="75"/>
      <c r="AC10" s="75"/>
      <c r="AD10" s="75"/>
      <c r="AE10" s="76"/>
      <c r="AF10" s="74">
        <v>6</v>
      </c>
      <c r="AG10" s="75"/>
      <c r="AH10" s="76"/>
      <c r="AI10" s="74"/>
      <c r="AJ10" s="75"/>
      <c r="AK10" s="76"/>
      <c r="AL10" s="68" t="s">
        <v>1017</v>
      </c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74">
        <f t="shared" si="0"/>
        <v>3</v>
      </c>
      <c r="B11" s="75"/>
      <c r="C11" s="76"/>
      <c r="D11" s="71" t="s">
        <v>1006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3"/>
      <c r="AA11" s="74" t="s">
        <v>428</v>
      </c>
      <c r="AB11" s="75"/>
      <c r="AC11" s="75"/>
      <c r="AD11" s="75"/>
      <c r="AE11" s="76"/>
      <c r="AF11" s="74">
        <v>2</v>
      </c>
      <c r="AG11" s="75"/>
      <c r="AH11" s="76"/>
      <c r="AI11" s="74"/>
      <c r="AJ11" s="75"/>
      <c r="AK11" s="76"/>
      <c r="AL11" s="68" t="s">
        <v>1018</v>
      </c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70"/>
    </row>
    <row r="12" spans="1:70" s="1" customFormat="1" ht="30.75" customHeight="1">
      <c r="A12" s="74">
        <f t="shared" si="0"/>
        <v>4</v>
      </c>
      <c r="B12" s="75"/>
      <c r="C12" s="76"/>
      <c r="D12" s="71" t="s">
        <v>844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3"/>
      <c r="AA12" s="74" t="s">
        <v>428</v>
      </c>
      <c r="AB12" s="75"/>
      <c r="AC12" s="75"/>
      <c r="AD12" s="75"/>
      <c r="AE12" s="76"/>
      <c r="AF12" s="74">
        <v>2</v>
      </c>
      <c r="AG12" s="75"/>
      <c r="AH12" s="76"/>
      <c r="AI12" s="74"/>
      <c r="AJ12" s="75"/>
      <c r="AK12" s="76"/>
      <c r="AL12" s="68" t="s">
        <v>1019</v>
      </c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70"/>
    </row>
    <row r="13" spans="1:70" s="1" customFormat="1" ht="30.75" customHeight="1">
      <c r="A13" s="74">
        <f t="shared" si="0"/>
        <v>5</v>
      </c>
      <c r="B13" s="75"/>
      <c r="C13" s="76"/>
      <c r="D13" s="71" t="s">
        <v>1007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3"/>
      <c r="AA13" s="74" t="s">
        <v>428</v>
      </c>
      <c r="AB13" s="75"/>
      <c r="AC13" s="75"/>
      <c r="AD13" s="75"/>
      <c r="AE13" s="76"/>
      <c r="AF13" s="74">
        <v>3</v>
      </c>
      <c r="AG13" s="75"/>
      <c r="AH13" s="76"/>
      <c r="AI13" s="74"/>
      <c r="AJ13" s="75"/>
      <c r="AK13" s="76"/>
      <c r="AL13" s="68" t="s">
        <v>1020</v>
      </c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70"/>
    </row>
    <row r="14" spans="1:70" s="1" customFormat="1" ht="30.75" customHeight="1">
      <c r="A14" s="74">
        <f t="shared" si="0"/>
        <v>6</v>
      </c>
      <c r="B14" s="75"/>
      <c r="C14" s="76"/>
      <c r="D14" s="71" t="s">
        <v>1008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3"/>
      <c r="AA14" s="74" t="s">
        <v>428</v>
      </c>
      <c r="AB14" s="75"/>
      <c r="AC14" s="75"/>
      <c r="AD14" s="75"/>
      <c r="AE14" s="76"/>
      <c r="AF14" s="74">
        <v>6</v>
      </c>
      <c r="AG14" s="75"/>
      <c r="AH14" s="76"/>
      <c r="AI14" s="74"/>
      <c r="AJ14" s="75"/>
      <c r="AK14" s="76"/>
      <c r="AL14" s="68" t="s">
        <v>1021</v>
      </c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70"/>
    </row>
    <row r="15" spans="1:70" s="1" customFormat="1" ht="30.75" customHeight="1">
      <c r="A15" s="74">
        <f t="shared" si="0"/>
        <v>7</v>
      </c>
      <c r="B15" s="75"/>
      <c r="C15" s="76"/>
      <c r="D15" s="71" t="s">
        <v>1009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3"/>
      <c r="AA15" s="74" t="s">
        <v>428</v>
      </c>
      <c r="AB15" s="75"/>
      <c r="AC15" s="75"/>
      <c r="AD15" s="75"/>
      <c r="AE15" s="76"/>
      <c r="AF15" s="74">
        <v>2</v>
      </c>
      <c r="AG15" s="75"/>
      <c r="AH15" s="76"/>
      <c r="AI15" s="74"/>
      <c r="AJ15" s="75"/>
      <c r="AK15" s="76"/>
      <c r="AL15" s="68" t="s">
        <v>1022</v>
      </c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70"/>
    </row>
    <row r="16" spans="1:70" s="1" customFormat="1" ht="30.75" customHeight="1">
      <c r="A16" s="74">
        <f t="shared" si="0"/>
        <v>8</v>
      </c>
      <c r="B16" s="75"/>
      <c r="C16" s="76"/>
      <c r="D16" s="71" t="s">
        <v>1229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3"/>
      <c r="AA16" s="74" t="s">
        <v>428</v>
      </c>
      <c r="AB16" s="75"/>
      <c r="AC16" s="75"/>
      <c r="AD16" s="75"/>
      <c r="AE16" s="76"/>
      <c r="AF16" s="74">
        <v>4</v>
      </c>
      <c r="AG16" s="75"/>
      <c r="AH16" s="76"/>
      <c r="AI16" s="74"/>
      <c r="AJ16" s="75"/>
      <c r="AK16" s="76"/>
      <c r="AL16" s="68" t="s">
        <v>1230</v>
      </c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70"/>
    </row>
    <row r="17" spans="1:68" s="1" customFormat="1" ht="30.75" customHeight="1">
      <c r="A17" s="74">
        <f t="shared" si="0"/>
        <v>9</v>
      </c>
      <c r="B17" s="75"/>
      <c r="C17" s="76"/>
      <c r="D17" s="71" t="s">
        <v>1010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3"/>
      <c r="AA17" s="74" t="s">
        <v>267</v>
      </c>
      <c r="AB17" s="75"/>
      <c r="AC17" s="75"/>
      <c r="AD17" s="75"/>
      <c r="AE17" s="76"/>
      <c r="AF17" s="74">
        <v>14</v>
      </c>
      <c r="AG17" s="75"/>
      <c r="AH17" s="76"/>
      <c r="AI17" s="74"/>
      <c r="AJ17" s="75"/>
      <c r="AK17" s="76"/>
      <c r="AL17" s="68" t="s">
        <v>1023</v>
      </c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70"/>
    </row>
    <row r="18" spans="1:68" s="1" customFormat="1" ht="30.75" customHeight="1">
      <c r="A18" s="74">
        <f t="shared" si="0"/>
        <v>10</v>
      </c>
      <c r="B18" s="75"/>
      <c r="C18" s="76"/>
      <c r="D18" s="71" t="s">
        <v>1011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3"/>
      <c r="AA18" s="74" t="s">
        <v>267</v>
      </c>
      <c r="AB18" s="75"/>
      <c r="AC18" s="75"/>
      <c r="AD18" s="75"/>
      <c r="AE18" s="76"/>
      <c r="AF18" s="74">
        <v>14</v>
      </c>
      <c r="AG18" s="75"/>
      <c r="AH18" s="76"/>
      <c r="AI18" s="74"/>
      <c r="AJ18" s="75"/>
      <c r="AK18" s="76"/>
      <c r="AL18" s="68" t="s">
        <v>1024</v>
      </c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70"/>
    </row>
    <row r="19" spans="1:68" s="1" customFormat="1" ht="30.75" customHeight="1">
      <c r="A19" s="74">
        <f t="shared" si="0"/>
        <v>11</v>
      </c>
      <c r="B19" s="75"/>
      <c r="C19" s="76"/>
      <c r="D19" s="71" t="s">
        <v>1012</v>
      </c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3"/>
      <c r="AA19" s="74" t="s">
        <v>267</v>
      </c>
      <c r="AB19" s="75"/>
      <c r="AC19" s="75"/>
      <c r="AD19" s="75"/>
      <c r="AE19" s="76"/>
      <c r="AF19" s="74">
        <v>14</v>
      </c>
      <c r="AG19" s="75"/>
      <c r="AH19" s="76"/>
      <c r="AI19" s="74"/>
      <c r="AJ19" s="75"/>
      <c r="AK19" s="76"/>
      <c r="AL19" s="68" t="s">
        <v>1025</v>
      </c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70"/>
    </row>
    <row r="20" spans="1:68" s="1" customFormat="1" ht="30.75" customHeight="1">
      <c r="A20" s="74">
        <f t="shared" si="0"/>
        <v>12</v>
      </c>
      <c r="B20" s="75"/>
      <c r="C20" s="76"/>
      <c r="D20" s="71" t="s">
        <v>1013</v>
      </c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3"/>
      <c r="AA20" s="74" t="s">
        <v>267</v>
      </c>
      <c r="AB20" s="75"/>
      <c r="AC20" s="75"/>
      <c r="AD20" s="75"/>
      <c r="AE20" s="76"/>
      <c r="AF20" s="74">
        <v>14</v>
      </c>
      <c r="AG20" s="75"/>
      <c r="AH20" s="76"/>
      <c r="AI20" s="74"/>
      <c r="AJ20" s="75"/>
      <c r="AK20" s="76"/>
      <c r="AL20" s="68" t="s">
        <v>1026</v>
      </c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70"/>
    </row>
    <row r="21" spans="1:68" s="1" customFormat="1" ht="30.75" customHeight="1">
      <c r="A21" s="74">
        <f t="shared" si="0"/>
        <v>13</v>
      </c>
      <c r="B21" s="75"/>
      <c r="C21" s="76"/>
      <c r="D21" s="71" t="s">
        <v>1014</v>
      </c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3"/>
      <c r="AA21" s="74" t="s">
        <v>267</v>
      </c>
      <c r="AB21" s="75"/>
      <c r="AC21" s="75"/>
      <c r="AD21" s="75"/>
      <c r="AE21" s="76"/>
      <c r="AF21" s="74">
        <v>14</v>
      </c>
      <c r="AG21" s="75"/>
      <c r="AH21" s="76"/>
      <c r="AI21" s="74"/>
      <c r="AJ21" s="75"/>
      <c r="AK21" s="76"/>
      <c r="AL21" s="68" t="s">
        <v>1027</v>
      </c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70"/>
    </row>
    <row r="22" spans="1:68" s="1" customFormat="1" ht="30.75" customHeight="1">
      <c r="A22" s="74">
        <f t="shared" si="0"/>
        <v>14</v>
      </c>
      <c r="B22" s="75"/>
      <c r="C22" s="76"/>
      <c r="D22" s="71" t="s">
        <v>1015</v>
      </c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3"/>
      <c r="AA22" s="74" t="s">
        <v>267</v>
      </c>
      <c r="AB22" s="75"/>
      <c r="AC22" s="75"/>
      <c r="AD22" s="75"/>
      <c r="AE22" s="76"/>
      <c r="AF22" s="74">
        <v>14</v>
      </c>
      <c r="AG22" s="75"/>
      <c r="AH22" s="76"/>
      <c r="AI22" s="74"/>
      <c r="AJ22" s="75"/>
      <c r="AK22" s="76"/>
      <c r="AL22" s="68" t="s">
        <v>1028</v>
      </c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70"/>
    </row>
    <row r="23" spans="1:68" s="1" customFormat="1" ht="30.75" customHeight="1">
      <c r="A23" s="74"/>
      <c r="B23" s="75"/>
      <c r="C23" s="76"/>
      <c r="D23" s="71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3"/>
      <c r="AA23" s="74"/>
      <c r="AB23" s="75"/>
      <c r="AC23" s="75"/>
      <c r="AD23" s="75"/>
      <c r="AE23" s="76"/>
      <c r="AF23" s="86"/>
      <c r="AG23" s="86"/>
      <c r="AH23" s="86"/>
      <c r="AI23" s="86"/>
      <c r="AJ23" s="86"/>
      <c r="AK23" s="86"/>
      <c r="AL23" s="68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70"/>
    </row>
    <row r="24" spans="1:68" s="1" customFormat="1" ht="30.75" customHeight="1">
      <c r="A24" s="80"/>
      <c r="B24" s="81"/>
      <c r="C24" s="82"/>
      <c r="D24" s="77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9"/>
      <c r="AA24" s="80"/>
      <c r="AB24" s="81"/>
      <c r="AC24" s="81"/>
      <c r="AD24" s="81"/>
      <c r="AE24" s="82"/>
      <c r="AF24" s="87"/>
      <c r="AG24" s="87"/>
      <c r="AH24" s="87"/>
      <c r="AI24" s="87"/>
      <c r="AJ24" s="87"/>
      <c r="AK24" s="87"/>
      <c r="AL24" s="83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5"/>
    </row>
    <row r="25" spans="1:68" s="4" customFormat="1" ht="3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3"/>
      <c r="AG25" s="3"/>
      <c r="AH25" s="3"/>
      <c r="AI25" s="3"/>
      <c r="AJ25" s="3"/>
      <c r="AK25" s="3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</row>
    <row r="26" spans="1:68" s="4" customFormat="1" ht="14.25">
      <c r="A26" s="5" t="s">
        <v>14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15"/>
      <c r="AG26" s="15"/>
      <c r="AH26" s="15"/>
      <c r="AI26" s="15"/>
      <c r="AJ26" s="15"/>
      <c r="AK26" s="15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6"/>
    </row>
    <row r="27" spans="1:68" s="4" customFormat="1" ht="20.25" customHeight="1">
      <c r="A27" s="5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6"/>
    </row>
    <row r="28" spans="1:68" s="4" customFormat="1" ht="20.25" customHeight="1">
      <c r="A28" s="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6"/>
    </row>
    <row r="29" spans="1:68" s="4" customFormat="1" ht="20.25" customHeight="1">
      <c r="A29" s="5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6"/>
    </row>
    <row r="30" spans="1:68" s="4" customFormat="1" ht="20.25" customHeight="1">
      <c r="A30" s="5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6"/>
    </row>
    <row r="31" spans="1:68" s="4" customFormat="1" ht="20.25" customHeight="1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9"/>
    </row>
    <row r="32" spans="1:68" ht="5.25" customHeight="1"/>
    <row r="49" spans="32:32">
      <c r="AF49" s="55">
        <v>8</v>
      </c>
    </row>
  </sheetData>
  <mergeCells count="121">
    <mergeCell ref="A15:C15"/>
    <mergeCell ref="D15:Z15"/>
    <mergeCell ref="AA15:AE15"/>
    <mergeCell ref="AF15:AH15"/>
    <mergeCell ref="AI15:AK15"/>
    <mergeCell ref="AL15:BP15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8:C8"/>
    <mergeCell ref="D8:Z8"/>
    <mergeCell ref="AA8:AE8"/>
    <mergeCell ref="AF8:AH8"/>
    <mergeCell ref="AI8:AK8"/>
    <mergeCell ref="AL8:BP8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10:C10"/>
    <mergeCell ref="D10:Z10"/>
    <mergeCell ref="AA10:AE10"/>
    <mergeCell ref="AF10:AH10"/>
    <mergeCell ref="AI10:AK10"/>
    <mergeCell ref="AL10:BP10"/>
    <mergeCell ref="A9:C9"/>
    <mergeCell ref="D9:Z9"/>
    <mergeCell ref="AA9:AE9"/>
    <mergeCell ref="AF9:AH9"/>
    <mergeCell ref="AI9:AK9"/>
    <mergeCell ref="AL9:BP9"/>
    <mergeCell ref="A12:C12"/>
    <mergeCell ref="D12:Z12"/>
    <mergeCell ref="AA12:AE12"/>
    <mergeCell ref="AF12:AH12"/>
    <mergeCell ref="AI12:AK12"/>
    <mergeCell ref="AL12:BP12"/>
    <mergeCell ref="A11:C11"/>
    <mergeCell ref="D11:Z11"/>
    <mergeCell ref="AA11:AE11"/>
    <mergeCell ref="AF11:AH11"/>
    <mergeCell ref="AI11:AK11"/>
    <mergeCell ref="AL11:BP11"/>
    <mergeCell ref="A14:C14"/>
    <mergeCell ref="D14:Z14"/>
    <mergeCell ref="AA14:AE14"/>
    <mergeCell ref="AF14:AH14"/>
    <mergeCell ref="AI14:AK14"/>
    <mergeCell ref="AL14:BP14"/>
    <mergeCell ref="A13:C13"/>
    <mergeCell ref="D13:Z13"/>
    <mergeCell ref="AA13:AE13"/>
    <mergeCell ref="AF13:AH13"/>
    <mergeCell ref="AI13:AK13"/>
    <mergeCell ref="AL13:BP13"/>
    <mergeCell ref="A17:C17"/>
    <mergeCell ref="D17:Z17"/>
    <mergeCell ref="AA17:AE17"/>
    <mergeCell ref="AF17:AH17"/>
    <mergeCell ref="AI17:AK17"/>
    <mergeCell ref="AL17:BP17"/>
    <mergeCell ref="A16:C16"/>
    <mergeCell ref="D16:Z16"/>
    <mergeCell ref="AA16:AE16"/>
    <mergeCell ref="AF16:AH16"/>
    <mergeCell ref="AI16:AK16"/>
    <mergeCell ref="AL16:BP16"/>
    <mergeCell ref="A19:C19"/>
    <mergeCell ref="D19:Z19"/>
    <mergeCell ref="AA19:AE19"/>
    <mergeCell ref="AF19:AH19"/>
    <mergeCell ref="AI19:AK19"/>
    <mergeCell ref="AL19:BP19"/>
    <mergeCell ref="A18:C18"/>
    <mergeCell ref="D18:Z18"/>
    <mergeCell ref="AA18:AE18"/>
    <mergeCell ref="AF18:AH18"/>
    <mergeCell ref="AI18:AK18"/>
    <mergeCell ref="AL18:BP18"/>
    <mergeCell ref="A21:C21"/>
    <mergeCell ref="D21:Z21"/>
    <mergeCell ref="AA21:AE21"/>
    <mergeCell ref="AF21:AH21"/>
    <mergeCell ref="AI21:AK21"/>
    <mergeCell ref="AL21:BP21"/>
    <mergeCell ref="A20:C20"/>
    <mergeCell ref="D20:Z20"/>
    <mergeCell ref="AA20:AE20"/>
    <mergeCell ref="AF20:AH20"/>
    <mergeCell ref="AI20:AK20"/>
    <mergeCell ref="AL20:BP20"/>
    <mergeCell ref="A22:C22"/>
    <mergeCell ref="D22:Z22"/>
    <mergeCell ref="AA22:AE22"/>
    <mergeCell ref="AF22:AH22"/>
    <mergeCell ref="AI22:AK22"/>
    <mergeCell ref="AL22:BP22"/>
    <mergeCell ref="A24:C24"/>
    <mergeCell ref="D24:Z24"/>
    <mergeCell ref="AA24:AE24"/>
    <mergeCell ref="AF24:AH24"/>
    <mergeCell ref="AI24:AK24"/>
    <mergeCell ref="AL24:BP24"/>
    <mergeCell ref="A23:C23"/>
    <mergeCell ref="D23:Z23"/>
    <mergeCell ref="AA23:AE23"/>
    <mergeCell ref="AF23:AH23"/>
    <mergeCell ref="AI23:AK23"/>
    <mergeCell ref="AL23:BP23"/>
  </mergeCells>
  <phoneticPr fontId="3"/>
  <dataValidations count="1">
    <dataValidation type="list" allowBlank="1" showInputMessage="1" showErrorMessage="1" sqref="BJ6:BP6" xr:uid="{2B53B475-293C-4A6E-88AF-34ED017AD942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2AF65-6F90-4A63-AD38-34D76E2F0EC4}">
  <sheetPr codeName="Sheet18"/>
  <dimension ref="A1:BR58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8" width="2.125" style="56"/>
    <col min="39" max="44" width="0" style="56" hidden="1" customWidth="1"/>
    <col min="45" max="16384" width="2.125" style="56"/>
  </cols>
  <sheetData>
    <row r="1" spans="1:70" s="39" customFormat="1" ht="21" customHeight="1">
      <c r="A1" s="39" t="s">
        <v>212</v>
      </c>
      <c r="BP1" s="40" t="s">
        <v>0</v>
      </c>
      <c r="BR1" s="54"/>
    </row>
    <row r="2" spans="1:70" s="41" customFormat="1" ht="18" customHeight="1">
      <c r="A2" s="191" t="s">
        <v>213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3"/>
      <c r="BB2" s="182" t="s">
        <v>1</v>
      </c>
      <c r="BC2" s="183"/>
      <c r="BD2" s="183"/>
      <c r="BE2" s="184"/>
      <c r="BF2" s="182" t="s">
        <v>214</v>
      </c>
      <c r="BG2" s="183"/>
      <c r="BH2" s="183"/>
      <c r="BI2" s="184"/>
      <c r="BJ2" s="182" t="s">
        <v>2</v>
      </c>
      <c r="BK2" s="183"/>
      <c r="BL2" s="183"/>
      <c r="BM2" s="184"/>
      <c r="BN2" s="183"/>
      <c r="BO2" s="183"/>
      <c r="BP2" s="184"/>
    </row>
    <row r="3" spans="1:70" s="39" customFormat="1" ht="18" customHeight="1">
      <c r="A3" s="181" t="s">
        <v>3</v>
      </c>
      <c r="B3" s="181"/>
      <c r="C3" s="181"/>
      <c r="D3" s="181"/>
      <c r="E3" s="181"/>
      <c r="F3" s="181"/>
      <c r="G3" s="181"/>
      <c r="H3" s="144" t="s">
        <v>562</v>
      </c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82" t="s">
        <v>4</v>
      </c>
      <c r="BC3" s="183"/>
      <c r="BD3" s="183"/>
      <c r="BE3" s="184"/>
      <c r="BF3" s="182" t="s">
        <v>563</v>
      </c>
      <c r="BG3" s="183"/>
      <c r="BH3" s="183"/>
      <c r="BI3" s="183"/>
      <c r="BJ3" s="183"/>
      <c r="BK3" s="183"/>
      <c r="BL3" s="183"/>
      <c r="BM3" s="183"/>
      <c r="BN3" s="183"/>
      <c r="BO3" s="183"/>
      <c r="BP3" s="184"/>
    </row>
    <row r="4" spans="1:70" s="39" customFormat="1" ht="18" customHeight="1">
      <c r="A4" s="181" t="s">
        <v>5</v>
      </c>
      <c r="B4" s="181"/>
      <c r="C4" s="181"/>
      <c r="D4" s="181"/>
      <c r="E4" s="181"/>
      <c r="F4" s="181"/>
      <c r="G4" s="181"/>
      <c r="H4" s="144" t="s">
        <v>198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182" t="s">
        <v>6</v>
      </c>
      <c r="BC4" s="183"/>
      <c r="BD4" s="183"/>
      <c r="BE4" s="184"/>
      <c r="BF4" s="182"/>
      <c r="BG4" s="183"/>
      <c r="BH4" s="183"/>
      <c r="BI4" s="183"/>
      <c r="BJ4" s="183"/>
      <c r="BK4" s="183"/>
      <c r="BL4" s="183"/>
      <c r="BM4" s="183"/>
      <c r="BN4" s="183"/>
      <c r="BO4" s="183"/>
      <c r="BP4" s="184"/>
    </row>
    <row r="5" spans="1:70" ht="6" customHeight="1"/>
    <row r="6" spans="1:70" s="43" customFormat="1" ht="20.25" customHeight="1">
      <c r="A6" s="175" t="s">
        <v>7</v>
      </c>
      <c r="B6" s="176"/>
      <c r="C6" s="176"/>
      <c r="D6" s="176"/>
      <c r="E6" s="176"/>
      <c r="F6" s="176"/>
      <c r="G6" s="177"/>
      <c r="H6" s="182" t="s">
        <v>615</v>
      </c>
      <c r="I6" s="183"/>
      <c r="J6" s="183"/>
      <c r="K6" s="183"/>
      <c r="L6" s="183"/>
      <c r="M6" s="183"/>
      <c r="N6" s="184"/>
      <c r="O6" s="175" t="s">
        <v>8</v>
      </c>
      <c r="P6" s="176"/>
      <c r="Q6" s="176"/>
      <c r="R6" s="176"/>
      <c r="S6" s="176"/>
      <c r="T6" s="176"/>
      <c r="U6" s="176"/>
      <c r="V6" s="176"/>
      <c r="W6" s="176"/>
      <c r="X6" s="176"/>
      <c r="Y6" s="177"/>
      <c r="Z6" s="185" t="s">
        <v>420</v>
      </c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7"/>
      <c r="BF6" s="175" t="s">
        <v>9</v>
      </c>
      <c r="BG6" s="176"/>
      <c r="BH6" s="176"/>
      <c r="BI6" s="177"/>
      <c r="BJ6" s="188" t="s">
        <v>125</v>
      </c>
      <c r="BK6" s="189"/>
      <c r="BL6" s="189"/>
      <c r="BM6" s="189"/>
      <c r="BN6" s="189"/>
      <c r="BO6" s="189"/>
      <c r="BP6" s="190"/>
    </row>
    <row r="7" spans="1:70" ht="5.25" customHeight="1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</row>
    <row r="8" spans="1:70" s="43" customFormat="1" ht="20.25" customHeight="1">
      <c r="A8" s="175" t="s">
        <v>11</v>
      </c>
      <c r="B8" s="176"/>
      <c r="C8" s="177"/>
      <c r="D8" s="175" t="s">
        <v>12</v>
      </c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7"/>
      <c r="AA8" s="178" t="s">
        <v>13</v>
      </c>
      <c r="AB8" s="179"/>
      <c r="AC8" s="179"/>
      <c r="AD8" s="179"/>
      <c r="AE8" s="180"/>
      <c r="AF8" s="175" t="s">
        <v>215</v>
      </c>
      <c r="AG8" s="176"/>
      <c r="AH8" s="177"/>
      <c r="AI8" s="175" t="s">
        <v>216</v>
      </c>
      <c r="AJ8" s="176"/>
      <c r="AK8" s="177"/>
      <c r="AL8" s="178" t="s">
        <v>199</v>
      </c>
      <c r="AM8" s="179"/>
      <c r="AN8" s="179"/>
      <c r="AO8" s="179"/>
      <c r="AP8" s="179"/>
      <c r="AQ8" s="179"/>
      <c r="AR8" s="179"/>
      <c r="AS8" s="179"/>
      <c r="AT8" s="179"/>
      <c r="AU8" s="179"/>
      <c r="AV8" s="179"/>
      <c r="AW8" s="179"/>
      <c r="AX8" s="179"/>
      <c r="AY8" s="179"/>
      <c r="AZ8" s="179"/>
      <c r="BA8" s="179"/>
      <c r="BB8" s="179"/>
      <c r="BC8" s="179"/>
      <c r="BD8" s="179"/>
      <c r="BE8" s="179"/>
      <c r="BF8" s="179"/>
      <c r="BG8" s="179"/>
      <c r="BH8" s="179"/>
      <c r="BI8" s="179"/>
      <c r="BJ8" s="179"/>
      <c r="BK8" s="179"/>
      <c r="BL8" s="179"/>
      <c r="BM8" s="179"/>
      <c r="BN8" s="179"/>
      <c r="BO8" s="179"/>
      <c r="BP8" s="180"/>
    </row>
    <row r="9" spans="1:70" s="43" customFormat="1" ht="30.75" customHeight="1">
      <c r="A9" s="166">
        <f t="shared" ref="A9:A48" si="0">ROW()-8</f>
        <v>1</v>
      </c>
      <c r="B9" s="167"/>
      <c r="C9" s="168"/>
      <c r="D9" s="169" t="s">
        <v>1239</v>
      </c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1"/>
      <c r="AA9" s="166" t="s">
        <v>427</v>
      </c>
      <c r="AB9" s="167"/>
      <c r="AC9" s="167"/>
      <c r="AD9" s="167"/>
      <c r="AE9" s="168"/>
      <c r="AF9" s="166"/>
      <c r="AG9" s="167"/>
      <c r="AH9" s="168"/>
      <c r="AI9" s="166"/>
      <c r="AJ9" s="167"/>
      <c r="AK9" s="168"/>
      <c r="AL9" s="163"/>
      <c r="AM9" s="164"/>
      <c r="AN9" s="164"/>
      <c r="AO9" s="164"/>
      <c r="AP9" s="164"/>
      <c r="AQ9" s="164"/>
      <c r="AR9" s="164"/>
      <c r="AS9" s="164"/>
      <c r="AT9" s="164"/>
      <c r="AU9" s="164"/>
      <c r="AV9" s="164"/>
      <c r="AW9" s="164"/>
      <c r="AX9" s="164"/>
      <c r="AY9" s="164"/>
      <c r="AZ9" s="164"/>
      <c r="BA9" s="164"/>
      <c r="BB9" s="164"/>
      <c r="BC9" s="164"/>
      <c r="BD9" s="164"/>
      <c r="BE9" s="164"/>
      <c r="BF9" s="164"/>
      <c r="BG9" s="164"/>
      <c r="BH9" s="164"/>
      <c r="BI9" s="164"/>
      <c r="BJ9" s="164"/>
      <c r="BK9" s="164"/>
      <c r="BL9" s="164"/>
      <c r="BM9" s="164"/>
      <c r="BN9" s="164"/>
      <c r="BO9" s="164"/>
      <c r="BP9" s="165"/>
    </row>
    <row r="10" spans="1:70" s="43" customFormat="1" ht="30.75" customHeight="1">
      <c r="A10" s="160">
        <f t="shared" si="0"/>
        <v>2</v>
      </c>
      <c r="B10" s="161"/>
      <c r="C10" s="162"/>
      <c r="D10" s="157" t="s">
        <v>1240</v>
      </c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9"/>
      <c r="AA10" s="160" t="s">
        <v>428</v>
      </c>
      <c r="AB10" s="161"/>
      <c r="AC10" s="161"/>
      <c r="AD10" s="161"/>
      <c r="AE10" s="162"/>
      <c r="AF10" s="160">
        <v>5</v>
      </c>
      <c r="AG10" s="161"/>
      <c r="AH10" s="162"/>
      <c r="AI10" s="160"/>
      <c r="AJ10" s="161"/>
      <c r="AK10" s="162"/>
      <c r="AL10" s="163"/>
      <c r="AM10" s="164"/>
      <c r="AN10" s="164"/>
      <c r="AO10" s="164"/>
      <c r="AP10" s="164"/>
      <c r="AQ10" s="164"/>
      <c r="AR10" s="164"/>
      <c r="AS10" s="164"/>
      <c r="AT10" s="164"/>
      <c r="AU10" s="164"/>
      <c r="AV10" s="164"/>
      <c r="AW10" s="164"/>
      <c r="AX10" s="164"/>
      <c r="AY10" s="164"/>
      <c r="AZ10" s="164"/>
      <c r="BA10" s="164"/>
      <c r="BB10" s="164"/>
      <c r="BC10" s="164"/>
      <c r="BD10" s="164"/>
      <c r="BE10" s="164"/>
      <c r="BF10" s="164"/>
      <c r="BG10" s="164"/>
      <c r="BH10" s="164"/>
      <c r="BI10" s="164"/>
      <c r="BJ10" s="164"/>
      <c r="BK10" s="164"/>
      <c r="BL10" s="164"/>
      <c r="BM10" s="164"/>
      <c r="BN10" s="164"/>
      <c r="BO10" s="164"/>
      <c r="BP10" s="165"/>
    </row>
    <row r="11" spans="1:70" s="43" customFormat="1" ht="30.75" customHeight="1">
      <c r="A11" s="160">
        <f t="shared" si="0"/>
        <v>3</v>
      </c>
      <c r="B11" s="161"/>
      <c r="C11" s="162"/>
      <c r="D11" s="157" t="s">
        <v>1273</v>
      </c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9"/>
      <c r="AA11" s="160" t="s">
        <v>428</v>
      </c>
      <c r="AB11" s="161"/>
      <c r="AC11" s="161"/>
      <c r="AD11" s="161"/>
      <c r="AE11" s="162"/>
      <c r="AF11" s="160">
        <v>19</v>
      </c>
      <c r="AG11" s="161"/>
      <c r="AH11" s="162"/>
      <c r="AI11" s="160"/>
      <c r="AJ11" s="161"/>
      <c r="AK11" s="162"/>
      <c r="AL11" s="163"/>
      <c r="AM11" s="164"/>
      <c r="AN11" s="164"/>
      <c r="AO11" s="164"/>
      <c r="AP11" s="164"/>
      <c r="AQ11" s="164"/>
      <c r="AR11" s="164"/>
      <c r="AS11" s="164"/>
      <c r="AT11" s="164"/>
      <c r="AU11" s="164"/>
      <c r="AV11" s="164"/>
      <c r="AW11" s="164"/>
      <c r="AX11" s="164"/>
      <c r="AY11" s="164"/>
      <c r="AZ11" s="164"/>
      <c r="BA11" s="164"/>
      <c r="BB11" s="164"/>
      <c r="BC11" s="164"/>
      <c r="BD11" s="164"/>
      <c r="BE11" s="164"/>
      <c r="BF11" s="164"/>
      <c r="BG11" s="164"/>
      <c r="BH11" s="164"/>
      <c r="BI11" s="164"/>
      <c r="BJ11" s="164"/>
      <c r="BK11" s="164"/>
      <c r="BL11" s="164"/>
      <c r="BM11" s="164"/>
      <c r="BN11" s="164"/>
      <c r="BO11" s="164"/>
      <c r="BP11" s="165"/>
    </row>
    <row r="12" spans="1:70" s="43" customFormat="1" ht="30.75" customHeight="1">
      <c r="A12" s="160">
        <f t="shared" si="0"/>
        <v>4</v>
      </c>
      <c r="B12" s="161"/>
      <c r="C12" s="162"/>
      <c r="D12" s="157" t="s">
        <v>1241</v>
      </c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9"/>
      <c r="AA12" s="160" t="s">
        <v>429</v>
      </c>
      <c r="AB12" s="161"/>
      <c r="AC12" s="161"/>
      <c r="AD12" s="161"/>
      <c r="AE12" s="162"/>
      <c r="AF12" s="160">
        <v>8</v>
      </c>
      <c r="AG12" s="161"/>
      <c r="AH12" s="162"/>
      <c r="AI12" s="160"/>
      <c r="AJ12" s="161"/>
      <c r="AK12" s="162"/>
      <c r="AL12" s="163"/>
      <c r="AM12" s="164"/>
      <c r="AN12" s="164"/>
      <c r="AO12" s="164"/>
      <c r="AP12" s="164"/>
      <c r="AQ12" s="164"/>
      <c r="AR12" s="164"/>
      <c r="AS12" s="164"/>
      <c r="AT12" s="164"/>
      <c r="AU12" s="164"/>
      <c r="AV12" s="164"/>
      <c r="AW12" s="164"/>
      <c r="AX12" s="164"/>
      <c r="AY12" s="164"/>
      <c r="AZ12" s="164"/>
      <c r="BA12" s="164"/>
      <c r="BB12" s="164"/>
      <c r="BC12" s="164"/>
      <c r="BD12" s="164"/>
      <c r="BE12" s="164"/>
      <c r="BF12" s="164"/>
      <c r="BG12" s="164"/>
      <c r="BH12" s="164"/>
      <c r="BI12" s="164"/>
      <c r="BJ12" s="164"/>
      <c r="BK12" s="164"/>
      <c r="BL12" s="164"/>
      <c r="BM12" s="164"/>
      <c r="BN12" s="164"/>
      <c r="BO12" s="164"/>
      <c r="BP12" s="165"/>
    </row>
    <row r="13" spans="1:70" s="43" customFormat="1" ht="30.75" customHeight="1">
      <c r="A13" s="160">
        <f t="shared" si="0"/>
        <v>5</v>
      </c>
      <c r="B13" s="161"/>
      <c r="C13" s="162"/>
      <c r="D13" s="157" t="s">
        <v>1242</v>
      </c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9"/>
      <c r="AA13" s="160" t="s">
        <v>429</v>
      </c>
      <c r="AB13" s="161"/>
      <c r="AC13" s="161"/>
      <c r="AD13" s="161"/>
      <c r="AE13" s="162"/>
      <c r="AF13" s="160">
        <v>8</v>
      </c>
      <c r="AG13" s="161"/>
      <c r="AH13" s="162"/>
      <c r="AI13" s="160"/>
      <c r="AJ13" s="161"/>
      <c r="AK13" s="162"/>
      <c r="AL13" s="163"/>
      <c r="AM13" s="164"/>
      <c r="AN13" s="164"/>
      <c r="AO13" s="164"/>
      <c r="AP13" s="164"/>
      <c r="AQ13" s="164"/>
      <c r="AR13" s="164"/>
      <c r="AS13" s="164"/>
      <c r="AT13" s="164"/>
      <c r="AU13" s="164"/>
      <c r="AV13" s="164"/>
      <c r="AW13" s="164"/>
      <c r="AX13" s="164"/>
      <c r="AY13" s="164"/>
      <c r="AZ13" s="164"/>
      <c r="BA13" s="164"/>
      <c r="BB13" s="164"/>
      <c r="BC13" s="164"/>
      <c r="BD13" s="164"/>
      <c r="BE13" s="164"/>
      <c r="BF13" s="164"/>
      <c r="BG13" s="164"/>
      <c r="BH13" s="164"/>
      <c r="BI13" s="164"/>
      <c r="BJ13" s="164"/>
      <c r="BK13" s="164"/>
      <c r="BL13" s="164"/>
      <c r="BM13" s="164"/>
      <c r="BN13" s="164"/>
      <c r="BO13" s="164"/>
      <c r="BP13" s="165"/>
    </row>
    <row r="14" spans="1:70" s="43" customFormat="1" ht="30.75" customHeight="1">
      <c r="A14" s="160">
        <f t="shared" si="0"/>
        <v>6</v>
      </c>
      <c r="B14" s="161"/>
      <c r="C14" s="162"/>
      <c r="D14" s="157" t="s">
        <v>1243</v>
      </c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9"/>
      <c r="AA14" s="160" t="s">
        <v>429</v>
      </c>
      <c r="AB14" s="161"/>
      <c r="AC14" s="161"/>
      <c r="AD14" s="161"/>
      <c r="AE14" s="162"/>
      <c r="AF14" s="160">
        <v>5</v>
      </c>
      <c r="AG14" s="161"/>
      <c r="AH14" s="162"/>
      <c r="AI14" s="156"/>
      <c r="AJ14" s="156"/>
      <c r="AK14" s="156"/>
      <c r="AL14" s="163"/>
      <c r="AM14" s="164"/>
      <c r="AN14" s="164"/>
      <c r="AO14" s="164"/>
      <c r="AP14" s="164"/>
      <c r="AQ14" s="164"/>
      <c r="AR14" s="164"/>
      <c r="AS14" s="164"/>
      <c r="AT14" s="164"/>
      <c r="AU14" s="164"/>
      <c r="AV14" s="164"/>
      <c r="AW14" s="164"/>
      <c r="AX14" s="164"/>
      <c r="AY14" s="164"/>
      <c r="AZ14" s="164"/>
      <c r="BA14" s="164"/>
      <c r="BB14" s="164"/>
      <c r="BC14" s="164"/>
      <c r="BD14" s="164"/>
      <c r="BE14" s="164"/>
      <c r="BF14" s="164"/>
      <c r="BG14" s="164"/>
      <c r="BH14" s="164"/>
      <c r="BI14" s="164"/>
      <c r="BJ14" s="164"/>
      <c r="BK14" s="164"/>
      <c r="BL14" s="164"/>
      <c r="BM14" s="164"/>
      <c r="BN14" s="164"/>
      <c r="BO14" s="164"/>
      <c r="BP14" s="165"/>
    </row>
    <row r="15" spans="1:70" s="43" customFormat="1" ht="30.75" customHeight="1">
      <c r="A15" s="160">
        <f t="shared" si="0"/>
        <v>7</v>
      </c>
      <c r="B15" s="161"/>
      <c r="C15" s="162"/>
      <c r="D15" s="157" t="s">
        <v>1244</v>
      </c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9"/>
      <c r="AA15" s="160" t="s">
        <v>428</v>
      </c>
      <c r="AB15" s="161"/>
      <c r="AC15" s="161"/>
      <c r="AD15" s="161"/>
      <c r="AE15" s="162"/>
      <c r="AF15" s="160">
        <v>3</v>
      </c>
      <c r="AG15" s="161"/>
      <c r="AH15" s="162"/>
      <c r="AI15" s="156"/>
      <c r="AJ15" s="156"/>
      <c r="AK15" s="156"/>
      <c r="AL15" s="163"/>
      <c r="AM15" s="164"/>
      <c r="AN15" s="164"/>
      <c r="AO15" s="164"/>
      <c r="AP15" s="164"/>
      <c r="AQ15" s="164"/>
      <c r="AR15" s="164"/>
      <c r="AS15" s="164"/>
      <c r="AT15" s="164"/>
      <c r="AU15" s="164"/>
      <c r="AV15" s="164"/>
      <c r="AW15" s="164"/>
      <c r="AX15" s="164"/>
      <c r="AY15" s="164"/>
      <c r="AZ15" s="164"/>
      <c r="BA15" s="164"/>
      <c r="BB15" s="164"/>
      <c r="BC15" s="164"/>
      <c r="BD15" s="164"/>
      <c r="BE15" s="164"/>
      <c r="BF15" s="164"/>
      <c r="BG15" s="164"/>
      <c r="BH15" s="164"/>
      <c r="BI15" s="164"/>
      <c r="BJ15" s="164"/>
      <c r="BK15" s="164"/>
      <c r="BL15" s="164"/>
      <c r="BM15" s="164"/>
      <c r="BN15" s="164"/>
      <c r="BO15" s="164"/>
      <c r="BP15" s="165"/>
    </row>
    <row r="16" spans="1:70" s="43" customFormat="1" ht="30.75" customHeight="1">
      <c r="A16" s="160">
        <f t="shared" si="0"/>
        <v>8</v>
      </c>
      <c r="B16" s="161"/>
      <c r="C16" s="162"/>
      <c r="D16" s="157" t="s">
        <v>1245</v>
      </c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9"/>
      <c r="AA16" s="160" t="s">
        <v>428</v>
      </c>
      <c r="AB16" s="161"/>
      <c r="AC16" s="161"/>
      <c r="AD16" s="161"/>
      <c r="AE16" s="162"/>
      <c r="AF16" s="160">
        <v>25</v>
      </c>
      <c r="AG16" s="161"/>
      <c r="AH16" s="162"/>
      <c r="AI16" s="156"/>
      <c r="AJ16" s="156"/>
      <c r="AK16" s="156"/>
      <c r="AL16" s="163"/>
      <c r="AM16" s="164"/>
      <c r="AN16" s="164"/>
      <c r="AO16" s="164"/>
      <c r="AP16" s="164"/>
      <c r="AQ16" s="164"/>
      <c r="AR16" s="164"/>
      <c r="AS16" s="164"/>
      <c r="AT16" s="164"/>
      <c r="AU16" s="164"/>
      <c r="AV16" s="164"/>
      <c r="AW16" s="164"/>
      <c r="AX16" s="164"/>
      <c r="AY16" s="164"/>
      <c r="AZ16" s="164"/>
      <c r="BA16" s="164"/>
      <c r="BB16" s="164"/>
      <c r="BC16" s="164"/>
      <c r="BD16" s="164"/>
      <c r="BE16" s="164"/>
      <c r="BF16" s="164"/>
      <c r="BG16" s="164"/>
      <c r="BH16" s="164"/>
      <c r="BI16" s="164"/>
      <c r="BJ16" s="164"/>
      <c r="BK16" s="164"/>
      <c r="BL16" s="164"/>
      <c r="BM16" s="164"/>
      <c r="BN16" s="164"/>
      <c r="BO16" s="164"/>
      <c r="BP16" s="165"/>
    </row>
    <row r="17" spans="1:68" s="43" customFormat="1" ht="30.75" customHeight="1">
      <c r="A17" s="160">
        <f t="shared" si="0"/>
        <v>9</v>
      </c>
      <c r="B17" s="161"/>
      <c r="C17" s="162"/>
      <c r="D17" s="157" t="s">
        <v>1246</v>
      </c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9"/>
      <c r="AA17" s="160" t="s">
        <v>429</v>
      </c>
      <c r="AB17" s="161"/>
      <c r="AC17" s="161"/>
      <c r="AD17" s="161"/>
      <c r="AE17" s="162"/>
      <c r="AF17" s="160">
        <v>8</v>
      </c>
      <c r="AG17" s="161"/>
      <c r="AH17" s="162"/>
      <c r="AI17" s="156"/>
      <c r="AJ17" s="156"/>
      <c r="AK17" s="156"/>
      <c r="AL17" s="163"/>
      <c r="AM17" s="164"/>
      <c r="AN17" s="164"/>
      <c r="AO17" s="164"/>
      <c r="AP17" s="164"/>
      <c r="AQ17" s="164"/>
      <c r="AR17" s="164"/>
      <c r="AS17" s="164"/>
      <c r="AT17" s="164"/>
      <c r="AU17" s="164"/>
      <c r="AV17" s="164"/>
      <c r="AW17" s="164"/>
      <c r="AX17" s="164"/>
      <c r="AY17" s="164"/>
      <c r="AZ17" s="164"/>
      <c r="BA17" s="164"/>
      <c r="BB17" s="164"/>
      <c r="BC17" s="164"/>
      <c r="BD17" s="164"/>
      <c r="BE17" s="164"/>
      <c r="BF17" s="164"/>
      <c r="BG17" s="164"/>
      <c r="BH17" s="164"/>
      <c r="BI17" s="164"/>
      <c r="BJ17" s="164"/>
      <c r="BK17" s="164"/>
      <c r="BL17" s="164"/>
      <c r="BM17" s="164"/>
      <c r="BN17" s="164"/>
      <c r="BO17" s="164"/>
      <c r="BP17" s="165"/>
    </row>
    <row r="18" spans="1:68" s="43" customFormat="1" ht="30.75" customHeight="1">
      <c r="A18" s="160">
        <f t="shared" si="0"/>
        <v>10</v>
      </c>
      <c r="B18" s="161"/>
      <c r="C18" s="162"/>
      <c r="D18" s="157" t="s">
        <v>1247</v>
      </c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9"/>
      <c r="AA18" s="160" t="s">
        <v>427</v>
      </c>
      <c r="AB18" s="161"/>
      <c r="AC18" s="161"/>
      <c r="AD18" s="161"/>
      <c r="AE18" s="162"/>
      <c r="AF18" s="160"/>
      <c r="AG18" s="161"/>
      <c r="AH18" s="162"/>
      <c r="AI18" s="156"/>
      <c r="AJ18" s="156"/>
      <c r="AK18" s="156"/>
      <c r="AL18" s="163"/>
      <c r="AM18" s="164"/>
      <c r="AN18" s="164"/>
      <c r="AO18" s="164"/>
      <c r="AP18" s="164"/>
      <c r="AQ18" s="164"/>
      <c r="AR18" s="164"/>
      <c r="AS18" s="164"/>
      <c r="AT18" s="164"/>
      <c r="AU18" s="164"/>
      <c r="AV18" s="164"/>
      <c r="AW18" s="164"/>
      <c r="AX18" s="164"/>
      <c r="AY18" s="164"/>
      <c r="AZ18" s="164"/>
      <c r="BA18" s="164"/>
      <c r="BB18" s="164"/>
      <c r="BC18" s="164"/>
      <c r="BD18" s="164"/>
      <c r="BE18" s="164"/>
      <c r="BF18" s="164"/>
      <c r="BG18" s="164"/>
      <c r="BH18" s="164"/>
      <c r="BI18" s="164"/>
      <c r="BJ18" s="164"/>
      <c r="BK18" s="164"/>
      <c r="BL18" s="164"/>
      <c r="BM18" s="164"/>
      <c r="BN18" s="164"/>
      <c r="BO18" s="164"/>
      <c r="BP18" s="165"/>
    </row>
    <row r="19" spans="1:68" s="43" customFormat="1" ht="30.75" customHeight="1">
      <c r="A19" s="160">
        <f t="shared" si="0"/>
        <v>11</v>
      </c>
      <c r="B19" s="161"/>
      <c r="C19" s="162"/>
      <c r="D19" s="157" t="s">
        <v>1248</v>
      </c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9"/>
      <c r="AA19" s="160" t="s">
        <v>428</v>
      </c>
      <c r="AB19" s="161"/>
      <c r="AC19" s="161"/>
      <c r="AD19" s="161"/>
      <c r="AE19" s="162"/>
      <c r="AF19" s="160">
        <v>78</v>
      </c>
      <c r="AG19" s="161"/>
      <c r="AH19" s="162"/>
      <c r="AI19" s="156"/>
      <c r="AJ19" s="156"/>
      <c r="AK19" s="156"/>
      <c r="AL19" s="163"/>
      <c r="AM19" s="164"/>
      <c r="AN19" s="164"/>
      <c r="AO19" s="164"/>
      <c r="AP19" s="164"/>
      <c r="AQ19" s="164"/>
      <c r="AR19" s="164"/>
      <c r="AS19" s="164"/>
      <c r="AT19" s="164"/>
      <c r="AU19" s="164"/>
      <c r="AV19" s="164"/>
      <c r="AW19" s="164"/>
      <c r="AX19" s="164"/>
      <c r="AY19" s="164"/>
      <c r="AZ19" s="164"/>
      <c r="BA19" s="164"/>
      <c r="BB19" s="164"/>
      <c r="BC19" s="164"/>
      <c r="BD19" s="164"/>
      <c r="BE19" s="164"/>
      <c r="BF19" s="164"/>
      <c r="BG19" s="164"/>
      <c r="BH19" s="164"/>
      <c r="BI19" s="164"/>
      <c r="BJ19" s="164"/>
      <c r="BK19" s="164"/>
      <c r="BL19" s="164"/>
      <c r="BM19" s="164"/>
      <c r="BN19" s="164"/>
      <c r="BO19" s="164"/>
      <c r="BP19" s="165"/>
    </row>
    <row r="20" spans="1:68" s="43" customFormat="1" ht="30.75" customHeight="1">
      <c r="A20" s="160">
        <f t="shared" si="0"/>
        <v>12</v>
      </c>
      <c r="B20" s="161"/>
      <c r="C20" s="162"/>
      <c r="D20" s="157" t="s">
        <v>1249</v>
      </c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9"/>
      <c r="AA20" s="160" t="s">
        <v>428</v>
      </c>
      <c r="AB20" s="161"/>
      <c r="AC20" s="161"/>
      <c r="AD20" s="161"/>
      <c r="AE20" s="162"/>
      <c r="AF20" s="160">
        <v>10</v>
      </c>
      <c r="AG20" s="161"/>
      <c r="AH20" s="162"/>
      <c r="AI20" s="160"/>
      <c r="AJ20" s="161"/>
      <c r="AK20" s="162"/>
      <c r="AL20" s="163"/>
      <c r="AM20" s="164"/>
      <c r="AN20" s="164"/>
      <c r="AO20" s="164"/>
      <c r="AP20" s="164"/>
      <c r="AQ20" s="164"/>
      <c r="AR20" s="164"/>
      <c r="AS20" s="164"/>
      <c r="AT20" s="164"/>
      <c r="AU20" s="164"/>
      <c r="AV20" s="164"/>
      <c r="AW20" s="164"/>
      <c r="AX20" s="164"/>
      <c r="AY20" s="164"/>
      <c r="AZ20" s="164"/>
      <c r="BA20" s="164"/>
      <c r="BB20" s="164"/>
      <c r="BC20" s="164"/>
      <c r="BD20" s="164"/>
      <c r="BE20" s="164"/>
      <c r="BF20" s="164"/>
      <c r="BG20" s="164"/>
      <c r="BH20" s="164"/>
      <c r="BI20" s="164"/>
      <c r="BJ20" s="164"/>
      <c r="BK20" s="164"/>
      <c r="BL20" s="164"/>
      <c r="BM20" s="164"/>
      <c r="BN20" s="164"/>
      <c r="BO20" s="164"/>
      <c r="BP20" s="165"/>
    </row>
    <row r="21" spans="1:68" s="43" customFormat="1" ht="30.75" customHeight="1">
      <c r="A21" s="160">
        <f t="shared" si="0"/>
        <v>13</v>
      </c>
      <c r="B21" s="161"/>
      <c r="C21" s="162"/>
      <c r="D21" s="157" t="s">
        <v>1250</v>
      </c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9"/>
      <c r="AA21" s="160" t="s">
        <v>428</v>
      </c>
      <c r="AB21" s="161"/>
      <c r="AC21" s="161"/>
      <c r="AD21" s="161"/>
      <c r="AE21" s="162"/>
      <c r="AF21" s="160">
        <v>9</v>
      </c>
      <c r="AG21" s="161"/>
      <c r="AH21" s="162"/>
      <c r="AI21" s="160"/>
      <c r="AJ21" s="161"/>
      <c r="AK21" s="162"/>
      <c r="AL21" s="163"/>
      <c r="AM21" s="164"/>
      <c r="AN21" s="164"/>
      <c r="AO21" s="164"/>
      <c r="AP21" s="164"/>
      <c r="AQ21" s="164"/>
      <c r="AR21" s="164"/>
      <c r="AS21" s="164"/>
      <c r="AT21" s="164"/>
      <c r="AU21" s="164"/>
      <c r="AV21" s="164"/>
      <c r="AW21" s="164"/>
      <c r="AX21" s="164"/>
      <c r="AY21" s="164"/>
      <c r="AZ21" s="164"/>
      <c r="BA21" s="164"/>
      <c r="BB21" s="164"/>
      <c r="BC21" s="164"/>
      <c r="BD21" s="164"/>
      <c r="BE21" s="164"/>
      <c r="BF21" s="164"/>
      <c r="BG21" s="164"/>
      <c r="BH21" s="164"/>
      <c r="BI21" s="164"/>
      <c r="BJ21" s="164"/>
      <c r="BK21" s="164"/>
      <c r="BL21" s="164"/>
      <c r="BM21" s="164"/>
      <c r="BN21" s="164"/>
      <c r="BO21" s="164"/>
      <c r="BP21" s="165"/>
    </row>
    <row r="22" spans="1:68" s="43" customFormat="1" ht="30.75" customHeight="1">
      <c r="A22" s="160">
        <f t="shared" si="0"/>
        <v>14</v>
      </c>
      <c r="B22" s="161"/>
      <c r="C22" s="162"/>
      <c r="D22" s="157" t="s">
        <v>1251</v>
      </c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9"/>
      <c r="AA22" s="160" t="s">
        <v>429</v>
      </c>
      <c r="AB22" s="161"/>
      <c r="AC22" s="161"/>
      <c r="AD22" s="161"/>
      <c r="AE22" s="162"/>
      <c r="AF22" s="160">
        <v>15</v>
      </c>
      <c r="AG22" s="161"/>
      <c r="AH22" s="162"/>
      <c r="AI22" s="160"/>
      <c r="AJ22" s="161"/>
      <c r="AK22" s="162"/>
      <c r="AL22" s="163"/>
      <c r="AM22" s="164"/>
      <c r="AN22" s="164"/>
      <c r="AO22" s="164"/>
      <c r="AP22" s="164"/>
      <c r="AQ22" s="164"/>
      <c r="AR22" s="164"/>
      <c r="AS22" s="164"/>
      <c r="AT22" s="164"/>
      <c r="AU22" s="164"/>
      <c r="AV22" s="164"/>
      <c r="AW22" s="164"/>
      <c r="AX22" s="164"/>
      <c r="AY22" s="164"/>
      <c r="AZ22" s="164"/>
      <c r="BA22" s="164"/>
      <c r="BB22" s="164"/>
      <c r="BC22" s="164"/>
      <c r="BD22" s="164"/>
      <c r="BE22" s="164"/>
      <c r="BF22" s="164"/>
      <c r="BG22" s="164"/>
      <c r="BH22" s="164"/>
      <c r="BI22" s="164"/>
      <c r="BJ22" s="164"/>
      <c r="BK22" s="164"/>
      <c r="BL22" s="164"/>
      <c r="BM22" s="164"/>
      <c r="BN22" s="164"/>
      <c r="BO22" s="164"/>
      <c r="BP22" s="165"/>
    </row>
    <row r="23" spans="1:68" s="43" customFormat="1" ht="30.75" customHeight="1">
      <c r="A23" s="160">
        <f t="shared" si="0"/>
        <v>15</v>
      </c>
      <c r="B23" s="161"/>
      <c r="C23" s="162"/>
      <c r="D23" s="157" t="s">
        <v>1252</v>
      </c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9"/>
      <c r="AA23" s="160" t="s">
        <v>429</v>
      </c>
      <c r="AB23" s="161"/>
      <c r="AC23" s="161"/>
      <c r="AD23" s="161"/>
      <c r="AE23" s="162"/>
      <c r="AF23" s="160">
        <v>15</v>
      </c>
      <c r="AG23" s="161"/>
      <c r="AH23" s="162"/>
      <c r="AI23" s="160"/>
      <c r="AJ23" s="161"/>
      <c r="AK23" s="162"/>
      <c r="AL23" s="163"/>
      <c r="AM23" s="164"/>
      <c r="AN23" s="164"/>
      <c r="AO23" s="164"/>
      <c r="AP23" s="164"/>
      <c r="AQ23" s="164"/>
      <c r="AR23" s="164"/>
      <c r="AS23" s="164"/>
      <c r="AT23" s="164"/>
      <c r="AU23" s="164"/>
      <c r="AV23" s="164"/>
      <c r="AW23" s="164"/>
      <c r="AX23" s="164"/>
      <c r="AY23" s="164"/>
      <c r="AZ23" s="164"/>
      <c r="BA23" s="164"/>
      <c r="BB23" s="164"/>
      <c r="BC23" s="164"/>
      <c r="BD23" s="164"/>
      <c r="BE23" s="164"/>
      <c r="BF23" s="164"/>
      <c r="BG23" s="164"/>
      <c r="BH23" s="164"/>
      <c r="BI23" s="164"/>
      <c r="BJ23" s="164"/>
      <c r="BK23" s="164"/>
      <c r="BL23" s="164"/>
      <c r="BM23" s="164"/>
      <c r="BN23" s="164"/>
      <c r="BO23" s="164"/>
      <c r="BP23" s="165"/>
    </row>
    <row r="24" spans="1:68" s="43" customFormat="1" ht="30.75" customHeight="1">
      <c r="A24" s="160">
        <f t="shared" si="0"/>
        <v>16</v>
      </c>
      <c r="B24" s="161"/>
      <c r="C24" s="162"/>
      <c r="D24" s="157" t="s">
        <v>1253</v>
      </c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9"/>
      <c r="AA24" s="160" t="s">
        <v>429</v>
      </c>
      <c r="AB24" s="161"/>
      <c r="AC24" s="161"/>
      <c r="AD24" s="161"/>
      <c r="AE24" s="162"/>
      <c r="AF24" s="160">
        <v>15</v>
      </c>
      <c r="AG24" s="161"/>
      <c r="AH24" s="162"/>
      <c r="AI24" s="160"/>
      <c r="AJ24" s="161"/>
      <c r="AK24" s="162"/>
      <c r="AL24" s="163"/>
      <c r="AM24" s="164"/>
      <c r="AN24" s="164"/>
      <c r="AO24" s="164"/>
      <c r="AP24" s="164"/>
      <c r="AQ24" s="164"/>
      <c r="AR24" s="164"/>
      <c r="AS24" s="164"/>
      <c r="AT24" s="164"/>
      <c r="AU24" s="164"/>
      <c r="AV24" s="164"/>
      <c r="AW24" s="164"/>
      <c r="AX24" s="164"/>
      <c r="AY24" s="164"/>
      <c r="AZ24" s="164"/>
      <c r="BA24" s="164"/>
      <c r="BB24" s="164"/>
      <c r="BC24" s="164"/>
      <c r="BD24" s="164"/>
      <c r="BE24" s="164"/>
      <c r="BF24" s="164"/>
      <c r="BG24" s="164"/>
      <c r="BH24" s="164"/>
      <c r="BI24" s="164"/>
      <c r="BJ24" s="164"/>
      <c r="BK24" s="164"/>
      <c r="BL24" s="164"/>
      <c r="BM24" s="164"/>
      <c r="BN24" s="164"/>
      <c r="BO24" s="164"/>
      <c r="BP24" s="165"/>
    </row>
    <row r="25" spans="1:68" s="43" customFormat="1" ht="30.75" customHeight="1">
      <c r="A25" s="160">
        <f t="shared" si="0"/>
        <v>17</v>
      </c>
      <c r="B25" s="161"/>
      <c r="C25" s="162"/>
      <c r="D25" s="157" t="s">
        <v>1254</v>
      </c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9"/>
      <c r="AA25" s="160" t="s">
        <v>428</v>
      </c>
      <c r="AB25" s="161"/>
      <c r="AC25" s="161"/>
      <c r="AD25" s="161"/>
      <c r="AE25" s="162"/>
      <c r="AF25" s="160">
        <v>9</v>
      </c>
      <c r="AG25" s="161"/>
      <c r="AH25" s="162"/>
      <c r="AI25" s="160"/>
      <c r="AJ25" s="161"/>
      <c r="AK25" s="162"/>
      <c r="AL25" s="163"/>
      <c r="AM25" s="164"/>
      <c r="AN25" s="164"/>
      <c r="AO25" s="164"/>
      <c r="AP25" s="164"/>
      <c r="AQ25" s="164"/>
      <c r="AR25" s="164"/>
      <c r="AS25" s="164"/>
      <c r="AT25" s="164"/>
      <c r="AU25" s="164"/>
      <c r="AV25" s="164"/>
      <c r="AW25" s="164"/>
      <c r="AX25" s="164"/>
      <c r="AY25" s="164"/>
      <c r="AZ25" s="164"/>
      <c r="BA25" s="164"/>
      <c r="BB25" s="164"/>
      <c r="BC25" s="164"/>
      <c r="BD25" s="164"/>
      <c r="BE25" s="164"/>
      <c r="BF25" s="164"/>
      <c r="BG25" s="164"/>
      <c r="BH25" s="164"/>
      <c r="BI25" s="164"/>
      <c r="BJ25" s="164"/>
      <c r="BK25" s="164"/>
      <c r="BL25" s="164"/>
      <c r="BM25" s="164"/>
      <c r="BN25" s="164"/>
      <c r="BO25" s="164"/>
      <c r="BP25" s="165"/>
    </row>
    <row r="26" spans="1:68" s="43" customFormat="1" ht="30.75" customHeight="1">
      <c r="A26" s="160">
        <f t="shared" si="0"/>
        <v>18</v>
      </c>
      <c r="B26" s="161"/>
      <c r="C26" s="162"/>
      <c r="D26" s="157" t="s">
        <v>1255</v>
      </c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9"/>
      <c r="AA26" s="160" t="s">
        <v>429</v>
      </c>
      <c r="AB26" s="161"/>
      <c r="AC26" s="161"/>
      <c r="AD26" s="161"/>
      <c r="AE26" s="162"/>
      <c r="AF26" s="160">
        <v>15</v>
      </c>
      <c r="AG26" s="161"/>
      <c r="AH26" s="162"/>
      <c r="AI26" s="160"/>
      <c r="AJ26" s="161"/>
      <c r="AK26" s="162"/>
      <c r="AL26" s="163"/>
      <c r="AM26" s="164"/>
      <c r="AN26" s="164"/>
      <c r="AO26" s="164"/>
      <c r="AP26" s="164"/>
      <c r="AQ26" s="164"/>
      <c r="AR26" s="164"/>
      <c r="AS26" s="164"/>
      <c r="AT26" s="164"/>
      <c r="AU26" s="164"/>
      <c r="AV26" s="164"/>
      <c r="AW26" s="164"/>
      <c r="AX26" s="164"/>
      <c r="AY26" s="164"/>
      <c r="AZ26" s="164"/>
      <c r="BA26" s="164"/>
      <c r="BB26" s="164"/>
      <c r="BC26" s="164"/>
      <c r="BD26" s="164"/>
      <c r="BE26" s="164"/>
      <c r="BF26" s="164"/>
      <c r="BG26" s="164"/>
      <c r="BH26" s="164"/>
      <c r="BI26" s="164"/>
      <c r="BJ26" s="164"/>
      <c r="BK26" s="164"/>
      <c r="BL26" s="164"/>
      <c r="BM26" s="164"/>
      <c r="BN26" s="164"/>
      <c r="BO26" s="164"/>
      <c r="BP26" s="165"/>
    </row>
    <row r="27" spans="1:68" s="43" customFormat="1" ht="30.75" customHeight="1">
      <c r="A27" s="160">
        <f t="shared" si="0"/>
        <v>19</v>
      </c>
      <c r="B27" s="161"/>
      <c r="C27" s="162"/>
      <c r="D27" s="157" t="s">
        <v>1256</v>
      </c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9"/>
      <c r="AA27" s="160" t="s">
        <v>429</v>
      </c>
      <c r="AB27" s="161"/>
      <c r="AC27" s="161"/>
      <c r="AD27" s="161"/>
      <c r="AE27" s="162"/>
      <c r="AF27" s="160">
        <v>15</v>
      </c>
      <c r="AG27" s="161"/>
      <c r="AH27" s="162"/>
      <c r="AI27" s="156"/>
      <c r="AJ27" s="156"/>
      <c r="AK27" s="156"/>
      <c r="AL27" s="163"/>
      <c r="AM27" s="164"/>
      <c r="AN27" s="164"/>
      <c r="AO27" s="164"/>
      <c r="AP27" s="164"/>
      <c r="AQ27" s="164"/>
      <c r="AR27" s="164"/>
      <c r="AS27" s="164"/>
      <c r="AT27" s="164"/>
      <c r="AU27" s="164"/>
      <c r="AV27" s="164"/>
      <c r="AW27" s="164"/>
      <c r="AX27" s="164"/>
      <c r="AY27" s="164"/>
      <c r="AZ27" s="164"/>
      <c r="BA27" s="164"/>
      <c r="BB27" s="164"/>
      <c r="BC27" s="164"/>
      <c r="BD27" s="164"/>
      <c r="BE27" s="164"/>
      <c r="BF27" s="164"/>
      <c r="BG27" s="164"/>
      <c r="BH27" s="164"/>
      <c r="BI27" s="164"/>
      <c r="BJ27" s="164"/>
      <c r="BK27" s="164"/>
      <c r="BL27" s="164"/>
      <c r="BM27" s="164"/>
      <c r="BN27" s="164"/>
      <c r="BO27" s="164"/>
      <c r="BP27" s="165"/>
    </row>
    <row r="28" spans="1:68" s="43" customFormat="1" ht="30.75" customHeight="1">
      <c r="A28" s="160">
        <f t="shared" si="0"/>
        <v>20</v>
      </c>
      <c r="B28" s="161"/>
      <c r="C28" s="162"/>
      <c r="D28" s="157" t="s">
        <v>1257</v>
      </c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9"/>
      <c r="AA28" s="160" t="s">
        <v>429</v>
      </c>
      <c r="AB28" s="161"/>
      <c r="AC28" s="161"/>
      <c r="AD28" s="161"/>
      <c r="AE28" s="162"/>
      <c r="AF28" s="160">
        <v>15</v>
      </c>
      <c r="AG28" s="161"/>
      <c r="AH28" s="162"/>
      <c r="AI28" s="156"/>
      <c r="AJ28" s="156"/>
      <c r="AK28" s="156"/>
      <c r="AL28" s="163"/>
      <c r="AM28" s="164"/>
      <c r="AN28" s="164"/>
      <c r="AO28" s="164"/>
      <c r="AP28" s="164"/>
      <c r="AQ28" s="164"/>
      <c r="AR28" s="164"/>
      <c r="AS28" s="164"/>
      <c r="AT28" s="164"/>
      <c r="AU28" s="164"/>
      <c r="AV28" s="164"/>
      <c r="AW28" s="164"/>
      <c r="AX28" s="164"/>
      <c r="AY28" s="164"/>
      <c r="AZ28" s="164"/>
      <c r="BA28" s="164"/>
      <c r="BB28" s="164"/>
      <c r="BC28" s="164"/>
      <c r="BD28" s="164"/>
      <c r="BE28" s="164"/>
      <c r="BF28" s="164"/>
      <c r="BG28" s="164"/>
      <c r="BH28" s="164"/>
      <c r="BI28" s="164"/>
      <c r="BJ28" s="164"/>
      <c r="BK28" s="164"/>
      <c r="BL28" s="164"/>
      <c r="BM28" s="164"/>
      <c r="BN28" s="164"/>
      <c r="BO28" s="164"/>
      <c r="BP28" s="165"/>
    </row>
    <row r="29" spans="1:68" s="43" customFormat="1" ht="30.75" customHeight="1">
      <c r="A29" s="160">
        <f t="shared" si="0"/>
        <v>21</v>
      </c>
      <c r="B29" s="161"/>
      <c r="C29" s="162"/>
      <c r="D29" s="157" t="s">
        <v>1258</v>
      </c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9"/>
      <c r="AA29" s="160" t="s">
        <v>429</v>
      </c>
      <c r="AB29" s="161"/>
      <c r="AC29" s="161"/>
      <c r="AD29" s="161"/>
      <c r="AE29" s="162"/>
      <c r="AF29" s="160">
        <v>15</v>
      </c>
      <c r="AG29" s="161"/>
      <c r="AH29" s="162"/>
      <c r="AI29" s="156"/>
      <c r="AJ29" s="156"/>
      <c r="AK29" s="156"/>
      <c r="AL29" s="163"/>
      <c r="AM29" s="164"/>
      <c r="AN29" s="164"/>
      <c r="AO29" s="164"/>
      <c r="AP29" s="164"/>
      <c r="AQ29" s="164"/>
      <c r="AR29" s="164"/>
      <c r="AS29" s="164"/>
      <c r="AT29" s="164"/>
      <c r="AU29" s="164"/>
      <c r="AV29" s="164"/>
      <c r="AW29" s="164"/>
      <c r="AX29" s="164"/>
      <c r="AY29" s="164"/>
      <c r="AZ29" s="164"/>
      <c r="BA29" s="164"/>
      <c r="BB29" s="164"/>
      <c r="BC29" s="164"/>
      <c r="BD29" s="164"/>
      <c r="BE29" s="164"/>
      <c r="BF29" s="164"/>
      <c r="BG29" s="164"/>
      <c r="BH29" s="164"/>
      <c r="BI29" s="164"/>
      <c r="BJ29" s="164"/>
      <c r="BK29" s="164"/>
      <c r="BL29" s="164"/>
      <c r="BM29" s="164"/>
      <c r="BN29" s="164"/>
      <c r="BO29" s="164"/>
      <c r="BP29" s="165"/>
    </row>
    <row r="30" spans="1:68" s="43" customFormat="1" ht="30.75" customHeight="1">
      <c r="A30" s="160">
        <f t="shared" si="0"/>
        <v>22</v>
      </c>
      <c r="B30" s="161"/>
      <c r="C30" s="162"/>
      <c r="D30" s="157" t="s">
        <v>1259</v>
      </c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9"/>
      <c r="AA30" s="160" t="s">
        <v>429</v>
      </c>
      <c r="AB30" s="161"/>
      <c r="AC30" s="161"/>
      <c r="AD30" s="161"/>
      <c r="AE30" s="162"/>
      <c r="AF30" s="160">
        <v>15</v>
      </c>
      <c r="AG30" s="161"/>
      <c r="AH30" s="162"/>
      <c r="AI30" s="156"/>
      <c r="AJ30" s="156"/>
      <c r="AK30" s="156"/>
      <c r="AL30" s="163"/>
      <c r="AM30" s="164"/>
      <c r="AN30" s="164"/>
      <c r="AO30" s="164"/>
      <c r="AP30" s="164"/>
      <c r="AQ30" s="164"/>
      <c r="AR30" s="164"/>
      <c r="AS30" s="164"/>
      <c r="AT30" s="164"/>
      <c r="AU30" s="164"/>
      <c r="AV30" s="164"/>
      <c r="AW30" s="164"/>
      <c r="AX30" s="164"/>
      <c r="AY30" s="164"/>
      <c r="AZ30" s="164"/>
      <c r="BA30" s="164"/>
      <c r="BB30" s="164"/>
      <c r="BC30" s="164"/>
      <c r="BD30" s="164"/>
      <c r="BE30" s="164"/>
      <c r="BF30" s="164"/>
      <c r="BG30" s="164"/>
      <c r="BH30" s="164"/>
      <c r="BI30" s="164"/>
      <c r="BJ30" s="164"/>
      <c r="BK30" s="164"/>
      <c r="BL30" s="164"/>
      <c r="BM30" s="164"/>
      <c r="BN30" s="164"/>
      <c r="BO30" s="164"/>
      <c r="BP30" s="165"/>
    </row>
    <row r="31" spans="1:68" s="43" customFormat="1" ht="30.75" customHeight="1">
      <c r="A31" s="160">
        <f t="shared" si="0"/>
        <v>23</v>
      </c>
      <c r="B31" s="161"/>
      <c r="C31" s="162"/>
      <c r="D31" s="157" t="s">
        <v>1260</v>
      </c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9"/>
      <c r="AA31" s="160" t="s">
        <v>429</v>
      </c>
      <c r="AB31" s="161"/>
      <c r="AC31" s="161"/>
      <c r="AD31" s="161"/>
      <c r="AE31" s="162"/>
      <c r="AF31" s="160">
        <v>15</v>
      </c>
      <c r="AG31" s="161"/>
      <c r="AH31" s="162"/>
      <c r="AI31" s="156"/>
      <c r="AJ31" s="156"/>
      <c r="AK31" s="156"/>
      <c r="AL31" s="163"/>
      <c r="AM31" s="164"/>
      <c r="AN31" s="164"/>
      <c r="AO31" s="164"/>
      <c r="AP31" s="164"/>
      <c r="AQ31" s="164"/>
      <c r="AR31" s="164"/>
      <c r="AS31" s="164"/>
      <c r="AT31" s="164"/>
      <c r="AU31" s="164"/>
      <c r="AV31" s="164"/>
      <c r="AW31" s="164"/>
      <c r="AX31" s="164"/>
      <c r="AY31" s="164"/>
      <c r="AZ31" s="164"/>
      <c r="BA31" s="164"/>
      <c r="BB31" s="164"/>
      <c r="BC31" s="164"/>
      <c r="BD31" s="164"/>
      <c r="BE31" s="164"/>
      <c r="BF31" s="164"/>
      <c r="BG31" s="164"/>
      <c r="BH31" s="164"/>
      <c r="BI31" s="164"/>
      <c r="BJ31" s="164"/>
      <c r="BK31" s="164"/>
      <c r="BL31" s="164"/>
      <c r="BM31" s="164"/>
      <c r="BN31" s="164"/>
      <c r="BO31" s="164"/>
      <c r="BP31" s="165"/>
    </row>
    <row r="32" spans="1:68" s="43" customFormat="1" ht="30.75" customHeight="1">
      <c r="A32" s="160">
        <f t="shared" si="0"/>
        <v>24</v>
      </c>
      <c r="B32" s="161"/>
      <c r="C32" s="162"/>
      <c r="D32" s="157" t="s">
        <v>1261</v>
      </c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9"/>
      <c r="AA32" s="160" t="s">
        <v>427</v>
      </c>
      <c r="AB32" s="161"/>
      <c r="AC32" s="161"/>
      <c r="AD32" s="161"/>
      <c r="AE32" s="162"/>
      <c r="AF32" s="160"/>
      <c r="AG32" s="161"/>
      <c r="AH32" s="162"/>
      <c r="AI32" s="156"/>
      <c r="AJ32" s="156"/>
      <c r="AK32" s="156"/>
      <c r="AL32" s="163"/>
      <c r="AM32" s="164"/>
      <c r="AN32" s="164"/>
      <c r="AO32" s="164"/>
      <c r="AP32" s="164"/>
      <c r="AQ32" s="164"/>
      <c r="AR32" s="164"/>
      <c r="AS32" s="164"/>
      <c r="AT32" s="164"/>
      <c r="AU32" s="164"/>
      <c r="AV32" s="164"/>
      <c r="AW32" s="164"/>
      <c r="AX32" s="164"/>
      <c r="AY32" s="164"/>
      <c r="AZ32" s="164"/>
      <c r="BA32" s="164"/>
      <c r="BB32" s="164"/>
      <c r="BC32" s="164"/>
      <c r="BD32" s="164"/>
      <c r="BE32" s="164"/>
      <c r="BF32" s="164"/>
      <c r="BG32" s="164"/>
      <c r="BH32" s="164"/>
      <c r="BI32" s="164"/>
      <c r="BJ32" s="164"/>
      <c r="BK32" s="164"/>
      <c r="BL32" s="164"/>
      <c r="BM32" s="164"/>
      <c r="BN32" s="164"/>
      <c r="BO32" s="164"/>
      <c r="BP32" s="165"/>
    </row>
    <row r="33" spans="1:68" s="43" customFormat="1" ht="30.75" customHeight="1">
      <c r="A33" s="160">
        <f t="shared" si="0"/>
        <v>25</v>
      </c>
      <c r="B33" s="161"/>
      <c r="C33" s="162"/>
      <c r="D33" s="157" t="s">
        <v>1248</v>
      </c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9"/>
      <c r="AA33" s="160" t="s">
        <v>428</v>
      </c>
      <c r="AB33" s="161"/>
      <c r="AC33" s="161"/>
      <c r="AD33" s="161"/>
      <c r="AE33" s="162"/>
      <c r="AF33" s="160">
        <v>78</v>
      </c>
      <c r="AG33" s="161"/>
      <c r="AH33" s="162"/>
      <c r="AI33" s="156"/>
      <c r="AJ33" s="156"/>
      <c r="AK33" s="156"/>
      <c r="AL33" s="163"/>
      <c r="AM33" s="164"/>
      <c r="AN33" s="164"/>
      <c r="AO33" s="164"/>
      <c r="AP33" s="164"/>
      <c r="AQ33" s="164"/>
      <c r="AR33" s="164"/>
      <c r="AS33" s="164"/>
      <c r="AT33" s="164"/>
      <c r="AU33" s="164"/>
      <c r="AV33" s="164"/>
      <c r="AW33" s="164"/>
      <c r="AX33" s="164"/>
      <c r="AY33" s="164"/>
      <c r="AZ33" s="164"/>
      <c r="BA33" s="164"/>
      <c r="BB33" s="164"/>
      <c r="BC33" s="164"/>
      <c r="BD33" s="164"/>
      <c r="BE33" s="164"/>
      <c r="BF33" s="164"/>
      <c r="BG33" s="164"/>
      <c r="BH33" s="164"/>
      <c r="BI33" s="164"/>
      <c r="BJ33" s="164"/>
      <c r="BK33" s="164"/>
      <c r="BL33" s="164"/>
      <c r="BM33" s="164"/>
      <c r="BN33" s="164"/>
      <c r="BO33" s="164"/>
      <c r="BP33" s="165"/>
    </row>
    <row r="34" spans="1:68" s="43" customFormat="1" ht="30.75" customHeight="1">
      <c r="A34" s="160">
        <f t="shared" si="0"/>
        <v>26</v>
      </c>
      <c r="B34" s="161"/>
      <c r="C34" s="162"/>
      <c r="D34" s="157" t="s">
        <v>1249</v>
      </c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9"/>
      <c r="AA34" s="160" t="s">
        <v>428</v>
      </c>
      <c r="AB34" s="161"/>
      <c r="AC34" s="161"/>
      <c r="AD34" s="161"/>
      <c r="AE34" s="162"/>
      <c r="AF34" s="160">
        <v>8</v>
      </c>
      <c r="AG34" s="161"/>
      <c r="AH34" s="162"/>
      <c r="AI34" s="156"/>
      <c r="AJ34" s="156"/>
      <c r="AK34" s="156"/>
      <c r="AL34" s="163"/>
      <c r="AM34" s="164"/>
      <c r="AN34" s="164"/>
      <c r="AO34" s="164"/>
      <c r="AP34" s="164"/>
      <c r="AQ34" s="164"/>
      <c r="AR34" s="164"/>
      <c r="AS34" s="164"/>
      <c r="AT34" s="164"/>
      <c r="AU34" s="164"/>
      <c r="AV34" s="164"/>
      <c r="AW34" s="164"/>
      <c r="AX34" s="164"/>
      <c r="AY34" s="164"/>
      <c r="AZ34" s="164"/>
      <c r="BA34" s="164"/>
      <c r="BB34" s="164"/>
      <c r="BC34" s="164"/>
      <c r="BD34" s="164"/>
      <c r="BE34" s="164"/>
      <c r="BF34" s="164"/>
      <c r="BG34" s="164"/>
      <c r="BH34" s="164"/>
      <c r="BI34" s="164"/>
      <c r="BJ34" s="164"/>
      <c r="BK34" s="164"/>
      <c r="BL34" s="164"/>
      <c r="BM34" s="164"/>
      <c r="BN34" s="164"/>
      <c r="BO34" s="164"/>
      <c r="BP34" s="165"/>
    </row>
    <row r="35" spans="1:68" s="43" customFormat="1" ht="30.75" customHeight="1">
      <c r="A35" s="160">
        <f t="shared" si="0"/>
        <v>27</v>
      </c>
      <c r="B35" s="161"/>
      <c r="C35" s="162"/>
      <c r="D35" s="157" t="s">
        <v>1262</v>
      </c>
      <c r="E35" s="158"/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9"/>
      <c r="AA35" s="160" t="s">
        <v>428</v>
      </c>
      <c r="AB35" s="161"/>
      <c r="AC35" s="161"/>
      <c r="AD35" s="161"/>
      <c r="AE35" s="162"/>
      <c r="AF35" s="160">
        <v>60</v>
      </c>
      <c r="AG35" s="161"/>
      <c r="AH35" s="162"/>
      <c r="AI35" s="156"/>
      <c r="AJ35" s="156"/>
      <c r="AK35" s="156"/>
      <c r="AL35" s="163"/>
      <c r="AM35" s="164"/>
      <c r="AN35" s="164"/>
      <c r="AO35" s="164"/>
      <c r="AP35" s="164"/>
      <c r="AQ35" s="164"/>
      <c r="AR35" s="164"/>
      <c r="AS35" s="164"/>
      <c r="AT35" s="164"/>
      <c r="AU35" s="164"/>
      <c r="AV35" s="164"/>
      <c r="AW35" s="164"/>
      <c r="AX35" s="164"/>
      <c r="AY35" s="164"/>
      <c r="AZ35" s="164"/>
      <c r="BA35" s="164"/>
      <c r="BB35" s="164"/>
      <c r="BC35" s="164"/>
      <c r="BD35" s="164"/>
      <c r="BE35" s="164"/>
      <c r="BF35" s="164"/>
      <c r="BG35" s="164"/>
      <c r="BH35" s="164"/>
      <c r="BI35" s="164"/>
      <c r="BJ35" s="164"/>
      <c r="BK35" s="164"/>
      <c r="BL35" s="164"/>
      <c r="BM35" s="164"/>
      <c r="BN35" s="164"/>
      <c r="BO35" s="164"/>
      <c r="BP35" s="165"/>
    </row>
    <row r="36" spans="1:68" s="43" customFormat="1" ht="30.75" customHeight="1">
      <c r="A36" s="160">
        <f t="shared" si="0"/>
        <v>28</v>
      </c>
      <c r="B36" s="161"/>
      <c r="C36" s="162"/>
      <c r="D36" s="157" t="s">
        <v>1263</v>
      </c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9"/>
      <c r="AA36" s="160" t="s">
        <v>429</v>
      </c>
      <c r="AB36" s="161"/>
      <c r="AC36" s="161"/>
      <c r="AD36" s="161"/>
      <c r="AE36" s="162"/>
      <c r="AF36" s="160">
        <v>15</v>
      </c>
      <c r="AG36" s="161"/>
      <c r="AH36" s="162"/>
      <c r="AI36" s="156"/>
      <c r="AJ36" s="156"/>
      <c r="AK36" s="156"/>
      <c r="AL36" s="163"/>
      <c r="AM36" s="164"/>
      <c r="AN36" s="164"/>
      <c r="AO36" s="164"/>
      <c r="AP36" s="164"/>
      <c r="AQ36" s="164"/>
      <c r="AR36" s="164"/>
      <c r="AS36" s="164"/>
      <c r="AT36" s="164"/>
      <c r="AU36" s="164"/>
      <c r="AV36" s="164"/>
      <c r="AW36" s="164"/>
      <c r="AX36" s="164"/>
      <c r="AY36" s="164"/>
      <c r="AZ36" s="164"/>
      <c r="BA36" s="164"/>
      <c r="BB36" s="164"/>
      <c r="BC36" s="164"/>
      <c r="BD36" s="164"/>
      <c r="BE36" s="164"/>
      <c r="BF36" s="164"/>
      <c r="BG36" s="164"/>
      <c r="BH36" s="164"/>
      <c r="BI36" s="164"/>
      <c r="BJ36" s="164"/>
      <c r="BK36" s="164"/>
      <c r="BL36" s="164"/>
      <c r="BM36" s="164"/>
      <c r="BN36" s="164"/>
      <c r="BO36" s="164"/>
      <c r="BP36" s="165"/>
    </row>
    <row r="37" spans="1:68" s="43" customFormat="1" ht="30.75" customHeight="1">
      <c r="A37" s="160">
        <f t="shared" si="0"/>
        <v>29</v>
      </c>
      <c r="B37" s="161"/>
      <c r="C37" s="162"/>
      <c r="D37" s="157" t="s">
        <v>1264</v>
      </c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9"/>
      <c r="AA37" s="160" t="s">
        <v>429</v>
      </c>
      <c r="AB37" s="161"/>
      <c r="AC37" s="161"/>
      <c r="AD37" s="161"/>
      <c r="AE37" s="162"/>
      <c r="AF37" s="160">
        <v>15</v>
      </c>
      <c r="AG37" s="161"/>
      <c r="AH37" s="162"/>
      <c r="AI37" s="160"/>
      <c r="AJ37" s="161"/>
      <c r="AK37" s="162"/>
      <c r="AL37" s="163"/>
      <c r="AM37" s="164"/>
      <c r="AN37" s="164"/>
      <c r="AO37" s="164"/>
      <c r="AP37" s="164"/>
      <c r="AQ37" s="164"/>
      <c r="AR37" s="164"/>
      <c r="AS37" s="164"/>
      <c r="AT37" s="164"/>
      <c r="AU37" s="164"/>
      <c r="AV37" s="164"/>
      <c r="AW37" s="164"/>
      <c r="AX37" s="164"/>
      <c r="AY37" s="164"/>
      <c r="AZ37" s="164"/>
      <c r="BA37" s="164"/>
      <c r="BB37" s="164"/>
      <c r="BC37" s="164"/>
      <c r="BD37" s="164"/>
      <c r="BE37" s="164"/>
      <c r="BF37" s="164"/>
      <c r="BG37" s="164"/>
      <c r="BH37" s="164"/>
      <c r="BI37" s="164"/>
      <c r="BJ37" s="164"/>
      <c r="BK37" s="164"/>
      <c r="BL37" s="164"/>
      <c r="BM37" s="164"/>
      <c r="BN37" s="164"/>
      <c r="BO37" s="164"/>
      <c r="BP37" s="165"/>
    </row>
    <row r="38" spans="1:68" s="43" customFormat="1" ht="30.75" customHeight="1">
      <c r="A38" s="160">
        <f t="shared" si="0"/>
        <v>30</v>
      </c>
      <c r="B38" s="161"/>
      <c r="C38" s="162"/>
      <c r="D38" s="157" t="s">
        <v>1265</v>
      </c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9"/>
      <c r="AA38" s="160" t="s">
        <v>429</v>
      </c>
      <c r="AB38" s="161"/>
      <c r="AC38" s="161"/>
      <c r="AD38" s="161"/>
      <c r="AE38" s="162"/>
      <c r="AF38" s="160">
        <v>15</v>
      </c>
      <c r="AG38" s="161"/>
      <c r="AH38" s="162"/>
      <c r="AI38" s="156"/>
      <c r="AJ38" s="156"/>
      <c r="AK38" s="156"/>
      <c r="AL38" s="163"/>
      <c r="AM38" s="164"/>
      <c r="AN38" s="164"/>
      <c r="AO38" s="164"/>
      <c r="AP38" s="164"/>
      <c r="AQ38" s="164"/>
      <c r="AR38" s="164"/>
      <c r="AS38" s="164"/>
      <c r="AT38" s="164"/>
      <c r="AU38" s="164"/>
      <c r="AV38" s="164"/>
      <c r="AW38" s="164"/>
      <c r="AX38" s="164"/>
      <c r="AY38" s="164"/>
      <c r="AZ38" s="164"/>
      <c r="BA38" s="164"/>
      <c r="BB38" s="164"/>
      <c r="BC38" s="164"/>
      <c r="BD38" s="164"/>
      <c r="BE38" s="164"/>
      <c r="BF38" s="164"/>
      <c r="BG38" s="164"/>
      <c r="BH38" s="164"/>
      <c r="BI38" s="164"/>
      <c r="BJ38" s="164"/>
      <c r="BK38" s="164"/>
      <c r="BL38" s="164"/>
      <c r="BM38" s="164"/>
      <c r="BN38" s="164"/>
      <c r="BO38" s="164"/>
      <c r="BP38" s="165"/>
    </row>
    <row r="39" spans="1:68" s="43" customFormat="1" ht="30.75" customHeight="1">
      <c r="A39" s="160">
        <f t="shared" si="0"/>
        <v>31</v>
      </c>
      <c r="B39" s="161"/>
      <c r="C39" s="162"/>
      <c r="D39" s="157" t="s">
        <v>1258</v>
      </c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/>
      <c r="Z39" s="159"/>
      <c r="AA39" s="160" t="s">
        <v>429</v>
      </c>
      <c r="AB39" s="161"/>
      <c r="AC39" s="161"/>
      <c r="AD39" s="161"/>
      <c r="AE39" s="162"/>
      <c r="AF39" s="160">
        <v>15</v>
      </c>
      <c r="AG39" s="161"/>
      <c r="AH39" s="162"/>
      <c r="AI39" s="156"/>
      <c r="AJ39" s="156"/>
      <c r="AK39" s="156"/>
      <c r="AL39" s="163"/>
      <c r="AM39" s="164"/>
      <c r="AN39" s="164"/>
      <c r="AO39" s="164"/>
      <c r="AP39" s="164"/>
      <c r="AQ39" s="164"/>
      <c r="AR39" s="164"/>
      <c r="AS39" s="164"/>
      <c r="AT39" s="164"/>
      <c r="AU39" s="164"/>
      <c r="AV39" s="164"/>
      <c r="AW39" s="164"/>
      <c r="AX39" s="164"/>
      <c r="AY39" s="164"/>
      <c r="AZ39" s="164"/>
      <c r="BA39" s="164"/>
      <c r="BB39" s="164"/>
      <c r="BC39" s="164"/>
      <c r="BD39" s="164"/>
      <c r="BE39" s="164"/>
      <c r="BF39" s="164"/>
      <c r="BG39" s="164"/>
      <c r="BH39" s="164"/>
      <c r="BI39" s="164"/>
      <c r="BJ39" s="164"/>
      <c r="BK39" s="164"/>
      <c r="BL39" s="164"/>
      <c r="BM39" s="164"/>
      <c r="BN39" s="164"/>
      <c r="BO39" s="164"/>
      <c r="BP39" s="165"/>
    </row>
    <row r="40" spans="1:68" s="43" customFormat="1" ht="30.75" customHeight="1">
      <c r="A40" s="160">
        <f t="shared" si="0"/>
        <v>32</v>
      </c>
      <c r="B40" s="161"/>
      <c r="C40" s="162"/>
      <c r="D40" s="157" t="s">
        <v>1259</v>
      </c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58"/>
      <c r="Z40" s="159"/>
      <c r="AA40" s="160" t="s">
        <v>429</v>
      </c>
      <c r="AB40" s="161"/>
      <c r="AC40" s="161"/>
      <c r="AD40" s="161"/>
      <c r="AE40" s="162"/>
      <c r="AF40" s="160">
        <v>15</v>
      </c>
      <c r="AG40" s="161"/>
      <c r="AH40" s="162"/>
      <c r="AI40" s="156"/>
      <c r="AJ40" s="156"/>
      <c r="AK40" s="156"/>
      <c r="AL40" s="163"/>
      <c r="AM40" s="164"/>
      <c r="AN40" s="164"/>
      <c r="AO40" s="164"/>
      <c r="AP40" s="164"/>
      <c r="AQ40" s="164"/>
      <c r="AR40" s="164"/>
      <c r="AS40" s="164"/>
      <c r="AT40" s="164"/>
      <c r="AU40" s="164"/>
      <c r="AV40" s="164"/>
      <c r="AW40" s="164"/>
      <c r="AX40" s="164"/>
      <c r="AY40" s="164"/>
      <c r="AZ40" s="164"/>
      <c r="BA40" s="164"/>
      <c r="BB40" s="164"/>
      <c r="BC40" s="164"/>
      <c r="BD40" s="164"/>
      <c r="BE40" s="164"/>
      <c r="BF40" s="164"/>
      <c r="BG40" s="164"/>
      <c r="BH40" s="164"/>
      <c r="BI40" s="164"/>
      <c r="BJ40" s="164"/>
      <c r="BK40" s="164"/>
      <c r="BL40" s="164"/>
      <c r="BM40" s="164"/>
      <c r="BN40" s="164"/>
      <c r="BO40" s="164"/>
      <c r="BP40" s="165"/>
    </row>
    <row r="41" spans="1:68" s="43" customFormat="1" ht="30.75" customHeight="1">
      <c r="A41" s="160">
        <f t="shared" si="0"/>
        <v>33</v>
      </c>
      <c r="B41" s="161"/>
      <c r="C41" s="162"/>
      <c r="D41" s="157" t="s">
        <v>1260</v>
      </c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9"/>
      <c r="AA41" s="160" t="s">
        <v>429</v>
      </c>
      <c r="AB41" s="161"/>
      <c r="AC41" s="161"/>
      <c r="AD41" s="161"/>
      <c r="AE41" s="162"/>
      <c r="AF41" s="160">
        <v>15</v>
      </c>
      <c r="AG41" s="161"/>
      <c r="AH41" s="162"/>
      <c r="AI41" s="160"/>
      <c r="AJ41" s="161"/>
      <c r="AK41" s="162"/>
      <c r="AL41" s="163"/>
      <c r="AM41" s="164"/>
      <c r="AN41" s="164"/>
      <c r="AO41" s="164"/>
      <c r="AP41" s="164"/>
      <c r="AQ41" s="164"/>
      <c r="AR41" s="164"/>
      <c r="AS41" s="164"/>
      <c r="AT41" s="164"/>
      <c r="AU41" s="164"/>
      <c r="AV41" s="164"/>
      <c r="AW41" s="164"/>
      <c r="AX41" s="164"/>
      <c r="AY41" s="164"/>
      <c r="AZ41" s="164"/>
      <c r="BA41" s="164"/>
      <c r="BB41" s="164"/>
      <c r="BC41" s="164"/>
      <c r="BD41" s="164"/>
      <c r="BE41" s="164"/>
      <c r="BF41" s="164"/>
      <c r="BG41" s="164"/>
      <c r="BH41" s="164"/>
      <c r="BI41" s="164"/>
      <c r="BJ41" s="164"/>
      <c r="BK41" s="164"/>
      <c r="BL41" s="164"/>
      <c r="BM41" s="164"/>
      <c r="BN41" s="164"/>
      <c r="BO41" s="164"/>
      <c r="BP41" s="165"/>
    </row>
    <row r="42" spans="1:68" s="43" customFormat="1" ht="30.75" customHeight="1">
      <c r="A42" s="160">
        <f t="shared" si="0"/>
        <v>34</v>
      </c>
      <c r="B42" s="161"/>
      <c r="C42" s="162"/>
      <c r="D42" s="157" t="s">
        <v>1266</v>
      </c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59"/>
      <c r="AA42" s="160" t="s">
        <v>429</v>
      </c>
      <c r="AB42" s="161"/>
      <c r="AC42" s="161"/>
      <c r="AD42" s="161"/>
      <c r="AE42" s="162"/>
      <c r="AF42" s="160">
        <v>15</v>
      </c>
      <c r="AG42" s="161"/>
      <c r="AH42" s="162"/>
      <c r="AI42" s="160"/>
      <c r="AJ42" s="161"/>
      <c r="AK42" s="162"/>
      <c r="AL42" s="163"/>
      <c r="AM42" s="164"/>
      <c r="AN42" s="164"/>
      <c r="AO42" s="164"/>
      <c r="AP42" s="164"/>
      <c r="AQ42" s="164"/>
      <c r="AR42" s="164"/>
      <c r="AS42" s="164"/>
      <c r="AT42" s="164"/>
      <c r="AU42" s="164"/>
      <c r="AV42" s="164"/>
      <c r="AW42" s="164"/>
      <c r="AX42" s="164"/>
      <c r="AY42" s="164"/>
      <c r="AZ42" s="164"/>
      <c r="BA42" s="164"/>
      <c r="BB42" s="164"/>
      <c r="BC42" s="164"/>
      <c r="BD42" s="164"/>
      <c r="BE42" s="164"/>
      <c r="BF42" s="164"/>
      <c r="BG42" s="164"/>
      <c r="BH42" s="164"/>
      <c r="BI42" s="164"/>
      <c r="BJ42" s="164"/>
      <c r="BK42" s="164"/>
      <c r="BL42" s="164"/>
      <c r="BM42" s="164"/>
      <c r="BN42" s="164"/>
      <c r="BO42" s="164"/>
      <c r="BP42" s="165"/>
    </row>
    <row r="43" spans="1:68" s="43" customFormat="1" ht="30.75" customHeight="1">
      <c r="A43" s="160">
        <f t="shared" si="0"/>
        <v>35</v>
      </c>
      <c r="B43" s="161"/>
      <c r="C43" s="162"/>
      <c r="D43" s="157" t="s">
        <v>1267</v>
      </c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58"/>
      <c r="Z43" s="159"/>
      <c r="AA43" s="160" t="s">
        <v>429</v>
      </c>
      <c r="AB43" s="161"/>
      <c r="AC43" s="161"/>
      <c r="AD43" s="161"/>
      <c r="AE43" s="162"/>
      <c r="AF43" s="160">
        <v>15</v>
      </c>
      <c r="AG43" s="161"/>
      <c r="AH43" s="162"/>
      <c r="AI43" s="160"/>
      <c r="AJ43" s="161"/>
      <c r="AK43" s="162"/>
      <c r="AL43" s="153"/>
      <c r="AM43" s="154"/>
      <c r="AN43" s="154"/>
      <c r="AO43" s="154"/>
      <c r="AP43" s="154"/>
      <c r="AQ43" s="154"/>
      <c r="AR43" s="154"/>
      <c r="AS43" s="154"/>
      <c r="AT43" s="154"/>
      <c r="AU43" s="154"/>
      <c r="AV43" s="154"/>
      <c r="AW43" s="154"/>
      <c r="AX43" s="154"/>
      <c r="AY43" s="154"/>
      <c r="AZ43" s="154"/>
      <c r="BA43" s="154"/>
      <c r="BB43" s="154"/>
      <c r="BC43" s="154"/>
      <c r="BD43" s="154"/>
      <c r="BE43" s="154"/>
      <c r="BF43" s="154"/>
      <c r="BG43" s="154"/>
      <c r="BH43" s="154"/>
      <c r="BI43" s="154"/>
      <c r="BJ43" s="154"/>
      <c r="BK43" s="154"/>
      <c r="BL43" s="154"/>
      <c r="BM43" s="154"/>
      <c r="BN43" s="154"/>
      <c r="BO43" s="154"/>
      <c r="BP43" s="155"/>
    </row>
    <row r="44" spans="1:68" s="43" customFormat="1" ht="30.75" customHeight="1">
      <c r="A44" s="149">
        <f t="shared" si="0"/>
        <v>36</v>
      </c>
      <c r="B44" s="150"/>
      <c r="C44" s="151"/>
      <c r="D44" s="157" t="s">
        <v>1268</v>
      </c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9"/>
      <c r="AA44" s="160" t="s">
        <v>429</v>
      </c>
      <c r="AB44" s="161"/>
      <c r="AC44" s="161"/>
      <c r="AD44" s="161"/>
      <c r="AE44" s="162"/>
      <c r="AF44" s="160">
        <v>15</v>
      </c>
      <c r="AG44" s="161"/>
      <c r="AH44" s="162"/>
      <c r="AI44" s="149"/>
      <c r="AJ44" s="150"/>
      <c r="AK44" s="151"/>
      <c r="AL44" s="153"/>
      <c r="AM44" s="154"/>
      <c r="AN44" s="154"/>
      <c r="AO44" s="154"/>
      <c r="AP44" s="154"/>
      <c r="AQ44" s="154"/>
      <c r="AR44" s="154"/>
      <c r="AS44" s="154"/>
      <c r="AT44" s="154"/>
      <c r="AU44" s="154"/>
      <c r="AV44" s="154"/>
      <c r="AW44" s="154"/>
      <c r="AX44" s="154"/>
      <c r="AY44" s="154"/>
      <c r="AZ44" s="154"/>
      <c r="BA44" s="154"/>
      <c r="BB44" s="154"/>
      <c r="BC44" s="154"/>
      <c r="BD44" s="154"/>
      <c r="BE44" s="154"/>
      <c r="BF44" s="154"/>
      <c r="BG44" s="154"/>
      <c r="BH44" s="154"/>
      <c r="BI44" s="154"/>
      <c r="BJ44" s="154"/>
      <c r="BK44" s="154"/>
      <c r="BL44" s="154"/>
      <c r="BM44" s="154"/>
      <c r="BN44" s="154"/>
      <c r="BO44" s="154"/>
      <c r="BP44" s="155"/>
    </row>
    <row r="45" spans="1:68" s="43" customFormat="1" ht="30.75" customHeight="1">
      <c r="A45" s="160">
        <f t="shared" si="0"/>
        <v>37</v>
      </c>
      <c r="B45" s="161"/>
      <c r="C45" s="162"/>
      <c r="D45" s="157" t="s">
        <v>1269</v>
      </c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9"/>
      <c r="AA45" s="160" t="s">
        <v>427</v>
      </c>
      <c r="AB45" s="161"/>
      <c r="AC45" s="161"/>
      <c r="AD45" s="161"/>
      <c r="AE45" s="162"/>
      <c r="AF45" s="160"/>
      <c r="AG45" s="161"/>
      <c r="AH45" s="162"/>
      <c r="AI45" s="156"/>
      <c r="AJ45" s="156"/>
      <c r="AK45" s="156"/>
      <c r="AL45" s="163"/>
      <c r="AM45" s="164"/>
      <c r="AN45" s="164"/>
      <c r="AO45" s="164"/>
      <c r="AP45" s="164"/>
      <c r="AQ45" s="164"/>
      <c r="AR45" s="164"/>
      <c r="AS45" s="164"/>
      <c r="AT45" s="164"/>
      <c r="AU45" s="164"/>
      <c r="AV45" s="164"/>
      <c r="AW45" s="164"/>
      <c r="AX45" s="164"/>
      <c r="AY45" s="164"/>
      <c r="AZ45" s="164"/>
      <c r="BA45" s="164"/>
      <c r="BB45" s="164"/>
      <c r="BC45" s="164"/>
      <c r="BD45" s="164"/>
      <c r="BE45" s="164"/>
      <c r="BF45" s="164"/>
      <c r="BG45" s="164"/>
      <c r="BH45" s="164"/>
      <c r="BI45" s="164"/>
      <c r="BJ45" s="164"/>
      <c r="BK45" s="164"/>
      <c r="BL45" s="164"/>
      <c r="BM45" s="164"/>
      <c r="BN45" s="164"/>
      <c r="BO45" s="164"/>
      <c r="BP45" s="165"/>
    </row>
    <row r="46" spans="1:68" s="43" customFormat="1" ht="30.75" customHeight="1">
      <c r="A46" s="160">
        <f t="shared" si="0"/>
        <v>38</v>
      </c>
      <c r="B46" s="161"/>
      <c r="C46" s="162"/>
      <c r="D46" s="157" t="s">
        <v>1270</v>
      </c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9"/>
      <c r="AA46" s="160" t="s">
        <v>429</v>
      </c>
      <c r="AB46" s="161"/>
      <c r="AC46" s="161"/>
      <c r="AD46" s="161"/>
      <c r="AE46" s="162"/>
      <c r="AF46" s="160">
        <v>15</v>
      </c>
      <c r="AG46" s="161"/>
      <c r="AH46" s="162"/>
      <c r="AI46" s="233"/>
      <c r="AJ46" s="233"/>
      <c r="AK46" s="233"/>
      <c r="AL46" s="163"/>
      <c r="AM46" s="164"/>
      <c r="AN46" s="164"/>
      <c r="AO46" s="164"/>
      <c r="AP46" s="164"/>
      <c r="AQ46" s="164"/>
      <c r="AR46" s="164"/>
      <c r="AS46" s="164"/>
      <c r="AT46" s="164"/>
      <c r="AU46" s="164"/>
      <c r="AV46" s="164"/>
      <c r="AW46" s="164"/>
      <c r="AX46" s="164"/>
      <c r="AY46" s="164"/>
      <c r="AZ46" s="164"/>
      <c r="BA46" s="164"/>
      <c r="BB46" s="164"/>
      <c r="BC46" s="164"/>
      <c r="BD46" s="164"/>
      <c r="BE46" s="164"/>
      <c r="BF46" s="164"/>
      <c r="BG46" s="164"/>
      <c r="BH46" s="164"/>
      <c r="BI46" s="164"/>
      <c r="BJ46" s="164"/>
      <c r="BK46" s="164"/>
      <c r="BL46" s="164"/>
      <c r="BM46" s="164"/>
      <c r="BN46" s="164"/>
      <c r="BO46" s="164"/>
      <c r="BP46" s="165"/>
    </row>
    <row r="47" spans="1:68" s="43" customFormat="1" ht="30.75" customHeight="1">
      <c r="A47" s="160">
        <f t="shared" si="0"/>
        <v>39</v>
      </c>
      <c r="B47" s="161"/>
      <c r="C47" s="162"/>
      <c r="D47" s="157" t="s">
        <v>1271</v>
      </c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9"/>
      <c r="AA47" s="160" t="s">
        <v>429</v>
      </c>
      <c r="AB47" s="161"/>
      <c r="AC47" s="161"/>
      <c r="AD47" s="161"/>
      <c r="AE47" s="162"/>
      <c r="AF47" s="160">
        <v>15</v>
      </c>
      <c r="AG47" s="161"/>
      <c r="AH47" s="162"/>
      <c r="AI47" s="156"/>
      <c r="AJ47" s="156"/>
      <c r="AK47" s="156"/>
      <c r="AL47" s="163"/>
      <c r="AM47" s="164"/>
      <c r="AN47" s="164"/>
      <c r="AO47" s="164"/>
      <c r="AP47" s="164"/>
      <c r="AQ47" s="164"/>
      <c r="AR47" s="164"/>
      <c r="AS47" s="164"/>
      <c r="AT47" s="164"/>
      <c r="AU47" s="164"/>
      <c r="AV47" s="164"/>
      <c r="AW47" s="164"/>
      <c r="AX47" s="164"/>
      <c r="AY47" s="164"/>
      <c r="AZ47" s="164"/>
      <c r="BA47" s="164"/>
      <c r="BB47" s="164"/>
      <c r="BC47" s="164"/>
      <c r="BD47" s="164"/>
      <c r="BE47" s="164"/>
      <c r="BF47" s="164"/>
      <c r="BG47" s="164"/>
      <c r="BH47" s="164"/>
      <c r="BI47" s="164"/>
      <c r="BJ47" s="164"/>
      <c r="BK47" s="164"/>
      <c r="BL47" s="164"/>
      <c r="BM47" s="164"/>
      <c r="BN47" s="164"/>
      <c r="BO47" s="164"/>
      <c r="BP47" s="165"/>
    </row>
    <row r="48" spans="1:68" s="43" customFormat="1" ht="30.75" customHeight="1">
      <c r="A48" s="160">
        <f t="shared" si="0"/>
        <v>40</v>
      </c>
      <c r="B48" s="161"/>
      <c r="C48" s="162"/>
      <c r="D48" s="157" t="s">
        <v>1272</v>
      </c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9"/>
      <c r="AA48" s="160" t="s">
        <v>429</v>
      </c>
      <c r="AB48" s="161"/>
      <c r="AC48" s="161"/>
      <c r="AD48" s="161"/>
      <c r="AE48" s="162"/>
      <c r="AF48" s="160">
        <v>15</v>
      </c>
      <c r="AG48" s="161"/>
      <c r="AH48" s="162"/>
      <c r="AI48" s="156"/>
      <c r="AJ48" s="156"/>
      <c r="AK48" s="156"/>
      <c r="AL48" s="163"/>
      <c r="AM48" s="164"/>
      <c r="AN48" s="164"/>
      <c r="AO48" s="164"/>
      <c r="AP48" s="164"/>
      <c r="AQ48" s="164"/>
      <c r="AR48" s="164"/>
      <c r="AS48" s="164"/>
      <c r="AT48" s="164"/>
      <c r="AU48" s="164"/>
      <c r="AV48" s="164"/>
      <c r="AW48" s="164"/>
      <c r="AX48" s="164"/>
      <c r="AY48" s="164"/>
      <c r="AZ48" s="164"/>
      <c r="BA48" s="164"/>
      <c r="BB48" s="164"/>
      <c r="BC48" s="164"/>
      <c r="BD48" s="164"/>
      <c r="BE48" s="164"/>
      <c r="BF48" s="164"/>
      <c r="BG48" s="164"/>
      <c r="BH48" s="164"/>
      <c r="BI48" s="164"/>
      <c r="BJ48" s="164"/>
      <c r="BK48" s="164"/>
      <c r="BL48" s="164"/>
      <c r="BM48" s="164"/>
      <c r="BN48" s="164"/>
      <c r="BO48" s="164"/>
      <c r="BP48" s="165"/>
    </row>
    <row r="49" spans="1:68" s="43" customFormat="1" ht="30.75" customHeight="1">
      <c r="A49" s="160"/>
      <c r="B49" s="161"/>
      <c r="C49" s="162"/>
      <c r="D49" s="157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9"/>
      <c r="AA49" s="160"/>
      <c r="AB49" s="161"/>
      <c r="AC49" s="161"/>
      <c r="AD49" s="161"/>
      <c r="AE49" s="162"/>
      <c r="AF49" s="156"/>
      <c r="AG49" s="156"/>
      <c r="AH49" s="156"/>
      <c r="AI49" s="156"/>
      <c r="AJ49" s="156"/>
      <c r="AK49" s="156"/>
      <c r="AL49" s="163"/>
      <c r="AM49" s="164"/>
      <c r="AN49" s="164"/>
      <c r="AO49" s="164"/>
      <c r="AP49" s="164"/>
      <c r="AQ49" s="164"/>
      <c r="AR49" s="164"/>
      <c r="AS49" s="164"/>
      <c r="AT49" s="164"/>
      <c r="AU49" s="164"/>
      <c r="AV49" s="164"/>
      <c r="AW49" s="164"/>
      <c r="AX49" s="164"/>
      <c r="AY49" s="164"/>
      <c r="AZ49" s="164"/>
      <c r="BA49" s="164"/>
      <c r="BB49" s="164"/>
      <c r="BC49" s="164"/>
      <c r="BD49" s="164"/>
      <c r="BE49" s="164"/>
      <c r="BF49" s="164"/>
      <c r="BG49" s="164"/>
      <c r="BH49" s="164"/>
      <c r="BI49" s="164"/>
      <c r="BJ49" s="164"/>
      <c r="BK49" s="164"/>
      <c r="BL49" s="164"/>
      <c r="BM49" s="164"/>
      <c r="BN49" s="164"/>
      <c r="BO49" s="164"/>
      <c r="BP49" s="165"/>
    </row>
    <row r="50" spans="1:68" s="43" customFormat="1" ht="30.75" customHeight="1">
      <c r="A50" s="149"/>
      <c r="B50" s="150"/>
      <c r="C50" s="151"/>
      <c r="D50" s="146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8"/>
      <c r="AA50" s="149"/>
      <c r="AB50" s="150"/>
      <c r="AC50" s="150"/>
      <c r="AD50" s="150"/>
      <c r="AE50" s="151"/>
      <c r="AF50" s="152"/>
      <c r="AG50" s="152"/>
      <c r="AH50" s="152"/>
      <c r="AI50" s="152"/>
      <c r="AJ50" s="152"/>
      <c r="AK50" s="152"/>
      <c r="AL50" s="153"/>
      <c r="AM50" s="154"/>
      <c r="AN50" s="154"/>
      <c r="AO50" s="154"/>
      <c r="AP50" s="154"/>
      <c r="AQ50" s="154"/>
      <c r="AR50" s="154"/>
      <c r="AS50" s="154"/>
      <c r="AT50" s="154"/>
      <c r="AU50" s="154"/>
      <c r="AV50" s="154"/>
      <c r="AW50" s="154"/>
      <c r="AX50" s="154"/>
      <c r="AY50" s="154"/>
      <c r="AZ50" s="154"/>
      <c r="BA50" s="154"/>
      <c r="BB50" s="154"/>
      <c r="BC50" s="154"/>
      <c r="BD50" s="154"/>
      <c r="BE50" s="154"/>
      <c r="BF50" s="154"/>
      <c r="BG50" s="154"/>
      <c r="BH50" s="154"/>
      <c r="BI50" s="154"/>
      <c r="BJ50" s="154"/>
      <c r="BK50" s="154"/>
      <c r="BL50" s="154"/>
      <c r="BM50" s="154"/>
      <c r="BN50" s="154"/>
      <c r="BO50" s="154"/>
      <c r="BP50" s="155"/>
    </row>
    <row r="51" spans="1:68" s="47" customFormat="1" ht="3.75" customHeight="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6"/>
      <c r="AG51" s="46"/>
      <c r="AH51" s="46"/>
      <c r="AI51" s="46"/>
      <c r="AJ51" s="46"/>
      <c r="AK51" s="46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  <c r="BI51" s="45"/>
      <c r="BJ51" s="45"/>
      <c r="BK51" s="45"/>
      <c r="BL51" s="45"/>
      <c r="BM51" s="45"/>
      <c r="BN51" s="45"/>
      <c r="BO51" s="45"/>
      <c r="BP51" s="45"/>
    </row>
    <row r="52" spans="1:68" s="47" customFormat="1" ht="14.25">
      <c r="A52" s="48" t="s">
        <v>14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9"/>
      <c r="AG52" s="49"/>
      <c r="AH52" s="49"/>
      <c r="AI52" s="49"/>
      <c r="AJ52" s="49"/>
      <c r="AK52" s="49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50"/>
    </row>
    <row r="53" spans="1:68" s="47" customFormat="1" ht="20.25" customHeight="1">
      <c r="A53" s="48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50"/>
    </row>
    <row r="54" spans="1:68" s="47" customFormat="1" ht="20.25" customHeight="1">
      <c r="A54" s="48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50"/>
    </row>
    <row r="55" spans="1:68" s="47" customFormat="1" ht="20.25" customHeight="1">
      <c r="A55" s="48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50"/>
    </row>
    <row r="56" spans="1:68" s="47" customFormat="1" ht="20.25" customHeight="1">
      <c r="A56" s="48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50"/>
    </row>
    <row r="57" spans="1:68" s="47" customFormat="1" ht="20.25" customHeight="1">
      <c r="A57" s="51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3"/>
    </row>
    <row r="58" spans="1:68" ht="5.25" customHeight="1"/>
  </sheetData>
  <mergeCells count="277">
    <mergeCell ref="D24:Z24"/>
    <mergeCell ref="D14:Z14"/>
    <mergeCell ref="AA14:AE14"/>
    <mergeCell ref="D12:Z12"/>
    <mergeCell ref="AA12:AE12"/>
    <mergeCell ref="D13:Z13"/>
    <mergeCell ref="AA13:AE13"/>
    <mergeCell ref="AA17:AE17"/>
    <mergeCell ref="D15:Z15"/>
    <mergeCell ref="AA15:AE15"/>
    <mergeCell ref="AA16:AE16"/>
    <mergeCell ref="A19:C19"/>
    <mergeCell ref="A20:C20"/>
    <mergeCell ref="A21:C21"/>
    <mergeCell ref="A22:C22"/>
    <mergeCell ref="A23:C23"/>
    <mergeCell ref="AA11:AE11"/>
    <mergeCell ref="D21:Z21"/>
    <mergeCell ref="D22:Z22"/>
    <mergeCell ref="D23:Z23"/>
    <mergeCell ref="D30:Z30"/>
    <mergeCell ref="A43:C43"/>
    <mergeCell ref="D41:Z41"/>
    <mergeCell ref="D10:Z10"/>
    <mergeCell ref="A18:C18"/>
    <mergeCell ref="A15:C15"/>
    <mergeCell ref="D32:Z32"/>
    <mergeCell ref="A25:C25"/>
    <mergeCell ref="A26:C26"/>
    <mergeCell ref="A27:C27"/>
    <mergeCell ref="A11:C11"/>
    <mergeCell ref="A12:C12"/>
    <mergeCell ref="A13:C13"/>
    <mergeCell ref="A14:C14"/>
    <mergeCell ref="A17:C17"/>
    <mergeCell ref="D31:Z31"/>
    <mergeCell ref="D17:Z17"/>
    <mergeCell ref="D33:Z33"/>
    <mergeCell ref="D11:Z11"/>
    <mergeCell ref="A16:C16"/>
    <mergeCell ref="D16:Z16"/>
    <mergeCell ref="D27:Z27"/>
    <mergeCell ref="D25:Z25"/>
    <mergeCell ref="D18:Z18"/>
    <mergeCell ref="A44:C44"/>
    <mergeCell ref="A45:C45"/>
    <mergeCell ref="A46:C46"/>
    <mergeCell ref="A47:C47"/>
    <mergeCell ref="A48:C48"/>
    <mergeCell ref="A24:C24"/>
    <mergeCell ref="A41:C41"/>
    <mergeCell ref="A42:C42"/>
    <mergeCell ref="A31:C31"/>
    <mergeCell ref="A32:C32"/>
    <mergeCell ref="A33:C33"/>
    <mergeCell ref="A34:C34"/>
    <mergeCell ref="A35:C35"/>
    <mergeCell ref="A36:C36"/>
    <mergeCell ref="A38:C38"/>
    <mergeCell ref="A39:C39"/>
    <mergeCell ref="A40:C40"/>
    <mergeCell ref="A29:C29"/>
    <mergeCell ref="A30:C30"/>
    <mergeCell ref="A28:C28"/>
    <mergeCell ref="AF20:AH20"/>
    <mergeCell ref="AI20:AK20"/>
    <mergeCell ref="AF15:AH15"/>
    <mergeCell ref="A50:C50"/>
    <mergeCell ref="A49:C49"/>
    <mergeCell ref="AA21:AE21"/>
    <mergeCell ref="AI22:AK22"/>
    <mergeCell ref="AF23:AH23"/>
    <mergeCell ref="AL21:BP21"/>
    <mergeCell ref="AA24:AE24"/>
    <mergeCell ref="AL24:BP24"/>
    <mergeCell ref="AA22:AE22"/>
    <mergeCell ref="AL22:BP22"/>
    <mergeCell ref="AA23:AE23"/>
    <mergeCell ref="AL23:BP23"/>
    <mergeCell ref="AF21:AH21"/>
    <mergeCell ref="AI21:AK21"/>
    <mergeCell ref="AF22:AH22"/>
    <mergeCell ref="AI23:AK23"/>
    <mergeCell ref="AF24:AH24"/>
    <mergeCell ref="AI24:AK24"/>
    <mergeCell ref="AL28:BP28"/>
    <mergeCell ref="AL29:BP29"/>
    <mergeCell ref="AL26:BP26"/>
    <mergeCell ref="AL11:BP11"/>
    <mergeCell ref="AL12:BP12"/>
    <mergeCell ref="AL13:BP13"/>
    <mergeCell ref="AL20:BP20"/>
    <mergeCell ref="AL18:BP18"/>
    <mergeCell ref="AL19:BP19"/>
    <mergeCell ref="AL15:BP15"/>
    <mergeCell ref="AF11:AH11"/>
    <mergeCell ref="AI11:AK11"/>
    <mergeCell ref="AF12:AH12"/>
    <mergeCell ref="AI12:AK12"/>
    <mergeCell ref="AF13:AH13"/>
    <mergeCell ref="AI13:AK13"/>
    <mergeCell ref="AF14:AH14"/>
    <mergeCell ref="AI14:AK14"/>
    <mergeCell ref="AL14:BP14"/>
    <mergeCell ref="AF17:AH17"/>
    <mergeCell ref="AI17:AK17"/>
    <mergeCell ref="AF18:AH18"/>
    <mergeCell ref="AI18:AK18"/>
    <mergeCell ref="AL17:BP17"/>
    <mergeCell ref="AI15:AK15"/>
    <mergeCell ref="AF19:AH19"/>
    <mergeCell ref="AI19:AK19"/>
    <mergeCell ref="AI27:AK27"/>
    <mergeCell ref="AF28:AH28"/>
    <mergeCell ref="AI28:AK28"/>
    <mergeCell ref="AF29:AH29"/>
    <mergeCell ref="AI29:AK29"/>
    <mergeCell ref="AA32:AE32"/>
    <mergeCell ref="AL32:BP32"/>
    <mergeCell ref="AF25:AH25"/>
    <mergeCell ref="AI25:AK25"/>
    <mergeCell ref="AF26:AH26"/>
    <mergeCell ref="AF32:AH32"/>
    <mergeCell ref="AI32:AK32"/>
    <mergeCell ref="AL27:BP27"/>
    <mergeCell ref="AF27:AH27"/>
    <mergeCell ref="AI26:AK26"/>
    <mergeCell ref="AL25:BP25"/>
    <mergeCell ref="AA25:AE25"/>
    <mergeCell ref="AA26:AE26"/>
    <mergeCell ref="AA27:AE27"/>
    <mergeCell ref="AA30:AE30"/>
    <mergeCell ref="AL30:BP30"/>
    <mergeCell ref="AA31:AE31"/>
    <mergeCell ref="AL31:BP31"/>
    <mergeCell ref="AF30:AH30"/>
    <mergeCell ref="AI30:AK30"/>
    <mergeCell ref="AF31:AH31"/>
    <mergeCell ref="AI31:AK31"/>
    <mergeCell ref="AF33:AH33"/>
    <mergeCell ref="AI33:AK33"/>
    <mergeCell ref="AA33:AE33"/>
    <mergeCell ref="AL35:BP35"/>
    <mergeCell ref="AF34:AH34"/>
    <mergeCell ref="AI34:AK34"/>
    <mergeCell ref="AF35:AH35"/>
    <mergeCell ref="AI35:AK35"/>
    <mergeCell ref="AF36:AH36"/>
    <mergeCell ref="AI36:AK36"/>
    <mergeCell ref="D36:Z36"/>
    <mergeCell ref="AL33:BP33"/>
    <mergeCell ref="AA41:AE41"/>
    <mergeCell ref="AL41:BP41"/>
    <mergeCell ref="AF41:AH41"/>
    <mergeCell ref="AI41:AK41"/>
    <mergeCell ref="D42:Z42"/>
    <mergeCell ref="AA42:AE42"/>
    <mergeCell ref="AA36:AE36"/>
    <mergeCell ref="AL36:BP36"/>
    <mergeCell ref="D38:Z38"/>
    <mergeCell ref="AA38:AE38"/>
    <mergeCell ref="AF38:AH38"/>
    <mergeCell ref="AI38:AK38"/>
    <mergeCell ref="AL38:BP38"/>
    <mergeCell ref="D39:Z39"/>
    <mergeCell ref="AA39:AE39"/>
    <mergeCell ref="AF39:AH39"/>
    <mergeCell ref="AI39:AK39"/>
    <mergeCell ref="AL39:BP39"/>
    <mergeCell ref="D40:Z40"/>
    <mergeCell ref="AA40:AE40"/>
    <mergeCell ref="AF40:AH40"/>
    <mergeCell ref="AI40:AK40"/>
    <mergeCell ref="AL40:BP40"/>
    <mergeCell ref="D44:Z44"/>
    <mergeCell ref="AA44:AE44"/>
    <mergeCell ref="AL44:BP44"/>
    <mergeCell ref="D45:Z45"/>
    <mergeCell ref="AA45:AE45"/>
    <mergeCell ref="AL45:BP45"/>
    <mergeCell ref="AF44:AH44"/>
    <mergeCell ref="AL42:BP42"/>
    <mergeCell ref="D43:Z43"/>
    <mergeCell ref="AA43:AE43"/>
    <mergeCell ref="AL43:BP43"/>
    <mergeCell ref="AF42:AH42"/>
    <mergeCell ref="AI42:AK42"/>
    <mergeCell ref="AF43:AH43"/>
    <mergeCell ref="AI43:AK43"/>
    <mergeCell ref="AI44:AK44"/>
    <mergeCell ref="AF45:AH45"/>
    <mergeCell ref="AI45:AK45"/>
    <mergeCell ref="D46:Z46"/>
    <mergeCell ref="AA46:AE46"/>
    <mergeCell ref="AL46:BP46"/>
    <mergeCell ref="D47:Z47"/>
    <mergeCell ref="AA47:AE47"/>
    <mergeCell ref="AL47:BP47"/>
    <mergeCell ref="AF46:AH46"/>
    <mergeCell ref="AI46:AK46"/>
    <mergeCell ref="AF47:AH47"/>
    <mergeCell ref="AI47:AK47"/>
    <mergeCell ref="D49:Z49"/>
    <mergeCell ref="AA49:AE49"/>
    <mergeCell ref="AL49:BP49"/>
    <mergeCell ref="D48:Z48"/>
    <mergeCell ref="AA48:AE48"/>
    <mergeCell ref="D50:Z50"/>
    <mergeCell ref="AA50:AE50"/>
    <mergeCell ref="AL50:BP50"/>
    <mergeCell ref="AF49:AH49"/>
    <mergeCell ref="AI49:AK49"/>
    <mergeCell ref="AF50:AH50"/>
    <mergeCell ref="AI50:AK50"/>
    <mergeCell ref="AL48:BP48"/>
    <mergeCell ref="AF48:AH48"/>
    <mergeCell ref="AI48:AK48"/>
    <mergeCell ref="A2:BA2"/>
    <mergeCell ref="BB2:BE2"/>
    <mergeCell ref="BF2:BI2"/>
    <mergeCell ref="BJ2:BM2"/>
    <mergeCell ref="A4:G4"/>
    <mergeCell ref="H4:BA4"/>
    <mergeCell ref="BB4:BE4"/>
    <mergeCell ref="BF4:BP4"/>
    <mergeCell ref="BN2:BP2"/>
    <mergeCell ref="A3:G3"/>
    <mergeCell ref="H3:BA3"/>
    <mergeCell ref="BB3:BE3"/>
    <mergeCell ref="BF3:BP3"/>
    <mergeCell ref="AF10:AH10"/>
    <mergeCell ref="AI10:AK10"/>
    <mergeCell ref="AL8:BP8"/>
    <mergeCell ref="AL9:BP9"/>
    <mergeCell ref="AL10:BP10"/>
    <mergeCell ref="A6:G6"/>
    <mergeCell ref="H6:N6"/>
    <mergeCell ref="O6:Y6"/>
    <mergeCell ref="Z6:BE6"/>
    <mergeCell ref="BF6:BI6"/>
    <mergeCell ref="BJ6:BP6"/>
    <mergeCell ref="A8:C8"/>
    <mergeCell ref="D8:Z8"/>
    <mergeCell ref="AA8:AE8"/>
    <mergeCell ref="D9:Z9"/>
    <mergeCell ref="AA9:AE9"/>
    <mergeCell ref="AF9:AH9"/>
    <mergeCell ref="AI9:AK9"/>
    <mergeCell ref="AF8:AH8"/>
    <mergeCell ref="AI8:AK8"/>
    <mergeCell ref="A9:C9"/>
    <mergeCell ref="A10:C10"/>
    <mergeCell ref="AA10:AE10"/>
    <mergeCell ref="AF16:AH16"/>
    <mergeCell ref="AI16:AK16"/>
    <mergeCell ref="AL16:BP16"/>
    <mergeCell ref="A37:C37"/>
    <mergeCell ref="D37:Z37"/>
    <mergeCell ref="AA37:AE37"/>
    <mergeCell ref="AF37:AH37"/>
    <mergeCell ref="AI37:AK37"/>
    <mergeCell ref="AL37:BP37"/>
    <mergeCell ref="D28:Z28"/>
    <mergeCell ref="AA28:AE28"/>
    <mergeCell ref="D29:Z29"/>
    <mergeCell ref="AA29:AE29"/>
    <mergeCell ref="AA18:AE18"/>
    <mergeCell ref="D19:Z19"/>
    <mergeCell ref="AA19:AE19"/>
    <mergeCell ref="D20:Z20"/>
    <mergeCell ref="AA20:AE20"/>
    <mergeCell ref="D26:Z26"/>
    <mergeCell ref="D34:Z34"/>
    <mergeCell ref="AA34:AE34"/>
    <mergeCell ref="AL34:BP34"/>
    <mergeCell ref="D35:Z35"/>
    <mergeCell ref="AA35:AE35"/>
  </mergeCells>
  <phoneticPr fontId="3"/>
  <dataValidations count="1">
    <dataValidation type="list" allowBlank="1" showInputMessage="1" showErrorMessage="1" sqref="BJ6:BP6" xr:uid="{EF62DA07-C53D-4EF3-B955-983E0C071957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CB232-B309-4B0D-A31F-119BBB03A68F}">
  <sheetPr codeName="Sheet19"/>
  <dimension ref="A1:BR58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8" width="2.125" style="55"/>
    <col min="39" max="44" width="0" style="55" hidden="1" customWidth="1"/>
    <col min="45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144" t="s">
        <v>198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95" t="s">
        <v>616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430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125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117">
        <f t="shared" ref="A9:A48" si="0">ROW()-8</f>
        <v>1</v>
      </c>
      <c r="B9" s="118"/>
      <c r="C9" s="119"/>
      <c r="D9" s="114" t="s">
        <v>1239</v>
      </c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6"/>
      <c r="AA9" s="117" t="s">
        <v>427</v>
      </c>
      <c r="AB9" s="118"/>
      <c r="AC9" s="118"/>
      <c r="AD9" s="118"/>
      <c r="AE9" s="119"/>
      <c r="AF9" s="117"/>
      <c r="AG9" s="118"/>
      <c r="AH9" s="119"/>
      <c r="AI9" s="117"/>
      <c r="AJ9" s="118"/>
      <c r="AK9" s="119"/>
      <c r="AL9" s="68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70"/>
    </row>
    <row r="10" spans="1:70" s="1" customFormat="1" ht="30.75" customHeight="1">
      <c r="A10" s="74">
        <f t="shared" si="0"/>
        <v>2</v>
      </c>
      <c r="B10" s="75"/>
      <c r="C10" s="76"/>
      <c r="D10" s="71" t="s">
        <v>1240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  <c r="AA10" s="74" t="s">
        <v>428</v>
      </c>
      <c r="AB10" s="75"/>
      <c r="AC10" s="75"/>
      <c r="AD10" s="75"/>
      <c r="AE10" s="76"/>
      <c r="AF10" s="74">
        <v>5</v>
      </c>
      <c r="AG10" s="75"/>
      <c r="AH10" s="76"/>
      <c r="AI10" s="74"/>
      <c r="AJ10" s="75"/>
      <c r="AK10" s="76"/>
      <c r="AL10" s="68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74">
        <f t="shared" si="0"/>
        <v>3</v>
      </c>
      <c r="B11" s="75"/>
      <c r="C11" s="76"/>
      <c r="D11" s="71" t="s">
        <v>1273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3"/>
      <c r="AA11" s="74" t="s">
        <v>428</v>
      </c>
      <c r="AB11" s="75"/>
      <c r="AC11" s="75"/>
      <c r="AD11" s="75"/>
      <c r="AE11" s="76"/>
      <c r="AF11" s="74">
        <v>19</v>
      </c>
      <c r="AG11" s="75"/>
      <c r="AH11" s="76"/>
      <c r="AI11" s="74"/>
      <c r="AJ11" s="75"/>
      <c r="AK11" s="76"/>
      <c r="AL11" s="68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70"/>
    </row>
    <row r="12" spans="1:70" s="1" customFormat="1" ht="30.75" customHeight="1">
      <c r="A12" s="74">
        <f t="shared" si="0"/>
        <v>4</v>
      </c>
      <c r="B12" s="75"/>
      <c r="C12" s="76"/>
      <c r="D12" s="71" t="s">
        <v>1241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3"/>
      <c r="AA12" s="74" t="s">
        <v>429</v>
      </c>
      <c r="AB12" s="75"/>
      <c r="AC12" s="75"/>
      <c r="AD12" s="75"/>
      <c r="AE12" s="76"/>
      <c r="AF12" s="74">
        <v>8</v>
      </c>
      <c r="AG12" s="75"/>
      <c r="AH12" s="76"/>
      <c r="AI12" s="74"/>
      <c r="AJ12" s="75"/>
      <c r="AK12" s="76"/>
      <c r="AL12" s="68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70"/>
    </row>
    <row r="13" spans="1:70" s="1" customFormat="1" ht="30.75" customHeight="1">
      <c r="A13" s="74">
        <f t="shared" si="0"/>
        <v>5</v>
      </c>
      <c r="B13" s="75"/>
      <c r="C13" s="76"/>
      <c r="D13" s="71" t="s">
        <v>1242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3"/>
      <c r="AA13" s="74" t="s">
        <v>429</v>
      </c>
      <c r="AB13" s="75"/>
      <c r="AC13" s="75"/>
      <c r="AD13" s="75"/>
      <c r="AE13" s="76"/>
      <c r="AF13" s="74">
        <v>8</v>
      </c>
      <c r="AG13" s="75"/>
      <c r="AH13" s="76"/>
      <c r="AI13" s="74"/>
      <c r="AJ13" s="75"/>
      <c r="AK13" s="76"/>
      <c r="AL13" s="68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70"/>
    </row>
    <row r="14" spans="1:70" s="1" customFormat="1" ht="30.75" customHeight="1">
      <c r="A14" s="74">
        <f t="shared" si="0"/>
        <v>6</v>
      </c>
      <c r="B14" s="75"/>
      <c r="C14" s="76"/>
      <c r="D14" s="71" t="s">
        <v>1243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3"/>
      <c r="AA14" s="74" t="s">
        <v>429</v>
      </c>
      <c r="AB14" s="75"/>
      <c r="AC14" s="75"/>
      <c r="AD14" s="75"/>
      <c r="AE14" s="76"/>
      <c r="AF14" s="74">
        <v>5</v>
      </c>
      <c r="AG14" s="75"/>
      <c r="AH14" s="76"/>
      <c r="AI14" s="86"/>
      <c r="AJ14" s="86"/>
      <c r="AK14" s="86"/>
      <c r="AL14" s="68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70"/>
    </row>
    <row r="15" spans="1:70" s="1" customFormat="1" ht="30.75" customHeight="1">
      <c r="A15" s="74">
        <f t="shared" si="0"/>
        <v>7</v>
      </c>
      <c r="B15" s="75"/>
      <c r="C15" s="76"/>
      <c r="D15" s="71" t="s">
        <v>1244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3"/>
      <c r="AA15" s="74" t="s">
        <v>428</v>
      </c>
      <c r="AB15" s="75"/>
      <c r="AC15" s="75"/>
      <c r="AD15" s="75"/>
      <c r="AE15" s="76"/>
      <c r="AF15" s="74">
        <v>3</v>
      </c>
      <c r="AG15" s="75"/>
      <c r="AH15" s="76"/>
      <c r="AI15" s="86"/>
      <c r="AJ15" s="86"/>
      <c r="AK15" s="86"/>
      <c r="AL15" s="68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70"/>
    </row>
    <row r="16" spans="1:70" s="1" customFormat="1" ht="30.75" customHeight="1">
      <c r="A16" s="74">
        <f t="shared" si="0"/>
        <v>8</v>
      </c>
      <c r="B16" s="75"/>
      <c r="C16" s="76"/>
      <c r="D16" s="71" t="s">
        <v>1245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3"/>
      <c r="AA16" s="74" t="s">
        <v>428</v>
      </c>
      <c r="AB16" s="75"/>
      <c r="AC16" s="75"/>
      <c r="AD16" s="75"/>
      <c r="AE16" s="76"/>
      <c r="AF16" s="74">
        <v>25</v>
      </c>
      <c r="AG16" s="75"/>
      <c r="AH16" s="76"/>
      <c r="AI16" s="86"/>
      <c r="AJ16" s="86"/>
      <c r="AK16" s="86"/>
      <c r="AL16" s="68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70"/>
    </row>
    <row r="17" spans="1:68" s="1" customFormat="1" ht="30.75" customHeight="1">
      <c r="A17" s="74">
        <f t="shared" si="0"/>
        <v>9</v>
      </c>
      <c r="B17" s="75"/>
      <c r="C17" s="76"/>
      <c r="D17" s="71" t="s">
        <v>1246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3"/>
      <c r="AA17" s="74" t="s">
        <v>429</v>
      </c>
      <c r="AB17" s="75"/>
      <c r="AC17" s="75"/>
      <c r="AD17" s="75"/>
      <c r="AE17" s="76"/>
      <c r="AF17" s="74">
        <v>8</v>
      </c>
      <c r="AG17" s="75"/>
      <c r="AH17" s="76"/>
      <c r="AI17" s="86"/>
      <c r="AJ17" s="86"/>
      <c r="AK17" s="86"/>
      <c r="AL17" s="68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70"/>
    </row>
    <row r="18" spans="1:68" s="1" customFormat="1" ht="30.75" customHeight="1">
      <c r="A18" s="74">
        <f t="shared" si="0"/>
        <v>10</v>
      </c>
      <c r="B18" s="75"/>
      <c r="C18" s="76"/>
      <c r="D18" s="71" t="s">
        <v>1247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3"/>
      <c r="AA18" s="74" t="s">
        <v>427</v>
      </c>
      <c r="AB18" s="75"/>
      <c r="AC18" s="75"/>
      <c r="AD18" s="75"/>
      <c r="AE18" s="76"/>
      <c r="AF18" s="74"/>
      <c r="AG18" s="75"/>
      <c r="AH18" s="76"/>
      <c r="AI18" s="86"/>
      <c r="AJ18" s="86"/>
      <c r="AK18" s="86"/>
      <c r="AL18" s="68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70"/>
    </row>
    <row r="19" spans="1:68" s="1" customFormat="1" ht="30.75" customHeight="1">
      <c r="A19" s="74">
        <f t="shared" si="0"/>
        <v>11</v>
      </c>
      <c r="B19" s="75"/>
      <c r="C19" s="76"/>
      <c r="D19" s="71" t="s">
        <v>1248</v>
      </c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3"/>
      <c r="AA19" s="74" t="s">
        <v>428</v>
      </c>
      <c r="AB19" s="75"/>
      <c r="AC19" s="75"/>
      <c r="AD19" s="75"/>
      <c r="AE19" s="76"/>
      <c r="AF19" s="74">
        <v>78</v>
      </c>
      <c r="AG19" s="75"/>
      <c r="AH19" s="76"/>
      <c r="AI19" s="86"/>
      <c r="AJ19" s="86"/>
      <c r="AK19" s="86"/>
      <c r="AL19" s="68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70"/>
    </row>
    <row r="20" spans="1:68" s="1" customFormat="1" ht="30.75" customHeight="1">
      <c r="A20" s="74">
        <f t="shared" si="0"/>
        <v>12</v>
      </c>
      <c r="B20" s="75"/>
      <c r="C20" s="76"/>
      <c r="D20" s="71" t="s">
        <v>1249</v>
      </c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3"/>
      <c r="AA20" s="74" t="s">
        <v>428</v>
      </c>
      <c r="AB20" s="75"/>
      <c r="AC20" s="75"/>
      <c r="AD20" s="75"/>
      <c r="AE20" s="76"/>
      <c r="AF20" s="74">
        <v>10</v>
      </c>
      <c r="AG20" s="75"/>
      <c r="AH20" s="76"/>
      <c r="AI20" s="74"/>
      <c r="AJ20" s="75"/>
      <c r="AK20" s="76"/>
      <c r="AL20" s="68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70"/>
    </row>
    <row r="21" spans="1:68" s="1" customFormat="1" ht="30.75" customHeight="1">
      <c r="A21" s="74">
        <f t="shared" si="0"/>
        <v>13</v>
      </c>
      <c r="B21" s="75"/>
      <c r="C21" s="76"/>
      <c r="D21" s="71" t="s">
        <v>1250</v>
      </c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3"/>
      <c r="AA21" s="74" t="s">
        <v>428</v>
      </c>
      <c r="AB21" s="75"/>
      <c r="AC21" s="75"/>
      <c r="AD21" s="75"/>
      <c r="AE21" s="76"/>
      <c r="AF21" s="74">
        <v>9</v>
      </c>
      <c r="AG21" s="75"/>
      <c r="AH21" s="76"/>
      <c r="AI21" s="74"/>
      <c r="AJ21" s="75"/>
      <c r="AK21" s="76"/>
      <c r="AL21" s="68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70"/>
    </row>
    <row r="22" spans="1:68" s="1" customFormat="1" ht="30.75" customHeight="1">
      <c r="A22" s="74">
        <f t="shared" si="0"/>
        <v>14</v>
      </c>
      <c r="B22" s="75"/>
      <c r="C22" s="76"/>
      <c r="D22" s="71" t="s">
        <v>1251</v>
      </c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3"/>
      <c r="AA22" s="74" t="s">
        <v>429</v>
      </c>
      <c r="AB22" s="75"/>
      <c r="AC22" s="75"/>
      <c r="AD22" s="75"/>
      <c r="AE22" s="76"/>
      <c r="AF22" s="74">
        <v>15</v>
      </c>
      <c r="AG22" s="75"/>
      <c r="AH22" s="76"/>
      <c r="AI22" s="74"/>
      <c r="AJ22" s="75"/>
      <c r="AK22" s="76"/>
      <c r="AL22" s="68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70"/>
    </row>
    <row r="23" spans="1:68" s="1" customFormat="1" ht="30.75" customHeight="1">
      <c r="A23" s="74">
        <f t="shared" si="0"/>
        <v>15</v>
      </c>
      <c r="B23" s="75"/>
      <c r="C23" s="76"/>
      <c r="D23" s="71" t="s">
        <v>1252</v>
      </c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3"/>
      <c r="AA23" s="74" t="s">
        <v>429</v>
      </c>
      <c r="AB23" s="75"/>
      <c r="AC23" s="75"/>
      <c r="AD23" s="75"/>
      <c r="AE23" s="76"/>
      <c r="AF23" s="74">
        <v>15</v>
      </c>
      <c r="AG23" s="75"/>
      <c r="AH23" s="76"/>
      <c r="AI23" s="74"/>
      <c r="AJ23" s="75"/>
      <c r="AK23" s="76"/>
      <c r="AL23" s="68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70"/>
    </row>
    <row r="24" spans="1:68" s="1" customFormat="1" ht="30.75" customHeight="1">
      <c r="A24" s="74">
        <f t="shared" si="0"/>
        <v>16</v>
      </c>
      <c r="B24" s="75"/>
      <c r="C24" s="76"/>
      <c r="D24" s="71" t="s">
        <v>1253</v>
      </c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3"/>
      <c r="AA24" s="74" t="s">
        <v>429</v>
      </c>
      <c r="AB24" s="75"/>
      <c r="AC24" s="75"/>
      <c r="AD24" s="75"/>
      <c r="AE24" s="76"/>
      <c r="AF24" s="74">
        <v>15</v>
      </c>
      <c r="AG24" s="75"/>
      <c r="AH24" s="76"/>
      <c r="AI24" s="74"/>
      <c r="AJ24" s="75"/>
      <c r="AK24" s="76"/>
      <c r="AL24" s="68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70"/>
    </row>
    <row r="25" spans="1:68" s="1" customFormat="1" ht="30.75" customHeight="1">
      <c r="A25" s="74">
        <f t="shared" si="0"/>
        <v>17</v>
      </c>
      <c r="B25" s="75"/>
      <c r="C25" s="76"/>
      <c r="D25" s="71" t="s">
        <v>1254</v>
      </c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3"/>
      <c r="AA25" s="74" t="s">
        <v>428</v>
      </c>
      <c r="AB25" s="75"/>
      <c r="AC25" s="75"/>
      <c r="AD25" s="75"/>
      <c r="AE25" s="76"/>
      <c r="AF25" s="74">
        <v>9</v>
      </c>
      <c r="AG25" s="75"/>
      <c r="AH25" s="76"/>
      <c r="AI25" s="74"/>
      <c r="AJ25" s="75"/>
      <c r="AK25" s="76"/>
      <c r="AL25" s="68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70"/>
    </row>
    <row r="26" spans="1:68" s="1" customFormat="1" ht="30.75" customHeight="1">
      <c r="A26" s="74">
        <f t="shared" si="0"/>
        <v>18</v>
      </c>
      <c r="B26" s="75"/>
      <c r="C26" s="76"/>
      <c r="D26" s="71" t="s">
        <v>1255</v>
      </c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3"/>
      <c r="AA26" s="74" t="s">
        <v>429</v>
      </c>
      <c r="AB26" s="75"/>
      <c r="AC26" s="75"/>
      <c r="AD26" s="75"/>
      <c r="AE26" s="76"/>
      <c r="AF26" s="74">
        <v>15</v>
      </c>
      <c r="AG26" s="75"/>
      <c r="AH26" s="76"/>
      <c r="AI26" s="74"/>
      <c r="AJ26" s="75"/>
      <c r="AK26" s="76"/>
      <c r="AL26" s="68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70"/>
    </row>
    <row r="27" spans="1:68" s="1" customFormat="1" ht="30.75" customHeight="1">
      <c r="A27" s="74">
        <f t="shared" si="0"/>
        <v>19</v>
      </c>
      <c r="B27" s="75"/>
      <c r="C27" s="76"/>
      <c r="D27" s="71" t="s">
        <v>1256</v>
      </c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3"/>
      <c r="AA27" s="74" t="s">
        <v>429</v>
      </c>
      <c r="AB27" s="75"/>
      <c r="AC27" s="75"/>
      <c r="AD27" s="75"/>
      <c r="AE27" s="76"/>
      <c r="AF27" s="74">
        <v>15</v>
      </c>
      <c r="AG27" s="75"/>
      <c r="AH27" s="76"/>
      <c r="AI27" s="86"/>
      <c r="AJ27" s="86"/>
      <c r="AK27" s="86"/>
      <c r="AL27" s="68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70"/>
    </row>
    <row r="28" spans="1:68" s="1" customFormat="1" ht="30.75" customHeight="1">
      <c r="A28" s="74">
        <f t="shared" si="0"/>
        <v>20</v>
      </c>
      <c r="B28" s="75"/>
      <c r="C28" s="76"/>
      <c r="D28" s="71" t="s">
        <v>1257</v>
      </c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3"/>
      <c r="AA28" s="74" t="s">
        <v>429</v>
      </c>
      <c r="AB28" s="75"/>
      <c r="AC28" s="75"/>
      <c r="AD28" s="75"/>
      <c r="AE28" s="76"/>
      <c r="AF28" s="74">
        <v>15</v>
      </c>
      <c r="AG28" s="75"/>
      <c r="AH28" s="76"/>
      <c r="AI28" s="86"/>
      <c r="AJ28" s="86"/>
      <c r="AK28" s="86"/>
      <c r="AL28" s="68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70"/>
    </row>
    <row r="29" spans="1:68" s="1" customFormat="1" ht="30.75" customHeight="1">
      <c r="A29" s="74">
        <f t="shared" si="0"/>
        <v>21</v>
      </c>
      <c r="B29" s="75"/>
      <c r="C29" s="76"/>
      <c r="D29" s="71" t="s">
        <v>1258</v>
      </c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3"/>
      <c r="AA29" s="74" t="s">
        <v>429</v>
      </c>
      <c r="AB29" s="75"/>
      <c r="AC29" s="75"/>
      <c r="AD29" s="75"/>
      <c r="AE29" s="76"/>
      <c r="AF29" s="74">
        <v>15</v>
      </c>
      <c r="AG29" s="75"/>
      <c r="AH29" s="76"/>
      <c r="AI29" s="86"/>
      <c r="AJ29" s="86"/>
      <c r="AK29" s="86"/>
      <c r="AL29" s="68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70"/>
    </row>
    <row r="30" spans="1:68" s="1" customFormat="1" ht="30.75" customHeight="1">
      <c r="A30" s="74">
        <f t="shared" si="0"/>
        <v>22</v>
      </c>
      <c r="B30" s="75"/>
      <c r="C30" s="76"/>
      <c r="D30" s="71" t="s">
        <v>1259</v>
      </c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3"/>
      <c r="AA30" s="74" t="s">
        <v>429</v>
      </c>
      <c r="AB30" s="75"/>
      <c r="AC30" s="75"/>
      <c r="AD30" s="75"/>
      <c r="AE30" s="76"/>
      <c r="AF30" s="74">
        <v>15</v>
      </c>
      <c r="AG30" s="75"/>
      <c r="AH30" s="76"/>
      <c r="AI30" s="86"/>
      <c r="AJ30" s="86"/>
      <c r="AK30" s="86"/>
      <c r="AL30" s="68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70"/>
    </row>
    <row r="31" spans="1:68" s="1" customFormat="1" ht="30.75" customHeight="1">
      <c r="A31" s="74">
        <f t="shared" si="0"/>
        <v>23</v>
      </c>
      <c r="B31" s="75"/>
      <c r="C31" s="76"/>
      <c r="D31" s="71" t="s">
        <v>1260</v>
      </c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3"/>
      <c r="AA31" s="74" t="s">
        <v>429</v>
      </c>
      <c r="AB31" s="75"/>
      <c r="AC31" s="75"/>
      <c r="AD31" s="75"/>
      <c r="AE31" s="76"/>
      <c r="AF31" s="74">
        <v>15</v>
      </c>
      <c r="AG31" s="75"/>
      <c r="AH31" s="76"/>
      <c r="AI31" s="86"/>
      <c r="AJ31" s="86"/>
      <c r="AK31" s="86"/>
      <c r="AL31" s="68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70"/>
    </row>
    <row r="32" spans="1:68" s="1" customFormat="1" ht="30.75" customHeight="1">
      <c r="A32" s="74">
        <f t="shared" si="0"/>
        <v>24</v>
      </c>
      <c r="B32" s="75"/>
      <c r="C32" s="76"/>
      <c r="D32" s="71" t="s">
        <v>1261</v>
      </c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3"/>
      <c r="AA32" s="74" t="s">
        <v>427</v>
      </c>
      <c r="AB32" s="75"/>
      <c r="AC32" s="75"/>
      <c r="AD32" s="75"/>
      <c r="AE32" s="76"/>
      <c r="AF32" s="74"/>
      <c r="AG32" s="75"/>
      <c r="AH32" s="76"/>
      <c r="AI32" s="86"/>
      <c r="AJ32" s="86"/>
      <c r="AK32" s="86"/>
      <c r="AL32" s="68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70"/>
    </row>
    <row r="33" spans="1:68" s="1" customFormat="1" ht="30.75" customHeight="1">
      <c r="A33" s="74">
        <f t="shared" si="0"/>
        <v>25</v>
      </c>
      <c r="B33" s="75"/>
      <c r="C33" s="76"/>
      <c r="D33" s="71" t="s">
        <v>1248</v>
      </c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3"/>
      <c r="AA33" s="74" t="s">
        <v>428</v>
      </c>
      <c r="AB33" s="75"/>
      <c r="AC33" s="75"/>
      <c r="AD33" s="75"/>
      <c r="AE33" s="76"/>
      <c r="AF33" s="74">
        <v>78</v>
      </c>
      <c r="AG33" s="75"/>
      <c r="AH33" s="76"/>
      <c r="AI33" s="86"/>
      <c r="AJ33" s="86"/>
      <c r="AK33" s="86"/>
      <c r="AL33" s="68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70"/>
    </row>
    <row r="34" spans="1:68" s="1" customFormat="1" ht="30.75" customHeight="1">
      <c r="A34" s="74">
        <f t="shared" si="0"/>
        <v>26</v>
      </c>
      <c r="B34" s="75"/>
      <c r="C34" s="76"/>
      <c r="D34" s="71" t="s">
        <v>1249</v>
      </c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3"/>
      <c r="AA34" s="74" t="s">
        <v>428</v>
      </c>
      <c r="AB34" s="75"/>
      <c r="AC34" s="75"/>
      <c r="AD34" s="75"/>
      <c r="AE34" s="76"/>
      <c r="AF34" s="74">
        <v>8</v>
      </c>
      <c r="AG34" s="75"/>
      <c r="AH34" s="76"/>
      <c r="AI34" s="86"/>
      <c r="AJ34" s="86"/>
      <c r="AK34" s="86"/>
      <c r="AL34" s="68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70"/>
    </row>
    <row r="35" spans="1:68" s="1" customFormat="1" ht="30.75" customHeight="1">
      <c r="A35" s="74">
        <f t="shared" si="0"/>
        <v>27</v>
      </c>
      <c r="B35" s="75"/>
      <c r="C35" s="76"/>
      <c r="D35" s="71" t="s">
        <v>1262</v>
      </c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3"/>
      <c r="AA35" s="74" t="s">
        <v>428</v>
      </c>
      <c r="AB35" s="75"/>
      <c r="AC35" s="75"/>
      <c r="AD35" s="75"/>
      <c r="AE35" s="76"/>
      <c r="AF35" s="74">
        <v>60</v>
      </c>
      <c r="AG35" s="75"/>
      <c r="AH35" s="76"/>
      <c r="AI35" s="86"/>
      <c r="AJ35" s="86"/>
      <c r="AK35" s="86"/>
      <c r="AL35" s="68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70"/>
    </row>
    <row r="36" spans="1:68" s="1" customFormat="1" ht="30.75" customHeight="1">
      <c r="A36" s="74">
        <f t="shared" si="0"/>
        <v>28</v>
      </c>
      <c r="B36" s="75"/>
      <c r="C36" s="76"/>
      <c r="D36" s="71" t="s">
        <v>1263</v>
      </c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3"/>
      <c r="AA36" s="74" t="s">
        <v>429</v>
      </c>
      <c r="AB36" s="75"/>
      <c r="AC36" s="75"/>
      <c r="AD36" s="75"/>
      <c r="AE36" s="76"/>
      <c r="AF36" s="74">
        <v>15</v>
      </c>
      <c r="AG36" s="75"/>
      <c r="AH36" s="76"/>
      <c r="AI36" s="86"/>
      <c r="AJ36" s="86"/>
      <c r="AK36" s="86"/>
      <c r="AL36" s="68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70"/>
    </row>
    <row r="37" spans="1:68" s="1" customFormat="1" ht="30.75" customHeight="1">
      <c r="A37" s="74">
        <f t="shared" si="0"/>
        <v>29</v>
      </c>
      <c r="B37" s="75"/>
      <c r="C37" s="76"/>
      <c r="D37" s="71" t="s">
        <v>1264</v>
      </c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3"/>
      <c r="AA37" s="74" t="s">
        <v>429</v>
      </c>
      <c r="AB37" s="75"/>
      <c r="AC37" s="75"/>
      <c r="AD37" s="75"/>
      <c r="AE37" s="76"/>
      <c r="AF37" s="74">
        <v>15</v>
      </c>
      <c r="AG37" s="75"/>
      <c r="AH37" s="76"/>
      <c r="AI37" s="74"/>
      <c r="AJ37" s="75"/>
      <c r="AK37" s="76"/>
      <c r="AL37" s="68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70"/>
    </row>
    <row r="38" spans="1:68" s="1" customFormat="1" ht="30.75" customHeight="1">
      <c r="A38" s="74">
        <f t="shared" si="0"/>
        <v>30</v>
      </c>
      <c r="B38" s="75"/>
      <c r="C38" s="76"/>
      <c r="D38" s="71" t="s">
        <v>1265</v>
      </c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3"/>
      <c r="AA38" s="74" t="s">
        <v>429</v>
      </c>
      <c r="AB38" s="75"/>
      <c r="AC38" s="75"/>
      <c r="AD38" s="75"/>
      <c r="AE38" s="76"/>
      <c r="AF38" s="74">
        <v>15</v>
      </c>
      <c r="AG38" s="75"/>
      <c r="AH38" s="76"/>
      <c r="AI38" s="86"/>
      <c r="AJ38" s="86"/>
      <c r="AK38" s="86"/>
      <c r="AL38" s="68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70"/>
    </row>
    <row r="39" spans="1:68" s="1" customFormat="1" ht="30.75" customHeight="1">
      <c r="A39" s="74">
        <f t="shared" si="0"/>
        <v>31</v>
      </c>
      <c r="B39" s="75"/>
      <c r="C39" s="76"/>
      <c r="D39" s="71" t="s">
        <v>1258</v>
      </c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3"/>
      <c r="AA39" s="74" t="s">
        <v>429</v>
      </c>
      <c r="AB39" s="75"/>
      <c r="AC39" s="75"/>
      <c r="AD39" s="75"/>
      <c r="AE39" s="76"/>
      <c r="AF39" s="74">
        <v>15</v>
      </c>
      <c r="AG39" s="75"/>
      <c r="AH39" s="76"/>
      <c r="AI39" s="86"/>
      <c r="AJ39" s="86"/>
      <c r="AK39" s="86"/>
      <c r="AL39" s="68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70"/>
    </row>
    <row r="40" spans="1:68" s="1" customFormat="1" ht="30.75" customHeight="1">
      <c r="A40" s="74">
        <f t="shared" si="0"/>
        <v>32</v>
      </c>
      <c r="B40" s="75"/>
      <c r="C40" s="76"/>
      <c r="D40" s="71" t="s">
        <v>1259</v>
      </c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3"/>
      <c r="AA40" s="74" t="s">
        <v>429</v>
      </c>
      <c r="AB40" s="75"/>
      <c r="AC40" s="75"/>
      <c r="AD40" s="75"/>
      <c r="AE40" s="76"/>
      <c r="AF40" s="74">
        <v>15</v>
      </c>
      <c r="AG40" s="75"/>
      <c r="AH40" s="76"/>
      <c r="AI40" s="86"/>
      <c r="AJ40" s="86"/>
      <c r="AK40" s="86"/>
      <c r="AL40" s="68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70"/>
    </row>
    <row r="41" spans="1:68" s="1" customFormat="1" ht="30.75" customHeight="1">
      <c r="A41" s="74">
        <f t="shared" si="0"/>
        <v>33</v>
      </c>
      <c r="B41" s="75"/>
      <c r="C41" s="76"/>
      <c r="D41" s="71" t="s">
        <v>1260</v>
      </c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3"/>
      <c r="AA41" s="74" t="s">
        <v>429</v>
      </c>
      <c r="AB41" s="75"/>
      <c r="AC41" s="75"/>
      <c r="AD41" s="75"/>
      <c r="AE41" s="76"/>
      <c r="AF41" s="74">
        <v>15</v>
      </c>
      <c r="AG41" s="75"/>
      <c r="AH41" s="76"/>
      <c r="AI41" s="74"/>
      <c r="AJ41" s="75"/>
      <c r="AK41" s="76"/>
      <c r="AL41" s="68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70"/>
    </row>
    <row r="42" spans="1:68" s="1" customFormat="1" ht="30.75" customHeight="1">
      <c r="A42" s="74">
        <f t="shared" si="0"/>
        <v>34</v>
      </c>
      <c r="B42" s="75"/>
      <c r="C42" s="76"/>
      <c r="D42" s="71" t="s">
        <v>1266</v>
      </c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3"/>
      <c r="AA42" s="74" t="s">
        <v>429</v>
      </c>
      <c r="AB42" s="75"/>
      <c r="AC42" s="75"/>
      <c r="AD42" s="75"/>
      <c r="AE42" s="76"/>
      <c r="AF42" s="74">
        <v>15</v>
      </c>
      <c r="AG42" s="75"/>
      <c r="AH42" s="76"/>
      <c r="AI42" s="74"/>
      <c r="AJ42" s="75"/>
      <c r="AK42" s="76"/>
      <c r="AL42" s="68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70"/>
    </row>
    <row r="43" spans="1:68" s="1" customFormat="1" ht="30.75" customHeight="1">
      <c r="A43" s="74">
        <f t="shared" si="0"/>
        <v>35</v>
      </c>
      <c r="B43" s="75"/>
      <c r="C43" s="76"/>
      <c r="D43" s="71" t="s">
        <v>1267</v>
      </c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3"/>
      <c r="AA43" s="74" t="s">
        <v>429</v>
      </c>
      <c r="AB43" s="75"/>
      <c r="AC43" s="75"/>
      <c r="AD43" s="75"/>
      <c r="AE43" s="76"/>
      <c r="AF43" s="74">
        <v>15</v>
      </c>
      <c r="AG43" s="75"/>
      <c r="AH43" s="76"/>
      <c r="AI43" s="74"/>
      <c r="AJ43" s="75"/>
      <c r="AK43" s="76"/>
      <c r="AL43" s="83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5"/>
    </row>
    <row r="44" spans="1:68" s="1" customFormat="1" ht="30.75" customHeight="1">
      <c r="A44" s="80">
        <f t="shared" si="0"/>
        <v>36</v>
      </c>
      <c r="B44" s="81"/>
      <c r="C44" s="82"/>
      <c r="D44" s="71" t="s">
        <v>1268</v>
      </c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3"/>
      <c r="AA44" s="74" t="s">
        <v>429</v>
      </c>
      <c r="AB44" s="75"/>
      <c r="AC44" s="75"/>
      <c r="AD44" s="75"/>
      <c r="AE44" s="76"/>
      <c r="AF44" s="74">
        <v>15</v>
      </c>
      <c r="AG44" s="75"/>
      <c r="AH44" s="76"/>
      <c r="AI44" s="80"/>
      <c r="AJ44" s="81"/>
      <c r="AK44" s="82"/>
      <c r="AL44" s="83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5"/>
    </row>
    <row r="45" spans="1:68" s="1" customFormat="1" ht="30.75" customHeight="1">
      <c r="A45" s="74">
        <f t="shared" si="0"/>
        <v>37</v>
      </c>
      <c r="B45" s="75"/>
      <c r="C45" s="76"/>
      <c r="D45" s="71" t="s">
        <v>1269</v>
      </c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3"/>
      <c r="AA45" s="74" t="s">
        <v>427</v>
      </c>
      <c r="AB45" s="75"/>
      <c r="AC45" s="75"/>
      <c r="AD45" s="75"/>
      <c r="AE45" s="76"/>
      <c r="AF45" s="74"/>
      <c r="AG45" s="75"/>
      <c r="AH45" s="76"/>
      <c r="AI45" s="86"/>
      <c r="AJ45" s="86"/>
      <c r="AK45" s="86"/>
      <c r="AL45" s="68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  <c r="BP45" s="70"/>
    </row>
    <row r="46" spans="1:68" s="1" customFormat="1" ht="30.75" customHeight="1">
      <c r="A46" s="74">
        <f t="shared" si="0"/>
        <v>38</v>
      </c>
      <c r="B46" s="75"/>
      <c r="C46" s="76"/>
      <c r="D46" s="71" t="s">
        <v>1270</v>
      </c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3"/>
      <c r="AA46" s="74" t="s">
        <v>429</v>
      </c>
      <c r="AB46" s="75"/>
      <c r="AC46" s="75"/>
      <c r="AD46" s="75"/>
      <c r="AE46" s="76"/>
      <c r="AF46" s="74">
        <v>15</v>
      </c>
      <c r="AG46" s="75"/>
      <c r="AH46" s="76"/>
      <c r="AI46" s="141"/>
      <c r="AJ46" s="141"/>
      <c r="AK46" s="141"/>
      <c r="AL46" s="68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  <c r="BM46" s="69"/>
      <c r="BN46" s="69"/>
      <c r="BO46" s="69"/>
      <c r="BP46" s="70"/>
    </row>
    <row r="47" spans="1:68" s="1" customFormat="1" ht="30.75" customHeight="1">
      <c r="A47" s="74">
        <f t="shared" si="0"/>
        <v>39</v>
      </c>
      <c r="B47" s="75"/>
      <c r="C47" s="76"/>
      <c r="D47" s="71" t="s">
        <v>1271</v>
      </c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3"/>
      <c r="AA47" s="74" t="s">
        <v>429</v>
      </c>
      <c r="AB47" s="75"/>
      <c r="AC47" s="75"/>
      <c r="AD47" s="75"/>
      <c r="AE47" s="76"/>
      <c r="AF47" s="74">
        <v>15</v>
      </c>
      <c r="AG47" s="75"/>
      <c r="AH47" s="76"/>
      <c r="AI47" s="86"/>
      <c r="AJ47" s="86"/>
      <c r="AK47" s="86"/>
      <c r="AL47" s="68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  <c r="BP47" s="70"/>
    </row>
    <row r="48" spans="1:68" s="1" customFormat="1" ht="30.75" customHeight="1">
      <c r="A48" s="74">
        <f t="shared" si="0"/>
        <v>40</v>
      </c>
      <c r="B48" s="75"/>
      <c r="C48" s="76"/>
      <c r="D48" s="71" t="s">
        <v>1272</v>
      </c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3"/>
      <c r="AA48" s="74" t="s">
        <v>429</v>
      </c>
      <c r="AB48" s="75"/>
      <c r="AC48" s="75"/>
      <c r="AD48" s="75"/>
      <c r="AE48" s="76"/>
      <c r="AF48" s="74">
        <v>15</v>
      </c>
      <c r="AG48" s="75"/>
      <c r="AH48" s="76"/>
      <c r="AI48" s="86"/>
      <c r="AJ48" s="86"/>
      <c r="AK48" s="86"/>
      <c r="AL48" s="68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69"/>
      <c r="BN48" s="69"/>
      <c r="BO48" s="69"/>
      <c r="BP48" s="70"/>
    </row>
    <row r="49" spans="1:68" s="1" customFormat="1" ht="30.75" customHeight="1">
      <c r="A49" s="74"/>
      <c r="B49" s="75"/>
      <c r="C49" s="76"/>
      <c r="D49" s="71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3"/>
      <c r="AA49" s="74"/>
      <c r="AB49" s="75"/>
      <c r="AC49" s="75"/>
      <c r="AD49" s="75"/>
      <c r="AE49" s="76"/>
      <c r="AF49" s="86">
        <v>8</v>
      </c>
      <c r="AG49" s="86"/>
      <c r="AH49" s="86"/>
      <c r="AI49" s="86"/>
      <c r="AJ49" s="86"/>
      <c r="AK49" s="86"/>
      <c r="AL49" s="68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69"/>
      <c r="BN49" s="69"/>
      <c r="BO49" s="69"/>
      <c r="BP49" s="70"/>
    </row>
    <row r="50" spans="1:68" s="1" customFormat="1" ht="30.75" customHeight="1">
      <c r="A50" s="80"/>
      <c r="B50" s="81"/>
      <c r="C50" s="82"/>
      <c r="D50" s="77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9"/>
      <c r="AA50" s="80"/>
      <c r="AB50" s="81"/>
      <c r="AC50" s="81"/>
      <c r="AD50" s="81"/>
      <c r="AE50" s="82"/>
      <c r="AF50" s="87"/>
      <c r="AG50" s="87"/>
      <c r="AH50" s="87"/>
      <c r="AI50" s="87"/>
      <c r="AJ50" s="87"/>
      <c r="AK50" s="87"/>
      <c r="AL50" s="83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5"/>
    </row>
    <row r="51" spans="1:68" s="4" customFormat="1" ht="3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3"/>
      <c r="AG51" s="3"/>
      <c r="AH51" s="3"/>
      <c r="AI51" s="3"/>
      <c r="AJ51" s="3"/>
      <c r="AK51" s="3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</row>
    <row r="52" spans="1:68" s="4" customFormat="1" ht="14.25">
      <c r="A52" s="5" t="s">
        <v>14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15"/>
      <c r="AG52" s="15"/>
      <c r="AH52" s="15"/>
      <c r="AI52" s="15"/>
      <c r="AJ52" s="15"/>
      <c r="AK52" s="15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6"/>
    </row>
    <row r="53" spans="1:68" s="4" customFormat="1" ht="20.25" customHeight="1">
      <c r="A53" s="5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6"/>
    </row>
    <row r="54" spans="1:68" s="4" customFormat="1" ht="20.25" customHeight="1">
      <c r="A54" s="5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6"/>
    </row>
    <row r="55" spans="1:68" s="4" customFormat="1" ht="20.25" customHeight="1">
      <c r="A55" s="5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6"/>
    </row>
    <row r="56" spans="1:68" s="4" customFormat="1" ht="20.25" customHeight="1">
      <c r="A56" s="5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6"/>
    </row>
    <row r="57" spans="1:68" s="4" customFormat="1" ht="20.25" customHeight="1">
      <c r="A57" s="7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9"/>
    </row>
    <row r="58" spans="1:68" ht="5.25" customHeight="1"/>
  </sheetData>
  <mergeCells count="277">
    <mergeCell ref="A48:C48"/>
    <mergeCell ref="D48:Z48"/>
    <mergeCell ref="AA48:AE48"/>
    <mergeCell ref="AF48:AH48"/>
    <mergeCell ref="AI48:AK48"/>
    <mergeCell ref="AL48:BP48"/>
    <mergeCell ref="A46:C46"/>
    <mergeCell ref="D46:Z46"/>
    <mergeCell ref="AA46:AE46"/>
    <mergeCell ref="AF46:AH46"/>
    <mergeCell ref="AI46:AK46"/>
    <mergeCell ref="AL46:BP46"/>
    <mergeCell ref="A47:C47"/>
    <mergeCell ref="D47:Z47"/>
    <mergeCell ref="AA47:AE47"/>
    <mergeCell ref="AF47:AH47"/>
    <mergeCell ref="AI47:AK47"/>
    <mergeCell ref="AL47:BP47"/>
    <mergeCell ref="A44:C44"/>
    <mergeCell ref="D44:Z44"/>
    <mergeCell ref="AA44:AE44"/>
    <mergeCell ref="AF44:AH44"/>
    <mergeCell ref="AI44:AK44"/>
    <mergeCell ref="AL44:BP44"/>
    <mergeCell ref="A45:C45"/>
    <mergeCell ref="D45:Z45"/>
    <mergeCell ref="AA45:AE45"/>
    <mergeCell ref="AF45:AH45"/>
    <mergeCell ref="AI45:AK45"/>
    <mergeCell ref="AL45:BP45"/>
    <mergeCell ref="A42:C42"/>
    <mergeCell ref="D42:Z42"/>
    <mergeCell ref="AA42:AE42"/>
    <mergeCell ref="AF42:AH42"/>
    <mergeCell ref="AI42:AK42"/>
    <mergeCell ref="AL42:BP42"/>
    <mergeCell ref="A43:C43"/>
    <mergeCell ref="D43:Z43"/>
    <mergeCell ref="AA43:AE43"/>
    <mergeCell ref="AF43:AH43"/>
    <mergeCell ref="AI43:AK43"/>
    <mergeCell ref="AL43:BP43"/>
    <mergeCell ref="A40:C40"/>
    <mergeCell ref="D40:Z40"/>
    <mergeCell ref="AA40:AE40"/>
    <mergeCell ref="AF40:AH40"/>
    <mergeCell ref="AI40:AK40"/>
    <mergeCell ref="AL40:BP40"/>
    <mergeCell ref="A41:C41"/>
    <mergeCell ref="D41:Z41"/>
    <mergeCell ref="AA41:AE41"/>
    <mergeCell ref="AF41:AH41"/>
    <mergeCell ref="AI41:AK41"/>
    <mergeCell ref="AL41:BP41"/>
    <mergeCell ref="A38:C38"/>
    <mergeCell ref="D38:Z38"/>
    <mergeCell ref="AA38:AE38"/>
    <mergeCell ref="AF38:AH38"/>
    <mergeCell ref="AI38:AK38"/>
    <mergeCell ref="AL38:BP38"/>
    <mergeCell ref="A39:C39"/>
    <mergeCell ref="D39:Z39"/>
    <mergeCell ref="AA39:AE39"/>
    <mergeCell ref="AF39:AH39"/>
    <mergeCell ref="AI39:AK39"/>
    <mergeCell ref="AL39:BP39"/>
    <mergeCell ref="A36:C36"/>
    <mergeCell ref="D36:Z36"/>
    <mergeCell ref="AA36:AE36"/>
    <mergeCell ref="AF36:AH36"/>
    <mergeCell ref="AI36:AK36"/>
    <mergeCell ref="AL36:BP36"/>
    <mergeCell ref="A37:C37"/>
    <mergeCell ref="D37:Z37"/>
    <mergeCell ref="AA37:AE37"/>
    <mergeCell ref="AF37:AH37"/>
    <mergeCell ref="AI37:AK37"/>
    <mergeCell ref="AL37:BP37"/>
    <mergeCell ref="A34:C34"/>
    <mergeCell ref="D34:Z34"/>
    <mergeCell ref="AA34:AE34"/>
    <mergeCell ref="AF34:AH34"/>
    <mergeCell ref="AI34:AK34"/>
    <mergeCell ref="AL34:BP34"/>
    <mergeCell ref="A35:C35"/>
    <mergeCell ref="D35:Z35"/>
    <mergeCell ref="AA35:AE35"/>
    <mergeCell ref="AF35:AH35"/>
    <mergeCell ref="AI35:AK35"/>
    <mergeCell ref="AL35:BP35"/>
    <mergeCell ref="A32:C32"/>
    <mergeCell ref="D32:Z32"/>
    <mergeCell ref="AA32:AE32"/>
    <mergeCell ref="AF32:AH32"/>
    <mergeCell ref="AI32:AK32"/>
    <mergeCell ref="AL32:BP32"/>
    <mergeCell ref="A33:C33"/>
    <mergeCell ref="D33:Z33"/>
    <mergeCell ref="AA33:AE33"/>
    <mergeCell ref="AF33:AH33"/>
    <mergeCell ref="AI33:AK33"/>
    <mergeCell ref="AL33:BP33"/>
    <mergeCell ref="A30:C30"/>
    <mergeCell ref="D30:Z30"/>
    <mergeCell ref="AA30:AE30"/>
    <mergeCell ref="AF30:AH30"/>
    <mergeCell ref="AI30:AK30"/>
    <mergeCell ref="AL30:BP30"/>
    <mergeCell ref="A31:C31"/>
    <mergeCell ref="D31:Z31"/>
    <mergeCell ref="AA31:AE31"/>
    <mergeCell ref="AF31:AH31"/>
    <mergeCell ref="AI31:AK31"/>
    <mergeCell ref="AL31:BP31"/>
    <mergeCell ref="A28:C28"/>
    <mergeCell ref="D28:Z28"/>
    <mergeCell ref="AA28:AE28"/>
    <mergeCell ref="AF28:AH28"/>
    <mergeCell ref="AI28:AK28"/>
    <mergeCell ref="AL28:BP28"/>
    <mergeCell ref="A29:C29"/>
    <mergeCell ref="D29:Z29"/>
    <mergeCell ref="AA29:AE29"/>
    <mergeCell ref="AF29:AH29"/>
    <mergeCell ref="AI29:AK29"/>
    <mergeCell ref="AL29:BP29"/>
    <mergeCell ref="A26:C26"/>
    <mergeCell ref="D26:Z26"/>
    <mergeCell ref="AA26:AE26"/>
    <mergeCell ref="AF26:AH26"/>
    <mergeCell ref="AI26:AK26"/>
    <mergeCell ref="AL26:BP26"/>
    <mergeCell ref="A27:C27"/>
    <mergeCell ref="D27:Z27"/>
    <mergeCell ref="AA27:AE27"/>
    <mergeCell ref="AF27:AH27"/>
    <mergeCell ref="AI27:AK27"/>
    <mergeCell ref="AL27:BP27"/>
    <mergeCell ref="A24:C24"/>
    <mergeCell ref="D24:Z24"/>
    <mergeCell ref="AA24:AE24"/>
    <mergeCell ref="AF24:AH24"/>
    <mergeCell ref="AI24:AK24"/>
    <mergeCell ref="AL24:BP24"/>
    <mergeCell ref="A25:C25"/>
    <mergeCell ref="D25:Z25"/>
    <mergeCell ref="AA25:AE25"/>
    <mergeCell ref="AF25:AH25"/>
    <mergeCell ref="AI25:AK25"/>
    <mergeCell ref="AL25:BP25"/>
    <mergeCell ref="A22:C22"/>
    <mergeCell ref="D22:Z22"/>
    <mergeCell ref="AA22:AE22"/>
    <mergeCell ref="AF22:AH22"/>
    <mergeCell ref="AI22:AK22"/>
    <mergeCell ref="AL22:BP22"/>
    <mergeCell ref="A23:C23"/>
    <mergeCell ref="D23:Z23"/>
    <mergeCell ref="AA23:AE23"/>
    <mergeCell ref="AF23:AH23"/>
    <mergeCell ref="AI23:AK23"/>
    <mergeCell ref="AL23:BP23"/>
    <mergeCell ref="A20:C20"/>
    <mergeCell ref="D20:Z20"/>
    <mergeCell ref="AA20:AE20"/>
    <mergeCell ref="AF20:AH20"/>
    <mergeCell ref="AI20:AK20"/>
    <mergeCell ref="AL20:BP20"/>
    <mergeCell ref="A21:C21"/>
    <mergeCell ref="D21:Z21"/>
    <mergeCell ref="AA21:AE21"/>
    <mergeCell ref="AF21:AH21"/>
    <mergeCell ref="AI21:AK21"/>
    <mergeCell ref="AL21:BP21"/>
    <mergeCell ref="A18:C18"/>
    <mergeCell ref="D18:Z18"/>
    <mergeCell ref="AA18:AE18"/>
    <mergeCell ref="AF18:AH18"/>
    <mergeCell ref="AI18:AK18"/>
    <mergeCell ref="AL18:BP18"/>
    <mergeCell ref="A19:C19"/>
    <mergeCell ref="D19:Z19"/>
    <mergeCell ref="AA19:AE19"/>
    <mergeCell ref="AF19:AH19"/>
    <mergeCell ref="AI19:AK19"/>
    <mergeCell ref="AL19:BP19"/>
    <mergeCell ref="A16:C16"/>
    <mergeCell ref="D16:Z16"/>
    <mergeCell ref="AA16:AE16"/>
    <mergeCell ref="AF16:AH16"/>
    <mergeCell ref="AI16:AK16"/>
    <mergeCell ref="AL16:BP16"/>
    <mergeCell ref="A17:C17"/>
    <mergeCell ref="D17:Z17"/>
    <mergeCell ref="AA17:AE17"/>
    <mergeCell ref="AF17:AH17"/>
    <mergeCell ref="AI17:AK17"/>
    <mergeCell ref="AL17:BP17"/>
    <mergeCell ref="A14:C14"/>
    <mergeCell ref="D14:Z14"/>
    <mergeCell ref="AA14:AE14"/>
    <mergeCell ref="AF14:AH14"/>
    <mergeCell ref="AI14:AK14"/>
    <mergeCell ref="AL14:BP14"/>
    <mergeCell ref="A15:C15"/>
    <mergeCell ref="D15:Z15"/>
    <mergeCell ref="AA15:AE15"/>
    <mergeCell ref="AF15:AH15"/>
    <mergeCell ref="AI15:AK15"/>
    <mergeCell ref="AL15:BP15"/>
    <mergeCell ref="A12:C12"/>
    <mergeCell ref="D12:Z12"/>
    <mergeCell ref="AA12:AE12"/>
    <mergeCell ref="AF12:AH12"/>
    <mergeCell ref="AI12:AK12"/>
    <mergeCell ref="AL12:BP12"/>
    <mergeCell ref="A13:C13"/>
    <mergeCell ref="D13:Z13"/>
    <mergeCell ref="AA13:AE13"/>
    <mergeCell ref="AF13:AH13"/>
    <mergeCell ref="AI13:AK13"/>
    <mergeCell ref="AL13:BP13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8:C8"/>
    <mergeCell ref="D8:Z8"/>
    <mergeCell ref="AA8:AE8"/>
    <mergeCell ref="AF8:AH8"/>
    <mergeCell ref="AI8:AK8"/>
    <mergeCell ref="AL8:BP8"/>
    <mergeCell ref="A9:C9"/>
    <mergeCell ref="D9:Z9"/>
    <mergeCell ref="AA9:AE9"/>
    <mergeCell ref="AF9:AH9"/>
    <mergeCell ref="AI9:AK9"/>
    <mergeCell ref="AL9:BP9"/>
    <mergeCell ref="A10:C10"/>
    <mergeCell ref="D10:Z10"/>
    <mergeCell ref="AA10:AE10"/>
    <mergeCell ref="AF10:AH10"/>
    <mergeCell ref="AI10:AK10"/>
    <mergeCell ref="AL10:BP10"/>
    <mergeCell ref="A50:C50"/>
    <mergeCell ref="D50:Z50"/>
    <mergeCell ref="AA50:AE50"/>
    <mergeCell ref="AF50:AH50"/>
    <mergeCell ref="AI50:AK50"/>
    <mergeCell ref="AL50:BP50"/>
    <mergeCell ref="A49:C49"/>
    <mergeCell ref="D49:Z49"/>
    <mergeCell ref="AA49:AE49"/>
    <mergeCell ref="AF49:AH49"/>
    <mergeCell ref="AI49:AK49"/>
    <mergeCell ref="AL49:BP49"/>
    <mergeCell ref="A11:C11"/>
    <mergeCell ref="D11:Z11"/>
    <mergeCell ref="AA11:AE11"/>
    <mergeCell ref="AF11:AH11"/>
    <mergeCell ref="AI11:AK11"/>
    <mergeCell ref="AL11:BP11"/>
  </mergeCells>
  <phoneticPr fontId="3"/>
  <dataValidations count="1">
    <dataValidation type="list" allowBlank="1" showInputMessage="1" showErrorMessage="1" sqref="BJ6:BP6" xr:uid="{C0DE6A67-1565-449F-8857-4F46AB8B908D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26688-25D7-463C-8927-77937CD0E497}">
  <sheetPr codeName="Sheet20"/>
  <dimension ref="A1:BR54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1" width="2.125" style="55"/>
    <col min="32" max="32" width="2.875" style="55" bestFit="1" customWidth="1"/>
    <col min="33" max="38" width="2.125" style="55"/>
    <col min="39" max="44" width="0" style="55" hidden="1" customWidth="1"/>
    <col min="45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144" t="s">
        <v>198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95" t="s">
        <v>617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431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125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117">
        <f t="shared" ref="A9:A44" si="0">ROW()-8</f>
        <v>1</v>
      </c>
      <c r="B9" s="118"/>
      <c r="C9" s="119"/>
      <c r="D9" s="114" t="s">
        <v>1239</v>
      </c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6"/>
      <c r="AA9" s="117" t="s">
        <v>427</v>
      </c>
      <c r="AB9" s="118"/>
      <c r="AC9" s="118"/>
      <c r="AD9" s="118"/>
      <c r="AE9" s="119"/>
      <c r="AF9" s="117"/>
      <c r="AG9" s="118"/>
      <c r="AH9" s="119"/>
      <c r="AI9" s="117"/>
      <c r="AJ9" s="118"/>
      <c r="AK9" s="119"/>
      <c r="AL9" s="68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70"/>
    </row>
    <row r="10" spans="1:70" s="1" customFormat="1" ht="30.75" customHeight="1">
      <c r="A10" s="74">
        <f>ROW()-8</f>
        <v>2</v>
      </c>
      <c r="B10" s="75"/>
      <c r="C10" s="76"/>
      <c r="D10" s="71" t="s">
        <v>1240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  <c r="AA10" s="74" t="s">
        <v>428</v>
      </c>
      <c r="AB10" s="75"/>
      <c r="AC10" s="75"/>
      <c r="AD10" s="75"/>
      <c r="AE10" s="76"/>
      <c r="AF10" s="74">
        <v>5</v>
      </c>
      <c r="AG10" s="75"/>
      <c r="AH10" s="76"/>
      <c r="AI10" s="74"/>
      <c r="AJ10" s="75"/>
      <c r="AK10" s="76"/>
      <c r="AL10" s="68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74">
        <f t="shared" si="0"/>
        <v>3</v>
      </c>
      <c r="B11" s="75"/>
      <c r="C11" s="76"/>
      <c r="D11" s="71" t="s">
        <v>1273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3"/>
      <c r="AA11" s="74" t="s">
        <v>428</v>
      </c>
      <c r="AB11" s="75"/>
      <c r="AC11" s="75"/>
      <c r="AD11" s="75"/>
      <c r="AE11" s="76"/>
      <c r="AF11" s="74">
        <v>19</v>
      </c>
      <c r="AG11" s="75"/>
      <c r="AH11" s="76"/>
      <c r="AI11" s="74"/>
      <c r="AJ11" s="75"/>
      <c r="AK11" s="76"/>
      <c r="AL11" s="68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70"/>
    </row>
    <row r="12" spans="1:70" s="1" customFormat="1" ht="30.75" customHeight="1">
      <c r="A12" s="74">
        <f t="shared" si="0"/>
        <v>4</v>
      </c>
      <c r="B12" s="75"/>
      <c r="C12" s="76"/>
      <c r="D12" s="71" t="s">
        <v>1241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3"/>
      <c r="AA12" s="74" t="s">
        <v>429</v>
      </c>
      <c r="AB12" s="75"/>
      <c r="AC12" s="75"/>
      <c r="AD12" s="75"/>
      <c r="AE12" s="76"/>
      <c r="AF12" s="74">
        <v>8</v>
      </c>
      <c r="AG12" s="75"/>
      <c r="AH12" s="76"/>
      <c r="AI12" s="74"/>
      <c r="AJ12" s="75"/>
      <c r="AK12" s="76"/>
      <c r="AL12" s="68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70"/>
    </row>
    <row r="13" spans="1:70" s="1" customFormat="1" ht="30.75" customHeight="1">
      <c r="A13" s="74">
        <f t="shared" si="0"/>
        <v>5</v>
      </c>
      <c r="B13" s="75"/>
      <c r="C13" s="76"/>
      <c r="D13" s="71" t="s">
        <v>1242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3"/>
      <c r="AA13" s="74" t="s">
        <v>429</v>
      </c>
      <c r="AB13" s="75"/>
      <c r="AC13" s="75"/>
      <c r="AD13" s="75"/>
      <c r="AE13" s="76"/>
      <c r="AF13" s="74">
        <v>8</v>
      </c>
      <c r="AG13" s="75"/>
      <c r="AH13" s="76"/>
      <c r="AI13" s="74"/>
      <c r="AJ13" s="75"/>
      <c r="AK13" s="76"/>
      <c r="AL13" s="68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70"/>
    </row>
    <row r="14" spans="1:70" s="1" customFormat="1" ht="30.75" customHeight="1">
      <c r="A14" s="74">
        <f t="shared" si="0"/>
        <v>6</v>
      </c>
      <c r="B14" s="75"/>
      <c r="C14" s="76"/>
      <c r="D14" s="71" t="s">
        <v>1243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3"/>
      <c r="AA14" s="74" t="s">
        <v>429</v>
      </c>
      <c r="AB14" s="75"/>
      <c r="AC14" s="75"/>
      <c r="AD14" s="75"/>
      <c r="AE14" s="76"/>
      <c r="AF14" s="74">
        <v>5</v>
      </c>
      <c r="AG14" s="75"/>
      <c r="AH14" s="76"/>
      <c r="AI14" s="86"/>
      <c r="AJ14" s="86"/>
      <c r="AK14" s="86"/>
      <c r="AL14" s="68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70"/>
    </row>
    <row r="15" spans="1:70" s="1" customFormat="1" ht="30.75" customHeight="1">
      <c r="A15" s="74">
        <f t="shared" si="0"/>
        <v>7</v>
      </c>
      <c r="B15" s="75"/>
      <c r="C15" s="76"/>
      <c r="D15" s="71" t="s">
        <v>1244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3"/>
      <c r="AA15" s="74" t="s">
        <v>428</v>
      </c>
      <c r="AB15" s="75"/>
      <c r="AC15" s="75"/>
      <c r="AD15" s="75"/>
      <c r="AE15" s="76"/>
      <c r="AF15" s="74">
        <v>3</v>
      </c>
      <c r="AG15" s="75"/>
      <c r="AH15" s="76"/>
      <c r="AI15" s="86"/>
      <c r="AJ15" s="86"/>
      <c r="AK15" s="86"/>
      <c r="AL15" s="68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70"/>
    </row>
    <row r="16" spans="1:70" s="1" customFormat="1" ht="30.75" customHeight="1">
      <c r="A16" s="74">
        <f t="shared" si="0"/>
        <v>8</v>
      </c>
      <c r="B16" s="75"/>
      <c r="C16" s="76"/>
      <c r="D16" s="71" t="s">
        <v>1245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3"/>
      <c r="AA16" s="74" t="s">
        <v>428</v>
      </c>
      <c r="AB16" s="75"/>
      <c r="AC16" s="75"/>
      <c r="AD16" s="75"/>
      <c r="AE16" s="76"/>
      <c r="AF16" s="74">
        <v>25</v>
      </c>
      <c r="AG16" s="75"/>
      <c r="AH16" s="76"/>
      <c r="AI16" s="86"/>
      <c r="AJ16" s="86"/>
      <c r="AK16" s="86"/>
      <c r="AL16" s="68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70"/>
    </row>
    <row r="17" spans="1:68" s="1" customFormat="1" ht="30.75" customHeight="1">
      <c r="A17" s="74">
        <f t="shared" si="0"/>
        <v>9</v>
      </c>
      <c r="B17" s="75"/>
      <c r="C17" s="76"/>
      <c r="D17" s="71" t="s">
        <v>1246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3"/>
      <c r="AA17" s="74" t="s">
        <v>429</v>
      </c>
      <c r="AB17" s="75"/>
      <c r="AC17" s="75"/>
      <c r="AD17" s="75"/>
      <c r="AE17" s="76"/>
      <c r="AF17" s="74">
        <v>8</v>
      </c>
      <c r="AG17" s="75"/>
      <c r="AH17" s="76"/>
      <c r="AI17" s="86"/>
      <c r="AJ17" s="86"/>
      <c r="AK17" s="86"/>
      <c r="AL17" s="68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70"/>
    </row>
    <row r="18" spans="1:68" s="1" customFormat="1" ht="30.75" customHeight="1">
      <c r="A18" s="74">
        <f t="shared" si="0"/>
        <v>10</v>
      </c>
      <c r="B18" s="75"/>
      <c r="C18" s="76"/>
      <c r="D18" s="71" t="s">
        <v>1247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3"/>
      <c r="AA18" s="74" t="s">
        <v>427</v>
      </c>
      <c r="AB18" s="75"/>
      <c r="AC18" s="75"/>
      <c r="AD18" s="75"/>
      <c r="AE18" s="76"/>
      <c r="AF18" s="74"/>
      <c r="AG18" s="75"/>
      <c r="AH18" s="76"/>
      <c r="AI18" s="86"/>
      <c r="AJ18" s="86"/>
      <c r="AK18" s="86"/>
      <c r="AL18" s="68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70"/>
    </row>
    <row r="19" spans="1:68" s="1" customFormat="1" ht="30.75" customHeight="1">
      <c r="A19" s="74">
        <f t="shared" si="0"/>
        <v>11</v>
      </c>
      <c r="B19" s="75"/>
      <c r="C19" s="76"/>
      <c r="D19" s="71" t="s">
        <v>1248</v>
      </c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3"/>
      <c r="AA19" s="74" t="s">
        <v>428</v>
      </c>
      <c r="AB19" s="75"/>
      <c r="AC19" s="75"/>
      <c r="AD19" s="75"/>
      <c r="AE19" s="76"/>
      <c r="AF19" s="74">
        <v>78</v>
      </c>
      <c r="AG19" s="75"/>
      <c r="AH19" s="76"/>
      <c r="AI19" s="86"/>
      <c r="AJ19" s="86"/>
      <c r="AK19" s="86"/>
      <c r="AL19" s="68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70"/>
    </row>
    <row r="20" spans="1:68" s="1" customFormat="1" ht="30.75" customHeight="1">
      <c r="A20" s="74">
        <f t="shared" si="0"/>
        <v>12</v>
      </c>
      <c r="B20" s="75"/>
      <c r="C20" s="76"/>
      <c r="D20" s="71" t="s">
        <v>1249</v>
      </c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3"/>
      <c r="AA20" s="74" t="s">
        <v>428</v>
      </c>
      <c r="AB20" s="75"/>
      <c r="AC20" s="75"/>
      <c r="AD20" s="75"/>
      <c r="AE20" s="76"/>
      <c r="AF20" s="74">
        <v>10</v>
      </c>
      <c r="AG20" s="75"/>
      <c r="AH20" s="76"/>
      <c r="AI20" s="74"/>
      <c r="AJ20" s="75"/>
      <c r="AK20" s="76"/>
      <c r="AL20" s="68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70"/>
    </row>
    <row r="21" spans="1:68" s="1" customFormat="1" ht="30.75" customHeight="1">
      <c r="A21" s="74">
        <f t="shared" si="0"/>
        <v>13</v>
      </c>
      <c r="B21" s="75"/>
      <c r="C21" s="76"/>
      <c r="D21" s="71" t="s">
        <v>1250</v>
      </c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3"/>
      <c r="AA21" s="74" t="s">
        <v>428</v>
      </c>
      <c r="AB21" s="75"/>
      <c r="AC21" s="75"/>
      <c r="AD21" s="75"/>
      <c r="AE21" s="76"/>
      <c r="AF21" s="74">
        <v>9</v>
      </c>
      <c r="AG21" s="75"/>
      <c r="AH21" s="76"/>
      <c r="AI21" s="74"/>
      <c r="AJ21" s="75"/>
      <c r="AK21" s="76"/>
      <c r="AL21" s="68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70"/>
    </row>
    <row r="22" spans="1:68" s="1" customFormat="1" ht="30.75" customHeight="1">
      <c r="A22" s="74">
        <f t="shared" si="0"/>
        <v>14</v>
      </c>
      <c r="B22" s="75"/>
      <c r="C22" s="76"/>
      <c r="D22" s="71" t="s">
        <v>1251</v>
      </c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3"/>
      <c r="AA22" s="74" t="s">
        <v>429</v>
      </c>
      <c r="AB22" s="75"/>
      <c r="AC22" s="75"/>
      <c r="AD22" s="75"/>
      <c r="AE22" s="76"/>
      <c r="AF22" s="74">
        <v>15</v>
      </c>
      <c r="AG22" s="75"/>
      <c r="AH22" s="76"/>
      <c r="AI22" s="74"/>
      <c r="AJ22" s="75"/>
      <c r="AK22" s="76"/>
      <c r="AL22" s="68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70"/>
    </row>
    <row r="23" spans="1:68" s="1" customFormat="1" ht="30.75" customHeight="1">
      <c r="A23" s="74">
        <f t="shared" si="0"/>
        <v>15</v>
      </c>
      <c r="B23" s="75"/>
      <c r="C23" s="76"/>
      <c r="D23" s="71" t="s">
        <v>1252</v>
      </c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3"/>
      <c r="AA23" s="74" t="s">
        <v>429</v>
      </c>
      <c r="AB23" s="75"/>
      <c r="AC23" s="75"/>
      <c r="AD23" s="75"/>
      <c r="AE23" s="76"/>
      <c r="AF23" s="74">
        <v>15</v>
      </c>
      <c r="AG23" s="75"/>
      <c r="AH23" s="76"/>
      <c r="AI23" s="74"/>
      <c r="AJ23" s="75"/>
      <c r="AK23" s="76"/>
      <c r="AL23" s="68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70"/>
    </row>
    <row r="24" spans="1:68" s="1" customFormat="1" ht="30.75" customHeight="1">
      <c r="A24" s="74">
        <f t="shared" si="0"/>
        <v>16</v>
      </c>
      <c r="B24" s="75"/>
      <c r="C24" s="76"/>
      <c r="D24" s="71" t="s">
        <v>1253</v>
      </c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3"/>
      <c r="AA24" s="74" t="s">
        <v>429</v>
      </c>
      <c r="AB24" s="75"/>
      <c r="AC24" s="75"/>
      <c r="AD24" s="75"/>
      <c r="AE24" s="76"/>
      <c r="AF24" s="74">
        <v>15</v>
      </c>
      <c r="AG24" s="75"/>
      <c r="AH24" s="76"/>
      <c r="AI24" s="74"/>
      <c r="AJ24" s="75"/>
      <c r="AK24" s="76"/>
      <c r="AL24" s="68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70"/>
    </row>
    <row r="25" spans="1:68" s="1" customFormat="1" ht="30.75" customHeight="1">
      <c r="A25" s="74">
        <f t="shared" si="0"/>
        <v>17</v>
      </c>
      <c r="B25" s="75"/>
      <c r="C25" s="76"/>
      <c r="D25" s="71" t="s">
        <v>1254</v>
      </c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3"/>
      <c r="AA25" s="74" t="s">
        <v>428</v>
      </c>
      <c r="AB25" s="75"/>
      <c r="AC25" s="75"/>
      <c r="AD25" s="75"/>
      <c r="AE25" s="76"/>
      <c r="AF25" s="74">
        <v>9</v>
      </c>
      <c r="AG25" s="75"/>
      <c r="AH25" s="76"/>
      <c r="AI25" s="74"/>
      <c r="AJ25" s="75"/>
      <c r="AK25" s="76"/>
      <c r="AL25" s="68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70"/>
    </row>
    <row r="26" spans="1:68" s="1" customFormat="1" ht="30.75" customHeight="1">
      <c r="A26" s="74">
        <f t="shared" si="0"/>
        <v>18</v>
      </c>
      <c r="B26" s="75"/>
      <c r="C26" s="76"/>
      <c r="D26" s="71" t="s">
        <v>1255</v>
      </c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3"/>
      <c r="AA26" s="74" t="s">
        <v>429</v>
      </c>
      <c r="AB26" s="75"/>
      <c r="AC26" s="75"/>
      <c r="AD26" s="75"/>
      <c r="AE26" s="76"/>
      <c r="AF26" s="74">
        <v>15</v>
      </c>
      <c r="AG26" s="75"/>
      <c r="AH26" s="76"/>
      <c r="AI26" s="74"/>
      <c r="AJ26" s="75"/>
      <c r="AK26" s="76"/>
      <c r="AL26" s="68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70"/>
    </row>
    <row r="27" spans="1:68" s="1" customFormat="1" ht="30.75" customHeight="1">
      <c r="A27" s="74">
        <f t="shared" si="0"/>
        <v>19</v>
      </c>
      <c r="B27" s="75"/>
      <c r="C27" s="76"/>
      <c r="D27" s="71" t="s">
        <v>1256</v>
      </c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3"/>
      <c r="AA27" s="74" t="s">
        <v>429</v>
      </c>
      <c r="AB27" s="75"/>
      <c r="AC27" s="75"/>
      <c r="AD27" s="75"/>
      <c r="AE27" s="76"/>
      <c r="AF27" s="74">
        <v>15</v>
      </c>
      <c r="AG27" s="75"/>
      <c r="AH27" s="76"/>
      <c r="AI27" s="86"/>
      <c r="AJ27" s="86"/>
      <c r="AK27" s="86"/>
      <c r="AL27" s="68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70"/>
    </row>
    <row r="28" spans="1:68" s="1" customFormat="1" ht="30.75" customHeight="1">
      <c r="A28" s="74">
        <f t="shared" si="0"/>
        <v>20</v>
      </c>
      <c r="B28" s="75"/>
      <c r="C28" s="76"/>
      <c r="D28" s="71" t="s">
        <v>1257</v>
      </c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3"/>
      <c r="AA28" s="74" t="s">
        <v>429</v>
      </c>
      <c r="AB28" s="75"/>
      <c r="AC28" s="75"/>
      <c r="AD28" s="75"/>
      <c r="AE28" s="76"/>
      <c r="AF28" s="74">
        <v>15</v>
      </c>
      <c r="AG28" s="75"/>
      <c r="AH28" s="76"/>
      <c r="AI28" s="86"/>
      <c r="AJ28" s="86"/>
      <c r="AK28" s="86"/>
      <c r="AL28" s="68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70"/>
    </row>
    <row r="29" spans="1:68" s="1" customFormat="1" ht="30.75" customHeight="1">
      <c r="A29" s="74">
        <f t="shared" si="0"/>
        <v>21</v>
      </c>
      <c r="B29" s="75"/>
      <c r="C29" s="76"/>
      <c r="D29" s="71" t="s">
        <v>1258</v>
      </c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3"/>
      <c r="AA29" s="74" t="s">
        <v>429</v>
      </c>
      <c r="AB29" s="75"/>
      <c r="AC29" s="75"/>
      <c r="AD29" s="75"/>
      <c r="AE29" s="76"/>
      <c r="AF29" s="74">
        <v>15</v>
      </c>
      <c r="AG29" s="75"/>
      <c r="AH29" s="76"/>
      <c r="AI29" s="86"/>
      <c r="AJ29" s="86"/>
      <c r="AK29" s="86"/>
      <c r="AL29" s="68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70"/>
    </row>
    <row r="30" spans="1:68" s="1" customFormat="1" ht="30.75" customHeight="1">
      <c r="A30" s="74">
        <f t="shared" si="0"/>
        <v>22</v>
      </c>
      <c r="B30" s="75"/>
      <c r="C30" s="76"/>
      <c r="D30" s="71" t="s">
        <v>1259</v>
      </c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3"/>
      <c r="AA30" s="74" t="s">
        <v>429</v>
      </c>
      <c r="AB30" s="75"/>
      <c r="AC30" s="75"/>
      <c r="AD30" s="75"/>
      <c r="AE30" s="76"/>
      <c r="AF30" s="74">
        <v>15</v>
      </c>
      <c r="AG30" s="75"/>
      <c r="AH30" s="76"/>
      <c r="AI30" s="86"/>
      <c r="AJ30" s="86"/>
      <c r="AK30" s="86"/>
      <c r="AL30" s="68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70"/>
    </row>
    <row r="31" spans="1:68" s="1" customFormat="1" ht="30.75" customHeight="1">
      <c r="A31" s="74">
        <f t="shared" si="0"/>
        <v>23</v>
      </c>
      <c r="B31" s="75"/>
      <c r="C31" s="76"/>
      <c r="D31" s="71" t="s">
        <v>1260</v>
      </c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3"/>
      <c r="AA31" s="74" t="s">
        <v>429</v>
      </c>
      <c r="AB31" s="75"/>
      <c r="AC31" s="75"/>
      <c r="AD31" s="75"/>
      <c r="AE31" s="76"/>
      <c r="AF31" s="74">
        <v>15</v>
      </c>
      <c r="AG31" s="75"/>
      <c r="AH31" s="76"/>
      <c r="AI31" s="86"/>
      <c r="AJ31" s="86"/>
      <c r="AK31" s="86"/>
      <c r="AL31" s="68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70"/>
    </row>
    <row r="32" spans="1:68" s="1" customFormat="1" ht="30.75" customHeight="1">
      <c r="A32" s="74">
        <f t="shared" si="0"/>
        <v>24</v>
      </c>
      <c r="B32" s="75"/>
      <c r="C32" s="76"/>
      <c r="D32" s="71" t="s">
        <v>1261</v>
      </c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3"/>
      <c r="AA32" s="74" t="s">
        <v>427</v>
      </c>
      <c r="AB32" s="75"/>
      <c r="AC32" s="75"/>
      <c r="AD32" s="75"/>
      <c r="AE32" s="76"/>
      <c r="AF32" s="74"/>
      <c r="AG32" s="75"/>
      <c r="AH32" s="76"/>
      <c r="AI32" s="86"/>
      <c r="AJ32" s="86"/>
      <c r="AK32" s="86"/>
      <c r="AL32" s="68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70"/>
    </row>
    <row r="33" spans="1:68" s="1" customFormat="1" ht="30.75" customHeight="1">
      <c r="A33" s="74">
        <f t="shared" si="0"/>
        <v>25</v>
      </c>
      <c r="B33" s="75"/>
      <c r="C33" s="76"/>
      <c r="D33" s="71" t="s">
        <v>1248</v>
      </c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3"/>
      <c r="AA33" s="74" t="s">
        <v>428</v>
      </c>
      <c r="AB33" s="75"/>
      <c r="AC33" s="75"/>
      <c r="AD33" s="75"/>
      <c r="AE33" s="76"/>
      <c r="AF33" s="74">
        <v>78</v>
      </c>
      <c r="AG33" s="75"/>
      <c r="AH33" s="76"/>
      <c r="AI33" s="86"/>
      <c r="AJ33" s="86"/>
      <c r="AK33" s="86"/>
      <c r="AL33" s="68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70"/>
    </row>
    <row r="34" spans="1:68" s="1" customFormat="1" ht="30.75" customHeight="1">
      <c r="A34" s="74">
        <f t="shared" si="0"/>
        <v>26</v>
      </c>
      <c r="B34" s="75"/>
      <c r="C34" s="76"/>
      <c r="D34" s="71" t="s">
        <v>1249</v>
      </c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3"/>
      <c r="AA34" s="74" t="s">
        <v>428</v>
      </c>
      <c r="AB34" s="75"/>
      <c r="AC34" s="75"/>
      <c r="AD34" s="75"/>
      <c r="AE34" s="76"/>
      <c r="AF34" s="74">
        <v>8</v>
      </c>
      <c r="AG34" s="75"/>
      <c r="AH34" s="76"/>
      <c r="AI34" s="86"/>
      <c r="AJ34" s="86"/>
      <c r="AK34" s="86"/>
      <c r="AL34" s="68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70"/>
    </row>
    <row r="35" spans="1:68" s="1" customFormat="1" ht="30.75" customHeight="1">
      <c r="A35" s="74">
        <f t="shared" si="0"/>
        <v>27</v>
      </c>
      <c r="B35" s="75"/>
      <c r="C35" s="76"/>
      <c r="D35" s="71" t="s">
        <v>1262</v>
      </c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3"/>
      <c r="AA35" s="74" t="s">
        <v>428</v>
      </c>
      <c r="AB35" s="75"/>
      <c r="AC35" s="75"/>
      <c r="AD35" s="75"/>
      <c r="AE35" s="76"/>
      <c r="AF35" s="74">
        <v>60</v>
      </c>
      <c r="AG35" s="75"/>
      <c r="AH35" s="76"/>
      <c r="AI35" s="86"/>
      <c r="AJ35" s="86"/>
      <c r="AK35" s="86"/>
      <c r="AL35" s="68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70"/>
    </row>
    <row r="36" spans="1:68" s="1" customFormat="1" ht="30.75" customHeight="1">
      <c r="A36" s="74">
        <f t="shared" si="0"/>
        <v>28</v>
      </c>
      <c r="B36" s="75"/>
      <c r="C36" s="76"/>
      <c r="D36" s="71" t="s">
        <v>1263</v>
      </c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3"/>
      <c r="AA36" s="74" t="s">
        <v>429</v>
      </c>
      <c r="AB36" s="75"/>
      <c r="AC36" s="75"/>
      <c r="AD36" s="75"/>
      <c r="AE36" s="76"/>
      <c r="AF36" s="74">
        <v>15</v>
      </c>
      <c r="AG36" s="75"/>
      <c r="AH36" s="76"/>
      <c r="AI36" s="86"/>
      <c r="AJ36" s="86"/>
      <c r="AK36" s="86"/>
      <c r="AL36" s="68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70"/>
    </row>
    <row r="37" spans="1:68" s="1" customFormat="1" ht="30.75" customHeight="1">
      <c r="A37" s="74">
        <f t="shared" si="0"/>
        <v>29</v>
      </c>
      <c r="B37" s="75"/>
      <c r="C37" s="76"/>
      <c r="D37" s="71" t="s">
        <v>1264</v>
      </c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3"/>
      <c r="AA37" s="74" t="s">
        <v>429</v>
      </c>
      <c r="AB37" s="75"/>
      <c r="AC37" s="75"/>
      <c r="AD37" s="75"/>
      <c r="AE37" s="76"/>
      <c r="AF37" s="74">
        <v>15</v>
      </c>
      <c r="AG37" s="75"/>
      <c r="AH37" s="76"/>
      <c r="AI37" s="74"/>
      <c r="AJ37" s="75"/>
      <c r="AK37" s="76"/>
      <c r="AL37" s="68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70"/>
    </row>
    <row r="38" spans="1:68" s="1" customFormat="1" ht="30.75" customHeight="1">
      <c r="A38" s="74">
        <f t="shared" si="0"/>
        <v>30</v>
      </c>
      <c r="B38" s="75"/>
      <c r="C38" s="76"/>
      <c r="D38" s="71" t="s">
        <v>1265</v>
      </c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3"/>
      <c r="AA38" s="74" t="s">
        <v>429</v>
      </c>
      <c r="AB38" s="75"/>
      <c r="AC38" s="75"/>
      <c r="AD38" s="75"/>
      <c r="AE38" s="76"/>
      <c r="AF38" s="74">
        <v>15</v>
      </c>
      <c r="AG38" s="75"/>
      <c r="AH38" s="76"/>
      <c r="AI38" s="86"/>
      <c r="AJ38" s="86"/>
      <c r="AK38" s="86"/>
      <c r="AL38" s="68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70"/>
    </row>
    <row r="39" spans="1:68" s="1" customFormat="1" ht="30.75" customHeight="1">
      <c r="A39" s="74">
        <f t="shared" si="0"/>
        <v>31</v>
      </c>
      <c r="B39" s="75"/>
      <c r="C39" s="76"/>
      <c r="D39" s="71" t="s">
        <v>1258</v>
      </c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3"/>
      <c r="AA39" s="74" t="s">
        <v>429</v>
      </c>
      <c r="AB39" s="75"/>
      <c r="AC39" s="75"/>
      <c r="AD39" s="75"/>
      <c r="AE39" s="76"/>
      <c r="AF39" s="74">
        <v>15</v>
      </c>
      <c r="AG39" s="75"/>
      <c r="AH39" s="76"/>
      <c r="AI39" s="86"/>
      <c r="AJ39" s="86"/>
      <c r="AK39" s="86"/>
      <c r="AL39" s="68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70"/>
    </row>
    <row r="40" spans="1:68" s="1" customFormat="1" ht="30.75" customHeight="1">
      <c r="A40" s="74">
        <f t="shared" si="0"/>
        <v>32</v>
      </c>
      <c r="B40" s="75"/>
      <c r="C40" s="76"/>
      <c r="D40" s="71" t="s">
        <v>1259</v>
      </c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3"/>
      <c r="AA40" s="74" t="s">
        <v>429</v>
      </c>
      <c r="AB40" s="75"/>
      <c r="AC40" s="75"/>
      <c r="AD40" s="75"/>
      <c r="AE40" s="76"/>
      <c r="AF40" s="74">
        <v>15</v>
      </c>
      <c r="AG40" s="75"/>
      <c r="AH40" s="76"/>
      <c r="AI40" s="86"/>
      <c r="AJ40" s="86"/>
      <c r="AK40" s="86"/>
      <c r="AL40" s="68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70"/>
    </row>
    <row r="41" spans="1:68" s="1" customFormat="1" ht="30.75" customHeight="1">
      <c r="A41" s="74">
        <f t="shared" si="0"/>
        <v>33</v>
      </c>
      <c r="B41" s="75"/>
      <c r="C41" s="76"/>
      <c r="D41" s="71" t="s">
        <v>1260</v>
      </c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3"/>
      <c r="AA41" s="74" t="s">
        <v>429</v>
      </c>
      <c r="AB41" s="75"/>
      <c r="AC41" s="75"/>
      <c r="AD41" s="75"/>
      <c r="AE41" s="76"/>
      <c r="AF41" s="74">
        <v>15</v>
      </c>
      <c r="AG41" s="75"/>
      <c r="AH41" s="76"/>
      <c r="AI41" s="74"/>
      <c r="AJ41" s="75"/>
      <c r="AK41" s="76"/>
      <c r="AL41" s="68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70"/>
    </row>
    <row r="42" spans="1:68" s="1" customFormat="1" ht="30.75" customHeight="1">
      <c r="A42" s="74">
        <f t="shared" si="0"/>
        <v>34</v>
      </c>
      <c r="B42" s="75"/>
      <c r="C42" s="76"/>
      <c r="D42" s="71" t="s">
        <v>1266</v>
      </c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3"/>
      <c r="AA42" s="74" t="s">
        <v>429</v>
      </c>
      <c r="AB42" s="75"/>
      <c r="AC42" s="75"/>
      <c r="AD42" s="75"/>
      <c r="AE42" s="76"/>
      <c r="AF42" s="74">
        <v>15</v>
      </c>
      <c r="AG42" s="75"/>
      <c r="AH42" s="76"/>
      <c r="AI42" s="74"/>
      <c r="AJ42" s="75"/>
      <c r="AK42" s="76"/>
      <c r="AL42" s="68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70"/>
    </row>
    <row r="43" spans="1:68" s="1" customFormat="1" ht="30.75" customHeight="1">
      <c r="A43" s="74">
        <f t="shared" si="0"/>
        <v>35</v>
      </c>
      <c r="B43" s="75"/>
      <c r="C43" s="76"/>
      <c r="D43" s="71" t="s">
        <v>1267</v>
      </c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3"/>
      <c r="AA43" s="74" t="s">
        <v>429</v>
      </c>
      <c r="AB43" s="75"/>
      <c r="AC43" s="75"/>
      <c r="AD43" s="75"/>
      <c r="AE43" s="76"/>
      <c r="AF43" s="74">
        <v>15</v>
      </c>
      <c r="AG43" s="75"/>
      <c r="AH43" s="76"/>
      <c r="AI43" s="74"/>
      <c r="AJ43" s="75"/>
      <c r="AK43" s="76"/>
      <c r="AL43" s="83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5"/>
    </row>
    <row r="44" spans="1:68" s="1" customFormat="1" ht="30.75" customHeight="1">
      <c r="A44" s="80">
        <f t="shared" si="0"/>
        <v>36</v>
      </c>
      <c r="B44" s="81"/>
      <c r="C44" s="82"/>
      <c r="D44" s="71" t="s">
        <v>1268</v>
      </c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3"/>
      <c r="AA44" s="74" t="s">
        <v>429</v>
      </c>
      <c r="AB44" s="75"/>
      <c r="AC44" s="75"/>
      <c r="AD44" s="75"/>
      <c r="AE44" s="76"/>
      <c r="AF44" s="74">
        <v>15</v>
      </c>
      <c r="AG44" s="75"/>
      <c r="AH44" s="76"/>
      <c r="AI44" s="80"/>
      <c r="AJ44" s="81"/>
      <c r="AK44" s="82"/>
      <c r="AL44" s="83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5"/>
    </row>
    <row r="45" spans="1:68" s="1" customFormat="1" ht="30.75" customHeight="1">
      <c r="A45" s="74"/>
      <c r="B45" s="75"/>
      <c r="C45" s="76"/>
      <c r="D45" s="71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3"/>
      <c r="AA45" s="74"/>
      <c r="AB45" s="75"/>
      <c r="AC45" s="75"/>
      <c r="AD45" s="75"/>
      <c r="AE45" s="76"/>
      <c r="AF45" s="86"/>
      <c r="AG45" s="86"/>
      <c r="AH45" s="86"/>
      <c r="AI45" s="86"/>
      <c r="AJ45" s="86"/>
      <c r="AK45" s="86"/>
      <c r="AL45" s="68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  <c r="BP45" s="70"/>
    </row>
    <row r="46" spans="1:68" s="1" customFormat="1" ht="30.75" customHeight="1">
      <c r="A46" s="80"/>
      <c r="B46" s="81"/>
      <c r="C46" s="82"/>
      <c r="D46" s="77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9"/>
      <c r="AA46" s="80"/>
      <c r="AB46" s="81"/>
      <c r="AC46" s="81"/>
      <c r="AD46" s="81"/>
      <c r="AE46" s="82"/>
      <c r="AF46" s="87"/>
      <c r="AG46" s="87"/>
      <c r="AH46" s="87"/>
      <c r="AI46" s="87"/>
      <c r="AJ46" s="87"/>
      <c r="AK46" s="87"/>
      <c r="AL46" s="83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5"/>
    </row>
    <row r="47" spans="1:68" s="4" customFormat="1" ht="3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3"/>
      <c r="AG47" s="3"/>
      <c r="AH47" s="3"/>
      <c r="AI47" s="3"/>
      <c r="AJ47" s="3"/>
      <c r="AK47" s="3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</row>
    <row r="48" spans="1:68" s="4" customFormat="1" ht="14.25">
      <c r="A48" s="5" t="s">
        <v>14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15"/>
      <c r="AG48" s="15"/>
      <c r="AH48" s="15"/>
      <c r="AI48" s="15"/>
      <c r="AJ48" s="15"/>
      <c r="AK48" s="15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6"/>
    </row>
    <row r="49" spans="1:68" s="4" customFormat="1" ht="20.25" customHeight="1">
      <c r="A49" s="5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6"/>
    </row>
    <row r="50" spans="1:68" s="4" customFormat="1" ht="20.25" customHeight="1">
      <c r="A50" s="5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6"/>
    </row>
    <row r="51" spans="1:68" s="4" customFormat="1" ht="20.25" customHeight="1">
      <c r="A51" s="5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6"/>
    </row>
    <row r="52" spans="1:68" s="4" customFormat="1" ht="20.25" customHeight="1">
      <c r="A52" s="5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6"/>
    </row>
    <row r="53" spans="1:68" s="4" customFormat="1" ht="20.25" customHeight="1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9"/>
    </row>
    <row r="54" spans="1:68" ht="5.25" customHeight="1"/>
  </sheetData>
  <mergeCells count="253">
    <mergeCell ref="A43:C43"/>
    <mergeCell ref="D43:Z43"/>
    <mergeCell ref="AA43:AE43"/>
    <mergeCell ref="AF43:AH43"/>
    <mergeCell ref="AI43:AK43"/>
    <mergeCell ref="AL43:BP43"/>
    <mergeCell ref="A44:C44"/>
    <mergeCell ref="D44:Z44"/>
    <mergeCell ref="AA44:AE44"/>
    <mergeCell ref="AF44:AH44"/>
    <mergeCell ref="AI44:AK44"/>
    <mergeCell ref="AL44:BP44"/>
    <mergeCell ref="A41:C41"/>
    <mergeCell ref="D41:Z41"/>
    <mergeCell ref="AA41:AE41"/>
    <mergeCell ref="AF41:AH41"/>
    <mergeCell ref="AI41:AK41"/>
    <mergeCell ref="AL41:BP41"/>
    <mergeCell ref="A42:C42"/>
    <mergeCell ref="D42:Z42"/>
    <mergeCell ref="AA42:AE42"/>
    <mergeCell ref="AF42:AH42"/>
    <mergeCell ref="AI42:AK42"/>
    <mergeCell ref="AL42:BP42"/>
    <mergeCell ref="A39:C39"/>
    <mergeCell ref="D39:Z39"/>
    <mergeCell ref="AA39:AE39"/>
    <mergeCell ref="AF39:AH39"/>
    <mergeCell ref="AI39:AK39"/>
    <mergeCell ref="AL39:BP39"/>
    <mergeCell ref="A40:C40"/>
    <mergeCell ref="D40:Z40"/>
    <mergeCell ref="AA40:AE40"/>
    <mergeCell ref="AF40:AH40"/>
    <mergeCell ref="AI40:AK40"/>
    <mergeCell ref="AL40:BP40"/>
    <mergeCell ref="A37:C37"/>
    <mergeCell ref="D37:Z37"/>
    <mergeCell ref="AA37:AE37"/>
    <mergeCell ref="AF37:AH37"/>
    <mergeCell ref="AI37:AK37"/>
    <mergeCell ref="AL37:BP37"/>
    <mergeCell ref="A38:C38"/>
    <mergeCell ref="D38:Z38"/>
    <mergeCell ref="AA38:AE38"/>
    <mergeCell ref="AF38:AH38"/>
    <mergeCell ref="AI38:AK38"/>
    <mergeCell ref="AL38:BP38"/>
    <mergeCell ref="A35:C35"/>
    <mergeCell ref="D35:Z35"/>
    <mergeCell ref="AA35:AE35"/>
    <mergeCell ref="AF35:AH35"/>
    <mergeCell ref="AI35:AK35"/>
    <mergeCell ref="AL35:BP35"/>
    <mergeCell ref="A36:C36"/>
    <mergeCell ref="D36:Z36"/>
    <mergeCell ref="AA36:AE36"/>
    <mergeCell ref="AF36:AH36"/>
    <mergeCell ref="AI36:AK36"/>
    <mergeCell ref="AL36:BP36"/>
    <mergeCell ref="A33:C33"/>
    <mergeCell ref="D33:Z33"/>
    <mergeCell ref="AA33:AE33"/>
    <mergeCell ref="AF33:AH33"/>
    <mergeCell ref="AI33:AK33"/>
    <mergeCell ref="AL33:BP33"/>
    <mergeCell ref="A34:C34"/>
    <mergeCell ref="D34:Z34"/>
    <mergeCell ref="AA34:AE34"/>
    <mergeCell ref="AF34:AH34"/>
    <mergeCell ref="AI34:AK34"/>
    <mergeCell ref="AL34:BP34"/>
    <mergeCell ref="A31:C31"/>
    <mergeCell ref="D31:Z31"/>
    <mergeCell ref="AA31:AE31"/>
    <mergeCell ref="AF31:AH31"/>
    <mergeCell ref="AI31:AK31"/>
    <mergeCell ref="AL31:BP31"/>
    <mergeCell ref="A32:C32"/>
    <mergeCell ref="D32:Z32"/>
    <mergeCell ref="AA32:AE32"/>
    <mergeCell ref="AF32:AH32"/>
    <mergeCell ref="AI32:AK32"/>
    <mergeCell ref="AL32:BP32"/>
    <mergeCell ref="A29:C29"/>
    <mergeCell ref="D29:Z29"/>
    <mergeCell ref="AA29:AE29"/>
    <mergeCell ref="AF29:AH29"/>
    <mergeCell ref="AI29:AK29"/>
    <mergeCell ref="AL29:BP29"/>
    <mergeCell ref="A30:C30"/>
    <mergeCell ref="D30:Z30"/>
    <mergeCell ref="AA30:AE30"/>
    <mergeCell ref="AF30:AH30"/>
    <mergeCell ref="AI30:AK30"/>
    <mergeCell ref="AL30:BP30"/>
    <mergeCell ref="A27:C27"/>
    <mergeCell ref="D27:Z27"/>
    <mergeCell ref="AA27:AE27"/>
    <mergeCell ref="AF27:AH27"/>
    <mergeCell ref="AI27:AK27"/>
    <mergeCell ref="AL27:BP27"/>
    <mergeCell ref="A28:C28"/>
    <mergeCell ref="D28:Z28"/>
    <mergeCell ref="AA28:AE28"/>
    <mergeCell ref="AF28:AH28"/>
    <mergeCell ref="AI28:AK28"/>
    <mergeCell ref="AL28:BP28"/>
    <mergeCell ref="A25:C25"/>
    <mergeCell ref="D25:Z25"/>
    <mergeCell ref="AA25:AE25"/>
    <mergeCell ref="AF25:AH25"/>
    <mergeCell ref="AI25:AK25"/>
    <mergeCell ref="AL25:BP25"/>
    <mergeCell ref="A26:C26"/>
    <mergeCell ref="D26:Z26"/>
    <mergeCell ref="AA26:AE26"/>
    <mergeCell ref="AF26:AH26"/>
    <mergeCell ref="AI26:AK26"/>
    <mergeCell ref="AL26:BP26"/>
    <mergeCell ref="A23:C23"/>
    <mergeCell ref="D23:Z23"/>
    <mergeCell ref="AA23:AE23"/>
    <mergeCell ref="AF23:AH23"/>
    <mergeCell ref="AI23:AK23"/>
    <mergeCell ref="AL23:BP23"/>
    <mergeCell ref="A24:C24"/>
    <mergeCell ref="D24:Z24"/>
    <mergeCell ref="AA24:AE24"/>
    <mergeCell ref="AF24:AH24"/>
    <mergeCell ref="AI24:AK24"/>
    <mergeCell ref="AL24:BP24"/>
    <mergeCell ref="A21:C21"/>
    <mergeCell ref="D21:Z21"/>
    <mergeCell ref="AA21:AE21"/>
    <mergeCell ref="AF21:AH21"/>
    <mergeCell ref="AI21:AK21"/>
    <mergeCell ref="AL21:BP21"/>
    <mergeCell ref="A22:C22"/>
    <mergeCell ref="D22:Z22"/>
    <mergeCell ref="AA22:AE22"/>
    <mergeCell ref="AF22:AH22"/>
    <mergeCell ref="AI22:AK22"/>
    <mergeCell ref="AL22:BP22"/>
    <mergeCell ref="A19:C19"/>
    <mergeCell ref="D19:Z19"/>
    <mergeCell ref="AA19:AE19"/>
    <mergeCell ref="AF19:AH19"/>
    <mergeCell ref="AI19:AK19"/>
    <mergeCell ref="AL19:BP19"/>
    <mergeCell ref="A20:C20"/>
    <mergeCell ref="D20:Z20"/>
    <mergeCell ref="AA20:AE20"/>
    <mergeCell ref="AF20:AH20"/>
    <mergeCell ref="AI20:AK20"/>
    <mergeCell ref="AL20:BP20"/>
    <mergeCell ref="A17:C17"/>
    <mergeCell ref="D17:Z17"/>
    <mergeCell ref="AA17:AE17"/>
    <mergeCell ref="AF17:AH17"/>
    <mergeCell ref="AI17:AK17"/>
    <mergeCell ref="AL17:BP17"/>
    <mergeCell ref="A18:C18"/>
    <mergeCell ref="D18:Z18"/>
    <mergeCell ref="AA18:AE18"/>
    <mergeCell ref="AF18:AH18"/>
    <mergeCell ref="AI18:AK18"/>
    <mergeCell ref="AL18:BP18"/>
    <mergeCell ref="A15:C15"/>
    <mergeCell ref="D15:Z15"/>
    <mergeCell ref="AA15:AE15"/>
    <mergeCell ref="AF15:AH15"/>
    <mergeCell ref="AI15:AK15"/>
    <mergeCell ref="AL15:BP15"/>
    <mergeCell ref="A16:C16"/>
    <mergeCell ref="D16:Z16"/>
    <mergeCell ref="AA16:AE16"/>
    <mergeCell ref="AF16:AH16"/>
    <mergeCell ref="AI16:AK16"/>
    <mergeCell ref="AL16:BP16"/>
    <mergeCell ref="A13:C13"/>
    <mergeCell ref="D13:Z13"/>
    <mergeCell ref="AA13:AE13"/>
    <mergeCell ref="AF13:AH13"/>
    <mergeCell ref="AI13:AK13"/>
    <mergeCell ref="AL13:BP13"/>
    <mergeCell ref="A14:C14"/>
    <mergeCell ref="D14:Z14"/>
    <mergeCell ref="AA14:AE14"/>
    <mergeCell ref="AF14:AH14"/>
    <mergeCell ref="AI14:AK14"/>
    <mergeCell ref="AL14:BP14"/>
    <mergeCell ref="A11:C11"/>
    <mergeCell ref="D11:Z11"/>
    <mergeCell ref="AA11:AE11"/>
    <mergeCell ref="AF11:AH11"/>
    <mergeCell ref="AI11:AK11"/>
    <mergeCell ref="AL11:BP11"/>
    <mergeCell ref="A12:C12"/>
    <mergeCell ref="D12:Z12"/>
    <mergeCell ref="AA12:AE12"/>
    <mergeCell ref="AF12:AH12"/>
    <mergeCell ref="AI12:AK12"/>
    <mergeCell ref="AL12:BP12"/>
    <mergeCell ref="A9:C9"/>
    <mergeCell ref="D9:Z9"/>
    <mergeCell ref="AA9:AE9"/>
    <mergeCell ref="AF9:AH9"/>
    <mergeCell ref="AI9:AK9"/>
    <mergeCell ref="AL9:BP9"/>
    <mergeCell ref="A10:C10"/>
    <mergeCell ref="D10:Z10"/>
    <mergeCell ref="AA10:AE10"/>
    <mergeCell ref="AF10:AH10"/>
    <mergeCell ref="AI10:AK10"/>
    <mergeCell ref="AL10:BP10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8:C8"/>
    <mergeCell ref="D8:Z8"/>
    <mergeCell ref="AA8:AE8"/>
    <mergeCell ref="AF8:AH8"/>
    <mergeCell ref="AI8:AK8"/>
    <mergeCell ref="AL8:BP8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46:C46"/>
    <mergeCell ref="D46:Z46"/>
    <mergeCell ref="AA46:AE46"/>
    <mergeCell ref="AF46:AH46"/>
    <mergeCell ref="AI46:AK46"/>
    <mergeCell ref="AL46:BP46"/>
    <mergeCell ref="A45:C45"/>
    <mergeCell ref="D45:Z45"/>
    <mergeCell ref="AA45:AE45"/>
    <mergeCell ref="AF45:AH45"/>
    <mergeCell ref="AI45:AK45"/>
    <mergeCell ref="AL45:BP45"/>
  </mergeCells>
  <phoneticPr fontId="3"/>
  <dataValidations count="1">
    <dataValidation type="list" allowBlank="1" showInputMessage="1" showErrorMessage="1" sqref="BJ6:BP6" xr:uid="{775DA598-AD3D-4B13-AC58-CBB61F09B91F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CD282-FE67-48F8-8222-BA2500EB39B6}">
  <sheetPr codeName="Sheet22"/>
  <dimension ref="A1:BR54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1" width="2.125" style="55"/>
    <col min="32" max="32" width="2.875" style="55" bestFit="1" customWidth="1"/>
    <col min="33" max="38" width="2.125" style="55"/>
    <col min="39" max="44" width="0" style="55" hidden="1" customWidth="1"/>
    <col min="45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144" t="s">
        <v>198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95" t="s">
        <v>618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432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125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117">
        <f t="shared" ref="A9:A44" si="0">ROW()-8</f>
        <v>1</v>
      </c>
      <c r="B9" s="118"/>
      <c r="C9" s="119"/>
      <c r="D9" s="114" t="s">
        <v>1239</v>
      </c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6"/>
      <c r="AA9" s="117" t="s">
        <v>427</v>
      </c>
      <c r="AB9" s="118"/>
      <c r="AC9" s="118"/>
      <c r="AD9" s="118"/>
      <c r="AE9" s="119"/>
      <c r="AF9" s="117"/>
      <c r="AG9" s="118"/>
      <c r="AH9" s="119"/>
      <c r="AI9" s="117"/>
      <c r="AJ9" s="118"/>
      <c r="AK9" s="119"/>
      <c r="AL9" s="68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70"/>
    </row>
    <row r="10" spans="1:70" s="1" customFormat="1" ht="30.75" customHeight="1">
      <c r="A10" s="74">
        <f t="shared" si="0"/>
        <v>2</v>
      </c>
      <c r="B10" s="75"/>
      <c r="C10" s="76"/>
      <c r="D10" s="71" t="s">
        <v>1240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  <c r="AA10" s="74" t="s">
        <v>428</v>
      </c>
      <c r="AB10" s="75"/>
      <c r="AC10" s="75"/>
      <c r="AD10" s="75"/>
      <c r="AE10" s="76"/>
      <c r="AF10" s="74">
        <v>5</v>
      </c>
      <c r="AG10" s="75"/>
      <c r="AH10" s="76"/>
      <c r="AI10" s="74"/>
      <c r="AJ10" s="75"/>
      <c r="AK10" s="76"/>
      <c r="AL10" s="68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74">
        <f t="shared" si="0"/>
        <v>3</v>
      </c>
      <c r="B11" s="75"/>
      <c r="C11" s="76"/>
      <c r="D11" s="71" t="s">
        <v>1273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3"/>
      <c r="AA11" s="74" t="s">
        <v>428</v>
      </c>
      <c r="AB11" s="75"/>
      <c r="AC11" s="75"/>
      <c r="AD11" s="75"/>
      <c r="AE11" s="76"/>
      <c r="AF11" s="74">
        <v>19</v>
      </c>
      <c r="AG11" s="75"/>
      <c r="AH11" s="76"/>
      <c r="AI11" s="74"/>
      <c r="AJ11" s="75"/>
      <c r="AK11" s="76"/>
      <c r="AL11" s="68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70"/>
    </row>
    <row r="12" spans="1:70" s="1" customFormat="1" ht="30.75" customHeight="1">
      <c r="A12" s="74">
        <f t="shared" si="0"/>
        <v>4</v>
      </c>
      <c r="B12" s="75"/>
      <c r="C12" s="76"/>
      <c r="D12" s="71" t="s">
        <v>1241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3"/>
      <c r="AA12" s="74" t="s">
        <v>429</v>
      </c>
      <c r="AB12" s="75"/>
      <c r="AC12" s="75"/>
      <c r="AD12" s="75"/>
      <c r="AE12" s="76"/>
      <c r="AF12" s="74">
        <v>8</v>
      </c>
      <c r="AG12" s="75"/>
      <c r="AH12" s="76"/>
      <c r="AI12" s="74"/>
      <c r="AJ12" s="75"/>
      <c r="AK12" s="76"/>
      <c r="AL12" s="68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70"/>
    </row>
    <row r="13" spans="1:70" s="1" customFormat="1" ht="30.75" customHeight="1">
      <c r="A13" s="74">
        <f t="shared" si="0"/>
        <v>5</v>
      </c>
      <c r="B13" s="75"/>
      <c r="C13" s="76"/>
      <c r="D13" s="71" t="s">
        <v>1242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3"/>
      <c r="AA13" s="74" t="s">
        <v>429</v>
      </c>
      <c r="AB13" s="75"/>
      <c r="AC13" s="75"/>
      <c r="AD13" s="75"/>
      <c r="AE13" s="76"/>
      <c r="AF13" s="74">
        <v>8</v>
      </c>
      <c r="AG13" s="75"/>
      <c r="AH13" s="76"/>
      <c r="AI13" s="74"/>
      <c r="AJ13" s="75"/>
      <c r="AK13" s="76"/>
      <c r="AL13" s="68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70"/>
    </row>
    <row r="14" spans="1:70" s="1" customFormat="1" ht="30.75" customHeight="1">
      <c r="A14" s="74">
        <f t="shared" si="0"/>
        <v>6</v>
      </c>
      <c r="B14" s="75"/>
      <c r="C14" s="76"/>
      <c r="D14" s="71" t="s">
        <v>1243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3"/>
      <c r="AA14" s="74" t="s">
        <v>429</v>
      </c>
      <c r="AB14" s="75"/>
      <c r="AC14" s="75"/>
      <c r="AD14" s="75"/>
      <c r="AE14" s="76"/>
      <c r="AF14" s="74">
        <v>5</v>
      </c>
      <c r="AG14" s="75"/>
      <c r="AH14" s="76"/>
      <c r="AI14" s="86"/>
      <c r="AJ14" s="86"/>
      <c r="AK14" s="86"/>
      <c r="AL14" s="68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70"/>
    </row>
    <row r="15" spans="1:70" s="1" customFormat="1" ht="30.75" customHeight="1">
      <c r="A15" s="74">
        <f t="shared" si="0"/>
        <v>7</v>
      </c>
      <c r="B15" s="75"/>
      <c r="C15" s="76"/>
      <c r="D15" s="71" t="s">
        <v>1244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3"/>
      <c r="AA15" s="74" t="s">
        <v>428</v>
      </c>
      <c r="AB15" s="75"/>
      <c r="AC15" s="75"/>
      <c r="AD15" s="75"/>
      <c r="AE15" s="76"/>
      <c r="AF15" s="74">
        <v>3</v>
      </c>
      <c r="AG15" s="75"/>
      <c r="AH15" s="76"/>
      <c r="AI15" s="86"/>
      <c r="AJ15" s="86"/>
      <c r="AK15" s="86"/>
      <c r="AL15" s="68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70"/>
    </row>
    <row r="16" spans="1:70" s="1" customFormat="1" ht="30.75" customHeight="1">
      <c r="A16" s="74">
        <f t="shared" si="0"/>
        <v>8</v>
      </c>
      <c r="B16" s="75"/>
      <c r="C16" s="76"/>
      <c r="D16" s="71" t="s">
        <v>1245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3"/>
      <c r="AA16" s="74" t="s">
        <v>428</v>
      </c>
      <c r="AB16" s="75"/>
      <c r="AC16" s="75"/>
      <c r="AD16" s="75"/>
      <c r="AE16" s="76"/>
      <c r="AF16" s="74">
        <v>25</v>
      </c>
      <c r="AG16" s="75"/>
      <c r="AH16" s="76"/>
      <c r="AI16" s="86"/>
      <c r="AJ16" s="86"/>
      <c r="AK16" s="86"/>
      <c r="AL16" s="68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70"/>
    </row>
    <row r="17" spans="1:68" s="1" customFormat="1" ht="30.75" customHeight="1">
      <c r="A17" s="74">
        <f t="shared" si="0"/>
        <v>9</v>
      </c>
      <c r="B17" s="75"/>
      <c r="C17" s="76"/>
      <c r="D17" s="71" t="s">
        <v>1246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3"/>
      <c r="AA17" s="74" t="s">
        <v>429</v>
      </c>
      <c r="AB17" s="75"/>
      <c r="AC17" s="75"/>
      <c r="AD17" s="75"/>
      <c r="AE17" s="76"/>
      <c r="AF17" s="74">
        <v>8</v>
      </c>
      <c r="AG17" s="75"/>
      <c r="AH17" s="76"/>
      <c r="AI17" s="86"/>
      <c r="AJ17" s="86"/>
      <c r="AK17" s="86"/>
      <c r="AL17" s="68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70"/>
    </row>
    <row r="18" spans="1:68" s="1" customFormat="1" ht="30.75" customHeight="1">
      <c r="A18" s="74">
        <f t="shared" si="0"/>
        <v>10</v>
      </c>
      <c r="B18" s="75"/>
      <c r="C18" s="76"/>
      <c r="D18" s="71" t="s">
        <v>1247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3"/>
      <c r="AA18" s="74" t="s">
        <v>427</v>
      </c>
      <c r="AB18" s="75"/>
      <c r="AC18" s="75"/>
      <c r="AD18" s="75"/>
      <c r="AE18" s="76"/>
      <c r="AF18" s="74"/>
      <c r="AG18" s="75"/>
      <c r="AH18" s="76"/>
      <c r="AI18" s="86"/>
      <c r="AJ18" s="86"/>
      <c r="AK18" s="86"/>
      <c r="AL18" s="68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70"/>
    </row>
    <row r="19" spans="1:68" s="1" customFormat="1" ht="30.75" customHeight="1">
      <c r="A19" s="74">
        <f t="shared" si="0"/>
        <v>11</v>
      </c>
      <c r="B19" s="75"/>
      <c r="C19" s="76"/>
      <c r="D19" s="71" t="s">
        <v>1248</v>
      </c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3"/>
      <c r="AA19" s="74" t="s">
        <v>428</v>
      </c>
      <c r="AB19" s="75"/>
      <c r="AC19" s="75"/>
      <c r="AD19" s="75"/>
      <c r="AE19" s="76"/>
      <c r="AF19" s="74">
        <v>78</v>
      </c>
      <c r="AG19" s="75"/>
      <c r="AH19" s="76"/>
      <c r="AI19" s="86"/>
      <c r="AJ19" s="86"/>
      <c r="AK19" s="86"/>
      <c r="AL19" s="68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70"/>
    </row>
    <row r="20" spans="1:68" s="1" customFormat="1" ht="30.75" customHeight="1">
      <c r="A20" s="74">
        <f t="shared" si="0"/>
        <v>12</v>
      </c>
      <c r="B20" s="75"/>
      <c r="C20" s="76"/>
      <c r="D20" s="71" t="s">
        <v>1249</v>
      </c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3"/>
      <c r="AA20" s="74" t="s">
        <v>428</v>
      </c>
      <c r="AB20" s="75"/>
      <c r="AC20" s="75"/>
      <c r="AD20" s="75"/>
      <c r="AE20" s="76"/>
      <c r="AF20" s="74">
        <v>10</v>
      </c>
      <c r="AG20" s="75"/>
      <c r="AH20" s="76"/>
      <c r="AI20" s="74"/>
      <c r="AJ20" s="75"/>
      <c r="AK20" s="76"/>
      <c r="AL20" s="68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70"/>
    </row>
    <row r="21" spans="1:68" s="1" customFormat="1" ht="30.75" customHeight="1">
      <c r="A21" s="74">
        <f t="shared" si="0"/>
        <v>13</v>
      </c>
      <c r="B21" s="75"/>
      <c r="C21" s="76"/>
      <c r="D21" s="71" t="s">
        <v>1250</v>
      </c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3"/>
      <c r="AA21" s="74" t="s">
        <v>428</v>
      </c>
      <c r="AB21" s="75"/>
      <c r="AC21" s="75"/>
      <c r="AD21" s="75"/>
      <c r="AE21" s="76"/>
      <c r="AF21" s="74">
        <v>9</v>
      </c>
      <c r="AG21" s="75"/>
      <c r="AH21" s="76"/>
      <c r="AI21" s="74"/>
      <c r="AJ21" s="75"/>
      <c r="AK21" s="76"/>
      <c r="AL21" s="68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70"/>
    </row>
    <row r="22" spans="1:68" s="1" customFormat="1" ht="30.75" customHeight="1">
      <c r="A22" s="74">
        <f t="shared" si="0"/>
        <v>14</v>
      </c>
      <c r="B22" s="75"/>
      <c r="C22" s="76"/>
      <c r="D22" s="71" t="s">
        <v>1251</v>
      </c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3"/>
      <c r="AA22" s="74" t="s">
        <v>429</v>
      </c>
      <c r="AB22" s="75"/>
      <c r="AC22" s="75"/>
      <c r="AD22" s="75"/>
      <c r="AE22" s="76"/>
      <c r="AF22" s="74">
        <v>15</v>
      </c>
      <c r="AG22" s="75"/>
      <c r="AH22" s="76"/>
      <c r="AI22" s="74"/>
      <c r="AJ22" s="75"/>
      <c r="AK22" s="76"/>
      <c r="AL22" s="68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70"/>
    </row>
    <row r="23" spans="1:68" s="1" customFormat="1" ht="30.75" customHeight="1">
      <c r="A23" s="74">
        <f t="shared" si="0"/>
        <v>15</v>
      </c>
      <c r="B23" s="75"/>
      <c r="C23" s="76"/>
      <c r="D23" s="71" t="s">
        <v>1252</v>
      </c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3"/>
      <c r="AA23" s="74" t="s">
        <v>429</v>
      </c>
      <c r="AB23" s="75"/>
      <c r="AC23" s="75"/>
      <c r="AD23" s="75"/>
      <c r="AE23" s="76"/>
      <c r="AF23" s="74">
        <v>15</v>
      </c>
      <c r="AG23" s="75"/>
      <c r="AH23" s="76"/>
      <c r="AI23" s="74"/>
      <c r="AJ23" s="75"/>
      <c r="AK23" s="76"/>
      <c r="AL23" s="68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70"/>
    </row>
    <row r="24" spans="1:68" s="1" customFormat="1" ht="30.75" customHeight="1">
      <c r="A24" s="74">
        <f t="shared" si="0"/>
        <v>16</v>
      </c>
      <c r="B24" s="75"/>
      <c r="C24" s="76"/>
      <c r="D24" s="71" t="s">
        <v>1253</v>
      </c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3"/>
      <c r="AA24" s="74" t="s">
        <v>429</v>
      </c>
      <c r="AB24" s="75"/>
      <c r="AC24" s="75"/>
      <c r="AD24" s="75"/>
      <c r="AE24" s="76"/>
      <c r="AF24" s="74">
        <v>15</v>
      </c>
      <c r="AG24" s="75"/>
      <c r="AH24" s="76"/>
      <c r="AI24" s="74"/>
      <c r="AJ24" s="75"/>
      <c r="AK24" s="76"/>
      <c r="AL24" s="68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70"/>
    </row>
    <row r="25" spans="1:68" s="1" customFormat="1" ht="30.75" customHeight="1">
      <c r="A25" s="74">
        <f t="shared" si="0"/>
        <v>17</v>
      </c>
      <c r="B25" s="75"/>
      <c r="C25" s="76"/>
      <c r="D25" s="71" t="s">
        <v>1254</v>
      </c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3"/>
      <c r="AA25" s="74" t="s">
        <v>428</v>
      </c>
      <c r="AB25" s="75"/>
      <c r="AC25" s="75"/>
      <c r="AD25" s="75"/>
      <c r="AE25" s="76"/>
      <c r="AF25" s="74">
        <v>9</v>
      </c>
      <c r="AG25" s="75"/>
      <c r="AH25" s="76"/>
      <c r="AI25" s="74"/>
      <c r="AJ25" s="75"/>
      <c r="AK25" s="76"/>
      <c r="AL25" s="68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70"/>
    </row>
    <row r="26" spans="1:68" s="1" customFormat="1" ht="30.75" customHeight="1">
      <c r="A26" s="74">
        <f t="shared" si="0"/>
        <v>18</v>
      </c>
      <c r="B26" s="75"/>
      <c r="C26" s="76"/>
      <c r="D26" s="71" t="s">
        <v>1255</v>
      </c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3"/>
      <c r="AA26" s="74" t="s">
        <v>429</v>
      </c>
      <c r="AB26" s="75"/>
      <c r="AC26" s="75"/>
      <c r="AD26" s="75"/>
      <c r="AE26" s="76"/>
      <c r="AF26" s="74">
        <v>15</v>
      </c>
      <c r="AG26" s="75"/>
      <c r="AH26" s="76"/>
      <c r="AI26" s="74"/>
      <c r="AJ26" s="75"/>
      <c r="AK26" s="76"/>
      <c r="AL26" s="68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70"/>
    </row>
    <row r="27" spans="1:68" s="1" customFormat="1" ht="30.75" customHeight="1">
      <c r="A27" s="74">
        <f t="shared" si="0"/>
        <v>19</v>
      </c>
      <c r="B27" s="75"/>
      <c r="C27" s="76"/>
      <c r="D27" s="71" t="s">
        <v>1256</v>
      </c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3"/>
      <c r="AA27" s="74" t="s">
        <v>429</v>
      </c>
      <c r="AB27" s="75"/>
      <c r="AC27" s="75"/>
      <c r="AD27" s="75"/>
      <c r="AE27" s="76"/>
      <c r="AF27" s="74">
        <v>15</v>
      </c>
      <c r="AG27" s="75"/>
      <c r="AH27" s="76"/>
      <c r="AI27" s="86"/>
      <c r="AJ27" s="86"/>
      <c r="AK27" s="86"/>
      <c r="AL27" s="68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70"/>
    </row>
    <row r="28" spans="1:68" s="1" customFormat="1" ht="30.75" customHeight="1">
      <c r="A28" s="74">
        <f t="shared" si="0"/>
        <v>20</v>
      </c>
      <c r="B28" s="75"/>
      <c r="C28" s="76"/>
      <c r="D28" s="71" t="s">
        <v>1257</v>
      </c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3"/>
      <c r="AA28" s="74" t="s">
        <v>429</v>
      </c>
      <c r="AB28" s="75"/>
      <c r="AC28" s="75"/>
      <c r="AD28" s="75"/>
      <c r="AE28" s="76"/>
      <c r="AF28" s="74">
        <v>15</v>
      </c>
      <c r="AG28" s="75"/>
      <c r="AH28" s="76"/>
      <c r="AI28" s="86"/>
      <c r="AJ28" s="86"/>
      <c r="AK28" s="86"/>
      <c r="AL28" s="68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70"/>
    </row>
    <row r="29" spans="1:68" s="1" customFormat="1" ht="30.75" customHeight="1">
      <c r="A29" s="74">
        <f t="shared" si="0"/>
        <v>21</v>
      </c>
      <c r="B29" s="75"/>
      <c r="C29" s="76"/>
      <c r="D29" s="71" t="s">
        <v>1258</v>
      </c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3"/>
      <c r="AA29" s="74" t="s">
        <v>429</v>
      </c>
      <c r="AB29" s="75"/>
      <c r="AC29" s="75"/>
      <c r="AD29" s="75"/>
      <c r="AE29" s="76"/>
      <c r="AF29" s="74">
        <v>15</v>
      </c>
      <c r="AG29" s="75"/>
      <c r="AH29" s="76"/>
      <c r="AI29" s="86"/>
      <c r="AJ29" s="86"/>
      <c r="AK29" s="86"/>
      <c r="AL29" s="68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70"/>
    </row>
    <row r="30" spans="1:68" s="1" customFormat="1" ht="30.75" customHeight="1">
      <c r="A30" s="74">
        <f t="shared" si="0"/>
        <v>22</v>
      </c>
      <c r="B30" s="75"/>
      <c r="C30" s="76"/>
      <c r="D30" s="71" t="s">
        <v>1259</v>
      </c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3"/>
      <c r="AA30" s="74" t="s">
        <v>429</v>
      </c>
      <c r="AB30" s="75"/>
      <c r="AC30" s="75"/>
      <c r="AD30" s="75"/>
      <c r="AE30" s="76"/>
      <c r="AF30" s="74">
        <v>15</v>
      </c>
      <c r="AG30" s="75"/>
      <c r="AH30" s="76"/>
      <c r="AI30" s="86"/>
      <c r="AJ30" s="86"/>
      <c r="AK30" s="86"/>
      <c r="AL30" s="68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70"/>
    </row>
    <row r="31" spans="1:68" s="1" customFormat="1" ht="30.75" customHeight="1">
      <c r="A31" s="74">
        <f t="shared" si="0"/>
        <v>23</v>
      </c>
      <c r="B31" s="75"/>
      <c r="C31" s="76"/>
      <c r="D31" s="71" t="s">
        <v>1260</v>
      </c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3"/>
      <c r="AA31" s="74" t="s">
        <v>429</v>
      </c>
      <c r="AB31" s="75"/>
      <c r="AC31" s="75"/>
      <c r="AD31" s="75"/>
      <c r="AE31" s="76"/>
      <c r="AF31" s="74">
        <v>15</v>
      </c>
      <c r="AG31" s="75"/>
      <c r="AH31" s="76"/>
      <c r="AI31" s="86"/>
      <c r="AJ31" s="86"/>
      <c r="AK31" s="86"/>
      <c r="AL31" s="68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70"/>
    </row>
    <row r="32" spans="1:68" s="1" customFormat="1" ht="30.75" customHeight="1">
      <c r="A32" s="74">
        <f t="shared" si="0"/>
        <v>24</v>
      </c>
      <c r="B32" s="75"/>
      <c r="C32" s="76"/>
      <c r="D32" s="71" t="s">
        <v>1261</v>
      </c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3"/>
      <c r="AA32" s="74" t="s">
        <v>427</v>
      </c>
      <c r="AB32" s="75"/>
      <c r="AC32" s="75"/>
      <c r="AD32" s="75"/>
      <c r="AE32" s="76"/>
      <c r="AF32" s="74"/>
      <c r="AG32" s="75"/>
      <c r="AH32" s="76"/>
      <c r="AI32" s="86"/>
      <c r="AJ32" s="86"/>
      <c r="AK32" s="86"/>
      <c r="AL32" s="68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70"/>
    </row>
    <row r="33" spans="1:68" s="1" customFormat="1" ht="30.75" customHeight="1">
      <c r="A33" s="74">
        <f t="shared" si="0"/>
        <v>25</v>
      </c>
      <c r="B33" s="75"/>
      <c r="C33" s="76"/>
      <c r="D33" s="71" t="s">
        <v>1248</v>
      </c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3"/>
      <c r="AA33" s="74" t="s">
        <v>428</v>
      </c>
      <c r="AB33" s="75"/>
      <c r="AC33" s="75"/>
      <c r="AD33" s="75"/>
      <c r="AE33" s="76"/>
      <c r="AF33" s="74">
        <v>78</v>
      </c>
      <c r="AG33" s="75"/>
      <c r="AH33" s="76"/>
      <c r="AI33" s="86"/>
      <c r="AJ33" s="86"/>
      <c r="AK33" s="86"/>
      <c r="AL33" s="68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70"/>
    </row>
    <row r="34" spans="1:68" s="1" customFormat="1" ht="30.75" customHeight="1">
      <c r="A34" s="74">
        <f t="shared" si="0"/>
        <v>26</v>
      </c>
      <c r="B34" s="75"/>
      <c r="C34" s="76"/>
      <c r="D34" s="71" t="s">
        <v>1249</v>
      </c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3"/>
      <c r="AA34" s="74" t="s">
        <v>428</v>
      </c>
      <c r="AB34" s="75"/>
      <c r="AC34" s="75"/>
      <c r="AD34" s="75"/>
      <c r="AE34" s="76"/>
      <c r="AF34" s="74">
        <v>8</v>
      </c>
      <c r="AG34" s="75"/>
      <c r="AH34" s="76"/>
      <c r="AI34" s="86"/>
      <c r="AJ34" s="86"/>
      <c r="AK34" s="86"/>
      <c r="AL34" s="68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70"/>
    </row>
    <row r="35" spans="1:68" s="1" customFormat="1" ht="30.75" customHeight="1">
      <c r="A35" s="74">
        <f t="shared" si="0"/>
        <v>27</v>
      </c>
      <c r="B35" s="75"/>
      <c r="C35" s="76"/>
      <c r="D35" s="71" t="s">
        <v>1262</v>
      </c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3"/>
      <c r="AA35" s="74" t="s">
        <v>428</v>
      </c>
      <c r="AB35" s="75"/>
      <c r="AC35" s="75"/>
      <c r="AD35" s="75"/>
      <c r="AE35" s="76"/>
      <c r="AF35" s="74">
        <v>60</v>
      </c>
      <c r="AG35" s="75"/>
      <c r="AH35" s="76"/>
      <c r="AI35" s="86"/>
      <c r="AJ35" s="86"/>
      <c r="AK35" s="86"/>
      <c r="AL35" s="68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70"/>
    </row>
    <row r="36" spans="1:68" s="1" customFormat="1" ht="30.75" customHeight="1">
      <c r="A36" s="74">
        <f t="shared" si="0"/>
        <v>28</v>
      </c>
      <c r="B36" s="75"/>
      <c r="C36" s="76"/>
      <c r="D36" s="71" t="s">
        <v>1263</v>
      </c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3"/>
      <c r="AA36" s="74" t="s">
        <v>429</v>
      </c>
      <c r="AB36" s="75"/>
      <c r="AC36" s="75"/>
      <c r="AD36" s="75"/>
      <c r="AE36" s="76"/>
      <c r="AF36" s="74">
        <v>15</v>
      </c>
      <c r="AG36" s="75"/>
      <c r="AH36" s="76"/>
      <c r="AI36" s="86"/>
      <c r="AJ36" s="86"/>
      <c r="AK36" s="86"/>
      <c r="AL36" s="68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70"/>
    </row>
    <row r="37" spans="1:68" s="1" customFormat="1" ht="30.75" customHeight="1">
      <c r="A37" s="74">
        <f t="shared" si="0"/>
        <v>29</v>
      </c>
      <c r="B37" s="75"/>
      <c r="C37" s="76"/>
      <c r="D37" s="71" t="s">
        <v>1264</v>
      </c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3"/>
      <c r="AA37" s="74" t="s">
        <v>429</v>
      </c>
      <c r="AB37" s="75"/>
      <c r="AC37" s="75"/>
      <c r="AD37" s="75"/>
      <c r="AE37" s="76"/>
      <c r="AF37" s="74">
        <v>15</v>
      </c>
      <c r="AG37" s="75"/>
      <c r="AH37" s="76"/>
      <c r="AI37" s="74"/>
      <c r="AJ37" s="75"/>
      <c r="AK37" s="76"/>
      <c r="AL37" s="68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70"/>
    </row>
    <row r="38" spans="1:68" s="1" customFormat="1" ht="30.75" customHeight="1">
      <c r="A38" s="74">
        <f t="shared" si="0"/>
        <v>30</v>
      </c>
      <c r="B38" s="75"/>
      <c r="C38" s="76"/>
      <c r="D38" s="71" t="s">
        <v>1265</v>
      </c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3"/>
      <c r="AA38" s="74" t="s">
        <v>429</v>
      </c>
      <c r="AB38" s="75"/>
      <c r="AC38" s="75"/>
      <c r="AD38" s="75"/>
      <c r="AE38" s="76"/>
      <c r="AF38" s="74">
        <v>15</v>
      </c>
      <c r="AG38" s="75"/>
      <c r="AH38" s="76"/>
      <c r="AI38" s="86"/>
      <c r="AJ38" s="86"/>
      <c r="AK38" s="86"/>
      <c r="AL38" s="68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70"/>
    </row>
    <row r="39" spans="1:68" s="1" customFormat="1" ht="30.75" customHeight="1">
      <c r="A39" s="74">
        <f t="shared" si="0"/>
        <v>31</v>
      </c>
      <c r="B39" s="75"/>
      <c r="C39" s="76"/>
      <c r="D39" s="71" t="s">
        <v>1258</v>
      </c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3"/>
      <c r="AA39" s="74" t="s">
        <v>429</v>
      </c>
      <c r="AB39" s="75"/>
      <c r="AC39" s="75"/>
      <c r="AD39" s="75"/>
      <c r="AE39" s="76"/>
      <c r="AF39" s="74">
        <v>15</v>
      </c>
      <c r="AG39" s="75"/>
      <c r="AH39" s="76"/>
      <c r="AI39" s="86"/>
      <c r="AJ39" s="86"/>
      <c r="AK39" s="86"/>
      <c r="AL39" s="68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70"/>
    </row>
    <row r="40" spans="1:68" s="1" customFormat="1" ht="30.75" customHeight="1">
      <c r="A40" s="74">
        <f t="shared" si="0"/>
        <v>32</v>
      </c>
      <c r="B40" s="75"/>
      <c r="C40" s="76"/>
      <c r="D40" s="71" t="s">
        <v>1259</v>
      </c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3"/>
      <c r="AA40" s="74" t="s">
        <v>429</v>
      </c>
      <c r="AB40" s="75"/>
      <c r="AC40" s="75"/>
      <c r="AD40" s="75"/>
      <c r="AE40" s="76"/>
      <c r="AF40" s="74">
        <v>15</v>
      </c>
      <c r="AG40" s="75"/>
      <c r="AH40" s="76"/>
      <c r="AI40" s="86"/>
      <c r="AJ40" s="86"/>
      <c r="AK40" s="86"/>
      <c r="AL40" s="68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70"/>
    </row>
    <row r="41" spans="1:68" s="1" customFormat="1" ht="30.75" customHeight="1">
      <c r="A41" s="74">
        <f t="shared" si="0"/>
        <v>33</v>
      </c>
      <c r="B41" s="75"/>
      <c r="C41" s="76"/>
      <c r="D41" s="71" t="s">
        <v>1260</v>
      </c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3"/>
      <c r="AA41" s="74" t="s">
        <v>429</v>
      </c>
      <c r="AB41" s="75"/>
      <c r="AC41" s="75"/>
      <c r="AD41" s="75"/>
      <c r="AE41" s="76"/>
      <c r="AF41" s="74">
        <v>15</v>
      </c>
      <c r="AG41" s="75"/>
      <c r="AH41" s="76"/>
      <c r="AI41" s="74"/>
      <c r="AJ41" s="75"/>
      <c r="AK41" s="76"/>
      <c r="AL41" s="68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70"/>
    </row>
    <row r="42" spans="1:68" s="1" customFormat="1" ht="30.75" customHeight="1">
      <c r="A42" s="74">
        <f t="shared" si="0"/>
        <v>34</v>
      </c>
      <c r="B42" s="75"/>
      <c r="C42" s="76"/>
      <c r="D42" s="71" t="s">
        <v>1266</v>
      </c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3"/>
      <c r="AA42" s="74" t="s">
        <v>429</v>
      </c>
      <c r="AB42" s="75"/>
      <c r="AC42" s="75"/>
      <c r="AD42" s="75"/>
      <c r="AE42" s="76"/>
      <c r="AF42" s="74">
        <v>15</v>
      </c>
      <c r="AG42" s="75"/>
      <c r="AH42" s="76"/>
      <c r="AI42" s="74"/>
      <c r="AJ42" s="75"/>
      <c r="AK42" s="76"/>
      <c r="AL42" s="68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70"/>
    </row>
    <row r="43" spans="1:68" s="1" customFormat="1" ht="30.75" customHeight="1">
      <c r="A43" s="74">
        <f t="shared" si="0"/>
        <v>35</v>
      </c>
      <c r="B43" s="75"/>
      <c r="C43" s="76"/>
      <c r="D43" s="71" t="s">
        <v>1267</v>
      </c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3"/>
      <c r="AA43" s="74" t="s">
        <v>429</v>
      </c>
      <c r="AB43" s="75"/>
      <c r="AC43" s="75"/>
      <c r="AD43" s="75"/>
      <c r="AE43" s="76"/>
      <c r="AF43" s="74">
        <v>15</v>
      </c>
      <c r="AG43" s="75"/>
      <c r="AH43" s="76"/>
      <c r="AI43" s="74"/>
      <c r="AJ43" s="75"/>
      <c r="AK43" s="76"/>
      <c r="AL43" s="83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5"/>
    </row>
    <row r="44" spans="1:68" s="1" customFormat="1" ht="30.75" customHeight="1">
      <c r="A44" s="80">
        <f t="shared" si="0"/>
        <v>36</v>
      </c>
      <c r="B44" s="81"/>
      <c r="C44" s="82"/>
      <c r="D44" s="71" t="s">
        <v>1268</v>
      </c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3"/>
      <c r="AA44" s="74" t="s">
        <v>429</v>
      </c>
      <c r="AB44" s="75"/>
      <c r="AC44" s="75"/>
      <c r="AD44" s="75"/>
      <c r="AE44" s="76"/>
      <c r="AF44" s="74">
        <v>15</v>
      </c>
      <c r="AG44" s="75"/>
      <c r="AH44" s="76"/>
      <c r="AI44" s="80"/>
      <c r="AJ44" s="81"/>
      <c r="AK44" s="82"/>
      <c r="AL44" s="83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5"/>
    </row>
    <row r="45" spans="1:68" s="1" customFormat="1" ht="30.75" customHeight="1">
      <c r="A45" s="74"/>
      <c r="B45" s="75"/>
      <c r="C45" s="76"/>
      <c r="D45" s="71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3"/>
      <c r="AA45" s="74"/>
      <c r="AB45" s="75"/>
      <c r="AC45" s="75"/>
      <c r="AD45" s="75"/>
      <c r="AE45" s="76"/>
      <c r="AF45" s="86"/>
      <c r="AG45" s="86"/>
      <c r="AH45" s="86"/>
      <c r="AI45" s="86"/>
      <c r="AJ45" s="86"/>
      <c r="AK45" s="86"/>
      <c r="AL45" s="68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  <c r="BP45" s="70"/>
    </row>
    <row r="46" spans="1:68" s="1" customFormat="1" ht="30.75" customHeight="1">
      <c r="A46" s="80"/>
      <c r="B46" s="81"/>
      <c r="C46" s="82"/>
      <c r="D46" s="77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9"/>
      <c r="AA46" s="80"/>
      <c r="AB46" s="81"/>
      <c r="AC46" s="81"/>
      <c r="AD46" s="81"/>
      <c r="AE46" s="82"/>
      <c r="AF46" s="87"/>
      <c r="AG46" s="87"/>
      <c r="AH46" s="87"/>
      <c r="AI46" s="87"/>
      <c r="AJ46" s="87"/>
      <c r="AK46" s="87"/>
      <c r="AL46" s="83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5"/>
    </row>
    <row r="47" spans="1:68" s="4" customFormat="1" ht="3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3"/>
      <c r="AG47" s="3"/>
      <c r="AH47" s="3"/>
      <c r="AI47" s="3"/>
      <c r="AJ47" s="3"/>
      <c r="AK47" s="3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</row>
    <row r="48" spans="1:68" s="4" customFormat="1" ht="14.25">
      <c r="A48" s="5" t="s">
        <v>14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15"/>
      <c r="AG48" s="15"/>
      <c r="AH48" s="15"/>
      <c r="AI48" s="15"/>
      <c r="AJ48" s="15"/>
      <c r="AK48" s="15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6"/>
    </row>
    <row r="49" spans="1:68" s="4" customFormat="1" ht="20.25" customHeight="1">
      <c r="A49" s="5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6"/>
    </row>
    <row r="50" spans="1:68" s="4" customFormat="1" ht="20.25" customHeight="1">
      <c r="A50" s="5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6"/>
    </row>
    <row r="51" spans="1:68" s="4" customFormat="1" ht="20.25" customHeight="1">
      <c r="A51" s="5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6"/>
    </row>
    <row r="52" spans="1:68" s="4" customFormat="1" ht="20.25" customHeight="1">
      <c r="A52" s="5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6"/>
    </row>
    <row r="53" spans="1:68" s="4" customFormat="1" ht="20.25" customHeight="1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9"/>
    </row>
    <row r="54" spans="1:68" ht="5.25" customHeight="1"/>
  </sheetData>
  <mergeCells count="253">
    <mergeCell ref="A43:C43"/>
    <mergeCell ref="D43:Z43"/>
    <mergeCell ref="AA43:AE43"/>
    <mergeCell ref="AF43:AH43"/>
    <mergeCell ref="AI43:AK43"/>
    <mergeCell ref="AL43:BP43"/>
    <mergeCell ref="A44:C44"/>
    <mergeCell ref="D44:Z44"/>
    <mergeCell ref="AA44:AE44"/>
    <mergeCell ref="AF44:AH44"/>
    <mergeCell ref="AI44:AK44"/>
    <mergeCell ref="AL44:BP44"/>
    <mergeCell ref="A41:C41"/>
    <mergeCell ref="D41:Z41"/>
    <mergeCell ref="AA41:AE41"/>
    <mergeCell ref="AF41:AH41"/>
    <mergeCell ref="AI41:AK41"/>
    <mergeCell ref="AL41:BP41"/>
    <mergeCell ref="A42:C42"/>
    <mergeCell ref="D42:Z42"/>
    <mergeCell ref="AA42:AE42"/>
    <mergeCell ref="AF42:AH42"/>
    <mergeCell ref="AI42:AK42"/>
    <mergeCell ref="AL42:BP42"/>
    <mergeCell ref="A39:C39"/>
    <mergeCell ref="D39:Z39"/>
    <mergeCell ref="AA39:AE39"/>
    <mergeCell ref="AF39:AH39"/>
    <mergeCell ref="AI39:AK39"/>
    <mergeCell ref="AL39:BP39"/>
    <mergeCell ref="A40:C40"/>
    <mergeCell ref="D40:Z40"/>
    <mergeCell ref="AA40:AE40"/>
    <mergeCell ref="AF40:AH40"/>
    <mergeCell ref="AI40:AK40"/>
    <mergeCell ref="AL40:BP40"/>
    <mergeCell ref="A37:C37"/>
    <mergeCell ref="D37:Z37"/>
    <mergeCell ref="AA37:AE37"/>
    <mergeCell ref="AF37:AH37"/>
    <mergeCell ref="AI37:AK37"/>
    <mergeCell ref="AL37:BP37"/>
    <mergeCell ref="A38:C38"/>
    <mergeCell ref="D38:Z38"/>
    <mergeCell ref="AA38:AE38"/>
    <mergeCell ref="AF38:AH38"/>
    <mergeCell ref="AI38:AK38"/>
    <mergeCell ref="AL38:BP38"/>
    <mergeCell ref="A35:C35"/>
    <mergeCell ref="D35:Z35"/>
    <mergeCell ref="AA35:AE35"/>
    <mergeCell ref="AF35:AH35"/>
    <mergeCell ref="AI35:AK35"/>
    <mergeCell ref="AL35:BP35"/>
    <mergeCell ref="A36:C36"/>
    <mergeCell ref="D36:Z36"/>
    <mergeCell ref="AA36:AE36"/>
    <mergeCell ref="AF36:AH36"/>
    <mergeCell ref="AI36:AK36"/>
    <mergeCell ref="AL36:BP36"/>
    <mergeCell ref="A33:C33"/>
    <mergeCell ref="D33:Z33"/>
    <mergeCell ref="AA33:AE33"/>
    <mergeCell ref="AF33:AH33"/>
    <mergeCell ref="AI33:AK33"/>
    <mergeCell ref="AL33:BP33"/>
    <mergeCell ref="A34:C34"/>
    <mergeCell ref="D34:Z34"/>
    <mergeCell ref="AA34:AE34"/>
    <mergeCell ref="AF34:AH34"/>
    <mergeCell ref="AI34:AK34"/>
    <mergeCell ref="AL34:BP34"/>
    <mergeCell ref="A31:C31"/>
    <mergeCell ref="D31:Z31"/>
    <mergeCell ref="AA31:AE31"/>
    <mergeCell ref="AF31:AH31"/>
    <mergeCell ref="AI31:AK31"/>
    <mergeCell ref="AL31:BP31"/>
    <mergeCell ref="A32:C32"/>
    <mergeCell ref="D32:Z32"/>
    <mergeCell ref="AA32:AE32"/>
    <mergeCell ref="AF32:AH32"/>
    <mergeCell ref="AI32:AK32"/>
    <mergeCell ref="AL32:BP32"/>
    <mergeCell ref="A29:C29"/>
    <mergeCell ref="D29:Z29"/>
    <mergeCell ref="AA29:AE29"/>
    <mergeCell ref="AF29:AH29"/>
    <mergeCell ref="AI29:AK29"/>
    <mergeCell ref="AL29:BP29"/>
    <mergeCell ref="A30:C30"/>
    <mergeCell ref="D30:Z30"/>
    <mergeCell ref="AA30:AE30"/>
    <mergeCell ref="AF30:AH30"/>
    <mergeCell ref="AI30:AK30"/>
    <mergeCell ref="AL30:BP30"/>
    <mergeCell ref="A27:C27"/>
    <mergeCell ref="D27:Z27"/>
    <mergeCell ref="AA27:AE27"/>
    <mergeCell ref="AF27:AH27"/>
    <mergeCell ref="AI27:AK27"/>
    <mergeCell ref="AL27:BP27"/>
    <mergeCell ref="A28:C28"/>
    <mergeCell ref="D28:Z28"/>
    <mergeCell ref="AA28:AE28"/>
    <mergeCell ref="AF28:AH28"/>
    <mergeCell ref="AI28:AK28"/>
    <mergeCell ref="AL28:BP28"/>
    <mergeCell ref="A25:C25"/>
    <mergeCell ref="D25:Z25"/>
    <mergeCell ref="AA25:AE25"/>
    <mergeCell ref="AF25:AH25"/>
    <mergeCell ref="AI25:AK25"/>
    <mergeCell ref="AL25:BP25"/>
    <mergeCell ref="A26:C26"/>
    <mergeCell ref="D26:Z26"/>
    <mergeCell ref="AA26:AE26"/>
    <mergeCell ref="AF26:AH26"/>
    <mergeCell ref="AI26:AK26"/>
    <mergeCell ref="AL26:BP26"/>
    <mergeCell ref="A23:C23"/>
    <mergeCell ref="D23:Z23"/>
    <mergeCell ref="AA23:AE23"/>
    <mergeCell ref="AF23:AH23"/>
    <mergeCell ref="AI23:AK23"/>
    <mergeCell ref="AL23:BP23"/>
    <mergeCell ref="A24:C24"/>
    <mergeCell ref="D24:Z24"/>
    <mergeCell ref="AA24:AE24"/>
    <mergeCell ref="AF24:AH24"/>
    <mergeCell ref="AI24:AK24"/>
    <mergeCell ref="AL24:BP24"/>
    <mergeCell ref="A21:C21"/>
    <mergeCell ref="D21:Z21"/>
    <mergeCell ref="AA21:AE21"/>
    <mergeCell ref="AF21:AH21"/>
    <mergeCell ref="AI21:AK21"/>
    <mergeCell ref="AL21:BP21"/>
    <mergeCell ref="A22:C22"/>
    <mergeCell ref="D22:Z22"/>
    <mergeCell ref="AA22:AE22"/>
    <mergeCell ref="AF22:AH22"/>
    <mergeCell ref="AI22:AK22"/>
    <mergeCell ref="AL22:BP22"/>
    <mergeCell ref="A19:C19"/>
    <mergeCell ref="D19:Z19"/>
    <mergeCell ref="AA19:AE19"/>
    <mergeCell ref="AF19:AH19"/>
    <mergeCell ref="AI19:AK19"/>
    <mergeCell ref="AL19:BP19"/>
    <mergeCell ref="A20:C20"/>
    <mergeCell ref="D20:Z20"/>
    <mergeCell ref="AA20:AE20"/>
    <mergeCell ref="AF20:AH20"/>
    <mergeCell ref="AI20:AK20"/>
    <mergeCell ref="AL20:BP20"/>
    <mergeCell ref="A17:C17"/>
    <mergeCell ref="D17:Z17"/>
    <mergeCell ref="AA17:AE17"/>
    <mergeCell ref="AF17:AH17"/>
    <mergeCell ref="AI17:AK17"/>
    <mergeCell ref="AL17:BP17"/>
    <mergeCell ref="A18:C18"/>
    <mergeCell ref="D18:Z18"/>
    <mergeCell ref="AA18:AE18"/>
    <mergeCell ref="AF18:AH18"/>
    <mergeCell ref="AI18:AK18"/>
    <mergeCell ref="AL18:BP18"/>
    <mergeCell ref="A15:C15"/>
    <mergeCell ref="D15:Z15"/>
    <mergeCell ref="AA15:AE15"/>
    <mergeCell ref="AF15:AH15"/>
    <mergeCell ref="AI15:AK15"/>
    <mergeCell ref="AL15:BP15"/>
    <mergeCell ref="A16:C16"/>
    <mergeCell ref="D16:Z16"/>
    <mergeCell ref="AA16:AE16"/>
    <mergeCell ref="AF16:AH16"/>
    <mergeCell ref="AI16:AK16"/>
    <mergeCell ref="AL16:BP16"/>
    <mergeCell ref="A13:C13"/>
    <mergeCell ref="D13:Z13"/>
    <mergeCell ref="AA13:AE13"/>
    <mergeCell ref="AF13:AH13"/>
    <mergeCell ref="AI13:AK13"/>
    <mergeCell ref="AL13:BP13"/>
    <mergeCell ref="A14:C14"/>
    <mergeCell ref="D14:Z14"/>
    <mergeCell ref="AA14:AE14"/>
    <mergeCell ref="AF14:AH14"/>
    <mergeCell ref="AI14:AK14"/>
    <mergeCell ref="AL14:BP14"/>
    <mergeCell ref="A11:C11"/>
    <mergeCell ref="D11:Z11"/>
    <mergeCell ref="AA11:AE11"/>
    <mergeCell ref="AF11:AH11"/>
    <mergeCell ref="AI11:AK11"/>
    <mergeCell ref="AL11:BP11"/>
    <mergeCell ref="A12:C12"/>
    <mergeCell ref="D12:Z12"/>
    <mergeCell ref="AA12:AE12"/>
    <mergeCell ref="AF12:AH12"/>
    <mergeCell ref="AI12:AK12"/>
    <mergeCell ref="AL12:BP12"/>
    <mergeCell ref="A9:C9"/>
    <mergeCell ref="D9:Z9"/>
    <mergeCell ref="AA9:AE9"/>
    <mergeCell ref="AF9:AH9"/>
    <mergeCell ref="AI9:AK9"/>
    <mergeCell ref="AL9:BP9"/>
    <mergeCell ref="A10:C10"/>
    <mergeCell ref="D10:Z10"/>
    <mergeCell ref="AA10:AE10"/>
    <mergeCell ref="AF10:AH10"/>
    <mergeCell ref="AI10:AK10"/>
    <mergeCell ref="AL10:BP10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8:C8"/>
    <mergeCell ref="D8:Z8"/>
    <mergeCell ref="AA8:AE8"/>
    <mergeCell ref="AF8:AH8"/>
    <mergeCell ref="AI8:AK8"/>
    <mergeCell ref="AL8:BP8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46:C46"/>
    <mergeCell ref="D46:Z46"/>
    <mergeCell ref="AA46:AE46"/>
    <mergeCell ref="AF46:AH46"/>
    <mergeCell ref="AI46:AK46"/>
    <mergeCell ref="AL46:BP46"/>
    <mergeCell ref="A45:C45"/>
    <mergeCell ref="D45:Z45"/>
    <mergeCell ref="AA45:AE45"/>
    <mergeCell ref="AF45:AH45"/>
    <mergeCell ref="AI45:AK45"/>
    <mergeCell ref="AL45:BP45"/>
  </mergeCells>
  <phoneticPr fontId="3"/>
  <dataValidations count="1">
    <dataValidation type="list" allowBlank="1" showInputMessage="1" showErrorMessage="1" sqref="BJ6:BP6" xr:uid="{55EE6CAD-710A-4C27-B7E4-6C1E1A56E7A7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D0007-8860-4AEE-A77A-AB304CC5325C}">
  <sheetPr codeName="Sheet23"/>
  <dimension ref="A1:BR54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1" width="2.125" style="55"/>
    <col min="32" max="32" width="2.875" style="55" bestFit="1" customWidth="1"/>
    <col min="33" max="38" width="2.125" style="55"/>
    <col min="39" max="44" width="0" style="55" hidden="1" customWidth="1"/>
    <col min="45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144" t="s">
        <v>198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95" t="s">
        <v>619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433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125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117">
        <f t="shared" ref="A9:A44" si="0">ROW()-8</f>
        <v>1</v>
      </c>
      <c r="B9" s="118"/>
      <c r="C9" s="119"/>
      <c r="D9" s="114" t="s">
        <v>1239</v>
      </c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6"/>
      <c r="AA9" s="117" t="s">
        <v>427</v>
      </c>
      <c r="AB9" s="118"/>
      <c r="AC9" s="118"/>
      <c r="AD9" s="118"/>
      <c r="AE9" s="119"/>
      <c r="AF9" s="117"/>
      <c r="AG9" s="118"/>
      <c r="AH9" s="119"/>
      <c r="AI9" s="117"/>
      <c r="AJ9" s="118"/>
      <c r="AK9" s="119"/>
      <c r="AL9" s="68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70"/>
    </row>
    <row r="10" spans="1:70" s="1" customFormat="1" ht="30.75" customHeight="1">
      <c r="A10" s="74">
        <f t="shared" si="0"/>
        <v>2</v>
      </c>
      <c r="B10" s="75"/>
      <c r="C10" s="76"/>
      <c r="D10" s="71" t="s">
        <v>1240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  <c r="AA10" s="74" t="s">
        <v>428</v>
      </c>
      <c r="AB10" s="75"/>
      <c r="AC10" s="75"/>
      <c r="AD10" s="75"/>
      <c r="AE10" s="76"/>
      <c r="AF10" s="74">
        <v>5</v>
      </c>
      <c r="AG10" s="75"/>
      <c r="AH10" s="76"/>
      <c r="AI10" s="74"/>
      <c r="AJ10" s="75"/>
      <c r="AK10" s="76"/>
      <c r="AL10" s="68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74">
        <f t="shared" si="0"/>
        <v>3</v>
      </c>
      <c r="B11" s="75"/>
      <c r="C11" s="76"/>
      <c r="D11" s="71" t="s">
        <v>1273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3"/>
      <c r="AA11" s="74" t="s">
        <v>428</v>
      </c>
      <c r="AB11" s="75"/>
      <c r="AC11" s="75"/>
      <c r="AD11" s="75"/>
      <c r="AE11" s="76"/>
      <c r="AF11" s="74">
        <v>19</v>
      </c>
      <c r="AG11" s="75"/>
      <c r="AH11" s="76"/>
      <c r="AI11" s="74"/>
      <c r="AJ11" s="75"/>
      <c r="AK11" s="76"/>
      <c r="AL11" s="68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70"/>
    </row>
    <row r="12" spans="1:70" s="1" customFormat="1" ht="30.75" customHeight="1">
      <c r="A12" s="74">
        <f t="shared" si="0"/>
        <v>4</v>
      </c>
      <c r="B12" s="75"/>
      <c r="C12" s="76"/>
      <c r="D12" s="71" t="s">
        <v>1241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3"/>
      <c r="AA12" s="74" t="s">
        <v>429</v>
      </c>
      <c r="AB12" s="75"/>
      <c r="AC12" s="75"/>
      <c r="AD12" s="75"/>
      <c r="AE12" s="76"/>
      <c r="AF12" s="74">
        <v>8</v>
      </c>
      <c r="AG12" s="75"/>
      <c r="AH12" s="76"/>
      <c r="AI12" s="74"/>
      <c r="AJ12" s="75"/>
      <c r="AK12" s="76"/>
      <c r="AL12" s="68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70"/>
    </row>
    <row r="13" spans="1:70" s="1" customFormat="1" ht="30.75" customHeight="1">
      <c r="A13" s="74">
        <f t="shared" si="0"/>
        <v>5</v>
      </c>
      <c r="B13" s="75"/>
      <c r="C13" s="76"/>
      <c r="D13" s="71" t="s">
        <v>1242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3"/>
      <c r="AA13" s="74" t="s">
        <v>429</v>
      </c>
      <c r="AB13" s="75"/>
      <c r="AC13" s="75"/>
      <c r="AD13" s="75"/>
      <c r="AE13" s="76"/>
      <c r="AF13" s="74">
        <v>8</v>
      </c>
      <c r="AG13" s="75"/>
      <c r="AH13" s="76"/>
      <c r="AI13" s="74"/>
      <c r="AJ13" s="75"/>
      <c r="AK13" s="76"/>
      <c r="AL13" s="68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70"/>
    </row>
    <row r="14" spans="1:70" s="1" customFormat="1" ht="30.75" customHeight="1">
      <c r="A14" s="74">
        <f t="shared" si="0"/>
        <v>6</v>
      </c>
      <c r="B14" s="75"/>
      <c r="C14" s="76"/>
      <c r="D14" s="71" t="s">
        <v>1243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3"/>
      <c r="AA14" s="74" t="s">
        <v>429</v>
      </c>
      <c r="AB14" s="75"/>
      <c r="AC14" s="75"/>
      <c r="AD14" s="75"/>
      <c r="AE14" s="76"/>
      <c r="AF14" s="74">
        <v>5</v>
      </c>
      <c r="AG14" s="75"/>
      <c r="AH14" s="76"/>
      <c r="AI14" s="86"/>
      <c r="AJ14" s="86"/>
      <c r="AK14" s="86"/>
      <c r="AL14" s="68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70"/>
    </row>
    <row r="15" spans="1:70" s="1" customFormat="1" ht="30.75" customHeight="1">
      <c r="A15" s="74">
        <f t="shared" si="0"/>
        <v>7</v>
      </c>
      <c r="B15" s="75"/>
      <c r="C15" s="76"/>
      <c r="D15" s="71" t="s">
        <v>1244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3"/>
      <c r="AA15" s="74" t="s">
        <v>428</v>
      </c>
      <c r="AB15" s="75"/>
      <c r="AC15" s="75"/>
      <c r="AD15" s="75"/>
      <c r="AE15" s="76"/>
      <c r="AF15" s="74">
        <v>3</v>
      </c>
      <c r="AG15" s="75"/>
      <c r="AH15" s="76"/>
      <c r="AI15" s="86"/>
      <c r="AJ15" s="86"/>
      <c r="AK15" s="86"/>
      <c r="AL15" s="68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70"/>
    </row>
    <row r="16" spans="1:70" s="1" customFormat="1" ht="30.75" customHeight="1">
      <c r="A16" s="74">
        <f t="shared" si="0"/>
        <v>8</v>
      </c>
      <c r="B16" s="75"/>
      <c r="C16" s="76"/>
      <c r="D16" s="71" t="s">
        <v>1245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3"/>
      <c r="AA16" s="74" t="s">
        <v>428</v>
      </c>
      <c r="AB16" s="75"/>
      <c r="AC16" s="75"/>
      <c r="AD16" s="75"/>
      <c r="AE16" s="76"/>
      <c r="AF16" s="74">
        <v>25</v>
      </c>
      <c r="AG16" s="75"/>
      <c r="AH16" s="76"/>
      <c r="AI16" s="86"/>
      <c r="AJ16" s="86"/>
      <c r="AK16" s="86"/>
      <c r="AL16" s="68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70"/>
    </row>
    <row r="17" spans="1:68" s="1" customFormat="1" ht="30.75" customHeight="1">
      <c r="A17" s="74">
        <f t="shared" si="0"/>
        <v>9</v>
      </c>
      <c r="B17" s="75"/>
      <c r="C17" s="76"/>
      <c r="D17" s="71" t="s">
        <v>1246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3"/>
      <c r="AA17" s="74" t="s">
        <v>429</v>
      </c>
      <c r="AB17" s="75"/>
      <c r="AC17" s="75"/>
      <c r="AD17" s="75"/>
      <c r="AE17" s="76"/>
      <c r="AF17" s="74">
        <v>8</v>
      </c>
      <c r="AG17" s="75"/>
      <c r="AH17" s="76"/>
      <c r="AI17" s="86"/>
      <c r="AJ17" s="86"/>
      <c r="AK17" s="86"/>
      <c r="AL17" s="68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70"/>
    </row>
    <row r="18" spans="1:68" s="1" customFormat="1" ht="30.75" customHeight="1">
      <c r="A18" s="74">
        <f t="shared" si="0"/>
        <v>10</v>
      </c>
      <c r="B18" s="75"/>
      <c r="C18" s="76"/>
      <c r="D18" s="71" t="s">
        <v>1247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3"/>
      <c r="AA18" s="74" t="s">
        <v>427</v>
      </c>
      <c r="AB18" s="75"/>
      <c r="AC18" s="75"/>
      <c r="AD18" s="75"/>
      <c r="AE18" s="76"/>
      <c r="AF18" s="74"/>
      <c r="AG18" s="75"/>
      <c r="AH18" s="76"/>
      <c r="AI18" s="86"/>
      <c r="AJ18" s="86"/>
      <c r="AK18" s="86"/>
      <c r="AL18" s="68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70"/>
    </row>
    <row r="19" spans="1:68" s="1" customFormat="1" ht="30.75" customHeight="1">
      <c r="A19" s="74">
        <f t="shared" si="0"/>
        <v>11</v>
      </c>
      <c r="B19" s="75"/>
      <c r="C19" s="76"/>
      <c r="D19" s="71" t="s">
        <v>1248</v>
      </c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3"/>
      <c r="AA19" s="74" t="s">
        <v>428</v>
      </c>
      <c r="AB19" s="75"/>
      <c r="AC19" s="75"/>
      <c r="AD19" s="75"/>
      <c r="AE19" s="76"/>
      <c r="AF19" s="74">
        <v>78</v>
      </c>
      <c r="AG19" s="75"/>
      <c r="AH19" s="76"/>
      <c r="AI19" s="86"/>
      <c r="AJ19" s="86"/>
      <c r="AK19" s="86"/>
      <c r="AL19" s="68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70"/>
    </row>
    <row r="20" spans="1:68" s="1" customFormat="1" ht="30.75" customHeight="1">
      <c r="A20" s="74">
        <f t="shared" si="0"/>
        <v>12</v>
      </c>
      <c r="B20" s="75"/>
      <c r="C20" s="76"/>
      <c r="D20" s="71" t="s">
        <v>1249</v>
      </c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3"/>
      <c r="AA20" s="74" t="s">
        <v>428</v>
      </c>
      <c r="AB20" s="75"/>
      <c r="AC20" s="75"/>
      <c r="AD20" s="75"/>
      <c r="AE20" s="76"/>
      <c r="AF20" s="74">
        <v>10</v>
      </c>
      <c r="AG20" s="75"/>
      <c r="AH20" s="76"/>
      <c r="AI20" s="74"/>
      <c r="AJ20" s="75"/>
      <c r="AK20" s="76"/>
      <c r="AL20" s="68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70"/>
    </row>
    <row r="21" spans="1:68" s="1" customFormat="1" ht="30.75" customHeight="1">
      <c r="A21" s="74">
        <f t="shared" si="0"/>
        <v>13</v>
      </c>
      <c r="B21" s="75"/>
      <c r="C21" s="76"/>
      <c r="D21" s="71" t="s">
        <v>1250</v>
      </c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3"/>
      <c r="AA21" s="74" t="s">
        <v>428</v>
      </c>
      <c r="AB21" s="75"/>
      <c r="AC21" s="75"/>
      <c r="AD21" s="75"/>
      <c r="AE21" s="76"/>
      <c r="AF21" s="74">
        <v>9</v>
      </c>
      <c r="AG21" s="75"/>
      <c r="AH21" s="76"/>
      <c r="AI21" s="74"/>
      <c r="AJ21" s="75"/>
      <c r="AK21" s="76"/>
      <c r="AL21" s="68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70"/>
    </row>
    <row r="22" spans="1:68" s="1" customFormat="1" ht="30.75" customHeight="1">
      <c r="A22" s="74">
        <f t="shared" si="0"/>
        <v>14</v>
      </c>
      <c r="B22" s="75"/>
      <c r="C22" s="76"/>
      <c r="D22" s="71" t="s">
        <v>1251</v>
      </c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3"/>
      <c r="AA22" s="74" t="s">
        <v>429</v>
      </c>
      <c r="AB22" s="75"/>
      <c r="AC22" s="75"/>
      <c r="AD22" s="75"/>
      <c r="AE22" s="76"/>
      <c r="AF22" s="74">
        <v>15</v>
      </c>
      <c r="AG22" s="75"/>
      <c r="AH22" s="76"/>
      <c r="AI22" s="74"/>
      <c r="AJ22" s="75"/>
      <c r="AK22" s="76"/>
      <c r="AL22" s="68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70"/>
    </row>
    <row r="23" spans="1:68" s="1" customFormat="1" ht="30.75" customHeight="1">
      <c r="A23" s="74">
        <f t="shared" si="0"/>
        <v>15</v>
      </c>
      <c r="B23" s="75"/>
      <c r="C23" s="76"/>
      <c r="D23" s="71" t="s">
        <v>1252</v>
      </c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3"/>
      <c r="AA23" s="74" t="s">
        <v>429</v>
      </c>
      <c r="AB23" s="75"/>
      <c r="AC23" s="75"/>
      <c r="AD23" s="75"/>
      <c r="AE23" s="76"/>
      <c r="AF23" s="74">
        <v>15</v>
      </c>
      <c r="AG23" s="75"/>
      <c r="AH23" s="76"/>
      <c r="AI23" s="74"/>
      <c r="AJ23" s="75"/>
      <c r="AK23" s="76"/>
      <c r="AL23" s="68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70"/>
    </row>
    <row r="24" spans="1:68" s="1" customFormat="1" ht="30.75" customHeight="1">
      <c r="A24" s="74">
        <f t="shared" si="0"/>
        <v>16</v>
      </c>
      <c r="B24" s="75"/>
      <c r="C24" s="76"/>
      <c r="D24" s="71" t="s">
        <v>1253</v>
      </c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3"/>
      <c r="AA24" s="74" t="s">
        <v>429</v>
      </c>
      <c r="AB24" s="75"/>
      <c r="AC24" s="75"/>
      <c r="AD24" s="75"/>
      <c r="AE24" s="76"/>
      <c r="AF24" s="74">
        <v>15</v>
      </c>
      <c r="AG24" s="75"/>
      <c r="AH24" s="76"/>
      <c r="AI24" s="74"/>
      <c r="AJ24" s="75"/>
      <c r="AK24" s="76"/>
      <c r="AL24" s="68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70"/>
    </row>
    <row r="25" spans="1:68" s="1" customFormat="1" ht="30.75" customHeight="1">
      <c r="A25" s="74">
        <f t="shared" si="0"/>
        <v>17</v>
      </c>
      <c r="B25" s="75"/>
      <c r="C25" s="76"/>
      <c r="D25" s="71" t="s">
        <v>1254</v>
      </c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3"/>
      <c r="AA25" s="74" t="s">
        <v>428</v>
      </c>
      <c r="AB25" s="75"/>
      <c r="AC25" s="75"/>
      <c r="AD25" s="75"/>
      <c r="AE25" s="76"/>
      <c r="AF25" s="74">
        <v>9</v>
      </c>
      <c r="AG25" s="75"/>
      <c r="AH25" s="76"/>
      <c r="AI25" s="74"/>
      <c r="AJ25" s="75"/>
      <c r="AK25" s="76"/>
      <c r="AL25" s="68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70"/>
    </row>
    <row r="26" spans="1:68" s="1" customFormat="1" ht="30.75" customHeight="1">
      <c r="A26" s="74">
        <f t="shared" si="0"/>
        <v>18</v>
      </c>
      <c r="B26" s="75"/>
      <c r="C26" s="76"/>
      <c r="D26" s="71" t="s">
        <v>1255</v>
      </c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3"/>
      <c r="AA26" s="74" t="s">
        <v>429</v>
      </c>
      <c r="AB26" s="75"/>
      <c r="AC26" s="75"/>
      <c r="AD26" s="75"/>
      <c r="AE26" s="76"/>
      <c r="AF26" s="74">
        <v>15</v>
      </c>
      <c r="AG26" s="75"/>
      <c r="AH26" s="76"/>
      <c r="AI26" s="74"/>
      <c r="AJ26" s="75"/>
      <c r="AK26" s="76"/>
      <c r="AL26" s="68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70"/>
    </row>
    <row r="27" spans="1:68" s="1" customFormat="1" ht="30.75" customHeight="1">
      <c r="A27" s="74">
        <f t="shared" si="0"/>
        <v>19</v>
      </c>
      <c r="B27" s="75"/>
      <c r="C27" s="76"/>
      <c r="D27" s="71" t="s">
        <v>1256</v>
      </c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3"/>
      <c r="AA27" s="74" t="s">
        <v>429</v>
      </c>
      <c r="AB27" s="75"/>
      <c r="AC27" s="75"/>
      <c r="AD27" s="75"/>
      <c r="AE27" s="76"/>
      <c r="AF27" s="74">
        <v>15</v>
      </c>
      <c r="AG27" s="75"/>
      <c r="AH27" s="76"/>
      <c r="AI27" s="86"/>
      <c r="AJ27" s="86"/>
      <c r="AK27" s="86"/>
      <c r="AL27" s="68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70"/>
    </row>
    <row r="28" spans="1:68" s="1" customFormat="1" ht="30.75" customHeight="1">
      <c r="A28" s="74">
        <f t="shared" si="0"/>
        <v>20</v>
      </c>
      <c r="B28" s="75"/>
      <c r="C28" s="76"/>
      <c r="D28" s="71" t="s">
        <v>1257</v>
      </c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3"/>
      <c r="AA28" s="74" t="s">
        <v>429</v>
      </c>
      <c r="AB28" s="75"/>
      <c r="AC28" s="75"/>
      <c r="AD28" s="75"/>
      <c r="AE28" s="76"/>
      <c r="AF28" s="74">
        <v>15</v>
      </c>
      <c r="AG28" s="75"/>
      <c r="AH28" s="76"/>
      <c r="AI28" s="86"/>
      <c r="AJ28" s="86"/>
      <c r="AK28" s="86"/>
      <c r="AL28" s="68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70"/>
    </row>
    <row r="29" spans="1:68" s="1" customFormat="1" ht="30.75" customHeight="1">
      <c r="A29" s="74">
        <f t="shared" si="0"/>
        <v>21</v>
      </c>
      <c r="B29" s="75"/>
      <c r="C29" s="76"/>
      <c r="D29" s="71" t="s">
        <v>1258</v>
      </c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3"/>
      <c r="AA29" s="74" t="s">
        <v>429</v>
      </c>
      <c r="AB29" s="75"/>
      <c r="AC29" s="75"/>
      <c r="AD29" s="75"/>
      <c r="AE29" s="76"/>
      <c r="AF29" s="74">
        <v>15</v>
      </c>
      <c r="AG29" s="75"/>
      <c r="AH29" s="76"/>
      <c r="AI29" s="86"/>
      <c r="AJ29" s="86"/>
      <c r="AK29" s="86"/>
      <c r="AL29" s="68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70"/>
    </row>
    <row r="30" spans="1:68" s="1" customFormat="1" ht="30.75" customHeight="1">
      <c r="A30" s="74">
        <f t="shared" si="0"/>
        <v>22</v>
      </c>
      <c r="B30" s="75"/>
      <c r="C30" s="76"/>
      <c r="D30" s="71" t="s">
        <v>1259</v>
      </c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3"/>
      <c r="AA30" s="74" t="s">
        <v>429</v>
      </c>
      <c r="AB30" s="75"/>
      <c r="AC30" s="75"/>
      <c r="AD30" s="75"/>
      <c r="AE30" s="76"/>
      <c r="AF30" s="74">
        <v>15</v>
      </c>
      <c r="AG30" s="75"/>
      <c r="AH30" s="76"/>
      <c r="AI30" s="86"/>
      <c r="AJ30" s="86"/>
      <c r="AK30" s="86"/>
      <c r="AL30" s="68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70"/>
    </row>
    <row r="31" spans="1:68" s="1" customFormat="1" ht="30.75" customHeight="1">
      <c r="A31" s="74">
        <f t="shared" si="0"/>
        <v>23</v>
      </c>
      <c r="B31" s="75"/>
      <c r="C31" s="76"/>
      <c r="D31" s="71" t="s">
        <v>1260</v>
      </c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3"/>
      <c r="AA31" s="74" t="s">
        <v>429</v>
      </c>
      <c r="AB31" s="75"/>
      <c r="AC31" s="75"/>
      <c r="AD31" s="75"/>
      <c r="AE31" s="76"/>
      <c r="AF31" s="74">
        <v>15</v>
      </c>
      <c r="AG31" s="75"/>
      <c r="AH31" s="76"/>
      <c r="AI31" s="86"/>
      <c r="AJ31" s="86"/>
      <c r="AK31" s="86"/>
      <c r="AL31" s="68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70"/>
    </row>
    <row r="32" spans="1:68" s="1" customFormat="1" ht="30.75" customHeight="1">
      <c r="A32" s="74">
        <f t="shared" si="0"/>
        <v>24</v>
      </c>
      <c r="B32" s="75"/>
      <c r="C32" s="76"/>
      <c r="D32" s="71" t="s">
        <v>1261</v>
      </c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3"/>
      <c r="AA32" s="74" t="s">
        <v>427</v>
      </c>
      <c r="AB32" s="75"/>
      <c r="AC32" s="75"/>
      <c r="AD32" s="75"/>
      <c r="AE32" s="76"/>
      <c r="AF32" s="74"/>
      <c r="AG32" s="75"/>
      <c r="AH32" s="76"/>
      <c r="AI32" s="86"/>
      <c r="AJ32" s="86"/>
      <c r="AK32" s="86"/>
      <c r="AL32" s="68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70"/>
    </row>
    <row r="33" spans="1:68" s="1" customFormat="1" ht="30.75" customHeight="1">
      <c r="A33" s="74">
        <f t="shared" si="0"/>
        <v>25</v>
      </c>
      <c r="B33" s="75"/>
      <c r="C33" s="76"/>
      <c r="D33" s="71" t="s">
        <v>1248</v>
      </c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3"/>
      <c r="AA33" s="74" t="s">
        <v>428</v>
      </c>
      <c r="AB33" s="75"/>
      <c r="AC33" s="75"/>
      <c r="AD33" s="75"/>
      <c r="AE33" s="76"/>
      <c r="AF33" s="74">
        <v>78</v>
      </c>
      <c r="AG33" s="75"/>
      <c r="AH33" s="76"/>
      <c r="AI33" s="86"/>
      <c r="AJ33" s="86"/>
      <c r="AK33" s="86"/>
      <c r="AL33" s="68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70"/>
    </row>
    <row r="34" spans="1:68" s="1" customFormat="1" ht="30.75" customHeight="1">
      <c r="A34" s="74">
        <f t="shared" si="0"/>
        <v>26</v>
      </c>
      <c r="B34" s="75"/>
      <c r="C34" s="76"/>
      <c r="D34" s="71" t="s">
        <v>1249</v>
      </c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3"/>
      <c r="AA34" s="74" t="s">
        <v>428</v>
      </c>
      <c r="AB34" s="75"/>
      <c r="AC34" s="75"/>
      <c r="AD34" s="75"/>
      <c r="AE34" s="76"/>
      <c r="AF34" s="74">
        <v>8</v>
      </c>
      <c r="AG34" s="75"/>
      <c r="AH34" s="76"/>
      <c r="AI34" s="86"/>
      <c r="AJ34" s="86"/>
      <c r="AK34" s="86"/>
      <c r="AL34" s="68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70"/>
    </row>
    <row r="35" spans="1:68" s="1" customFormat="1" ht="30.75" customHeight="1">
      <c r="A35" s="74">
        <f t="shared" si="0"/>
        <v>27</v>
      </c>
      <c r="B35" s="75"/>
      <c r="C35" s="76"/>
      <c r="D35" s="71" t="s">
        <v>1262</v>
      </c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3"/>
      <c r="AA35" s="74" t="s">
        <v>428</v>
      </c>
      <c r="AB35" s="75"/>
      <c r="AC35" s="75"/>
      <c r="AD35" s="75"/>
      <c r="AE35" s="76"/>
      <c r="AF35" s="74">
        <v>60</v>
      </c>
      <c r="AG35" s="75"/>
      <c r="AH35" s="76"/>
      <c r="AI35" s="86"/>
      <c r="AJ35" s="86"/>
      <c r="AK35" s="86"/>
      <c r="AL35" s="68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70"/>
    </row>
    <row r="36" spans="1:68" s="1" customFormat="1" ht="30.75" customHeight="1">
      <c r="A36" s="74">
        <f t="shared" si="0"/>
        <v>28</v>
      </c>
      <c r="B36" s="75"/>
      <c r="C36" s="76"/>
      <c r="D36" s="71" t="s">
        <v>1263</v>
      </c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3"/>
      <c r="AA36" s="74" t="s">
        <v>429</v>
      </c>
      <c r="AB36" s="75"/>
      <c r="AC36" s="75"/>
      <c r="AD36" s="75"/>
      <c r="AE36" s="76"/>
      <c r="AF36" s="74">
        <v>15</v>
      </c>
      <c r="AG36" s="75"/>
      <c r="AH36" s="76"/>
      <c r="AI36" s="86"/>
      <c r="AJ36" s="86"/>
      <c r="AK36" s="86"/>
      <c r="AL36" s="68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70"/>
    </row>
    <row r="37" spans="1:68" s="1" customFormat="1" ht="30.75" customHeight="1">
      <c r="A37" s="74">
        <f t="shared" si="0"/>
        <v>29</v>
      </c>
      <c r="B37" s="75"/>
      <c r="C37" s="76"/>
      <c r="D37" s="71" t="s">
        <v>1264</v>
      </c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3"/>
      <c r="AA37" s="74" t="s">
        <v>429</v>
      </c>
      <c r="AB37" s="75"/>
      <c r="AC37" s="75"/>
      <c r="AD37" s="75"/>
      <c r="AE37" s="76"/>
      <c r="AF37" s="74">
        <v>15</v>
      </c>
      <c r="AG37" s="75"/>
      <c r="AH37" s="76"/>
      <c r="AI37" s="74"/>
      <c r="AJ37" s="75"/>
      <c r="AK37" s="76"/>
      <c r="AL37" s="68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70"/>
    </row>
    <row r="38" spans="1:68" s="1" customFormat="1" ht="30.75" customHeight="1">
      <c r="A38" s="74">
        <f t="shared" si="0"/>
        <v>30</v>
      </c>
      <c r="B38" s="75"/>
      <c r="C38" s="76"/>
      <c r="D38" s="71" t="s">
        <v>1265</v>
      </c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3"/>
      <c r="AA38" s="74" t="s">
        <v>429</v>
      </c>
      <c r="AB38" s="75"/>
      <c r="AC38" s="75"/>
      <c r="AD38" s="75"/>
      <c r="AE38" s="76"/>
      <c r="AF38" s="74">
        <v>15</v>
      </c>
      <c r="AG38" s="75"/>
      <c r="AH38" s="76"/>
      <c r="AI38" s="86"/>
      <c r="AJ38" s="86"/>
      <c r="AK38" s="86"/>
      <c r="AL38" s="68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70"/>
    </row>
    <row r="39" spans="1:68" s="1" customFormat="1" ht="30.75" customHeight="1">
      <c r="A39" s="74">
        <f t="shared" si="0"/>
        <v>31</v>
      </c>
      <c r="B39" s="75"/>
      <c r="C39" s="76"/>
      <c r="D39" s="71" t="s">
        <v>1258</v>
      </c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3"/>
      <c r="AA39" s="74" t="s">
        <v>429</v>
      </c>
      <c r="AB39" s="75"/>
      <c r="AC39" s="75"/>
      <c r="AD39" s="75"/>
      <c r="AE39" s="76"/>
      <c r="AF39" s="74">
        <v>15</v>
      </c>
      <c r="AG39" s="75"/>
      <c r="AH39" s="76"/>
      <c r="AI39" s="86"/>
      <c r="AJ39" s="86"/>
      <c r="AK39" s="86"/>
      <c r="AL39" s="68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70"/>
    </row>
    <row r="40" spans="1:68" s="1" customFormat="1" ht="30.75" customHeight="1">
      <c r="A40" s="74">
        <f t="shared" si="0"/>
        <v>32</v>
      </c>
      <c r="B40" s="75"/>
      <c r="C40" s="76"/>
      <c r="D40" s="71" t="s">
        <v>1259</v>
      </c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3"/>
      <c r="AA40" s="74" t="s">
        <v>429</v>
      </c>
      <c r="AB40" s="75"/>
      <c r="AC40" s="75"/>
      <c r="AD40" s="75"/>
      <c r="AE40" s="76"/>
      <c r="AF40" s="74">
        <v>15</v>
      </c>
      <c r="AG40" s="75"/>
      <c r="AH40" s="76"/>
      <c r="AI40" s="86"/>
      <c r="AJ40" s="86"/>
      <c r="AK40" s="86"/>
      <c r="AL40" s="68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70"/>
    </row>
    <row r="41" spans="1:68" s="1" customFormat="1" ht="30.75" customHeight="1">
      <c r="A41" s="74">
        <f t="shared" si="0"/>
        <v>33</v>
      </c>
      <c r="B41" s="75"/>
      <c r="C41" s="76"/>
      <c r="D41" s="71" t="s">
        <v>1260</v>
      </c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3"/>
      <c r="AA41" s="74" t="s">
        <v>429</v>
      </c>
      <c r="AB41" s="75"/>
      <c r="AC41" s="75"/>
      <c r="AD41" s="75"/>
      <c r="AE41" s="76"/>
      <c r="AF41" s="74">
        <v>15</v>
      </c>
      <c r="AG41" s="75"/>
      <c r="AH41" s="76"/>
      <c r="AI41" s="74"/>
      <c r="AJ41" s="75"/>
      <c r="AK41" s="76"/>
      <c r="AL41" s="68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70"/>
    </row>
    <row r="42" spans="1:68" s="1" customFormat="1" ht="30.75" customHeight="1">
      <c r="A42" s="74">
        <f t="shared" si="0"/>
        <v>34</v>
      </c>
      <c r="B42" s="75"/>
      <c r="C42" s="76"/>
      <c r="D42" s="71" t="s">
        <v>1266</v>
      </c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3"/>
      <c r="AA42" s="74" t="s">
        <v>429</v>
      </c>
      <c r="AB42" s="75"/>
      <c r="AC42" s="75"/>
      <c r="AD42" s="75"/>
      <c r="AE42" s="76"/>
      <c r="AF42" s="74">
        <v>15</v>
      </c>
      <c r="AG42" s="75"/>
      <c r="AH42" s="76"/>
      <c r="AI42" s="74"/>
      <c r="AJ42" s="75"/>
      <c r="AK42" s="76"/>
      <c r="AL42" s="68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70"/>
    </row>
    <row r="43" spans="1:68" s="1" customFormat="1" ht="30.75" customHeight="1">
      <c r="A43" s="74">
        <f t="shared" si="0"/>
        <v>35</v>
      </c>
      <c r="B43" s="75"/>
      <c r="C43" s="76"/>
      <c r="D43" s="71" t="s">
        <v>1267</v>
      </c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3"/>
      <c r="AA43" s="74" t="s">
        <v>429</v>
      </c>
      <c r="AB43" s="75"/>
      <c r="AC43" s="75"/>
      <c r="AD43" s="75"/>
      <c r="AE43" s="76"/>
      <c r="AF43" s="74">
        <v>15</v>
      </c>
      <c r="AG43" s="75"/>
      <c r="AH43" s="76"/>
      <c r="AI43" s="74"/>
      <c r="AJ43" s="75"/>
      <c r="AK43" s="76"/>
      <c r="AL43" s="83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5"/>
    </row>
    <row r="44" spans="1:68" s="1" customFormat="1" ht="30.75" customHeight="1">
      <c r="A44" s="80">
        <f t="shared" si="0"/>
        <v>36</v>
      </c>
      <c r="B44" s="81"/>
      <c r="C44" s="82"/>
      <c r="D44" s="71" t="s">
        <v>1268</v>
      </c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3"/>
      <c r="AA44" s="74" t="s">
        <v>429</v>
      </c>
      <c r="AB44" s="75"/>
      <c r="AC44" s="75"/>
      <c r="AD44" s="75"/>
      <c r="AE44" s="76"/>
      <c r="AF44" s="74">
        <v>15</v>
      </c>
      <c r="AG44" s="75"/>
      <c r="AH44" s="76"/>
      <c r="AI44" s="80"/>
      <c r="AJ44" s="81"/>
      <c r="AK44" s="82"/>
      <c r="AL44" s="83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5"/>
    </row>
    <row r="45" spans="1:68" s="1" customFormat="1" ht="30.75" customHeight="1">
      <c r="A45" s="74"/>
      <c r="B45" s="75"/>
      <c r="C45" s="76"/>
      <c r="D45" s="71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3"/>
      <c r="AA45" s="74"/>
      <c r="AB45" s="75"/>
      <c r="AC45" s="75"/>
      <c r="AD45" s="75"/>
      <c r="AE45" s="76"/>
      <c r="AF45" s="86"/>
      <c r="AG45" s="86"/>
      <c r="AH45" s="86"/>
      <c r="AI45" s="86"/>
      <c r="AJ45" s="86"/>
      <c r="AK45" s="86"/>
      <c r="AL45" s="68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  <c r="BP45" s="70"/>
    </row>
    <row r="46" spans="1:68" s="1" customFormat="1" ht="30.75" customHeight="1">
      <c r="A46" s="80"/>
      <c r="B46" s="81"/>
      <c r="C46" s="82"/>
      <c r="D46" s="77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9"/>
      <c r="AA46" s="80"/>
      <c r="AB46" s="81"/>
      <c r="AC46" s="81"/>
      <c r="AD46" s="81"/>
      <c r="AE46" s="82"/>
      <c r="AF46" s="87"/>
      <c r="AG46" s="87"/>
      <c r="AH46" s="87"/>
      <c r="AI46" s="87"/>
      <c r="AJ46" s="87"/>
      <c r="AK46" s="87"/>
      <c r="AL46" s="83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5"/>
    </row>
    <row r="47" spans="1:68" s="4" customFormat="1" ht="3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3"/>
      <c r="AG47" s="3"/>
      <c r="AH47" s="3"/>
      <c r="AI47" s="3"/>
      <c r="AJ47" s="3"/>
      <c r="AK47" s="3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</row>
    <row r="48" spans="1:68" s="4" customFormat="1" ht="14.25">
      <c r="A48" s="5" t="s">
        <v>14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15"/>
      <c r="AG48" s="15"/>
      <c r="AH48" s="15"/>
      <c r="AI48" s="15"/>
      <c r="AJ48" s="15"/>
      <c r="AK48" s="15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6"/>
    </row>
    <row r="49" spans="1:68" s="4" customFormat="1" ht="20.25" customHeight="1">
      <c r="A49" s="5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6"/>
    </row>
    <row r="50" spans="1:68" s="4" customFormat="1" ht="20.25" customHeight="1">
      <c r="A50" s="5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6"/>
    </row>
    <row r="51" spans="1:68" s="4" customFormat="1" ht="20.25" customHeight="1">
      <c r="A51" s="5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6"/>
    </row>
    <row r="52" spans="1:68" s="4" customFormat="1" ht="20.25" customHeight="1">
      <c r="A52" s="5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6"/>
    </row>
    <row r="53" spans="1:68" s="4" customFormat="1" ht="20.25" customHeight="1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9"/>
    </row>
    <row r="54" spans="1:68" ht="5.25" customHeight="1"/>
  </sheetData>
  <mergeCells count="253">
    <mergeCell ref="A44:C44"/>
    <mergeCell ref="D44:Z44"/>
    <mergeCell ref="AA44:AE44"/>
    <mergeCell ref="AF44:AH44"/>
    <mergeCell ref="AI44:AK44"/>
    <mergeCell ref="AL44:BP44"/>
    <mergeCell ref="A42:C42"/>
    <mergeCell ref="D42:Z42"/>
    <mergeCell ref="AA42:AE42"/>
    <mergeCell ref="AF42:AH42"/>
    <mergeCell ref="AI42:AK42"/>
    <mergeCell ref="AL42:BP42"/>
    <mergeCell ref="A43:C43"/>
    <mergeCell ref="D43:Z43"/>
    <mergeCell ref="AA43:AE43"/>
    <mergeCell ref="AF43:AH43"/>
    <mergeCell ref="AI43:AK43"/>
    <mergeCell ref="AL43:BP43"/>
    <mergeCell ref="A40:C40"/>
    <mergeCell ref="D40:Z40"/>
    <mergeCell ref="AA40:AE40"/>
    <mergeCell ref="AF40:AH40"/>
    <mergeCell ref="AI40:AK40"/>
    <mergeCell ref="AL40:BP40"/>
    <mergeCell ref="A41:C41"/>
    <mergeCell ref="D41:Z41"/>
    <mergeCell ref="AA41:AE41"/>
    <mergeCell ref="AF41:AH41"/>
    <mergeCell ref="AI41:AK41"/>
    <mergeCell ref="AL41:BP41"/>
    <mergeCell ref="A38:C38"/>
    <mergeCell ref="D38:Z38"/>
    <mergeCell ref="AA38:AE38"/>
    <mergeCell ref="AF38:AH38"/>
    <mergeCell ref="AI38:AK38"/>
    <mergeCell ref="AL38:BP38"/>
    <mergeCell ref="A39:C39"/>
    <mergeCell ref="D39:Z39"/>
    <mergeCell ref="AA39:AE39"/>
    <mergeCell ref="AF39:AH39"/>
    <mergeCell ref="AI39:AK39"/>
    <mergeCell ref="AL39:BP39"/>
    <mergeCell ref="A36:C36"/>
    <mergeCell ref="D36:Z36"/>
    <mergeCell ref="AA36:AE36"/>
    <mergeCell ref="AF36:AH36"/>
    <mergeCell ref="AI36:AK36"/>
    <mergeCell ref="AL36:BP36"/>
    <mergeCell ref="A37:C37"/>
    <mergeCell ref="D37:Z37"/>
    <mergeCell ref="AA37:AE37"/>
    <mergeCell ref="AF37:AH37"/>
    <mergeCell ref="AI37:AK37"/>
    <mergeCell ref="AL37:BP37"/>
    <mergeCell ref="A34:C34"/>
    <mergeCell ref="D34:Z34"/>
    <mergeCell ref="AA34:AE34"/>
    <mergeCell ref="AF34:AH34"/>
    <mergeCell ref="AI34:AK34"/>
    <mergeCell ref="AL34:BP34"/>
    <mergeCell ref="A35:C35"/>
    <mergeCell ref="D35:Z35"/>
    <mergeCell ref="AA35:AE35"/>
    <mergeCell ref="AF35:AH35"/>
    <mergeCell ref="AI35:AK35"/>
    <mergeCell ref="AL35:BP35"/>
    <mergeCell ref="A32:C32"/>
    <mergeCell ref="D32:Z32"/>
    <mergeCell ref="AA32:AE32"/>
    <mergeCell ref="AF32:AH32"/>
    <mergeCell ref="AI32:AK32"/>
    <mergeCell ref="AL32:BP32"/>
    <mergeCell ref="A33:C33"/>
    <mergeCell ref="D33:Z33"/>
    <mergeCell ref="AA33:AE33"/>
    <mergeCell ref="AF33:AH33"/>
    <mergeCell ref="AI33:AK33"/>
    <mergeCell ref="AL33:BP33"/>
    <mergeCell ref="A30:C30"/>
    <mergeCell ref="D30:Z30"/>
    <mergeCell ref="AA30:AE30"/>
    <mergeCell ref="AF30:AH30"/>
    <mergeCell ref="AI30:AK30"/>
    <mergeCell ref="AL30:BP30"/>
    <mergeCell ref="A31:C31"/>
    <mergeCell ref="D31:Z31"/>
    <mergeCell ref="AA31:AE31"/>
    <mergeCell ref="AF31:AH31"/>
    <mergeCell ref="AI31:AK31"/>
    <mergeCell ref="AL31:BP31"/>
    <mergeCell ref="A28:C28"/>
    <mergeCell ref="D28:Z28"/>
    <mergeCell ref="AA28:AE28"/>
    <mergeCell ref="AF28:AH28"/>
    <mergeCell ref="AI28:AK28"/>
    <mergeCell ref="AL28:BP28"/>
    <mergeCell ref="A29:C29"/>
    <mergeCell ref="D29:Z29"/>
    <mergeCell ref="AA29:AE29"/>
    <mergeCell ref="AF29:AH29"/>
    <mergeCell ref="AI29:AK29"/>
    <mergeCell ref="AL29:BP29"/>
    <mergeCell ref="A26:C26"/>
    <mergeCell ref="D26:Z26"/>
    <mergeCell ref="AA26:AE26"/>
    <mergeCell ref="AF26:AH26"/>
    <mergeCell ref="AI26:AK26"/>
    <mergeCell ref="AL26:BP26"/>
    <mergeCell ref="A27:C27"/>
    <mergeCell ref="D27:Z27"/>
    <mergeCell ref="AA27:AE27"/>
    <mergeCell ref="AF27:AH27"/>
    <mergeCell ref="AI27:AK27"/>
    <mergeCell ref="AL27:BP27"/>
    <mergeCell ref="A24:C24"/>
    <mergeCell ref="D24:Z24"/>
    <mergeCell ref="AA24:AE24"/>
    <mergeCell ref="AF24:AH24"/>
    <mergeCell ref="AI24:AK24"/>
    <mergeCell ref="AL24:BP24"/>
    <mergeCell ref="A25:C25"/>
    <mergeCell ref="D25:Z25"/>
    <mergeCell ref="AA25:AE25"/>
    <mergeCell ref="AF25:AH25"/>
    <mergeCell ref="AI25:AK25"/>
    <mergeCell ref="AL25:BP25"/>
    <mergeCell ref="A22:C22"/>
    <mergeCell ref="D22:Z22"/>
    <mergeCell ref="AA22:AE22"/>
    <mergeCell ref="AF22:AH22"/>
    <mergeCell ref="AI22:AK22"/>
    <mergeCell ref="AL22:BP22"/>
    <mergeCell ref="A23:C23"/>
    <mergeCell ref="D23:Z23"/>
    <mergeCell ref="AA23:AE23"/>
    <mergeCell ref="AF23:AH23"/>
    <mergeCell ref="AI23:AK23"/>
    <mergeCell ref="AL23:BP23"/>
    <mergeCell ref="A20:C20"/>
    <mergeCell ref="D20:Z20"/>
    <mergeCell ref="AA20:AE20"/>
    <mergeCell ref="AF20:AH20"/>
    <mergeCell ref="AI20:AK20"/>
    <mergeCell ref="AL20:BP20"/>
    <mergeCell ref="A21:C21"/>
    <mergeCell ref="D21:Z21"/>
    <mergeCell ref="AA21:AE21"/>
    <mergeCell ref="AF21:AH21"/>
    <mergeCell ref="AI21:AK21"/>
    <mergeCell ref="AL21:BP21"/>
    <mergeCell ref="A18:C18"/>
    <mergeCell ref="D18:Z18"/>
    <mergeCell ref="AA18:AE18"/>
    <mergeCell ref="AF18:AH18"/>
    <mergeCell ref="AI18:AK18"/>
    <mergeCell ref="AL18:BP18"/>
    <mergeCell ref="A19:C19"/>
    <mergeCell ref="D19:Z19"/>
    <mergeCell ref="AA19:AE19"/>
    <mergeCell ref="AF19:AH19"/>
    <mergeCell ref="AI19:AK19"/>
    <mergeCell ref="AL19:BP19"/>
    <mergeCell ref="A16:C16"/>
    <mergeCell ref="D16:Z16"/>
    <mergeCell ref="AA16:AE16"/>
    <mergeCell ref="AF16:AH16"/>
    <mergeCell ref="AI16:AK16"/>
    <mergeCell ref="AL16:BP16"/>
    <mergeCell ref="A17:C17"/>
    <mergeCell ref="D17:Z17"/>
    <mergeCell ref="AA17:AE17"/>
    <mergeCell ref="AF17:AH17"/>
    <mergeCell ref="AI17:AK17"/>
    <mergeCell ref="AL17:BP17"/>
    <mergeCell ref="A14:C14"/>
    <mergeCell ref="D14:Z14"/>
    <mergeCell ref="AA14:AE14"/>
    <mergeCell ref="AF14:AH14"/>
    <mergeCell ref="AI14:AK14"/>
    <mergeCell ref="AL14:BP14"/>
    <mergeCell ref="A15:C15"/>
    <mergeCell ref="D15:Z15"/>
    <mergeCell ref="AA15:AE15"/>
    <mergeCell ref="AF15:AH15"/>
    <mergeCell ref="AI15:AK15"/>
    <mergeCell ref="AL15:BP15"/>
    <mergeCell ref="A12:C12"/>
    <mergeCell ref="D12:Z12"/>
    <mergeCell ref="AA12:AE12"/>
    <mergeCell ref="AF12:AH12"/>
    <mergeCell ref="AI12:AK12"/>
    <mergeCell ref="AL12:BP12"/>
    <mergeCell ref="A13:C13"/>
    <mergeCell ref="D13:Z13"/>
    <mergeCell ref="AA13:AE13"/>
    <mergeCell ref="AF13:AH13"/>
    <mergeCell ref="AI13:AK13"/>
    <mergeCell ref="AL13:BP13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8:C8"/>
    <mergeCell ref="D8:Z8"/>
    <mergeCell ref="AA8:AE8"/>
    <mergeCell ref="AF8:AH8"/>
    <mergeCell ref="AI8:AK8"/>
    <mergeCell ref="AL8:BP8"/>
    <mergeCell ref="A9:C9"/>
    <mergeCell ref="D9:Z9"/>
    <mergeCell ref="AA9:AE9"/>
    <mergeCell ref="AF9:AH9"/>
    <mergeCell ref="AI9:AK9"/>
    <mergeCell ref="AL9:BP9"/>
    <mergeCell ref="A10:C10"/>
    <mergeCell ref="D10:Z10"/>
    <mergeCell ref="AA10:AE10"/>
    <mergeCell ref="AF10:AH10"/>
    <mergeCell ref="AI10:AK10"/>
    <mergeCell ref="AL10:BP10"/>
    <mergeCell ref="A46:C46"/>
    <mergeCell ref="D46:Z46"/>
    <mergeCell ref="AA46:AE46"/>
    <mergeCell ref="AF46:AH46"/>
    <mergeCell ref="AI46:AK46"/>
    <mergeCell ref="AL46:BP46"/>
    <mergeCell ref="A45:C45"/>
    <mergeCell ref="D45:Z45"/>
    <mergeCell ref="AA45:AE45"/>
    <mergeCell ref="AF45:AH45"/>
    <mergeCell ref="AI45:AK45"/>
    <mergeCell ref="AL45:BP45"/>
    <mergeCell ref="A11:C11"/>
    <mergeCell ref="D11:Z11"/>
    <mergeCell ref="AA11:AE11"/>
    <mergeCell ref="AF11:AH11"/>
    <mergeCell ref="AI11:AK11"/>
    <mergeCell ref="AL11:BP11"/>
  </mergeCells>
  <phoneticPr fontId="3"/>
  <dataValidations count="1">
    <dataValidation type="list" allowBlank="1" showInputMessage="1" showErrorMessage="1" sqref="BJ6:BP6" xr:uid="{EEBBBEFB-FF5A-488E-A19B-E3A327B88FE3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F82EC-C8F5-4637-8BAC-361589D45C72}">
  <sheetPr codeName="Sheet25"/>
  <dimension ref="A1:BR54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1" width="2.125" style="55"/>
    <col min="32" max="32" width="2.875" style="55" bestFit="1" customWidth="1"/>
    <col min="33" max="38" width="2.125" style="55"/>
    <col min="39" max="44" width="0" style="55" hidden="1" customWidth="1"/>
    <col min="45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144" t="s">
        <v>198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95" t="s">
        <v>620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434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125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117">
        <f t="shared" ref="A9:A44" si="0">ROW()-8</f>
        <v>1</v>
      </c>
      <c r="B9" s="118"/>
      <c r="C9" s="119"/>
      <c r="D9" s="114" t="s">
        <v>1239</v>
      </c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6"/>
      <c r="AA9" s="117" t="s">
        <v>427</v>
      </c>
      <c r="AB9" s="118"/>
      <c r="AC9" s="118"/>
      <c r="AD9" s="118"/>
      <c r="AE9" s="119"/>
      <c r="AF9" s="117"/>
      <c r="AG9" s="118"/>
      <c r="AH9" s="119"/>
      <c r="AI9" s="117"/>
      <c r="AJ9" s="118"/>
      <c r="AK9" s="119"/>
      <c r="AL9" s="68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70"/>
    </row>
    <row r="10" spans="1:70" s="1" customFormat="1" ht="30.75" customHeight="1">
      <c r="A10" s="74">
        <f t="shared" si="0"/>
        <v>2</v>
      </c>
      <c r="B10" s="75"/>
      <c r="C10" s="76"/>
      <c r="D10" s="71" t="s">
        <v>1240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  <c r="AA10" s="74" t="s">
        <v>428</v>
      </c>
      <c r="AB10" s="75"/>
      <c r="AC10" s="75"/>
      <c r="AD10" s="75"/>
      <c r="AE10" s="76"/>
      <c r="AF10" s="74">
        <v>5</v>
      </c>
      <c r="AG10" s="75"/>
      <c r="AH10" s="76"/>
      <c r="AI10" s="74"/>
      <c r="AJ10" s="75"/>
      <c r="AK10" s="76"/>
      <c r="AL10" s="68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74">
        <f t="shared" si="0"/>
        <v>3</v>
      </c>
      <c r="B11" s="75"/>
      <c r="C11" s="76"/>
      <c r="D11" s="71" t="s">
        <v>1273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3"/>
      <c r="AA11" s="74" t="s">
        <v>428</v>
      </c>
      <c r="AB11" s="75"/>
      <c r="AC11" s="75"/>
      <c r="AD11" s="75"/>
      <c r="AE11" s="76"/>
      <c r="AF11" s="74">
        <v>19</v>
      </c>
      <c r="AG11" s="75"/>
      <c r="AH11" s="76"/>
      <c r="AI11" s="74"/>
      <c r="AJ11" s="75"/>
      <c r="AK11" s="76"/>
      <c r="AL11" s="68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70"/>
    </row>
    <row r="12" spans="1:70" s="1" customFormat="1" ht="30.75" customHeight="1">
      <c r="A12" s="74">
        <f t="shared" si="0"/>
        <v>4</v>
      </c>
      <c r="B12" s="75"/>
      <c r="C12" s="76"/>
      <c r="D12" s="71" t="s">
        <v>1241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3"/>
      <c r="AA12" s="74" t="s">
        <v>429</v>
      </c>
      <c r="AB12" s="75"/>
      <c r="AC12" s="75"/>
      <c r="AD12" s="75"/>
      <c r="AE12" s="76"/>
      <c r="AF12" s="74">
        <v>8</v>
      </c>
      <c r="AG12" s="75"/>
      <c r="AH12" s="76"/>
      <c r="AI12" s="74"/>
      <c r="AJ12" s="75"/>
      <c r="AK12" s="76"/>
      <c r="AL12" s="68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70"/>
    </row>
    <row r="13" spans="1:70" s="1" customFormat="1" ht="30.75" customHeight="1">
      <c r="A13" s="74">
        <f t="shared" si="0"/>
        <v>5</v>
      </c>
      <c r="B13" s="75"/>
      <c r="C13" s="76"/>
      <c r="D13" s="71" t="s">
        <v>1242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3"/>
      <c r="AA13" s="74" t="s">
        <v>429</v>
      </c>
      <c r="AB13" s="75"/>
      <c r="AC13" s="75"/>
      <c r="AD13" s="75"/>
      <c r="AE13" s="76"/>
      <c r="AF13" s="74">
        <v>8</v>
      </c>
      <c r="AG13" s="75"/>
      <c r="AH13" s="76"/>
      <c r="AI13" s="74"/>
      <c r="AJ13" s="75"/>
      <c r="AK13" s="76"/>
      <c r="AL13" s="68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70"/>
    </row>
    <row r="14" spans="1:70" s="1" customFormat="1" ht="30.75" customHeight="1">
      <c r="A14" s="74">
        <f t="shared" si="0"/>
        <v>6</v>
      </c>
      <c r="B14" s="75"/>
      <c r="C14" s="76"/>
      <c r="D14" s="71" t="s">
        <v>1243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3"/>
      <c r="AA14" s="74" t="s">
        <v>429</v>
      </c>
      <c r="AB14" s="75"/>
      <c r="AC14" s="75"/>
      <c r="AD14" s="75"/>
      <c r="AE14" s="76"/>
      <c r="AF14" s="74">
        <v>5</v>
      </c>
      <c r="AG14" s="75"/>
      <c r="AH14" s="76"/>
      <c r="AI14" s="86"/>
      <c r="AJ14" s="86"/>
      <c r="AK14" s="86"/>
      <c r="AL14" s="68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70"/>
    </row>
    <row r="15" spans="1:70" s="1" customFormat="1" ht="30.75" customHeight="1">
      <c r="A15" s="74">
        <f t="shared" si="0"/>
        <v>7</v>
      </c>
      <c r="B15" s="75"/>
      <c r="C15" s="76"/>
      <c r="D15" s="71" t="s">
        <v>1244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3"/>
      <c r="AA15" s="74" t="s">
        <v>428</v>
      </c>
      <c r="AB15" s="75"/>
      <c r="AC15" s="75"/>
      <c r="AD15" s="75"/>
      <c r="AE15" s="76"/>
      <c r="AF15" s="74">
        <v>3</v>
      </c>
      <c r="AG15" s="75"/>
      <c r="AH15" s="76"/>
      <c r="AI15" s="86"/>
      <c r="AJ15" s="86"/>
      <c r="AK15" s="86"/>
      <c r="AL15" s="68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70"/>
    </row>
    <row r="16" spans="1:70" s="1" customFormat="1" ht="30.75" customHeight="1">
      <c r="A16" s="74">
        <f t="shared" si="0"/>
        <v>8</v>
      </c>
      <c r="B16" s="75"/>
      <c r="C16" s="76"/>
      <c r="D16" s="71" t="s">
        <v>1245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3"/>
      <c r="AA16" s="74" t="s">
        <v>428</v>
      </c>
      <c r="AB16" s="75"/>
      <c r="AC16" s="75"/>
      <c r="AD16" s="75"/>
      <c r="AE16" s="76"/>
      <c r="AF16" s="74">
        <v>25</v>
      </c>
      <c r="AG16" s="75"/>
      <c r="AH16" s="76"/>
      <c r="AI16" s="86"/>
      <c r="AJ16" s="86"/>
      <c r="AK16" s="86"/>
      <c r="AL16" s="68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70"/>
    </row>
    <row r="17" spans="1:68" s="1" customFormat="1" ht="30.75" customHeight="1">
      <c r="A17" s="74">
        <f t="shared" si="0"/>
        <v>9</v>
      </c>
      <c r="B17" s="75"/>
      <c r="C17" s="76"/>
      <c r="D17" s="71" t="s">
        <v>1246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3"/>
      <c r="AA17" s="74" t="s">
        <v>429</v>
      </c>
      <c r="AB17" s="75"/>
      <c r="AC17" s="75"/>
      <c r="AD17" s="75"/>
      <c r="AE17" s="76"/>
      <c r="AF17" s="74">
        <v>8</v>
      </c>
      <c r="AG17" s="75"/>
      <c r="AH17" s="76"/>
      <c r="AI17" s="86"/>
      <c r="AJ17" s="86"/>
      <c r="AK17" s="86"/>
      <c r="AL17" s="68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70"/>
    </row>
    <row r="18" spans="1:68" s="1" customFormat="1" ht="30.75" customHeight="1">
      <c r="A18" s="74">
        <f t="shared" si="0"/>
        <v>10</v>
      </c>
      <c r="B18" s="75"/>
      <c r="C18" s="76"/>
      <c r="D18" s="71" t="s">
        <v>1247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3"/>
      <c r="AA18" s="74" t="s">
        <v>427</v>
      </c>
      <c r="AB18" s="75"/>
      <c r="AC18" s="75"/>
      <c r="AD18" s="75"/>
      <c r="AE18" s="76"/>
      <c r="AF18" s="74"/>
      <c r="AG18" s="75"/>
      <c r="AH18" s="76"/>
      <c r="AI18" s="86"/>
      <c r="AJ18" s="86"/>
      <c r="AK18" s="86"/>
      <c r="AL18" s="68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70"/>
    </row>
    <row r="19" spans="1:68" s="1" customFormat="1" ht="30.75" customHeight="1">
      <c r="A19" s="74">
        <f t="shared" si="0"/>
        <v>11</v>
      </c>
      <c r="B19" s="75"/>
      <c r="C19" s="76"/>
      <c r="D19" s="71" t="s">
        <v>1248</v>
      </c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3"/>
      <c r="AA19" s="74" t="s">
        <v>428</v>
      </c>
      <c r="AB19" s="75"/>
      <c r="AC19" s="75"/>
      <c r="AD19" s="75"/>
      <c r="AE19" s="76"/>
      <c r="AF19" s="74">
        <v>78</v>
      </c>
      <c r="AG19" s="75"/>
      <c r="AH19" s="76"/>
      <c r="AI19" s="86"/>
      <c r="AJ19" s="86"/>
      <c r="AK19" s="86"/>
      <c r="AL19" s="68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70"/>
    </row>
    <row r="20" spans="1:68" s="1" customFormat="1" ht="30.75" customHeight="1">
      <c r="A20" s="74">
        <f t="shared" si="0"/>
        <v>12</v>
      </c>
      <c r="B20" s="75"/>
      <c r="C20" s="76"/>
      <c r="D20" s="71" t="s">
        <v>1249</v>
      </c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3"/>
      <c r="AA20" s="74" t="s">
        <v>428</v>
      </c>
      <c r="AB20" s="75"/>
      <c r="AC20" s="75"/>
      <c r="AD20" s="75"/>
      <c r="AE20" s="76"/>
      <c r="AF20" s="74">
        <v>10</v>
      </c>
      <c r="AG20" s="75"/>
      <c r="AH20" s="76"/>
      <c r="AI20" s="74"/>
      <c r="AJ20" s="75"/>
      <c r="AK20" s="76"/>
      <c r="AL20" s="68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70"/>
    </row>
    <row r="21" spans="1:68" s="1" customFormat="1" ht="30.75" customHeight="1">
      <c r="A21" s="74">
        <f t="shared" si="0"/>
        <v>13</v>
      </c>
      <c r="B21" s="75"/>
      <c r="C21" s="76"/>
      <c r="D21" s="71" t="s">
        <v>1250</v>
      </c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3"/>
      <c r="AA21" s="74" t="s">
        <v>428</v>
      </c>
      <c r="AB21" s="75"/>
      <c r="AC21" s="75"/>
      <c r="AD21" s="75"/>
      <c r="AE21" s="76"/>
      <c r="AF21" s="74">
        <v>9</v>
      </c>
      <c r="AG21" s="75"/>
      <c r="AH21" s="76"/>
      <c r="AI21" s="74"/>
      <c r="AJ21" s="75"/>
      <c r="AK21" s="76"/>
      <c r="AL21" s="68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70"/>
    </row>
    <row r="22" spans="1:68" s="1" customFormat="1" ht="30.75" customHeight="1">
      <c r="A22" s="74">
        <f t="shared" si="0"/>
        <v>14</v>
      </c>
      <c r="B22" s="75"/>
      <c r="C22" s="76"/>
      <c r="D22" s="71" t="s">
        <v>1251</v>
      </c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3"/>
      <c r="AA22" s="74" t="s">
        <v>429</v>
      </c>
      <c r="AB22" s="75"/>
      <c r="AC22" s="75"/>
      <c r="AD22" s="75"/>
      <c r="AE22" s="76"/>
      <c r="AF22" s="74">
        <v>15</v>
      </c>
      <c r="AG22" s="75"/>
      <c r="AH22" s="76"/>
      <c r="AI22" s="74"/>
      <c r="AJ22" s="75"/>
      <c r="AK22" s="76"/>
      <c r="AL22" s="68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70"/>
    </row>
    <row r="23" spans="1:68" s="1" customFormat="1" ht="30.75" customHeight="1">
      <c r="A23" s="74">
        <f t="shared" si="0"/>
        <v>15</v>
      </c>
      <c r="B23" s="75"/>
      <c r="C23" s="76"/>
      <c r="D23" s="71" t="s">
        <v>1252</v>
      </c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3"/>
      <c r="AA23" s="74" t="s">
        <v>429</v>
      </c>
      <c r="AB23" s="75"/>
      <c r="AC23" s="75"/>
      <c r="AD23" s="75"/>
      <c r="AE23" s="76"/>
      <c r="AF23" s="74">
        <v>15</v>
      </c>
      <c r="AG23" s="75"/>
      <c r="AH23" s="76"/>
      <c r="AI23" s="74"/>
      <c r="AJ23" s="75"/>
      <c r="AK23" s="76"/>
      <c r="AL23" s="68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70"/>
    </row>
    <row r="24" spans="1:68" s="1" customFormat="1" ht="30.75" customHeight="1">
      <c r="A24" s="74">
        <f t="shared" si="0"/>
        <v>16</v>
      </c>
      <c r="B24" s="75"/>
      <c r="C24" s="76"/>
      <c r="D24" s="71" t="s">
        <v>1253</v>
      </c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3"/>
      <c r="AA24" s="74" t="s">
        <v>429</v>
      </c>
      <c r="AB24" s="75"/>
      <c r="AC24" s="75"/>
      <c r="AD24" s="75"/>
      <c r="AE24" s="76"/>
      <c r="AF24" s="74">
        <v>15</v>
      </c>
      <c r="AG24" s="75"/>
      <c r="AH24" s="76"/>
      <c r="AI24" s="74"/>
      <c r="AJ24" s="75"/>
      <c r="AK24" s="76"/>
      <c r="AL24" s="68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70"/>
    </row>
    <row r="25" spans="1:68" s="1" customFormat="1" ht="30.75" customHeight="1">
      <c r="A25" s="74">
        <f t="shared" si="0"/>
        <v>17</v>
      </c>
      <c r="B25" s="75"/>
      <c r="C25" s="76"/>
      <c r="D25" s="71" t="s">
        <v>1254</v>
      </c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3"/>
      <c r="AA25" s="74" t="s">
        <v>428</v>
      </c>
      <c r="AB25" s="75"/>
      <c r="AC25" s="75"/>
      <c r="AD25" s="75"/>
      <c r="AE25" s="76"/>
      <c r="AF25" s="74">
        <v>9</v>
      </c>
      <c r="AG25" s="75"/>
      <c r="AH25" s="76"/>
      <c r="AI25" s="74"/>
      <c r="AJ25" s="75"/>
      <c r="AK25" s="76"/>
      <c r="AL25" s="68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70"/>
    </row>
    <row r="26" spans="1:68" s="1" customFormat="1" ht="30.75" customHeight="1">
      <c r="A26" s="74">
        <f t="shared" si="0"/>
        <v>18</v>
      </c>
      <c r="B26" s="75"/>
      <c r="C26" s="76"/>
      <c r="D26" s="71" t="s">
        <v>1255</v>
      </c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3"/>
      <c r="AA26" s="74" t="s">
        <v>429</v>
      </c>
      <c r="AB26" s="75"/>
      <c r="AC26" s="75"/>
      <c r="AD26" s="75"/>
      <c r="AE26" s="76"/>
      <c r="AF26" s="74">
        <v>15</v>
      </c>
      <c r="AG26" s="75"/>
      <c r="AH26" s="76"/>
      <c r="AI26" s="74"/>
      <c r="AJ26" s="75"/>
      <c r="AK26" s="76"/>
      <c r="AL26" s="68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70"/>
    </row>
    <row r="27" spans="1:68" s="1" customFormat="1" ht="30.75" customHeight="1">
      <c r="A27" s="74">
        <f t="shared" si="0"/>
        <v>19</v>
      </c>
      <c r="B27" s="75"/>
      <c r="C27" s="76"/>
      <c r="D27" s="71" t="s">
        <v>1256</v>
      </c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3"/>
      <c r="AA27" s="74" t="s">
        <v>429</v>
      </c>
      <c r="AB27" s="75"/>
      <c r="AC27" s="75"/>
      <c r="AD27" s="75"/>
      <c r="AE27" s="76"/>
      <c r="AF27" s="74">
        <v>15</v>
      </c>
      <c r="AG27" s="75"/>
      <c r="AH27" s="76"/>
      <c r="AI27" s="86"/>
      <c r="AJ27" s="86"/>
      <c r="AK27" s="86"/>
      <c r="AL27" s="68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70"/>
    </row>
    <row r="28" spans="1:68" s="1" customFormat="1" ht="30.75" customHeight="1">
      <c r="A28" s="74">
        <f t="shared" si="0"/>
        <v>20</v>
      </c>
      <c r="B28" s="75"/>
      <c r="C28" s="76"/>
      <c r="D28" s="71" t="s">
        <v>1257</v>
      </c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3"/>
      <c r="AA28" s="74" t="s">
        <v>429</v>
      </c>
      <c r="AB28" s="75"/>
      <c r="AC28" s="75"/>
      <c r="AD28" s="75"/>
      <c r="AE28" s="76"/>
      <c r="AF28" s="74">
        <v>15</v>
      </c>
      <c r="AG28" s="75"/>
      <c r="AH28" s="76"/>
      <c r="AI28" s="86"/>
      <c r="AJ28" s="86"/>
      <c r="AK28" s="86"/>
      <c r="AL28" s="68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70"/>
    </row>
    <row r="29" spans="1:68" s="1" customFormat="1" ht="30.75" customHeight="1">
      <c r="A29" s="74">
        <f t="shared" si="0"/>
        <v>21</v>
      </c>
      <c r="B29" s="75"/>
      <c r="C29" s="76"/>
      <c r="D29" s="71" t="s">
        <v>1258</v>
      </c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3"/>
      <c r="AA29" s="74" t="s">
        <v>429</v>
      </c>
      <c r="AB29" s="75"/>
      <c r="AC29" s="75"/>
      <c r="AD29" s="75"/>
      <c r="AE29" s="76"/>
      <c r="AF29" s="74">
        <v>15</v>
      </c>
      <c r="AG29" s="75"/>
      <c r="AH29" s="76"/>
      <c r="AI29" s="86"/>
      <c r="AJ29" s="86"/>
      <c r="AK29" s="86"/>
      <c r="AL29" s="68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70"/>
    </row>
    <row r="30" spans="1:68" s="1" customFormat="1" ht="30.75" customHeight="1">
      <c r="A30" s="74">
        <f t="shared" si="0"/>
        <v>22</v>
      </c>
      <c r="B30" s="75"/>
      <c r="C30" s="76"/>
      <c r="D30" s="71" t="s">
        <v>1259</v>
      </c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3"/>
      <c r="AA30" s="74" t="s">
        <v>429</v>
      </c>
      <c r="AB30" s="75"/>
      <c r="AC30" s="75"/>
      <c r="AD30" s="75"/>
      <c r="AE30" s="76"/>
      <c r="AF30" s="74">
        <v>15</v>
      </c>
      <c r="AG30" s="75"/>
      <c r="AH30" s="76"/>
      <c r="AI30" s="86"/>
      <c r="AJ30" s="86"/>
      <c r="AK30" s="86"/>
      <c r="AL30" s="68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70"/>
    </row>
    <row r="31" spans="1:68" s="1" customFormat="1" ht="30.75" customHeight="1">
      <c r="A31" s="74">
        <f t="shared" si="0"/>
        <v>23</v>
      </c>
      <c r="B31" s="75"/>
      <c r="C31" s="76"/>
      <c r="D31" s="71" t="s">
        <v>1260</v>
      </c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3"/>
      <c r="AA31" s="74" t="s">
        <v>429</v>
      </c>
      <c r="AB31" s="75"/>
      <c r="AC31" s="75"/>
      <c r="AD31" s="75"/>
      <c r="AE31" s="76"/>
      <c r="AF31" s="74">
        <v>15</v>
      </c>
      <c r="AG31" s="75"/>
      <c r="AH31" s="76"/>
      <c r="AI31" s="86"/>
      <c r="AJ31" s="86"/>
      <c r="AK31" s="86"/>
      <c r="AL31" s="68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70"/>
    </row>
    <row r="32" spans="1:68" s="1" customFormat="1" ht="30.75" customHeight="1">
      <c r="A32" s="74">
        <f t="shared" si="0"/>
        <v>24</v>
      </c>
      <c r="B32" s="75"/>
      <c r="C32" s="76"/>
      <c r="D32" s="71" t="s">
        <v>1261</v>
      </c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3"/>
      <c r="AA32" s="74" t="s">
        <v>427</v>
      </c>
      <c r="AB32" s="75"/>
      <c r="AC32" s="75"/>
      <c r="AD32" s="75"/>
      <c r="AE32" s="76"/>
      <c r="AF32" s="74"/>
      <c r="AG32" s="75"/>
      <c r="AH32" s="76"/>
      <c r="AI32" s="86"/>
      <c r="AJ32" s="86"/>
      <c r="AK32" s="86"/>
      <c r="AL32" s="68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70"/>
    </row>
    <row r="33" spans="1:68" s="1" customFormat="1" ht="30.75" customHeight="1">
      <c r="A33" s="74">
        <f t="shared" si="0"/>
        <v>25</v>
      </c>
      <c r="B33" s="75"/>
      <c r="C33" s="76"/>
      <c r="D33" s="71" t="s">
        <v>1248</v>
      </c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3"/>
      <c r="AA33" s="74" t="s">
        <v>428</v>
      </c>
      <c r="AB33" s="75"/>
      <c r="AC33" s="75"/>
      <c r="AD33" s="75"/>
      <c r="AE33" s="76"/>
      <c r="AF33" s="74">
        <v>78</v>
      </c>
      <c r="AG33" s="75"/>
      <c r="AH33" s="76"/>
      <c r="AI33" s="86"/>
      <c r="AJ33" s="86"/>
      <c r="AK33" s="86"/>
      <c r="AL33" s="68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70"/>
    </row>
    <row r="34" spans="1:68" s="1" customFormat="1" ht="30.75" customHeight="1">
      <c r="A34" s="74">
        <f t="shared" si="0"/>
        <v>26</v>
      </c>
      <c r="B34" s="75"/>
      <c r="C34" s="76"/>
      <c r="D34" s="71" t="s">
        <v>1249</v>
      </c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3"/>
      <c r="AA34" s="74" t="s">
        <v>428</v>
      </c>
      <c r="AB34" s="75"/>
      <c r="AC34" s="75"/>
      <c r="AD34" s="75"/>
      <c r="AE34" s="76"/>
      <c r="AF34" s="74">
        <v>8</v>
      </c>
      <c r="AG34" s="75"/>
      <c r="AH34" s="76"/>
      <c r="AI34" s="86"/>
      <c r="AJ34" s="86"/>
      <c r="AK34" s="86"/>
      <c r="AL34" s="68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70"/>
    </row>
    <row r="35" spans="1:68" s="1" customFormat="1" ht="30.75" customHeight="1">
      <c r="A35" s="74">
        <f t="shared" si="0"/>
        <v>27</v>
      </c>
      <c r="B35" s="75"/>
      <c r="C35" s="76"/>
      <c r="D35" s="71" t="s">
        <v>1262</v>
      </c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3"/>
      <c r="AA35" s="74" t="s">
        <v>428</v>
      </c>
      <c r="AB35" s="75"/>
      <c r="AC35" s="75"/>
      <c r="AD35" s="75"/>
      <c r="AE35" s="76"/>
      <c r="AF35" s="74">
        <v>60</v>
      </c>
      <c r="AG35" s="75"/>
      <c r="AH35" s="76"/>
      <c r="AI35" s="86"/>
      <c r="AJ35" s="86"/>
      <c r="AK35" s="86"/>
      <c r="AL35" s="68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70"/>
    </row>
    <row r="36" spans="1:68" s="1" customFormat="1" ht="30.75" customHeight="1">
      <c r="A36" s="74">
        <f t="shared" si="0"/>
        <v>28</v>
      </c>
      <c r="B36" s="75"/>
      <c r="C36" s="76"/>
      <c r="D36" s="71" t="s">
        <v>1263</v>
      </c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3"/>
      <c r="AA36" s="74" t="s">
        <v>429</v>
      </c>
      <c r="AB36" s="75"/>
      <c r="AC36" s="75"/>
      <c r="AD36" s="75"/>
      <c r="AE36" s="76"/>
      <c r="AF36" s="74">
        <v>15</v>
      </c>
      <c r="AG36" s="75"/>
      <c r="AH36" s="76"/>
      <c r="AI36" s="86"/>
      <c r="AJ36" s="86"/>
      <c r="AK36" s="86"/>
      <c r="AL36" s="68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70"/>
    </row>
    <row r="37" spans="1:68" s="1" customFormat="1" ht="30.75" customHeight="1">
      <c r="A37" s="74">
        <f t="shared" si="0"/>
        <v>29</v>
      </c>
      <c r="B37" s="75"/>
      <c r="C37" s="76"/>
      <c r="D37" s="71" t="s">
        <v>1264</v>
      </c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3"/>
      <c r="AA37" s="74" t="s">
        <v>429</v>
      </c>
      <c r="AB37" s="75"/>
      <c r="AC37" s="75"/>
      <c r="AD37" s="75"/>
      <c r="AE37" s="76"/>
      <c r="AF37" s="74">
        <v>15</v>
      </c>
      <c r="AG37" s="75"/>
      <c r="AH37" s="76"/>
      <c r="AI37" s="74"/>
      <c r="AJ37" s="75"/>
      <c r="AK37" s="76"/>
      <c r="AL37" s="68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70"/>
    </row>
    <row r="38" spans="1:68" s="1" customFormat="1" ht="30.75" customHeight="1">
      <c r="A38" s="74">
        <f t="shared" si="0"/>
        <v>30</v>
      </c>
      <c r="B38" s="75"/>
      <c r="C38" s="76"/>
      <c r="D38" s="71" t="s">
        <v>1265</v>
      </c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3"/>
      <c r="AA38" s="74" t="s">
        <v>429</v>
      </c>
      <c r="AB38" s="75"/>
      <c r="AC38" s="75"/>
      <c r="AD38" s="75"/>
      <c r="AE38" s="76"/>
      <c r="AF38" s="74">
        <v>15</v>
      </c>
      <c r="AG38" s="75"/>
      <c r="AH38" s="76"/>
      <c r="AI38" s="86"/>
      <c r="AJ38" s="86"/>
      <c r="AK38" s="86"/>
      <c r="AL38" s="68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70"/>
    </row>
    <row r="39" spans="1:68" s="1" customFormat="1" ht="30.75" customHeight="1">
      <c r="A39" s="74">
        <f t="shared" si="0"/>
        <v>31</v>
      </c>
      <c r="B39" s="75"/>
      <c r="C39" s="76"/>
      <c r="D39" s="71" t="s">
        <v>1258</v>
      </c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3"/>
      <c r="AA39" s="74" t="s">
        <v>429</v>
      </c>
      <c r="AB39" s="75"/>
      <c r="AC39" s="75"/>
      <c r="AD39" s="75"/>
      <c r="AE39" s="76"/>
      <c r="AF39" s="74">
        <v>15</v>
      </c>
      <c r="AG39" s="75"/>
      <c r="AH39" s="76"/>
      <c r="AI39" s="86"/>
      <c r="AJ39" s="86"/>
      <c r="AK39" s="86"/>
      <c r="AL39" s="68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70"/>
    </row>
    <row r="40" spans="1:68" s="1" customFormat="1" ht="30.75" customHeight="1">
      <c r="A40" s="74">
        <f t="shared" si="0"/>
        <v>32</v>
      </c>
      <c r="B40" s="75"/>
      <c r="C40" s="76"/>
      <c r="D40" s="71" t="s">
        <v>1259</v>
      </c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3"/>
      <c r="AA40" s="74" t="s">
        <v>429</v>
      </c>
      <c r="AB40" s="75"/>
      <c r="AC40" s="75"/>
      <c r="AD40" s="75"/>
      <c r="AE40" s="76"/>
      <c r="AF40" s="74">
        <v>15</v>
      </c>
      <c r="AG40" s="75"/>
      <c r="AH40" s="76"/>
      <c r="AI40" s="86"/>
      <c r="AJ40" s="86"/>
      <c r="AK40" s="86"/>
      <c r="AL40" s="68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70"/>
    </row>
    <row r="41" spans="1:68" s="1" customFormat="1" ht="30.75" customHeight="1">
      <c r="A41" s="74">
        <f t="shared" si="0"/>
        <v>33</v>
      </c>
      <c r="B41" s="75"/>
      <c r="C41" s="76"/>
      <c r="D41" s="71" t="s">
        <v>1260</v>
      </c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3"/>
      <c r="AA41" s="74" t="s">
        <v>429</v>
      </c>
      <c r="AB41" s="75"/>
      <c r="AC41" s="75"/>
      <c r="AD41" s="75"/>
      <c r="AE41" s="76"/>
      <c r="AF41" s="74">
        <v>15</v>
      </c>
      <c r="AG41" s="75"/>
      <c r="AH41" s="76"/>
      <c r="AI41" s="74"/>
      <c r="AJ41" s="75"/>
      <c r="AK41" s="76"/>
      <c r="AL41" s="68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70"/>
    </row>
    <row r="42" spans="1:68" s="1" customFormat="1" ht="30.75" customHeight="1">
      <c r="A42" s="74">
        <f t="shared" si="0"/>
        <v>34</v>
      </c>
      <c r="B42" s="75"/>
      <c r="C42" s="76"/>
      <c r="D42" s="71" t="s">
        <v>1266</v>
      </c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3"/>
      <c r="AA42" s="74" t="s">
        <v>429</v>
      </c>
      <c r="AB42" s="75"/>
      <c r="AC42" s="75"/>
      <c r="AD42" s="75"/>
      <c r="AE42" s="76"/>
      <c r="AF42" s="74">
        <v>15</v>
      </c>
      <c r="AG42" s="75"/>
      <c r="AH42" s="76"/>
      <c r="AI42" s="74"/>
      <c r="AJ42" s="75"/>
      <c r="AK42" s="76"/>
      <c r="AL42" s="68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70"/>
    </row>
    <row r="43" spans="1:68" s="1" customFormat="1" ht="30.75" customHeight="1">
      <c r="A43" s="74">
        <f t="shared" si="0"/>
        <v>35</v>
      </c>
      <c r="B43" s="75"/>
      <c r="C43" s="76"/>
      <c r="D43" s="71" t="s">
        <v>1267</v>
      </c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3"/>
      <c r="AA43" s="74" t="s">
        <v>429</v>
      </c>
      <c r="AB43" s="75"/>
      <c r="AC43" s="75"/>
      <c r="AD43" s="75"/>
      <c r="AE43" s="76"/>
      <c r="AF43" s="74">
        <v>15</v>
      </c>
      <c r="AG43" s="75"/>
      <c r="AH43" s="76"/>
      <c r="AI43" s="74"/>
      <c r="AJ43" s="75"/>
      <c r="AK43" s="76"/>
      <c r="AL43" s="83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5"/>
    </row>
    <row r="44" spans="1:68" s="1" customFormat="1" ht="30.75" customHeight="1">
      <c r="A44" s="80">
        <f t="shared" si="0"/>
        <v>36</v>
      </c>
      <c r="B44" s="81"/>
      <c r="C44" s="82"/>
      <c r="D44" s="71" t="s">
        <v>1268</v>
      </c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3"/>
      <c r="AA44" s="74" t="s">
        <v>429</v>
      </c>
      <c r="AB44" s="75"/>
      <c r="AC44" s="75"/>
      <c r="AD44" s="75"/>
      <c r="AE44" s="76"/>
      <c r="AF44" s="74">
        <v>15</v>
      </c>
      <c r="AG44" s="75"/>
      <c r="AH44" s="76"/>
      <c r="AI44" s="80"/>
      <c r="AJ44" s="81"/>
      <c r="AK44" s="82"/>
      <c r="AL44" s="83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5"/>
    </row>
    <row r="45" spans="1:68" s="1" customFormat="1" ht="30.75" customHeight="1">
      <c r="A45" s="74"/>
      <c r="B45" s="75"/>
      <c r="C45" s="76"/>
      <c r="D45" s="71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3"/>
      <c r="AA45" s="74"/>
      <c r="AB45" s="75"/>
      <c r="AC45" s="75"/>
      <c r="AD45" s="75"/>
      <c r="AE45" s="76"/>
      <c r="AF45" s="86"/>
      <c r="AG45" s="86"/>
      <c r="AH45" s="86"/>
      <c r="AI45" s="86"/>
      <c r="AJ45" s="86"/>
      <c r="AK45" s="86"/>
      <c r="AL45" s="68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  <c r="BP45" s="70"/>
    </row>
    <row r="46" spans="1:68" s="1" customFormat="1" ht="30.75" customHeight="1">
      <c r="A46" s="80"/>
      <c r="B46" s="81"/>
      <c r="C46" s="82"/>
      <c r="D46" s="77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9"/>
      <c r="AA46" s="80"/>
      <c r="AB46" s="81"/>
      <c r="AC46" s="81"/>
      <c r="AD46" s="81"/>
      <c r="AE46" s="82"/>
      <c r="AF46" s="87"/>
      <c r="AG46" s="87"/>
      <c r="AH46" s="87"/>
      <c r="AI46" s="87"/>
      <c r="AJ46" s="87"/>
      <c r="AK46" s="87"/>
      <c r="AL46" s="83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5"/>
    </row>
    <row r="47" spans="1:68" s="4" customFormat="1" ht="3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3"/>
      <c r="AG47" s="3"/>
      <c r="AH47" s="3"/>
      <c r="AI47" s="3"/>
      <c r="AJ47" s="3"/>
      <c r="AK47" s="3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</row>
    <row r="48" spans="1:68" s="4" customFormat="1" ht="14.25">
      <c r="A48" s="5" t="s">
        <v>14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15"/>
      <c r="AG48" s="15"/>
      <c r="AH48" s="15"/>
      <c r="AI48" s="15"/>
      <c r="AJ48" s="15"/>
      <c r="AK48" s="15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6"/>
    </row>
    <row r="49" spans="1:68" s="4" customFormat="1" ht="20.25" customHeight="1">
      <c r="A49" s="5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6"/>
    </row>
    <row r="50" spans="1:68" s="4" customFormat="1" ht="20.25" customHeight="1">
      <c r="A50" s="5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6"/>
    </row>
    <row r="51" spans="1:68" s="4" customFormat="1" ht="20.25" customHeight="1">
      <c r="A51" s="5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6"/>
    </row>
    <row r="52" spans="1:68" s="4" customFormat="1" ht="20.25" customHeight="1">
      <c r="A52" s="5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6"/>
    </row>
    <row r="53" spans="1:68" s="4" customFormat="1" ht="20.25" customHeight="1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9"/>
    </row>
    <row r="54" spans="1:68" ht="5.25" customHeight="1"/>
  </sheetData>
  <mergeCells count="253">
    <mergeCell ref="A44:C44"/>
    <mergeCell ref="D44:Z44"/>
    <mergeCell ref="AA44:AE44"/>
    <mergeCell ref="AF44:AH44"/>
    <mergeCell ref="AI44:AK44"/>
    <mergeCell ref="AL44:BP44"/>
    <mergeCell ref="A42:C42"/>
    <mergeCell ref="D42:Z42"/>
    <mergeCell ref="AA42:AE42"/>
    <mergeCell ref="AF42:AH42"/>
    <mergeCell ref="AI42:AK42"/>
    <mergeCell ref="AL42:BP42"/>
    <mergeCell ref="A43:C43"/>
    <mergeCell ref="D43:Z43"/>
    <mergeCell ref="AA43:AE43"/>
    <mergeCell ref="AF43:AH43"/>
    <mergeCell ref="AI43:AK43"/>
    <mergeCell ref="AL43:BP43"/>
    <mergeCell ref="A40:C40"/>
    <mergeCell ref="D40:Z40"/>
    <mergeCell ref="AA40:AE40"/>
    <mergeCell ref="AF40:AH40"/>
    <mergeCell ref="AI40:AK40"/>
    <mergeCell ref="AL40:BP40"/>
    <mergeCell ref="A41:C41"/>
    <mergeCell ref="D41:Z41"/>
    <mergeCell ref="AA41:AE41"/>
    <mergeCell ref="AF41:AH41"/>
    <mergeCell ref="AI41:AK41"/>
    <mergeCell ref="AL41:BP41"/>
    <mergeCell ref="A38:C38"/>
    <mergeCell ref="D38:Z38"/>
    <mergeCell ref="AA38:AE38"/>
    <mergeCell ref="AF38:AH38"/>
    <mergeCell ref="AI38:AK38"/>
    <mergeCell ref="AL38:BP38"/>
    <mergeCell ref="A39:C39"/>
    <mergeCell ref="D39:Z39"/>
    <mergeCell ref="AA39:AE39"/>
    <mergeCell ref="AF39:AH39"/>
    <mergeCell ref="AI39:AK39"/>
    <mergeCell ref="AL39:BP39"/>
    <mergeCell ref="A36:C36"/>
    <mergeCell ref="D36:Z36"/>
    <mergeCell ref="AA36:AE36"/>
    <mergeCell ref="AF36:AH36"/>
    <mergeCell ref="AI36:AK36"/>
    <mergeCell ref="AL36:BP36"/>
    <mergeCell ref="A37:C37"/>
    <mergeCell ref="D37:Z37"/>
    <mergeCell ref="AA37:AE37"/>
    <mergeCell ref="AF37:AH37"/>
    <mergeCell ref="AI37:AK37"/>
    <mergeCell ref="AL37:BP37"/>
    <mergeCell ref="A34:C34"/>
    <mergeCell ref="D34:Z34"/>
    <mergeCell ref="AA34:AE34"/>
    <mergeCell ref="AF34:AH34"/>
    <mergeCell ref="AI34:AK34"/>
    <mergeCell ref="AL34:BP34"/>
    <mergeCell ref="A35:C35"/>
    <mergeCell ref="D35:Z35"/>
    <mergeCell ref="AA35:AE35"/>
    <mergeCell ref="AF35:AH35"/>
    <mergeCell ref="AI35:AK35"/>
    <mergeCell ref="AL35:BP35"/>
    <mergeCell ref="A32:C32"/>
    <mergeCell ref="D32:Z32"/>
    <mergeCell ref="AA32:AE32"/>
    <mergeCell ref="AF32:AH32"/>
    <mergeCell ref="AI32:AK32"/>
    <mergeCell ref="AL32:BP32"/>
    <mergeCell ref="A33:C33"/>
    <mergeCell ref="D33:Z33"/>
    <mergeCell ref="AA33:AE33"/>
    <mergeCell ref="AF33:AH33"/>
    <mergeCell ref="AI33:AK33"/>
    <mergeCell ref="AL33:BP33"/>
    <mergeCell ref="A30:C30"/>
    <mergeCell ref="D30:Z30"/>
    <mergeCell ref="AA30:AE30"/>
    <mergeCell ref="AF30:AH30"/>
    <mergeCell ref="AI30:AK30"/>
    <mergeCell ref="AL30:BP30"/>
    <mergeCell ref="A31:C31"/>
    <mergeCell ref="D31:Z31"/>
    <mergeCell ref="AA31:AE31"/>
    <mergeCell ref="AF31:AH31"/>
    <mergeCell ref="AI31:AK31"/>
    <mergeCell ref="AL31:BP31"/>
    <mergeCell ref="A28:C28"/>
    <mergeCell ref="D28:Z28"/>
    <mergeCell ref="AA28:AE28"/>
    <mergeCell ref="AF28:AH28"/>
    <mergeCell ref="AI28:AK28"/>
    <mergeCell ref="AL28:BP28"/>
    <mergeCell ref="A29:C29"/>
    <mergeCell ref="D29:Z29"/>
    <mergeCell ref="AA29:AE29"/>
    <mergeCell ref="AF29:AH29"/>
    <mergeCell ref="AI29:AK29"/>
    <mergeCell ref="AL29:BP29"/>
    <mergeCell ref="A26:C26"/>
    <mergeCell ref="D26:Z26"/>
    <mergeCell ref="AA26:AE26"/>
    <mergeCell ref="AF26:AH26"/>
    <mergeCell ref="AI26:AK26"/>
    <mergeCell ref="AL26:BP26"/>
    <mergeCell ref="A27:C27"/>
    <mergeCell ref="D27:Z27"/>
    <mergeCell ref="AA27:AE27"/>
    <mergeCell ref="AF27:AH27"/>
    <mergeCell ref="AI27:AK27"/>
    <mergeCell ref="AL27:BP27"/>
    <mergeCell ref="A24:C24"/>
    <mergeCell ref="D24:Z24"/>
    <mergeCell ref="AA24:AE24"/>
    <mergeCell ref="AF24:AH24"/>
    <mergeCell ref="AI24:AK24"/>
    <mergeCell ref="AL24:BP24"/>
    <mergeCell ref="A25:C25"/>
    <mergeCell ref="D25:Z25"/>
    <mergeCell ref="AA25:AE25"/>
    <mergeCell ref="AF25:AH25"/>
    <mergeCell ref="AI25:AK25"/>
    <mergeCell ref="AL25:BP25"/>
    <mergeCell ref="A22:C22"/>
    <mergeCell ref="D22:Z22"/>
    <mergeCell ref="AA22:AE22"/>
    <mergeCell ref="AF22:AH22"/>
    <mergeCell ref="AI22:AK22"/>
    <mergeCell ref="AL22:BP22"/>
    <mergeCell ref="A23:C23"/>
    <mergeCell ref="D23:Z23"/>
    <mergeCell ref="AA23:AE23"/>
    <mergeCell ref="AF23:AH23"/>
    <mergeCell ref="AI23:AK23"/>
    <mergeCell ref="AL23:BP23"/>
    <mergeCell ref="A20:C20"/>
    <mergeCell ref="D20:Z20"/>
    <mergeCell ref="AA20:AE20"/>
    <mergeCell ref="AF20:AH20"/>
    <mergeCell ref="AI20:AK20"/>
    <mergeCell ref="AL20:BP20"/>
    <mergeCell ref="A21:C21"/>
    <mergeCell ref="D21:Z21"/>
    <mergeCell ref="AA21:AE21"/>
    <mergeCell ref="AF21:AH21"/>
    <mergeCell ref="AI21:AK21"/>
    <mergeCell ref="AL21:BP21"/>
    <mergeCell ref="A18:C18"/>
    <mergeCell ref="D18:Z18"/>
    <mergeCell ref="AA18:AE18"/>
    <mergeCell ref="AF18:AH18"/>
    <mergeCell ref="AI18:AK18"/>
    <mergeCell ref="AL18:BP18"/>
    <mergeCell ref="A19:C19"/>
    <mergeCell ref="D19:Z19"/>
    <mergeCell ref="AA19:AE19"/>
    <mergeCell ref="AF19:AH19"/>
    <mergeCell ref="AI19:AK19"/>
    <mergeCell ref="AL19:BP19"/>
    <mergeCell ref="A16:C16"/>
    <mergeCell ref="D16:Z16"/>
    <mergeCell ref="AA16:AE16"/>
    <mergeCell ref="AF16:AH16"/>
    <mergeCell ref="AI16:AK16"/>
    <mergeCell ref="AL16:BP16"/>
    <mergeCell ref="A17:C17"/>
    <mergeCell ref="D17:Z17"/>
    <mergeCell ref="AA17:AE17"/>
    <mergeCell ref="AF17:AH17"/>
    <mergeCell ref="AI17:AK17"/>
    <mergeCell ref="AL17:BP17"/>
    <mergeCell ref="A14:C14"/>
    <mergeCell ref="D14:Z14"/>
    <mergeCell ref="AA14:AE14"/>
    <mergeCell ref="AF14:AH14"/>
    <mergeCell ref="AI14:AK14"/>
    <mergeCell ref="AL14:BP14"/>
    <mergeCell ref="A15:C15"/>
    <mergeCell ref="D15:Z15"/>
    <mergeCell ref="AA15:AE15"/>
    <mergeCell ref="AF15:AH15"/>
    <mergeCell ref="AI15:AK15"/>
    <mergeCell ref="AL15:BP15"/>
    <mergeCell ref="A12:C12"/>
    <mergeCell ref="D12:Z12"/>
    <mergeCell ref="AA12:AE12"/>
    <mergeCell ref="AF12:AH12"/>
    <mergeCell ref="AI12:AK12"/>
    <mergeCell ref="AL12:BP12"/>
    <mergeCell ref="A13:C13"/>
    <mergeCell ref="D13:Z13"/>
    <mergeCell ref="AA13:AE13"/>
    <mergeCell ref="AF13:AH13"/>
    <mergeCell ref="AI13:AK13"/>
    <mergeCell ref="AL13:BP13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8:C8"/>
    <mergeCell ref="D8:Z8"/>
    <mergeCell ref="AA8:AE8"/>
    <mergeCell ref="AF8:AH8"/>
    <mergeCell ref="AI8:AK8"/>
    <mergeCell ref="AL8:BP8"/>
    <mergeCell ref="A9:C9"/>
    <mergeCell ref="D9:Z9"/>
    <mergeCell ref="AA9:AE9"/>
    <mergeCell ref="AF9:AH9"/>
    <mergeCell ref="AI9:AK9"/>
    <mergeCell ref="AL9:BP9"/>
    <mergeCell ref="A10:C10"/>
    <mergeCell ref="D10:Z10"/>
    <mergeCell ref="AA10:AE10"/>
    <mergeCell ref="AF10:AH10"/>
    <mergeCell ref="AI10:AK10"/>
    <mergeCell ref="AL10:BP10"/>
    <mergeCell ref="A46:C46"/>
    <mergeCell ref="D46:Z46"/>
    <mergeCell ref="AA46:AE46"/>
    <mergeCell ref="AF46:AH46"/>
    <mergeCell ref="AI46:AK46"/>
    <mergeCell ref="AL46:BP46"/>
    <mergeCell ref="A45:C45"/>
    <mergeCell ref="D45:Z45"/>
    <mergeCell ref="AA45:AE45"/>
    <mergeCell ref="AF45:AH45"/>
    <mergeCell ref="AI45:AK45"/>
    <mergeCell ref="AL45:BP45"/>
    <mergeCell ref="A11:C11"/>
    <mergeCell ref="D11:Z11"/>
    <mergeCell ref="AA11:AE11"/>
    <mergeCell ref="AF11:AH11"/>
    <mergeCell ref="AI11:AK11"/>
    <mergeCell ref="AL11:BP11"/>
  </mergeCells>
  <phoneticPr fontId="3"/>
  <dataValidations count="1">
    <dataValidation type="list" allowBlank="1" showInputMessage="1" showErrorMessage="1" sqref="BJ6:BP6" xr:uid="{4C6EB49E-1ED0-4CCE-9A8A-698461D3C85D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134FF-A51D-428B-A912-0BB9416B1B1E}">
  <sheetPr codeName="Sheet26"/>
  <dimension ref="A1:BR61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8" width="2.125" style="55"/>
    <col min="39" max="44" width="0" style="55" hidden="1" customWidth="1"/>
    <col min="45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144" t="s">
        <v>198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95" t="s">
        <v>621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435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125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117">
        <f t="shared" ref="A9:A52" si="0">ROW()-8</f>
        <v>1</v>
      </c>
      <c r="B9" s="118"/>
      <c r="C9" s="119"/>
      <c r="D9" s="114" t="s">
        <v>1239</v>
      </c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6"/>
      <c r="AA9" s="117" t="s">
        <v>427</v>
      </c>
      <c r="AB9" s="118"/>
      <c r="AC9" s="118"/>
      <c r="AD9" s="118"/>
      <c r="AE9" s="119"/>
      <c r="AF9" s="117"/>
      <c r="AG9" s="118"/>
      <c r="AH9" s="119"/>
      <c r="AI9" s="117"/>
      <c r="AJ9" s="118"/>
      <c r="AK9" s="119"/>
      <c r="AL9" s="68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70"/>
    </row>
    <row r="10" spans="1:70" s="1" customFormat="1" ht="30.75" customHeight="1">
      <c r="A10" s="74">
        <f t="shared" si="0"/>
        <v>2</v>
      </c>
      <c r="B10" s="75"/>
      <c r="C10" s="76"/>
      <c r="D10" s="71" t="s">
        <v>1240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  <c r="AA10" s="74" t="s">
        <v>428</v>
      </c>
      <c r="AB10" s="75"/>
      <c r="AC10" s="75"/>
      <c r="AD10" s="75"/>
      <c r="AE10" s="76"/>
      <c r="AF10" s="74">
        <v>5</v>
      </c>
      <c r="AG10" s="75"/>
      <c r="AH10" s="76"/>
      <c r="AI10" s="74"/>
      <c r="AJ10" s="75"/>
      <c r="AK10" s="76"/>
      <c r="AL10" s="68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74">
        <f t="shared" si="0"/>
        <v>3</v>
      </c>
      <c r="B11" s="75"/>
      <c r="C11" s="76"/>
      <c r="D11" s="71" t="s">
        <v>1273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3"/>
      <c r="AA11" s="74" t="s">
        <v>428</v>
      </c>
      <c r="AB11" s="75"/>
      <c r="AC11" s="75"/>
      <c r="AD11" s="75"/>
      <c r="AE11" s="76"/>
      <c r="AF11" s="74">
        <v>19</v>
      </c>
      <c r="AG11" s="75"/>
      <c r="AH11" s="76"/>
      <c r="AI11" s="74"/>
      <c r="AJ11" s="75"/>
      <c r="AK11" s="76"/>
      <c r="AL11" s="68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70"/>
    </row>
    <row r="12" spans="1:70" s="1" customFormat="1" ht="30.75" customHeight="1">
      <c r="A12" s="74">
        <f t="shared" si="0"/>
        <v>4</v>
      </c>
      <c r="B12" s="75"/>
      <c r="C12" s="76"/>
      <c r="D12" s="71" t="s">
        <v>1241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3"/>
      <c r="AA12" s="74" t="s">
        <v>429</v>
      </c>
      <c r="AB12" s="75"/>
      <c r="AC12" s="75"/>
      <c r="AD12" s="75"/>
      <c r="AE12" s="76"/>
      <c r="AF12" s="74">
        <v>8</v>
      </c>
      <c r="AG12" s="75"/>
      <c r="AH12" s="76"/>
      <c r="AI12" s="74"/>
      <c r="AJ12" s="75"/>
      <c r="AK12" s="76"/>
      <c r="AL12" s="68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70"/>
    </row>
    <row r="13" spans="1:70" s="1" customFormat="1" ht="30.75" customHeight="1">
      <c r="A13" s="74">
        <f t="shared" si="0"/>
        <v>5</v>
      </c>
      <c r="B13" s="75"/>
      <c r="C13" s="76"/>
      <c r="D13" s="71" t="s">
        <v>1242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3"/>
      <c r="AA13" s="74" t="s">
        <v>429</v>
      </c>
      <c r="AB13" s="75"/>
      <c r="AC13" s="75"/>
      <c r="AD13" s="75"/>
      <c r="AE13" s="76"/>
      <c r="AF13" s="74">
        <v>8</v>
      </c>
      <c r="AG13" s="75"/>
      <c r="AH13" s="76"/>
      <c r="AI13" s="74"/>
      <c r="AJ13" s="75"/>
      <c r="AK13" s="76"/>
      <c r="AL13" s="68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70"/>
    </row>
    <row r="14" spans="1:70" s="1" customFormat="1" ht="30.75" customHeight="1">
      <c r="A14" s="74">
        <f t="shared" si="0"/>
        <v>6</v>
      </c>
      <c r="B14" s="75"/>
      <c r="C14" s="76"/>
      <c r="D14" s="71" t="s">
        <v>1243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3"/>
      <c r="AA14" s="74" t="s">
        <v>429</v>
      </c>
      <c r="AB14" s="75"/>
      <c r="AC14" s="75"/>
      <c r="AD14" s="75"/>
      <c r="AE14" s="76"/>
      <c r="AF14" s="74">
        <v>5</v>
      </c>
      <c r="AG14" s="75"/>
      <c r="AH14" s="76"/>
      <c r="AI14" s="86"/>
      <c r="AJ14" s="86"/>
      <c r="AK14" s="86"/>
      <c r="AL14" s="68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70"/>
    </row>
    <row r="15" spans="1:70" s="1" customFormat="1" ht="30.75" customHeight="1">
      <c r="A15" s="74">
        <f t="shared" si="0"/>
        <v>7</v>
      </c>
      <c r="B15" s="75"/>
      <c r="C15" s="76"/>
      <c r="D15" s="71" t="s">
        <v>1244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3"/>
      <c r="AA15" s="74" t="s">
        <v>428</v>
      </c>
      <c r="AB15" s="75"/>
      <c r="AC15" s="75"/>
      <c r="AD15" s="75"/>
      <c r="AE15" s="76"/>
      <c r="AF15" s="74">
        <v>3</v>
      </c>
      <c r="AG15" s="75"/>
      <c r="AH15" s="76"/>
      <c r="AI15" s="86"/>
      <c r="AJ15" s="86"/>
      <c r="AK15" s="86"/>
      <c r="AL15" s="68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70"/>
    </row>
    <row r="16" spans="1:70" s="1" customFormat="1" ht="30.75" customHeight="1">
      <c r="A16" s="74">
        <f t="shared" si="0"/>
        <v>8</v>
      </c>
      <c r="B16" s="75"/>
      <c r="C16" s="76"/>
      <c r="D16" s="71" t="s">
        <v>1245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3"/>
      <c r="AA16" s="74" t="s">
        <v>428</v>
      </c>
      <c r="AB16" s="75"/>
      <c r="AC16" s="75"/>
      <c r="AD16" s="75"/>
      <c r="AE16" s="76"/>
      <c r="AF16" s="74">
        <v>25</v>
      </c>
      <c r="AG16" s="75"/>
      <c r="AH16" s="76"/>
      <c r="AI16" s="86"/>
      <c r="AJ16" s="86"/>
      <c r="AK16" s="86"/>
      <c r="AL16" s="68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70"/>
    </row>
    <row r="17" spans="1:68" s="1" customFormat="1" ht="30.75" customHeight="1">
      <c r="A17" s="74">
        <f t="shared" si="0"/>
        <v>9</v>
      </c>
      <c r="B17" s="75"/>
      <c r="C17" s="76"/>
      <c r="D17" s="71" t="s">
        <v>1246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3"/>
      <c r="AA17" s="74" t="s">
        <v>429</v>
      </c>
      <c r="AB17" s="75"/>
      <c r="AC17" s="75"/>
      <c r="AD17" s="75"/>
      <c r="AE17" s="76"/>
      <c r="AF17" s="74">
        <v>8</v>
      </c>
      <c r="AG17" s="75"/>
      <c r="AH17" s="76"/>
      <c r="AI17" s="86"/>
      <c r="AJ17" s="86"/>
      <c r="AK17" s="86"/>
      <c r="AL17" s="68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70"/>
    </row>
    <row r="18" spans="1:68" s="1" customFormat="1" ht="30.75" customHeight="1">
      <c r="A18" s="74">
        <f t="shared" si="0"/>
        <v>10</v>
      </c>
      <c r="B18" s="75"/>
      <c r="C18" s="76"/>
      <c r="D18" s="71" t="s">
        <v>1247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3"/>
      <c r="AA18" s="74" t="s">
        <v>427</v>
      </c>
      <c r="AB18" s="75"/>
      <c r="AC18" s="75"/>
      <c r="AD18" s="75"/>
      <c r="AE18" s="76"/>
      <c r="AF18" s="74"/>
      <c r="AG18" s="75"/>
      <c r="AH18" s="76"/>
      <c r="AI18" s="86"/>
      <c r="AJ18" s="86"/>
      <c r="AK18" s="86"/>
      <c r="AL18" s="68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70"/>
    </row>
    <row r="19" spans="1:68" s="1" customFormat="1" ht="30.75" customHeight="1">
      <c r="A19" s="74">
        <f t="shared" si="0"/>
        <v>11</v>
      </c>
      <c r="B19" s="75"/>
      <c r="C19" s="76"/>
      <c r="D19" s="71" t="s">
        <v>1248</v>
      </c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3"/>
      <c r="AA19" s="74" t="s">
        <v>428</v>
      </c>
      <c r="AB19" s="75"/>
      <c r="AC19" s="75"/>
      <c r="AD19" s="75"/>
      <c r="AE19" s="76"/>
      <c r="AF19" s="74">
        <v>78</v>
      </c>
      <c r="AG19" s="75"/>
      <c r="AH19" s="76"/>
      <c r="AI19" s="86"/>
      <c r="AJ19" s="86"/>
      <c r="AK19" s="86"/>
      <c r="AL19" s="68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70"/>
    </row>
    <row r="20" spans="1:68" s="1" customFormat="1" ht="30.75" customHeight="1">
      <c r="A20" s="74">
        <f t="shared" si="0"/>
        <v>12</v>
      </c>
      <c r="B20" s="75"/>
      <c r="C20" s="76"/>
      <c r="D20" s="71" t="s">
        <v>1249</v>
      </c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3"/>
      <c r="AA20" s="74" t="s">
        <v>428</v>
      </c>
      <c r="AB20" s="75"/>
      <c r="AC20" s="75"/>
      <c r="AD20" s="75"/>
      <c r="AE20" s="76"/>
      <c r="AF20" s="74">
        <v>10</v>
      </c>
      <c r="AG20" s="75"/>
      <c r="AH20" s="76"/>
      <c r="AI20" s="74"/>
      <c r="AJ20" s="75"/>
      <c r="AK20" s="76"/>
      <c r="AL20" s="68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70"/>
    </row>
    <row r="21" spans="1:68" s="1" customFormat="1" ht="30.75" customHeight="1">
      <c r="A21" s="74">
        <f t="shared" si="0"/>
        <v>13</v>
      </c>
      <c r="B21" s="75"/>
      <c r="C21" s="76"/>
      <c r="D21" s="71" t="s">
        <v>1250</v>
      </c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3"/>
      <c r="AA21" s="74" t="s">
        <v>428</v>
      </c>
      <c r="AB21" s="75"/>
      <c r="AC21" s="75"/>
      <c r="AD21" s="75"/>
      <c r="AE21" s="76"/>
      <c r="AF21" s="74">
        <v>9</v>
      </c>
      <c r="AG21" s="75"/>
      <c r="AH21" s="76"/>
      <c r="AI21" s="74"/>
      <c r="AJ21" s="75"/>
      <c r="AK21" s="76"/>
      <c r="AL21" s="68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70"/>
    </row>
    <row r="22" spans="1:68" s="1" customFormat="1" ht="30.75" customHeight="1">
      <c r="A22" s="74">
        <f t="shared" si="0"/>
        <v>14</v>
      </c>
      <c r="B22" s="75"/>
      <c r="C22" s="76"/>
      <c r="D22" s="71" t="s">
        <v>1251</v>
      </c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3"/>
      <c r="AA22" s="74" t="s">
        <v>429</v>
      </c>
      <c r="AB22" s="75"/>
      <c r="AC22" s="75"/>
      <c r="AD22" s="75"/>
      <c r="AE22" s="76"/>
      <c r="AF22" s="74">
        <v>15</v>
      </c>
      <c r="AG22" s="75"/>
      <c r="AH22" s="76"/>
      <c r="AI22" s="74"/>
      <c r="AJ22" s="75"/>
      <c r="AK22" s="76"/>
      <c r="AL22" s="68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70"/>
    </row>
    <row r="23" spans="1:68" s="1" customFormat="1" ht="30.75" customHeight="1">
      <c r="A23" s="74">
        <f t="shared" si="0"/>
        <v>15</v>
      </c>
      <c r="B23" s="75"/>
      <c r="C23" s="76"/>
      <c r="D23" s="71" t="s">
        <v>1252</v>
      </c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3"/>
      <c r="AA23" s="74" t="s">
        <v>429</v>
      </c>
      <c r="AB23" s="75"/>
      <c r="AC23" s="75"/>
      <c r="AD23" s="75"/>
      <c r="AE23" s="76"/>
      <c r="AF23" s="74">
        <v>15</v>
      </c>
      <c r="AG23" s="75"/>
      <c r="AH23" s="76"/>
      <c r="AI23" s="74"/>
      <c r="AJ23" s="75"/>
      <c r="AK23" s="76"/>
      <c r="AL23" s="68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70"/>
    </row>
    <row r="24" spans="1:68" s="1" customFormat="1" ht="30.75" customHeight="1">
      <c r="A24" s="74">
        <f t="shared" si="0"/>
        <v>16</v>
      </c>
      <c r="B24" s="75"/>
      <c r="C24" s="76"/>
      <c r="D24" s="71" t="s">
        <v>1253</v>
      </c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3"/>
      <c r="AA24" s="74" t="s">
        <v>429</v>
      </c>
      <c r="AB24" s="75"/>
      <c r="AC24" s="75"/>
      <c r="AD24" s="75"/>
      <c r="AE24" s="76"/>
      <c r="AF24" s="74">
        <v>15</v>
      </c>
      <c r="AG24" s="75"/>
      <c r="AH24" s="76"/>
      <c r="AI24" s="74"/>
      <c r="AJ24" s="75"/>
      <c r="AK24" s="76"/>
      <c r="AL24" s="68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70"/>
    </row>
    <row r="25" spans="1:68" s="1" customFormat="1" ht="30.75" customHeight="1">
      <c r="A25" s="74">
        <f t="shared" si="0"/>
        <v>17</v>
      </c>
      <c r="B25" s="75"/>
      <c r="C25" s="76"/>
      <c r="D25" s="71" t="s">
        <v>1254</v>
      </c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3"/>
      <c r="AA25" s="74" t="s">
        <v>428</v>
      </c>
      <c r="AB25" s="75"/>
      <c r="AC25" s="75"/>
      <c r="AD25" s="75"/>
      <c r="AE25" s="76"/>
      <c r="AF25" s="74">
        <v>9</v>
      </c>
      <c r="AG25" s="75"/>
      <c r="AH25" s="76"/>
      <c r="AI25" s="74"/>
      <c r="AJ25" s="75"/>
      <c r="AK25" s="76"/>
      <c r="AL25" s="68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70"/>
    </row>
    <row r="26" spans="1:68" s="1" customFormat="1" ht="30.75" customHeight="1">
      <c r="A26" s="74">
        <f t="shared" si="0"/>
        <v>18</v>
      </c>
      <c r="B26" s="75"/>
      <c r="C26" s="76"/>
      <c r="D26" s="71" t="s">
        <v>1255</v>
      </c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3"/>
      <c r="AA26" s="74" t="s">
        <v>429</v>
      </c>
      <c r="AB26" s="75"/>
      <c r="AC26" s="75"/>
      <c r="AD26" s="75"/>
      <c r="AE26" s="76"/>
      <c r="AF26" s="74">
        <v>15</v>
      </c>
      <c r="AG26" s="75"/>
      <c r="AH26" s="76"/>
      <c r="AI26" s="74"/>
      <c r="AJ26" s="75"/>
      <c r="AK26" s="76"/>
      <c r="AL26" s="68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70"/>
    </row>
    <row r="27" spans="1:68" s="1" customFormat="1" ht="30.75" customHeight="1">
      <c r="A27" s="74">
        <f t="shared" si="0"/>
        <v>19</v>
      </c>
      <c r="B27" s="75"/>
      <c r="C27" s="76"/>
      <c r="D27" s="71" t="s">
        <v>1256</v>
      </c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3"/>
      <c r="AA27" s="74" t="s">
        <v>429</v>
      </c>
      <c r="AB27" s="75"/>
      <c r="AC27" s="75"/>
      <c r="AD27" s="75"/>
      <c r="AE27" s="76"/>
      <c r="AF27" s="74">
        <v>15</v>
      </c>
      <c r="AG27" s="75"/>
      <c r="AH27" s="76"/>
      <c r="AI27" s="86"/>
      <c r="AJ27" s="86"/>
      <c r="AK27" s="86"/>
      <c r="AL27" s="68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70"/>
    </row>
    <row r="28" spans="1:68" s="1" customFormat="1" ht="30.75" customHeight="1">
      <c r="A28" s="74">
        <f t="shared" si="0"/>
        <v>20</v>
      </c>
      <c r="B28" s="75"/>
      <c r="C28" s="76"/>
      <c r="D28" s="71" t="s">
        <v>1257</v>
      </c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3"/>
      <c r="AA28" s="74" t="s">
        <v>429</v>
      </c>
      <c r="AB28" s="75"/>
      <c r="AC28" s="75"/>
      <c r="AD28" s="75"/>
      <c r="AE28" s="76"/>
      <c r="AF28" s="74">
        <v>15</v>
      </c>
      <c r="AG28" s="75"/>
      <c r="AH28" s="76"/>
      <c r="AI28" s="86"/>
      <c r="AJ28" s="86"/>
      <c r="AK28" s="86"/>
      <c r="AL28" s="68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70"/>
    </row>
    <row r="29" spans="1:68" s="1" customFormat="1" ht="30.75" customHeight="1">
      <c r="A29" s="74">
        <f t="shared" si="0"/>
        <v>21</v>
      </c>
      <c r="B29" s="75"/>
      <c r="C29" s="76"/>
      <c r="D29" s="71" t="s">
        <v>1258</v>
      </c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3"/>
      <c r="AA29" s="74" t="s">
        <v>429</v>
      </c>
      <c r="AB29" s="75"/>
      <c r="AC29" s="75"/>
      <c r="AD29" s="75"/>
      <c r="AE29" s="76"/>
      <c r="AF29" s="74">
        <v>15</v>
      </c>
      <c r="AG29" s="75"/>
      <c r="AH29" s="76"/>
      <c r="AI29" s="86"/>
      <c r="AJ29" s="86"/>
      <c r="AK29" s="86"/>
      <c r="AL29" s="68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70"/>
    </row>
    <row r="30" spans="1:68" s="1" customFormat="1" ht="30.75" customHeight="1">
      <c r="A30" s="74">
        <f t="shared" si="0"/>
        <v>22</v>
      </c>
      <c r="B30" s="75"/>
      <c r="C30" s="76"/>
      <c r="D30" s="71" t="s">
        <v>1259</v>
      </c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3"/>
      <c r="AA30" s="74" t="s">
        <v>429</v>
      </c>
      <c r="AB30" s="75"/>
      <c r="AC30" s="75"/>
      <c r="AD30" s="75"/>
      <c r="AE30" s="76"/>
      <c r="AF30" s="74">
        <v>15</v>
      </c>
      <c r="AG30" s="75"/>
      <c r="AH30" s="76"/>
      <c r="AI30" s="86"/>
      <c r="AJ30" s="86"/>
      <c r="AK30" s="86"/>
      <c r="AL30" s="68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70"/>
    </row>
    <row r="31" spans="1:68" s="1" customFormat="1" ht="30.75" customHeight="1">
      <c r="A31" s="74">
        <f t="shared" si="0"/>
        <v>23</v>
      </c>
      <c r="B31" s="75"/>
      <c r="C31" s="76"/>
      <c r="D31" s="71" t="s">
        <v>1260</v>
      </c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3"/>
      <c r="AA31" s="74" t="s">
        <v>429</v>
      </c>
      <c r="AB31" s="75"/>
      <c r="AC31" s="75"/>
      <c r="AD31" s="75"/>
      <c r="AE31" s="76"/>
      <c r="AF31" s="74">
        <v>15</v>
      </c>
      <c r="AG31" s="75"/>
      <c r="AH31" s="76"/>
      <c r="AI31" s="86"/>
      <c r="AJ31" s="86"/>
      <c r="AK31" s="86"/>
      <c r="AL31" s="68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70"/>
    </row>
    <row r="32" spans="1:68" s="1" customFormat="1" ht="30.75" customHeight="1">
      <c r="A32" s="74">
        <f t="shared" si="0"/>
        <v>24</v>
      </c>
      <c r="B32" s="75"/>
      <c r="C32" s="76"/>
      <c r="D32" s="71" t="s">
        <v>1261</v>
      </c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3"/>
      <c r="AA32" s="74" t="s">
        <v>427</v>
      </c>
      <c r="AB32" s="75"/>
      <c r="AC32" s="75"/>
      <c r="AD32" s="75"/>
      <c r="AE32" s="76"/>
      <c r="AF32" s="74"/>
      <c r="AG32" s="75"/>
      <c r="AH32" s="76"/>
      <c r="AI32" s="86"/>
      <c r="AJ32" s="86"/>
      <c r="AK32" s="86"/>
      <c r="AL32" s="68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70"/>
    </row>
    <row r="33" spans="1:68" s="1" customFormat="1" ht="30.75" customHeight="1">
      <c r="A33" s="74">
        <f t="shared" si="0"/>
        <v>25</v>
      </c>
      <c r="B33" s="75"/>
      <c r="C33" s="76"/>
      <c r="D33" s="71" t="s">
        <v>1248</v>
      </c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3"/>
      <c r="AA33" s="74" t="s">
        <v>428</v>
      </c>
      <c r="AB33" s="75"/>
      <c r="AC33" s="75"/>
      <c r="AD33" s="75"/>
      <c r="AE33" s="76"/>
      <c r="AF33" s="74">
        <v>78</v>
      </c>
      <c r="AG33" s="75"/>
      <c r="AH33" s="76"/>
      <c r="AI33" s="86"/>
      <c r="AJ33" s="86"/>
      <c r="AK33" s="86"/>
      <c r="AL33" s="68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70"/>
    </row>
    <row r="34" spans="1:68" s="1" customFormat="1" ht="30.75" customHeight="1">
      <c r="A34" s="74">
        <f t="shared" si="0"/>
        <v>26</v>
      </c>
      <c r="B34" s="75"/>
      <c r="C34" s="76"/>
      <c r="D34" s="71" t="s">
        <v>1249</v>
      </c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3"/>
      <c r="AA34" s="74" t="s">
        <v>428</v>
      </c>
      <c r="AB34" s="75"/>
      <c r="AC34" s="75"/>
      <c r="AD34" s="75"/>
      <c r="AE34" s="76"/>
      <c r="AF34" s="74">
        <v>8</v>
      </c>
      <c r="AG34" s="75"/>
      <c r="AH34" s="76"/>
      <c r="AI34" s="86"/>
      <c r="AJ34" s="86"/>
      <c r="AK34" s="86"/>
      <c r="AL34" s="68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70"/>
    </row>
    <row r="35" spans="1:68" s="1" customFormat="1" ht="30.75" customHeight="1">
      <c r="A35" s="74">
        <f t="shared" si="0"/>
        <v>27</v>
      </c>
      <c r="B35" s="75"/>
      <c r="C35" s="76"/>
      <c r="D35" s="71" t="s">
        <v>1262</v>
      </c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3"/>
      <c r="AA35" s="74" t="s">
        <v>428</v>
      </c>
      <c r="AB35" s="75"/>
      <c r="AC35" s="75"/>
      <c r="AD35" s="75"/>
      <c r="AE35" s="76"/>
      <c r="AF35" s="74">
        <v>60</v>
      </c>
      <c r="AG35" s="75"/>
      <c r="AH35" s="76"/>
      <c r="AI35" s="86"/>
      <c r="AJ35" s="86"/>
      <c r="AK35" s="86"/>
      <c r="AL35" s="68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70"/>
    </row>
    <row r="36" spans="1:68" s="1" customFormat="1" ht="30.75" customHeight="1">
      <c r="A36" s="74">
        <f t="shared" si="0"/>
        <v>28</v>
      </c>
      <c r="B36" s="75"/>
      <c r="C36" s="76"/>
      <c r="D36" s="71" t="s">
        <v>1263</v>
      </c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3"/>
      <c r="AA36" s="74" t="s">
        <v>429</v>
      </c>
      <c r="AB36" s="75"/>
      <c r="AC36" s="75"/>
      <c r="AD36" s="75"/>
      <c r="AE36" s="76"/>
      <c r="AF36" s="74">
        <v>15</v>
      </c>
      <c r="AG36" s="75"/>
      <c r="AH36" s="76"/>
      <c r="AI36" s="86"/>
      <c r="AJ36" s="86"/>
      <c r="AK36" s="86"/>
      <c r="AL36" s="68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70"/>
    </row>
    <row r="37" spans="1:68" s="1" customFormat="1" ht="30.75" customHeight="1">
      <c r="A37" s="74">
        <f t="shared" si="0"/>
        <v>29</v>
      </c>
      <c r="B37" s="75"/>
      <c r="C37" s="76"/>
      <c r="D37" s="71" t="s">
        <v>1264</v>
      </c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3"/>
      <c r="AA37" s="74" t="s">
        <v>429</v>
      </c>
      <c r="AB37" s="75"/>
      <c r="AC37" s="75"/>
      <c r="AD37" s="75"/>
      <c r="AE37" s="76"/>
      <c r="AF37" s="74">
        <v>15</v>
      </c>
      <c r="AG37" s="75"/>
      <c r="AH37" s="76"/>
      <c r="AI37" s="74"/>
      <c r="AJ37" s="75"/>
      <c r="AK37" s="76"/>
      <c r="AL37" s="68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70"/>
    </row>
    <row r="38" spans="1:68" s="1" customFormat="1" ht="30.75" customHeight="1">
      <c r="A38" s="74">
        <f t="shared" si="0"/>
        <v>30</v>
      </c>
      <c r="B38" s="75"/>
      <c r="C38" s="76"/>
      <c r="D38" s="71" t="s">
        <v>1265</v>
      </c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3"/>
      <c r="AA38" s="74" t="s">
        <v>429</v>
      </c>
      <c r="AB38" s="75"/>
      <c r="AC38" s="75"/>
      <c r="AD38" s="75"/>
      <c r="AE38" s="76"/>
      <c r="AF38" s="74">
        <v>15</v>
      </c>
      <c r="AG38" s="75"/>
      <c r="AH38" s="76"/>
      <c r="AI38" s="86"/>
      <c r="AJ38" s="86"/>
      <c r="AK38" s="86"/>
      <c r="AL38" s="68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70"/>
    </row>
    <row r="39" spans="1:68" s="1" customFormat="1" ht="30.75" customHeight="1">
      <c r="A39" s="74">
        <f t="shared" si="0"/>
        <v>31</v>
      </c>
      <c r="B39" s="75"/>
      <c r="C39" s="76"/>
      <c r="D39" s="71" t="s">
        <v>1258</v>
      </c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3"/>
      <c r="AA39" s="74" t="s">
        <v>429</v>
      </c>
      <c r="AB39" s="75"/>
      <c r="AC39" s="75"/>
      <c r="AD39" s="75"/>
      <c r="AE39" s="76"/>
      <c r="AF39" s="74">
        <v>15</v>
      </c>
      <c r="AG39" s="75"/>
      <c r="AH39" s="76"/>
      <c r="AI39" s="86"/>
      <c r="AJ39" s="86"/>
      <c r="AK39" s="86"/>
      <c r="AL39" s="68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70"/>
    </row>
    <row r="40" spans="1:68" s="1" customFormat="1" ht="30.75" customHeight="1">
      <c r="A40" s="74">
        <f t="shared" si="0"/>
        <v>32</v>
      </c>
      <c r="B40" s="75"/>
      <c r="C40" s="76"/>
      <c r="D40" s="71" t="s">
        <v>1259</v>
      </c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3"/>
      <c r="AA40" s="74" t="s">
        <v>429</v>
      </c>
      <c r="AB40" s="75"/>
      <c r="AC40" s="75"/>
      <c r="AD40" s="75"/>
      <c r="AE40" s="76"/>
      <c r="AF40" s="74">
        <v>15</v>
      </c>
      <c r="AG40" s="75"/>
      <c r="AH40" s="76"/>
      <c r="AI40" s="86"/>
      <c r="AJ40" s="86"/>
      <c r="AK40" s="86"/>
      <c r="AL40" s="68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70"/>
    </row>
    <row r="41" spans="1:68" s="1" customFormat="1" ht="30.75" customHeight="1">
      <c r="A41" s="74">
        <f t="shared" si="0"/>
        <v>33</v>
      </c>
      <c r="B41" s="75"/>
      <c r="C41" s="76"/>
      <c r="D41" s="71" t="s">
        <v>1260</v>
      </c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3"/>
      <c r="AA41" s="74" t="s">
        <v>429</v>
      </c>
      <c r="AB41" s="75"/>
      <c r="AC41" s="75"/>
      <c r="AD41" s="75"/>
      <c r="AE41" s="76"/>
      <c r="AF41" s="74">
        <v>15</v>
      </c>
      <c r="AG41" s="75"/>
      <c r="AH41" s="76"/>
      <c r="AI41" s="74"/>
      <c r="AJ41" s="75"/>
      <c r="AK41" s="76"/>
      <c r="AL41" s="68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70"/>
    </row>
    <row r="42" spans="1:68" s="1" customFormat="1" ht="30.75" customHeight="1">
      <c r="A42" s="74">
        <f t="shared" si="0"/>
        <v>34</v>
      </c>
      <c r="B42" s="75"/>
      <c r="C42" s="76"/>
      <c r="D42" s="71" t="s">
        <v>1266</v>
      </c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3"/>
      <c r="AA42" s="74" t="s">
        <v>429</v>
      </c>
      <c r="AB42" s="75"/>
      <c r="AC42" s="75"/>
      <c r="AD42" s="75"/>
      <c r="AE42" s="76"/>
      <c r="AF42" s="74">
        <v>15</v>
      </c>
      <c r="AG42" s="75"/>
      <c r="AH42" s="76"/>
      <c r="AI42" s="74"/>
      <c r="AJ42" s="75"/>
      <c r="AK42" s="76"/>
      <c r="AL42" s="68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70"/>
    </row>
    <row r="43" spans="1:68" s="1" customFormat="1" ht="30.75" customHeight="1">
      <c r="A43" s="74">
        <f t="shared" si="0"/>
        <v>35</v>
      </c>
      <c r="B43" s="75"/>
      <c r="C43" s="76"/>
      <c r="D43" s="71" t="s">
        <v>1267</v>
      </c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3"/>
      <c r="AA43" s="74" t="s">
        <v>429</v>
      </c>
      <c r="AB43" s="75"/>
      <c r="AC43" s="75"/>
      <c r="AD43" s="75"/>
      <c r="AE43" s="76"/>
      <c r="AF43" s="74">
        <v>15</v>
      </c>
      <c r="AG43" s="75"/>
      <c r="AH43" s="76"/>
      <c r="AI43" s="74"/>
      <c r="AJ43" s="75"/>
      <c r="AK43" s="76"/>
      <c r="AL43" s="83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5"/>
    </row>
    <row r="44" spans="1:68" s="1" customFormat="1" ht="30.75" customHeight="1">
      <c r="A44" s="80">
        <f t="shared" si="0"/>
        <v>36</v>
      </c>
      <c r="B44" s="81"/>
      <c r="C44" s="82"/>
      <c r="D44" s="71" t="s">
        <v>1268</v>
      </c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3"/>
      <c r="AA44" s="74" t="s">
        <v>429</v>
      </c>
      <c r="AB44" s="75"/>
      <c r="AC44" s="75"/>
      <c r="AD44" s="75"/>
      <c r="AE44" s="76"/>
      <c r="AF44" s="74">
        <v>15</v>
      </c>
      <c r="AG44" s="75"/>
      <c r="AH44" s="76"/>
      <c r="AI44" s="80"/>
      <c r="AJ44" s="81"/>
      <c r="AK44" s="82"/>
      <c r="AL44" s="83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5"/>
    </row>
    <row r="45" spans="1:68" s="1" customFormat="1" ht="30.75" customHeight="1">
      <c r="A45" s="80">
        <f t="shared" si="0"/>
        <v>37</v>
      </c>
      <c r="B45" s="81"/>
      <c r="C45" s="82"/>
      <c r="D45" s="71" t="s">
        <v>1274</v>
      </c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3"/>
      <c r="AA45" s="74" t="s">
        <v>427</v>
      </c>
      <c r="AB45" s="75"/>
      <c r="AC45" s="75"/>
      <c r="AD45" s="75"/>
      <c r="AE45" s="76"/>
      <c r="AF45" s="86"/>
      <c r="AG45" s="86"/>
      <c r="AH45" s="86"/>
      <c r="AI45" s="86"/>
      <c r="AJ45" s="86"/>
      <c r="AK45" s="86"/>
      <c r="AL45" s="68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  <c r="BP45" s="70"/>
    </row>
    <row r="46" spans="1:68" s="1" customFormat="1" ht="30.75" customHeight="1">
      <c r="A46" s="80">
        <f t="shared" si="0"/>
        <v>38</v>
      </c>
      <c r="B46" s="81"/>
      <c r="C46" s="82"/>
      <c r="D46" s="71" t="s">
        <v>1275</v>
      </c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3"/>
      <c r="AA46" s="74" t="s">
        <v>429</v>
      </c>
      <c r="AB46" s="75"/>
      <c r="AC46" s="75"/>
      <c r="AD46" s="75"/>
      <c r="AE46" s="76"/>
      <c r="AF46" s="74">
        <v>15</v>
      </c>
      <c r="AG46" s="75"/>
      <c r="AH46" s="76"/>
      <c r="AI46" s="86"/>
      <c r="AJ46" s="86"/>
      <c r="AK46" s="86"/>
      <c r="AL46" s="68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  <c r="BM46" s="69"/>
      <c r="BN46" s="69"/>
      <c r="BO46" s="69"/>
      <c r="BP46" s="70"/>
    </row>
    <row r="47" spans="1:68" s="1" customFormat="1" ht="30.75" customHeight="1">
      <c r="A47" s="80">
        <f t="shared" si="0"/>
        <v>39</v>
      </c>
      <c r="B47" s="81"/>
      <c r="C47" s="82"/>
      <c r="D47" s="71" t="s">
        <v>1276</v>
      </c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3"/>
      <c r="AA47" s="74" t="s">
        <v>429</v>
      </c>
      <c r="AB47" s="75"/>
      <c r="AC47" s="75"/>
      <c r="AD47" s="75"/>
      <c r="AE47" s="76"/>
      <c r="AF47" s="74">
        <v>15</v>
      </c>
      <c r="AG47" s="75"/>
      <c r="AH47" s="76"/>
      <c r="AI47" s="86"/>
      <c r="AJ47" s="86"/>
      <c r="AK47" s="86"/>
      <c r="AL47" s="68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  <c r="BP47" s="70"/>
    </row>
    <row r="48" spans="1:68" s="1" customFormat="1" ht="30.75" customHeight="1">
      <c r="A48" s="80">
        <f t="shared" si="0"/>
        <v>40</v>
      </c>
      <c r="B48" s="81"/>
      <c r="C48" s="82"/>
      <c r="D48" s="71" t="s">
        <v>1277</v>
      </c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3"/>
      <c r="AA48" s="74" t="s">
        <v>429</v>
      </c>
      <c r="AB48" s="75"/>
      <c r="AC48" s="75"/>
      <c r="AD48" s="75"/>
      <c r="AE48" s="76"/>
      <c r="AF48" s="74">
        <v>15</v>
      </c>
      <c r="AG48" s="75"/>
      <c r="AH48" s="76"/>
      <c r="AI48" s="86"/>
      <c r="AJ48" s="86"/>
      <c r="AK48" s="86"/>
      <c r="AL48" s="68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69"/>
      <c r="BN48" s="69"/>
      <c r="BO48" s="69"/>
      <c r="BP48" s="70"/>
    </row>
    <row r="49" spans="1:68" s="1" customFormat="1" ht="30.75" customHeight="1">
      <c r="A49" s="80">
        <f t="shared" si="0"/>
        <v>41</v>
      </c>
      <c r="B49" s="81"/>
      <c r="C49" s="82"/>
      <c r="D49" s="71" t="s">
        <v>1278</v>
      </c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3"/>
      <c r="AA49" s="74" t="s">
        <v>429</v>
      </c>
      <c r="AB49" s="75"/>
      <c r="AC49" s="75"/>
      <c r="AD49" s="75"/>
      <c r="AE49" s="76"/>
      <c r="AF49" s="74">
        <v>8</v>
      </c>
      <c r="AG49" s="75"/>
      <c r="AH49" s="76"/>
      <c r="AI49" s="86"/>
      <c r="AJ49" s="86"/>
      <c r="AK49" s="86"/>
      <c r="AL49" s="68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69"/>
      <c r="BN49" s="69"/>
      <c r="BO49" s="69"/>
      <c r="BP49" s="70"/>
    </row>
    <row r="50" spans="1:68" s="1" customFormat="1" ht="30.75" customHeight="1">
      <c r="A50" s="80">
        <f t="shared" si="0"/>
        <v>42</v>
      </c>
      <c r="B50" s="81"/>
      <c r="C50" s="82"/>
      <c r="D50" s="71" t="s">
        <v>1279</v>
      </c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3"/>
      <c r="AA50" s="74" t="s">
        <v>429</v>
      </c>
      <c r="AB50" s="75"/>
      <c r="AC50" s="75"/>
      <c r="AD50" s="75"/>
      <c r="AE50" s="76"/>
      <c r="AF50" s="74">
        <v>15</v>
      </c>
      <c r="AG50" s="75"/>
      <c r="AH50" s="76"/>
      <c r="AI50" s="86"/>
      <c r="AJ50" s="86"/>
      <c r="AK50" s="86"/>
      <c r="AL50" s="68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69"/>
      <c r="BN50" s="69"/>
      <c r="BO50" s="69"/>
      <c r="BP50" s="70"/>
    </row>
    <row r="51" spans="1:68" s="1" customFormat="1" ht="30.75" customHeight="1">
      <c r="A51" s="80">
        <f t="shared" si="0"/>
        <v>43</v>
      </c>
      <c r="B51" s="81"/>
      <c r="C51" s="82"/>
      <c r="D51" s="71" t="s">
        <v>1280</v>
      </c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3"/>
      <c r="AA51" s="74" t="s">
        <v>429</v>
      </c>
      <c r="AB51" s="75"/>
      <c r="AC51" s="75"/>
      <c r="AD51" s="75"/>
      <c r="AE51" s="76"/>
      <c r="AF51" s="74">
        <v>15</v>
      </c>
      <c r="AG51" s="75"/>
      <c r="AH51" s="76"/>
      <c r="AI51" s="86"/>
      <c r="AJ51" s="86"/>
      <c r="AK51" s="86"/>
      <c r="AL51" s="68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69"/>
      <c r="BN51" s="69"/>
      <c r="BO51" s="69"/>
      <c r="BP51" s="70"/>
    </row>
    <row r="52" spans="1:68" s="1" customFormat="1" ht="30.75" customHeight="1">
      <c r="A52" s="80">
        <f t="shared" si="0"/>
        <v>44</v>
      </c>
      <c r="B52" s="81"/>
      <c r="C52" s="82"/>
      <c r="D52" s="71" t="s">
        <v>1281</v>
      </c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3"/>
      <c r="AA52" s="74" t="s">
        <v>429</v>
      </c>
      <c r="AB52" s="75"/>
      <c r="AC52" s="75"/>
      <c r="AD52" s="75"/>
      <c r="AE52" s="76"/>
      <c r="AF52" s="74">
        <v>15</v>
      </c>
      <c r="AG52" s="75"/>
      <c r="AH52" s="76"/>
      <c r="AI52" s="86"/>
      <c r="AJ52" s="86"/>
      <c r="AK52" s="86"/>
      <c r="AL52" s="68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69"/>
      <c r="BN52" s="69"/>
      <c r="BO52" s="69"/>
      <c r="BP52" s="70"/>
    </row>
    <row r="53" spans="1:68" s="1" customFormat="1" ht="30.75" customHeight="1">
      <c r="A53" s="80"/>
      <c r="B53" s="81"/>
      <c r="C53" s="82"/>
      <c r="D53" s="77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9"/>
      <c r="AA53" s="80"/>
      <c r="AB53" s="81"/>
      <c r="AC53" s="81"/>
      <c r="AD53" s="81"/>
      <c r="AE53" s="82"/>
      <c r="AF53" s="87"/>
      <c r="AG53" s="87"/>
      <c r="AH53" s="87"/>
      <c r="AI53" s="87"/>
      <c r="AJ53" s="87"/>
      <c r="AK53" s="87"/>
      <c r="AL53" s="83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5"/>
    </row>
    <row r="54" spans="1:68" s="4" customFormat="1" ht="3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3"/>
      <c r="AG54" s="3"/>
      <c r="AH54" s="3"/>
      <c r="AI54" s="3"/>
      <c r="AJ54" s="3"/>
      <c r="AK54" s="3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</row>
    <row r="55" spans="1:68" s="4" customFormat="1" ht="14.25">
      <c r="A55" s="5" t="s">
        <v>14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15"/>
      <c r="AG55" s="15"/>
      <c r="AH55" s="15"/>
      <c r="AI55" s="15"/>
      <c r="AJ55" s="15"/>
      <c r="AK55" s="15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6"/>
    </row>
    <row r="56" spans="1:68" s="4" customFormat="1" ht="20.25" customHeight="1">
      <c r="A56" s="5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6"/>
    </row>
    <row r="57" spans="1:68" s="4" customFormat="1" ht="20.25" customHeight="1">
      <c r="A57" s="5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6"/>
    </row>
    <row r="58" spans="1:68" s="4" customFormat="1" ht="20.25" customHeight="1">
      <c r="A58" s="5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6"/>
    </row>
    <row r="59" spans="1:68" s="4" customFormat="1" ht="20.25" customHeight="1">
      <c r="A59" s="5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6"/>
    </row>
    <row r="60" spans="1:68" s="4" customFormat="1" ht="20.25" customHeight="1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9"/>
    </row>
    <row r="61" spans="1:68" ht="5.25" customHeight="1"/>
  </sheetData>
  <mergeCells count="295">
    <mergeCell ref="A44:C44"/>
    <mergeCell ref="D44:Z44"/>
    <mergeCell ref="AA44:AE44"/>
    <mergeCell ref="AF44:AH44"/>
    <mergeCell ref="AI44:AK44"/>
    <mergeCell ref="AL44:BP44"/>
    <mergeCell ref="A42:C42"/>
    <mergeCell ref="D42:Z42"/>
    <mergeCell ref="AA42:AE42"/>
    <mergeCell ref="AF42:AH42"/>
    <mergeCell ref="AI42:AK42"/>
    <mergeCell ref="AL42:BP42"/>
    <mergeCell ref="A43:C43"/>
    <mergeCell ref="D43:Z43"/>
    <mergeCell ref="AA43:AE43"/>
    <mergeCell ref="AF43:AH43"/>
    <mergeCell ref="AI43:AK43"/>
    <mergeCell ref="AL43:BP43"/>
    <mergeCell ref="A40:C40"/>
    <mergeCell ref="D40:Z40"/>
    <mergeCell ref="AA40:AE40"/>
    <mergeCell ref="AF40:AH40"/>
    <mergeCell ref="AI40:AK40"/>
    <mergeCell ref="AL40:BP40"/>
    <mergeCell ref="A41:C41"/>
    <mergeCell ref="D41:Z41"/>
    <mergeCell ref="AA41:AE41"/>
    <mergeCell ref="AF41:AH41"/>
    <mergeCell ref="AI41:AK41"/>
    <mergeCell ref="AL41:BP41"/>
    <mergeCell ref="A38:C38"/>
    <mergeCell ref="D38:Z38"/>
    <mergeCell ref="AA38:AE38"/>
    <mergeCell ref="AF38:AH38"/>
    <mergeCell ref="AI38:AK38"/>
    <mergeCell ref="AL38:BP38"/>
    <mergeCell ref="A39:C39"/>
    <mergeCell ref="D39:Z39"/>
    <mergeCell ref="AA39:AE39"/>
    <mergeCell ref="AF39:AH39"/>
    <mergeCell ref="AI39:AK39"/>
    <mergeCell ref="AL39:BP39"/>
    <mergeCell ref="A36:C36"/>
    <mergeCell ref="D36:Z36"/>
    <mergeCell ref="AA36:AE36"/>
    <mergeCell ref="AF36:AH36"/>
    <mergeCell ref="AI36:AK36"/>
    <mergeCell ref="AL36:BP36"/>
    <mergeCell ref="A37:C37"/>
    <mergeCell ref="D37:Z37"/>
    <mergeCell ref="AA37:AE37"/>
    <mergeCell ref="AF37:AH37"/>
    <mergeCell ref="AI37:AK37"/>
    <mergeCell ref="AL37:BP37"/>
    <mergeCell ref="A34:C34"/>
    <mergeCell ref="D34:Z34"/>
    <mergeCell ref="AA34:AE34"/>
    <mergeCell ref="AF34:AH34"/>
    <mergeCell ref="AI34:AK34"/>
    <mergeCell ref="AL34:BP34"/>
    <mergeCell ref="A35:C35"/>
    <mergeCell ref="D35:Z35"/>
    <mergeCell ref="AA35:AE35"/>
    <mergeCell ref="AF35:AH35"/>
    <mergeCell ref="AI35:AK35"/>
    <mergeCell ref="AL35:BP35"/>
    <mergeCell ref="A32:C32"/>
    <mergeCell ref="D32:Z32"/>
    <mergeCell ref="AA32:AE32"/>
    <mergeCell ref="AF32:AH32"/>
    <mergeCell ref="AI32:AK32"/>
    <mergeCell ref="AL32:BP32"/>
    <mergeCell ref="A33:C33"/>
    <mergeCell ref="D33:Z33"/>
    <mergeCell ref="AA33:AE33"/>
    <mergeCell ref="AF33:AH33"/>
    <mergeCell ref="AI33:AK33"/>
    <mergeCell ref="AL33:BP33"/>
    <mergeCell ref="A30:C30"/>
    <mergeCell ref="D30:Z30"/>
    <mergeCell ref="AA30:AE30"/>
    <mergeCell ref="AF30:AH30"/>
    <mergeCell ref="AI30:AK30"/>
    <mergeCell ref="AL30:BP30"/>
    <mergeCell ref="A31:C31"/>
    <mergeCell ref="D31:Z31"/>
    <mergeCell ref="AA31:AE31"/>
    <mergeCell ref="AF31:AH31"/>
    <mergeCell ref="AI31:AK31"/>
    <mergeCell ref="AL31:BP31"/>
    <mergeCell ref="A28:C28"/>
    <mergeCell ref="D28:Z28"/>
    <mergeCell ref="AA28:AE28"/>
    <mergeCell ref="AF28:AH28"/>
    <mergeCell ref="AI28:AK28"/>
    <mergeCell ref="AL28:BP28"/>
    <mergeCell ref="A29:C29"/>
    <mergeCell ref="D29:Z29"/>
    <mergeCell ref="AA29:AE29"/>
    <mergeCell ref="AF29:AH29"/>
    <mergeCell ref="AI29:AK29"/>
    <mergeCell ref="AL29:BP29"/>
    <mergeCell ref="A26:C26"/>
    <mergeCell ref="D26:Z26"/>
    <mergeCell ref="AA26:AE26"/>
    <mergeCell ref="AF26:AH26"/>
    <mergeCell ref="AI26:AK26"/>
    <mergeCell ref="AL26:BP26"/>
    <mergeCell ref="A27:C27"/>
    <mergeCell ref="D27:Z27"/>
    <mergeCell ref="AA27:AE27"/>
    <mergeCell ref="AF27:AH27"/>
    <mergeCell ref="AI27:AK27"/>
    <mergeCell ref="AL27:BP27"/>
    <mergeCell ref="A24:C24"/>
    <mergeCell ref="D24:Z24"/>
    <mergeCell ref="AA24:AE24"/>
    <mergeCell ref="AF24:AH24"/>
    <mergeCell ref="AI24:AK24"/>
    <mergeCell ref="AL24:BP24"/>
    <mergeCell ref="A25:C25"/>
    <mergeCell ref="D25:Z25"/>
    <mergeCell ref="AA25:AE25"/>
    <mergeCell ref="AF25:AH25"/>
    <mergeCell ref="AI25:AK25"/>
    <mergeCell ref="AL25:BP25"/>
    <mergeCell ref="A22:C22"/>
    <mergeCell ref="D22:Z22"/>
    <mergeCell ref="AA22:AE22"/>
    <mergeCell ref="AF22:AH22"/>
    <mergeCell ref="AI22:AK22"/>
    <mergeCell ref="AL22:BP22"/>
    <mergeCell ref="A23:C23"/>
    <mergeCell ref="D23:Z23"/>
    <mergeCell ref="AA23:AE23"/>
    <mergeCell ref="AF23:AH23"/>
    <mergeCell ref="AI23:AK23"/>
    <mergeCell ref="AL23:BP23"/>
    <mergeCell ref="A20:C20"/>
    <mergeCell ref="D20:Z20"/>
    <mergeCell ref="AA20:AE20"/>
    <mergeCell ref="AF20:AH20"/>
    <mergeCell ref="AI20:AK20"/>
    <mergeCell ref="AL20:BP20"/>
    <mergeCell ref="A21:C21"/>
    <mergeCell ref="D21:Z21"/>
    <mergeCell ref="AA21:AE21"/>
    <mergeCell ref="AF21:AH21"/>
    <mergeCell ref="AI21:AK21"/>
    <mergeCell ref="AL21:BP21"/>
    <mergeCell ref="A18:C18"/>
    <mergeCell ref="D18:Z18"/>
    <mergeCell ref="AA18:AE18"/>
    <mergeCell ref="AF18:AH18"/>
    <mergeCell ref="AI18:AK18"/>
    <mergeCell ref="AL18:BP18"/>
    <mergeCell ref="A19:C19"/>
    <mergeCell ref="D19:Z19"/>
    <mergeCell ref="AA19:AE19"/>
    <mergeCell ref="AF19:AH19"/>
    <mergeCell ref="AI19:AK19"/>
    <mergeCell ref="AL19:BP19"/>
    <mergeCell ref="A16:C16"/>
    <mergeCell ref="D16:Z16"/>
    <mergeCell ref="AA16:AE16"/>
    <mergeCell ref="AF16:AH16"/>
    <mergeCell ref="AI16:AK16"/>
    <mergeCell ref="AL16:BP16"/>
    <mergeCell ref="A17:C17"/>
    <mergeCell ref="D17:Z17"/>
    <mergeCell ref="AA17:AE17"/>
    <mergeCell ref="AF17:AH17"/>
    <mergeCell ref="AI17:AK17"/>
    <mergeCell ref="AL17:BP17"/>
    <mergeCell ref="A14:C14"/>
    <mergeCell ref="D14:Z14"/>
    <mergeCell ref="AA14:AE14"/>
    <mergeCell ref="AF14:AH14"/>
    <mergeCell ref="AI14:AK14"/>
    <mergeCell ref="AL14:BP14"/>
    <mergeCell ref="A15:C15"/>
    <mergeCell ref="D15:Z15"/>
    <mergeCell ref="AA15:AE15"/>
    <mergeCell ref="AF15:AH15"/>
    <mergeCell ref="AI15:AK15"/>
    <mergeCell ref="AL15:BP15"/>
    <mergeCell ref="AL11:BP11"/>
    <mergeCell ref="A12:C12"/>
    <mergeCell ref="D12:Z12"/>
    <mergeCell ref="AA12:AE12"/>
    <mergeCell ref="AF12:AH12"/>
    <mergeCell ref="AI12:AK12"/>
    <mergeCell ref="AL12:BP12"/>
    <mergeCell ref="A13:C13"/>
    <mergeCell ref="D13:Z13"/>
    <mergeCell ref="AA13:AE13"/>
    <mergeCell ref="AF13:AH13"/>
    <mergeCell ref="AI13:AK13"/>
    <mergeCell ref="AL13:BP13"/>
    <mergeCell ref="AA11:AE11"/>
    <mergeCell ref="AF11:AH11"/>
    <mergeCell ref="AI11:AK11"/>
    <mergeCell ref="A8:C8"/>
    <mergeCell ref="D8:Z8"/>
    <mergeCell ref="AA8:AE8"/>
    <mergeCell ref="AF8:AH8"/>
    <mergeCell ref="AI8:AK8"/>
    <mergeCell ref="AL8:BP8"/>
    <mergeCell ref="A9:C9"/>
    <mergeCell ref="D9:Z9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A9:AE9"/>
    <mergeCell ref="AF9:AH9"/>
    <mergeCell ref="AI9:AK9"/>
    <mergeCell ref="AL9:BP9"/>
    <mergeCell ref="A46:C46"/>
    <mergeCell ref="D46:Z46"/>
    <mergeCell ref="AA46:AE46"/>
    <mergeCell ref="AF46:AH46"/>
    <mergeCell ref="AI46:AK46"/>
    <mergeCell ref="AL46:BP46"/>
    <mergeCell ref="A45:C45"/>
    <mergeCell ref="D45:Z45"/>
    <mergeCell ref="AA45:AE45"/>
    <mergeCell ref="A10:C10"/>
    <mergeCell ref="D10:Z10"/>
    <mergeCell ref="AA10:AE10"/>
    <mergeCell ref="AF10:AH10"/>
    <mergeCell ref="AI10:AK10"/>
    <mergeCell ref="AL10:BP10"/>
    <mergeCell ref="A11:C11"/>
    <mergeCell ref="D11:Z11"/>
    <mergeCell ref="A48:C48"/>
    <mergeCell ref="D48:Z48"/>
    <mergeCell ref="AA48:AE48"/>
    <mergeCell ref="AF48:AH48"/>
    <mergeCell ref="AI48:AK48"/>
    <mergeCell ref="AL48:BP48"/>
    <mergeCell ref="A47:C47"/>
    <mergeCell ref="D47:Z47"/>
    <mergeCell ref="AA47:AE47"/>
    <mergeCell ref="AF47:AH47"/>
    <mergeCell ref="AI47:AK47"/>
    <mergeCell ref="AL47:BP47"/>
    <mergeCell ref="AF52:AH52"/>
    <mergeCell ref="AI52:AK52"/>
    <mergeCell ref="AL52:BP52"/>
    <mergeCell ref="A49:C49"/>
    <mergeCell ref="D49:Z49"/>
    <mergeCell ref="AA49:AE49"/>
    <mergeCell ref="AF49:AH49"/>
    <mergeCell ref="AI49:AK49"/>
    <mergeCell ref="AL49:BP49"/>
    <mergeCell ref="A53:C53"/>
    <mergeCell ref="D53:Z53"/>
    <mergeCell ref="AA53:AE53"/>
    <mergeCell ref="AF53:AH53"/>
    <mergeCell ref="AI53:AK53"/>
    <mergeCell ref="AL53:BP53"/>
    <mergeCell ref="AF45:AH45"/>
    <mergeCell ref="AI45:AK45"/>
    <mergeCell ref="AL45:BP45"/>
    <mergeCell ref="A50:C50"/>
    <mergeCell ref="D50:Z50"/>
    <mergeCell ref="AA50:AE50"/>
    <mergeCell ref="AF50:AH50"/>
    <mergeCell ref="AI50:AK50"/>
    <mergeCell ref="AL50:BP50"/>
    <mergeCell ref="A51:C51"/>
    <mergeCell ref="D51:Z51"/>
    <mergeCell ref="AA51:AE51"/>
    <mergeCell ref="AF51:AH51"/>
    <mergeCell ref="AI51:AK51"/>
    <mergeCell ref="AL51:BP51"/>
    <mergeCell ref="A52:C52"/>
    <mergeCell ref="D52:Z52"/>
    <mergeCell ref="AA52:AE52"/>
  </mergeCells>
  <phoneticPr fontId="3"/>
  <dataValidations disablePrompts="1" count="1">
    <dataValidation type="list" allowBlank="1" showInputMessage="1" showErrorMessage="1" sqref="BJ6:BP6" xr:uid="{171A4BEE-D2E2-4914-9A9E-F68E2A84D1D7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6522A-8E98-4BDE-80AF-A3E7FCBF88D9}">
  <sheetPr codeName="Sheet27"/>
  <dimension ref="A1:BR62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8" width="2.125" style="55"/>
    <col min="39" max="44" width="0" style="55" hidden="1" customWidth="1"/>
    <col min="45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144" t="s">
        <v>198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95" t="s">
        <v>622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436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125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117">
        <f t="shared" ref="A9:A52" si="0">ROW()-8</f>
        <v>1</v>
      </c>
      <c r="B9" s="118"/>
      <c r="C9" s="119"/>
      <c r="D9" s="114" t="s">
        <v>1239</v>
      </c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6"/>
      <c r="AA9" s="117" t="s">
        <v>427</v>
      </c>
      <c r="AB9" s="118"/>
      <c r="AC9" s="118"/>
      <c r="AD9" s="118"/>
      <c r="AE9" s="119"/>
      <c r="AF9" s="117"/>
      <c r="AG9" s="118"/>
      <c r="AH9" s="119"/>
      <c r="AI9" s="117"/>
      <c r="AJ9" s="118"/>
      <c r="AK9" s="119"/>
      <c r="AL9" s="68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70"/>
    </row>
    <row r="10" spans="1:70" s="1" customFormat="1" ht="30.75" customHeight="1">
      <c r="A10" s="74">
        <f t="shared" si="0"/>
        <v>2</v>
      </c>
      <c r="B10" s="75"/>
      <c r="C10" s="76"/>
      <c r="D10" s="71" t="s">
        <v>1240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  <c r="AA10" s="74" t="s">
        <v>428</v>
      </c>
      <c r="AB10" s="75"/>
      <c r="AC10" s="75"/>
      <c r="AD10" s="75"/>
      <c r="AE10" s="76"/>
      <c r="AF10" s="74">
        <v>5</v>
      </c>
      <c r="AG10" s="75"/>
      <c r="AH10" s="76"/>
      <c r="AI10" s="74"/>
      <c r="AJ10" s="75"/>
      <c r="AK10" s="76"/>
      <c r="AL10" s="68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74">
        <f t="shared" si="0"/>
        <v>3</v>
      </c>
      <c r="B11" s="75"/>
      <c r="C11" s="76"/>
      <c r="D11" s="71" t="s">
        <v>1273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3"/>
      <c r="AA11" s="74" t="s">
        <v>428</v>
      </c>
      <c r="AB11" s="75"/>
      <c r="AC11" s="75"/>
      <c r="AD11" s="75"/>
      <c r="AE11" s="76"/>
      <c r="AF11" s="74">
        <v>19</v>
      </c>
      <c r="AG11" s="75"/>
      <c r="AH11" s="76"/>
      <c r="AI11" s="74"/>
      <c r="AJ11" s="75"/>
      <c r="AK11" s="76"/>
      <c r="AL11" s="68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70"/>
    </row>
    <row r="12" spans="1:70" s="1" customFormat="1" ht="30.75" customHeight="1">
      <c r="A12" s="74">
        <f t="shared" si="0"/>
        <v>4</v>
      </c>
      <c r="B12" s="75"/>
      <c r="C12" s="76"/>
      <c r="D12" s="71" t="s">
        <v>1241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3"/>
      <c r="AA12" s="74" t="s">
        <v>429</v>
      </c>
      <c r="AB12" s="75"/>
      <c r="AC12" s="75"/>
      <c r="AD12" s="75"/>
      <c r="AE12" s="76"/>
      <c r="AF12" s="74">
        <v>8</v>
      </c>
      <c r="AG12" s="75"/>
      <c r="AH12" s="76"/>
      <c r="AI12" s="74"/>
      <c r="AJ12" s="75"/>
      <c r="AK12" s="76"/>
      <c r="AL12" s="68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70"/>
    </row>
    <row r="13" spans="1:70" s="1" customFormat="1" ht="30.75" customHeight="1">
      <c r="A13" s="74">
        <f t="shared" si="0"/>
        <v>5</v>
      </c>
      <c r="B13" s="75"/>
      <c r="C13" s="76"/>
      <c r="D13" s="71" t="s">
        <v>1242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3"/>
      <c r="AA13" s="74" t="s">
        <v>429</v>
      </c>
      <c r="AB13" s="75"/>
      <c r="AC13" s="75"/>
      <c r="AD13" s="75"/>
      <c r="AE13" s="76"/>
      <c r="AF13" s="74">
        <v>8</v>
      </c>
      <c r="AG13" s="75"/>
      <c r="AH13" s="76"/>
      <c r="AI13" s="74"/>
      <c r="AJ13" s="75"/>
      <c r="AK13" s="76"/>
      <c r="AL13" s="68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70"/>
    </row>
    <row r="14" spans="1:70" s="1" customFormat="1" ht="30.75" customHeight="1">
      <c r="A14" s="74">
        <f t="shared" si="0"/>
        <v>6</v>
      </c>
      <c r="B14" s="75"/>
      <c r="C14" s="76"/>
      <c r="D14" s="71" t="s">
        <v>1243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3"/>
      <c r="AA14" s="74" t="s">
        <v>429</v>
      </c>
      <c r="AB14" s="75"/>
      <c r="AC14" s="75"/>
      <c r="AD14" s="75"/>
      <c r="AE14" s="76"/>
      <c r="AF14" s="74">
        <v>5</v>
      </c>
      <c r="AG14" s="75"/>
      <c r="AH14" s="76"/>
      <c r="AI14" s="86"/>
      <c r="AJ14" s="86"/>
      <c r="AK14" s="86"/>
      <c r="AL14" s="68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70"/>
    </row>
    <row r="15" spans="1:70" s="1" customFormat="1" ht="30.75" customHeight="1">
      <c r="A15" s="74">
        <f t="shared" si="0"/>
        <v>7</v>
      </c>
      <c r="B15" s="75"/>
      <c r="C15" s="76"/>
      <c r="D15" s="71" t="s">
        <v>1244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3"/>
      <c r="AA15" s="74" t="s">
        <v>428</v>
      </c>
      <c r="AB15" s="75"/>
      <c r="AC15" s="75"/>
      <c r="AD15" s="75"/>
      <c r="AE15" s="76"/>
      <c r="AF15" s="74">
        <v>3</v>
      </c>
      <c r="AG15" s="75"/>
      <c r="AH15" s="76"/>
      <c r="AI15" s="86"/>
      <c r="AJ15" s="86"/>
      <c r="AK15" s="86"/>
      <c r="AL15" s="68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70"/>
    </row>
    <row r="16" spans="1:70" s="1" customFormat="1" ht="30.75" customHeight="1">
      <c r="A16" s="74">
        <f t="shared" si="0"/>
        <v>8</v>
      </c>
      <c r="B16" s="75"/>
      <c r="C16" s="76"/>
      <c r="D16" s="71" t="s">
        <v>1245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3"/>
      <c r="AA16" s="74" t="s">
        <v>428</v>
      </c>
      <c r="AB16" s="75"/>
      <c r="AC16" s="75"/>
      <c r="AD16" s="75"/>
      <c r="AE16" s="76"/>
      <c r="AF16" s="74">
        <v>25</v>
      </c>
      <c r="AG16" s="75"/>
      <c r="AH16" s="76"/>
      <c r="AI16" s="86"/>
      <c r="AJ16" s="86"/>
      <c r="AK16" s="86"/>
      <c r="AL16" s="68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70"/>
    </row>
    <row r="17" spans="1:68" s="1" customFormat="1" ht="30.75" customHeight="1">
      <c r="A17" s="74">
        <f t="shared" si="0"/>
        <v>9</v>
      </c>
      <c r="B17" s="75"/>
      <c r="C17" s="76"/>
      <c r="D17" s="71" t="s">
        <v>1246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3"/>
      <c r="AA17" s="74" t="s">
        <v>429</v>
      </c>
      <c r="AB17" s="75"/>
      <c r="AC17" s="75"/>
      <c r="AD17" s="75"/>
      <c r="AE17" s="76"/>
      <c r="AF17" s="74">
        <v>8</v>
      </c>
      <c r="AG17" s="75"/>
      <c r="AH17" s="76"/>
      <c r="AI17" s="86"/>
      <c r="AJ17" s="86"/>
      <c r="AK17" s="86"/>
      <c r="AL17" s="68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70"/>
    </row>
    <row r="18" spans="1:68" s="1" customFormat="1" ht="30.75" customHeight="1">
      <c r="A18" s="74">
        <f t="shared" si="0"/>
        <v>10</v>
      </c>
      <c r="B18" s="75"/>
      <c r="C18" s="76"/>
      <c r="D18" s="71" t="s">
        <v>1247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3"/>
      <c r="AA18" s="74" t="s">
        <v>427</v>
      </c>
      <c r="AB18" s="75"/>
      <c r="AC18" s="75"/>
      <c r="AD18" s="75"/>
      <c r="AE18" s="76"/>
      <c r="AF18" s="74"/>
      <c r="AG18" s="75"/>
      <c r="AH18" s="76"/>
      <c r="AI18" s="86"/>
      <c r="AJ18" s="86"/>
      <c r="AK18" s="86"/>
      <c r="AL18" s="68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70"/>
    </row>
    <row r="19" spans="1:68" s="1" customFormat="1" ht="30.75" customHeight="1">
      <c r="A19" s="74">
        <f t="shared" si="0"/>
        <v>11</v>
      </c>
      <c r="B19" s="75"/>
      <c r="C19" s="76"/>
      <c r="D19" s="71" t="s">
        <v>1248</v>
      </c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3"/>
      <c r="AA19" s="74" t="s">
        <v>428</v>
      </c>
      <c r="AB19" s="75"/>
      <c r="AC19" s="75"/>
      <c r="AD19" s="75"/>
      <c r="AE19" s="76"/>
      <c r="AF19" s="74">
        <v>78</v>
      </c>
      <c r="AG19" s="75"/>
      <c r="AH19" s="76"/>
      <c r="AI19" s="86"/>
      <c r="AJ19" s="86"/>
      <c r="AK19" s="86"/>
      <c r="AL19" s="68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70"/>
    </row>
    <row r="20" spans="1:68" s="1" customFormat="1" ht="30.75" customHeight="1">
      <c r="A20" s="74">
        <f t="shared" si="0"/>
        <v>12</v>
      </c>
      <c r="B20" s="75"/>
      <c r="C20" s="76"/>
      <c r="D20" s="71" t="s">
        <v>1249</v>
      </c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3"/>
      <c r="AA20" s="74" t="s">
        <v>428</v>
      </c>
      <c r="AB20" s="75"/>
      <c r="AC20" s="75"/>
      <c r="AD20" s="75"/>
      <c r="AE20" s="76"/>
      <c r="AF20" s="74">
        <v>10</v>
      </c>
      <c r="AG20" s="75"/>
      <c r="AH20" s="76"/>
      <c r="AI20" s="74"/>
      <c r="AJ20" s="75"/>
      <c r="AK20" s="76"/>
      <c r="AL20" s="68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70"/>
    </row>
    <row r="21" spans="1:68" s="1" customFormat="1" ht="30.75" customHeight="1">
      <c r="A21" s="74">
        <f t="shared" si="0"/>
        <v>13</v>
      </c>
      <c r="B21" s="75"/>
      <c r="C21" s="76"/>
      <c r="D21" s="71" t="s">
        <v>1250</v>
      </c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3"/>
      <c r="AA21" s="74" t="s">
        <v>428</v>
      </c>
      <c r="AB21" s="75"/>
      <c r="AC21" s="75"/>
      <c r="AD21" s="75"/>
      <c r="AE21" s="76"/>
      <c r="AF21" s="74">
        <v>9</v>
      </c>
      <c r="AG21" s="75"/>
      <c r="AH21" s="76"/>
      <c r="AI21" s="74"/>
      <c r="AJ21" s="75"/>
      <c r="AK21" s="76"/>
      <c r="AL21" s="68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70"/>
    </row>
    <row r="22" spans="1:68" s="1" customFormat="1" ht="30.75" customHeight="1">
      <c r="A22" s="74">
        <f t="shared" si="0"/>
        <v>14</v>
      </c>
      <c r="B22" s="75"/>
      <c r="C22" s="76"/>
      <c r="D22" s="71" t="s">
        <v>1251</v>
      </c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3"/>
      <c r="AA22" s="74" t="s">
        <v>429</v>
      </c>
      <c r="AB22" s="75"/>
      <c r="AC22" s="75"/>
      <c r="AD22" s="75"/>
      <c r="AE22" s="76"/>
      <c r="AF22" s="74">
        <v>15</v>
      </c>
      <c r="AG22" s="75"/>
      <c r="AH22" s="76"/>
      <c r="AI22" s="74"/>
      <c r="AJ22" s="75"/>
      <c r="AK22" s="76"/>
      <c r="AL22" s="68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70"/>
    </row>
    <row r="23" spans="1:68" s="1" customFormat="1" ht="30.75" customHeight="1">
      <c r="A23" s="74">
        <f t="shared" si="0"/>
        <v>15</v>
      </c>
      <c r="B23" s="75"/>
      <c r="C23" s="76"/>
      <c r="D23" s="71" t="s">
        <v>1252</v>
      </c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3"/>
      <c r="AA23" s="74" t="s">
        <v>429</v>
      </c>
      <c r="AB23" s="75"/>
      <c r="AC23" s="75"/>
      <c r="AD23" s="75"/>
      <c r="AE23" s="76"/>
      <c r="AF23" s="74">
        <v>15</v>
      </c>
      <c r="AG23" s="75"/>
      <c r="AH23" s="76"/>
      <c r="AI23" s="74"/>
      <c r="AJ23" s="75"/>
      <c r="AK23" s="76"/>
      <c r="AL23" s="68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70"/>
    </row>
    <row r="24" spans="1:68" s="1" customFormat="1" ht="30.75" customHeight="1">
      <c r="A24" s="74">
        <f t="shared" si="0"/>
        <v>16</v>
      </c>
      <c r="B24" s="75"/>
      <c r="C24" s="76"/>
      <c r="D24" s="71" t="s">
        <v>1253</v>
      </c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3"/>
      <c r="AA24" s="74" t="s">
        <v>429</v>
      </c>
      <c r="AB24" s="75"/>
      <c r="AC24" s="75"/>
      <c r="AD24" s="75"/>
      <c r="AE24" s="76"/>
      <c r="AF24" s="74">
        <v>15</v>
      </c>
      <c r="AG24" s="75"/>
      <c r="AH24" s="76"/>
      <c r="AI24" s="74"/>
      <c r="AJ24" s="75"/>
      <c r="AK24" s="76"/>
      <c r="AL24" s="68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70"/>
    </row>
    <row r="25" spans="1:68" s="1" customFormat="1" ht="30.75" customHeight="1">
      <c r="A25" s="74">
        <f t="shared" si="0"/>
        <v>17</v>
      </c>
      <c r="B25" s="75"/>
      <c r="C25" s="76"/>
      <c r="D25" s="71" t="s">
        <v>1254</v>
      </c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3"/>
      <c r="AA25" s="74" t="s">
        <v>428</v>
      </c>
      <c r="AB25" s="75"/>
      <c r="AC25" s="75"/>
      <c r="AD25" s="75"/>
      <c r="AE25" s="76"/>
      <c r="AF25" s="74">
        <v>9</v>
      </c>
      <c r="AG25" s="75"/>
      <c r="AH25" s="76"/>
      <c r="AI25" s="74"/>
      <c r="AJ25" s="75"/>
      <c r="AK25" s="76"/>
      <c r="AL25" s="68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70"/>
    </row>
    <row r="26" spans="1:68" s="1" customFormat="1" ht="30.75" customHeight="1">
      <c r="A26" s="74">
        <f t="shared" si="0"/>
        <v>18</v>
      </c>
      <c r="B26" s="75"/>
      <c r="C26" s="76"/>
      <c r="D26" s="71" t="s">
        <v>1255</v>
      </c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3"/>
      <c r="AA26" s="74" t="s">
        <v>429</v>
      </c>
      <c r="AB26" s="75"/>
      <c r="AC26" s="75"/>
      <c r="AD26" s="75"/>
      <c r="AE26" s="76"/>
      <c r="AF26" s="74">
        <v>15</v>
      </c>
      <c r="AG26" s="75"/>
      <c r="AH26" s="76"/>
      <c r="AI26" s="74"/>
      <c r="AJ26" s="75"/>
      <c r="AK26" s="76"/>
      <c r="AL26" s="68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70"/>
    </row>
    <row r="27" spans="1:68" s="1" customFormat="1" ht="30.75" customHeight="1">
      <c r="A27" s="74">
        <f t="shared" si="0"/>
        <v>19</v>
      </c>
      <c r="B27" s="75"/>
      <c r="C27" s="76"/>
      <c r="D27" s="71" t="s">
        <v>1256</v>
      </c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3"/>
      <c r="AA27" s="74" t="s">
        <v>429</v>
      </c>
      <c r="AB27" s="75"/>
      <c r="AC27" s="75"/>
      <c r="AD27" s="75"/>
      <c r="AE27" s="76"/>
      <c r="AF27" s="74">
        <v>15</v>
      </c>
      <c r="AG27" s="75"/>
      <c r="AH27" s="76"/>
      <c r="AI27" s="86"/>
      <c r="AJ27" s="86"/>
      <c r="AK27" s="86"/>
      <c r="AL27" s="68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70"/>
    </row>
    <row r="28" spans="1:68" s="1" customFormat="1" ht="30.75" customHeight="1">
      <c r="A28" s="74">
        <f t="shared" si="0"/>
        <v>20</v>
      </c>
      <c r="B28" s="75"/>
      <c r="C28" s="76"/>
      <c r="D28" s="71" t="s">
        <v>1257</v>
      </c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3"/>
      <c r="AA28" s="74" t="s">
        <v>429</v>
      </c>
      <c r="AB28" s="75"/>
      <c r="AC28" s="75"/>
      <c r="AD28" s="75"/>
      <c r="AE28" s="76"/>
      <c r="AF28" s="74">
        <v>15</v>
      </c>
      <c r="AG28" s="75"/>
      <c r="AH28" s="76"/>
      <c r="AI28" s="86"/>
      <c r="AJ28" s="86"/>
      <c r="AK28" s="86"/>
      <c r="AL28" s="68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70"/>
    </row>
    <row r="29" spans="1:68" s="1" customFormat="1" ht="30.75" customHeight="1">
      <c r="A29" s="74">
        <f t="shared" si="0"/>
        <v>21</v>
      </c>
      <c r="B29" s="75"/>
      <c r="C29" s="76"/>
      <c r="D29" s="71" t="s">
        <v>1258</v>
      </c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3"/>
      <c r="AA29" s="74" t="s">
        <v>429</v>
      </c>
      <c r="AB29" s="75"/>
      <c r="AC29" s="75"/>
      <c r="AD29" s="75"/>
      <c r="AE29" s="76"/>
      <c r="AF29" s="74">
        <v>15</v>
      </c>
      <c r="AG29" s="75"/>
      <c r="AH29" s="76"/>
      <c r="AI29" s="86"/>
      <c r="AJ29" s="86"/>
      <c r="AK29" s="86"/>
      <c r="AL29" s="68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70"/>
    </row>
    <row r="30" spans="1:68" s="1" customFormat="1" ht="30.75" customHeight="1">
      <c r="A30" s="74">
        <f t="shared" si="0"/>
        <v>22</v>
      </c>
      <c r="B30" s="75"/>
      <c r="C30" s="76"/>
      <c r="D30" s="71" t="s">
        <v>1259</v>
      </c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3"/>
      <c r="AA30" s="74" t="s">
        <v>429</v>
      </c>
      <c r="AB30" s="75"/>
      <c r="AC30" s="75"/>
      <c r="AD30" s="75"/>
      <c r="AE30" s="76"/>
      <c r="AF30" s="74">
        <v>15</v>
      </c>
      <c r="AG30" s="75"/>
      <c r="AH30" s="76"/>
      <c r="AI30" s="86"/>
      <c r="AJ30" s="86"/>
      <c r="AK30" s="86"/>
      <c r="AL30" s="68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70"/>
    </row>
    <row r="31" spans="1:68" s="1" customFormat="1" ht="30.75" customHeight="1">
      <c r="A31" s="74">
        <f t="shared" si="0"/>
        <v>23</v>
      </c>
      <c r="B31" s="75"/>
      <c r="C31" s="76"/>
      <c r="D31" s="71" t="s">
        <v>1260</v>
      </c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3"/>
      <c r="AA31" s="74" t="s">
        <v>429</v>
      </c>
      <c r="AB31" s="75"/>
      <c r="AC31" s="75"/>
      <c r="AD31" s="75"/>
      <c r="AE31" s="76"/>
      <c r="AF31" s="74">
        <v>15</v>
      </c>
      <c r="AG31" s="75"/>
      <c r="AH31" s="76"/>
      <c r="AI31" s="86"/>
      <c r="AJ31" s="86"/>
      <c r="AK31" s="86"/>
      <c r="AL31" s="68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70"/>
    </row>
    <row r="32" spans="1:68" s="1" customFormat="1" ht="30.75" customHeight="1">
      <c r="A32" s="74">
        <f t="shared" si="0"/>
        <v>24</v>
      </c>
      <c r="B32" s="75"/>
      <c r="C32" s="76"/>
      <c r="D32" s="71" t="s">
        <v>1261</v>
      </c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3"/>
      <c r="AA32" s="74" t="s">
        <v>427</v>
      </c>
      <c r="AB32" s="75"/>
      <c r="AC32" s="75"/>
      <c r="AD32" s="75"/>
      <c r="AE32" s="76"/>
      <c r="AF32" s="74"/>
      <c r="AG32" s="75"/>
      <c r="AH32" s="76"/>
      <c r="AI32" s="86"/>
      <c r="AJ32" s="86"/>
      <c r="AK32" s="86"/>
      <c r="AL32" s="68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70"/>
    </row>
    <row r="33" spans="1:68" s="1" customFormat="1" ht="30.75" customHeight="1">
      <c r="A33" s="74">
        <f t="shared" si="0"/>
        <v>25</v>
      </c>
      <c r="B33" s="75"/>
      <c r="C33" s="76"/>
      <c r="D33" s="71" t="s">
        <v>1248</v>
      </c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3"/>
      <c r="AA33" s="74" t="s">
        <v>428</v>
      </c>
      <c r="AB33" s="75"/>
      <c r="AC33" s="75"/>
      <c r="AD33" s="75"/>
      <c r="AE33" s="76"/>
      <c r="AF33" s="74">
        <v>78</v>
      </c>
      <c r="AG33" s="75"/>
      <c r="AH33" s="76"/>
      <c r="AI33" s="86"/>
      <c r="AJ33" s="86"/>
      <c r="AK33" s="86"/>
      <c r="AL33" s="68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70"/>
    </row>
    <row r="34" spans="1:68" s="1" customFormat="1" ht="30.75" customHeight="1">
      <c r="A34" s="74">
        <f t="shared" si="0"/>
        <v>26</v>
      </c>
      <c r="B34" s="75"/>
      <c r="C34" s="76"/>
      <c r="D34" s="71" t="s">
        <v>1249</v>
      </c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3"/>
      <c r="AA34" s="74" t="s">
        <v>428</v>
      </c>
      <c r="AB34" s="75"/>
      <c r="AC34" s="75"/>
      <c r="AD34" s="75"/>
      <c r="AE34" s="76"/>
      <c r="AF34" s="74">
        <v>8</v>
      </c>
      <c r="AG34" s="75"/>
      <c r="AH34" s="76"/>
      <c r="AI34" s="86"/>
      <c r="AJ34" s="86"/>
      <c r="AK34" s="86"/>
      <c r="AL34" s="68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70"/>
    </row>
    <row r="35" spans="1:68" s="1" customFormat="1" ht="30.75" customHeight="1">
      <c r="A35" s="74">
        <f t="shared" si="0"/>
        <v>27</v>
      </c>
      <c r="B35" s="75"/>
      <c r="C35" s="76"/>
      <c r="D35" s="71" t="s">
        <v>1262</v>
      </c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3"/>
      <c r="AA35" s="74" t="s">
        <v>428</v>
      </c>
      <c r="AB35" s="75"/>
      <c r="AC35" s="75"/>
      <c r="AD35" s="75"/>
      <c r="AE35" s="76"/>
      <c r="AF35" s="74">
        <v>60</v>
      </c>
      <c r="AG35" s="75"/>
      <c r="AH35" s="76"/>
      <c r="AI35" s="86"/>
      <c r="AJ35" s="86"/>
      <c r="AK35" s="86"/>
      <c r="AL35" s="68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70"/>
    </row>
    <row r="36" spans="1:68" s="1" customFormat="1" ht="30.75" customHeight="1">
      <c r="A36" s="74">
        <f t="shared" si="0"/>
        <v>28</v>
      </c>
      <c r="B36" s="75"/>
      <c r="C36" s="76"/>
      <c r="D36" s="71" t="s">
        <v>1263</v>
      </c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3"/>
      <c r="AA36" s="74" t="s">
        <v>429</v>
      </c>
      <c r="AB36" s="75"/>
      <c r="AC36" s="75"/>
      <c r="AD36" s="75"/>
      <c r="AE36" s="76"/>
      <c r="AF36" s="74">
        <v>15</v>
      </c>
      <c r="AG36" s="75"/>
      <c r="AH36" s="76"/>
      <c r="AI36" s="86"/>
      <c r="AJ36" s="86"/>
      <c r="AK36" s="86"/>
      <c r="AL36" s="68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70"/>
    </row>
    <row r="37" spans="1:68" s="1" customFormat="1" ht="30.75" customHeight="1">
      <c r="A37" s="74">
        <f t="shared" si="0"/>
        <v>29</v>
      </c>
      <c r="B37" s="75"/>
      <c r="C37" s="76"/>
      <c r="D37" s="71" t="s">
        <v>1264</v>
      </c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3"/>
      <c r="AA37" s="74" t="s">
        <v>429</v>
      </c>
      <c r="AB37" s="75"/>
      <c r="AC37" s="75"/>
      <c r="AD37" s="75"/>
      <c r="AE37" s="76"/>
      <c r="AF37" s="74">
        <v>15</v>
      </c>
      <c r="AG37" s="75"/>
      <c r="AH37" s="76"/>
      <c r="AI37" s="74"/>
      <c r="AJ37" s="75"/>
      <c r="AK37" s="76"/>
      <c r="AL37" s="68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70"/>
    </row>
    <row r="38" spans="1:68" s="1" customFormat="1" ht="30.75" customHeight="1">
      <c r="A38" s="74">
        <f t="shared" si="0"/>
        <v>30</v>
      </c>
      <c r="B38" s="75"/>
      <c r="C38" s="76"/>
      <c r="D38" s="71" t="s">
        <v>1265</v>
      </c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3"/>
      <c r="AA38" s="74" t="s">
        <v>429</v>
      </c>
      <c r="AB38" s="75"/>
      <c r="AC38" s="75"/>
      <c r="AD38" s="75"/>
      <c r="AE38" s="76"/>
      <c r="AF38" s="74">
        <v>15</v>
      </c>
      <c r="AG38" s="75"/>
      <c r="AH38" s="76"/>
      <c r="AI38" s="86"/>
      <c r="AJ38" s="86"/>
      <c r="AK38" s="86"/>
      <c r="AL38" s="68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70"/>
    </row>
    <row r="39" spans="1:68" s="1" customFormat="1" ht="30.75" customHeight="1">
      <c r="A39" s="74">
        <f t="shared" si="0"/>
        <v>31</v>
      </c>
      <c r="B39" s="75"/>
      <c r="C39" s="76"/>
      <c r="D39" s="71" t="s">
        <v>1258</v>
      </c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3"/>
      <c r="AA39" s="74" t="s">
        <v>429</v>
      </c>
      <c r="AB39" s="75"/>
      <c r="AC39" s="75"/>
      <c r="AD39" s="75"/>
      <c r="AE39" s="76"/>
      <c r="AF39" s="74">
        <v>15</v>
      </c>
      <c r="AG39" s="75"/>
      <c r="AH39" s="76"/>
      <c r="AI39" s="86"/>
      <c r="AJ39" s="86"/>
      <c r="AK39" s="86"/>
      <c r="AL39" s="68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70"/>
    </row>
    <row r="40" spans="1:68" s="1" customFormat="1" ht="30.75" customHeight="1">
      <c r="A40" s="74">
        <f t="shared" si="0"/>
        <v>32</v>
      </c>
      <c r="B40" s="75"/>
      <c r="C40" s="76"/>
      <c r="D40" s="71" t="s">
        <v>1259</v>
      </c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3"/>
      <c r="AA40" s="74" t="s">
        <v>429</v>
      </c>
      <c r="AB40" s="75"/>
      <c r="AC40" s="75"/>
      <c r="AD40" s="75"/>
      <c r="AE40" s="76"/>
      <c r="AF40" s="74">
        <v>15</v>
      </c>
      <c r="AG40" s="75"/>
      <c r="AH40" s="76"/>
      <c r="AI40" s="86"/>
      <c r="AJ40" s="86"/>
      <c r="AK40" s="86"/>
      <c r="AL40" s="68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70"/>
    </row>
    <row r="41" spans="1:68" s="1" customFormat="1" ht="30.75" customHeight="1">
      <c r="A41" s="74">
        <f t="shared" si="0"/>
        <v>33</v>
      </c>
      <c r="B41" s="75"/>
      <c r="C41" s="76"/>
      <c r="D41" s="71" t="s">
        <v>1260</v>
      </c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3"/>
      <c r="AA41" s="74" t="s">
        <v>429</v>
      </c>
      <c r="AB41" s="75"/>
      <c r="AC41" s="75"/>
      <c r="AD41" s="75"/>
      <c r="AE41" s="76"/>
      <c r="AF41" s="74">
        <v>15</v>
      </c>
      <c r="AG41" s="75"/>
      <c r="AH41" s="76"/>
      <c r="AI41" s="74"/>
      <c r="AJ41" s="75"/>
      <c r="AK41" s="76"/>
      <c r="AL41" s="68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70"/>
    </row>
    <row r="42" spans="1:68" s="1" customFormat="1" ht="30.75" customHeight="1">
      <c r="A42" s="74">
        <f t="shared" si="0"/>
        <v>34</v>
      </c>
      <c r="B42" s="75"/>
      <c r="C42" s="76"/>
      <c r="D42" s="71" t="s">
        <v>1266</v>
      </c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3"/>
      <c r="AA42" s="74" t="s">
        <v>429</v>
      </c>
      <c r="AB42" s="75"/>
      <c r="AC42" s="75"/>
      <c r="AD42" s="75"/>
      <c r="AE42" s="76"/>
      <c r="AF42" s="74">
        <v>15</v>
      </c>
      <c r="AG42" s="75"/>
      <c r="AH42" s="76"/>
      <c r="AI42" s="74"/>
      <c r="AJ42" s="75"/>
      <c r="AK42" s="76"/>
      <c r="AL42" s="68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70"/>
    </row>
    <row r="43" spans="1:68" s="1" customFormat="1" ht="30.75" customHeight="1">
      <c r="A43" s="74">
        <f t="shared" si="0"/>
        <v>35</v>
      </c>
      <c r="B43" s="75"/>
      <c r="C43" s="76"/>
      <c r="D43" s="71" t="s">
        <v>1267</v>
      </c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3"/>
      <c r="AA43" s="74" t="s">
        <v>429</v>
      </c>
      <c r="AB43" s="75"/>
      <c r="AC43" s="75"/>
      <c r="AD43" s="75"/>
      <c r="AE43" s="76"/>
      <c r="AF43" s="74">
        <v>15</v>
      </c>
      <c r="AG43" s="75"/>
      <c r="AH43" s="76"/>
      <c r="AI43" s="74"/>
      <c r="AJ43" s="75"/>
      <c r="AK43" s="76"/>
      <c r="AL43" s="83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5"/>
    </row>
    <row r="44" spans="1:68" s="1" customFormat="1" ht="30.75" customHeight="1">
      <c r="A44" s="80">
        <f t="shared" si="0"/>
        <v>36</v>
      </c>
      <c r="B44" s="81"/>
      <c r="C44" s="82"/>
      <c r="D44" s="71" t="s">
        <v>1268</v>
      </c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3"/>
      <c r="AA44" s="74" t="s">
        <v>429</v>
      </c>
      <c r="AB44" s="75"/>
      <c r="AC44" s="75"/>
      <c r="AD44" s="75"/>
      <c r="AE44" s="76"/>
      <c r="AF44" s="74">
        <v>15</v>
      </c>
      <c r="AG44" s="75"/>
      <c r="AH44" s="76"/>
      <c r="AI44" s="80"/>
      <c r="AJ44" s="81"/>
      <c r="AK44" s="82"/>
      <c r="AL44" s="83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5"/>
    </row>
    <row r="45" spans="1:68" s="1" customFormat="1" ht="30.75" customHeight="1">
      <c r="A45" s="80">
        <f t="shared" si="0"/>
        <v>37</v>
      </c>
      <c r="B45" s="81"/>
      <c r="C45" s="82"/>
      <c r="D45" s="71" t="s">
        <v>1274</v>
      </c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3"/>
      <c r="AA45" s="74" t="s">
        <v>427</v>
      </c>
      <c r="AB45" s="75"/>
      <c r="AC45" s="75"/>
      <c r="AD45" s="75"/>
      <c r="AE45" s="76"/>
      <c r="AF45" s="86"/>
      <c r="AG45" s="86"/>
      <c r="AH45" s="86"/>
      <c r="AI45" s="86"/>
      <c r="AJ45" s="86"/>
      <c r="AK45" s="86"/>
      <c r="AL45" s="68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  <c r="BP45" s="70"/>
    </row>
    <row r="46" spans="1:68" s="1" customFormat="1" ht="30.75" customHeight="1">
      <c r="A46" s="80">
        <f t="shared" si="0"/>
        <v>38</v>
      </c>
      <c r="B46" s="81"/>
      <c r="C46" s="82"/>
      <c r="D46" s="71" t="s">
        <v>1275</v>
      </c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3"/>
      <c r="AA46" s="74" t="s">
        <v>429</v>
      </c>
      <c r="AB46" s="75"/>
      <c r="AC46" s="75"/>
      <c r="AD46" s="75"/>
      <c r="AE46" s="76"/>
      <c r="AF46" s="74">
        <v>15</v>
      </c>
      <c r="AG46" s="75"/>
      <c r="AH46" s="76"/>
      <c r="AI46" s="86"/>
      <c r="AJ46" s="86"/>
      <c r="AK46" s="86"/>
      <c r="AL46" s="68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  <c r="BM46" s="69"/>
      <c r="BN46" s="69"/>
      <c r="BO46" s="69"/>
      <c r="BP46" s="70"/>
    </row>
    <row r="47" spans="1:68" s="1" customFormat="1" ht="30.75" customHeight="1">
      <c r="A47" s="80">
        <f t="shared" si="0"/>
        <v>39</v>
      </c>
      <c r="B47" s="81"/>
      <c r="C47" s="82"/>
      <c r="D47" s="71" t="s">
        <v>1276</v>
      </c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3"/>
      <c r="AA47" s="74" t="s">
        <v>429</v>
      </c>
      <c r="AB47" s="75"/>
      <c r="AC47" s="75"/>
      <c r="AD47" s="75"/>
      <c r="AE47" s="76"/>
      <c r="AF47" s="74">
        <v>15</v>
      </c>
      <c r="AG47" s="75"/>
      <c r="AH47" s="76"/>
      <c r="AI47" s="86"/>
      <c r="AJ47" s="86"/>
      <c r="AK47" s="86"/>
      <c r="AL47" s="68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  <c r="BP47" s="70"/>
    </row>
    <row r="48" spans="1:68" s="1" customFormat="1" ht="30.75" customHeight="1">
      <c r="A48" s="80">
        <f t="shared" si="0"/>
        <v>40</v>
      </c>
      <c r="B48" s="81"/>
      <c r="C48" s="82"/>
      <c r="D48" s="71" t="s">
        <v>1277</v>
      </c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3"/>
      <c r="AA48" s="74" t="s">
        <v>429</v>
      </c>
      <c r="AB48" s="75"/>
      <c r="AC48" s="75"/>
      <c r="AD48" s="75"/>
      <c r="AE48" s="76"/>
      <c r="AF48" s="74">
        <v>15</v>
      </c>
      <c r="AG48" s="75"/>
      <c r="AH48" s="76"/>
      <c r="AI48" s="86"/>
      <c r="AJ48" s="86"/>
      <c r="AK48" s="86"/>
      <c r="AL48" s="68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69"/>
      <c r="BN48" s="69"/>
      <c r="BO48" s="69"/>
      <c r="BP48" s="70"/>
    </row>
    <row r="49" spans="1:68" s="1" customFormat="1" ht="30.75" customHeight="1">
      <c r="A49" s="80">
        <f t="shared" si="0"/>
        <v>41</v>
      </c>
      <c r="B49" s="81"/>
      <c r="C49" s="82"/>
      <c r="D49" s="71" t="s">
        <v>1278</v>
      </c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3"/>
      <c r="AA49" s="74" t="s">
        <v>429</v>
      </c>
      <c r="AB49" s="75"/>
      <c r="AC49" s="75"/>
      <c r="AD49" s="75"/>
      <c r="AE49" s="76"/>
      <c r="AF49" s="74">
        <v>8</v>
      </c>
      <c r="AG49" s="75"/>
      <c r="AH49" s="76"/>
      <c r="AI49" s="86"/>
      <c r="AJ49" s="86"/>
      <c r="AK49" s="86"/>
      <c r="AL49" s="68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69"/>
      <c r="BN49" s="69"/>
      <c r="BO49" s="69"/>
      <c r="BP49" s="70"/>
    </row>
    <row r="50" spans="1:68" s="1" customFormat="1" ht="30.75" customHeight="1">
      <c r="A50" s="80">
        <f t="shared" si="0"/>
        <v>42</v>
      </c>
      <c r="B50" s="81"/>
      <c r="C50" s="82"/>
      <c r="D50" s="71" t="s">
        <v>1279</v>
      </c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3"/>
      <c r="AA50" s="74" t="s">
        <v>429</v>
      </c>
      <c r="AB50" s="75"/>
      <c r="AC50" s="75"/>
      <c r="AD50" s="75"/>
      <c r="AE50" s="76"/>
      <c r="AF50" s="74">
        <v>15</v>
      </c>
      <c r="AG50" s="75"/>
      <c r="AH50" s="76"/>
      <c r="AI50" s="86"/>
      <c r="AJ50" s="86"/>
      <c r="AK50" s="86"/>
      <c r="AL50" s="68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69"/>
      <c r="BN50" s="69"/>
      <c r="BO50" s="69"/>
      <c r="BP50" s="70"/>
    </row>
    <row r="51" spans="1:68" s="1" customFormat="1" ht="30.75" customHeight="1">
      <c r="A51" s="80">
        <f t="shared" si="0"/>
        <v>43</v>
      </c>
      <c r="B51" s="81"/>
      <c r="C51" s="82"/>
      <c r="D51" s="71" t="s">
        <v>1280</v>
      </c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3"/>
      <c r="AA51" s="74" t="s">
        <v>429</v>
      </c>
      <c r="AB51" s="75"/>
      <c r="AC51" s="75"/>
      <c r="AD51" s="75"/>
      <c r="AE51" s="76"/>
      <c r="AF51" s="74">
        <v>15</v>
      </c>
      <c r="AG51" s="75"/>
      <c r="AH51" s="76"/>
      <c r="AI51" s="86"/>
      <c r="AJ51" s="86"/>
      <c r="AK51" s="86"/>
      <c r="AL51" s="68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69"/>
      <c r="BN51" s="69"/>
      <c r="BO51" s="69"/>
      <c r="BP51" s="70"/>
    </row>
    <row r="52" spans="1:68" s="1" customFormat="1" ht="30.75" customHeight="1">
      <c r="A52" s="80">
        <f t="shared" si="0"/>
        <v>44</v>
      </c>
      <c r="B52" s="81"/>
      <c r="C52" s="82"/>
      <c r="D52" s="71" t="s">
        <v>1281</v>
      </c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3"/>
      <c r="AA52" s="74" t="s">
        <v>429</v>
      </c>
      <c r="AB52" s="75"/>
      <c r="AC52" s="75"/>
      <c r="AD52" s="75"/>
      <c r="AE52" s="76"/>
      <c r="AF52" s="74">
        <v>15</v>
      </c>
      <c r="AG52" s="75"/>
      <c r="AH52" s="76"/>
      <c r="AI52" s="86"/>
      <c r="AJ52" s="86"/>
      <c r="AK52" s="86"/>
      <c r="AL52" s="68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69"/>
      <c r="BN52" s="69"/>
      <c r="BO52" s="69"/>
      <c r="BP52" s="70"/>
    </row>
    <row r="53" spans="1:68" s="1" customFormat="1" ht="30.75" customHeight="1">
      <c r="A53" s="74"/>
      <c r="B53" s="75"/>
      <c r="C53" s="76"/>
      <c r="D53" s="71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3"/>
      <c r="AA53" s="74"/>
      <c r="AB53" s="75"/>
      <c r="AC53" s="75"/>
      <c r="AD53" s="75"/>
      <c r="AE53" s="76"/>
      <c r="AF53" s="86"/>
      <c r="AG53" s="86"/>
      <c r="AH53" s="86"/>
      <c r="AI53" s="86"/>
      <c r="AJ53" s="86"/>
      <c r="AK53" s="86"/>
      <c r="AL53" s="68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  <c r="BP53" s="70"/>
    </row>
    <row r="54" spans="1:68" s="1" customFormat="1" ht="30.75" customHeight="1">
      <c r="A54" s="80"/>
      <c r="B54" s="81"/>
      <c r="C54" s="82"/>
      <c r="D54" s="77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9"/>
      <c r="AA54" s="80"/>
      <c r="AB54" s="81"/>
      <c r="AC54" s="81"/>
      <c r="AD54" s="81"/>
      <c r="AE54" s="82"/>
      <c r="AF54" s="87"/>
      <c r="AG54" s="87"/>
      <c r="AH54" s="87"/>
      <c r="AI54" s="87"/>
      <c r="AJ54" s="87"/>
      <c r="AK54" s="87"/>
      <c r="AL54" s="83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5"/>
    </row>
    <row r="55" spans="1:68" s="4" customFormat="1" ht="3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3"/>
      <c r="AG55" s="3"/>
      <c r="AH55" s="3"/>
      <c r="AI55" s="3"/>
      <c r="AJ55" s="3"/>
      <c r="AK55" s="3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</row>
    <row r="56" spans="1:68" s="4" customFormat="1" ht="14.25">
      <c r="A56" s="5" t="s">
        <v>14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15"/>
      <c r="AG56" s="15"/>
      <c r="AH56" s="15"/>
      <c r="AI56" s="15"/>
      <c r="AJ56" s="15"/>
      <c r="AK56" s="15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6"/>
    </row>
    <row r="57" spans="1:68" s="4" customFormat="1" ht="20.25" customHeight="1">
      <c r="A57" s="5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6"/>
    </row>
    <row r="58" spans="1:68" s="4" customFormat="1" ht="20.25" customHeight="1">
      <c r="A58" s="5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6"/>
    </row>
    <row r="59" spans="1:68" s="4" customFormat="1" ht="20.25" customHeight="1">
      <c r="A59" s="5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6"/>
    </row>
    <row r="60" spans="1:68" s="4" customFormat="1" ht="20.25" customHeight="1">
      <c r="A60" s="5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6"/>
    </row>
    <row r="61" spans="1:68" s="4" customFormat="1" ht="20.25" customHeight="1">
      <c r="A61" s="7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9"/>
    </row>
    <row r="62" spans="1:68" ht="5.25" customHeight="1"/>
  </sheetData>
  <mergeCells count="301">
    <mergeCell ref="A52:C52"/>
    <mergeCell ref="D52:Z52"/>
    <mergeCell ref="AA52:AE52"/>
    <mergeCell ref="AF52:AH52"/>
    <mergeCell ref="AI52:AK52"/>
    <mergeCell ref="AL52:BP52"/>
    <mergeCell ref="A50:C50"/>
    <mergeCell ref="D50:Z50"/>
    <mergeCell ref="AA50:AE50"/>
    <mergeCell ref="AF50:AH50"/>
    <mergeCell ref="AI50:AK50"/>
    <mergeCell ref="AL50:BP50"/>
    <mergeCell ref="A51:C51"/>
    <mergeCell ref="D51:Z51"/>
    <mergeCell ref="AA51:AE51"/>
    <mergeCell ref="AF51:AH51"/>
    <mergeCell ref="AI51:AK51"/>
    <mergeCell ref="AL51:BP51"/>
    <mergeCell ref="A48:C48"/>
    <mergeCell ref="D48:Z48"/>
    <mergeCell ref="AA48:AE48"/>
    <mergeCell ref="AF48:AH48"/>
    <mergeCell ref="AI48:AK48"/>
    <mergeCell ref="AL48:BP48"/>
    <mergeCell ref="A49:C49"/>
    <mergeCell ref="D49:Z49"/>
    <mergeCell ref="AA49:AE49"/>
    <mergeCell ref="AF49:AH49"/>
    <mergeCell ref="AI49:AK49"/>
    <mergeCell ref="AL49:BP49"/>
    <mergeCell ref="A46:C46"/>
    <mergeCell ref="D46:Z46"/>
    <mergeCell ref="AA46:AE46"/>
    <mergeCell ref="AF46:AH46"/>
    <mergeCell ref="AI46:AK46"/>
    <mergeCell ref="AL46:BP46"/>
    <mergeCell ref="A47:C47"/>
    <mergeCell ref="D47:Z47"/>
    <mergeCell ref="AA47:AE47"/>
    <mergeCell ref="AF47:AH47"/>
    <mergeCell ref="AI47:AK47"/>
    <mergeCell ref="AL47:BP47"/>
    <mergeCell ref="A44:C44"/>
    <mergeCell ref="D44:Z44"/>
    <mergeCell ref="AA44:AE44"/>
    <mergeCell ref="AF44:AH44"/>
    <mergeCell ref="AI44:AK44"/>
    <mergeCell ref="AL44:BP44"/>
    <mergeCell ref="A45:C45"/>
    <mergeCell ref="D45:Z45"/>
    <mergeCell ref="AA45:AE45"/>
    <mergeCell ref="AF45:AH45"/>
    <mergeCell ref="AI45:AK45"/>
    <mergeCell ref="AL45:BP45"/>
    <mergeCell ref="A42:C42"/>
    <mergeCell ref="D42:Z42"/>
    <mergeCell ref="AA42:AE42"/>
    <mergeCell ref="AF42:AH42"/>
    <mergeCell ref="AI42:AK42"/>
    <mergeCell ref="AL42:BP42"/>
    <mergeCell ref="A43:C43"/>
    <mergeCell ref="D43:Z43"/>
    <mergeCell ref="AA43:AE43"/>
    <mergeCell ref="AF43:AH43"/>
    <mergeCell ref="AI43:AK43"/>
    <mergeCell ref="AL43:BP43"/>
    <mergeCell ref="A40:C40"/>
    <mergeCell ref="D40:Z40"/>
    <mergeCell ref="AA40:AE40"/>
    <mergeCell ref="AF40:AH40"/>
    <mergeCell ref="AI40:AK40"/>
    <mergeCell ref="AL40:BP40"/>
    <mergeCell ref="A41:C41"/>
    <mergeCell ref="D41:Z41"/>
    <mergeCell ref="AA41:AE41"/>
    <mergeCell ref="AF41:AH41"/>
    <mergeCell ref="AI41:AK41"/>
    <mergeCell ref="AL41:BP41"/>
    <mergeCell ref="A38:C38"/>
    <mergeCell ref="D38:Z38"/>
    <mergeCell ref="AA38:AE38"/>
    <mergeCell ref="AF38:AH38"/>
    <mergeCell ref="AI38:AK38"/>
    <mergeCell ref="AL38:BP38"/>
    <mergeCell ref="A39:C39"/>
    <mergeCell ref="D39:Z39"/>
    <mergeCell ref="AA39:AE39"/>
    <mergeCell ref="AF39:AH39"/>
    <mergeCell ref="AI39:AK39"/>
    <mergeCell ref="AL39:BP39"/>
    <mergeCell ref="A36:C36"/>
    <mergeCell ref="D36:Z36"/>
    <mergeCell ref="AA36:AE36"/>
    <mergeCell ref="AF36:AH36"/>
    <mergeCell ref="AI36:AK36"/>
    <mergeCell ref="AL36:BP36"/>
    <mergeCell ref="A37:C37"/>
    <mergeCell ref="D37:Z37"/>
    <mergeCell ref="AA37:AE37"/>
    <mergeCell ref="AF37:AH37"/>
    <mergeCell ref="AI37:AK37"/>
    <mergeCell ref="AL37:BP37"/>
    <mergeCell ref="A34:C34"/>
    <mergeCell ref="D34:Z34"/>
    <mergeCell ref="AA34:AE34"/>
    <mergeCell ref="AF34:AH34"/>
    <mergeCell ref="AI34:AK34"/>
    <mergeCell ref="AL34:BP34"/>
    <mergeCell ref="A35:C35"/>
    <mergeCell ref="D35:Z35"/>
    <mergeCell ref="AA35:AE35"/>
    <mergeCell ref="AF35:AH35"/>
    <mergeCell ref="AI35:AK35"/>
    <mergeCell ref="AL35:BP35"/>
    <mergeCell ref="A32:C32"/>
    <mergeCell ref="D32:Z32"/>
    <mergeCell ref="AA32:AE32"/>
    <mergeCell ref="AF32:AH32"/>
    <mergeCell ref="AI32:AK32"/>
    <mergeCell ref="AL32:BP32"/>
    <mergeCell ref="A33:C33"/>
    <mergeCell ref="D33:Z33"/>
    <mergeCell ref="AA33:AE33"/>
    <mergeCell ref="AF33:AH33"/>
    <mergeCell ref="AI33:AK33"/>
    <mergeCell ref="AL33:BP33"/>
    <mergeCell ref="A30:C30"/>
    <mergeCell ref="D30:Z30"/>
    <mergeCell ref="AA30:AE30"/>
    <mergeCell ref="AF30:AH30"/>
    <mergeCell ref="AI30:AK30"/>
    <mergeCell ref="AL30:BP30"/>
    <mergeCell ref="A31:C31"/>
    <mergeCell ref="D31:Z31"/>
    <mergeCell ref="AA31:AE31"/>
    <mergeCell ref="AF31:AH31"/>
    <mergeCell ref="AI31:AK31"/>
    <mergeCell ref="AL31:BP31"/>
    <mergeCell ref="A28:C28"/>
    <mergeCell ref="D28:Z28"/>
    <mergeCell ref="AA28:AE28"/>
    <mergeCell ref="AF28:AH28"/>
    <mergeCell ref="AI28:AK28"/>
    <mergeCell ref="AL28:BP28"/>
    <mergeCell ref="A29:C29"/>
    <mergeCell ref="D29:Z29"/>
    <mergeCell ref="AA29:AE29"/>
    <mergeCell ref="AF29:AH29"/>
    <mergeCell ref="AI29:AK29"/>
    <mergeCell ref="AL29:BP29"/>
    <mergeCell ref="A26:C26"/>
    <mergeCell ref="D26:Z26"/>
    <mergeCell ref="AA26:AE26"/>
    <mergeCell ref="AF26:AH26"/>
    <mergeCell ref="AI26:AK26"/>
    <mergeCell ref="AL26:BP26"/>
    <mergeCell ref="A27:C27"/>
    <mergeCell ref="D27:Z27"/>
    <mergeCell ref="AA27:AE27"/>
    <mergeCell ref="AF27:AH27"/>
    <mergeCell ref="AI27:AK27"/>
    <mergeCell ref="AL27:BP27"/>
    <mergeCell ref="A24:C24"/>
    <mergeCell ref="D24:Z24"/>
    <mergeCell ref="AA24:AE24"/>
    <mergeCell ref="AF24:AH24"/>
    <mergeCell ref="AI24:AK24"/>
    <mergeCell ref="AL24:BP24"/>
    <mergeCell ref="A25:C25"/>
    <mergeCell ref="D25:Z25"/>
    <mergeCell ref="AA25:AE25"/>
    <mergeCell ref="AF25:AH25"/>
    <mergeCell ref="AI25:AK25"/>
    <mergeCell ref="AL25:BP25"/>
    <mergeCell ref="A22:C22"/>
    <mergeCell ref="D22:Z22"/>
    <mergeCell ref="AA22:AE22"/>
    <mergeCell ref="AF22:AH22"/>
    <mergeCell ref="AI22:AK22"/>
    <mergeCell ref="AL22:BP22"/>
    <mergeCell ref="A23:C23"/>
    <mergeCell ref="D23:Z23"/>
    <mergeCell ref="AA23:AE23"/>
    <mergeCell ref="AF23:AH23"/>
    <mergeCell ref="AI23:AK23"/>
    <mergeCell ref="AL23:BP23"/>
    <mergeCell ref="A20:C20"/>
    <mergeCell ref="D20:Z20"/>
    <mergeCell ref="AA20:AE20"/>
    <mergeCell ref="AF20:AH20"/>
    <mergeCell ref="AI20:AK20"/>
    <mergeCell ref="AL20:BP20"/>
    <mergeCell ref="A21:C21"/>
    <mergeCell ref="D21:Z21"/>
    <mergeCell ref="AA21:AE21"/>
    <mergeCell ref="AF21:AH21"/>
    <mergeCell ref="AI21:AK21"/>
    <mergeCell ref="AL21:BP21"/>
    <mergeCell ref="A18:C18"/>
    <mergeCell ref="D18:Z18"/>
    <mergeCell ref="AA18:AE18"/>
    <mergeCell ref="AF18:AH18"/>
    <mergeCell ref="AI18:AK18"/>
    <mergeCell ref="AL18:BP18"/>
    <mergeCell ref="A19:C19"/>
    <mergeCell ref="D19:Z19"/>
    <mergeCell ref="AA19:AE19"/>
    <mergeCell ref="AF19:AH19"/>
    <mergeCell ref="AI19:AK19"/>
    <mergeCell ref="AL19:BP19"/>
    <mergeCell ref="A16:C16"/>
    <mergeCell ref="D16:Z16"/>
    <mergeCell ref="AA16:AE16"/>
    <mergeCell ref="AF16:AH16"/>
    <mergeCell ref="AI16:AK16"/>
    <mergeCell ref="AL16:BP16"/>
    <mergeCell ref="A17:C17"/>
    <mergeCell ref="D17:Z17"/>
    <mergeCell ref="AA17:AE17"/>
    <mergeCell ref="AF17:AH17"/>
    <mergeCell ref="AI17:AK17"/>
    <mergeCell ref="AL17:BP17"/>
    <mergeCell ref="A14:C14"/>
    <mergeCell ref="D14:Z14"/>
    <mergeCell ref="AA14:AE14"/>
    <mergeCell ref="AF14:AH14"/>
    <mergeCell ref="AI14:AK14"/>
    <mergeCell ref="AL14:BP14"/>
    <mergeCell ref="A15:C15"/>
    <mergeCell ref="D15:Z15"/>
    <mergeCell ref="AA15:AE15"/>
    <mergeCell ref="AF15:AH15"/>
    <mergeCell ref="AI15:AK15"/>
    <mergeCell ref="AL15:BP15"/>
    <mergeCell ref="A12:C12"/>
    <mergeCell ref="D12:Z12"/>
    <mergeCell ref="AA12:AE12"/>
    <mergeCell ref="AF12:AH12"/>
    <mergeCell ref="AI12:AK12"/>
    <mergeCell ref="AL12:BP12"/>
    <mergeCell ref="A13:C13"/>
    <mergeCell ref="D13:Z13"/>
    <mergeCell ref="AA13:AE13"/>
    <mergeCell ref="AF13:AH13"/>
    <mergeCell ref="AI13:AK13"/>
    <mergeCell ref="AL13:BP13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8:C8"/>
    <mergeCell ref="D8:Z8"/>
    <mergeCell ref="AA8:AE8"/>
    <mergeCell ref="AF8:AH8"/>
    <mergeCell ref="AI8:AK8"/>
    <mergeCell ref="AL8:BP8"/>
    <mergeCell ref="A9:C9"/>
    <mergeCell ref="D9:Z9"/>
    <mergeCell ref="AA9:AE9"/>
    <mergeCell ref="AF9:AH9"/>
    <mergeCell ref="AI9:AK9"/>
    <mergeCell ref="AL9:BP9"/>
    <mergeCell ref="A10:C10"/>
    <mergeCell ref="D10:Z10"/>
    <mergeCell ref="AA10:AE10"/>
    <mergeCell ref="AF10:AH10"/>
    <mergeCell ref="AI10:AK10"/>
    <mergeCell ref="AL10:BP10"/>
    <mergeCell ref="A54:C54"/>
    <mergeCell ref="D54:Z54"/>
    <mergeCell ref="AA54:AE54"/>
    <mergeCell ref="AF54:AH54"/>
    <mergeCell ref="AI54:AK54"/>
    <mergeCell ref="AL54:BP54"/>
    <mergeCell ref="A53:C53"/>
    <mergeCell ref="D53:Z53"/>
    <mergeCell ref="AA53:AE53"/>
    <mergeCell ref="AF53:AH53"/>
    <mergeCell ref="AI53:AK53"/>
    <mergeCell ref="AL53:BP53"/>
    <mergeCell ref="A11:C11"/>
    <mergeCell ref="D11:Z11"/>
    <mergeCell ref="AA11:AE11"/>
    <mergeCell ref="AF11:AH11"/>
    <mergeCell ref="AI11:AK11"/>
    <mergeCell ref="AL11:BP11"/>
  </mergeCells>
  <phoneticPr fontId="3"/>
  <dataValidations count="1">
    <dataValidation type="list" allowBlank="1" showInputMessage="1" showErrorMessage="1" sqref="BJ6:BP6" xr:uid="{D61015A8-0FC6-40AF-BC2C-B3172442D94C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29115-A05E-449D-A3A6-90025EFA9E68}">
  <dimension ref="A1:BR25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1" width="2.125" style="55"/>
    <col min="32" max="32" width="2.875" style="55" bestFit="1" customWidth="1"/>
    <col min="33" max="38" width="2.125" style="55"/>
    <col min="39" max="44" width="0" style="55" hidden="1" customWidth="1"/>
    <col min="45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144" t="s">
        <v>198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143" t="s">
        <v>1393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1425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17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117">
        <f t="shared" ref="A9:A14" si="0">ROW()-8</f>
        <v>1</v>
      </c>
      <c r="B9" s="118"/>
      <c r="C9" s="119"/>
      <c r="D9" s="71" t="s">
        <v>1394</v>
      </c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3"/>
      <c r="AA9" s="74" t="s">
        <v>429</v>
      </c>
      <c r="AB9" s="75"/>
      <c r="AC9" s="75"/>
      <c r="AD9" s="75"/>
      <c r="AE9" s="76"/>
      <c r="AF9" s="117">
        <v>6</v>
      </c>
      <c r="AG9" s="118"/>
      <c r="AH9" s="119"/>
      <c r="AI9" s="117"/>
      <c r="AJ9" s="118"/>
      <c r="AK9" s="119"/>
      <c r="AL9" s="120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2"/>
    </row>
    <row r="10" spans="1:70" s="1" customFormat="1" ht="30.75" customHeight="1">
      <c r="A10" s="74">
        <f t="shared" si="0"/>
        <v>2</v>
      </c>
      <c r="B10" s="75"/>
      <c r="C10" s="76"/>
      <c r="D10" s="71" t="s">
        <v>1395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  <c r="AA10" s="74" t="s">
        <v>428</v>
      </c>
      <c r="AB10" s="75"/>
      <c r="AC10" s="75"/>
      <c r="AD10" s="75"/>
      <c r="AE10" s="76"/>
      <c r="AF10" s="74">
        <v>2</v>
      </c>
      <c r="AG10" s="75"/>
      <c r="AH10" s="76"/>
      <c r="AI10" s="74"/>
      <c r="AJ10" s="75"/>
      <c r="AK10" s="76"/>
      <c r="AL10" s="68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74">
        <f t="shared" si="0"/>
        <v>3</v>
      </c>
      <c r="B11" s="75"/>
      <c r="C11" s="76"/>
      <c r="D11" s="71" t="s">
        <v>1396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3"/>
      <c r="AA11" s="74" t="s">
        <v>428</v>
      </c>
      <c r="AB11" s="75"/>
      <c r="AC11" s="75"/>
      <c r="AD11" s="75"/>
      <c r="AE11" s="76"/>
      <c r="AF11" s="74">
        <v>4</v>
      </c>
      <c r="AG11" s="75"/>
      <c r="AH11" s="76"/>
      <c r="AI11" s="74"/>
      <c r="AJ11" s="75"/>
      <c r="AK11" s="76"/>
      <c r="AL11" s="68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70"/>
    </row>
    <row r="12" spans="1:70" s="1" customFormat="1" ht="30.75" customHeight="1">
      <c r="A12" s="74">
        <f t="shared" si="0"/>
        <v>4</v>
      </c>
      <c r="B12" s="75"/>
      <c r="C12" s="76"/>
      <c r="D12" s="71" t="s">
        <v>1397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3"/>
      <c r="AA12" s="74" t="s">
        <v>428</v>
      </c>
      <c r="AB12" s="75"/>
      <c r="AC12" s="75"/>
      <c r="AD12" s="75"/>
      <c r="AE12" s="76"/>
      <c r="AF12" s="74">
        <v>4</v>
      </c>
      <c r="AG12" s="75"/>
      <c r="AH12" s="76"/>
      <c r="AI12" s="74"/>
      <c r="AJ12" s="75"/>
      <c r="AK12" s="76"/>
      <c r="AL12" s="68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70"/>
    </row>
    <row r="13" spans="1:70" s="1" customFormat="1" ht="30.75" customHeight="1">
      <c r="A13" s="74">
        <f t="shared" si="0"/>
        <v>5</v>
      </c>
      <c r="B13" s="75"/>
      <c r="C13" s="76"/>
      <c r="D13" s="71" t="s">
        <v>1398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3"/>
      <c r="AA13" s="74" t="s">
        <v>428</v>
      </c>
      <c r="AB13" s="75"/>
      <c r="AC13" s="75"/>
      <c r="AD13" s="75"/>
      <c r="AE13" s="76"/>
      <c r="AF13" s="74">
        <v>4</v>
      </c>
      <c r="AG13" s="75"/>
      <c r="AH13" s="76"/>
      <c r="AI13" s="74"/>
      <c r="AJ13" s="75"/>
      <c r="AK13" s="76"/>
      <c r="AL13" s="68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70"/>
    </row>
    <row r="14" spans="1:70" s="1" customFormat="1" ht="30.75" customHeight="1">
      <c r="A14" s="74">
        <f t="shared" si="0"/>
        <v>6</v>
      </c>
      <c r="B14" s="75"/>
      <c r="C14" s="76"/>
      <c r="D14" s="71" t="s">
        <v>1399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3"/>
      <c r="AA14" s="74" t="s">
        <v>428</v>
      </c>
      <c r="AB14" s="75"/>
      <c r="AC14" s="75"/>
      <c r="AD14" s="75"/>
      <c r="AE14" s="76"/>
      <c r="AF14" s="74">
        <v>4</v>
      </c>
      <c r="AG14" s="75"/>
      <c r="AH14" s="76"/>
      <c r="AI14" s="74"/>
      <c r="AJ14" s="75"/>
      <c r="AK14" s="76"/>
      <c r="AL14" s="68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70"/>
    </row>
    <row r="15" spans="1:70" s="1" customFormat="1" ht="30.75" customHeight="1">
      <c r="A15" s="74"/>
      <c r="B15" s="75"/>
      <c r="C15" s="76"/>
      <c r="D15" s="71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3"/>
      <c r="AA15" s="74"/>
      <c r="AB15" s="75"/>
      <c r="AC15" s="75"/>
      <c r="AD15" s="75"/>
      <c r="AE15" s="76"/>
      <c r="AF15" s="74"/>
      <c r="AG15" s="75"/>
      <c r="AH15" s="76"/>
      <c r="AI15" s="74"/>
      <c r="AJ15" s="75"/>
      <c r="AK15" s="76"/>
      <c r="AL15" s="68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70"/>
    </row>
    <row r="16" spans="1:70" s="1" customFormat="1" ht="30.75" customHeight="1">
      <c r="A16" s="74"/>
      <c r="B16" s="75"/>
      <c r="C16" s="76"/>
      <c r="D16" s="71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3"/>
      <c r="AA16" s="74"/>
      <c r="AB16" s="75"/>
      <c r="AC16" s="75"/>
      <c r="AD16" s="75"/>
      <c r="AE16" s="76"/>
      <c r="AF16" s="86"/>
      <c r="AG16" s="86"/>
      <c r="AH16" s="86"/>
      <c r="AI16" s="86"/>
      <c r="AJ16" s="86"/>
      <c r="AK16" s="86"/>
      <c r="AL16" s="68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70"/>
    </row>
    <row r="17" spans="1:68" s="1" customFormat="1" ht="30.75" customHeight="1">
      <c r="A17" s="80"/>
      <c r="B17" s="81"/>
      <c r="C17" s="82"/>
      <c r="D17" s="77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9"/>
      <c r="AA17" s="80"/>
      <c r="AB17" s="81"/>
      <c r="AC17" s="81"/>
      <c r="AD17" s="81"/>
      <c r="AE17" s="82"/>
      <c r="AF17" s="87"/>
      <c r="AG17" s="87"/>
      <c r="AH17" s="87"/>
      <c r="AI17" s="87"/>
      <c r="AJ17" s="87"/>
      <c r="AK17" s="87"/>
      <c r="AL17" s="83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5"/>
    </row>
    <row r="18" spans="1:68" s="4" customFormat="1" ht="3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3"/>
      <c r="AG18" s="3"/>
      <c r="AH18" s="3"/>
      <c r="AI18" s="3"/>
      <c r="AJ18" s="3"/>
      <c r="AK18" s="3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</row>
    <row r="19" spans="1:68" s="4" customFormat="1" ht="14.25">
      <c r="A19" s="5" t="s">
        <v>14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15"/>
      <c r="AG19" s="15"/>
      <c r="AH19" s="15"/>
      <c r="AI19" s="15"/>
      <c r="AJ19" s="15"/>
      <c r="AK19" s="15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6"/>
    </row>
    <row r="20" spans="1:68" s="4" customFormat="1" ht="20.25" customHeight="1">
      <c r="A20" s="5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6"/>
    </row>
    <row r="21" spans="1:68" s="4" customFormat="1" ht="20.25" customHeight="1">
      <c r="A21" s="5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6"/>
    </row>
    <row r="22" spans="1:68" s="4" customFormat="1" ht="20.25" customHeight="1">
      <c r="A22" s="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6"/>
    </row>
    <row r="23" spans="1:68" s="4" customFormat="1" ht="20.25" customHeight="1">
      <c r="A23" s="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6"/>
    </row>
    <row r="24" spans="1:68" s="4" customFormat="1" ht="20.25" customHeight="1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9"/>
    </row>
    <row r="25" spans="1:68" ht="5.25" customHeight="1"/>
  </sheetData>
  <mergeCells count="79">
    <mergeCell ref="AL17:BP17"/>
    <mergeCell ref="A16:C16"/>
    <mergeCell ref="D16:Z16"/>
    <mergeCell ref="AA16:AE16"/>
    <mergeCell ref="AF16:AH16"/>
    <mergeCell ref="AI16:AK16"/>
    <mergeCell ref="AL16:BP16"/>
    <mergeCell ref="A17:C17"/>
    <mergeCell ref="D17:Z17"/>
    <mergeCell ref="AA17:AE17"/>
    <mergeCell ref="AF17:AH17"/>
    <mergeCell ref="AI17:AK17"/>
    <mergeCell ref="AL15:BP15"/>
    <mergeCell ref="A14:C14"/>
    <mergeCell ref="D14:Z14"/>
    <mergeCell ref="AA14:AE14"/>
    <mergeCell ref="AF14:AH14"/>
    <mergeCell ref="AI14:AK14"/>
    <mergeCell ref="AL14:BP14"/>
    <mergeCell ref="A15:C15"/>
    <mergeCell ref="D15:Z15"/>
    <mergeCell ref="AA15:AE15"/>
    <mergeCell ref="AF15:AH15"/>
    <mergeCell ref="AI15:AK15"/>
    <mergeCell ref="AL13:BP13"/>
    <mergeCell ref="A12:C12"/>
    <mergeCell ref="D12:Z12"/>
    <mergeCell ref="AA12:AE12"/>
    <mergeCell ref="AF12:AH12"/>
    <mergeCell ref="AI12:AK12"/>
    <mergeCell ref="AL12:BP12"/>
    <mergeCell ref="A13:C13"/>
    <mergeCell ref="D13:Z13"/>
    <mergeCell ref="AA13:AE13"/>
    <mergeCell ref="AF13:AH13"/>
    <mergeCell ref="AI13:AK13"/>
    <mergeCell ref="AL11:BP11"/>
    <mergeCell ref="A10:C10"/>
    <mergeCell ref="D10:Z10"/>
    <mergeCell ref="AA10:AE10"/>
    <mergeCell ref="AF10:AH10"/>
    <mergeCell ref="AI10:AK10"/>
    <mergeCell ref="AL10:BP10"/>
    <mergeCell ref="A11:C11"/>
    <mergeCell ref="D11:Z11"/>
    <mergeCell ref="AA11:AE11"/>
    <mergeCell ref="AF11:AH11"/>
    <mergeCell ref="AI11:AK11"/>
    <mergeCell ref="AL9:BP9"/>
    <mergeCell ref="A8:C8"/>
    <mergeCell ref="D8:Z8"/>
    <mergeCell ref="AA8:AE8"/>
    <mergeCell ref="AF8:AH8"/>
    <mergeCell ref="AI8:AK8"/>
    <mergeCell ref="AL8:BP8"/>
    <mergeCell ref="A9:C9"/>
    <mergeCell ref="D9:Z9"/>
    <mergeCell ref="AA9:AE9"/>
    <mergeCell ref="AF9:AH9"/>
    <mergeCell ref="AI9:AK9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3:G3"/>
    <mergeCell ref="H3:BA3"/>
    <mergeCell ref="BB3:BE3"/>
    <mergeCell ref="BF3:BP3"/>
    <mergeCell ref="A2:BA2"/>
    <mergeCell ref="BB2:BE2"/>
    <mergeCell ref="BF2:BI2"/>
    <mergeCell ref="BJ2:BM2"/>
    <mergeCell ref="BN2:BP2"/>
  </mergeCells>
  <phoneticPr fontId="3"/>
  <dataValidations count="1">
    <dataValidation type="list" allowBlank="1" showInputMessage="1" showErrorMessage="1" sqref="BJ6:BP6" xr:uid="{57046100-F4F9-4352-8230-6E94C2AF762F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A3D2A-7EBF-4C5B-9E94-3FF7596B5BFC}">
  <sheetPr codeName="Sheet29"/>
  <dimension ref="A1:BR154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8" width="2.125" style="55"/>
    <col min="39" max="44" width="0" style="55" hidden="1" customWidth="1"/>
    <col min="45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144" t="s">
        <v>198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95" t="s">
        <v>623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209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125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117">
        <f t="shared" ref="A9:A75" si="0">ROW()-8</f>
        <v>1</v>
      </c>
      <c r="B9" s="118"/>
      <c r="C9" s="119"/>
      <c r="D9" s="114" t="s">
        <v>421</v>
      </c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6"/>
      <c r="AA9" s="117" t="s">
        <v>348</v>
      </c>
      <c r="AB9" s="118"/>
      <c r="AC9" s="118"/>
      <c r="AD9" s="118"/>
      <c r="AE9" s="119"/>
      <c r="AF9" s="117"/>
      <c r="AG9" s="118"/>
      <c r="AH9" s="119"/>
      <c r="AI9" s="117"/>
      <c r="AJ9" s="118"/>
      <c r="AK9" s="119"/>
      <c r="AL9" s="68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70"/>
    </row>
    <row r="10" spans="1:70" s="1" customFormat="1" ht="30.75" customHeight="1">
      <c r="A10" s="74">
        <f t="shared" si="0"/>
        <v>2</v>
      </c>
      <c r="B10" s="75"/>
      <c r="C10" s="76"/>
      <c r="D10" s="71" t="s">
        <v>422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  <c r="AA10" s="74" t="s">
        <v>280</v>
      </c>
      <c r="AB10" s="75"/>
      <c r="AC10" s="75"/>
      <c r="AD10" s="75"/>
      <c r="AE10" s="76"/>
      <c r="AF10" s="74">
        <v>5</v>
      </c>
      <c r="AG10" s="75"/>
      <c r="AH10" s="76"/>
      <c r="AI10" s="74"/>
      <c r="AJ10" s="75"/>
      <c r="AK10" s="76"/>
      <c r="AL10" s="68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74">
        <f t="shared" si="0"/>
        <v>3</v>
      </c>
      <c r="B11" s="75"/>
      <c r="C11" s="76"/>
      <c r="D11" s="71" t="s">
        <v>438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3"/>
      <c r="AA11" s="74" t="s">
        <v>280</v>
      </c>
      <c r="AB11" s="75"/>
      <c r="AC11" s="75"/>
      <c r="AD11" s="75"/>
      <c r="AE11" s="76"/>
      <c r="AF11" s="74">
        <v>8</v>
      </c>
      <c r="AG11" s="75"/>
      <c r="AH11" s="76"/>
      <c r="AI11" s="74"/>
      <c r="AJ11" s="75"/>
      <c r="AK11" s="76"/>
      <c r="AL11" s="68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70"/>
    </row>
    <row r="12" spans="1:70" s="1" customFormat="1" ht="30.75" customHeight="1">
      <c r="A12" s="74">
        <f t="shared" si="0"/>
        <v>4</v>
      </c>
      <c r="B12" s="75"/>
      <c r="C12" s="76"/>
      <c r="D12" s="71" t="s">
        <v>423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3"/>
      <c r="AA12" s="74" t="s">
        <v>280</v>
      </c>
      <c r="AB12" s="75"/>
      <c r="AC12" s="75"/>
      <c r="AD12" s="75"/>
      <c r="AE12" s="76"/>
      <c r="AF12" s="74">
        <v>8</v>
      </c>
      <c r="AG12" s="75"/>
      <c r="AH12" s="76"/>
      <c r="AI12" s="74"/>
      <c r="AJ12" s="75"/>
      <c r="AK12" s="76"/>
      <c r="AL12" s="68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70"/>
    </row>
    <row r="13" spans="1:70" s="1" customFormat="1" ht="30.75" customHeight="1">
      <c r="A13" s="74">
        <f t="shared" si="0"/>
        <v>5</v>
      </c>
      <c r="B13" s="75"/>
      <c r="C13" s="76"/>
      <c r="D13" s="71" t="s">
        <v>440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3"/>
      <c r="AA13" s="74" t="s">
        <v>19</v>
      </c>
      <c r="AB13" s="75"/>
      <c r="AC13" s="75"/>
      <c r="AD13" s="75"/>
      <c r="AE13" s="76"/>
      <c r="AF13" s="86">
        <v>2</v>
      </c>
      <c r="AG13" s="86"/>
      <c r="AH13" s="86"/>
      <c r="AI13" s="86"/>
      <c r="AJ13" s="86"/>
      <c r="AK13" s="86"/>
      <c r="AL13" s="68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70"/>
    </row>
    <row r="14" spans="1:70" s="1" customFormat="1" ht="30.75" customHeight="1">
      <c r="A14" s="74">
        <f t="shared" si="0"/>
        <v>6</v>
      </c>
      <c r="B14" s="75"/>
      <c r="C14" s="76"/>
      <c r="D14" s="71" t="s">
        <v>441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3"/>
      <c r="AA14" s="74" t="s">
        <v>475</v>
      </c>
      <c r="AB14" s="75"/>
      <c r="AC14" s="75"/>
      <c r="AD14" s="75"/>
      <c r="AE14" s="76"/>
      <c r="AF14" s="74">
        <v>10</v>
      </c>
      <c r="AG14" s="75"/>
      <c r="AH14" s="76"/>
      <c r="AI14" s="74"/>
      <c r="AJ14" s="75"/>
      <c r="AK14" s="76"/>
      <c r="AL14" s="68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70"/>
    </row>
    <row r="15" spans="1:70" s="1" customFormat="1" ht="30.75" customHeight="1">
      <c r="A15" s="74">
        <f t="shared" si="0"/>
        <v>7</v>
      </c>
      <c r="B15" s="75"/>
      <c r="C15" s="76"/>
      <c r="D15" s="71" t="s">
        <v>442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3"/>
      <c r="AA15" s="74" t="s">
        <v>280</v>
      </c>
      <c r="AB15" s="75"/>
      <c r="AC15" s="75"/>
      <c r="AD15" s="75"/>
      <c r="AE15" s="76"/>
      <c r="AF15" s="74">
        <v>2</v>
      </c>
      <c r="AG15" s="75"/>
      <c r="AH15" s="76"/>
      <c r="AI15" s="74"/>
      <c r="AJ15" s="75"/>
      <c r="AK15" s="76"/>
      <c r="AL15" s="68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70"/>
    </row>
    <row r="16" spans="1:70" s="1" customFormat="1" ht="30.75" customHeight="1">
      <c r="A16" s="74">
        <f t="shared" si="0"/>
        <v>8</v>
      </c>
      <c r="B16" s="75"/>
      <c r="C16" s="76"/>
      <c r="D16" s="71" t="s">
        <v>443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3"/>
      <c r="AA16" s="74" t="s">
        <v>475</v>
      </c>
      <c r="AB16" s="75"/>
      <c r="AC16" s="75"/>
      <c r="AD16" s="75"/>
      <c r="AE16" s="76"/>
      <c r="AF16" s="74">
        <v>15</v>
      </c>
      <c r="AG16" s="75"/>
      <c r="AH16" s="76"/>
      <c r="AI16" s="74"/>
      <c r="AJ16" s="75"/>
      <c r="AK16" s="76"/>
      <c r="AL16" s="68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70"/>
    </row>
    <row r="17" spans="1:68" s="1" customFormat="1" ht="30.75" customHeight="1">
      <c r="A17" s="74">
        <f t="shared" si="0"/>
        <v>9</v>
      </c>
      <c r="B17" s="75"/>
      <c r="C17" s="76"/>
      <c r="D17" s="71" t="s">
        <v>444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3"/>
      <c r="AA17" s="74" t="s">
        <v>280</v>
      </c>
      <c r="AB17" s="75"/>
      <c r="AC17" s="75"/>
      <c r="AD17" s="75"/>
      <c r="AE17" s="76"/>
      <c r="AF17" s="74">
        <v>4</v>
      </c>
      <c r="AG17" s="75"/>
      <c r="AH17" s="76"/>
      <c r="AI17" s="74"/>
      <c r="AJ17" s="75"/>
      <c r="AK17" s="76"/>
      <c r="AL17" s="68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70"/>
    </row>
    <row r="18" spans="1:68" s="1" customFormat="1" ht="30.75" customHeight="1">
      <c r="A18" s="74">
        <f t="shared" si="0"/>
        <v>10</v>
      </c>
      <c r="B18" s="75"/>
      <c r="C18" s="76"/>
      <c r="D18" s="71" t="s">
        <v>445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3"/>
      <c r="AA18" s="74" t="s">
        <v>475</v>
      </c>
      <c r="AB18" s="75"/>
      <c r="AC18" s="75"/>
      <c r="AD18" s="75"/>
      <c r="AE18" s="76"/>
      <c r="AF18" s="74">
        <v>15</v>
      </c>
      <c r="AG18" s="75"/>
      <c r="AH18" s="76"/>
      <c r="AI18" s="74"/>
      <c r="AJ18" s="75"/>
      <c r="AK18" s="76"/>
      <c r="AL18" s="68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70"/>
    </row>
    <row r="19" spans="1:68" s="1" customFormat="1" ht="30.75" customHeight="1">
      <c r="A19" s="74">
        <f t="shared" si="0"/>
        <v>11</v>
      </c>
      <c r="B19" s="75"/>
      <c r="C19" s="76"/>
      <c r="D19" s="71" t="s">
        <v>446</v>
      </c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3"/>
      <c r="AA19" s="74" t="s">
        <v>280</v>
      </c>
      <c r="AB19" s="75"/>
      <c r="AC19" s="75"/>
      <c r="AD19" s="75"/>
      <c r="AE19" s="76"/>
      <c r="AF19" s="74">
        <v>8</v>
      </c>
      <c r="AG19" s="75"/>
      <c r="AH19" s="76"/>
      <c r="AI19" s="74"/>
      <c r="AJ19" s="75"/>
      <c r="AK19" s="76"/>
      <c r="AL19" s="68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70"/>
    </row>
    <row r="20" spans="1:68" s="1" customFormat="1" ht="30.75" customHeight="1">
      <c r="A20" s="74">
        <f t="shared" si="0"/>
        <v>12</v>
      </c>
      <c r="B20" s="75"/>
      <c r="C20" s="76"/>
      <c r="D20" s="71" t="s">
        <v>447</v>
      </c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3"/>
      <c r="AA20" s="74" t="s">
        <v>348</v>
      </c>
      <c r="AB20" s="75"/>
      <c r="AC20" s="75"/>
      <c r="AD20" s="75"/>
      <c r="AE20" s="76"/>
      <c r="AF20" s="74"/>
      <c r="AG20" s="75"/>
      <c r="AH20" s="76"/>
      <c r="AI20" s="74"/>
      <c r="AJ20" s="75"/>
      <c r="AK20" s="76"/>
      <c r="AL20" s="68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70"/>
    </row>
    <row r="21" spans="1:68" s="1" customFormat="1" ht="30.75" customHeight="1">
      <c r="A21" s="74">
        <f t="shared" si="0"/>
        <v>13</v>
      </c>
      <c r="B21" s="75"/>
      <c r="C21" s="76"/>
      <c r="D21" s="71" t="s">
        <v>448</v>
      </c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3"/>
      <c r="AA21" s="74" t="s">
        <v>475</v>
      </c>
      <c r="AB21" s="75"/>
      <c r="AC21" s="75"/>
      <c r="AD21" s="75"/>
      <c r="AE21" s="76"/>
      <c r="AF21" s="86">
        <v>20</v>
      </c>
      <c r="AG21" s="86"/>
      <c r="AH21" s="86"/>
      <c r="AI21" s="86"/>
      <c r="AJ21" s="86"/>
      <c r="AK21" s="86"/>
      <c r="AL21" s="68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70"/>
    </row>
    <row r="22" spans="1:68" s="1" customFormat="1" ht="30.75" customHeight="1">
      <c r="A22" s="74">
        <f t="shared" si="0"/>
        <v>14</v>
      </c>
      <c r="B22" s="75"/>
      <c r="C22" s="76"/>
      <c r="D22" s="71" t="s">
        <v>449</v>
      </c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3"/>
      <c r="AA22" s="74" t="s">
        <v>475</v>
      </c>
      <c r="AB22" s="75"/>
      <c r="AC22" s="75"/>
      <c r="AD22" s="75"/>
      <c r="AE22" s="76"/>
      <c r="AF22" s="86">
        <v>4</v>
      </c>
      <c r="AG22" s="86"/>
      <c r="AH22" s="86"/>
      <c r="AI22" s="86"/>
      <c r="AJ22" s="86"/>
      <c r="AK22" s="86"/>
      <c r="AL22" s="68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70"/>
    </row>
    <row r="23" spans="1:68" s="1" customFormat="1" ht="30.75" customHeight="1">
      <c r="A23" s="74">
        <f t="shared" si="0"/>
        <v>15</v>
      </c>
      <c r="B23" s="75"/>
      <c r="C23" s="76"/>
      <c r="D23" s="71" t="s">
        <v>450</v>
      </c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3"/>
      <c r="AA23" s="74" t="s">
        <v>280</v>
      </c>
      <c r="AB23" s="75"/>
      <c r="AC23" s="75"/>
      <c r="AD23" s="75"/>
      <c r="AE23" s="76"/>
      <c r="AF23" s="86">
        <v>6</v>
      </c>
      <c r="AG23" s="86"/>
      <c r="AH23" s="86"/>
      <c r="AI23" s="86"/>
      <c r="AJ23" s="86"/>
      <c r="AK23" s="86"/>
      <c r="AL23" s="68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70"/>
    </row>
    <row r="24" spans="1:68" s="1" customFormat="1" ht="30.75" customHeight="1">
      <c r="A24" s="74">
        <f t="shared" si="0"/>
        <v>16</v>
      </c>
      <c r="B24" s="75"/>
      <c r="C24" s="76"/>
      <c r="D24" s="71" t="s">
        <v>451</v>
      </c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3"/>
      <c r="AA24" s="74" t="s">
        <v>280</v>
      </c>
      <c r="AB24" s="75"/>
      <c r="AC24" s="75"/>
      <c r="AD24" s="75"/>
      <c r="AE24" s="76"/>
      <c r="AF24" s="86">
        <v>4</v>
      </c>
      <c r="AG24" s="86"/>
      <c r="AH24" s="86"/>
      <c r="AI24" s="86"/>
      <c r="AJ24" s="86"/>
      <c r="AK24" s="86"/>
      <c r="AL24" s="68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70"/>
    </row>
    <row r="25" spans="1:68" s="1" customFormat="1" ht="30.75" customHeight="1">
      <c r="A25" s="74">
        <f t="shared" si="0"/>
        <v>17</v>
      </c>
      <c r="B25" s="75"/>
      <c r="C25" s="76"/>
      <c r="D25" s="71" t="s">
        <v>1368</v>
      </c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3"/>
      <c r="AA25" s="74" t="s">
        <v>475</v>
      </c>
      <c r="AB25" s="75"/>
      <c r="AC25" s="75"/>
      <c r="AD25" s="75"/>
      <c r="AE25" s="76"/>
      <c r="AF25" s="86">
        <v>6</v>
      </c>
      <c r="AG25" s="86"/>
      <c r="AH25" s="86"/>
      <c r="AI25" s="86"/>
      <c r="AJ25" s="86"/>
      <c r="AK25" s="86"/>
      <c r="AL25" s="68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70"/>
    </row>
    <row r="26" spans="1:68" s="1" customFormat="1" ht="30.75" customHeight="1">
      <c r="A26" s="74">
        <f t="shared" si="0"/>
        <v>18</v>
      </c>
      <c r="B26" s="75"/>
      <c r="C26" s="76"/>
      <c r="D26" s="71" t="s">
        <v>452</v>
      </c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3"/>
      <c r="AA26" s="74" t="s">
        <v>475</v>
      </c>
      <c r="AB26" s="75"/>
      <c r="AC26" s="75"/>
      <c r="AD26" s="75"/>
      <c r="AE26" s="76"/>
      <c r="AF26" s="86">
        <v>1</v>
      </c>
      <c r="AG26" s="86"/>
      <c r="AH26" s="86"/>
      <c r="AI26" s="86"/>
      <c r="AJ26" s="86"/>
      <c r="AK26" s="86"/>
      <c r="AL26" s="68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70"/>
    </row>
    <row r="27" spans="1:68" s="1" customFormat="1" ht="30.75" customHeight="1">
      <c r="A27" s="74">
        <f t="shared" si="0"/>
        <v>19</v>
      </c>
      <c r="B27" s="75"/>
      <c r="C27" s="76"/>
      <c r="D27" s="71" t="s">
        <v>453</v>
      </c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3"/>
      <c r="AA27" s="74" t="s">
        <v>280</v>
      </c>
      <c r="AB27" s="75"/>
      <c r="AC27" s="75"/>
      <c r="AD27" s="75"/>
      <c r="AE27" s="76"/>
      <c r="AF27" s="86" t="s">
        <v>1444</v>
      </c>
      <c r="AG27" s="86"/>
      <c r="AH27" s="86"/>
      <c r="AI27" s="86"/>
      <c r="AJ27" s="86"/>
      <c r="AK27" s="86"/>
      <c r="AL27" s="68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70"/>
    </row>
    <row r="28" spans="1:68" s="1" customFormat="1" ht="30.75" customHeight="1">
      <c r="A28" s="74">
        <f t="shared" si="0"/>
        <v>20</v>
      </c>
      <c r="B28" s="75"/>
      <c r="C28" s="76"/>
      <c r="D28" s="71" t="s">
        <v>454</v>
      </c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3"/>
      <c r="AA28" s="74" t="s">
        <v>280</v>
      </c>
      <c r="AB28" s="75"/>
      <c r="AC28" s="75"/>
      <c r="AD28" s="75"/>
      <c r="AE28" s="76"/>
      <c r="AF28" s="86">
        <v>14</v>
      </c>
      <c r="AG28" s="86"/>
      <c r="AH28" s="86"/>
      <c r="AI28" s="86"/>
      <c r="AJ28" s="86"/>
      <c r="AK28" s="86"/>
      <c r="AL28" s="68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70"/>
    </row>
    <row r="29" spans="1:68" s="1" customFormat="1" ht="30.75" customHeight="1">
      <c r="A29" s="74">
        <f t="shared" si="0"/>
        <v>21</v>
      </c>
      <c r="B29" s="75"/>
      <c r="C29" s="76"/>
      <c r="D29" s="71" t="s">
        <v>1040</v>
      </c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3"/>
      <c r="AA29" s="74" t="s">
        <v>280</v>
      </c>
      <c r="AB29" s="75"/>
      <c r="AC29" s="75"/>
      <c r="AD29" s="75"/>
      <c r="AE29" s="76"/>
      <c r="AF29" s="86" t="s">
        <v>1444</v>
      </c>
      <c r="AG29" s="86"/>
      <c r="AH29" s="86"/>
      <c r="AI29" s="86"/>
      <c r="AJ29" s="86"/>
      <c r="AK29" s="86"/>
      <c r="AL29" s="68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70"/>
    </row>
    <row r="30" spans="1:68" s="1" customFormat="1" ht="30.75" customHeight="1">
      <c r="A30" s="74">
        <f t="shared" si="0"/>
        <v>22</v>
      </c>
      <c r="B30" s="75"/>
      <c r="C30" s="76"/>
      <c r="D30" s="71" t="s">
        <v>455</v>
      </c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3"/>
      <c r="AA30" s="74" t="s">
        <v>280</v>
      </c>
      <c r="AB30" s="75"/>
      <c r="AC30" s="75"/>
      <c r="AD30" s="75"/>
      <c r="AE30" s="76"/>
      <c r="AF30" s="86">
        <v>14</v>
      </c>
      <c r="AG30" s="86"/>
      <c r="AH30" s="86"/>
      <c r="AI30" s="86"/>
      <c r="AJ30" s="86"/>
      <c r="AK30" s="86"/>
      <c r="AL30" s="68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70"/>
    </row>
    <row r="31" spans="1:68" s="1" customFormat="1" ht="30.75" customHeight="1">
      <c r="A31" s="74">
        <f t="shared" si="0"/>
        <v>23</v>
      </c>
      <c r="B31" s="75"/>
      <c r="C31" s="76"/>
      <c r="D31" s="71" t="s">
        <v>456</v>
      </c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3"/>
      <c r="AA31" s="74" t="s">
        <v>280</v>
      </c>
      <c r="AB31" s="75"/>
      <c r="AC31" s="75"/>
      <c r="AD31" s="75"/>
      <c r="AE31" s="76"/>
      <c r="AF31" s="86">
        <v>14</v>
      </c>
      <c r="AG31" s="86"/>
      <c r="AH31" s="86"/>
      <c r="AI31" s="86"/>
      <c r="AJ31" s="86"/>
      <c r="AK31" s="86"/>
      <c r="AL31" s="68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70"/>
    </row>
    <row r="32" spans="1:68" s="1" customFormat="1" ht="30.75" customHeight="1">
      <c r="A32" s="74">
        <f t="shared" si="0"/>
        <v>24</v>
      </c>
      <c r="B32" s="75"/>
      <c r="C32" s="76"/>
      <c r="D32" s="71" t="s">
        <v>457</v>
      </c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3"/>
      <c r="AA32" s="74" t="s">
        <v>280</v>
      </c>
      <c r="AB32" s="75"/>
      <c r="AC32" s="75"/>
      <c r="AD32" s="75"/>
      <c r="AE32" s="76"/>
      <c r="AF32" s="86" t="s">
        <v>1444</v>
      </c>
      <c r="AG32" s="86"/>
      <c r="AH32" s="86"/>
      <c r="AI32" s="86"/>
      <c r="AJ32" s="86"/>
      <c r="AK32" s="86"/>
      <c r="AL32" s="68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70"/>
    </row>
    <row r="33" spans="1:68" s="1" customFormat="1" ht="30.75" customHeight="1">
      <c r="A33" s="74">
        <f t="shared" si="0"/>
        <v>25</v>
      </c>
      <c r="B33" s="75"/>
      <c r="C33" s="76"/>
      <c r="D33" s="71" t="s">
        <v>458</v>
      </c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3"/>
      <c r="AA33" s="74" t="s">
        <v>280</v>
      </c>
      <c r="AB33" s="75"/>
      <c r="AC33" s="75"/>
      <c r="AD33" s="75"/>
      <c r="AE33" s="76"/>
      <c r="AF33" s="86">
        <v>14</v>
      </c>
      <c r="AG33" s="86"/>
      <c r="AH33" s="86"/>
      <c r="AI33" s="86"/>
      <c r="AJ33" s="86"/>
      <c r="AK33" s="86"/>
      <c r="AL33" s="68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70"/>
    </row>
    <row r="34" spans="1:68" s="1" customFormat="1" ht="30.75" customHeight="1">
      <c r="A34" s="74">
        <f t="shared" si="0"/>
        <v>26</v>
      </c>
      <c r="B34" s="75"/>
      <c r="C34" s="76"/>
      <c r="D34" s="71" t="s">
        <v>1041</v>
      </c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3"/>
      <c r="AA34" s="74" t="s">
        <v>280</v>
      </c>
      <c r="AB34" s="75"/>
      <c r="AC34" s="75"/>
      <c r="AD34" s="75"/>
      <c r="AE34" s="76"/>
      <c r="AF34" s="86" t="s">
        <v>1444</v>
      </c>
      <c r="AG34" s="86"/>
      <c r="AH34" s="86"/>
      <c r="AI34" s="86"/>
      <c r="AJ34" s="86"/>
      <c r="AK34" s="86"/>
      <c r="AL34" s="68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70"/>
    </row>
    <row r="35" spans="1:68" s="1" customFormat="1" ht="30.75" customHeight="1">
      <c r="A35" s="74">
        <f t="shared" si="0"/>
        <v>27</v>
      </c>
      <c r="B35" s="75"/>
      <c r="C35" s="76"/>
      <c r="D35" s="71" t="s">
        <v>459</v>
      </c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3"/>
      <c r="AA35" s="74" t="s">
        <v>280</v>
      </c>
      <c r="AB35" s="75"/>
      <c r="AC35" s="75"/>
      <c r="AD35" s="75"/>
      <c r="AE35" s="76"/>
      <c r="AF35" s="86">
        <v>14</v>
      </c>
      <c r="AG35" s="86"/>
      <c r="AH35" s="86"/>
      <c r="AI35" s="86"/>
      <c r="AJ35" s="86"/>
      <c r="AK35" s="86"/>
      <c r="AL35" s="68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70"/>
    </row>
    <row r="36" spans="1:68" s="1" customFormat="1" ht="30.75" customHeight="1">
      <c r="A36" s="74">
        <f t="shared" si="0"/>
        <v>28</v>
      </c>
      <c r="B36" s="75"/>
      <c r="C36" s="76"/>
      <c r="D36" s="71" t="s">
        <v>460</v>
      </c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3"/>
      <c r="AA36" s="74" t="s">
        <v>280</v>
      </c>
      <c r="AB36" s="75"/>
      <c r="AC36" s="75"/>
      <c r="AD36" s="75"/>
      <c r="AE36" s="76"/>
      <c r="AF36" s="86">
        <v>14</v>
      </c>
      <c r="AG36" s="86"/>
      <c r="AH36" s="86"/>
      <c r="AI36" s="86"/>
      <c r="AJ36" s="86"/>
      <c r="AK36" s="86"/>
      <c r="AL36" s="68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70"/>
    </row>
    <row r="37" spans="1:68" s="1" customFormat="1" ht="30.75" customHeight="1">
      <c r="A37" s="74">
        <f t="shared" si="0"/>
        <v>29</v>
      </c>
      <c r="B37" s="75"/>
      <c r="C37" s="76"/>
      <c r="D37" s="71" t="s">
        <v>461</v>
      </c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3"/>
      <c r="AA37" s="74" t="s">
        <v>280</v>
      </c>
      <c r="AB37" s="75"/>
      <c r="AC37" s="75"/>
      <c r="AD37" s="75"/>
      <c r="AE37" s="76"/>
      <c r="AF37" s="86" t="s">
        <v>1444</v>
      </c>
      <c r="AG37" s="86"/>
      <c r="AH37" s="86"/>
      <c r="AI37" s="86"/>
      <c r="AJ37" s="86"/>
      <c r="AK37" s="86"/>
      <c r="AL37" s="68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70"/>
    </row>
    <row r="38" spans="1:68" s="1" customFormat="1" ht="30.75" customHeight="1">
      <c r="A38" s="74">
        <f t="shared" si="0"/>
        <v>30</v>
      </c>
      <c r="B38" s="75"/>
      <c r="C38" s="76"/>
      <c r="D38" s="71" t="s">
        <v>462</v>
      </c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3"/>
      <c r="AA38" s="74" t="s">
        <v>280</v>
      </c>
      <c r="AB38" s="75"/>
      <c r="AC38" s="75"/>
      <c r="AD38" s="75"/>
      <c r="AE38" s="76"/>
      <c r="AF38" s="86">
        <v>14</v>
      </c>
      <c r="AG38" s="86"/>
      <c r="AH38" s="86"/>
      <c r="AI38" s="74"/>
      <c r="AJ38" s="75"/>
      <c r="AK38" s="76"/>
      <c r="AL38" s="68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70"/>
    </row>
    <row r="39" spans="1:68" s="1" customFormat="1" ht="30.75" customHeight="1">
      <c r="A39" s="74">
        <f t="shared" si="0"/>
        <v>31</v>
      </c>
      <c r="B39" s="75"/>
      <c r="C39" s="76"/>
      <c r="D39" s="71" t="s">
        <v>1042</v>
      </c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3"/>
      <c r="AA39" s="74" t="s">
        <v>280</v>
      </c>
      <c r="AB39" s="75"/>
      <c r="AC39" s="75"/>
      <c r="AD39" s="75"/>
      <c r="AE39" s="76"/>
      <c r="AF39" s="86" t="s">
        <v>1444</v>
      </c>
      <c r="AG39" s="86"/>
      <c r="AH39" s="86"/>
      <c r="AI39" s="86"/>
      <c r="AJ39" s="86"/>
      <c r="AK39" s="86"/>
      <c r="AL39" s="68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70"/>
    </row>
    <row r="40" spans="1:68" s="1" customFormat="1" ht="30.75" customHeight="1">
      <c r="A40" s="74">
        <f t="shared" si="0"/>
        <v>32</v>
      </c>
      <c r="B40" s="75"/>
      <c r="C40" s="76"/>
      <c r="D40" s="71" t="s">
        <v>463</v>
      </c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3"/>
      <c r="AA40" s="74" t="s">
        <v>280</v>
      </c>
      <c r="AB40" s="75"/>
      <c r="AC40" s="75"/>
      <c r="AD40" s="75"/>
      <c r="AE40" s="76"/>
      <c r="AF40" s="86">
        <v>14</v>
      </c>
      <c r="AG40" s="86"/>
      <c r="AH40" s="86"/>
      <c r="AI40" s="74"/>
      <c r="AJ40" s="75"/>
      <c r="AK40" s="76"/>
      <c r="AL40" s="68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70"/>
    </row>
    <row r="41" spans="1:68" s="1" customFormat="1" ht="30.75" customHeight="1">
      <c r="A41" s="74">
        <f t="shared" si="0"/>
        <v>33</v>
      </c>
      <c r="B41" s="75"/>
      <c r="C41" s="76"/>
      <c r="D41" s="71" t="s">
        <v>464</v>
      </c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3"/>
      <c r="AA41" s="74" t="s">
        <v>280</v>
      </c>
      <c r="AB41" s="75"/>
      <c r="AC41" s="75"/>
      <c r="AD41" s="75"/>
      <c r="AE41" s="76"/>
      <c r="AF41" s="86">
        <v>14</v>
      </c>
      <c r="AG41" s="86"/>
      <c r="AH41" s="86"/>
      <c r="AI41" s="74"/>
      <c r="AJ41" s="75"/>
      <c r="AK41" s="76"/>
      <c r="AL41" s="83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5"/>
    </row>
    <row r="42" spans="1:68" s="1" customFormat="1" ht="30.75" customHeight="1">
      <c r="A42" s="74">
        <f t="shared" si="0"/>
        <v>34</v>
      </c>
      <c r="B42" s="75"/>
      <c r="C42" s="76"/>
      <c r="D42" s="71" t="s">
        <v>465</v>
      </c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3"/>
      <c r="AA42" s="74" t="s">
        <v>280</v>
      </c>
      <c r="AB42" s="75"/>
      <c r="AC42" s="75"/>
      <c r="AD42" s="75"/>
      <c r="AE42" s="76"/>
      <c r="AF42" s="74">
        <v>14</v>
      </c>
      <c r="AG42" s="75"/>
      <c r="AH42" s="76"/>
      <c r="AI42" s="74"/>
      <c r="AJ42" s="75"/>
      <c r="AK42" s="76"/>
      <c r="AL42" s="68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70"/>
    </row>
    <row r="43" spans="1:68" s="1" customFormat="1" ht="30.75" customHeight="1">
      <c r="A43" s="74">
        <f t="shared" si="0"/>
        <v>35</v>
      </c>
      <c r="B43" s="75"/>
      <c r="C43" s="76"/>
      <c r="D43" s="71" t="s">
        <v>466</v>
      </c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3"/>
      <c r="AA43" s="74" t="s">
        <v>280</v>
      </c>
      <c r="AB43" s="75"/>
      <c r="AC43" s="75"/>
      <c r="AD43" s="75"/>
      <c r="AE43" s="76"/>
      <c r="AF43" s="141">
        <v>14</v>
      </c>
      <c r="AG43" s="141"/>
      <c r="AH43" s="141"/>
      <c r="AI43" s="141"/>
      <c r="AJ43" s="141"/>
      <c r="AK43" s="141"/>
      <c r="AL43" s="234"/>
      <c r="AM43" s="235"/>
      <c r="AN43" s="235"/>
      <c r="AO43" s="235"/>
      <c r="AP43" s="235"/>
      <c r="AQ43" s="235"/>
      <c r="AR43" s="235"/>
      <c r="AS43" s="235"/>
      <c r="AT43" s="235"/>
      <c r="AU43" s="235"/>
      <c r="AV43" s="235"/>
      <c r="AW43" s="235"/>
      <c r="AX43" s="235"/>
      <c r="AY43" s="235"/>
      <c r="AZ43" s="235"/>
      <c r="BA43" s="235"/>
      <c r="BB43" s="235"/>
      <c r="BC43" s="235"/>
      <c r="BD43" s="235"/>
      <c r="BE43" s="235"/>
      <c r="BF43" s="235"/>
      <c r="BG43" s="235"/>
      <c r="BH43" s="235"/>
      <c r="BI43" s="235"/>
      <c r="BJ43" s="235"/>
      <c r="BK43" s="235"/>
      <c r="BL43" s="235"/>
      <c r="BM43" s="235"/>
      <c r="BN43" s="235"/>
      <c r="BO43" s="235"/>
      <c r="BP43" s="236"/>
    </row>
    <row r="44" spans="1:68" s="1" customFormat="1" ht="30.75" customHeight="1">
      <c r="A44" s="74">
        <f t="shared" si="0"/>
        <v>36</v>
      </c>
      <c r="B44" s="75"/>
      <c r="C44" s="76"/>
      <c r="D44" s="71" t="s">
        <v>467</v>
      </c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3"/>
      <c r="AA44" s="74" t="s">
        <v>280</v>
      </c>
      <c r="AB44" s="75"/>
      <c r="AC44" s="75"/>
      <c r="AD44" s="75"/>
      <c r="AE44" s="76"/>
      <c r="AF44" s="141">
        <v>14</v>
      </c>
      <c r="AG44" s="141"/>
      <c r="AH44" s="141"/>
      <c r="AI44" s="141"/>
      <c r="AJ44" s="141"/>
      <c r="AK44" s="141"/>
      <c r="AL44" s="68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  <c r="BM44" s="69"/>
      <c r="BN44" s="69"/>
      <c r="BO44" s="69"/>
      <c r="BP44" s="70"/>
    </row>
    <row r="45" spans="1:68" s="1" customFormat="1" ht="30.75" customHeight="1">
      <c r="A45" s="74">
        <f t="shared" si="0"/>
        <v>37</v>
      </c>
      <c r="B45" s="75"/>
      <c r="C45" s="76"/>
      <c r="D45" s="71" t="s">
        <v>468</v>
      </c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3"/>
      <c r="AA45" s="74" t="s">
        <v>280</v>
      </c>
      <c r="AB45" s="75"/>
      <c r="AC45" s="75"/>
      <c r="AD45" s="75"/>
      <c r="AE45" s="76"/>
      <c r="AF45" s="86">
        <v>14</v>
      </c>
      <c r="AG45" s="86"/>
      <c r="AH45" s="86"/>
      <c r="AI45" s="86"/>
      <c r="AJ45" s="86"/>
      <c r="AK45" s="86"/>
      <c r="AL45" s="68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  <c r="BP45" s="70"/>
    </row>
    <row r="46" spans="1:68" s="1" customFormat="1" ht="30.75" customHeight="1">
      <c r="A46" s="74">
        <f t="shared" si="0"/>
        <v>38</v>
      </c>
      <c r="B46" s="75"/>
      <c r="C46" s="76"/>
      <c r="D46" s="71" t="s">
        <v>1312</v>
      </c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3"/>
      <c r="AA46" s="74" t="s">
        <v>280</v>
      </c>
      <c r="AB46" s="75"/>
      <c r="AC46" s="75"/>
      <c r="AD46" s="75"/>
      <c r="AE46" s="76"/>
      <c r="AF46" s="86">
        <v>8</v>
      </c>
      <c r="AG46" s="86"/>
      <c r="AH46" s="86"/>
      <c r="AI46" s="86"/>
      <c r="AJ46" s="86"/>
      <c r="AK46" s="86"/>
      <c r="AL46" s="68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  <c r="BM46" s="69"/>
      <c r="BN46" s="69"/>
      <c r="BO46" s="69"/>
      <c r="BP46" s="70"/>
    </row>
    <row r="47" spans="1:68" s="1" customFormat="1" ht="30.75" customHeight="1">
      <c r="A47" s="74">
        <f t="shared" si="0"/>
        <v>39</v>
      </c>
      <c r="B47" s="75"/>
      <c r="C47" s="76"/>
      <c r="D47" s="71" t="s">
        <v>469</v>
      </c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3"/>
      <c r="AA47" s="74" t="s">
        <v>280</v>
      </c>
      <c r="AB47" s="75"/>
      <c r="AC47" s="75"/>
      <c r="AD47" s="75"/>
      <c r="AE47" s="76"/>
      <c r="AF47" s="74" t="s">
        <v>1504</v>
      </c>
      <c r="AG47" s="75"/>
      <c r="AH47" s="76"/>
      <c r="AI47" s="74"/>
      <c r="AJ47" s="75"/>
      <c r="AK47" s="76"/>
      <c r="AL47" s="68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  <c r="BP47" s="70"/>
    </row>
    <row r="48" spans="1:68" s="1" customFormat="1" ht="30.75" customHeight="1">
      <c r="A48" s="74">
        <f t="shared" si="0"/>
        <v>40</v>
      </c>
      <c r="B48" s="75"/>
      <c r="C48" s="76"/>
      <c r="D48" s="71" t="s">
        <v>470</v>
      </c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3"/>
      <c r="AA48" s="74" t="s">
        <v>348</v>
      </c>
      <c r="AB48" s="75"/>
      <c r="AC48" s="75"/>
      <c r="AD48" s="75"/>
      <c r="AE48" s="76"/>
      <c r="AF48" s="74"/>
      <c r="AG48" s="75"/>
      <c r="AH48" s="76"/>
      <c r="AI48" s="74"/>
      <c r="AJ48" s="75"/>
      <c r="AK48" s="76"/>
      <c r="AL48" s="68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69"/>
      <c r="BN48" s="69"/>
      <c r="BO48" s="69"/>
      <c r="BP48" s="70"/>
    </row>
    <row r="49" spans="1:68" s="1" customFormat="1" ht="30.75" customHeight="1">
      <c r="A49" s="74">
        <f t="shared" si="0"/>
        <v>41</v>
      </c>
      <c r="B49" s="75"/>
      <c r="C49" s="76"/>
      <c r="D49" s="71" t="s">
        <v>448</v>
      </c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3"/>
      <c r="AA49" s="74" t="s">
        <v>475</v>
      </c>
      <c r="AB49" s="75"/>
      <c r="AC49" s="75"/>
      <c r="AD49" s="75"/>
      <c r="AE49" s="76"/>
      <c r="AF49" s="74">
        <v>20</v>
      </c>
      <c r="AG49" s="75"/>
      <c r="AH49" s="76"/>
      <c r="AI49" s="74"/>
      <c r="AJ49" s="75"/>
      <c r="AK49" s="76"/>
      <c r="AL49" s="68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69"/>
      <c r="BN49" s="69"/>
      <c r="BO49" s="69"/>
      <c r="BP49" s="70"/>
    </row>
    <row r="50" spans="1:68" s="1" customFormat="1" ht="30.75" customHeight="1">
      <c r="A50" s="74">
        <f t="shared" si="0"/>
        <v>42</v>
      </c>
      <c r="B50" s="75"/>
      <c r="C50" s="76"/>
      <c r="D50" s="71" t="s">
        <v>450</v>
      </c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3"/>
      <c r="AA50" s="74" t="s">
        <v>280</v>
      </c>
      <c r="AB50" s="75"/>
      <c r="AC50" s="75"/>
      <c r="AD50" s="75"/>
      <c r="AE50" s="76"/>
      <c r="AF50" s="74">
        <v>6</v>
      </c>
      <c r="AG50" s="75"/>
      <c r="AH50" s="76"/>
      <c r="AI50" s="74"/>
      <c r="AJ50" s="75"/>
      <c r="AK50" s="76"/>
      <c r="AL50" s="68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69"/>
      <c r="BN50" s="69"/>
      <c r="BO50" s="69"/>
      <c r="BP50" s="70"/>
    </row>
    <row r="51" spans="1:68" s="1" customFormat="1" ht="30.75" customHeight="1">
      <c r="A51" s="74">
        <f t="shared" si="0"/>
        <v>43</v>
      </c>
      <c r="B51" s="75"/>
      <c r="C51" s="76"/>
      <c r="D51" s="71" t="s">
        <v>451</v>
      </c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3"/>
      <c r="AA51" s="74" t="s">
        <v>280</v>
      </c>
      <c r="AB51" s="75"/>
      <c r="AC51" s="75"/>
      <c r="AD51" s="75"/>
      <c r="AE51" s="76"/>
      <c r="AF51" s="74">
        <v>4</v>
      </c>
      <c r="AG51" s="75"/>
      <c r="AH51" s="76"/>
      <c r="AI51" s="74"/>
      <c r="AJ51" s="75"/>
      <c r="AK51" s="76"/>
      <c r="AL51" s="68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69"/>
      <c r="BN51" s="69"/>
      <c r="BO51" s="69"/>
      <c r="BP51" s="70"/>
    </row>
    <row r="52" spans="1:68" s="1" customFormat="1" ht="30.75" customHeight="1">
      <c r="A52" s="74">
        <f t="shared" si="0"/>
        <v>44</v>
      </c>
      <c r="B52" s="75"/>
      <c r="C52" s="76"/>
      <c r="D52" s="71" t="s">
        <v>471</v>
      </c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3"/>
      <c r="AA52" s="74" t="s">
        <v>475</v>
      </c>
      <c r="AB52" s="75"/>
      <c r="AC52" s="75"/>
      <c r="AD52" s="75"/>
      <c r="AE52" s="76"/>
      <c r="AF52" s="74">
        <v>8</v>
      </c>
      <c r="AG52" s="75"/>
      <c r="AH52" s="76"/>
      <c r="AI52" s="74"/>
      <c r="AJ52" s="75"/>
      <c r="AK52" s="76"/>
      <c r="AL52" s="68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69"/>
      <c r="BN52" s="69"/>
      <c r="BO52" s="69"/>
      <c r="BP52" s="70"/>
    </row>
    <row r="53" spans="1:68" s="1" customFormat="1" ht="30.75" customHeight="1">
      <c r="A53" s="74">
        <f t="shared" si="0"/>
        <v>45</v>
      </c>
      <c r="B53" s="75"/>
      <c r="C53" s="76"/>
      <c r="D53" s="71" t="s">
        <v>453</v>
      </c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3"/>
      <c r="AA53" s="74" t="s">
        <v>280</v>
      </c>
      <c r="AB53" s="75"/>
      <c r="AC53" s="75"/>
      <c r="AD53" s="75"/>
      <c r="AE53" s="76"/>
      <c r="AF53" s="86" t="s">
        <v>1444</v>
      </c>
      <c r="AG53" s="86"/>
      <c r="AH53" s="86"/>
      <c r="AI53" s="74"/>
      <c r="AJ53" s="75"/>
      <c r="AK53" s="76"/>
      <c r="AL53" s="68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  <c r="BP53" s="70"/>
    </row>
    <row r="54" spans="1:68" s="1" customFormat="1" ht="30.75" customHeight="1">
      <c r="A54" s="74">
        <f t="shared" si="0"/>
        <v>46</v>
      </c>
      <c r="B54" s="75"/>
      <c r="C54" s="76"/>
      <c r="D54" s="71" t="s">
        <v>454</v>
      </c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3"/>
      <c r="AA54" s="74" t="s">
        <v>280</v>
      </c>
      <c r="AB54" s="75"/>
      <c r="AC54" s="75"/>
      <c r="AD54" s="75"/>
      <c r="AE54" s="76"/>
      <c r="AF54" s="86">
        <v>14</v>
      </c>
      <c r="AG54" s="86"/>
      <c r="AH54" s="86"/>
      <c r="AI54" s="86"/>
      <c r="AJ54" s="86"/>
      <c r="AK54" s="86"/>
      <c r="AL54" s="68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69"/>
      <c r="BN54" s="69"/>
      <c r="BO54" s="69"/>
      <c r="BP54" s="70"/>
    </row>
    <row r="55" spans="1:68" s="1" customFormat="1" ht="30.75" customHeight="1">
      <c r="A55" s="74">
        <f t="shared" si="0"/>
        <v>47</v>
      </c>
      <c r="B55" s="75"/>
      <c r="C55" s="76"/>
      <c r="D55" s="71" t="s">
        <v>1040</v>
      </c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3"/>
      <c r="AA55" s="74" t="s">
        <v>280</v>
      </c>
      <c r="AB55" s="75"/>
      <c r="AC55" s="75"/>
      <c r="AD55" s="75"/>
      <c r="AE55" s="76"/>
      <c r="AF55" s="86" t="s">
        <v>1444</v>
      </c>
      <c r="AG55" s="86"/>
      <c r="AH55" s="86"/>
      <c r="AI55" s="86"/>
      <c r="AJ55" s="86"/>
      <c r="AK55" s="86"/>
      <c r="AL55" s="68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69"/>
      <c r="BN55" s="69"/>
      <c r="BO55" s="69"/>
      <c r="BP55" s="70"/>
    </row>
    <row r="56" spans="1:68" s="1" customFormat="1" ht="30.75" customHeight="1">
      <c r="A56" s="74">
        <f t="shared" si="0"/>
        <v>48</v>
      </c>
      <c r="B56" s="75"/>
      <c r="C56" s="76"/>
      <c r="D56" s="71" t="s">
        <v>455</v>
      </c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3"/>
      <c r="AA56" s="74" t="s">
        <v>280</v>
      </c>
      <c r="AB56" s="75"/>
      <c r="AC56" s="75"/>
      <c r="AD56" s="75"/>
      <c r="AE56" s="76"/>
      <c r="AF56" s="86">
        <v>14</v>
      </c>
      <c r="AG56" s="86"/>
      <c r="AH56" s="86"/>
      <c r="AI56" s="86"/>
      <c r="AJ56" s="86"/>
      <c r="AK56" s="86"/>
      <c r="AL56" s="68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69"/>
      <c r="BN56" s="69"/>
      <c r="BO56" s="69"/>
      <c r="BP56" s="70"/>
    </row>
    <row r="57" spans="1:68" s="1" customFormat="1" ht="30.75" customHeight="1">
      <c r="A57" s="74">
        <f t="shared" si="0"/>
        <v>49</v>
      </c>
      <c r="B57" s="75"/>
      <c r="C57" s="76"/>
      <c r="D57" s="71" t="s">
        <v>456</v>
      </c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3"/>
      <c r="AA57" s="74" t="s">
        <v>280</v>
      </c>
      <c r="AB57" s="75"/>
      <c r="AC57" s="75"/>
      <c r="AD57" s="75"/>
      <c r="AE57" s="76"/>
      <c r="AF57" s="86">
        <v>14</v>
      </c>
      <c r="AG57" s="86"/>
      <c r="AH57" s="86"/>
      <c r="AI57" s="86"/>
      <c r="AJ57" s="86"/>
      <c r="AK57" s="86"/>
      <c r="AL57" s="68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69"/>
      <c r="BN57" s="69"/>
      <c r="BO57" s="69"/>
      <c r="BP57" s="70"/>
    </row>
    <row r="58" spans="1:68" s="1" customFormat="1" ht="30.75" customHeight="1">
      <c r="A58" s="74">
        <f t="shared" si="0"/>
        <v>50</v>
      </c>
      <c r="B58" s="75"/>
      <c r="C58" s="76"/>
      <c r="D58" s="71" t="s">
        <v>457</v>
      </c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3"/>
      <c r="AA58" s="74" t="s">
        <v>280</v>
      </c>
      <c r="AB58" s="75"/>
      <c r="AC58" s="75"/>
      <c r="AD58" s="75"/>
      <c r="AE58" s="76"/>
      <c r="AF58" s="86" t="s">
        <v>1444</v>
      </c>
      <c r="AG58" s="86"/>
      <c r="AH58" s="86"/>
      <c r="AI58" s="86"/>
      <c r="AJ58" s="86"/>
      <c r="AK58" s="86"/>
      <c r="AL58" s="68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  <c r="BP58" s="70"/>
    </row>
    <row r="59" spans="1:68" s="1" customFormat="1" ht="30.75" customHeight="1">
      <c r="A59" s="74">
        <f t="shared" si="0"/>
        <v>51</v>
      </c>
      <c r="B59" s="75"/>
      <c r="C59" s="76"/>
      <c r="D59" s="71" t="s">
        <v>458</v>
      </c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3"/>
      <c r="AA59" s="74" t="s">
        <v>280</v>
      </c>
      <c r="AB59" s="75"/>
      <c r="AC59" s="75"/>
      <c r="AD59" s="75"/>
      <c r="AE59" s="76"/>
      <c r="AF59" s="86">
        <v>14</v>
      </c>
      <c r="AG59" s="86"/>
      <c r="AH59" s="86"/>
      <c r="AI59" s="86"/>
      <c r="AJ59" s="86"/>
      <c r="AK59" s="86"/>
      <c r="AL59" s="68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  <c r="BM59" s="69"/>
      <c r="BN59" s="69"/>
      <c r="BO59" s="69"/>
      <c r="BP59" s="70"/>
    </row>
    <row r="60" spans="1:68" s="1" customFormat="1" ht="30.75" customHeight="1">
      <c r="A60" s="74">
        <f t="shared" si="0"/>
        <v>52</v>
      </c>
      <c r="B60" s="75"/>
      <c r="C60" s="76"/>
      <c r="D60" s="71" t="s">
        <v>1041</v>
      </c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3"/>
      <c r="AA60" s="74" t="s">
        <v>280</v>
      </c>
      <c r="AB60" s="75"/>
      <c r="AC60" s="75"/>
      <c r="AD60" s="75"/>
      <c r="AE60" s="76"/>
      <c r="AF60" s="86" t="s">
        <v>1444</v>
      </c>
      <c r="AG60" s="86"/>
      <c r="AH60" s="86"/>
      <c r="AI60" s="86"/>
      <c r="AJ60" s="86"/>
      <c r="AK60" s="86"/>
      <c r="AL60" s="68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69"/>
      <c r="BN60" s="69"/>
      <c r="BO60" s="69"/>
      <c r="BP60" s="70"/>
    </row>
    <row r="61" spans="1:68" s="1" customFormat="1" ht="30.75" customHeight="1">
      <c r="A61" s="74">
        <f t="shared" si="0"/>
        <v>53</v>
      </c>
      <c r="B61" s="75"/>
      <c r="C61" s="76"/>
      <c r="D61" s="71" t="s">
        <v>459</v>
      </c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3"/>
      <c r="AA61" s="74" t="s">
        <v>280</v>
      </c>
      <c r="AB61" s="75"/>
      <c r="AC61" s="75"/>
      <c r="AD61" s="75"/>
      <c r="AE61" s="76"/>
      <c r="AF61" s="86">
        <v>14</v>
      </c>
      <c r="AG61" s="86"/>
      <c r="AH61" s="86"/>
      <c r="AI61" s="86"/>
      <c r="AJ61" s="86"/>
      <c r="AK61" s="86"/>
      <c r="AL61" s="68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69"/>
      <c r="BN61" s="69"/>
      <c r="BO61" s="69"/>
      <c r="BP61" s="70"/>
    </row>
    <row r="62" spans="1:68" s="1" customFormat="1" ht="30.75" customHeight="1">
      <c r="A62" s="74">
        <f t="shared" si="0"/>
        <v>54</v>
      </c>
      <c r="B62" s="75"/>
      <c r="C62" s="76"/>
      <c r="D62" s="71" t="s">
        <v>460</v>
      </c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3"/>
      <c r="AA62" s="74" t="s">
        <v>280</v>
      </c>
      <c r="AB62" s="75"/>
      <c r="AC62" s="75"/>
      <c r="AD62" s="75"/>
      <c r="AE62" s="76"/>
      <c r="AF62" s="86">
        <v>14</v>
      </c>
      <c r="AG62" s="86"/>
      <c r="AH62" s="86"/>
      <c r="AI62" s="86"/>
      <c r="AJ62" s="86"/>
      <c r="AK62" s="86"/>
      <c r="AL62" s="68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9"/>
      <c r="BF62" s="69"/>
      <c r="BG62" s="69"/>
      <c r="BH62" s="69"/>
      <c r="BI62" s="69"/>
      <c r="BJ62" s="69"/>
      <c r="BK62" s="69"/>
      <c r="BL62" s="69"/>
      <c r="BM62" s="69"/>
      <c r="BN62" s="69"/>
      <c r="BO62" s="69"/>
      <c r="BP62" s="70"/>
    </row>
    <row r="63" spans="1:68" s="1" customFormat="1" ht="30.75" customHeight="1">
      <c r="A63" s="74">
        <f t="shared" si="0"/>
        <v>55</v>
      </c>
      <c r="B63" s="75"/>
      <c r="C63" s="76"/>
      <c r="D63" s="71" t="s">
        <v>461</v>
      </c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3"/>
      <c r="AA63" s="74" t="s">
        <v>280</v>
      </c>
      <c r="AB63" s="75"/>
      <c r="AC63" s="75"/>
      <c r="AD63" s="75"/>
      <c r="AE63" s="76"/>
      <c r="AF63" s="86" t="s">
        <v>1444</v>
      </c>
      <c r="AG63" s="86"/>
      <c r="AH63" s="86"/>
      <c r="AI63" s="86"/>
      <c r="AJ63" s="86"/>
      <c r="AK63" s="86"/>
      <c r="AL63" s="68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  <c r="BM63" s="69"/>
      <c r="BN63" s="69"/>
      <c r="BO63" s="69"/>
      <c r="BP63" s="70"/>
    </row>
    <row r="64" spans="1:68" s="1" customFormat="1" ht="30.75" customHeight="1">
      <c r="A64" s="74">
        <f t="shared" si="0"/>
        <v>56</v>
      </c>
      <c r="B64" s="75"/>
      <c r="C64" s="76"/>
      <c r="D64" s="71" t="s">
        <v>462</v>
      </c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3"/>
      <c r="AA64" s="74" t="s">
        <v>280</v>
      </c>
      <c r="AB64" s="75"/>
      <c r="AC64" s="75"/>
      <c r="AD64" s="75"/>
      <c r="AE64" s="76"/>
      <c r="AF64" s="86">
        <v>14</v>
      </c>
      <c r="AG64" s="86"/>
      <c r="AH64" s="86"/>
      <c r="AI64" s="86"/>
      <c r="AJ64" s="86"/>
      <c r="AK64" s="86"/>
      <c r="AL64" s="68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69"/>
      <c r="BN64" s="69"/>
      <c r="BO64" s="69"/>
      <c r="BP64" s="70"/>
    </row>
    <row r="65" spans="1:68" s="1" customFormat="1" ht="30.75" customHeight="1">
      <c r="A65" s="74">
        <f t="shared" si="0"/>
        <v>57</v>
      </c>
      <c r="B65" s="75"/>
      <c r="C65" s="76"/>
      <c r="D65" s="71" t="s">
        <v>1042</v>
      </c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3"/>
      <c r="AA65" s="74" t="s">
        <v>280</v>
      </c>
      <c r="AB65" s="75"/>
      <c r="AC65" s="75"/>
      <c r="AD65" s="75"/>
      <c r="AE65" s="76"/>
      <c r="AF65" s="86" t="s">
        <v>1444</v>
      </c>
      <c r="AG65" s="86"/>
      <c r="AH65" s="86"/>
      <c r="AI65" s="86"/>
      <c r="AJ65" s="86"/>
      <c r="AK65" s="86"/>
      <c r="AL65" s="68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69"/>
      <c r="BN65" s="69"/>
      <c r="BO65" s="69"/>
      <c r="BP65" s="70"/>
    </row>
    <row r="66" spans="1:68" s="1" customFormat="1" ht="30.75" customHeight="1">
      <c r="A66" s="74">
        <f t="shared" si="0"/>
        <v>58</v>
      </c>
      <c r="B66" s="75"/>
      <c r="C66" s="76"/>
      <c r="D66" s="71" t="s">
        <v>463</v>
      </c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3"/>
      <c r="AA66" s="74" t="s">
        <v>280</v>
      </c>
      <c r="AB66" s="75"/>
      <c r="AC66" s="75"/>
      <c r="AD66" s="75"/>
      <c r="AE66" s="76"/>
      <c r="AF66" s="86">
        <v>14</v>
      </c>
      <c r="AG66" s="86"/>
      <c r="AH66" s="86"/>
      <c r="AI66" s="86"/>
      <c r="AJ66" s="86"/>
      <c r="AK66" s="86"/>
      <c r="AL66" s="68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  <c r="BM66" s="69"/>
      <c r="BN66" s="69"/>
      <c r="BO66" s="69"/>
      <c r="BP66" s="70"/>
    </row>
    <row r="67" spans="1:68" s="1" customFormat="1" ht="30.75" customHeight="1">
      <c r="A67" s="74">
        <f t="shared" si="0"/>
        <v>59</v>
      </c>
      <c r="B67" s="75"/>
      <c r="C67" s="76"/>
      <c r="D67" s="71" t="s">
        <v>464</v>
      </c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3"/>
      <c r="AA67" s="74" t="s">
        <v>280</v>
      </c>
      <c r="AB67" s="75"/>
      <c r="AC67" s="75"/>
      <c r="AD67" s="75"/>
      <c r="AE67" s="76"/>
      <c r="AF67" s="86">
        <v>14</v>
      </c>
      <c r="AG67" s="86"/>
      <c r="AH67" s="86"/>
      <c r="AI67" s="86"/>
      <c r="AJ67" s="86"/>
      <c r="AK67" s="86"/>
      <c r="AL67" s="68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  <c r="BM67" s="69"/>
      <c r="BN67" s="69"/>
      <c r="BO67" s="69"/>
      <c r="BP67" s="70"/>
    </row>
    <row r="68" spans="1:68" s="1" customFormat="1" ht="30.75" customHeight="1">
      <c r="A68" s="74">
        <f t="shared" si="0"/>
        <v>60</v>
      </c>
      <c r="B68" s="75"/>
      <c r="C68" s="76"/>
      <c r="D68" s="71" t="s">
        <v>465</v>
      </c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3"/>
      <c r="AA68" s="74" t="s">
        <v>280</v>
      </c>
      <c r="AB68" s="75"/>
      <c r="AC68" s="75"/>
      <c r="AD68" s="75"/>
      <c r="AE68" s="76"/>
      <c r="AF68" s="86">
        <v>14</v>
      </c>
      <c r="AG68" s="86"/>
      <c r="AH68" s="86"/>
      <c r="AI68" s="86"/>
      <c r="AJ68" s="86"/>
      <c r="AK68" s="86"/>
      <c r="AL68" s="68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  <c r="BM68" s="69"/>
      <c r="BN68" s="69"/>
      <c r="BO68" s="69"/>
      <c r="BP68" s="70"/>
    </row>
    <row r="69" spans="1:68" s="1" customFormat="1" ht="30.75" customHeight="1">
      <c r="A69" s="74">
        <f t="shared" si="0"/>
        <v>61</v>
      </c>
      <c r="B69" s="75"/>
      <c r="C69" s="76"/>
      <c r="D69" s="71" t="s">
        <v>466</v>
      </c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3"/>
      <c r="AA69" s="74" t="s">
        <v>280</v>
      </c>
      <c r="AB69" s="75"/>
      <c r="AC69" s="75"/>
      <c r="AD69" s="75"/>
      <c r="AE69" s="76"/>
      <c r="AF69" s="86">
        <v>14</v>
      </c>
      <c r="AG69" s="86"/>
      <c r="AH69" s="86"/>
      <c r="AI69" s="86"/>
      <c r="AJ69" s="86"/>
      <c r="AK69" s="86"/>
      <c r="AL69" s="68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69"/>
      <c r="BN69" s="69"/>
      <c r="BO69" s="69"/>
      <c r="BP69" s="70"/>
    </row>
    <row r="70" spans="1:68" s="1" customFormat="1" ht="30.75" customHeight="1">
      <c r="A70" s="74">
        <f t="shared" si="0"/>
        <v>62</v>
      </c>
      <c r="B70" s="75"/>
      <c r="C70" s="76"/>
      <c r="D70" s="71" t="s">
        <v>467</v>
      </c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3"/>
      <c r="AA70" s="74" t="s">
        <v>280</v>
      </c>
      <c r="AB70" s="75"/>
      <c r="AC70" s="75"/>
      <c r="AD70" s="75"/>
      <c r="AE70" s="76"/>
      <c r="AF70" s="86">
        <v>14</v>
      </c>
      <c r="AG70" s="86"/>
      <c r="AH70" s="86"/>
      <c r="AI70" s="86"/>
      <c r="AJ70" s="86"/>
      <c r="AK70" s="86"/>
      <c r="AL70" s="68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69"/>
      <c r="BN70" s="69"/>
      <c r="BO70" s="69"/>
      <c r="BP70" s="70"/>
    </row>
    <row r="71" spans="1:68" s="1" customFormat="1" ht="30.75" customHeight="1">
      <c r="A71" s="74">
        <f t="shared" si="0"/>
        <v>63</v>
      </c>
      <c r="B71" s="75"/>
      <c r="C71" s="76"/>
      <c r="D71" s="71" t="s">
        <v>468</v>
      </c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3"/>
      <c r="AA71" s="74" t="s">
        <v>280</v>
      </c>
      <c r="AB71" s="75"/>
      <c r="AC71" s="75"/>
      <c r="AD71" s="75"/>
      <c r="AE71" s="76"/>
      <c r="AF71" s="86">
        <v>14</v>
      </c>
      <c r="AG71" s="86"/>
      <c r="AH71" s="86"/>
      <c r="AI71" s="86"/>
      <c r="AJ71" s="86"/>
      <c r="AK71" s="86"/>
      <c r="AL71" s="68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  <c r="BM71" s="69"/>
      <c r="BN71" s="69"/>
      <c r="BO71" s="69"/>
      <c r="BP71" s="70"/>
    </row>
    <row r="72" spans="1:68" s="1" customFormat="1" ht="30.75" customHeight="1">
      <c r="A72" s="74">
        <f t="shared" si="0"/>
        <v>64</v>
      </c>
      <c r="B72" s="75"/>
      <c r="C72" s="76"/>
      <c r="D72" s="71" t="s">
        <v>1312</v>
      </c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3"/>
      <c r="AA72" s="74" t="s">
        <v>280</v>
      </c>
      <c r="AB72" s="75"/>
      <c r="AC72" s="75"/>
      <c r="AD72" s="75"/>
      <c r="AE72" s="76"/>
      <c r="AF72" s="74" t="s">
        <v>1504</v>
      </c>
      <c r="AG72" s="75"/>
      <c r="AH72" s="76"/>
      <c r="AI72" s="86"/>
      <c r="AJ72" s="86"/>
      <c r="AK72" s="86"/>
      <c r="AL72" s="68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69"/>
      <c r="BN72" s="69"/>
      <c r="BO72" s="69"/>
      <c r="BP72" s="70"/>
    </row>
    <row r="73" spans="1:68" s="1" customFormat="1" ht="30.75" customHeight="1">
      <c r="A73" s="74">
        <f t="shared" si="0"/>
        <v>65</v>
      </c>
      <c r="B73" s="75"/>
      <c r="C73" s="76"/>
      <c r="D73" s="71" t="s">
        <v>469</v>
      </c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3"/>
      <c r="AA73" s="74" t="s">
        <v>280</v>
      </c>
      <c r="AB73" s="75"/>
      <c r="AC73" s="75"/>
      <c r="AD73" s="75"/>
      <c r="AE73" s="76"/>
      <c r="AF73" s="74" t="s">
        <v>1504</v>
      </c>
      <c r="AG73" s="75"/>
      <c r="AH73" s="76"/>
      <c r="AI73" s="86"/>
      <c r="AJ73" s="86"/>
      <c r="AK73" s="86"/>
      <c r="AL73" s="68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69"/>
      <c r="BO73" s="69"/>
      <c r="BP73" s="70"/>
    </row>
    <row r="74" spans="1:68" s="1" customFormat="1" ht="30.75" customHeight="1">
      <c r="A74" s="74">
        <f t="shared" si="0"/>
        <v>66</v>
      </c>
      <c r="B74" s="75"/>
      <c r="C74" s="76"/>
      <c r="D74" s="71" t="s">
        <v>472</v>
      </c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3"/>
      <c r="AA74" s="74" t="s">
        <v>348</v>
      </c>
      <c r="AB74" s="75"/>
      <c r="AC74" s="75"/>
      <c r="AD74" s="75"/>
      <c r="AE74" s="76"/>
      <c r="AF74" s="86"/>
      <c r="AG74" s="86"/>
      <c r="AH74" s="86"/>
      <c r="AI74" s="86"/>
      <c r="AJ74" s="86"/>
      <c r="AK74" s="86"/>
      <c r="AL74" s="68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  <c r="BC74" s="69"/>
      <c r="BD74" s="69"/>
      <c r="BE74" s="69"/>
      <c r="BF74" s="69"/>
      <c r="BG74" s="69"/>
      <c r="BH74" s="69"/>
      <c r="BI74" s="69"/>
      <c r="BJ74" s="69"/>
      <c r="BK74" s="69"/>
      <c r="BL74" s="69"/>
      <c r="BM74" s="69"/>
      <c r="BN74" s="69"/>
      <c r="BO74" s="69"/>
      <c r="BP74" s="70"/>
    </row>
    <row r="75" spans="1:68" s="1" customFormat="1" ht="30.75" customHeight="1">
      <c r="A75" s="74">
        <f t="shared" si="0"/>
        <v>67</v>
      </c>
      <c r="B75" s="75"/>
      <c r="C75" s="76"/>
      <c r="D75" s="71" t="s">
        <v>448</v>
      </c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3"/>
      <c r="AA75" s="74" t="s">
        <v>475</v>
      </c>
      <c r="AB75" s="75"/>
      <c r="AC75" s="75"/>
      <c r="AD75" s="75"/>
      <c r="AE75" s="76"/>
      <c r="AF75" s="86">
        <v>10</v>
      </c>
      <c r="AG75" s="86"/>
      <c r="AH75" s="86"/>
      <c r="AI75" s="86"/>
      <c r="AJ75" s="86"/>
      <c r="AK75" s="86"/>
      <c r="AL75" s="68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69"/>
      <c r="BE75" s="69"/>
      <c r="BF75" s="69"/>
      <c r="BG75" s="69"/>
      <c r="BH75" s="69"/>
      <c r="BI75" s="69"/>
      <c r="BJ75" s="69"/>
      <c r="BK75" s="69"/>
      <c r="BL75" s="69"/>
      <c r="BM75" s="69"/>
      <c r="BN75" s="69"/>
      <c r="BO75" s="69"/>
      <c r="BP75" s="70"/>
    </row>
    <row r="76" spans="1:68" s="1" customFormat="1" ht="30.75" customHeight="1">
      <c r="A76" s="74">
        <f t="shared" ref="A76:A144" si="1">ROW()-8</f>
        <v>68</v>
      </c>
      <c r="B76" s="75"/>
      <c r="C76" s="76"/>
      <c r="D76" s="71" t="s">
        <v>450</v>
      </c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3"/>
      <c r="AA76" s="74" t="s">
        <v>280</v>
      </c>
      <c r="AB76" s="75"/>
      <c r="AC76" s="75"/>
      <c r="AD76" s="75"/>
      <c r="AE76" s="76"/>
      <c r="AF76" s="86">
        <v>6</v>
      </c>
      <c r="AG76" s="86"/>
      <c r="AH76" s="86"/>
      <c r="AI76" s="86"/>
      <c r="AJ76" s="86"/>
      <c r="AK76" s="86"/>
      <c r="AL76" s="68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  <c r="BM76" s="69"/>
      <c r="BN76" s="69"/>
      <c r="BO76" s="69"/>
      <c r="BP76" s="70"/>
    </row>
    <row r="77" spans="1:68" s="1" customFormat="1" ht="30.75" customHeight="1">
      <c r="A77" s="74">
        <f t="shared" si="1"/>
        <v>69</v>
      </c>
      <c r="B77" s="75"/>
      <c r="C77" s="76"/>
      <c r="D77" s="71" t="s">
        <v>471</v>
      </c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3"/>
      <c r="AA77" s="74" t="s">
        <v>475</v>
      </c>
      <c r="AB77" s="75"/>
      <c r="AC77" s="75"/>
      <c r="AD77" s="75"/>
      <c r="AE77" s="76"/>
      <c r="AF77" s="86">
        <v>8</v>
      </c>
      <c r="AG77" s="86"/>
      <c r="AH77" s="86"/>
      <c r="AI77" s="86"/>
      <c r="AJ77" s="86"/>
      <c r="AK77" s="86"/>
      <c r="AL77" s="68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69"/>
      <c r="BG77" s="69"/>
      <c r="BH77" s="69"/>
      <c r="BI77" s="69"/>
      <c r="BJ77" s="69"/>
      <c r="BK77" s="69"/>
      <c r="BL77" s="69"/>
      <c r="BM77" s="69"/>
      <c r="BN77" s="69"/>
      <c r="BO77" s="69"/>
      <c r="BP77" s="70"/>
    </row>
    <row r="78" spans="1:68" s="1" customFormat="1" ht="30.75" customHeight="1">
      <c r="A78" s="74">
        <f t="shared" si="1"/>
        <v>70</v>
      </c>
      <c r="B78" s="75"/>
      <c r="C78" s="76"/>
      <c r="D78" s="71" t="s">
        <v>453</v>
      </c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3"/>
      <c r="AA78" s="74" t="s">
        <v>280</v>
      </c>
      <c r="AB78" s="75"/>
      <c r="AC78" s="75"/>
      <c r="AD78" s="75"/>
      <c r="AE78" s="76"/>
      <c r="AF78" s="86" t="s">
        <v>1444</v>
      </c>
      <c r="AG78" s="86"/>
      <c r="AH78" s="86"/>
      <c r="AI78" s="86"/>
      <c r="AJ78" s="86"/>
      <c r="AK78" s="86"/>
      <c r="AL78" s="68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69"/>
      <c r="BJ78" s="69"/>
      <c r="BK78" s="69"/>
      <c r="BL78" s="69"/>
      <c r="BM78" s="69"/>
      <c r="BN78" s="69"/>
      <c r="BO78" s="69"/>
      <c r="BP78" s="70"/>
    </row>
    <row r="79" spans="1:68" s="1" customFormat="1" ht="30.75" customHeight="1">
      <c r="A79" s="74">
        <f t="shared" si="1"/>
        <v>71</v>
      </c>
      <c r="B79" s="75"/>
      <c r="C79" s="76"/>
      <c r="D79" s="71" t="s">
        <v>454</v>
      </c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3"/>
      <c r="AA79" s="74" t="s">
        <v>280</v>
      </c>
      <c r="AB79" s="75"/>
      <c r="AC79" s="75"/>
      <c r="AD79" s="75"/>
      <c r="AE79" s="76"/>
      <c r="AF79" s="86">
        <v>14</v>
      </c>
      <c r="AG79" s="86"/>
      <c r="AH79" s="86"/>
      <c r="AI79" s="86"/>
      <c r="AJ79" s="86"/>
      <c r="AK79" s="86"/>
      <c r="AL79" s="68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  <c r="BC79" s="69"/>
      <c r="BD79" s="69"/>
      <c r="BE79" s="69"/>
      <c r="BF79" s="69"/>
      <c r="BG79" s="69"/>
      <c r="BH79" s="69"/>
      <c r="BI79" s="69"/>
      <c r="BJ79" s="69"/>
      <c r="BK79" s="69"/>
      <c r="BL79" s="69"/>
      <c r="BM79" s="69"/>
      <c r="BN79" s="69"/>
      <c r="BO79" s="69"/>
      <c r="BP79" s="70"/>
    </row>
    <row r="80" spans="1:68" s="1" customFormat="1" ht="30.75" customHeight="1">
      <c r="A80" s="74">
        <f t="shared" si="1"/>
        <v>72</v>
      </c>
      <c r="B80" s="75"/>
      <c r="C80" s="76"/>
      <c r="D80" s="71" t="s">
        <v>1040</v>
      </c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3"/>
      <c r="AA80" s="74" t="s">
        <v>280</v>
      </c>
      <c r="AB80" s="75"/>
      <c r="AC80" s="75"/>
      <c r="AD80" s="75"/>
      <c r="AE80" s="76"/>
      <c r="AF80" s="86" t="s">
        <v>1444</v>
      </c>
      <c r="AG80" s="86"/>
      <c r="AH80" s="86"/>
      <c r="AI80" s="86"/>
      <c r="AJ80" s="86"/>
      <c r="AK80" s="86"/>
      <c r="AL80" s="68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69"/>
      <c r="BN80" s="69"/>
      <c r="BO80" s="69"/>
      <c r="BP80" s="70"/>
    </row>
    <row r="81" spans="1:68" s="1" customFormat="1" ht="30.75" customHeight="1">
      <c r="A81" s="74">
        <f t="shared" si="1"/>
        <v>73</v>
      </c>
      <c r="B81" s="75"/>
      <c r="C81" s="76"/>
      <c r="D81" s="71" t="s">
        <v>455</v>
      </c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3"/>
      <c r="AA81" s="74" t="s">
        <v>280</v>
      </c>
      <c r="AB81" s="75"/>
      <c r="AC81" s="75"/>
      <c r="AD81" s="75"/>
      <c r="AE81" s="76"/>
      <c r="AF81" s="86">
        <v>14</v>
      </c>
      <c r="AG81" s="86"/>
      <c r="AH81" s="86"/>
      <c r="AI81" s="86"/>
      <c r="AJ81" s="86"/>
      <c r="AK81" s="86"/>
      <c r="AL81" s="68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69"/>
      <c r="BE81" s="69"/>
      <c r="BF81" s="69"/>
      <c r="BG81" s="69"/>
      <c r="BH81" s="69"/>
      <c r="BI81" s="69"/>
      <c r="BJ81" s="69"/>
      <c r="BK81" s="69"/>
      <c r="BL81" s="69"/>
      <c r="BM81" s="69"/>
      <c r="BN81" s="69"/>
      <c r="BO81" s="69"/>
      <c r="BP81" s="70"/>
    </row>
    <row r="82" spans="1:68" s="1" customFormat="1" ht="30.75" customHeight="1">
      <c r="A82" s="74">
        <f t="shared" si="1"/>
        <v>74</v>
      </c>
      <c r="B82" s="75"/>
      <c r="C82" s="76"/>
      <c r="D82" s="71" t="s">
        <v>456</v>
      </c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3"/>
      <c r="AA82" s="74" t="s">
        <v>280</v>
      </c>
      <c r="AB82" s="75"/>
      <c r="AC82" s="75"/>
      <c r="AD82" s="75"/>
      <c r="AE82" s="76"/>
      <c r="AF82" s="86">
        <v>14</v>
      </c>
      <c r="AG82" s="86"/>
      <c r="AH82" s="86"/>
      <c r="AI82" s="86"/>
      <c r="AJ82" s="86"/>
      <c r="AK82" s="86"/>
      <c r="AL82" s="68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69"/>
      <c r="BE82" s="69"/>
      <c r="BF82" s="69"/>
      <c r="BG82" s="69"/>
      <c r="BH82" s="69"/>
      <c r="BI82" s="69"/>
      <c r="BJ82" s="69"/>
      <c r="BK82" s="69"/>
      <c r="BL82" s="69"/>
      <c r="BM82" s="69"/>
      <c r="BN82" s="69"/>
      <c r="BO82" s="69"/>
      <c r="BP82" s="70"/>
    </row>
    <row r="83" spans="1:68" s="1" customFormat="1" ht="30.75" customHeight="1">
      <c r="A83" s="74">
        <f t="shared" si="1"/>
        <v>75</v>
      </c>
      <c r="B83" s="75"/>
      <c r="C83" s="76"/>
      <c r="D83" s="71" t="s">
        <v>457</v>
      </c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3"/>
      <c r="AA83" s="74" t="s">
        <v>280</v>
      </c>
      <c r="AB83" s="75"/>
      <c r="AC83" s="75"/>
      <c r="AD83" s="75"/>
      <c r="AE83" s="76"/>
      <c r="AF83" s="86" t="s">
        <v>1444</v>
      </c>
      <c r="AG83" s="86"/>
      <c r="AH83" s="86"/>
      <c r="AI83" s="86"/>
      <c r="AJ83" s="86"/>
      <c r="AK83" s="86"/>
      <c r="AL83" s="68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  <c r="BH83" s="69"/>
      <c r="BI83" s="69"/>
      <c r="BJ83" s="69"/>
      <c r="BK83" s="69"/>
      <c r="BL83" s="69"/>
      <c r="BM83" s="69"/>
      <c r="BN83" s="69"/>
      <c r="BO83" s="69"/>
      <c r="BP83" s="70"/>
    </row>
    <row r="84" spans="1:68" s="1" customFormat="1" ht="30.75" customHeight="1">
      <c r="A84" s="74">
        <f t="shared" si="1"/>
        <v>76</v>
      </c>
      <c r="B84" s="75"/>
      <c r="C84" s="76"/>
      <c r="D84" s="71" t="s">
        <v>458</v>
      </c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3"/>
      <c r="AA84" s="74" t="s">
        <v>280</v>
      </c>
      <c r="AB84" s="75"/>
      <c r="AC84" s="75"/>
      <c r="AD84" s="75"/>
      <c r="AE84" s="76"/>
      <c r="AF84" s="86">
        <v>14</v>
      </c>
      <c r="AG84" s="86"/>
      <c r="AH84" s="86"/>
      <c r="AI84" s="86"/>
      <c r="AJ84" s="86"/>
      <c r="AK84" s="86"/>
      <c r="AL84" s="68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  <c r="BC84" s="69"/>
      <c r="BD84" s="69"/>
      <c r="BE84" s="69"/>
      <c r="BF84" s="69"/>
      <c r="BG84" s="69"/>
      <c r="BH84" s="69"/>
      <c r="BI84" s="69"/>
      <c r="BJ84" s="69"/>
      <c r="BK84" s="69"/>
      <c r="BL84" s="69"/>
      <c r="BM84" s="69"/>
      <c r="BN84" s="69"/>
      <c r="BO84" s="69"/>
      <c r="BP84" s="70"/>
    </row>
    <row r="85" spans="1:68" s="1" customFormat="1" ht="30.75" customHeight="1">
      <c r="A85" s="74">
        <f t="shared" si="1"/>
        <v>77</v>
      </c>
      <c r="B85" s="75"/>
      <c r="C85" s="76"/>
      <c r="D85" s="71" t="s">
        <v>1041</v>
      </c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3"/>
      <c r="AA85" s="74" t="s">
        <v>280</v>
      </c>
      <c r="AB85" s="75"/>
      <c r="AC85" s="75"/>
      <c r="AD85" s="75"/>
      <c r="AE85" s="76"/>
      <c r="AF85" s="86" t="s">
        <v>1444</v>
      </c>
      <c r="AG85" s="86"/>
      <c r="AH85" s="86"/>
      <c r="AI85" s="86"/>
      <c r="AJ85" s="86"/>
      <c r="AK85" s="86"/>
      <c r="AL85" s="68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  <c r="BC85" s="69"/>
      <c r="BD85" s="69"/>
      <c r="BE85" s="69"/>
      <c r="BF85" s="69"/>
      <c r="BG85" s="69"/>
      <c r="BH85" s="69"/>
      <c r="BI85" s="69"/>
      <c r="BJ85" s="69"/>
      <c r="BK85" s="69"/>
      <c r="BL85" s="69"/>
      <c r="BM85" s="69"/>
      <c r="BN85" s="69"/>
      <c r="BO85" s="69"/>
      <c r="BP85" s="70"/>
    </row>
    <row r="86" spans="1:68" s="1" customFormat="1" ht="30.75" customHeight="1">
      <c r="A86" s="74">
        <f t="shared" si="1"/>
        <v>78</v>
      </c>
      <c r="B86" s="75"/>
      <c r="C86" s="76"/>
      <c r="D86" s="71" t="s">
        <v>459</v>
      </c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3"/>
      <c r="AA86" s="74" t="s">
        <v>280</v>
      </c>
      <c r="AB86" s="75"/>
      <c r="AC86" s="75"/>
      <c r="AD86" s="75"/>
      <c r="AE86" s="76"/>
      <c r="AF86" s="86">
        <v>14</v>
      </c>
      <c r="AG86" s="86"/>
      <c r="AH86" s="86"/>
      <c r="AI86" s="86"/>
      <c r="AJ86" s="86"/>
      <c r="AK86" s="86"/>
      <c r="AL86" s="68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69"/>
      <c r="BM86" s="69"/>
      <c r="BN86" s="69"/>
      <c r="BO86" s="69"/>
      <c r="BP86" s="70"/>
    </row>
    <row r="87" spans="1:68" s="1" customFormat="1" ht="30.75" customHeight="1">
      <c r="A87" s="74">
        <f t="shared" si="1"/>
        <v>79</v>
      </c>
      <c r="B87" s="75"/>
      <c r="C87" s="76"/>
      <c r="D87" s="71" t="s">
        <v>460</v>
      </c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3"/>
      <c r="AA87" s="74" t="s">
        <v>280</v>
      </c>
      <c r="AB87" s="75"/>
      <c r="AC87" s="75"/>
      <c r="AD87" s="75"/>
      <c r="AE87" s="76"/>
      <c r="AF87" s="86">
        <v>14</v>
      </c>
      <c r="AG87" s="86"/>
      <c r="AH87" s="86"/>
      <c r="AI87" s="86"/>
      <c r="AJ87" s="86"/>
      <c r="AK87" s="86"/>
      <c r="AL87" s="68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69"/>
      <c r="BH87" s="69"/>
      <c r="BI87" s="69"/>
      <c r="BJ87" s="69"/>
      <c r="BK87" s="69"/>
      <c r="BL87" s="69"/>
      <c r="BM87" s="69"/>
      <c r="BN87" s="69"/>
      <c r="BO87" s="69"/>
      <c r="BP87" s="70"/>
    </row>
    <row r="88" spans="1:68" s="1" customFormat="1" ht="30.75" customHeight="1">
      <c r="A88" s="74">
        <f t="shared" si="1"/>
        <v>80</v>
      </c>
      <c r="B88" s="75"/>
      <c r="C88" s="76"/>
      <c r="D88" s="71" t="s">
        <v>461</v>
      </c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3"/>
      <c r="AA88" s="74" t="s">
        <v>280</v>
      </c>
      <c r="AB88" s="75"/>
      <c r="AC88" s="75"/>
      <c r="AD88" s="75"/>
      <c r="AE88" s="76"/>
      <c r="AF88" s="86" t="s">
        <v>1444</v>
      </c>
      <c r="AG88" s="86"/>
      <c r="AH88" s="86"/>
      <c r="AI88" s="86"/>
      <c r="AJ88" s="86"/>
      <c r="AK88" s="86"/>
      <c r="AL88" s="68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  <c r="BM88" s="69"/>
      <c r="BN88" s="69"/>
      <c r="BO88" s="69"/>
      <c r="BP88" s="70"/>
    </row>
    <row r="89" spans="1:68" s="1" customFormat="1" ht="30.75" customHeight="1">
      <c r="A89" s="74">
        <f t="shared" si="1"/>
        <v>81</v>
      </c>
      <c r="B89" s="75"/>
      <c r="C89" s="76"/>
      <c r="D89" s="71" t="s">
        <v>462</v>
      </c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3"/>
      <c r="AA89" s="74" t="s">
        <v>280</v>
      </c>
      <c r="AB89" s="75"/>
      <c r="AC89" s="75"/>
      <c r="AD89" s="75"/>
      <c r="AE89" s="76"/>
      <c r="AF89" s="86">
        <v>14</v>
      </c>
      <c r="AG89" s="86"/>
      <c r="AH89" s="86"/>
      <c r="AI89" s="86"/>
      <c r="AJ89" s="86"/>
      <c r="AK89" s="86"/>
      <c r="AL89" s="68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9"/>
      <c r="BJ89" s="69"/>
      <c r="BK89" s="69"/>
      <c r="BL89" s="69"/>
      <c r="BM89" s="69"/>
      <c r="BN89" s="69"/>
      <c r="BO89" s="69"/>
      <c r="BP89" s="70"/>
    </row>
    <row r="90" spans="1:68" s="1" customFormat="1" ht="30.75" customHeight="1">
      <c r="A90" s="74">
        <f t="shared" si="1"/>
        <v>82</v>
      </c>
      <c r="B90" s="75"/>
      <c r="C90" s="76"/>
      <c r="D90" s="71" t="s">
        <v>1042</v>
      </c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3"/>
      <c r="AA90" s="74" t="s">
        <v>280</v>
      </c>
      <c r="AB90" s="75"/>
      <c r="AC90" s="75"/>
      <c r="AD90" s="75"/>
      <c r="AE90" s="76"/>
      <c r="AF90" s="86" t="s">
        <v>1444</v>
      </c>
      <c r="AG90" s="86"/>
      <c r="AH90" s="86"/>
      <c r="AI90" s="86"/>
      <c r="AJ90" s="86"/>
      <c r="AK90" s="86"/>
      <c r="AL90" s="68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69"/>
      <c r="BH90" s="69"/>
      <c r="BI90" s="69"/>
      <c r="BJ90" s="69"/>
      <c r="BK90" s="69"/>
      <c r="BL90" s="69"/>
      <c r="BM90" s="69"/>
      <c r="BN90" s="69"/>
      <c r="BO90" s="69"/>
      <c r="BP90" s="70"/>
    </row>
    <row r="91" spans="1:68" s="1" customFormat="1" ht="30.75" customHeight="1">
      <c r="A91" s="74">
        <f t="shared" si="1"/>
        <v>83</v>
      </c>
      <c r="B91" s="75"/>
      <c r="C91" s="76"/>
      <c r="D91" s="71" t="s">
        <v>463</v>
      </c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3"/>
      <c r="AA91" s="74" t="s">
        <v>280</v>
      </c>
      <c r="AB91" s="75"/>
      <c r="AC91" s="75"/>
      <c r="AD91" s="75"/>
      <c r="AE91" s="76"/>
      <c r="AF91" s="86">
        <v>14</v>
      </c>
      <c r="AG91" s="86"/>
      <c r="AH91" s="86"/>
      <c r="AI91" s="86"/>
      <c r="AJ91" s="86"/>
      <c r="AK91" s="86"/>
      <c r="AL91" s="68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69"/>
      <c r="BH91" s="69"/>
      <c r="BI91" s="69"/>
      <c r="BJ91" s="69"/>
      <c r="BK91" s="69"/>
      <c r="BL91" s="69"/>
      <c r="BM91" s="69"/>
      <c r="BN91" s="69"/>
      <c r="BO91" s="69"/>
      <c r="BP91" s="70"/>
    </row>
    <row r="92" spans="1:68" s="1" customFormat="1" ht="30.75" customHeight="1">
      <c r="A92" s="74">
        <f t="shared" si="1"/>
        <v>84</v>
      </c>
      <c r="B92" s="75"/>
      <c r="C92" s="76"/>
      <c r="D92" s="71" t="s">
        <v>464</v>
      </c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3"/>
      <c r="AA92" s="74" t="s">
        <v>280</v>
      </c>
      <c r="AB92" s="75"/>
      <c r="AC92" s="75"/>
      <c r="AD92" s="75"/>
      <c r="AE92" s="76"/>
      <c r="AF92" s="86">
        <v>14</v>
      </c>
      <c r="AG92" s="86"/>
      <c r="AH92" s="86"/>
      <c r="AI92" s="86"/>
      <c r="AJ92" s="86"/>
      <c r="AK92" s="86"/>
      <c r="AL92" s="68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  <c r="BC92" s="69"/>
      <c r="BD92" s="69"/>
      <c r="BE92" s="69"/>
      <c r="BF92" s="69"/>
      <c r="BG92" s="69"/>
      <c r="BH92" s="69"/>
      <c r="BI92" s="69"/>
      <c r="BJ92" s="69"/>
      <c r="BK92" s="69"/>
      <c r="BL92" s="69"/>
      <c r="BM92" s="69"/>
      <c r="BN92" s="69"/>
      <c r="BO92" s="69"/>
      <c r="BP92" s="70"/>
    </row>
    <row r="93" spans="1:68" s="1" customFormat="1" ht="30.75" customHeight="1">
      <c r="A93" s="74">
        <f t="shared" si="1"/>
        <v>85</v>
      </c>
      <c r="B93" s="75"/>
      <c r="C93" s="76"/>
      <c r="D93" s="71" t="s">
        <v>465</v>
      </c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3"/>
      <c r="AA93" s="74" t="s">
        <v>280</v>
      </c>
      <c r="AB93" s="75"/>
      <c r="AC93" s="75"/>
      <c r="AD93" s="75"/>
      <c r="AE93" s="76"/>
      <c r="AF93" s="86">
        <v>14</v>
      </c>
      <c r="AG93" s="86"/>
      <c r="AH93" s="86"/>
      <c r="AI93" s="86"/>
      <c r="AJ93" s="86"/>
      <c r="AK93" s="86"/>
      <c r="AL93" s="68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69"/>
      <c r="BK93" s="69"/>
      <c r="BL93" s="69"/>
      <c r="BM93" s="69"/>
      <c r="BN93" s="69"/>
      <c r="BO93" s="69"/>
      <c r="BP93" s="70"/>
    </row>
    <row r="94" spans="1:68" s="1" customFormat="1" ht="30.75" customHeight="1">
      <c r="A94" s="74">
        <f t="shared" si="1"/>
        <v>86</v>
      </c>
      <c r="B94" s="75"/>
      <c r="C94" s="76"/>
      <c r="D94" s="71" t="s">
        <v>466</v>
      </c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3"/>
      <c r="AA94" s="74" t="s">
        <v>280</v>
      </c>
      <c r="AB94" s="75"/>
      <c r="AC94" s="75"/>
      <c r="AD94" s="75"/>
      <c r="AE94" s="76"/>
      <c r="AF94" s="86">
        <v>14</v>
      </c>
      <c r="AG94" s="86"/>
      <c r="AH94" s="86"/>
      <c r="AI94" s="86"/>
      <c r="AJ94" s="86"/>
      <c r="AK94" s="86"/>
      <c r="AL94" s="68"/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69"/>
      <c r="BH94" s="69"/>
      <c r="BI94" s="69"/>
      <c r="BJ94" s="69"/>
      <c r="BK94" s="69"/>
      <c r="BL94" s="69"/>
      <c r="BM94" s="69"/>
      <c r="BN94" s="69"/>
      <c r="BO94" s="69"/>
      <c r="BP94" s="70"/>
    </row>
    <row r="95" spans="1:68" s="1" customFormat="1" ht="30.75" customHeight="1">
      <c r="A95" s="74">
        <f t="shared" si="1"/>
        <v>87</v>
      </c>
      <c r="B95" s="75"/>
      <c r="C95" s="76"/>
      <c r="D95" s="71" t="s">
        <v>467</v>
      </c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3"/>
      <c r="AA95" s="74" t="s">
        <v>280</v>
      </c>
      <c r="AB95" s="75"/>
      <c r="AC95" s="75"/>
      <c r="AD95" s="75"/>
      <c r="AE95" s="76"/>
      <c r="AF95" s="86">
        <v>14</v>
      </c>
      <c r="AG95" s="86"/>
      <c r="AH95" s="86"/>
      <c r="AI95" s="86"/>
      <c r="AJ95" s="86"/>
      <c r="AK95" s="86"/>
      <c r="AL95" s="68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69"/>
      <c r="BH95" s="69"/>
      <c r="BI95" s="69"/>
      <c r="BJ95" s="69"/>
      <c r="BK95" s="69"/>
      <c r="BL95" s="69"/>
      <c r="BM95" s="69"/>
      <c r="BN95" s="69"/>
      <c r="BO95" s="69"/>
      <c r="BP95" s="70"/>
    </row>
    <row r="96" spans="1:68" s="1" customFormat="1" ht="30.75" customHeight="1">
      <c r="A96" s="74">
        <f t="shared" si="1"/>
        <v>88</v>
      </c>
      <c r="B96" s="75"/>
      <c r="C96" s="76"/>
      <c r="D96" s="71" t="s">
        <v>468</v>
      </c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3"/>
      <c r="AA96" s="74" t="s">
        <v>280</v>
      </c>
      <c r="AB96" s="75"/>
      <c r="AC96" s="75"/>
      <c r="AD96" s="75"/>
      <c r="AE96" s="76"/>
      <c r="AF96" s="86">
        <v>14</v>
      </c>
      <c r="AG96" s="86"/>
      <c r="AH96" s="86"/>
      <c r="AI96" s="86"/>
      <c r="AJ96" s="86"/>
      <c r="AK96" s="86"/>
      <c r="AL96" s="68"/>
      <c r="AM96" s="69"/>
      <c r="AN96" s="69"/>
      <c r="AO96" s="69"/>
      <c r="AP96" s="69"/>
      <c r="AQ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69"/>
      <c r="BH96" s="69"/>
      <c r="BI96" s="69"/>
      <c r="BJ96" s="69"/>
      <c r="BK96" s="69"/>
      <c r="BL96" s="69"/>
      <c r="BM96" s="69"/>
      <c r="BN96" s="69"/>
      <c r="BO96" s="69"/>
      <c r="BP96" s="70"/>
    </row>
    <row r="97" spans="1:68" s="1" customFormat="1" ht="30.75" customHeight="1">
      <c r="A97" s="74">
        <f t="shared" si="1"/>
        <v>89</v>
      </c>
      <c r="B97" s="75"/>
      <c r="C97" s="76"/>
      <c r="D97" s="71" t="s">
        <v>1312</v>
      </c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3"/>
      <c r="AA97" s="74" t="s">
        <v>280</v>
      </c>
      <c r="AB97" s="75"/>
      <c r="AC97" s="75"/>
      <c r="AD97" s="75"/>
      <c r="AE97" s="76"/>
      <c r="AF97" s="86" t="s">
        <v>1504</v>
      </c>
      <c r="AG97" s="86"/>
      <c r="AH97" s="86"/>
      <c r="AI97" s="86"/>
      <c r="AJ97" s="86"/>
      <c r="AK97" s="86"/>
      <c r="AL97" s="68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69"/>
      <c r="BH97" s="69"/>
      <c r="BI97" s="69"/>
      <c r="BJ97" s="69"/>
      <c r="BK97" s="69"/>
      <c r="BL97" s="69"/>
      <c r="BM97" s="69"/>
      <c r="BN97" s="69"/>
      <c r="BO97" s="69"/>
      <c r="BP97" s="70"/>
    </row>
    <row r="98" spans="1:68" s="1" customFormat="1" ht="30.75" customHeight="1">
      <c r="A98" s="74">
        <f t="shared" si="1"/>
        <v>90</v>
      </c>
      <c r="B98" s="75"/>
      <c r="C98" s="76"/>
      <c r="D98" s="71" t="s">
        <v>469</v>
      </c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3"/>
      <c r="AA98" s="74" t="s">
        <v>280</v>
      </c>
      <c r="AB98" s="75"/>
      <c r="AC98" s="75"/>
      <c r="AD98" s="75"/>
      <c r="AE98" s="76"/>
      <c r="AF98" s="86" t="s">
        <v>1504</v>
      </c>
      <c r="AG98" s="86"/>
      <c r="AH98" s="86"/>
      <c r="AI98" s="86"/>
      <c r="AJ98" s="86"/>
      <c r="AK98" s="86"/>
      <c r="AL98" s="68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69"/>
      <c r="BH98" s="69"/>
      <c r="BI98" s="69"/>
      <c r="BJ98" s="69"/>
      <c r="BK98" s="69"/>
      <c r="BL98" s="69"/>
      <c r="BM98" s="69"/>
      <c r="BN98" s="69"/>
      <c r="BO98" s="69"/>
      <c r="BP98" s="70"/>
    </row>
    <row r="99" spans="1:68" s="1" customFormat="1" ht="30.75" customHeight="1">
      <c r="A99" s="74">
        <f t="shared" si="1"/>
        <v>91</v>
      </c>
      <c r="B99" s="75"/>
      <c r="C99" s="76"/>
      <c r="D99" s="71" t="s">
        <v>473</v>
      </c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3"/>
      <c r="AA99" s="74" t="s">
        <v>348</v>
      </c>
      <c r="AB99" s="75"/>
      <c r="AC99" s="75"/>
      <c r="AD99" s="75"/>
      <c r="AE99" s="76"/>
      <c r="AF99" s="86"/>
      <c r="AG99" s="86"/>
      <c r="AH99" s="86"/>
      <c r="AI99" s="86"/>
      <c r="AJ99" s="86"/>
      <c r="AK99" s="86"/>
      <c r="AL99" s="68"/>
      <c r="AM99" s="69"/>
      <c r="AN99" s="69"/>
      <c r="AO99" s="69"/>
      <c r="AP99" s="69"/>
      <c r="AQ99" s="69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69"/>
      <c r="BC99" s="69"/>
      <c r="BD99" s="69"/>
      <c r="BE99" s="69"/>
      <c r="BF99" s="69"/>
      <c r="BG99" s="69"/>
      <c r="BH99" s="69"/>
      <c r="BI99" s="69"/>
      <c r="BJ99" s="69"/>
      <c r="BK99" s="69"/>
      <c r="BL99" s="69"/>
      <c r="BM99" s="69"/>
      <c r="BN99" s="69"/>
      <c r="BO99" s="69"/>
      <c r="BP99" s="70"/>
    </row>
    <row r="100" spans="1:68" s="1" customFormat="1" ht="30.75" customHeight="1">
      <c r="A100" s="74">
        <f t="shared" si="1"/>
        <v>92</v>
      </c>
      <c r="B100" s="75"/>
      <c r="C100" s="76"/>
      <c r="D100" s="71" t="s">
        <v>471</v>
      </c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3"/>
      <c r="AA100" s="74" t="s">
        <v>475</v>
      </c>
      <c r="AB100" s="75"/>
      <c r="AC100" s="75"/>
      <c r="AD100" s="75"/>
      <c r="AE100" s="76"/>
      <c r="AF100" s="86">
        <v>8</v>
      </c>
      <c r="AG100" s="86"/>
      <c r="AH100" s="86"/>
      <c r="AI100" s="86"/>
      <c r="AJ100" s="86"/>
      <c r="AK100" s="86"/>
      <c r="AL100" s="68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  <c r="BC100" s="69"/>
      <c r="BD100" s="69"/>
      <c r="BE100" s="69"/>
      <c r="BF100" s="69"/>
      <c r="BG100" s="69"/>
      <c r="BH100" s="69"/>
      <c r="BI100" s="69"/>
      <c r="BJ100" s="69"/>
      <c r="BK100" s="69"/>
      <c r="BL100" s="69"/>
      <c r="BM100" s="69"/>
      <c r="BN100" s="69"/>
      <c r="BO100" s="69"/>
      <c r="BP100" s="70"/>
    </row>
    <row r="101" spans="1:68" s="1" customFormat="1" ht="30.75" customHeight="1">
      <c r="A101" s="74">
        <f t="shared" si="1"/>
        <v>93</v>
      </c>
      <c r="B101" s="75"/>
      <c r="C101" s="76"/>
      <c r="D101" s="71" t="s">
        <v>453</v>
      </c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3"/>
      <c r="AA101" s="74" t="s">
        <v>280</v>
      </c>
      <c r="AB101" s="75"/>
      <c r="AC101" s="75"/>
      <c r="AD101" s="75"/>
      <c r="AE101" s="76"/>
      <c r="AF101" s="86" t="s">
        <v>1444</v>
      </c>
      <c r="AG101" s="86"/>
      <c r="AH101" s="86"/>
      <c r="AI101" s="86"/>
      <c r="AJ101" s="86"/>
      <c r="AK101" s="86"/>
      <c r="AL101" s="68"/>
      <c r="AM101" s="69"/>
      <c r="AN101" s="69"/>
      <c r="AO101" s="69"/>
      <c r="AP101" s="69"/>
      <c r="AQ101" s="69"/>
      <c r="AR101" s="69"/>
      <c r="AS101" s="69"/>
      <c r="AT101" s="69"/>
      <c r="AU101" s="69"/>
      <c r="AV101" s="69"/>
      <c r="AW101" s="69"/>
      <c r="AX101" s="69"/>
      <c r="AY101" s="69"/>
      <c r="AZ101" s="69"/>
      <c r="BA101" s="69"/>
      <c r="BB101" s="69"/>
      <c r="BC101" s="69"/>
      <c r="BD101" s="69"/>
      <c r="BE101" s="69"/>
      <c r="BF101" s="69"/>
      <c r="BG101" s="69"/>
      <c r="BH101" s="69"/>
      <c r="BI101" s="69"/>
      <c r="BJ101" s="69"/>
      <c r="BK101" s="69"/>
      <c r="BL101" s="69"/>
      <c r="BM101" s="69"/>
      <c r="BN101" s="69"/>
      <c r="BO101" s="69"/>
      <c r="BP101" s="70"/>
    </row>
    <row r="102" spans="1:68" s="1" customFormat="1" ht="30.75" customHeight="1">
      <c r="A102" s="74">
        <f t="shared" si="1"/>
        <v>94</v>
      </c>
      <c r="B102" s="75"/>
      <c r="C102" s="76"/>
      <c r="D102" s="71" t="s">
        <v>454</v>
      </c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3"/>
      <c r="AA102" s="74" t="s">
        <v>280</v>
      </c>
      <c r="AB102" s="75"/>
      <c r="AC102" s="75"/>
      <c r="AD102" s="75"/>
      <c r="AE102" s="76"/>
      <c r="AF102" s="86">
        <v>14</v>
      </c>
      <c r="AG102" s="86"/>
      <c r="AH102" s="86"/>
      <c r="AI102" s="86"/>
      <c r="AJ102" s="86"/>
      <c r="AK102" s="86"/>
      <c r="AL102" s="68"/>
      <c r="AM102" s="69"/>
      <c r="AN102" s="69"/>
      <c r="AO102" s="69"/>
      <c r="AP102" s="69"/>
      <c r="AQ102" s="69"/>
      <c r="AR102" s="69"/>
      <c r="AS102" s="69"/>
      <c r="AT102" s="69"/>
      <c r="AU102" s="69"/>
      <c r="AV102" s="69"/>
      <c r="AW102" s="69"/>
      <c r="AX102" s="69"/>
      <c r="AY102" s="69"/>
      <c r="AZ102" s="69"/>
      <c r="BA102" s="69"/>
      <c r="BB102" s="69"/>
      <c r="BC102" s="69"/>
      <c r="BD102" s="69"/>
      <c r="BE102" s="69"/>
      <c r="BF102" s="69"/>
      <c r="BG102" s="69"/>
      <c r="BH102" s="69"/>
      <c r="BI102" s="69"/>
      <c r="BJ102" s="69"/>
      <c r="BK102" s="69"/>
      <c r="BL102" s="69"/>
      <c r="BM102" s="69"/>
      <c r="BN102" s="69"/>
      <c r="BO102" s="69"/>
      <c r="BP102" s="70"/>
    </row>
    <row r="103" spans="1:68" s="1" customFormat="1" ht="30.75" customHeight="1">
      <c r="A103" s="74">
        <f t="shared" si="1"/>
        <v>95</v>
      </c>
      <c r="B103" s="75"/>
      <c r="C103" s="76"/>
      <c r="D103" s="71" t="s">
        <v>1040</v>
      </c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3"/>
      <c r="AA103" s="74" t="s">
        <v>280</v>
      </c>
      <c r="AB103" s="75"/>
      <c r="AC103" s="75"/>
      <c r="AD103" s="75"/>
      <c r="AE103" s="76"/>
      <c r="AF103" s="86" t="s">
        <v>1444</v>
      </c>
      <c r="AG103" s="86"/>
      <c r="AH103" s="86"/>
      <c r="AI103" s="86"/>
      <c r="AJ103" s="86"/>
      <c r="AK103" s="86"/>
      <c r="AL103" s="68"/>
      <c r="AM103" s="69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69"/>
      <c r="BC103" s="69"/>
      <c r="BD103" s="69"/>
      <c r="BE103" s="69"/>
      <c r="BF103" s="69"/>
      <c r="BG103" s="69"/>
      <c r="BH103" s="69"/>
      <c r="BI103" s="69"/>
      <c r="BJ103" s="69"/>
      <c r="BK103" s="69"/>
      <c r="BL103" s="69"/>
      <c r="BM103" s="69"/>
      <c r="BN103" s="69"/>
      <c r="BO103" s="69"/>
      <c r="BP103" s="70"/>
    </row>
    <row r="104" spans="1:68" s="1" customFormat="1" ht="30.75" customHeight="1">
      <c r="A104" s="74">
        <f t="shared" si="1"/>
        <v>96</v>
      </c>
      <c r="B104" s="75"/>
      <c r="C104" s="76"/>
      <c r="D104" s="71" t="s">
        <v>455</v>
      </c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3"/>
      <c r="AA104" s="74" t="s">
        <v>280</v>
      </c>
      <c r="AB104" s="75"/>
      <c r="AC104" s="75"/>
      <c r="AD104" s="75"/>
      <c r="AE104" s="76"/>
      <c r="AF104" s="86">
        <v>14</v>
      </c>
      <c r="AG104" s="86"/>
      <c r="AH104" s="86"/>
      <c r="AI104" s="86"/>
      <c r="AJ104" s="86"/>
      <c r="AK104" s="86"/>
      <c r="AL104" s="68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69"/>
      <c r="BC104" s="69"/>
      <c r="BD104" s="69"/>
      <c r="BE104" s="69"/>
      <c r="BF104" s="69"/>
      <c r="BG104" s="69"/>
      <c r="BH104" s="69"/>
      <c r="BI104" s="69"/>
      <c r="BJ104" s="69"/>
      <c r="BK104" s="69"/>
      <c r="BL104" s="69"/>
      <c r="BM104" s="69"/>
      <c r="BN104" s="69"/>
      <c r="BO104" s="69"/>
      <c r="BP104" s="70"/>
    </row>
    <row r="105" spans="1:68" s="1" customFormat="1" ht="30.75" customHeight="1">
      <c r="A105" s="74">
        <f t="shared" si="1"/>
        <v>97</v>
      </c>
      <c r="B105" s="75"/>
      <c r="C105" s="76"/>
      <c r="D105" s="71" t="s">
        <v>456</v>
      </c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3"/>
      <c r="AA105" s="74" t="s">
        <v>280</v>
      </c>
      <c r="AB105" s="75"/>
      <c r="AC105" s="75"/>
      <c r="AD105" s="75"/>
      <c r="AE105" s="76"/>
      <c r="AF105" s="86">
        <v>14</v>
      </c>
      <c r="AG105" s="86"/>
      <c r="AH105" s="86"/>
      <c r="AI105" s="86"/>
      <c r="AJ105" s="86"/>
      <c r="AK105" s="86"/>
      <c r="AL105" s="68"/>
      <c r="AM105" s="69"/>
      <c r="AN105" s="69"/>
      <c r="AO105" s="69"/>
      <c r="AP105" s="69"/>
      <c r="AQ105" s="69"/>
      <c r="AR105" s="69"/>
      <c r="AS105" s="69"/>
      <c r="AT105" s="69"/>
      <c r="AU105" s="69"/>
      <c r="AV105" s="69"/>
      <c r="AW105" s="69"/>
      <c r="AX105" s="69"/>
      <c r="AY105" s="69"/>
      <c r="AZ105" s="69"/>
      <c r="BA105" s="69"/>
      <c r="BB105" s="69"/>
      <c r="BC105" s="69"/>
      <c r="BD105" s="69"/>
      <c r="BE105" s="69"/>
      <c r="BF105" s="69"/>
      <c r="BG105" s="69"/>
      <c r="BH105" s="69"/>
      <c r="BI105" s="69"/>
      <c r="BJ105" s="69"/>
      <c r="BK105" s="69"/>
      <c r="BL105" s="69"/>
      <c r="BM105" s="69"/>
      <c r="BN105" s="69"/>
      <c r="BO105" s="69"/>
      <c r="BP105" s="70"/>
    </row>
    <row r="106" spans="1:68" s="1" customFormat="1" ht="30.75" customHeight="1">
      <c r="A106" s="74">
        <f t="shared" si="1"/>
        <v>98</v>
      </c>
      <c r="B106" s="75"/>
      <c r="C106" s="76"/>
      <c r="D106" s="71" t="s">
        <v>457</v>
      </c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3"/>
      <c r="AA106" s="74" t="s">
        <v>280</v>
      </c>
      <c r="AB106" s="75"/>
      <c r="AC106" s="75"/>
      <c r="AD106" s="75"/>
      <c r="AE106" s="76"/>
      <c r="AF106" s="86" t="s">
        <v>1444</v>
      </c>
      <c r="AG106" s="86"/>
      <c r="AH106" s="86"/>
      <c r="AI106" s="86"/>
      <c r="AJ106" s="86"/>
      <c r="AK106" s="86"/>
      <c r="AL106" s="68"/>
      <c r="AM106" s="69"/>
      <c r="AN106" s="69"/>
      <c r="AO106" s="69"/>
      <c r="AP106" s="69"/>
      <c r="AQ106" s="69"/>
      <c r="AR106" s="69"/>
      <c r="AS106" s="69"/>
      <c r="AT106" s="69"/>
      <c r="AU106" s="69"/>
      <c r="AV106" s="69"/>
      <c r="AW106" s="69"/>
      <c r="AX106" s="69"/>
      <c r="AY106" s="69"/>
      <c r="AZ106" s="69"/>
      <c r="BA106" s="69"/>
      <c r="BB106" s="69"/>
      <c r="BC106" s="69"/>
      <c r="BD106" s="69"/>
      <c r="BE106" s="69"/>
      <c r="BF106" s="69"/>
      <c r="BG106" s="69"/>
      <c r="BH106" s="69"/>
      <c r="BI106" s="69"/>
      <c r="BJ106" s="69"/>
      <c r="BK106" s="69"/>
      <c r="BL106" s="69"/>
      <c r="BM106" s="69"/>
      <c r="BN106" s="69"/>
      <c r="BO106" s="69"/>
      <c r="BP106" s="70"/>
    </row>
    <row r="107" spans="1:68" s="1" customFormat="1" ht="30.75" customHeight="1">
      <c r="A107" s="74">
        <f t="shared" si="1"/>
        <v>99</v>
      </c>
      <c r="B107" s="75"/>
      <c r="C107" s="76"/>
      <c r="D107" s="71" t="s">
        <v>458</v>
      </c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3"/>
      <c r="AA107" s="74" t="s">
        <v>280</v>
      </c>
      <c r="AB107" s="75"/>
      <c r="AC107" s="75"/>
      <c r="AD107" s="75"/>
      <c r="AE107" s="76"/>
      <c r="AF107" s="86">
        <v>14</v>
      </c>
      <c r="AG107" s="86"/>
      <c r="AH107" s="86"/>
      <c r="AI107" s="86"/>
      <c r="AJ107" s="86"/>
      <c r="AK107" s="86"/>
      <c r="AL107" s="68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  <c r="AY107" s="69"/>
      <c r="AZ107" s="69"/>
      <c r="BA107" s="69"/>
      <c r="BB107" s="69"/>
      <c r="BC107" s="69"/>
      <c r="BD107" s="69"/>
      <c r="BE107" s="69"/>
      <c r="BF107" s="69"/>
      <c r="BG107" s="69"/>
      <c r="BH107" s="69"/>
      <c r="BI107" s="69"/>
      <c r="BJ107" s="69"/>
      <c r="BK107" s="69"/>
      <c r="BL107" s="69"/>
      <c r="BM107" s="69"/>
      <c r="BN107" s="69"/>
      <c r="BO107" s="69"/>
      <c r="BP107" s="70"/>
    </row>
    <row r="108" spans="1:68" s="1" customFormat="1" ht="30.75" customHeight="1">
      <c r="A108" s="74">
        <f t="shared" si="1"/>
        <v>100</v>
      </c>
      <c r="B108" s="75"/>
      <c r="C108" s="76"/>
      <c r="D108" s="71" t="s">
        <v>1041</v>
      </c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3"/>
      <c r="AA108" s="74" t="s">
        <v>280</v>
      </c>
      <c r="AB108" s="75"/>
      <c r="AC108" s="75"/>
      <c r="AD108" s="75"/>
      <c r="AE108" s="76"/>
      <c r="AF108" s="86" t="s">
        <v>1444</v>
      </c>
      <c r="AG108" s="86"/>
      <c r="AH108" s="86"/>
      <c r="AI108" s="86"/>
      <c r="AJ108" s="86"/>
      <c r="AK108" s="86"/>
      <c r="AL108" s="68"/>
      <c r="AM108" s="69"/>
      <c r="AN108" s="69"/>
      <c r="AO108" s="69"/>
      <c r="AP108" s="69"/>
      <c r="AQ108" s="69"/>
      <c r="AR108" s="69"/>
      <c r="AS108" s="69"/>
      <c r="AT108" s="69"/>
      <c r="AU108" s="69"/>
      <c r="AV108" s="69"/>
      <c r="AW108" s="69"/>
      <c r="AX108" s="69"/>
      <c r="AY108" s="69"/>
      <c r="AZ108" s="69"/>
      <c r="BA108" s="69"/>
      <c r="BB108" s="69"/>
      <c r="BC108" s="69"/>
      <c r="BD108" s="69"/>
      <c r="BE108" s="69"/>
      <c r="BF108" s="69"/>
      <c r="BG108" s="69"/>
      <c r="BH108" s="69"/>
      <c r="BI108" s="69"/>
      <c r="BJ108" s="69"/>
      <c r="BK108" s="69"/>
      <c r="BL108" s="69"/>
      <c r="BM108" s="69"/>
      <c r="BN108" s="69"/>
      <c r="BO108" s="69"/>
      <c r="BP108" s="70"/>
    </row>
    <row r="109" spans="1:68" s="1" customFormat="1" ht="30.75" customHeight="1">
      <c r="A109" s="74">
        <f t="shared" si="1"/>
        <v>101</v>
      </c>
      <c r="B109" s="75"/>
      <c r="C109" s="76"/>
      <c r="D109" s="71" t="s">
        <v>459</v>
      </c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3"/>
      <c r="AA109" s="74" t="s">
        <v>280</v>
      </c>
      <c r="AB109" s="75"/>
      <c r="AC109" s="75"/>
      <c r="AD109" s="75"/>
      <c r="AE109" s="76"/>
      <c r="AF109" s="86">
        <v>14</v>
      </c>
      <c r="AG109" s="86"/>
      <c r="AH109" s="86"/>
      <c r="AI109" s="86"/>
      <c r="AJ109" s="86"/>
      <c r="AK109" s="86"/>
      <c r="AL109" s="68"/>
      <c r="AM109" s="69"/>
      <c r="AN109" s="69"/>
      <c r="AO109" s="69"/>
      <c r="AP109" s="69"/>
      <c r="AQ109" s="69"/>
      <c r="AR109" s="69"/>
      <c r="AS109" s="69"/>
      <c r="AT109" s="69"/>
      <c r="AU109" s="69"/>
      <c r="AV109" s="69"/>
      <c r="AW109" s="69"/>
      <c r="AX109" s="69"/>
      <c r="AY109" s="69"/>
      <c r="AZ109" s="69"/>
      <c r="BA109" s="69"/>
      <c r="BB109" s="69"/>
      <c r="BC109" s="69"/>
      <c r="BD109" s="69"/>
      <c r="BE109" s="69"/>
      <c r="BF109" s="69"/>
      <c r="BG109" s="69"/>
      <c r="BH109" s="69"/>
      <c r="BI109" s="69"/>
      <c r="BJ109" s="69"/>
      <c r="BK109" s="69"/>
      <c r="BL109" s="69"/>
      <c r="BM109" s="69"/>
      <c r="BN109" s="69"/>
      <c r="BO109" s="69"/>
      <c r="BP109" s="70"/>
    </row>
    <row r="110" spans="1:68" s="1" customFormat="1" ht="30.75" customHeight="1">
      <c r="A110" s="74">
        <f t="shared" si="1"/>
        <v>102</v>
      </c>
      <c r="B110" s="75"/>
      <c r="C110" s="76"/>
      <c r="D110" s="71" t="s">
        <v>460</v>
      </c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3"/>
      <c r="AA110" s="74" t="s">
        <v>280</v>
      </c>
      <c r="AB110" s="75"/>
      <c r="AC110" s="75"/>
      <c r="AD110" s="75"/>
      <c r="AE110" s="76"/>
      <c r="AF110" s="86">
        <v>14</v>
      </c>
      <c r="AG110" s="86"/>
      <c r="AH110" s="86"/>
      <c r="AI110" s="86"/>
      <c r="AJ110" s="86"/>
      <c r="AK110" s="86"/>
      <c r="AL110" s="68"/>
      <c r="AM110" s="69"/>
      <c r="AN110" s="69"/>
      <c r="AO110" s="69"/>
      <c r="AP110" s="69"/>
      <c r="AQ110" s="69"/>
      <c r="AR110" s="69"/>
      <c r="AS110" s="69"/>
      <c r="AT110" s="69"/>
      <c r="AU110" s="69"/>
      <c r="AV110" s="69"/>
      <c r="AW110" s="69"/>
      <c r="AX110" s="69"/>
      <c r="AY110" s="69"/>
      <c r="AZ110" s="69"/>
      <c r="BA110" s="69"/>
      <c r="BB110" s="69"/>
      <c r="BC110" s="69"/>
      <c r="BD110" s="69"/>
      <c r="BE110" s="69"/>
      <c r="BF110" s="69"/>
      <c r="BG110" s="69"/>
      <c r="BH110" s="69"/>
      <c r="BI110" s="69"/>
      <c r="BJ110" s="69"/>
      <c r="BK110" s="69"/>
      <c r="BL110" s="69"/>
      <c r="BM110" s="69"/>
      <c r="BN110" s="69"/>
      <c r="BO110" s="69"/>
      <c r="BP110" s="70"/>
    </row>
    <row r="111" spans="1:68" s="1" customFormat="1" ht="30.75" customHeight="1">
      <c r="A111" s="74">
        <f t="shared" si="1"/>
        <v>103</v>
      </c>
      <c r="B111" s="75"/>
      <c r="C111" s="76"/>
      <c r="D111" s="71" t="s">
        <v>461</v>
      </c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3"/>
      <c r="AA111" s="74" t="s">
        <v>280</v>
      </c>
      <c r="AB111" s="75"/>
      <c r="AC111" s="75"/>
      <c r="AD111" s="75"/>
      <c r="AE111" s="76"/>
      <c r="AF111" s="86" t="s">
        <v>1444</v>
      </c>
      <c r="AG111" s="86"/>
      <c r="AH111" s="86"/>
      <c r="AI111" s="86"/>
      <c r="AJ111" s="86"/>
      <c r="AK111" s="86"/>
      <c r="AL111" s="68"/>
      <c r="AM111" s="69"/>
      <c r="AN111" s="69"/>
      <c r="AO111" s="69"/>
      <c r="AP111" s="69"/>
      <c r="AQ111" s="69"/>
      <c r="AR111" s="69"/>
      <c r="AS111" s="69"/>
      <c r="AT111" s="69"/>
      <c r="AU111" s="69"/>
      <c r="AV111" s="69"/>
      <c r="AW111" s="69"/>
      <c r="AX111" s="69"/>
      <c r="AY111" s="69"/>
      <c r="AZ111" s="69"/>
      <c r="BA111" s="69"/>
      <c r="BB111" s="69"/>
      <c r="BC111" s="69"/>
      <c r="BD111" s="69"/>
      <c r="BE111" s="69"/>
      <c r="BF111" s="69"/>
      <c r="BG111" s="69"/>
      <c r="BH111" s="69"/>
      <c r="BI111" s="69"/>
      <c r="BJ111" s="69"/>
      <c r="BK111" s="69"/>
      <c r="BL111" s="69"/>
      <c r="BM111" s="69"/>
      <c r="BN111" s="69"/>
      <c r="BO111" s="69"/>
      <c r="BP111" s="70"/>
    </row>
    <row r="112" spans="1:68" s="1" customFormat="1" ht="30.75" customHeight="1">
      <c r="A112" s="74">
        <f t="shared" si="1"/>
        <v>104</v>
      </c>
      <c r="B112" s="75"/>
      <c r="C112" s="76"/>
      <c r="D112" s="71" t="s">
        <v>462</v>
      </c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3"/>
      <c r="AA112" s="74" t="s">
        <v>280</v>
      </c>
      <c r="AB112" s="75"/>
      <c r="AC112" s="75"/>
      <c r="AD112" s="75"/>
      <c r="AE112" s="76"/>
      <c r="AF112" s="86">
        <v>14</v>
      </c>
      <c r="AG112" s="86"/>
      <c r="AH112" s="86"/>
      <c r="AI112" s="86"/>
      <c r="AJ112" s="86"/>
      <c r="AK112" s="86"/>
      <c r="AL112" s="68"/>
      <c r="AM112" s="69"/>
      <c r="AN112" s="69"/>
      <c r="AO112" s="69"/>
      <c r="AP112" s="69"/>
      <c r="AQ112" s="69"/>
      <c r="AR112" s="69"/>
      <c r="AS112" s="69"/>
      <c r="AT112" s="69"/>
      <c r="AU112" s="69"/>
      <c r="AV112" s="69"/>
      <c r="AW112" s="69"/>
      <c r="AX112" s="69"/>
      <c r="AY112" s="69"/>
      <c r="AZ112" s="69"/>
      <c r="BA112" s="69"/>
      <c r="BB112" s="69"/>
      <c r="BC112" s="69"/>
      <c r="BD112" s="69"/>
      <c r="BE112" s="69"/>
      <c r="BF112" s="69"/>
      <c r="BG112" s="69"/>
      <c r="BH112" s="69"/>
      <c r="BI112" s="69"/>
      <c r="BJ112" s="69"/>
      <c r="BK112" s="69"/>
      <c r="BL112" s="69"/>
      <c r="BM112" s="69"/>
      <c r="BN112" s="69"/>
      <c r="BO112" s="69"/>
      <c r="BP112" s="70"/>
    </row>
    <row r="113" spans="1:68" s="1" customFormat="1" ht="30.75" customHeight="1">
      <c r="A113" s="74">
        <f t="shared" si="1"/>
        <v>105</v>
      </c>
      <c r="B113" s="75"/>
      <c r="C113" s="76"/>
      <c r="D113" s="71" t="s">
        <v>1042</v>
      </c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3"/>
      <c r="AA113" s="74" t="s">
        <v>280</v>
      </c>
      <c r="AB113" s="75"/>
      <c r="AC113" s="75"/>
      <c r="AD113" s="75"/>
      <c r="AE113" s="76"/>
      <c r="AF113" s="86" t="s">
        <v>1444</v>
      </c>
      <c r="AG113" s="86"/>
      <c r="AH113" s="86"/>
      <c r="AI113" s="86"/>
      <c r="AJ113" s="86"/>
      <c r="AK113" s="86"/>
      <c r="AL113" s="68"/>
      <c r="AM113" s="69"/>
      <c r="AN113" s="69"/>
      <c r="AO113" s="69"/>
      <c r="AP113" s="69"/>
      <c r="AQ113" s="69"/>
      <c r="AR113" s="69"/>
      <c r="AS113" s="69"/>
      <c r="AT113" s="69"/>
      <c r="AU113" s="69"/>
      <c r="AV113" s="69"/>
      <c r="AW113" s="69"/>
      <c r="AX113" s="69"/>
      <c r="AY113" s="69"/>
      <c r="AZ113" s="69"/>
      <c r="BA113" s="69"/>
      <c r="BB113" s="69"/>
      <c r="BC113" s="69"/>
      <c r="BD113" s="69"/>
      <c r="BE113" s="69"/>
      <c r="BF113" s="69"/>
      <c r="BG113" s="69"/>
      <c r="BH113" s="69"/>
      <c r="BI113" s="69"/>
      <c r="BJ113" s="69"/>
      <c r="BK113" s="69"/>
      <c r="BL113" s="69"/>
      <c r="BM113" s="69"/>
      <c r="BN113" s="69"/>
      <c r="BO113" s="69"/>
      <c r="BP113" s="70"/>
    </row>
    <row r="114" spans="1:68" s="1" customFormat="1" ht="30.75" customHeight="1">
      <c r="A114" s="74">
        <f t="shared" si="1"/>
        <v>106</v>
      </c>
      <c r="B114" s="75"/>
      <c r="C114" s="76"/>
      <c r="D114" s="71" t="s">
        <v>463</v>
      </c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3"/>
      <c r="AA114" s="74" t="s">
        <v>280</v>
      </c>
      <c r="AB114" s="75"/>
      <c r="AC114" s="75"/>
      <c r="AD114" s="75"/>
      <c r="AE114" s="76"/>
      <c r="AF114" s="86">
        <v>14</v>
      </c>
      <c r="AG114" s="86"/>
      <c r="AH114" s="86"/>
      <c r="AI114" s="86"/>
      <c r="AJ114" s="86"/>
      <c r="AK114" s="86"/>
      <c r="AL114" s="68"/>
      <c r="AM114" s="69"/>
      <c r="AN114" s="69"/>
      <c r="AO114" s="69"/>
      <c r="AP114" s="69"/>
      <c r="AQ114" s="69"/>
      <c r="AR114" s="69"/>
      <c r="AS114" s="69"/>
      <c r="AT114" s="69"/>
      <c r="AU114" s="69"/>
      <c r="AV114" s="69"/>
      <c r="AW114" s="69"/>
      <c r="AX114" s="69"/>
      <c r="AY114" s="69"/>
      <c r="AZ114" s="69"/>
      <c r="BA114" s="69"/>
      <c r="BB114" s="69"/>
      <c r="BC114" s="69"/>
      <c r="BD114" s="69"/>
      <c r="BE114" s="69"/>
      <c r="BF114" s="69"/>
      <c r="BG114" s="69"/>
      <c r="BH114" s="69"/>
      <c r="BI114" s="69"/>
      <c r="BJ114" s="69"/>
      <c r="BK114" s="69"/>
      <c r="BL114" s="69"/>
      <c r="BM114" s="69"/>
      <c r="BN114" s="69"/>
      <c r="BO114" s="69"/>
      <c r="BP114" s="70"/>
    </row>
    <row r="115" spans="1:68" s="1" customFormat="1" ht="30.75" customHeight="1">
      <c r="A115" s="74">
        <f t="shared" si="1"/>
        <v>107</v>
      </c>
      <c r="B115" s="75"/>
      <c r="C115" s="76"/>
      <c r="D115" s="71" t="s">
        <v>464</v>
      </c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3"/>
      <c r="AA115" s="74" t="s">
        <v>280</v>
      </c>
      <c r="AB115" s="75"/>
      <c r="AC115" s="75"/>
      <c r="AD115" s="75"/>
      <c r="AE115" s="76"/>
      <c r="AF115" s="86">
        <v>14</v>
      </c>
      <c r="AG115" s="86"/>
      <c r="AH115" s="86"/>
      <c r="AI115" s="86"/>
      <c r="AJ115" s="86"/>
      <c r="AK115" s="86"/>
      <c r="AL115" s="68"/>
      <c r="AM115" s="69"/>
      <c r="AN115" s="69"/>
      <c r="AO115" s="69"/>
      <c r="AP115" s="69"/>
      <c r="AQ115" s="69"/>
      <c r="AR115" s="69"/>
      <c r="AS115" s="69"/>
      <c r="AT115" s="69"/>
      <c r="AU115" s="69"/>
      <c r="AV115" s="69"/>
      <c r="AW115" s="69"/>
      <c r="AX115" s="69"/>
      <c r="AY115" s="69"/>
      <c r="AZ115" s="69"/>
      <c r="BA115" s="69"/>
      <c r="BB115" s="69"/>
      <c r="BC115" s="69"/>
      <c r="BD115" s="69"/>
      <c r="BE115" s="69"/>
      <c r="BF115" s="69"/>
      <c r="BG115" s="69"/>
      <c r="BH115" s="69"/>
      <c r="BI115" s="69"/>
      <c r="BJ115" s="69"/>
      <c r="BK115" s="69"/>
      <c r="BL115" s="69"/>
      <c r="BM115" s="69"/>
      <c r="BN115" s="69"/>
      <c r="BO115" s="69"/>
      <c r="BP115" s="70"/>
    </row>
    <row r="116" spans="1:68" s="1" customFormat="1" ht="30.75" customHeight="1">
      <c r="A116" s="74">
        <f t="shared" si="1"/>
        <v>108</v>
      </c>
      <c r="B116" s="75"/>
      <c r="C116" s="76"/>
      <c r="D116" s="71" t="s">
        <v>465</v>
      </c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3"/>
      <c r="AA116" s="74" t="s">
        <v>280</v>
      </c>
      <c r="AB116" s="75"/>
      <c r="AC116" s="75"/>
      <c r="AD116" s="75"/>
      <c r="AE116" s="76"/>
      <c r="AF116" s="86">
        <v>14</v>
      </c>
      <c r="AG116" s="86"/>
      <c r="AH116" s="86"/>
      <c r="AI116" s="86"/>
      <c r="AJ116" s="86"/>
      <c r="AK116" s="86"/>
      <c r="AL116" s="68"/>
      <c r="AM116" s="69"/>
      <c r="AN116" s="69"/>
      <c r="AO116" s="69"/>
      <c r="AP116" s="69"/>
      <c r="AQ116" s="69"/>
      <c r="AR116" s="69"/>
      <c r="AS116" s="69"/>
      <c r="AT116" s="69"/>
      <c r="AU116" s="69"/>
      <c r="AV116" s="69"/>
      <c r="AW116" s="69"/>
      <c r="AX116" s="69"/>
      <c r="AY116" s="69"/>
      <c r="AZ116" s="69"/>
      <c r="BA116" s="69"/>
      <c r="BB116" s="69"/>
      <c r="BC116" s="69"/>
      <c r="BD116" s="69"/>
      <c r="BE116" s="69"/>
      <c r="BF116" s="69"/>
      <c r="BG116" s="69"/>
      <c r="BH116" s="69"/>
      <c r="BI116" s="69"/>
      <c r="BJ116" s="69"/>
      <c r="BK116" s="69"/>
      <c r="BL116" s="69"/>
      <c r="BM116" s="69"/>
      <c r="BN116" s="69"/>
      <c r="BO116" s="69"/>
      <c r="BP116" s="70"/>
    </row>
    <row r="117" spans="1:68" s="1" customFormat="1" ht="30.75" customHeight="1">
      <c r="A117" s="74">
        <f t="shared" si="1"/>
        <v>109</v>
      </c>
      <c r="B117" s="75"/>
      <c r="C117" s="76"/>
      <c r="D117" s="71" t="s">
        <v>466</v>
      </c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3"/>
      <c r="AA117" s="74" t="s">
        <v>280</v>
      </c>
      <c r="AB117" s="75"/>
      <c r="AC117" s="75"/>
      <c r="AD117" s="75"/>
      <c r="AE117" s="76"/>
      <c r="AF117" s="86">
        <v>14</v>
      </c>
      <c r="AG117" s="86"/>
      <c r="AH117" s="86"/>
      <c r="AI117" s="86"/>
      <c r="AJ117" s="86"/>
      <c r="AK117" s="86"/>
      <c r="AL117" s="68"/>
      <c r="AM117" s="69"/>
      <c r="AN117" s="69"/>
      <c r="AO117" s="69"/>
      <c r="AP117" s="69"/>
      <c r="AQ117" s="69"/>
      <c r="AR117" s="69"/>
      <c r="AS117" s="69"/>
      <c r="AT117" s="69"/>
      <c r="AU117" s="69"/>
      <c r="AV117" s="69"/>
      <c r="AW117" s="69"/>
      <c r="AX117" s="69"/>
      <c r="AY117" s="69"/>
      <c r="AZ117" s="69"/>
      <c r="BA117" s="69"/>
      <c r="BB117" s="69"/>
      <c r="BC117" s="69"/>
      <c r="BD117" s="69"/>
      <c r="BE117" s="69"/>
      <c r="BF117" s="69"/>
      <c r="BG117" s="69"/>
      <c r="BH117" s="69"/>
      <c r="BI117" s="69"/>
      <c r="BJ117" s="69"/>
      <c r="BK117" s="69"/>
      <c r="BL117" s="69"/>
      <c r="BM117" s="69"/>
      <c r="BN117" s="69"/>
      <c r="BO117" s="69"/>
      <c r="BP117" s="70"/>
    </row>
    <row r="118" spans="1:68" s="1" customFormat="1" ht="30.75" customHeight="1">
      <c r="A118" s="74">
        <f t="shared" si="1"/>
        <v>110</v>
      </c>
      <c r="B118" s="75"/>
      <c r="C118" s="76"/>
      <c r="D118" s="71" t="s">
        <v>467</v>
      </c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3"/>
      <c r="AA118" s="74" t="s">
        <v>280</v>
      </c>
      <c r="AB118" s="75"/>
      <c r="AC118" s="75"/>
      <c r="AD118" s="75"/>
      <c r="AE118" s="76"/>
      <c r="AF118" s="86">
        <v>14</v>
      </c>
      <c r="AG118" s="86"/>
      <c r="AH118" s="86"/>
      <c r="AI118" s="86"/>
      <c r="AJ118" s="86"/>
      <c r="AK118" s="86"/>
      <c r="AL118" s="68"/>
      <c r="AM118" s="69"/>
      <c r="AN118" s="69"/>
      <c r="AO118" s="69"/>
      <c r="AP118" s="69"/>
      <c r="AQ118" s="69"/>
      <c r="AR118" s="69"/>
      <c r="AS118" s="69"/>
      <c r="AT118" s="69"/>
      <c r="AU118" s="69"/>
      <c r="AV118" s="69"/>
      <c r="AW118" s="69"/>
      <c r="AX118" s="69"/>
      <c r="AY118" s="69"/>
      <c r="AZ118" s="69"/>
      <c r="BA118" s="69"/>
      <c r="BB118" s="69"/>
      <c r="BC118" s="69"/>
      <c r="BD118" s="69"/>
      <c r="BE118" s="69"/>
      <c r="BF118" s="69"/>
      <c r="BG118" s="69"/>
      <c r="BH118" s="69"/>
      <c r="BI118" s="69"/>
      <c r="BJ118" s="69"/>
      <c r="BK118" s="69"/>
      <c r="BL118" s="69"/>
      <c r="BM118" s="69"/>
      <c r="BN118" s="69"/>
      <c r="BO118" s="69"/>
      <c r="BP118" s="70"/>
    </row>
    <row r="119" spans="1:68" s="1" customFormat="1" ht="30.75" customHeight="1">
      <c r="A119" s="74">
        <f t="shared" si="1"/>
        <v>111</v>
      </c>
      <c r="B119" s="75"/>
      <c r="C119" s="76"/>
      <c r="D119" s="71" t="s">
        <v>468</v>
      </c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3"/>
      <c r="AA119" s="74" t="s">
        <v>280</v>
      </c>
      <c r="AB119" s="75"/>
      <c r="AC119" s="75"/>
      <c r="AD119" s="75"/>
      <c r="AE119" s="76"/>
      <c r="AF119" s="86">
        <v>14</v>
      </c>
      <c r="AG119" s="86"/>
      <c r="AH119" s="86"/>
      <c r="AI119" s="86"/>
      <c r="AJ119" s="86"/>
      <c r="AK119" s="86"/>
      <c r="AL119" s="68"/>
      <c r="AM119" s="69"/>
      <c r="AN119" s="69"/>
      <c r="AO119" s="69"/>
      <c r="AP119" s="69"/>
      <c r="AQ119" s="69"/>
      <c r="AR119" s="69"/>
      <c r="AS119" s="69"/>
      <c r="AT119" s="69"/>
      <c r="AU119" s="69"/>
      <c r="AV119" s="69"/>
      <c r="AW119" s="69"/>
      <c r="AX119" s="69"/>
      <c r="AY119" s="69"/>
      <c r="AZ119" s="69"/>
      <c r="BA119" s="69"/>
      <c r="BB119" s="69"/>
      <c r="BC119" s="69"/>
      <c r="BD119" s="69"/>
      <c r="BE119" s="69"/>
      <c r="BF119" s="69"/>
      <c r="BG119" s="69"/>
      <c r="BH119" s="69"/>
      <c r="BI119" s="69"/>
      <c r="BJ119" s="69"/>
      <c r="BK119" s="69"/>
      <c r="BL119" s="69"/>
      <c r="BM119" s="69"/>
      <c r="BN119" s="69"/>
      <c r="BO119" s="69"/>
      <c r="BP119" s="70"/>
    </row>
    <row r="120" spans="1:68" s="1" customFormat="1" ht="30.75" customHeight="1">
      <c r="A120" s="74">
        <f t="shared" si="1"/>
        <v>112</v>
      </c>
      <c r="B120" s="75"/>
      <c r="C120" s="76"/>
      <c r="D120" s="71" t="s">
        <v>1312</v>
      </c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3"/>
      <c r="AA120" s="74" t="s">
        <v>280</v>
      </c>
      <c r="AB120" s="75"/>
      <c r="AC120" s="75"/>
      <c r="AD120" s="75"/>
      <c r="AE120" s="76"/>
      <c r="AF120" s="86" t="s">
        <v>1504</v>
      </c>
      <c r="AG120" s="86"/>
      <c r="AH120" s="86"/>
      <c r="AI120" s="86"/>
      <c r="AJ120" s="86"/>
      <c r="AK120" s="86"/>
      <c r="AL120" s="68"/>
      <c r="AM120" s="69"/>
      <c r="AN120" s="69"/>
      <c r="AO120" s="69"/>
      <c r="AP120" s="69"/>
      <c r="AQ120" s="69"/>
      <c r="AR120" s="69"/>
      <c r="AS120" s="69"/>
      <c r="AT120" s="69"/>
      <c r="AU120" s="69"/>
      <c r="AV120" s="69"/>
      <c r="AW120" s="69"/>
      <c r="AX120" s="69"/>
      <c r="AY120" s="69"/>
      <c r="AZ120" s="69"/>
      <c r="BA120" s="69"/>
      <c r="BB120" s="69"/>
      <c r="BC120" s="69"/>
      <c r="BD120" s="69"/>
      <c r="BE120" s="69"/>
      <c r="BF120" s="69"/>
      <c r="BG120" s="69"/>
      <c r="BH120" s="69"/>
      <c r="BI120" s="69"/>
      <c r="BJ120" s="69"/>
      <c r="BK120" s="69"/>
      <c r="BL120" s="69"/>
      <c r="BM120" s="69"/>
      <c r="BN120" s="69"/>
      <c r="BO120" s="69"/>
      <c r="BP120" s="70"/>
    </row>
    <row r="121" spans="1:68" s="1" customFormat="1" ht="30.75" customHeight="1">
      <c r="A121" s="74">
        <f t="shared" si="1"/>
        <v>113</v>
      </c>
      <c r="B121" s="75"/>
      <c r="C121" s="76"/>
      <c r="D121" s="71" t="s">
        <v>469</v>
      </c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3"/>
      <c r="AA121" s="74" t="s">
        <v>280</v>
      </c>
      <c r="AB121" s="75"/>
      <c r="AC121" s="75"/>
      <c r="AD121" s="75"/>
      <c r="AE121" s="76"/>
      <c r="AF121" s="86" t="s">
        <v>1504</v>
      </c>
      <c r="AG121" s="86"/>
      <c r="AH121" s="86"/>
      <c r="AI121" s="86"/>
      <c r="AJ121" s="86"/>
      <c r="AK121" s="86"/>
      <c r="AL121" s="68"/>
      <c r="AM121" s="69"/>
      <c r="AN121" s="69"/>
      <c r="AO121" s="69"/>
      <c r="AP121" s="69"/>
      <c r="AQ121" s="69"/>
      <c r="AR121" s="69"/>
      <c r="AS121" s="69"/>
      <c r="AT121" s="69"/>
      <c r="AU121" s="69"/>
      <c r="AV121" s="69"/>
      <c r="AW121" s="69"/>
      <c r="AX121" s="69"/>
      <c r="AY121" s="69"/>
      <c r="AZ121" s="69"/>
      <c r="BA121" s="69"/>
      <c r="BB121" s="69"/>
      <c r="BC121" s="69"/>
      <c r="BD121" s="69"/>
      <c r="BE121" s="69"/>
      <c r="BF121" s="69"/>
      <c r="BG121" s="69"/>
      <c r="BH121" s="69"/>
      <c r="BI121" s="69"/>
      <c r="BJ121" s="69"/>
      <c r="BK121" s="69"/>
      <c r="BL121" s="69"/>
      <c r="BM121" s="69"/>
      <c r="BN121" s="69"/>
      <c r="BO121" s="69"/>
      <c r="BP121" s="70"/>
    </row>
    <row r="122" spans="1:68" s="1" customFormat="1" ht="30.75" customHeight="1">
      <c r="A122" s="74">
        <f t="shared" si="1"/>
        <v>114</v>
      </c>
      <c r="B122" s="75"/>
      <c r="C122" s="76"/>
      <c r="D122" s="71" t="s">
        <v>474</v>
      </c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3"/>
      <c r="AA122" s="74" t="s">
        <v>348</v>
      </c>
      <c r="AB122" s="75"/>
      <c r="AC122" s="75"/>
      <c r="AD122" s="75"/>
      <c r="AE122" s="76"/>
      <c r="AF122" s="86"/>
      <c r="AG122" s="86"/>
      <c r="AH122" s="86"/>
      <c r="AI122" s="86"/>
      <c r="AJ122" s="86"/>
      <c r="AK122" s="86"/>
      <c r="AL122" s="68"/>
      <c r="AM122" s="69"/>
      <c r="AN122" s="69"/>
      <c r="AO122" s="69"/>
      <c r="AP122" s="69"/>
      <c r="AQ122" s="69"/>
      <c r="AR122" s="69"/>
      <c r="AS122" s="69"/>
      <c r="AT122" s="69"/>
      <c r="AU122" s="69"/>
      <c r="AV122" s="69"/>
      <c r="AW122" s="69"/>
      <c r="AX122" s="69"/>
      <c r="AY122" s="69"/>
      <c r="AZ122" s="69"/>
      <c r="BA122" s="69"/>
      <c r="BB122" s="69"/>
      <c r="BC122" s="69"/>
      <c r="BD122" s="69"/>
      <c r="BE122" s="69"/>
      <c r="BF122" s="69"/>
      <c r="BG122" s="69"/>
      <c r="BH122" s="69"/>
      <c r="BI122" s="69"/>
      <c r="BJ122" s="69"/>
      <c r="BK122" s="69"/>
      <c r="BL122" s="69"/>
      <c r="BM122" s="69"/>
      <c r="BN122" s="69"/>
      <c r="BO122" s="69"/>
      <c r="BP122" s="70"/>
    </row>
    <row r="123" spans="1:68" s="1" customFormat="1" ht="30.75" customHeight="1">
      <c r="A123" s="74">
        <f t="shared" si="1"/>
        <v>115</v>
      </c>
      <c r="B123" s="75"/>
      <c r="C123" s="76"/>
      <c r="D123" s="71" t="s">
        <v>471</v>
      </c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3"/>
      <c r="AA123" s="74" t="s">
        <v>475</v>
      </c>
      <c r="AB123" s="75"/>
      <c r="AC123" s="75"/>
      <c r="AD123" s="75"/>
      <c r="AE123" s="76"/>
      <c r="AF123" s="86">
        <v>8</v>
      </c>
      <c r="AG123" s="86"/>
      <c r="AH123" s="86"/>
      <c r="AI123" s="86"/>
      <c r="AJ123" s="86"/>
      <c r="AK123" s="86"/>
      <c r="AL123" s="68"/>
      <c r="AM123" s="69"/>
      <c r="AN123" s="69"/>
      <c r="AO123" s="69"/>
      <c r="AP123" s="69"/>
      <c r="AQ123" s="69"/>
      <c r="AR123" s="69"/>
      <c r="AS123" s="69"/>
      <c r="AT123" s="69"/>
      <c r="AU123" s="69"/>
      <c r="AV123" s="69"/>
      <c r="AW123" s="69"/>
      <c r="AX123" s="69"/>
      <c r="AY123" s="69"/>
      <c r="AZ123" s="69"/>
      <c r="BA123" s="69"/>
      <c r="BB123" s="69"/>
      <c r="BC123" s="69"/>
      <c r="BD123" s="69"/>
      <c r="BE123" s="69"/>
      <c r="BF123" s="69"/>
      <c r="BG123" s="69"/>
      <c r="BH123" s="69"/>
      <c r="BI123" s="69"/>
      <c r="BJ123" s="69"/>
      <c r="BK123" s="69"/>
      <c r="BL123" s="69"/>
      <c r="BM123" s="69"/>
      <c r="BN123" s="69"/>
      <c r="BO123" s="69"/>
      <c r="BP123" s="70"/>
    </row>
    <row r="124" spans="1:68" s="1" customFormat="1" ht="30.75" customHeight="1">
      <c r="A124" s="74">
        <f t="shared" si="1"/>
        <v>116</v>
      </c>
      <c r="B124" s="75"/>
      <c r="C124" s="76"/>
      <c r="D124" s="71" t="s">
        <v>453</v>
      </c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3"/>
      <c r="AA124" s="74" t="s">
        <v>280</v>
      </c>
      <c r="AB124" s="75"/>
      <c r="AC124" s="75"/>
      <c r="AD124" s="75"/>
      <c r="AE124" s="76"/>
      <c r="AF124" s="86" t="s">
        <v>1444</v>
      </c>
      <c r="AG124" s="86"/>
      <c r="AH124" s="86"/>
      <c r="AI124" s="86"/>
      <c r="AJ124" s="86"/>
      <c r="AK124" s="86"/>
      <c r="AL124" s="68"/>
      <c r="AM124" s="69"/>
      <c r="AN124" s="69"/>
      <c r="AO124" s="69"/>
      <c r="AP124" s="69"/>
      <c r="AQ124" s="69"/>
      <c r="AR124" s="69"/>
      <c r="AS124" s="69"/>
      <c r="AT124" s="69"/>
      <c r="AU124" s="69"/>
      <c r="AV124" s="69"/>
      <c r="AW124" s="69"/>
      <c r="AX124" s="69"/>
      <c r="AY124" s="69"/>
      <c r="AZ124" s="69"/>
      <c r="BA124" s="69"/>
      <c r="BB124" s="69"/>
      <c r="BC124" s="69"/>
      <c r="BD124" s="69"/>
      <c r="BE124" s="69"/>
      <c r="BF124" s="69"/>
      <c r="BG124" s="69"/>
      <c r="BH124" s="69"/>
      <c r="BI124" s="69"/>
      <c r="BJ124" s="69"/>
      <c r="BK124" s="69"/>
      <c r="BL124" s="69"/>
      <c r="BM124" s="69"/>
      <c r="BN124" s="69"/>
      <c r="BO124" s="69"/>
      <c r="BP124" s="70"/>
    </row>
    <row r="125" spans="1:68" s="1" customFormat="1" ht="30.75" customHeight="1">
      <c r="A125" s="74">
        <f t="shared" si="1"/>
        <v>117</v>
      </c>
      <c r="B125" s="75"/>
      <c r="C125" s="76"/>
      <c r="D125" s="71" t="s">
        <v>454</v>
      </c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3"/>
      <c r="AA125" s="74" t="s">
        <v>280</v>
      </c>
      <c r="AB125" s="75"/>
      <c r="AC125" s="75"/>
      <c r="AD125" s="75"/>
      <c r="AE125" s="76"/>
      <c r="AF125" s="86">
        <v>14</v>
      </c>
      <c r="AG125" s="86"/>
      <c r="AH125" s="86"/>
      <c r="AI125" s="86"/>
      <c r="AJ125" s="86"/>
      <c r="AK125" s="86"/>
      <c r="AL125" s="68"/>
      <c r="AM125" s="69"/>
      <c r="AN125" s="69"/>
      <c r="AO125" s="69"/>
      <c r="AP125" s="69"/>
      <c r="AQ125" s="69"/>
      <c r="AR125" s="69"/>
      <c r="AS125" s="69"/>
      <c r="AT125" s="69"/>
      <c r="AU125" s="69"/>
      <c r="AV125" s="69"/>
      <c r="AW125" s="69"/>
      <c r="AX125" s="69"/>
      <c r="AY125" s="69"/>
      <c r="AZ125" s="69"/>
      <c r="BA125" s="69"/>
      <c r="BB125" s="69"/>
      <c r="BC125" s="69"/>
      <c r="BD125" s="69"/>
      <c r="BE125" s="69"/>
      <c r="BF125" s="69"/>
      <c r="BG125" s="69"/>
      <c r="BH125" s="69"/>
      <c r="BI125" s="69"/>
      <c r="BJ125" s="69"/>
      <c r="BK125" s="69"/>
      <c r="BL125" s="69"/>
      <c r="BM125" s="69"/>
      <c r="BN125" s="69"/>
      <c r="BO125" s="69"/>
      <c r="BP125" s="70"/>
    </row>
    <row r="126" spans="1:68" s="1" customFormat="1" ht="30.75" customHeight="1">
      <c r="A126" s="74">
        <f t="shared" si="1"/>
        <v>118</v>
      </c>
      <c r="B126" s="75"/>
      <c r="C126" s="76"/>
      <c r="D126" s="71" t="s">
        <v>1040</v>
      </c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3"/>
      <c r="AA126" s="74" t="s">
        <v>280</v>
      </c>
      <c r="AB126" s="75"/>
      <c r="AC126" s="75"/>
      <c r="AD126" s="75"/>
      <c r="AE126" s="76"/>
      <c r="AF126" s="86" t="s">
        <v>1444</v>
      </c>
      <c r="AG126" s="86"/>
      <c r="AH126" s="86"/>
      <c r="AI126" s="86"/>
      <c r="AJ126" s="86"/>
      <c r="AK126" s="86"/>
      <c r="AL126" s="68"/>
      <c r="AM126" s="69"/>
      <c r="AN126" s="69"/>
      <c r="AO126" s="69"/>
      <c r="AP126" s="69"/>
      <c r="AQ126" s="69"/>
      <c r="AR126" s="69"/>
      <c r="AS126" s="69"/>
      <c r="AT126" s="69"/>
      <c r="AU126" s="69"/>
      <c r="AV126" s="69"/>
      <c r="AW126" s="69"/>
      <c r="AX126" s="69"/>
      <c r="AY126" s="69"/>
      <c r="AZ126" s="69"/>
      <c r="BA126" s="69"/>
      <c r="BB126" s="69"/>
      <c r="BC126" s="69"/>
      <c r="BD126" s="69"/>
      <c r="BE126" s="69"/>
      <c r="BF126" s="69"/>
      <c r="BG126" s="69"/>
      <c r="BH126" s="69"/>
      <c r="BI126" s="69"/>
      <c r="BJ126" s="69"/>
      <c r="BK126" s="69"/>
      <c r="BL126" s="69"/>
      <c r="BM126" s="69"/>
      <c r="BN126" s="69"/>
      <c r="BO126" s="69"/>
      <c r="BP126" s="70"/>
    </row>
    <row r="127" spans="1:68" s="1" customFormat="1" ht="30.75" customHeight="1">
      <c r="A127" s="74">
        <f t="shared" si="1"/>
        <v>119</v>
      </c>
      <c r="B127" s="75"/>
      <c r="C127" s="76"/>
      <c r="D127" s="71" t="s">
        <v>455</v>
      </c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3"/>
      <c r="AA127" s="74" t="s">
        <v>280</v>
      </c>
      <c r="AB127" s="75"/>
      <c r="AC127" s="75"/>
      <c r="AD127" s="75"/>
      <c r="AE127" s="76"/>
      <c r="AF127" s="86">
        <v>14</v>
      </c>
      <c r="AG127" s="86"/>
      <c r="AH127" s="86"/>
      <c r="AI127" s="86"/>
      <c r="AJ127" s="86"/>
      <c r="AK127" s="86"/>
      <c r="AL127" s="68"/>
      <c r="AM127" s="69"/>
      <c r="AN127" s="69"/>
      <c r="AO127" s="69"/>
      <c r="AP127" s="69"/>
      <c r="AQ127" s="69"/>
      <c r="AR127" s="69"/>
      <c r="AS127" s="69"/>
      <c r="AT127" s="69"/>
      <c r="AU127" s="69"/>
      <c r="AV127" s="69"/>
      <c r="AW127" s="69"/>
      <c r="AX127" s="69"/>
      <c r="AY127" s="69"/>
      <c r="AZ127" s="69"/>
      <c r="BA127" s="69"/>
      <c r="BB127" s="69"/>
      <c r="BC127" s="69"/>
      <c r="BD127" s="69"/>
      <c r="BE127" s="69"/>
      <c r="BF127" s="69"/>
      <c r="BG127" s="69"/>
      <c r="BH127" s="69"/>
      <c r="BI127" s="69"/>
      <c r="BJ127" s="69"/>
      <c r="BK127" s="69"/>
      <c r="BL127" s="69"/>
      <c r="BM127" s="69"/>
      <c r="BN127" s="69"/>
      <c r="BO127" s="69"/>
      <c r="BP127" s="70"/>
    </row>
    <row r="128" spans="1:68" s="1" customFormat="1" ht="30.75" customHeight="1">
      <c r="A128" s="74">
        <f t="shared" si="1"/>
        <v>120</v>
      </c>
      <c r="B128" s="75"/>
      <c r="C128" s="76"/>
      <c r="D128" s="71" t="s">
        <v>456</v>
      </c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3"/>
      <c r="AA128" s="74" t="s">
        <v>280</v>
      </c>
      <c r="AB128" s="75"/>
      <c r="AC128" s="75"/>
      <c r="AD128" s="75"/>
      <c r="AE128" s="76"/>
      <c r="AF128" s="86">
        <v>14</v>
      </c>
      <c r="AG128" s="86"/>
      <c r="AH128" s="86"/>
      <c r="AI128" s="86"/>
      <c r="AJ128" s="86"/>
      <c r="AK128" s="86"/>
      <c r="AL128" s="68"/>
      <c r="AM128" s="69"/>
      <c r="AN128" s="69"/>
      <c r="AO128" s="69"/>
      <c r="AP128" s="69"/>
      <c r="AQ128" s="69"/>
      <c r="AR128" s="69"/>
      <c r="AS128" s="69"/>
      <c r="AT128" s="69"/>
      <c r="AU128" s="69"/>
      <c r="AV128" s="69"/>
      <c r="AW128" s="69"/>
      <c r="AX128" s="69"/>
      <c r="AY128" s="69"/>
      <c r="AZ128" s="69"/>
      <c r="BA128" s="69"/>
      <c r="BB128" s="69"/>
      <c r="BC128" s="69"/>
      <c r="BD128" s="69"/>
      <c r="BE128" s="69"/>
      <c r="BF128" s="69"/>
      <c r="BG128" s="69"/>
      <c r="BH128" s="69"/>
      <c r="BI128" s="69"/>
      <c r="BJ128" s="69"/>
      <c r="BK128" s="69"/>
      <c r="BL128" s="69"/>
      <c r="BM128" s="69"/>
      <c r="BN128" s="69"/>
      <c r="BO128" s="69"/>
      <c r="BP128" s="70"/>
    </row>
    <row r="129" spans="1:68" s="1" customFormat="1" ht="30.75" customHeight="1">
      <c r="A129" s="74">
        <f t="shared" si="1"/>
        <v>121</v>
      </c>
      <c r="B129" s="75"/>
      <c r="C129" s="76"/>
      <c r="D129" s="71" t="s">
        <v>457</v>
      </c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3"/>
      <c r="AA129" s="74" t="s">
        <v>280</v>
      </c>
      <c r="AB129" s="75"/>
      <c r="AC129" s="75"/>
      <c r="AD129" s="75"/>
      <c r="AE129" s="76"/>
      <c r="AF129" s="86" t="s">
        <v>1444</v>
      </c>
      <c r="AG129" s="86"/>
      <c r="AH129" s="86"/>
      <c r="AI129" s="86"/>
      <c r="AJ129" s="86"/>
      <c r="AK129" s="86"/>
      <c r="AL129" s="68"/>
      <c r="AM129" s="69"/>
      <c r="AN129" s="69"/>
      <c r="AO129" s="69"/>
      <c r="AP129" s="69"/>
      <c r="AQ129" s="69"/>
      <c r="AR129" s="69"/>
      <c r="AS129" s="69"/>
      <c r="AT129" s="69"/>
      <c r="AU129" s="69"/>
      <c r="AV129" s="69"/>
      <c r="AW129" s="69"/>
      <c r="AX129" s="69"/>
      <c r="AY129" s="69"/>
      <c r="AZ129" s="69"/>
      <c r="BA129" s="69"/>
      <c r="BB129" s="69"/>
      <c r="BC129" s="69"/>
      <c r="BD129" s="69"/>
      <c r="BE129" s="69"/>
      <c r="BF129" s="69"/>
      <c r="BG129" s="69"/>
      <c r="BH129" s="69"/>
      <c r="BI129" s="69"/>
      <c r="BJ129" s="69"/>
      <c r="BK129" s="69"/>
      <c r="BL129" s="69"/>
      <c r="BM129" s="69"/>
      <c r="BN129" s="69"/>
      <c r="BO129" s="69"/>
      <c r="BP129" s="70"/>
    </row>
    <row r="130" spans="1:68" s="1" customFormat="1" ht="30.75" customHeight="1">
      <c r="A130" s="74">
        <f t="shared" si="1"/>
        <v>122</v>
      </c>
      <c r="B130" s="75"/>
      <c r="C130" s="76"/>
      <c r="D130" s="71" t="s">
        <v>458</v>
      </c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3"/>
      <c r="AA130" s="74" t="s">
        <v>280</v>
      </c>
      <c r="AB130" s="75"/>
      <c r="AC130" s="75"/>
      <c r="AD130" s="75"/>
      <c r="AE130" s="76"/>
      <c r="AF130" s="86">
        <v>14</v>
      </c>
      <c r="AG130" s="86"/>
      <c r="AH130" s="86"/>
      <c r="AI130" s="86"/>
      <c r="AJ130" s="86"/>
      <c r="AK130" s="86"/>
      <c r="AL130" s="68"/>
      <c r="AM130" s="69"/>
      <c r="AN130" s="69"/>
      <c r="AO130" s="69"/>
      <c r="AP130" s="69"/>
      <c r="AQ130" s="69"/>
      <c r="AR130" s="69"/>
      <c r="AS130" s="69"/>
      <c r="AT130" s="69"/>
      <c r="AU130" s="69"/>
      <c r="AV130" s="69"/>
      <c r="AW130" s="69"/>
      <c r="AX130" s="69"/>
      <c r="AY130" s="69"/>
      <c r="AZ130" s="69"/>
      <c r="BA130" s="69"/>
      <c r="BB130" s="69"/>
      <c r="BC130" s="69"/>
      <c r="BD130" s="69"/>
      <c r="BE130" s="69"/>
      <c r="BF130" s="69"/>
      <c r="BG130" s="69"/>
      <c r="BH130" s="69"/>
      <c r="BI130" s="69"/>
      <c r="BJ130" s="69"/>
      <c r="BK130" s="69"/>
      <c r="BL130" s="69"/>
      <c r="BM130" s="69"/>
      <c r="BN130" s="69"/>
      <c r="BO130" s="69"/>
      <c r="BP130" s="70"/>
    </row>
    <row r="131" spans="1:68" s="1" customFormat="1" ht="30.75" customHeight="1">
      <c r="A131" s="74">
        <f t="shared" si="1"/>
        <v>123</v>
      </c>
      <c r="B131" s="75"/>
      <c r="C131" s="76"/>
      <c r="D131" s="71" t="s">
        <v>1041</v>
      </c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3"/>
      <c r="AA131" s="74" t="s">
        <v>280</v>
      </c>
      <c r="AB131" s="75"/>
      <c r="AC131" s="75"/>
      <c r="AD131" s="75"/>
      <c r="AE131" s="76"/>
      <c r="AF131" s="86" t="s">
        <v>1444</v>
      </c>
      <c r="AG131" s="86"/>
      <c r="AH131" s="86"/>
      <c r="AI131" s="86"/>
      <c r="AJ131" s="86"/>
      <c r="AK131" s="86"/>
      <c r="AL131" s="68"/>
      <c r="AM131" s="69"/>
      <c r="AN131" s="69"/>
      <c r="AO131" s="69"/>
      <c r="AP131" s="69"/>
      <c r="AQ131" s="69"/>
      <c r="AR131" s="69"/>
      <c r="AS131" s="69"/>
      <c r="AT131" s="69"/>
      <c r="AU131" s="69"/>
      <c r="AV131" s="69"/>
      <c r="AW131" s="69"/>
      <c r="AX131" s="69"/>
      <c r="AY131" s="69"/>
      <c r="AZ131" s="69"/>
      <c r="BA131" s="69"/>
      <c r="BB131" s="69"/>
      <c r="BC131" s="69"/>
      <c r="BD131" s="69"/>
      <c r="BE131" s="69"/>
      <c r="BF131" s="69"/>
      <c r="BG131" s="69"/>
      <c r="BH131" s="69"/>
      <c r="BI131" s="69"/>
      <c r="BJ131" s="69"/>
      <c r="BK131" s="69"/>
      <c r="BL131" s="69"/>
      <c r="BM131" s="69"/>
      <c r="BN131" s="69"/>
      <c r="BO131" s="69"/>
      <c r="BP131" s="70"/>
    </row>
    <row r="132" spans="1:68" s="1" customFormat="1" ht="30.75" customHeight="1">
      <c r="A132" s="74">
        <f t="shared" si="1"/>
        <v>124</v>
      </c>
      <c r="B132" s="75"/>
      <c r="C132" s="76"/>
      <c r="D132" s="71" t="s">
        <v>459</v>
      </c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3"/>
      <c r="AA132" s="74" t="s">
        <v>280</v>
      </c>
      <c r="AB132" s="75"/>
      <c r="AC132" s="75"/>
      <c r="AD132" s="75"/>
      <c r="AE132" s="76"/>
      <c r="AF132" s="86">
        <v>14</v>
      </c>
      <c r="AG132" s="86"/>
      <c r="AH132" s="86"/>
      <c r="AI132" s="86"/>
      <c r="AJ132" s="86"/>
      <c r="AK132" s="86"/>
      <c r="AL132" s="68"/>
      <c r="AM132" s="69"/>
      <c r="AN132" s="69"/>
      <c r="AO132" s="69"/>
      <c r="AP132" s="69"/>
      <c r="AQ132" s="69"/>
      <c r="AR132" s="69"/>
      <c r="AS132" s="69"/>
      <c r="AT132" s="69"/>
      <c r="AU132" s="69"/>
      <c r="AV132" s="69"/>
      <c r="AW132" s="69"/>
      <c r="AX132" s="69"/>
      <c r="AY132" s="69"/>
      <c r="AZ132" s="69"/>
      <c r="BA132" s="69"/>
      <c r="BB132" s="69"/>
      <c r="BC132" s="69"/>
      <c r="BD132" s="69"/>
      <c r="BE132" s="69"/>
      <c r="BF132" s="69"/>
      <c r="BG132" s="69"/>
      <c r="BH132" s="69"/>
      <c r="BI132" s="69"/>
      <c r="BJ132" s="69"/>
      <c r="BK132" s="69"/>
      <c r="BL132" s="69"/>
      <c r="BM132" s="69"/>
      <c r="BN132" s="69"/>
      <c r="BO132" s="69"/>
      <c r="BP132" s="70"/>
    </row>
    <row r="133" spans="1:68" s="1" customFormat="1" ht="30.75" customHeight="1">
      <c r="A133" s="74">
        <f t="shared" si="1"/>
        <v>125</v>
      </c>
      <c r="B133" s="75"/>
      <c r="C133" s="76"/>
      <c r="D133" s="71" t="s">
        <v>460</v>
      </c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3"/>
      <c r="AA133" s="74" t="s">
        <v>280</v>
      </c>
      <c r="AB133" s="75"/>
      <c r="AC133" s="75"/>
      <c r="AD133" s="75"/>
      <c r="AE133" s="76"/>
      <c r="AF133" s="86">
        <v>14</v>
      </c>
      <c r="AG133" s="86"/>
      <c r="AH133" s="86"/>
      <c r="AI133" s="86"/>
      <c r="AJ133" s="86"/>
      <c r="AK133" s="86"/>
      <c r="AL133" s="68"/>
      <c r="AM133" s="69"/>
      <c r="AN133" s="69"/>
      <c r="AO133" s="69"/>
      <c r="AP133" s="69"/>
      <c r="AQ133" s="69"/>
      <c r="AR133" s="69"/>
      <c r="AS133" s="69"/>
      <c r="AT133" s="69"/>
      <c r="AU133" s="69"/>
      <c r="AV133" s="69"/>
      <c r="AW133" s="69"/>
      <c r="AX133" s="69"/>
      <c r="AY133" s="69"/>
      <c r="AZ133" s="69"/>
      <c r="BA133" s="69"/>
      <c r="BB133" s="69"/>
      <c r="BC133" s="69"/>
      <c r="BD133" s="69"/>
      <c r="BE133" s="69"/>
      <c r="BF133" s="69"/>
      <c r="BG133" s="69"/>
      <c r="BH133" s="69"/>
      <c r="BI133" s="69"/>
      <c r="BJ133" s="69"/>
      <c r="BK133" s="69"/>
      <c r="BL133" s="69"/>
      <c r="BM133" s="69"/>
      <c r="BN133" s="69"/>
      <c r="BO133" s="69"/>
      <c r="BP133" s="70"/>
    </row>
    <row r="134" spans="1:68" s="1" customFormat="1" ht="30.75" customHeight="1">
      <c r="A134" s="74">
        <f t="shared" si="1"/>
        <v>126</v>
      </c>
      <c r="B134" s="75"/>
      <c r="C134" s="76"/>
      <c r="D134" s="71" t="s">
        <v>461</v>
      </c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3"/>
      <c r="AA134" s="74" t="s">
        <v>280</v>
      </c>
      <c r="AB134" s="75"/>
      <c r="AC134" s="75"/>
      <c r="AD134" s="75"/>
      <c r="AE134" s="76"/>
      <c r="AF134" s="86" t="s">
        <v>1444</v>
      </c>
      <c r="AG134" s="86"/>
      <c r="AH134" s="86"/>
      <c r="AI134" s="86"/>
      <c r="AJ134" s="86"/>
      <c r="AK134" s="86"/>
      <c r="AL134" s="68"/>
      <c r="AM134" s="69"/>
      <c r="AN134" s="69"/>
      <c r="AO134" s="69"/>
      <c r="AP134" s="69"/>
      <c r="AQ134" s="69"/>
      <c r="AR134" s="69"/>
      <c r="AS134" s="69"/>
      <c r="AT134" s="69"/>
      <c r="AU134" s="69"/>
      <c r="AV134" s="69"/>
      <c r="AW134" s="69"/>
      <c r="AX134" s="69"/>
      <c r="AY134" s="69"/>
      <c r="AZ134" s="69"/>
      <c r="BA134" s="69"/>
      <c r="BB134" s="69"/>
      <c r="BC134" s="69"/>
      <c r="BD134" s="69"/>
      <c r="BE134" s="69"/>
      <c r="BF134" s="69"/>
      <c r="BG134" s="69"/>
      <c r="BH134" s="69"/>
      <c r="BI134" s="69"/>
      <c r="BJ134" s="69"/>
      <c r="BK134" s="69"/>
      <c r="BL134" s="69"/>
      <c r="BM134" s="69"/>
      <c r="BN134" s="69"/>
      <c r="BO134" s="69"/>
      <c r="BP134" s="70"/>
    </row>
    <row r="135" spans="1:68" s="1" customFormat="1" ht="30.75" customHeight="1">
      <c r="A135" s="74">
        <f t="shared" si="1"/>
        <v>127</v>
      </c>
      <c r="B135" s="75"/>
      <c r="C135" s="76"/>
      <c r="D135" s="71" t="s">
        <v>462</v>
      </c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3"/>
      <c r="AA135" s="74" t="s">
        <v>280</v>
      </c>
      <c r="AB135" s="75"/>
      <c r="AC135" s="75"/>
      <c r="AD135" s="75"/>
      <c r="AE135" s="76"/>
      <c r="AF135" s="86">
        <v>14</v>
      </c>
      <c r="AG135" s="86"/>
      <c r="AH135" s="86"/>
      <c r="AI135" s="86"/>
      <c r="AJ135" s="86"/>
      <c r="AK135" s="86"/>
      <c r="AL135" s="68"/>
      <c r="AM135" s="69"/>
      <c r="AN135" s="69"/>
      <c r="AO135" s="69"/>
      <c r="AP135" s="69"/>
      <c r="AQ135" s="69"/>
      <c r="AR135" s="69"/>
      <c r="AS135" s="69"/>
      <c r="AT135" s="69"/>
      <c r="AU135" s="69"/>
      <c r="AV135" s="69"/>
      <c r="AW135" s="69"/>
      <c r="AX135" s="69"/>
      <c r="AY135" s="69"/>
      <c r="AZ135" s="69"/>
      <c r="BA135" s="69"/>
      <c r="BB135" s="69"/>
      <c r="BC135" s="69"/>
      <c r="BD135" s="69"/>
      <c r="BE135" s="69"/>
      <c r="BF135" s="69"/>
      <c r="BG135" s="69"/>
      <c r="BH135" s="69"/>
      <c r="BI135" s="69"/>
      <c r="BJ135" s="69"/>
      <c r="BK135" s="69"/>
      <c r="BL135" s="69"/>
      <c r="BM135" s="69"/>
      <c r="BN135" s="69"/>
      <c r="BO135" s="69"/>
      <c r="BP135" s="70"/>
    </row>
    <row r="136" spans="1:68" s="1" customFormat="1" ht="30.75" customHeight="1">
      <c r="A136" s="74">
        <f t="shared" si="1"/>
        <v>128</v>
      </c>
      <c r="B136" s="75"/>
      <c r="C136" s="76"/>
      <c r="D136" s="71" t="s">
        <v>1042</v>
      </c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3"/>
      <c r="AA136" s="74" t="s">
        <v>280</v>
      </c>
      <c r="AB136" s="75"/>
      <c r="AC136" s="75"/>
      <c r="AD136" s="75"/>
      <c r="AE136" s="76"/>
      <c r="AF136" s="86" t="s">
        <v>1444</v>
      </c>
      <c r="AG136" s="86"/>
      <c r="AH136" s="86"/>
      <c r="AI136" s="86"/>
      <c r="AJ136" s="86"/>
      <c r="AK136" s="86"/>
      <c r="AL136" s="68"/>
      <c r="AM136" s="69"/>
      <c r="AN136" s="69"/>
      <c r="AO136" s="69"/>
      <c r="AP136" s="69"/>
      <c r="AQ136" s="69"/>
      <c r="AR136" s="69"/>
      <c r="AS136" s="69"/>
      <c r="AT136" s="69"/>
      <c r="AU136" s="69"/>
      <c r="AV136" s="69"/>
      <c r="AW136" s="69"/>
      <c r="AX136" s="69"/>
      <c r="AY136" s="69"/>
      <c r="AZ136" s="69"/>
      <c r="BA136" s="69"/>
      <c r="BB136" s="69"/>
      <c r="BC136" s="69"/>
      <c r="BD136" s="69"/>
      <c r="BE136" s="69"/>
      <c r="BF136" s="69"/>
      <c r="BG136" s="69"/>
      <c r="BH136" s="69"/>
      <c r="BI136" s="69"/>
      <c r="BJ136" s="69"/>
      <c r="BK136" s="69"/>
      <c r="BL136" s="69"/>
      <c r="BM136" s="69"/>
      <c r="BN136" s="69"/>
      <c r="BO136" s="69"/>
      <c r="BP136" s="70"/>
    </row>
    <row r="137" spans="1:68" s="1" customFormat="1" ht="30.75" customHeight="1">
      <c r="A137" s="74">
        <f t="shared" si="1"/>
        <v>129</v>
      </c>
      <c r="B137" s="75"/>
      <c r="C137" s="76"/>
      <c r="D137" s="71" t="s">
        <v>463</v>
      </c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3"/>
      <c r="AA137" s="74" t="s">
        <v>280</v>
      </c>
      <c r="AB137" s="75"/>
      <c r="AC137" s="75"/>
      <c r="AD137" s="75"/>
      <c r="AE137" s="76"/>
      <c r="AF137" s="86">
        <v>14</v>
      </c>
      <c r="AG137" s="86"/>
      <c r="AH137" s="86"/>
      <c r="AI137" s="86"/>
      <c r="AJ137" s="86"/>
      <c r="AK137" s="86"/>
      <c r="AL137" s="68"/>
      <c r="AM137" s="69"/>
      <c r="AN137" s="69"/>
      <c r="AO137" s="69"/>
      <c r="AP137" s="69"/>
      <c r="AQ137" s="69"/>
      <c r="AR137" s="69"/>
      <c r="AS137" s="69"/>
      <c r="AT137" s="69"/>
      <c r="AU137" s="69"/>
      <c r="AV137" s="69"/>
      <c r="AW137" s="69"/>
      <c r="AX137" s="69"/>
      <c r="AY137" s="69"/>
      <c r="AZ137" s="69"/>
      <c r="BA137" s="69"/>
      <c r="BB137" s="69"/>
      <c r="BC137" s="69"/>
      <c r="BD137" s="69"/>
      <c r="BE137" s="69"/>
      <c r="BF137" s="69"/>
      <c r="BG137" s="69"/>
      <c r="BH137" s="69"/>
      <c r="BI137" s="69"/>
      <c r="BJ137" s="69"/>
      <c r="BK137" s="69"/>
      <c r="BL137" s="69"/>
      <c r="BM137" s="69"/>
      <c r="BN137" s="69"/>
      <c r="BO137" s="69"/>
      <c r="BP137" s="70"/>
    </row>
    <row r="138" spans="1:68" s="1" customFormat="1" ht="30.75" customHeight="1">
      <c r="A138" s="74">
        <f t="shared" si="1"/>
        <v>130</v>
      </c>
      <c r="B138" s="75"/>
      <c r="C138" s="76"/>
      <c r="D138" s="71" t="s">
        <v>464</v>
      </c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3"/>
      <c r="AA138" s="74" t="s">
        <v>280</v>
      </c>
      <c r="AB138" s="75"/>
      <c r="AC138" s="75"/>
      <c r="AD138" s="75"/>
      <c r="AE138" s="76"/>
      <c r="AF138" s="86">
        <v>14</v>
      </c>
      <c r="AG138" s="86"/>
      <c r="AH138" s="86"/>
      <c r="AI138" s="86"/>
      <c r="AJ138" s="86"/>
      <c r="AK138" s="86"/>
      <c r="AL138" s="68"/>
      <c r="AM138" s="69"/>
      <c r="AN138" s="69"/>
      <c r="AO138" s="69"/>
      <c r="AP138" s="69"/>
      <c r="AQ138" s="69"/>
      <c r="AR138" s="69"/>
      <c r="AS138" s="69"/>
      <c r="AT138" s="69"/>
      <c r="AU138" s="69"/>
      <c r="AV138" s="69"/>
      <c r="AW138" s="69"/>
      <c r="AX138" s="69"/>
      <c r="AY138" s="69"/>
      <c r="AZ138" s="69"/>
      <c r="BA138" s="69"/>
      <c r="BB138" s="69"/>
      <c r="BC138" s="69"/>
      <c r="BD138" s="69"/>
      <c r="BE138" s="69"/>
      <c r="BF138" s="69"/>
      <c r="BG138" s="69"/>
      <c r="BH138" s="69"/>
      <c r="BI138" s="69"/>
      <c r="BJ138" s="69"/>
      <c r="BK138" s="69"/>
      <c r="BL138" s="69"/>
      <c r="BM138" s="69"/>
      <c r="BN138" s="69"/>
      <c r="BO138" s="69"/>
      <c r="BP138" s="70"/>
    </row>
    <row r="139" spans="1:68" s="1" customFormat="1" ht="30.75" customHeight="1">
      <c r="A139" s="74">
        <f t="shared" si="1"/>
        <v>131</v>
      </c>
      <c r="B139" s="75"/>
      <c r="C139" s="76"/>
      <c r="D139" s="71" t="s">
        <v>465</v>
      </c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3"/>
      <c r="AA139" s="74" t="s">
        <v>280</v>
      </c>
      <c r="AB139" s="75"/>
      <c r="AC139" s="75"/>
      <c r="AD139" s="75"/>
      <c r="AE139" s="76"/>
      <c r="AF139" s="86">
        <v>14</v>
      </c>
      <c r="AG139" s="86"/>
      <c r="AH139" s="86"/>
      <c r="AI139" s="86"/>
      <c r="AJ139" s="86"/>
      <c r="AK139" s="86"/>
      <c r="AL139" s="68"/>
      <c r="AM139" s="69"/>
      <c r="AN139" s="69"/>
      <c r="AO139" s="69"/>
      <c r="AP139" s="69"/>
      <c r="AQ139" s="69"/>
      <c r="AR139" s="69"/>
      <c r="AS139" s="69"/>
      <c r="AT139" s="69"/>
      <c r="AU139" s="69"/>
      <c r="AV139" s="69"/>
      <c r="AW139" s="69"/>
      <c r="AX139" s="69"/>
      <c r="AY139" s="69"/>
      <c r="AZ139" s="69"/>
      <c r="BA139" s="69"/>
      <c r="BB139" s="69"/>
      <c r="BC139" s="69"/>
      <c r="BD139" s="69"/>
      <c r="BE139" s="69"/>
      <c r="BF139" s="69"/>
      <c r="BG139" s="69"/>
      <c r="BH139" s="69"/>
      <c r="BI139" s="69"/>
      <c r="BJ139" s="69"/>
      <c r="BK139" s="69"/>
      <c r="BL139" s="69"/>
      <c r="BM139" s="69"/>
      <c r="BN139" s="69"/>
      <c r="BO139" s="69"/>
      <c r="BP139" s="70"/>
    </row>
    <row r="140" spans="1:68" s="1" customFormat="1" ht="30.75" customHeight="1">
      <c r="A140" s="74">
        <f t="shared" si="1"/>
        <v>132</v>
      </c>
      <c r="B140" s="75"/>
      <c r="C140" s="76"/>
      <c r="D140" s="71" t="s">
        <v>466</v>
      </c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3"/>
      <c r="AA140" s="74" t="s">
        <v>280</v>
      </c>
      <c r="AB140" s="75"/>
      <c r="AC140" s="75"/>
      <c r="AD140" s="75"/>
      <c r="AE140" s="76"/>
      <c r="AF140" s="86">
        <v>14</v>
      </c>
      <c r="AG140" s="86"/>
      <c r="AH140" s="86"/>
      <c r="AI140" s="86"/>
      <c r="AJ140" s="86"/>
      <c r="AK140" s="86"/>
      <c r="AL140" s="68"/>
      <c r="AM140" s="69"/>
      <c r="AN140" s="69"/>
      <c r="AO140" s="69"/>
      <c r="AP140" s="69"/>
      <c r="AQ140" s="69"/>
      <c r="AR140" s="69"/>
      <c r="AS140" s="69"/>
      <c r="AT140" s="69"/>
      <c r="AU140" s="69"/>
      <c r="AV140" s="69"/>
      <c r="AW140" s="69"/>
      <c r="AX140" s="69"/>
      <c r="AY140" s="69"/>
      <c r="AZ140" s="69"/>
      <c r="BA140" s="69"/>
      <c r="BB140" s="69"/>
      <c r="BC140" s="69"/>
      <c r="BD140" s="69"/>
      <c r="BE140" s="69"/>
      <c r="BF140" s="69"/>
      <c r="BG140" s="69"/>
      <c r="BH140" s="69"/>
      <c r="BI140" s="69"/>
      <c r="BJ140" s="69"/>
      <c r="BK140" s="69"/>
      <c r="BL140" s="69"/>
      <c r="BM140" s="69"/>
      <c r="BN140" s="69"/>
      <c r="BO140" s="69"/>
      <c r="BP140" s="70"/>
    </row>
    <row r="141" spans="1:68" s="1" customFormat="1" ht="30.75" customHeight="1">
      <c r="A141" s="74">
        <f t="shared" si="1"/>
        <v>133</v>
      </c>
      <c r="B141" s="75"/>
      <c r="C141" s="76"/>
      <c r="D141" s="71" t="s">
        <v>467</v>
      </c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3"/>
      <c r="AA141" s="74" t="s">
        <v>280</v>
      </c>
      <c r="AB141" s="75"/>
      <c r="AC141" s="75"/>
      <c r="AD141" s="75"/>
      <c r="AE141" s="76"/>
      <c r="AF141" s="86">
        <v>14</v>
      </c>
      <c r="AG141" s="86"/>
      <c r="AH141" s="86"/>
      <c r="AI141" s="86"/>
      <c r="AJ141" s="86"/>
      <c r="AK141" s="86"/>
      <c r="AL141" s="68"/>
      <c r="AM141" s="69"/>
      <c r="AN141" s="69"/>
      <c r="AO141" s="69"/>
      <c r="AP141" s="69"/>
      <c r="AQ141" s="69"/>
      <c r="AR141" s="69"/>
      <c r="AS141" s="69"/>
      <c r="AT141" s="69"/>
      <c r="AU141" s="69"/>
      <c r="AV141" s="69"/>
      <c r="AW141" s="69"/>
      <c r="AX141" s="69"/>
      <c r="AY141" s="69"/>
      <c r="AZ141" s="69"/>
      <c r="BA141" s="69"/>
      <c r="BB141" s="69"/>
      <c r="BC141" s="69"/>
      <c r="BD141" s="69"/>
      <c r="BE141" s="69"/>
      <c r="BF141" s="69"/>
      <c r="BG141" s="69"/>
      <c r="BH141" s="69"/>
      <c r="BI141" s="69"/>
      <c r="BJ141" s="69"/>
      <c r="BK141" s="69"/>
      <c r="BL141" s="69"/>
      <c r="BM141" s="69"/>
      <c r="BN141" s="69"/>
      <c r="BO141" s="69"/>
      <c r="BP141" s="70"/>
    </row>
    <row r="142" spans="1:68" s="1" customFormat="1" ht="30.75" customHeight="1">
      <c r="A142" s="74">
        <f t="shared" si="1"/>
        <v>134</v>
      </c>
      <c r="B142" s="75"/>
      <c r="C142" s="76"/>
      <c r="D142" s="71" t="s">
        <v>468</v>
      </c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3"/>
      <c r="AA142" s="74" t="s">
        <v>280</v>
      </c>
      <c r="AB142" s="75"/>
      <c r="AC142" s="75"/>
      <c r="AD142" s="75"/>
      <c r="AE142" s="76"/>
      <c r="AF142" s="86">
        <v>14</v>
      </c>
      <c r="AG142" s="86"/>
      <c r="AH142" s="86"/>
      <c r="AI142" s="86"/>
      <c r="AJ142" s="86"/>
      <c r="AK142" s="86"/>
      <c r="AL142" s="68"/>
      <c r="AM142" s="69"/>
      <c r="AN142" s="69"/>
      <c r="AO142" s="69"/>
      <c r="AP142" s="69"/>
      <c r="AQ142" s="69"/>
      <c r="AR142" s="69"/>
      <c r="AS142" s="69"/>
      <c r="AT142" s="69"/>
      <c r="AU142" s="69"/>
      <c r="AV142" s="69"/>
      <c r="AW142" s="69"/>
      <c r="AX142" s="69"/>
      <c r="AY142" s="69"/>
      <c r="AZ142" s="69"/>
      <c r="BA142" s="69"/>
      <c r="BB142" s="69"/>
      <c r="BC142" s="69"/>
      <c r="BD142" s="69"/>
      <c r="BE142" s="69"/>
      <c r="BF142" s="69"/>
      <c r="BG142" s="69"/>
      <c r="BH142" s="69"/>
      <c r="BI142" s="69"/>
      <c r="BJ142" s="69"/>
      <c r="BK142" s="69"/>
      <c r="BL142" s="69"/>
      <c r="BM142" s="69"/>
      <c r="BN142" s="69"/>
      <c r="BO142" s="69"/>
      <c r="BP142" s="70"/>
    </row>
    <row r="143" spans="1:68" s="1" customFormat="1" ht="30.75" customHeight="1">
      <c r="A143" s="74">
        <f t="shared" si="1"/>
        <v>135</v>
      </c>
      <c r="B143" s="75"/>
      <c r="C143" s="76"/>
      <c r="D143" s="71" t="s">
        <v>1312</v>
      </c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3"/>
      <c r="AA143" s="74" t="s">
        <v>280</v>
      </c>
      <c r="AB143" s="75"/>
      <c r="AC143" s="75"/>
      <c r="AD143" s="75"/>
      <c r="AE143" s="76"/>
      <c r="AF143" s="86" t="s">
        <v>1504</v>
      </c>
      <c r="AG143" s="86"/>
      <c r="AH143" s="86"/>
      <c r="AI143" s="86"/>
      <c r="AJ143" s="86"/>
      <c r="AK143" s="86"/>
      <c r="AL143" s="68"/>
      <c r="AM143" s="69"/>
      <c r="AN143" s="69"/>
      <c r="AO143" s="69"/>
      <c r="AP143" s="69"/>
      <c r="AQ143" s="69"/>
      <c r="AR143" s="69"/>
      <c r="AS143" s="69"/>
      <c r="AT143" s="69"/>
      <c r="AU143" s="69"/>
      <c r="AV143" s="69"/>
      <c r="AW143" s="69"/>
      <c r="AX143" s="69"/>
      <c r="AY143" s="69"/>
      <c r="AZ143" s="69"/>
      <c r="BA143" s="69"/>
      <c r="BB143" s="69"/>
      <c r="BC143" s="69"/>
      <c r="BD143" s="69"/>
      <c r="BE143" s="69"/>
      <c r="BF143" s="69"/>
      <c r="BG143" s="69"/>
      <c r="BH143" s="69"/>
      <c r="BI143" s="69"/>
      <c r="BJ143" s="69"/>
      <c r="BK143" s="69"/>
      <c r="BL143" s="69"/>
      <c r="BM143" s="69"/>
      <c r="BN143" s="69"/>
      <c r="BO143" s="69"/>
      <c r="BP143" s="70"/>
    </row>
    <row r="144" spans="1:68" s="1" customFormat="1" ht="30.75" customHeight="1">
      <c r="A144" s="74">
        <f t="shared" si="1"/>
        <v>136</v>
      </c>
      <c r="B144" s="75"/>
      <c r="C144" s="76"/>
      <c r="D144" s="71" t="s">
        <v>469</v>
      </c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3"/>
      <c r="AA144" s="74" t="s">
        <v>280</v>
      </c>
      <c r="AB144" s="75"/>
      <c r="AC144" s="75"/>
      <c r="AD144" s="75"/>
      <c r="AE144" s="76"/>
      <c r="AF144" s="86" t="s">
        <v>1504</v>
      </c>
      <c r="AG144" s="86"/>
      <c r="AH144" s="86"/>
      <c r="AI144" s="86"/>
      <c r="AJ144" s="86"/>
      <c r="AK144" s="86"/>
      <c r="AL144" s="68"/>
      <c r="AM144" s="69"/>
      <c r="AN144" s="69"/>
      <c r="AO144" s="69"/>
      <c r="AP144" s="69"/>
      <c r="AQ144" s="69"/>
      <c r="AR144" s="69"/>
      <c r="AS144" s="69"/>
      <c r="AT144" s="69"/>
      <c r="AU144" s="69"/>
      <c r="AV144" s="69"/>
      <c r="AW144" s="69"/>
      <c r="AX144" s="69"/>
      <c r="AY144" s="69"/>
      <c r="AZ144" s="69"/>
      <c r="BA144" s="69"/>
      <c r="BB144" s="69"/>
      <c r="BC144" s="69"/>
      <c r="BD144" s="69"/>
      <c r="BE144" s="69"/>
      <c r="BF144" s="69"/>
      <c r="BG144" s="69"/>
      <c r="BH144" s="69"/>
      <c r="BI144" s="69"/>
      <c r="BJ144" s="69"/>
      <c r="BK144" s="69"/>
      <c r="BL144" s="69"/>
      <c r="BM144" s="69"/>
      <c r="BN144" s="69"/>
      <c r="BO144" s="69"/>
      <c r="BP144" s="70"/>
    </row>
    <row r="145" spans="1:68" s="1" customFormat="1" ht="30.75" customHeight="1">
      <c r="A145" s="74"/>
      <c r="B145" s="75"/>
      <c r="C145" s="76"/>
      <c r="D145" s="71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3"/>
      <c r="AA145" s="74"/>
      <c r="AB145" s="75"/>
      <c r="AC145" s="75"/>
      <c r="AD145" s="75"/>
      <c r="AE145" s="76"/>
      <c r="AF145" s="74"/>
      <c r="AG145" s="75"/>
      <c r="AH145" s="76"/>
      <c r="AI145" s="74"/>
      <c r="AJ145" s="75"/>
      <c r="AK145" s="76"/>
      <c r="AL145" s="68"/>
      <c r="AM145" s="69"/>
      <c r="AN145" s="69"/>
      <c r="AO145" s="69"/>
      <c r="AP145" s="69"/>
      <c r="AQ145" s="69"/>
      <c r="AR145" s="69"/>
      <c r="AS145" s="69"/>
      <c r="AT145" s="69"/>
      <c r="AU145" s="69"/>
      <c r="AV145" s="69"/>
      <c r="AW145" s="69"/>
      <c r="AX145" s="69"/>
      <c r="AY145" s="69"/>
      <c r="AZ145" s="69"/>
      <c r="BA145" s="69"/>
      <c r="BB145" s="69"/>
      <c r="BC145" s="69"/>
      <c r="BD145" s="69"/>
      <c r="BE145" s="69"/>
      <c r="BF145" s="69"/>
      <c r="BG145" s="69"/>
      <c r="BH145" s="69"/>
      <c r="BI145" s="69"/>
      <c r="BJ145" s="69"/>
      <c r="BK145" s="69"/>
      <c r="BL145" s="69"/>
      <c r="BM145" s="69"/>
      <c r="BN145" s="69"/>
      <c r="BO145" s="69"/>
      <c r="BP145" s="70"/>
    </row>
    <row r="146" spans="1:68" s="1" customFormat="1" ht="30.75" customHeight="1">
      <c r="A146" s="80"/>
      <c r="B146" s="81"/>
      <c r="C146" s="82"/>
      <c r="D146" s="77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9"/>
      <c r="AA146" s="80"/>
      <c r="AB146" s="81"/>
      <c r="AC146" s="81"/>
      <c r="AD146" s="81"/>
      <c r="AE146" s="82"/>
      <c r="AF146" s="87"/>
      <c r="AG146" s="87"/>
      <c r="AH146" s="87"/>
      <c r="AI146" s="87"/>
      <c r="AJ146" s="87"/>
      <c r="AK146" s="87"/>
      <c r="AL146" s="83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/>
      <c r="BP146" s="85"/>
    </row>
    <row r="147" spans="1:68" s="4" customFormat="1" ht="3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3"/>
      <c r="AG147" s="3"/>
      <c r="AH147" s="3"/>
      <c r="AI147" s="3"/>
      <c r="AJ147" s="3"/>
      <c r="AK147" s="3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</row>
    <row r="148" spans="1:68" s="4" customFormat="1" ht="14.25">
      <c r="A148" s="5" t="s">
        <v>14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15"/>
      <c r="AG148" s="15"/>
      <c r="AH148" s="15"/>
      <c r="AI148" s="15"/>
      <c r="AJ148" s="15"/>
      <c r="AK148" s="15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6"/>
    </row>
    <row r="149" spans="1:68" s="4" customFormat="1" ht="20.25" customHeight="1">
      <c r="A149" s="5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6"/>
    </row>
    <row r="150" spans="1:68" s="4" customFormat="1" ht="20.25" customHeight="1">
      <c r="A150" s="5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6"/>
    </row>
    <row r="151" spans="1:68" s="4" customFormat="1" ht="20.25" customHeight="1">
      <c r="A151" s="5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6"/>
    </row>
    <row r="152" spans="1:68" s="4" customFormat="1" ht="20.25" customHeight="1">
      <c r="A152" s="5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6"/>
    </row>
    <row r="153" spans="1:68" s="4" customFormat="1" ht="20.25" customHeight="1">
      <c r="A153" s="7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9"/>
    </row>
    <row r="154" spans="1:68" ht="5.25" customHeight="1"/>
  </sheetData>
  <mergeCells count="853">
    <mergeCell ref="AF10:AH10"/>
    <mergeCell ref="AI10:AK10"/>
    <mergeCell ref="AL10:BP10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9:C9"/>
    <mergeCell ref="D9:Z9"/>
    <mergeCell ref="AA9:AE9"/>
    <mergeCell ref="AF9:AH9"/>
    <mergeCell ref="AI9:AK9"/>
    <mergeCell ref="AL9:BP9"/>
    <mergeCell ref="A8:C8"/>
    <mergeCell ref="D8:Z8"/>
    <mergeCell ref="AA8:AE8"/>
    <mergeCell ref="AF8:AH8"/>
    <mergeCell ref="AI8:AK8"/>
    <mergeCell ref="AL8:BP8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14:C14"/>
    <mergeCell ref="D14:Z14"/>
    <mergeCell ref="AA14:AE14"/>
    <mergeCell ref="AF14:AH14"/>
    <mergeCell ref="AI14:AK14"/>
    <mergeCell ref="AL14:BP14"/>
    <mergeCell ref="A13:C13"/>
    <mergeCell ref="D13:Z13"/>
    <mergeCell ref="AA13:AE13"/>
    <mergeCell ref="AF13:AH13"/>
    <mergeCell ref="AI13:AK13"/>
    <mergeCell ref="AL13:BP13"/>
    <mergeCell ref="AF12:AH12"/>
    <mergeCell ref="AI12:AK12"/>
    <mergeCell ref="AL12:BP12"/>
    <mergeCell ref="A11:C11"/>
    <mergeCell ref="D11:Z11"/>
    <mergeCell ref="AA11:AE11"/>
    <mergeCell ref="AF11:AH11"/>
    <mergeCell ref="AI11:AK11"/>
    <mergeCell ref="AL11:BP11"/>
    <mergeCell ref="A10:C10"/>
    <mergeCell ref="D10:Z10"/>
    <mergeCell ref="AA10:AE10"/>
    <mergeCell ref="A17:C17"/>
    <mergeCell ref="D17:Z17"/>
    <mergeCell ref="AA17:AE17"/>
    <mergeCell ref="AF17:AH17"/>
    <mergeCell ref="AI17:AK17"/>
    <mergeCell ref="AL17:BP17"/>
    <mergeCell ref="A16:C16"/>
    <mergeCell ref="D16:Z16"/>
    <mergeCell ref="AA16:AE16"/>
    <mergeCell ref="AF16:AH16"/>
    <mergeCell ref="AI16:AK16"/>
    <mergeCell ref="AL16:BP16"/>
    <mergeCell ref="A15:C15"/>
    <mergeCell ref="D15:Z15"/>
    <mergeCell ref="AA15:AE15"/>
    <mergeCell ref="AF15:AH15"/>
    <mergeCell ref="AI15:AK15"/>
    <mergeCell ref="AL15:BP15"/>
    <mergeCell ref="A12:C12"/>
    <mergeCell ref="D12:Z12"/>
    <mergeCell ref="AA12:AE12"/>
    <mergeCell ref="A20:C20"/>
    <mergeCell ref="D20:Z20"/>
    <mergeCell ref="AA20:AE20"/>
    <mergeCell ref="AF20:AH20"/>
    <mergeCell ref="AI20:AK20"/>
    <mergeCell ref="AL20:BP20"/>
    <mergeCell ref="A19:C19"/>
    <mergeCell ref="D19:Z19"/>
    <mergeCell ref="AA19:AE19"/>
    <mergeCell ref="AF19:AH19"/>
    <mergeCell ref="AI19:AK19"/>
    <mergeCell ref="AL19:BP19"/>
    <mergeCell ref="A18:C18"/>
    <mergeCell ref="D18:Z18"/>
    <mergeCell ref="AA18:AE18"/>
    <mergeCell ref="AF18:AH18"/>
    <mergeCell ref="AI18:AK18"/>
    <mergeCell ref="AL18:BP18"/>
    <mergeCell ref="A23:C23"/>
    <mergeCell ref="D23:Z23"/>
    <mergeCell ref="AA23:AE23"/>
    <mergeCell ref="AF23:AH23"/>
    <mergeCell ref="AI23:AK23"/>
    <mergeCell ref="AL23:BP23"/>
    <mergeCell ref="A22:C22"/>
    <mergeCell ref="D22:Z22"/>
    <mergeCell ref="AA22:AE22"/>
    <mergeCell ref="AF22:AH22"/>
    <mergeCell ref="AI22:AK22"/>
    <mergeCell ref="AL22:BP22"/>
    <mergeCell ref="A21:C21"/>
    <mergeCell ref="D21:Z21"/>
    <mergeCell ref="AA21:AE21"/>
    <mergeCell ref="AF21:AH21"/>
    <mergeCell ref="AI21:AK21"/>
    <mergeCell ref="AL21:BP21"/>
    <mergeCell ref="A27:C27"/>
    <mergeCell ref="D27:Z27"/>
    <mergeCell ref="AA27:AE27"/>
    <mergeCell ref="AF27:AH27"/>
    <mergeCell ref="AI27:AK27"/>
    <mergeCell ref="AL27:BP27"/>
    <mergeCell ref="A26:C26"/>
    <mergeCell ref="D26:Z26"/>
    <mergeCell ref="AA26:AE26"/>
    <mergeCell ref="AF26:AH26"/>
    <mergeCell ref="AI26:AK26"/>
    <mergeCell ref="AL26:BP26"/>
    <mergeCell ref="A24:C24"/>
    <mergeCell ref="D24:Z24"/>
    <mergeCell ref="AA24:AE24"/>
    <mergeCell ref="AF24:AH24"/>
    <mergeCell ref="AI24:AK24"/>
    <mergeCell ref="AL24:BP24"/>
    <mergeCell ref="A25:C25"/>
    <mergeCell ref="D25:Z25"/>
    <mergeCell ref="AA25:AE25"/>
    <mergeCell ref="AF25:AH25"/>
    <mergeCell ref="AI25:AK25"/>
    <mergeCell ref="AL25:BP25"/>
    <mergeCell ref="A31:C31"/>
    <mergeCell ref="D31:Z31"/>
    <mergeCell ref="AA31:AE31"/>
    <mergeCell ref="AF31:AH31"/>
    <mergeCell ref="AI31:AK31"/>
    <mergeCell ref="AL31:BP31"/>
    <mergeCell ref="A30:C30"/>
    <mergeCell ref="D30:Z30"/>
    <mergeCell ref="AA30:AE30"/>
    <mergeCell ref="AF30:AH30"/>
    <mergeCell ref="AI30:AK30"/>
    <mergeCell ref="AL30:BP30"/>
    <mergeCell ref="A28:C28"/>
    <mergeCell ref="D28:Z28"/>
    <mergeCell ref="AA28:AE28"/>
    <mergeCell ref="AF28:AH28"/>
    <mergeCell ref="AI28:AK28"/>
    <mergeCell ref="AL28:BP28"/>
    <mergeCell ref="A29:C29"/>
    <mergeCell ref="D29:Z29"/>
    <mergeCell ref="AA29:AE29"/>
    <mergeCell ref="AF29:AH29"/>
    <mergeCell ref="AI29:AK29"/>
    <mergeCell ref="AL29:BP29"/>
    <mergeCell ref="A33:C33"/>
    <mergeCell ref="D33:Z33"/>
    <mergeCell ref="AA33:AE33"/>
    <mergeCell ref="AF33:AH33"/>
    <mergeCell ref="AI33:AK33"/>
    <mergeCell ref="AL33:BP33"/>
    <mergeCell ref="A34:C34"/>
    <mergeCell ref="D34:Z34"/>
    <mergeCell ref="AA34:AE34"/>
    <mergeCell ref="AF34:AH34"/>
    <mergeCell ref="AI34:AK34"/>
    <mergeCell ref="AL34:BP34"/>
    <mergeCell ref="A32:C32"/>
    <mergeCell ref="D32:Z32"/>
    <mergeCell ref="AA32:AE32"/>
    <mergeCell ref="AF32:AH32"/>
    <mergeCell ref="AI32:AK32"/>
    <mergeCell ref="AL32:BP32"/>
    <mergeCell ref="A37:C37"/>
    <mergeCell ref="D37:Z37"/>
    <mergeCell ref="AA37:AE37"/>
    <mergeCell ref="AF37:AH37"/>
    <mergeCell ref="AI37:AK37"/>
    <mergeCell ref="AL37:BP37"/>
    <mergeCell ref="A36:C36"/>
    <mergeCell ref="D36:Z36"/>
    <mergeCell ref="AA36:AE36"/>
    <mergeCell ref="AF36:AH36"/>
    <mergeCell ref="AI36:AK36"/>
    <mergeCell ref="AL36:BP36"/>
    <mergeCell ref="A35:C35"/>
    <mergeCell ref="D35:Z35"/>
    <mergeCell ref="AA35:AE35"/>
    <mergeCell ref="AF35:AH35"/>
    <mergeCell ref="AI35:AK35"/>
    <mergeCell ref="AL35:BP35"/>
    <mergeCell ref="A41:C41"/>
    <mergeCell ref="D41:Z41"/>
    <mergeCell ref="AA41:AE41"/>
    <mergeCell ref="AF41:AH41"/>
    <mergeCell ref="AI41:AK41"/>
    <mergeCell ref="AL41:BP41"/>
    <mergeCell ref="A40:C40"/>
    <mergeCell ref="D40:Z40"/>
    <mergeCell ref="AA40:AE40"/>
    <mergeCell ref="AF40:AH40"/>
    <mergeCell ref="AI40:AK40"/>
    <mergeCell ref="AL40:BP40"/>
    <mergeCell ref="A38:C38"/>
    <mergeCell ref="D38:Z38"/>
    <mergeCell ref="AA38:AE38"/>
    <mergeCell ref="AF38:AH38"/>
    <mergeCell ref="AI38:AK38"/>
    <mergeCell ref="AL38:BP38"/>
    <mergeCell ref="A39:C39"/>
    <mergeCell ref="D39:Z39"/>
    <mergeCell ref="AA39:AE39"/>
    <mergeCell ref="AF39:AH39"/>
    <mergeCell ref="AI39:AK39"/>
    <mergeCell ref="AL39:BP39"/>
    <mergeCell ref="A44:C44"/>
    <mergeCell ref="D44:Z44"/>
    <mergeCell ref="AA44:AE44"/>
    <mergeCell ref="AF44:AH44"/>
    <mergeCell ref="AI44:AK44"/>
    <mergeCell ref="AL44:BP44"/>
    <mergeCell ref="A43:C43"/>
    <mergeCell ref="D43:Z43"/>
    <mergeCell ref="AA43:AE43"/>
    <mergeCell ref="AF43:AH43"/>
    <mergeCell ref="AI43:AK43"/>
    <mergeCell ref="AL43:BP43"/>
    <mergeCell ref="A42:C42"/>
    <mergeCell ref="D42:Z42"/>
    <mergeCell ref="AA42:AE42"/>
    <mergeCell ref="AF42:AH42"/>
    <mergeCell ref="AI42:AK42"/>
    <mergeCell ref="AL42:BP42"/>
    <mergeCell ref="A47:C47"/>
    <mergeCell ref="D47:Z47"/>
    <mergeCell ref="AA47:AE47"/>
    <mergeCell ref="AF47:AH47"/>
    <mergeCell ref="AI47:AK47"/>
    <mergeCell ref="AL47:BP47"/>
    <mergeCell ref="A46:C46"/>
    <mergeCell ref="D46:Z46"/>
    <mergeCell ref="AA46:AE46"/>
    <mergeCell ref="AF46:AH46"/>
    <mergeCell ref="AI46:AK46"/>
    <mergeCell ref="AL46:BP46"/>
    <mergeCell ref="A45:C45"/>
    <mergeCell ref="D45:Z45"/>
    <mergeCell ref="AA45:AE45"/>
    <mergeCell ref="AF45:AH45"/>
    <mergeCell ref="AI45:AK45"/>
    <mergeCell ref="AL45:BP45"/>
    <mergeCell ref="A48:C48"/>
    <mergeCell ref="D48:Z48"/>
    <mergeCell ref="AA48:AE48"/>
    <mergeCell ref="AF48:AH48"/>
    <mergeCell ref="AI48:AK48"/>
    <mergeCell ref="AL48:BP48"/>
    <mergeCell ref="A52:C52"/>
    <mergeCell ref="D52:Z52"/>
    <mergeCell ref="AA52:AE52"/>
    <mergeCell ref="AF52:AH52"/>
    <mergeCell ref="AI52:AK52"/>
    <mergeCell ref="AL52:BP52"/>
    <mergeCell ref="A50:C50"/>
    <mergeCell ref="D50:Z50"/>
    <mergeCell ref="AA50:AE50"/>
    <mergeCell ref="AF50:AH50"/>
    <mergeCell ref="AI50:AK50"/>
    <mergeCell ref="AL50:BP50"/>
    <mergeCell ref="A49:C49"/>
    <mergeCell ref="D49:Z49"/>
    <mergeCell ref="AA49:AE49"/>
    <mergeCell ref="AF49:AH49"/>
    <mergeCell ref="AI49:AK49"/>
    <mergeCell ref="AL49:BP49"/>
    <mergeCell ref="A55:C55"/>
    <mergeCell ref="D55:Z55"/>
    <mergeCell ref="AA55:AE55"/>
    <mergeCell ref="AF55:AH55"/>
    <mergeCell ref="AI55:AK55"/>
    <mergeCell ref="AL55:BP55"/>
    <mergeCell ref="A51:C51"/>
    <mergeCell ref="D51:Z51"/>
    <mergeCell ref="AA51:AE51"/>
    <mergeCell ref="AF51:AH51"/>
    <mergeCell ref="AI51:AK51"/>
    <mergeCell ref="AL51:BP51"/>
    <mergeCell ref="A54:C54"/>
    <mergeCell ref="D54:Z54"/>
    <mergeCell ref="AA54:AE54"/>
    <mergeCell ref="AF54:AH54"/>
    <mergeCell ref="AI54:AK54"/>
    <mergeCell ref="AL54:BP54"/>
    <mergeCell ref="A53:C53"/>
    <mergeCell ref="D53:Z53"/>
    <mergeCell ref="AA53:AE53"/>
    <mergeCell ref="AF53:AH53"/>
    <mergeCell ref="AI53:AK53"/>
    <mergeCell ref="AL53:BP53"/>
    <mergeCell ref="A61:C61"/>
    <mergeCell ref="D61:Z61"/>
    <mergeCell ref="AA61:AE61"/>
    <mergeCell ref="AF61:AH61"/>
    <mergeCell ref="AI61:AK61"/>
    <mergeCell ref="AL61:BP61"/>
    <mergeCell ref="AA56:AE56"/>
    <mergeCell ref="AF56:AH56"/>
    <mergeCell ref="AI56:AK56"/>
    <mergeCell ref="AL56:BP56"/>
    <mergeCell ref="A58:C58"/>
    <mergeCell ref="D58:Z58"/>
    <mergeCell ref="AA58:AE58"/>
    <mergeCell ref="AF58:AH58"/>
    <mergeCell ref="AI58:AK58"/>
    <mergeCell ref="AL58:BP58"/>
    <mergeCell ref="A59:C59"/>
    <mergeCell ref="D59:Z59"/>
    <mergeCell ref="AA59:AE59"/>
    <mergeCell ref="AF59:AH59"/>
    <mergeCell ref="AI59:AK59"/>
    <mergeCell ref="AL59:BP59"/>
    <mergeCell ref="A57:C57"/>
    <mergeCell ref="D57:Z57"/>
    <mergeCell ref="A66:C66"/>
    <mergeCell ref="D66:Z66"/>
    <mergeCell ref="AA66:AE66"/>
    <mergeCell ref="AF66:AH66"/>
    <mergeCell ref="AI66:AK66"/>
    <mergeCell ref="AL66:BP66"/>
    <mergeCell ref="A64:C64"/>
    <mergeCell ref="D64:Z64"/>
    <mergeCell ref="AA64:AE64"/>
    <mergeCell ref="AF64:AH64"/>
    <mergeCell ref="AI64:AK64"/>
    <mergeCell ref="AL64:BP64"/>
    <mergeCell ref="A68:C68"/>
    <mergeCell ref="D68:Z68"/>
    <mergeCell ref="AA68:AE68"/>
    <mergeCell ref="AF68:AH68"/>
    <mergeCell ref="AI68:AK68"/>
    <mergeCell ref="AL68:BP68"/>
    <mergeCell ref="A67:C67"/>
    <mergeCell ref="D67:Z67"/>
    <mergeCell ref="AA67:AE67"/>
    <mergeCell ref="AF67:AH67"/>
    <mergeCell ref="AI67:AK67"/>
    <mergeCell ref="AL67:BP67"/>
    <mergeCell ref="A71:C71"/>
    <mergeCell ref="D71:Z71"/>
    <mergeCell ref="AA71:AE71"/>
    <mergeCell ref="AF71:AH71"/>
    <mergeCell ref="AI71:AK71"/>
    <mergeCell ref="AL71:BP71"/>
    <mergeCell ref="A70:C70"/>
    <mergeCell ref="D70:Z70"/>
    <mergeCell ref="AA70:AE70"/>
    <mergeCell ref="AF70:AH70"/>
    <mergeCell ref="AI70:AK70"/>
    <mergeCell ref="AL70:BP70"/>
    <mergeCell ref="A69:C69"/>
    <mergeCell ref="D69:Z69"/>
    <mergeCell ref="AA69:AE69"/>
    <mergeCell ref="AF69:AH69"/>
    <mergeCell ref="AI69:AK69"/>
    <mergeCell ref="AL69:BP69"/>
    <mergeCell ref="A74:C74"/>
    <mergeCell ref="D74:Z74"/>
    <mergeCell ref="AA74:AE74"/>
    <mergeCell ref="AF74:AH74"/>
    <mergeCell ref="AI74:AK74"/>
    <mergeCell ref="AL74:BP74"/>
    <mergeCell ref="A73:C73"/>
    <mergeCell ref="D73:Z73"/>
    <mergeCell ref="AA73:AE73"/>
    <mergeCell ref="AF73:AH73"/>
    <mergeCell ref="AI73:AK73"/>
    <mergeCell ref="AL73:BP73"/>
    <mergeCell ref="A72:C72"/>
    <mergeCell ref="D72:Z72"/>
    <mergeCell ref="AA72:AE72"/>
    <mergeCell ref="AF72:AH72"/>
    <mergeCell ref="AI72:AK72"/>
    <mergeCell ref="AL72:BP72"/>
    <mergeCell ref="A77:C77"/>
    <mergeCell ref="D77:Z77"/>
    <mergeCell ref="AA77:AE77"/>
    <mergeCell ref="AF77:AH77"/>
    <mergeCell ref="AI77:AK77"/>
    <mergeCell ref="AL77:BP77"/>
    <mergeCell ref="A76:C76"/>
    <mergeCell ref="D76:Z76"/>
    <mergeCell ref="AA76:AE76"/>
    <mergeCell ref="AF76:AH76"/>
    <mergeCell ref="AI76:AK76"/>
    <mergeCell ref="AL76:BP76"/>
    <mergeCell ref="A84:C84"/>
    <mergeCell ref="D84:Z84"/>
    <mergeCell ref="AA84:AE84"/>
    <mergeCell ref="AF84:AH84"/>
    <mergeCell ref="AI84:AK84"/>
    <mergeCell ref="AL84:BP84"/>
    <mergeCell ref="A83:C83"/>
    <mergeCell ref="D83:Z83"/>
    <mergeCell ref="AA83:AE83"/>
    <mergeCell ref="AF83:AH83"/>
    <mergeCell ref="AI83:AK83"/>
    <mergeCell ref="AL83:BP83"/>
    <mergeCell ref="A87:C87"/>
    <mergeCell ref="D87:Z87"/>
    <mergeCell ref="AA87:AE87"/>
    <mergeCell ref="AF87:AH87"/>
    <mergeCell ref="AI87:AK87"/>
    <mergeCell ref="AL87:BP87"/>
    <mergeCell ref="A86:C86"/>
    <mergeCell ref="D86:Z86"/>
    <mergeCell ref="A85:C85"/>
    <mergeCell ref="D85:Z85"/>
    <mergeCell ref="AA85:AE85"/>
    <mergeCell ref="AF85:AH85"/>
    <mergeCell ref="AI85:AK85"/>
    <mergeCell ref="AL85:BP85"/>
    <mergeCell ref="AA86:AE86"/>
    <mergeCell ref="AF86:AH86"/>
    <mergeCell ref="AI86:AK86"/>
    <mergeCell ref="AL86:BP86"/>
    <mergeCell ref="A91:C91"/>
    <mergeCell ref="D91:Z91"/>
    <mergeCell ref="AA91:AE91"/>
    <mergeCell ref="AF91:AH91"/>
    <mergeCell ref="AI91:AK91"/>
    <mergeCell ref="AL91:BP91"/>
    <mergeCell ref="A89:C89"/>
    <mergeCell ref="D89:Z89"/>
    <mergeCell ref="AA89:AE89"/>
    <mergeCell ref="AF89:AH89"/>
    <mergeCell ref="AI89:AK89"/>
    <mergeCell ref="AL89:BP89"/>
    <mergeCell ref="A90:C90"/>
    <mergeCell ref="D90:Z90"/>
    <mergeCell ref="AA90:AE90"/>
    <mergeCell ref="AF90:AH90"/>
    <mergeCell ref="AI90:AK90"/>
    <mergeCell ref="AL90:BP90"/>
    <mergeCell ref="A88:C88"/>
    <mergeCell ref="D88:Z88"/>
    <mergeCell ref="AA88:AE88"/>
    <mergeCell ref="AF88:AH88"/>
    <mergeCell ref="AI88:AK88"/>
    <mergeCell ref="AL88:BP88"/>
    <mergeCell ref="A94:C94"/>
    <mergeCell ref="D94:Z94"/>
    <mergeCell ref="AA94:AE94"/>
    <mergeCell ref="AF94:AH94"/>
    <mergeCell ref="AI94:AK94"/>
    <mergeCell ref="AL94:BP94"/>
    <mergeCell ref="A93:C93"/>
    <mergeCell ref="D93:Z93"/>
    <mergeCell ref="AA93:AE93"/>
    <mergeCell ref="AF93:AH93"/>
    <mergeCell ref="AI93:AK93"/>
    <mergeCell ref="AL93:BP93"/>
    <mergeCell ref="A92:C92"/>
    <mergeCell ref="D92:Z92"/>
    <mergeCell ref="AA92:AE92"/>
    <mergeCell ref="AF92:AH92"/>
    <mergeCell ref="AI92:AK92"/>
    <mergeCell ref="AL92:BP92"/>
    <mergeCell ref="A97:C97"/>
    <mergeCell ref="D97:Z97"/>
    <mergeCell ref="AA97:AE97"/>
    <mergeCell ref="AF97:AH97"/>
    <mergeCell ref="AI97:AK97"/>
    <mergeCell ref="AL97:BP97"/>
    <mergeCell ref="A96:C96"/>
    <mergeCell ref="D96:Z96"/>
    <mergeCell ref="AA96:AE96"/>
    <mergeCell ref="AF96:AH96"/>
    <mergeCell ref="AI96:AK96"/>
    <mergeCell ref="AL96:BP96"/>
    <mergeCell ref="A95:C95"/>
    <mergeCell ref="D95:Z95"/>
    <mergeCell ref="AA95:AE95"/>
    <mergeCell ref="AF95:AH95"/>
    <mergeCell ref="AI95:AK95"/>
    <mergeCell ref="AL95:BP95"/>
    <mergeCell ref="A100:C100"/>
    <mergeCell ref="D100:Z100"/>
    <mergeCell ref="AA100:AE100"/>
    <mergeCell ref="AF100:AH100"/>
    <mergeCell ref="AI100:AK100"/>
    <mergeCell ref="AL100:BP100"/>
    <mergeCell ref="A99:C99"/>
    <mergeCell ref="D99:Z99"/>
    <mergeCell ref="AA99:AE99"/>
    <mergeCell ref="AF99:AH99"/>
    <mergeCell ref="AI99:AK99"/>
    <mergeCell ref="AL99:BP99"/>
    <mergeCell ref="A98:C98"/>
    <mergeCell ref="D98:Z98"/>
    <mergeCell ref="AA98:AE98"/>
    <mergeCell ref="AF98:AH98"/>
    <mergeCell ref="AI98:AK98"/>
    <mergeCell ref="AL98:BP98"/>
    <mergeCell ref="A104:C104"/>
    <mergeCell ref="D104:Z104"/>
    <mergeCell ref="AA104:AE104"/>
    <mergeCell ref="AF104:AH104"/>
    <mergeCell ref="AI104:AK104"/>
    <mergeCell ref="AL104:BP104"/>
    <mergeCell ref="A102:C102"/>
    <mergeCell ref="D102:Z102"/>
    <mergeCell ref="AA102:AE102"/>
    <mergeCell ref="AF102:AH102"/>
    <mergeCell ref="AI102:AK102"/>
    <mergeCell ref="AL102:BP102"/>
    <mergeCell ref="A101:C101"/>
    <mergeCell ref="D101:Z101"/>
    <mergeCell ref="AA101:AE101"/>
    <mergeCell ref="AF101:AH101"/>
    <mergeCell ref="AI101:AK101"/>
    <mergeCell ref="AL101:BP101"/>
    <mergeCell ref="A103:C103"/>
    <mergeCell ref="D103:Z103"/>
    <mergeCell ref="AA103:AE103"/>
    <mergeCell ref="AF103:AH103"/>
    <mergeCell ref="AI103:AK103"/>
    <mergeCell ref="AL103:BP103"/>
    <mergeCell ref="A106:C106"/>
    <mergeCell ref="D106:Z106"/>
    <mergeCell ref="AA106:AE106"/>
    <mergeCell ref="AF106:AH106"/>
    <mergeCell ref="AI106:AK106"/>
    <mergeCell ref="AL106:BP106"/>
    <mergeCell ref="A108:C108"/>
    <mergeCell ref="D108:Z108"/>
    <mergeCell ref="AA108:AE108"/>
    <mergeCell ref="AF108:AH108"/>
    <mergeCell ref="AI108:AK108"/>
    <mergeCell ref="AL108:BP108"/>
    <mergeCell ref="A105:C105"/>
    <mergeCell ref="D105:Z105"/>
    <mergeCell ref="AA105:AE105"/>
    <mergeCell ref="AF105:AH105"/>
    <mergeCell ref="AI105:AK105"/>
    <mergeCell ref="AL105:BP105"/>
    <mergeCell ref="A110:C110"/>
    <mergeCell ref="D110:Z110"/>
    <mergeCell ref="AA110:AE110"/>
    <mergeCell ref="AF110:AH110"/>
    <mergeCell ref="AI110:AK110"/>
    <mergeCell ref="AL110:BP110"/>
    <mergeCell ref="A109:C109"/>
    <mergeCell ref="D109:Z109"/>
    <mergeCell ref="AA109:AE109"/>
    <mergeCell ref="AF109:AH109"/>
    <mergeCell ref="AI109:AK109"/>
    <mergeCell ref="AL109:BP109"/>
    <mergeCell ref="A107:C107"/>
    <mergeCell ref="D107:Z107"/>
    <mergeCell ref="AA107:AE107"/>
    <mergeCell ref="AF107:AH107"/>
    <mergeCell ref="AI107:AK107"/>
    <mergeCell ref="AL107:BP107"/>
    <mergeCell ref="A114:C114"/>
    <mergeCell ref="D114:Z114"/>
    <mergeCell ref="AA114:AE114"/>
    <mergeCell ref="AF114:AH114"/>
    <mergeCell ref="AI114:AK114"/>
    <mergeCell ref="AL114:BP114"/>
    <mergeCell ref="A112:C112"/>
    <mergeCell ref="D112:Z112"/>
    <mergeCell ref="AA112:AE112"/>
    <mergeCell ref="AF112:AH112"/>
    <mergeCell ref="AI112:AK112"/>
    <mergeCell ref="AL112:BP112"/>
    <mergeCell ref="A113:C113"/>
    <mergeCell ref="D113:Z113"/>
    <mergeCell ref="AA113:AE113"/>
    <mergeCell ref="AF113:AH113"/>
    <mergeCell ref="AI113:AK113"/>
    <mergeCell ref="AL113:BP113"/>
    <mergeCell ref="A118:C118"/>
    <mergeCell ref="D118:Z118"/>
    <mergeCell ref="AA118:AE118"/>
    <mergeCell ref="AF118:AH118"/>
    <mergeCell ref="AI118:AK118"/>
    <mergeCell ref="AL118:BP118"/>
    <mergeCell ref="A111:C111"/>
    <mergeCell ref="D111:Z111"/>
    <mergeCell ref="AA111:AE111"/>
    <mergeCell ref="AF111:AH111"/>
    <mergeCell ref="AI111:AK111"/>
    <mergeCell ref="AL111:BP111"/>
    <mergeCell ref="A116:C116"/>
    <mergeCell ref="D116:Z116"/>
    <mergeCell ref="AA116:AE116"/>
    <mergeCell ref="AF116:AH116"/>
    <mergeCell ref="AI116:AK116"/>
    <mergeCell ref="AL116:BP116"/>
    <mergeCell ref="A115:C115"/>
    <mergeCell ref="D115:Z115"/>
    <mergeCell ref="AA115:AE115"/>
    <mergeCell ref="AF115:AH115"/>
    <mergeCell ref="AI115:AK115"/>
    <mergeCell ref="AL115:BP115"/>
    <mergeCell ref="AA121:AE121"/>
    <mergeCell ref="AF121:AH121"/>
    <mergeCell ref="AI121:AK121"/>
    <mergeCell ref="AL121:BP121"/>
    <mergeCell ref="A117:C117"/>
    <mergeCell ref="D117:Z117"/>
    <mergeCell ref="AA117:AE117"/>
    <mergeCell ref="AF117:AH117"/>
    <mergeCell ref="AI117:AK117"/>
    <mergeCell ref="AL117:BP117"/>
    <mergeCell ref="A120:C120"/>
    <mergeCell ref="D120:Z120"/>
    <mergeCell ref="AA120:AE120"/>
    <mergeCell ref="AF120:AH120"/>
    <mergeCell ref="AI120:AK120"/>
    <mergeCell ref="AL120:BP120"/>
    <mergeCell ref="A119:C119"/>
    <mergeCell ref="D119:Z119"/>
    <mergeCell ref="A121:C121"/>
    <mergeCell ref="D121:Z121"/>
    <mergeCell ref="AA119:AE119"/>
    <mergeCell ref="AF119:AH119"/>
    <mergeCell ref="AI119:AK119"/>
    <mergeCell ref="AL119:BP119"/>
    <mergeCell ref="AI127:AK127"/>
    <mergeCell ref="AL127:BP127"/>
    <mergeCell ref="AI129:AK129"/>
    <mergeCell ref="AL129:BP129"/>
    <mergeCell ref="A128:C128"/>
    <mergeCell ref="D128:Z128"/>
    <mergeCell ref="A125:C125"/>
    <mergeCell ref="D125:Z125"/>
    <mergeCell ref="AA125:AE125"/>
    <mergeCell ref="AF125:AH125"/>
    <mergeCell ref="AI125:AK125"/>
    <mergeCell ref="AL125:BP125"/>
    <mergeCell ref="AA127:AE127"/>
    <mergeCell ref="AF127:AH127"/>
    <mergeCell ref="A124:C124"/>
    <mergeCell ref="D124:Z124"/>
    <mergeCell ref="AA124:AE124"/>
    <mergeCell ref="AF124:AH124"/>
    <mergeCell ref="AI124:AK124"/>
    <mergeCell ref="AL124:BP124"/>
    <mergeCell ref="A126:C126"/>
    <mergeCell ref="D126:Z126"/>
    <mergeCell ref="AA126:AE126"/>
    <mergeCell ref="AF126:AH126"/>
    <mergeCell ref="AI126:AK126"/>
    <mergeCell ref="AL126:BP126"/>
    <mergeCell ref="A138:C138"/>
    <mergeCell ref="D138:Z138"/>
    <mergeCell ref="AA138:AE138"/>
    <mergeCell ref="AF138:AH138"/>
    <mergeCell ref="AI138:AK138"/>
    <mergeCell ref="AL138:BP138"/>
    <mergeCell ref="A137:C137"/>
    <mergeCell ref="D137:Z137"/>
    <mergeCell ref="AA137:AE137"/>
    <mergeCell ref="AF137:AH137"/>
    <mergeCell ref="AI137:AK137"/>
    <mergeCell ref="AL137:BP137"/>
    <mergeCell ref="A136:C136"/>
    <mergeCell ref="D136:Z136"/>
    <mergeCell ref="AA136:AE136"/>
    <mergeCell ref="AF136:AH136"/>
    <mergeCell ref="AI136:AK136"/>
    <mergeCell ref="AL136:BP136"/>
    <mergeCell ref="A141:C141"/>
    <mergeCell ref="D141:Z141"/>
    <mergeCell ref="AA141:AE141"/>
    <mergeCell ref="AF141:AH141"/>
    <mergeCell ref="AI141:AK141"/>
    <mergeCell ref="AL141:BP141"/>
    <mergeCell ref="A140:C140"/>
    <mergeCell ref="D140:Z140"/>
    <mergeCell ref="AA140:AE140"/>
    <mergeCell ref="AF140:AH140"/>
    <mergeCell ref="AI140:AK140"/>
    <mergeCell ref="AL140:BP140"/>
    <mergeCell ref="A139:C139"/>
    <mergeCell ref="D139:Z139"/>
    <mergeCell ref="AA139:AE139"/>
    <mergeCell ref="AF139:AH139"/>
    <mergeCell ref="AI139:AK139"/>
    <mergeCell ref="AL139:BP139"/>
    <mergeCell ref="A143:C143"/>
    <mergeCell ref="D143:Z143"/>
    <mergeCell ref="AA143:AE143"/>
    <mergeCell ref="AF143:AH143"/>
    <mergeCell ref="AI143:AK143"/>
    <mergeCell ref="AL143:BP143"/>
    <mergeCell ref="A142:C142"/>
    <mergeCell ref="D142:Z142"/>
    <mergeCell ref="AA142:AE142"/>
    <mergeCell ref="AF142:AH142"/>
    <mergeCell ref="AI142:AK142"/>
    <mergeCell ref="AL142:BP142"/>
    <mergeCell ref="A80:C80"/>
    <mergeCell ref="D80:Z80"/>
    <mergeCell ref="AA80:AE80"/>
    <mergeCell ref="AF80:AH80"/>
    <mergeCell ref="AI80:AK80"/>
    <mergeCell ref="AL80:BP80"/>
    <mergeCell ref="A146:C146"/>
    <mergeCell ref="D146:Z146"/>
    <mergeCell ref="AA146:AE146"/>
    <mergeCell ref="AF146:AH146"/>
    <mergeCell ref="AI146:AK146"/>
    <mergeCell ref="AL146:BP146"/>
    <mergeCell ref="A144:C144"/>
    <mergeCell ref="D144:Z144"/>
    <mergeCell ref="AA144:AE144"/>
    <mergeCell ref="AF144:AH144"/>
    <mergeCell ref="AI144:AK144"/>
    <mergeCell ref="AL144:BP144"/>
    <mergeCell ref="A145:C145"/>
    <mergeCell ref="D145:Z145"/>
    <mergeCell ref="AA145:AE145"/>
    <mergeCell ref="AF145:AH145"/>
    <mergeCell ref="AI145:AK145"/>
    <mergeCell ref="AL145:BP145"/>
    <mergeCell ref="AA82:AE82"/>
    <mergeCell ref="AF82:AH82"/>
    <mergeCell ref="AI82:AK82"/>
    <mergeCell ref="AL82:BP82"/>
    <mergeCell ref="A81:C81"/>
    <mergeCell ref="D81:Z81"/>
    <mergeCell ref="AA81:AE81"/>
    <mergeCell ref="AF81:AH81"/>
    <mergeCell ref="AI81:AK81"/>
    <mergeCell ref="AL81:BP81"/>
    <mergeCell ref="A82:C82"/>
    <mergeCell ref="D82:Z82"/>
    <mergeCell ref="AA57:AE57"/>
    <mergeCell ref="AF57:AH57"/>
    <mergeCell ref="AI57:AK57"/>
    <mergeCell ref="AL57:BP57"/>
    <mergeCell ref="A56:C56"/>
    <mergeCell ref="D56:Z56"/>
    <mergeCell ref="A65:C65"/>
    <mergeCell ref="D65:Z65"/>
    <mergeCell ref="AA65:AE65"/>
    <mergeCell ref="AF65:AH65"/>
    <mergeCell ref="AI65:AK65"/>
    <mergeCell ref="AL65:BP65"/>
    <mergeCell ref="A62:C62"/>
    <mergeCell ref="D62:Z62"/>
    <mergeCell ref="AA62:AE62"/>
    <mergeCell ref="AF62:AH62"/>
    <mergeCell ref="AI62:AK62"/>
    <mergeCell ref="AL62:BP62"/>
    <mergeCell ref="A63:C63"/>
    <mergeCell ref="D63:Z63"/>
    <mergeCell ref="AA63:AE63"/>
    <mergeCell ref="AF63:AH63"/>
    <mergeCell ref="AI63:AK63"/>
    <mergeCell ref="AL63:BP63"/>
    <mergeCell ref="A60:C60"/>
    <mergeCell ref="D60:Z60"/>
    <mergeCell ref="AA60:AE60"/>
    <mergeCell ref="AF60:AH60"/>
    <mergeCell ref="AI60:AK60"/>
    <mergeCell ref="AL60:BP60"/>
    <mergeCell ref="A79:C79"/>
    <mergeCell ref="D79:Z79"/>
    <mergeCell ref="AA79:AE79"/>
    <mergeCell ref="AF79:AH79"/>
    <mergeCell ref="AI79:AK79"/>
    <mergeCell ref="AL79:BP79"/>
    <mergeCell ref="A78:C78"/>
    <mergeCell ref="D78:Z78"/>
    <mergeCell ref="AA78:AE78"/>
    <mergeCell ref="AF78:AH78"/>
    <mergeCell ref="AI78:AK78"/>
    <mergeCell ref="AL78:BP78"/>
    <mergeCell ref="A75:C75"/>
    <mergeCell ref="D75:Z75"/>
    <mergeCell ref="AA75:AE75"/>
    <mergeCell ref="AF75:AH75"/>
    <mergeCell ref="AI75:AK75"/>
    <mergeCell ref="AL75:BP75"/>
    <mergeCell ref="A131:C131"/>
    <mergeCell ref="D131:Z131"/>
    <mergeCell ref="AA131:AE131"/>
    <mergeCell ref="AF131:AH131"/>
    <mergeCell ref="AI131:AK131"/>
    <mergeCell ref="AL131:BP131"/>
    <mergeCell ref="AA128:AE128"/>
    <mergeCell ref="AF128:AH128"/>
    <mergeCell ref="AI128:AK128"/>
    <mergeCell ref="AL128:BP128"/>
    <mergeCell ref="A135:C135"/>
    <mergeCell ref="D135:Z135"/>
    <mergeCell ref="AA135:AE135"/>
    <mergeCell ref="AF135:AH135"/>
    <mergeCell ref="AI135:AK135"/>
    <mergeCell ref="AL135:BP135"/>
    <mergeCell ref="A132:C132"/>
    <mergeCell ref="D132:Z132"/>
    <mergeCell ref="AA132:AE132"/>
    <mergeCell ref="AF132:AH132"/>
    <mergeCell ref="AI132:AK132"/>
    <mergeCell ref="AL132:BP132"/>
    <mergeCell ref="A133:C133"/>
    <mergeCell ref="D133:Z133"/>
    <mergeCell ref="AA133:AE133"/>
    <mergeCell ref="AF133:AH133"/>
    <mergeCell ref="AI133:AK133"/>
    <mergeCell ref="AL133:BP133"/>
    <mergeCell ref="A134:C134"/>
    <mergeCell ref="D134:Z134"/>
    <mergeCell ref="AA134:AE134"/>
    <mergeCell ref="AF134:AH134"/>
    <mergeCell ref="AI134:AK134"/>
    <mergeCell ref="AL134:BP134"/>
    <mergeCell ref="A122:C122"/>
    <mergeCell ref="D122:Z122"/>
    <mergeCell ref="AA122:AE122"/>
    <mergeCell ref="AF122:AH122"/>
    <mergeCell ref="AI122:AK122"/>
    <mergeCell ref="AL122:BP122"/>
    <mergeCell ref="A130:C130"/>
    <mergeCell ref="D130:Z130"/>
    <mergeCell ref="AA130:AE130"/>
    <mergeCell ref="AF130:AH130"/>
    <mergeCell ref="AI130:AK130"/>
    <mergeCell ref="AL130:BP130"/>
    <mergeCell ref="A129:C129"/>
    <mergeCell ref="D129:Z129"/>
    <mergeCell ref="AA129:AE129"/>
    <mergeCell ref="AF129:AH129"/>
    <mergeCell ref="A123:C123"/>
    <mergeCell ref="D123:Z123"/>
    <mergeCell ref="AA123:AE123"/>
    <mergeCell ref="AF123:AH123"/>
    <mergeCell ref="AI123:AK123"/>
    <mergeCell ref="AL123:BP123"/>
    <mergeCell ref="A127:C127"/>
    <mergeCell ref="D127:Z127"/>
  </mergeCells>
  <phoneticPr fontId="3"/>
  <dataValidations disablePrompts="1" count="1">
    <dataValidation type="list" allowBlank="1" showInputMessage="1" showErrorMessage="1" sqref="BJ6:BP6" xr:uid="{333DBA2D-895A-4E14-B63A-B428DE58E1F7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C6E19-F9C4-454E-902E-8FA8C2CC5D0D}">
  <sheetPr codeName="Sheet30"/>
  <dimension ref="A1:BR158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8" width="2.125" style="55"/>
    <col min="39" max="44" width="0" style="55" hidden="1" customWidth="1"/>
    <col min="45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144" t="s">
        <v>198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95" t="s">
        <v>624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210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125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117">
        <f t="shared" ref="A9:A79" si="0">ROW()-8</f>
        <v>1</v>
      </c>
      <c r="B9" s="118"/>
      <c r="C9" s="119"/>
      <c r="D9" s="114" t="s">
        <v>421</v>
      </c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6"/>
      <c r="AA9" s="117" t="s">
        <v>348</v>
      </c>
      <c r="AB9" s="118"/>
      <c r="AC9" s="118"/>
      <c r="AD9" s="118"/>
      <c r="AE9" s="119"/>
      <c r="AF9" s="117"/>
      <c r="AG9" s="118"/>
      <c r="AH9" s="119"/>
      <c r="AI9" s="117"/>
      <c r="AJ9" s="118"/>
      <c r="AK9" s="119"/>
      <c r="AL9" s="68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70"/>
    </row>
    <row r="10" spans="1:70" s="1" customFormat="1" ht="30.75" customHeight="1">
      <c r="A10" s="74">
        <f t="shared" si="0"/>
        <v>2</v>
      </c>
      <c r="B10" s="75"/>
      <c r="C10" s="76"/>
      <c r="D10" s="71" t="s">
        <v>422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  <c r="AA10" s="74" t="s">
        <v>280</v>
      </c>
      <c r="AB10" s="75"/>
      <c r="AC10" s="75"/>
      <c r="AD10" s="75"/>
      <c r="AE10" s="76"/>
      <c r="AF10" s="74">
        <v>5</v>
      </c>
      <c r="AG10" s="75"/>
      <c r="AH10" s="76"/>
      <c r="AI10" s="74"/>
      <c r="AJ10" s="75"/>
      <c r="AK10" s="76"/>
      <c r="AL10" s="68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74">
        <f t="shared" si="0"/>
        <v>3</v>
      </c>
      <c r="B11" s="75"/>
      <c r="C11" s="76"/>
      <c r="D11" s="71" t="s">
        <v>437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3"/>
      <c r="AA11" s="74" t="s">
        <v>475</v>
      </c>
      <c r="AB11" s="75"/>
      <c r="AC11" s="75"/>
      <c r="AD11" s="75"/>
      <c r="AE11" s="76"/>
      <c r="AF11" s="74">
        <v>8</v>
      </c>
      <c r="AG11" s="75"/>
      <c r="AH11" s="76"/>
      <c r="AI11" s="74"/>
      <c r="AJ11" s="75"/>
      <c r="AK11" s="76"/>
      <c r="AL11" s="68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70"/>
    </row>
    <row r="12" spans="1:70" s="1" customFormat="1" ht="30.75" customHeight="1">
      <c r="A12" s="74">
        <f t="shared" si="0"/>
        <v>4</v>
      </c>
      <c r="B12" s="75"/>
      <c r="C12" s="76"/>
      <c r="D12" s="71" t="s">
        <v>438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3"/>
      <c r="AA12" s="74" t="s">
        <v>280</v>
      </c>
      <c r="AB12" s="75"/>
      <c r="AC12" s="75"/>
      <c r="AD12" s="75"/>
      <c r="AE12" s="76"/>
      <c r="AF12" s="74">
        <v>8</v>
      </c>
      <c r="AG12" s="75"/>
      <c r="AH12" s="76"/>
      <c r="AI12" s="74"/>
      <c r="AJ12" s="75"/>
      <c r="AK12" s="76"/>
      <c r="AL12" s="68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70"/>
    </row>
    <row r="13" spans="1:70" s="1" customFormat="1" ht="30.75" customHeight="1">
      <c r="A13" s="74">
        <f t="shared" si="0"/>
        <v>5</v>
      </c>
      <c r="B13" s="75"/>
      <c r="C13" s="76"/>
      <c r="D13" s="71" t="s">
        <v>423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3"/>
      <c r="AA13" s="74" t="s">
        <v>280</v>
      </c>
      <c r="AB13" s="75"/>
      <c r="AC13" s="75"/>
      <c r="AD13" s="75"/>
      <c r="AE13" s="76"/>
      <c r="AF13" s="74">
        <v>8</v>
      </c>
      <c r="AG13" s="75"/>
      <c r="AH13" s="76"/>
      <c r="AI13" s="74"/>
      <c r="AJ13" s="75"/>
      <c r="AK13" s="76"/>
      <c r="AL13" s="68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70"/>
    </row>
    <row r="14" spans="1:70" s="1" customFormat="1" ht="30.75" customHeight="1">
      <c r="A14" s="74">
        <f t="shared" si="0"/>
        <v>6</v>
      </c>
      <c r="B14" s="75"/>
      <c r="C14" s="76"/>
      <c r="D14" s="71" t="s">
        <v>424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3"/>
      <c r="AA14" s="74" t="s">
        <v>280</v>
      </c>
      <c r="AB14" s="75"/>
      <c r="AC14" s="75"/>
      <c r="AD14" s="75"/>
      <c r="AE14" s="76"/>
      <c r="AF14" s="86">
        <v>8</v>
      </c>
      <c r="AG14" s="86"/>
      <c r="AH14" s="86"/>
      <c r="AI14" s="86"/>
      <c r="AJ14" s="86"/>
      <c r="AK14" s="86"/>
      <c r="AL14" s="68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70"/>
    </row>
    <row r="15" spans="1:70" s="1" customFormat="1" ht="30.75" customHeight="1">
      <c r="A15" s="74">
        <f t="shared" si="0"/>
        <v>7</v>
      </c>
      <c r="B15" s="75"/>
      <c r="C15" s="76"/>
      <c r="D15" s="71" t="s">
        <v>425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3"/>
      <c r="AA15" s="74" t="s">
        <v>280</v>
      </c>
      <c r="AB15" s="75"/>
      <c r="AC15" s="75"/>
      <c r="AD15" s="75"/>
      <c r="AE15" s="76"/>
      <c r="AF15" s="86">
        <v>5</v>
      </c>
      <c r="AG15" s="86"/>
      <c r="AH15" s="86"/>
      <c r="AI15" s="86"/>
      <c r="AJ15" s="86"/>
      <c r="AK15" s="86"/>
      <c r="AL15" s="68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70"/>
    </row>
    <row r="16" spans="1:70" s="1" customFormat="1" ht="30.75" customHeight="1">
      <c r="A16" s="74">
        <f t="shared" si="0"/>
        <v>8</v>
      </c>
      <c r="B16" s="75"/>
      <c r="C16" s="76"/>
      <c r="D16" s="71" t="s">
        <v>439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3"/>
      <c r="AA16" s="74" t="s">
        <v>280</v>
      </c>
      <c r="AB16" s="75"/>
      <c r="AC16" s="75"/>
      <c r="AD16" s="75"/>
      <c r="AE16" s="76"/>
      <c r="AF16" s="86">
        <v>6</v>
      </c>
      <c r="AG16" s="86"/>
      <c r="AH16" s="86"/>
      <c r="AI16" s="86"/>
      <c r="AJ16" s="86"/>
      <c r="AK16" s="86"/>
      <c r="AL16" s="68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70"/>
    </row>
    <row r="17" spans="1:68" s="1" customFormat="1" ht="30.75" customHeight="1">
      <c r="A17" s="74">
        <f t="shared" si="0"/>
        <v>9</v>
      </c>
      <c r="B17" s="75"/>
      <c r="C17" s="76"/>
      <c r="D17" s="71" t="s">
        <v>440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3"/>
      <c r="AA17" s="74" t="s">
        <v>19</v>
      </c>
      <c r="AB17" s="75"/>
      <c r="AC17" s="75"/>
      <c r="AD17" s="75"/>
      <c r="AE17" s="76"/>
      <c r="AF17" s="86">
        <v>2</v>
      </c>
      <c r="AG17" s="86"/>
      <c r="AH17" s="86"/>
      <c r="AI17" s="86"/>
      <c r="AJ17" s="86"/>
      <c r="AK17" s="86"/>
      <c r="AL17" s="68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70"/>
    </row>
    <row r="18" spans="1:68" s="1" customFormat="1" ht="30.75" customHeight="1">
      <c r="A18" s="74">
        <f t="shared" si="0"/>
        <v>10</v>
      </c>
      <c r="B18" s="75"/>
      <c r="C18" s="76"/>
      <c r="D18" s="71" t="s">
        <v>441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3"/>
      <c r="AA18" s="74" t="s">
        <v>475</v>
      </c>
      <c r="AB18" s="75"/>
      <c r="AC18" s="75"/>
      <c r="AD18" s="75"/>
      <c r="AE18" s="76"/>
      <c r="AF18" s="74">
        <v>10</v>
      </c>
      <c r="AG18" s="75"/>
      <c r="AH18" s="76"/>
      <c r="AI18" s="74"/>
      <c r="AJ18" s="75"/>
      <c r="AK18" s="76"/>
      <c r="AL18" s="68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70"/>
    </row>
    <row r="19" spans="1:68" s="1" customFormat="1" ht="30.75" customHeight="1">
      <c r="A19" s="74">
        <f t="shared" si="0"/>
        <v>11</v>
      </c>
      <c r="B19" s="75"/>
      <c r="C19" s="76"/>
      <c r="D19" s="71" t="s">
        <v>442</v>
      </c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3"/>
      <c r="AA19" s="74" t="s">
        <v>280</v>
      </c>
      <c r="AB19" s="75"/>
      <c r="AC19" s="75"/>
      <c r="AD19" s="75"/>
      <c r="AE19" s="76"/>
      <c r="AF19" s="74">
        <v>2</v>
      </c>
      <c r="AG19" s="75"/>
      <c r="AH19" s="76"/>
      <c r="AI19" s="74"/>
      <c r="AJ19" s="75"/>
      <c r="AK19" s="76"/>
      <c r="AL19" s="68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70"/>
    </row>
    <row r="20" spans="1:68" s="1" customFormat="1" ht="30.75" customHeight="1">
      <c r="A20" s="74">
        <f t="shared" si="0"/>
        <v>12</v>
      </c>
      <c r="B20" s="75"/>
      <c r="C20" s="76"/>
      <c r="D20" s="71" t="s">
        <v>443</v>
      </c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3"/>
      <c r="AA20" s="74" t="s">
        <v>475</v>
      </c>
      <c r="AB20" s="75"/>
      <c r="AC20" s="75"/>
      <c r="AD20" s="75"/>
      <c r="AE20" s="76"/>
      <c r="AF20" s="74">
        <v>15</v>
      </c>
      <c r="AG20" s="75"/>
      <c r="AH20" s="76"/>
      <c r="AI20" s="74"/>
      <c r="AJ20" s="75"/>
      <c r="AK20" s="76"/>
      <c r="AL20" s="68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70"/>
    </row>
    <row r="21" spans="1:68" s="1" customFormat="1" ht="30.75" customHeight="1">
      <c r="A21" s="74">
        <f t="shared" si="0"/>
        <v>13</v>
      </c>
      <c r="B21" s="75"/>
      <c r="C21" s="76"/>
      <c r="D21" s="71" t="s">
        <v>444</v>
      </c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3"/>
      <c r="AA21" s="74" t="s">
        <v>280</v>
      </c>
      <c r="AB21" s="75"/>
      <c r="AC21" s="75"/>
      <c r="AD21" s="75"/>
      <c r="AE21" s="76"/>
      <c r="AF21" s="74">
        <v>4</v>
      </c>
      <c r="AG21" s="75"/>
      <c r="AH21" s="76"/>
      <c r="AI21" s="74"/>
      <c r="AJ21" s="75"/>
      <c r="AK21" s="76"/>
      <c r="AL21" s="68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70"/>
    </row>
    <row r="22" spans="1:68" s="1" customFormat="1" ht="30.75" customHeight="1">
      <c r="A22" s="74">
        <f t="shared" si="0"/>
        <v>14</v>
      </c>
      <c r="B22" s="75"/>
      <c r="C22" s="76"/>
      <c r="D22" s="71" t="s">
        <v>445</v>
      </c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3"/>
      <c r="AA22" s="74" t="s">
        <v>475</v>
      </c>
      <c r="AB22" s="75"/>
      <c r="AC22" s="75"/>
      <c r="AD22" s="75"/>
      <c r="AE22" s="76"/>
      <c r="AF22" s="74">
        <v>15</v>
      </c>
      <c r="AG22" s="75"/>
      <c r="AH22" s="76"/>
      <c r="AI22" s="74"/>
      <c r="AJ22" s="75"/>
      <c r="AK22" s="76"/>
      <c r="AL22" s="68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70"/>
    </row>
    <row r="23" spans="1:68" s="1" customFormat="1" ht="30.75" customHeight="1">
      <c r="A23" s="74">
        <f t="shared" si="0"/>
        <v>15</v>
      </c>
      <c r="B23" s="75"/>
      <c r="C23" s="76"/>
      <c r="D23" s="71" t="s">
        <v>446</v>
      </c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3"/>
      <c r="AA23" s="74" t="s">
        <v>280</v>
      </c>
      <c r="AB23" s="75"/>
      <c r="AC23" s="75"/>
      <c r="AD23" s="75"/>
      <c r="AE23" s="76"/>
      <c r="AF23" s="74">
        <v>8</v>
      </c>
      <c r="AG23" s="75"/>
      <c r="AH23" s="76"/>
      <c r="AI23" s="74"/>
      <c r="AJ23" s="75"/>
      <c r="AK23" s="76"/>
      <c r="AL23" s="68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70"/>
    </row>
    <row r="24" spans="1:68" s="1" customFormat="1" ht="30.75" customHeight="1">
      <c r="A24" s="74">
        <f t="shared" si="0"/>
        <v>16</v>
      </c>
      <c r="B24" s="75"/>
      <c r="C24" s="76"/>
      <c r="D24" s="71" t="s">
        <v>447</v>
      </c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3"/>
      <c r="AA24" s="74" t="s">
        <v>348</v>
      </c>
      <c r="AB24" s="75"/>
      <c r="AC24" s="75"/>
      <c r="AD24" s="75"/>
      <c r="AE24" s="76"/>
      <c r="AF24" s="74"/>
      <c r="AG24" s="75"/>
      <c r="AH24" s="76"/>
      <c r="AI24" s="74"/>
      <c r="AJ24" s="75"/>
      <c r="AK24" s="76"/>
      <c r="AL24" s="68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70"/>
    </row>
    <row r="25" spans="1:68" s="1" customFormat="1" ht="30.75" customHeight="1">
      <c r="A25" s="74">
        <f t="shared" si="0"/>
        <v>17</v>
      </c>
      <c r="B25" s="75"/>
      <c r="C25" s="76"/>
      <c r="D25" s="71" t="s">
        <v>448</v>
      </c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3"/>
      <c r="AA25" s="74" t="s">
        <v>475</v>
      </c>
      <c r="AB25" s="75"/>
      <c r="AC25" s="75"/>
      <c r="AD25" s="75"/>
      <c r="AE25" s="76"/>
      <c r="AF25" s="86">
        <v>10</v>
      </c>
      <c r="AG25" s="86"/>
      <c r="AH25" s="86"/>
      <c r="AI25" s="86"/>
      <c r="AJ25" s="86"/>
      <c r="AK25" s="86"/>
      <c r="AL25" s="68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70"/>
    </row>
    <row r="26" spans="1:68" s="1" customFormat="1" ht="30.75" customHeight="1">
      <c r="A26" s="74">
        <f t="shared" si="0"/>
        <v>18</v>
      </c>
      <c r="B26" s="75"/>
      <c r="C26" s="76"/>
      <c r="D26" s="71" t="s">
        <v>449</v>
      </c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3"/>
      <c r="AA26" s="74" t="s">
        <v>475</v>
      </c>
      <c r="AB26" s="75"/>
      <c r="AC26" s="75"/>
      <c r="AD26" s="75"/>
      <c r="AE26" s="76"/>
      <c r="AF26" s="86">
        <v>4</v>
      </c>
      <c r="AG26" s="86"/>
      <c r="AH26" s="86"/>
      <c r="AI26" s="86"/>
      <c r="AJ26" s="86"/>
      <c r="AK26" s="86"/>
      <c r="AL26" s="68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70"/>
    </row>
    <row r="27" spans="1:68" s="1" customFormat="1" ht="30.75" customHeight="1">
      <c r="A27" s="74">
        <f t="shared" si="0"/>
        <v>19</v>
      </c>
      <c r="B27" s="75"/>
      <c r="C27" s="76"/>
      <c r="D27" s="71" t="s">
        <v>450</v>
      </c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3"/>
      <c r="AA27" s="74" t="s">
        <v>280</v>
      </c>
      <c r="AB27" s="75"/>
      <c r="AC27" s="75"/>
      <c r="AD27" s="75"/>
      <c r="AE27" s="76"/>
      <c r="AF27" s="86">
        <v>6</v>
      </c>
      <c r="AG27" s="86"/>
      <c r="AH27" s="86"/>
      <c r="AI27" s="86"/>
      <c r="AJ27" s="86"/>
      <c r="AK27" s="86"/>
      <c r="AL27" s="68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70"/>
    </row>
    <row r="28" spans="1:68" s="1" customFormat="1" ht="30.75" customHeight="1">
      <c r="A28" s="74">
        <f t="shared" si="0"/>
        <v>20</v>
      </c>
      <c r="B28" s="75"/>
      <c r="C28" s="76"/>
      <c r="D28" s="71" t="s">
        <v>451</v>
      </c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3"/>
      <c r="AA28" s="74" t="s">
        <v>280</v>
      </c>
      <c r="AB28" s="75"/>
      <c r="AC28" s="75"/>
      <c r="AD28" s="75"/>
      <c r="AE28" s="76"/>
      <c r="AF28" s="86">
        <v>4</v>
      </c>
      <c r="AG28" s="86"/>
      <c r="AH28" s="86"/>
      <c r="AI28" s="86"/>
      <c r="AJ28" s="86"/>
      <c r="AK28" s="86"/>
      <c r="AL28" s="68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70"/>
    </row>
    <row r="29" spans="1:68" s="1" customFormat="1" ht="30.75" customHeight="1">
      <c r="A29" s="74">
        <f t="shared" si="0"/>
        <v>21</v>
      </c>
      <c r="B29" s="75"/>
      <c r="C29" s="76"/>
      <c r="D29" s="71" t="s">
        <v>452</v>
      </c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3"/>
      <c r="AA29" s="74" t="s">
        <v>475</v>
      </c>
      <c r="AB29" s="75"/>
      <c r="AC29" s="75"/>
      <c r="AD29" s="75"/>
      <c r="AE29" s="76"/>
      <c r="AF29" s="86">
        <v>1</v>
      </c>
      <c r="AG29" s="86"/>
      <c r="AH29" s="86"/>
      <c r="AI29" s="86"/>
      <c r="AJ29" s="86"/>
      <c r="AK29" s="86"/>
      <c r="AL29" s="68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70"/>
    </row>
    <row r="30" spans="1:68" s="1" customFormat="1" ht="30.75" customHeight="1">
      <c r="A30" s="74">
        <f t="shared" si="0"/>
        <v>22</v>
      </c>
      <c r="B30" s="75"/>
      <c r="C30" s="76"/>
      <c r="D30" s="71" t="s">
        <v>1368</v>
      </c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3"/>
      <c r="AA30" s="74" t="s">
        <v>475</v>
      </c>
      <c r="AB30" s="75"/>
      <c r="AC30" s="75"/>
      <c r="AD30" s="75"/>
      <c r="AE30" s="76"/>
      <c r="AF30" s="86">
        <v>6</v>
      </c>
      <c r="AG30" s="86"/>
      <c r="AH30" s="86"/>
      <c r="AI30" s="86"/>
      <c r="AJ30" s="86"/>
      <c r="AK30" s="86"/>
      <c r="AL30" s="68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70"/>
    </row>
    <row r="31" spans="1:68" s="1" customFormat="1" ht="30.75" customHeight="1">
      <c r="A31" s="74">
        <f t="shared" si="0"/>
        <v>23</v>
      </c>
      <c r="B31" s="75"/>
      <c r="C31" s="76"/>
      <c r="D31" s="71" t="s">
        <v>453</v>
      </c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3"/>
      <c r="AA31" s="74" t="s">
        <v>280</v>
      </c>
      <c r="AB31" s="75"/>
      <c r="AC31" s="75"/>
      <c r="AD31" s="75"/>
      <c r="AE31" s="76"/>
      <c r="AF31" s="86" t="s">
        <v>1444</v>
      </c>
      <c r="AG31" s="86"/>
      <c r="AH31" s="86"/>
      <c r="AI31" s="86"/>
      <c r="AJ31" s="86"/>
      <c r="AK31" s="86"/>
      <c r="AL31" s="68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70"/>
    </row>
    <row r="32" spans="1:68" s="1" customFormat="1" ht="30.75" customHeight="1">
      <c r="A32" s="74">
        <f t="shared" si="0"/>
        <v>24</v>
      </c>
      <c r="B32" s="75"/>
      <c r="C32" s="76"/>
      <c r="D32" s="71" t="s">
        <v>454</v>
      </c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3"/>
      <c r="AA32" s="74" t="s">
        <v>280</v>
      </c>
      <c r="AB32" s="75"/>
      <c r="AC32" s="75"/>
      <c r="AD32" s="75"/>
      <c r="AE32" s="76"/>
      <c r="AF32" s="86">
        <v>14</v>
      </c>
      <c r="AG32" s="86"/>
      <c r="AH32" s="86"/>
      <c r="AI32" s="86"/>
      <c r="AJ32" s="86"/>
      <c r="AK32" s="86"/>
      <c r="AL32" s="68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70"/>
    </row>
    <row r="33" spans="1:68" s="1" customFormat="1" ht="30.75" customHeight="1">
      <c r="A33" s="74">
        <f t="shared" si="0"/>
        <v>25</v>
      </c>
      <c r="B33" s="75"/>
      <c r="C33" s="76"/>
      <c r="D33" s="71" t="s">
        <v>1040</v>
      </c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3"/>
      <c r="AA33" s="74" t="s">
        <v>280</v>
      </c>
      <c r="AB33" s="75"/>
      <c r="AC33" s="75"/>
      <c r="AD33" s="75"/>
      <c r="AE33" s="76"/>
      <c r="AF33" s="86" t="s">
        <v>1444</v>
      </c>
      <c r="AG33" s="86"/>
      <c r="AH33" s="86"/>
      <c r="AI33" s="86"/>
      <c r="AJ33" s="86"/>
      <c r="AK33" s="86"/>
      <c r="AL33" s="68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70"/>
    </row>
    <row r="34" spans="1:68" s="1" customFormat="1" ht="30.75" customHeight="1">
      <c r="A34" s="74">
        <f t="shared" si="0"/>
        <v>26</v>
      </c>
      <c r="B34" s="75"/>
      <c r="C34" s="76"/>
      <c r="D34" s="71" t="s">
        <v>455</v>
      </c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3"/>
      <c r="AA34" s="74" t="s">
        <v>280</v>
      </c>
      <c r="AB34" s="75"/>
      <c r="AC34" s="75"/>
      <c r="AD34" s="75"/>
      <c r="AE34" s="76"/>
      <c r="AF34" s="86">
        <v>14</v>
      </c>
      <c r="AG34" s="86"/>
      <c r="AH34" s="86"/>
      <c r="AI34" s="86"/>
      <c r="AJ34" s="86"/>
      <c r="AK34" s="86"/>
      <c r="AL34" s="68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70"/>
    </row>
    <row r="35" spans="1:68" s="1" customFormat="1" ht="30.75" customHeight="1">
      <c r="A35" s="74">
        <f t="shared" si="0"/>
        <v>27</v>
      </c>
      <c r="B35" s="75"/>
      <c r="C35" s="76"/>
      <c r="D35" s="71" t="s">
        <v>456</v>
      </c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3"/>
      <c r="AA35" s="74" t="s">
        <v>280</v>
      </c>
      <c r="AB35" s="75"/>
      <c r="AC35" s="75"/>
      <c r="AD35" s="75"/>
      <c r="AE35" s="76"/>
      <c r="AF35" s="86">
        <v>14</v>
      </c>
      <c r="AG35" s="86"/>
      <c r="AH35" s="86"/>
      <c r="AI35" s="86"/>
      <c r="AJ35" s="86"/>
      <c r="AK35" s="86"/>
      <c r="AL35" s="68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70"/>
    </row>
    <row r="36" spans="1:68" s="1" customFormat="1" ht="30.75" customHeight="1">
      <c r="A36" s="74">
        <f t="shared" si="0"/>
        <v>28</v>
      </c>
      <c r="B36" s="75"/>
      <c r="C36" s="76"/>
      <c r="D36" s="71" t="s">
        <v>457</v>
      </c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3"/>
      <c r="AA36" s="74" t="s">
        <v>280</v>
      </c>
      <c r="AB36" s="75"/>
      <c r="AC36" s="75"/>
      <c r="AD36" s="75"/>
      <c r="AE36" s="76"/>
      <c r="AF36" s="86" t="s">
        <v>1444</v>
      </c>
      <c r="AG36" s="86"/>
      <c r="AH36" s="86"/>
      <c r="AI36" s="86"/>
      <c r="AJ36" s="86"/>
      <c r="AK36" s="86"/>
      <c r="AL36" s="68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70"/>
    </row>
    <row r="37" spans="1:68" s="1" customFormat="1" ht="30.75" customHeight="1">
      <c r="A37" s="74">
        <f t="shared" si="0"/>
        <v>29</v>
      </c>
      <c r="B37" s="75"/>
      <c r="C37" s="76"/>
      <c r="D37" s="71" t="s">
        <v>458</v>
      </c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3"/>
      <c r="AA37" s="74" t="s">
        <v>280</v>
      </c>
      <c r="AB37" s="75"/>
      <c r="AC37" s="75"/>
      <c r="AD37" s="75"/>
      <c r="AE37" s="76"/>
      <c r="AF37" s="86">
        <v>14</v>
      </c>
      <c r="AG37" s="86"/>
      <c r="AH37" s="86"/>
      <c r="AI37" s="86"/>
      <c r="AJ37" s="86"/>
      <c r="AK37" s="86"/>
      <c r="AL37" s="68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70"/>
    </row>
    <row r="38" spans="1:68" s="1" customFormat="1" ht="30.75" customHeight="1">
      <c r="A38" s="74">
        <f t="shared" si="0"/>
        <v>30</v>
      </c>
      <c r="B38" s="75"/>
      <c r="C38" s="76"/>
      <c r="D38" s="71" t="s">
        <v>1041</v>
      </c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3"/>
      <c r="AA38" s="74" t="s">
        <v>280</v>
      </c>
      <c r="AB38" s="75"/>
      <c r="AC38" s="75"/>
      <c r="AD38" s="75"/>
      <c r="AE38" s="76"/>
      <c r="AF38" s="86" t="s">
        <v>1444</v>
      </c>
      <c r="AG38" s="86"/>
      <c r="AH38" s="86"/>
      <c r="AI38" s="86"/>
      <c r="AJ38" s="86"/>
      <c r="AK38" s="86"/>
      <c r="AL38" s="68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70"/>
    </row>
    <row r="39" spans="1:68" s="1" customFormat="1" ht="30.75" customHeight="1">
      <c r="A39" s="74">
        <f t="shared" si="0"/>
        <v>31</v>
      </c>
      <c r="B39" s="75"/>
      <c r="C39" s="76"/>
      <c r="D39" s="71" t="s">
        <v>459</v>
      </c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3"/>
      <c r="AA39" s="74" t="s">
        <v>280</v>
      </c>
      <c r="AB39" s="75"/>
      <c r="AC39" s="75"/>
      <c r="AD39" s="75"/>
      <c r="AE39" s="76"/>
      <c r="AF39" s="86">
        <v>14</v>
      </c>
      <c r="AG39" s="86"/>
      <c r="AH39" s="86"/>
      <c r="AI39" s="86"/>
      <c r="AJ39" s="86"/>
      <c r="AK39" s="86"/>
      <c r="AL39" s="68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70"/>
    </row>
    <row r="40" spans="1:68" s="1" customFormat="1" ht="30.75" customHeight="1">
      <c r="A40" s="74">
        <f t="shared" si="0"/>
        <v>32</v>
      </c>
      <c r="B40" s="75"/>
      <c r="C40" s="76"/>
      <c r="D40" s="71" t="s">
        <v>460</v>
      </c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3"/>
      <c r="AA40" s="74" t="s">
        <v>280</v>
      </c>
      <c r="AB40" s="75"/>
      <c r="AC40" s="75"/>
      <c r="AD40" s="75"/>
      <c r="AE40" s="76"/>
      <c r="AF40" s="86">
        <v>14</v>
      </c>
      <c r="AG40" s="86"/>
      <c r="AH40" s="86"/>
      <c r="AI40" s="86"/>
      <c r="AJ40" s="86"/>
      <c r="AK40" s="86"/>
      <c r="AL40" s="68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70"/>
    </row>
    <row r="41" spans="1:68" s="1" customFormat="1" ht="30.75" customHeight="1">
      <c r="A41" s="74">
        <f t="shared" si="0"/>
        <v>33</v>
      </c>
      <c r="B41" s="75"/>
      <c r="C41" s="76"/>
      <c r="D41" s="71" t="s">
        <v>461</v>
      </c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3"/>
      <c r="AA41" s="74" t="s">
        <v>280</v>
      </c>
      <c r="AB41" s="75"/>
      <c r="AC41" s="75"/>
      <c r="AD41" s="75"/>
      <c r="AE41" s="76"/>
      <c r="AF41" s="86" t="s">
        <v>1444</v>
      </c>
      <c r="AG41" s="86"/>
      <c r="AH41" s="86"/>
      <c r="AI41" s="86"/>
      <c r="AJ41" s="86"/>
      <c r="AK41" s="86"/>
      <c r="AL41" s="68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70"/>
    </row>
    <row r="42" spans="1:68" s="1" customFormat="1" ht="30.75" customHeight="1">
      <c r="A42" s="74">
        <f t="shared" si="0"/>
        <v>34</v>
      </c>
      <c r="B42" s="75"/>
      <c r="C42" s="76"/>
      <c r="D42" s="71" t="s">
        <v>462</v>
      </c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3"/>
      <c r="AA42" s="74" t="s">
        <v>280</v>
      </c>
      <c r="AB42" s="75"/>
      <c r="AC42" s="75"/>
      <c r="AD42" s="75"/>
      <c r="AE42" s="76"/>
      <c r="AF42" s="86">
        <v>14</v>
      </c>
      <c r="AG42" s="86"/>
      <c r="AH42" s="86"/>
      <c r="AI42" s="74"/>
      <c r="AJ42" s="75"/>
      <c r="AK42" s="76"/>
      <c r="AL42" s="68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70"/>
    </row>
    <row r="43" spans="1:68" s="1" customFormat="1" ht="30.75" customHeight="1">
      <c r="A43" s="74">
        <f t="shared" si="0"/>
        <v>35</v>
      </c>
      <c r="B43" s="75"/>
      <c r="C43" s="76"/>
      <c r="D43" s="71" t="s">
        <v>1042</v>
      </c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3"/>
      <c r="AA43" s="74" t="s">
        <v>280</v>
      </c>
      <c r="AB43" s="75"/>
      <c r="AC43" s="75"/>
      <c r="AD43" s="75"/>
      <c r="AE43" s="76"/>
      <c r="AF43" s="86" t="s">
        <v>1444</v>
      </c>
      <c r="AG43" s="86"/>
      <c r="AH43" s="86"/>
      <c r="AI43" s="86"/>
      <c r="AJ43" s="86"/>
      <c r="AK43" s="86"/>
      <c r="AL43" s="68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  <c r="BM43" s="69"/>
      <c r="BN43" s="69"/>
      <c r="BO43" s="69"/>
      <c r="BP43" s="70"/>
    </row>
    <row r="44" spans="1:68" s="1" customFormat="1" ht="30.75" customHeight="1">
      <c r="A44" s="74">
        <f t="shared" si="0"/>
        <v>36</v>
      </c>
      <c r="B44" s="75"/>
      <c r="C44" s="76"/>
      <c r="D44" s="71" t="s">
        <v>463</v>
      </c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3"/>
      <c r="AA44" s="74" t="s">
        <v>280</v>
      </c>
      <c r="AB44" s="75"/>
      <c r="AC44" s="75"/>
      <c r="AD44" s="75"/>
      <c r="AE44" s="76"/>
      <c r="AF44" s="86">
        <v>14</v>
      </c>
      <c r="AG44" s="86"/>
      <c r="AH44" s="86"/>
      <c r="AI44" s="74"/>
      <c r="AJ44" s="75"/>
      <c r="AK44" s="76"/>
      <c r="AL44" s="68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  <c r="BM44" s="69"/>
      <c r="BN44" s="69"/>
      <c r="BO44" s="69"/>
      <c r="BP44" s="70"/>
    </row>
    <row r="45" spans="1:68" s="1" customFormat="1" ht="30.75" customHeight="1">
      <c r="A45" s="74">
        <f t="shared" si="0"/>
        <v>37</v>
      </c>
      <c r="B45" s="75"/>
      <c r="C45" s="76"/>
      <c r="D45" s="71" t="s">
        <v>464</v>
      </c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3"/>
      <c r="AA45" s="74" t="s">
        <v>280</v>
      </c>
      <c r="AB45" s="75"/>
      <c r="AC45" s="75"/>
      <c r="AD45" s="75"/>
      <c r="AE45" s="76"/>
      <c r="AF45" s="86">
        <v>14</v>
      </c>
      <c r="AG45" s="86"/>
      <c r="AH45" s="86"/>
      <c r="AI45" s="74"/>
      <c r="AJ45" s="75"/>
      <c r="AK45" s="76"/>
      <c r="AL45" s="83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5"/>
    </row>
    <row r="46" spans="1:68" s="1" customFormat="1" ht="30.75" customHeight="1">
      <c r="A46" s="74">
        <f t="shared" si="0"/>
        <v>38</v>
      </c>
      <c r="B46" s="75"/>
      <c r="C46" s="76"/>
      <c r="D46" s="71" t="s">
        <v>465</v>
      </c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3"/>
      <c r="AA46" s="74" t="s">
        <v>280</v>
      </c>
      <c r="AB46" s="75"/>
      <c r="AC46" s="75"/>
      <c r="AD46" s="75"/>
      <c r="AE46" s="76"/>
      <c r="AF46" s="74">
        <v>14</v>
      </c>
      <c r="AG46" s="75"/>
      <c r="AH46" s="76"/>
      <c r="AI46" s="74"/>
      <c r="AJ46" s="75"/>
      <c r="AK46" s="76"/>
      <c r="AL46" s="68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  <c r="BM46" s="69"/>
      <c r="BN46" s="69"/>
      <c r="BO46" s="69"/>
      <c r="BP46" s="70"/>
    </row>
    <row r="47" spans="1:68" s="1" customFormat="1" ht="30.75" customHeight="1">
      <c r="A47" s="74">
        <f t="shared" si="0"/>
        <v>39</v>
      </c>
      <c r="B47" s="75"/>
      <c r="C47" s="76"/>
      <c r="D47" s="71" t="s">
        <v>466</v>
      </c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3"/>
      <c r="AA47" s="74" t="s">
        <v>280</v>
      </c>
      <c r="AB47" s="75"/>
      <c r="AC47" s="75"/>
      <c r="AD47" s="75"/>
      <c r="AE47" s="76"/>
      <c r="AF47" s="141">
        <v>14</v>
      </c>
      <c r="AG47" s="141"/>
      <c r="AH47" s="141"/>
      <c r="AI47" s="141"/>
      <c r="AJ47" s="141"/>
      <c r="AK47" s="141"/>
      <c r="AL47" s="234"/>
      <c r="AM47" s="235"/>
      <c r="AN47" s="235"/>
      <c r="AO47" s="235"/>
      <c r="AP47" s="235"/>
      <c r="AQ47" s="235"/>
      <c r="AR47" s="235"/>
      <c r="AS47" s="235"/>
      <c r="AT47" s="235"/>
      <c r="AU47" s="235"/>
      <c r="AV47" s="235"/>
      <c r="AW47" s="235"/>
      <c r="AX47" s="235"/>
      <c r="AY47" s="235"/>
      <c r="AZ47" s="235"/>
      <c r="BA47" s="235"/>
      <c r="BB47" s="235"/>
      <c r="BC47" s="235"/>
      <c r="BD47" s="235"/>
      <c r="BE47" s="235"/>
      <c r="BF47" s="235"/>
      <c r="BG47" s="235"/>
      <c r="BH47" s="235"/>
      <c r="BI47" s="235"/>
      <c r="BJ47" s="235"/>
      <c r="BK47" s="235"/>
      <c r="BL47" s="235"/>
      <c r="BM47" s="235"/>
      <c r="BN47" s="235"/>
      <c r="BO47" s="235"/>
      <c r="BP47" s="236"/>
    </row>
    <row r="48" spans="1:68" s="1" customFormat="1" ht="30.75" customHeight="1">
      <c r="A48" s="74">
        <f t="shared" si="0"/>
        <v>40</v>
      </c>
      <c r="B48" s="75"/>
      <c r="C48" s="76"/>
      <c r="D48" s="71" t="s">
        <v>467</v>
      </c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3"/>
      <c r="AA48" s="74" t="s">
        <v>280</v>
      </c>
      <c r="AB48" s="75"/>
      <c r="AC48" s="75"/>
      <c r="AD48" s="75"/>
      <c r="AE48" s="76"/>
      <c r="AF48" s="141">
        <v>14</v>
      </c>
      <c r="AG48" s="141"/>
      <c r="AH48" s="141"/>
      <c r="AI48" s="141"/>
      <c r="AJ48" s="141"/>
      <c r="AK48" s="141"/>
      <c r="AL48" s="68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69"/>
      <c r="BN48" s="69"/>
      <c r="BO48" s="69"/>
      <c r="BP48" s="70"/>
    </row>
    <row r="49" spans="1:68" s="1" customFormat="1" ht="30.75" customHeight="1">
      <c r="A49" s="74">
        <f t="shared" si="0"/>
        <v>41</v>
      </c>
      <c r="B49" s="75"/>
      <c r="C49" s="76"/>
      <c r="D49" s="71" t="s">
        <v>468</v>
      </c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3"/>
      <c r="AA49" s="74" t="s">
        <v>280</v>
      </c>
      <c r="AB49" s="75"/>
      <c r="AC49" s="75"/>
      <c r="AD49" s="75"/>
      <c r="AE49" s="76"/>
      <c r="AF49" s="86">
        <v>14</v>
      </c>
      <c r="AG49" s="86"/>
      <c r="AH49" s="86"/>
      <c r="AI49" s="86"/>
      <c r="AJ49" s="86"/>
      <c r="AK49" s="86"/>
      <c r="AL49" s="68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69"/>
      <c r="BN49" s="69"/>
      <c r="BO49" s="69"/>
      <c r="BP49" s="70"/>
    </row>
    <row r="50" spans="1:68" s="1" customFormat="1" ht="30.75" customHeight="1">
      <c r="A50" s="74">
        <f t="shared" si="0"/>
        <v>42</v>
      </c>
      <c r="B50" s="75"/>
      <c r="C50" s="76"/>
      <c r="D50" s="71" t="s">
        <v>1312</v>
      </c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3"/>
      <c r="AA50" s="74" t="s">
        <v>280</v>
      </c>
      <c r="AB50" s="75"/>
      <c r="AC50" s="75"/>
      <c r="AD50" s="75"/>
      <c r="AE50" s="76"/>
      <c r="AF50" s="86" t="s">
        <v>1504</v>
      </c>
      <c r="AG50" s="86"/>
      <c r="AH50" s="86"/>
      <c r="AI50" s="86"/>
      <c r="AJ50" s="86"/>
      <c r="AK50" s="86"/>
      <c r="AL50" s="68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69"/>
      <c r="BN50" s="69"/>
      <c r="BO50" s="69"/>
      <c r="BP50" s="70"/>
    </row>
    <row r="51" spans="1:68" s="1" customFormat="1" ht="30.75" customHeight="1">
      <c r="A51" s="74">
        <f t="shared" si="0"/>
        <v>43</v>
      </c>
      <c r="B51" s="75"/>
      <c r="C51" s="76"/>
      <c r="D51" s="71" t="s">
        <v>469</v>
      </c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3"/>
      <c r="AA51" s="74" t="s">
        <v>280</v>
      </c>
      <c r="AB51" s="75"/>
      <c r="AC51" s="75"/>
      <c r="AD51" s="75"/>
      <c r="AE51" s="76"/>
      <c r="AF51" s="86" t="s">
        <v>1504</v>
      </c>
      <c r="AG51" s="86"/>
      <c r="AH51" s="86"/>
      <c r="AI51" s="74"/>
      <c r="AJ51" s="75"/>
      <c r="AK51" s="76"/>
      <c r="AL51" s="68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69"/>
      <c r="BN51" s="69"/>
      <c r="BO51" s="69"/>
      <c r="BP51" s="70"/>
    </row>
    <row r="52" spans="1:68" s="1" customFormat="1" ht="30.75" customHeight="1">
      <c r="A52" s="74">
        <f t="shared" si="0"/>
        <v>44</v>
      </c>
      <c r="B52" s="75"/>
      <c r="C52" s="76"/>
      <c r="D52" s="71" t="s">
        <v>470</v>
      </c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3"/>
      <c r="AA52" s="74" t="s">
        <v>348</v>
      </c>
      <c r="AB52" s="75"/>
      <c r="AC52" s="75"/>
      <c r="AD52" s="75"/>
      <c r="AE52" s="76"/>
      <c r="AF52" s="74"/>
      <c r="AG52" s="75"/>
      <c r="AH52" s="76"/>
      <c r="AI52" s="74"/>
      <c r="AJ52" s="75"/>
      <c r="AK52" s="76"/>
      <c r="AL52" s="68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69"/>
      <c r="BN52" s="69"/>
      <c r="BO52" s="69"/>
      <c r="BP52" s="70"/>
    </row>
    <row r="53" spans="1:68" s="1" customFormat="1" ht="30.75" customHeight="1">
      <c r="A53" s="74">
        <f t="shared" si="0"/>
        <v>45</v>
      </c>
      <c r="B53" s="75"/>
      <c r="C53" s="76"/>
      <c r="D53" s="71" t="s">
        <v>448</v>
      </c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3"/>
      <c r="AA53" s="74" t="s">
        <v>475</v>
      </c>
      <c r="AB53" s="75"/>
      <c r="AC53" s="75"/>
      <c r="AD53" s="75"/>
      <c r="AE53" s="76"/>
      <c r="AF53" s="74">
        <v>25</v>
      </c>
      <c r="AG53" s="75"/>
      <c r="AH53" s="76"/>
      <c r="AI53" s="74"/>
      <c r="AJ53" s="75"/>
      <c r="AK53" s="76"/>
      <c r="AL53" s="68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  <c r="BP53" s="70"/>
    </row>
    <row r="54" spans="1:68" s="1" customFormat="1" ht="30.75" customHeight="1">
      <c r="A54" s="74">
        <f t="shared" si="0"/>
        <v>46</v>
      </c>
      <c r="B54" s="75"/>
      <c r="C54" s="76"/>
      <c r="D54" s="71" t="s">
        <v>450</v>
      </c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3"/>
      <c r="AA54" s="74" t="s">
        <v>280</v>
      </c>
      <c r="AB54" s="75"/>
      <c r="AC54" s="75"/>
      <c r="AD54" s="75"/>
      <c r="AE54" s="76"/>
      <c r="AF54" s="74">
        <v>6</v>
      </c>
      <c r="AG54" s="75"/>
      <c r="AH54" s="76"/>
      <c r="AI54" s="74"/>
      <c r="AJ54" s="75"/>
      <c r="AK54" s="76"/>
      <c r="AL54" s="68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69"/>
      <c r="BN54" s="69"/>
      <c r="BO54" s="69"/>
      <c r="BP54" s="70"/>
    </row>
    <row r="55" spans="1:68" s="1" customFormat="1" ht="30.75" customHeight="1">
      <c r="A55" s="74">
        <f t="shared" si="0"/>
        <v>47</v>
      </c>
      <c r="B55" s="75"/>
      <c r="C55" s="76"/>
      <c r="D55" s="71" t="s">
        <v>451</v>
      </c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3"/>
      <c r="AA55" s="74" t="s">
        <v>280</v>
      </c>
      <c r="AB55" s="75"/>
      <c r="AC55" s="75"/>
      <c r="AD55" s="75"/>
      <c r="AE55" s="76"/>
      <c r="AF55" s="74">
        <v>4</v>
      </c>
      <c r="AG55" s="75"/>
      <c r="AH55" s="76"/>
      <c r="AI55" s="74"/>
      <c r="AJ55" s="75"/>
      <c r="AK55" s="76"/>
      <c r="AL55" s="68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69"/>
      <c r="BN55" s="69"/>
      <c r="BO55" s="69"/>
      <c r="BP55" s="70"/>
    </row>
    <row r="56" spans="1:68" s="1" customFormat="1" ht="30.75" customHeight="1">
      <c r="A56" s="74">
        <f t="shared" si="0"/>
        <v>48</v>
      </c>
      <c r="B56" s="75"/>
      <c r="C56" s="76"/>
      <c r="D56" s="71" t="s">
        <v>471</v>
      </c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3"/>
      <c r="AA56" s="74" t="s">
        <v>475</v>
      </c>
      <c r="AB56" s="75"/>
      <c r="AC56" s="75"/>
      <c r="AD56" s="75"/>
      <c r="AE56" s="76"/>
      <c r="AF56" s="74">
        <v>8</v>
      </c>
      <c r="AG56" s="75"/>
      <c r="AH56" s="76"/>
      <c r="AI56" s="74"/>
      <c r="AJ56" s="75"/>
      <c r="AK56" s="76"/>
      <c r="AL56" s="68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69"/>
      <c r="BN56" s="69"/>
      <c r="BO56" s="69"/>
      <c r="BP56" s="70"/>
    </row>
    <row r="57" spans="1:68" s="1" customFormat="1" ht="30.75" customHeight="1">
      <c r="A57" s="74">
        <f t="shared" si="0"/>
        <v>49</v>
      </c>
      <c r="B57" s="75"/>
      <c r="C57" s="76"/>
      <c r="D57" s="71" t="s">
        <v>453</v>
      </c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3"/>
      <c r="AA57" s="74" t="s">
        <v>280</v>
      </c>
      <c r="AB57" s="75"/>
      <c r="AC57" s="75"/>
      <c r="AD57" s="75"/>
      <c r="AE57" s="76"/>
      <c r="AF57" s="86" t="s">
        <v>1444</v>
      </c>
      <c r="AG57" s="86"/>
      <c r="AH57" s="86"/>
      <c r="AI57" s="74"/>
      <c r="AJ57" s="75"/>
      <c r="AK57" s="76"/>
      <c r="AL57" s="68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69"/>
      <c r="BN57" s="69"/>
      <c r="BO57" s="69"/>
      <c r="BP57" s="70"/>
    </row>
    <row r="58" spans="1:68" s="1" customFormat="1" ht="30.75" customHeight="1">
      <c r="A58" s="74">
        <f t="shared" si="0"/>
        <v>50</v>
      </c>
      <c r="B58" s="75"/>
      <c r="C58" s="76"/>
      <c r="D58" s="71" t="s">
        <v>454</v>
      </c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3"/>
      <c r="AA58" s="74" t="s">
        <v>280</v>
      </c>
      <c r="AB58" s="75"/>
      <c r="AC58" s="75"/>
      <c r="AD58" s="75"/>
      <c r="AE58" s="76"/>
      <c r="AF58" s="86">
        <v>14</v>
      </c>
      <c r="AG58" s="86"/>
      <c r="AH58" s="86"/>
      <c r="AI58" s="86"/>
      <c r="AJ58" s="86"/>
      <c r="AK58" s="86"/>
      <c r="AL58" s="68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  <c r="BP58" s="70"/>
    </row>
    <row r="59" spans="1:68" s="1" customFormat="1" ht="30.75" customHeight="1">
      <c r="A59" s="74">
        <f t="shared" si="0"/>
        <v>51</v>
      </c>
      <c r="B59" s="75"/>
      <c r="C59" s="76"/>
      <c r="D59" s="71" t="s">
        <v>1040</v>
      </c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3"/>
      <c r="AA59" s="74" t="s">
        <v>280</v>
      </c>
      <c r="AB59" s="75"/>
      <c r="AC59" s="75"/>
      <c r="AD59" s="75"/>
      <c r="AE59" s="76"/>
      <c r="AF59" s="86" t="s">
        <v>1444</v>
      </c>
      <c r="AG59" s="86"/>
      <c r="AH59" s="86"/>
      <c r="AI59" s="86"/>
      <c r="AJ59" s="86"/>
      <c r="AK59" s="86"/>
      <c r="AL59" s="68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  <c r="BM59" s="69"/>
      <c r="BN59" s="69"/>
      <c r="BO59" s="69"/>
      <c r="BP59" s="70"/>
    </row>
    <row r="60" spans="1:68" s="1" customFormat="1" ht="30.75" customHeight="1">
      <c r="A60" s="74">
        <f t="shared" si="0"/>
        <v>52</v>
      </c>
      <c r="B60" s="75"/>
      <c r="C60" s="76"/>
      <c r="D60" s="71" t="s">
        <v>455</v>
      </c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3"/>
      <c r="AA60" s="74" t="s">
        <v>280</v>
      </c>
      <c r="AB60" s="75"/>
      <c r="AC60" s="75"/>
      <c r="AD60" s="75"/>
      <c r="AE60" s="76"/>
      <c r="AF60" s="86">
        <v>14</v>
      </c>
      <c r="AG60" s="86"/>
      <c r="AH60" s="86"/>
      <c r="AI60" s="86"/>
      <c r="AJ60" s="86"/>
      <c r="AK60" s="86"/>
      <c r="AL60" s="68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69"/>
      <c r="BN60" s="69"/>
      <c r="BO60" s="69"/>
      <c r="BP60" s="70"/>
    </row>
    <row r="61" spans="1:68" s="1" customFormat="1" ht="30.75" customHeight="1">
      <c r="A61" s="74">
        <f t="shared" si="0"/>
        <v>53</v>
      </c>
      <c r="B61" s="75"/>
      <c r="C61" s="76"/>
      <c r="D61" s="71" t="s">
        <v>456</v>
      </c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3"/>
      <c r="AA61" s="74" t="s">
        <v>280</v>
      </c>
      <c r="AB61" s="75"/>
      <c r="AC61" s="75"/>
      <c r="AD61" s="75"/>
      <c r="AE61" s="76"/>
      <c r="AF61" s="86">
        <v>14</v>
      </c>
      <c r="AG61" s="86"/>
      <c r="AH61" s="86"/>
      <c r="AI61" s="86"/>
      <c r="AJ61" s="86"/>
      <c r="AK61" s="86"/>
      <c r="AL61" s="68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69"/>
      <c r="BN61" s="69"/>
      <c r="BO61" s="69"/>
      <c r="BP61" s="70"/>
    </row>
    <row r="62" spans="1:68" s="1" customFormat="1" ht="30.75" customHeight="1">
      <c r="A62" s="74">
        <f t="shared" si="0"/>
        <v>54</v>
      </c>
      <c r="B62" s="75"/>
      <c r="C62" s="76"/>
      <c r="D62" s="71" t="s">
        <v>457</v>
      </c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3"/>
      <c r="AA62" s="74" t="s">
        <v>280</v>
      </c>
      <c r="AB62" s="75"/>
      <c r="AC62" s="75"/>
      <c r="AD62" s="75"/>
      <c r="AE62" s="76"/>
      <c r="AF62" s="86" t="s">
        <v>1444</v>
      </c>
      <c r="AG62" s="86"/>
      <c r="AH62" s="86"/>
      <c r="AI62" s="86"/>
      <c r="AJ62" s="86"/>
      <c r="AK62" s="86"/>
      <c r="AL62" s="68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9"/>
      <c r="BF62" s="69"/>
      <c r="BG62" s="69"/>
      <c r="BH62" s="69"/>
      <c r="BI62" s="69"/>
      <c r="BJ62" s="69"/>
      <c r="BK62" s="69"/>
      <c r="BL62" s="69"/>
      <c r="BM62" s="69"/>
      <c r="BN62" s="69"/>
      <c r="BO62" s="69"/>
      <c r="BP62" s="70"/>
    </row>
    <row r="63" spans="1:68" s="1" customFormat="1" ht="30.75" customHeight="1">
      <c r="A63" s="74">
        <f t="shared" si="0"/>
        <v>55</v>
      </c>
      <c r="B63" s="75"/>
      <c r="C63" s="76"/>
      <c r="D63" s="71" t="s">
        <v>458</v>
      </c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3"/>
      <c r="AA63" s="74" t="s">
        <v>280</v>
      </c>
      <c r="AB63" s="75"/>
      <c r="AC63" s="75"/>
      <c r="AD63" s="75"/>
      <c r="AE63" s="76"/>
      <c r="AF63" s="86">
        <v>14</v>
      </c>
      <c r="AG63" s="86"/>
      <c r="AH63" s="86"/>
      <c r="AI63" s="86"/>
      <c r="AJ63" s="86"/>
      <c r="AK63" s="86"/>
      <c r="AL63" s="68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  <c r="BM63" s="69"/>
      <c r="BN63" s="69"/>
      <c r="BO63" s="69"/>
      <c r="BP63" s="70"/>
    </row>
    <row r="64" spans="1:68" s="1" customFormat="1" ht="30.75" customHeight="1">
      <c r="A64" s="74">
        <f t="shared" si="0"/>
        <v>56</v>
      </c>
      <c r="B64" s="75"/>
      <c r="C64" s="76"/>
      <c r="D64" s="71" t="s">
        <v>1041</v>
      </c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3"/>
      <c r="AA64" s="74" t="s">
        <v>280</v>
      </c>
      <c r="AB64" s="75"/>
      <c r="AC64" s="75"/>
      <c r="AD64" s="75"/>
      <c r="AE64" s="76"/>
      <c r="AF64" s="86" t="s">
        <v>1444</v>
      </c>
      <c r="AG64" s="86"/>
      <c r="AH64" s="86"/>
      <c r="AI64" s="86"/>
      <c r="AJ64" s="86"/>
      <c r="AK64" s="86"/>
      <c r="AL64" s="68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69"/>
      <c r="BN64" s="69"/>
      <c r="BO64" s="69"/>
      <c r="BP64" s="70"/>
    </row>
    <row r="65" spans="1:68" s="1" customFormat="1" ht="30.75" customHeight="1">
      <c r="A65" s="74">
        <f t="shared" si="0"/>
        <v>57</v>
      </c>
      <c r="B65" s="75"/>
      <c r="C65" s="76"/>
      <c r="D65" s="71" t="s">
        <v>459</v>
      </c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3"/>
      <c r="AA65" s="74" t="s">
        <v>280</v>
      </c>
      <c r="AB65" s="75"/>
      <c r="AC65" s="75"/>
      <c r="AD65" s="75"/>
      <c r="AE65" s="76"/>
      <c r="AF65" s="86">
        <v>14</v>
      </c>
      <c r="AG65" s="86"/>
      <c r="AH65" s="86"/>
      <c r="AI65" s="86"/>
      <c r="AJ65" s="86"/>
      <c r="AK65" s="86"/>
      <c r="AL65" s="68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69"/>
      <c r="BN65" s="69"/>
      <c r="BO65" s="69"/>
      <c r="BP65" s="70"/>
    </row>
    <row r="66" spans="1:68" s="1" customFormat="1" ht="30.75" customHeight="1">
      <c r="A66" s="74">
        <f t="shared" si="0"/>
        <v>58</v>
      </c>
      <c r="B66" s="75"/>
      <c r="C66" s="76"/>
      <c r="D66" s="71" t="s">
        <v>460</v>
      </c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3"/>
      <c r="AA66" s="74" t="s">
        <v>280</v>
      </c>
      <c r="AB66" s="75"/>
      <c r="AC66" s="75"/>
      <c r="AD66" s="75"/>
      <c r="AE66" s="76"/>
      <c r="AF66" s="86">
        <v>14</v>
      </c>
      <c r="AG66" s="86"/>
      <c r="AH66" s="86"/>
      <c r="AI66" s="86"/>
      <c r="AJ66" s="86"/>
      <c r="AK66" s="86"/>
      <c r="AL66" s="68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  <c r="BM66" s="69"/>
      <c r="BN66" s="69"/>
      <c r="BO66" s="69"/>
      <c r="BP66" s="70"/>
    </row>
    <row r="67" spans="1:68" s="1" customFormat="1" ht="30.75" customHeight="1">
      <c r="A67" s="74">
        <f t="shared" si="0"/>
        <v>59</v>
      </c>
      <c r="B67" s="75"/>
      <c r="C67" s="76"/>
      <c r="D67" s="71" t="s">
        <v>461</v>
      </c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3"/>
      <c r="AA67" s="74" t="s">
        <v>280</v>
      </c>
      <c r="AB67" s="75"/>
      <c r="AC67" s="75"/>
      <c r="AD67" s="75"/>
      <c r="AE67" s="76"/>
      <c r="AF67" s="86" t="s">
        <v>1444</v>
      </c>
      <c r="AG67" s="86"/>
      <c r="AH67" s="86"/>
      <c r="AI67" s="86"/>
      <c r="AJ67" s="86"/>
      <c r="AK67" s="86"/>
      <c r="AL67" s="68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  <c r="BM67" s="69"/>
      <c r="BN67" s="69"/>
      <c r="BO67" s="69"/>
      <c r="BP67" s="70"/>
    </row>
    <row r="68" spans="1:68" s="1" customFormat="1" ht="30.75" customHeight="1">
      <c r="A68" s="74">
        <f t="shared" si="0"/>
        <v>60</v>
      </c>
      <c r="B68" s="75"/>
      <c r="C68" s="76"/>
      <c r="D68" s="71" t="s">
        <v>462</v>
      </c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3"/>
      <c r="AA68" s="74" t="s">
        <v>280</v>
      </c>
      <c r="AB68" s="75"/>
      <c r="AC68" s="75"/>
      <c r="AD68" s="75"/>
      <c r="AE68" s="76"/>
      <c r="AF68" s="86">
        <v>14</v>
      </c>
      <c r="AG68" s="86"/>
      <c r="AH68" s="86"/>
      <c r="AI68" s="86"/>
      <c r="AJ68" s="86"/>
      <c r="AK68" s="86"/>
      <c r="AL68" s="68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  <c r="BM68" s="69"/>
      <c r="BN68" s="69"/>
      <c r="BO68" s="69"/>
      <c r="BP68" s="70"/>
    </row>
    <row r="69" spans="1:68" s="1" customFormat="1" ht="30.75" customHeight="1">
      <c r="A69" s="74">
        <f t="shared" si="0"/>
        <v>61</v>
      </c>
      <c r="B69" s="75"/>
      <c r="C69" s="76"/>
      <c r="D69" s="71" t="s">
        <v>1042</v>
      </c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3"/>
      <c r="AA69" s="74" t="s">
        <v>280</v>
      </c>
      <c r="AB69" s="75"/>
      <c r="AC69" s="75"/>
      <c r="AD69" s="75"/>
      <c r="AE69" s="76"/>
      <c r="AF69" s="86" t="s">
        <v>1444</v>
      </c>
      <c r="AG69" s="86"/>
      <c r="AH69" s="86"/>
      <c r="AI69" s="86"/>
      <c r="AJ69" s="86"/>
      <c r="AK69" s="86"/>
      <c r="AL69" s="68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69"/>
      <c r="BN69" s="69"/>
      <c r="BO69" s="69"/>
      <c r="BP69" s="70"/>
    </row>
    <row r="70" spans="1:68" s="1" customFormat="1" ht="30.75" customHeight="1">
      <c r="A70" s="74">
        <f t="shared" si="0"/>
        <v>62</v>
      </c>
      <c r="B70" s="75"/>
      <c r="C70" s="76"/>
      <c r="D70" s="71" t="s">
        <v>463</v>
      </c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3"/>
      <c r="AA70" s="74" t="s">
        <v>280</v>
      </c>
      <c r="AB70" s="75"/>
      <c r="AC70" s="75"/>
      <c r="AD70" s="75"/>
      <c r="AE70" s="76"/>
      <c r="AF70" s="86">
        <v>4</v>
      </c>
      <c r="AG70" s="86"/>
      <c r="AH70" s="86"/>
      <c r="AI70" s="86"/>
      <c r="AJ70" s="86"/>
      <c r="AK70" s="86"/>
      <c r="AL70" s="68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69"/>
      <c r="BN70" s="69"/>
      <c r="BO70" s="69"/>
      <c r="BP70" s="70"/>
    </row>
    <row r="71" spans="1:68" s="1" customFormat="1" ht="30.75" customHeight="1">
      <c r="A71" s="74">
        <f t="shared" si="0"/>
        <v>63</v>
      </c>
      <c r="B71" s="75"/>
      <c r="C71" s="76"/>
      <c r="D71" s="71" t="s">
        <v>464</v>
      </c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3"/>
      <c r="AA71" s="74" t="s">
        <v>280</v>
      </c>
      <c r="AB71" s="75"/>
      <c r="AC71" s="75"/>
      <c r="AD71" s="75"/>
      <c r="AE71" s="76"/>
      <c r="AF71" s="86">
        <v>14</v>
      </c>
      <c r="AG71" s="86"/>
      <c r="AH71" s="86"/>
      <c r="AI71" s="86"/>
      <c r="AJ71" s="86"/>
      <c r="AK71" s="86"/>
      <c r="AL71" s="68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  <c r="BM71" s="69"/>
      <c r="BN71" s="69"/>
      <c r="BO71" s="69"/>
      <c r="BP71" s="70"/>
    </row>
    <row r="72" spans="1:68" s="1" customFormat="1" ht="30.75" customHeight="1">
      <c r="A72" s="74">
        <f t="shared" si="0"/>
        <v>64</v>
      </c>
      <c r="B72" s="75"/>
      <c r="C72" s="76"/>
      <c r="D72" s="71" t="s">
        <v>465</v>
      </c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3"/>
      <c r="AA72" s="74" t="s">
        <v>280</v>
      </c>
      <c r="AB72" s="75"/>
      <c r="AC72" s="75"/>
      <c r="AD72" s="75"/>
      <c r="AE72" s="76"/>
      <c r="AF72" s="86">
        <v>14</v>
      </c>
      <c r="AG72" s="86"/>
      <c r="AH72" s="86"/>
      <c r="AI72" s="86"/>
      <c r="AJ72" s="86"/>
      <c r="AK72" s="86"/>
      <c r="AL72" s="68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69"/>
      <c r="BN72" s="69"/>
      <c r="BO72" s="69"/>
      <c r="BP72" s="70"/>
    </row>
    <row r="73" spans="1:68" s="1" customFormat="1" ht="30.75" customHeight="1">
      <c r="A73" s="74">
        <f t="shared" si="0"/>
        <v>65</v>
      </c>
      <c r="B73" s="75"/>
      <c r="C73" s="76"/>
      <c r="D73" s="71" t="s">
        <v>466</v>
      </c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3"/>
      <c r="AA73" s="74" t="s">
        <v>280</v>
      </c>
      <c r="AB73" s="75"/>
      <c r="AC73" s="75"/>
      <c r="AD73" s="75"/>
      <c r="AE73" s="76"/>
      <c r="AF73" s="86">
        <v>14</v>
      </c>
      <c r="AG73" s="86"/>
      <c r="AH73" s="86"/>
      <c r="AI73" s="86"/>
      <c r="AJ73" s="86"/>
      <c r="AK73" s="86"/>
      <c r="AL73" s="68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69"/>
      <c r="BO73" s="69"/>
      <c r="BP73" s="70"/>
    </row>
    <row r="74" spans="1:68" s="1" customFormat="1" ht="30.75" customHeight="1">
      <c r="A74" s="74">
        <f t="shared" si="0"/>
        <v>66</v>
      </c>
      <c r="B74" s="75"/>
      <c r="C74" s="76"/>
      <c r="D74" s="71" t="s">
        <v>467</v>
      </c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3"/>
      <c r="AA74" s="74" t="s">
        <v>280</v>
      </c>
      <c r="AB74" s="75"/>
      <c r="AC74" s="75"/>
      <c r="AD74" s="75"/>
      <c r="AE74" s="76"/>
      <c r="AF74" s="86">
        <v>14</v>
      </c>
      <c r="AG74" s="86"/>
      <c r="AH74" s="86"/>
      <c r="AI74" s="86"/>
      <c r="AJ74" s="86"/>
      <c r="AK74" s="86"/>
      <c r="AL74" s="68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  <c r="BC74" s="69"/>
      <c r="BD74" s="69"/>
      <c r="BE74" s="69"/>
      <c r="BF74" s="69"/>
      <c r="BG74" s="69"/>
      <c r="BH74" s="69"/>
      <c r="BI74" s="69"/>
      <c r="BJ74" s="69"/>
      <c r="BK74" s="69"/>
      <c r="BL74" s="69"/>
      <c r="BM74" s="69"/>
      <c r="BN74" s="69"/>
      <c r="BO74" s="69"/>
      <c r="BP74" s="70"/>
    </row>
    <row r="75" spans="1:68" s="1" customFormat="1" ht="30.75" customHeight="1">
      <c r="A75" s="74">
        <f t="shared" si="0"/>
        <v>67</v>
      </c>
      <c r="B75" s="75"/>
      <c r="C75" s="76"/>
      <c r="D75" s="71" t="s">
        <v>468</v>
      </c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3"/>
      <c r="AA75" s="74" t="s">
        <v>280</v>
      </c>
      <c r="AB75" s="75"/>
      <c r="AC75" s="75"/>
      <c r="AD75" s="75"/>
      <c r="AE75" s="76"/>
      <c r="AF75" s="86">
        <v>14</v>
      </c>
      <c r="AG75" s="86"/>
      <c r="AH75" s="86"/>
      <c r="AI75" s="86"/>
      <c r="AJ75" s="86"/>
      <c r="AK75" s="86"/>
      <c r="AL75" s="68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69"/>
      <c r="BE75" s="69"/>
      <c r="BF75" s="69"/>
      <c r="BG75" s="69"/>
      <c r="BH75" s="69"/>
      <c r="BI75" s="69"/>
      <c r="BJ75" s="69"/>
      <c r="BK75" s="69"/>
      <c r="BL75" s="69"/>
      <c r="BM75" s="69"/>
      <c r="BN75" s="69"/>
      <c r="BO75" s="69"/>
      <c r="BP75" s="70"/>
    </row>
    <row r="76" spans="1:68" s="1" customFormat="1" ht="30.75" customHeight="1">
      <c r="A76" s="74">
        <f t="shared" si="0"/>
        <v>68</v>
      </c>
      <c r="B76" s="75"/>
      <c r="C76" s="76"/>
      <c r="D76" s="71" t="s">
        <v>1312</v>
      </c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3"/>
      <c r="AA76" s="74" t="s">
        <v>280</v>
      </c>
      <c r="AB76" s="75"/>
      <c r="AC76" s="75"/>
      <c r="AD76" s="75"/>
      <c r="AE76" s="76"/>
      <c r="AF76" s="86" t="s">
        <v>1504</v>
      </c>
      <c r="AG76" s="86"/>
      <c r="AH76" s="86"/>
      <c r="AI76" s="86"/>
      <c r="AJ76" s="86"/>
      <c r="AK76" s="86"/>
      <c r="AL76" s="68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  <c r="BM76" s="69"/>
      <c r="BN76" s="69"/>
      <c r="BO76" s="69"/>
      <c r="BP76" s="70"/>
    </row>
    <row r="77" spans="1:68" s="1" customFormat="1" ht="30.75" customHeight="1">
      <c r="A77" s="74">
        <f t="shared" si="0"/>
        <v>69</v>
      </c>
      <c r="B77" s="75"/>
      <c r="C77" s="76"/>
      <c r="D77" s="71" t="s">
        <v>469</v>
      </c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3"/>
      <c r="AA77" s="74" t="s">
        <v>280</v>
      </c>
      <c r="AB77" s="75"/>
      <c r="AC77" s="75"/>
      <c r="AD77" s="75"/>
      <c r="AE77" s="76"/>
      <c r="AF77" s="86" t="s">
        <v>1504</v>
      </c>
      <c r="AG77" s="86"/>
      <c r="AH77" s="86"/>
      <c r="AI77" s="86"/>
      <c r="AJ77" s="86"/>
      <c r="AK77" s="86"/>
      <c r="AL77" s="68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69"/>
      <c r="BG77" s="69"/>
      <c r="BH77" s="69"/>
      <c r="BI77" s="69"/>
      <c r="BJ77" s="69"/>
      <c r="BK77" s="69"/>
      <c r="BL77" s="69"/>
      <c r="BM77" s="69"/>
      <c r="BN77" s="69"/>
      <c r="BO77" s="69"/>
      <c r="BP77" s="70"/>
    </row>
    <row r="78" spans="1:68" s="1" customFormat="1" ht="30.75" customHeight="1">
      <c r="A78" s="74">
        <f t="shared" si="0"/>
        <v>70</v>
      </c>
      <c r="B78" s="75"/>
      <c r="C78" s="76"/>
      <c r="D78" s="71" t="s">
        <v>472</v>
      </c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3"/>
      <c r="AA78" s="74" t="s">
        <v>348</v>
      </c>
      <c r="AB78" s="75"/>
      <c r="AC78" s="75"/>
      <c r="AD78" s="75"/>
      <c r="AE78" s="76"/>
      <c r="AF78" s="86"/>
      <c r="AG78" s="86"/>
      <c r="AH78" s="86"/>
      <c r="AI78" s="86"/>
      <c r="AJ78" s="86"/>
      <c r="AK78" s="86"/>
      <c r="AL78" s="68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69"/>
      <c r="BJ78" s="69"/>
      <c r="BK78" s="69"/>
      <c r="BL78" s="69"/>
      <c r="BM78" s="69"/>
      <c r="BN78" s="69"/>
      <c r="BO78" s="69"/>
      <c r="BP78" s="70"/>
    </row>
    <row r="79" spans="1:68" s="1" customFormat="1" ht="30.75" customHeight="1">
      <c r="A79" s="74">
        <f t="shared" si="0"/>
        <v>71</v>
      </c>
      <c r="B79" s="75"/>
      <c r="C79" s="76"/>
      <c r="D79" s="71" t="s">
        <v>448</v>
      </c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3"/>
      <c r="AA79" s="74" t="s">
        <v>475</v>
      </c>
      <c r="AB79" s="75"/>
      <c r="AC79" s="75"/>
      <c r="AD79" s="75"/>
      <c r="AE79" s="76"/>
      <c r="AF79" s="86">
        <v>25</v>
      </c>
      <c r="AG79" s="86"/>
      <c r="AH79" s="86"/>
      <c r="AI79" s="86"/>
      <c r="AJ79" s="86"/>
      <c r="AK79" s="86"/>
      <c r="AL79" s="68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  <c r="BC79" s="69"/>
      <c r="BD79" s="69"/>
      <c r="BE79" s="69"/>
      <c r="BF79" s="69"/>
      <c r="BG79" s="69"/>
      <c r="BH79" s="69"/>
      <c r="BI79" s="69"/>
      <c r="BJ79" s="69"/>
      <c r="BK79" s="69"/>
      <c r="BL79" s="69"/>
      <c r="BM79" s="69"/>
      <c r="BN79" s="69"/>
      <c r="BO79" s="69"/>
      <c r="BP79" s="70"/>
    </row>
    <row r="80" spans="1:68" s="1" customFormat="1" ht="30.75" customHeight="1">
      <c r="A80" s="74">
        <f t="shared" ref="A80:A148" si="1">ROW()-8</f>
        <v>72</v>
      </c>
      <c r="B80" s="75"/>
      <c r="C80" s="76"/>
      <c r="D80" s="71" t="s">
        <v>450</v>
      </c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3"/>
      <c r="AA80" s="74" t="s">
        <v>280</v>
      </c>
      <c r="AB80" s="75"/>
      <c r="AC80" s="75"/>
      <c r="AD80" s="75"/>
      <c r="AE80" s="76"/>
      <c r="AF80" s="86">
        <v>6</v>
      </c>
      <c r="AG80" s="86"/>
      <c r="AH80" s="86"/>
      <c r="AI80" s="86"/>
      <c r="AJ80" s="86"/>
      <c r="AK80" s="86"/>
      <c r="AL80" s="68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69"/>
      <c r="BN80" s="69"/>
      <c r="BO80" s="69"/>
      <c r="BP80" s="70"/>
    </row>
    <row r="81" spans="1:68" s="1" customFormat="1" ht="30.75" customHeight="1">
      <c r="A81" s="74">
        <f t="shared" si="1"/>
        <v>73</v>
      </c>
      <c r="B81" s="75"/>
      <c r="C81" s="76"/>
      <c r="D81" s="71" t="s">
        <v>471</v>
      </c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3"/>
      <c r="AA81" s="74" t="s">
        <v>475</v>
      </c>
      <c r="AB81" s="75"/>
      <c r="AC81" s="75"/>
      <c r="AD81" s="75"/>
      <c r="AE81" s="76"/>
      <c r="AF81" s="86">
        <v>8</v>
      </c>
      <c r="AG81" s="86"/>
      <c r="AH81" s="86"/>
      <c r="AI81" s="86"/>
      <c r="AJ81" s="86"/>
      <c r="AK81" s="86"/>
      <c r="AL81" s="68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69"/>
      <c r="BE81" s="69"/>
      <c r="BF81" s="69"/>
      <c r="BG81" s="69"/>
      <c r="BH81" s="69"/>
      <c r="BI81" s="69"/>
      <c r="BJ81" s="69"/>
      <c r="BK81" s="69"/>
      <c r="BL81" s="69"/>
      <c r="BM81" s="69"/>
      <c r="BN81" s="69"/>
      <c r="BO81" s="69"/>
      <c r="BP81" s="70"/>
    </row>
    <row r="82" spans="1:68" s="1" customFormat="1" ht="30.75" customHeight="1">
      <c r="A82" s="74">
        <f t="shared" si="1"/>
        <v>74</v>
      </c>
      <c r="B82" s="75"/>
      <c r="C82" s="76"/>
      <c r="D82" s="71" t="s">
        <v>453</v>
      </c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3"/>
      <c r="AA82" s="74" t="s">
        <v>280</v>
      </c>
      <c r="AB82" s="75"/>
      <c r="AC82" s="75"/>
      <c r="AD82" s="75"/>
      <c r="AE82" s="76"/>
      <c r="AF82" s="86" t="s">
        <v>1444</v>
      </c>
      <c r="AG82" s="86"/>
      <c r="AH82" s="86"/>
      <c r="AI82" s="86"/>
      <c r="AJ82" s="86"/>
      <c r="AK82" s="86"/>
      <c r="AL82" s="68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69"/>
      <c r="BE82" s="69"/>
      <c r="BF82" s="69"/>
      <c r="BG82" s="69"/>
      <c r="BH82" s="69"/>
      <c r="BI82" s="69"/>
      <c r="BJ82" s="69"/>
      <c r="BK82" s="69"/>
      <c r="BL82" s="69"/>
      <c r="BM82" s="69"/>
      <c r="BN82" s="69"/>
      <c r="BO82" s="69"/>
      <c r="BP82" s="70"/>
    </row>
    <row r="83" spans="1:68" s="1" customFormat="1" ht="30.75" customHeight="1">
      <c r="A83" s="74">
        <f t="shared" si="1"/>
        <v>75</v>
      </c>
      <c r="B83" s="75"/>
      <c r="C83" s="76"/>
      <c r="D83" s="71" t="s">
        <v>454</v>
      </c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3"/>
      <c r="AA83" s="74" t="s">
        <v>280</v>
      </c>
      <c r="AB83" s="75"/>
      <c r="AC83" s="75"/>
      <c r="AD83" s="75"/>
      <c r="AE83" s="76"/>
      <c r="AF83" s="86">
        <v>14</v>
      </c>
      <c r="AG83" s="86"/>
      <c r="AH83" s="86"/>
      <c r="AI83" s="86"/>
      <c r="AJ83" s="86"/>
      <c r="AK83" s="86"/>
      <c r="AL83" s="68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  <c r="BH83" s="69"/>
      <c r="BI83" s="69"/>
      <c r="BJ83" s="69"/>
      <c r="BK83" s="69"/>
      <c r="BL83" s="69"/>
      <c r="BM83" s="69"/>
      <c r="BN83" s="69"/>
      <c r="BO83" s="69"/>
      <c r="BP83" s="70"/>
    </row>
    <row r="84" spans="1:68" s="1" customFormat="1" ht="30.75" customHeight="1">
      <c r="A84" s="74">
        <f t="shared" si="1"/>
        <v>76</v>
      </c>
      <c r="B84" s="75"/>
      <c r="C84" s="76"/>
      <c r="D84" s="71" t="s">
        <v>1040</v>
      </c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3"/>
      <c r="AA84" s="74" t="s">
        <v>280</v>
      </c>
      <c r="AB84" s="75"/>
      <c r="AC84" s="75"/>
      <c r="AD84" s="75"/>
      <c r="AE84" s="76"/>
      <c r="AF84" s="86" t="s">
        <v>1444</v>
      </c>
      <c r="AG84" s="86"/>
      <c r="AH84" s="86"/>
      <c r="AI84" s="86"/>
      <c r="AJ84" s="86"/>
      <c r="AK84" s="86"/>
      <c r="AL84" s="68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  <c r="BC84" s="69"/>
      <c r="BD84" s="69"/>
      <c r="BE84" s="69"/>
      <c r="BF84" s="69"/>
      <c r="BG84" s="69"/>
      <c r="BH84" s="69"/>
      <c r="BI84" s="69"/>
      <c r="BJ84" s="69"/>
      <c r="BK84" s="69"/>
      <c r="BL84" s="69"/>
      <c r="BM84" s="69"/>
      <c r="BN84" s="69"/>
      <c r="BO84" s="69"/>
      <c r="BP84" s="70"/>
    </row>
    <row r="85" spans="1:68" s="1" customFormat="1" ht="30.75" customHeight="1">
      <c r="A85" s="74">
        <f t="shared" si="1"/>
        <v>77</v>
      </c>
      <c r="B85" s="75"/>
      <c r="C85" s="76"/>
      <c r="D85" s="71" t="s">
        <v>455</v>
      </c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3"/>
      <c r="AA85" s="74" t="s">
        <v>280</v>
      </c>
      <c r="AB85" s="75"/>
      <c r="AC85" s="75"/>
      <c r="AD85" s="75"/>
      <c r="AE85" s="76"/>
      <c r="AF85" s="86">
        <v>14</v>
      </c>
      <c r="AG85" s="86"/>
      <c r="AH85" s="86"/>
      <c r="AI85" s="86"/>
      <c r="AJ85" s="86"/>
      <c r="AK85" s="86"/>
      <c r="AL85" s="68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  <c r="BC85" s="69"/>
      <c r="BD85" s="69"/>
      <c r="BE85" s="69"/>
      <c r="BF85" s="69"/>
      <c r="BG85" s="69"/>
      <c r="BH85" s="69"/>
      <c r="BI85" s="69"/>
      <c r="BJ85" s="69"/>
      <c r="BK85" s="69"/>
      <c r="BL85" s="69"/>
      <c r="BM85" s="69"/>
      <c r="BN85" s="69"/>
      <c r="BO85" s="69"/>
      <c r="BP85" s="70"/>
    </row>
    <row r="86" spans="1:68" s="1" customFormat="1" ht="30.75" customHeight="1">
      <c r="A86" s="74">
        <f t="shared" si="1"/>
        <v>78</v>
      </c>
      <c r="B86" s="75"/>
      <c r="C86" s="76"/>
      <c r="D86" s="71" t="s">
        <v>456</v>
      </c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3"/>
      <c r="AA86" s="74" t="s">
        <v>280</v>
      </c>
      <c r="AB86" s="75"/>
      <c r="AC86" s="75"/>
      <c r="AD86" s="75"/>
      <c r="AE86" s="76"/>
      <c r="AF86" s="86">
        <v>14</v>
      </c>
      <c r="AG86" s="86"/>
      <c r="AH86" s="86"/>
      <c r="AI86" s="86"/>
      <c r="AJ86" s="86"/>
      <c r="AK86" s="86"/>
      <c r="AL86" s="68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69"/>
      <c r="BM86" s="69"/>
      <c r="BN86" s="69"/>
      <c r="BO86" s="69"/>
      <c r="BP86" s="70"/>
    </row>
    <row r="87" spans="1:68" s="1" customFormat="1" ht="30.75" customHeight="1">
      <c r="A87" s="74">
        <f t="shared" si="1"/>
        <v>79</v>
      </c>
      <c r="B87" s="75"/>
      <c r="C87" s="76"/>
      <c r="D87" s="71" t="s">
        <v>457</v>
      </c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3"/>
      <c r="AA87" s="74" t="s">
        <v>280</v>
      </c>
      <c r="AB87" s="75"/>
      <c r="AC87" s="75"/>
      <c r="AD87" s="75"/>
      <c r="AE87" s="76"/>
      <c r="AF87" s="86" t="s">
        <v>1444</v>
      </c>
      <c r="AG87" s="86"/>
      <c r="AH87" s="86"/>
      <c r="AI87" s="86"/>
      <c r="AJ87" s="86"/>
      <c r="AK87" s="86"/>
      <c r="AL87" s="68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69"/>
      <c r="BH87" s="69"/>
      <c r="BI87" s="69"/>
      <c r="BJ87" s="69"/>
      <c r="BK87" s="69"/>
      <c r="BL87" s="69"/>
      <c r="BM87" s="69"/>
      <c r="BN87" s="69"/>
      <c r="BO87" s="69"/>
      <c r="BP87" s="70"/>
    </row>
    <row r="88" spans="1:68" s="1" customFormat="1" ht="30.75" customHeight="1">
      <c r="A88" s="74">
        <f t="shared" si="1"/>
        <v>80</v>
      </c>
      <c r="B88" s="75"/>
      <c r="C88" s="76"/>
      <c r="D88" s="71" t="s">
        <v>458</v>
      </c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3"/>
      <c r="AA88" s="74" t="s">
        <v>280</v>
      </c>
      <c r="AB88" s="75"/>
      <c r="AC88" s="75"/>
      <c r="AD88" s="75"/>
      <c r="AE88" s="76"/>
      <c r="AF88" s="86">
        <v>14</v>
      </c>
      <c r="AG88" s="86"/>
      <c r="AH88" s="86"/>
      <c r="AI88" s="86"/>
      <c r="AJ88" s="86"/>
      <c r="AK88" s="86"/>
      <c r="AL88" s="68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  <c r="BM88" s="69"/>
      <c r="BN88" s="69"/>
      <c r="BO88" s="69"/>
      <c r="BP88" s="70"/>
    </row>
    <row r="89" spans="1:68" s="1" customFormat="1" ht="30.75" customHeight="1">
      <c r="A89" s="74">
        <f t="shared" si="1"/>
        <v>81</v>
      </c>
      <c r="B89" s="75"/>
      <c r="C89" s="76"/>
      <c r="D89" s="71" t="s">
        <v>1041</v>
      </c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3"/>
      <c r="AA89" s="74" t="s">
        <v>280</v>
      </c>
      <c r="AB89" s="75"/>
      <c r="AC89" s="75"/>
      <c r="AD89" s="75"/>
      <c r="AE89" s="76"/>
      <c r="AF89" s="86" t="s">
        <v>1444</v>
      </c>
      <c r="AG89" s="86"/>
      <c r="AH89" s="86"/>
      <c r="AI89" s="86"/>
      <c r="AJ89" s="86"/>
      <c r="AK89" s="86"/>
      <c r="AL89" s="68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9"/>
      <c r="BJ89" s="69"/>
      <c r="BK89" s="69"/>
      <c r="BL89" s="69"/>
      <c r="BM89" s="69"/>
      <c r="BN89" s="69"/>
      <c r="BO89" s="69"/>
      <c r="BP89" s="70"/>
    </row>
    <row r="90" spans="1:68" s="1" customFormat="1" ht="30.75" customHeight="1">
      <c r="A90" s="74">
        <f t="shared" si="1"/>
        <v>82</v>
      </c>
      <c r="B90" s="75"/>
      <c r="C90" s="76"/>
      <c r="D90" s="71" t="s">
        <v>459</v>
      </c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3"/>
      <c r="AA90" s="74" t="s">
        <v>280</v>
      </c>
      <c r="AB90" s="75"/>
      <c r="AC90" s="75"/>
      <c r="AD90" s="75"/>
      <c r="AE90" s="76"/>
      <c r="AF90" s="86">
        <v>14</v>
      </c>
      <c r="AG90" s="86"/>
      <c r="AH90" s="86"/>
      <c r="AI90" s="86"/>
      <c r="AJ90" s="86"/>
      <c r="AK90" s="86"/>
      <c r="AL90" s="68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69"/>
      <c r="BH90" s="69"/>
      <c r="BI90" s="69"/>
      <c r="BJ90" s="69"/>
      <c r="BK90" s="69"/>
      <c r="BL90" s="69"/>
      <c r="BM90" s="69"/>
      <c r="BN90" s="69"/>
      <c r="BO90" s="69"/>
      <c r="BP90" s="70"/>
    </row>
    <row r="91" spans="1:68" s="1" customFormat="1" ht="30.75" customHeight="1">
      <c r="A91" s="74">
        <f t="shared" si="1"/>
        <v>83</v>
      </c>
      <c r="B91" s="75"/>
      <c r="C91" s="76"/>
      <c r="D91" s="71" t="s">
        <v>460</v>
      </c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3"/>
      <c r="AA91" s="74" t="s">
        <v>280</v>
      </c>
      <c r="AB91" s="75"/>
      <c r="AC91" s="75"/>
      <c r="AD91" s="75"/>
      <c r="AE91" s="76"/>
      <c r="AF91" s="86">
        <v>18</v>
      </c>
      <c r="AG91" s="86"/>
      <c r="AH91" s="86"/>
      <c r="AI91" s="86"/>
      <c r="AJ91" s="86"/>
      <c r="AK91" s="86"/>
      <c r="AL91" s="68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69"/>
      <c r="BH91" s="69"/>
      <c r="BI91" s="69"/>
      <c r="BJ91" s="69"/>
      <c r="BK91" s="69"/>
      <c r="BL91" s="69"/>
      <c r="BM91" s="69"/>
      <c r="BN91" s="69"/>
      <c r="BO91" s="69"/>
      <c r="BP91" s="70"/>
    </row>
    <row r="92" spans="1:68" s="1" customFormat="1" ht="30.75" customHeight="1">
      <c r="A92" s="74">
        <f t="shared" si="1"/>
        <v>84</v>
      </c>
      <c r="B92" s="75"/>
      <c r="C92" s="76"/>
      <c r="D92" s="71" t="s">
        <v>461</v>
      </c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3"/>
      <c r="AA92" s="74" t="s">
        <v>280</v>
      </c>
      <c r="AB92" s="75"/>
      <c r="AC92" s="75"/>
      <c r="AD92" s="75"/>
      <c r="AE92" s="76"/>
      <c r="AF92" s="86" t="s">
        <v>1444</v>
      </c>
      <c r="AG92" s="86"/>
      <c r="AH92" s="86"/>
      <c r="AI92" s="86"/>
      <c r="AJ92" s="86"/>
      <c r="AK92" s="86"/>
      <c r="AL92" s="68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  <c r="BC92" s="69"/>
      <c r="BD92" s="69"/>
      <c r="BE92" s="69"/>
      <c r="BF92" s="69"/>
      <c r="BG92" s="69"/>
      <c r="BH92" s="69"/>
      <c r="BI92" s="69"/>
      <c r="BJ92" s="69"/>
      <c r="BK92" s="69"/>
      <c r="BL92" s="69"/>
      <c r="BM92" s="69"/>
      <c r="BN92" s="69"/>
      <c r="BO92" s="69"/>
      <c r="BP92" s="70"/>
    </row>
    <row r="93" spans="1:68" s="1" customFormat="1" ht="30.75" customHeight="1">
      <c r="A93" s="74">
        <f t="shared" si="1"/>
        <v>85</v>
      </c>
      <c r="B93" s="75"/>
      <c r="C93" s="76"/>
      <c r="D93" s="71" t="s">
        <v>462</v>
      </c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3"/>
      <c r="AA93" s="74" t="s">
        <v>280</v>
      </c>
      <c r="AB93" s="75"/>
      <c r="AC93" s="75"/>
      <c r="AD93" s="75"/>
      <c r="AE93" s="76"/>
      <c r="AF93" s="86">
        <v>14</v>
      </c>
      <c r="AG93" s="86"/>
      <c r="AH93" s="86"/>
      <c r="AI93" s="86"/>
      <c r="AJ93" s="86"/>
      <c r="AK93" s="86"/>
      <c r="AL93" s="68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69"/>
      <c r="BK93" s="69"/>
      <c r="BL93" s="69"/>
      <c r="BM93" s="69"/>
      <c r="BN93" s="69"/>
      <c r="BO93" s="69"/>
      <c r="BP93" s="70"/>
    </row>
    <row r="94" spans="1:68" s="1" customFormat="1" ht="30.75" customHeight="1">
      <c r="A94" s="74">
        <f t="shared" si="1"/>
        <v>86</v>
      </c>
      <c r="B94" s="75"/>
      <c r="C94" s="76"/>
      <c r="D94" s="71" t="s">
        <v>1042</v>
      </c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3"/>
      <c r="AA94" s="74" t="s">
        <v>280</v>
      </c>
      <c r="AB94" s="75"/>
      <c r="AC94" s="75"/>
      <c r="AD94" s="75"/>
      <c r="AE94" s="76"/>
      <c r="AF94" s="86" t="s">
        <v>1444</v>
      </c>
      <c r="AG94" s="86"/>
      <c r="AH94" s="86"/>
      <c r="AI94" s="86"/>
      <c r="AJ94" s="86"/>
      <c r="AK94" s="86"/>
      <c r="AL94" s="68"/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69"/>
      <c r="BH94" s="69"/>
      <c r="BI94" s="69"/>
      <c r="BJ94" s="69"/>
      <c r="BK94" s="69"/>
      <c r="BL94" s="69"/>
      <c r="BM94" s="69"/>
      <c r="BN94" s="69"/>
      <c r="BO94" s="69"/>
      <c r="BP94" s="70"/>
    </row>
    <row r="95" spans="1:68" s="1" customFormat="1" ht="30.75" customHeight="1">
      <c r="A95" s="74">
        <f t="shared" si="1"/>
        <v>87</v>
      </c>
      <c r="B95" s="75"/>
      <c r="C95" s="76"/>
      <c r="D95" s="71" t="s">
        <v>463</v>
      </c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3"/>
      <c r="AA95" s="74" t="s">
        <v>280</v>
      </c>
      <c r="AB95" s="75"/>
      <c r="AC95" s="75"/>
      <c r="AD95" s="75"/>
      <c r="AE95" s="76"/>
      <c r="AF95" s="86">
        <v>14</v>
      </c>
      <c r="AG95" s="86"/>
      <c r="AH95" s="86"/>
      <c r="AI95" s="86"/>
      <c r="AJ95" s="86"/>
      <c r="AK95" s="86"/>
      <c r="AL95" s="68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69"/>
      <c r="BH95" s="69"/>
      <c r="BI95" s="69"/>
      <c r="BJ95" s="69"/>
      <c r="BK95" s="69"/>
      <c r="BL95" s="69"/>
      <c r="BM95" s="69"/>
      <c r="BN95" s="69"/>
      <c r="BO95" s="69"/>
      <c r="BP95" s="70"/>
    </row>
    <row r="96" spans="1:68" s="1" customFormat="1" ht="30.75" customHeight="1">
      <c r="A96" s="74">
        <f t="shared" si="1"/>
        <v>88</v>
      </c>
      <c r="B96" s="75"/>
      <c r="C96" s="76"/>
      <c r="D96" s="71" t="s">
        <v>464</v>
      </c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3"/>
      <c r="AA96" s="74" t="s">
        <v>280</v>
      </c>
      <c r="AB96" s="75"/>
      <c r="AC96" s="75"/>
      <c r="AD96" s="75"/>
      <c r="AE96" s="76"/>
      <c r="AF96" s="86">
        <v>14</v>
      </c>
      <c r="AG96" s="86"/>
      <c r="AH96" s="86"/>
      <c r="AI96" s="86"/>
      <c r="AJ96" s="86"/>
      <c r="AK96" s="86"/>
      <c r="AL96" s="68"/>
      <c r="AM96" s="69"/>
      <c r="AN96" s="69"/>
      <c r="AO96" s="69"/>
      <c r="AP96" s="69"/>
      <c r="AQ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69"/>
      <c r="BH96" s="69"/>
      <c r="BI96" s="69"/>
      <c r="BJ96" s="69"/>
      <c r="BK96" s="69"/>
      <c r="BL96" s="69"/>
      <c r="BM96" s="69"/>
      <c r="BN96" s="69"/>
      <c r="BO96" s="69"/>
      <c r="BP96" s="70"/>
    </row>
    <row r="97" spans="1:68" s="1" customFormat="1" ht="30.75" customHeight="1">
      <c r="A97" s="74">
        <f t="shared" si="1"/>
        <v>89</v>
      </c>
      <c r="B97" s="75"/>
      <c r="C97" s="76"/>
      <c r="D97" s="71" t="s">
        <v>465</v>
      </c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3"/>
      <c r="AA97" s="74" t="s">
        <v>280</v>
      </c>
      <c r="AB97" s="75"/>
      <c r="AC97" s="75"/>
      <c r="AD97" s="75"/>
      <c r="AE97" s="76"/>
      <c r="AF97" s="86">
        <v>14</v>
      </c>
      <c r="AG97" s="86"/>
      <c r="AH97" s="86"/>
      <c r="AI97" s="86"/>
      <c r="AJ97" s="86"/>
      <c r="AK97" s="86"/>
      <c r="AL97" s="68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69"/>
      <c r="BH97" s="69"/>
      <c r="BI97" s="69"/>
      <c r="BJ97" s="69"/>
      <c r="BK97" s="69"/>
      <c r="BL97" s="69"/>
      <c r="BM97" s="69"/>
      <c r="BN97" s="69"/>
      <c r="BO97" s="69"/>
      <c r="BP97" s="70"/>
    </row>
    <row r="98" spans="1:68" s="1" customFormat="1" ht="30.75" customHeight="1">
      <c r="A98" s="74">
        <f t="shared" si="1"/>
        <v>90</v>
      </c>
      <c r="B98" s="75"/>
      <c r="C98" s="76"/>
      <c r="D98" s="71" t="s">
        <v>466</v>
      </c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3"/>
      <c r="AA98" s="74" t="s">
        <v>280</v>
      </c>
      <c r="AB98" s="75"/>
      <c r="AC98" s="75"/>
      <c r="AD98" s="75"/>
      <c r="AE98" s="76"/>
      <c r="AF98" s="86">
        <v>14</v>
      </c>
      <c r="AG98" s="86"/>
      <c r="AH98" s="86"/>
      <c r="AI98" s="86"/>
      <c r="AJ98" s="86"/>
      <c r="AK98" s="86"/>
      <c r="AL98" s="68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69"/>
      <c r="BH98" s="69"/>
      <c r="BI98" s="69"/>
      <c r="BJ98" s="69"/>
      <c r="BK98" s="69"/>
      <c r="BL98" s="69"/>
      <c r="BM98" s="69"/>
      <c r="BN98" s="69"/>
      <c r="BO98" s="69"/>
      <c r="BP98" s="70"/>
    </row>
    <row r="99" spans="1:68" s="1" customFormat="1" ht="30.75" customHeight="1">
      <c r="A99" s="74">
        <f t="shared" si="1"/>
        <v>91</v>
      </c>
      <c r="B99" s="75"/>
      <c r="C99" s="76"/>
      <c r="D99" s="71" t="s">
        <v>467</v>
      </c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3"/>
      <c r="AA99" s="74" t="s">
        <v>280</v>
      </c>
      <c r="AB99" s="75"/>
      <c r="AC99" s="75"/>
      <c r="AD99" s="75"/>
      <c r="AE99" s="76"/>
      <c r="AF99" s="86">
        <v>14</v>
      </c>
      <c r="AG99" s="86"/>
      <c r="AH99" s="86"/>
      <c r="AI99" s="86"/>
      <c r="AJ99" s="86"/>
      <c r="AK99" s="86"/>
      <c r="AL99" s="68"/>
      <c r="AM99" s="69"/>
      <c r="AN99" s="69"/>
      <c r="AO99" s="69"/>
      <c r="AP99" s="69"/>
      <c r="AQ99" s="69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69"/>
      <c r="BC99" s="69"/>
      <c r="BD99" s="69"/>
      <c r="BE99" s="69"/>
      <c r="BF99" s="69"/>
      <c r="BG99" s="69"/>
      <c r="BH99" s="69"/>
      <c r="BI99" s="69"/>
      <c r="BJ99" s="69"/>
      <c r="BK99" s="69"/>
      <c r="BL99" s="69"/>
      <c r="BM99" s="69"/>
      <c r="BN99" s="69"/>
      <c r="BO99" s="69"/>
      <c r="BP99" s="70"/>
    </row>
    <row r="100" spans="1:68" s="1" customFormat="1" ht="30.75" customHeight="1">
      <c r="A100" s="74">
        <f t="shared" si="1"/>
        <v>92</v>
      </c>
      <c r="B100" s="75"/>
      <c r="C100" s="76"/>
      <c r="D100" s="71" t="s">
        <v>468</v>
      </c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3"/>
      <c r="AA100" s="74" t="s">
        <v>280</v>
      </c>
      <c r="AB100" s="75"/>
      <c r="AC100" s="75"/>
      <c r="AD100" s="75"/>
      <c r="AE100" s="76"/>
      <c r="AF100" s="86">
        <v>14</v>
      </c>
      <c r="AG100" s="86"/>
      <c r="AH100" s="86"/>
      <c r="AI100" s="86"/>
      <c r="AJ100" s="86"/>
      <c r="AK100" s="86"/>
      <c r="AL100" s="68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  <c r="BC100" s="69"/>
      <c r="BD100" s="69"/>
      <c r="BE100" s="69"/>
      <c r="BF100" s="69"/>
      <c r="BG100" s="69"/>
      <c r="BH100" s="69"/>
      <c r="BI100" s="69"/>
      <c r="BJ100" s="69"/>
      <c r="BK100" s="69"/>
      <c r="BL100" s="69"/>
      <c r="BM100" s="69"/>
      <c r="BN100" s="69"/>
      <c r="BO100" s="69"/>
      <c r="BP100" s="70"/>
    </row>
    <row r="101" spans="1:68" s="1" customFormat="1" ht="30.75" customHeight="1">
      <c r="A101" s="74">
        <f t="shared" si="1"/>
        <v>93</v>
      </c>
      <c r="B101" s="75"/>
      <c r="C101" s="76"/>
      <c r="D101" s="71" t="s">
        <v>1312</v>
      </c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3"/>
      <c r="AA101" s="74" t="s">
        <v>280</v>
      </c>
      <c r="AB101" s="75"/>
      <c r="AC101" s="75"/>
      <c r="AD101" s="75"/>
      <c r="AE101" s="76"/>
      <c r="AF101" s="86" t="s">
        <v>1504</v>
      </c>
      <c r="AG101" s="86"/>
      <c r="AH101" s="86"/>
      <c r="AI101" s="86"/>
      <c r="AJ101" s="86"/>
      <c r="AK101" s="86"/>
      <c r="AL101" s="68"/>
      <c r="AM101" s="69"/>
      <c r="AN101" s="69"/>
      <c r="AO101" s="69"/>
      <c r="AP101" s="69"/>
      <c r="AQ101" s="69"/>
      <c r="AR101" s="69"/>
      <c r="AS101" s="69"/>
      <c r="AT101" s="69"/>
      <c r="AU101" s="69"/>
      <c r="AV101" s="69"/>
      <c r="AW101" s="69"/>
      <c r="AX101" s="69"/>
      <c r="AY101" s="69"/>
      <c r="AZ101" s="69"/>
      <c r="BA101" s="69"/>
      <c r="BB101" s="69"/>
      <c r="BC101" s="69"/>
      <c r="BD101" s="69"/>
      <c r="BE101" s="69"/>
      <c r="BF101" s="69"/>
      <c r="BG101" s="69"/>
      <c r="BH101" s="69"/>
      <c r="BI101" s="69"/>
      <c r="BJ101" s="69"/>
      <c r="BK101" s="69"/>
      <c r="BL101" s="69"/>
      <c r="BM101" s="69"/>
      <c r="BN101" s="69"/>
      <c r="BO101" s="69"/>
      <c r="BP101" s="70"/>
    </row>
    <row r="102" spans="1:68" s="1" customFormat="1" ht="30.75" customHeight="1">
      <c r="A102" s="74">
        <f t="shared" si="1"/>
        <v>94</v>
      </c>
      <c r="B102" s="75"/>
      <c r="C102" s="76"/>
      <c r="D102" s="71" t="s">
        <v>469</v>
      </c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3"/>
      <c r="AA102" s="74" t="s">
        <v>280</v>
      </c>
      <c r="AB102" s="75"/>
      <c r="AC102" s="75"/>
      <c r="AD102" s="75"/>
      <c r="AE102" s="76"/>
      <c r="AF102" s="86" t="s">
        <v>1504</v>
      </c>
      <c r="AG102" s="86"/>
      <c r="AH102" s="86"/>
      <c r="AI102" s="86"/>
      <c r="AJ102" s="86"/>
      <c r="AK102" s="86"/>
      <c r="AL102" s="68"/>
      <c r="AM102" s="69"/>
      <c r="AN102" s="69"/>
      <c r="AO102" s="69"/>
      <c r="AP102" s="69"/>
      <c r="AQ102" s="69"/>
      <c r="AR102" s="69"/>
      <c r="AS102" s="69"/>
      <c r="AT102" s="69"/>
      <c r="AU102" s="69"/>
      <c r="AV102" s="69"/>
      <c r="AW102" s="69"/>
      <c r="AX102" s="69"/>
      <c r="AY102" s="69"/>
      <c r="AZ102" s="69"/>
      <c r="BA102" s="69"/>
      <c r="BB102" s="69"/>
      <c r="BC102" s="69"/>
      <c r="BD102" s="69"/>
      <c r="BE102" s="69"/>
      <c r="BF102" s="69"/>
      <c r="BG102" s="69"/>
      <c r="BH102" s="69"/>
      <c r="BI102" s="69"/>
      <c r="BJ102" s="69"/>
      <c r="BK102" s="69"/>
      <c r="BL102" s="69"/>
      <c r="BM102" s="69"/>
      <c r="BN102" s="69"/>
      <c r="BO102" s="69"/>
      <c r="BP102" s="70"/>
    </row>
    <row r="103" spans="1:68" s="1" customFormat="1" ht="30.75" customHeight="1">
      <c r="A103" s="74">
        <f t="shared" si="1"/>
        <v>95</v>
      </c>
      <c r="B103" s="75"/>
      <c r="C103" s="76"/>
      <c r="D103" s="71" t="s">
        <v>473</v>
      </c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3"/>
      <c r="AA103" s="74" t="s">
        <v>348</v>
      </c>
      <c r="AB103" s="75"/>
      <c r="AC103" s="75"/>
      <c r="AD103" s="75"/>
      <c r="AE103" s="76"/>
      <c r="AF103" s="86"/>
      <c r="AG103" s="86"/>
      <c r="AH103" s="86"/>
      <c r="AI103" s="86"/>
      <c r="AJ103" s="86"/>
      <c r="AK103" s="86"/>
      <c r="AL103" s="68"/>
      <c r="AM103" s="69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69"/>
      <c r="BC103" s="69"/>
      <c r="BD103" s="69"/>
      <c r="BE103" s="69"/>
      <c r="BF103" s="69"/>
      <c r="BG103" s="69"/>
      <c r="BH103" s="69"/>
      <c r="BI103" s="69"/>
      <c r="BJ103" s="69"/>
      <c r="BK103" s="69"/>
      <c r="BL103" s="69"/>
      <c r="BM103" s="69"/>
      <c r="BN103" s="69"/>
      <c r="BO103" s="69"/>
      <c r="BP103" s="70"/>
    </row>
    <row r="104" spans="1:68" s="1" customFormat="1" ht="30.75" customHeight="1">
      <c r="A104" s="74">
        <f t="shared" si="1"/>
        <v>96</v>
      </c>
      <c r="B104" s="75"/>
      <c r="C104" s="76"/>
      <c r="D104" s="71" t="s">
        <v>471</v>
      </c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3"/>
      <c r="AA104" s="74" t="s">
        <v>475</v>
      </c>
      <c r="AB104" s="75"/>
      <c r="AC104" s="75"/>
      <c r="AD104" s="75"/>
      <c r="AE104" s="76"/>
      <c r="AF104" s="86">
        <v>8</v>
      </c>
      <c r="AG104" s="86"/>
      <c r="AH104" s="86"/>
      <c r="AI104" s="86"/>
      <c r="AJ104" s="86"/>
      <c r="AK104" s="86"/>
      <c r="AL104" s="68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69"/>
      <c r="BC104" s="69"/>
      <c r="BD104" s="69"/>
      <c r="BE104" s="69"/>
      <c r="BF104" s="69"/>
      <c r="BG104" s="69"/>
      <c r="BH104" s="69"/>
      <c r="BI104" s="69"/>
      <c r="BJ104" s="69"/>
      <c r="BK104" s="69"/>
      <c r="BL104" s="69"/>
      <c r="BM104" s="69"/>
      <c r="BN104" s="69"/>
      <c r="BO104" s="69"/>
      <c r="BP104" s="70"/>
    </row>
    <row r="105" spans="1:68" s="1" customFormat="1" ht="30.75" customHeight="1">
      <c r="A105" s="74">
        <f t="shared" si="1"/>
        <v>97</v>
      </c>
      <c r="B105" s="75"/>
      <c r="C105" s="76"/>
      <c r="D105" s="71" t="s">
        <v>453</v>
      </c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3"/>
      <c r="AA105" s="74" t="s">
        <v>280</v>
      </c>
      <c r="AB105" s="75"/>
      <c r="AC105" s="75"/>
      <c r="AD105" s="75"/>
      <c r="AE105" s="76"/>
      <c r="AF105" s="86" t="s">
        <v>1444</v>
      </c>
      <c r="AG105" s="86"/>
      <c r="AH105" s="86"/>
      <c r="AI105" s="86"/>
      <c r="AJ105" s="86"/>
      <c r="AK105" s="86"/>
      <c r="AL105" s="68"/>
      <c r="AM105" s="69"/>
      <c r="AN105" s="69"/>
      <c r="AO105" s="69"/>
      <c r="AP105" s="69"/>
      <c r="AQ105" s="69"/>
      <c r="AR105" s="69"/>
      <c r="AS105" s="69"/>
      <c r="AT105" s="69"/>
      <c r="AU105" s="69"/>
      <c r="AV105" s="69"/>
      <c r="AW105" s="69"/>
      <c r="AX105" s="69"/>
      <c r="AY105" s="69"/>
      <c r="AZ105" s="69"/>
      <c r="BA105" s="69"/>
      <c r="BB105" s="69"/>
      <c r="BC105" s="69"/>
      <c r="BD105" s="69"/>
      <c r="BE105" s="69"/>
      <c r="BF105" s="69"/>
      <c r="BG105" s="69"/>
      <c r="BH105" s="69"/>
      <c r="BI105" s="69"/>
      <c r="BJ105" s="69"/>
      <c r="BK105" s="69"/>
      <c r="BL105" s="69"/>
      <c r="BM105" s="69"/>
      <c r="BN105" s="69"/>
      <c r="BO105" s="69"/>
      <c r="BP105" s="70"/>
    </row>
    <row r="106" spans="1:68" s="1" customFormat="1" ht="30.75" customHeight="1">
      <c r="A106" s="74">
        <f t="shared" si="1"/>
        <v>98</v>
      </c>
      <c r="B106" s="75"/>
      <c r="C106" s="76"/>
      <c r="D106" s="71" t="s">
        <v>454</v>
      </c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3"/>
      <c r="AA106" s="74" t="s">
        <v>280</v>
      </c>
      <c r="AB106" s="75"/>
      <c r="AC106" s="75"/>
      <c r="AD106" s="75"/>
      <c r="AE106" s="76"/>
      <c r="AF106" s="86">
        <v>14</v>
      </c>
      <c r="AG106" s="86"/>
      <c r="AH106" s="86"/>
      <c r="AI106" s="86"/>
      <c r="AJ106" s="86"/>
      <c r="AK106" s="86"/>
      <c r="AL106" s="68"/>
      <c r="AM106" s="69"/>
      <c r="AN106" s="69"/>
      <c r="AO106" s="69"/>
      <c r="AP106" s="69"/>
      <c r="AQ106" s="69"/>
      <c r="AR106" s="69"/>
      <c r="AS106" s="69"/>
      <c r="AT106" s="69"/>
      <c r="AU106" s="69"/>
      <c r="AV106" s="69"/>
      <c r="AW106" s="69"/>
      <c r="AX106" s="69"/>
      <c r="AY106" s="69"/>
      <c r="AZ106" s="69"/>
      <c r="BA106" s="69"/>
      <c r="BB106" s="69"/>
      <c r="BC106" s="69"/>
      <c r="BD106" s="69"/>
      <c r="BE106" s="69"/>
      <c r="BF106" s="69"/>
      <c r="BG106" s="69"/>
      <c r="BH106" s="69"/>
      <c r="BI106" s="69"/>
      <c r="BJ106" s="69"/>
      <c r="BK106" s="69"/>
      <c r="BL106" s="69"/>
      <c r="BM106" s="69"/>
      <c r="BN106" s="69"/>
      <c r="BO106" s="69"/>
      <c r="BP106" s="70"/>
    </row>
    <row r="107" spans="1:68" s="1" customFormat="1" ht="30.75" customHeight="1">
      <c r="A107" s="74">
        <f t="shared" si="1"/>
        <v>99</v>
      </c>
      <c r="B107" s="75"/>
      <c r="C107" s="76"/>
      <c r="D107" s="71" t="s">
        <v>1040</v>
      </c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3"/>
      <c r="AA107" s="74" t="s">
        <v>280</v>
      </c>
      <c r="AB107" s="75"/>
      <c r="AC107" s="75"/>
      <c r="AD107" s="75"/>
      <c r="AE107" s="76"/>
      <c r="AF107" s="86" t="s">
        <v>1444</v>
      </c>
      <c r="AG107" s="86"/>
      <c r="AH107" s="86"/>
      <c r="AI107" s="86"/>
      <c r="AJ107" s="86"/>
      <c r="AK107" s="86"/>
      <c r="AL107" s="68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  <c r="AY107" s="69"/>
      <c r="AZ107" s="69"/>
      <c r="BA107" s="69"/>
      <c r="BB107" s="69"/>
      <c r="BC107" s="69"/>
      <c r="BD107" s="69"/>
      <c r="BE107" s="69"/>
      <c r="BF107" s="69"/>
      <c r="BG107" s="69"/>
      <c r="BH107" s="69"/>
      <c r="BI107" s="69"/>
      <c r="BJ107" s="69"/>
      <c r="BK107" s="69"/>
      <c r="BL107" s="69"/>
      <c r="BM107" s="69"/>
      <c r="BN107" s="69"/>
      <c r="BO107" s="69"/>
      <c r="BP107" s="70"/>
    </row>
    <row r="108" spans="1:68" s="1" customFormat="1" ht="30.75" customHeight="1">
      <c r="A108" s="74">
        <f t="shared" si="1"/>
        <v>100</v>
      </c>
      <c r="B108" s="75"/>
      <c r="C108" s="76"/>
      <c r="D108" s="71" t="s">
        <v>455</v>
      </c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3"/>
      <c r="AA108" s="74" t="s">
        <v>280</v>
      </c>
      <c r="AB108" s="75"/>
      <c r="AC108" s="75"/>
      <c r="AD108" s="75"/>
      <c r="AE108" s="76"/>
      <c r="AF108" s="86">
        <v>14</v>
      </c>
      <c r="AG108" s="86"/>
      <c r="AH108" s="86"/>
      <c r="AI108" s="86"/>
      <c r="AJ108" s="86"/>
      <c r="AK108" s="86"/>
      <c r="AL108" s="68"/>
      <c r="AM108" s="69"/>
      <c r="AN108" s="69"/>
      <c r="AO108" s="69"/>
      <c r="AP108" s="69"/>
      <c r="AQ108" s="69"/>
      <c r="AR108" s="69"/>
      <c r="AS108" s="69"/>
      <c r="AT108" s="69"/>
      <c r="AU108" s="69"/>
      <c r="AV108" s="69"/>
      <c r="AW108" s="69"/>
      <c r="AX108" s="69"/>
      <c r="AY108" s="69"/>
      <c r="AZ108" s="69"/>
      <c r="BA108" s="69"/>
      <c r="BB108" s="69"/>
      <c r="BC108" s="69"/>
      <c r="BD108" s="69"/>
      <c r="BE108" s="69"/>
      <c r="BF108" s="69"/>
      <c r="BG108" s="69"/>
      <c r="BH108" s="69"/>
      <c r="BI108" s="69"/>
      <c r="BJ108" s="69"/>
      <c r="BK108" s="69"/>
      <c r="BL108" s="69"/>
      <c r="BM108" s="69"/>
      <c r="BN108" s="69"/>
      <c r="BO108" s="69"/>
      <c r="BP108" s="70"/>
    </row>
    <row r="109" spans="1:68" s="1" customFormat="1" ht="30.75" customHeight="1">
      <c r="A109" s="74">
        <f t="shared" si="1"/>
        <v>101</v>
      </c>
      <c r="B109" s="75"/>
      <c r="C109" s="76"/>
      <c r="D109" s="71" t="s">
        <v>456</v>
      </c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3"/>
      <c r="AA109" s="74" t="s">
        <v>280</v>
      </c>
      <c r="AB109" s="75"/>
      <c r="AC109" s="75"/>
      <c r="AD109" s="75"/>
      <c r="AE109" s="76"/>
      <c r="AF109" s="86">
        <v>14</v>
      </c>
      <c r="AG109" s="86"/>
      <c r="AH109" s="86"/>
      <c r="AI109" s="86"/>
      <c r="AJ109" s="86"/>
      <c r="AK109" s="86"/>
      <c r="AL109" s="68"/>
      <c r="AM109" s="69"/>
      <c r="AN109" s="69"/>
      <c r="AO109" s="69"/>
      <c r="AP109" s="69"/>
      <c r="AQ109" s="69"/>
      <c r="AR109" s="69"/>
      <c r="AS109" s="69"/>
      <c r="AT109" s="69"/>
      <c r="AU109" s="69"/>
      <c r="AV109" s="69"/>
      <c r="AW109" s="69"/>
      <c r="AX109" s="69"/>
      <c r="AY109" s="69"/>
      <c r="AZ109" s="69"/>
      <c r="BA109" s="69"/>
      <c r="BB109" s="69"/>
      <c r="BC109" s="69"/>
      <c r="BD109" s="69"/>
      <c r="BE109" s="69"/>
      <c r="BF109" s="69"/>
      <c r="BG109" s="69"/>
      <c r="BH109" s="69"/>
      <c r="BI109" s="69"/>
      <c r="BJ109" s="69"/>
      <c r="BK109" s="69"/>
      <c r="BL109" s="69"/>
      <c r="BM109" s="69"/>
      <c r="BN109" s="69"/>
      <c r="BO109" s="69"/>
      <c r="BP109" s="70"/>
    </row>
    <row r="110" spans="1:68" s="1" customFormat="1" ht="30.75" customHeight="1">
      <c r="A110" s="74">
        <f t="shared" si="1"/>
        <v>102</v>
      </c>
      <c r="B110" s="75"/>
      <c r="C110" s="76"/>
      <c r="D110" s="71" t="s">
        <v>457</v>
      </c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3"/>
      <c r="AA110" s="74" t="s">
        <v>280</v>
      </c>
      <c r="AB110" s="75"/>
      <c r="AC110" s="75"/>
      <c r="AD110" s="75"/>
      <c r="AE110" s="76"/>
      <c r="AF110" s="86" t="s">
        <v>1444</v>
      </c>
      <c r="AG110" s="86"/>
      <c r="AH110" s="86"/>
      <c r="AI110" s="86"/>
      <c r="AJ110" s="86"/>
      <c r="AK110" s="86"/>
      <c r="AL110" s="68"/>
      <c r="AM110" s="69"/>
      <c r="AN110" s="69"/>
      <c r="AO110" s="69"/>
      <c r="AP110" s="69"/>
      <c r="AQ110" s="69"/>
      <c r="AR110" s="69"/>
      <c r="AS110" s="69"/>
      <c r="AT110" s="69"/>
      <c r="AU110" s="69"/>
      <c r="AV110" s="69"/>
      <c r="AW110" s="69"/>
      <c r="AX110" s="69"/>
      <c r="AY110" s="69"/>
      <c r="AZ110" s="69"/>
      <c r="BA110" s="69"/>
      <c r="BB110" s="69"/>
      <c r="BC110" s="69"/>
      <c r="BD110" s="69"/>
      <c r="BE110" s="69"/>
      <c r="BF110" s="69"/>
      <c r="BG110" s="69"/>
      <c r="BH110" s="69"/>
      <c r="BI110" s="69"/>
      <c r="BJ110" s="69"/>
      <c r="BK110" s="69"/>
      <c r="BL110" s="69"/>
      <c r="BM110" s="69"/>
      <c r="BN110" s="69"/>
      <c r="BO110" s="69"/>
      <c r="BP110" s="70"/>
    </row>
    <row r="111" spans="1:68" s="1" customFormat="1" ht="30.75" customHeight="1">
      <c r="A111" s="74">
        <f t="shared" si="1"/>
        <v>103</v>
      </c>
      <c r="B111" s="75"/>
      <c r="C111" s="76"/>
      <c r="D111" s="71" t="s">
        <v>458</v>
      </c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3"/>
      <c r="AA111" s="74" t="s">
        <v>280</v>
      </c>
      <c r="AB111" s="75"/>
      <c r="AC111" s="75"/>
      <c r="AD111" s="75"/>
      <c r="AE111" s="76"/>
      <c r="AF111" s="86">
        <v>14</v>
      </c>
      <c r="AG111" s="86"/>
      <c r="AH111" s="86"/>
      <c r="AI111" s="86"/>
      <c r="AJ111" s="86"/>
      <c r="AK111" s="86"/>
      <c r="AL111" s="68"/>
      <c r="AM111" s="69"/>
      <c r="AN111" s="69"/>
      <c r="AO111" s="69"/>
      <c r="AP111" s="69"/>
      <c r="AQ111" s="69"/>
      <c r="AR111" s="69"/>
      <c r="AS111" s="69"/>
      <c r="AT111" s="69"/>
      <c r="AU111" s="69"/>
      <c r="AV111" s="69"/>
      <c r="AW111" s="69"/>
      <c r="AX111" s="69"/>
      <c r="AY111" s="69"/>
      <c r="AZ111" s="69"/>
      <c r="BA111" s="69"/>
      <c r="BB111" s="69"/>
      <c r="BC111" s="69"/>
      <c r="BD111" s="69"/>
      <c r="BE111" s="69"/>
      <c r="BF111" s="69"/>
      <c r="BG111" s="69"/>
      <c r="BH111" s="69"/>
      <c r="BI111" s="69"/>
      <c r="BJ111" s="69"/>
      <c r="BK111" s="69"/>
      <c r="BL111" s="69"/>
      <c r="BM111" s="69"/>
      <c r="BN111" s="69"/>
      <c r="BO111" s="69"/>
      <c r="BP111" s="70"/>
    </row>
    <row r="112" spans="1:68" s="1" customFormat="1" ht="30.75" customHeight="1">
      <c r="A112" s="74">
        <f t="shared" si="1"/>
        <v>104</v>
      </c>
      <c r="B112" s="75"/>
      <c r="C112" s="76"/>
      <c r="D112" s="71" t="s">
        <v>1041</v>
      </c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3"/>
      <c r="AA112" s="74" t="s">
        <v>280</v>
      </c>
      <c r="AB112" s="75"/>
      <c r="AC112" s="75"/>
      <c r="AD112" s="75"/>
      <c r="AE112" s="76"/>
      <c r="AF112" s="86" t="s">
        <v>1444</v>
      </c>
      <c r="AG112" s="86"/>
      <c r="AH112" s="86"/>
      <c r="AI112" s="86"/>
      <c r="AJ112" s="86"/>
      <c r="AK112" s="86"/>
      <c r="AL112" s="68"/>
      <c r="AM112" s="69"/>
      <c r="AN112" s="69"/>
      <c r="AO112" s="69"/>
      <c r="AP112" s="69"/>
      <c r="AQ112" s="69"/>
      <c r="AR112" s="69"/>
      <c r="AS112" s="69"/>
      <c r="AT112" s="69"/>
      <c r="AU112" s="69"/>
      <c r="AV112" s="69"/>
      <c r="AW112" s="69"/>
      <c r="AX112" s="69"/>
      <c r="AY112" s="69"/>
      <c r="AZ112" s="69"/>
      <c r="BA112" s="69"/>
      <c r="BB112" s="69"/>
      <c r="BC112" s="69"/>
      <c r="BD112" s="69"/>
      <c r="BE112" s="69"/>
      <c r="BF112" s="69"/>
      <c r="BG112" s="69"/>
      <c r="BH112" s="69"/>
      <c r="BI112" s="69"/>
      <c r="BJ112" s="69"/>
      <c r="BK112" s="69"/>
      <c r="BL112" s="69"/>
      <c r="BM112" s="69"/>
      <c r="BN112" s="69"/>
      <c r="BO112" s="69"/>
      <c r="BP112" s="70"/>
    </row>
    <row r="113" spans="1:68" s="1" customFormat="1" ht="30.75" customHeight="1">
      <c r="A113" s="74">
        <f t="shared" si="1"/>
        <v>105</v>
      </c>
      <c r="B113" s="75"/>
      <c r="C113" s="76"/>
      <c r="D113" s="71" t="s">
        <v>459</v>
      </c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3"/>
      <c r="AA113" s="74" t="s">
        <v>280</v>
      </c>
      <c r="AB113" s="75"/>
      <c r="AC113" s="75"/>
      <c r="AD113" s="75"/>
      <c r="AE113" s="76"/>
      <c r="AF113" s="86">
        <v>14</v>
      </c>
      <c r="AG113" s="86"/>
      <c r="AH113" s="86"/>
      <c r="AI113" s="86"/>
      <c r="AJ113" s="86"/>
      <c r="AK113" s="86"/>
      <c r="AL113" s="68"/>
      <c r="AM113" s="69"/>
      <c r="AN113" s="69"/>
      <c r="AO113" s="69"/>
      <c r="AP113" s="69"/>
      <c r="AQ113" s="69"/>
      <c r="AR113" s="69"/>
      <c r="AS113" s="69"/>
      <c r="AT113" s="69"/>
      <c r="AU113" s="69"/>
      <c r="AV113" s="69"/>
      <c r="AW113" s="69"/>
      <c r="AX113" s="69"/>
      <c r="AY113" s="69"/>
      <c r="AZ113" s="69"/>
      <c r="BA113" s="69"/>
      <c r="BB113" s="69"/>
      <c r="BC113" s="69"/>
      <c r="BD113" s="69"/>
      <c r="BE113" s="69"/>
      <c r="BF113" s="69"/>
      <c r="BG113" s="69"/>
      <c r="BH113" s="69"/>
      <c r="BI113" s="69"/>
      <c r="BJ113" s="69"/>
      <c r="BK113" s="69"/>
      <c r="BL113" s="69"/>
      <c r="BM113" s="69"/>
      <c r="BN113" s="69"/>
      <c r="BO113" s="69"/>
      <c r="BP113" s="70"/>
    </row>
    <row r="114" spans="1:68" s="1" customFormat="1" ht="30.75" customHeight="1">
      <c r="A114" s="74">
        <f t="shared" si="1"/>
        <v>106</v>
      </c>
      <c r="B114" s="75"/>
      <c r="C114" s="76"/>
      <c r="D114" s="71" t="s">
        <v>460</v>
      </c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3"/>
      <c r="AA114" s="74" t="s">
        <v>280</v>
      </c>
      <c r="AB114" s="75"/>
      <c r="AC114" s="75"/>
      <c r="AD114" s="75"/>
      <c r="AE114" s="76"/>
      <c r="AF114" s="86">
        <v>14</v>
      </c>
      <c r="AG114" s="86"/>
      <c r="AH114" s="86"/>
      <c r="AI114" s="86"/>
      <c r="AJ114" s="86"/>
      <c r="AK114" s="86"/>
      <c r="AL114" s="68"/>
      <c r="AM114" s="69"/>
      <c r="AN114" s="69"/>
      <c r="AO114" s="69"/>
      <c r="AP114" s="69"/>
      <c r="AQ114" s="69"/>
      <c r="AR114" s="69"/>
      <c r="AS114" s="69"/>
      <c r="AT114" s="69"/>
      <c r="AU114" s="69"/>
      <c r="AV114" s="69"/>
      <c r="AW114" s="69"/>
      <c r="AX114" s="69"/>
      <c r="AY114" s="69"/>
      <c r="AZ114" s="69"/>
      <c r="BA114" s="69"/>
      <c r="BB114" s="69"/>
      <c r="BC114" s="69"/>
      <c r="BD114" s="69"/>
      <c r="BE114" s="69"/>
      <c r="BF114" s="69"/>
      <c r="BG114" s="69"/>
      <c r="BH114" s="69"/>
      <c r="BI114" s="69"/>
      <c r="BJ114" s="69"/>
      <c r="BK114" s="69"/>
      <c r="BL114" s="69"/>
      <c r="BM114" s="69"/>
      <c r="BN114" s="69"/>
      <c r="BO114" s="69"/>
      <c r="BP114" s="70"/>
    </row>
    <row r="115" spans="1:68" s="1" customFormat="1" ht="30.75" customHeight="1">
      <c r="A115" s="74">
        <f t="shared" si="1"/>
        <v>107</v>
      </c>
      <c r="B115" s="75"/>
      <c r="C115" s="76"/>
      <c r="D115" s="71" t="s">
        <v>461</v>
      </c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3"/>
      <c r="AA115" s="74" t="s">
        <v>280</v>
      </c>
      <c r="AB115" s="75"/>
      <c r="AC115" s="75"/>
      <c r="AD115" s="75"/>
      <c r="AE115" s="76"/>
      <c r="AF115" s="86" t="s">
        <v>1444</v>
      </c>
      <c r="AG115" s="86"/>
      <c r="AH115" s="86"/>
      <c r="AI115" s="86"/>
      <c r="AJ115" s="86"/>
      <c r="AK115" s="86"/>
      <c r="AL115" s="68"/>
      <c r="AM115" s="69"/>
      <c r="AN115" s="69"/>
      <c r="AO115" s="69"/>
      <c r="AP115" s="69"/>
      <c r="AQ115" s="69"/>
      <c r="AR115" s="69"/>
      <c r="AS115" s="69"/>
      <c r="AT115" s="69"/>
      <c r="AU115" s="69"/>
      <c r="AV115" s="69"/>
      <c r="AW115" s="69"/>
      <c r="AX115" s="69"/>
      <c r="AY115" s="69"/>
      <c r="AZ115" s="69"/>
      <c r="BA115" s="69"/>
      <c r="BB115" s="69"/>
      <c r="BC115" s="69"/>
      <c r="BD115" s="69"/>
      <c r="BE115" s="69"/>
      <c r="BF115" s="69"/>
      <c r="BG115" s="69"/>
      <c r="BH115" s="69"/>
      <c r="BI115" s="69"/>
      <c r="BJ115" s="69"/>
      <c r="BK115" s="69"/>
      <c r="BL115" s="69"/>
      <c r="BM115" s="69"/>
      <c r="BN115" s="69"/>
      <c r="BO115" s="69"/>
      <c r="BP115" s="70"/>
    </row>
    <row r="116" spans="1:68" s="1" customFormat="1" ht="30.75" customHeight="1">
      <c r="A116" s="74">
        <f t="shared" si="1"/>
        <v>108</v>
      </c>
      <c r="B116" s="75"/>
      <c r="C116" s="76"/>
      <c r="D116" s="71" t="s">
        <v>462</v>
      </c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3"/>
      <c r="AA116" s="74" t="s">
        <v>280</v>
      </c>
      <c r="AB116" s="75"/>
      <c r="AC116" s="75"/>
      <c r="AD116" s="75"/>
      <c r="AE116" s="76"/>
      <c r="AF116" s="86">
        <v>4</v>
      </c>
      <c r="AG116" s="86"/>
      <c r="AH116" s="86"/>
      <c r="AI116" s="86"/>
      <c r="AJ116" s="86"/>
      <c r="AK116" s="86"/>
      <c r="AL116" s="68"/>
      <c r="AM116" s="69"/>
      <c r="AN116" s="69"/>
      <c r="AO116" s="69"/>
      <c r="AP116" s="69"/>
      <c r="AQ116" s="69"/>
      <c r="AR116" s="69"/>
      <c r="AS116" s="69"/>
      <c r="AT116" s="69"/>
      <c r="AU116" s="69"/>
      <c r="AV116" s="69"/>
      <c r="AW116" s="69"/>
      <c r="AX116" s="69"/>
      <c r="AY116" s="69"/>
      <c r="AZ116" s="69"/>
      <c r="BA116" s="69"/>
      <c r="BB116" s="69"/>
      <c r="BC116" s="69"/>
      <c r="BD116" s="69"/>
      <c r="BE116" s="69"/>
      <c r="BF116" s="69"/>
      <c r="BG116" s="69"/>
      <c r="BH116" s="69"/>
      <c r="BI116" s="69"/>
      <c r="BJ116" s="69"/>
      <c r="BK116" s="69"/>
      <c r="BL116" s="69"/>
      <c r="BM116" s="69"/>
      <c r="BN116" s="69"/>
      <c r="BO116" s="69"/>
      <c r="BP116" s="70"/>
    </row>
    <row r="117" spans="1:68" s="1" customFormat="1" ht="30.75" customHeight="1">
      <c r="A117" s="74">
        <f t="shared" si="1"/>
        <v>109</v>
      </c>
      <c r="B117" s="75"/>
      <c r="C117" s="76"/>
      <c r="D117" s="71" t="s">
        <v>1042</v>
      </c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3"/>
      <c r="AA117" s="74" t="s">
        <v>280</v>
      </c>
      <c r="AB117" s="75"/>
      <c r="AC117" s="75"/>
      <c r="AD117" s="75"/>
      <c r="AE117" s="76"/>
      <c r="AF117" s="86" t="s">
        <v>1444</v>
      </c>
      <c r="AG117" s="86"/>
      <c r="AH117" s="86"/>
      <c r="AI117" s="86"/>
      <c r="AJ117" s="86"/>
      <c r="AK117" s="86"/>
      <c r="AL117" s="68"/>
      <c r="AM117" s="69"/>
      <c r="AN117" s="69"/>
      <c r="AO117" s="69"/>
      <c r="AP117" s="69"/>
      <c r="AQ117" s="69"/>
      <c r="AR117" s="69"/>
      <c r="AS117" s="69"/>
      <c r="AT117" s="69"/>
      <c r="AU117" s="69"/>
      <c r="AV117" s="69"/>
      <c r="AW117" s="69"/>
      <c r="AX117" s="69"/>
      <c r="AY117" s="69"/>
      <c r="AZ117" s="69"/>
      <c r="BA117" s="69"/>
      <c r="BB117" s="69"/>
      <c r="BC117" s="69"/>
      <c r="BD117" s="69"/>
      <c r="BE117" s="69"/>
      <c r="BF117" s="69"/>
      <c r="BG117" s="69"/>
      <c r="BH117" s="69"/>
      <c r="BI117" s="69"/>
      <c r="BJ117" s="69"/>
      <c r="BK117" s="69"/>
      <c r="BL117" s="69"/>
      <c r="BM117" s="69"/>
      <c r="BN117" s="69"/>
      <c r="BO117" s="69"/>
      <c r="BP117" s="70"/>
    </row>
    <row r="118" spans="1:68" s="1" customFormat="1" ht="30.75" customHeight="1">
      <c r="A118" s="74">
        <f t="shared" si="1"/>
        <v>110</v>
      </c>
      <c r="B118" s="75"/>
      <c r="C118" s="76"/>
      <c r="D118" s="71" t="s">
        <v>463</v>
      </c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3"/>
      <c r="AA118" s="74" t="s">
        <v>280</v>
      </c>
      <c r="AB118" s="75"/>
      <c r="AC118" s="75"/>
      <c r="AD118" s="75"/>
      <c r="AE118" s="76"/>
      <c r="AF118" s="86">
        <v>14</v>
      </c>
      <c r="AG118" s="86"/>
      <c r="AH118" s="86"/>
      <c r="AI118" s="86"/>
      <c r="AJ118" s="86"/>
      <c r="AK118" s="86"/>
      <c r="AL118" s="68"/>
      <c r="AM118" s="69"/>
      <c r="AN118" s="69"/>
      <c r="AO118" s="69"/>
      <c r="AP118" s="69"/>
      <c r="AQ118" s="69"/>
      <c r="AR118" s="69"/>
      <c r="AS118" s="69"/>
      <c r="AT118" s="69"/>
      <c r="AU118" s="69"/>
      <c r="AV118" s="69"/>
      <c r="AW118" s="69"/>
      <c r="AX118" s="69"/>
      <c r="AY118" s="69"/>
      <c r="AZ118" s="69"/>
      <c r="BA118" s="69"/>
      <c r="BB118" s="69"/>
      <c r="BC118" s="69"/>
      <c r="BD118" s="69"/>
      <c r="BE118" s="69"/>
      <c r="BF118" s="69"/>
      <c r="BG118" s="69"/>
      <c r="BH118" s="69"/>
      <c r="BI118" s="69"/>
      <c r="BJ118" s="69"/>
      <c r="BK118" s="69"/>
      <c r="BL118" s="69"/>
      <c r="BM118" s="69"/>
      <c r="BN118" s="69"/>
      <c r="BO118" s="69"/>
      <c r="BP118" s="70"/>
    </row>
    <row r="119" spans="1:68" s="1" customFormat="1" ht="30.75" customHeight="1">
      <c r="A119" s="74">
        <f t="shared" si="1"/>
        <v>111</v>
      </c>
      <c r="B119" s="75"/>
      <c r="C119" s="76"/>
      <c r="D119" s="71" t="s">
        <v>464</v>
      </c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3"/>
      <c r="AA119" s="74" t="s">
        <v>280</v>
      </c>
      <c r="AB119" s="75"/>
      <c r="AC119" s="75"/>
      <c r="AD119" s="75"/>
      <c r="AE119" s="76"/>
      <c r="AF119" s="86">
        <v>14</v>
      </c>
      <c r="AG119" s="86"/>
      <c r="AH119" s="86"/>
      <c r="AI119" s="86"/>
      <c r="AJ119" s="86"/>
      <c r="AK119" s="86"/>
      <c r="AL119" s="68"/>
      <c r="AM119" s="69"/>
      <c r="AN119" s="69"/>
      <c r="AO119" s="69"/>
      <c r="AP119" s="69"/>
      <c r="AQ119" s="69"/>
      <c r="AR119" s="69"/>
      <c r="AS119" s="69"/>
      <c r="AT119" s="69"/>
      <c r="AU119" s="69"/>
      <c r="AV119" s="69"/>
      <c r="AW119" s="69"/>
      <c r="AX119" s="69"/>
      <c r="AY119" s="69"/>
      <c r="AZ119" s="69"/>
      <c r="BA119" s="69"/>
      <c r="BB119" s="69"/>
      <c r="BC119" s="69"/>
      <c r="BD119" s="69"/>
      <c r="BE119" s="69"/>
      <c r="BF119" s="69"/>
      <c r="BG119" s="69"/>
      <c r="BH119" s="69"/>
      <c r="BI119" s="69"/>
      <c r="BJ119" s="69"/>
      <c r="BK119" s="69"/>
      <c r="BL119" s="69"/>
      <c r="BM119" s="69"/>
      <c r="BN119" s="69"/>
      <c r="BO119" s="69"/>
      <c r="BP119" s="70"/>
    </row>
    <row r="120" spans="1:68" s="1" customFormat="1" ht="30.75" customHeight="1">
      <c r="A120" s="74">
        <f t="shared" si="1"/>
        <v>112</v>
      </c>
      <c r="B120" s="75"/>
      <c r="C120" s="76"/>
      <c r="D120" s="71" t="s">
        <v>465</v>
      </c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3"/>
      <c r="AA120" s="74" t="s">
        <v>280</v>
      </c>
      <c r="AB120" s="75"/>
      <c r="AC120" s="75"/>
      <c r="AD120" s="75"/>
      <c r="AE120" s="76"/>
      <c r="AF120" s="86">
        <v>14</v>
      </c>
      <c r="AG120" s="86"/>
      <c r="AH120" s="86"/>
      <c r="AI120" s="86"/>
      <c r="AJ120" s="86"/>
      <c r="AK120" s="86"/>
      <c r="AL120" s="68"/>
      <c r="AM120" s="69"/>
      <c r="AN120" s="69"/>
      <c r="AO120" s="69"/>
      <c r="AP120" s="69"/>
      <c r="AQ120" s="69"/>
      <c r="AR120" s="69"/>
      <c r="AS120" s="69"/>
      <c r="AT120" s="69"/>
      <c r="AU120" s="69"/>
      <c r="AV120" s="69"/>
      <c r="AW120" s="69"/>
      <c r="AX120" s="69"/>
      <c r="AY120" s="69"/>
      <c r="AZ120" s="69"/>
      <c r="BA120" s="69"/>
      <c r="BB120" s="69"/>
      <c r="BC120" s="69"/>
      <c r="BD120" s="69"/>
      <c r="BE120" s="69"/>
      <c r="BF120" s="69"/>
      <c r="BG120" s="69"/>
      <c r="BH120" s="69"/>
      <c r="BI120" s="69"/>
      <c r="BJ120" s="69"/>
      <c r="BK120" s="69"/>
      <c r="BL120" s="69"/>
      <c r="BM120" s="69"/>
      <c r="BN120" s="69"/>
      <c r="BO120" s="69"/>
      <c r="BP120" s="70"/>
    </row>
    <row r="121" spans="1:68" s="1" customFormat="1" ht="30.75" customHeight="1">
      <c r="A121" s="74">
        <f t="shared" si="1"/>
        <v>113</v>
      </c>
      <c r="B121" s="75"/>
      <c r="C121" s="76"/>
      <c r="D121" s="71" t="s">
        <v>466</v>
      </c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3"/>
      <c r="AA121" s="74" t="s">
        <v>280</v>
      </c>
      <c r="AB121" s="75"/>
      <c r="AC121" s="75"/>
      <c r="AD121" s="75"/>
      <c r="AE121" s="76"/>
      <c r="AF121" s="86">
        <v>14</v>
      </c>
      <c r="AG121" s="86"/>
      <c r="AH121" s="86"/>
      <c r="AI121" s="86"/>
      <c r="AJ121" s="86"/>
      <c r="AK121" s="86"/>
      <c r="AL121" s="68"/>
      <c r="AM121" s="69"/>
      <c r="AN121" s="69"/>
      <c r="AO121" s="69"/>
      <c r="AP121" s="69"/>
      <c r="AQ121" s="69"/>
      <c r="AR121" s="69"/>
      <c r="AS121" s="69"/>
      <c r="AT121" s="69"/>
      <c r="AU121" s="69"/>
      <c r="AV121" s="69"/>
      <c r="AW121" s="69"/>
      <c r="AX121" s="69"/>
      <c r="AY121" s="69"/>
      <c r="AZ121" s="69"/>
      <c r="BA121" s="69"/>
      <c r="BB121" s="69"/>
      <c r="BC121" s="69"/>
      <c r="BD121" s="69"/>
      <c r="BE121" s="69"/>
      <c r="BF121" s="69"/>
      <c r="BG121" s="69"/>
      <c r="BH121" s="69"/>
      <c r="BI121" s="69"/>
      <c r="BJ121" s="69"/>
      <c r="BK121" s="69"/>
      <c r="BL121" s="69"/>
      <c r="BM121" s="69"/>
      <c r="BN121" s="69"/>
      <c r="BO121" s="69"/>
      <c r="BP121" s="70"/>
    </row>
    <row r="122" spans="1:68" s="1" customFormat="1" ht="30.75" customHeight="1">
      <c r="A122" s="74">
        <f t="shared" si="1"/>
        <v>114</v>
      </c>
      <c r="B122" s="75"/>
      <c r="C122" s="76"/>
      <c r="D122" s="71" t="s">
        <v>467</v>
      </c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3"/>
      <c r="AA122" s="74" t="s">
        <v>280</v>
      </c>
      <c r="AB122" s="75"/>
      <c r="AC122" s="75"/>
      <c r="AD122" s="75"/>
      <c r="AE122" s="76"/>
      <c r="AF122" s="86">
        <v>14</v>
      </c>
      <c r="AG122" s="86"/>
      <c r="AH122" s="86"/>
      <c r="AI122" s="86"/>
      <c r="AJ122" s="86"/>
      <c r="AK122" s="86"/>
      <c r="AL122" s="68"/>
      <c r="AM122" s="69"/>
      <c r="AN122" s="69"/>
      <c r="AO122" s="69"/>
      <c r="AP122" s="69"/>
      <c r="AQ122" s="69"/>
      <c r="AR122" s="69"/>
      <c r="AS122" s="69"/>
      <c r="AT122" s="69"/>
      <c r="AU122" s="69"/>
      <c r="AV122" s="69"/>
      <c r="AW122" s="69"/>
      <c r="AX122" s="69"/>
      <c r="AY122" s="69"/>
      <c r="AZ122" s="69"/>
      <c r="BA122" s="69"/>
      <c r="BB122" s="69"/>
      <c r="BC122" s="69"/>
      <c r="BD122" s="69"/>
      <c r="BE122" s="69"/>
      <c r="BF122" s="69"/>
      <c r="BG122" s="69"/>
      <c r="BH122" s="69"/>
      <c r="BI122" s="69"/>
      <c r="BJ122" s="69"/>
      <c r="BK122" s="69"/>
      <c r="BL122" s="69"/>
      <c r="BM122" s="69"/>
      <c r="BN122" s="69"/>
      <c r="BO122" s="69"/>
      <c r="BP122" s="70"/>
    </row>
    <row r="123" spans="1:68" s="1" customFormat="1" ht="30.75" customHeight="1">
      <c r="A123" s="74">
        <f t="shared" si="1"/>
        <v>115</v>
      </c>
      <c r="B123" s="75"/>
      <c r="C123" s="76"/>
      <c r="D123" s="71" t="s">
        <v>468</v>
      </c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3"/>
      <c r="AA123" s="74" t="s">
        <v>280</v>
      </c>
      <c r="AB123" s="75"/>
      <c r="AC123" s="75"/>
      <c r="AD123" s="75"/>
      <c r="AE123" s="76"/>
      <c r="AF123" s="86">
        <v>14</v>
      </c>
      <c r="AG123" s="86"/>
      <c r="AH123" s="86"/>
      <c r="AI123" s="86"/>
      <c r="AJ123" s="86"/>
      <c r="AK123" s="86"/>
      <c r="AL123" s="68"/>
      <c r="AM123" s="69"/>
      <c r="AN123" s="69"/>
      <c r="AO123" s="69"/>
      <c r="AP123" s="69"/>
      <c r="AQ123" s="69"/>
      <c r="AR123" s="69"/>
      <c r="AS123" s="69"/>
      <c r="AT123" s="69"/>
      <c r="AU123" s="69"/>
      <c r="AV123" s="69"/>
      <c r="AW123" s="69"/>
      <c r="AX123" s="69"/>
      <c r="AY123" s="69"/>
      <c r="AZ123" s="69"/>
      <c r="BA123" s="69"/>
      <c r="BB123" s="69"/>
      <c r="BC123" s="69"/>
      <c r="BD123" s="69"/>
      <c r="BE123" s="69"/>
      <c r="BF123" s="69"/>
      <c r="BG123" s="69"/>
      <c r="BH123" s="69"/>
      <c r="BI123" s="69"/>
      <c r="BJ123" s="69"/>
      <c r="BK123" s="69"/>
      <c r="BL123" s="69"/>
      <c r="BM123" s="69"/>
      <c r="BN123" s="69"/>
      <c r="BO123" s="69"/>
      <c r="BP123" s="70"/>
    </row>
    <row r="124" spans="1:68" s="1" customFormat="1" ht="30.75" customHeight="1">
      <c r="A124" s="74">
        <f t="shared" si="1"/>
        <v>116</v>
      </c>
      <c r="B124" s="75"/>
      <c r="C124" s="76"/>
      <c r="D124" s="71" t="s">
        <v>1312</v>
      </c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3"/>
      <c r="AA124" s="74" t="s">
        <v>280</v>
      </c>
      <c r="AB124" s="75"/>
      <c r="AC124" s="75"/>
      <c r="AD124" s="75"/>
      <c r="AE124" s="76"/>
      <c r="AF124" s="86" t="s">
        <v>1504</v>
      </c>
      <c r="AG124" s="86"/>
      <c r="AH124" s="86"/>
      <c r="AI124" s="86"/>
      <c r="AJ124" s="86"/>
      <c r="AK124" s="86"/>
      <c r="AL124" s="68"/>
      <c r="AM124" s="69"/>
      <c r="AN124" s="69"/>
      <c r="AO124" s="69"/>
      <c r="AP124" s="69"/>
      <c r="AQ124" s="69"/>
      <c r="AR124" s="69"/>
      <c r="AS124" s="69"/>
      <c r="AT124" s="69"/>
      <c r="AU124" s="69"/>
      <c r="AV124" s="69"/>
      <c r="AW124" s="69"/>
      <c r="AX124" s="69"/>
      <c r="AY124" s="69"/>
      <c r="AZ124" s="69"/>
      <c r="BA124" s="69"/>
      <c r="BB124" s="69"/>
      <c r="BC124" s="69"/>
      <c r="BD124" s="69"/>
      <c r="BE124" s="69"/>
      <c r="BF124" s="69"/>
      <c r="BG124" s="69"/>
      <c r="BH124" s="69"/>
      <c r="BI124" s="69"/>
      <c r="BJ124" s="69"/>
      <c r="BK124" s="69"/>
      <c r="BL124" s="69"/>
      <c r="BM124" s="69"/>
      <c r="BN124" s="69"/>
      <c r="BO124" s="69"/>
      <c r="BP124" s="70"/>
    </row>
    <row r="125" spans="1:68" s="1" customFormat="1" ht="30.75" customHeight="1">
      <c r="A125" s="74">
        <f t="shared" si="1"/>
        <v>117</v>
      </c>
      <c r="B125" s="75"/>
      <c r="C125" s="76"/>
      <c r="D125" s="71" t="s">
        <v>469</v>
      </c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3"/>
      <c r="AA125" s="74" t="s">
        <v>280</v>
      </c>
      <c r="AB125" s="75"/>
      <c r="AC125" s="75"/>
      <c r="AD125" s="75"/>
      <c r="AE125" s="76"/>
      <c r="AF125" s="86" t="s">
        <v>1504</v>
      </c>
      <c r="AG125" s="86"/>
      <c r="AH125" s="86"/>
      <c r="AI125" s="86"/>
      <c r="AJ125" s="86"/>
      <c r="AK125" s="86"/>
      <c r="AL125" s="68"/>
      <c r="AM125" s="69"/>
      <c r="AN125" s="69"/>
      <c r="AO125" s="69"/>
      <c r="AP125" s="69"/>
      <c r="AQ125" s="69"/>
      <c r="AR125" s="69"/>
      <c r="AS125" s="69"/>
      <c r="AT125" s="69"/>
      <c r="AU125" s="69"/>
      <c r="AV125" s="69"/>
      <c r="AW125" s="69"/>
      <c r="AX125" s="69"/>
      <c r="AY125" s="69"/>
      <c r="AZ125" s="69"/>
      <c r="BA125" s="69"/>
      <c r="BB125" s="69"/>
      <c r="BC125" s="69"/>
      <c r="BD125" s="69"/>
      <c r="BE125" s="69"/>
      <c r="BF125" s="69"/>
      <c r="BG125" s="69"/>
      <c r="BH125" s="69"/>
      <c r="BI125" s="69"/>
      <c r="BJ125" s="69"/>
      <c r="BK125" s="69"/>
      <c r="BL125" s="69"/>
      <c r="BM125" s="69"/>
      <c r="BN125" s="69"/>
      <c r="BO125" s="69"/>
      <c r="BP125" s="70"/>
    </row>
    <row r="126" spans="1:68" s="1" customFormat="1" ht="30.75" customHeight="1">
      <c r="A126" s="74">
        <f t="shared" si="1"/>
        <v>118</v>
      </c>
      <c r="B126" s="75"/>
      <c r="C126" s="76"/>
      <c r="D126" s="71" t="s">
        <v>474</v>
      </c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3"/>
      <c r="AA126" s="74" t="s">
        <v>348</v>
      </c>
      <c r="AB126" s="75"/>
      <c r="AC126" s="75"/>
      <c r="AD126" s="75"/>
      <c r="AE126" s="76"/>
      <c r="AF126" s="86"/>
      <c r="AG126" s="86"/>
      <c r="AH126" s="86"/>
      <c r="AI126" s="86"/>
      <c r="AJ126" s="86"/>
      <c r="AK126" s="86"/>
      <c r="AL126" s="68"/>
      <c r="AM126" s="69"/>
      <c r="AN126" s="69"/>
      <c r="AO126" s="69"/>
      <c r="AP126" s="69"/>
      <c r="AQ126" s="69"/>
      <c r="AR126" s="69"/>
      <c r="AS126" s="69"/>
      <c r="AT126" s="69"/>
      <c r="AU126" s="69"/>
      <c r="AV126" s="69"/>
      <c r="AW126" s="69"/>
      <c r="AX126" s="69"/>
      <c r="AY126" s="69"/>
      <c r="AZ126" s="69"/>
      <c r="BA126" s="69"/>
      <c r="BB126" s="69"/>
      <c r="BC126" s="69"/>
      <c r="BD126" s="69"/>
      <c r="BE126" s="69"/>
      <c r="BF126" s="69"/>
      <c r="BG126" s="69"/>
      <c r="BH126" s="69"/>
      <c r="BI126" s="69"/>
      <c r="BJ126" s="69"/>
      <c r="BK126" s="69"/>
      <c r="BL126" s="69"/>
      <c r="BM126" s="69"/>
      <c r="BN126" s="69"/>
      <c r="BO126" s="69"/>
      <c r="BP126" s="70"/>
    </row>
    <row r="127" spans="1:68" s="1" customFormat="1" ht="30.75" customHeight="1">
      <c r="A127" s="74">
        <f t="shared" si="1"/>
        <v>119</v>
      </c>
      <c r="B127" s="75"/>
      <c r="C127" s="76"/>
      <c r="D127" s="71" t="s">
        <v>471</v>
      </c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3"/>
      <c r="AA127" s="74" t="s">
        <v>475</v>
      </c>
      <c r="AB127" s="75"/>
      <c r="AC127" s="75"/>
      <c r="AD127" s="75"/>
      <c r="AE127" s="76"/>
      <c r="AF127" s="86">
        <v>8</v>
      </c>
      <c r="AG127" s="86"/>
      <c r="AH127" s="86"/>
      <c r="AI127" s="86"/>
      <c r="AJ127" s="86"/>
      <c r="AK127" s="86"/>
      <c r="AL127" s="68"/>
      <c r="AM127" s="69"/>
      <c r="AN127" s="69"/>
      <c r="AO127" s="69"/>
      <c r="AP127" s="69"/>
      <c r="AQ127" s="69"/>
      <c r="AR127" s="69"/>
      <c r="AS127" s="69"/>
      <c r="AT127" s="69"/>
      <c r="AU127" s="69"/>
      <c r="AV127" s="69"/>
      <c r="AW127" s="69"/>
      <c r="AX127" s="69"/>
      <c r="AY127" s="69"/>
      <c r="AZ127" s="69"/>
      <c r="BA127" s="69"/>
      <c r="BB127" s="69"/>
      <c r="BC127" s="69"/>
      <c r="BD127" s="69"/>
      <c r="BE127" s="69"/>
      <c r="BF127" s="69"/>
      <c r="BG127" s="69"/>
      <c r="BH127" s="69"/>
      <c r="BI127" s="69"/>
      <c r="BJ127" s="69"/>
      <c r="BK127" s="69"/>
      <c r="BL127" s="69"/>
      <c r="BM127" s="69"/>
      <c r="BN127" s="69"/>
      <c r="BO127" s="69"/>
      <c r="BP127" s="70"/>
    </row>
    <row r="128" spans="1:68" s="1" customFormat="1" ht="30.75" customHeight="1">
      <c r="A128" s="74">
        <f t="shared" si="1"/>
        <v>120</v>
      </c>
      <c r="B128" s="75"/>
      <c r="C128" s="76"/>
      <c r="D128" s="71" t="s">
        <v>453</v>
      </c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3"/>
      <c r="AA128" s="74" t="s">
        <v>280</v>
      </c>
      <c r="AB128" s="75"/>
      <c r="AC128" s="75"/>
      <c r="AD128" s="75"/>
      <c r="AE128" s="76"/>
      <c r="AF128" s="86" t="s">
        <v>1444</v>
      </c>
      <c r="AG128" s="86"/>
      <c r="AH128" s="86"/>
      <c r="AI128" s="86"/>
      <c r="AJ128" s="86"/>
      <c r="AK128" s="86"/>
      <c r="AL128" s="68"/>
      <c r="AM128" s="69"/>
      <c r="AN128" s="69"/>
      <c r="AO128" s="69"/>
      <c r="AP128" s="69"/>
      <c r="AQ128" s="69"/>
      <c r="AR128" s="69"/>
      <c r="AS128" s="69"/>
      <c r="AT128" s="69"/>
      <c r="AU128" s="69"/>
      <c r="AV128" s="69"/>
      <c r="AW128" s="69"/>
      <c r="AX128" s="69"/>
      <c r="AY128" s="69"/>
      <c r="AZ128" s="69"/>
      <c r="BA128" s="69"/>
      <c r="BB128" s="69"/>
      <c r="BC128" s="69"/>
      <c r="BD128" s="69"/>
      <c r="BE128" s="69"/>
      <c r="BF128" s="69"/>
      <c r="BG128" s="69"/>
      <c r="BH128" s="69"/>
      <c r="BI128" s="69"/>
      <c r="BJ128" s="69"/>
      <c r="BK128" s="69"/>
      <c r="BL128" s="69"/>
      <c r="BM128" s="69"/>
      <c r="BN128" s="69"/>
      <c r="BO128" s="69"/>
      <c r="BP128" s="70"/>
    </row>
    <row r="129" spans="1:68" s="1" customFormat="1" ht="30.75" customHeight="1">
      <c r="A129" s="74">
        <f t="shared" si="1"/>
        <v>121</v>
      </c>
      <c r="B129" s="75"/>
      <c r="C129" s="76"/>
      <c r="D129" s="71" t="s">
        <v>454</v>
      </c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3"/>
      <c r="AA129" s="74" t="s">
        <v>280</v>
      </c>
      <c r="AB129" s="75"/>
      <c r="AC129" s="75"/>
      <c r="AD129" s="75"/>
      <c r="AE129" s="76"/>
      <c r="AF129" s="86">
        <v>14</v>
      </c>
      <c r="AG129" s="86"/>
      <c r="AH129" s="86"/>
      <c r="AI129" s="86"/>
      <c r="AJ129" s="86"/>
      <c r="AK129" s="86"/>
      <c r="AL129" s="68"/>
      <c r="AM129" s="69"/>
      <c r="AN129" s="69"/>
      <c r="AO129" s="69"/>
      <c r="AP129" s="69"/>
      <c r="AQ129" s="69"/>
      <c r="AR129" s="69"/>
      <c r="AS129" s="69"/>
      <c r="AT129" s="69"/>
      <c r="AU129" s="69"/>
      <c r="AV129" s="69"/>
      <c r="AW129" s="69"/>
      <c r="AX129" s="69"/>
      <c r="AY129" s="69"/>
      <c r="AZ129" s="69"/>
      <c r="BA129" s="69"/>
      <c r="BB129" s="69"/>
      <c r="BC129" s="69"/>
      <c r="BD129" s="69"/>
      <c r="BE129" s="69"/>
      <c r="BF129" s="69"/>
      <c r="BG129" s="69"/>
      <c r="BH129" s="69"/>
      <c r="BI129" s="69"/>
      <c r="BJ129" s="69"/>
      <c r="BK129" s="69"/>
      <c r="BL129" s="69"/>
      <c r="BM129" s="69"/>
      <c r="BN129" s="69"/>
      <c r="BO129" s="69"/>
      <c r="BP129" s="70"/>
    </row>
    <row r="130" spans="1:68" s="1" customFormat="1" ht="30.75" customHeight="1">
      <c r="A130" s="74">
        <f t="shared" si="1"/>
        <v>122</v>
      </c>
      <c r="B130" s="75"/>
      <c r="C130" s="76"/>
      <c r="D130" s="71" t="s">
        <v>1040</v>
      </c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3"/>
      <c r="AA130" s="74" t="s">
        <v>280</v>
      </c>
      <c r="AB130" s="75"/>
      <c r="AC130" s="75"/>
      <c r="AD130" s="75"/>
      <c r="AE130" s="76"/>
      <c r="AF130" s="86" t="s">
        <v>1444</v>
      </c>
      <c r="AG130" s="86"/>
      <c r="AH130" s="86"/>
      <c r="AI130" s="86"/>
      <c r="AJ130" s="86"/>
      <c r="AK130" s="86"/>
      <c r="AL130" s="68"/>
      <c r="AM130" s="69"/>
      <c r="AN130" s="69"/>
      <c r="AO130" s="69"/>
      <c r="AP130" s="69"/>
      <c r="AQ130" s="69"/>
      <c r="AR130" s="69"/>
      <c r="AS130" s="69"/>
      <c r="AT130" s="69"/>
      <c r="AU130" s="69"/>
      <c r="AV130" s="69"/>
      <c r="AW130" s="69"/>
      <c r="AX130" s="69"/>
      <c r="AY130" s="69"/>
      <c r="AZ130" s="69"/>
      <c r="BA130" s="69"/>
      <c r="BB130" s="69"/>
      <c r="BC130" s="69"/>
      <c r="BD130" s="69"/>
      <c r="BE130" s="69"/>
      <c r="BF130" s="69"/>
      <c r="BG130" s="69"/>
      <c r="BH130" s="69"/>
      <c r="BI130" s="69"/>
      <c r="BJ130" s="69"/>
      <c r="BK130" s="69"/>
      <c r="BL130" s="69"/>
      <c r="BM130" s="69"/>
      <c r="BN130" s="69"/>
      <c r="BO130" s="69"/>
      <c r="BP130" s="70"/>
    </row>
    <row r="131" spans="1:68" s="1" customFormat="1" ht="30.75" customHeight="1">
      <c r="A131" s="74">
        <f t="shared" si="1"/>
        <v>123</v>
      </c>
      <c r="B131" s="75"/>
      <c r="C131" s="76"/>
      <c r="D131" s="71" t="s">
        <v>455</v>
      </c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3"/>
      <c r="AA131" s="74" t="s">
        <v>280</v>
      </c>
      <c r="AB131" s="75"/>
      <c r="AC131" s="75"/>
      <c r="AD131" s="75"/>
      <c r="AE131" s="76"/>
      <c r="AF131" s="86">
        <v>14</v>
      </c>
      <c r="AG131" s="86"/>
      <c r="AH131" s="86"/>
      <c r="AI131" s="86"/>
      <c r="AJ131" s="86"/>
      <c r="AK131" s="86"/>
      <c r="AL131" s="68"/>
      <c r="AM131" s="69"/>
      <c r="AN131" s="69"/>
      <c r="AO131" s="69"/>
      <c r="AP131" s="69"/>
      <c r="AQ131" s="69"/>
      <c r="AR131" s="69"/>
      <c r="AS131" s="69"/>
      <c r="AT131" s="69"/>
      <c r="AU131" s="69"/>
      <c r="AV131" s="69"/>
      <c r="AW131" s="69"/>
      <c r="AX131" s="69"/>
      <c r="AY131" s="69"/>
      <c r="AZ131" s="69"/>
      <c r="BA131" s="69"/>
      <c r="BB131" s="69"/>
      <c r="BC131" s="69"/>
      <c r="BD131" s="69"/>
      <c r="BE131" s="69"/>
      <c r="BF131" s="69"/>
      <c r="BG131" s="69"/>
      <c r="BH131" s="69"/>
      <c r="BI131" s="69"/>
      <c r="BJ131" s="69"/>
      <c r="BK131" s="69"/>
      <c r="BL131" s="69"/>
      <c r="BM131" s="69"/>
      <c r="BN131" s="69"/>
      <c r="BO131" s="69"/>
      <c r="BP131" s="70"/>
    </row>
    <row r="132" spans="1:68" s="1" customFormat="1" ht="30.75" customHeight="1">
      <c r="A132" s="74">
        <f t="shared" si="1"/>
        <v>124</v>
      </c>
      <c r="B132" s="75"/>
      <c r="C132" s="76"/>
      <c r="D132" s="71" t="s">
        <v>456</v>
      </c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3"/>
      <c r="AA132" s="74" t="s">
        <v>280</v>
      </c>
      <c r="AB132" s="75"/>
      <c r="AC132" s="75"/>
      <c r="AD132" s="75"/>
      <c r="AE132" s="76"/>
      <c r="AF132" s="86">
        <v>14</v>
      </c>
      <c r="AG132" s="86"/>
      <c r="AH132" s="86"/>
      <c r="AI132" s="86"/>
      <c r="AJ132" s="86"/>
      <c r="AK132" s="86"/>
      <c r="AL132" s="68"/>
      <c r="AM132" s="69"/>
      <c r="AN132" s="69"/>
      <c r="AO132" s="69"/>
      <c r="AP132" s="69"/>
      <c r="AQ132" s="69"/>
      <c r="AR132" s="69"/>
      <c r="AS132" s="69"/>
      <c r="AT132" s="69"/>
      <c r="AU132" s="69"/>
      <c r="AV132" s="69"/>
      <c r="AW132" s="69"/>
      <c r="AX132" s="69"/>
      <c r="AY132" s="69"/>
      <c r="AZ132" s="69"/>
      <c r="BA132" s="69"/>
      <c r="BB132" s="69"/>
      <c r="BC132" s="69"/>
      <c r="BD132" s="69"/>
      <c r="BE132" s="69"/>
      <c r="BF132" s="69"/>
      <c r="BG132" s="69"/>
      <c r="BH132" s="69"/>
      <c r="BI132" s="69"/>
      <c r="BJ132" s="69"/>
      <c r="BK132" s="69"/>
      <c r="BL132" s="69"/>
      <c r="BM132" s="69"/>
      <c r="BN132" s="69"/>
      <c r="BO132" s="69"/>
      <c r="BP132" s="70"/>
    </row>
    <row r="133" spans="1:68" s="1" customFormat="1" ht="30.75" customHeight="1">
      <c r="A133" s="74">
        <f t="shared" si="1"/>
        <v>125</v>
      </c>
      <c r="B133" s="75"/>
      <c r="C133" s="76"/>
      <c r="D133" s="71" t="s">
        <v>457</v>
      </c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3"/>
      <c r="AA133" s="74" t="s">
        <v>280</v>
      </c>
      <c r="AB133" s="75"/>
      <c r="AC133" s="75"/>
      <c r="AD133" s="75"/>
      <c r="AE133" s="76"/>
      <c r="AF133" s="86" t="s">
        <v>1444</v>
      </c>
      <c r="AG133" s="86"/>
      <c r="AH133" s="86"/>
      <c r="AI133" s="86"/>
      <c r="AJ133" s="86"/>
      <c r="AK133" s="86"/>
      <c r="AL133" s="68"/>
      <c r="AM133" s="69"/>
      <c r="AN133" s="69"/>
      <c r="AO133" s="69"/>
      <c r="AP133" s="69"/>
      <c r="AQ133" s="69"/>
      <c r="AR133" s="69"/>
      <c r="AS133" s="69"/>
      <c r="AT133" s="69"/>
      <c r="AU133" s="69"/>
      <c r="AV133" s="69"/>
      <c r="AW133" s="69"/>
      <c r="AX133" s="69"/>
      <c r="AY133" s="69"/>
      <c r="AZ133" s="69"/>
      <c r="BA133" s="69"/>
      <c r="BB133" s="69"/>
      <c r="BC133" s="69"/>
      <c r="BD133" s="69"/>
      <c r="BE133" s="69"/>
      <c r="BF133" s="69"/>
      <c r="BG133" s="69"/>
      <c r="BH133" s="69"/>
      <c r="BI133" s="69"/>
      <c r="BJ133" s="69"/>
      <c r="BK133" s="69"/>
      <c r="BL133" s="69"/>
      <c r="BM133" s="69"/>
      <c r="BN133" s="69"/>
      <c r="BO133" s="69"/>
      <c r="BP133" s="70"/>
    </row>
    <row r="134" spans="1:68" s="1" customFormat="1" ht="30.75" customHeight="1">
      <c r="A134" s="74">
        <f t="shared" si="1"/>
        <v>126</v>
      </c>
      <c r="B134" s="75"/>
      <c r="C134" s="76"/>
      <c r="D134" s="71" t="s">
        <v>458</v>
      </c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3"/>
      <c r="AA134" s="74" t="s">
        <v>280</v>
      </c>
      <c r="AB134" s="75"/>
      <c r="AC134" s="75"/>
      <c r="AD134" s="75"/>
      <c r="AE134" s="76"/>
      <c r="AF134" s="86">
        <v>14</v>
      </c>
      <c r="AG134" s="86"/>
      <c r="AH134" s="86"/>
      <c r="AI134" s="86"/>
      <c r="AJ134" s="86"/>
      <c r="AK134" s="86"/>
      <c r="AL134" s="68"/>
      <c r="AM134" s="69"/>
      <c r="AN134" s="69"/>
      <c r="AO134" s="69"/>
      <c r="AP134" s="69"/>
      <c r="AQ134" s="69"/>
      <c r="AR134" s="69"/>
      <c r="AS134" s="69"/>
      <c r="AT134" s="69"/>
      <c r="AU134" s="69"/>
      <c r="AV134" s="69"/>
      <c r="AW134" s="69"/>
      <c r="AX134" s="69"/>
      <c r="AY134" s="69"/>
      <c r="AZ134" s="69"/>
      <c r="BA134" s="69"/>
      <c r="BB134" s="69"/>
      <c r="BC134" s="69"/>
      <c r="BD134" s="69"/>
      <c r="BE134" s="69"/>
      <c r="BF134" s="69"/>
      <c r="BG134" s="69"/>
      <c r="BH134" s="69"/>
      <c r="BI134" s="69"/>
      <c r="BJ134" s="69"/>
      <c r="BK134" s="69"/>
      <c r="BL134" s="69"/>
      <c r="BM134" s="69"/>
      <c r="BN134" s="69"/>
      <c r="BO134" s="69"/>
      <c r="BP134" s="70"/>
    </row>
    <row r="135" spans="1:68" s="1" customFormat="1" ht="30.75" customHeight="1">
      <c r="A135" s="74">
        <f t="shared" si="1"/>
        <v>127</v>
      </c>
      <c r="B135" s="75"/>
      <c r="C135" s="76"/>
      <c r="D135" s="71" t="s">
        <v>1041</v>
      </c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3"/>
      <c r="AA135" s="74" t="s">
        <v>280</v>
      </c>
      <c r="AB135" s="75"/>
      <c r="AC135" s="75"/>
      <c r="AD135" s="75"/>
      <c r="AE135" s="76"/>
      <c r="AF135" s="86" t="s">
        <v>1444</v>
      </c>
      <c r="AG135" s="86"/>
      <c r="AH135" s="86"/>
      <c r="AI135" s="86"/>
      <c r="AJ135" s="86"/>
      <c r="AK135" s="86"/>
      <c r="AL135" s="68"/>
      <c r="AM135" s="69"/>
      <c r="AN135" s="69"/>
      <c r="AO135" s="69"/>
      <c r="AP135" s="69"/>
      <c r="AQ135" s="69"/>
      <c r="AR135" s="69"/>
      <c r="AS135" s="69"/>
      <c r="AT135" s="69"/>
      <c r="AU135" s="69"/>
      <c r="AV135" s="69"/>
      <c r="AW135" s="69"/>
      <c r="AX135" s="69"/>
      <c r="AY135" s="69"/>
      <c r="AZ135" s="69"/>
      <c r="BA135" s="69"/>
      <c r="BB135" s="69"/>
      <c r="BC135" s="69"/>
      <c r="BD135" s="69"/>
      <c r="BE135" s="69"/>
      <c r="BF135" s="69"/>
      <c r="BG135" s="69"/>
      <c r="BH135" s="69"/>
      <c r="BI135" s="69"/>
      <c r="BJ135" s="69"/>
      <c r="BK135" s="69"/>
      <c r="BL135" s="69"/>
      <c r="BM135" s="69"/>
      <c r="BN135" s="69"/>
      <c r="BO135" s="69"/>
      <c r="BP135" s="70"/>
    </row>
    <row r="136" spans="1:68" s="1" customFormat="1" ht="30.75" customHeight="1">
      <c r="A136" s="74">
        <f t="shared" si="1"/>
        <v>128</v>
      </c>
      <c r="B136" s="75"/>
      <c r="C136" s="76"/>
      <c r="D136" s="71" t="s">
        <v>459</v>
      </c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3"/>
      <c r="AA136" s="74" t="s">
        <v>280</v>
      </c>
      <c r="AB136" s="75"/>
      <c r="AC136" s="75"/>
      <c r="AD136" s="75"/>
      <c r="AE136" s="76"/>
      <c r="AF136" s="86">
        <v>14</v>
      </c>
      <c r="AG136" s="86"/>
      <c r="AH136" s="86"/>
      <c r="AI136" s="86"/>
      <c r="AJ136" s="86"/>
      <c r="AK136" s="86"/>
      <c r="AL136" s="68"/>
      <c r="AM136" s="69"/>
      <c r="AN136" s="69"/>
      <c r="AO136" s="69"/>
      <c r="AP136" s="69"/>
      <c r="AQ136" s="69"/>
      <c r="AR136" s="69"/>
      <c r="AS136" s="69"/>
      <c r="AT136" s="69"/>
      <c r="AU136" s="69"/>
      <c r="AV136" s="69"/>
      <c r="AW136" s="69"/>
      <c r="AX136" s="69"/>
      <c r="AY136" s="69"/>
      <c r="AZ136" s="69"/>
      <c r="BA136" s="69"/>
      <c r="BB136" s="69"/>
      <c r="BC136" s="69"/>
      <c r="BD136" s="69"/>
      <c r="BE136" s="69"/>
      <c r="BF136" s="69"/>
      <c r="BG136" s="69"/>
      <c r="BH136" s="69"/>
      <c r="BI136" s="69"/>
      <c r="BJ136" s="69"/>
      <c r="BK136" s="69"/>
      <c r="BL136" s="69"/>
      <c r="BM136" s="69"/>
      <c r="BN136" s="69"/>
      <c r="BO136" s="69"/>
      <c r="BP136" s="70"/>
    </row>
    <row r="137" spans="1:68" s="1" customFormat="1" ht="30.75" customHeight="1">
      <c r="A137" s="74">
        <f t="shared" si="1"/>
        <v>129</v>
      </c>
      <c r="B137" s="75"/>
      <c r="C137" s="76"/>
      <c r="D137" s="71" t="s">
        <v>460</v>
      </c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3"/>
      <c r="AA137" s="74" t="s">
        <v>280</v>
      </c>
      <c r="AB137" s="75"/>
      <c r="AC137" s="75"/>
      <c r="AD137" s="75"/>
      <c r="AE137" s="76"/>
      <c r="AF137" s="86">
        <v>14</v>
      </c>
      <c r="AG137" s="86"/>
      <c r="AH137" s="86"/>
      <c r="AI137" s="86"/>
      <c r="AJ137" s="86"/>
      <c r="AK137" s="86"/>
      <c r="AL137" s="68"/>
      <c r="AM137" s="69"/>
      <c r="AN137" s="69"/>
      <c r="AO137" s="69"/>
      <c r="AP137" s="69"/>
      <c r="AQ137" s="69"/>
      <c r="AR137" s="69"/>
      <c r="AS137" s="69"/>
      <c r="AT137" s="69"/>
      <c r="AU137" s="69"/>
      <c r="AV137" s="69"/>
      <c r="AW137" s="69"/>
      <c r="AX137" s="69"/>
      <c r="AY137" s="69"/>
      <c r="AZ137" s="69"/>
      <c r="BA137" s="69"/>
      <c r="BB137" s="69"/>
      <c r="BC137" s="69"/>
      <c r="BD137" s="69"/>
      <c r="BE137" s="69"/>
      <c r="BF137" s="69"/>
      <c r="BG137" s="69"/>
      <c r="BH137" s="69"/>
      <c r="BI137" s="69"/>
      <c r="BJ137" s="69"/>
      <c r="BK137" s="69"/>
      <c r="BL137" s="69"/>
      <c r="BM137" s="69"/>
      <c r="BN137" s="69"/>
      <c r="BO137" s="69"/>
      <c r="BP137" s="70"/>
    </row>
    <row r="138" spans="1:68" s="1" customFormat="1" ht="30.75" customHeight="1">
      <c r="A138" s="74">
        <f t="shared" si="1"/>
        <v>130</v>
      </c>
      <c r="B138" s="75"/>
      <c r="C138" s="76"/>
      <c r="D138" s="71" t="s">
        <v>461</v>
      </c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3"/>
      <c r="AA138" s="74" t="s">
        <v>280</v>
      </c>
      <c r="AB138" s="75"/>
      <c r="AC138" s="75"/>
      <c r="AD138" s="75"/>
      <c r="AE138" s="76"/>
      <c r="AF138" s="86" t="s">
        <v>1444</v>
      </c>
      <c r="AG138" s="86"/>
      <c r="AH138" s="86"/>
      <c r="AI138" s="86"/>
      <c r="AJ138" s="86"/>
      <c r="AK138" s="86"/>
      <c r="AL138" s="68"/>
      <c r="AM138" s="69"/>
      <c r="AN138" s="69"/>
      <c r="AO138" s="69"/>
      <c r="AP138" s="69"/>
      <c r="AQ138" s="69"/>
      <c r="AR138" s="69"/>
      <c r="AS138" s="69"/>
      <c r="AT138" s="69"/>
      <c r="AU138" s="69"/>
      <c r="AV138" s="69"/>
      <c r="AW138" s="69"/>
      <c r="AX138" s="69"/>
      <c r="AY138" s="69"/>
      <c r="AZ138" s="69"/>
      <c r="BA138" s="69"/>
      <c r="BB138" s="69"/>
      <c r="BC138" s="69"/>
      <c r="BD138" s="69"/>
      <c r="BE138" s="69"/>
      <c r="BF138" s="69"/>
      <c r="BG138" s="69"/>
      <c r="BH138" s="69"/>
      <c r="BI138" s="69"/>
      <c r="BJ138" s="69"/>
      <c r="BK138" s="69"/>
      <c r="BL138" s="69"/>
      <c r="BM138" s="69"/>
      <c r="BN138" s="69"/>
      <c r="BO138" s="69"/>
      <c r="BP138" s="70"/>
    </row>
    <row r="139" spans="1:68" s="1" customFormat="1" ht="30.75" customHeight="1">
      <c r="A139" s="74">
        <f t="shared" si="1"/>
        <v>131</v>
      </c>
      <c r="B139" s="75"/>
      <c r="C139" s="76"/>
      <c r="D139" s="71" t="s">
        <v>462</v>
      </c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3"/>
      <c r="AA139" s="74" t="s">
        <v>280</v>
      </c>
      <c r="AB139" s="75"/>
      <c r="AC139" s="75"/>
      <c r="AD139" s="75"/>
      <c r="AE139" s="76"/>
      <c r="AF139" s="86">
        <v>14</v>
      </c>
      <c r="AG139" s="86"/>
      <c r="AH139" s="86"/>
      <c r="AI139" s="86"/>
      <c r="AJ139" s="86"/>
      <c r="AK139" s="86"/>
      <c r="AL139" s="68"/>
      <c r="AM139" s="69"/>
      <c r="AN139" s="69"/>
      <c r="AO139" s="69"/>
      <c r="AP139" s="69"/>
      <c r="AQ139" s="69"/>
      <c r="AR139" s="69"/>
      <c r="AS139" s="69"/>
      <c r="AT139" s="69"/>
      <c r="AU139" s="69"/>
      <c r="AV139" s="69"/>
      <c r="AW139" s="69"/>
      <c r="AX139" s="69"/>
      <c r="AY139" s="69"/>
      <c r="AZ139" s="69"/>
      <c r="BA139" s="69"/>
      <c r="BB139" s="69"/>
      <c r="BC139" s="69"/>
      <c r="BD139" s="69"/>
      <c r="BE139" s="69"/>
      <c r="BF139" s="69"/>
      <c r="BG139" s="69"/>
      <c r="BH139" s="69"/>
      <c r="BI139" s="69"/>
      <c r="BJ139" s="69"/>
      <c r="BK139" s="69"/>
      <c r="BL139" s="69"/>
      <c r="BM139" s="69"/>
      <c r="BN139" s="69"/>
      <c r="BO139" s="69"/>
      <c r="BP139" s="70"/>
    </row>
    <row r="140" spans="1:68" s="1" customFormat="1" ht="30.75" customHeight="1">
      <c r="A140" s="74">
        <f t="shared" si="1"/>
        <v>132</v>
      </c>
      <c r="B140" s="75"/>
      <c r="C140" s="76"/>
      <c r="D140" s="71" t="s">
        <v>1042</v>
      </c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3"/>
      <c r="AA140" s="74" t="s">
        <v>280</v>
      </c>
      <c r="AB140" s="75"/>
      <c r="AC140" s="75"/>
      <c r="AD140" s="75"/>
      <c r="AE140" s="76"/>
      <c r="AF140" s="86" t="s">
        <v>1444</v>
      </c>
      <c r="AG140" s="86"/>
      <c r="AH140" s="86"/>
      <c r="AI140" s="86"/>
      <c r="AJ140" s="86"/>
      <c r="AK140" s="86"/>
      <c r="AL140" s="68"/>
      <c r="AM140" s="69"/>
      <c r="AN140" s="69"/>
      <c r="AO140" s="69"/>
      <c r="AP140" s="69"/>
      <c r="AQ140" s="69"/>
      <c r="AR140" s="69"/>
      <c r="AS140" s="69"/>
      <c r="AT140" s="69"/>
      <c r="AU140" s="69"/>
      <c r="AV140" s="69"/>
      <c r="AW140" s="69"/>
      <c r="AX140" s="69"/>
      <c r="AY140" s="69"/>
      <c r="AZ140" s="69"/>
      <c r="BA140" s="69"/>
      <c r="BB140" s="69"/>
      <c r="BC140" s="69"/>
      <c r="BD140" s="69"/>
      <c r="BE140" s="69"/>
      <c r="BF140" s="69"/>
      <c r="BG140" s="69"/>
      <c r="BH140" s="69"/>
      <c r="BI140" s="69"/>
      <c r="BJ140" s="69"/>
      <c r="BK140" s="69"/>
      <c r="BL140" s="69"/>
      <c r="BM140" s="69"/>
      <c r="BN140" s="69"/>
      <c r="BO140" s="69"/>
      <c r="BP140" s="70"/>
    </row>
    <row r="141" spans="1:68" s="1" customFormat="1" ht="30.75" customHeight="1">
      <c r="A141" s="74">
        <f t="shared" si="1"/>
        <v>133</v>
      </c>
      <c r="B141" s="75"/>
      <c r="C141" s="76"/>
      <c r="D141" s="71" t="s">
        <v>463</v>
      </c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3"/>
      <c r="AA141" s="74" t="s">
        <v>280</v>
      </c>
      <c r="AB141" s="75"/>
      <c r="AC141" s="75"/>
      <c r="AD141" s="75"/>
      <c r="AE141" s="76"/>
      <c r="AF141" s="86">
        <v>14</v>
      </c>
      <c r="AG141" s="86"/>
      <c r="AH141" s="86"/>
      <c r="AI141" s="86"/>
      <c r="AJ141" s="86"/>
      <c r="AK141" s="86"/>
      <c r="AL141" s="68"/>
      <c r="AM141" s="69"/>
      <c r="AN141" s="69"/>
      <c r="AO141" s="69"/>
      <c r="AP141" s="69"/>
      <c r="AQ141" s="69"/>
      <c r="AR141" s="69"/>
      <c r="AS141" s="69"/>
      <c r="AT141" s="69"/>
      <c r="AU141" s="69"/>
      <c r="AV141" s="69"/>
      <c r="AW141" s="69"/>
      <c r="AX141" s="69"/>
      <c r="AY141" s="69"/>
      <c r="AZ141" s="69"/>
      <c r="BA141" s="69"/>
      <c r="BB141" s="69"/>
      <c r="BC141" s="69"/>
      <c r="BD141" s="69"/>
      <c r="BE141" s="69"/>
      <c r="BF141" s="69"/>
      <c r="BG141" s="69"/>
      <c r="BH141" s="69"/>
      <c r="BI141" s="69"/>
      <c r="BJ141" s="69"/>
      <c r="BK141" s="69"/>
      <c r="BL141" s="69"/>
      <c r="BM141" s="69"/>
      <c r="BN141" s="69"/>
      <c r="BO141" s="69"/>
      <c r="BP141" s="70"/>
    </row>
    <row r="142" spans="1:68" s="1" customFormat="1" ht="30.75" customHeight="1">
      <c r="A142" s="74">
        <f t="shared" si="1"/>
        <v>134</v>
      </c>
      <c r="B142" s="75"/>
      <c r="C142" s="76"/>
      <c r="D142" s="71" t="s">
        <v>464</v>
      </c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3"/>
      <c r="AA142" s="74" t="s">
        <v>280</v>
      </c>
      <c r="AB142" s="75"/>
      <c r="AC142" s="75"/>
      <c r="AD142" s="75"/>
      <c r="AE142" s="76"/>
      <c r="AF142" s="86">
        <v>14</v>
      </c>
      <c r="AG142" s="86"/>
      <c r="AH142" s="86"/>
      <c r="AI142" s="86"/>
      <c r="AJ142" s="86"/>
      <c r="AK142" s="86"/>
      <c r="AL142" s="68"/>
      <c r="AM142" s="69"/>
      <c r="AN142" s="69"/>
      <c r="AO142" s="69"/>
      <c r="AP142" s="69"/>
      <c r="AQ142" s="69"/>
      <c r="AR142" s="69"/>
      <c r="AS142" s="69"/>
      <c r="AT142" s="69"/>
      <c r="AU142" s="69"/>
      <c r="AV142" s="69"/>
      <c r="AW142" s="69"/>
      <c r="AX142" s="69"/>
      <c r="AY142" s="69"/>
      <c r="AZ142" s="69"/>
      <c r="BA142" s="69"/>
      <c r="BB142" s="69"/>
      <c r="BC142" s="69"/>
      <c r="BD142" s="69"/>
      <c r="BE142" s="69"/>
      <c r="BF142" s="69"/>
      <c r="BG142" s="69"/>
      <c r="BH142" s="69"/>
      <c r="BI142" s="69"/>
      <c r="BJ142" s="69"/>
      <c r="BK142" s="69"/>
      <c r="BL142" s="69"/>
      <c r="BM142" s="69"/>
      <c r="BN142" s="69"/>
      <c r="BO142" s="69"/>
      <c r="BP142" s="70"/>
    </row>
    <row r="143" spans="1:68" s="1" customFormat="1" ht="30.75" customHeight="1">
      <c r="A143" s="74">
        <f t="shared" si="1"/>
        <v>135</v>
      </c>
      <c r="B143" s="75"/>
      <c r="C143" s="76"/>
      <c r="D143" s="71" t="s">
        <v>465</v>
      </c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3"/>
      <c r="AA143" s="74" t="s">
        <v>280</v>
      </c>
      <c r="AB143" s="75"/>
      <c r="AC143" s="75"/>
      <c r="AD143" s="75"/>
      <c r="AE143" s="76"/>
      <c r="AF143" s="86">
        <v>14</v>
      </c>
      <c r="AG143" s="86"/>
      <c r="AH143" s="86"/>
      <c r="AI143" s="86"/>
      <c r="AJ143" s="86"/>
      <c r="AK143" s="86"/>
      <c r="AL143" s="68"/>
      <c r="AM143" s="69"/>
      <c r="AN143" s="69"/>
      <c r="AO143" s="69"/>
      <c r="AP143" s="69"/>
      <c r="AQ143" s="69"/>
      <c r="AR143" s="69"/>
      <c r="AS143" s="69"/>
      <c r="AT143" s="69"/>
      <c r="AU143" s="69"/>
      <c r="AV143" s="69"/>
      <c r="AW143" s="69"/>
      <c r="AX143" s="69"/>
      <c r="AY143" s="69"/>
      <c r="AZ143" s="69"/>
      <c r="BA143" s="69"/>
      <c r="BB143" s="69"/>
      <c r="BC143" s="69"/>
      <c r="BD143" s="69"/>
      <c r="BE143" s="69"/>
      <c r="BF143" s="69"/>
      <c r="BG143" s="69"/>
      <c r="BH143" s="69"/>
      <c r="BI143" s="69"/>
      <c r="BJ143" s="69"/>
      <c r="BK143" s="69"/>
      <c r="BL143" s="69"/>
      <c r="BM143" s="69"/>
      <c r="BN143" s="69"/>
      <c r="BO143" s="69"/>
      <c r="BP143" s="70"/>
    </row>
    <row r="144" spans="1:68" s="1" customFormat="1" ht="30.75" customHeight="1">
      <c r="A144" s="74">
        <f t="shared" si="1"/>
        <v>136</v>
      </c>
      <c r="B144" s="75"/>
      <c r="C144" s="76"/>
      <c r="D144" s="71" t="s">
        <v>466</v>
      </c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3"/>
      <c r="AA144" s="74" t="s">
        <v>280</v>
      </c>
      <c r="AB144" s="75"/>
      <c r="AC144" s="75"/>
      <c r="AD144" s="75"/>
      <c r="AE144" s="76"/>
      <c r="AF144" s="86">
        <v>14</v>
      </c>
      <c r="AG144" s="86"/>
      <c r="AH144" s="86"/>
      <c r="AI144" s="86"/>
      <c r="AJ144" s="86"/>
      <c r="AK144" s="86"/>
      <c r="AL144" s="68"/>
      <c r="AM144" s="69"/>
      <c r="AN144" s="69"/>
      <c r="AO144" s="69"/>
      <c r="AP144" s="69"/>
      <c r="AQ144" s="69"/>
      <c r="AR144" s="69"/>
      <c r="AS144" s="69"/>
      <c r="AT144" s="69"/>
      <c r="AU144" s="69"/>
      <c r="AV144" s="69"/>
      <c r="AW144" s="69"/>
      <c r="AX144" s="69"/>
      <c r="AY144" s="69"/>
      <c r="AZ144" s="69"/>
      <c r="BA144" s="69"/>
      <c r="BB144" s="69"/>
      <c r="BC144" s="69"/>
      <c r="BD144" s="69"/>
      <c r="BE144" s="69"/>
      <c r="BF144" s="69"/>
      <c r="BG144" s="69"/>
      <c r="BH144" s="69"/>
      <c r="BI144" s="69"/>
      <c r="BJ144" s="69"/>
      <c r="BK144" s="69"/>
      <c r="BL144" s="69"/>
      <c r="BM144" s="69"/>
      <c r="BN144" s="69"/>
      <c r="BO144" s="69"/>
      <c r="BP144" s="70"/>
    </row>
    <row r="145" spans="1:68" s="1" customFormat="1" ht="30.75" customHeight="1">
      <c r="A145" s="74">
        <f t="shared" si="1"/>
        <v>137</v>
      </c>
      <c r="B145" s="75"/>
      <c r="C145" s="76"/>
      <c r="D145" s="71" t="s">
        <v>467</v>
      </c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3"/>
      <c r="AA145" s="74" t="s">
        <v>280</v>
      </c>
      <c r="AB145" s="75"/>
      <c r="AC145" s="75"/>
      <c r="AD145" s="75"/>
      <c r="AE145" s="76"/>
      <c r="AF145" s="86">
        <v>14</v>
      </c>
      <c r="AG145" s="86"/>
      <c r="AH145" s="86"/>
      <c r="AI145" s="86"/>
      <c r="AJ145" s="86"/>
      <c r="AK145" s="86"/>
      <c r="AL145" s="68"/>
      <c r="AM145" s="69"/>
      <c r="AN145" s="69"/>
      <c r="AO145" s="69"/>
      <c r="AP145" s="69"/>
      <c r="AQ145" s="69"/>
      <c r="AR145" s="69"/>
      <c r="AS145" s="69"/>
      <c r="AT145" s="69"/>
      <c r="AU145" s="69"/>
      <c r="AV145" s="69"/>
      <c r="AW145" s="69"/>
      <c r="AX145" s="69"/>
      <c r="AY145" s="69"/>
      <c r="AZ145" s="69"/>
      <c r="BA145" s="69"/>
      <c r="BB145" s="69"/>
      <c r="BC145" s="69"/>
      <c r="BD145" s="69"/>
      <c r="BE145" s="69"/>
      <c r="BF145" s="69"/>
      <c r="BG145" s="69"/>
      <c r="BH145" s="69"/>
      <c r="BI145" s="69"/>
      <c r="BJ145" s="69"/>
      <c r="BK145" s="69"/>
      <c r="BL145" s="69"/>
      <c r="BM145" s="69"/>
      <c r="BN145" s="69"/>
      <c r="BO145" s="69"/>
      <c r="BP145" s="70"/>
    </row>
    <row r="146" spans="1:68" s="1" customFormat="1" ht="30.75" customHeight="1">
      <c r="A146" s="74">
        <f t="shared" si="1"/>
        <v>138</v>
      </c>
      <c r="B146" s="75"/>
      <c r="C146" s="76"/>
      <c r="D146" s="71" t="s">
        <v>468</v>
      </c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3"/>
      <c r="AA146" s="74" t="s">
        <v>280</v>
      </c>
      <c r="AB146" s="75"/>
      <c r="AC146" s="75"/>
      <c r="AD146" s="75"/>
      <c r="AE146" s="76"/>
      <c r="AF146" s="86">
        <v>14</v>
      </c>
      <c r="AG146" s="86"/>
      <c r="AH146" s="86"/>
      <c r="AI146" s="86"/>
      <c r="AJ146" s="86"/>
      <c r="AK146" s="86"/>
      <c r="AL146" s="68"/>
      <c r="AM146" s="69"/>
      <c r="AN146" s="69"/>
      <c r="AO146" s="69"/>
      <c r="AP146" s="69"/>
      <c r="AQ146" s="69"/>
      <c r="AR146" s="69"/>
      <c r="AS146" s="69"/>
      <c r="AT146" s="69"/>
      <c r="AU146" s="69"/>
      <c r="AV146" s="69"/>
      <c r="AW146" s="69"/>
      <c r="AX146" s="69"/>
      <c r="AY146" s="69"/>
      <c r="AZ146" s="69"/>
      <c r="BA146" s="69"/>
      <c r="BB146" s="69"/>
      <c r="BC146" s="69"/>
      <c r="BD146" s="69"/>
      <c r="BE146" s="69"/>
      <c r="BF146" s="69"/>
      <c r="BG146" s="69"/>
      <c r="BH146" s="69"/>
      <c r="BI146" s="69"/>
      <c r="BJ146" s="69"/>
      <c r="BK146" s="69"/>
      <c r="BL146" s="69"/>
      <c r="BM146" s="69"/>
      <c r="BN146" s="69"/>
      <c r="BO146" s="69"/>
      <c r="BP146" s="70"/>
    </row>
    <row r="147" spans="1:68" s="1" customFormat="1" ht="30.75" customHeight="1">
      <c r="A147" s="74">
        <f t="shared" si="1"/>
        <v>139</v>
      </c>
      <c r="B147" s="75"/>
      <c r="C147" s="76"/>
      <c r="D147" s="71" t="s">
        <v>1312</v>
      </c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3"/>
      <c r="AA147" s="74" t="s">
        <v>280</v>
      </c>
      <c r="AB147" s="75"/>
      <c r="AC147" s="75"/>
      <c r="AD147" s="75"/>
      <c r="AE147" s="76"/>
      <c r="AF147" s="86" t="s">
        <v>1504</v>
      </c>
      <c r="AG147" s="86"/>
      <c r="AH147" s="86"/>
      <c r="AI147" s="86"/>
      <c r="AJ147" s="86"/>
      <c r="AK147" s="86"/>
      <c r="AL147" s="68"/>
      <c r="AM147" s="69"/>
      <c r="AN147" s="69"/>
      <c r="AO147" s="69"/>
      <c r="AP147" s="69"/>
      <c r="AQ147" s="69"/>
      <c r="AR147" s="69"/>
      <c r="AS147" s="69"/>
      <c r="AT147" s="69"/>
      <c r="AU147" s="69"/>
      <c r="AV147" s="69"/>
      <c r="AW147" s="69"/>
      <c r="AX147" s="69"/>
      <c r="AY147" s="69"/>
      <c r="AZ147" s="69"/>
      <c r="BA147" s="69"/>
      <c r="BB147" s="69"/>
      <c r="BC147" s="69"/>
      <c r="BD147" s="69"/>
      <c r="BE147" s="69"/>
      <c r="BF147" s="69"/>
      <c r="BG147" s="69"/>
      <c r="BH147" s="69"/>
      <c r="BI147" s="69"/>
      <c r="BJ147" s="69"/>
      <c r="BK147" s="69"/>
      <c r="BL147" s="69"/>
      <c r="BM147" s="69"/>
      <c r="BN147" s="69"/>
      <c r="BO147" s="69"/>
      <c r="BP147" s="70"/>
    </row>
    <row r="148" spans="1:68" s="1" customFormat="1" ht="30.75" customHeight="1">
      <c r="A148" s="74">
        <f t="shared" si="1"/>
        <v>140</v>
      </c>
      <c r="B148" s="75"/>
      <c r="C148" s="76"/>
      <c r="D148" s="71" t="s">
        <v>469</v>
      </c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3"/>
      <c r="AA148" s="74" t="s">
        <v>280</v>
      </c>
      <c r="AB148" s="75"/>
      <c r="AC148" s="75"/>
      <c r="AD148" s="75"/>
      <c r="AE148" s="76"/>
      <c r="AF148" s="86" t="s">
        <v>1504</v>
      </c>
      <c r="AG148" s="86"/>
      <c r="AH148" s="86"/>
      <c r="AI148" s="86"/>
      <c r="AJ148" s="86"/>
      <c r="AK148" s="86"/>
      <c r="AL148" s="68"/>
      <c r="AM148" s="69"/>
      <c r="AN148" s="69"/>
      <c r="AO148" s="69"/>
      <c r="AP148" s="69"/>
      <c r="AQ148" s="69"/>
      <c r="AR148" s="69"/>
      <c r="AS148" s="69"/>
      <c r="AT148" s="69"/>
      <c r="AU148" s="69"/>
      <c r="AV148" s="69"/>
      <c r="AW148" s="69"/>
      <c r="AX148" s="69"/>
      <c r="AY148" s="69"/>
      <c r="AZ148" s="69"/>
      <c r="BA148" s="69"/>
      <c r="BB148" s="69"/>
      <c r="BC148" s="69"/>
      <c r="BD148" s="69"/>
      <c r="BE148" s="69"/>
      <c r="BF148" s="69"/>
      <c r="BG148" s="69"/>
      <c r="BH148" s="69"/>
      <c r="BI148" s="69"/>
      <c r="BJ148" s="69"/>
      <c r="BK148" s="69"/>
      <c r="BL148" s="69"/>
      <c r="BM148" s="69"/>
      <c r="BN148" s="69"/>
      <c r="BO148" s="69"/>
      <c r="BP148" s="70"/>
    </row>
    <row r="149" spans="1:68" s="1" customFormat="1" ht="30.6" customHeight="1">
      <c r="A149" s="74"/>
      <c r="B149" s="75"/>
      <c r="C149" s="76"/>
      <c r="D149" s="71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3"/>
      <c r="AA149" s="74"/>
      <c r="AB149" s="75"/>
      <c r="AC149" s="75"/>
      <c r="AD149" s="75"/>
      <c r="AE149" s="76"/>
      <c r="AF149" s="74"/>
      <c r="AG149" s="75"/>
      <c r="AH149" s="76"/>
      <c r="AI149" s="74"/>
      <c r="AJ149" s="75"/>
      <c r="AK149" s="76"/>
      <c r="AL149" s="68"/>
      <c r="AM149" s="69"/>
      <c r="AN149" s="69"/>
      <c r="AO149" s="69"/>
      <c r="AP149" s="69"/>
      <c r="AQ149" s="69"/>
      <c r="AR149" s="69"/>
      <c r="AS149" s="69"/>
      <c r="AT149" s="69"/>
      <c r="AU149" s="69"/>
      <c r="AV149" s="69"/>
      <c r="AW149" s="69"/>
      <c r="AX149" s="69"/>
      <c r="AY149" s="69"/>
      <c r="AZ149" s="69"/>
      <c r="BA149" s="69"/>
      <c r="BB149" s="69"/>
      <c r="BC149" s="69"/>
      <c r="BD149" s="69"/>
      <c r="BE149" s="69"/>
      <c r="BF149" s="69"/>
      <c r="BG149" s="69"/>
      <c r="BH149" s="69"/>
      <c r="BI149" s="69"/>
      <c r="BJ149" s="69"/>
      <c r="BK149" s="69"/>
      <c r="BL149" s="69"/>
      <c r="BM149" s="69"/>
      <c r="BN149" s="69"/>
      <c r="BO149" s="69"/>
      <c r="BP149" s="70"/>
    </row>
    <row r="150" spans="1:68" s="1" customFormat="1" ht="30.75" customHeight="1">
      <c r="A150" s="80"/>
      <c r="B150" s="81"/>
      <c r="C150" s="82"/>
      <c r="D150" s="77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9"/>
      <c r="AA150" s="80"/>
      <c r="AB150" s="81"/>
      <c r="AC150" s="81"/>
      <c r="AD150" s="81"/>
      <c r="AE150" s="82"/>
      <c r="AF150" s="87"/>
      <c r="AG150" s="87"/>
      <c r="AH150" s="87"/>
      <c r="AI150" s="87"/>
      <c r="AJ150" s="87"/>
      <c r="AK150" s="87"/>
      <c r="AL150" s="83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  <c r="BB150" s="84"/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  <c r="BM150" s="84"/>
      <c r="BN150" s="84"/>
      <c r="BO150" s="84"/>
      <c r="BP150" s="85"/>
    </row>
    <row r="151" spans="1:68" s="4" customFormat="1" ht="3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3"/>
      <c r="AG151" s="3"/>
      <c r="AH151" s="3"/>
      <c r="AI151" s="3"/>
      <c r="AJ151" s="3"/>
      <c r="AK151" s="3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</row>
    <row r="152" spans="1:68" s="4" customFormat="1" ht="14.25">
      <c r="A152" s="5" t="s">
        <v>14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15"/>
      <c r="AG152" s="15"/>
      <c r="AH152" s="15"/>
      <c r="AI152" s="15"/>
      <c r="AJ152" s="15"/>
      <c r="AK152" s="15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6"/>
    </row>
    <row r="153" spans="1:68" s="4" customFormat="1" ht="20.25" customHeight="1">
      <c r="A153" s="5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6"/>
    </row>
    <row r="154" spans="1:68" s="4" customFormat="1" ht="20.25" customHeight="1">
      <c r="A154" s="5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6"/>
    </row>
    <row r="155" spans="1:68" s="4" customFormat="1" ht="20.25" customHeight="1">
      <c r="A155" s="5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6"/>
    </row>
    <row r="156" spans="1:68" s="4" customFormat="1" ht="20.25" customHeight="1">
      <c r="A156" s="5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6"/>
    </row>
    <row r="157" spans="1:68" s="4" customFormat="1" ht="20.25" customHeight="1">
      <c r="A157" s="7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9"/>
    </row>
    <row r="158" spans="1:68" ht="5.25" customHeight="1"/>
  </sheetData>
  <mergeCells count="877">
    <mergeCell ref="BF4:BP4"/>
    <mergeCell ref="A6:G6"/>
    <mergeCell ref="H6:N6"/>
    <mergeCell ref="O6:Y6"/>
    <mergeCell ref="Z6:BE6"/>
    <mergeCell ref="BF6:BI6"/>
    <mergeCell ref="BJ6:BP6"/>
    <mergeCell ref="A10:C10"/>
    <mergeCell ref="D10:Z10"/>
    <mergeCell ref="AA10:AE10"/>
    <mergeCell ref="AF10:AH10"/>
    <mergeCell ref="AI10:AK10"/>
    <mergeCell ref="AL10:BP10"/>
    <mergeCell ref="A8:C8"/>
    <mergeCell ref="D8:Z8"/>
    <mergeCell ref="AA8:AE8"/>
    <mergeCell ref="AF8:AH8"/>
    <mergeCell ref="AI8:AK8"/>
    <mergeCell ref="AL8:BP8"/>
    <mergeCell ref="A4:G4"/>
    <mergeCell ref="H4:BA4"/>
    <mergeCell ref="BB4:BE4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12:C12"/>
    <mergeCell ref="D12:Z12"/>
    <mergeCell ref="AA12:AE12"/>
    <mergeCell ref="AF12:AH12"/>
    <mergeCell ref="AI12:AK12"/>
    <mergeCell ref="AL12:BP12"/>
    <mergeCell ref="A11:C11"/>
    <mergeCell ref="D11:Z11"/>
    <mergeCell ref="AA11:AE11"/>
    <mergeCell ref="AF11:AH11"/>
    <mergeCell ref="AI11:AK11"/>
    <mergeCell ref="AL11:BP11"/>
    <mergeCell ref="A16:C16"/>
    <mergeCell ref="D16:Z16"/>
    <mergeCell ref="AA16:AE16"/>
    <mergeCell ref="AF16:AH16"/>
    <mergeCell ref="AI16:AK16"/>
    <mergeCell ref="AL16:BP16"/>
    <mergeCell ref="A9:C9"/>
    <mergeCell ref="D9:Z9"/>
    <mergeCell ref="AA9:AE9"/>
    <mergeCell ref="AF9:AH9"/>
    <mergeCell ref="AI9:AK9"/>
    <mergeCell ref="AL9:BP9"/>
    <mergeCell ref="A14:C14"/>
    <mergeCell ref="D14:Z14"/>
    <mergeCell ref="AA14:AE14"/>
    <mergeCell ref="AF14:AH14"/>
    <mergeCell ref="AI14:AK14"/>
    <mergeCell ref="AL14:BP14"/>
    <mergeCell ref="A13:C13"/>
    <mergeCell ref="D13:Z13"/>
    <mergeCell ref="AA13:AE13"/>
    <mergeCell ref="AF13:AH13"/>
    <mergeCell ref="AI13:AK13"/>
    <mergeCell ref="AL13:BP13"/>
    <mergeCell ref="A18:C18"/>
    <mergeCell ref="D18:Z18"/>
    <mergeCell ref="AA18:AE18"/>
    <mergeCell ref="AF18:AH18"/>
    <mergeCell ref="AI18:AK18"/>
    <mergeCell ref="AL18:BP18"/>
    <mergeCell ref="A17:C17"/>
    <mergeCell ref="D17:Z17"/>
    <mergeCell ref="AA17:AE17"/>
    <mergeCell ref="AF17:AH17"/>
    <mergeCell ref="AI17:AK17"/>
    <mergeCell ref="AL17:BP17"/>
    <mergeCell ref="A22:C22"/>
    <mergeCell ref="D22:Z22"/>
    <mergeCell ref="AA22:AE22"/>
    <mergeCell ref="AF22:AH22"/>
    <mergeCell ref="AI22:AK22"/>
    <mergeCell ref="AL22:BP22"/>
    <mergeCell ref="A15:C15"/>
    <mergeCell ref="D15:Z15"/>
    <mergeCell ref="AA15:AE15"/>
    <mergeCell ref="AF15:AH15"/>
    <mergeCell ref="AI15:AK15"/>
    <mergeCell ref="AL15:BP15"/>
    <mergeCell ref="A20:C20"/>
    <mergeCell ref="D20:Z20"/>
    <mergeCell ref="AA20:AE20"/>
    <mergeCell ref="AF20:AH20"/>
    <mergeCell ref="AI20:AK20"/>
    <mergeCell ref="AL20:BP20"/>
    <mergeCell ref="A19:C19"/>
    <mergeCell ref="D19:Z19"/>
    <mergeCell ref="AA19:AE19"/>
    <mergeCell ref="AF19:AH19"/>
    <mergeCell ref="AI19:AK19"/>
    <mergeCell ref="AL19:BP19"/>
    <mergeCell ref="A24:C24"/>
    <mergeCell ref="D24:Z24"/>
    <mergeCell ref="AA24:AE24"/>
    <mergeCell ref="AF24:AH24"/>
    <mergeCell ref="AI24:AK24"/>
    <mergeCell ref="AL24:BP24"/>
    <mergeCell ref="A23:C23"/>
    <mergeCell ref="D23:Z23"/>
    <mergeCell ref="AA23:AE23"/>
    <mergeCell ref="AF23:AH23"/>
    <mergeCell ref="AI23:AK23"/>
    <mergeCell ref="AL23:BP23"/>
    <mergeCell ref="A28:C28"/>
    <mergeCell ref="D28:Z28"/>
    <mergeCell ref="AA28:AE28"/>
    <mergeCell ref="AF28:AH28"/>
    <mergeCell ref="AI28:AK28"/>
    <mergeCell ref="AL28:BP28"/>
    <mergeCell ref="A21:C21"/>
    <mergeCell ref="D21:Z21"/>
    <mergeCell ref="AA21:AE21"/>
    <mergeCell ref="AF21:AH21"/>
    <mergeCell ref="AI21:AK21"/>
    <mergeCell ref="AL21:BP21"/>
    <mergeCell ref="A26:C26"/>
    <mergeCell ref="D26:Z26"/>
    <mergeCell ref="AA26:AE26"/>
    <mergeCell ref="AF26:AH26"/>
    <mergeCell ref="AI26:AK26"/>
    <mergeCell ref="AL26:BP26"/>
    <mergeCell ref="A25:C25"/>
    <mergeCell ref="D25:Z25"/>
    <mergeCell ref="AA25:AE25"/>
    <mergeCell ref="AF25:AH25"/>
    <mergeCell ref="AI25:AK25"/>
    <mergeCell ref="AL25:BP25"/>
    <mergeCell ref="A27:C27"/>
    <mergeCell ref="D27:Z27"/>
    <mergeCell ref="AA27:AE27"/>
    <mergeCell ref="AF27:AH27"/>
    <mergeCell ref="AI27:AK27"/>
    <mergeCell ref="AL27:BP27"/>
    <mergeCell ref="A32:C32"/>
    <mergeCell ref="D32:Z32"/>
    <mergeCell ref="AA32:AE32"/>
    <mergeCell ref="AF32:AH32"/>
    <mergeCell ref="AI32:AK32"/>
    <mergeCell ref="AL32:BP32"/>
    <mergeCell ref="A30:C30"/>
    <mergeCell ref="D30:Z30"/>
    <mergeCell ref="AA30:AE30"/>
    <mergeCell ref="AF30:AH30"/>
    <mergeCell ref="AI30:AK30"/>
    <mergeCell ref="AL30:BP30"/>
    <mergeCell ref="A29:C29"/>
    <mergeCell ref="D29:Z29"/>
    <mergeCell ref="AA29:AE29"/>
    <mergeCell ref="AF29:AH29"/>
    <mergeCell ref="AI29:AK29"/>
    <mergeCell ref="AL29:BP29"/>
    <mergeCell ref="A33:C33"/>
    <mergeCell ref="D33:Z33"/>
    <mergeCell ref="AA33:AE33"/>
    <mergeCell ref="AF33:AH33"/>
    <mergeCell ref="AI33:AK33"/>
    <mergeCell ref="AL33:BP33"/>
    <mergeCell ref="A31:C31"/>
    <mergeCell ref="D31:Z31"/>
    <mergeCell ref="AA31:AE31"/>
    <mergeCell ref="AF31:AH31"/>
    <mergeCell ref="AI31:AK31"/>
    <mergeCell ref="AL31:BP31"/>
    <mergeCell ref="A36:C36"/>
    <mergeCell ref="D36:Z36"/>
    <mergeCell ref="AA36:AE36"/>
    <mergeCell ref="AF36:AH36"/>
    <mergeCell ref="AI36:AK36"/>
    <mergeCell ref="AL36:BP36"/>
    <mergeCell ref="A35:C35"/>
    <mergeCell ref="D35:Z35"/>
    <mergeCell ref="AA35:AE35"/>
    <mergeCell ref="AF35:AH35"/>
    <mergeCell ref="AI35:AK35"/>
    <mergeCell ref="AL35:BP35"/>
    <mergeCell ref="A34:C34"/>
    <mergeCell ref="D34:Z34"/>
    <mergeCell ref="AA34:AE34"/>
    <mergeCell ref="AF34:AH34"/>
    <mergeCell ref="AI34:AK34"/>
    <mergeCell ref="AL34:BP34"/>
    <mergeCell ref="A40:C40"/>
    <mergeCell ref="D40:Z40"/>
    <mergeCell ref="AA40:AE40"/>
    <mergeCell ref="AF40:AH40"/>
    <mergeCell ref="AI40:AK40"/>
    <mergeCell ref="AL40:BP40"/>
    <mergeCell ref="A39:C39"/>
    <mergeCell ref="D39:Z39"/>
    <mergeCell ref="AA39:AE39"/>
    <mergeCell ref="AF39:AH39"/>
    <mergeCell ref="AI39:AK39"/>
    <mergeCell ref="AL39:BP39"/>
    <mergeCell ref="A37:C37"/>
    <mergeCell ref="D37:Z37"/>
    <mergeCell ref="AA37:AE37"/>
    <mergeCell ref="AF37:AH37"/>
    <mergeCell ref="AI37:AK37"/>
    <mergeCell ref="AL37:BP37"/>
    <mergeCell ref="A38:C38"/>
    <mergeCell ref="D38:Z38"/>
    <mergeCell ref="AA38:AE38"/>
    <mergeCell ref="AF38:AH38"/>
    <mergeCell ref="AI38:AK38"/>
    <mergeCell ref="AL38:BP38"/>
    <mergeCell ref="A42:C42"/>
    <mergeCell ref="D42:Z42"/>
    <mergeCell ref="AA42:AE42"/>
    <mergeCell ref="AF42:AH42"/>
    <mergeCell ref="AI42:AK42"/>
    <mergeCell ref="AL42:BP42"/>
    <mergeCell ref="A43:C43"/>
    <mergeCell ref="D43:Z43"/>
    <mergeCell ref="AA43:AE43"/>
    <mergeCell ref="AF43:AH43"/>
    <mergeCell ref="AI43:AK43"/>
    <mergeCell ref="AL43:BP43"/>
    <mergeCell ref="A41:C41"/>
    <mergeCell ref="D41:Z41"/>
    <mergeCell ref="AA41:AE41"/>
    <mergeCell ref="AF41:AH41"/>
    <mergeCell ref="AI41:AK41"/>
    <mergeCell ref="AL41:BP41"/>
    <mergeCell ref="A46:C46"/>
    <mergeCell ref="D46:Z46"/>
    <mergeCell ref="AA46:AE46"/>
    <mergeCell ref="AF46:AH46"/>
    <mergeCell ref="AI46:AK46"/>
    <mergeCell ref="AL46:BP46"/>
    <mergeCell ref="A45:C45"/>
    <mergeCell ref="D45:Z45"/>
    <mergeCell ref="AA45:AE45"/>
    <mergeCell ref="AF45:AH45"/>
    <mergeCell ref="AI45:AK45"/>
    <mergeCell ref="AL45:BP45"/>
    <mergeCell ref="A44:C44"/>
    <mergeCell ref="D44:Z44"/>
    <mergeCell ref="AA44:AE44"/>
    <mergeCell ref="AF44:AH44"/>
    <mergeCell ref="AI44:AK44"/>
    <mergeCell ref="AL44:BP44"/>
    <mergeCell ref="A49:C49"/>
    <mergeCell ref="D49:Z49"/>
    <mergeCell ref="AA49:AE49"/>
    <mergeCell ref="AF49:AH49"/>
    <mergeCell ref="AI49:AK49"/>
    <mergeCell ref="AL49:BP49"/>
    <mergeCell ref="A48:C48"/>
    <mergeCell ref="D48:Z48"/>
    <mergeCell ref="AA48:AE48"/>
    <mergeCell ref="AF48:AH48"/>
    <mergeCell ref="AI48:AK48"/>
    <mergeCell ref="AL48:BP48"/>
    <mergeCell ref="A47:C47"/>
    <mergeCell ref="D47:Z47"/>
    <mergeCell ref="AA47:AE47"/>
    <mergeCell ref="AF47:AH47"/>
    <mergeCell ref="AI47:AK47"/>
    <mergeCell ref="AL47:BP47"/>
    <mergeCell ref="A52:C52"/>
    <mergeCell ref="D52:Z52"/>
    <mergeCell ref="AA52:AE52"/>
    <mergeCell ref="AF52:AH52"/>
    <mergeCell ref="AI52:AK52"/>
    <mergeCell ref="AL52:BP52"/>
    <mergeCell ref="A51:C51"/>
    <mergeCell ref="D51:Z51"/>
    <mergeCell ref="AA51:AE51"/>
    <mergeCell ref="AF51:AH51"/>
    <mergeCell ref="AI51:AK51"/>
    <mergeCell ref="AL51:BP51"/>
    <mergeCell ref="A50:C50"/>
    <mergeCell ref="D50:Z50"/>
    <mergeCell ref="AA50:AE50"/>
    <mergeCell ref="AF50:AH50"/>
    <mergeCell ref="AI50:AK50"/>
    <mergeCell ref="AL50:BP50"/>
    <mergeCell ref="A55:C55"/>
    <mergeCell ref="D55:Z55"/>
    <mergeCell ref="AA55:AE55"/>
    <mergeCell ref="AF55:AH55"/>
    <mergeCell ref="AI55:AK55"/>
    <mergeCell ref="AL55:BP55"/>
    <mergeCell ref="A54:C54"/>
    <mergeCell ref="D54:Z54"/>
    <mergeCell ref="AA54:AE54"/>
    <mergeCell ref="AF54:AH54"/>
    <mergeCell ref="AI54:AK54"/>
    <mergeCell ref="AL54:BP54"/>
    <mergeCell ref="A53:C53"/>
    <mergeCell ref="D53:Z53"/>
    <mergeCell ref="AA53:AE53"/>
    <mergeCell ref="AF53:AH53"/>
    <mergeCell ref="AI53:AK53"/>
    <mergeCell ref="AL53:BP53"/>
    <mergeCell ref="A61:C61"/>
    <mergeCell ref="D61:Z61"/>
    <mergeCell ref="AA61:AE61"/>
    <mergeCell ref="AF61:AH61"/>
    <mergeCell ref="AI61:AK61"/>
    <mergeCell ref="AL61:BP61"/>
    <mergeCell ref="A60:C60"/>
    <mergeCell ref="D60:Z60"/>
    <mergeCell ref="AA60:AE60"/>
    <mergeCell ref="AF60:AH60"/>
    <mergeCell ref="AI60:AK60"/>
    <mergeCell ref="AL60:BP60"/>
    <mergeCell ref="A56:C56"/>
    <mergeCell ref="D56:Z56"/>
    <mergeCell ref="AA56:AE56"/>
    <mergeCell ref="AF56:AH56"/>
    <mergeCell ref="AI56:AK56"/>
    <mergeCell ref="AL56:BP56"/>
    <mergeCell ref="A59:C59"/>
    <mergeCell ref="D59:Z59"/>
    <mergeCell ref="AA59:AE59"/>
    <mergeCell ref="AF59:AH59"/>
    <mergeCell ref="AI59:AK59"/>
    <mergeCell ref="AL59:BP59"/>
    <mergeCell ref="A58:C58"/>
    <mergeCell ref="D58:Z58"/>
    <mergeCell ref="AA58:AE58"/>
    <mergeCell ref="AF58:AH58"/>
    <mergeCell ref="AI58:AK58"/>
    <mergeCell ref="AL58:BP58"/>
    <mergeCell ref="A57:C57"/>
    <mergeCell ref="D57:Z57"/>
    <mergeCell ref="AA57:AE57"/>
    <mergeCell ref="AF57:AH57"/>
    <mergeCell ref="AI57:AK57"/>
    <mergeCell ref="AL57:BP57"/>
    <mergeCell ref="A62:C62"/>
    <mergeCell ref="D62:Z62"/>
    <mergeCell ref="AA62:AE62"/>
    <mergeCell ref="AF62:AH62"/>
    <mergeCell ref="AI62:AK62"/>
    <mergeCell ref="AL62:BP62"/>
    <mergeCell ref="A68:C68"/>
    <mergeCell ref="D68:Z68"/>
    <mergeCell ref="AA68:AE68"/>
    <mergeCell ref="AF68:AH68"/>
    <mergeCell ref="AI68:AK68"/>
    <mergeCell ref="AL68:BP68"/>
    <mergeCell ref="A63:C63"/>
    <mergeCell ref="D63:Z63"/>
    <mergeCell ref="AA63:AE63"/>
    <mergeCell ref="AF63:AH63"/>
    <mergeCell ref="AI63:AK63"/>
    <mergeCell ref="AL63:BP63"/>
    <mergeCell ref="A64:C64"/>
    <mergeCell ref="D64:Z64"/>
    <mergeCell ref="AA64:AE64"/>
    <mergeCell ref="AF64:AH64"/>
    <mergeCell ref="AI64:AK64"/>
    <mergeCell ref="AL64:BP64"/>
    <mergeCell ref="A69:C69"/>
    <mergeCell ref="D69:Z69"/>
    <mergeCell ref="AA69:AE69"/>
    <mergeCell ref="AF69:AH69"/>
    <mergeCell ref="AI69:AK69"/>
    <mergeCell ref="AL69:BP69"/>
    <mergeCell ref="A65:C65"/>
    <mergeCell ref="D65:Z65"/>
    <mergeCell ref="AA65:AE65"/>
    <mergeCell ref="AF65:AH65"/>
    <mergeCell ref="AI65:AK65"/>
    <mergeCell ref="AL65:BP65"/>
    <mergeCell ref="AA66:AE66"/>
    <mergeCell ref="AF66:AH66"/>
    <mergeCell ref="AI66:AK66"/>
    <mergeCell ref="AL66:BP66"/>
    <mergeCell ref="A66:C66"/>
    <mergeCell ref="D66:Z66"/>
    <mergeCell ref="A67:C67"/>
    <mergeCell ref="D67:Z67"/>
    <mergeCell ref="AA67:AE67"/>
    <mergeCell ref="AF67:AH67"/>
    <mergeCell ref="AI67:AK67"/>
    <mergeCell ref="AL67:BP67"/>
    <mergeCell ref="A72:C72"/>
    <mergeCell ref="D72:Z72"/>
    <mergeCell ref="AA72:AE72"/>
    <mergeCell ref="AF72:AH72"/>
    <mergeCell ref="AI72:AK72"/>
    <mergeCell ref="AL72:BP72"/>
    <mergeCell ref="A71:C71"/>
    <mergeCell ref="D71:Z71"/>
    <mergeCell ref="AA71:AE71"/>
    <mergeCell ref="AF71:AH71"/>
    <mergeCell ref="AI71:AK71"/>
    <mergeCell ref="AL71:BP71"/>
    <mergeCell ref="A70:C70"/>
    <mergeCell ref="D70:Z70"/>
    <mergeCell ref="AA70:AE70"/>
    <mergeCell ref="AF70:AH70"/>
    <mergeCell ref="AI70:AK70"/>
    <mergeCell ref="AL70:BP70"/>
    <mergeCell ref="A75:C75"/>
    <mergeCell ref="D75:Z75"/>
    <mergeCell ref="AA75:AE75"/>
    <mergeCell ref="AF75:AH75"/>
    <mergeCell ref="AI75:AK75"/>
    <mergeCell ref="AL75:BP75"/>
    <mergeCell ref="A74:C74"/>
    <mergeCell ref="D74:Z74"/>
    <mergeCell ref="AA74:AE74"/>
    <mergeCell ref="AF74:AH74"/>
    <mergeCell ref="AI74:AK74"/>
    <mergeCell ref="AL74:BP74"/>
    <mergeCell ref="A73:C73"/>
    <mergeCell ref="D73:Z73"/>
    <mergeCell ref="AA73:AE73"/>
    <mergeCell ref="AF73:AH73"/>
    <mergeCell ref="AI73:AK73"/>
    <mergeCell ref="AL73:BP73"/>
    <mergeCell ref="A78:C78"/>
    <mergeCell ref="D78:Z78"/>
    <mergeCell ref="AA78:AE78"/>
    <mergeCell ref="AF78:AH78"/>
    <mergeCell ref="AI78:AK78"/>
    <mergeCell ref="AL78:BP78"/>
    <mergeCell ref="A77:C77"/>
    <mergeCell ref="D77:Z77"/>
    <mergeCell ref="AA77:AE77"/>
    <mergeCell ref="AF77:AH77"/>
    <mergeCell ref="AI77:AK77"/>
    <mergeCell ref="AL77:BP77"/>
    <mergeCell ref="A76:C76"/>
    <mergeCell ref="D76:Z76"/>
    <mergeCell ref="AA76:AE76"/>
    <mergeCell ref="AF76:AH76"/>
    <mergeCell ref="AI76:AK76"/>
    <mergeCell ref="AL76:BP76"/>
    <mergeCell ref="A81:C81"/>
    <mergeCell ref="D81:Z81"/>
    <mergeCell ref="AA81:AE81"/>
    <mergeCell ref="AF81:AH81"/>
    <mergeCell ref="AI81:AK81"/>
    <mergeCell ref="AL81:BP81"/>
    <mergeCell ref="A80:C80"/>
    <mergeCell ref="D80:Z80"/>
    <mergeCell ref="AA80:AE80"/>
    <mergeCell ref="AF80:AH80"/>
    <mergeCell ref="AI80:AK80"/>
    <mergeCell ref="AL80:BP80"/>
    <mergeCell ref="A79:C79"/>
    <mergeCell ref="D79:Z79"/>
    <mergeCell ref="AA79:AE79"/>
    <mergeCell ref="AF79:AH79"/>
    <mergeCell ref="AI79:AK79"/>
    <mergeCell ref="AL79:BP79"/>
    <mergeCell ref="A85:C85"/>
    <mergeCell ref="D85:Z85"/>
    <mergeCell ref="AA85:AE85"/>
    <mergeCell ref="AF85:AH85"/>
    <mergeCell ref="AI85:AK85"/>
    <mergeCell ref="AL85:BP85"/>
    <mergeCell ref="A83:C83"/>
    <mergeCell ref="D83:Z83"/>
    <mergeCell ref="AA83:AE83"/>
    <mergeCell ref="AF83:AH83"/>
    <mergeCell ref="AI83:AK83"/>
    <mergeCell ref="AL83:BP83"/>
    <mergeCell ref="A82:C82"/>
    <mergeCell ref="D82:Z82"/>
    <mergeCell ref="AA82:AE82"/>
    <mergeCell ref="AF82:AH82"/>
    <mergeCell ref="AI82:AK82"/>
    <mergeCell ref="AL82:BP82"/>
    <mergeCell ref="A84:C84"/>
    <mergeCell ref="D84:Z84"/>
    <mergeCell ref="AA84:AE84"/>
    <mergeCell ref="AF84:AH84"/>
    <mergeCell ref="AI84:AK84"/>
    <mergeCell ref="AL84:BP84"/>
    <mergeCell ref="A88:C88"/>
    <mergeCell ref="D88:Z88"/>
    <mergeCell ref="AA88:AE88"/>
    <mergeCell ref="AF88:AH88"/>
    <mergeCell ref="AI88:AK88"/>
    <mergeCell ref="AL88:BP88"/>
    <mergeCell ref="A87:C87"/>
    <mergeCell ref="D87:Z87"/>
    <mergeCell ref="AA87:AE87"/>
    <mergeCell ref="AF87:AH87"/>
    <mergeCell ref="AI87:AK87"/>
    <mergeCell ref="AL87:BP87"/>
    <mergeCell ref="A86:C86"/>
    <mergeCell ref="D86:Z86"/>
    <mergeCell ref="AA86:AE86"/>
    <mergeCell ref="AF86:AH86"/>
    <mergeCell ref="AI86:AK86"/>
    <mergeCell ref="AL86:BP86"/>
    <mergeCell ref="A92:C92"/>
    <mergeCell ref="D92:Z92"/>
    <mergeCell ref="AA92:AE92"/>
    <mergeCell ref="AF92:AH92"/>
    <mergeCell ref="AI92:AK92"/>
    <mergeCell ref="AL92:BP92"/>
    <mergeCell ref="A91:C91"/>
    <mergeCell ref="D91:Z91"/>
    <mergeCell ref="AA91:AE91"/>
    <mergeCell ref="AF91:AH91"/>
    <mergeCell ref="AI91:AK91"/>
    <mergeCell ref="AL91:BP91"/>
    <mergeCell ref="A90:C90"/>
    <mergeCell ref="D90:Z90"/>
    <mergeCell ref="AA90:AE90"/>
    <mergeCell ref="AF90:AH90"/>
    <mergeCell ref="AI90:AK90"/>
    <mergeCell ref="AL90:BP90"/>
    <mergeCell ref="A95:C95"/>
    <mergeCell ref="D95:Z95"/>
    <mergeCell ref="AA95:AE95"/>
    <mergeCell ref="AF95:AH95"/>
    <mergeCell ref="AI95:AK95"/>
    <mergeCell ref="AL95:BP95"/>
    <mergeCell ref="A93:C93"/>
    <mergeCell ref="D93:Z93"/>
    <mergeCell ref="AA93:AE93"/>
    <mergeCell ref="AF93:AH93"/>
    <mergeCell ref="AI93:AK93"/>
    <mergeCell ref="AL93:BP93"/>
    <mergeCell ref="A94:C94"/>
    <mergeCell ref="D94:Z94"/>
    <mergeCell ref="AA94:AE94"/>
    <mergeCell ref="AF94:AH94"/>
    <mergeCell ref="AI94:AK94"/>
    <mergeCell ref="AL94:BP94"/>
    <mergeCell ref="A98:C98"/>
    <mergeCell ref="D98:Z98"/>
    <mergeCell ref="AA98:AE98"/>
    <mergeCell ref="AF98:AH98"/>
    <mergeCell ref="AI98:AK98"/>
    <mergeCell ref="AL98:BP98"/>
    <mergeCell ref="A97:C97"/>
    <mergeCell ref="D97:Z97"/>
    <mergeCell ref="AA97:AE97"/>
    <mergeCell ref="AF97:AH97"/>
    <mergeCell ref="AI97:AK97"/>
    <mergeCell ref="AL97:BP97"/>
    <mergeCell ref="A96:C96"/>
    <mergeCell ref="D96:Z96"/>
    <mergeCell ref="AA96:AE96"/>
    <mergeCell ref="AF96:AH96"/>
    <mergeCell ref="AI96:AK96"/>
    <mergeCell ref="AL96:BP96"/>
    <mergeCell ref="A101:C101"/>
    <mergeCell ref="D101:Z101"/>
    <mergeCell ref="AA101:AE101"/>
    <mergeCell ref="AF101:AH101"/>
    <mergeCell ref="AI101:AK101"/>
    <mergeCell ref="AL101:BP101"/>
    <mergeCell ref="A100:C100"/>
    <mergeCell ref="D100:Z100"/>
    <mergeCell ref="AA100:AE100"/>
    <mergeCell ref="AF100:AH100"/>
    <mergeCell ref="AI100:AK100"/>
    <mergeCell ref="AL100:BP100"/>
    <mergeCell ref="A99:C99"/>
    <mergeCell ref="D99:Z99"/>
    <mergeCell ref="AA99:AE99"/>
    <mergeCell ref="AF99:AH99"/>
    <mergeCell ref="AI99:AK99"/>
    <mergeCell ref="AL99:BP99"/>
    <mergeCell ref="A102:C102"/>
    <mergeCell ref="D102:Z102"/>
    <mergeCell ref="AA102:AE102"/>
    <mergeCell ref="AF102:AH102"/>
    <mergeCell ref="AI102:AK102"/>
    <mergeCell ref="AL102:BP102"/>
    <mergeCell ref="A106:C106"/>
    <mergeCell ref="D106:Z106"/>
    <mergeCell ref="AA106:AE106"/>
    <mergeCell ref="AF106:AH106"/>
    <mergeCell ref="AI106:AK106"/>
    <mergeCell ref="AL106:BP106"/>
    <mergeCell ref="A104:C104"/>
    <mergeCell ref="D104:Z104"/>
    <mergeCell ref="AA104:AE104"/>
    <mergeCell ref="AF104:AH104"/>
    <mergeCell ref="AI104:AK104"/>
    <mergeCell ref="AL104:BP104"/>
    <mergeCell ref="A103:C103"/>
    <mergeCell ref="D103:Z103"/>
    <mergeCell ref="AA103:AE103"/>
    <mergeCell ref="AF103:AH103"/>
    <mergeCell ref="AI103:AK103"/>
    <mergeCell ref="AL103:BP103"/>
    <mergeCell ref="A107:C107"/>
    <mergeCell ref="D107:Z107"/>
    <mergeCell ref="AA107:AE107"/>
    <mergeCell ref="AF107:AH107"/>
    <mergeCell ref="AI107:AK107"/>
    <mergeCell ref="AL107:BP107"/>
    <mergeCell ref="A105:C105"/>
    <mergeCell ref="D105:Z105"/>
    <mergeCell ref="AA105:AE105"/>
    <mergeCell ref="AF105:AH105"/>
    <mergeCell ref="AI105:AK105"/>
    <mergeCell ref="AL105:BP105"/>
    <mergeCell ref="AI110:AK110"/>
    <mergeCell ref="AL110:BP110"/>
    <mergeCell ref="A109:C109"/>
    <mergeCell ref="D109:Z109"/>
    <mergeCell ref="AA109:AE109"/>
    <mergeCell ref="AF109:AH109"/>
    <mergeCell ref="AI109:AK109"/>
    <mergeCell ref="AL109:BP109"/>
    <mergeCell ref="A110:C110"/>
    <mergeCell ref="D110:Z110"/>
    <mergeCell ref="AA110:AE110"/>
    <mergeCell ref="AF110:AH110"/>
    <mergeCell ref="A116:C116"/>
    <mergeCell ref="D116:Z116"/>
    <mergeCell ref="AA116:AE116"/>
    <mergeCell ref="AF116:AH116"/>
    <mergeCell ref="AI116:AK116"/>
    <mergeCell ref="AL116:BP116"/>
    <mergeCell ref="AA114:AE114"/>
    <mergeCell ref="AF114:AH114"/>
    <mergeCell ref="AI114:AK114"/>
    <mergeCell ref="AL114:BP114"/>
    <mergeCell ref="AA115:AE115"/>
    <mergeCell ref="AF115:AH115"/>
    <mergeCell ref="AI115:AK115"/>
    <mergeCell ref="AL115:BP115"/>
    <mergeCell ref="A114:C114"/>
    <mergeCell ref="D114:Z114"/>
    <mergeCell ref="A121:C121"/>
    <mergeCell ref="D121:Z121"/>
    <mergeCell ref="AA121:AE121"/>
    <mergeCell ref="AF121:AH121"/>
    <mergeCell ref="AI121:AK121"/>
    <mergeCell ref="AL121:BP121"/>
    <mergeCell ref="A108:C108"/>
    <mergeCell ref="D108:Z108"/>
    <mergeCell ref="AA108:AE108"/>
    <mergeCell ref="AF108:AH108"/>
    <mergeCell ref="AI108:AK108"/>
    <mergeCell ref="AL108:BP108"/>
    <mergeCell ref="A119:C119"/>
    <mergeCell ref="D119:Z119"/>
    <mergeCell ref="AA119:AE119"/>
    <mergeCell ref="AF119:AH119"/>
    <mergeCell ref="AI119:AK119"/>
    <mergeCell ref="AL119:BP119"/>
    <mergeCell ref="A118:C118"/>
    <mergeCell ref="D118:Z118"/>
    <mergeCell ref="AA118:AE118"/>
    <mergeCell ref="AF118:AH118"/>
    <mergeCell ref="AI118:AK118"/>
    <mergeCell ref="AL118:BP118"/>
    <mergeCell ref="AI124:AK124"/>
    <mergeCell ref="AL124:BP124"/>
    <mergeCell ref="A123:C123"/>
    <mergeCell ref="D123:Z123"/>
    <mergeCell ref="AA123:AE123"/>
    <mergeCell ref="AF123:AH123"/>
    <mergeCell ref="AI123:AK123"/>
    <mergeCell ref="AL123:BP123"/>
    <mergeCell ref="A122:C122"/>
    <mergeCell ref="D122:Z122"/>
    <mergeCell ref="AA122:AE122"/>
    <mergeCell ref="AF122:AH122"/>
    <mergeCell ref="AI122:AK122"/>
    <mergeCell ref="AL122:BP122"/>
    <mergeCell ref="AA127:AE127"/>
    <mergeCell ref="AF127:AH127"/>
    <mergeCell ref="AI127:AK127"/>
    <mergeCell ref="AL127:BP127"/>
    <mergeCell ref="A129:C129"/>
    <mergeCell ref="D129:Z129"/>
    <mergeCell ref="AA129:AE129"/>
    <mergeCell ref="AF129:AH129"/>
    <mergeCell ref="A120:C120"/>
    <mergeCell ref="D120:Z120"/>
    <mergeCell ref="AA120:AE120"/>
    <mergeCell ref="AF120:AH120"/>
    <mergeCell ref="AI120:AK120"/>
    <mergeCell ref="AL120:BP120"/>
    <mergeCell ref="A125:C125"/>
    <mergeCell ref="D125:Z125"/>
    <mergeCell ref="AA125:AE125"/>
    <mergeCell ref="AF125:AH125"/>
    <mergeCell ref="AI125:AK125"/>
    <mergeCell ref="AL125:BP125"/>
    <mergeCell ref="A124:C124"/>
    <mergeCell ref="D124:Z124"/>
    <mergeCell ref="AA124:AE124"/>
    <mergeCell ref="AF124:AH124"/>
    <mergeCell ref="AA133:AE133"/>
    <mergeCell ref="AF133:AH133"/>
    <mergeCell ref="AI133:AK133"/>
    <mergeCell ref="AL133:BP133"/>
    <mergeCell ref="AI129:AK129"/>
    <mergeCell ref="AL129:BP129"/>
    <mergeCell ref="A128:C128"/>
    <mergeCell ref="D128:Z128"/>
    <mergeCell ref="AA128:AE128"/>
    <mergeCell ref="AF128:AH128"/>
    <mergeCell ref="AI128:AK128"/>
    <mergeCell ref="AL128:BP128"/>
    <mergeCell ref="A132:C132"/>
    <mergeCell ref="D132:Z132"/>
    <mergeCell ref="AA132:AE132"/>
    <mergeCell ref="AF132:AH132"/>
    <mergeCell ref="AI132:AK132"/>
    <mergeCell ref="AL132:BP132"/>
    <mergeCell ref="A131:C131"/>
    <mergeCell ref="D131:Z131"/>
    <mergeCell ref="A130:C130"/>
    <mergeCell ref="D130:Z130"/>
    <mergeCell ref="AA130:AE130"/>
    <mergeCell ref="AF130:AH130"/>
    <mergeCell ref="A137:C137"/>
    <mergeCell ref="D137:Z137"/>
    <mergeCell ref="AA137:AE137"/>
    <mergeCell ref="AF137:AH137"/>
    <mergeCell ref="AI137:AK137"/>
    <mergeCell ref="AL137:BP137"/>
    <mergeCell ref="A136:C136"/>
    <mergeCell ref="D136:Z136"/>
    <mergeCell ref="AA136:AE136"/>
    <mergeCell ref="AF136:AH136"/>
    <mergeCell ref="AI136:AK136"/>
    <mergeCell ref="AL136:BP136"/>
    <mergeCell ref="A139:C139"/>
    <mergeCell ref="D139:Z139"/>
    <mergeCell ref="AA139:AE139"/>
    <mergeCell ref="AF139:AH139"/>
    <mergeCell ref="AI139:AK139"/>
    <mergeCell ref="AL139:BP139"/>
    <mergeCell ref="A138:C138"/>
    <mergeCell ref="D138:Z138"/>
    <mergeCell ref="AA138:AE138"/>
    <mergeCell ref="AF138:AH138"/>
    <mergeCell ref="AI138:AK138"/>
    <mergeCell ref="AL138:BP138"/>
    <mergeCell ref="AI143:AK143"/>
    <mergeCell ref="AL143:BP143"/>
    <mergeCell ref="A142:C142"/>
    <mergeCell ref="D142:Z142"/>
    <mergeCell ref="AA142:AE142"/>
    <mergeCell ref="AF142:AH142"/>
    <mergeCell ref="AI142:AK142"/>
    <mergeCell ref="AL142:BP142"/>
    <mergeCell ref="A141:C141"/>
    <mergeCell ref="D141:Z141"/>
    <mergeCell ref="AA141:AE141"/>
    <mergeCell ref="AF141:AH141"/>
    <mergeCell ref="AI141:AK141"/>
    <mergeCell ref="AL141:BP141"/>
    <mergeCell ref="A150:C150"/>
    <mergeCell ref="D150:Z150"/>
    <mergeCell ref="AA150:AE150"/>
    <mergeCell ref="AF150:AH150"/>
    <mergeCell ref="AI150:AK150"/>
    <mergeCell ref="AL150:BP150"/>
    <mergeCell ref="A148:C148"/>
    <mergeCell ref="D148:Z148"/>
    <mergeCell ref="AA148:AE148"/>
    <mergeCell ref="AF148:AH148"/>
    <mergeCell ref="AI148:AK148"/>
    <mergeCell ref="AL148:BP148"/>
    <mergeCell ref="AA149:AE149"/>
    <mergeCell ref="AF149:AH149"/>
    <mergeCell ref="AI149:AK149"/>
    <mergeCell ref="AL149:BP149"/>
    <mergeCell ref="A112:C112"/>
    <mergeCell ref="D112:Z112"/>
    <mergeCell ref="AA112:AE112"/>
    <mergeCell ref="AF112:AH112"/>
    <mergeCell ref="AI112:AK112"/>
    <mergeCell ref="AL112:BP112"/>
    <mergeCell ref="A134:C134"/>
    <mergeCell ref="D134:Z134"/>
    <mergeCell ref="AA134:AE134"/>
    <mergeCell ref="AF134:AH134"/>
    <mergeCell ref="AI134:AK134"/>
    <mergeCell ref="AL134:BP134"/>
    <mergeCell ref="A133:C133"/>
    <mergeCell ref="D133:Z133"/>
    <mergeCell ref="AI131:AK131"/>
    <mergeCell ref="AL131:BP131"/>
    <mergeCell ref="A115:C115"/>
    <mergeCell ref="D115:Z115"/>
    <mergeCell ref="A126:C126"/>
    <mergeCell ref="D126:Z126"/>
    <mergeCell ref="AA126:AE126"/>
    <mergeCell ref="AF126:AH126"/>
    <mergeCell ref="AI126:AK126"/>
    <mergeCell ref="AL126:BP126"/>
    <mergeCell ref="A147:C147"/>
    <mergeCell ref="D147:Z147"/>
    <mergeCell ref="AA147:AE147"/>
    <mergeCell ref="AF147:AH147"/>
    <mergeCell ref="AI147:AK147"/>
    <mergeCell ref="AL147:BP147"/>
    <mergeCell ref="A149:C149"/>
    <mergeCell ref="D149:Z149"/>
    <mergeCell ref="A140:C140"/>
    <mergeCell ref="D140:Z140"/>
    <mergeCell ref="AA140:AE140"/>
    <mergeCell ref="AF140:AH140"/>
    <mergeCell ref="AI140:AK140"/>
    <mergeCell ref="AL140:BP140"/>
    <mergeCell ref="A144:C144"/>
    <mergeCell ref="D144:Z144"/>
    <mergeCell ref="AA144:AE144"/>
    <mergeCell ref="AF144:AH144"/>
    <mergeCell ref="AI144:AK144"/>
    <mergeCell ref="AL144:BP144"/>
    <mergeCell ref="A143:C143"/>
    <mergeCell ref="D143:Z143"/>
    <mergeCell ref="A146:C146"/>
    <mergeCell ref="D146:Z146"/>
    <mergeCell ref="A89:C89"/>
    <mergeCell ref="D89:Z89"/>
    <mergeCell ref="AA89:AE89"/>
    <mergeCell ref="AF89:AH89"/>
    <mergeCell ref="AI89:AK89"/>
    <mergeCell ref="AL89:BP89"/>
    <mergeCell ref="A117:C117"/>
    <mergeCell ref="D117:Z117"/>
    <mergeCell ref="AA117:AE117"/>
    <mergeCell ref="AF117:AH117"/>
    <mergeCell ref="AI117:AK117"/>
    <mergeCell ref="AL117:BP117"/>
    <mergeCell ref="A113:C113"/>
    <mergeCell ref="D113:Z113"/>
    <mergeCell ref="AA113:AE113"/>
    <mergeCell ref="AF113:AH113"/>
    <mergeCell ref="AI113:AK113"/>
    <mergeCell ref="AL113:BP113"/>
    <mergeCell ref="A111:C111"/>
    <mergeCell ref="D111:Z111"/>
    <mergeCell ref="AA111:AE111"/>
    <mergeCell ref="AF111:AH111"/>
    <mergeCell ref="AI111:AK111"/>
    <mergeCell ref="AL111:BP111"/>
    <mergeCell ref="AI130:AK130"/>
    <mergeCell ref="AL130:BP130"/>
    <mergeCell ref="AA131:AE131"/>
    <mergeCell ref="AF131:AH131"/>
    <mergeCell ref="A127:C127"/>
    <mergeCell ref="D127:Z127"/>
    <mergeCell ref="AA146:AE146"/>
    <mergeCell ref="AF146:AH146"/>
    <mergeCell ref="AI146:AK146"/>
    <mergeCell ref="AL146:BP146"/>
    <mergeCell ref="A145:C145"/>
    <mergeCell ref="D145:Z145"/>
    <mergeCell ref="AA145:AE145"/>
    <mergeCell ref="AF145:AH145"/>
    <mergeCell ref="AI145:AK145"/>
    <mergeCell ref="AL145:BP145"/>
    <mergeCell ref="A135:C135"/>
    <mergeCell ref="D135:Z135"/>
    <mergeCell ref="AA135:AE135"/>
    <mergeCell ref="AF135:AH135"/>
    <mergeCell ref="AI135:AK135"/>
    <mergeCell ref="AL135:BP135"/>
    <mergeCell ref="AA143:AE143"/>
    <mergeCell ref="AF143:AH143"/>
  </mergeCells>
  <phoneticPr fontId="3"/>
  <dataValidations count="1">
    <dataValidation type="list" allowBlank="1" showInputMessage="1" showErrorMessage="1" sqref="BJ6:BP6" xr:uid="{84514324-BE19-47C3-9768-358DC234FC5F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AAF3-DFE4-495C-8064-8FC48E864CB0}">
  <sheetPr codeName="Sheet28"/>
  <dimension ref="A1:BR120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8" width="2.125" style="55"/>
    <col min="39" max="44" width="0" style="55" hidden="1" customWidth="1"/>
    <col min="45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144" t="s">
        <v>198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95" t="s">
        <v>625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211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125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117">
        <f t="shared" ref="A9:A78" si="0">ROW()-8</f>
        <v>1</v>
      </c>
      <c r="B9" s="118"/>
      <c r="C9" s="119"/>
      <c r="D9" s="114" t="s">
        <v>421</v>
      </c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6"/>
      <c r="AA9" s="117" t="s">
        <v>348</v>
      </c>
      <c r="AB9" s="118"/>
      <c r="AC9" s="118"/>
      <c r="AD9" s="118"/>
      <c r="AE9" s="119"/>
      <c r="AF9" s="117"/>
      <c r="AG9" s="118"/>
      <c r="AH9" s="119"/>
      <c r="AI9" s="117"/>
      <c r="AJ9" s="118"/>
      <c r="AK9" s="119"/>
      <c r="AL9" s="68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70"/>
    </row>
    <row r="10" spans="1:70" s="1" customFormat="1" ht="30.75" customHeight="1">
      <c r="A10" s="74">
        <f t="shared" si="0"/>
        <v>2</v>
      </c>
      <c r="B10" s="75"/>
      <c r="C10" s="76"/>
      <c r="D10" s="71" t="s">
        <v>476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  <c r="AA10" s="74" t="s">
        <v>280</v>
      </c>
      <c r="AB10" s="75"/>
      <c r="AC10" s="75"/>
      <c r="AD10" s="75"/>
      <c r="AE10" s="76"/>
      <c r="AF10" s="74">
        <v>7</v>
      </c>
      <c r="AG10" s="75"/>
      <c r="AH10" s="76"/>
      <c r="AI10" s="74"/>
      <c r="AJ10" s="75"/>
      <c r="AK10" s="76"/>
      <c r="AL10" s="68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74">
        <f t="shared" si="0"/>
        <v>3</v>
      </c>
      <c r="B11" s="75"/>
      <c r="C11" s="76"/>
      <c r="D11" s="71" t="s">
        <v>477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3"/>
      <c r="AA11" s="74" t="s">
        <v>280</v>
      </c>
      <c r="AB11" s="75"/>
      <c r="AC11" s="75"/>
      <c r="AD11" s="75"/>
      <c r="AE11" s="76"/>
      <c r="AF11" s="74">
        <v>7</v>
      </c>
      <c r="AG11" s="75"/>
      <c r="AH11" s="76"/>
      <c r="AI11" s="74"/>
      <c r="AJ11" s="75"/>
      <c r="AK11" s="76"/>
      <c r="AL11" s="68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70"/>
    </row>
    <row r="12" spans="1:70" s="1" customFormat="1" ht="30.75" customHeight="1">
      <c r="A12" s="74">
        <f t="shared" si="0"/>
        <v>4</v>
      </c>
      <c r="B12" s="75"/>
      <c r="C12" s="76"/>
      <c r="D12" s="71" t="s">
        <v>438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3"/>
      <c r="AA12" s="74" t="s">
        <v>280</v>
      </c>
      <c r="AB12" s="75"/>
      <c r="AC12" s="75"/>
      <c r="AD12" s="75"/>
      <c r="AE12" s="76"/>
      <c r="AF12" s="74">
        <v>11</v>
      </c>
      <c r="AG12" s="75"/>
      <c r="AH12" s="76"/>
      <c r="AI12" s="74"/>
      <c r="AJ12" s="75"/>
      <c r="AK12" s="76"/>
      <c r="AL12" s="68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70"/>
    </row>
    <row r="13" spans="1:70" s="1" customFormat="1" ht="30.75" customHeight="1">
      <c r="A13" s="74">
        <f t="shared" si="0"/>
        <v>5</v>
      </c>
      <c r="B13" s="75"/>
      <c r="C13" s="76"/>
      <c r="D13" s="71" t="s">
        <v>426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3"/>
      <c r="AA13" s="74" t="s">
        <v>280</v>
      </c>
      <c r="AB13" s="75"/>
      <c r="AC13" s="75"/>
      <c r="AD13" s="75"/>
      <c r="AE13" s="76"/>
      <c r="AF13" s="74">
        <v>10</v>
      </c>
      <c r="AG13" s="75"/>
      <c r="AH13" s="76"/>
      <c r="AI13" s="74"/>
      <c r="AJ13" s="75"/>
      <c r="AK13" s="76"/>
      <c r="AL13" s="68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70"/>
    </row>
    <row r="14" spans="1:70" s="1" customFormat="1" ht="30.75" customHeight="1">
      <c r="A14" s="74">
        <f t="shared" si="0"/>
        <v>6</v>
      </c>
      <c r="B14" s="75"/>
      <c r="C14" s="76"/>
      <c r="D14" s="71" t="s">
        <v>424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3"/>
      <c r="AA14" s="74" t="s">
        <v>280</v>
      </c>
      <c r="AB14" s="75"/>
      <c r="AC14" s="75"/>
      <c r="AD14" s="75"/>
      <c r="AE14" s="76"/>
      <c r="AF14" s="86">
        <v>8</v>
      </c>
      <c r="AG14" s="86"/>
      <c r="AH14" s="86"/>
      <c r="AI14" s="86"/>
      <c r="AJ14" s="86"/>
      <c r="AK14" s="86"/>
      <c r="AL14" s="68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70"/>
    </row>
    <row r="15" spans="1:70" s="1" customFormat="1" ht="30.75" customHeight="1">
      <c r="A15" s="74">
        <f t="shared" si="0"/>
        <v>7</v>
      </c>
      <c r="B15" s="75"/>
      <c r="C15" s="76"/>
      <c r="D15" s="71" t="s">
        <v>425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3"/>
      <c r="AA15" s="74" t="s">
        <v>280</v>
      </c>
      <c r="AB15" s="75"/>
      <c r="AC15" s="75"/>
      <c r="AD15" s="75"/>
      <c r="AE15" s="76"/>
      <c r="AF15" s="86">
        <v>6</v>
      </c>
      <c r="AG15" s="86"/>
      <c r="AH15" s="86"/>
      <c r="AI15" s="86"/>
      <c r="AJ15" s="86"/>
      <c r="AK15" s="86"/>
      <c r="AL15" s="68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70"/>
    </row>
    <row r="16" spans="1:70" s="1" customFormat="1" ht="30.75" customHeight="1">
      <c r="A16" s="74">
        <f t="shared" si="0"/>
        <v>8</v>
      </c>
      <c r="B16" s="75"/>
      <c r="C16" s="76"/>
      <c r="D16" s="71" t="s">
        <v>478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3"/>
      <c r="AA16" s="74" t="s">
        <v>280</v>
      </c>
      <c r="AB16" s="75"/>
      <c r="AC16" s="75"/>
      <c r="AD16" s="75"/>
      <c r="AE16" s="76"/>
      <c r="AF16" s="86">
        <v>3</v>
      </c>
      <c r="AG16" s="86"/>
      <c r="AH16" s="86"/>
      <c r="AI16" s="86"/>
      <c r="AJ16" s="86"/>
      <c r="AK16" s="86"/>
      <c r="AL16" s="68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70"/>
    </row>
    <row r="17" spans="1:68" s="1" customFormat="1" ht="30.75" customHeight="1">
      <c r="A17" s="74">
        <f t="shared" si="0"/>
        <v>9</v>
      </c>
      <c r="B17" s="75"/>
      <c r="C17" s="76"/>
      <c r="D17" s="71" t="s">
        <v>441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3"/>
      <c r="AA17" s="74" t="s">
        <v>475</v>
      </c>
      <c r="AB17" s="75"/>
      <c r="AC17" s="75"/>
      <c r="AD17" s="75"/>
      <c r="AE17" s="76"/>
      <c r="AF17" s="86">
        <v>15</v>
      </c>
      <c r="AG17" s="86"/>
      <c r="AH17" s="86"/>
      <c r="AI17" s="86"/>
      <c r="AJ17" s="86"/>
      <c r="AK17" s="86"/>
      <c r="AL17" s="68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70"/>
    </row>
    <row r="18" spans="1:68" s="1" customFormat="1" ht="30.75" customHeight="1">
      <c r="A18" s="74">
        <f t="shared" si="0"/>
        <v>10</v>
      </c>
      <c r="B18" s="75"/>
      <c r="C18" s="76"/>
      <c r="D18" s="71" t="s">
        <v>442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3"/>
      <c r="AA18" s="74" t="s">
        <v>280</v>
      </c>
      <c r="AB18" s="75"/>
      <c r="AC18" s="75"/>
      <c r="AD18" s="75"/>
      <c r="AE18" s="76"/>
      <c r="AF18" s="74">
        <v>2</v>
      </c>
      <c r="AG18" s="75"/>
      <c r="AH18" s="76"/>
      <c r="AI18" s="74"/>
      <c r="AJ18" s="75"/>
      <c r="AK18" s="76"/>
      <c r="AL18" s="68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70"/>
    </row>
    <row r="19" spans="1:68" s="1" customFormat="1" ht="30.75" customHeight="1">
      <c r="A19" s="74">
        <f t="shared" si="0"/>
        <v>11</v>
      </c>
      <c r="B19" s="75"/>
      <c r="C19" s="76"/>
      <c r="D19" s="71" t="s">
        <v>443</v>
      </c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3"/>
      <c r="AA19" s="74" t="s">
        <v>475</v>
      </c>
      <c r="AB19" s="75"/>
      <c r="AC19" s="75"/>
      <c r="AD19" s="75"/>
      <c r="AE19" s="76"/>
      <c r="AF19" s="74">
        <v>15</v>
      </c>
      <c r="AG19" s="75"/>
      <c r="AH19" s="76"/>
      <c r="AI19" s="74"/>
      <c r="AJ19" s="75"/>
      <c r="AK19" s="76"/>
      <c r="AL19" s="68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70"/>
    </row>
    <row r="20" spans="1:68" s="1" customFormat="1" ht="30.75" customHeight="1">
      <c r="A20" s="74">
        <f t="shared" si="0"/>
        <v>12</v>
      </c>
      <c r="B20" s="75"/>
      <c r="C20" s="76"/>
      <c r="D20" s="71" t="s">
        <v>444</v>
      </c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3"/>
      <c r="AA20" s="74" t="s">
        <v>280</v>
      </c>
      <c r="AB20" s="75"/>
      <c r="AC20" s="75"/>
      <c r="AD20" s="75"/>
      <c r="AE20" s="76"/>
      <c r="AF20" s="74">
        <v>4</v>
      </c>
      <c r="AG20" s="75"/>
      <c r="AH20" s="76"/>
      <c r="AI20" s="74"/>
      <c r="AJ20" s="75"/>
      <c r="AK20" s="76"/>
      <c r="AL20" s="68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70"/>
    </row>
    <row r="21" spans="1:68" s="1" customFormat="1" ht="30.75" customHeight="1">
      <c r="A21" s="74">
        <f t="shared" si="0"/>
        <v>13</v>
      </c>
      <c r="B21" s="75"/>
      <c r="C21" s="76"/>
      <c r="D21" s="71" t="s">
        <v>445</v>
      </c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3"/>
      <c r="AA21" s="74" t="s">
        <v>475</v>
      </c>
      <c r="AB21" s="75"/>
      <c r="AC21" s="75"/>
      <c r="AD21" s="75"/>
      <c r="AE21" s="76"/>
      <c r="AF21" s="74">
        <v>15</v>
      </c>
      <c r="AG21" s="75"/>
      <c r="AH21" s="76"/>
      <c r="AI21" s="74"/>
      <c r="AJ21" s="75"/>
      <c r="AK21" s="76"/>
      <c r="AL21" s="68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70"/>
    </row>
    <row r="22" spans="1:68" s="1" customFormat="1" ht="30.75" customHeight="1">
      <c r="A22" s="74">
        <f t="shared" si="0"/>
        <v>14</v>
      </c>
      <c r="B22" s="75"/>
      <c r="C22" s="76"/>
      <c r="D22" s="71" t="s">
        <v>446</v>
      </c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3"/>
      <c r="AA22" s="74" t="s">
        <v>280</v>
      </c>
      <c r="AB22" s="75"/>
      <c r="AC22" s="75"/>
      <c r="AD22" s="75"/>
      <c r="AE22" s="76"/>
      <c r="AF22" s="74">
        <v>11</v>
      </c>
      <c r="AG22" s="75"/>
      <c r="AH22" s="76"/>
      <c r="AI22" s="74"/>
      <c r="AJ22" s="75"/>
      <c r="AK22" s="76"/>
      <c r="AL22" s="68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70"/>
    </row>
    <row r="23" spans="1:68" s="1" customFormat="1" ht="30.75" customHeight="1">
      <c r="A23" s="74">
        <f t="shared" si="0"/>
        <v>15</v>
      </c>
      <c r="B23" s="75"/>
      <c r="C23" s="76"/>
      <c r="D23" s="71" t="s">
        <v>447</v>
      </c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3"/>
      <c r="AA23" s="74" t="s">
        <v>348</v>
      </c>
      <c r="AB23" s="75"/>
      <c r="AC23" s="75"/>
      <c r="AD23" s="75"/>
      <c r="AE23" s="76"/>
      <c r="AF23" s="74"/>
      <c r="AG23" s="75"/>
      <c r="AH23" s="76"/>
      <c r="AI23" s="74"/>
      <c r="AJ23" s="75"/>
      <c r="AK23" s="76"/>
      <c r="AL23" s="68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70"/>
    </row>
    <row r="24" spans="1:68" s="1" customFormat="1" ht="30.75" customHeight="1">
      <c r="A24" s="74">
        <f t="shared" si="0"/>
        <v>16</v>
      </c>
      <c r="B24" s="75"/>
      <c r="C24" s="76"/>
      <c r="D24" s="71" t="s">
        <v>448</v>
      </c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3"/>
      <c r="AA24" s="74" t="s">
        <v>475</v>
      </c>
      <c r="AB24" s="75"/>
      <c r="AC24" s="75"/>
      <c r="AD24" s="75"/>
      <c r="AE24" s="76"/>
      <c r="AF24" s="74">
        <v>25</v>
      </c>
      <c r="AG24" s="75"/>
      <c r="AH24" s="76"/>
      <c r="AI24" s="74"/>
      <c r="AJ24" s="75"/>
      <c r="AK24" s="76"/>
      <c r="AL24" s="68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70"/>
    </row>
    <row r="25" spans="1:68" s="1" customFormat="1" ht="30.75" customHeight="1">
      <c r="A25" s="74">
        <f t="shared" si="0"/>
        <v>17</v>
      </c>
      <c r="B25" s="75"/>
      <c r="C25" s="76"/>
      <c r="D25" s="71" t="s">
        <v>449</v>
      </c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3"/>
      <c r="AA25" s="74" t="s">
        <v>475</v>
      </c>
      <c r="AB25" s="75"/>
      <c r="AC25" s="75"/>
      <c r="AD25" s="75"/>
      <c r="AE25" s="76"/>
      <c r="AF25" s="86">
        <v>4</v>
      </c>
      <c r="AG25" s="86"/>
      <c r="AH25" s="86"/>
      <c r="AI25" s="86"/>
      <c r="AJ25" s="86"/>
      <c r="AK25" s="86"/>
      <c r="AL25" s="68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70"/>
    </row>
    <row r="26" spans="1:68" s="1" customFormat="1" ht="30.75" customHeight="1">
      <c r="A26" s="74">
        <f t="shared" si="0"/>
        <v>18</v>
      </c>
      <c r="B26" s="75"/>
      <c r="C26" s="76"/>
      <c r="D26" s="71" t="s">
        <v>479</v>
      </c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3"/>
      <c r="AA26" s="74" t="s">
        <v>280</v>
      </c>
      <c r="AB26" s="75"/>
      <c r="AC26" s="75"/>
      <c r="AD26" s="75"/>
      <c r="AE26" s="76"/>
      <c r="AF26" s="86">
        <v>6</v>
      </c>
      <c r="AG26" s="86"/>
      <c r="AH26" s="86"/>
      <c r="AI26" s="86"/>
      <c r="AJ26" s="86"/>
      <c r="AK26" s="86"/>
      <c r="AL26" s="68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70"/>
    </row>
    <row r="27" spans="1:68" s="1" customFormat="1" ht="30.75" customHeight="1">
      <c r="A27" s="74">
        <f t="shared" si="0"/>
        <v>19</v>
      </c>
      <c r="B27" s="75"/>
      <c r="C27" s="76"/>
      <c r="D27" s="71" t="s">
        <v>451</v>
      </c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3"/>
      <c r="AA27" s="74" t="s">
        <v>280</v>
      </c>
      <c r="AB27" s="75"/>
      <c r="AC27" s="75"/>
      <c r="AD27" s="75"/>
      <c r="AE27" s="76"/>
      <c r="AF27" s="86">
        <v>4</v>
      </c>
      <c r="AG27" s="86"/>
      <c r="AH27" s="86"/>
      <c r="AI27" s="86"/>
      <c r="AJ27" s="86"/>
      <c r="AK27" s="86"/>
      <c r="AL27" s="68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70"/>
    </row>
    <row r="28" spans="1:68" s="1" customFormat="1" ht="30.75" customHeight="1">
      <c r="A28" s="74">
        <f t="shared" si="0"/>
        <v>20</v>
      </c>
      <c r="B28" s="75"/>
      <c r="C28" s="76"/>
      <c r="D28" s="71" t="s">
        <v>480</v>
      </c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3"/>
      <c r="AA28" s="74" t="s">
        <v>280</v>
      </c>
      <c r="AB28" s="75"/>
      <c r="AC28" s="75"/>
      <c r="AD28" s="75"/>
      <c r="AE28" s="76"/>
      <c r="AF28" s="86" t="s">
        <v>1444</v>
      </c>
      <c r="AG28" s="86"/>
      <c r="AH28" s="86"/>
      <c r="AI28" s="86"/>
      <c r="AJ28" s="86"/>
      <c r="AK28" s="86"/>
      <c r="AL28" s="68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70"/>
    </row>
    <row r="29" spans="1:68" s="1" customFormat="1" ht="30.75" customHeight="1">
      <c r="A29" s="74">
        <f t="shared" si="0"/>
        <v>21</v>
      </c>
      <c r="B29" s="75"/>
      <c r="C29" s="76"/>
      <c r="D29" s="71" t="s">
        <v>481</v>
      </c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3"/>
      <c r="AA29" s="74" t="s">
        <v>280</v>
      </c>
      <c r="AB29" s="75"/>
      <c r="AC29" s="75"/>
      <c r="AD29" s="75"/>
      <c r="AE29" s="76"/>
      <c r="AF29" s="86">
        <v>14</v>
      </c>
      <c r="AG29" s="86"/>
      <c r="AH29" s="86"/>
      <c r="AI29" s="86"/>
      <c r="AJ29" s="86"/>
      <c r="AK29" s="86"/>
      <c r="AL29" s="68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70"/>
    </row>
    <row r="30" spans="1:68" s="1" customFormat="1" ht="30.75" customHeight="1">
      <c r="A30" s="74">
        <f t="shared" si="0"/>
        <v>22</v>
      </c>
      <c r="B30" s="75"/>
      <c r="C30" s="76"/>
      <c r="D30" s="71" t="s">
        <v>1043</v>
      </c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3"/>
      <c r="AA30" s="74" t="s">
        <v>280</v>
      </c>
      <c r="AB30" s="75"/>
      <c r="AC30" s="75"/>
      <c r="AD30" s="75"/>
      <c r="AE30" s="76"/>
      <c r="AF30" s="86" t="s">
        <v>1444</v>
      </c>
      <c r="AG30" s="86"/>
      <c r="AH30" s="86"/>
      <c r="AI30" s="86"/>
      <c r="AJ30" s="86"/>
      <c r="AK30" s="86"/>
      <c r="AL30" s="68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70"/>
    </row>
    <row r="31" spans="1:68" s="1" customFormat="1" ht="30.75" customHeight="1">
      <c r="A31" s="74">
        <f t="shared" si="0"/>
        <v>23</v>
      </c>
      <c r="B31" s="75"/>
      <c r="C31" s="76"/>
      <c r="D31" s="71" t="s">
        <v>482</v>
      </c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3"/>
      <c r="AA31" s="74" t="s">
        <v>280</v>
      </c>
      <c r="AB31" s="75"/>
      <c r="AC31" s="75"/>
      <c r="AD31" s="75"/>
      <c r="AE31" s="76"/>
      <c r="AF31" s="74" t="s">
        <v>1489</v>
      </c>
      <c r="AG31" s="75"/>
      <c r="AH31" s="76"/>
      <c r="AI31" s="74"/>
      <c r="AJ31" s="75"/>
      <c r="AK31" s="76"/>
      <c r="AL31" s="68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70"/>
    </row>
    <row r="32" spans="1:68" s="1" customFormat="1" ht="30.75" customHeight="1">
      <c r="A32" s="74">
        <f t="shared" si="0"/>
        <v>24</v>
      </c>
      <c r="B32" s="75"/>
      <c r="C32" s="76"/>
      <c r="D32" s="71" t="s">
        <v>483</v>
      </c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3"/>
      <c r="AA32" s="74" t="s">
        <v>280</v>
      </c>
      <c r="AB32" s="75"/>
      <c r="AC32" s="75"/>
      <c r="AD32" s="75"/>
      <c r="AE32" s="76"/>
      <c r="AF32" s="74">
        <v>18</v>
      </c>
      <c r="AG32" s="75"/>
      <c r="AH32" s="76"/>
      <c r="AI32" s="74"/>
      <c r="AJ32" s="75"/>
      <c r="AK32" s="76"/>
      <c r="AL32" s="68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70"/>
    </row>
    <row r="33" spans="1:68" s="1" customFormat="1" ht="30.75" customHeight="1">
      <c r="A33" s="74">
        <f t="shared" si="0"/>
        <v>25</v>
      </c>
      <c r="B33" s="75"/>
      <c r="C33" s="76"/>
      <c r="D33" s="71" t="s">
        <v>484</v>
      </c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3"/>
      <c r="AA33" s="74" t="s">
        <v>280</v>
      </c>
      <c r="AB33" s="75"/>
      <c r="AC33" s="75"/>
      <c r="AD33" s="75"/>
      <c r="AE33" s="76"/>
      <c r="AF33" s="86" t="s">
        <v>1444</v>
      </c>
      <c r="AG33" s="86"/>
      <c r="AH33" s="86"/>
      <c r="AI33" s="74"/>
      <c r="AJ33" s="75"/>
      <c r="AK33" s="76"/>
      <c r="AL33" s="68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70"/>
    </row>
    <row r="34" spans="1:68" s="1" customFormat="1" ht="30.75" customHeight="1">
      <c r="A34" s="74">
        <f t="shared" si="0"/>
        <v>26</v>
      </c>
      <c r="B34" s="75"/>
      <c r="C34" s="76"/>
      <c r="D34" s="71" t="s">
        <v>485</v>
      </c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3"/>
      <c r="AA34" s="74" t="s">
        <v>280</v>
      </c>
      <c r="AB34" s="75"/>
      <c r="AC34" s="75"/>
      <c r="AD34" s="75"/>
      <c r="AE34" s="76"/>
      <c r="AF34" s="86">
        <v>14</v>
      </c>
      <c r="AG34" s="86"/>
      <c r="AH34" s="86"/>
      <c r="AI34" s="74"/>
      <c r="AJ34" s="75"/>
      <c r="AK34" s="76"/>
      <c r="AL34" s="68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70"/>
    </row>
    <row r="35" spans="1:68" s="1" customFormat="1" ht="30.75" customHeight="1">
      <c r="A35" s="74">
        <f t="shared" si="0"/>
        <v>27</v>
      </c>
      <c r="B35" s="75"/>
      <c r="C35" s="76"/>
      <c r="D35" s="71" t="s">
        <v>1044</v>
      </c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3"/>
      <c r="AA35" s="74" t="s">
        <v>280</v>
      </c>
      <c r="AB35" s="75"/>
      <c r="AC35" s="75"/>
      <c r="AD35" s="75"/>
      <c r="AE35" s="76"/>
      <c r="AF35" s="86" t="s">
        <v>1444</v>
      </c>
      <c r="AG35" s="86"/>
      <c r="AH35" s="86"/>
      <c r="AI35" s="74"/>
      <c r="AJ35" s="75"/>
      <c r="AK35" s="76"/>
      <c r="AL35" s="68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70"/>
    </row>
    <row r="36" spans="1:68" s="1" customFormat="1" ht="30.75" customHeight="1">
      <c r="A36" s="74">
        <f t="shared" si="0"/>
        <v>28</v>
      </c>
      <c r="B36" s="75"/>
      <c r="C36" s="76"/>
      <c r="D36" s="71" t="s">
        <v>486</v>
      </c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3"/>
      <c r="AA36" s="74" t="s">
        <v>280</v>
      </c>
      <c r="AB36" s="75"/>
      <c r="AC36" s="75"/>
      <c r="AD36" s="75"/>
      <c r="AE36" s="76"/>
      <c r="AF36" s="74" t="s">
        <v>1489</v>
      </c>
      <c r="AG36" s="75"/>
      <c r="AH36" s="76"/>
      <c r="AI36" s="74"/>
      <c r="AJ36" s="75"/>
      <c r="AK36" s="76"/>
      <c r="AL36" s="68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70"/>
    </row>
    <row r="37" spans="1:68" s="1" customFormat="1" ht="30.75" customHeight="1">
      <c r="A37" s="74">
        <f t="shared" si="0"/>
        <v>29</v>
      </c>
      <c r="B37" s="75"/>
      <c r="C37" s="76"/>
      <c r="D37" s="71" t="s">
        <v>487</v>
      </c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3"/>
      <c r="AA37" s="74" t="s">
        <v>280</v>
      </c>
      <c r="AB37" s="75"/>
      <c r="AC37" s="75"/>
      <c r="AD37" s="75"/>
      <c r="AE37" s="76"/>
      <c r="AF37" s="74">
        <v>18</v>
      </c>
      <c r="AG37" s="75"/>
      <c r="AH37" s="76"/>
      <c r="AI37" s="74"/>
      <c r="AJ37" s="75"/>
      <c r="AK37" s="76"/>
      <c r="AL37" s="68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70"/>
    </row>
    <row r="38" spans="1:68" s="1" customFormat="1" ht="30.75" customHeight="1">
      <c r="A38" s="74">
        <f t="shared" si="0"/>
        <v>30</v>
      </c>
      <c r="B38" s="75"/>
      <c r="C38" s="76"/>
      <c r="D38" s="71" t="s">
        <v>488</v>
      </c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3"/>
      <c r="AA38" s="74" t="s">
        <v>280</v>
      </c>
      <c r="AB38" s="75"/>
      <c r="AC38" s="75"/>
      <c r="AD38" s="75"/>
      <c r="AE38" s="76"/>
      <c r="AF38" s="74">
        <v>18</v>
      </c>
      <c r="AG38" s="75"/>
      <c r="AH38" s="76"/>
      <c r="AI38" s="74"/>
      <c r="AJ38" s="75"/>
      <c r="AK38" s="76"/>
      <c r="AL38" s="68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70"/>
    </row>
    <row r="39" spans="1:68" s="1" customFormat="1" ht="30.75" customHeight="1">
      <c r="A39" s="74">
        <f t="shared" si="0"/>
        <v>31</v>
      </c>
      <c r="B39" s="75"/>
      <c r="C39" s="76"/>
      <c r="D39" s="71" t="s">
        <v>489</v>
      </c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3"/>
      <c r="AA39" s="74" t="s">
        <v>280</v>
      </c>
      <c r="AB39" s="75"/>
      <c r="AC39" s="75"/>
      <c r="AD39" s="75"/>
      <c r="AE39" s="76"/>
      <c r="AF39" s="74">
        <v>18</v>
      </c>
      <c r="AG39" s="75"/>
      <c r="AH39" s="76"/>
      <c r="AI39" s="74"/>
      <c r="AJ39" s="75"/>
      <c r="AK39" s="76"/>
      <c r="AL39" s="68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70"/>
    </row>
    <row r="40" spans="1:68" s="1" customFormat="1" ht="30.75" customHeight="1">
      <c r="A40" s="74">
        <f t="shared" si="0"/>
        <v>32</v>
      </c>
      <c r="B40" s="75"/>
      <c r="C40" s="76"/>
      <c r="D40" s="71" t="s">
        <v>468</v>
      </c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3"/>
      <c r="AA40" s="74" t="s">
        <v>280</v>
      </c>
      <c r="AB40" s="75"/>
      <c r="AC40" s="75"/>
      <c r="AD40" s="75"/>
      <c r="AE40" s="76"/>
      <c r="AF40" s="74">
        <v>18</v>
      </c>
      <c r="AG40" s="75"/>
      <c r="AH40" s="76"/>
      <c r="AI40" s="74"/>
      <c r="AJ40" s="75"/>
      <c r="AK40" s="76"/>
      <c r="AL40" s="68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70"/>
    </row>
    <row r="41" spans="1:68" s="1" customFormat="1" ht="30.75" customHeight="1">
      <c r="A41" s="74">
        <f t="shared" si="0"/>
        <v>33</v>
      </c>
      <c r="B41" s="75"/>
      <c r="C41" s="76"/>
      <c r="D41" s="71" t="s">
        <v>469</v>
      </c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3"/>
      <c r="AA41" s="74" t="s">
        <v>280</v>
      </c>
      <c r="AB41" s="75"/>
      <c r="AC41" s="75"/>
      <c r="AD41" s="75"/>
      <c r="AE41" s="76"/>
      <c r="AF41" s="74" t="s">
        <v>1504</v>
      </c>
      <c r="AG41" s="75"/>
      <c r="AH41" s="76"/>
      <c r="AI41" s="74"/>
      <c r="AJ41" s="75"/>
      <c r="AK41" s="76"/>
      <c r="AL41" s="68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70"/>
    </row>
    <row r="42" spans="1:68" s="1" customFormat="1" ht="30.75" customHeight="1">
      <c r="A42" s="74">
        <f t="shared" si="0"/>
        <v>34</v>
      </c>
      <c r="B42" s="75"/>
      <c r="C42" s="76"/>
      <c r="D42" s="71" t="s">
        <v>470</v>
      </c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3"/>
      <c r="AA42" s="74" t="s">
        <v>348</v>
      </c>
      <c r="AB42" s="75"/>
      <c r="AC42" s="75"/>
      <c r="AD42" s="75"/>
      <c r="AE42" s="76"/>
      <c r="AF42" s="74"/>
      <c r="AG42" s="75"/>
      <c r="AH42" s="76"/>
      <c r="AI42" s="74"/>
      <c r="AJ42" s="75"/>
      <c r="AK42" s="76"/>
      <c r="AL42" s="68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70"/>
    </row>
    <row r="43" spans="1:68" s="1" customFormat="1" ht="30.75" customHeight="1">
      <c r="A43" s="74">
        <f t="shared" si="0"/>
        <v>35</v>
      </c>
      <c r="B43" s="75"/>
      <c r="C43" s="76"/>
      <c r="D43" s="71" t="s">
        <v>448</v>
      </c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3"/>
      <c r="AA43" s="74" t="s">
        <v>475</v>
      </c>
      <c r="AB43" s="75"/>
      <c r="AC43" s="75"/>
      <c r="AD43" s="75"/>
      <c r="AE43" s="76"/>
      <c r="AF43" s="74">
        <v>15</v>
      </c>
      <c r="AG43" s="75"/>
      <c r="AH43" s="76"/>
      <c r="AI43" s="74"/>
      <c r="AJ43" s="75"/>
      <c r="AK43" s="76"/>
      <c r="AL43" s="83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5"/>
    </row>
    <row r="44" spans="1:68" s="1" customFormat="1" ht="30.75" customHeight="1">
      <c r="A44" s="74">
        <f t="shared" si="0"/>
        <v>36</v>
      </c>
      <c r="B44" s="75"/>
      <c r="C44" s="76"/>
      <c r="D44" s="71" t="s">
        <v>479</v>
      </c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3"/>
      <c r="AA44" s="74" t="s">
        <v>280</v>
      </c>
      <c r="AB44" s="75"/>
      <c r="AC44" s="75"/>
      <c r="AD44" s="75"/>
      <c r="AE44" s="76"/>
      <c r="AF44" s="74">
        <v>3</v>
      </c>
      <c r="AG44" s="75"/>
      <c r="AH44" s="76"/>
      <c r="AI44" s="74"/>
      <c r="AJ44" s="75"/>
      <c r="AK44" s="76"/>
      <c r="AL44" s="68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  <c r="BM44" s="69"/>
      <c r="BN44" s="69"/>
      <c r="BO44" s="69"/>
      <c r="BP44" s="70"/>
    </row>
    <row r="45" spans="1:68" s="1" customFormat="1" ht="30.75" customHeight="1">
      <c r="A45" s="74">
        <f t="shared" si="0"/>
        <v>37</v>
      </c>
      <c r="B45" s="75"/>
      <c r="C45" s="76"/>
      <c r="D45" s="71" t="s">
        <v>451</v>
      </c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3"/>
      <c r="AA45" s="74" t="s">
        <v>280</v>
      </c>
      <c r="AB45" s="75"/>
      <c r="AC45" s="75"/>
      <c r="AD45" s="75"/>
      <c r="AE45" s="76"/>
      <c r="AF45" s="86">
        <v>4</v>
      </c>
      <c r="AG45" s="86"/>
      <c r="AH45" s="86"/>
      <c r="AI45" s="74"/>
      <c r="AJ45" s="75"/>
      <c r="AK45" s="76"/>
      <c r="AL45" s="234"/>
      <c r="AM45" s="235"/>
      <c r="AN45" s="235"/>
      <c r="AO45" s="235"/>
      <c r="AP45" s="235"/>
      <c r="AQ45" s="235"/>
      <c r="AR45" s="235"/>
      <c r="AS45" s="235"/>
      <c r="AT45" s="235"/>
      <c r="AU45" s="235"/>
      <c r="AV45" s="235"/>
      <c r="AW45" s="235"/>
      <c r="AX45" s="235"/>
      <c r="AY45" s="235"/>
      <c r="AZ45" s="235"/>
      <c r="BA45" s="235"/>
      <c r="BB45" s="235"/>
      <c r="BC45" s="235"/>
      <c r="BD45" s="235"/>
      <c r="BE45" s="235"/>
      <c r="BF45" s="235"/>
      <c r="BG45" s="235"/>
      <c r="BH45" s="235"/>
      <c r="BI45" s="235"/>
      <c r="BJ45" s="235"/>
      <c r="BK45" s="235"/>
      <c r="BL45" s="235"/>
      <c r="BM45" s="235"/>
      <c r="BN45" s="235"/>
      <c r="BO45" s="235"/>
      <c r="BP45" s="236"/>
    </row>
    <row r="46" spans="1:68" s="1" customFormat="1" ht="30.75" customHeight="1">
      <c r="A46" s="74">
        <f t="shared" si="0"/>
        <v>38</v>
      </c>
      <c r="B46" s="75"/>
      <c r="C46" s="76"/>
      <c r="D46" s="71" t="s">
        <v>471</v>
      </c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3"/>
      <c r="AA46" s="74" t="s">
        <v>475</v>
      </c>
      <c r="AB46" s="75"/>
      <c r="AC46" s="75"/>
      <c r="AD46" s="75"/>
      <c r="AE46" s="76"/>
      <c r="AF46" s="74">
        <v>9</v>
      </c>
      <c r="AG46" s="75"/>
      <c r="AH46" s="76"/>
      <c r="AI46" s="74"/>
      <c r="AJ46" s="75"/>
      <c r="AK46" s="76"/>
      <c r="AL46" s="68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  <c r="BM46" s="69"/>
      <c r="BN46" s="69"/>
      <c r="BO46" s="69"/>
      <c r="BP46" s="70"/>
    </row>
    <row r="47" spans="1:68" s="1" customFormat="1" ht="30.75" customHeight="1">
      <c r="A47" s="74">
        <f t="shared" si="0"/>
        <v>39</v>
      </c>
      <c r="B47" s="75"/>
      <c r="C47" s="76"/>
      <c r="D47" s="71" t="s">
        <v>480</v>
      </c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3"/>
      <c r="AA47" s="74" t="s">
        <v>280</v>
      </c>
      <c r="AB47" s="75"/>
      <c r="AC47" s="75"/>
      <c r="AD47" s="75"/>
      <c r="AE47" s="76"/>
      <c r="AF47" s="86" t="s">
        <v>1444</v>
      </c>
      <c r="AG47" s="86"/>
      <c r="AH47" s="86"/>
      <c r="AI47" s="74"/>
      <c r="AJ47" s="75"/>
      <c r="AK47" s="76"/>
      <c r="AL47" s="68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  <c r="BP47" s="70"/>
    </row>
    <row r="48" spans="1:68" s="1" customFormat="1" ht="30.75" customHeight="1">
      <c r="A48" s="74">
        <f t="shared" si="0"/>
        <v>40</v>
      </c>
      <c r="B48" s="75"/>
      <c r="C48" s="76"/>
      <c r="D48" s="71" t="s">
        <v>481</v>
      </c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3"/>
      <c r="AA48" s="74" t="s">
        <v>280</v>
      </c>
      <c r="AB48" s="75"/>
      <c r="AC48" s="75"/>
      <c r="AD48" s="75"/>
      <c r="AE48" s="76"/>
      <c r="AF48" s="86">
        <v>14</v>
      </c>
      <c r="AG48" s="86"/>
      <c r="AH48" s="86"/>
      <c r="AI48" s="74"/>
      <c r="AJ48" s="75"/>
      <c r="AK48" s="76"/>
      <c r="AL48" s="68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69"/>
      <c r="BN48" s="69"/>
      <c r="BO48" s="69"/>
      <c r="BP48" s="70"/>
    </row>
    <row r="49" spans="1:68" s="1" customFormat="1" ht="30.75" customHeight="1">
      <c r="A49" s="74">
        <f t="shared" si="0"/>
        <v>41</v>
      </c>
      <c r="B49" s="75"/>
      <c r="C49" s="76"/>
      <c r="D49" s="71" t="s">
        <v>1043</v>
      </c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3"/>
      <c r="AA49" s="74" t="s">
        <v>280</v>
      </c>
      <c r="AB49" s="75"/>
      <c r="AC49" s="75"/>
      <c r="AD49" s="75"/>
      <c r="AE49" s="76"/>
      <c r="AF49" s="74" t="s">
        <v>1444</v>
      </c>
      <c r="AG49" s="75"/>
      <c r="AH49" s="76"/>
      <c r="AI49" s="74"/>
      <c r="AJ49" s="75"/>
      <c r="AK49" s="76"/>
      <c r="AL49" s="68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69"/>
      <c r="BN49" s="69"/>
      <c r="BO49" s="69"/>
      <c r="BP49" s="70"/>
    </row>
    <row r="50" spans="1:68" s="1" customFormat="1" ht="30.75" customHeight="1">
      <c r="A50" s="74">
        <f t="shared" si="0"/>
        <v>42</v>
      </c>
      <c r="B50" s="75"/>
      <c r="C50" s="76"/>
      <c r="D50" s="71" t="s">
        <v>482</v>
      </c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3"/>
      <c r="AA50" s="74" t="s">
        <v>280</v>
      </c>
      <c r="AB50" s="75"/>
      <c r="AC50" s="75"/>
      <c r="AD50" s="75"/>
      <c r="AE50" s="76"/>
      <c r="AF50" s="74" t="s">
        <v>1489</v>
      </c>
      <c r="AG50" s="75"/>
      <c r="AH50" s="76"/>
      <c r="AI50" s="74"/>
      <c r="AJ50" s="75"/>
      <c r="AK50" s="76"/>
      <c r="AL50" s="68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69"/>
      <c r="BN50" s="69"/>
      <c r="BO50" s="69"/>
      <c r="BP50" s="70"/>
    </row>
    <row r="51" spans="1:68" s="1" customFormat="1" ht="30.75" customHeight="1">
      <c r="A51" s="74">
        <f t="shared" si="0"/>
        <v>43</v>
      </c>
      <c r="B51" s="75"/>
      <c r="C51" s="76"/>
      <c r="D51" s="71" t="s">
        <v>483</v>
      </c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3"/>
      <c r="AA51" s="74" t="s">
        <v>280</v>
      </c>
      <c r="AB51" s="75"/>
      <c r="AC51" s="75"/>
      <c r="AD51" s="75"/>
      <c r="AE51" s="76"/>
      <c r="AF51" s="74">
        <v>18</v>
      </c>
      <c r="AG51" s="75"/>
      <c r="AH51" s="76"/>
      <c r="AI51" s="74"/>
      <c r="AJ51" s="75"/>
      <c r="AK51" s="76"/>
      <c r="AL51" s="68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69"/>
      <c r="BN51" s="69"/>
      <c r="BO51" s="69"/>
      <c r="BP51" s="70"/>
    </row>
    <row r="52" spans="1:68" s="1" customFormat="1" ht="30.75" customHeight="1">
      <c r="A52" s="74">
        <f t="shared" si="0"/>
        <v>44</v>
      </c>
      <c r="B52" s="75"/>
      <c r="C52" s="76"/>
      <c r="D52" s="71" t="s">
        <v>484</v>
      </c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3"/>
      <c r="AA52" s="74" t="s">
        <v>280</v>
      </c>
      <c r="AB52" s="75"/>
      <c r="AC52" s="75"/>
      <c r="AD52" s="75"/>
      <c r="AE52" s="76"/>
      <c r="AF52" s="86" t="s">
        <v>1444</v>
      </c>
      <c r="AG52" s="86"/>
      <c r="AH52" s="86"/>
      <c r="AI52" s="74"/>
      <c r="AJ52" s="75"/>
      <c r="AK52" s="76"/>
      <c r="AL52" s="68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69"/>
      <c r="BN52" s="69"/>
      <c r="BO52" s="69"/>
      <c r="BP52" s="70"/>
    </row>
    <row r="53" spans="1:68" s="1" customFormat="1" ht="30.75" customHeight="1">
      <c r="A53" s="74">
        <f t="shared" si="0"/>
        <v>45</v>
      </c>
      <c r="B53" s="75"/>
      <c r="C53" s="76"/>
      <c r="D53" s="71" t="s">
        <v>485</v>
      </c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3"/>
      <c r="AA53" s="74" t="s">
        <v>280</v>
      </c>
      <c r="AB53" s="75"/>
      <c r="AC53" s="75"/>
      <c r="AD53" s="75"/>
      <c r="AE53" s="76"/>
      <c r="AF53" s="74">
        <v>14</v>
      </c>
      <c r="AG53" s="75"/>
      <c r="AH53" s="76"/>
      <c r="AI53" s="74"/>
      <c r="AJ53" s="75"/>
      <c r="AK53" s="76"/>
      <c r="AL53" s="68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  <c r="BP53" s="70"/>
    </row>
    <row r="54" spans="1:68" s="1" customFormat="1" ht="30.75" customHeight="1">
      <c r="A54" s="74">
        <f t="shared" si="0"/>
        <v>46</v>
      </c>
      <c r="B54" s="75"/>
      <c r="C54" s="76"/>
      <c r="D54" s="71" t="s">
        <v>1044</v>
      </c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3"/>
      <c r="AA54" s="74" t="s">
        <v>280</v>
      </c>
      <c r="AB54" s="75"/>
      <c r="AC54" s="75"/>
      <c r="AD54" s="75"/>
      <c r="AE54" s="76"/>
      <c r="AF54" s="86" t="s">
        <v>1444</v>
      </c>
      <c r="AG54" s="86"/>
      <c r="AH54" s="86"/>
      <c r="AI54" s="74"/>
      <c r="AJ54" s="75"/>
      <c r="AK54" s="76"/>
      <c r="AL54" s="68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69"/>
      <c r="BN54" s="69"/>
      <c r="BO54" s="69"/>
      <c r="BP54" s="70"/>
    </row>
    <row r="55" spans="1:68" s="1" customFormat="1" ht="30.75" customHeight="1">
      <c r="A55" s="74">
        <f t="shared" si="0"/>
        <v>47</v>
      </c>
      <c r="B55" s="75"/>
      <c r="C55" s="76"/>
      <c r="D55" s="71" t="s">
        <v>486</v>
      </c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3"/>
      <c r="AA55" s="74" t="s">
        <v>280</v>
      </c>
      <c r="AB55" s="75"/>
      <c r="AC55" s="75"/>
      <c r="AD55" s="75"/>
      <c r="AE55" s="76"/>
      <c r="AF55" s="74" t="s">
        <v>1489</v>
      </c>
      <c r="AG55" s="75"/>
      <c r="AH55" s="76"/>
      <c r="AI55" s="74"/>
      <c r="AJ55" s="75"/>
      <c r="AK55" s="76"/>
      <c r="AL55" s="68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69"/>
      <c r="BN55" s="69"/>
      <c r="BO55" s="69"/>
      <c r="BP55" s="70"/>
    </row>
    <row r="56" spans="1:68" s="1" customFormat="1" ht="30.75" customHeight="1">
      <c r="A56" s="74">
        <f t="shared" si="0"/>
        <v>48</v>
      </c>
      <c r="B56" s="75"/>
      <c r="C56" s="76"/>
      <c r="D56" s="71" t="s">
        <v>487</v>
      </c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3"/>
      <c r="AA56" s="74" t="s">
        <v>280</v>
      </c>
      <c r="AB56" s="75"/>
      <c r="AC56" s="75"/>
      <c r="AD56" s="75"/>
      <c r="AE56" s="76"/>
      <c r="AF56" s="74">
        <v>18</v>
      </c>
      <c r="AG56" s="75"/>
      <c r="AH56" s="76"/>
      <c r="AI56" s="74"/>
      <c r="AJ56" s="75"/>
      <c r="AK56" s="76"/>
      <c r="AL56" s="68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69"/>
      <c r="BN56" s="69"/>
      <c r="BO56" s="69"/>
      <c r="BP56" s="70"/>
    </row>
    <row r="57" spans="1:68" s="1" customFormat="1" ht="30.75" customHeight="1">
      <c r="A57" s="74">
        <f t="shared" si="0"/>
        <v>49</v>
      </c>
      <c r="B57" s="75"/>
      <c r="C57" s="76"/>
      <c r="D57" s="71" t="s">
        <v>488</v>
      </c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3"/>
      <c r="AA57" s="74" t="s">
        <v>280</v>
      </c>
      <c r="AB57" s="75"/>
      <c r="AC57" s="75"/>
      <c r="AD57" s="75"/>
      <c r="AE57" s="76"/>
      <c r="AF57" s="74">
        <v>18</v>
      </c>
      <c r="AG57" s="75"/>
      <c r="AH57" s="76"/>
      <c r="AI57" s="74"/>
      <c r="AJ57" s="75"/>
      <c r="AK57" s="76"/>
      <c r="AL57" s="68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69"/>
      <c r="BN57" s="69"/>
      <c r="BO57" s="69"/>
      <c r="BP57" s="70"/>
    </row>
    <row r="58" spans="1:68" s="1" customFormat="1" ht="30.75" customHeight="1">
      <c r="A58" s="74">
        <f t="shared" si="0"/>
        <v>50</v>
      </c>
      <c r="B58" s="75"/>
      <c r="C58" s="76"/>
      <c r="D58" s="71" t="s">
        <v>489</v>
      </c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3"/>
      <c r="AA58" s="74" t="s">
        <v>280</v>
      </c>
      <c r="AB58" s="75"/>
      <c r="AC58" s="75"/>
      <c r="AD58" s="75"/>
      <c r="AE58" s="76"/>
      <c r="AF58" s="74">
        <v>18</v>
      </c>
      <c r="AG58" s="75"/>
      <c r="AH58" s="76"/>
      <c r="AI58" s="74"/>
      <c r="AJ58" s="75"/>
      <c r="AK58" s="76"/>
      <c r="AL58" s="68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  <c r="BP58" s="70"/>
    </row>
    <row r="59" spans="1:68" s="1" customFormat="1" ht="30.75" customHeight="1">
      <c r="A59" s="74">
        <f t="shared" si="0"/>
        <v>51</v>
      </c>
      <c r="B59" s="75"/>
      <c r="C59" s="76"/>
      <c r="D59" s="71" t="s">
        <v>468</v>
      </c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3"/>
      <c r="AA59" s="74" t="s">
        <v>280</v>
      </c>
      <c r="AB59" s="75"/>
      <c r="AC59" s="75"/>
      <c r="AD59" s="75"/>
      <c r="AE59" s="76"/>
      <c r="AF59" s="74">
        <v>18</v>
      </c>
      <c r="AG59" s="75"/>
      <c r="AH59" s="76"/>
      <c r="AI59" s="74"/>
      <c r="AJ59" s="75"/>
      <c r="AK59" s="76"/>
      <c r="AL59" s="68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  <c r="BM59" s="69"/>
      <c r="BN59" s="69"/>
      <c r="BO59" s="69"/>
      <c r="BP59" s="70"/>
    </row>
    <row r="60" spans="1:68" s="1" customFormat="1" ht="30.75" customHeight="1">
      <c r="A60" s="74">
        <f t="shared" si="0"/>
        <v>52</v>
      </c>
      <c r="B60" s="75"/>
      <c r="C60" s="76"/>
      <c r="D60" s="71" t="s">
        <v>469</v>
      </c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3"/>
      <c r="AA60" s="74" t="s">
        <v>280</v>
      </c>
      <c r="AB60" s="75"/>
      <c r="AC60" s="75"/>
      <c r="AD60" s="75"/>
      <c r="AE60" s="76"/>
      <c r="AF60" s="74" t="s">
        <v>1504</v>
      </c>
      <c r="AG60" s="75"/>
      <c r="AH60" s="76"/>
      <c r="AI60" s="74"/>
      <c r="AJ60" s="75"/>
      <c r="AK60" s="76"/>
      <c r="AL60" s="68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69"/>
      <c r="BN60" s="69"/>
      <c r="BO60" s="69"/>
      <c r="BP60" s="70"/>
    </row>
    <row r="61" spans="1:68" s="1" customFormat="1" ht="30.75" customHeight="1">
      <c r="A61" s="74">
        <f t="shared" si="0"/>
        <v>53</v>
      </c>
      <c r="B61" s="75"/>
      <c r="C61" s="76"/>
      <c r="D61" s="71" t="s">
        <v>490</v>
      </c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3"/>
      <c r="AA61" s="74" t="s">
        <v>348</v>
      </c>
      <c r="AB61" s="75"/>
      <c r="AC61" s="75"/>
      <c r="AD61" s="75"/>
      <c r="AE61" s="76"/>
      <c r="AF61" s="74"/>
      <c r="AG61" s="75"/>
      <c r="AH61" s="76"/>
      <c r="AI61" s="74"/>
      <c r="AJ61" s="75"/>
      <c r="AK61" s="76"/>
      <c r="AL61" s="68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69"/>
      <c r="BN61" s="69"/>
      <c r="BO61" s="69"/>
      <c r="BP61" s="70"/>
    </row>
    <row r="62" spans="1:68" s="1" customFormat="1" ht="30.75" customHeight="1">
      <c r="A62" s="74">
        <f t="shared" si="0"/>
        <v>54</v>
      </c>
      <c r="B62" s="75"/>
      <c r="C62" s="76"/>
      <c r="D62" s="71" t="s">
        <v>448</v>
      </c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3"/>
      <c r="AA62" s="74" t="s">
        <v>475</v>
      </c>
      <c r="AB62" s="75"/>
      <c r="AC62" s="75"/>
      <c r="AD62" s="75"/>
      <c r="AE62" s="76"/>
      <c r="AF62" s="74">
        <v>10</v>
      </c>
      <c r="AG62" s="75"/>
      <c r="AH62" s="76"/>
      <c r="AI62" s="74"/>
      <c r="AJ62" s="75"/>
      <c r="AK62" s="76"/>
      <c r="AL62" s="68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9"/>
      <c r="BF62" s="69"/>
      <c r="BG62" s="69"/>
      <c r="BH62" s="69"/>
      <c r="BI62" s="69"/>
      <c r="BJ62" s="69"/>
      <c r="BK62" s="69"/>
      <c r="BL62" s="69"/>
      <c r="BM62" s="69"/>
      <c r="BN62" s="69"/>
      <c r="BO62" s="69"/>
      <c r="BP62" s="70"/>
    </row>
    <row r="63" spans="1:68" s="1" customFormat="1" ht="30.75" customHeight="1">
      <c r="A63" s="74">
        <f t="shared" si="0"/>
        <v>55</v>
      </c>
      <c r="B63" s="75"/>
      <c r="C63" s="76"/>
      <c r="D63" s="71" t="s">
        <v>491</v>
      </c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3"/>
      <c r="AA63" s="74" t="s">
        <v>280</v>
      </c>
      <c r="AB63" s="75"/>
      <c r="AC63" s="75"/>
      <c r="AD63" s="75"/>
      <c r="AE63" s="76"/>
      <c r="AF63" s="74">
        <v>3</v>
      </c>
      <c r="AG63" s="75"/>
      <c r="AH63" s="76"/>
      <c r="AI63" s="74"/>
      <c r="AJ63" s="75"/>
      <c r="AK63" s="76"/>
      <c r="AL63" s="68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  <c r="BM63" s="69"/>
      <c r="BN63" s="69"/>
      <c r="BO63" s="69"/>
      <c r="BP63" s="70"/>
    </row>
    <row r="64" spans="1:68" s="1" customFormat="1" ht="30.75" customHeight="1">
      <c r="A64" s="74">
        <f t="shared" si="0"/>
        <v>56</v>
      </c>
      <c r="B64" s="75"/>
      <c r="C64" s="76"/>
      <c r="D64" s="71" t="s">
        <v>471</v>
      </c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3"/>
      <c r="AA64" s="74" t="s">
        <v>475</v>
      </c>
      <c r="AB64" s="75"/>
      <c r="AC64" s="75"/>
      <c r="AD64" s="75"/>
      <c r="AE64" s="76"/>
      <c r="AF64" s="86">
        <v>9</v>
      </c>
      <c r="AG64" s="86"/>
      <c r="AH64" s="86"/>
      <c r="AI64" s="86"/>
      <c r="AJ64" s="86"/>
      <c r="AK64" s="86"/>
      <c r="AL64" s="68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69"/>
      <c r="BN64" s="69"/>
      <c r="BO64" s="69"/>
      <c r="BP64" s="70"/>
    </row>
    <row r="65" spans="1:68" s="1" customFormat="1" ht="30.75" customHeight="1">
      <c r="A65" s="74">
        <f t="shared" si="0"/>
        <v>57</v>
      </c>
      <c r="B65" s="75"/>
      <c r="C65" s="76"/>
      <c r="D65" s="71" t="s">
        <v>480</v>
      </c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3"/>
      <c r="AA65" s="74" t="s">
        <v>280</v>
      </c>
      <c r="AB65" s="75"/>
      <c r="AC65" s="75"/>
      <c r="AD65" s="75"/>
      <c r="AE65" s="76"/>
      <c r="AF65" s="86" t="s">
        <v>1444</v>
      </c>
      <c r="AG65" s="86"/>
      <c r="AH65" s="86"/>
      <c r="AI65" s="86"/>
      <c r="AJ65" s="86"/>
      <c r="AK65" s="86"/>
      <c r="AL65" s="68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69"/>
      <c r="BN65" s="69"/>
      <c r="BO65" s="69"/>
      <c r="BP65" s="70"/>
    </row>
    <row r="66" spans="1:68" s="1" customFormat="1" ht="30.75" customHeight="1">
      <c r="A66" s="74">
        <f t="shared" si="0"/>
        <v>58</v>
      </c>
      <c r="B66" s="75"/>
      <c r="C66" s="76"/>
      <c r="D66" s="71" t="s">
        <v>481</v>
      </c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3"/>
      <c r="AA66" s="74" t="s">
        <v>280</v>
      </c>
      <c r="AB66" s="75"/>
      <c r="AC66" s="75"/>
      <c r="AD66" s="75"/>
      <c r="AE66" s="76"/>
      <c r="AF66" s="86">
        <v>14</v>
      </c>
      <c r="AG66" s="86"/>
      <c r="AH66" s="86"/>
      <c r="AI66" s="86"/>
      <c r="AJ66" s="86"/>
      <c r="AK66" s="86"/>
      <c r="AL66" s="68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  <c r="BM66" s="69"/>
      <c r="BN66" s="69"/>
      <c r="BO66" s="69"/>
      <c r="BP66" s="70"/>
    </row>
    <row r="67" spans="1:68" s="1" customFormat="1" ht="30.75" customHeight="1">
      <c r="A67" s="74">
        <f t="shared" si="0"/>
        <v>59</v>
      </c>
      <c r="B67" s="75"/>
      <c r="C67" s="76"/>
      <c r="D67" s="71" t="s">
        <v>1043</v>
      </c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3"/>
      <c r="AA67" s="74" t="s">
        <v>280</v>
      </c>
      <c r="AB67" s="75"/>
      <c r="AC67" s="75"/>
      <c r="AD67" s="75"/>
      <c r="AE67" s="76"/>
      <c r="AF67" s="86" t="s">
        <v>1444</v>
      </c>
      <c r="AG67" s="86"/>
      <c r="AH67" s="86"/>
      <c r="AI67" s="86"/>
      <c r="AJ67" s="86"/>
      <c r="AK67" s="86"/>
      <c r="AL67" s="68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  <c r="BM67" s="69"/>
      <c r="BN67" s="69"/>
      <c r="BO67" s="69"/>
      <c r="BP67" s="70"/>
    </row>
    <row r="68" spans="1:68" s="1" customFormat="1" ht="30.75" customHeight="1">
      <c r="A68" s="74">
        <f t="shared" si="0"/>
        <v>60</v>
      </c>
      <c r="B68" s="75"/>
      <c r="C68" s="76"/>
      <c r="D68" s="71" t="s">
        <v>482</v>
      </c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3"/>
      <c r="AA68" s="74" t="s">
        <v>280</v>
      </c>
      <c r="AB68" s="75"/>
      <c r="AC68" s="75"/>
      <c r="AD68" s="75"/>
      <c r="AE68" s="76"/>
      <c r="AF68" s="86" t="s">
        <v>1444</v>
      </c>
      <c r="AG68" s="86"/>
      <c r="AH68" s="86"/>
      <c r="AI68" s="86"/>
      <c r="AJ68" s="86"/>
      <c r="AK68" s="86"/>
      <c r="AL68" s="68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  <c r="BM68" s="69"/>
      <c r="BN68" s="69"/>
      <c r="BO68" s="69"/>
      <c r="BP68" s="70"/>
    </row>
    <row r="69" spans="1:68" s="1" customFormat="1" ht="30.75" customHeight="1">
      <c r="A69" s="74">
        <f t="shared" si="0"/>
        <v>61</v>
      </c>
      <c r="B69" s="75"/>
      <c r="C69" s="76"/>
      <c r="D69" s="71" t="s">
        <v>483</v>
      </c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3"/>
      <c r="AA69" s="74" t="s">
        <v>280</v>
      </c>
      <c r="AB69" s="75"/>
      <c r="AC69" s="75"/>
      <c r="AD69" s="75"/>
      <c r="AE69" s="76"/>
      <c r="AF69" s="74">
        <v>18</v>
      </c>
      <c r="AG69" s="75"/>
      <c r="AH69" s="76"/>
      <c r="AI69" s="74"/>
      <c r="AJ69" s="75"/>
      <c r="AK69" s="76"/>
      <c r="AL69" s="68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69"/>
      <c r="BN69" s="69"/>
      <c r="BO69" s="69"/>
      <c r="BP69" s="70"/>
    </row>
    <row r="70" spans="1:68" s="1" customFormat="1" ht="30.75" customHeight="1">
      <c r="A70" s="74">
        <f t="shared" si="0"/>
        <v>62</v>
      </c>
      <c r="B70" s="75"/>
      <c r="C70" s="76"/>
      <c r="D70" s="71" t="s">
        <v>484</v>
      </c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3"/>
      <c r="AA70" s="74" t="s">
        <v>280</v>
      </c>
      <c r="AB70" s="75"/>
      <c r="AC70" s="75"/>
      <c r="AD70" s="75"/>
      <c r="AE70" s="76"/>
      <c r="AF70" s="86" t="s">
        <v>1444</v>
      </c>
      <c r="AG70" s="86"/>
      <c r="AH70" s="86"/>
      <c r="AI70" s="74"/>
      <c r="AJ70" s="75"/>
      <c r="AK70" s="76"/>
      <c r="AL70" s="68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69"/>
      <c r="BN70" s="69"/>
      <c r="BO70" s="69"/>
      <c r="BP70" s="70"/>
    </row>
    <row r="71" spans="1:68" s="1" customFormat="1" ht="30.75" customHeight="1">
      <c r="A71" s="74">
        <f t="shared" si="0"/>
        <v>63</v>
      </c>
      <c r="B71" s="75"/>
      <c r="C71" s="76"/>
      <c r="D71" s="71" t="s">
        <v>485</v>
      </c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3"/>
      <c r="AA71" s="74" t="s">
        <v>280</v>
      </c>
      <c r="AB71" s="75"/>
      <c r="AC71" s="75"/>
      <c r="AD71" s="75"/>
      <c r="AE71" s="76"/>
      <c r="AF71" s="74">
        <v>14</v>
      </c>
      <c r="AG71" s="75"/>
      <c r="AH71" s="76"/>
      <c r="AI71" s="74"/>
      <c r="AJ71" s="75"/>
      <c r="AK71" s="76"/>
      <c r="AL71" s="68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  <c r="BM71" s="69"/>
      <c r="BN71" s="69"/>
      <c r="BO71" s="69"/>
      <c r="BP71" s="70"/>
    </row>
    <row r="72" spans="1:68" s="1" customFormat="1" ht="30.75" customHeight="1">
      <c r="A72" s="74">
        <f t="shared" si="0"/>
        <v>64</v>
      </c>
      <c r="B72" s="75"/>
      <c r="C72" s="76"/>
      <c r="D72" s="71" t="s">
        <v>1044</v>
      </c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3"/>
      <c r="AA72" s="74" t="s">
        <v>280</v>
      </c>
      <c r="AB72" s="75"/>
      <c r="AC72" s="75"/>
      <c r="AD72" s="75"/>
      <c r="AE72" s="76"/>
      <c r="AF72" s="86" t="s">
        <v>1444</v>
      </c>
      <c r="AG72" s="86"/>
      <c r="AH72" s="86"/>
      <c r="AI72" s="86"/>
      <c r="AJ72" s="86"/>
      <c r="AK72" s="86"/>
      <c r="AL72" s="68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69"/>
      <c r="BN72" s="69"/>
      <c r="BO72" s="69"/>
      <c r="BP72" s="70"/>
    </row>
    <row r="73" spans="1:68" s="1" customFormat="1" ht="30.75" customHeight="1">
      <c r="A73" s="74">
        <f t="shared" si="0"/>
        <v>65</v>
      </c>
      <c r="B73" s="75"/>
      <c r="C73" s="76"/>
      <c r="D73" s="71" t="s">
        <v>486</v>
      </c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3"/>
      <c r="AA73" s="74" t="s">
        <v>280</v>
      </c>
      <c r="AB73" s="75"/>
      <c r="AC73" s="75"/>
      <c r="AD73" s="75"/>
      <c r="AE73" s="76"/>
      <c r="AF73" s="86" t="s">
        <v>1444</v>
      </c>
      <c r="AG73" s="86"/>
      <c r="AH73" s="86"/>
      <c r="AI73" s="74"/>
      <c r="AJ73" s="75"/>
      <c r="AK73" s="76"/>
      <c r="AL73" s="68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69"/>
      <c r="BO73" s="69"/>
      <c r="BP73" s="70"/>
    </row>
    <row r="74" spans="1:68" s="1" customFormat="1" ht="30.75" customHeight="1">
      <c r="A74" s="74">
        <f t="shared" si="0"/>
        <v>66</v>
      </c>
      <c r="B74" s="75"/>
      <c r="C74" s="76"/>
      <c r="D74" s="71" t="s">
        <v>487</v>
      </c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3"/>
      <c r="AA74" s="74" t="s">
        <v>280</v>
      </c>
      <c r="AB74" s="75"/>
      <c r="AC74" s="75"/>
      <c r="AD74" s="75"/>
      <c r="AE74" s="76"/>
      <c r="AF74" s="74">
        <v>18</v>
      </c>
      <c r="AG74" s="75"/>
      <c r="AH74" s="76"/>
      <c r="AI74" s="74"/>
      <c r="AJ74" s="75"/>
      <c r="AK74" s="76"/>
      <c r="AL74" s="68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  <c r="BC74" s="69"/>
      <c r="BD74" s="69"/>
      <c r="BE74" s="69"/>
      <c r="BF74" s="69"/>
      <c r="BG74" s="69"/>
      <c r="BH74" s="69"/>
      <c r="BI74" s="69"/>
      <c r="BJ74" s="69"/>
      <c r="BK74" s="69"/>
      <c r="BL74" s="69"/>
      <c r="BM74" s="69"/>
      <c r="BN74" s="69"/>
      <c r="BO74" s="69"/>
      <c r="BP74" s="70"/>
    </row>
    <row r="75" spans="1:68" s="1" customFormat="1" ht="30.75" customHeight="1">
      <c r="A75" s="74">
        <f t="shared" si="0"/>
        <v>67</v>
      </c>
      <c r="B75" s="75"/>
      <c r="C75" s="76"/>
      <c r="D75" s="71" t="s">
        <v>488</v>
      </c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3"/>
      <c r="AA75" s="74" t="s">
        <v>280</v>
      </c>
      <c r="AB75" s="75"/>
      <c r="AC75" s="75"/>
      <c r="AD75" s="75"/>
      <c r="AE75" s="76"/>
      <c r="AF75" s="74">
        <v>18</v>
      </c>
      <c r="AG75" s="75"/>
      <c r="AH75" s="76"/>
      <c r="AI75" s="74"/>
      <c r="AJ75" s="75"/>
      <c r="AK75" s="76"/>
      <c r="AL75" s="68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69"/>
      <c r="BE75" s="69"/>
      <c r="BF75" s="69"/>
      <c r="BG75" s="69"/>
      <c r="BH75" s="69"/>
      <c r="BI75" s="69"/>
      <c r="BJ75" s="69"/>
      <c r="BK75" s="69"/>
      <c r="BL75" s="69"/>
      <c r="BM75" s="69"/>
      <c r="BN75" s="69"/>
      <c r="BO75" s="69"/>
      <c r="BP75" s="70"/>
    </row>
    <row r="76" spans="1:68" s="1" customFormat="1" ht="30.75" customHeight="1">
      <c r="A76" s="74">
        <f t="shared" si="0"/>
        <v>68</v>
      </c>
      <c r="B76" s="75"/>
      <c r="C76" s="76"/>
      <c r="D76" s="71" t="s">
        <v>489</v>
      </c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3"/>
      <c r="AA76" s="74" t="s">
        <v>280</v>
      </c>
      <c r="AB76" s="75"/>
      <c r="AC76" s="75"/>
      <c r="AD76" s="75"/>
      <c r="AE76" s="76"/>
      <c r="AF76" s="74">
        <v>18</v>
      </c>
      <c r="AG76" s="75"/>
      <c r="AH76" s="76"/>
      <c r="AI76" s="74"/>
      <c r="AJ76" s="75"/>
      <c r="AK76" s="76"/>
      <c r="AL76" s="68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  <c r="BM76" s="69"/>
      <c r="BN76" s="69"/>
      <c r="BO76" s="69"/>
      <c r="BP76" s="70"/>
    </row>
    <row r="77" spans="1:68" s="1" customFormat="1" ht="30.75" customHeight="1">
      <c r="A77" s="74">
        <f t="shared" si="0"/>
        <v>69</v>
      </c>
      <c r="B77" s="75"/>
      <c r="C77" s="76"/>
      <c r="D77" s="71" t="s">
        <v>468</v>
      </c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3"/>
      <c r="AA77" s="74" t="s">
        <v>280</v>
      </c>
      <c r="AB77" s="75"/>
      <c r="AC77" s="75"/>
      <c r="AD77" s="75"/>
      <c r="AE77" s="76"/>
      <c r="AF77" s="74">
        <v>18</v>
      </c>
      <c r="AG77" s="75"/>
      <c r="AH77" s="76"/>
      <c r="AI77" s="86"/>
      <c r="AJ77" s="86"/>
      <c r="AK77" s="86"/>
      <c r="AL77" s="68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69"/>
      <c r="BG77" s="69"/>
      <c r="BH77" s="69"/>
      <c r="BI77" s="69"/>
      <c r="BJ77" s="69"/>
      <c r="BK77" s="69"/>
      <c r="BL77" s="69"/>
      <c r="BM77" s="69"/>
      <c r="BN77" s="69"/>
      <c r="BO77" s="69"/>
      <c r="BP77" s="70"/>
    </row>
    <row r="78" spans="1:68" s="1" customFormat="1" ht="30.75" customHeight="1">
      <c r="A78" s="74">
        <f t="shared" si="0"/>
        <v>70</v>
      </c>
      <c r="B78" s="75"/>
      <c r="C78" s="76"/>
      <c r="D78" s="71" t="s">
        <v>469</v>
      </c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3"/>
      <c r="AA78" s="74" t="s">
        <v>280</v>
      </c>
      <c r="AB78" s="75"/>
      <c r="AC78" s="75"/>
      <c r="AD78" s="75"/>
      <c r="AE78" s="76"/>
      <c r="AF78" s="86" t="s">
        <v>1504</v>
      </c>
      <c r="AG78" s="86"/>
      <c r="AH78" s="86"/>
      <c r="AI78" s="86"/>
      <c r="AJ78" s="86"/>
      <c r="AK78" s="86"/>
      <c r="AL78" s="68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69"/>
      <c r="BJ78" s="69"/>
      <c r="BK78" s="69"/>
      <c r="BL78" s="69"/>
      <c r="BM78" s="69"/>
      <c r="BN78" s="69"/>
      <c r="BO78" s="69"/>
      <c r="BP78" s="70"/>
    </row>
    <row r="79" spans="1:68" s="1" customFormat="1" ht="30.75" customHeight="1">
      <c r="A79" s="74">
        <f t="shared" ref="A79:A110" si="1">ROW()-8</f>
        <v>71</v>
      </c>
      <c r="B79" s="75"/>
      <c r="C79" s="76"/>
      <c r="D79" s="71" t="s">
        <v>492</v>
      </c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3"/>
      <c r="AA79" s="74" t="s">
        <v>348</v>
      </c>
      <c r="AB79" s="75"/>
      <c r="AC79" s="75"/>
      <c r="AD79" s="75"/>
      <c r="AE79" s="76"/>
      <c r="AF79" s="86"/>
      <c r="AG79" s="86"/>
      <c r="AH79" s="86"/>
      <c r="AI79" s="86"/>
      <c r="AJ79" s="86"/>
      <c r="AK79" s="86"/>
      <c r="AL79" s="68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  <c r="BC79" s="69"/>
      <c r="BD79" s="69"/>
      <c r="BE79" s="69"/>
      <c r="BF79" s="69"/>
      <c r="BG79" s="69"/>
      <c r="BH79" s="69"/>
      <c r="BI79" s="69"/>
      <c r="BJ79" s="69"/>
      <c r="BK79" s="69"/>
      <c r="BL79" s="69"/>
      <c r="BM79" s="69"/>
      <c r="BN79" s="69"/>
      <c r="BO79" s="69"/>
      <c r="BP79" s="70"/>
    </row>
    <row r="80" spans="1:68" s="1" customFormat="1" ht="30.75" customHeight="1">
      <c r="A80" s="74">
        <f t="shared" si="1"/>
        <v>72</v>
      </c>
      <c r="B80" s="75"/>
      <c r="C80" s="76"/>
      <c r="D80" s="71" t="s">
        <v>471</v>
      </c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3"/>
      <c r="AA80" s="74" t="s">
        <v>475</v>
      </c>
      <c r="AB80" s="75"/>
      <c r="AC80" s="75"/>
      <c r="AD80" s="75"/>
      <c r="AE80" s="76"/>
      <c r="AF80" s="86">
        <v>9</v>
      </c>
      <c r="AG80" s="86"/>
      <c r="AH80" s="86"/>
      <c r="AI80" s="86"/>
      <c r="AJ80" s="86"/>
      <c r="AK80" s="86"/>
      <c r="AL80" s="68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69"/>
      <c r="BN80" s="69"/>
      <c r="BO80" s="69"/>
      <c r="BP80" s="70"/>
    </row>
    <row r="81" spans="1:68" s="1" customFormat="1" ht="30.75" customHeight="1">
      <c r="A81" s="74">
        <f t="shared" si="1"/>
        <v>73</v>
      </c>
      <c r="B81" s="75"/>
      <c r="C81" s="76"/>
      <c r="D81" s="71" t="s">
        <v>480</v>
      </c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3"/>
      <c r="AA81" s="74" t="s">
        <v>280</v>
      </c>
      <c r="AB81" s="75"/>
      <c r="AC81" s="75"/>
      <c r="AD81" s="75"/>
      <c r="AE81" s="76"/>
      <c r="AF81" s="86" t="s">
        <v>1444</v>
      </c>
      <c r="AG81" s="86"/>
      <c r="AH81" s="86"/>
      <c r="AI81" s="86"/>
      <c r="AJ81" s="86"/>
      <c r="AK81" s="86"/>
      <c r="AL81" s="83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5"/>
    </row>
    <row r="82" spans="1:68" s="1" customFormat="1" ht="30.75" customHeight="1">
      <c r="A82" s="80">
        <f t="shared" si="1"/>
        <v>74</v>
      </c>
      <c r="B82" s="81"/>
      <c r="C82" s="82"/>
      <c r="D82" s="71" t="s">
        <v>481</v>
      </c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3"/>
      <c r="AA82" s="74" t="s">
        <v>280</v>
      </c>
      <c r="AB82" s="75"/>
      <c r="AC82" s="75"/>
      <c r="AD82" s="75"/>
      <c r="AE82" s="76"/>
      <c r="AF82" s="91">
        <v>14</v>
      </c>
      <c r="AG82" s="91"/>
      <c r="AH82" s="91"/>
      <c r="AI82" s="91"/>
      <c r="AJ82" s="91"/>
      <c r="AK82" s="91"/>
      <c r="AL82" s="83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5"/>
    </row>
    <row r="83" spans="1:68" s="1" customFormat="1" ht="30.75" customHeight="1">
      <c r="A83" s="74">
        <f t="shared" si="1"/>
        <v>75</v>
      </c>
      <c r="B83" s="75"/>
      <c r="C83" s="76"/>
      <c r="D83" s="71" t="s">
        <v>1043</v>
      </c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3"/>
      <c r="AA83" s="74" t="s">
        <v>280</v>
      </c>
      <c r="AB83" s="75"/>
      <c r="AC83" s="75"/>
      <c r="AD83" s="75"/>
      <c r="AE83" s="76"/>
      <c r="AF83" s="86" t="s">
        <v>1444</v>
      </c>
      <c r="AG83" s="86"/>
      <c r="AH83" s="86"/>
      <c r="AI83" s="86"/>
      <c r="AJ83" s="86"/>
      <c r="AK83" s="86"/>
      <c r="AL83" s="68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  <c r="BH83" s="69"/>
      <c r="BI83" s="69"/>
      <c r="BJ83" s="69"/>
      <c r="BK83" s="69"/>
      <c r="BL83" s="69"/>
      <c r="BM83" s="69"/>
      <c r="BN83" s="69"/>
      <c r="BO83" s="69"/>
      <c r="BP83" s="70"/>
    </row>
    <row r="84" spans="1:68" s="1" customFormat="1" ht="30.75" customHeight="1">
      <c r="A84" s="74">
        <f t="shared" si="1"/>
        <v>76</v>
      </c>
      <c r="B84" s="75"/>
      <c r="C84" s="76"/>
      <c r="D84" s="71" t="s">
        <v>482</v>
      </c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3"/>
      <c r="AA84" s="74" t="s">
        <v>280</v>
      </c>
      <c r="AB84" s="75"/>
      <c r="AC84" s="75"/>
      <c r="AD84" s="75"/>
      <c r="AE84" s="76"/>
      <c r="AF84" s="86" t="s">
        <v>1444</v>
      </c>
      <c r="AG84" s="86"/>
      <c r="AH84" s="86"/>
      <c r="AI84" s="86"/>
      <c r="AJ84" s="86"/>
      <c r="AK84" s="86"/>
      <c r="AL84" s="68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  <c r="BC84" s="69"/>
      <c r="BD84" s="69"/>
      <c r="BE84" s="69"/>
      <c r="BF84" s="69"/>
      <c r="BG84" s="69"/>
      <c r="BH84" s="69"/>
      <c r="BI84" s="69"/>
      <c r="BJ84" s="69"/>
      <c r="BK84" s="69"/>
      <c r="BL84" s="69"/>
      <c r="BM84" s="69"/>
      <c r="BN84" s="69"/>
      <c r="BO84" s="69"/>
      <c r="BP84" s="70"/>
    </row>
    <row r="85" spans="1:68" s="1" customFormat="1" ht="30.75" customHeight="1">
      <c r="A85" s="74">
        <f t="shared" si="1"/>
        <v>77</v>
      </c>
      <c r="B85" s="75"/>
      <c r="C85" s="76"/>
      <c r="D85" s="71" t="s">
        <v>483</v>
      </c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3"/>
      <c r="AA85" s="74" t="s">
        <v>280</v>
      </c>
      <c r="AB85" s="75"/>
      <c r="AC85" s="75"/>
      <c r="AD85" s="75"/>
      <c r="AE85" s="76"/>
      <c r="AF85" s="74">
        <v>18</v>
      </c>
      <c r="AG85" s="75"/>
      <c r="AH85" s="76"/>
      <c r="AI85" s="74"/>
      <c r="AJ85" s="75"/>
      <c r="AK85" s="76"/>
      <c r="AL85" s="68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  <c r="BC85" s="69"/>
      <c r="BD85" s="69"/>
      <c r="BE85" s="69"/>
      <c r="BF85" s="69"/>
      <c r="BG85" s="69"/>
      <c r="BH85" s="69"/>
      <c r="BI85" s="69"/>
      <c r="BJ85" s="69"/>
      <c r="BK85" s="69"/>
      <c r="BL85" s="69"/>
      <c r="BM85" s="69"/>
      <c r="BN85" s="69"/>
      <c r="BO85" s="69"/>
      <c r="BP85" s="70"/>
    </row>
    <row r="86" spans="1:68" s="1" customFormat="1" ht="30.75" customHeight="1">
      <c r="A86" s="74">
        <f t="shared" si="1"/>
        <v>78</v>
      </c>
      <c r="B86" s="75"/>
      <c r="C86" s="76"/>
      <c r="D86" s="71" t="s">
        <v>484</v>
      </c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3"/>
      <c r="AA86" s="74" t="s">
        <v>280</v>
      </c>
      <c r="AB86" s="75"/>
      <c r="AC86" s="75"/>
      <c r="AD86" s="75"/>
      <c r="AE86" s="76"/>
      <c r="AF86" s="86" t="s">
        <v>1444</v>
      </c>
      <c r="AG86" s="86"/>
      <c r="AH86" s="86"/>
      <c r="AI86" s="74"/>
      <c r="AJ86" s="75"/>
      <c r="AK86" s="76"/>
      <c r="AL86" s="68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69"/>
      <c r="BM86" s="69"/>
      <c r="BN86" s="69"/>
      <c r="BO86" s="69"/>
      <c r="BP86" s="70"/>
    </row>
    <row r="87" spans="1:68" s="1" customFormat="1" ht="30.75" customHeight="1">
      <c r="A87" s="74">
        <f t="shared" si="1"/>
        <v>79</v>
      </c>
      <c r="B87" s="75"/>
      <c r="C87" s="76"/>
      <c r="D87" s="71" t="s">
        <v>485</v>
      </c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3"/>
      <c r="AA87" s="74" t="s">
        <v>280</v>
      </c>
      <c r="AB87" s="75"/>
      <c r="AC87" s="75"/>
      <c r="AD87" s="75"/>
      <c r="AE87" s="76"/>
      <c r="AF87" s="86">
        <v>14</v>
      </c>
      <c r="AG87" s="86"/>
      <c r="AH87" s="86"/>
      <c r="AI87" s="74"/>
      <c r="AJ87" s="75"/>
      <c r="AK87" s="76"/>
      <c r="AL87" s="68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69"/>
      <c r="BH87" s="69"/>
      <c r="BI87" s="69"/>
      <c r="BJ87" s="69"/>
      <c r="BK87" s="69"/>
      <c r="BL87" s="69"/>
      <c r="BM87" s="69"/>
      <c r="BN87" s="69"/>
      <c r="BO87" s="69"/>
      <c r="BP87" s="70"/>
    </row>
    <row r="88" spans="1:68" s="1" customFormat="1" ht="30.75" customHeight="1">
      <c r="A88" s="74">
        <f t="shared" si="1"/>
        <v>80</v>
      </c>
      <c r="B88" s="75"/>
      <c r="C88" s="76"/>
      <c r="D88" s="71" t="s">
        <v>1044</v>
      </c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3"/>
      <c r="AA88" s="74" t="s">
        <v>280</v>
      </c>
      <c r="AB88" s="75"/>
      <c r="AC88" s="75"/>
      <c r="AD88" s="75"/>
      <c r="AE88" s="76"/>
      <c r="AF88" s="86" t="s">
        <v>1444</v>
      </c>
      <c r="AG88" s="86"/>
      <c r="AH88" s="86"/>
      <c r="AI88" s="74"/>
      <c r="AJ88" s="75"/>
      <c r="AK88" s="76"/>
      <c r="AL88" s="68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  <c r="BM88" s="69"/>
      <c r="BN88" s="69"/>
      <c r="BO88" s="69"/>
      <c r="BP88" s="70"/>
    </row>
    <row r="89" spans="1:68" s="1" customFormat="1" ht="30.75" customHeight="1">
      <c r="A89" s="74">
        <f t="shared" si="1"/>
        <v>81</v>
      </c>
      <c r="B89" s="75"/>
      <c r="C89" s="76"/>
      <c r="D89" s="71" t="s">
        <v>486</v>
      </c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3"/>
      <c r="AA89" s="74" t="s">
        <v>280</v>
      </c>
      <c r="AB89" s="75"/>
      <c r="AC89" s="75"/>
      <c r="AD89" s="75"/>
      <c r="AE89" s="76"/>
      <c r="AF89" s="74" t="s">
        <v>1489</v>
      </c>
      <c r="AG89" s="75"/>
      <c r="AH89" s="76"/>
      <c r="AI89" s="74"/>
      <c r="AJ89" s="75"/>
      <c r="AK89" s="76"/>
      <c r="AL89" s="68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9"/>
      <c r="BJ89" s="69"/>
      <c r="BK89" s="69"/>
      <c r="BL89" s="69"/>
      <c r="BM89" s="69"/>
      <c r="BN89" s="69"/>
      <c r="BO89" s="69"/>
      <c r="BP89" s="70"/>
    </row>
    <row r="90" spans="1:68" s="1" customFormat="1" ht="30.75" customHeight="1">
      <c r="A90" s="74">
        <f t="shared" si="1"/>
        <v>82</v>
      </c>
      <c r="B90" s="75"/>
      <c r="C90" s="76"/>
      <c r="D90" s="71" t="s">
        <v>487</v>
      </c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3"/>
      <c r="AA90" s="74" t="s">
        <v>280</v>
      </c>
      <c r="AB90" s="75"/>
      <c r="AC90" s="75"/>
      <c r="AD90" s="75"/>
      <c r="AE90" s="76"/>
      <c r="AF90" s="74">
        <v>18</v>
      </c>
      <c r="AG90" s="75"/>
      <c r="AH90" s="76"/>
      <c r="AI90" s="74"/>
      <c r="AJ90" s="75"/>
      <c r="AK90" s="76"/>
      <c r="AL90" s="68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69"/>
      <c r="BH90" s="69"/>
      <c r="BI90" s="69"/>
      <c r="BJ90" s="69"/>
      <c r="BK90" s="69"/>
      <c r="BL90" s="69"/>
      <c r="BM90" s="69"/>
      <c r="BN90" s="69"/>
      <c r="BO90" s="69"/>
      <c r="BP90" s="70"/>
    </row>
    <row r="91" spans="1:68" s="1" customFormat="1" ht="30.75" customHeight="1">
      <c r="A91" s="74">
        <f t="shared" si="1"/>
        <v>83</v>
      </c>
      <c r="B91" s="75"/>
      <c r="C91" s="76"/>
      <c r="D91" s="71" t="s">
        <v>488</v>
      </c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3"/>
      <c r="AA91" s="74" t="s">
        <v>280</v>
      </c>
      <c r="AB91" s="75"/>
      <c r="AC91" s="75"/>
      <c r="AD91" s="75"/>
      <c r="AE91" s="76"/>
      <c r="AF91" s="74">
        <v>18</v>
      </c>
      <c r="AG91" s="75"/>
      <c r="AH91" s="76"/>
      <c r="AI91" s="74"/>
      <c r="AJ91" s="75"/>
      <c r="AK91" s="76"/>
      <c r="AL91" s="68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69"/>
      <c r="BH91" s="69"/>
      <c r="BI91" s="69"/>
      <c r="BJ91" s="69"/>
      <c r="BK91" s="69"/>
      <c r="BL91" s="69"/>
      <c r="BM91" s="69"/>
      <c r="BN91" s="69"/>
      <c r="BO91" s="69"/>
      <c r="BP91" s="70"/>
    </row>
    <row r="92" spans="1:68" s="1" customFormat="1" ht="30.75" customHeight="1">
      <c r="A92" s="74">
        <f t="shared" si="1"/>
        <v>84</v>
      </c>
      <c r="B92" s="75"/>
      <c r="C92" s="76"/>
      <c r="D92" s="71" t="s">
        <v>489</v>
      </c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3"/>
      <c r="AA92" s="74" t="s">
        <v>280</v>
      </c>
      <c r="AB92" s="75"/>
      <c r="AC92" s="75"/>
      <c r="AD92" s="75"/>
      <c r="AE92" s="76"/>
      <c r="AF92" s="74">
        <v>18</v>
      </c>
      <c r="AG92" s="75"/>
      <c r="AH92" s="76"/>
      <c r="AI92" s="74"/>
      <c r="AJ92" s="75"/>
      <c r="AK92" s="76"/>
      <c r="AL92" s="68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  <c r="BC92" s="69"/>
      <c r="BD92" s="69"/>
      <c r="BE92" s="69"/>
      <c r="BF92" s="69"/>
      <c r="BG92" s="69"/>
      <c r="BH92" s="69"/>
      <c r="BI92" s="69"/>
      <c r="BJ92" s="69"/>
      <c r="BK92" s="69"/>
      <c r="BL92" s="69"/>
      <c r="BM92" s="69"/>
      <c r="BN92" s="69"/>
      <c r="BO92" s="69"/>
      <c r="BP92" s="70"/>
    </row>
    <row r="93" spans="1:68" s="1" customFormat="1" ht="30.75" customHeight="1">
      <c r="A93" s="74">
        <f t="shared" si="1"/>
        <v>85</v>
      </c>
      <c r="B93" s="75"/>
      <c r="C93" s="76"/>
      <c r="D93" s="71" t="s">
        <v>468</v>
      </c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3"/>
      <c r="AA93" s="74" t="s">
        <v>280</v>
      </c>
      <c r="AB93" s="75"/>
      <c r="AC93" s="75"/>
      <c r="AD93" s="75"/>
      <c r="AE93" s="76"/>
      <c r="AF93" s="74">
        <v>18</v>
      </c>
      <c r="AG93" s="75"/>
      <c r="AH93" s="76"/>
      <c r="AI93" s="74"/>
      <c r="AJ93" s="75"/>
      <c r="AK93" s="76"/>
      <c r="AL93" s="68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69"/>
      <c r="BK93" s="69"/>
      <c r="BL93" s="69"/>
      <c r="BM93" s="69"/>
      <c r="BN93" s="69"/>
      <c r="BO93" s="69"/>
      <c r="BP93" s="70"/>
    </row>
    <row r="94" spans="1:68" s="1" customFormat="1" ht="30.75" customHeight="1">
      <c r="A94" s="74">
        <f t="shared" si="1"/>
        <v>86</v>
      </c>
      <c r="B94" s="75"/>
      <c r="C94" s="76"/>
      <c r="D94" s="71" t="s">
        <v>469</v>
      </c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3"/>
      <c r="AA94" s="74" t="s">
        <v>280</v>
      </c>
      <c r="AB94" s="75"/>
      <c r="AC94" s="75"/>
      <c r="AD94" s="75"/>
      <c r="AE94" s="76"/>
      <c r="AF94" s="74" t="s">
        <v>1560</v>
      </c>
      <c r="AG94" s="75"/>
      <c r="AH94" s="76"/>
      <c r="AI94" s="74"/>
      <c r="AJ94" s="75"/>
      <c r="AK94" s="76"/>
      <c r="AL94" s="68"/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69"/>
      <c r="BH94" s="69"/>
      <c r="BI94" s="69"/>
      <c r="BJ94" s="69"/>
      <c r="BK94" s="69"/>
      <c r="BL94" s="69"/>
      <c r="BM94" s="69"/>
      <c r="BN94" s="69"/>
      <c r="BO94" s="69"/>
      <c r="BP94" s="70"/>
    </row>
    <row r="95" spans="1:68" s="1" customFormat="1" ht="30.75" customHeight="1">
      <c r="A95" s="74">
        <f t="shared" si="1"/>
        <v>87</v>
      </c>
      <c r="B95" s="75"/>
      <c r="C95" s="76"/>
      <c r="D95" s="71" t="s">
        <v>474</v>
      </c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3"/>
      <c r="AA95" s="74" t="s">
        <v>348</v>
      </c>
      <c r="AB95" s="75"/>
      <c r="AC95" s="75"/>
      <c r="AD95" s="75"/>
      <c r="AE95" s="76"/>
      <c r="AF95" s="74"/>
      <c r="AG95" s="75"/>
      <c r="AH95" s="76"/>
      <c r="AI95" s="74"/>
      <c r="AJ95" s="75"/>
      <c r="AK95" s="76"/>
      <c r="AL95" s="68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69"/>
      <c r="BH95" s="69"/>
      <c r="BI95" s="69"/>
      <c r="BJ95" s="69"/>
      <c r="BK95" s="69"/>
      <c r="BL95" s="69"/>
      <c r="BM95" s="69"/>
      <c r="BN95" s="69"/>
      <c r="BO95" s="69"/>
      <c r="BP95" s="70"/>
    </row>
    <row r="96" spans="1:68" s="1" customFormat="1" ht="30.75" customHeight="1">
      <c r="A96" s="74">
        <f t="shared" si="1"/>
        <v>88</v>
      </c>
      <c r="B96" s="75"/>
      <c r="C96" s="76"/>
      <c r="D96" s="71" t="s">
        <v>471</v>
      </c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3"/>
      <c r="AA96" s="74" t="s">
        <v>475</v>
      </c>
      <c r="AB96" s="75"/>
      <c r="AC96" s="75"/>
      <c r="AD96" s="75"/>
      <c r="AE96" s="76"/>
      <c r="AF96" s="80">
        <v>9</v>
      </c>
      <c r="AG96" s="81"/>
      <c r="AH96" s="82"/>
      <c r="AI96" s="80"/>
      <c r="AJ96" s="81"/>
      <c r="AK96" s="82"/>
      <c r="AL96" s="68"/>
      <c r="AM96" s="69"/>
      <c r="AN96" s="69"/>
      <c r="AO96" s="69"/>
      <c r="AP96" s="69"/>
      <c r="AQ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69"/>
      <c r="BH96" s="69"/>
      <c r="BI96" s="69"/>
      <c r="BJ96" s="69"/>
      <c r="BK96" s="69"/>
      <c r="BL96" s="69"/>
      <c r="BM96" s="69"/>
      <c r="BN96" s="69"/>
      <c r="BO96" s="69"/>
      <c r="BP96" s="70"/>
    </row>
    <row r="97" spans="1:68" s="1" customFormat="1" ht="30.75" customHeight="1">
      <c r="A97" s="74">
        <f t="shared" si="1"/>
        <v>89</v>
      </c>
      <c r="B97" s="75"/>
      <c r="C97" s="76"/>
      <c r="D97" s="71" t="s">
        <v>480</v>
      </c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3"/>
      <c r="AA97" s="74" t="s">
        <v>280</v>
      </c>
      <c r="AB97" s="75"/>
      <c r="AC97" s="75"/>
      <c r="AD97" s="75"/>
      <c r="AE97" s="76"/>
      <c r="AF97" s="86" t="s">
        <v>1444</v>
      </c>
      <c r="AG97" s="86"/>
      <c r="AH97" s="86"/>
      <c r="AI97" s="86"/>
      <c r="AJ97" s="86"/>
      <c r="AK97" s="86"/>
      <c r="AL97" s="68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69"/>
      <c r="BH97" s="69"/>
      <c r="BI97" s="69"/>
      <c r="BJ97" s="69"/>
      <c r="BK97" s="69"/>
      <c r="BL97" s="69"/>
      <c r="BM97" s="69"/>
      <c r="BN97" s="69"/>
      <c r="BO97" s="69"/>
      <c r="BP97" s="70"/>
    </row>
    <row r="98" spans="1:68" s="1" customFormat="1" ht="30.75" customHeight="1">
      <c r="A98" s="74">
        <f t="shared" si="1"/>
        <v>90</v>
      </c>
      <c r="B98" s="75"/>
      <c r="C98" s="76"/>
      <c r="D98" s="71" t="s">
        <v>481</v>
      </c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3"/>
      <c r="AA98" s="74" t="s">
        <v>280</v>
      </c>
      <c r="AB98" s="75"/>
      <c r="AC98" s="75"/>
      <c r="AD98" s="75"/>
      <c r="AE98" s="76"/>
      <c r="AF98" s="86">
        <v>14</v>
      </c>
      <c r="AG98" s="86"/>
      <c r="AH98" s="86"/>
      <c r="AI98" s="86"/>
      <c r="AJ98" s="86"/>
      <c r="AK98" s="86"/>
      <c r="AL98" s="68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69"/>
      <c r="BH98" s="69"/>
      <c r="BI98" s="69"/>
      <c r="BJ98" s="69"/>
      <c r="BK98" s="69"/>
      <c r="BL98" s="69"/>
      <c r="BM98" s="69"/>
      <c r="BN98" s="69"/>
      <c r="BO98" s="69"/>
      <c r="BP98" s="70"/>
    </row>
    <row r="99" spans="1:68" s="1" customFormat="1" ht="30.75" customHeight="1">
      <c r="A99" s="74">
        <f t="shared" si="1"/>
        <v>91</v>
      </c>
      <c r="B99" s="75"/>
      <c r="C99" s="76"/>
      <c r="D99" s="71" t="s">
        <v>1043</v>
      </c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3"/>
      <c r="AA99" s="74" t="s">
        <v>280</v>
      </c>
      <c r="AB99" s="75"/>
      <c r="AC99" s="75"/>
      <c r="AD99" s="75"/>
      <c r="AE99" s="76"/>
      <c r="AF99" s="86" t="s">
        <v>1444</v>
      </c>
      <c r="AG99" s="86"/>
      <c r="AH99" s="86"/>
      <c r="AI99" s="86"/>
      <c r="AJ99" s="86"/>
      <c r="AK99" s="86"/>
      <c r="AL99" s="68"/>
      <c r="AM99" s="69"/>
      <c r="AN99" s="69"/>
      <c r="AO99" s="69"/>
      <c r="AP99" s="69"/>
      <c r="AQ99" s="69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69"/>
      <c r="BC99" s="69"/>
      <c r="BD99" s="69"/>
      <c r="BE99" s="69"/>
      <c r="BF99" s="69"/>
      <c r="BG99" s="69"/>
      <c r="BH99" s="69"/>
      <c r="BI99" s="69"/>
      <c r="BJ99" s="69"/>
      <c r="BK99" s="69"/>
      <c r="BL99" s="69"/>
      <c r="BM99" s="69"/>
      <c r="BN99" s="69"/>
      <c r="BO99" s="69"/>
      <c r="BP99" s="70"/>
    </row>
    <row r="100" spans="1:68" s="1" customFormat="1" ht="30.75" customHeight="1">
      <c r="A100" s="74">
        <f t="shared" si="1"/>
        <v>92</v>
      </c>
      <c r="B100" s="75"/>
      <c r="C100" s="76"/>
      <c r="D100" s="71" t="s">
        <v>482</v>
      </c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3"/>
      <c r="AA100" s="74" t="s">
        <v>280</v>
      </c>
      <c r="AB100" s="75"/>
      <c r="AC100" s="75"/>
      <c r="AD100" s="75"/>
      <c r="AE100" s="76"/>
      <c r="AF100" s="86" t="s">
        <v>1444</v>
      </c>
      <c r="AG100" s="86"/>
      <c r="AH100" s="86"/>
      <c r="AI100" s="74"/>
      <c r="AJ100" s="75"/>
      <c r="AK100" s="76"/>
      <c r="AL100" s="68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  <c r="BC100" s="69"/>
      <c r="BD100" s="69"/>
      <c r="BE100" s="69"/>
      <c r="BF100" s="69"/>
      <c r="BG100" s="69"/>
      <c r="BH100" s="69"/>
      <c r="BI100" s="69"/>
      <c r="BJ100" s="69"/>
      <c r="BK100" s="69"/>
      <c r="BL100" s="69"/>
      <c r="BM100" s="69"/>
      <c r="BN100" s="69"/>
      <c r="BO100" s="69"/>
      <c r="BP100" s="70"/>
    </row>
    <row r="101" spans="1:68" s="1" customFormat="1" ht="30.75" customHeight="1">
      <c r="A101" s="74">
        <f t="shared" si="1"/>
        <v>93</v>
      </c>
      <c r="B101" s="75"/>
      <c r="C101" s="76"/>
      <c r="D101" s="71" t="s">
        <v>483</v>
      </c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3"/>
      <c r="AA101" s="74" t="s">
        <v>280</v>
      </c>
      <c r="AB101" s="75"/>
      <c r="AC101" s="75"/>
      <c r="AD101" s="75"/>
      <c r="AE101" s="76"/>
      <c r="AF101" s="74">
        <v>18</v>
      </c>
      <c r="AG101" s="75"/>
      <c r="AH101" s="76"/>
      <c r="AI101" s="86"/>
      <c r="AJ101" s="86"/>
      <c r="AK101" s="86"/>
      <c r="AL101" s="68"/>
      <c r="AM101" s="69"/>
      <c r="AN101" s="69"/>
      <c r="AO101" s="69"/>
      <c r="AP101" s="69"/>
      <c r="AQ101" s="69"/>
      <c r="AR101" s="69"/>
      <c r="AS101" s="69"/>
      <c r="AT101" s="69"/>
      <c r="AU101" s="69"/>
      <c r="AV101" s="69"/>
      <c r="AW101" s="69"/>
      <c r="AX101" s="69"/>
      <c r="AY101" s="69"/>
      <c r="AZ101" s="69"/>
      <c r="BA101" s="69"/>
      <c r="BB101" s="69"/>
      <c r="BC101" s="69"/>
      <c r="BD101" s="69"/>
      <c r="BE101" s="69"/>
      <c r="BF101" s="69"/>
      <c r="BG101" s="69"/>
      <c r="BH101" s="69"/>
      <c r="BI101" s="69"/>
      <c r="BJ101" s="69"/>
      <c r="BK101" s="69"/>
      <c r="BL101" s="69"/>
      <c r="BM101" s="69"/>
      <c r="BN101" s="69"/>
      <c r="BO101" s="69"/>
      <c r="BP101" s="70"/>
    </row>
    <row r="102" spans="1:68" s="1" customFormat="1" ht="30.75" customHeight="1">
      <c r="A102" s="74">
        <f t="shared" si="1"/>
        <v>94</v>
      </c>
      <c r="B102" s="75"/>
      <c r="C102" s="76"/>
      <c r="D102" s="71" t="s">
        <v>484</v>
      </c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3"/>
      <c r="AA102" s="74" t="s">
        <v>280</v>
      </c>
      <c r="AB102" s="75"/>
      <c r="AC102" s="75"/>
      <c r="AD102" s="75"/>
      <c r="AE102" s="76"/>
      <c r="AF102" s="86" t="s">
        <v>1444</v>
      </c>
      <c r="AG102" s="86"/>
      <c r="AH102" s="86"/>
      <c r="AI102" s="86"/>
      <c r="AJ102" s="86"/>
      <c r="AK102" s="86"/>
      <c r="AL102" s="68"/>
      <c r="AM102" s="69"/>
      <c r="AN102" s="69"/>
      <c r="AO102" s="69"/>
      <c r="AP102" s="69"/>
      <c r="AQ102" s="69"/>
      <c r="AR102" s="69"/>
      <c r="AS102" s="69"/>
      <c r="AT102" s="69"/>
      <c r="AU102" s="69"/>
      <c r="AV102" s="69"/>
      <c r="AW102" s="69"/>
      <c r="AX102" s="69"/>
      <c r="AY102" s="69"/>
      <c r="AZ102" s="69"/>
      <c r="BA102" s="69"/>
      <c r="BB102" s="69"/>
      <c r="BC102" s="69"/>
      <c r="BD102" s="69"/>
      <c r="BE102" s="69"/>
      <c r="BF102" s="69"/>
      <c r="BG102" s="69"/>
      <c r="BH102" s="69"/>
      <c r="BI102" s="69"/>
      <c r="BJ102" s="69"/>
      <c r="BK102" s="69"/>
      <c r="BL102" s="69"/>
      <c r="BM102" s="69"/>
      <c r="BN102" s="69"/>
      <c r="BO102" s="69"/>
      <c r="BP102" s="70"/>
    </row>
    <row r="103" spans="1:68" s="1" customFormat="1" ht="30.75" customHeight="1">
      <c r="A103" s="74">
        <f t="shared" si="1"/>
        <v>95</v>
      </c>
      <c r="B103" s="75"/>
      <c r="C103" s="76"/>
      <c r="D103" s="71" t="s">
        <v>485</v>
      </c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3"/>
      <c r="AA103" s="74" t="s">
        <v>280</v>
      </c>
      <c r="AB103" s="75"/>
      <c r="AC103" s="75"/>
      <c r="AD103" s="75"/>
      <c r="AE103" s="76"/>
      <c r="AF103" s="86">
        <v>14</v>
      </c>
      <c r="AG103" s="86"/>
      <c r="AH103" s="86"/>
      <c r="AI103" s="86"/>
      <c r="AJ103" s="86"/>
      <c r="AK103" s="86"/>
      <c r="AL103" s="68"/>
      <c r="AM103" s="69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69"/>
      <c r="BC103" s="69"/>
      <c r="BD103" s="69"/>
      <c r="BE103" s="69"/>
      <c r="BF103" s="69"/>
      <c r="BG103" s="69"/>
      <c r="BH103" s="69"/>
      <c r="BI103" s="69"/>
      <c r="BJ103" s="69"/>
      <c r="BK103" s="69"/>
      <c r="BL103" s="69"/>
      <c r="BM103" s="69"/>
      <c r="BN103" s="69"/>
      <c r="BO103" s="69"/>
      <c r="BP103" s="70"/>
    </row>
    <row r="104" spans="1:68" s="1" customFormat="1" ht="30.75" customHeight="1">
      <c r="A104" s="74">
        <f t="shared" si="1"/>
        <v>96</v>
      </c>
      <c r="B104" s="75"/>
      <c r="C104" s="76"/>
      <c r="D104" s="71" t="s">
        <v>1044</v>
      </c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3"/>
      <c r="AA104" s="74" t="s">
        <v>280</v>
      </c>
      <c r="AB104" s="75"/>
      <c r="AC104" s="75"/>
      <c r="AD104" s="75"/>
      <c r="AE104" s="76"/>
      <c r="AF104" s="86" t="s">
        <v>1444</v>
      </c>
      <c r="AG104" s="86"/>
      <c r="AH104" s="86"/>
      <c r="AI104" s="86"/>
      <c r="AJ104" s="86"/>
      <c r="AK104" s="86"/>
      <c r="AL104" s="68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69"/>
      <c r="BC104" s="69"/>
      <c r="BD104" s="69"/>
      <c r="BE104" s="69"/>
      <c r="BF104" s="69"/>
      <c r="BG104" s="69"/>
      <c r="BH104" s="69"/>
      <c r="BI104" s="69"/>
      <c r="BJ104" s="69"/>
      <c r="BK104" s="69"/>
      <c r="BL104" s="69"/>
      <c r="BM104" s="69"/>
      <c r="BN104" s="69"/>
      <c r="BO104" s="69"/>
      <c r="BP104" s="70"/>
    </row>
    <row r="105" spans="1:68" s="1" customFormat="1" ht="30.75" customHeight="1">
      <c r="A105" s="74">
        <f t="shared" si="1"/>
        <v>97</v>
      </c>
      <c r="B105" s="75"/>
      <c r="C105" s="76"/>
      <c r="D105" s="71" t="s">
        <v>486</v>
      </c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3"/>
      <c r="AA105" s="74" t="s">
        <v>280</v>
      </c>
      <c r="AB105" s="75"/>
      <c r="AC105" s="75"/>
      <c r="AD105" s="75"/>
      <c r="AE105" s="76"/>
      <c r="AF105" s="86" t="s">
        <v>1444</v>
      </c>
      <c r="AG105" s="86"/>
      <c r="AH105" s="86"/>
      <c r="AI105" s="86"/>
      <c r="AJ105" s="86"/>
      <c r="AK105" s="86"/>
      <c r="AL105" s="68"/>
      <c r="AM105" s="69"/>
      <c r="AN105" s="69"/>
      <c r="AO105" s="69"/>
      <c r="AP105" s="69"/>
      <c r="AQ105" s="69"/>
      <c r="AR105" s="69"/>
      <c r="AS105" s="69"/>
      <c r="AT105" s="69"/>
      <c r="AU105" s="69"/>
      <c r="AV105" s="69"/>
      <c r="AW105" s="69"/>
      <c r="AX105" s="69"/>
      <c r="AY105" s="69"/>
      <c r="AZ105" s="69"/>
      <c r="BA105" s="69"/>
      <c r="BB105" s="69"/>
      <c r="BC105" s="69"/>
      <c r="BD105" s="69"/>
      <c r="BE105" s="69"/>
      <c r="BF105" s="69"/>
      <c r="BG105" s="69"/>
      <c r="BH105" s="69"/>
      <c r="BI105" s="69"/>
      <c r="BJ105" s="69"/>
      <c r="BK105" s="69"/>
      <c r="BL105" s="69"/>
      <c r="BM105" s="69"/>
      <c r="BN105" s="69"/>
      <c r="BO105" s="69"/>
      <c r="BP105" s="70"/>
    </row>
    <row r="106" spans="1:68" s="1" customFormat="1" ht="30.75" customHeight="1">
      <c r="A106" s="74">
        <f t="shared" si="1"/>
        <v>98</v>
      </c>
      <c r="B106" s="75"/>
      <c r="C106" s="76"/>
      <c r="D106" s="71" t="s">
        <v>487</v>
      </c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3"/>
      <c r="AA106" s="74" t="s">
        <v>280</v>
      </c>
      <c r="AB106" s="75"/>
      <c r="AC106" s="75"/>
      <c r="AD106" s="75"/>
      <c r="AE106" s="76"/>
      <c r="AF106" s="86">
        <v>14</v>
      </c>
      <c r="AG106" s="86"/>
      <c r="AH106" s="86"/>
      <c r="AI106" s="86"/>
      <c r="AJ106" s="86"/>
      <c r="AK106" s="86"/>
      <c r="AL106" s="68"/>
      <c r="AM106" s="69"/>
      <c r="AN106" s="69"/>
      <c r="AO106" s="69"/>
      <c r="AP106" s="69"/>
      <c r="AQ106" s="69"/>
      <c r="AR106" s="69"/>
      <c r="AS106" s="69"/>
      <c r="AT106" s="69"/>
      <c r="AU106" s="69"/>
      <c r="AV106" s="69"/>
      <c r="AW106" s="69"/>
      <c r="AX106" s="69"/>
      <c r="AY106" s="69"/>
      <c r="AZ106" s="69"/>
      <c r="BA106" s="69"/>
      <c r="BB106" s="69"/>
      <c r="BC106" s="69"/>
      <c r="BD106" s="69"/>
      <c r="BE106" s="69"/>
      <c r="BF106" s="69"/>
      <c r="BG106" s="69"/>
      <c r="BH106" s="69"/>
      <c r="BI106" s="69"/>
      <c r="BJ106" s="69"/>
      <c r="BK106" s="69"/>
      <c r="BL106" s="69"/>
      <c r="BM106" s="69"/>
      <c r="BN106" s="69"/>
      <c r="BO106" s="69"/>
      <c r="BP106" s="70"/>
    </row>
    <row r="107" spans="1:68" s="1" customFormat="1" ht="30.75" customHeight="1">
      <c r="A107" s="74">
        <f t="shared" si="1"/>
        <v>99</v>
      </c>
      <c r="B107" s="75"/>
      <c r="C107" s="76"/>
      <c r="D107" s="71" t="s">
        <v>488</v>
      </c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3"/>
      <c r="AA107" s="74" t="s">
        <v>280</v>
      </c>
      <c r="AB107" s="75"/>
      <c r="AC107" s="75"/>
      <c r="AD107" s="75"/>
      <c r="AE107" s="76"/>
      <c r="AF107" s="86">
        <v>18</v>
      </c>
      <c r="AG107" s="86"/>
      <c r="AH107" s="86"/>
      <c r="AI107" s="86"/>
      <c r="AJ107" s="86"/>
      <c r="AK107" s="86"/>
      <c r="AL107" s="68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  <c r="AY107" s="69"/>
      <c r="AZ107" s="69"/>
      <c r="BA107" s="69"/>
      <c r="BB107" s="69"/>
      <c r="BC107" s="69"/>
      <c r="BD107" s="69"/>
      <c r="BE107" s="69"/>
      <c r="BF107" s="69"/>
      <c r="BG107" s="69"/>
      <c r="BH107" s="69"/>
      <c r="BI107" s="69"/>
      <c r="BJ107" s="69"/>
      <c r="BK107" s="69"/>
      <c r="BL107" s="69"/>
      <c r="BM107" s="69"/>
      <c r="BN107" s="69"/>
      <c r="BO107" s="69"/>
      <c r="BP107" s="70"/>
    </row>
    <row r="108" spans="1:68" s="1" customFormat="1" ht="30.75" customHeight="1">
      <c r="A108" s="74">
        <f t="shared" si="1"/>
        <v>100</v>
      </c>
      <c r="B108" s="75"/>
      <c r="C108" s="76"/>
      <c r="D108" s="71" t="s">
        <v>489</v>
      </c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3"/>
      <c r="AA108" s="74" t="s">
        <v>280</v>
      </c>
      <c r="AB108" s="75"/>
      <c r="AC108" s="75"/>
      <c r="AD108" s="75"/>
      <c r="AE108" s="76"/>
      <c r="AF108" s="86">
        <v>18</v>
      </c>
      <c r="AG108" s="86"/>
      <c r="AH108" s="86"/>
      <c r="AI108" s="86"/>
      <c r="AJ108" s="86"/>
      <c r="AK108" s="86"/>
      <c r="AL108" s="68"/>
      <c r="AM108" s="69"/>
      <c r="AN108" s="69"/>
      <c r="AO108" s="69"/>
      <c r="AP108" s="69"/>
      <c r="AQ108" s="69"/>
      <c r="AR108" s="69"/>
      <c r="AS108" s="69"/>
      <c r="AT108" s="69"/>
      <c r="AU108" s="69"/>
      <c r="AV108" s="69"/>
      <c r="AW108" s="69"/>
      <c r="AX108" s="69"/>
      <c r="AY108" s="69"/>
      <c r="AZ108" s="69"/>
      <c r="BA108" s="69"/>
      <c r="BB108" s="69"/>
      <c r="BC108" s="69"/>
      <c r="BD108" s="69"/>
      <c r="BE108" s="69"/>
      <c r="BF108" s="69"/>
      <c r="BG108" s="69"/>
      <c r="BH108" s="69"/>
      <c r="BI108" s="69"/>
      <c r="BJ108" s="69"/>
      <c r="BK108" s="69"/>
      <c r="BL108" s="69"/>
      <c r="BM108" s="69"/>
      <c r="BN108" s="69"/>
      <c r="BO108" s="69"/>
      <c r="BP108" s="70"/>
    </row>
    <row r="109" spans="1:68" s="1" customFormat="1" ht="30.75" customHeight="1">
      <c r="A109" s="74">
        <f t="shared" si="1"/>
        <v>101</v>
      </c>
      <c r="B109" s="75"/>
      <c r="C109" s="76"/>
      <c r="D109" s="71" t="s">
        <v>468</v>
      </c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3"/>
      <c r="AA109" s="74" t="s">
        <v>280</v>
      </c>
      <c r="AB109" s="75"/>
      <c r="AC109" s="75"/>
      <c r="AD109" s="75"/>
      <c r="AE109" s="76"/>
      <c r="AF109" s="86">
        <v>18</v>
      </c>
      <c r="AG109" s="86"/>
      <c r="AH109" s="86"/>
      <c r="AI109" s="86"/>
      <c r="AJ109" s="86"/>
      <c r="AK109" s="86"/>
      <c r="AL109" s="68"/>
      <c r="AM109" s="69"/>
      <c r="AN109" s="69"/>
      <c r="AO109" s="69"/>
      <c r="AP109" s="69"/>
      <c r="AQ109" s="69"/>
      <c r="AR109" s="69"/>
      <c r="AS109" s="69"/>
      <c r="AT109" s="69"/>
      <c r="AU109" s="69"/>
      <c r="AV109" s="69"/>
      <c r="AW109" s="69"/>
      <c r="AX109" s="69"/>
      <c r="AY109" s="69"/>
      <c r="AZ109" s="69"/>
      <c r="BA109" s="69"/>
      <c r="BB109" s="69"/>
      <c r="BC109" s="69"/>
      <c r="BD109" s="69"/>
      <c r="BE109" s="69"/>
      <c r="BF109" s="69"/>
      <c r="BG109" s="69"/>
      <c r="BH109" s="69"/>
      <c r="BI109" s="69"/>
      <c r="BJ109" s="69"/>
      <c r="BK109" s="69"/>
      <c r="BL109" s="69"/>
      <c r="BM109" s="69"/>
      <c r="BN109" s="69"/>
      <c r="BO109" s="69"/>
      <c r="BP109" s="70"/>
    </row>
    <row r="110" spans="1:68" s="1" customFormat="1" ht="30.75" customHeight="1">
      <c r="A110" s="74">
        <f t="shared" si="1"/>
        <v>102</v>
      </c>
      <c r="B110" s="75"/>
      <c r="C110" s="76"/>
      <c r="D110" s="71" t="s">
        <v>469</v>
      </c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3"/>
      <c r="AA110" s="74" t="s">
        <v>280</v>
      </c>
      <c r="AB110" s="75"/>
      <c r="AC110" s="75"/>
      <c r="AD110" s="75"/>
      <c r="AE110" s="76"/>
      <c r="AF110" s="86" t="s">
        <v>1504</v>
      </c>
      <c r="AG110" s="86"/>
      <c r="AH110" s="86"/>
      <c r="AI110" s="86"/>
      <c r="AJ110" s="86"/>
      <c r="AK110" s="86"/>
      <c r="AL110" s="68"/>
      <c r="AM110" s="69"/>
      <c r="AN110" s="69"/>
      <c r="AO110" s="69"/>
      <c r="AP110" s="69"/>
      <c r="AQ110" s="69"/>
      <c r="AR110" s="69"/>
      <c r="AS110" s="69"/>
      <c r="AT110" s="69"/>
      <c r="AU110" s="69"/>
      <c r="AV110" s="69"/>
      <c r="AW110" s="69"/>
      <c r="AX110" s="69"/>
      <c r="AY110" s="69"/>
      <c r="AZ110" s="69"/>
      <c r="BA110" s="69"/>
      <c r="BB110" s="69"/>
      <c r="BC110" s="69"/>
      <c r="BD110" s="69"/>
      <c r="BE110" s="69"/>
      <c r="BF110" s="69"/>
      <c r="BG110" s="69"/>
      <c r="BH110" s="69"/>
      <c r="BI110" s="69"/>
      <c r="BJ110" s="69"/>
      <c r="BK110" s="69"/>
      <c r="BL110" s="69"/>
      <c r="BM110" s="69"/>
      <c r="BN110" s="69"/>
      <c r="BO110" s="69"/>
      <c r="BP110" s="70"/>
    </row>
    <row r="111" spans="1:68" s="1" customFormat="1" ht="30.75" customHeight="1">
      <c r="A111" s="74"/>
      <c r="B111" s="75"/>
      <c r="C111" s="76"/>
      <c r="D111" s="71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3"/>
      <c r="AA111" s="74"/>
      <c r="AB111" s="75"/>
      <c r="AC111" s="75"/>
      <c r="AD111" s="75"/>
      <c r="AE111" s="76"/>
      <c r="AF111" s="74"/>
      <c r="AG111" s="75"/>
      <c r="AH111" s="76"/>
      <c r="AI111" s="74"/>
      <c r="AJ111" s="75"/>
      <c r="AK111" s="76"/>
      <c r="AL111" s="68"/>
      <c r="AM111" s="69"/>
      <c r="AN111" s="69"/>
      <c r="AO111" s="69"/>
      <c r="AP111" s="69"/>
      <c r="AQ111" s="69"/>
      <c r="AR111" s="69"/>
      <c r="AS111" s="69"/>
      <c r="AT111" s="69"/>
      <c r="AU111" s="69"/>
      <c r="AV111" s="69"/>
      <c r="AW111" s="69"/>
      <c r="AX111" s="69"/>
      <c r="AY111" s="69"/>
      <c r="AZ111" s="69"/>
      <c r="BA111" s="69"/>
      <c r="BB111" s="69"/>
      <c r="BC111" s="69"/>
      <c r="BD111" s="69"/>
      <c r="BE111" s="69"/>
      <c r="BF111" s="69"/>
      <c r="BG111" s="69"/>
      <c r="BH111" s="69"/>
      <c r="BI111" s="69"/>
      <c r="BJ111" s="69"/>
      <c r="BK111" s="69"/>
      <c r="BL111" s="69"/>
      <c r="BM111" s="69"/>
      <c r="BN111" s="69"/>
      <c r="BO111" s="69"/>
      <c r="BP111" s="70"/>
    </row>
    <row r="112" spans="1:68" s="1" customFormat="1" ht="30.75" customHeight="1">
      <c r="A112" s="80"/>
      <c r="B112" s="81"/>
      <c r="C112" s="82"/>
      <c r="D112" s="77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9"/>
      <c r="AA112" s="80"/>
      <c r="AB112" s="81"/>
      <c r="AC112" s="81"/>
      <c r="AD112" s="81"/>
      <c r="AE112" s="82"/>
      <c r="AF112" s="87"/>
      <c r="AG112" s="87"/>
      <c r="AH112" s="87"/>
      <c r="AI112" s="87"/>
      <c r="AJ112" s="87"/>
      <c r="AK112" s="87"/>
      <c r="AL112" s="83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84"/>
      <c r="BB112" s="84"/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  <c r="BM112" s="84"/>
      <c r="BN112" s="84"/>
      <c r="BO112" s="84"/>
      <c r="BP112" s="85"/>
    </row>
    <row r="113" spans="1:68" s="4" customFormat="1" ht="3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3"/>
      <c r="AG113" s="3"/>
      <c r="AH113" s="3"/>
      <c r="AI113" s="3"/>
      <c r="AJ113" s="3"/>
      <c r="AK113" s="3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</row>
    <row r="114" spans="1:68" s="4" customFormat="1" ht="14.25">
      <c r="A114" s="5" t="s">
        <v>14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15"/>
      <c r="AG114" s="15"/>
      <c r="AH114" s="15"/>
      <c r="AI114" s="15"/>
      <c r="AJ114" s="15"/>
      <c r="AK114" s="15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6"/>
    </row>
    <row r="115" spans="1:68" s="4" customFormat="1" ht="20.25" customHeight="1">
      <c r="A115" s="5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6"/>
    </row>
    <row r="116" spans="1:68" s="4" customFormat="1" ht="20.25" customHeight="1">
      <c r="A116" s="5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6"/>
    </row>
    <row r="117" spans="1:68" s="4" customFormat="1" ht="20.25" customHeight="1">
      <c r="A117" s="5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6"/>
    </row>
    <row r="118" spans="1:68" s="4" customFormat="1" ht="20.25" customHeight="1">
      <c r="A118" s="5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6"/>
    </row>
    <row r="119" spans="1:68" s="4" customFormat="1" ht="20.25" customHeight="1">
      <c r="A119" s="7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9"/>
    </row>
    <row r="120" spans="1:68" ht="5.25" customHeight="1"/>
  </sheetData>
  <mergeCells count="649">
    <mergeCell ref="A12:C12"/>
    <mergeCell ref="D12:Z12"/>
    <mergeCell ref="AA12:AE12"/>
    <mergeCell ref="AL12:BP12"/>
    <mergeCell ref="A13:C13"/>
    <mergeCell ref="D13:Z13"/>
    <mergeCell ref="AA13:AE13"/>
    <mergeCell ref="AL13:BP13"/>
    <mergeCell ref="A10:C10"/>
    <mergeCell ref="D10:Z10"/>
    <mergeCell ref="AA10:AE10"/>
    <mergeCell ref="AL10:BP10"/>
    <mergeCell ref="A11:C11"/>
    <mergeCell ref="D11:Z11"/>
    <mergeCell ref="AA11:AE11"/>
    <mergeCell ref="AL11:BP11"/>
    <mergeCell ref="AF11:AH11"/>
    <mergeCell ref="AI11:AK11"/>
    <mergeCell ref="AF12:AH12"/>
    <mergeCell ref="AI12:AK12"/>
    <mergeCell ref="AF13:AH13"/>
    <mergeCell ref="AI13:AK13"/>
    <mergeCell ref="A16:C16"/>
    <mergeCell ref="D16:Z16"/>
    <mergeCell ref="AA16:AE16"/>
    <mergeCell ref="AL16:BP16"/>
    <mergeCell ref="A17:C17"/>
    <mergeCell ref="D17:Z17"/>
    <mergeCell ref="AA17:AE17"/>
    <mergeCell ref="AL17:BP17"/>
    <mergeCell ref="A14:C14"/>
    <mergeCell ref="D14:Z14"/>
    <mergeCell ref="AA14:AE14"/>
    <mergeCell ref="AL14:BP14"/>
    <mergeCell ref="A15:C15"/>
    <mergeCell ref="D15:Z15"/>
    <mergeCell ref="AA15:AE15"/>
    <mergeCell ref="AL15:BP15"/>
    <mergeCell ref="AF14:AH14"/>
    <mergeCell ref="AI14:AK14"/>
    <mergeCell ref="AF15:AH15"/>
    <mergeCell ref="AI15:AK15"/>
    <mergeCell ref="AF16:AH16"/>
    <mergeCell ref="AI16:AK16"/>
    <mergeCell ref="AF17:AH17"/>
    <mergeCell ref="AI17:AK17"/>
    <mergeCell ref="A66:C66"/>
    <mergeCell ref="D66:Z66"/>
    <mergeCell ref="AA66:AE66"/>
    <mergeCell ref="AL66:BP66"/>
    <mergeCell ref="A68:C68"/>
    <mergeCell ref="D68:Z68"/>
    <mergeCell ref="AA68:AE68"/>
    <mergeCell ref="AL68:BP68"/>
    <mergeCell ref="A18:C18"/>
    <mergeCell ref="D18:Z18"/>
    <mergeCell ref="AA18:AE18"/>
    <mergeCell ref="AL18:BP18"/>
    <mergeCell ref="A36:C36"/>
    <mergeCell ref="D36:Z36"/>
    <mergeCell ref="AA36:AE36"/>
    <mergeCell ref="AL36:BP36"/>
    <mergeCell ref="AA20:AE20"/>
    <mergeCell ref="AL20:BP20"/>
    <mergeCell ref="A23:C23"/>
    <mergeCell ref="D23:Z23"/>
    <mergeCell ref="AA23:AE23"/>
    <mergeCell ref="AL23:BP23"/>
    <mergeCell ref="A24:C24"/>
    <mergeCell ref="D24:Z24"/>
    <mergeCell ref="A71:C71"/>
    <mergeCell ref="D71:Z71"/>
    <mergeCell ref="AA71:AE71"/>
    <mergeCell ref="AL71:BP71"/>
    <mergeCell ref="A73:C73"/>
    <mergeCell ref="D73:Z73"/>
    <mergeCell ref="AA73:AE73"/>
    <mergeCell ref="AL73:BP73"/>
    <mergeCell ref="A69:C69"/>
    <mergeCell ref="D69:Z69"/>
    <mergeCell ref="AA69:AE69"/>
    <mergeCell ref="AL69:BP69"/>
    <mergeCell ref="A70:C70"/>
    <mergeCell ref="D70:Z70"/>
    <mergeCell ref="AA70:AE70"/>
    <mergeCell ref="AL70:BP70"/>
    <mergeCell ref="AF73:AH73"/>
    <mergeCell ref="AI73:AK73"/>
    <mergeCell ref="A76:C76"/>
    <mergeCell ref="D76:Z76"/>
    <mergeCell ref="AA76:AE76"/>
    <mergeCell ref="AL76:BP76"/>
    <mergeCell ref="A77:C77"/>
    <mergeCell ref="D77:Z77"/>
    <mergeCell ref="AA77:AE77"/>
    <mergeCell ref="AL77:BP77"/>
    <mergeCell ref="A74:C74"/>
    <mergeCell ref="D74:Z74"/>
    <mergeCell ref="AA74:AE74"/>
    <mergeCell ref="AL74:BP74"/>
    <mergeCell ref="A75:C75"/>
    <mergeCell ref="D75:Z75"/>
    <mergeCell ref="AA75:AE75"/>
    <mergeCell ref="AL75:BP75"/>
    <mergeCell ref="AF74:AH74"/>
    <mergeCell ref="AI74:AK74"/>
    <mergeCell ref="AF75:AH75"/>
    <mergeCell ref="AI75:AK75"/>
    <mergeCell ref="AF76:AH76"/>
    <mergeCell ref="AI76:AK76"/>
    <mergeCell ref="AF77:AH77"/>
    <mergeCell ref="AI77:AK77"/>
    <mergeCell ref="A79:C79"/>
    <mergeCell ref="D79:Z79"/>
    <mergeCell ref="AA79:AE79"/>
    <mergeCell ref="AL79:BP79"/>
    <mergeCell ref="A107:C107"/>
    <mergeCell ref="D107:Z107"/>
    <mergeCell ref="AA107:AE107"/>
    <mergeCell ref="AL107:BP107"/>
    <mergeCell ref="A108:C108"/>
    <mergeCell ref="D108:Z108"/>
    <mergeCell ref="AA81:AE81"/>
    <mergeCell ref="AL81:BP81"/>
    <mergeCell ref="AA108:AE108"/>
    <mergeCell ref="AL108:BP108"/>
    <mergeCell ref="A102:C102"/>
    <mergeCell ref="D102:Z102"/>
    <mergeCell ref="AA102:AE102"/>
    <mergeCell ref="AL102:BP102"/>
    <mergeCell ref="A103:C103"/>
    <mergeCell ref="D103:Z103"/>
    <mergeCell ref="AA103:AE103"/>
    <mergeCell ref="AL103:BP103"/>
    <mergeCell ref="A91:C91"/>
    <mergeCell ref="D91:Z91"/>
    <mergeCell ref="A112:C112"/>
    <mergeCell ref="D112:Z112"/>
    <mergeCell ref="AA112:AE112"/>
    <mergeCell ref="AL112:BP112"/>
    <mergeCell ref="A19:C19"/>
    <mergeCell ref="D19:Z19"/>
    <mergeCell ref="AA19:AE19"/>
    <mergeCell ref="AL19:BP19"/>
    <mergeCell ref="A20:C20"/>
    <mergeCell ref="D20:Z20"/>
    <mergeCell ref="A80:C80"/>
    <mergeCell ref="D80:Z80"/>
    <mergeCell ref="AA80:AE80"/>
    <mergeCell ref="AL80:BP80"/>
    <mergeCell ref="A81:C81"/>
    <mergeCell ref="D81:Z81"/>
    <mergeCell ref="A78:C78"/>
    <mergeCell ref="D78:Z78"/>
    <mergeCell ref="AA78:AE78"/>
    <mergeCell ref="AL78:BP78"/>
    <mergeCell ref="AA24:AE24"/>
    <mergeCell ref="AL24:BP24"/>
    <mergeCell ref="A21:C21"/>
    <mergeCell ref="D21:Z21"/>
    <mergeCell ref="AA21:AE21"/>
    <mergeCell ref="AL21:BP21"/>
    <mergeCell ref="A22:C22"/>
    <mergeCell ref="D22:Z22"/>
    <mergeCell ref="AA22:AE22"/>
    <mergeCell ref="AL22:BP22"/>
    <mergeCell ref="AF23:AH23"/>
    <mergeCell ref="AI23:AK23"/>
    <mergeCell ref="AF24:AH24"/>
    <mergeCell ref="AI24:AK24"/>
    <mergeCell ref="A27:C27"/>
    <mergeCell ref="D27:Z27"/>
    <mergeCell ref="AA27:AE27"/>
    <mergeCell ref="AL27:BP27"/>
    <mergeCell ref="A28:C28"/>
    <mergeCell ref="D28:Z28"/>
    <mergeCell ref="AA28:AE28"/>
    <mergeCell ref="AL28:BP28"/>
    <mergeCell ref="A25:C25"/>
    <mergeCell ref="D25:Z25"/>
    <mergeCell ref="AA25:AE25"/>
    <mergeCell ref="AL25:BP25"/>
    <mergeCell ref="A26:C26"/>
    <mergeCell ref="D26:Z26"/>
    <mergeCell ref="AA26:AE26"/>
    <mergeCell ref="AL26:BP26"/>
    <mergeCell ref="AF25:AH25"/>
    <mergeCell ref="AI25:AK25"/>
    <mergeCell ref="AF26:AH26"/>
    <mergeCell ref="AI26:AK26"/>
    <mergeCell ref="AF27:AH27"/>
    <mergeCell ref="AI27:AK27"/>
    <mergeCell ref="AF28:AH28"/>
    <mergeCell ref="AI28:AK28"/>
    <mergeCell ref="AA33:AE33"/>
    <mergeCell ref="AL33:BP33"/>
    <mergeCell ref="A29:C29"/>
    <mergeCell ref="D29:Z29"/>
    <mergeCell ref="AA29:AE29"/>
    <mergeCell ref="AL29:BP29"/>
    <mergeCell ref="A31:C31"/>
    <mergeCell ref="D31:Z31"/>
    <mergeCell ref="AA31:AE31"/>
    <mergeCell ref="AL31:BP31"/>
    <mergeCell ref="AF29:AH29"/>
    <mergeCell ref="AI29:AK29"/>
    <mergeCell ref="AF31:AH31"/>
    <mergeCell ref="AI31:AK31"/>
    <mergeCell ref="AF32:AH32"/>
    <mergeCell ref="AI32:AK32"/>
    <mergeCell ref="AF33:AH33"/>
    <mergeCell ref="AI33:AK33"/>
    <mergeCell ref="A30:C30"/>
    <mergeCell ref="D30:Z30"/>
    <mergeCell ref="AA30:AE30"/>
    <mergeCell ref="AL30:BP30"/>
    <mergeCell ref="A32:C32"/>
    <mergeCell ref="D32:Z32"/>
    <mergeCell ref="A57:C57"/>
    <mergeCell ref="D57:Z57"/>
    <mergeCell ref="AA57:AE57"/>
    <mergeCell ref="AL57:BP57"/>
    <mergeCell ref="A46:C46"/>
    <mergeCell ref="D46:Z46"/>
    <mergeCell ref="AA46:AE46"/>
    <mergeCell ref="AL46:BP46"/>
    <mergeCell ref="A47:C47"/>
    <mergeCell ref="D47:Z47"/>
    <mergeCell ref="AA47:AE47"/>
    <mergeCell ref="AL47:BP47"/>
    <mergeCell ref="AA52:AE52"/>
    <mergeCell ref="AL52:BP52"/>
    <mergeCell ref="A48:C48"/>
    <mergeCell ref="D48:Z48"/>
    <mergeCell ref="AA48:AE48"/>
    <mergeCell ref="AL48:BP48"/>
    <mergeCell ref="A56:C56"/>
    <mergeCell ref="D56:Z56"/>
    <mergeCell ref="A49:C49"/>
    <mergeCell ref="D49:Z49"/>
    <mergeCell ref="AA49:AE49"/>
    <mergeCell ref="AF49:AH49"/>
    <mergeCell ref="AA59:AE59"/>
    <mergeCell ref="AL59:BP59"/>
    <mergeCell ref="AF60:AH60"/>
    <mergeCell ref="AI60:AK60"/>
    <mergeCell ref="AF61:AH61"/>
    <mergeCell ref="AI61:AK61"/>
    <mergeCell ref="A65:C65"/>
    <mergeCell ref="D65:Z65"/>
    <mergeCell ref="AA65:AE65"/>
    <mergeCell ref="AL65:BP65"/>
    <mergeCell ref="A62:C62"/>
    <mergeCell ref="D62:Z62"/>
    <mergeCell ref="AA62:AE62"/>
    <mergeCell ref="AL62:BP62"/>
    <mergeCell ref="A63:C63"/>
    <mergeCell ref="D63:Z63"/>
    <mergeCell ref="AA63:AE63"/>
    <mergeCell ref="AL63:BP63"/>
    <mergeCell ref="A64:C64"/>
    <mergeCell ref="D64:Z64"/>
    <mergeCell ref="AA64:AE64"/>
    <mergeCell ref="AL64:BP64"/>
    <mergeCell ref="AF62:AH62"/>
    <mergeCell ref="AI62:AK62"/>
    <mergeCell ref="A37:C37"/>
    <mergeCell ref="D37:Z37"/>
    <mergeCell ref="AA37:AE37"/>
    <mergeCell ref="AL37:BP37"/>
    <mergeCell ref="A38:C38"/>
    <mergeCell ref="D38:Z38"/>
    <mergeCell ref="A53:C53"/>
    <mergeCell ref="D53:Z53"/>
    <mergeCell ref="AA53:AE53"/>
    <mergeCell ref="AL53:BP53"/>
    <mergeCell ref="A51:C51"/>
    <mergeCell ref="D51:Z51"/>
    <mergeCell ref="AA51:AE51"/>
    <mergeCell ref="AL51:BP51"/>
    <mergeCell ref="A52:C52"/>
    <mergeCell ref="D52:Z52"/>
    <mergeCell ref="A40:C40"/>
    <mergeCell ref="D40:Z40"/>
    <mergeCell ref="A41:C41"/>
    <mergeCell ref="D41:Z41"/>
    <mergeCell ref="AA41:AE41"/>
    <mergeCell ref="AL41:BP41"/>
    <mergeCell ref="A45:C45"/>
    <mergeCell ref="D45:Z45"/>
    <mergeCell ref="AA45:AE45"/>
    <mergeCell ref="AL45:BP45"/>
    <mergeCell ref="AA56:AE56"/>
    <mergeCell ref="AL56:BP56"/>
    <mergeCell ref="A55:C55"/>
    <mergeCell ref="D55:Z55"/>
    <mergeCell ref="AA55:AE55"/>
    <mergeCell ref="AL55:BP55"/>
    <mergeCell ref="A50:C50"/>
    <mergeCell ref="D50:Z50"/>
    <mergeCell ref="AA50:AE50"/>
    <mergeCell ref="AL50:BP50"/>
    <mergeCell ref="AF47:AH47"/>
    <mergeCell ref="AI47:AK47"/>
    <mergeCell ref="AF48:AH48"/>
    <mergeCell ref="AI48:AK48"/>
    <mergeCell ref="AF50:AH50"/>
    <mergeCell ref="AI50:AK50"/>
    <mergeCell ref="AF51:AH51"/>
    <mergeCell ref="AI51:AK51"/>
    <mergeCell ref="AF52:AH52"/>
    <mergeCell ref="AI52:AK52"/>
    <mergeCell ref="AF53:AH53"/>
    <mergeCell ref="AI53:AK53"/>
    <mergeCell ref="AA38:AE38"/>
    <mergeCell ref="AL38:BP38"/>
    <mergeCell ref="A39:C39"/>
    <mergeCell ref="D39:Z39"/>
    <mergeCell ref="AA39:AE39"/>
    <mergeCell ref="AL39:BP39"/>
    <mergeCell ref="A44:C44"/>
    <mergeCell ref="D44:Z44"/>
    <mergeCell ref="AA44:AE44"/>
    <mergeCell ref="AL44:BP44"/>
    <mergeCell ref="A42:C42"/>
    <mergeCell ref="D42:Z42"/>
    <mergeCell ref="AA42:AE42"/>
    <mergeCell ref="AL42:BP42"/>
    <mergeCell ref="A43:C43"/>
    <mergeCell ref="D43:Z43"/>
    <mergeCell ref="AA43:AE43"/>
    <mergeCell ref="AL43:BP43"/>
    <mergeCell ref="AA40:AE40"/>
    <mergeCell ref="AL40:BP40"/>
    <mergeCell ref="AF40:AH40"/>
    <mergeCell ref="AI40:AK40"/>
    <mergeCell ref="AF41:AH41"/>
    <mergeCell ref="AI41:AK41"/>
    <mergeCell ref="AA109:AE109"/>
    <mergeCell ref="AL109:BP109"/>
    <mergeCell ref="A110:C110"/>
    <mergeCell ref="D110:Z110"/>
    <mergeCell ref="AA110:AE110"/>
    <mergeCell ref="AL110:BP110"/>
    <mergeCell ref="A109:C109"/>
    <mergeCell ref="D109:Z109"/>
    <mergeCell ref="A106:C106"/>
    <mergeCell ref="D106:Z106"/>
    <mergeCell ref="AA106:AE106"/>
    <mergeCell ref="AL106:BP106"/>
    <mergeCell ref="AA91:AE91"/>
    <mergeCell ref="AL91:BP91"/>
    <mergeCell ref="A92:C92"/>
    <mergeCell ref="D92:Z92"/>
    <mergeCell ref="A105:C105"/>
    <mergeCell ref="D105:Z105"/>
    <mergeCell ref="AA105:AE105"/>
    <mergeCell ref="AL105:BP105"/>
    <mergeCell ref="AA100:AE100"/>
    <mergeCell ref="AL100:BP100"/>
    <mergeCell ref="A101:C101"/>
    <mergeCell ref="D101:Z101"/>
    <mergeCell ref="AA101:AE101"/>
    <mergeCell ref="AL101:BP101"/>
    <mergeCell ref="A98:C98"/>
    <mergeCell ref="D98:Z98"/>
    <mergeCell ref="AA98:AE98"/>
    <mergeCell ref="AL98:BP98"/>
    <mergeCell ref="A100:C100"/>
    <mergeCell ref="D100:Z100"/>
    <mergeCell ref="A97:C97"/>
    <mergeCell ref="D97:Z97"/>
    <mergeCell ref="AF95:AH95"/>
    <mergeCell ref="AI95:AK95"/>
    <mergeCell ref="A89:C89"/>
    <mergeCell ref="D89:Z89"/>
    <mergeCell ref="AA89:AE89"/>
    <mergeCell ref="AL89:BP89"/>
    <mergeCell ref="A90:C90"/>
    <mergeCell ref="D90:Z90"/>
    <mergeCell ref="AA90:AE90"/>
    <mergeCell ref="AL90:BP90"/>
    <mergeCell ref="A82:C82"/>
    <mergeCell ref="D82:Z82"/>
    <mergeCell ref="AA82:AE82"/>
    <mergeCell ref="AL82:BP82"/>
    <mergeCell ref="A84:C84"/>
    <mergeCell ref="D84:Z84"/>
    <mergeCell ref="A86:C86"/>
    <mergeCell ref="D86:Z86"/>
    <mergeCell ref="AA86:AE86"/>
    <mergeCell ref="AL86:BP86"/>
    <mergeCell ref="A87:C87"/>
    <mergeCell ref="D87:Z87"/>
    <mergeCell ref="AA87:AE87"/>
    <mergeCell ref="AL87:BP87"/>
    <mergeCell ref="AA84:AE84"/>
    <mergeCell ref="AL84:BP84"/>
    <mergeCell ref="A85:C85"/>
    <mergeCell ref="D85:Z85"/>
    <mergeCell ref="AA85:AE85"/>
    <mergeCell ref="AL85:BP85"/>
    <mergeCell ref="AA97:AE97"/>
    <mergeCell ref="AL97:BP97"/>
    <mergeCell ref="A96:C96"/>
    <mergeCell ref="D96:Z96"/>
    <mergeCell ref="AA96:AE96"/>
    <mergeCell ref="AL96:BP96"/>
    <mergeCell ref="AA92:AE92"/>
    <mergeCell ref="AL92:BP92"/>
    <mergeCell ref="A95:C95"/>
    <mergeCell ref="D95:Z95"/>
    <mergeCell ref="AA95:AE95"/>
    <mergeCell ref="AL95:BP95"/>
    <mergeCell ref="A93:C93"/>
    <mergeCell ref="D93:Z93"/>
    <mergeCell ref="AA93:AE93"/>
    <mergeCell ref="AL93:BP93"/>
    <mergeCell ref="A94:C94"/>
    <mergeCell ref="D94:Z94"/>
    <mergeCell ref="AA94:AE94"/>
    <mergeCell ref="AL94:BP94"/>
    <mergeCell ref="BF6:BI6"/>
    <mergeCell ref="BJ6:BP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F30:AH30"/>
    <mergeCell ref="AI30:AK30"/>
    <mergeCell ref="A4:G4"/>
    <mergeCell ref="H4:BA4"/>
    <mergeCell ref="BB4:BE4"/>
    <mergeCell ref="BF4:BP4"/>
    <mergeCell ref="AF8:AH8"/>
    <mergeCell ref="AI8:AK8"/>
    <mergeCell ref="AF9:AH9"/>
    <mergeCell ref="AI9:AK9"/>
    <mergeCell ref="AF10:AH10"/>
    <mergeCell ref="AI10:AK10"/>
    <mergeCell ref="A8:C8"/>
    <mergeCell ref="D8:Z8"/>
    <mergeCell ref="AA8:AE8"/>
    <mergeCell ref="AL8:BP8"/>
    <mergeCell ref="A9:C9"/>
    <mergeCell ref="D9:Z9"/>
    <mergeCell ref="AA9:AE9"/>
    <mergeCell ref="AL9:BP9"/>
    <mergeCell ref="A6:G6"/>
    <mergeCell ref="H6:N6"/>
    <mergeCell ref="O6:Y6"/>
    <mergeCell ref="Z6:BE6"/>
    <mergeCell ref="AF18:AH18"/>
    <mergeCell ref="AI18:AK18"/>
    <mergeCell ref="AF19:AH19"/>
    <mergeCell ref="AI19:AK19"/>
    <mergeCell ref="AF20:AH20"/>
    <mergeCell ref="AI20:AK20"/>
    <mergeCell ref="AF21:AH21"/>
    <mergeCell ref="AI21:AK21"/>
    <mergeCell ref="AF22:AH22"/>
    <mergeCell ref="AI22:AK22"/>
    <mergeCell ref="AF43:AH43"/>
    <mergeCell ref="AI43:AK43"/>
    <mergeCell ref="AF44:AH44"/>
    <mergeCell ref="AI44:AK44"/>
    <mergeCell ref="AF45:AH45"/>
    <mergeCell ref="AI45:AK45"/>
    <mergeCell ref="AF46:AH46"/>
    <mergeCell ref="AI46:AK46"/>
    <mergeCell ref="AF36:AH36"/>
    <mergeCell ref="AI36:AK36"/>
    <mergeCell ref="AF37:AH37"/>
    <mergeCell ref="AI37:AK37"/>
    <mergeCell ref="AF38:AH38"/>
    <mergeCell ref="AI38:AK38"/>
    <mergeCell ref="AF39:AH39"/>
    <mergeCell ref="AI39:AK39"/>
    <mergeCell ref="AF68:AH68"/>
    <mergeCell ref="AI68:AK68"/>
    <mergeCell ref="AF69:AH69"/>
    <mergeCell ref="AI69:AK69"/>
    <mergeCell ref="AF70:AH70"/>
    <mergeCell ref="AI70:AK70"/>
    <mergeCell ref="AF71:AH71"/>
    <mergeCell ref="AI71:AK71"/>
    <mergeCell ref="AF55:AH55"/>
    <mergeCell ref="AI55:AK55"/>
    <mergeCell ref="AF56:AH56"/>
    <mergeCell ref="AI56:AK56"/>
    <mergeCell ref="AF57:AH57"/>
    <mergeCell ref="AI57:AK57"/>
    <mergeCell ref="AF58:AH58"/>
    <mergeCell ref="AI58:AK58"/>
    <mergeCell ref="AF59:AH59"/>
    <mergeCell ref="AI59:AK59"/>
    <mergeCell ref="AF63:AH63"/>
    <mergeCell ref="AI63:AK63"/>
    <mergeCell ref="AF64:AH64"/>
    <mergeCell ref="AI64:AK64"/>
    <mergeCell ref="AF65:AH65"/>
    <mergeCell ref="AI65:AK65"/>
    <mergeCell ref="AF78:AH78"/>
    <mergeCell ref="AI78:AK78"/>
    <mergeCell ref="AF79:AH79"/>
    <mergeCell ref="AI79:AK79"/>
    <mergeCell ref="AF80:AH80"/>
    <mergeCell ref="AI80:AK80"/>
    <mergeCell ref="AF81:AH81"/>
    <mergeCell ref="AI81:AK81"/>
    <mergeCell ref="AF82:AH82"/>
    <mergeCell ref="AI82:AK82"/>
    <mergeCell ref="AF85:AH85"/>
    <mergeCell ref="AI85:AK85"/>
    <mergeCell ref="AF86:AH86"/>
    <mergeCell ref="AI86:AK86"/>
    <mergeCell ref="AF87:AH87"/>
    <mergeCell ref="AI87:AK87"/>
    <mergeCell ref="AF89:AH89"/>
    <mergeCell ref="AI89:AK89"/>
    <mergeCell ref="AF90:AH90"/>
    <mergeCell ref="AI90:AK90"/>
    <mergeCell ref="AF105:AH105"/>
    <mergeCell ref="AI105:AK105"/>
    <mergeCell ref="AF106:AH106"/>
    <mergeCell ref="AI106:AK106"/>
    <mergeCell ref="AF96:AH96"/>
    <mergeCell ref="AI96:AK96"/>
    <mergeCell ref="AF97:AH97"/>
    <mergeCell ref="AI97:AK97"/>
    <mergeCell ref="AF98:AH98"/>
    <mergeCell ref="AI98:AK98"/>
    <mergeCell ref="AF100:AH100"/>
    <mergeCell ref="AI100:AK100"/>
    <mergeCell ref="AF101:AH101"/>
    <mergeCell ref="AI101:AK101"/>
    <mergeCell ref="AF103:AH103"/>
    <mergeCell ref="AI103:AK103"/>
    <mergeCell ref="AF112:AH112"/>
    <mergeCell ref="AI112:AK112"/>
    <mergeCell ref="AF107:AH107"/>
    <mergeCell ref="AI107:AK107"/>
    <mergeCell ref="AF108:AH108"/>
    <mergeCell ref="AI108:AK108"/>
    <mergeCell ref="AF109:AH109"/>
    <mergeCell ref="AI109:AK109"/>
    <mergeCell ref="AF110:AH110"/>
    <mergeCell ref="AI110:AK110"/>
    <mergeCell ref="A104:C104"/>
    <mergeCell ref="D104:Z104"/>
    <mergeCell ref="AA104:AE104"/>
    <mergeCell ref="AF104:AH104"/>
    <mergeCell ref="AI104:AK104"/>
    <mergeCell ref="AL104:BP104"/>
    <mergeCell ref="A54:C54"/>
    <mergeCell ref="D54:Z54"/>
    <mergeCell ref="AA54:AE54"/>
    <mergeCell ref="AF54:AH54"/>
    <mergeCell ref="AI54:AK54"/>
    <mergeCell ref="AL54:BP54"/>
    <mergeCell ref="A72:C72"/>
    <mergeCell ref="D72:Z72"/>
    <mergeCell ref="AA72:AE72"/>
    <mergeCell ref="AF72:AH72"/>
    <mergeCell ref="AI72:AK72"/>
    <mergeCell ref="AL72:BP72"/>
    <mergeCell ref="AF102:AH102"/>
    <mergeCell ref="AI102:AK102"/>
    <mergeCell ref="AF94:AH94"/>
    <mergeCell ref="AI94:AK94"/>
    <mergeCell ref="AF84:AH84"/>
    <mergeCell ref="AI84:AK84"/>
    <mergeCell ref="A58:C58"/>
    <mergeCell ref="D58:Z58"/>
    <mergeCell ref="AA58:AE58"/>
    <mergeCell ref="AL58:BP58"/>
    <mergeCell ref="A59:C59"/>
    <mergeCell ref="D59:Z59"/>
    <mergeCell ref="AA32:AE32"/>
    <mergeCell ref="AL32:BP32"/>
    <mergeCell ref="A33:C33"/>
    <mergeCell ref="D33:Z33"/>
    <mergeCell ref="A35:C35"/>
    <mergeCell ref="D35:Z35"/>
    <mergeCell ref="AA35:AE35"/>
    <mergeCell ref="AF35:AH35"/>
    <mergeCell ref="AI35:AK35"/>
    <mergeCell ref="AL35:BP35"/>
    <mergeCell ref="AF34:AH34"/>
    <mergeCell ref="AI34:AK34"/>
    <mergeCell ref="A34:C34"/>
    <mergeCell ref="D34:Z34"/>
    <mergeCell ref="AA34:AE34"/>
    <mergeCell ref="AL34:BP34"/>
    <mergeCell ref="AF42:AH42"/>
    <mergeCell ref="AI42:AK42"/>
    <mergeCell ref="AF91:AH91"/>
    <mergeCell ref="AI91:AK91"/>
    <mergeCell ref="AF92:AH92"/>
    <mergeCell ref="AI92:AK92"/>
    <mergeCell ref="AF93:AH93"/>
    <mergeCell ref="AI93:AK93"/>
    <mergeCell ref="AI49:AK49"/>
    <mergeCell ref="AL49:BP49"/>
    <mergeCell ref="A67:C67"/>
    <mergeCell ref="D67:Z67"/>
    <mergeCell ref="AA67:AE67"/>
    <mergeCell ref="AF67:AH67"/>
    <mergeCell ref="AI67:AK67"/>
    <mergeCell ref="AL67:BP67"/>
    <mergeCell ref="AF66:AH66"/>
    <mergeCell ref="AI66:AK66"/>
    <mergeCell ref="A60:C60"/>
    <mergeCell ref="D60:Z60"/>
    <mergeCell ref="AA60:AE60"/>
    <mergeCell ref="AL60:BP60"/>
    <mergeCell ref="A61:C61"/>
    <mergeCell ref="D61:Z61"/>
    <mergeCell ref="AA61:AE61"/>
    <mergeCell ref="AL61:BP61"/>
    <mergeCell ref="A111:C111"/>
    <mergeCell ref="D111:Z111"/>
    <mergeCell ref="AA111:AE111"/>
    <mergeCell ref="AF111:AH111"/>
    <mergeCell ref="AI111:AK111"/>
    <mergeCell ref="AL111:BP111"/>
    <mergeCell ref="A83:C83"/>
    <mergeCell ref="D83:Z83"/>
    <mergeCell ref="AA83:AE83"/>
    <mergeCell ref="AF83:AH83"/>
    <mergeCell ref="AI83:AK83"/>
    <mergeCell ref="AL83:BP83"/>
    <mergeCell ref="A99:C99"/>
    <mergeCell ref="D99:Z99"/>
    <mergeCell ref="AA99:AE99"/>
    <mergeCell ref="AF99:AH99"/>
    <mergeCell ref="AI99:AK99"/>
    <mergeCell ref="AL99:BP99"/>
    <mergeCell ref="A88:C88"/>
    <mergeCell ref="D88:Z88"/>
    <mergeCell ref="AA88:AE88"/>
    <mergeCell ref="AF88:AH88"/>
    <mergeCell ref="AI88:AK88"/>
    <mergeCell ref="AL88:BP88"/>
  </mergeCells>
  <phoneticPr fontId="3"/>
  <dataValidations count="1">
    <dataValidation type="list" allowBlank="1" showInputMessage="1" showErrorMessage="1" sqref="BJ6:BP6" xr:uid="{86A8B2CF-2825-40D8-99BB-01E850109A70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C8A0E-304A-4377-B1CE-9A80D298C6B3}">
  <dimension ref="A1:BR37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1" width="2.125" style="55"/>
    <col min="32" max="32" width="2.875" style="55" bestFit="1" customWidth="1"/>
    <col min="33" max="38" width="2.125" style="55"/>
    <col min="39" max="44" width="0" style="55" hidden="1" customWidth="1"/>
    <col min="45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144" t="s">
        <v>198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143" t="s">
        <v>1400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1424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17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74">
        <f t="shared" ref="A9:A27" si="0">ROW()-8</f>
        <v>1</v>
      </c>
      <c r="B9" s="75"/>
      <c r="C9" s="76"/>
      <c r="D9" s="71" t="s">
        <v>1401</v>
      </c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3"/>
      <c r="AA9" s="74" t="s">
        <v>429</v>
      </c>
      <c r="AB9" s="75"/>
      <c r="AC9" s="75"/>
      <c r="AD9" s="75"/>
      <c r="AE9" s="76"/>
      <c r="AF9" s="117">
        <v>8</v>
      </c>
      <c r="AG9" s="118"/>
      <c r="AH9" s="119"/>
      <c r="AI9" s="74"/>
      <c r="AJ9" s="75"/>
      <c r="AK9" s="76"/>
      <c r="AL9" s="68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70"/>
    </row>
    <row r="10" spans="1:70" s="1" customFormat="1" ht="30.75" customHeight="1">
      <c r="A10" s="74">
        <f t="shared" si="0"/>
        <v>2</v>
      </c>
      <c r="B10" s="75"/>
      <c r="C10" s="76"/>
      <c r="D10" s="71" t="s">
        <v>1402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  <c r="AA10" s="74" t="s">
        <v>428</v>
      </c>
      <c r="AB10" s="75"/>
      <c r="AC10" s="75"/>
      <c r="AD10" s="75"/>
      <c r="AE10" s="76"/>
      <c r="AF10" s="74">
        <v>2</v>
      </c>
      <c r="AG10" s="75"/>
      <c r="AH10" s="76"/>
      <c r="AI10" s="74"/>
      <c r="AJ10" s="75"/>
      <c r="AK10" s="76"/>
      <c r="AL10" s="68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74">
        <f t="shared" si="0"/>
        <v>3</v>
      </c>
      <c r="B11" s="75"/>
      <c r="C11" s="76"/>
      <c r="D11" s="71" t="s">
        <v>1405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3"/>
      <c r="AA11" s="74" t="s">
        <v>428</v>
      </c>
      <c r="AB11" s="75"/>
      <c r="AC11" s="75"/>
      <c r="AD11" s="75"/>
      <c r="AE11" s="76"/>
      <c r="AF11" s="74">
        <v>10</v>
      </c>
      <c r="AG11" s="75"/>
      <c r="AH11" s="76"/>
      <c r="AI11" s="74"/>
      <c r="AJ11" s="75"/>
      <c r="AK11" s="76"/>
      <c r="AL11" s="68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70"/>
    </row>
    <row r="12" spans="1:70" s="1" customFormat="1" ht="30.75" customHeight="1">
      <c r="A12" s="74">
        <f t="shared" si="0"/>
        <v>4</v>
      </c>
      <c r="B12" s="75"/>
      <c r="C12" s="76"/>
      <c r="D12" s="71" t="s">
        <v>1403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3"/>
      <c r="AA12" s="74" t="s">
        <v>428</v>
      </c>
      <c r="AB12" s="75"/>
      <c r="AC12" s="75"/>
      <c r="AD12" s="75"/>
      <c r="AE12" s="76"/>
      <c r="AF12" s="74">
        <v>2</v>
      </c>
      <c r="AG12" s="75"/>
      <c r="AH12" s="76"/>
      <c r="AI12" s="74"/>
      <c r="AJ12" s="75"/>
      <c r="AK12" s="76"/>
      <c r="AL12" s="68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70"/>
    </row>
    <row r="13" spans="1:70" s="1" customFormat="1" ht="30.75" customHeight="1">
      <c r="A13" s="74">
        <f t="shared" si="0"/>
        <v>5</v>
      </c>
      <c r="B13" s="75"/>
      <c r="C13" s="76"/>
      <c r="D13" s="71" t="s">
        <v>1406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3"/>
      <c r="AA13" s="74" t="s">
        <v>428</v>
      </c>
      <c r="AB13" s="75"/>
      <c r="AC13" s="75"/>
      <c r="AD13" s="75"/>
      <c r="AE13" s="76"/>
      <c r="AF13" s="74">
        <v>10</v>
      </c>
      <c r="AG13" s="75"/>
      <c r="AH13" s="76"/>
      <c r="AI13" s="74"/>
      <c r="AJ13" s="75"/>
      <c r="AK13" s="76"/>
      <c r="AL13" s="68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70"/>
    </row>
    <row r="14" spans="1:70" s="1" customFormat="1" ht="30.75" customHeight="1">
      <c r="A14" s="74">
        <f t="shared" si="0"/>
        <v>6</v>
      </c>
      <c r="B14" s="75"/>
      <c r="C14" s="76"/>
      <c r="D14" s="71" t="s">
        <v>1404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3"/>
      <c r="AA14" s="74" t="s">
        <v>428</v>
      </c>
      <c r="AB14" s="75"/>
      <c r="AC14" s="75"/>
      <c r="AD14" s="75"/>
      <c r="AE14" s="76"/>
      <c r="AF14" s="74">
        <v>2</v>
      </c>
      <c r="AG14" s="75"/>
      <c r="AH14" s="76"/>
      <c r="AI14" s="74"/>
      <c r="AJ14" s="75"/>
      <c r="AK14" s="76"/>
      <c r="AL14" s="68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70"/>
    </row>
    <row r="15" spans="1:70" s="1" customFormat="1" ht="30.75" customHeight="1">
      <c r="A15" s="74">
        <f t="shared" si="0"/>
        <v>7</v>
      </c>
      <c r="B15" s="75"/>
      <c r="C15" s="76"/>
      <c r="D15" s="71" t="s">
        <v>1407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3"/>
      <c r="AA15" s="74" t="s">
        <v>428</v>
      </c>
      <c r="AB15" s="75"/>
      <c r="AC15" s="75"/>
      <c r="AD15" s="75"/>
      <c r="AE15" s="76"/>
      <c r="AF15" s="74">
        <v>10</v>
      </c>
      <c r="AG15" s="75"/>
      <c r="AH15" s="76"/>
      <c r="AI15" s="74"/>
      <c r="AJ15" s="75"/>
      <c r="AK15" s="76"/>
      <c r="AL15" s="68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70"/>
    </row>
    <row r="16" spans="1:70" s="1" customFormat="1" ht="30.75" customHeight="1">
      <c r="A16" s="74">
        <f t="shared" si="0"/>
        <v>8</v>
      </c>
      <c r="B16" s="75"/>
      <c r="C16" s="76"/>
      <c r="D16" s="71" t="s">
        <v>1408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3"/>
      <c r="AA16" s="74" t="s">
        <v>428</v>
      </c>
      <c r="AB16" s="75"/>
      <c r="AC16" s="75"/>
      <c r="AD16" s="75"/>
      <c r="AE16" s="76"/>
      <c r="AF16" s="74">
        <v>2</v>
      </c>
      <c r="AG16" s="75"/>
      <c r="AH16" s="76"/>
      <c r="AI16" s="74"/>
      <c r="AJ16" s="75"/>
      <c r="AK16" s="76"/>
      <c r="AL16" s="68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70"/>
    </row>
    <row r="17" spans="1:68" s="1" customFormat="1" ht="30.6" customHeight="1">
      <c r="A17" s="74">
        <f t="shared" si="0"/>
        <v>9</v>
      </c>
      <c r="B17" s="75"/>
      <c r="C17" s="76"/>
      <c r="D17" s="71" t="s">
        <v>1411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3"/>
      <c r="AA17" s="74" t="s">
        <v>428</v>
      </c>
      <c r="AB17" s="75"/>
      <c r="AC17" s="75"/>
      <c r="AD17" s="75"/>
      <c r="AE17" s="76"/>
      <c r="AF17" s="74">
        <v>15</v>
      </c>
      <c r="AG17" s="75"/>
      <c r="AH17" s="76"/>
      <c r="AI17" s="74"/>
      <c r="AJ17" s="75"/>
      <c r="AK17" s="76"/>
      <c r="AL17" s="68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70"/>
    </row>
    <row r="18" spans="1:68" s="1" customFormat="1" ht="30.75" customHeight="1">
      <c r="A18" s="74">
        <f t="shared" si="0"/>
        <v>10</v>
      </c>
      <c r="B18" s="75"/>
      <c r="C18" s="76"/>
      <c r="D18" s="71" t="s">
        <v>1409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3"/>
      <c r="AA18" s="74" t="s">
        <v>428</v>
      </c>
      <c r="AB18" s="75"/>
      <c r="AC18" s="75"/>
      <c r="AD18" s="75"/>
      <c r="AE18" s="76"/>
      <c r="AF18" s="74">
        <v>2</v>
      </c>
      <c r="AG18" s="75"/>
      <c r="AH18" s="76"/>
      <c r="AI18" s="74"/>
      <c r="AJ18" s="75"/>
      <c r="AK18" s="76"/>
      <c r="AL18" s="68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70"/>
    </row>
    <row r="19" spans="1:68" s="1" customFormat="1" ht="30.75" customHeight="1">
      <c r="A19" s="74">
        <f t="shared" si="0"/>
        <v>11</v>
      </c>
      <c r="B19" s="75"/>
      <c r="C19" s="76"/>
      <c r="D19" s="71" t="s">
        <v>1412</v>
      </c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3"/>
      <c r="AA19" s="74" t="s">
        <v>428</v>
      </c>
      <c r="AB19" s="75"/>
      <c r="AC19" s="75"/>
      <c r="AD19" s="75"/>
      <c r="AE19" s="76"/>
      <c r="AF19" s="74">
        <v>15</v>
      </c>
      <c r="AG19" s="75"/>
      <c r="AH19" s="76"/>
      <c r="AI19" s="74"/>
      <c r="AJ19" s="75"/>
      <c r="AK19" s="76"/>
      <c r="AL19" s="68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70"/>
    </row>
    <row r="20" spans="1:68" s="1" customFormat="1" ht="30.75" customHeight="1">
      <c r="A20" s="74">
        <f t="shared" si="0"/>
        <v>12</v>
      </c>
      <c r="B20" s="75"/>
      <c r="C20" s="76"/>
      <c r="D20" s="71" t="s">
        <v>1410</v>
      </c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3"/>
      <c r="AA20" s="74" t="s">
        <v>428</v>
      </c>
      <c r="AB20" s="75"/>
      <c r="AC20" s="75"/>
      <c r="AD20" s="75"/>
      <c r="AE20" s="76"/>
      <c r="AF20" s="74">
        <v>2</v>
      </c>
      <c r="AG20" s="75"/>
      <c r="AH20" s="76"/>
      <c r="AI20" s="74"/>
      <c r="AJ20" s="75"/>
      <c r="AK20" s="76"/>
      <c r="AL20" s="68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70"/>
    </row>
    <row r="21" spans="1:68" s="1" customFormat="1" ht="30.75" customHeight="1">
      <c r="A21" s="74">
        <f t="shared" si="0"/>
        <v>13</v>
      </c>
      <c r="B21" s="75"/>
      <c r="C21" s="76"/>
      <c r="D21" s="71" t="s">
        <v>1413</v>
      </c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3"/>
      <c r="AA21" s="74" t="s">
        <v>428</v>
      </c>
      <c r="AB21" s="75"/>
      <c r="AC21" s="75"/>
      <c r="AD21" s="75"/>
      <c r="AE21" s="76"/>
      <c r="AF21" s="74">
        <v>15</v>
      </c>
      <c r="AG21" s="75"/>
      <c r="AH21" s="76"/>
      <c r="AI21" s="74"/>
      <c r="AJ21" s="75"/>
      <c r="AK21" s="76"/>
      <c r="AL21" s="68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70"/>
    </row>
    <row r="22" spans="1:68" s="1" customFormat="1" ht="30.75" customHeight="1">
      <c r="A22" s="74">
        <f t="shared" si="0"/>
        <v>14</v>
      </c>
      <c r="B22" s="75"/>
      <c r="C22" s="76"/>
      <c r="D22" s="71" t="s">
        <v>1414</v>
      </c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3"/>
      <c r="AA22" s="74" t="s">
        <v>428</v>
      </c>
      <c r="AB22" s="75"/>
      <c r="AC22" s="75"/>
      <c r="AD22" s="75"/>
      <c r="AE22" s="76"/>
      <c r="AF22" s="74">
        <v>4</v>
      </c>
      <c r="AG22" s="75"/>
      <c r="AH22" s="76"/>
      <c r="AI22" s="74"/>
      <c r="AJ22" s="75"/>
      <c r="AK22" s="76"/>
      <c r="AL22" s="68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70"/>
    </row>
    <row r="23" spans="1:68" s="1" customFormat="1" ht="30.75" customHeight="1">
      <c r="A23" s="74">
        <f t="shared" si="0"/>
        <v>15</v>
      </c>
      <c r="B23" s="75"/>
      <c r="C23" s="76"/>
      <c r="D23" s="71" t="s">
        <v>1417</v>
      </c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3"/>
      <c r="AA23" s="74" t="s">
        <v>428</v>
      </c>
      <c r="AB23" s="75"/>
      <c r="AC23" s="75"/>
      <c r="AD23" s="75"/>
      <c r="AE23" s="76"/>
      <c r="AF23" s="74">
        <v>15</v>
      </c>
      <c r="AG23" s="75"/>
      <c r="AH23" s="76"/>
      <c r="AI23" s="74"/>
      <c r="AJ23" s="75"/>
      <c r="AK23" s="76"/>
      <c r="AL23" s="68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70"/>
    </row>
    <row r="24" spans="1:68" s="1" customFormat="1" ht="30.75" customHeight="1">
      <c r="A24" s="74">
        <f t="shared" si="0"/>
        <v>16</v>
      </c>
      <c r="B24" s="75"/>
      <c r="C24" s="76"/>
      <c r="D24" s="71" t="s">
        <v>1415</v>
      </c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3"/>
      <c r="AA24" s="74" t="s">
        <v>428</v>
      </c>
      <c r="AB24" s="75"/>
      <c r="AC24" s="75"/>
      <c r="AD24" s="75"/>
      <c r="AE24" s="76"/>
      <c r="AF24" s="74">
        <v>4</v>
      </c>
      <c r="AG24" s="75"/>
      <c r="AH24" s="76"/>
      <c r="AI24" s="74"/>
      <c r="AJ24" s="75"/>
      <c r="AK24" s="76"/>
      <c r="AL24" s="68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70"/>
    </row>
    <row r="25" spans="1:68" s="1" customFormat="1" ht="30.75" customHeight="1">
      <c r="A25" s="74">
        <f t="shared" si="0"/>
        <v>17</v>
      </c>
      <c r="B25" s="75"/>
      <c r="C25" s="76"/>
      <c r="D25" s="71" t="s">
        <v>1418</v>
      </c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3"/>
      <c r="AA25" s="74" t="s">
        <v>428</v>
      </c>
      <c r="AB25" s="75"/>
      <c r="AC25" s="75"/>
      <c r="AD25" s="75"/>
      <c r="AE25" s="76"/>
      <c r="AF25" s="74">
        <v>15</v>
      </c>
      <c r="AG25" s="75"/>
      <c r="AH25" s="76"/>
      <c r="AI25" s="74"/>
      <c r="AJ25" s="75"/>
      <c r="AK25" s="76"/>
      <c r="AL25" s="68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70"/>
    </row>
    <row r="26" spans="1:68" s="1" customFormat="1" ht="30.75" customHeight="1">
      <c r="A26" s="74">
        <f t="shared" si="0"/>
        <v>18</v>
      </c>
      <c r="B26" s="75"/>
      <c r="C26" s="76"/>
      <c r="D26" s="71" t="s">
        <v>1416</v>
      </c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3"/>
      <c r="AA26" s="74" t="s">
        <v>428</v>
      </c>
      <c r="AB26" s="75"/>
      <c r="AC26" s="75"/>
      <c r="AD26" s="75"/>
      <c r="AE26" s="76"/>
      <c r="AF26" s="74">
        <v>4</v>
      </c>
      <c r="AG26" s="75"/>
      <c r="AH26" s="76"/>
      <c r="AI26" s="74"/>
      <c r="AJ26" s="75"/>
      <c r="AK26" s="76"/>
      <c r="AL26" s="68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70"/>
    </row>
    <row r="27" spans="1:68" s="1" customFormat="1" ht="30.75" customHeight="1">
      <c r="A27" s="74">
        <f t="shared" si="0"/>
        <v>19</v>
      </c>
      <c r="B27" s="75"/>
      <c r="C27" s="76"/>
      <c r="D27" s="71" t="s">
        <v>1419</v>
      </c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3"/>
      <c r="AA27" s="74" t="s">
        <v>428</v>
      </c>
      <c r="AB27" s="75"/>
      <c r="AC27" s="75"/>
      <c r="AD27" s="75"/>
      <c r="AE27" s="76"/>
      <c r="AF27" s="74">
        <v>15</v>
      </c>
      <c r="AG27" s="75"/>
      <c r="AH27" s="76"/>
      <c r="AI27" s="74"/>
      <c r="AJ27" s="75"/>
      <c r="AK27" s="76"/>
      <c r="AL27" s="68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70"/>
    </row>
    <row r="28" spans="1:68" s="1" customFormat="1" ht="30.75" customHeight="1">
      <c r="A28" s="74"/>
      <c r="B28" s="75"/>
      <c r="C28" s="76"/>
      <c r="D28" s="71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3"/>
      <c r="AA28" s="74"/>
      <c r="AB28" s="75"/>
      <c r="AC28" s="75"/>
      <c r="AD28" s="75"/>
      <c r="AE28" s="76"/>
      <c r="AF28" s="86"/>
      <c r="AG28" s="86"/>
      <c r="AH28" s="86"/>
      <c r="AI28" s="86"/>
      <c r="AJ28" s="86"/>
      <c r="AK28" s="86"/>
      <c r="AL28" s="68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70"/>
    </row>
    <row r="29" spans="1:68" s="1" customFormat="1" ht="30.75" customHeight="1">
      <c r="A29" s="80"/>
      <c r="B29" s="81"/>
      <c r="C29" s="82"/>
      <c r="D29" s="77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9"/>
      <c r="AA29" s="80"/>
      <c r="AB29" s="81"/>
      <c r="AC29" s="81"/>
      <c r="AD29" s="81"/>
      <c r="AE29" s="82"/>
      <c r="AF29" s="87"/>
      <c r="AG29" s="87"/>
      <c r="AH29" s="87"/>
      <c r="AI29" s="87"/>
      <c r="AJ29" s="87"/>
      <c r="AK29" s="87"/>
      <c r="AL29" s="83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5"/>
    </row>
    <row r="30" spans="1:68" s="4" customFormat="1" ht="3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3"/>
      <c r="AG30" s="3"/>
      <c r="AH30" s="3"/>
      <c r="AI30" s="3"/>
      <c r="AJ30" s="3"/>
      <c r="AK30" s="3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</row>
    <row r="31" spans="1:68" s="4" customFormat="1" ht="14.25">
      <c r="A31" s="5" t="s">
        <v>14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15"/>
      <c r="AG31" s="15"/>
      <c r="AH31" s="15"/>
      <c r="AI31" s="15"/>
      <c r="AJ31" s="15"/>
      <c r="AK31" s="15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6"/>
    </row>
    <row r="32" spans="1:68" s="4" customFormat="1" ht="20.25" customHeight="1">
      <c r="A32" s="5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6"/>
    </row>
    <row r="33" spans="1:68" s="4" customFormat="1" ht="20.25" customHeight="1">
      <c r="A33" s="5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6"/>
    </row>
    <row r="34" spans="1:68" s="4" customFormat="1" ht="20.25" customHeight="1">
      <c r="A34" s="5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6"/>
    </row>
    <row r="35" spans="1:68" s="4" customFormat="1" ht="20.25" customHeight="1">
      <c r="A35" s="5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6"/>
    </row>
    <row r="36" spans="1:68" s="4" customFormat="1" ht="20.25" customHeight="1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9"/>
    </row>
    <row r="37" spans="1:68" ht="5.25" customHeight="1"/>
  </sheetData>
  <mergeCells count="151">
    <mergeCell ref="D26:Z26"/>
    <mergeCell ref="D27:Z27"/>
    <mergeCell ref="D15:Z15"/>
    <mergeCell ref="D18:Z18"/>
    <mergeCell ref="D19:Z19"/>
    <mergeCell ref="D20:Z20"/>
    <mergeCell ref="D21:Z21"/>
    <mergeCell ref="D22:Z22"/>
    <mergeCell ref="AF25:AH25"/>
    <mergeCell ref="AA21:AE21"/>
    <mergeCell ref="AF21:AH21"/>
    <mergeCell ref="AI25:AK25"/>
    <mergeCell ref="AL25:BP25"/>
    <mergeCell ref="D10:Z10"/>
    <mergeCell ref="D11:Z11"/>
    <mergeCell ref="D12:Z12"/>
    <mergeCell ref="D13:Z13"/>
    <mergeCell ref="D14:Z14"/>
    <mergeCell ref="A24:C24"/>
    <mergeCell ref="AA24:AE24"/>
    <mergeCell ref="AF24:AH24"/>
    <mergeCell ref="AI24:AK24"/>
    <mergeCell ref="AL24:BP24"/>
    <mergeCell ref="A18:C18"/>
    <mergeCell ref="AA18:AE18"/>
    <mergeCell ref="AF18:AH18"/>
    <mergeCell ref="AI18:AK18"/>
    <mergeCell ref="AL18:BP18"/>
    <mergeCell ref="A15:C15"/>
    <mergeCell ref="AA15:AE15"/>
    <mergeCell ref="AF15:AH15"/>
    <mergeCell ref="AI15:AK15"/>
    <mergeCell ref="D24:Z24"/>
    <mergeCell ref="D25:Z25"/>
    <mergeCell ref="AF14:AH14"/>
    <mergeCell ref="AI14:AK14"/>
    <mergeCell ref="AL14:BP14"/>
    <mergeCell ref="A27:C27"/>
    <mergeCell ref="AA27:AE27"/>
    <mergeCell ref="AF27:AH27"/>
    <mergeCell ref="AI27:AK27"/>
    <mergeCell ref="AL27:BP27"/>
    <mergeCell ref="A19:C19"/>
    <mergeCell ref="AA19:AE19"/>
    <mergeCell ref="AF19:AH19"/>
    <mergeCell ref="AI19:AK19"/>
    <mergeCell ref="AL19:BP19"/>
    <mergeCell ref="A26:C26"/>
    <mergeCell ref="AA26:AE26"/>
    <mergeCell ref="AF26:AH26"/>
    <mergeCell ref="AI26:AK26"/>
    <mergeCell ref="AL26:BP26"/>
    <mergeCell ref="A20:C20"/>
    <mergeCell ref="AA20:AE20"/>
    <mergeCell ref="AF20:AH20"/>
    <mergeCell ref="AI20:AK20"/>
    <mergeCell ref="A25:C25"/>
    <mergeCell ref="AA25:AE25"/>
    <mergeCell ref="A21:C21"/>
    <mergeCell ref="AI21:AK21"/>
    <mergeCell ref="AL21:BP21"/>
    <mergeCell ref="AA17:AE17"/>
    <mergeCell ref="AF17:AH17"/>
    <mergeCell ref="A17:C17"/>
    <mergeCell ref="D17:Z17"/>
    <mergeCell ref="AL20:BP20"/>
    <mergeCell ref="AI17:AK17"/>
    <mergeCell ref="AL17:BP17"/>
    <mergeCell ref="A23:C23"/>
    <mergeCell ref="AA23:AE23"/>
    <mergeCell ref="AF23:AH23"/>
    <mergeCell ref="AI23:AK23"/>
    <mergeCell ref="AL23:BP23"/>
    <mergeCell ref="A22:C22"/>
    <mergeCell ref="AA22:AE22"/>
    <mergeCell ref="AF22:AH22"/>
    <mergeCell ref="AI22:AK22"/>
    <mergeCell ref="AL22:BP22"/>
    <mergeCell ref="D23:Z23"/>
    <mergeCell ref="A29:C29"/>
    <mergeCell ref="D29:Z29"/>
    <mergeCell ref="AA29:AE29"/>
    <mergeCell ref="AF29:AH29"/>
    <mergeCell ref="AI29:AK29"/>
    <mergeCell ref="AL29:BP29"/>
    <mergeCell ref="A28:C28"/>
    <mergeCell ref="D28:Z28"/>
    <mergeCell ref="AA28:AE28"/>
    <mergeCell ref="AF28:AH28"/>
    <mergeCell ref="AI28:AK28"/>
    <mergeCell ref="AL28:BP28"/>
    <mergeCell ref="A16:C16"/>
    <mergeCell ref="D16:Z16"/>
    <mergeCell ref="AA16:AE16"/>
    <mergeCell ref="AF16:AH16"/>
    <mergeCell ref="AI16:AK16"/>
    <mergeCell ref="AL16:BP16"/>
    <mergeCell ref="A11:C11"/>
    <mergeCell ref="AA11:AE11"/>
    <mergeCell ref="AF11:AH11"/>
    <mergeCell ref="AI11:AK11"/>
    <mergeCell ref="AL11:BP11"/>
    <mergeCell ref="A12:C12"/>
    <mergeCell ref="AA12:AE12"/>
    <mergeCell ref="AF12:AH12"/>
    <mergeCell ref="AI12:AK12"/>
    <mergeCell ref="AL12:BP12"/>
    <mergeCell ref="AL15:BP15"/>
    <mergeCell ref="A13:C13"/>
    <mergeCell ref="AA13:AE13"/>
    <mergeCell ref="AF13:AH13"/>
    <mergeCell ref="AI13:AK13"/>
    <mergeCell ref="AL13:BP13"/>
    <mergeCell ref="A14:C14"/>
    <mergeCell ref="AA14:AE14"/>
    <mergeCell ref="A10:C10"/>
    <mergeCell ref="AA10:AE10"/>
    <mergeCell ref="AF10:AH10"/>
    <mergeCell ref="AI10:AK10"/>
    <mergeCell ref="AL10:BP10"/>
    <mergeCell ref="A9:C9"/>
    <mergeCell ref="AA9:AE9"/>
    <mergeCell ref="AF9:AH9"/>
    <mergeCell ref="AI9:AK9"/>
    <mergeCell ref="AL9:BP9"/>
    <mergeCell ref="D9:Z9"/>
    <mergeCell ref="A8:C8"/>
    <mergeCell ref="D8:Z8"/>
    <mergeCell ref="AA8:AE8"/>
    <mergeCell ref="AF8:AH8"/>
    <mergeCell ref="AI8:AK8"/>
    <mergeCell ref="AL8:BP8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</mergeCells>
  <phoneticPr fontId="3"/>
  <dataValidations count="1">
    <dataValidation type="list" allowBlank="1" showInputMessage="1" showErrorMessage="1" sqref="BJ6:BP6" xr:uid="{647F82E3-8322-4312-9423-216EEA3E5ACF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625A9-A592-44CC-B12E-BF5B9351101F}">
  <sheetPr codeName="Sheet21"/>
  <dimension ref="A1:BR53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8" width="2.125" style="55"/>
    <col min="39" max="44" width="0" style="55" hidden="1" customWidth="1"/>
    <col min="45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144" t="s">
        <v>198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143" t="s">
        <v>626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223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125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117">
        <f t="shared" ref="A9:A43" si="0">ROW()-8</f>
        <v>1</v>
      </c>
      <c r="B9" s="118"/>
      <c r="C9" s="119"/>
      <c r="D9" s="114" t="s">
        <v>494</v>
      </c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6"/>
      <c r="AA9" s="117" t="s">
        <v>280</v>
      </c>
      <c r="AB9" s="118"/>
      <c r="AC9" s="118"/>
      <c r="AD9" s="118"/>
      <c r="AE9" s="119"/>
      <c r="AF9" s="117">
        <v>6</v>
      </c>
      <c r="AG9" s="118"/>
      <c r="AH9" s="119"/>
      <c r="AI9" s="117"/>
      <c r="AJ9" s="118"/>
      <c r="AK9" s="119"/>
      <c r="AL9" s="68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70"/>
    </row>
    <row r="10" spans="1:70" s="1" customFormat="1" ht="30.75" customHeight="1">
      <c r="A10" s="74">
        <f t="shared" si="0"/>
        <v>2</v>
      </c>
      <c r="B10" s="75"/>
      <c r="C10" s="76"/>
      <c r="D10" s="71" t="s">
        <v>495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  <c r="AA10" s="74" t="s">
        <v>280</v>
      </c>
      <c r="AB10" s="75"/>
      <c r="AC10" s="75"/>
      <c r="AD10" s="75"/>
      <c r="AE10" s="76"/>
      <c r="AF10" s="74">
        <v>2</v>
      </c>
      <c r="AG10" s="75"/>
      <c r="AH10" s="76"/>
      <c r="AI10" s="74"/>
      <c r="AJ10" s="75"/>
      <c r="AK10" s="76"/>
      <c r="AL10" s="68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74">
        <f t="shared" si="0"/>
        <v>3</v>
      </c>
      <c r="B11" s="75"/>
      <c r="C11" s="76"/>
      <c r="D11" s="71" t="s">
        <v>496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3"/>
      <c r="AA11" s="74" t="s">
        <v>346</v>
      </c>
      <c r="AB11" s="75"/>
      <c r="AC11" s="75"/>
      <c r="AD11" s="75"/>
      <c r="AE11" s="76"/>
      <c r="AF11" s="74">
        <v>10</v>
      </c>
      <c r="AG11" s="75"/>
      <c r="AH11" s="76"/>
      <c r="AI11" s="74"/>
      <c r="AJ11" s="75"/>
      <c r="AK11" s="76"/>
      <c r="AL11" s="68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70"/>
    </row>
    <row r="12" spans="1:70" s="1" customFormat="1" ht="30.75" customHeight="1">
      <c r="A12" s="74">
        <f t="shared" si="0"/>
        <v>4</v>
      </c>
      <c r="B12" s="75"/>
      <c r="C12" s="76"/>
      <c r="D12" s="71" t="s">
        <v>497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3"/>
      <c r="AA12" s="74" t="s">
        <v>346</v>
      </c>
      <c r="AB12" s="75"/>
      <c r="AC12" s="75"/>
      <c r="AD12" s="75"/>
      <c r="AE12" s="76"/>
      <c r="AF12" s="74">
        <v>1</v>
      </c>
      <c r="AG12" s="75"/>
      <c r="AH12" s="76"/>
      <c r="AI12" s="74"/>
      <c r="AJ12" s="75"/>
      <c r="AK12" s="76"/>
      <c r="AL12" s="68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70"/>
    </row>
    <row r="13" spans="1:70" s="1" customFormat="1" ht="30.75" customHeight="1">
      <c r="A13" s="74">
        <f t="shared" si="0"/>
        <v>5</v>
      </c>
      <c r="B13" s="75"/>
      <c r="C13" s="76"/>
      <c r="D13" s="71" t="s">
        <v>526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3"/>
      <c r="AA13" s="74" t="s">
        <v>280</v>
      </c>
      <c r="AB13" s="75"/>
      <c r="AC13" s="75"/>
      <c r="AD13" s="75"/>
      <c r="AE13" s="76"/>
      <c r="AF13" s="74">
        <v>4</v>
      </c>
      <c r="AG13" s="75"/>
      <c r="AH13" s="76"/>
      <c r="AI13" s="74"/>
      <c r="AJ13" s="75"/>
      <c r="AK13" s="76"/>
      <c r="AL13" s="68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70"/>
    </row>
    <row r="14" spans="1:70" s="1" customFormat="1" ht="30.75" customHeight="1">
      <c r="A14" s="74">
        <f t="shared" si="0"/>
        <v>6</v>
      </c>
      <c r="B14" s="75"/>
      <c r="C14" s="76"/>
      <c r="D14" s="71" t="s">
        <v>498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3"/>
      <c r="AA14" s="74" t="s">
        <v>280</v>
      </c>
      <c r="AB14" s="75"/>
      <c r="AC14" s="75"/>
      <c r="AD14" s="75"/>
      <c r="AE14" s="76"/>
      <c r="AF14" s="74">
        <v>4</v>
      </c>
      <c r="AG14" s="75"/>
      <c r="AH14" s="76"/>
      <c r="AI14" s="74"/>
      <c r="AJ14" s="75"/>
      <c r="AK14" s="76"/>
      <c r="AL14" s="68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70"/>
    </row>
    <row r="15" spans="1:70" s="1" customFormat="1" ht="30.75" customHeight="1">
      <c r="A15" s="74">
        <f t="shared" si="0"/>
        <v>7</v>
      </c>
      <c r="B15" s="75"/>
      <c r="C15" s="76"/>
      <c r="D15" s="71" t="s">
        <v>499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3"/>
      <c r="AA15" s="74" t="s">
        <v>346</v>
      </c>
      <c r="AB15" s="75"/>
      <c r="AC15" s="75"/>
      <c r="AD15" s="75"/>
      <c r="AE15" s="76"/>
      <c r="AF15" s="74">
        <v>15</v>
      </c>
      <c r="AG15" s="75"/>
      <c r="AH15" s="76"/>
      <c r="AI15" s="74"/>
      <c r="AJ15" s="75"/>
      <c r="AK15" s="76"/>
      <c r="AL15" s="68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70"/>
    </row>
    <row r="16" spans="1:70" s="1" customFormat="1" ht="30.75" customHeight="1">
      <c r="A16" s="74">
        <f t="shared" si="0"/>
        <v>8</v>
      </c>
      <c r="B16" s="75"/>
      <c r="C16" s="76"/>
      <c r="D16" s="71" t="s">
        <v>500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3"/>
      <c r="AA16" s="74" t="s">
        <v>280</v>
      </c>
      <c r="AB16" s="75"/>
      <c r="AC16" s="75"/>
      <c r="AD16" s="75"/>
      <c r="AE16" s="76"/>
      <c r="AF16" s="74">
        <v>6</v>
      </c>
      <c r="AG16" s="75"/>
      <c r="AH16" s="76"/>
      <c r="AI16" s="74"/>
      <c r="AJ16" s="75"/>
      <c r="AK16" s="76"/>
      <c r="AL16" s="68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70"/>
    </row>
    <row r="17" spans="1:68" s="1" customFormat="1" ht="30.75" customHeight="1">
      <c r="A17" s="74">
        <f t="shared" si="0"/>
        <v>9</v>
      </c>
      <c r="B17" s="75"/>
      <c r="C17" s="76"/>
      <c r="D17" s="71" t="s">
        <v>527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3"/>
      <c r="AA17" s="74" t="s">
        <v>346</v>
      </c>
      <c r="AB17" s="75"/>
      <c r="AC17" s="75"/>
      <c r="AD17" s="75"/>
      <c r="AE17" s="76"/>
      <c r="AF17" s="74">
        <v>15</v>
      </c>
      <c r="AG17" s="75"/>
      <c r="AH17" s="76"/>
      <c r="AI17" s="74"/>
      <c r="AJ17" s="75"/>
      <c r="AK17" s="76"/>
      <c r="AL17" s="68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70"/>
    </row>
    <row r="18" spans="1:68" s="1" customFormat="1" ht="30.75" customHeight="1">
      <c r="A18" s="74">
        <f t="shared" si="0"/>
        <v>10</v>
      </c>
      <c r="B18" s="75"/>
      <c r="C18" s="76"/>
      <c r="D18" s="71" t="s">
        <v>528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3"/>
      <c r="AA18" s="74" t="s">
        <v>280</v>
      </c>
      <c r="AB18" s="75"/>
      <c r="AC18" s="75"/>
      <c r="AD18" s="75"/>
      <c r="AE18" s="76"/>
      <c r="AF18" s="74">
        <v>2</v>
      </c>
      <c r="AG18" s="75"/>
      <c r="AH18" s="76"/>
      <c r="AI18" s="74"/>
      <c r="AJ18" s="75"/>
      <c r="AK18" s="76"/>
      <c r="AL18" s="68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70"/>
    </row>
    <row r="19" spans="1:68" s="1" customFormat="1" ht="30.75" customHeight="1">
      <c r="A19" s="74">
        <f t="shared" si="0"/>
        <v>11</v>
      </c>
      <c r="B19" s="75"/>
      <c r="C19" s="76"/>
      <c r="D19" s="71" t="s">
        <v>501</v>
      </c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3"/>
      <c r="AA19" s="74" t="s">
        <v>346</v>
      </c>
      <c r="AB19" s="75"/>
      <c r="AC19" s="75"/>
      <c r="AD19" s="75"/>
      <c r="AE19" s="76"/>
      <c r="AF19" s="74">
        <v>45</v>
      </c>
      <c r="AG19" s="75"/>
      <c r="AH19" s="76"/>
      <c r="AI19" s="74"/>
      <c r="AJ19" s="75"/>
      <c r="AK19" s="76"/>
      <c r="AL19" s="68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70"/>
    </row>
    <row r="20" spans="1:68" s="1" customFormat="1" ht="30.75" customHeight="1">
      <c r="A20" s="74">
        <f t="shared" si="0"/>
        <v>12</v>
      </c>
      <c r="B20" s="75"/>
      <c r="C20" s="76"/>
      <c r="D20" s="71" t="s">
        <v>502</v>
      </c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3"/>
      <c r="AA20" s="74" t="s">
        <v>280</v>
      </c>
      <c r="AB20" s="75"/>
      <c r="AC20" s="75"/>
      <c r="AD20" s="75"/>
      <c r="AE20" s="76"/>
      <c r="AF20" s="74">
        <v>14</v>
      </c>
      <c r="AG20" s="75"/>
      <c r="AH20" s="76"/>
      <c r="AI20" s="74"/>
      <c r="AJ20" s="75"/>
      <c r="AK20" s="76"/>
      <c r="AL20" s="68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70"/>
    </row>
    <row r="21" spans="1:68" s="1" customFormat="1" ht="30.75" customHeight="1">
      <c r="A21" s="74">
        <f t="shared" si="0"/>
        <v>13</v>
      </c>
      <c r="B21" s="75"/>
      <c r="C21" s="76"/>
      <c r="D21" s="71" t="s">
        <v>503</v>
      </c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3"/>
      <c r="AA21" s="74" t="s">
        <v>280</v>
      </c>
      <c r="AB21" s="75"/>
      <c r="AC21" s="75"/>
      <c r="AD21" s="75"/>
      <c r="AE21" s="76"/>
      <c r="AF21" s="86">
        <v>14</v>
      </c>
      <c r="AG21" s="86"/>
      <c r="AH21" s="86"/>
      <c r="AI21" s="86"/>
      <c r="AJ21" s="86"/>
      <c r="AK21" s="86"/>
      <c r="AL21" s="68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70"/>
    </row>
    <row r="22" spans="1:68" s="1" customFormat="1" ht="30.75" customHeight="1">
      <c r="A22" s="74">
        <f t="shared" si="0"/>
        <v>14</v>
      </c>
      <c r="B22" s="75"/>
      <c r="C22" s="76"/>
      <c r="D22" s="71" t="s">
        <v>504</v>
      </c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3"/>
      <c r="AA22" s="74" t="s">
        <v>280</v>
      </c>
      <c r="AB22" s="75"/>
      <c r="AC22" s="75"/>
      <c r="AD22" s="75"/>
      <c r="AE22" s="76"/>
      <c r="AF22" s="86">
        <v>14</v>
      </c>
      <c r="AG22" s="86"/>
      <c r="AH22" s="86"/>
      <c r="AI22" s="86"/>
      <c r="AJ22" s="86"/>
      <c r="AK22" s="86"/>
      <c r="AL22" s="68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70"/>
    </row>
    <row r="23" spans="1:68" s="1" customFormat="1" ht="30.75" customHeight="1">
      <c r="A23" s="74">
        <f t="shared" si="0"/>
        <v>15</v>
      </c>
      <c r="B23" s="75"/>
      <c r="C23" s="76"/>
      <c r="D23" s="71" t="s">
        <v>505</v>
      </c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3"/>
      <c r="AA23" s="74" t="s">
        <v>280</v>
      </c>
      <c r="AB23" s="75"/>
      <c r="AC23" s="75"/>
      <c r="AD23" s="75"/>
      <c r="AE23" s="76"/>
      <c r="AF23" s="86">
        <v>14</v>
      </c>
      <c r="AG23" s="86"/>
      <c r="AH23" s="86"/>
      <c r="AI23" s="86"/>
      <c r="AJ23" s="86"/>
      <c r="AK23" s="86"/>
      <c r="AL23" s="68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70"/>
    </row>
    <row r="24" spans="1:68" s="1" customFormat="1" ht="30.75" customHeight="1">
      <c r="A24" s="74">
        <f t="shared" si="0"/>
        <v>16</v>
      </c>
      <c r="B24" s="75"/>
      <c r="C24" s="76"/>
      <c r="D24" s="71" t="s">
        <v>506</v>
      </c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3"/>
      <c r="AA24" s="74" t="s">
        <v>280</v>
      </c>
      <c r="AB24" s="75"/>
      <c r="AC24" s="75"/>
      <c r="AD24" s="75"/>
      <c r="AE24" s="76"/>
      <c r="AF24" s="86">
        <v>14</v>
      </c>
      <c r="AG24" s="86"/>
      <c r="AH24" s="86"/>
      <c r="AI24" s="86"/>
      <c r="AJ24" s="86"/>
      <c r="AK24" s="86"/>
      <c r="AL24" s="68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70"/>
    </row>
    <row r="25" spans="1:68" s="1" customFormat="1" ht="30.75" customHeight="1">
      <c r="A25" s="74">
        <f t="shared" si="0"/>
        <v>17</v>
      </c>
      <c r="B25" s="75"/>
      <c r="C25" s="76"/>
      <c r="D25" s="71" t="s">
        <v>507</v>
      </c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3"/>
      <c r="AA25" s="74" t="s">
        <v>280</v>
      </c>
      <c r="AB25" s="75"/>
      <c r="AC25" s="75"/>
      <c r="AD25" s="75"/>
      <c r="AE25" s="76"/>
      <c r="AF25" s="86">
        <v>14</v>
      </c>
      <c r="AG25" s="86"/>
      <c r="AH25" s="86"/>
      <c r="AI25" s="86"/>
      <c r="AJ25" s="86"/>
      <c r="AK25" s="86"/>
      <c r="AL25" s="68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70"/>
    </row>
    <row r="26" spans="1:68" s="1" customFormat="1" ht="30.75" customHeight="1">
      <c r="A26" s="74">
        <f t="shared" si="0"/>
        <v>18</v>
      </c>
      <c r="B26" s="75"/>
      <c r="C26" s="76"/>
      <c r="D26" s="71" t="s">
        <v>508</v>
      </c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3"/>
      <c r="AA26" s="74" t="s">
        <v>280</v>
      </c>
      <c r="AB26" s="75"/>
      <c r="AC26" s="75"/>
      <c r="AD26" s="75"/>
      <c r="AE26" s="76"/>
      <c r="AF26" s="86">
        <v>14</v>
      </c>
      <c r="AG26" s="86"/>
      <c r="AH26" s="86"/>
      <c r="AI26" s="86"/>
      <c r="AJ26" s="86"/>
      <c r="AK26" s="86"/>
      <c r="AL26" s="68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70"/>
    </row>
    <row r="27" spans="1:68" s="1" customFormat="1" ht="30.75" customHeight="1">
      <c r="A27" s="74">
        <f t="shared" si="0"/>
        <v>19</v>
      </c>
      <c r="B27" s="75"/>
      <c r="C27" s="76"/>
      <c r="D27" s="71" t="s">
        <v>509</v>
      </c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3"/>
      <c r="AA27" s="74" t="s">
        <v>280</v>
      </c>
      <c r="AB27" s="75"/>
      <c r="AC27" s="75"/>
      <c r="AD27" s="75"/>
      <c r="AE27" s="76"/>
      <c r="AF27" s="86">
        <v>14</v>
      </c>
      <c r="AG27" s="86"/>
      <c r="AH27" s="86"/>
      <c r="AI27" s="86"/>
      <c r="AJ27" s="86"/>
      <c r="AK27" s="86"/>
      <c r="AL27" s="68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70"/>
    </row>
    <row r="28" spans="1:68" s="1" customFormat="1" ht="30.75" customHeight="1">
      <c r="A28" s="74">
        <f t="shared" si="0"/>
        <v>20</v>
      </c>
      <c r="B28" s="75"/>
      <c r="C28" s="76"/>
      <c r="D28" s="71" t="s">
        <v>510</v>
      </c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3"/>
      <c r="AA28" s="74" t="s">
        <v>280</v>
      </c>
      <c r="AB28" s="75"/>
      <c r="AC28" s="75"/>
      <c r="AD28" s="75"/>
      <c r="AE28" s="76"/>
      <c r="AF28" s="86">
        <v>14</v>
      </c>
      <c r="AG28" s="86"/>
      <c r="AH28" s="86"/>
      <c r="AI28" s="86"/>
      <c r="AJ28" s="86"/>
      <c r="AK28" s="86"/>
      <c r="AL28" s="68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70"/>
    </row>
    <row r="29" spans="1:68" s="1" customFormat="1" ht="30.75" customHeight="1">
      <c r="A29" s="74">
        <f t="shared" si="0"/>
        <v>21</v>
      </c>
      <c r="B29" s="75"/>
      <c r="C29" s="76"/>
      <c r="D29" s="71" t="s">
        <v>511</v>
      </c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3"/>
      <c r="AA29" s="74" t="s">
        <v>280</v>
      </c>
      <c r="AB29" s="75"/>
      <c r="AC29" s="75"/>
      <c r="AD29" s="75"/>
      <c r="AE29" s="76"/>
      <c r="AF29" s="86">
        <v>14</v>
      </c>
      <c r="AG29" s="86"/>
      <c r="AH29" s="86"/>
      <c r="AI29" s="86"/>
      <c r="AJ29" s="86"/>
      <c r="AK29" s="86"/>
      <c r="AL29" s="68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70"/>
    </row>
    <row r="30" spans="1:68" s="1" customFormat="1" ht="30.75" customHeight="1">
      <c r="A30" s="74">
        <f t="shared" si="0"/>
        <v>22</v>
      </c>
      <c r="B30" s="75"/>
      <c r="C30" s="76"/>
      <c r="D30" s="71" t="s">
        <v>512</v>
      </c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3"/>
      <c r="AA30" s="74" t="s">
        <v>280</v>
      </c>
      <c r="AB30" s="75"/>
      <c r="AC30" s="75"/>
      <c r="AD30" s="75"/>
      <c r="AE30" s="76"/>
      <c r="AF30" s="86">
        <v>14</v>
      </c>
      <c r="AG30" s="86"/>
      <c r="AH30" s="86"/>
      <c r="AI30" s="86"/>
      <c r="AJ30" s="86"/>
      <c r="AK30" s="86"/>
      <c r="AL30" s="68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70"/>
    </row>
    <row r="31" spans="1:68" s="1" customFormat="1" ht="30.75" customHeight="1">
      <c r="A31" s="74">
        <f t="shared" si="0"/>
        <v>23</v>
      </c>
      <c r="B31" s="75"/>
      <c r="C31" s="76"/>
      <c r="D31" s="71" t="s">
        <v>513</v>
      </c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3"/>
      <c r="AA31" s="74" t="s">
        <v>280</v>
      </c>
      <c r="AB31" s="75"/>
      <c r="AC31" s="75"/>
      <c r="AD31" s="75"/>
      <c r="AE31" s="76"/>
      <c r="AF31" s="86">
        <v>14</v>
      </c>
      <c r="AG31" s="86"/>
      <c r="AH31" s="86"/>
      <c r="AI31" s="86"/>
      <c r="AJ31" s="86"/>
      <c r="AK31" s="86"/>
      <c r="AL31" s="68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70"/>
    </row>
    <row r="32" spans="1:68" s="1" customFormat="1" ht="30.75" customHeight="1">
      <c r="A32" s="74">
        <f t="shared" si="0"/>
        <v>24</v>
      </c>
      <c r="B32" s="75"/>
      <c r="C32" s="76"/>
      <c r="D32" s="71" t="s">
        <v>514</v>
      </c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3"/>
      <c r="AA32" s="74" t="s">
        <v>280</v>
      </c>
      <c r="AB32" s="75"/>
      <c r="AC32" s="75"/>
      <c r="AD32" s="75"/>
      <c r="AE32" s="76"/>
      <c r="AF32" s="86">
        <v>14</v>
      </c>
      <c r="AG32" s="86"/>
      <c r="AH32" s="86"/>
      <c r="AI32" s="86"/>
      <c r="AJ32" s="86"/>
      <c r="AK32" s="86"/>
      <c r="AL32" s="68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70"/>
    </row>
    <row r="33" spans="1:68" s="1" customFormat="1" ht="30.75" customHeight="1">
      <c r="A33" s="74">
        <f t="shared" si="0"/>
        <v>25</v>
      </c>
      <c r="B33" s="75"/>
      <c r="C33" s="76"/>
      <c r="D33" s="71" t="s">
        <v>515</v>
      </c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3"/>
      <c r="AA33" s="74" t="s">
        <v>280</v>
      </c>
      <c r="AB33" s="75"/>
      <c r="AC33" s="75"/>
      <c r="AD33" s="75"/>
      <c r="AE33" s="76"/>
      <c r="AF33" s="86">
        <v>14</v>
      </c>
      <c r="AG33" s="86"/>
      <c r="AH33" s="86"/>
      <c r="AI33" s="86"/>
      <c r="AJ33" s="86"/>
      <c r="AK33" s="86"/>
      <c r="AL33" s="68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70"/>
    </row>
    <row r="34" spans="1:68" s="1" customFormat="1" ht="30.75" customHeight="1">
      <c r="A34" s="74">
        <f t="shared" si="0"/>
        <v>26</v>
      </c>
      <c r="B34" s="75"/>
      <c r="C34" s="76"/>
      <c r="D34" s="71" t="s">
        <v>516</v>
      </c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3"/>
      <c r="AA34" s="74" t="s">
        <v>280</v>
      </c>
      <c r="AB34" s="75"/>
      <c r="AC34" s="75"/>
      <c r="AD34" s="75"/>
      <c r="AE34" s="76"/>
      <c r="AF34" s="86">
        <v>14</v>
      </c>
      <c r="AG34" s="86"/>
      <c r="AH34" s="86"/>
      <c r="AI34" s="86"/>
      <c r="AJ34" s="86"/>
      <c r="AK34" s="86"/>
      <c r="AL34" s="68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70"/>
    </row>
    <row r="35" spans="1:68" s="1" customFormat="1" ht="30.75" customHeight="1">
      <c r="A35" s="74">
        <f t="shared" si="0"/>
        <v>27</v>
      </c>
      <c r="B35" s="75"/>
      <c r="C35" s="76"/>
      <c r="D35" s="71" t="s">
        <v>517</v>
      </c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3"/>
      <c r="AA35" s="74" t="s">
        <v>280</v>
      </c>
      <c r="AB35" s="75"/>
      <c r="AC35" s="75"/>
      <c r="AD35" s="75"/>
      <c r="AE35" s="76"/>
      <c r="AF35" s="86">
        <v>14</v>
      </c>
      <c r="AG35" s="86"/>
      <c r="AH35" s="86"/>
      <c r="AI35" s="86"/>
      <c r="AJ35" s="86"/>
      <c r="AK35" s="86"/>
      <c r="AL35" s="68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70"/>
    </row>
    <row r="36" spans="1:68" s="1" customFormat="1" ht="30.75" customHeight="1">
      <c r="A36" s="74">
        <f t="shared" si="0"/>
        <v>28</v>
      </c>
      <c r="B36" s="75"/>
      <c r="C36" s="76"/>
      <c r="D36" s="71" t="s">
        <v>518</v>
      </c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3"/>
      <c r="AA36" s="74" t="s">
        <v>280</v>
      </c>
      <c r="AB36" s="75"/>
      <c r="AC36" s="75"/>
      <c r="AD36" s="75"/>
      <c r="AE36" s="76"/>
      <c r="AF36" s="86">
        <v>14</v>
      </c>
      <c r="AG36" s="86"/>
      <c r="AH36" s="86"/>
      <c r="AI36" s="86"/>
      <c r="AJ36" s="86"/>
      <c r="AK36" s="86"/>
      <c r="AL36" s="68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70"/>
    </row>
    <row r="37" spans="1:68" s="1" customFormat="1" ht="30.75" customHeight="1">
      <c r="A37" s="74">
        <f t="shared" si="0"/>
        <v>29</v>
      </c>
      <c r="B37" s="75"/>
      <c r="C37" s="76"/>
      <c r="D37" s="71" t="s">
        <v>519</v>
      </c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3"/>
      <c r="AA37" s="74" t="s">
        <v>280</v>
      </c>
      <c r="AB37" s="75"/>
      <c r="AC37" s="75"/>
      <c r="AD37" s="75"/>
      <c r="AE37" s="76"/>
      <c r="AF37" s="86">
        <v>14</v>
      </c>
      <c r="AG37" s="86"/>
      <c r="AH37" s="86"/>
      <c r="AI37" s="86"/>
      <c r="AJ37" s="86"/>
      <c r="AK37" s="86"/>
      <c r="AL37" s="68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70"/>
    </row>
    <row r="38" spans="1:68" s="1" customFormat="1" ht="30.75" customHeight="1">
      <c r="A38" s="74">
        <f t="shared" si="0"/>
        <v>30</v>
      </c>
      <c r="B38" s="75"/>
      <c r="C38" s="76"/>
      <c r="D38" s="71" t="s">
        <v>520</v>
      </c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3"/>
      <c r="AA38" s="74" t="s">
        <v>280</v>
      </c>
      <c r="AB38" s="75"/>
      <c r="AC38" s="75"/>
      <c r="AD38" s="75"/>
      <c r="AE38" s="76"/>
      <c r="AF38" s="86">
        <v>14</v>
      </c>
      <c r="AG38" s="86"/>
      <c r="AH38" s="86"/>
      <c r="AI38" s="86"/>
      <c r="AJ38" s="86"/>
      <c r="AK38" s="86"/>
      <c r="AL38" s="68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70"/>
    </row>
    <row r="39" spans="1:68" s="1" customFormat="1" ht="30.75" customHeight="1">
      <c r="A39" s="74">
        <f t="shared" si="0"/>
        <v>31</v>
      </c>
      <c r="B39" s="75"/>
      <c r="C39" s="76"/>
      <c r="D39" s="71" t="s">
        <v>521</v>
      </c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3"/>
      <c r="AA39" s="74" t="s">
        <v>280</v>
      </c>
      <c r="AB39" s="75"/>
      <c r="AC39" s="75"/>
      <c r="AD39" s="75"/>
      <c r="AE39" s="76"/>
      <c r="AF39" s="86">
        <v>14</v>
      </c>
      <c r="AG39" s="86"/>
      <c r="AH39" s="86"/>
      <c r="AI39" s="86"/>
      <c r="AJ39" s="86"/>
      <c r="AK39" s="86"/>
      <c r="AL39" s="68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70"/>
    </row>
    <row r="40" spans="1:68" s="1" customFormat="1" ht="30.75" customHeight="1">
      <c r="A40" s="74">
        <f t="shared" si="0"/>
        <v>32</v>
      </c>
      <c r="B40" s="75"/>
      <c r="C40" s="76"/>
      <c r="D40" s="71" t="s">
        <v>522</v>
      </c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3"/>
      <c r="AA40" s="74" t="s">
        <v>280</v>
      </c>
      <c r="AB40" s="75"/>
      <c r="AC40" s="75"/>
      <c r="AD40" s="75"/>
      <c r="AE40" s="76"/>
      <c r="AF40" s="86">
        <v>14</v>
      </c>
      <c r="AG40" s="86"/>
      <c r="AH40" s="86"/>
      <c r="AI40" s="86"/>
      <c r="AJ40" s="86"/>
      <c r="AK40" s="86"/>
      <c r="AL40" s="68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70"/>
    </row>
    <row r="41" spans="1:68" s="1" customFormat="1" ht="30.75" customHeight="1">
      <c r="A41" s="74">
        <f t="shared" si="0"/>
        <v>33</v>
      </c>
      <c r="B41" s="75"/>
      <c r="C41" s="76"/>
      <c r="D41" s="71" t="s">
        <v>523</v>
      </c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3"/>
      <c r="AA41" s="74" t="s">
        <v>280</v>
      </c>
      <c r="AB41" s="75"/>
      <c r="AC41" s="75"/>
      <c r="AD41" s="75"/>
      <c r="AE41" s="76"/>
      <c r="AF41" s="86">
        <v>14</v>
      </c>
      <c r="AG41" s="86"/>
      <c r="AH41" s="86"/>
      <c r="AI41" s="86"/>
      <c r="AJ41" s="86"/>
      <c r="AK41" s="86"/>
      <c r="AL41" s="68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70"/>
    </row>
    <row r="42" spans="1:68" s="1" customFormat="1" ht="30.75" customHeight="1">
      <c r="A42" s="74">
        <f t="shared" si="0"/>
        <v>34</v>
      </c>
      <c r="B42" s="75"/>
      <c r="C42" s="76"/>
      <c r="D42" s="71" t="s">
        <v>524</v>
      </c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3"/>
      <c r="AA42" s="74" t="s">
        <v>280</v>
      </c>
      <c r="AB42" s="75"/>
      <c r="AC42" s="75"/>
      <c r="AD42" s="75"/>
      <c r="AE42" s="76"/>
      <c r="AF42" s="86">
        <v>14</v>
      </c>
      <c r="AG42" s="86"/>
      <c r="AH42" s="86"/>
      <c r="AI42" s="86"/>
      <c r="AJ42" s="86"/>
      <c r="AK42" s="86"/>
      <c r="AL42" s="68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70"/>
    </row>
    <row r="43" spans="1:68" s="1" customFormat="1" ht="30.75" customHeight="1">
      <c r="A43" s="74">
        <f t="shared" si="0"/>
        <v>35</v>
      </c>
      <c r="B43" s="75"/>
      <c r="C43" s="76"/>
      <c r="D43" s="71" t="s">
        <v>525</v>
      </c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3"/>
      <c r="AA43" s="74" t="s">
        <v>280</v>
      </c>
      <c r="AB43" s="75"/>
      <c r="AC43" s="75"/>
      <c r="AD43" s="75"/>
      <c r="AE43" s="76"/>
      <c r="AF43" s="86">
        <v>14</v>
      </c>
      <c r="AG43" s="86"/>
      <c r="AH43" s="86"/>
      <c r="AI43" s="86"/>
      <c r="AJ43" s="86"/>
      <c r="AK43" s="86"/>
      <c r="AL43" s="68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  <c r="BM43" s="69"/>
      <c r="BN43" s="69"/>
      <c r="BO43" s="69"/>
      <c r="BP43" s="70"/>
    </row>
    <row r="44" spans="1:68" s="1" customFormat="1" ht="30.75" customHeight="1">
      <c r="A44" s="74"/>
      <c r="B44" s="75"/>
      <c r="C44" s="76"/>
      <c r="D44" s="71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3"/>
      <c r="AA44" s="74"/>
      <c r="AB44" s="75"/>
      <c r="AC44" s="75"/>
      <c r="AD44" s="75"/>
      <c r="AE44" s="76"/>
      <c r="AF44" s="74"/>
      <c r="AG44" s="75"/>
      <c r="AH44" s="76"/>
      <c r="AI44" s="74"/>
      <c r="AJ44" s="75"/>
      <c r="AK44" s="76"/>
      <c r="AL44" s="68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  <c r="BM44" s="69"/>
      <c r="BN44" s="69"/>
      <c r="BO44" s="69"/>
      <c r="BP44" s="70"/>
    </row>
    <row r="45" spans="1:68" s="1" customFormat="1" ht="30.75" customHeight="1">
      <c r="A45" s="80"/>
      <c r="B45" s="81"/>
      <c r="C45" s="82"/>
      <c r="D45" s="77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9"/>
      <c r="AA45" s="80"/>
      <c r="AB45" s="81"/>
      <c r="AC45" s="81"/>
      <c r="AD45" s="81"/>
      <c r="AE45" s="82"/>
      <c r="AF45" s="87"/>
      <c r="AG45" s="87"/>
      <c r="AH45" s="87"/>
      <c r="AI45" s="87"/>
      <c r="AJ45" s="87"/>
      <c r="AK45" s="87"/>
      <c r="AL45" s="83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5"/>
    </row>
    <row r="46" spans="1:68" s="4" customFormat="1" ht="3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3"/>
      <c r="AG46" s="3"/>
      <c r="AH46" s="3"/>
      <c r="AI46" s="3"/>
      <c r="AJ46" s="3"/>
      <c r="AK46" s="3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</row>
    <row r="47" spans="1:68" s="4" customFormat="1" ht="14.25">
      <c r="A47" s="5" t="s">
        <v>14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15"/>
      <c r="AG47" s="15"/>
      <c r="AH47" s="15"/>
      <c r="AI47" s="15"/>
      <c r="AJ47" s="15"/>
      <c r="AK47" s="15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6"/>
    </row>
    <row r="48" spans="1:68" s="4" customFormat="1" ht="20.25" customHeight="1">
      <c r="A48" s="5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6"/>
    </row>
    <row r="49" spans="1:68" s="4" customFormat="1" ht="20.25" customHeight="1">
      <c r="A49" s="5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6"/>
    </row>
    <row r="50" spans="1:68" s="4" customFormat="1" ht="20.25" customHeight="1">
      <c r="A50" s="5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6"/>
    </row>
    <row r="51" spans="1:68" s="4" customFormat="1" ht="20.25" customHeight="1">
      <c r="A51" s="5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6"/>
    </row>
    <row r="52" spans="1:68" s="4" customFormat="1" ht="20.25" customHeight="1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9"/>
    </row>
    <row r="53" spans="1:68" ht="5.25" customHeight="1"/>
  </sheetData>
  <mergeCells count="247">
    <mergeCell ref="A6:G6"/>
    <mergeCell ref="H6:N6"/>
    <mergeCell ref="O6:Y6"/>
    <mergeCell ref="Z6:BE6"/>
    <mergeCell ref="BF6:BI6"/>
    <mergeCell ref="BJ6:BP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8:C8"/>
    <mergeCell ref="D8:Z8"/>
    <mergeCell ref="AA8:AE8"/>
    <mergeCell ref="D14:Z14"/>
    <mergeCell ref="AA14:AE14"/>
    <mergeCell ref="AL8:BP8"/>
    <mergeCell ref="A9:C9"/>
    <mergeCell ref="A10:C10"/>
    <mergeCell ref="AL9:BP9"/>
    <mergeCell ref="AL10:BP10"/>
    <mergeCell ref="D9:Z9"/>
    <mergeCell ref="AA9:AE9"/>
    <mergeCell ref="D10:Z10"/>
    <mergeCell ref="AA10:AE10"/>
    <mergeCell ref="D11:Z11"/>
    <mergeCell ref="AA11:AE11"/>
    <mergeCell ref="AL14:BP14"/>
    <mergeCell ref="AF8:AH8"/>
    <mergeCell ref="AI8:AK8"/>
    <mergeCell ref="AF9:AH9"/>
    <mergeCell ref="AI9:AK9"/>
    <mergeCell ref="AF10:AH10"/>
    <mergeCell ref="AI10:AK10"/>
    <mergeCell ref="A45:C45"/>
    <mergeCell ref="A29:C29"/>
    <mergeCell ref="A30:C30"/>
    <mergeCell ref="A31:C31"/>
    <mergeCell ref="A32:C32"/>
    <mergeCell ref="A33:C33"/>
    <mergeCell ref="A34:C34"/>
    <mergeCell ref="A23:C23"/>
    <mergeCell ref="A24:C24"/>
    <mergeCell ref="A25:C25"/>
    <mergeCell ref="A26:C26"/>
    <mergeCell ref="A27:C27"/>
    <mergeCell ref="A28:C28"/>
    <mergeCell ref="A35:C35"/>
    <mergeCell ref="A36:C36"/>
    <mergeCell ref="A39:C39"/>
    <mergeCell ref="A41:C41"/>
    <mergeCell ref="A43:C43"/>
    <mergeCell ref="A37:C37"/>
    <mergeCell ref="A44:C44"/>
    <mergeCell ref="A38:C38"/>
    <mergeCell ref="A17:C17"/>
    <mergeCell ref="A18:C18"/>
    <mergeCell ref="A19:C19"/>
    <mergeCell ref="A20:C20"/>
    <mergeCell ref="A21:C21"/>
    <mergeCell ref="A22:C22"/>
    <mergeCell ref="A11:C11"/>
    <mergeCell ref="A12:C12"/>
    <mergeCell ref="A13:C13"/>
    <mergeCell ref="A14:C14"/>
    <mergeCell ref="A15:C15"/>
    <mergeCell ref="A16:C16"/>
    <mergeCell ref="D15:Z15"/>
    <mergeCell ref="AA15:AE15"/>
    <mergeCell ref="AL15:BP15"/>
    <mergeCell ref="AL11:BP11"/>
    <mergeCell ref="D12:Z12"/>
    <mergeCell ref="AA12:AE12"/>
    <mergeCell ref="AL12:BP12"/>
    <mergeCell ref="D13:Z13"/>
    <mergeCell ref="AA13:AE13"/>
    <mergeCell ref="AL13:BP13"/>
    <mergeCell ref="AF11:AH11"/>
    <mergeCell ref="AI11:AK11"/>
    <mergeCell ref="AF12:AH12"/>
    <mergeCell ref="AI12:AK12"/>
    <mergeCell ref="AF13:AH13"/>
    <mergeCell ref="AI13:AK13"/>
    <mergeCell ref="AF14:AH14"/>
    <mergeCell ref="AI14:AK14"/>
    <mergeCell ref="AF15:AH15"/>
    <mergeCell ref="AI15:AK15"/>
    <mergeCell ref="D18:Z18"/>
    <mergeCell ref="AA18:AE18"/>
    <mergeCell ref="AL18:BP18"/>
    <mergeCell ref="D19:Z19"/>
    <mergeCell ref="AA19:AE19"/>
    <mergeCell ref="AL19:BP19"/>
    <mergeCell ref="D16:Z16"/>
    <mergeCell ref="AA16:AE16"/>
    <mergeCell ref="AL16:BP16"/>
    <mergeCell ref="D17:Z17"/>
    <mergeCell ref="AA17:AE17"/>
    <mergeCell ref="AL17:BP17"/>
    <mergeCell ref="AF16:AH16"/>
    <mergeCell ref="AI16:AK16"/>
    <mergeCell ref="AF17:AH17"/>
    <mergeCell ref="AI17:AK17"/>
    <mergeCell ref="AF18:AH18"/>
    <mergeCell ref="AI18:AK18"/>
    <mergeCell ref="AF19:AH19"/>
    <mergeCell ref="AI19:AK19"/>
    <mergeCell ref="D22:Z22"/>
    <mergeCell ref="AA22:AE22"/>
    <mergeCell ref="AL22:BP22"/>
    <mergeCell ref="D23:Z23"/>
    <mergeCell ref="AA23:AE23"/>
    <mergeCell ref="AL23:BP23"/>
    <mergeCell ref="D20:Z20"/>
    <mergeCell ref="AA20:AE20"/>
    <mergeCell ref="AL20:BP20"/>
    <mergeCell ref="D21:Z21"/>
    <mergeCell ref="AA21:AE21"/>
    <mergeCell ref="AL21:BP21"/>
    <mergeCell ref="AF20:AH20"/>
    <mergeCell ref="AI20:AK20"/>
    <mergeCell ref="AF21:AH21"/>
    <mergeCell ref="AI21:AK21"/>
    <mergeCell ref="AF22:AH22"/>
    <mergeCell ref="AI22:AK22"/>
    <mergeCell ref="AF23:AH23"/>
    <mergeCell ref="AI23:AK23"/>
    <mergeCell ref="D26:Z26"/>
    <mergeCell ref="AA26:AE26"/>
    <mergeCell ref="AL26:BP26"/>
    <mergeCell ref="D27:Z27"/>
    <mergeCell ref="AA27:AE27"/>
    <mergeCell ref="AL27:BP27"/>
    <mergeCell ref="D24:Z24"/>
    <mergeCell ref="AA24:AE24"/>
    <mergeCell ref="AL24:BP24"/>
    <mergeCell ref="D25:Z25"/>
    <mergeCell ref="AA25:AE25"/>
    <mergeCell ref="AL25:BP25"/>
    <mergeCell ref="AF24:AH24"/>
    <mergeCell ref="AI24:AK24"/>
    <mergeCell ref="AF25:AH25"/>
    <mergeCell ref="AI25:AK25"/>
    <mergeCell ref="AF26:AH26"/>
    <mergeCell ref="AI26:AK26"/>
    <mergeCell ref="AF27:AH27"/>
    <mergeCell ref="AI27:AK27"/>
    <mergeCell ref="D30:Z30"/>
    <mergeCell ref="AA30:AE30"/>
    <mergeCell ref="AL30:BP30"/>
    <mergeCell ref="D31:Z31"/>
    <mergeCell ref="AA31:AE31"/>
    <mergeCell ref="AL31:BP31"/>
    <mergeCell ref="D28:Z28"/>
    <mergeCell ref="AA28:AE28"/>
    <mergeCell ref="AL28:BP28"/>
    <mergeCell ref="D29:Z29"/>
    <mergeCell ref="AA29:AE29"/>
    <mergeCell ref="AL29:BP29"/>
    <mergeCell ref="AF28:AH28"/>
    <mergeCell ref="AI28:AK28"/>
    <mergeCell ref="AF29:AH29"/>
    <mergeCell ref="AI29:AK29"/>
    <mergeCell ref="AF30:AH30"/>
    <mergeCell ref="AI30:AK30"/>
    <mergeCell ref="AF31:AH31"/>
    <mergeCell ref="AI31:AK31"/>
    <mergeCell ref="D34:Z34"/>
    <mergeCell ref="AA34:AE34"/>
    <mergeCell ref="AL34:BP34"/>
    <mergeCell ref="D32:Z32"/>
    <mergeCell ref="AA32:AE32"/>
    <mergeCell ref="AL32:BP32"/>
    <mergeCell ref="D33:Z33"/>
    <mergeCell ref="AA33:AE33"/>
    <mergeCell ref="AL33:BP33"/>
    <mergeCell ref="AF32:AH32"/>
    <mergeCell ref="AI32:AK32"/>
    <mergeCell ref="AF33:AH33"/>
    <mergeCell ref="AI33:AK33"/>
    <mergeCell ref="AF34:AH34"/>
    <mergeCell ref="AI34:AK34"/>
    <mergeCell ref="D45:Z45"/>
    <mergeCell ref="AA45:AE45"/>
    <mergeCell ref="AL45:BP45"/>
    <mergeCell ref="D35:Z35"/>
    <mergeCell ref="AA35:AE35"/>
    <mergeCell ref="AL35:BP35"/>
    <mergeCell ref="AF35:AH35"/>
    <mergeCell ref="AI35:AK35"/>
    <mergeCell ref="AF45:AH45"/>
    <mergeCell ref="AI45:AK45"/>
    <mergeCell ref="D36:Z36"/>
    <mergeCell ref="AA36:AE36"/>
    <mergeCell ref="AF36:AH36"/>
    <mergeCell ref="AI36:AK36"/>
    <mergeCell ref="AL36:BP36"/>
    <mergeCell ref="D37:Z37"/>
    <mergeCell ref="AA37:AE37"/>
    <mergeCell ref="AF37:AH37"/>
    <mergeCell ref="AI37:AK37"/>
    <mergeCell ref="AL37:BP37"/>
    <mergeCell ref="D38:Z38"/>
    <mergeCell ref="AA38:AE38"/>
    <mergeCell ref="AF38:AH38"/>
    <mergeCell ref="AI38:AK38"/>
    <mergeCell ref="D41:Z41"/>
    <mergeCell ref="AA41:AE41"/>
    <mergeCell ref="AF41:AH41"/>
    <mergeCell ref="AI41:AK41"/>
    <mergeCell ref="AL41:BP41"/>
    <mergeCell ref="AL38:BP38"/>
    <mergeCell ref="A42:C42"/>
    <mergeCell ref="D42:Z42"/>
    <mergeCell ref="AA42:AE42"/>
    <mergeCell ref="AF42:AH42"/>
    <mergeCell ref="AI42:AK42"/>
    <mergeCell ref="AL42:BP42"/>
    <mergeCell ref="D39:Z39"/>
    <mergeCell ref="AA39:AE39"/>
    <mergeCell ref="AF39:AH39"/>
    <mergeCell ref="AI39:AK39"/>
    <mergeCell ref="AL39:BP39"/>
    <mergeCell ref="A40:C40"/>
    <mergeCell ref="D40:Z40"/>
    <mergeCell ref="AA40:AE40"/>
    <mergeCell ref="AF40:AH40"/>
    <mergeCell ref="AI40:AK40"/>
    <mergeCell ref="AL40:BP40"/>
    <mergeCell ref="D44:Z44"/>
    <mergeCell ref="AA44:AE44"/>
    <mergeCell ref="AF44:AH44"/>
    <mergeCell ref="AI44:AK44"/>
    <mergeCell ref="AL44:BP44"/>
    <mergeCell ref="D43:Z43"/>
    <mergeCell ref="AA43:AE43"/>
    <mergeCell ref="AF43:AH43"/>
    <mergeCell ref="AI43:AK43"/>
    <mergeCell ref="AL43:BP43"/>
  </mergeCells>
  <phoneticPr fontId="3"/>
  <dataValidations count="1">
    <dataValidation type="list" allowBlank="1" showInputMessage="1" showErrorMessage="1" sqref="BJ6:BP6" xr:uid="{75099129-1864-4466-9EC7-AD2A1D680B1B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824C-E31E-4A7D-AEE2-65E4746AD095}">
  <sheetPr codeName="Sheet31"/>
  <dimension ref="A1:BR33"/>
  <sheetViews>
    <sheetView view="pageBreakPreview" zoomScaleNormal="100" zoomScaleSheetLayoutView="100" workbookViewId="0">
      <pane xSplit="31" ySplit="8" topLeftCell="AF9" activePane="bottomRight" state="frozen"/>
      <selection activeCell="AF9" sqref="AF9:AH9"/>
      <selection pane="topRight" activeCell="AF9" sqref="AF9:AH9"/>
      <selection pane="bottomLeft" activeCell="AF9" sqref="AF9:AH9"/>
      <selection pane="bottomRight"/>
    </sheetView>
  </sheetViews>
  <sheetFormatPr defaultColWidth="2.125" defaultRowHeight="13.5"/>
  <cols>
    <col min="1" max="31" width="2.125" style="55"/>
    <col min="32" max="32" width="2.875" style="55" bestFit="1" customWidth="1"/>
    <col min="33" max="38" width="2.125" style="55"/>
    <col min="39" max="44" width="0" style="55" hidden="1" customWidth="1"/>
    <col min="45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144" t="s">
        <v>198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143" t="s">
        <v>627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493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125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117">
        <f t="shared" ref="A9:A23" si="0">ROW()-8</f>
        <v>1</v>
      </c>
      <c r="B9" s="118"/>
      <c r="C9" s="119"/>
      <c r="D9" s="114" t="s">
        <v>494</v>
      </c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6"/>
      <c r="AA9" s="117" t="s">
        <v>280</v>
      </c>
      <c r="AB9" s="118"/>
      <c r="AC9" s="118"/>
      <c r="AD9" s="118"/>
      <c r="AE9" s="119"/>
      <c r="AF9" s="117">
        <v>6</v>
      </c>
      <c r="AG9" s="118"/>
      <c r="AH9" s="119"/>
      <c r="AI9" s="117"/>
      <c r="AJ9" s="118"/>
      <c r="AK9" s="119"/>
      <c r="AL9" s="68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70"/>
    </row>
    <row r="10" spans="1:70" s="1" customFormat="1" ht="30.75" customHeight="1">
      <c r="A10" s="74">
        <f t="shared" si="0"/>
        <v>2</v>
      </c>
      <c r="B10" s="75"/>
      <c r="C10" s="76"/>
      <c r="D10" s="71" t="s">
        <v>495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  <c r="AA10" s="74" t="s">
        <v>280</v>
      </c>
      <c r="AB10" s="75"/>
      <c r="AC10" s="75"/>
      <c r="AD10" s="75"/>
      <c r="AE10" s="76"/>
      <c r="AF10" s="74">
        <v>2</v>
      </c>
      <c r="AG10" s="75"/>
      <c r="AH10" s="76"/>
      <c r="AI10" s="74"/>
      <c r="AJ10" s="75"/>
      <c r="AK10" s="76"/>
      <c r="AL10" s="68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74">
        <f t="shared" si="0"/>
        <v>3</v>
      </c>
      <c r="B11" s="75"/>
      <c r="C11" s="76"/>
      <c r="D11" s="71" t="s">
        <v>496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3"/>
      <c r="AA11" s="74" t="s">
        <v>346</v>
      </c>
      <c r="AB11" s="75"/>
      <c r="AC11" s="75"/>
      <c r="AD11" s="75"/>
      <c r="AE11" s="76"/>
      <c r="AF11" s="74">
        <v>10</v>
      </c>
      <c r="AG11" s="75"/>
      <c r="AH11" s="76"/>
      <c r="AI11" s="74"/>
      <c r="AJ11" s="75"/>
      <c r="AK11" s="76"/>
      <c r="AL11" s="68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70"/>
    </row>
    <row r="12" spans="1:70" s="1" customFormat="1" ht="30.75" customHeight="1">
      <c r="A12" s="74">
        <f t="shared" si="0"/>
        <v>4</v>
      </c>
      <c r="B12" s="75"/>
      <c r="C12" s="76"/>
      <c r="D12" s="71" t="s">
        <v>529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3"/>
      <c r="AA12" s="74" t="s">
        <v>280</v>
      </c>
      <c r="AB12" s="75"/>
      <c r="AC12" s="75"/>
      <c r="AD12" s="75"/>
      <c r="AE12" s="76"/>
      <c r="AF12" s="74">
        <v>3</v>
      </c>
      <c r="AG12" s="75"/>
      <c r="AH12" s="76"/>
      <c r="AI12" s="74"/>
      <c r="AJ12" s="75"/>
      <c r="AK12" s="76"/>
      <c r="AL12" s="68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70"/>
    </row>
    <row r="13" spans="1:70" s="1" customFormat="1" ht="30.75" customHeight="1">
      <c r="A13" s="74">
        <f t="shared" si="0"/>
        <v>5</v>
      </c>
      <c r="B13" s="75"/>
      <c r="C13" s="76"/>
      <c r="D13" s="71" t="s">
        <v>535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3"/>
      <c r="AA13" s="74" t="s">
        <v>346</v>
      </c>
      <c r="AB13" s="75"/>
      <c r="AC13" s="75"/>
      <c r="AD13" s="75"/>
      <c r="AE13" s="76"/>
      <c r="AF13" s="74">
        <v>30</v>
      </c>
      <c r="AG13" s="75"/>
      <c r="AH13" s="76"/>
      <c r="AI13" s="74"/>
      <c r="AJ13" s="75"/>
      <c r="AK13" s="76"/>
      <c r="AL13" s="68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70"/>
    </row>
    <row r="14" spans="1:70" s="1" customFormat="1" ht="30.75" customHeight="1">
      <c r="A14" s="74">
        <f t="shared" si="0"/>
        <v>6</v>
      </c>
      <c r="B14" s="75"/>
      <c r="C14" s="76"/>
      <c r="D14" s="71" t="s">
        <v>530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3"/>
      <c r="AA14" s="74" t="s">
        <v>280</v>
      </c>
      <c r="AB14" s="75"/>
      <c r="AC14" s="75"/>
      <c r="AD14" s="75"/>
      <c r="AE14" s="76"/>
      <c r="AF14" s="74">
        <v>6</v>
      </c>
      <c r="AG14" s="75"/>
      <c r="AH14" s="76"/>
      <c r="AI14" s="74"/>
      <c r="AJ14" s="75"/>
      <c r="AK14" s="76"/>
      <c r="AL14" s="68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70"/>
    </row>
    <row r="15" spans="1:70" s="1" customFormat="1" ht="30.75" customHeight="1">
      <c r="A15" s="74">
        <f t="shared" si="0"/>
        <v>7</v>
      </c>
      <c r="B15" s="75"/>
      <c r="C15" s="76"/>
      <c r="D15" s="71" t="s">
        <v>536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3"/>
      <c r="AA15" s="74" t="s">
        <v>346</v>
      </c>
      <c r="AB15" s="75"/>
      <c r="AC15" s="75"/>
      <c r="AD15" s="75"/>
      <c r="AE15" s="76"/>
      <c r="AF15" s="74">
        <v>150</v>
      </c>
      <c r="AG15" s="75"/>
      <c r="AH15" s="76"/>
      <c r="AI15" s="74"/>
      <c r="AJ15" s="75"/>
      <c r="AK15" s="76"/>
      <c r="AL15" s="68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70"/>
    </row>
    <row r="16" spans="1:70" s="1" customFormat="1" ht="30.75" customHeight="1">
      <c r="A16" s="74">
        <f t="shared" si="0"/>
        <v>8</v>
      </c>
      <c r="B16" s="75"/>
      <c r="C16" s="76"/>
      <c r="D16" s="71" t="s">
        <v>526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3"/>
      <c r="AA16" s="74" t="s">
        <v>280</v>
      </c>
      <c r="AB16" s="75"/>
      <c r="AC16" s="75"/>
      <c r="AD16" s="75"/>
      <c r="AE16" s="76"/>
      <c r="AF16" s="74">
        <v>4</v>
      </c>
      <c r="AG16" s="75"/>
      <c r="AH16" s="76"/>
      <c r="AI16" s="74"/>
      <c r="AJ16" s="75"/>
      <c r="AK16" s="76"/>
      <c r="AL16" s="68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70"/>
    </row>
    <row r="17" spans="1:68" s="1" customFormat="1" ht="30.75" customHeight="1">
      <c r="A17" s="74">
        <f t="shared" si="0"/>
        <v>9</v>
      </c>
      <c r="B17" s="75"/>
      <c r="C17" s="76"/>
      <c r="D17" s="71" t="s">
        <v>537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3"/>
      <c r="AA17" s="74" t="s">
        <v>280</v>
      </c>
      <c r="AB17" s="75"/>
      <c r="AC17" s="75"/>
      <c r="AD17" s="75"/>
      <c r="AE17" s="76"/>
      <c r="AF17" s="74">
        <v>2</v>
      </c>
      <c r="AG17" s="75"/>
      <c r="AH17" s="76"/>
      <c r="AI17" s="74"/>
      <c r="AJ17" s="75"/>
      <c r="AK17" s="76"/>
      <c r="AL17" s="68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70"/>
    </row>
    <row r="18" spans="1:68" s="1" customFormat="1" ht="30.75" customHeight="1">
      <c r="A18" s="74">
        <f t="shared" si="0"/>
        <v>10</v>
      </c>
      <c r="B18" s="75"/>
      <c r="C18" s="76"/>
      <c r="D18" s="71" t="s">
        <v>538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3"/>
      <c r="AA18" s="74" t="s">
        <v>280</v>
      </c>
      <c r="AB18" s="75"/>
      <c r="AC18" s="75"/>
      <c r="AD18" s="75"/>
      <c r="AE18" s="76"/>
      <c r="AF18" s="74">
        <v>2</v>
      </c>
      <c r="AG18" s="75"/>
      <c r="AH18" s="76"/>
      <c r="AI18" s="74"/>
      <c r="AJ18" s="75"/>
      <c r="AK18" s="76"/>
      <c r="AL18" s="68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70"/>
    </row>
    <row r="19" spans="1:68" s="1" customFormat="1" ht="30.75" customHeight="1">
      <c r="A19" s="74">
        <f t="shared" si="0"/>
        <v>11</v>
      </c>
      <c r="B19" s="75"/>
      <c r="C19" s="76"/>
      <c r="D19" s="71" t="s">
        <v>531</v>
      </c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3"/>
      <c r="AA19" s="74" t="s">
        <v>346</v>
      </c>
      <c r="AB19" s="75"/>
      <c r="AC19" s="75"/>
      <c r="AD19" s="75"/>
      <c r="AE19" s="76"/>
      <c r="AF19" s="74">
        <v>15</v>
      </c>
      <c r="AG19" s="75"/>
      <c r="AH19" s="76"/>
      <c r="AI19" s="74"/>
      <c r="AJ19" s="75"/>
      <c r="AK19" s="76"/>
      <c r="AL19" s="68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70"/>
    </row>
    <row r="20" spans="1:68" s="1" customFormat="1" ht="30.75" customHeight="1">
      <c r="A20" s="74">
        <f t="shared" si="0"/>
        <v>12</v>
      </c>
      <c r="B20" s="75"/>
      <c r="C20" s="76"/>
      <c r="D20" s="71" t="s">
        <v>539</v>
      </c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3"/>
      <c r="AA20" s="74" t="s">
        <v>280</v>
      </c>
      <c r="AB20" s="75"/>
      <c r="AC20" s="75"/>
      <c r="AD20" s="75"/>
      <c r="AE20" s="76"/>
      <c r="AF20" s="74">
        <v>14</v>
      </c>
      <c r="AG20" s="75"/>
      <c r="AH20" s="76"/>
      <c r="AI20" s="74"/>
      <c r="AJ20" s="75"/>
      <c r="AK20" s="76"/>
      <c r="AL20" s="68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70"/>
    </row>
    <row r="21" spans="1:68" s="1" customFormat="1" ht="30.75" customHeight="1">
      <c r="A21" s="74">
        <f t="shared" si="0"/>
        <v>13</v>
      </c>
      <c r="B21" s="75"/>
      <c r="C21" s="76"/>
      <c r="D21" s="71" t="s">
        <v>532</v>
      </c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3"/>
      <c r="AA21" s="74" t="s">
        <v>280</v>
      </c>
      <c r="AB21" s="75"/>
      <c r="AC21" s="75"/>
      <c r="AD21" s="75"/>
      <c r="AE21" s="76"/>
      <c r="AF21" s="86">
        <v>14</v>
      </c>
      <c r="AG21" s="86"/>
      <c r="AH21" s="86"/>
      <c r="AI21" s="86"/>
      <c r="AJ21" s="86"/>
      <c r="AK21" s="86"/>
      <c r="AL21" s="68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70"/>
    </row>
    <row r="22" spans="1:68" s="1" customFormat="1" ht="30.75" customHeight="1">
      <c r="A22" s="74">
        <f t="shared" si="0"/>
        <v>14</v>
      </c>
      <c r="B22" s="75"/>
      <c r="C22" s="76"/>
      <c r="D22" s="71" t="s">
        <v>533</v>
      </c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3"/>
      <c r="AA22" s="74" t="s">
        <v>280</v>
      </c>
      <c r="AB22" s="75"/>
      <c r="AC22" s="75"/>
      <c r="AD22" s="75"/>
      <c r="AE22" s="76"/>
      <c r="AF22" s="86">
        <v>14</v>
      </c>
      <c r="AG22" s="86"/>
      <c r="AH22" s="86"/>
      <c r="AI22" s="86"/>
      <c r="AJ22" s="86"/>
      <c r="AK22" s="86"/>
      <c r="AL22" s="68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70"/>
    </row>
    <row r="23" spans="1:68" s="1" customFormat="1" ht="30.75" customHeight="1">
      <c r="A23" s="74">
        <f t="shared" si="0"/>
        <v>15</v>
      </c>
      <c r="B23" s="75"/>
      <c r="C23" s="76"/>
      <c r="D23" s="71" t="s">
        <v>534</v>
      </c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3"/>
      <c r="AA23" s="74" t="s">
        <v>280</v>
      </c>
      <c r="AB23" s="75"/>
      <c r="AC23" s="75"/>
      <c r="AD23" s="75"/>
      <c r="AE23" s="76"/>
      <c r="AF23" s="86">
        <v>4</v>
      </c>
      <c r="AG23" s="86"/>
      <c r="AH23" s="86"/>
      <c r="AI23" s="86"/>
      <c r="AJ23" s="86"/>
      <c r="AK23" s="86"/>
      <c r="AL23" s="68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70"/>
    </row>
    <row r="24" spans="1:68" s="1" customFormat="1" ht="30.75" customHeight="1">
      <c r="A24" s="74"/>
      <c r="B24" s="75"/>
      <c r="C24" s="76"/>
      <c r="D24" s="71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3"/>
      <c r="AA24" s="74"/>
      <c r="AB24" s="75"/>
      <c r="AC24" s="75"/>
      <c r="AD24" s="75"/>
      <c r="AE24" s="76"/>
      <c r="AF24" s="86"/>
      <c r="AG24" s="86"/>
      <c r="AH24" s="86"/>
      <c r="AI24" s="86"/>
      <c r="AJ24" s="86"/>
      <c r="AK24" s="86"/>
      <c r="AL24" s="68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70"/>
    </row>
    <row r="25" spans="1:68" s="1" customFormat="1" ht="30.75" customHeight="1">
      <c r="A25" s="80"/>
      <c r="B25" s="81"/>
      <c r="C25" s="82"/>
      <c r="D25" s="77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9"/>
      <c r="AA25" s="80"/>
      <c r="AB25" s="81"/>
      <c r="AC25" s="81"/>
      <c r="AD25" s="81"/>
      <c r="AE25" s="82"/>
      <c r="AF25" s="87"/>
      <c r="AG25" s="87"/>
      <c r="AH25" s="87"/>
      <c r="AI25" s="87"/>
      <c r="AJ25" s="87"/>
      <c r="AK25" s="87"/>
      <c r="AL25" s="83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5"/>
    </row>
    <row r="26" spans="1:68" s="4" customFormat="1" ht="3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3"/>
      <c r="AG26" s="3"/>
      <c r="AH26" s="3"/>
      <c r="AI26" s="3"/>
      <c r="AJ26" s="3"/>
      <c r="AK26" s="3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</row>
    <row r="27" spans="1:68" s="4" customFormat="1" ht="14.25">
      <c r="A27" s="5" t="s">
        <v>14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15"/>
      <c r="AG27" s="15"/>
      <c r="AH27" s="15"/>
      <c r="AI27" s="15"/>
      <c r="AJ27" s="15"/>
      <c r="AK27" s="15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6"/>
    </row>
    <row r="28" spans="1:68" s="4" customFormat="1" ht="20.25" customHeight="1">
      <c r="A28" s="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6"/>
    </row>
    <row r="29" spans="1:68" s="4" customFormat="1" ht="20.25" customHeight="1">
      <c r="A29" s="5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6"/>
    </row>
    <row r="30" spans="1:68" s="4" customFormat="1" ht="20.25" customHeight="1">
      <c r="A30" s="5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6"/>
    </row>
    <row r="31" spans="1:68" s="4" customFormat="1" ht="20.25" customHeight="1">
      <c r="A31" s="5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6"/>
    </row>
    <row r="32" spans="1:68" s="4" customFormat="1" ht="20.25" customHeight="1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9"/>
    </row>
    <row r="33" ht="5.25" customHeight="1"/>
  </sheetData>
  <mergeCells count="127">
    <mergeCell ref="A25:C25"/>
    <mergeCell ref="D25:Z25"/>
    <mergeCell ref="AA25:AE25"/>
    <mergeCell ref="AF25:AH25"/>
    <mergeCell ref="AI25:AK25"/>
    <mergeCell ref="AL25:BP25"/>
    <mergeCell ref="A24:C24"/>
    <mergeCell ref="D24:Z24"/>
    <mergeCell ref="AA24:AE24"/>
    <mergeCell ref="AF24:AH24"/>
    <mergeCell ref="AI24:AK24"/>
    <mergeCell ref="AL24:BP24"/>
    <mergeCell ref="A23:C23"/>
    <mergeCell ref="D23:Z23"/>
    <mergeCell ref="AA23:AE23"/>
    <mergeCell ref="AF23:AH23"/>
    <mergeCell ref="AI23:AK23"/>
    <mergeCell ref="AL23:BP23"/>
    <mergeCell ref="A22:C22"/>
    <mergeCell ref="D22:Z22"/>
    <mergeCell ref="AA22:AE22"/>
    <mergeCell ref="AF22:AH22"/>
    <mergeCell ref="AI22:AK22"/>
    <mergeCell ref="AL22:BP22"/>
    <mergeCell ref="A21:C21"/>
    <mergeCell ref="D21:Z21"/>
    <mergeCell ref="AA21:AE21"/>
    <mergeCell ref="AF21:AH21"/>
    <mergeCell ref="AI21:AK21"/>
    <mergeCell ref="AL21:BP21"/>
    <mergeCell ref="A20:C20"/>
    <mergeCell ref="D20:Z20"/>
    <mergeCell ref="AA20:AE20"/>
    <mergeCell ref="AF20:AH20"/>
    <mergeCell ref="AI20:AK20"/>
    <mergeCell ref="AL20:BP20"/>
    <mergeCell ref="A19:C19"/>
    <mergeCell ref="D19:Z19"/>
    <mergeCell ref="AA19:AE19"/>
    <mergeCell ref="AF19:AH19"/>
    <mergeCell ref="AI19:AK19"/>
    <mergeCell ref="AL19:BP19"/>
    <mergeCell ref="A18:C18"/>
    <mergeCell ref="D18:Z18"/>
    <mergeCell ref="AA18:AE18"/>
    <mergeCell ref="AF18:AH18"/>
    <mergeCell ref="AI18:AK18"/>
    <mergeCell ref="AL18:BP18"/>
    <mergeCell ref="A17:C17"/>
    <mergeCell ref="D17:Z17"/>
    <mergeCell ref="AA17:AE17"/>
    <mergeCell ref="AF17:AH17"/>
    <mergeCell ref="AI17:AK17"/>
    <mergeCell ref="AL17:BP17"/>
    <mergeCell ref="A16:C16"/>
    <mergeCell ref="D16:Z16"/>
    <mergeCell ref="AA16:AE16"/>
    <mergeCell ref="AF16:AH16"/>
    <mergeCell ref="AI16:AK16"/>
    <mergeCell ref="AL16:BP16"/>
    <mergeCell ref="A15:C15"/>
    <mergeCell ref="D15:Z15"/>
    <mergeCell ref="AA15:AE15"/>
    <mergeCell ref="AF15:AH15"/>
    <mergeCell ref="AI15:AK15"/>
    <mergeCell ref="AL15:BP15"/>
    <mergeCell ref="A14:C14"/>
    <mergeCell ref="D14:Z14"/>
    <mergeCell ref="AA14:AE14"/>
    <mergeCell ref="AF14:AH14"/>
    <mergeCell ref="AI14:AK14"/>
    <mergeCell ref="AL14:BP14"/>
    <mergeCell ref="A13:C13"/>
    <mergeCell ref="D13:Z13"/>
    <mergeCell ref="AA13:AE13"/>
    <mergeCell ref="AF13:AH13"/>
    <mergeCell ref="AI13:AK13"/>
    <mergeCell ref="AL13:BP13"/>
    <mergeCell ref="A12:C12"/>
    <mergeCell ref="D12:Z12"/>
    <mergeCell ref="AA12:AE12"/>
    <mergeCell ref="AF12:AH12"/>
    <mergeCell ref="AI12:AK12"/>
    <mergeCell ref="AL12:BP12"/>
    <mergeCell ref="A11:C11"/>
    <mergeCell ref="D11:Z11"/>
    <mergeCell ref="AA11:AE11"/>
    <mergeCell ref="AF11:AH11"/>
    <mergeCell ref="AI11:AK11"/>
    <mergeCell ref="AL11:BP11"/>
    <mergeCell ref="A10:C10"/>
    <mergeCell ref="D10:Z10"/>
    <mergeCell ref="AA10:AE10"/>
    <mergeCell ref="AF10:AH10"/>
    <mergeCell ref="AI10:AK10"/>
    <mergeCell ref="AL10:BP10"/>
    <mergeCell ref="A9:C9"/>
    <mergeCell ref="D9:Z9"/>
    <mergeCell ref="AA9:AE9"/>
    <mergeCell ref="AF9:AH9"/>
    <mergeCell ref="AI9:AK9"/>
    <mergeCell ref="AL9:BP9"/>
    <mergeCell ref="A8:C8"/>
    <mergeCell ref="D8:Z8"/>
    <mergeCell ref="AA8:AE8"/>
    <mergeCell ref="AF8:AH8"/>
    <mergeCell ref="AI8:AK8"/>
    <mergeCell ref="AL8:BP8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</mergeCells>
  <phoneticPr fontId="3"/>
  <dataValidations count="1">
    <dataValidation type="list" allowBlank="1" showInputMessage="1" showErrorMessage="1" sqref="BJ6:BP6" xr:uid="{C487D8F3-E9B4-4653-93BD-16CA257E2B12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A2987-CAA3-4CF3-B4B7-3747D5B7CC19}">
  <dimension ref="A1:BR21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25" defaultRowHeight="13.5"/>
  <cols>
    <col min="1" max="31" width="2.125" style="55"/>
    <col min="32" max="32" width="2.875" style="55" bestFit="1" customWidth="1"/>
    <col min="33" max="38" width="2.125" style="55"/>
    <col min="39" max="44" width="0" style="55" hidden="1" customWidth="1"/>
    <col min="45" max="16384" width="2.125" style="55"/>
  </cols>
  <sheetData>
    <row r="1" spans="1:70" s="11" customFormat="1" ht="21" customHeight="1">
      <c r="A1" s="11" t="s">
        <v>212</v>
      </c>
      <c r="BP1" s="13" t="s">
        <v>0</v>
      </c>
      <c r="BR1" s="14"/>
    </row>
    <row r="2" spans="1:70" s="12" customFormat="1" ht="18" customHeight="1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4"/>
      <c r="BB2" s="59" t="s">
        <v>1</v>
      </c>
      <c r="BC2" s="60"/>
      <c r="BD2" s="60"/>
      <c r="BE2" s="61"/>
      <c r="BF2" s="59" t="s">
        <v>214</v>
      </c>
      <c r="BG2" s="60"/>
      <c r="BH2" s="60"/>
      <c r="BI2" s="61"/>
      <c r="BJ2" s="59" t="s">
        <v>2</v>
      </c>
      <c r="BK2" s="60"/>
      <c r="BL2" s="60"/>
      <c r="BM2" s="61"/>
      <c r="BN2" s="60"/>
      <c r="BO2" s="60"/>
      <c r="BP2" s="61"/>
    </row>
    <row r="3" spans="1:70" s="11" customFormat="1" ht="18" customHeight="1">
      <c r="A3" s="57" t="s">
        <v>3</v>
      </c>
      <c r="B3" s="57"/>
      <c r="C3" s="57"/>
      <c r="D3" s="57"/>
      <c r="E3" s="57"/>
      <c r="F3" s="57"/>
      <c r="G3" s="57"/>
      <c r="H3" s="58" t="s">
        <v>562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9" t="s">
        <v>4</v>
      </c>
      <c r="BC3" s="60"/>
      <c r="BD3" s="60"/>
      <c r="BE3" s="61"/>
      <c r="BF3" s="59" t="s">
        <v>563</v>
      </c>
      <c r="BG3" s="60"/>
      <c r="BH3" s="60"/>
      <c r="BI3" s="60"/>
      <c r="BJ3" s="60"/>
      <c r="BK3" s="60"/>
      <c r="BL3" s="60"/>
      <c r="BM3" s="60"/>
      <c r="BN3" s="60"/>
      <c r="BO3" s="60"/>
      <c r="BP3" s="61"/>
    </row>
    <row r="4" spans="1:70" s="11" customFormat="1" ht="18" customHeight="1">
      <c r="A4" s="57" t="s">
        <v>5</v>
      </c>
      <c r="B4" s="57"/>
      <c r="C4" s="57"/>
      <c r="D4" s="57"/>
      <c r="E4" s="57"/>
      <c r="F4" s="57"/>
      <c r="G4" s="57"/>
      <c r="H4" s="144" t="s">
        <v>198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59" t="s">
        <v>6</v>
      </c>
      <c r="BC4" s="60"/>
      <c r="BD4" s="60"/>
      <c r="BE4" s="61"/>
      <c r="BF4" s="59"/>
      <c r="BG4" s="60"/>
      <c r="BH4" s="60"/>
      <c r="BI4" s="60"/>
      <c r="BJ4" s="60"/>
      <c r="BK4" s="60"/>
      <c r="BL4" s="60"/>
      <c r="BM4" s="60"/>
      <c r="BN4" s="60"/>
      <c r="BO4" s="60"/>
      <c r="BP4" s="61"/>
    </row>
    <row r="5" spans="1:70" ht="6" customHeight="1"/>
    <row r="6" spans="1:70" s="1" customFormat="1" ht="20.25" customHeight="1">
      <c r="A6" s="88" t="s">
        <v>7</v>
      </c>
      <c r="B6" s="89"/>
      <c r="C6" s="89"/>
      <c r="D6" s="89"/>
      <c r="E6" s="89"/>
      <c r="F6" s="89"/>
      <c r="G6" s="90"/>
      <c r="H6" s="143" t="s">
        <v>1420</v>
      </c>
      <c r="I6" s="96"/>
      <c r="J6" s="96"/>
      <c r="K6" s="96"/>
      <c r="L6" s="96"/>
      <c r="M6" s="96"/>
      <c r="N6" s="97"/>
      <c r="O6" s="88" t="s">
        <v>8</v>
      </c>
      <c r="P6" s="89"/>
      <c r="Q6" s="89"/>
      <c r="R6" s="89"/>
      <c r="S6" s="89"/>
      <c r="T6" s="89"/>
      <c r="U6" s="89"/>
      <c r="V6" s="89"/>
      <c r="W6" s="89"/>
      <c r="X6" s="89"/>
      <c r="Y6" s="90"/>
      <c r="Z6" s="98" t="s">
        <v>1423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  <c r="BF6" s="88" t="s">
        <v>9</v>
      </c>
      <c r="BG6" s="89"/>
      <c r="BH6" s="89"/>
      <c r="BI6" s="90"/>
      <c r="BJ6" s="101" t="s">
        <v>17</v>
      </c>
      <c r="BK6" s="102"/>
      <c r="BL6" s="102"/>
      <c r="BM6" s="102"/>
      <c r="BN6" s="102"/>
      <c r="BO6" s="102"/>
      <c r="BP6" s="103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88" t="s">
        <v>11</v>
      </c>
      <c r="B8" s="89"/>
      <c r="C8" s="90"/>
      <c r="D8" s="88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2" t="s">
        <v>13</v>
      </c>
      <c r="AB8" s="93"/>
      <c r="AC8" s="93"/>
      <c r="AD8" s="93"/>
      <c r="AE8" s="94"/>
      <c r="AF8" s="88" t="s">
        <v>215</v>
      </c>
      <c r="AG8" s="89"/>
      <c r="AH8" s="90"/>
      <c r="AI8" s="88" t="s">
        <v>216</v>
      </c>
      <c r="AJ8" s="89"/>
      <c r="AK8" s="90"/>
      <c r="AL8" s="92" t="s">
        <v>199</v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</row>
    <row r="9" spans="1:70" s="1" customFormat="1" ht="30.75" customHeight="1">
      <c r="A9" s="74">
        <f t="shared" ref="A9:A11" si="0">ROW()-8</f>
        <v>1</v>
      </c>
      <c r="B9" s="75"/>
      <c r="C9" s="76"/>
      <c r="D9" s="71" t="s">
        <v>1421</v>
      </c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3"/>
      <c r="AA9" s="74" t="s">
        <v>429</v>
      </c>
      <c r="AB9" s="75"/>
      <c r="AC9" s="75"/>
      <c r="AD9" s="75"/>
      <c r="AE9" s="76"/>
      <c r="AF9" s="117">
        <v>6</v>
      </c>
      <c r="AG9" s="118"/>
      <c r="AH9" s="119"/>
      <c r="AI9" s="74"/>
      <c r="AJ9" s="75"/>
      <c r="AK9" s="76"/>
      <c r="AL9" s="68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70"/>
    </row>
    <row r="10" spans="1:70" s="1" customFormat="1" ht="30.75" customHeight="1">
      <c r="A10" s="74">
        <f t="shared" si="0"/>
        <v>2</v>
      </c>
      <c r="B10" s="75"/>
      <c r="C10" s="76"/>
      <c r="D10" s="71" t="s">
        <v>1395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  <c r="AA10" s="74" t="s">
        <v>428</v>
      </c>
      <c r="AB10" s="75"/>
      <c r="AC10" s="75"/>
      <c r="AD10" s="75"/>
      <c r="AE10" s="76"/>
      <c r="AF10" s="74">
        <v>2</v>
      </c>
      <c r="AG10" s="75"/>
      <c r="AH10" s="76"/>
      <c r="AI10" s="74"/>
      <c r="AJ10" s="75"/>
      <c r="AK10" s="76"/>
      <c r="AL10" s="68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</row>
    <row r="11" spans="1:70" s="1" customFormat="1" ht="30.75" customHeight="1">
      <c r="A11" s="74">
        <f t="shared" si="0"/>
        <v>3</v>
      </c>
      <c r="B11" s="75"/>
      <c r="C11" s="76"/>
      <c r="D11" s="71" t="s">
        <v>1422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3"/>
      <c r="AA11" s="74" t="s">
        <v>428</v>
      </c>
      <c r="AB11" s="75"/>
      <c r="AC11" s="75"/>
      <c r="AD11" s="75"/>
      <c r="AE11" s="76"/>
      <c r="AF11" s="74">
        <v>10</v>
      </c>
      <c r="AG11" s="75"/>
      <c r="AH11" s="76"/>
      <c r="AI11" s="74"/>
      <c r="AJ11" s="75"/>
      <c r="AK11" s="76"/>
      <c r="AL11" s="68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70"/>
    </row>
    <row r="12" spans="1:70" s="1" customFormat="1" ht="30.6" customHeight="1">
      <c r="A12" s="74"/>
      <c r="B12" s="75"/>
      <c r="C12" s="76"/>
      <c r="D12" s="71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3"/>
      <c r="AA12" s="74"/>
      <c r="AB12" s="75"/>
      <c r="AC12" s="75"/>
      <c r="AD12" s="75"/>
      <c r="AE12" s="76"/>
      <c r="AF12" s="74"/>
      <c r="AG12" s="75"/>
      <c r="AH12" s="76"/>
      <c r="AI12" s="74"/>
      <c r="AJ12" s="75"/>
      <c r="AK12" s="76"/>
      <c r="AL12" s="68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70"/>
    </row>
    <row r="13" spans="1:70" s="1" customFormat="1" ht="30.75" customHeight="1">
      <c r="A13" s="80"/>
      <c r="B13" s="81"/>
      <c r="C13" s="82"/>
      <c r="D13" s="77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9"/>
      <c r="AA13" s="80"/>
      <c r="AB13" s="81"/>
      <c r="AC13" s="81"/>
      <c r="AD13" s="81"/>
      <c r="AE13" s="82"/>
      <c r="AF13" s="87"/>
      <c r="AG13" s="87"/>
      <c r="AH13" s="87"/>
      <c r="AI13" s="87"/>
      <c r="AJ13" s="87"/>
      <c r="AK13" s="87"/>
      <c r="AL13" s="83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5"/>
    </row>
    <row r="14" spans="1:70" s="4" customFormat="1" ht="3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3"/>
      <c r="AG14" s="3"/>
      <c r="AH14" s="3"/>
      <c r="AI14" s="3"/>
      <c r="AJ14" s="3"/>
      <c r="AK14" s="3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</row>
    <row r="15" spans="1:70" s="4" customFormat="1" ht="14.25">
      <c r="A15" s="5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15"/>
      <c r="AG15" s="15"/>
      <c r="AH15" s="15"/>
      <c r="AI15" s="15"/>
      <c r="AJ15" s="15"/>
      <c r="AK15" s="15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6"/>
    </row>
    <row r="16" spans="1:70" s="4" customFormat="1" ht="20.25" customHeight="1">
      <c r="A16" s="5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6"/>
    </row>
    <row r="17" spans="1:68" s="4" customFormat="1" ht="20.25" customHeight="1">
      <c r="A17" s="5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6"/>
    </row>
    <row r="18" spans="1:68" s="4" customFormat="1" ht="20.25" customHeight="1">
      <c r="A18" s="5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6"/>
    </row>
    <row r="19" spans="1:68" s="4" customFormat="1" ht="20.25" customHeight="1">
      <c r="A19" s="5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6"/>
    </row>
    <row r="20" spans="1:68" s="4" customFormat="1" ht="20.25" customHeight="1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9"/>
    </row>
    <row r="21" spans="1:68" ht="5.25" customHeight="1"/>
  </sheetData>
  <mergeCells count="55">
    <mergeCell ref="AL13:BP13"/>
    <mergeCell ref="A12:C12"/>
    <mergeCell ref="D12:Z12"/>
    <mergeCell ref="AA12:AE12"/>
    <mergeCell ref="AF12:AH12"/>
    <mergeCell ref="AI12:AK12"/>
    <mergeCell ref="AL12:BP12"/>
    <mergeCell ref="A13:C13"/>
    <mergeCell ref="D13:Z13"/>
    <mergeCell ref="AA13:AE13"/>
    <mergeCell ref="AF13:AH13"/>
    <mergeCell ref="AI13:AK13"/>
    <mergeCell ref="AL11:BP11"/>
    <mergeCell ref="A10:C10"/>
    <mergeCell ref="D10:Z10"/>
    <mergeCell ref="AA10:AE10"/>
    <mergeCell ref="AF10:AH10"/>
    <mergeCell ref="AI10:AK10"/>
    <mergeCell ref="AL10:BP10"/>
    <mergeCell ref="A11:C11"/>
    <mergeCell ref="D11:Z11"/>
    <mergeCell ref="AA11:AE11"/>
    <mergeCell ref="AF11:AH11"/>
    <mergeCell ref="AI11:AK11"/>
    <mergeCell ref="AL9:BP9"/>
    <mergeCell ref="A8:C8"/>
    <mergeCell ref="D8:Z8"/>
    <mergeCell ref="AA8:AE8"/>
    <mergeCell ref="AF8:AH8"/>
    <mergeCell ref="AI8:AK8"/>
    <mergeCell ref="AL8:BP8"/>
    <mergeCell ref="A9:C9"/>
    <mergeCell ref="D9:Z9"/>
    <mergeCell ref="AA9:AE9"/>
    <mergeCell ref="AF9:AH9"/>
    <mergeCell ref="AI9:AK9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3:G3"/>
    <mergeCell ref="H3:BA3"/>
    <mergeCell ref="BB3:BE3"/>
    <mergeCell ref="BF3:BP3"/>
    <mergeCell ref="A2:BA2"/>
    <mergeCell ref="BB2:BE2"/>
    <mergeCell ref="BF2:BI2"/>
    <mergeCell ref="BJ2:BM2"/>
    <mergeCell ref="BN2:BP2"/>
  </mergeCells>
  <phoneticPr fontId="3"/>
  <dataValidations count="1">
    <dataValidation type="list" allowBlank="1" showInputMessage="1" showErrorMessage="1" sqref="BJ6:BP6" xr:uid="{4AB72E1A-1737-455A-B4BA-74FB060AA427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35CF0B-0EB4-4F19-B762-F565A2BFD662}"/>
</file>

<file path=customXml/itemProps2.xml><?xml version="1.0" encoding="utf-8"?>
<ds:datastoreItem xmlns:ds="http://schemas.openxmlformats.org/officeDocument/2006/customXml" ds:itemID="{47FAF724-4EB1-4D6F-ABE7-3D1D04D896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CD3D12-C1B3-434D-86BA-8870275BFADC}">
  <ds:schemaRefs>
    <ds:schemaRef ds:uri="b9cc7365-e218-4624-aedb-0a55e821af1f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terms/"/>
    <ds:schemaRef ds:uri="4a1f72ec-30b8-4383-892a-fcacdd251f13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47</vt:i4>
      </vt:variant>
      <vt:variant>
        <vt:lpstr>名前付き一覧</vt:lpstr>
      </vt:variant>
      <vt:variant>
        <vt:i4>94</vt:i4>
      </vt:variant>
    </vt:vector>
  </HeadingPairs>
  <TitlesOfParts>
    <vt:vector size="141" baseType="lpstr">
      <vt:lpstr>変更履歴</vt:lpstr>
      <vt:lpstr>取引入力申請情報</vt:lpstr>
      <vt:lpstr>取引入力情報</vt:lpstr>
      <vt:lpstr>取引入力出力情報CSV</vt:lpstr>
      <vt:lpstr>取引入力申請情報CSV</vt:lpstr>
      <vt:lpstr>定例取引入力CSV取込情報</vt:lpstr>
      <vt:lpstr>費用入力申請情報</vt:lpstr>
      <vt:lpstr>費用入力情報</vt:lpstr>
      <vt:lpstr>費用入力出力情報CSV</vt:lpstr>
      <vt:lpstr>費用入力申請情報CSV</vt:lpstr>
      <vt:lpstr>費用CSV取込情報</vt:lpstr>
      <vt:lpstr>消費税差額入力申請情報</vt:lpstr>
      <vt:lpstr>消費税差額入力情報</vt:lpstr>
      <vt:lpstr>収益入力申請情報</vt:lpstr>
      <vt:lpstr>収益入力情報</vt:lpstr>
      <vt:lpstr>収益入力出力情報CSV</vt:lpstr>
      <vt:lpstr>収益入力申請情報CSV</vt:lpstr>
      <vt:lpstr>収益入力CSV取込情報</vt:lpstr>
      <vt:lpstr>付替入力申請情報</vt:lpstr>
      <vt:lpstr>付替入力情報</vt:lpstr>
      <vt:lpstr>付替受入入力検索条件</vt:lpstr>
      <vt:lpstr>人件費補完情報</vt:lpstr>
      <vt:lpstr>人件費連動リスト</vt:lpstr>
      <vt:lpstr>人件費情報</vt:lpstr>
      <vt:lpstr>人件費補完情報CSV</vt:lpstr>
      <vt:lpstr>人件費情報入力CSV取込情報</vt:lpstr>
      <vt:lpstr>人件費特別申請情報</vt:lpstr>
      <vt:lpstr>人件費特別情報</vt:lpstr>
      <vt:lpstr>人件費特別申請情報CSV</vt:lpstr>
      <vt:lpstr>人件費特別入力CSV取込情報</vt:lpstr>
      <vt:lpstr>施設実績情報</vt:lpstr>
      <vt:lpstr>加工施設採算表（総括表）</vt:lpstr>
      <vt:lpstr>加工施設採算表（内訳表）</vt:lpstr>
      <vt:lpstr>事業施設補助簿試算表（総括表）</vt:lpstr>
      <vt:lpstr>事業施設補助簿試算表（内訳表）</vt:lpstr>
      <vt:lpstr>生産施設採算表（総括表）</vt:lpstr>
      <vt:lpstr>生産施設採算表（内訳表）</vt:lpstr>
      <vt:lpstr>直販施設採算表（総括表）</vt:lpstr>
      <vt:lpstr>直販施設採算表（内訳表）</vt:lpstr>
      <vt:lpstr>施設採算表出力検索条件</vt:lpstr>
      <vt:lpstr>購買品勘定整理帳</vt:lpstr>
      <vt:lpstr>販売品勘定整理帳</vt:lpstr>
      <vt:lpstr>製品売上原価・製品売上高勘定整理帳</vt:lpstr>
      <vt:lpstr>勘定整理帳情報照会検索条件</vt:lpstr>
      <vt:lpstr>購買手数料配分計算書</vt:lpstr>
      <vt:lpstr>全道共計手数料配分計算書</vt:lpstr>
      <vt:lpstr>手数料配分計算書出力検索条件</vt:lpstr>
      <vt:lpstr>'加工施設採算表（総括表）'!Print_Area</vt:lpstr>
      <vt:lpstr>'加工施設採算表（内訳表）'!Print_Area</vt:lpstr>
      <vt:lpstr>勘定整理帳情報照会検索条件!Print_Area</vt:lpstr>
      <vt:lpstr>購買手数料配分計算書!Print_Area</vt:lpstr>
      <vt:lpstr>購買品勘定整理帳!Print_Area</vt:lpstr>
      <vt:lpstr>施設採算表出力検索条件!Print_Area</vt:lpstr>
      <vt:lpstr>施設実績情報!Print_Area</vt:lpstr>
      <vt:lpstr>'事業施設補助簿試算表（総括表）'!Print_Area</vt:lpstr>
      <vt:lpstr>'事業施設補助簿試算表（内訳表）'!Print_Area</vt:lpstr>
      <vt:lpstr>取引入力出力情報CSV!Print_Area</vt:lpstr>
      <vt:lpstr>取引入力情報!Print_Area</vt:lpstr>
      <vt:lpstr>取引入力申請情報!Print_Area</vt:lpstr>
      <vt:lpstr>取引入力申請情報CSV!Print_Area</vt:lpstr>
      <vt:lpstr>手数料配分計算書出力検索条件!Print_Area</vt:lpstr>
      <vt:lpstr>収益入力CSV取込情報!Print_Area</vt:lpstr>
      <vt:lpstr>収益入力出力情報CSV!Print_Area</vt:lpstr>
      <vt:lpstr>収益入力情報!Print_Area</vt:lpstr>
      <vt:lpstr>収益入力申請情報!Print_Area</vt:lpstr>
      <vt:lpstr>収益入力申請情報CSV!Print_Area</vt:lpstr>
      <vt:lpstr>消費税差額入力情報!Print_Area</vt:lpstr>
      <vt:lpstr>消費税差額入力申請情報!Print_Area</vt:lpstr>
      <vt:lpstr>人件費情報!Print_Area</vt:lpstr>
      <vt:lpstr>人件費情報入力CSV取込情報!Print_Area</vt:lpstr>
      <vt:lpstr>人件費特別情報!Print_Area</vt:lpstr>
      <vt:lpstr>人件費特別申請情報!Print_Area</vt:lpstr>
      <vt:lpstr>人件費特別申請情報CSV!Print_Area</vt:lpstr>
      <vt:lpstr>人件費特別入力CSV取込情報!Print_Area</vt:lpstr>
      <vt:lpstr>人件費補完情報!Print_Area</vt:lpstr>
      <vt:lpstr>人件費補完情報CSV!Print_Area</vt:lpstr>
      <vt:lpstr>人件費連動リスト!Print_Area</vt:lpstr>
      <vt:lpstr>'生産施設採算表（総括表）'!Print_Area</vt:lpstr>
      <vt:lpstr>'生産施設採算表（内訳表）'!Print_Area</vt:lpstr>
      <vt:lpstr>製品売上原価・製品売上高勘定整理帳!Print_Area</vt:lpstr>
      <vt:lpstr>全道共計手数料配分計算書!Print_Area</vt:lpstr>
      <vt:lpstr>'直販施設採算表（総括表）'!Print_Area</vt:lpstr>
      <vt:lpstr>'直販施設採算表（内訳表）'!Print_Area</vt:lpstr>
      <vt:lpstr>定例取引入力CSV取込情報!Print_Area</vt:lpstr>
      <vt:lpstr>販売品勘定整理帳!Print_Area</vt:lpstr>
      <vt:lpstr>費用CSV取込情報!Print_Area</vt:lpstr>
      <vt:lpstr>費用入力出力情報CSV!Print_Area</vt:lpstr>
      <vt:lpstr>費用入力情報!Print_Area</vt:lpstr>
      <vt:lpstr>費用入力申請情報!Print_Area</vt:lpstr>
      <vt:lpstr>費用入力申請情報CSV!Print_Area</vt:lpstr>
      <vt:lpstr>付替受入入力検索条件!Print_Area</vt:lpstr>
      <vt:lpstr>付替入力情報!Print_Area</vt:lpstr>
      <vt:lpstr>付替入力申請情報!Print_Area</vt:lpstr>
      <vt:lpstr>変更履歴!Print_Area</vt:lpstr>
      <vt:lpstr>'加工施設採算表（総括表）'!Print_Titles</vt:lpstr>
      <vt:lpstr>'加工施設採算表（内訳表）'!Print_Titles</vt:lpstr>
      <vt:lpstr>勘定整理帳情報照会検索条件!Print_Titles</vt:lpstr>
      <vt:lpstr>購買手数料配分計算書!Print_Titles</vt:lpstr>
      <vt:lpstr>購買品勘定整理帳!Print_Titles</vt:lpstr>
      <vt:lpstr>施設採算表出力検索条件!Print_Titles</vt:lpstr>
      <vt:lpstr>施設実績情報!Print_Titles</vt:lpstr>
      <vt:lpstr>'事業施設補助簿試算表（総括表）'!Print_Titles</vt:lpstr>
      <vt:lpstr>'事業施設補助簿試算表（内訳表）'!Print_Titles</vt:lpstr>
      <vt:lpstr>取引入力出力情報CSV!Print_Titles</vt:lpstr>
      <vt:lpstr>取引入力情報!Print_Titles</vt:lpstr>
      <vt:lpstr>取引入力申請情報!Print_Titles</vt:lpstr>
      <vt:lpstr>取引入力申請情報CSV!Print_Titles</vt:lpstr>
      <vt:lpstr>手数料配分計算書出力検索条件!Print_Titles</vt:lpstr>
      <vt:lpstr>収益入力CSV取込情報!Print_Titles</vt:lpstr>
      <vt:lpstr>収益入力出力情報CSV!Print_Titles</vt:lpstr>
      <vt:lpstr>収益入力情報!Print_Titles</vt:lpstr>
      <vt:lpstr>収益入力申請情報!Print_Titles</vt:lpstr>
      <vt:lpstr>収益入力申請情報CSV!Print_Titles</vt:lpstr>
      <vt:lpstr>消費税差額入力情報!Print_Titles</vt:lpstr>
      <vt:lpstr>消費税差額入力申請情報!Print_Titles</vt:lpstr>
      <vt:lpstr>人件費情報!Print_Titles</vt:lpstr>
      <vt:lpstr>人件費情報入力CSV取込情報!Print_Titles</vt:lpstr>
      <vt:lpstr>人件費特別情報!Print_Titles</vt:lpstr>
      <vt:lpstr>人件費特別申請情報!Print_Titles</vt:lpstr>
      <vt:lpstr>人件費特別申請情報CSV!Print_Titles</vt:lpstr>
      <vt:lpstr>人件費特別入力CSV取込情報!Print_Titles</vt:lpstr>
      <vt:lpstr>人件費補完情報!Print_Titles</vt:lpstr>
      <vt:lpstr>人件費補完情報CSV!Print_Titles</vt:lpstr>
      <vt:lpstr>人件費連動リスト!Print_Titles</vt:lpstr>
      <vt:lpstr>'生産施設採算表（総括表）'!Print_Titles</vt:lpstr>
      <vt:lpstr>'生産施設採算表（内訳表）'!Print_Titles</vt:lpstr>
      <vt:lpstr>製品売上原価・製品売上高勘定整理帳!Print_Titles</vt:lpstr>
      <vt:lpstr>全道共計手数料配分計算書!Print_Titles</vt:lpstr>
      <vt:lpstr>'直販施設採算表（総括表）'!Print_Titles</vt:lpstr>
      <vt:lpstr>'直販施設採算表（内訳表）'!Print_Titles</vt:lpstr>
      <vt:lpstr>定例取引入力CSV取込情報!Print_Titles</vt:lpstr>
      <vt:lpstr>販売品勘定整理帳!Print_Titles</vt:lpstr>
      <vt:lpstr>費用CSV取込情報!Print_Titles</vt:lpstr>
      <vt:lpstr>費用入力出力情報CSV!Print_Titles</vt:lpstr>
      <vt:lpstr>費用入力情報!Print_Titles</vt:lpstr>
      <vt:lpstr>費用入力申請情報!Print_Titles</vt:lpstr>
      <vt:lpstr>費用入力申請情報CSV!Print_Titles</vt:lpstr>
      <vt:lpstr>付替受入入力検索条件!Print_Titles</vt:lpstr>
      <vt:lpstr>付替入力情報!Print_Titles</vt:lpstr>
      <vt:lpstr>付替入力申請情報!Print_Titles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十亀 健</cp:lastModifiedBy>
  <cp:revision/>
  <cp:lastPrinted>2025-06-18T04:45:00Z</cp:lastPrinted>
  <dcterms:created xsi:type="dcterms:W3CDTF">2001-03-06T02:20:07Z</dcterms:created>
  <dcterms:modified xsi:type="dcterms:W3CDTF">2025-09-04T06:40:21Z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0x0101002135829BDC75954D8929D4C1CD017C50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