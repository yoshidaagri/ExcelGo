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work\会計\会計成果物wc\doc\20_外部設計\01_成果物\F4109_帳票設計書\9.共計\9.4.共計情報提供\"/>
    </mc:Choice>
  </mc:AlternateContent>
  <xr:revisionPtr revIDLastSave="0" documentId="13_ncr:1_{DD76344D-F78D-4F0D-8D9D-027E857FDC89}" xr6:coauthVersionLast="47" xr6:coauthVersionMax="47" xr10:uidLastSave="{00000000-0000-0000-0000-000000000000}"/>
  <bookViews>
    <workbookView xWindow="-120" yWindow="-120" windowWidth="29040" windowHeight="15720" xr2:uid="{2B54DF24-38DD-4097-8079-C758B5788B84}"/>
  </bookViews>
  <sheets>
    <sheet name="変更履歴" sheetId="23" r:id="rId1"/>
    <sheet name="1.帳票レイアウト" sheetId="33" r:id="rId2"/>
    <sheet name="1.帳票イメージ" sheetId="28" r:id="rId3"/>
    <sheet name="2.条件表" sheetId="26" r:id="rId4"/>
    <sheet name="3.項目説明" sheetId="27" r:id="rId5"/>
  </sheets>
  <definedNames>
    <definedName name="_xlnm.Print_Area" localSheetId="2">'1.帳票イメージ'!$A$1:$EC$101</definedName>
    <definedName name="_xlnm.Print_Area" localSheetId="1">'1.帳票レイアウト'!$A$1:$EC$113</definedName>
    <definedName name="_xlnm.Print_Area" localSheetId="3">'2.条件表'!$A$1:$BJ$66</definedName>
    <definedName name="_xlnm.Print_Area" localSheetId="4">'3.項目説明'!$A$1:$BJ$183</definedName>
    <definedName name="_xlnm.Print_Area" localSheetId="0">変更履歴!$A$1:$BJ$61</definedName>
    <definedName name="_xlnm.Print_Titles" localSheetId="4">'3.項目説明'!$1:$8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6" i="27" l="1"/>
  <c r="BW41" i="28"/>
  <c r="BW40" i="28"/>
  <c r="BW38" i="28"/>
  <c r="BW39" i="28" s="1"/>
  <c r="BW37" i="28"/>
  <c r="BW36" i="28"/>
  <c r="CD41" i="28"/>
  <c r="CD40" i="28"/>
  <c r="AY40" i="28"/>
  <c r="AY41" i="28" s="1"/>
  <c r="AY38" i="28"/>
  <c r="AY39" i="28" s="1"/>
  <c r="AY37" i="28"/>
  <c r="AY36" i="28"/>
  <c r="AY31" i="28"/>
  <c r="AI36" i="28"/>
  <c r="A62" i="27" l="1"/>
  <c r="A61" i="27"/>
  <c r="A58" i="27"/>
  <c r="A57" i="27"/>
  <c r="A54" i="27"/>
  <c r="A53" i="27"/>
  <c r="A46" i="27"/>
  <c r="A45" i="27"/>
  <c r="A41" i="27"/>
  <c r="A37" i="27"/>
  <c r="A29" i="27"/>
  <c r="A25" i="27"/>
  <c r="A22" i="27"/>
  <c r="A42" i="28"/>
  <c r="A52" i="27" l="1"/>
  <c r="A51" i="27"/>
  <c r="A50" i="27"/>
  <c r="A49" i="27"/>
  <c r="A36" i="27"/>
  <c r="A35" i="27"/>
  <c r="A34" i="27"/>
  <c r="A33" i="27"/>
  <c r="A19" i="27"/>
  <c r="A17" i="27"/>
  <c r="A67" i="27" l="1"/>
  <c r="A66" i="27"/>
  <c r="A68" i="27"/>
  <c r="A65" i="27"/>
  <c r="A64" i="27" l="1"/>
  <c r="A63" i="27"/>
  <c r="A60" i="27"/>
  <c r="A59" i="27"/>
  <c r="A56" i="27"/>
  <c r="A55" i="27"/>
  <c r="A48" i="27"/>
  <c r="A47" i="27"/>
  <c r="A44" i="27"/>
  <c r="A43" i="27"/>
  <c r="A42" i="27"/>
  <c r="A40" i="27"/>
  <c r="A39" i="27"/>
  <c r="A38" i="27"/>
  <c r="A20" i="27"/>
  <c r="A9" i="27" l="1"/>
  <c r="A11" i="27" l="1"/>
  <c r="AI37" i="28" l="1"/>
  <c r="AI31" i="28"/>
  <c r="AI38" i="28" l="1"/>
  <c r="AI40" i="28"/>
  <c r="AI39" i="28" l="1"/>
  <c r="AI41" i="28"/>
  <c r="A9" i="33"/>
  <c r="A10" i="33" s="1"/>
  <c r="A11" i="33" s="1"/>
  <c r="A12" i="33" s="1"/>
  <c r="A13" i="33" s="1"/>
  <c r="A14" i="33" s="1"/>
  <c r="A15" i="33" s="1"/>
  <c r="A16" i="33" s="1"/>
  <c r="A17" i="33" s="1"/>
  <c r="A18" i="33" s="1"/>
  <c r="A19" i="33" s="1"/>
  <c r="A20" i="33" s="1"/>
  <c r="A21" i="33" s="1"/>
  <c r="A22" i="33" s="1"/>
  <c r="A23" i="33" s="1"/>
  <c r="A24" i="33" s="1"/>
  <c r="A25" i="33" s="1"/>
  <c r="A26" i="33" s="1"/>
  <c r="A27" i="33" s="1"/>
  <c r="A28" i="33" s="1"/>
  <c r="A29" i="33" s="1"/>
  <c r="A30" i="33" s="1"/>
  <c r="A31" i="33" s="1"/>
  <c r="A32" i="33" s="1"/>
  <c r="A33" i="33" s="1"/>
  <c r="A34" i="33" s="1"/>
  <c r="A35" i="33" s="1"/>
  <c r="A36" i="33" s="1"/>
  <c r="A37" i="33" s="1"/>
  <c r="A38" i="33" s="1"/>
  <c r="A39" i="33" s="1"/>
  <c r="A40" i="33" s="1"/>
  <c r="A41" i="33" s="1"/>
  <c r="A42" i="33" s="1"/>
  <c r="A43" i="33" s="1"/>
  <c r="A44" i="33" s="1"/>
  <c r="A45" i="33" s="1"/>
  <c r="A46" i="33" s="1"/>
  <c r="A47" i="33" s="1"/>
  <c r="A48" i="33" s="1"/>
  <c r="A49" i="33" s="1"/>
  <c r="A50" i="33" s="1"/>
  <c r="A51" i="33" s="1"/>
  <c r="A52" i="33" s="1"/>
  <c r="A53" i="33" s="1"/>
  <c r="A54" i="33" s="1"/>
  <c r="A55" i="33" s="1"/>
  <c r="A56" i="33" s="1"/>
  <c r="A57" i="33" s="1"/>
  <c r="A58" i="33" s="1"/>
  <c r="A59" i="33" s="1"/>
  <c r="A60" i="33" s="1"/>
  <c r="A61" i="33" s="1"/>
  <c r="A62" i="33" s="1"/>
  <c r="A63" i="33" s="1"/>
  <c r="A64" i="33" s="1"/>
  <c r="A65" i="33" s="1"/>
  <c r="A66" i="33" s="1"/>
  <c r="A67" i="33" s="1"/>
  <c r="A68" i="33" s="1"/>
  <c r="A69" i="33" s="1"/>
  <c r="A70" i="33" s="1"/>
  <c r="A71" i="33" s="1"/>
  <c r="A72" i="33" s="1"/>
  <c r="A73" i="33" s="1"/>
  <c r="A74" i="33" s="1"/>
  <c r="A75" i="33" s="1"/>
  <c r="A76" i="33" s="1"/>
  <c r="A77" i="33" s="1"/>
  <c r="EB8" i="33"/>
  <c r="EC8" i="33" s="1"/>
  <c r="DR8" i="33"/>
  <c r="DS8" i="33" s="1"/>
  <c r="DT8" i="33" s="1"/>
  <c r="DU8" i="33" s="1"/>
  <c r="DV8" i="33" s="1"/>
  <c r="DW8" i="33" s="1"/>
  <c r="DX8" i="33" s="1"/>
  <c r="DY8" i="33" s="1"/>
  <c r="DZ8" i="33" s="1"/>
  <c r="DI8" i="33"/>
  <c r="DJ8" i="33" s="1"/>
  <c r="DK8" i="33" s="1"/>
  <c r="DL8" i="33" s="1"/>
  <c r="DM8" i="33" s="1"/>
  <c r="DN8" i="33" s="1"/>
  <c r="DO8" i="33" s="1"/>
  <c r="DP8" i="33" s="1"/>
  <c r="DH8" i="33"/>
  <c r="CX8" i="33"/>
  <c r="CY8" i="33" s="1"/>
  <c r="CZ8" i="33" s="1"/>
  <c r="DA8" i="33" s="1"/>
  <c r="DB8" i="33" s="1"/>
  <c r="DC8" i="33" s="1"/>
  <c r="DD8" i="33" s="1"/>
  <c r="DE8" i="33" s="1"/>
  <c r="DF8" i="33" s="1"/>
  <c r="CN8" i="33"/>
  <c r="CO8" i="33" s="1"/>
  <c r="CP8" i="33" s="1"/>
  <c r="CQ8" i="33" s="1"/>
  <c r="CR8" i="33" s="1"/>
  <c r="CS8" i="33" s="1"/>
  <c r="CT8" i="33" s="1"/>
  <c r="CU8" i="33" s="1"/>
  <c r="CV8" i="33" s="1"/>
  <c r="CD8" i="33"/>
  <c r="CE8" i="33" s="1"/>
  <c r="CF8" i="33" s="1"/>
  <c r="CG8" i="33" s="1"/>
  <c r="CH8" i="33" s="1"/>
  <c r="CI8" i="33" s="1"/>
  <c r="CJ8" i="33" s="1"/>
  <c r="CK8" i="33" s="1"/>
  <c r="CL8" i="33" s="1"/>
  <c r="BU8" i="33"/>
  <c r="BV8" i="33" s="1"/>
  <c r="BW8" i="33" s="1"/>
  <c r="BX8" i="33" s="1"/>
  <c r="BY8" i="33" s="1"/>
  <c r="BZ8" i="33" s="1"/>
  <c r="CA8" i="33" s="1"/>
  <c r="CB8" i="33" s="1"/>
  <c r="BT8" i="33"/>
  <c r="BJ8" i="33"/>
  <c r="BK8" i="33" s="1"/>
  <c r="BL8" i="33" s="1"/>
  <c r="BM8" i="33" s="1"/>
  <c r="BN8" i="33" s="1"/>
  <c r="BO8" i="33" s="1"/>
  <c r="BP8" i="33" s="1"/>
  <c r="BQ8" i="33" s="1"/>
  <c r="BR8" i="33" s="1"/>
  <c r="AZ8" i="33"/>
  <c r="BA8" i="33" s="1"/>
  <c r="BB8" i="33" s="1"/>
  <c r="BC8" i="33" s="1"/>
  <c r="BD8" i="33" s="1"/>
  <c r="BE8" i="33" s="1"/>
  <c r="BF8" i="33" s="1"/>
  <c r="BG8" i="33" s="1"/>
  <c r="BH8" i="33" s="1"/>
  <c r="AP8" i="33"/>
  <c r="AQ8" i="33" s="1"/>
  <c r="AR8" i="33" s="1"/>
  <c r="AS8" i="33" s="1"/>
  <c r="AT8" i="33" s="1"/>
  <c r="AU8" i="33" s="1"/>
  <c r="AV8" i="33" s="1"/>
  <c r="AW8" i="33" s="1"/>
  <c r="AX8" i="33" s="1"/>
  <c r="AG8" i="33"/>
  <c r="AH8" i="33" s="1"/>
  <c r="AI8" i="33" s="1"/>
  <c r="AJ8" i="33" s="1"/>
  <c r="AK8" i="33" s="1"/>
  <c r="AL8" i="33" s="1"/>
  <c r="AM8" i="33" s="1"/>
  <c r="AN8" i="33" s="1"/>
  <c r="AF8" i="33"/>
  <c r="V8" i="33"/>
  <c r="W8" i="33" s="1"/>
  <c r="X8" i="33" s="1"/>
  <c r="Y8" i="33" s="1"/>
  <c r="Z8" i="33" s="1"/>
  <c r="AA8" i="33" s="1"/>
  <c r="AB8" i="33" s="1"/>
  <c r="AC8" i="33" s="1"/>
  <c r="AD8" i="33" s="1"/>
  <c r="L8" i="33"/>
  <c r="M8" i="33" s="1"/>
  <c r="N8" i="33" s="1"/>
  <c r="O8" i="33" s="1"/>
  <c r="P8" i="33" s="1"/>
  <c r="Q8" i="33" s="1"/>
  <c r="R8" i="33" s="1"/>
  <c r="S8" i="33" s="1"/>
  <c r="T8" i="33" s="1"/>
  <c r="B8" i="33"/>
  <c r="C8" i="33" s="1"/>
  <c r="D8" i="33" s="1"/>
  <c r="E8" i="33" s="1"/>
  <c r="F8" i="33" s="1"/>
  <c r="G8" i="33" s="1"/>
  <c r="H8" i="33" s="1"/>
  <c r="I8" i="33" s="1"/>
  <c r="J8" i="33" s="1"/>
  <c r="L6" i="33"/>
  <c r="A78" i="33" l="1"/>
  <c r="A79" i="33" s="1"/>
  <c r="A80" i="33" s="1"/>
  <c r="A81" i="33" s="1"/>
  <c r="A82" i="33" s="1"/>
  <c r="A83" i="33" s="1"/>
  <c r="A84" i="33" s="1"/>
  <c r="A85" i="33" s="1"/>
  <c r="A86" i="33" s="1"/>
  <c r="A87" i="33" s="1"/>
  <c r="A88" i="33" s="1"/>
  <c r="A89" i="33" s="1"/>
  <c r="A90" i="33" s="1"/>
  <c r="A91" i="33" s="1"/>
  <c r="A92" i="33" s="1"/>
  <c r="A93" i="33" s="1"/>
  <c r="A94" i="33" s="1"/>
  <c r="A95" i="33"/>
  <c r="A96" i="33" s="1"/>
  <c r="A97" i="33" s="1"/>
  <c r="A98" i="33" s="1"/>
  <c r="A99" i="33" s="1"/>
  <c r="A100" i="33" s="1"/>
  <c r="A101" i="33" s="1"/>
  <c r="A102" i="33" s="1"/>
  <c r="A103" i="33" s="1"/>
  <c r="A104" i="33" s="1"/>
  <c r="A105" i="33" s="1"/>
  <c r="A106" i="33" s="1"/>
  <c r="A107" i="33" s="1"/>
  <c r="A108" i="33" s="1"/>
  <c r="A109" i="33" s="1"/>
  <c r="A110" i="33" s="1"/>
  <c r="A111" i="33" s="1"/>
  <c r="A112" i="33" s="1"/>
  <c r="A113" i="33" s="1"/>
  <c r="A32" i="27"/>
  <c r="A31" i="27"/>
  <c r="A30" i="27"/>
  <c r="A28" i="27"/>
  <c r="Y6" i="27" l="1"/>
  <c r="Y6" i="26"/>
  <c r="L6" i="28"/>
  <c r="A27" i="27" l="1"/>
  <c r="A26" i="27"/>
  <c r="A24" i="27"/>
  <c r="A23" i="27"/>
  <c r="A15" i="27" l="1"/>
  <c r="A18" i="27"/>
  <c r="A12" i="27"/>
  <c r="A10" i="27"/>
  <c r="A13" i="27"/>
  <c r="A21" i="27"/>
  <c r="A14" i="27"/>
  <c r="A9" i="28" l="1"/>
  <c r="A10" i="28" s="1"/>
  <c r="EB8" i="28"/>
  <c r="EC8" i="28" s="1"/>
  <c r="DR8" i="28"/>
  <c r="DS8" i="28" s="1"/>
  <c r="DT8" i="28" s="1"/>
  <c r="DU8" i="28" s="1"/>
  <c r="DV8" i="28" s="1"/>
  <c r="DW8" i="28" s="1"/>
  <c r="DX8" i="28" s="1"/>
  <c r="DY8" i="28" s="1"/>
  <c r="DZ8" i="28" s="1"/>
  <c r="DH8" i="28"/>
  <c r="DI8" i="28" s="1"/>
  <c r="DJ8" i="28" s="1"/>
  <c r="DK8" i="28" s="1"/>
  <c r="DL8" i="28" s="1"/>
  <c r="DM8" i="28" s="1"/>
  <c r="DN8" i="28" s="1"/>
  <c r="DO8" i="28" s="1"/>
  <c r="DP8" i="28" s="1"/>
  <c r="CX8" i="28"/>
  <c r="CY8" i="28" s="1"/>
  <c r="CZ8" i="28" s="1"/>
  <c r="DA8" i="28" s="1"/>
  <c r="DB8" i="28" s="1"/>
  <c r="DC8" i="28" s="1"/>
  <c r="DD8" i="28" s="1"/>
  <c r="DE8" i="28" s="1"/>
  <c r="DF8" i="28" s="1"/>
  <c r="CN8" i="28"/>
  <c r="CO8" i="28" s="1"/>
  <c r="CP8" i="28" s="1"/>
  <c r="CQ8" i="28" s="1"/>
  <c r="CR8" i="28" s="1"/>
  <c r="CS8" i="28" s="1"/>
  <c r="CT8" i="28" s="1"/>
  <c r="CU8" i="28" s="1"/>
  <c r="CV8" i="28" s="1"/>
  <c r="CD8" i="28"/>
  <c r="CE8" i="28" s="1"/>
  <c r="CF8" i="28" s="1"/>
  <c r="CG8" i="28" s="1"/>
  <c r="CH8" i="28" s="1"/>
  <c r="CI8" i="28" s="1"/>
  <c r="CJ8" i="28" s="1"/>
  <c r="CK8" i="28" s="1"/>
  <c r="CL8" i="28" s="1"/>
  <c r="BT8" i="28"/>
  <c r="BU8" i="28" s="1"/>
  <c r="BV8" i="28" s="1"/>
  <c r="BW8" i="28" s="1"/>
  <c r="BX8" i="28" s="1"/>
  <c r="BY8" i="28" s="1"/>
  <c r="BZ8" i="28" s="1"/>
  <c r="CA8" i="28" s="1"/>
  <c r="CB8" i="28" s="1"/>
  <c r="BJ8" i="28"/>
  <c r="BK8" i="28" s="1"/>
  <c r="BL8" i="28" s="1"/>
  <c r="BM8" i="28" s="1"/>
  <c r="BN8" i="28" s="1"/>
  <c r="BO8" i="28" s="1"/>
  <c r="BP8" i="28" s="1"/>
  <c r="BQ8" i="28" s="1"/>
  <c r="BR8" i="28" s="1"/>
  <c r="AZ8" i="28"/>
  <c r="BA8" i="28" s="1"/>
  <c r="BB8" i="28" s="1"/>
  <c r="BC8" i="28" s="1"/>
  <c r="BD8" i="28" s="1"/>
  <c r="BE8" i="28" s="1"/>
  <c r="BF8" i="28" s="1"/>
  <c r="BG8" i="28" s="1"/>
  <c r="BH8" i="28" s="1"/>
  <c r="AP8" i="28"/>
  <c r="AQ8" i="28" s="1"/>
  <c r="AR8" i="28" s="1"/>
  <c r="AS8" i="28" s="1"/>
  <c r="AT8" i="28" s="1"/>
  <c r="AU8" i="28" s="1"/>
  <c r="AV8" i="28" s="1"/>
  <c r="AW8" i="28" s="1"/>
  <c r="AX8" i="28" s="1"/>
  <c r="AF8" i="28"/>
  <c r="AG8" i="28" s="1"/>
  <c r="AH8" i="28" s="1"/>
  <c r="AI8" i="28" s="1"/>
  <c r="AJ8" i="28" s="1"/>
  <c r="AK8" i="28" s="1"/>
  <c r="AL8" i="28" s="1"/>
  <c r="AM8" i="28" s="1"/>
  <c r="AN8" i="28" s="1"/>
  <c r="V8" i="28"/>
  <c r="W8" i="28" s="1"/>
  <c r="X8" i="28" s="1"/>
  <c r="Y8" i="28" s="1"/>
  <c r="Z8" i="28" s="1"/>
  <c r="AA8" i="28" s="1"/>
  <c r="AB8" i="28" s="1"/>
  <c r="AC8" i="28" s="1"/>
  <c r="AD8" i="28" s="1"/>
  <c r="L8" i="28"/>
  <c r="M8" i="28" s="1"/>
  <c r="N8" i="28" s="1"/>
  <c r="O8" i="28" s="1"/>
  <c r="P8" i="28" s="1"/>
  <c r="Q8" i="28" s="1"/>
  <c r="R8" i="28" s="1"/>
  <c r="S8" i="28" s="1"/>
  <c r="T8" i="28" s="1"/>
  <c r="B8" i="28"/>
  <c r="C8" i="28" s="1"/>
  <c r="D8" i="28" s="1"/>
  <c r="E8" i="28" s="1"/>
  <c r="F8" i="28" s="1"/>
  <c r="G8" i="28" s="1"/>
  <c r="H8" i="28" s="1"/>
  <c r="I8" i="28" s="1"/>
  <c r="J8" i="28" s="1"/>
  <c r="A11" i="28" l="1"/>
  <c r="A12" i="28" s="1"/>
  <c r="A13" i="28" s="1"/>
  <c r="A14" i="28" s="1"/>
  <c r="A15" i="28" s="1"/>
  <c r="A16" i="28" s="1"/>
  <c r="A17" i="28" s="1"/>
  <c r="A18" i="28" s="1"/>
  <c r="A19" i="28" s="1"/>
  <c r="A20" i="28" s="1"/>
  <c r="A21" i="28" s="1"/>
  <c r="A22" i="28" s="1"/>
  <c r="A23" i="28" s="1"/>
  <c r="A24" i="28" s="1"/>
  <c r="A25" i="28" s="1"/>
  <c r="A26" i="28" s="1"/>
  <c r="A27" i="28" s="1"/>
  <c r="A28" i="28" s="1"/>
  <c r="A29" i="28" s="1"/>
  <c r="A30" i="28" s="1"/>
  <c r="A31" i="28" l="1"/>
  <c r="A32" i="28" s="1"/>
  <c r="A33" i="28" l="1"/>
  <c r="A34" i="28" s="1"/>
  <c r="A35" i="28" s="1"/>
  <c r="A36" i="28" s="1"/>
  <c r="A37" i="28" s="1"/>
  <c r="A38" i="28" s="1"/>
  <c r="A39" i="28" s="1"/>
  <c r="A40" i="28" s="1"/>
  <c r="A41" i="28" s="1"/>
  <c r="A43" i="28" l="1"/>
  <c r="A44" i="28" s="1"/>
  <c r="A45" i="28" s="1"/>
  <c r="A46" i="28" s="1"/>
  <c r="A47" i="28" s="1"/>
  <c r="A48" i="28" s="1"/>
  <c r="A49" i="28" s="1"/>
  <c r="A50" i="28" s="1"/>
  <c r="A51" i="28" s="1"/>
  <c r="A52" i="28" s="1"/>
  <c r="A53" i="28" s="1"/>
  <c r="A54" i="28" s="1"/>
  <c r="A55" i="28" s="1"/>
  <c r="A56" i="28" s="1"/>
  <c r="A57" i="28" s="1"/>
  <c r="A58" i="28" s="1"/>
  <c r="A59" i="28" s="1"/>
  <c r="A60" i="28" s="1"/>
  <c r="A61" i="28" s="1"/>
  <c r="A62" i="28" s="1"/>
  <c r="A63" i="28" s="1"/>
  <c r="A64" i="28" s="1"/>
  <c r="A65" i="28" s="1"/>
  <c r="A66" i="28" s="1"/>
  <c r="A67" i="28" s="1"/>
  <c r="A68" i="28" s="1"/>
  <c r="A69" i="28" s="1"/>
  <c r="A70" i="28" s="1"/>
  <c r="A71" i="28" s="1"/>
  <c r="A72" i="28" s="1"/>
  <c r="A73" i="28" s="1"/>
  <c r="A74" i="28" s="1"/>
  <c r="A75" i="28" s="1"/>
  <c r="A76" i="28" s="1"/>
  <c r="A77" i="28" s="1"/>
  <c r="A78" i="28" s="1"/>
  <c r="A79" i="28" s="1"/>
  <c r="A80" i="28" s="1"/>
  <c r="A81" i="28" s="1"/>
  <c r="A82" i="28" s="1"/>
  <c r="A83" i="28" s="1"/>
  <c r="A84" i="28" s="1"/>
  <c r="A85" i="28" s="1"/>
  <c r="A86" i="28" s="1"/>
  <c r="A87" i="28" s="1"/>
  <c r="A88" i="28" s="1"/>
  <c r="A89" i="28" s="1"/>
  <c r="A90" i="28" s="1"/>
  <c r="A91" i="28" s="1"/>
  <c r="A92" i="28" s="1"/>
  <c r="A93" i="28" s="1"/>
  <c r="A94" i="28" s="1"/>
  <c r="A95" i="28" s="1"/>
  <c r="A96" i="28" s="1"/>
  <c r="A97" i="28" s="1"/>
  <c r="A98" i="28" s="1"/>
  <c r="A99" i="28" s="1"/>
  <c r="A100" i="28" s="1"/>
  <c r="A101" i="2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8" authorId="0" shapeId="0" xr:uid="{474128EA-168C-4B63-B732-89626709BA25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sharedStrings.xml><?xml version="1.0" encoding="utf-8"?>
<sst xmlns="http://schemas.openxmlformats.org/spreadsheetml/2006/main" count="1656" uniqueCount="439">
  <si>
    <t>Ｐｈａｓｅ　外部設計工程</t>
    <rPh sb="6" eb="8">
      <t>ガイブ</t>
    </rPh>
    <rPh sb="8" eb="10">
      <t>セッケイ</t>
    </rPh>
    <rPh sb="10" eb="12">
      <t>コウテイ</t>
    </rPh>
    <phoneticPr fontId="6"/>
  </si>
  <si>
    <t>HOKUREN INTERNAL USE ONLY</t>
  </si>
  <si>
    <t>帳票設計書　変更履歴</t>
    <rPh sb="0" eb="2">
      <t>チョウヒョウ</t>
    </rPh>
    <rPh sb="2" eb="5">
      <t>セッケイショ</t>
    </rPh>
    <rPh sb="4" eb="5">
      <t>ショ</t>
    </rPh>
    <rPh sb="6" eb="10">
      <t>ヘンコウリレキ</t>
    </rPh>
    <phoneticPr fontId="6"/>
  </si>
  <si>
    <t>様式No.</t>
    <rPh sb="0" eb="2">
      <t>ヨウシキ</t>
    </rPh>
    <phoneticPr fontId="6"/>
  </si>
  <si>
    <t>F4109-0</t>
    <phoneticPr fontId="6"/>
  </si>
  <si>
    <t>PAGE</t>
    <phoneticPr fontId="6"/>
  </si>
  <si>
    <t>システム名</t>
    <rPh sb="4" eb="5">
      <t>メイ</t>
    </rPh>
    <phoneticPr fontId="6"/>
  </si>
  <si>
    <t>作成日</t>
    <rPh sb="0" eb="2">
      <t>サクセイ</t>
    </rPh>
    <rPh sb="2" eb="3">
      <t>ヒ</t>
    </rPh>
    <phoneticPr fontId="6"/>
  </si>
  <si>
    <t>サブシステム名</t>
    <rPh sb="6" eb="7">
      <t>メイ</t>
    </rPh>
    <phoneticPr fontId="6"/>
  </si>
  <si>
    <t>更新日</t>
    <rPh sb="0" eb="3">
      <t>コウシンビ</t>
    </rPh>
    <phoneticPr fontId="6"/>
  </si>
  <si>
    <t>機能Ｎｏ．</t>
    <rPh sb="0" eb="2">
      <t>キノウ</t>
    </rPh>
    <phoneticPr fontId="5"/>
  </si>
  <si>
    <t>帳票名</t>
    <rPh sb="0" eb="2">
      <t>チョウヒョウ</t>
    </rPh>
    <rPh sb="2" eb="3">
      <t>メイ</t>
    </rPh>
    <phoneticPr fontId="5"/>
  </si>
  <si>
    <t>管理番号</t>
    <rPh sb="0" eb="2">
      <t>カンリ</t>
    </rPh>
    <rPh sb="2" eb="4">
      <t>バンゴウ</t>
    </rPh>
    <phoneticPr fontId="6"/>
  </si>
  <si>
    <t>案件名 / 障害・問合せ件名</t>
    <rPh sb="0" eb="3">
      <t>アンケンメイ</t>
    </rPh>
    <rPh sb="12" eb="14">
      <t>ケンメイ</t>
    </rPh>
    <phoneticPr fontId="14"/>
  </si>
  <si>
    <t>Ｐｈａｓｅ　外部設計工程　</t>
    <rPh sb="10" eb="12">
      <t>コウテイ</t>
    </rPh>
    <phoneticPr fontId="5"/>
  </si>
  <si>
    <t>HOKUREN INTERNAL USE ONLY</t>
    <phoneticPr fontId="2"/>
  </si>
  <si>
    <t>システム名</t>
  </si>
  <si>
    <t>様  式  №</t>
  </si>
  <si>
    <t>F4109-1</t>
    <phoneticPr fontId="5"/>
  </si>
  <si>
    <t>ＰＡＧＥ</t>
    <phoneticPr fontId="2"/>
  </si>
  <si>
    <t>作成日</t>
    <rPh sb="0" eb="2">
      <t>サクセイ</t>
    </rPh>
    <rPh sb="2" eb="3">
      <t>ビ</t>
    </rPh>
    <phoneticPr fontId="2"/>
  </si>
  <si>
    <t>　</t>
    <phoneticPr fontId="5"/>
  </si>
  <si>
    <t>更新日</t>
    <rPh sb="0" eb="3">
      <t>コウシンビ</t>
    </rPh>
    <phoneticPr fontId="2"/>
  </si>
  <si>
    <t>帳  票  名</t>
  </si>
  <si>
    <t xml:space="preserve"> </t>
  </si>
  <si>
    <t>帳票説明書　（作成条件表）</t>
    <rPh sb="0" eb="2">
      <t>チョウヒョウ</t>
    </rPh>
    <rPh sb="2" eb="5">
      <t>セツメイショ</t>
    </rPh>
    <rPh sb="7" eb="9">
      <t>サクセイ</t>
    </rPh>
    <rPh sb="9" eb="11">
      <t>ジョウケン</t>
    </rPh>
    <rPh sb="11" eb="12">
      <t>オモテ</t>
    </rPh>
    <phoneticPr fontId="6"/>
  </si>
  <si>
    <t>F4109-2</t>
    <phoneticPr fontId="6"/>
  </si>
  <si>
    <t>業務名</t>
    <rPh sb="0" eb="2">
      <t>ギョウム</t>
    </rPh>
    <rPh sb="2" eb="3">
      <t>メイ</t>
    </rPh>
    <phoneticPr fontId="6"/>
  </si>
  <si>
    <t>データストア№</t>
    <phoneticPr fontId="5"/>
  </si>
  <si>
    <t>【帳票 用途】</t>
    <rPh sb="4" eb="6">
      <t>ヨウト</t>
    </rPh>
    <phoneticPr fontId="5"/>
  </si>
  <si>
    <t>作成処理
概要</t>
    <rPh sb="0" eb="2">
      <t>サクセイ</t>
    </rPh>
    <rPh sb="2" eb="4">
      <t>ショリ</t>
    </rPh>
    <rPh sb="5" eb="7">
      <t>ガイヨウ</t>
    </rPh>
    <phoneticPr fontId="5"/>
  </si>
  <si>
    <t>入力ファイル　：</t>
    <rPh sb="0" eb="2">
      <t>ニュウリョク</t>
    </rPh>
    <phoneticPr fontId="5"/>
  </si>
  <si>
    <t>対象とするデータの条件　：</t>
    <rPh sb="0" eb="2">
      <t>タイショウ</t>
    </rPh>
    <rPh sb="9" eb="11">
      <t>ジョウケン</t>
    </rPh>
    <phoneticPr fontId="5"/>
  </si>
  <si>
    <t>留意事項：</t>
    <rPh sb="0" eb="2">
      <t>リュウイ</t>
    </rPh>
    <rPh sb="2" eb="4">
      <t>ジコウ</t>
    </rPh>
    <phoneticPr fontId="5"/>
  </si>
  <si>
    <t>帳票ＩＤ</t>
    <rPh sb="0" eb="2">
      <t>チョウヒョウ</t>
    </rPh>
    <phoneticPr fontId="5"/>
  </si>
  <si>
    <t>印刷箇所</t>
    <rPh sb="0" eb="2">
      <t>インサツ</t>
    </rPh>
    <rPh sb="2" eb="4">
      <t>カショ</t>
    </rPh>
    <phoneticPr fontId="5"/>
  </si>
  <si>
    <t>□</t>
    <phoneticPr fontId="5"/>
  </si>
  <si>
    <t>センター印刷（　　1　部）</t>
    <rPh sb="4" eb="6">
      <t>インサツ</t>
    </rPh>
    <rPh sb="11" eb="12">
      <t>ブ</t>
    </rPh>
    <phoneticPr fontId="5"/>
  </si>
  <si>
    <t>印刷装置</t>
    <rPh sb="0" eb="2">
      <t>インサツ</t>
    </rPh>
    <rPh sb="2" eb="4">
      <t>ソウチ</t>
    </rPh>
    <phoneticPr fontId="5"/>
  </si>
  <si>
    <t>■</t>
    <phoneticPr fontId="5"/>
  </si>
  <si>
    <t>レーザープリンター</t>
    <phoneticPr fontId="5"/>
  </si>
  <si>
    <t>オンライン印刷（　　　　　　）</t>
    <rPh sb="5" eb="7">
      <t>インサツ</t>
    </rPh>
    <phoneticPr fontId="5"/>
  </si>
  <si>
    <t>インパクトプリンター</t>
    <phoneticPr fontId="5"/>
  </si>
  <si>
    <t>その他</t>
    <rPh sb="2" eb="3">
      <t>タ</t>
    </rPh>
    <phoneticPr fontId="5"/>
  </si>
  <si>
    <t>（</t>
    <phoneticPr fontId="5"/>
  </si>
  <si>
    <t>）</t>
    <phoneticPr fontId="5"/>
  </si>
  <si>
    <t>印刷用紙</t>
    <rPh sb="0" eb="2">
      <t>インサツ</t>
    </rPh>
    <rPh sb="2" eb="4">
      <t>ヨウシ</t>
    </rPh>
    <phoneticPr fontId="5"/>
  </si>
  <si>
    <t>Ａ４カット紙</t>
    <rPh sb="5" eb="6">
      <t>シ</t>
    </rPh>
    <phoneticPr fontId="5"/>
  </si>
  <si>
    <t>作成サイクル</t>
    <rPh sb="0" eb="2">
      <t>サクセイ</t>
    </rPh>
    <phoneticPr fontId="5"/>
  </si>
  <si>
    <t>随時</t>
    <rPh sb="0" eb="2">
      <t>ズイジ</t>
    </rPh>
    <phoneticPr fontId="5"/>
  </si>
  <si>
    <t>帳票管理ｓ
保管</t>
    <rPh sb="0" eb="2">
      <t>チョウヒョウ</t>
    </rPh>
    <rPh sb="2" eb="4">
      <t>カンリ</t>
    </rPh>
    <rPh sb="6" eb="8">
      <t>ホカン</t>
    </rPh>
    <phoneticPr fontId="5"/>
  </si>
  <si>
    <t>世代数</t>
    <rPh sb="0" eb="2">
      <t>セダイ</t>
    </rPh>
    <rPh sb="2" eb="3">
      <t>スウ</t>
    </rPh>
    <phoneticPr fontId="5"/>
  </si>
  <si>
    <t>連続用紙</t>
    <rPh sb="0" eb="2">
      <t>レンゾク</t>
    </rPh>
    <rPh sb="2" eb="4">
      <t>ヨウシ</t>
    </rPh>
    <phoneticPr fontId="5"/>
  </si>
  <si>
    <t>ｲﾝﾁx</t>
    <phoneticPr fontId="5"/>
  </si>
  <si>
    <t>ｲﾝﾁ</t>
    <phoneticPr fontId="5"/>
  </si>
  <si>
    <t>定型用紙</t>
    <rPh sb="0" eb="2">
      <t>テイケイ</t>
    </rPh>
    <rPh sb="2" eb="4">
      <t>ヨウシ</t>
    </rPh>
    <phoneticPr fontId="5"/>
  </si>
  <si>
    <t>センター印刷時
配布箇所</t>
    <rPh sb="4" eb="6">
      <t>インサツ</t>
    </rPh>
    <rPh sb="6" eb="7">
      <t>ジ</t>
    </rPh>
    <rPh sb="8" eb="10">
      <t>ハイフ</t>
    </rPh>
    <rPh sb="10" eb="12">
      <t>カショ</t>
    </rPh>
    <phoneticPr fontId="5"/>
  </si>
  <si>
    <t>期間日数</t>
    <rPh sb="0" eb="2">
      <t>キカン</t>
    </rPh>
    <rPh sb="2" eb="4">
      <t>ニッスウ</t>
    </rPh>
    <phoneticPr fontId="5"/>
  </si>
  <si>
    <t>（</t>
  </si>
  <si>
    <t>印字サイズ</t>
    <rPh sb="0" eb="2">
      <t>インジ</t>
    </rPh>
    <phoneticPr fontId="5"/>
  </si>
  <si>
    <t>処理タイプ</t>
    <rPh sb="0" eb="2">
      <t>ショリ</t>
    </rPh>
    <phoneticPr fontId="5"/>
  </si>
  <si>
    <t>バッチ</t>
    <phoneticPr fontId="5"/>
  </si>
  <si>
    <t>（　　日中　・　夜間　　）　　</t>
    <rPh sb="3" eb="5">
      <t>ニッチュウ</t>
    </rPh>
    <rPh sb="8" eb="10">
      <t>ヤカン</t>
    </rPh>
    <phoneticPr fontId="5"/>
  </si>
  <si>
    <t>桁</t>
    <rPh sb="0" eb="1">
      <t>ケタ</t>
    </rPh>
    <phoneticPr fontId="5"/>
  </si>
  <si>
    <t>オンライン画面起動</t>
    <rPh sb="5" eb="7">
      <t>ガメン</t>
    </rPh>
    <rPh sb="7" eb="9">
      <t>キドウ</t>
    </rPh>
    <phoneticPr fontId="5"/>
  </si>
  <si>
    <t>行</t>
    <rPh sb="0" eb="1">
      <t>ギョウ</t>
    </rPh>
    <phoneticPr fontId="5"/>
  </si>
  <si>
    <t>ページ番号
採番条件</t>
    <rPh sb="3" eb="5">
      <t>バンゴウ</t>
    </rPh>
    <rPh sb="6" eb="8">
      <t>サイバン</t>
    </rPh>
    <rPh sb="8" eb="10">
      <t>ジョウケン</t>
    </rPh>
    <phoneticPr fontId="5"/>
  </si>
  <si>
    <t>一連番号で採番（１から連番）</t>
    <rPh sb="0" eb="2">
      <t>イチレン</t>
    </rPh>
    <rPh sb="2" eb="4">
      <t>バンゴウ</t>
    </rPh>
    <rPh sb="5" eb="7">
      <t>サイバン</t>
    </rPh>
    <rPh sb="11" eb="13">
      <t>レンバン</t>
    </rPh>
    <phoneticPr fontId="5"/>
  </si>
  <si>
    <t>ページ番号印字なし</t>
    <rPh sb="3" eb="5">
      <t>バンゴウ</t>
    </rPh>
    <rPh sb="5" eb="7">
      <t>インジ</t>
    </rPh>
    <phoneticPr fontId="5"/>
  </si>
  <si>
    <t>ページ番号採番条件あり</t>
    <rPh sb="3" eb="5">
      <t>バンゴウ</t>
    </rPh>
    <rPh sb="5" eb="7">
      <t>サイバン</t>
    </rPh>
    <rPh sb="7" eb="9">
      <t>ジョウケン</t>
    </rPh>
    <phoneticPr fontId="5"/>
  </si>
  <si>
    <t>改ページ条件</t>
    <rPh sb="0" eb="1">
      <t>カイ</t>
    </rPh>
    <rPh sb="4" eb="6">
      <t>ジョウケン</t>
    </rPh>
    <phoneticPr fontId="5"/>
  </si>
  <si>
    <t>１ページ
明細数</t>
    <rPh sb="5" eb="7">
      <t>メイサイ</t>
    </rPh>
    <rPh sb="7" eb="8">
      <t>スウ</t>
    </rPh>
    <phoneticPr fontId="5"/>
  </si>
  <si>
    <r>
      <t xml:space="preserve">入力ファイルソートキー
</t>
    </r>
    <r>
      <rPr>
        <sz val="9"/>
        <rFont val="ＭＳ 明朝"/>
        <family val="1"/>
        <charset val="128"/>
      </rPr>
      <t>（明細印字順）</t>
    </r>
    <rPh sb="0" eb="2">
      <t>ニュウリョク</t>
    </rPh>
    <rPh sb="13" eb="15">
      <t>メイサイ</t>
    </rPh>
    <rPh sb="15" eb="18">
      <t>インジジュン</t>
    </rPh>
    <phoneticPr fontId="5"/>
  </si>
  <si>
    <t>1:</t>
    <phoneticPr fontId="5"/>
  </si>
  <si>
    <t>昇順／降順</t>
    <rPh sb="0" eb="2">
      <t>ショウジュン</t>
    </rPh>
    <rPh sb="3" eb="5">
      <t>コウジュン</t>
    </rPh>
    <phoneticPr fontId="5"/>
  </si>
  <si>
    <t>10:</t>
    <phoneticPr fontId="5"/>
  </si>
  <si>
    <t>2:</t>
    <phoneticPr fontId="5"/>
  </si>
  <si>
    <t>昇順／降順</t>
  </si>
  <si>
    <t>11:</t>
    <phoneticPr fontId="5"/>
  </si>
  <si>
    <t>3:</t>
    <phoneticPr fontId="5"/>
  </si>
  <si>
    <t>12:</t>
    <phoneticPr fontId="5"/>
  </si>
  <si>
    <t>4:</t>
  </si>
  <si>
    <t>13:</t>
  </si>
  <si>
    <t>5:</t>
  </si>
  <si>
    <t>14:</t>
  </si>
  <si>
    <t>6:</t>
  </si>
  <si>
    <t>7:</t>
  </si>
  <si>
    <t>8:</t>
  </si>
  <si>
    <t>9:</t>
  </si>
  <si>
    <t>合計等
印字条件
明細行の合計計算、合計行の集計計算等について記載する。</t>
    <rPh sb="0" eb="2">
      <t>ゴウケイ</t>
    </rPh>
    <rPh sb="2" eb="3">
      <t>トウ</t>
    </rPh>
    <rPh sb="4" eb="6">
      <t>インジ</t>
    </rPh>
    <rPh sb="6" eb="8">
      <t>ジョウケン</t>
    </rPh>
    <rPh sb="10" eb="13">
      <t>メイサイギョウ</t>
    </rPh>
    <rPh sb="14" eb="16">
      <t>ゴウケイ</t>
    </rPh>
    <rPh sb="16" eb="18">
      <t>ケイサン</t>
    </rPh>
    <rPh sb="19" eb="21">
      <t>ゴウケイ</t>
    </rPh>
    <rPh sb="21" eb="22">
      <t>ギョウ</t>
    </rPh>
    <rPh sb="23" eb="25">
      <t>シュウケイ</t>
    </rPh>
    <rPh sb="25" eb="27">
      <t>ケイサン</t>
    </rPh>
    <rPh sb="27" eb="28">
      <t>トウ</t>
    </rPh>
    <rPh sb="32" eb="34">
      <t>キサイ</t>
    </rPh>
    <phoneticPr fontId="5"/>
  </si>
  <si>
    <t>帳票説明書　（項目説明）</t>
    <rPh sb="0" eb="2">
      <t>チョウヒョウ</t>
    </rPh>
    <rPh sb="2" eb="5">
      <t>セツメイショ</t>
    </rPh>
    <rPh sb="7" eb="9">
      <t>コウモク</t>
    </rPh>
    <rPh sb="9" eb="11">
      <t>セツメイ</t>
    </rPh>
    <phoneticPr fontId="6"/>
  </si>
  <si>
    <t>F4109-3</t>
    <phoneticPr fontId="5"/>
  </si>
  <si>
    <t>№</t>
  </si>
  <si>
    <t>項目名</t>
    <rPh sb="0" eb="2">
      <t>コウモク</t>
    </rPh>
    <rPh sb="2" eb="3">
      <t>メイ</t>
    </rPh>
    <phoneticPr fontId="5"/>
  </si>
  <si>
    <t>桁数</t>
    <rPh sb="0" eb="2">
      <t>ケタスウ</t>
    </rPh>
    <phoneticPr fontId="5"/>
  </si>
  <si>
    <t>編集パターン</t>
    <rPh sb="0" eb="2">
      <t>ヘンシュウ</t>
    </rPh>
    <phoneticPr fontId="5"/>
  </si>
  <si>
    <t>項目編集説明</t>
    <rPh sb="0" eb="2">
      <t>コウモク</t>
    </rPh>
    <rPh sb="2" eb="4">
      <t>ヘンシュウ</t>
    </rPh>
    <rPh sb="4" eb="6">
      <t>セツメイ</t>
    </rPh>
    <phoneticPr fontId="5"/>
  </si>
  <si>
    <t>:</t>
  </si>
  <si>
    <t>P</t>
  </si>
  <si>
    <t>A</t>
  </si>
  <si>
    <t>G</t>
  </si>
  <si>
    <t>E</t>
  </si>
  <si>
    <t>横</t>
    <rPh sb="0" eb="1">
      <t>ヨコ</t>
    </rPh>
    <phoneticPr fontId="5"/>
  </si>
  <si>
    <t>共計</t>
    <rPh sb="0" eb="2">
      <t>キョウケイ</t>
    </rPh>
    <phoneticPr fontId="5"/>
  </si>
  <si>
    <t>年産</t>
    <rPh sb="0" eb="2">
      <t>ネンサン</t>
    </rPh>
    <phoneticPr fontId="5"/>
  </si>
  <si>
    <t>XXXX</t>
    <phoneticPr fontId="5"/>
  </si>
  <si>
    <t>　ＸＸＸＸＸＸＸＸＸ０</t>
    <phoneticPr fontId="5"/>
  </si>
  <si>
    <t>2024</t>
    <phoneticPr fontId="5"/>
  </si>
  <si>
    <t>YYYY/MM/DD HH:MM:SS</t>
    <phoneticPr fontId="5"/>
  </si>
  <si>
    <t>ZZ,ZZ9</t>
    <phoneticPr fontId="5"/>
  </si>
  <si>
    <t>XXXXXXXXXXXXXXXXXXXX</t>
    <phoneticPr fontId="5"/>
  </si>
  <si>
    <t xml:space="preserve">帳  票  レ　イ　ア　ウ　ト </t>
    <rPh sb="0" eb="1">
      <t>チョウ</t>
    </rPh>
    <rPh sb="3" eb="4">
      <t>ヒョウ</t>
    </rPh>
    <phoneticPr fontId="2"/>
  </si>
  <si>
    <t>共計区分</t>
    <rPh sb="0" eb="4">
      <t>キョウケイクブン</t>
    </rPh>
    <phoneticPr fontId="5"/>
  </si>
  <si>
    <t>9999</t>
    <phoneticPr fontId="5"/>
  </si>
  <si>
    <t>2023</t>
    <phoneticPr fontId="5"/>
  </si>
  <si>
    <t>年産</t>
  </si>
  <si>
    <t>業種</t>
    <rPh sb="0" eb="2">
      <t>ギョウシュ</t>
    </rPh>
    <phoneticPr fontId="5"/>
  </si>
  <si>
    <t>XX</t>
    <phoneticPr fontId="5"/>
  </si>
  <si>
    <t>　ＸＸＸＸＸＸＸＸＸＸＸＸＸＸＸＸＸＸＸＸ</t>
    <phoneticPr fontId="5"/>
  </si>
  <si>
    <t>共計組織</t>
    <rPh sb="0" eb="4">
      <t>キョウケイソシキ</t>
    </rPh>
    <phoneticPr fontId="5"/>
  </si>
  <si>
    <t>9.4.2</t>
    <phoneticPr fontId="5"/>
  </si>
  <si>
    <t>購買共計勘定整理帳</t>
    <rPh sb="0" eb="9">
      <t>コウバイキョウケイカンジョウセイリチョウ</t>
    </rPh>
    <phoneticPr fontId="5"/>
  </si>
  <si>
    <t>共計年度</t>
    <rPh sb="0" eb="4">
      <t>キョウケイネンド</t>
    </rPh>
    <phoneticPr fontId="5"/>
  </si>
  <si>
    <t>ＸＸＸＸＸＸＸＸＸＸＸＸＸＸＸＸＸＸＸＸＸＸＸＸＸ</t>
    <phoneticPr fontId="5"/>
  </si>
  <si>
    <t>Ｃ/Ｓ</t>
    <phoneticPr fontId="5"/>
  </si>
  <si>
    <t>ZZZ,ZZZ,ZZZ,ZZ9.99</t>
    <phoneticPr fontId="5"/>
  </si>
  <si>
    <t>ZZZ,ZZZ,ZZZ,ZZ9</t>
    <phoneticPr fontId="5"/>
  </si>
  <si>
    <t>共計支払金</t>
    <rPh sb="0" eb="5">
      <t>キョウケイシハライキン</t>
    </rPh>
    <phoneticPr fontId="5"/>
  </si>
  <si>
    <t>共計受入金</t>
    <rPh sb="0" eb="2">
      <t>キョウケイ</t>
    </rPh>
    <rPh sb="2" eb="4">
      <t>ウケイレ</t>
    </rPh>
    <rPh sb="4" eb="5">
      <t>キン</t>
    </rPh>
    <phoneticPr fontId="5"/>
  </si>
  <si>
    <t>残高</t>
    <rPh sb="0" eb="2">
      <t>ザンダカ</t>
    </rPh>
    <phoneticPr fontId="5"/>
  </si>
  <si>
    <t>購買共計勘定整理帳　2025/01/31</t>
    <phoneticPr fontId="5"/>
  </si>
  <si>
    <t>上段／日計、中段／月計、下段／累計、単位（円）</t>
    <rPh sb="0" eb="2">
      <t>ジョウダン</t>
    </rPh>
    <rPh sb="3" eb="5">
      <t>ニッケイ</t>
    </rPh>
    <rPh sb="6" eb="8">
      <t>チュウダン</t>
    </rPh>
    <rPh sb="9" eb="11">
      <t>ゲッケイ</t>
    </rPh>
    <rPh sb="12" eb="14">
      <t>ゲダン</t>
    </rPh>
    <rPh sb="15" eb="17">
      <t>ルイケイ</t>
    </rPh>
    <rPh sb="18" eb="20">
      <t>タンイ</t>
    </rPh>
    <rPh sb="21" eb="22">
      <t>エン</t>
    </rPh>
    <phoneticPr fontId="5"/>
  </si>
  <si>
    <t>2025/02/10 11:32:23</t>
    <phoneticPr fontId="5"/>
  </si>
  <si>
    <t>52</t>
    <phoneticPr fontId="5"/>
  </si>
  <si>
    <t>農薬</t>
    <rPh sb="0" eb="2">
      <t>ノウヤク</t>
    </rPh>
    <phoneticPr fontId="5"/>
  </si>
  <si>
    <t>4173</t>
    <phoneticPr fontId="5"/>
  </si>
  <si>
    <t>農薬課</t>
    <rPh sb="0" eb="3">
      <t>ノウヤクカ</t>
    </rPh>
    <phoneticPr fontId="5"/>
  </si>
  <si>
    <t>※大分類計</t>
    <rPh sb="1" eb="2">
      <t>ダイ</t>
    </rPh>
    <rPh sb="2" eb="4">
      <t>ブンルイ</t>
    </rPh>
    <rPh sb="4" eb="5">
      <t>ケイ</t>
    </rPh>
    <phoneticPr fontId="5"/>
  </si>
  <si>
    <t>バイスロイドニュウザイ　５００</t>
    <phoneticPr fontId="5"/>
  </si>
  <si>
    <t>購買在庫</t>
    <rPh sb="0" eb="4">
      <t>コウバイザイコ</t>
    </rPh>
    <phoneticPr fontId="5"/>
  </si>
  <si>
    <t>ニュウザイ</t>
    <phoneticPr fontId="5"/>
  </si>
  <si>
    <t>※大分類計</t>
    <rPh sb="1" eb="4">
      <t>ダイブンルイ</t>
    </rPh>
    <rPh sb="4" eb="5">
      <t>ケイ</t>
    </rPh>
    <phoneticPr fontId="5"/>
  </si>
  <si>
    <t>　金額
消費税</t>
    <rPh sb="4" eb="7">
      <t>ショウヒゼイ</t>
    </rPh>
    <phoneticPr fontId="5"/>
  </si>
  <si>
    <t>　金額
  単価</t>
    <rPh sb="6" eb="8">
      <t>タンカ</t>
    </rPh>
    <phoneticPr fontId="5"/>
  </si>
  <si>
    <t>単位</t>
    <rPh sb="0" eb="2">
      <t>タンイ</t>
    </rPh>
    <phoneticPr fontId="5"/>
  </si>
  <si>
    <t>D09040202</t>
    <phoneticPr fontId="5"/>
  </si>
  <si>
    <t>業種コード</t>
    <rPh sb="0" eb="2">
      <t>ギョウシュ</t>
    </rPh>
    <phoneticPr fontId="4"/>
  </si>
  <si>
    <t>共計組織コード</t>
    <rPh sb="0" eb="4">
      <t>キョウケイソシキ</t>
    </rPh>
    <phoneticPr fontId="4"/>
  </si>
  <si>
    <t>共計区分</t>
    <rPh sb="0" eb="4">
      <t>キョウケイクブン</t>
    </rPh>
    <phoneticPr fontId="4"/>
  </si>
  <si>
    <t>共計年度</t>
    <rPh sb="0" eb="4">
      <t>キョウケイネンド</t>
    </rPh>
    <phoneticPr fontId="6"/>
  </si>
  <si>
    <t>収支管理品目コード</t>
    <rPh sb="0" eb="2">
      <t>シュウシ</t>
    </rPh>
    <rPh sb="2" eb="4">
      <t>カンリ</t>
    </rPh>
    <rPh sb="4" eb="6">
      <t>ヒンモク</t>
    </rPh>
    <phoneticPr fontId="4"/>
  </si>
  <si>
    <t>１．業種が変わった場合</t>
    <rPh sb="2" eb="4">
      <t>ギョウシュ</t>
    </rPh>
    <phoneticPr fontId="5"/>
  </si>
  <si>
    <t>３．共計組織が変わった場合</t>
    <rPh sb="4" eb="6">
      <t>ソシキ</t>
    </rPh>
    <phoneticPr fontId="5"/>
  </si>
  <si>
    <t>帳  票  レ　イ　ア　ウ　ト</t>
    <rPh sb="0" eb="1">
      <t>チョウ</t>
    </rPh>
    <rPh sb="3" eb="4">
      <t>ヒョウ</t>
    </rPh>
    <phoneticPr fontId="2"/>
  </si>
  <si>
    <t>２．共計年度が変わった場合</t>
    <rPh sb="2" eb="4">
      <t>キョウケイ</t>
    </rPh>
    <phoneticPr fontId="5"/>
  </si>
  <si>
    <t>共計組織コード</t>
    <rPh sb="0" eb="4">
      <t>キョウケイソシキ</t>
    </rPh>
    <phoneticPr fontId="5"/>
  </si>
  <si>
    <t>収支管理品目コード</t>
    <rPh sb="0" eb="4">
      <t>シュウシカンリ</t>
    </rPh>
    <rPh sb="4" eb="6">
      <t>ヒンモク</t>
    </rPh>
    <phoneticPr fontId="5"/>
  </si>
  <si>
    <t>業種コード = 画面で入力した業種</t>
    <rPh sb="0" eb="2">
      <t>ギョウシュ</t>
    </rPh>
    <rPh sb="8" eb="10">
      <t>ガメン</t>
    </rPh>
    <rPh sb="11" eb="13">
      <t>ニュウリョク</t>
    </rPh>
    <rPh sb="15" eb="17">
      <t>ギョウシュ</t>
    </rPh>
    <phoneticPr fontId="5"/>
  </si>
  <si>
    <t>共計組織コード = 画面で入力した共計組織</t>
    <rPh sb="0" eb="4">
      <t>キョウケイソシキ</t>
    </rPh>
    <rPh sb="10" eb="12">
      <t>ガメン</t>
    </rPh>
    <rPh sb="13" eb="15">
      <t>ニュウリョク</t>
    </rPh>
    <rPh sb="17" eb="21">
      <t>キョウケイソシキ</t>
    </rPh>
    <phoneticPr fontId="5"/>
  </si>
  <si>
    <t>経理日 = 画面で入力した経理日</t>
    <phoneticPr fontId="5"/>
  </si>
  <si>
    <t>・大分類計</t>
    <rPh sb="1" eb="4">
      <t>ダイブンルイ</t>
    </rPh>
    <rPh sb="4" eb="5">
      <t>ケイ</t>
    </rPh>
    <phoneticPr fontId="2"/>
  </si>
  <si>
    <t>・共計組織計</t>
    <rPh sb="1" eb="5">
      <t>キョウケイソシキ</t>
    </rPh>
    <rPh sb="5" eb="6">
      <t>ケイ</t>
    </rPh>
    <phoneticPr fontId="5"/>
  </si>
  <si>
    <t>・業種計</t>
    <rPh sb="1" eb="3">
      <t>ギョウシュ</t>
    </rPh>
    <rPh sb="3" eb="4">
      <t>ケイ</t>
    </rPh>
    <phoneticPr fontId="5"/>
  </si>
  <si>
    <t>共計支払金 数量、共計支払金 金額、共計支払金 消費税、共計受入金 数量、共計受入金 金額、</t>
    <rPh sb="0" eb="2">
      <t>キョウケイ</t>
    </rPh>
    <rPh sb="2" eb="5">
      <t>シハライキン</t>
    </rPh>
    <rPh sb="6" eb="8">
      <t>スウリョウ</t>
    </rPh>
    <rPh sb="15" eb="17">
      <t>キンガク</t>
    </rPh>
    <rPh sb="24" eb="27">
      <t>ショウヒゼイ</t>
    </rPh>
    <rPh sb="30" eb="32">
      <t>ウケイレ</t>
    </rPh>
    <phoneticPr fontId="5"/>
  </si>
  <si>
    <t>・日計</t>
    <rPh sb="1" eb="2">
      <t>ニチ</t>
    </rPh>
    <rPh sb="2" eb="3">
      <t>ケイ</t>
    </rPh>
    <phoneticPr fontId="5"/>
  </si>
  <si>
    <t>YYYY</t>
    <phoneticPr fontId="5"/>
  </si>
  <si>
    <t>YYYY/MM/DD</t>
    <phoneticPr fontId="5"/>
  </si>
  <si>
    <t>業種コードに対する名称</t>
    <rPh sb="0" eb="2">
      <t>ギョウシュ</t>
    </rPh>
    <rPh sb="6" eb="7">
      <t>タイ</t>
    </rPh>
    <rPh sb="9" eb="11">
      <t>メイショウ</t>
    </rPh>
    <phoneticPr fontId="5"/>
  </si>
  <si>
    <t>共計組織コードに対する名称</t>
    <rPh sb="0" eb="4">
      <t>キョウケイソシキ</t>
    </rPh>
    <rPh sb="8" eb="9">
      <t>タイ</t>
    </rPh>
    <rPh sb="11" eb="13">
      <t>メイショウ</t>
    </rPh>
    <phoneticPr fontId="5"/>
  </si>
  <si>
    <t>業務名</t>
    <phoneticPr fontId="5"/>
  </si>
  <si>
    <t>業種名称</t>
    <rPh sb="0" eb="2">
      <t>ギョウシュ</t>
    </rPh>
    <rPh sb="2" eb="4">
      <t>メイショウ</t>
    </rPh>
    <phoneticPr fontId="6"/>
  </si>
  <si>
    <t>共計組織名称</t>
    <rPh sb="0" eb="2">
      <t>キョウケイ</t>
    </rPh>
    <rPh sb="2" eb="4">
      <t>ソシキ</t>
    </rPh>
    <rPh sb="4" eb="6">
      <t>メイショウ</t>
    </rPh>
    <phoneticPr fontId="6"/>
  </si>
  <si>
    <t>収支管理品目に対する名称</t>
    <rPh sb="0" eb="6">
      <t>シュウシカンリヒンモク</t>
    </rPh>
    <rPh sb="7" eb="8">
      <t>タイ</t>
    </rPh>
    <rPh sb="10" eb="12">
      <t>メイショウ</t>
    </rPh>
    <phoneticPr fontId="5"/>
  </si>
  <si>
    <t>経理日</t>
    <rPh sb="0" eb="3">
      <t>ケイリビ</t>
    </rPh>
    <phoneticPr fontId="4"/>
  </si>
  <si>
    <t>共計支払金　金額　日計</t>
    <rPh sb="0" eb="2">
      <t>キョウケイ</t>
    </rPh>
    <rPh sb="2" eb="5">
      <t>シハライキン</t>
    </rPh>
    <rPh sb="6" eb="8">
      <t>キンガク</t>
    </rPh>
    <phoneticPr fontId="5"/>
  </si>
  <si>
    <t>共計支払金　消費税　日計</t>
    <rPh sb="0" eb="5">
      <t>キョウケイシハライキン</t>
    </rPh>
    <rPh sb="6" eb="9">
      <t>ショウヒゼイ</t>
    </rPh>
    <phoneticPr fontId="5"/>
  </si>
  <si>
    <t>共計受入金　金額　日計</t>
    <rPh sb="0" eb="5">
      <t>キョウケイウケイレキン</t>
    </rPh>
    <rPh sb="6" eb="8">
      <t>キンガク</t>
    </rPh>
    <phoneticPr fontId="5"/>
  </si>
  <si>
    <t>共計受入金　消費税　日計</t>
    <rPh sb="0" eb="2">
      <t>キョウケイ</t>
    </rPh>
    <rPh sb="2" eb="5">
      <t>ウケイレキン</t>
    </rPh>
    <rPh sb="6" eb="9">
      <t>ショウヒゼイ</t>
    </rPh>
    <phoneticPr fontId="5"/>
  </si>
  <si>
    <t>残高　金額　日計</t>
    <rPh sb="0" eb="2">
      <t>ザンダカ</t>
    </rPh>
    <rPh sb="3" eb="5">
      <t>キンガク</t>
    </rPh>
    <phoneticPr fontId="5"/>
  </si>
  <si>
    <t>残高　単価　日計</t>
    <rPh sb="0" eb="2">
      <t>ザンダカ</t>
    </rPh>
    <rPh sb="3" eb="5">
      <t>タンカ</t>
    </rPh>
    <phoneticPr fontId="5"/>
  </si>
  <si>
    <t>共計支払金　金額　月計</t>
    <rPh sb="0" eb="2">
      <t>キョウケイ</t>
    </rPh>
    <rPh sb="2" eb="5">
      <t>シハライキン</t>
    </rPh>
    <rPh sb="6" eb="8">
      <t>キンガク</t>
    </rPh>
    <phoneticPr fontId="5"/>
  </si>
  <si>
    <t>共計支払金　消費税　月計</t>
    <rPh sb="0" eb="5">
      <t>キョウケイシハライキン</t>
    </rPh>
    <rPh sb="6" eb="9">
      <t>ショウヒゼイ</t>
    </rPh>
    <phoneticPr fontId="5"/>
  </si>
  <si>
    <t>共計受入金　金額　月計</t>
    <rPh sb="0" eb="5">
      <t>キョウケイウケイレキン</t>
    </rPh>
    <rPh sb="6" eb="8">
      <t>キンガク</t>
    </rPh>
    <phoneticPr fontId="5"/>
  </si>
  <si>
    <t>共計受入金　消費税　月計</t>
    <rPh sb="0" eb="2">
      <t>キョウケイ</t>
    </rPh>
    <rPh sb="2" eb="5">
      <t>ウケイレキン</t>
    </rPh>
    <rPh sb="6" eb="9">
      <t>ショウヒゼイ</t>
    </rPh>
    <phoneticPr fontId="5"/>
  </si>
  <si>
    <t>残高　金額　月計</t>
    <rPh sb="0" eb="2">
      <t>ザンダカ</t>
    </rPh>
    <rPh sb="3" eb="5">
      <t>キンガク</t>
    </rPh>
    <phoneticPr fontId="5"/>
  </si>
  <si>
    <t>残高　単価　月計</t>
    <rPh sb="0" eb="2">
      <t>ザンダカ</t>
    </rPh>
    <rPh sb="3" eb="5">
      <t>タンカ</t>
    </rPh>
    <phoneticPr fontId="5"/>
  </si>
  <si>
    <t>共計支払金　金額　累計</t>
    <rPh sb="0" eb="2">
      <t>キョウケイ</t>
    </rPh>
    <rPh sb="2" eb="5">
      <t>シハライキン</t>
    </rPh>
    <rPh sb="6" eb="8">
      <t>キンガク</t>
    </rPh>
    <phoneticPr fontId="5"/>
  </si>
  <si>
    <t>共計支払金　消費税　累計</t>
    <rPh sb="0" eb="5">
      <t>キョウケイシハライキン</t>
    </rPh>
    <rPh sb="6" eb="9">
      <t>ショウヒゼイ</t>
    </rPh>
    <phoneticPr fontId="5"/>
  </si>
  <si>
    <t>共計受入金　金額　累計</t>
    <rPh sb="0" eb="5">
      <t>キョウケイウケイレキン</t>
    </rPh>
    <rPh sb="6" eb="8">
      <t>キンガク</t>
    </rPh>
    <phoneticPr fontId="5"/>
  </si>
  <si>
    <t>共計受入金　消費税　累計</t>
    <rPh sb="0" eb="2">
      <t>キョウケイ</t>
    </rPh>
    <rPh sb="2" eb="5">
      <t>ウケイレキン</t>
    </rPh>
    <rPh sb="6" eb="9">
      <t>ショウヒゼイ</t>
    </rPh>
    <phoneticPr fontId="5"/>
  </si>
  <si>
    <t>残高　金額　累計</t>
    <rPh sb="0" eb="2">
      <t>ザンダカ</t>
    </rPh>
    <rPh sb="3" eb="5">
      <t>キンガク</t>
    </rPh>
    <phoneticPr fontId="5"/>
  </si>
  <si>
    <t>残高　単価　累計</t>
    <rPh sb="0" eb="2">
      <t>ザンダカ</t>
    </rPh>
    <rPh sb="3" eb="5">
      <t>タンカ</t>
    </rPh>
    <phoneticPr fontId="5"/>
  </si>
  <si>
    <t>9999/Z9/Z9 HH:MM:SS</t>
    <phoneticPr fontId="5"/>
  </si>
  <si>
    <t>統合会計システム</t>
    <phoneticPr fontId="5"/>
  </si>
  <si>
    <t>2025/8/29</t>
    <phoneticPr fontId="5"/>
  </si>
  <si>
    <t>XXXXXX</t>
    <phoneticPr fontId="5"/>
  </si>
  <si>
    <t>未精算</t>
    <phoneticPr fontId="5"/>
  </si>
  <si>
    <t>収支管理品目単位区分に対する名称</t>
    <rPh sb="0" eb="2">
      <t>シュウシ</t>
    </rPh>
    <rPh sb="2" eb="4">
      <t>カンリ</t>
    </rPh>
    <rPh sb="4" eb="6">
      <t>ヒンモク</t>
    </rPh>
    <rPh sb="6" eb="8">
      <t>タンイ</t>
    </rPh>
    <rPh sb="8" eb="10">
      <t>クブン</t>
    </rPh>
    <rPh sb="11" eb="12">
      <t>タイ</t>
    </rPh>
    <rPh sb="14" eb="16">
      <t>メイショウ</t>
    </rPh>
    <phoneticPr fontId="5"/>
  </si>
  <si>
    <t>年度 = 画面で入力された年度</t>
    <rPh sb="0" eb="2">
      <t>ネンド</t>
    </rPh>
    <rPh sb="5" eb="7">
      <t>ガメン</t>
    </rPh>
    <rPh sb="8" eb="10">
      <t>ニュウリョク</t>
    </rPh>
    <rPh sb="13" eb="15">
      <t>ネンド</t>
    </rPh>
    <phoneticPr fontId="5"/>
  </si>
  <si>
    <t>日計</t>
    <rPh sb="0" eb="2">
      <t>ニッケイ</t>
    </rPh>
    <phoneticPr fontId="5"/>
  </si>
  <si>
    <t>画面で入力した経理日の合計</t>
    <rPh sb="0" eb="2">
      <t>ガメン</t>
    </rPh>
    <rPh sb="3" eb="5">
      <t>ニュウリョク</t>
    </rPh>
    <rPh sb="11" eb="13">
      <t>ゴウケイ</t>
    </rPh>
    <phoneticPr fontId="5"/>
  </si>
  <si>
    <t>月計</t>
    <rPh sb="0" eb="2">
      <t>ツキケイ</t>
    </rPh>
    <phoneticPr fontId="5"/>
  </si>
  <si>
    <t>画面で入力した経理日の１日から</t>
    <rPh sb="0" eb="2">
      <t>ガメン</t>
    </rPh>
    <rPh sb="3" eb="5">
      <t>ニュウリョク</t>
    </rPh>
    <rPh sb="12" eb="13">
      <t>ニチ</t>
    </rPh>
    <phoneticPr fontId="5"/>
  </si>
  <si>
    <t>画面で入力した経理日までの合計</t>
  </si>
  <si>
    <t>累計</t>
    <rPh sb="0" eb="2">
      <t>ルイケイ</t>
    </rPh>
    <phoneticPr fontId="5"/>
  </si>
  <si>
    <t>画面で入力した経理日までの合計</t>
    <rPh sb="13" eb="15">
      <t>ゴウケイ</t>
    </rPh>
    <phoneticPr fontId="5"/>
  </si>
  <si>
    <t>共計支払金諸掛＋共計支払金金利金額</t>
    <rPh sb="0" eb="2">
      <t>キョウケイ</t>
    </rPh>
    <rPh sb="2" eb="5">
      <t>シハライキン</t>
    </rPh>
    <rPh sb="5" eb="7">
      <t>ショガカリ</t>
    </rPh>
    <rPh sb="8" eb="10">
      <t>キョウケイ</t>
    </rPh>
    <rPh sb="10" eb="13">
      <t>シハライキン</t>
    </rPh>
    <rPh sb="13" eb="15">
      <t>キンリ</t>
    </rPh>
    <rPh sb="15" eb="17">
      <t>キンガク</t>
    </rPh>
    <phoneticPr fontId="5"/>
  </si>
  <si>
    <t>-Z,ZZZ,ZZZ,ZZZ,ZZ9</t>
    <phoneticPr fontId="5"/>
  </si>
  <si>
    <t>ZZZ,ZZ9.Z9</t>
    <phoneticPr fontId="5"/>
  </si>
  <si>
    <t>共計受入金品代　×　業種別の手数料率</t>
    <rPh sb="0" eb="2">
      <t>キョウケイ</t>
    </rPh>
    <rPh sb="2" eb="4">
      <t>ウケイレ</t>
    </rPh>
    <rPh sb="4" eb="5">
      <t>キン</t>
    </rPh>
    <rPh sb="5" eb="7">
      <t>シナダイ</t>
    </rPh>
    <rPh sb="10" eb="12">
      <t>ギョウシュ</t>
    </rPh>
    <rPh sb="12" eb="13">
      <t>ベツ</t>
    </rPh>
    <rPh sb="14" eb="17">
      <t>テスウリョウ</t>
    </rPh>
    <rPh sb="17" eb="18">
      <t>リツ</t>
    </rPh>
    <phoneticPr fontId="5"/>
  </si>
  <si>
    <t>基幹システム再構築　会計システム外部設計</t>
  </si>
  <si>
    <t>24058</t>
    <phoneticPr fontId="5"/>
  </si>
  <si>
    <t>"4"+課コード</t>
    <rPh sb="4" eb="5">
      <t>カ</t>
    </rPh>
    <phoneticPr fontId="5"/>
  </si>
  <si>
    <t>14,3</t>
    <phoneticPr fontId="5"/>
  </si>
  <si>
    <t>XXXX</t>
  </si>
  <si>
    <t>ＸＸＸＸ</t>
  </si>
  <si>
    <t>（****）</t>
  </si>
  <si>
    <t>購買共計勘定整理帳(論理データ)</t>
    <rPh sb="0" eb="2">
      <t>コウバイ</t>
    </rPh>
    <rPh sb="2" eb="4">
      <t>キョウケイ</t>
    </rPh>
    <rPh sb="4" eb="6">
      <t>カンジョウ</t>
    </rPh>
    <rPh sb="6" eb="8">
      <t>セイリ</t>
    </rPh>
    <rPh sb="8" eb="9">
      <t>チョウ</t>
    </rPh>
    <rPh sb="10" eb="12">
      <t>ロンリ</t>
    </rPh>
    <phoneticPr fontId="5"/>
  </si>
  <si>
    <t>諸掛
手数料</t>
    <rPh sb="0" eb="2">
      <t>ショガ</t>
    </rPh>
    <rPh sb="3" eb="6">
      <t>テスウリョウ</t>
    </rPh>
    <phoneticPr fontId="5"/>
  </si>
  <si>
    <t>ＸＸＸＸ</t>
    <phoneticPr fontId="5"/>
  </si>
  <si>
    <t>収支管理品目コード</t>
    <rPh sb="0" eb="6">
      <t>シュウシカンリヒンモク</t>
    </rPh>
    <phoneticPr fontId="5"/>
  </si>
  <si>
    <t>購買共計勘定整理帳(論理データ).業種コード</t>
    <rPh sb="17" eb="19">
      <t>ギョウシュ</t>
    </rPh>
    <phoneticPr fontId="5"/>
  </si>
  <si>
    <t>購買共計勘定整理帳(論理データ).収支管理品目コード</t>
    <rPh sb="17" eb="23">
      <t>シュウシカンリヒンモク</t>
    </rPh>
    <phoneticPr fontId="5"/>
  </si>
  <si>
    <t>購買共計勘定整理帳(論理データ).年産</t>
    <rPh sb="17" eb="19">
      <t>ネンサン</t>
    </rPh>
    <phoneticPr fontId="5"/>
  </si>
  <si>
    <t>購買共計勘定整理帳(論理データ).経理日</t>
    <rPh sb="17" eb="20">
      <t>ケイリビ</t>
    </rPh>
    <phoneticPr fontId="5"/>
  </si>
  <si>
    <t>【大分類計】</t>
    <phoneticPr fontId="5"/>
  </si>
  <si>
    <t>【共計組織計】</t>
    <phoneticPr fontId="5"/>
  </si>
  <si>
    <t>【業種計】</t>
    <rPh sb="1" eb="3">
      <t>ギョウシュ</t>
    </rPh>
    <phoneticPr fontId="5"/>
  </si>
  <si>
    <t>【日計】</t>
    <rPh sb="1" eb="2">
      <t>ニチ</t>
    </rPh>
    <rPh sb="2" eb="3">
      <t>ケイ</t>
    </rPh>
    <phoneticPr fontId="5"/>
  </si>
  <si>
    <t>未精算　消費税　日計</t>
    <rPh sb="0" eb="3">
      <t>ミセイサン</t>
    </rPh>
    <rPh sb="4" eb="7">
      <t>ショウヒゼイ</t>
    </rPh>
    <phoneticPr fontId="5"/>
  </si>
  <si>
    <t>未精算　金額　日計</t>
    <rPh sb="0" eb="3">
      <t>ミセイサン</t>
    </rPh>
    <rPh sb="4" eb="6">
      <t>キンガク</t>
    </rPh>
    <phoneticPr fontId="5"/>
  </si>
  <si>
    <t>諸掛　日計</t>
    <rPh sb="0" eb="2">
      <t>ショガカリ</t>
    </rPh>
    <rPh sb="3" eb="5">
      <t>ニッケイ</t>
    </rPh>
    <phoneticPr fontId="5"/>
  </si>
  <si>
    <t>手数料　日計</t>
    <rPh sb="0" eb="2">
      <t>テスウ</t>
    </rPh>
    <rPh sb="2" eb="3">
      <t>リョウ</t>
    </rPh>
    <phoneticPr fontId="5"/>
  </si>
  <si>
    <t>共計受入金消費税- 共計支払金消費税- （手数料　日計×　税率）</t>
    <rPh sb="21" eb="24">
      <t>テスウリョウ</t>
    </rPh>
    <rPh sb="29" eb="31">
      <t>ゼイリツ</t>
    </rPh>
    <phoneticPr fontId="5"/>
  </si>
  <si>
    <t>諸掛　月計</t>
  </si>
  <si>
    <t>諸掛　月計</t>
    <rPh sb="0" eb="2">
      <t>ショガカリ</t>
    </rPh>
    <rPh sb="3" eb="4">
      <t>ツキ</t>
    </rPh>
    <rPh sb="4" eb="5">
      <t>ケイ</t>
    </rPh>
    <phoneticPr fontId="5"/>
  </si>
  <si>
    <t>手数料　月計</t>
  </si>
  <si>
    <t>手数料　月計</t>
    <rPh sb="0" eb="2">
      <t>テスウ</t>
    </rPh>
    <rPh sb="2" eb="3">
      <t>リョウ</t>
    </rPh>
    <phoneticPr fontId="5"/>
  </si>
  <si>
    <t>未精算　消費税　月計</t>
  </si>
  <si>
    <t>未精算　消費税　月計</t>
    <rPh sb="0" eb="3">
      <t>ミセイサン</t>
    </rPh>
    <rPh sb="4" eb="7">
      <t>ショウヒゼイ</t>
    </rPh>
    <phoneticPr fontId="5"/>
  </si>
  <si>
    <t>未精算　金額　月計</t>
  </si>
  <si>
    <t>未精算　金額　月計</t>
    <rPh sb="0" eb="3">
      <t>ミセイサン</t>
    </rPh>
    <rPh sb="4" eb="6">
      <t>キンガク</t>
    </rPh>
    <phoneticPr fontId="5"/>
  </si>
  <si>
    <t>諸掛の月計</t>
    <rPh sb="0" eb="2">
      <t>ショガカリ</t>
    </rPh>
    <rPh sb="3" eb="4">
      <t>ツキ</t>
    </rPh>
    <rPh sb="4" eb="5">
      <t>ケイ</t>
    </rPh>
    <phoneticPr fontId="5"/>
  </si>
  <si>
    <t>手数料の月計</t>
    <rPh sb="0" eb="3">
      <t>テスウリョウ</t>
    </rPh>
    <rPh sb="4" eb="5">
      <t>ツキ</t>
    </rPh>
    <rPh sb="5" eb="6">
      <t>ケイ</t>
    </rPh>
    <phoneticPr fontId="5"/>
  </si>
  <si>
    <t>未精算　消費税の月計</t>
    <rPh sb="0" eb="3">
      <t>ミセイサン</t>
    </rPh>
    <rPh sb="4" eb="7">
      <t>ショウヒゼイ</t>
    </rPh>
    <rPh sb="8" eb="9">
      <t>ツキ</t>
    </rPh>
    <rPh sb="9" eb="10">
      <t>ケイ</t>
    </rPh>
    <phoneticPr fontId="5"/>
  </si>
  <si>
    <t>未精算　金額の月計</t>
    <rPh sb="0" eb="3">
      <t>ミセイサン</t>
    </rPh>
    <rPh sb="4" eb="6">
      <t>キンガク</t>
    </rPh>
    <rPh sb="7" eb="8">
      <t>ツキ</t>
    </rPh>
    <rPh sb="8" eb="9">
      <t>ケイ</t>
    </rPh>
    <phoneticPr fontId="5"/>
  </si>
  <si>
    <t>残高　単価　累計</t>
  </si>
  <si>
    <t>諸掛　累計</t>
  </si>
  <si>
    <t>諸掛　累計</t>
    <rPh sb="0" eb="2">
      <t>ショガカリ</t>
    </rPh>
    <phoneticPr fontId="5"/>
  </si>
  <si>
    <t>手数料　累計</t>
  </si>
  <si>
    <t>手数料　累計</t>
    <rPh sb="0" eb="2">
      <t>テスウ</t>
    </rPh>
    <rPh sb="2" eb="3">
      <t>リョウ</t>
    </rPh>
    <phoneticPr fontId="5"/>
  </si>
  <si>
    <t>未精算　消費税　累計</t>
  </si>
  <si>
    <t>未精算　消費税　累計</t>
    <rPh sb="0" eb="3">
      <t>ミセイサン</t>
    </rPh>
    <rPh sb="4" eb="7">
      <t>ショウヒゼイ</t>
    </rPh>
    <phoneticPr fontId="5"/>
  </si>
  <si>
    <t>未精算　金額　累計</t>
  </si>
  <si>
    <t>未精算　金額　累計</t>
    <rPh sb="0" eb="3">
      <t>ミセイサン</t>
    </rPh>
    <rPh sb="4" eb="6">
      <t>キンガク</t>
    </rPh>
    <phoneticPr fontId="5"/>
  </si>
  <si>
    <t>諸掛の累計</t>
    <rPh sb="0" eb="2">
      <t>ショガカリ</t>
    </rPh>
    <phoneticPr fontId="5"/>
  </si>
  <si>
    <t>手数料の累計</t>
    <rPh sb="0" eb="3">
      <t>テスウリョウ</t>
    </rPh>
    <phoneticPr fontId="5"/>
  </si>
  <si>
    <t>未精算　消費税の累計</t>
    <rPh sb="0" eb="3">
      <t>ミセイサン</t>
    </rPh>
    <rPh sb="4" eb="7">
      <t>ショウヒゼイ</t>
    </rPh>
    <phoneticPr fontId="5"/>
  </si>
  <si>
    <t>未精算　金額の累計</t>
    <rPh sb="0" eb="3">
      <t>ミセイサン</t>
    </rPh>
    <rPh sb="4" eb="6">
      <t>キンガク</t>
    </rPh>
    <phoneticPr fontId="5"/>
  </si>
  <si>
    <t>共計受入金額＋残高金額－（共計支払金額＋共計支払金諸掛＋手数料　日計）</t>
    <rPh sb="32" eb="34">
      <t>ニッケイ</t>
    </rPh>
    <phoneticPr fontId="5"/>
  </si>
  <si>
    <t>購買共計勘定整理帳(論理データ).共計受入金　金額　累計</t>
    <phoneticPr fontId="5"/>
  </si>
  <si>
    <t>共計支払金　消費税　累計</t>
  </si>
  <si>
    <t>共計支払金　金額　累計</t>
  </si>
  <si>
    <t>購買共計勘定整理帳(論理データ).共計支払金　金額　累計</t>
    <rPh sb="17" eb="19">
      <t>キョウケイ</t>
    </rPh>
    <rPh sb="19" eb="22">
      <t>シハライキン</t>
    </rPh>
    <rPh sb="23" eb="25">
      <t>キンガク</t>
    </rPh>
    <rPh sb="26" eb="28">
      <t>ルイケイ</t>
    </rPh>
    <phoneticPr fontId="5"/>
  </si>
  <si>
    <t>残高　単価　月計</t>
  </si>
  <si>
    <t>購買共計勘定整理帳(論理データ).共計受入金　消費税額　月計</t>
    <rPh sb="26" eb="27">
      <t>ガク</t>
    </rPh>
    <phoneticPr fontId="5"/>
  </si>
  <si>
    <t>購買共計勘定整理帳(論理データ).共計受入金　金額　月計</t>
    <phoneticPr fontId="5"/>
  </si>
  <si>
    <t>共計支払金　消費税　月計</t>
  </si>
  <si>
    <t>共計支払金　金額　月計</t>
  </si>
  <si>
    <t>購買共計勘定整理帳(論理データ).共計支払金　金額　月計</t>
    <rPh sb="17" eb="19">
      <t>キョウケイ</t>
    </rPh>
    <rPh sb="19" eb="22">
      <t>シハライキン</t>
    </rPh>
    <rPh sb="23" eb="25">
      <t>キンガク</t>
    </rPh>
    <rPh sb="26" eb="27">
      <t>ツキ</t>
    </rPh>
    <rPh sb="27" eb="28">
      <t>ケイ</t>
    </rPh>
    <phoneticPr fontId="5"/>
  </si>
  <si>
    <t>購買共計勘定整理帳(論理データ).共計受入金　金額　日計</t>
    <rPh sb="17" eb="19">
      <t>キョウケイ</t>
    </rPh>
    <rPh sb="19" eb="21">
      <t>ウケイレ</t>
    </rPh>
    <rPh sb="21" eb="22">
      <t>キン</t>
    </rPh>
    <rPh sb="23" eb="25">
      <t>キンガク</t>
    </rPh>
    <rPh sb="26" eb="28">
      <t>ニッケイ</t>
    </rPh>
    <phoneticPr fontId="5"/>
  </si>
  <si>
    <t>購買共計勘定整理帳(論理データ).共計支払金　金額　日計</t>
    <rPh sb="17" eb="19">
      <t>キョウケイ</t>
    </rPh>
    <rPh sb="19" eb="22">
      <t>シハライキン</t>
    </rPh>
    <rPh sb="23" eb="25">
      <t>キンガク</t>
    </rPh>
    <rPh sb="26" eb="28">
      <t>ニッケイ</t>
    </rPh>
    <phoneticPr fontId="5"/>
  </si>
  <si>
    <t>共計支払金　金額　日計の収支管理品目大分類計</t>
    <rPh sb="0" eb="2">
      <t>キョウケイ</t>
    </rPh>
    <rPh sb="2" eb="5">
      <t>シハライキン</t>
    </rPh>
    <rPh sb="6" eb="8">
      <t>キンガク</t>
    </rPh>
    <rPh sb="9" eb="11">
      <t>ニッケイ</t>
    </rPh>
    <rPh sb="12" eb="18">
      <t>シュウシカンリヒンモク</t>
    </rPh>
    <rPh sb="18" eb="21">
      <t>ダイブンルイ</t>
    </rPh>
    <rPh sb="21" eb="22">
      <t>ケイ</t>
    </rPh>
    <phoneticPr fontId="5"/>
  </si>
  <si>
    <t>共計支払金　消費税　日計の収支管理品目大分類計</t>
    <rPh sb="0" eb="2">
      <t>キョウケイ</t>
    </rPh>
    <rPh sb="2" eb="5">
      <t>シハライキン</t>
    </rPh>
    <rPh sb="6" eb="9">
      <t>ショウヒゼイ</t>
    </rPh>
    <rPh sb="13" eb="19">
      <t>シュウシカンリヒンモク</t>
    </rPh>
    <rPh sb="19" eb="22">
      <t>ダイブンルイ</t>
    </rPh>
    <rPh sb="22" eb="23">
      <t>ケイ</t>
    </rPh>
    <phoneticPr fontId="5"/>
  </si>
  <si>
    <t>共計支払金　金額　日計の収支管理品目大分類計</t>
    <rPh sb="0" eb="2">
      <t>キョウケイ</t>
    </rPh>
    <rPh sb="2" eb="5">
      <t>シハライキン</t>
    </rPh>
    <rPh sb="6" eb="8">
      <t>キンガク</t>
    </rPh>
    <rPh sb="12" eb="18">
      <t>シュウシカンリヒンモク</t>
    </rPh>
    <rPh sb="18" eb="21">
      <t>ダイブンルイ</t>
    </rPh>
    <rPh sb="21" eb="22">
      <t>ケイ</t>
    </rPh>
    <phoneticPr fontId="5"/>
  </si>
  <si>
    <t>残高　単価　日計の収支管理品目大分類計</t>
    <rPh sb="0" eb="2">
      <t>ザンダカ</t>
    </rPh>
    <rPh sb="3" eb="5">
      <t>タンカ</t>
    </rPh>
    <rPh sb="9" eb="15">
      <t>シュウシカンリヒンモク</t>
    </rPh>
    <rPh sb="15" eb="18">
      <t>ダイブンルイ</t>
    </rPh>
    <rPh sb="18" eb="19">
      <t>ケイ</t>
    </rPh>
    <phoneticPr fontId="5"/>
  </si>
  <si>
    <t>諸掛　日計</t>
    <rPh sb="0" eb="2">
      <t>ショガカリ</t>
    </rPh>
    <phoneticPr fontId="5"/>
  </si>
  <si>
    <t>未精算　消費税　日計</t>
    <rPh sb="0" eb="3">
      <t>ミセイサン</t>
    </rPh>
    <phoneticPr fontId="5"/>
  </si>
  <si>
    <t>諸掛　日計の収支管理品目大分類計</t>
    <rPh sb="0" eb="2">
      <t>ショガカリ</t>
    </rPh>
    <rPh sb="3" eb="5">
      <t>ニッケイ</t>
    </rPh>
    <rPh sb="6" eb="12">
      <t>シュウシカンリヒンモク</t>
    </rPh>
    <rPh sb="12" eb="15">
      <t>ダイブンルイ</t>
    </rPh>
    <rPh sb="15" eb="16">
      <t>ケイ</t>
    </rPh>
    <phoneticPr fontId="5"/>
  </si>
  <si>
    <t>手数料　日計の収支管理品目大分類計</t>
    <rPh sb="0" eb="3">
      <t>テスウリョウ</t>
    </rPh>
    <rPh sb="4" eb="6">
      <t>ニッケイ</t>
    </rPh>
    <rPh sb="7" eb="13">
      <t>シュウシカンリヒンモク</t>
    </rPh>
    <rPh sb="13" eb="16">
      <t>ダイブンルイ</t>
    </rPh>
    <rPh sb="16" eb="17">
      <t>ケイ</t>
    </rPh>
    <phoneticPr fontId="5"/>
  </si>
  <si>
    <t>未精算　消費税　日計の収支管理品目大分類計</t>
    <rPh sb="0" eb="3">
      <t>ミセイサン</t>
    </rPh>
    <rPh sb="4" eb="7">
      <t>ショウヒゼイ</t>
    </rPh>
    <rPh sb="8" eb="10">
      <t>ニッケイ</t>
    </rPh>
    <rPh sb="11" eb="17">
      <t>シュウシカンリヒンモク</t>
    </rPh>
    <rPh sb="17" eb="20">
      <t>ダイブンルイ</t>
    </rPh>
    <rPh sb="20" eb="21">
      <t>ケイ</t>
    </rPh>
    <phoneticPr fontId="5"/>
  </si>
  <si>
    <t>未精算　金額　日計の収支管理品目大分類計</t>
    <rPh sb="0" eb="3">
      <t>ミセイサン</t>
    </rPh>
    <rPh sb="4" eb="6">
      <t>キンガク</t>
    </rPh>
    <rPh sb="7" eb="9">
      <t>ニッケイ</t>
    </rPh>
    <phoneticPr fontId="5"/>
  </si>
  <si>
    <t>共計支払金　金額　月計の収支管理品目大分類計</t>
    <phoneticPr fontId="5"/>
  </si>
  <si>
    <t>共計支払金　消費税　月計の収支管理品目大分類計</t>
    <phoneticPr fontId="5"/>
  </si>
  <si>
    <t>残高　単価　月計の収支管理品目大分類計</t>
    <phoneticPr fontId="5"/>
  </si>
  <si>
    <t>諸掛　月計の収支管理品目大分類計</t>
    <phoneticPr fontId="5"/>
  </si>
  <si>
    <t>手数料　月計の収支管理品目大分類計</t>
    <phoneticPr fontId="5"/>
  </si>
  <si>
    <t>未精算　消費税　月計の収支管理品目大分類計</t>
    <phoneticPr fontId="5"/>
  </si>
  <si>
    <t>未精算　金額　月計の収支管理品目大分類計</t>
    <phoneticPr fontId="5"/>
  </si>
  <si>
    <t>共計支払金　金額　累計の収支管理品目大分類計</t>
    <phoneticPr fontId="5"/>
  </si>
  <si>
    <t>共計支払金　消費税　累計の収支管理品目大分類計</t>
    <phoneticPr fontId="5"/>
  </si>
  <si>
    <t>残高　単価　累計の収支管理品目大分類計</t>
    <phoneticPr fontId="5"/>
  </si>
  <si>
    <t>諸掛　累計の収支管理品目大分類計</t>
    <phoneticPr fontId="5"/>
  </si>
  <si>
    <t>手数料　累計の収支管理品目大分類計</t>
    <phoneticPr fontId="5"/>
  </si>
  <si>
    <t>未精算　消費税　累計の収支管理品目大分類計</t>
    <phoneticPr fontId="5"/>
  </si>
  <si>
    <t>未精算　金額　累計の収支管理品目大分類計</t>
    <phoneticPr fontId="5"/>
  </si>
  <si>
    <t>共計支払金　金額　日計の共計組織計</t>
    <phoneticPr fontId="5"/>
  </si>
  <si>
    <t>共計支払金　消費税　日計の共計組織計</t>
    <phoneticPr fontId="5"/>
  </si>
  <si>
    <t>残高　単価　日計の共計組織計</t>
    <phoneticPr fontId="5"/>
  </si>
  <si>
    <t>諸掛　日計の共計組織計</t>
    <phoneticPr fontId="5"/>
  </si>
  <si>
    <t>手数料　日計の共計組織計</t>
    <phoneticPr fontId="5"/>
  </si>
  <si>
    <t>未精算　消費税　日計の共計組織計</t>
    <phoneticPr fontId="5"/>
  </si>
  <si>
    <t>未精算　金額　日計の共計組織計</t>
    <phoneticPr fontId="5"/>
  </si>
  <si>
    <t>共計支払金　金額　月計の共計組織計</t>
    <phoneticPr fontId="5"/>
  </si>
  <si>
    <t>共計支払金　消費税　月計の共計組織計</t>
    <phoneticPr fontId="5"/>
  </si>
  <si>
    <t>残高　単価　月計の共計組織計</t>
    <phoneticPr fontId="5"/>
  </si>
  <si>
    <t>諸掛　月計の共計組織計</t>
    <phoneticPr fontId="5"/>
  </si>
  <si>
    <t>手数料　月計の共計組織計</t>
    <phoneticPr fontId="5"/>
  </si>
  <si>
    <t>未精算　消費税　月計の共計組織計</t>
    <phoneticPr fontId="5"/>
  </si>
  <si>
    <t>未精算　金額　月計の共計組織計</t>
    <phoneticPr fontId="5"/>
  </si>
  <si>
    <t>共計支払金　金額　累計の共計組織計</t>
    <phoneticPr fontId="5"/>
  </si>
  <si>
    <t>共計支払金　消費税　累計の共計組織計</t>
    <phoneticPr fontId="5"/>
  </si>
  <si>
    <t>残高　単価　累計の共計組織計</t>
    <phoneticPr fontId="5"/>
  </si>
  <si>
    <t>諸掛　累計の共計組織計</t>
    <phoneticPr fontId="5"/>
  </si>
  <si>
    <t>手数料　累計の共計組織計</t>
    <phoneticPr fontId="5"/>
  </si>
  <si>
    <t>未精算　消費税　累計の共計組織計</t>
    <phoneticPr fontId="5"/>
  </si>
  <si>
    <t>未精算　金額　累計の共計組織計</t>
    <phoneticPr fontId="5"/>
  </si>
  <si>
    <t>共計支払金　金額　日計の業種計</t>
    <phoneticPr fontId="5"/>
  </si>
  <si>
    <t>共計支払金　消費税　日計の業種計</t>
    <phoneticPr fontId="5"/>
  </si>
  <si>
    <t>残高　単価　日計の業種計</t>
    <phoneticPr fontId="5"/>
  </si>
  <si>
    <t>諸掛　日計の業種計</t>
    <phoneticPr fontId="5"/>
  </si>
  <si>
    <t>手数料　日計の業種計</t>
    <phoneticPr fontId="5"/>
  </si>
  <si>
    <t>未精算　消費税　日計の業種計</t>
    <phoneticPr fontId="5"/>
  </si>
  <si>
    <t>未精算　金額　日計の業種計</t>
    <phoneticPr fontId="5"/>
  </si>
  <si>
    <t>共計支払金　金額　月計の業種計</t>
    <phoneticPr fontId="5"/>
  </si>
  <si>
    <t>共計支払金　消費税　月計の業種計</t>
    <phoneticPr fontId="5"/>
  </si>
  <si>
    <t>残高　単価　月計の業種計</t>
    <phoneticPr fontId="5"/>
  </si>
  <si>
    <t>諸掛　月計の業種計</t>
    <phoneticPr fontId="5"/>
  </si>
  <si>
    <t>手数料　月計の業種計</t>
    <phoneticPr fontId="5"/>
  </si>
  <si>
    <t>未精算　消費税　月計の業種計</t>
    <phoneticPr fontId="5"/>
  </si>
  <si>
    <t>未精算　金額　月計の業種計</t>
    <phoneticPr fontId="5"/>
  </si>
  <si>
    <t>共計支払金　金額　累計の業種計</t>
    <phoneticPr fontId="5"/>
  </si>
  <si>
    <t>共計支払金　消費税　累計の業種計</t>
    <phoneticPr fontId="5"/>
  </si>
  <si>
    <t>残高　単価　累計の業種計</t>
    <phoneticPr fontId="5"/>
  </si>
  <si>
    <t>諸掛　累計の業種計</t>
    <phoneticPr fontId="5"/>
  </si>
  <si>
    <t>手数料　累計の業種計</t>
    <phoneticPr fontId="5"/>
  </si>
  <si>
    <t>未精算　消費税　累計の業種計</t>
    <phoneticPr fontId="5"/>
  </si>
  <si>
    <t>未精算　金額　累計の業種計</t>
    <phoneticPr fontId="5"/>
  </si>
  <si>
    <t>共計支払金　金額　日計の経理日計</t>
    <phoneticPr fontId="5"/>
  </si>
  <si>
    <t>共計支払金　消費税　日計の経理日計</t>
    <phoneticPr fontId="5"/>
  </si>
  <si>
    <t>残高　単価　日計の経理日計</t>
    <phoneticPr fontId="5"/>
  </si>
  <si>
    <t>諸掛　日計の経理日計</t>
    <phoneticPr fontId="5"/>
  </si>
  <si>
    <t>手数料　日計の経理日計</t>
    <phoneticPr fontId="5"/>
  </si>
  <si>
    <t>未精算　消費税　日計の経理日計</t>
    <phoneticPr fontId="5"/>
  </si>
  <si>
    <t>未精算　金額　日計の経理日計</t>
    <phoneticPr fontId="5"/>
  </si>
  <si>
    <t>共計支払金　金額　月計の経理日計</t>
    <phoneticPr fontId="5"/>
  </si>
  <si>
    <t>共計支払金　消費税　月計の経理日計</t>
    <phoneticPr fontId="5"/>
  </si>
  <si>
    <t>残高　単価　月計の経理日計</t>
    <phoneticPr fontId="5"/>
  </si>
  <si>
    <t>諸掛　月計の経理日計</t>
    <phoneticPr fontId="5"/>
  </si>
  <si>
    <t>手数料　月計の経理日計</t>
    <phoneticPr fontId="5"/>
  </si>
  <si>
    <t>未精算　消費税　月計の経理日計</t>
    <phoneticPr fontId="5"/>
  </si>
  <si>
    <t>未精算　金額　月計の経理日計</t>
    <phoneticPr fontId="5"/>
  </si>
  <si>
    <t>共計支払金　金額　累計の経理日計</t>
    <phoneticPr fontId="5"/>
  </si>
  <si>
    <t>共計支払金　消費税　累計の経理日計</t>
    <phoneticPr fontId="5"/>
  </si>
  <si>
    <t>残高　単価　累計の経理日計</t>
    <phoneticPr fontId="5"/>
  </si>
  <si>
    <t>諸掛　累計の経理日計</t>
    <phoneticPr fontId="5"/>
  </si>
  <si>
    <t>手数料　累計の経理日計</t>
    <phoneticPr fontId="5"/>
  </si>
  <si>
    <t>未精算　消費税　累計の経理日計</t>
    <phoneticPr fontId="5"/>
  </si>
  <si>
    <t>未精算　金額　累計の経理日計</t>
    <phoneticPr fontId="5"/>
  </si>
  <si>
    <t>経理日</t>
    <rPh sb="0" eb="2">
      <t>ケイリ</t>
    </rPh>
    <rPh sb="2" eb="3">
      <t>ビ</t>
    </rPh>
    <phoneticPr fontId="5"/>
  </si>
  <si>
    <t>購買共計勘定整理帳　9999/99/99</t>
    <phoneticPr fontId="5"/>
  </si>
  <si>
    <t>購買共計勘定整理帳(論理データ).共計区分に対する名称。共計区分が複数含まれる場合は（＊＊＊＊）を表示する。</t>
    <rPh sb="17" eb="21">
      <t>キョウケイクブン</t>
    </rPh>
    <rPh sb="22" eb="23">
      <t>タイ</t>
    </rPh>
    <rPh sb="25" eb="27">
      <t>メイショウ</t>
    </rPh>
    <rPh sb="35" eb="36">
      <t>フク</t>
    </rPh>
    <rPh sb="39" eb="41">
      <t>バアイ</t>
    </rPh>
    <phoneticPr fontId="5"/>
  </si>
  <si>
    <t>※※共計組織計</t>
    <rPh sb="2" eb="4">
      <t>キョウケイ</t>
    </rPh>
    <rPh sb="4" eb="6">
      <t>ソシキ</t>
    </rPh>
    <rPh sb="5" eb="6">
      <t>ケイ</t>
    </rPh>
    <phoneticPr fontId="5"/>
  </si>
  <si>
    <t>※※※業種計</t>
    <rPh sb="2" eb="5">
      <t>ギョウシュケイ</t>
    </rPh>
    <phoneticPr fontId="5"/>
  </si>
  <si>
    <t>※※※※　日計</t>
    <rPh sb="5" eb="6">
      <t>ヒ</t>
    </rPh>
    <rPh sb="6" eb="7">
      <t>ケイ</t>
    </rPh>
    <phoneticPr fontId="5"/>
  </si>
  <si>
    <t>購買共計で発生した共計支払金、共計受入金を集計する</t>
    <rPh sb="0" eb="2">
      <t>コウバイ</t>
    </rPh>
    <rPh sb="2" eb="4">
      <t>キョウケイ</t>
    </rPh>
    <rPh sb="5" eb="7">
      <t>ハッセイ</t>
    </rPh>
    <rPh sb="9" eb="11">
      <t>キョウケイ</t>
    </rPh>
    <rPh sb="19" eb="20">
      <t>キン</t>
    </rPh>
    <rPh sb="21" eb="23">
      <t>シュウケイ</t>
    </rPh>
    <phoneticPr fontId="5"/>
  </si>
  <si>
    <t>共計受入金 消費税、残高 数量、残高金額、当日残高の業種計を業種が変わる時印字する</t>
    <rPh sb="10" eb="12">
      <t>ザンダカ</t>
    </rPh>
    <rPh sb="13" eb="15">
      <t>スウリョウ</t>
    </rPh>
    <rPh sb="16" eb="18">
      <t>ザンダカ</t>
    </rPh>
    <rPh sb="18" eb="20">
      <t>キンガク</t>
    </rPh>
    <rPh sb="26" eb="28">
      <t>ギョウシュ</t>
    </rPh>
    <rPh sb="28" eb="29">
      <t>ケイ</t>
    </rPh>
    <rPh sb="30" eb="32">
      <t>ギョウシュ</t>
    </rPh>
    <rPh sb="37" eb="39">
      <t>インジ</t>
    </rPh>
    <phoneticPr fontId="5"/>
  </si>
  <si>
    <t>共計受入金 消費税、残高 数量、残高金額、当日残高の経理日計を経理日が変わる時印字する</t>
    <rPh sb="10" eb="12">
      <t>ザンダカ</t>
    </rPh>
    <rPh sb="13" eb="15">
      <t>スウリョウ</t>
    </rPh>
    <rPh sb="16" eb="18">
      <t>ザンダカ</t>
    </rPh>
    <rPh sb="18" eb="20">
      <t>キンガク</t>
    </rPh>
    <rPh sb="26" eb="28">
      <t>ケイリ</t>
    </rPh>
    <rPh sb="28" eb="30">
      <t>ニッケイ</t>
    </rPh>
    <rPh sb="30" eb="31">
      <t>ギョウケイ</t>
    </rPh>
    <rPh sb="31" eb="33">
      <t>ケイリ</t>
    </rPh>
    <rPh sb="33" eb="34">
      <t>ビ</t>
    </rPh>
    <rPh sb="39" eb="41">
      <t>インジ</t>
    </rPh>
    <phoneticPr fontId="5"/>
  </si>
  <si>
    <t>共計受入金 消費税、残高 数量、残高金額、当日残高の大分類計を大分類が変わる時印字する</t>
    <rPh sb="10" eb="12">
      <t>ザンダカ</t>
    </rPh>
    <rPh sb="13" eb="15">
      <t>スウリョウ</t>
    </rPh>
    <rPh sb="16" eb="18">
      <t>ザンダカ</t>
    </rPh>
    <rPh sb="18" eb="20">
      <t>キンガク</t>
    </rPh>
    <rPh sb="26" eb="29">
      <t>ダイブンルイ</t>
    </rPh>
    <rPh sb="29" eb="30">
      <t>ケイ</t>
    </rPh>
    <rPh sb="31" eb="34">
      <t>ダイブンルイ</t>
    </rPh>
    <rPh sb="39" eb="41">
      <t>インジ</t>
    </rPh>
    <phoneticPr fontId="5"/>
  </si>
  <si>
    <t>共計受入金 消費税、残高 数量、残高金額、当日残高の共計組織計を共計組織が変わる時</t>
    <rPh sb="10" eb="12">
      <t>ザンダカ</t>
    </rPh>
    <rPh sb="13" eb="15">
      <t>スウリョウ</t>
    </rPh>
    <rPh sb="16" eb="18">
      <t>ザンダカ</t>
    </rPh>
    <rPh sb="18" eb="20">
      <t>キンガク</t>
    </rPh>
    <rPh sb="26" eb="30">
      <t>キョウケイソシキ</t>
    </rPh>
    <rPh sb="30" eb="31">
      <t>ケイ</t>
    </rPh>
    <rPh sb="32" eb="34">
      <t>キョウケイ</t>
    </rPh>
    <rPh sb="34" eb="36">
      <t>ソシキ</t>
    </rPh>
    <rPh sb="37" eb="38">
      <t>カ</t>
    </rPh>
    <rPh sb="40" eb="41">
      <t>トキ</t>
    </rPh>
    <phoneticPr fontId="5"/>
  </si>
  <si>
    <t>印字する</t>
  </si>
  <si>
    <t>年産（共計年度）</t>
    <rPh sb="0" eb="2">
      <t>ネンサン</t>
    </rPh>
    <rPh sb="3" eb="7">
      <t>キョウケイネンド</t>
    </rPh>
    <phoneticPr fontId="5"/>
  </si>
  <si>
    <t>購買共計勘定整理帳(論理データ).共計支払金　数量（仮数）　日計</t>
    <rPh sb="30" eb="32">
      <t>ニッケイ</t>
    </rPh>
    <phoneticPr fontId="5"/>
  </si>
  <si>
    <t>購買共計勘定整理帳(論理データ).共計支払金　数量（仮数）　月計</t>
    <rPh sb="30" eb="31">
      <t>ツキ</t>
    </rPh>
    <rPh sb="31" eb="32">
      <t>ケイ</t>
    </rPh>
    <phoneticPr fontId="5"/>
  </si>
  <si>
    <t>購買共計勘定整理帳(論理データ).共計受入金　数量（仮数）　日計</t>
    <rPh sb="30" eb="32">
      <t>ニッケイ</t>
    </rPh>
    <phoneticPr fontId="5"/>
  </si>
  <si>
    <t>購買共計勘定整理帳(論理データ).共計受入金　数量（仮数）　月計</t>
    <rPh sb="30" eb="31">
      <t>ツキ</t>
    </rPh>
    <rPh sb="31" eb="32">
      <t>ケイ</t>
    </rPh>
    <phoneticPr fontId="5"/>
  </si>
  <si>
    <t>購買共計勘定整理帳(論理データ).残高　金額　日計</t>
    <rPh sb="20" eb="22">
      <t>キンガク</t>
    </rPh>
    <rPh sb="23" eb="25">
      <t>ニッケイ</t>
    </rPh>
    <phoneticPr fontId="5"/>
  </si>
  <si>
    <t>購買共計勘定整理帳(論理データ).残高　単価　日計</t>
    <rPh sb="20" eb="22">
      <t>タンカ</t>
    </rPh>
    <rPh sb="23" eb="25">
      <t>ニッケイ</t>
    </rPh>
    <phoneticPr fontId="5"/>
  </si>
  <si>
    <t>購買共計勘定整理帳(論理データ).残高　金額　月計</t>
  </si>
  <si>
    <t>購買共計勘定整理帳(論理データ).残高　単価　月計</t>
    <rPh sb="20" eb="22">
      <t>タンカ</t>
    </rPh>
    <rPh sb="23" eb="24">
      <t>ツキ</t>
    </rPh>
    <rPh sb="24" eb="25">
      <t>ケイ</t>
    </rPh>
    <phoneticPr fontId="5"/>
  </si>
  <si>
    <t>購買共計勘定整理帳(論理データ).残高　金額　累計</t>
    <rPh sb="20" eb="22">
      <t>キンガク</t>
    </rPh>
    <rPh sb="23" eb="25">
      <t>ルイケイ</t>
    </rPh>
    <phoneticPr fontId="5"/>
  </si>
  <si>
    <t>購買共計勘定整理帳(論理データ).残高　単価　累計</t>
    <rPh sb="20" eb="22">
      <t>タンカ</t>
    </rPh>
    <rPh sb="23" eb="25">
      <t>ルイケイ</t>
    </rPh>
    <phoneticPr fontId="5"/>
  </si>
  <si>
    <t>購買共計勘定整理帳(論理データ).残高　数量（仮数）　日計</t>
    <rPh sb="27" eb="29">
      <t>ニッケイ</t>
    </rPh>
    <phoneticPr fontId="5"/>
  </si>
  <si>
    <t>購買共計勘定整理帳(論理データ).共計受入金　消費税額　日計</t>
    <rPh sb="28" eb="30">
      <t>ニッケイ</t>
    </rPh>
    <phoneticPr fontId="5"/>
  </si>
  <si>
    <t>購買共計勘定整理帳(論理データ).共計受入金　消費税額　累計</t>
  </si>
  <si>
    <t>購買共計勘定整理帳(論理データ).共計支払金　消費税額　日計</t>
    <rPh sb="28" eb="30">
      <t>ニッケイ</t>
    </rPh>
    <phoneticPr fontId="5"/>
  </si>
  <si>
    <t>購買共計勘定整理帳(論理データ).共計支払金　消費税額　月計</t>
    <rPh sb="28" eb="29">
      <t>ツキ</t>
    </rPh>
    <rPh sb="29" eb="30">
      <t>ケイ</t>
    </rPh>
    <phoneticPr fontId="5"/>
  </si>
  <si>
    <t>購買共計勘定整理帳(論理データ).共計支払金　消費税額　累計</t>
    <rPh sb="28" eb="30">
      <t>ルイケイ</t>
    </rPh>
    <phoneticPr fontId="5"/>
  </si>
  <si>
    <t>該当の収支管理品目・共計が発生した経理日</t>
    <rPh sb="0" eb="2">
      <t>ガイトウ</t>
    </rPh>
    <rPh sb="3" eb="5">
      <t>シュウシ</t>
    </rPh>
    <rPh sb="5" eb="7">
      <t>カンリ</t>
    </rPh>
    <rPh sb="7" eb="9">
      <t>ヒンモク</t>
    </rPh>
    <rPh sb="10" eb="12">
      <t>キョウケイ</t>
    </rPh>
    <rPh sb="13" eb="15">
      <t>ハッセイ</t>
    </rPh>
    <rPh sb="17" eb="19">
      <t>ケイリ</t>
    </rPh>
    <rPh sb="19" eb="20">
      <t>ビ</t>
    </rPh>
    <phoneticPr fontId="5"/>
  </si>
  <si>
    <t>ZZZ,ZZZ,ZZZ,ZZ9.999</t>
  </si>
  <si>
    <t>ZZZ,ZZZ,ZZZ,ZZ9.999</t>
    <phoneticPr fontId="5"/>
  </si>
  <si>
    <t>ZZZ,ZZZ,ZZZ,ZZ9</t>
  </si>
  <si>
    <t>購買共計勘定整理帳(論理データ).共計支払金　数量（分子）　日計</t>
    <rPh sb="26" eb="28">
      <t>ブンシ</t>
    </rPh>
    <rPh sb="30" eb="32">
      <t>ニッケイ</t>
    </rPh>
    <phoneticPr fontId="5"/>
  </si>
  <si>
    <t>-Z,ZZZ,ZZZ,ZZZ,ZZ9.ZZ9</t>
    <phoneticPr fontId="5"/>
  </si>
  <si>
    <t>購買共計勘定整理帳(論理データ).共計受入金　数量（分子）　日計</t>
    <rPh sb="26" eb="28">
      <t>ブンシ</t>
    </rPh>
    <rPh sb="30" eb="32">
      <t>ニッケイ</t>
    </rPh>
    <phoneticPr fontId="5"/>
  </si>
  <si>
    <t>購買共計勘定整理帳(論理データ).残高　数量（分子）　日計</t>
    <rPh sb="23" eb="25">
      <t>ブンシ</t>
    </rPh>
    <rPh sb="27" eb="29">
      <t>ニッケイ</t>
    </rPh>
    <phoneticPr fontId="5"/>
  </si>
  <si>
    <t>購買共計勘定整理帳(論理データ).共計支払金　数量（分子）　月計</t>
    <rPh sb="26" eb="28">
      <t>ブンシ</t>
    </rPh>
    <rPh sb="30" eb="31">
      <t>ツキ</t>
    </rPh>
    <rPh sb="31" eb="32">
      <t>ケイ</t>
    </rPh>
    <phoneticPr fontId="5"/>
  </si>
  <si>
    <t>購買共計勘定整理帳(論理データ).共計受入金　数量（分子）　月計</t>
    <rPh sb="26" eb="28">
      <t>ブンシ</t>
    </rPh>
    <rPh sb="30" eb="31">
      <t>ツキ</t>
    </rPh>
    <rPh sb="31" eb="32">
      <t>ケイ</t>
    </rPh>
    <phoneticPr fontId="5"/>
  </si>
  <si>
    <t>購買共計勘定整理帳(論理データ).残高　数量（分子）　月計</t>
    <rPh sb="23" eb="25">
      <t>ブンシ</t>
    </rPh>
    <phoneticPr fontId="5"/>
  </si>
  <si>
    <t>購買共計勘定整理帳(論理データ).残高　数量（仮数）　月計</t>
    <phoneticPr fontId="5"/>
  </si>
  <si>
    <t>購買共計勘定整理帳(論理データ).共計支払金　数量（分子）　累計</t>
    <rPh sb="26" eb="28">
      <t>ブンシ</t>
    </rPh>
    <phoneticPr fontId="5"/>
  </si>
  <si>
    <t>購買共計勘定整理帳(論理データ).共計支払金　数量（仮数）　累計</t>
    <phoneticPr fontId="5"/>
  </si>
  <si>
    <t>購買共計勘定整理帳(論理データ).共計受入金　数量（分子）　累計</t>
    <rPh sb="26" eb="28">
      <t>ブンシ</t>
    </rPh>
    <phoneticPr fontId="5"/>
  </si>
  <si>
    <t>購買共計勘定整理帳(論理データ).共計受入金　数量（仮数）　累計</t>
    <phoneticPr fontId="5"/>
  </si>
  <si>
    <t>購買共計勘定整理帳(論理データ).残高　数量（分子）　累計</t>
    <rPh sb="23" eb="25">
      <t>ブンシ</t>
    </rPh>
    <phoneticPr fontId="5"/>
  </si>
  <si>
    <t>購買共計勘定整理帳(論理データ).残高　数量（仮数）　累計</t>
    <phoneticPr fontId="5"/>
  </si>
  <si>
    <t>サイハロンニュウザイ　　５００Ｘ</t>
    <phoneticPr fontId="5"/>
  </si>
  <si>
    <t>単位名称（分子）</t>
    <rPh sb="0" eb="4">
      <t>タンイメイショウ</t>
    </rPh>
    <rPh sb="5" eb="7">
      <t>ブンシ</t>
    </rPh>
    <phoneticPr fontId="5"/>
  </si>
  <si>
    <t>商品名</t>
    <rPh sb="0" eb="3">
      <t>ショウヒンメイ</t>
    </rPh>
    <phoneticPr fontId="5"/>
  </si>
  <si>
    <t>商品名</t>
    <rPh sb="0" eb="3">
      <t>ショウヒンメイ</t>
    </rPh>
    <phoneticPr fontId="6"/>
  </si>
  <si>
    <t>数量（分子）
数量（仮数）</t>
    <rPh sb="0" eb="2">
      <t>スウリョウ</t>
    </rPh>
    <rPh sb="3" eb="5">
      <t>ブンシ</t>
    </rPh>
    <rPh sb="10" eb="12">
      <t>カスウ</t>
    </rPh>
    <phoneticPr fontId="5"/>
  </si>
  <si>
    <t>共計支払金　数量（分子）　日計</t>
    <rPh sb="0" eb="5">
      <t>キョウケイシハライキン</t>
    </rPh>
    <rPh sb="6" eb="8">
      <t>スウリョウ</t>
    </rPh>
    <rPh sb="13" eb="15">
      <t>ニッケイ</t>
    </rPh>
    <phoneticPr fontId="5"/>
  </si>
  <si>
    <t>共計支払金　数量（仮数）　日計</t>
    <rPh sb="0" eb="5">
      <t>キョウケイシハライキン</t>
    </rPh>
    <rPh sb="6" eb="8">
      <t>スウリョウ</t>
    </rPh>
    <rPh sb="13" eb="15">
      <t>ニッケイ</t>
    </rPh>
    <phoneticPr fontId="5"/>
  </si>
  <si>
    <t>共計受入金　数量（分子）　日計</t>
    <rPh sb="0" eb="5">
      <t>キョウケイウケイレキン</t>
    </rPh>
    <rPh sb="6" eb="8">
      <t>スウリョウ</t>
    </rPh>
    <phoneticPr fontId="5"/>
  </si>
  <si>
    <t>共計受入金　数量（仮数）　日計</t>
    <rPh sb="0" eb="5">
      <t>キョウケイウケイレキン</t>
    </rPh>
    <rPh sb="6" eb="8">
      <t>スウリョウ</t>
    </rPh>
    <phoneticPr fontId="5"/>
  </si>
  <si>
    <t>残高　数量（分子）　日計</t>
    <rPh sb="0" eb="2">
      <t>ザンダカ</t>
    </rPh>
    <rPh sb="3" eb="5">
      <t>スウリョウ</t>
    </rPh>
    <phoneticPr fontId="5"/>
  </si>
  <si>
    <t>残高　数量（仮数）　日計</t>
    <rPh sb="0" eb="2">
      <t>ザンダカ</t>
    </rPh>
    <rPh sb="3" eb="5">
      <t>スウリョウ</t>
    </rPh>
    <phoneticPr fontId="5"/>
  </si>
  <si>
    <t>共計支払金　数量（分子）　月計</t>
    <rPh sb="0" eb="5">
      <t>キョウケイシハライキン</t>
    </rPh>
    <phoneticPr fontId="5"/>
  </si>
  <si>
    <t>共計受入金　数量（分子）　月計</t>
    <rPh sb="0" eb="5">
      <t>キョウケイウケイレキン</t>
    </rPh>
    <phoneticPr fontId="5"/>
  </si>
  <si>
    <t>残高　数量（分子）　月計</t>
    <rPh sb="0" eb="2">
      <t>ザンダカ</t>
    </rPh>
    <phoneticPr fontId="5"/>
  </si>
  <si>
    <t>共計支払金　数量（分子）　累計</t>
    <rPh sb="0" eb="5">
      <t>キョウケイシハライキン</t>
    </rPh>
    <phoneticPr fontId="5"/>
  </si>
  <si>
    <t>共計受入金　数量（分子）　累計</t>
    <rPh sb="0" eb="5">
      <t>キョウケイウケイレキン</t>
    </rPh>
    <phoneticPr fontId="5"/>
  </si>
  <si>
    <t>残高　数量（分子）　累計</t>
    <rPh sb="0" eb="2">
      <t>ザンダカ</t>
    </rPh>
    <phoneticPr fontId="5"/>
  </si>
  <si>
    <t>共計支払金　数量（仮数）　累計</t>
    <rPh sb="0" eb="5">
      <t>キョウケイシハライキン</t>
    </rPh>
    <phoneticPr fontId="5"/>
  </si>
  <si>
    <t>共計受入金　数量（仮数）　累計</t>
    <rPh sb="0" eb="5">
      <t>キョウケイウケイレキン</t>
    </rPh>
    <phoneticPr fontId="5"/>
  </si>
  <si>
    <t>残高　数量（仮数）　累計</t>
    <rPh sb="0" eb="2">
      <t>ザンダカ</t>
    </rPh>
    <phoneticPr fontId="5"/>
  </si>
  <si>
    <t>共計支払金　数量（仮数）　月計</t>
    <rPh sb="0" eb="5">
      <t>キョウケイシハライキン</t>
    </rPh>
    <phoneticPr fontId="5"/>
  </si>
  <si>
    <t>共計受入金　数量（仮数）　月計</t>
    <rPh sb="0" eb="5">
      <t>キョウケイウケイレキン</t>
    </rPh>
    <phoneticPr fontId="5"/>
  </si>
  <si>
    <t>残高　数量（仮数）　月計</t>
    <rPh sb="0" eb="2">
      <t>ザンダカ</t>
    </rPh>
    <phoneticPr fontId="5"/>
  </si>
  <si>
    <t>出力制御</t>
    <rPh sb="0" eb="2">
      <t>シュツリョク</t>
    </rPh>
    <rPh sb="2" eb="4">
      <t>セイギョ</t>
    </rPh>
    <phoneticPr fontId="5"/>
  </si>
  <si>
    <t>出力制御CD</t>
    <rPh sb="0" eb="2">
      <t>シュツリョク</t>
    </rPh>
    <rPh sb="2" eb="4">
      <t>セイギョ</t>
    </rPh>
    <phoneticPr fontId="5"/>
  </si>
  <si>
    <t>出力制御コード</t>
    <rPh sb="0" eb="2">
      <t>シュツリョク</t>
    </rPh>
    <rPh sb="2" eb="4">
      <t>セイギョ</t>
    </rPh>
    <phoneticPr fontId="4"/>
  </si>
  <si>
    <t>（収支管理品目）</t>
    <rPh sb="1" eb="7">
      <t>シュウシカンリヒンモク</t>
    </rPh>
    <phoneticPr fontId="5"/>
  </si>
  <si>
    <t>(XXXXXX)</t>
    <phoneticPr fontId="5"/>
  </si>
  <si>
    <t>(030167)</t>
    <phoneticPr fontId="5"/>
  </si>
  <si>
    <t>(030179)</t>
    <phoneticPr fontId="5"/>
  </si>
  <si>
    <t>(030)</t>
    <phoneticPr fontId="5"/>
  </si>
  <si>
    <t>収支管理品目大分類名</t>
    <rPh sb="0" eb="6">
      <t>シュウシカンリヒンモク</t>
    </rPh>
    <rPh sb="6" eb="9">
      <t>ダイブンルイ</t>
    </rPh>
    <rPh sb="9" eb="10">
      <t>メイ</t>
    </rPh>
    <phoneticPr fontId="5"/>
  </si>
  <si>
    <t>収支管理品目大分類コード</t>
    <rPh sb="0" eb="6">
      <t>シュウシカンリヒンモク</t>
    </rPh>
    <rPh sb="6" eb="9">
      <t>ダイブンルイ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</si>
</sst>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¥&quot;#,##0;[Red]&quot;¥&quot;\-#,##0"/>
    <numFmt numFmtId="176" formatCode="&quot;¥&quot;#,##0_);[Red]\(&quot;¥&quot;#,##0\)"/>
    <numFmt numFmtId="177" formatCode="#,##0.000;[Red]\-#,##0.000"/>
  </numFmts>
  <fonts count="19">
    <font>
      <sz val="11"/>
      <name val="ＭＳ 明朝"/>
      <family val="1"/>
      <charset val="128"/>
    </font>
    <font>
      <sz val="12"/>
      <name val="標準明朝"/>
      <family val="1"/>
      <charset val="128"/>
    </font>
    <font>
      <sz val="10"/>
      <name val="ＭＳ ゴシック"/>
      <family val="3"/>
      <charset val="128"/>
    </font>
    <font>
      <sz val="16"/>
      <name val="ＭＳ ゴシック"/>
      <family val="3"/>
      <charset val="128"/>
    </font>
    <font>
      <sz val="12"/>
      <name val="ＭＳ 明朝"/>
      <family val="1"/>
      <charset val="128"/>
    </font>
    <font>
      <sz val="6"/>
      <name val="ＭＳ 明朝"/>
      <family val="1"/>
      <charset val="128"/>
    </font>
    <font>
      <sz val="6"/>
      <name val="ＭＳ Ｐゴシック"/>
      <family val="3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11"/>
      <name val="ＭＳ 明朝"/>
      <family val="1"/>
      <charset val="128"/>
    </font>
    <font>
      <sz val="9"/>
      <name val="ＭＳ 明朝"/>
      <family val="1"/>
      <charset val="128"/>
    </font>
    <font>
      <sz val="16"/>
      <name val="ＭＳ 明朝"/>
      <family val="1"/>
      <charset val="128"/>
    </font>
    <font>
      <sz val="6"/>
      <name val="ＭＳ Ｐ明朝"/>
      <family val="1"/>
      <charset val="128"/>
    </font>
    <font>
      <b/>
      <sz val="9"/>
      <color indexed="81"/>
      <name val="MS P ゴシック"/>
      <family val="3"/>
      <charset val="128"/>
    </font>
    <font>
      <sz val="24"/>
      <name val="ＭＳ ゴシック"/>
      <family val="3"/>
      <charset val="128"/>
    </font>
    <font>
      <sz val="16"/>
      <color rgb="FFFF0000"/>
      <name val="ＭＳ ゴシック"/>
      <family val="3"/>
      <charset val="128"/>
    </font>
    <font>
      <sz val="12"/>
      <color theme="0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 style="dotted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dotted">
        <color auto="1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dotted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hair">
        <color indexed="64"/>
      </left>
      <right/>
      <top/>
      <bottom/>
      <diagonal/>
    </border>
  </borders>
  <cellStyleXfs count="7">
    <xf numFmtId="0" fontId="0" fillId="0" borderId="0"/>
    <xf numFmtId="0" fontId="1" fillId="0" borderId="0"/>
    <xf numFmtId="0" fontId="10" fillId="0" borderId="0"/>
    <xf numFmtId="176" fontId="11" fillId="0" borderId="0" applyFont="0" applyFill="0" applyBorder="0" applyAlignment="0" applyProtection="0">
      <alignment vertical="center"/>
    </xf>
    <xf numFmtId="0" fontId="10" fillId="0" borderId="0"/>
    <xf numFmtId="38" fontId="11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>
      <alignment vertical="center"/>
    </xf>
  </cellStyleXfs>
  <cellXfs count="329">
    <xf numFmtId="0" fontId="0" fillId="0" borderId="0" xfId="0"/>
    <xf numFmtId="1" fontId="2" fillId="0" borderId="1" xfId="1" applyNumberFormat="1" applyFont="1" applyBorder="1" applyAlignment="1">
      <alignment horizontal="left" vertical="center"/>
    </xf>
    <xf numFmtId="1" fontId="2" fillId="0" borderId="2" xfId="1" applyNumberFormat="1" applyFont="1" applyBorder="1" applyAlignment="1">
      <alignment horizontal="left" vertical="center"/>
    </xf>
    <xf numFmtId="1" fontId="2" fillId="0" borderId="3" xfId="1" applyNumberFormat="1" applyFont="1" applyBorder="1" applyAlignment="1">
      <alignment horizontal="left" vertical="center"/>
    </xf>
    <xf numFmtId="49" fontId="4" fillId="0" borderId="0" xfId="0" applyNumberFormat="1" applyFont="1" applyAlignment="1">
      <alignment vertical="center"/>
    </xf>
    <xf numFmtId="49" fontId="8" fillId="0" borderId="0" xfId="0" applyNumberFormat="1" applyFont="1" applyAlignment="1">
      <alignment vertical="center"/>
    </xf>
    <xf numFmtId="49" fontId="9" fillId="0" borderId="0" xfId="0" applyNumberFormat="1" applyFont="1" applyAlignment="1">
      <alignment vertical="center"/>
    </xf>
    <xf numFmtId="49" fontId="4" fillId="0" borderId="0" xfId="0" applyNumberFormat="1" applyFont="1" applyAlignment="1">
      <alignment horizontal="right" vertical="center"/>
    </xf>
    <xf numFmtId="0" fontId="9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/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12" xfId="0" applyFont="1" applyBorder="1"/>
    <xf numFmtId="0" fontId="4" fillId="0" borderId="4" xfId="0" applyFont="1" applyBorder="1"/>
    <xf numFmtId="0" fontId="4" fillId="0" borderId="13" xfId="0" applyFont="1" applyBorder="1"/>
    <xf numFmtId="0" fontId="4" fillId="0" borderId="8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13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4" fillId="0" borderId="0" xfId="0" applyFont="1" applyAlignment="1">
      <alignment horizontal="right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4" fillId="0" borderId="9" xfId="0" quotePrefix="1" applyFont="1" applyBorder="1" applyAlignment="1">
      <alignment vertical="center"/>
    </xf>
    <xf numFmtId="0" fontId="4" fillId="0" borderId="7" xfId="0" quotePrefix="1" applyFont="1" applyBorder="1" applyAlignment="1">
      <alignment vertical="center"/>
    </xf>
    <xf numFmtId="0" fontId="4" fillId="0" borderId="12" xfId="0" quotePrefix="1" applyFont="1" applyBorder="1" applyAlignment="1">
      <alignment vertical="center"/>
    </xf>
    <xf numFmtId="0" fontId="4" fillId="0" borderId="4" xfId="0" applyFont="1" applyBorder="1" applyAlignment="1">
      <alignment horizontal="right" vertical="center"/>
    </xf>
    <xf numFmtId="176" fontId="4" fillId="0" borderId="10" xfId="3" applyFont="1" applyBorder="1" applyAlignment="1">
      <alignment vertical="center"/>
    </xf>
    <xf numFmtId="176" fontId="4" fillId="0" borderId="0" xfId="3" applyFont="1" applyBorder="1" applyAlignment="1">
      <alignment vertical="center"/>
    </xf>
    <xf numFmtId="176" fontId="4" fillId="0" borderId="4" xfId="3" applyFont="1" applyBorder="1" applyAlignment="1">
      <alignment vertical="center"/>
    </xf>
    <xf numFmtId="1" fontId="8" fillId="0" borderId="4" xfId="1" applyNumberFormat="1" applyFont="1" applyBorder="1" applyAlignment="1">
      <alignment vertical="center"/>
    </xf>
    <xf numFmtId="1" fontId="8" fillId="0" borderId="4" xfId="1" applyNumberFormat="1" applyFont="1" applyBorder="1" applyAlignment="1">
      <alignment horizontal="right" vertical="center"/>
    </xf>
    <xf numFmtId="1" fontId="2" fillId="0" borderId="0" xfId="1" applyNumberFormat="1" applyFont="1" applyAlignment="1">
      <alignment horizontal="left" vertical="center"/>
    </xf>
    <xf numFmtId="1" fontId="13" fillId="0" borderId="5" xfId="1" applyNumberFormat="1" applyFont="1" applyBorder="1" applyAlignment="1">
      <alignment horizontal="centerContinuous" vertical="center"/>
    </xf>
    <xf numFmtId="1" fontId="13" fillId="0" borderId="16" xfId="1" applyNumberFormat="1" applyFont="1" applyBorder="1" applyAlignment="1">
      <alignment horizontal="centerContinuous" vertical="center"/>
    </xf>
    <xf numFmtId="0" fontId="13" fillId="0" borderId="14" xfId="1" applyFont="1" applyBorder="1" applyAlignment="1">
      <alignment vertical="center"/>
    </xf>
    <xf numFmtId="0" fontId="13" fillId="0" borderId="5" xfId="1" applyFont="1" applyBorder="1" applyAlignment="1">
      <alignment vertical="center"/>
    </xf>
    <xf numFmtId="0" fontId="13" fillId="0" borderId="16" xfId="1" applyFont="1" applyBorder="1" applyAlignment="1">
      <alignment vertical="center"/>
    </xf>
    <xf numFmtId="1" fontId="13" fillId="0" borderId="14" xfId="1" applyNumberFormat="1" applyFont="1" applyBorder="1" applyAlignment="1">
      <alignment horizontal="centerContinuous" vertical="center"/>
    </xf>
    <xf numFmtId="1" fontId="13" fillId="0" borderId="14" xfId="1" applyNumberFormat="1" applyFont="1" applyBorder="1" applyAlignment="1">
      <alignment vertical="center"/>
    </xf>
    <xf numFmtId="1" fontId="13" fillId="0" borderId="5" xfId="1" applyNumberFormat="1" applyFont="1" applyBorder="1" applyAlignment="1">
      <alignment vertical="center"/>
    </xf>
    <xf numFmtId="1" fontId="13" fillId="0" borderId="16" xfId="1" applyNumberFormat="1" applyFont="1" applyBorder="1" applyAlignment="1">
      <alignment vertical="center"/>
    </xf>
    <xf numFmtId="1" fontId="3" fillId="0" borderId="0" xfId="1" applyNumberFormat="1" applyFont="1" applyAlignment="1">
      <alignment horizontal="left" vertical="center"/>
    </xf>
    <xf numFmtId="14" fontId="13" fillId="0" borderId="14" xfId="1" applyNumberFormat="1" applyFont="1" applyBorder="1" applyAlignment="1">
      <alignment horizontal="centerContinuous" vertical="center"/>
    </xf>
    <xf numFmtId="14" fontId="13" fillId="0" borderId="5" xfId="1" applyNumberFormat="1" applyFont="1" applyBorder="1" applyAlignment="1">
      <alignment horizontal="centerContinuous" vertical="center"/>
    </xf>
    <xf numFmtId="14" fontId="13" fillId="0" borderId="16" xfId="1" applyNumberFormat="1" applyFont="1" applyBorder="1" applyAlignment="1">
      <alignment horizontal="centerContinuous" vertical="center"/>
    </xf>
    <xf numFmtId="1" fontId="13" fillId="0" borderId="22" xfId="1" applyNumberFormat="1" applyFont="1" applyBorder="1" applyAlignment="1">
      <alignment vertical="center"/>
    </xf>
    <xf numFmtId="1" fontId="13" fillId="0" borderId="17" xfId="1" applyNumberFormat="1" applyFont="1" applyBorder="1" applyAlignment="1">
      <alignment horizontal="centerContinuous" vertical="center"/>
    </xf>
    <xf numFmtId="1" fontId="13" fillId="0" borderId="18" xfId="1" applyNumberFormat="1" applyFont="1" applyBorder="1" applyAlignment="1">
      <alignment horizontal="centerContinuous" vertical="center"/>
    </xf>
    <xf numFmtId="1" fontId="13" fillId="0" borderId="19" xfId="1" applyNumberFormat="1" applyFont="1" applyBorder="1" applyAlignment="1">
      <alignment horizontal="centerContinuous" vertical="center"/>
    </xf>
    <xf numFmtId="1" fontId="13" fillId="0" borderId="20" xfId="1" applyNumberFormat="1" applyFont="1" applyBorder="1" applyAlignment="1">
      <alignment vertical="center"/>
    </xf>
    <xf numFmtId="1" fontId="13" fillId="0" borderId="18" xfId="1" applyNumberFormat="1" applyFont="1" applyBorder="1" applyAlignment="1">
      <alignment vertical="center"/>
    </xf>
    <xf numFmtId="1" fontId="13" fillId="0" borderId="21" xfId="1" applyNumberFormat="1" applyFont="1" applyBorder="1" applyAlignment="1">
      <alignment vertical="center"/>
    </xf>
    <xf numFmtId="0" fontId="4" fillId="0" borderId="0" xfId="0" quotePrefix="1" applyFont="1" applyAlignment="1">
      <alignment vertical="center"/>
    </xf>
    <xf numFmtId="49" fontId="4" fillId="0" borderId="14" xfId="2" applyNumberFormat="1" applyFont="1" applyBorder="1"/>
    <xf numFmtId="49" fontId="4" fillId="0" borderId="5" xfId="2" applyNumberFormat="1" applyFont="1" applyBorder="1"/>
    <xf numFmtId="49" fontId="4" fillId="0" borderId="16" xfId="2" applyNumberFormat="1" applyFont="1" applyBorder="1"/>
    <xf numFmtId="49" fontId="4" fillId="0" borderId="0" xfId="2" applyNumberFormat="1" applyFont="1"/>
    <xf numFmtId="1" fontId="13" fillId="0" borderId="0" xfId="1" applyNumberFormat="1" applyFont="1" applyAlignment="1">
      <alignment horizontal="left" vertical="center"/>
    </xf>
    <xf numFmtId="1" fontId="13" fillId="0" borderId="0" xfId="1" applyNumberFormat="1" applyFont="1" applyAlignment="1">
      <alignment horizontal="center" vertical="center"/>
    </xf>
    <xf numFmtId="1" fontId="13" fillId="0" borderId="27" xfId="1" applyNumberFormat="1" applyFont="1" applyBorder="1" applyAlignment="1">
      <alignment horizontal="left" vertical="center"/>
    </xf>
    <xf numFmtId="1" fontId="13" fillId="0" borderId="28" xfId="1" applyNumberFormat="1" applyFont="1" applyBorder="1" applyAlignment="1">
      <alignment horizontal="left" vertical="center"/>
    </xf>
    <xf numFmtId="1" fontId="13" fillId="0" borderId="29" xfId="1" applyNumberFormat="1" applyFont="1" applyBorder="1" applyAlignment="1">
      <alignment horizontal="left" vertical="center"/>
    </xf>
    <xf numFmtId="1" fontId="9" fillId="0" borderId="0" xfId="1" applyNumberFormat="1" applyFont="1" applyAlignment="1">
      <alignment horizontal="left" vertical="center"/>
    </xf>
    <xf numFmtId="1" fontId="2" fillId="0" borderId="33" xfId="1" applyNumberFormat="1" applyFont="1" applyBorder="1" applyAlignment="1">
      <alignment horizontal="left" vertical="center"/>
    </xf>
    <xf numFmtId="1" fontId="2" fillId="0" borderId="10" xfId="1" applyNumberFormat="1" applyFont="1" applyBorder="1" applyAlignment="1">
      <alignment horizontal="left" vertical="center"/>
    </xf>
    <xf numFmtId="1" fontId="2" fillId="0" borderId="34" xfId="1" applyNumberFormat="1" applyFont="1" applyBorder="1" applyAlignment="1">
      <alignment horizontal="left" vertical="center"/>
    </xf>
    <xf numFmtId="1" fontId="2" fillId="0" borderId="35" xfId="1" applyNumberFormat="1" applyFont="1" applyBorder="1" applyAlignment="1">
      <alignment horizontal="left" vertical="center"/>
    </xf>
    <xf numFmtId="1" fontId="2" fillId="0" borderId="36" xfId="1" applyNumberFormat="1" applyFont="1" applyBorder="1" applyAlignment="1">
      <alignment horizontal="left" vertical="center"/>
    </xf>
    <xf numFmtId="1" fontId="13" fillId="0" borderId="2" xfId="1" applyNumberFormat="1" applyFont="1" applyBorder="1" applyAlignment="1">
      <alignment horizontal="left" vertical="center"/>
    </xf>
    <xf numFmtId="1" fontId="13" fillId="0" borderId="2" xfId="1" applyNumberFormat="1" applyFont="1" applyBorder="1" applyAlignment="1">
      <alignment horizontal="center" vertical="center"/>
    </xf>
    <xf numFmtId="1" fontId="13" fillId="0" borderId="31" xfId="1" applyNumberFormat="1" applyFont="1" applyBorder="1" applyAlignment="1">
      <alignment horizontal="left" vertical="center"/>
    </xf>
    <xf numFmtId="1" fontId="13" fillId="0" borderId="31" xfId="1" applyNumberFormat="1" applyFont="1" applyBorder="1" applyAlignment="1">
      <alignment horizontal="center" vertical="center"/>
    </xf>
    <xf numFmtId="1" fontId="13" fillId="0" borderId="32" xfId="1" applyNumberFormat="1" applyFont="1" applyBorder="1" applyAlignment="1">
      <alignment horizontal="left" vertical="center"/>
    </xf>
    <xf numFmtId="1" fontId="9" fillId="0" borderId="2" xfId="1" applyNumberFormat="1" applyFont="1" applyBorder="1" applyAlignment="1">
      <alignment horizontal="left" vertical="center"/>
    </xf>
    <xf numFmtId="1" fontId="13" fillId="0" borderId="40" xfId="1" applyNumberFormat="1" applyFont="1" applyBorder="1" applyAlignment="1">
      <alignment horizontal="left" vertical="center"/>
    </xf>
    <xf numFmtId="1" fontId="13" fillId="0" borderId="30" xfId="1" applyNumberFormat="1" applyFont="1" applyBorder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49" fontId="9" fillId="0" borderId="0" xfId="0" applyNumberFormat="1" applyFont="1" applyAlignment="1">
      <alignment horizontal="left" vertical="center"/>
    </xf>
    <xf numFmtId="0" fontId="0" fillId="0" borderId="0" xfId="0" applyAlignment="1">
      <alignment horizontal="left"/>
    </xf>
    <xf numFmtId="0" fontId="9" fillId="0" borderId="0" xfId="0" applyFont="1" applyAlignment="1">
      <alignment horizontal="left"/>
    </xf>
    <xf numFmtId="1" fontId="3" fillId="0" borderId="28" xfId="1" applyNumberFormat="1" applyFont="1" applyBorder="1" applyAlignment="1">
      <alignment horizontal="left" vertical="center"/>
    </xf>
    <xf numFmtId="1" fontId="2" fillId="0" borderId="28" xfId="1" applyNumberFormat="1" applyFont="1" applyBorder="1" applyAlignment="1">
      <alignment horizontal="left" vertical="center"/>
    </xf>
    <xf numFmtId="1" fontId="3" fillId="0" borderId="28" xfId="1" applyNumberFormat="1" applyFont="1" applyBorder="1" applyAlignment="1">
      <alignment vertical="center"/>
    </xf>
    <xf numFmtId="1" fontId="3" fillId="0" borderId="28" xfId="1" applyNumberFormat="1" applyFont="1" applyBorder="1" applyAlignment="1">
      <alignment horizontal="center" vertical="center"/>
    </xf>
    <xf numFmtId="1" fontId="3" fillId="0" borderId="8" xfId="1" applyNumberFormat="1" applyFont="1" applyBorder="1" applyAlignment="1">
      <alignment horizontal="left" vertical="center"/>
    </xf>
    <xf numFmtId="1" fontId="3" fillId="0" borderId="0" xfId="1" applyNumberFormat="1" applyFont="1" applyAlignment="1">
      <alignment horizontal="center" vertical="center"/>
    </xf>
    <xf numFmtId="1" fontId="3" fillId="0" borderId="0" xfId="1" applyNumberFormat="1" applyFont="1" applyAlignment="1">
      <alignment vertical="center"/>
    </xf>
    <xf numFmtId="3" fontId="3" fillId="0" borderId="0" xfId="1" applyNumberFormat="1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quotePrefix="1" applyFont="1" applyAlignment="1">
      <alignment horizontal="left" vertical="center"/>
    </xf>
    <xf numFmtId="3" fontId="3" fillId="0" borderId="8" xfId="1" applyNumberFormat="1" applyFont="1" applyBorder="1" applyAlignment="1">
      <alignment horizontal="right" vertical="center"/>
    </xf>
    <xf numFmtId="1" fontId="16" fillId="0" borderId="0" xfId="1" applyNumberFormat="1" applyFont="1" applyAlignment="1">
      <alignment horizontal="center" vertical="center"/>
    </xf>
    <xf numFmtId="1" fontId="16" fillId="0" borderId="0" xfId="1" applyNumberFormat="1" applyFont="1" applyAlignment="1">
      <alignment horizontal="centerContinuous" vertical="center"/>
    </xf>
    <xf numFmtId="1" fontId="3" fillId="0" borderId="0" xfId="1" applyNumberFormat="1" applyFont="1" applyAlignment="1">
      <alignment horizontal="centerContinuous" vertical="center"/>
    </xf>
    <xf numFmtId="1" fontId="2" fillId="0" borderId="8" xfId="1" applyNumberFormat="1" applyFont="1" applyBorder="1" applyAlignment="1">
      <alignment horizontal="left" vertical="center"/>
    </xf>
    <xf numFmtId="1" fontId="2" fillId="0" borderId="0" xfId="1" applyNumberFormat="1" applyFont="1" applyAlignment="1">
      <alignment horizontal="centerContinuous" vertical="center"/>
    </xf>
    <xf numFmtId="1" fontId="3" fillId="0" borderId="0" xfId="1" quotePrefix="1" applyNumberFormat="1" applyFont="1" applyAlignment="1">
      <alignment horizontal="left" vertical="center"/>
    </xf>
    <xf numFmtId="1" fontId="3" fillId="0" borderId="28" xfId="1" quotePrefix="1" applyNumberFormat="1" applyFont="1" applyBorder="1" applyAlignment="1">
      <alignment horizontal="left" vertical="center"/>
    </xf>
    <xf numFmtId="1" fontId="3" fillId="0" borderId="4" xfId="1" applyNumberFormat="1" applyFont="1" applyBorder="1" applyAlignment="1">
      <alignment horizontal="left" vertical="center"/>
    </xf>
    <xf numFmtId="3" fontId="3" fillId="0" borderId="4" xfId="1" applyNumberFormat="1" applyFont="1" applyBorder="1" applyAlignment="1">
      <alignment horizontal="right" vertical="center"/>
    </xf>
    <xf numFmtId="3" fontId="3" fillId="0" borderId="0" xfId="1" applyNumberFormat="1" applyFont="1" applyAlignment="1">
      <alignment horizontal="left" vertical="center"/>
    </xf>
    <xf numFmtId="1" fontId="3" fillId="0" borderId="0" xfId="1" applyNumberFormat="1" applyFont="1" applyAlignment="1">
      <alignment horizontal="right" vertical="center"/>
    </xf>
    <xf numFmtId="1" fontId="3" fillId="0" borderId="49" xfId="1" applyNumberFormat="1" applyFont="1" applyBorder="1" applyAlignment="1">
      <alignment horizontal="left" vertical="center"/>
    </xf>
    <xf numFmtId="1" fontId="3" fillId="0" borderId="7" xfId="1" applyNumberFormat="1" applyFont="1" applyBorder="1" applyAlignment="1">
      <alignment horizontal="left" vertical="center"/>
    </xf>
    <xf numFmtId="1" fontId="2" fillId="0" borderId="7" xfId="1" applyNumberFormat="1" applyFont="1" applyBorder="1" applyAlignment="1">
      <alignment horizontal="left" vertical="center"/>
    </xf>
    <xf numFmtId="3" fontId="3" fillId="0" borderId="7" xfId="1" applyNumberFormat="1" applyFont="1" applyBorder="1" applyAlignment="1">
      <alignment horizontal="right" vertical="center"/>
    </xf>
    <xf numFmtId="1" fontId="13" fillId="0" borderId="7" xfId="1" applyNumberFormat="1" applyFont="1" applyBorder="1" applyAlignment="1">
      <alignment horizontal="center" vertical="center"/>
    </xf>
    <xf numFmtId="1" fontId="9" fillId="0" borderId="7" xfId="1" applyNumberFormat="1" applyFont="1" applyBorder="1" applyAlignment="1">
      <alignment horizontal="left" vertical="center"/>
    </xf>
    <xf numFmtId="1" fontId="13" fillId="0" borderId="7" xfId="1" applyNumberFormat="1" applyFont="1" applyBorder="1" applyAlignment="1">
      <alignment horizontal="left" vertical="center"/>
    </xf>
    <xf numFmtId="1" fontId="13" fillId="0" borderId="50" xfId="1" applyNumberFormat="1" applyFont="1" applyBorder="1" applyAlignment="1">
      <alignment horizontal="left" vertical="center"/>
    </xf>
    <xf numFmtId="1" fontId="3" fillId="0" borderId="10" xfId="1" applyNumberFormat="1" applyFont="1" applyBorder="1" applyAlignment="1">
      <alignment horizontal="left" vertical="center"/>
    </xf>
    <xf numFmtId="1" fontId="3" fillId="0" borderId="10" xfId="1" applyNumberFormat="1" applyFont="1" applyBorder="1" applyAlignment="1">
      <alignment vertical="center"/>
    </xf>
    <xf numFmtId="3" fontId="3" fillId="0" borderId="10" xfId="1" applyNumberFormat="1" applyFont="1" applyBorder="1" applyAlignment="1">
      <alignment horizontal="right" vertical="center"/>
    </xf>
    <xf numFmtId="3" fontId="3" fillId="0" borderId="11" xfId="1" applyNumberFormat="1" applyFont="1" applyBorder="1" applyAlignment="1">
      <alignment horizontal="right" vertical="center"/>
    </xf>
    <xf numFmtId="1" fontId="3" fillId="0" borderId="12" xfId="1" applyNumberFormat="1" applyFont="1" applyBorder="1" applyAlignment="1">
      <alignment horizontal="left" vertical="center"/>
    </xf>
    <xf numFmtId="3" fontId="3" fillId="0" borderId="13" xfId="1" applyNumberFormat="1" applyFont="1" applyBorder="1" applyAlignment="1">
      <alignment horizontal="right" vertical="center"/>
    </xf>
    <xf numFmtId="3" fontId="3" fillId="0" borderId="12" xfId="1" applyNumberFormat="1" applyFont="1" applyBorder="1" applyAlignment="1">
      <alignment horizontal="right" vertical="center"/>
    </xf>
    <xf numFmtId="1" fontId="3" fillId="0" borderId="9" xfId="1" applyNumberFormat="1" applyFont="1" applyBorder="1" applyAlignment="1">
      <alignment horizontal="left" vertical="center"/>
    </xf>
    <xf numFmtId="1" fontId="17" fillId="0" borderId="7" xfId="1" applyNumberFormat="1" applyFont="1" applyBorder="1" applyAlignment="1">
      <alignment horizontal="left" vertical="center"/>
    </xf>
    <xf numFmtId="1" fontId="3" fillId="0" borderId="10" xfId="1" applyNumberFormat="1" applyFont="1" applyBorder="1" applyAlignment="1">
      <alignment horizontal="center" vertical="center"/>
    </xf>
    <xf numFmtId="1" fontId="3" fillId="0" borderId="12" xfId="1" applyNumberFormat="1" applyFont="1" applyBorder="1" applyAlignment="1">
      <alignment horizontal="center" vertical="center"/>
    </xf>
    <xf numFmtId="1" fontId="3" fillId="0" borderId="4" xfId="1" applyNumberFormat="1" applyFont="1" applyBorder="1" applyAlignment="1">
      <alignment horizontal="center" vertical="center"/>
    </xf>
    <xf numFmtId="1" fontId="3" fillId="0" borderId="13" xfId="1" applyNumberFormat="1" applyFont="1" applyBorder="1" applyAlignment="1">
      <alignment horizontal="center" vertical="center"/>
    </xf>
    <xf numFmtId="1" fontId="3" fillId="0" borderId="7" xfId="1" applyNumberFormat="1" applyFont="1" applyBorder="1" applyAlignment="1">
      <alignment horizontal="center" vertical="center"/>
    </xf>
    <xf numFmtId="1" fontId="3" fillId="0" borderId="8" xfId="1" applyNumberFormat="1" applyFont="1" applyBorder="1" applyAlignment="1">
      <alignment horizontal="center" vertical="center"/>
    </xf>
    <xf numFmtId="1" fontId="3" fillId="0" borderId="33" xfId="1" applyNumberFormat="1" applyFont="1" applyBorder="1" applyAlignment="1">
      <alignment horizontal="left" vertical="center"/>
    </xf>
    <xf numFmtId="1" fontId="3" fillId="0" borderId="33" xfId="1" applyNumberFormat="1" applyFont="1" applyBorder="1" applyAlignment="1">
      <alignment horizontal="center" vertical="center"/>
    </xf>
    <xf numFmtId="3" fontId="3" fillId="0" borderId="33" xfId="1" applyNumberFormat="1" applyFont="1" applyBorder="1" applyAlignment="1">
      <alignment horizontal="right" vertical="center"/>
    </xf>
    <xf numFmtId="1" fontId="3" fillId="0" borderId="52" xfId="1" applyNumberFormat="1" applyFont="1" applyBorder="1" applyAlignment="1">
      <alignment horizontal="center" vertical="center"/>
    </xf>
    <xf numFmtId="1" fontId="3" fillId="0" borderId="51" xfId="1" applyNumberFormat="1" applyFont="1" applyBorder="1" applyAlignment="1">
      <alignment horizontal="left" vertical="center"/>
    </xf>
    <xf numFmtId="1" fontId="3" fillId="0" borderId="51" xfId="1" applyNumberFormat="1" applyFont="1" applyBorder="1" applyAlignment="1">
      <alignment horizontal="center" vertical="center"/>
    </xf>
    <xf numFmtId="3" fontId="3" fillId="0" borderId="52" xfId="1" applyNumberFormat="1" applyFont="1" applyBorder="1" applyAlignment="1">
      <alignment horizontal="right" vertical="center"/>
    </xf>
    <xf numFmtId="3" fontId="3" fillId="0" borderId="51" xfId="1" applyNumberFormat="1" applyFont="1" applyBorder="1" applyAlignment="1">
      <alignment horizontal="right" vertical="center"/>
    </xf>
    <xf numFmtId="1" fontId="13" fillId="0" borderId="12" xfId="1" applyNumberFormat="1" applyFont="1" applyBorder="1" applyAlignment="1">
      <alignment horizontal="left" vertical="center"/>
    </xf>
    <xf numFmtId="1" fontId="13" fillId="0" borderId="4" xfId="1" applyNumberFormat="1" applyFont="1" applyBorder="1" applyAlignment="1">
      <alignment horizontal="left" vertical="center"/>
    </xf>
    <xf numFmtId="3" fontId="3" fillId="0" borderId="28" xfId="1" applyNumberFormat="1" applyFont="1" applyBorder="1" applyAlignment="1">
      <alignment horizontal="right" vertical="center"/>
    </xf>
    <xf numFmtId="1" fontId="3" fillId="0" borderId="49" xfId="1" applyNumberFormat="1" applyFont="1" applyBorder="1" applyAlignment="1">
      <alignment horizontal="center" vertical="center"/>
    </xf>
    <xf numFmtId="3" fontId="3" fillId="0" borderId="45" xfId="1" applyNumberFormat="1" applyFont="1" applyBorder="1" applyAlignment="1">
      <alignment horizontal="right" vertical="center"/>
    </xf>
    <xf numFmtId="3" fontId="3" fillId="0" borderId="49" xfId="1" applyNumberFormat="1" applyFont="1" applyBorder="1" applyAlignment="1">
      <alignment horizontal="right" vertical="center"/>
    </xf>
    <xf numFmtId="1" fontId="17" fillId="0" borderId="0" xfId="1" applyNumberFormat="1" applyFont="1" applyAlignment="1">
      <alignment horizontal="left" vertical="center"/>
    </xf>
    <xf numFmtId="1" fontId="13" fillId="0" borderId="9" xfId="1" applyNumberFormat="1" applyFont="1" applyBorder="1" applyAlignment="1">
      <alignment horizontal="left" vertical="center"/>
    </xf>
    <xf numFmtId="1" fontId="13" fillId="0" borderId="10" xfId="1" applyNumberFormat="1" applyFont="1" applyBorder="1" applyAlignment="1">
      <alignment horizontal="left" vertical="center"/>
    </xf>
    <xf numFmtId="3" fontId="3" fillId="0" borderId="10" xfId="1" applyNumberFormat="1" applyFont="1" applyBorder="1" applyAlignment="1">
      <alignment horizontal="left" vertical="center"/>
    </xf>
    <xf numFmtId="1" fontId="9" fillId="0" borderId="8" xfId="1" applyNumberFormat="1" applyFont="1" applyBorder="1" applyAlignment="1">
      <alignment horizontal="left" vertical="center"/>
    </xf>
    <xf numFmtId="1" fontId="13" fillId="0" borderId="8" xfId="1" applyNumberFormat="1" applyFont="1" applyBorder="1" applyAlignment="1">
      <alignment horizontal="left" vertical="center"/>
    </xf>
    <xf numFmtId="1" fontId="13" fillId="0" borderId="8" xfId="1" applyNumberFormat="1" applyFont="1" applyBorder="1" applyAlignment="1">
      <alignment horizontal="center" vertical="center"/>
    </xf>
    <xf numFmtId="1" fontId="3" fillId="0" borderId="49" xfId="1" applyNumberFormat="1" applyFont="1" applyBorder="1" applyAlignment="1">
      <alignment vertical="center"/>
    </xf>
    <xf numFmtId="1" fontId="3" fillId="0" borderId="7" xfId="1" applyNumberFormat="1" applyFont="1" applyBorder="1" applyAlignment="1">
      <alignment vertical="center"/>
    </xf>
    <xf numFmtId="1" fontId="2" fillId="0" borderId="31" xfId="1" applyNumberFormat="1" applyFont="1" applyBorder="1" applyAlignment="1">
      <alignment horizontal="left" vertical="center"/>
    </xf>
    <xf numFmtId="1" fontId="2" fillId="0" borderId="50" xfId="1" applyNumberFormat="1" applyFont="1" applyBorder="1" applyAlignment="1">
      <alignment horizontal="left" vertical="center"/>
    </xf>
    <xf numFmtId="1" fontId="2" fillId="0" borderId="32" xfId="1" applyNumberFormat="1" applyFont="1" applyBorder="1" applyAlignment="1">
      <alignment horizontal="left" vertical="center"/>
    </xf>
    <xf numFmtId="1" fontId="3" fillId="0" borderId="7" xfId="1" quotePrefix="1" applyNumberFormat="1" applyFont="1" applyBorder="1" applyAlignment="1">
      <alignment horizontal="left" vertical="center"/>
    </xf>
    <xf numFmtId="1" fontId="18" fillId="2" borderId="0" xfId="1" applyNumberFormat="1" applyFont="1" applyFill="1" applyAlignment="1">
      <alignment horizontal="left" vertical="center"/>
    </xf>
    <xf numFmtId="38" fontId="3" fillId="0" borderId="0" xfId="5" applyFont="1" applyBorder="1" applyAlignment="1">
      <alignment horizontal="center" vertical="center"/>
    </xf>
    <xf numFmtId="38" fontId="3" fillId="0" borderId="7" xfId="5" applyFont="1" applyBorder="1" applyAlignment="1">
      <alignment horizontal="center" vertical="center"/>
    </xf>
    <xf numFmtId="38" fontId="3" fillId="0" borderId="8" xfId="5" applyFont="1" applyBorder="1" applyAlignment="1">
      <alignment horizontal="right" vertical="center"/>
    </xf>
    <xf numFmtId="38" fontId="3" fillId="0" borderId="7" xfId="5" applyFont="1" applyBorder="1" applyAlignment="1">
      <alignment horizontal="left" vertical="center"/>
    </xf>
    <xf numFmtId="38" fontId="3" fillId="0" borderId="8" xfId="5" applyFont="1" applyBorder="1" applyAlignment="1">
      <alignment horizontal="center" vertical="center"/>
    </xf>
    <xf numFmtId="38" fontId="3" fillId="0" borderId="28" xfId="5" applyFont="1" applyBorder="1" applyAlignment="1">
      <alignment horizontal="center" vertical="center"/>
    </xf>
    <xf numFmtId="38" fontId="3" fillId="0" borderId="49" xfId="5" applyFont="1" applyBorder="1" applyAlignment="1">
      <alignment horizontal="center" vertical="center"/>
    </xf>
    <xf numFmtId="38" fontId="3" fillId="0" borderId="45" xfId="5" applyFont="1" applyBorder="1" applyAlignment="1">
      <alignment horizontal="right" vertical="center"/>
    </xf>
    <xf numFmtId="38" fontId="3" fillId="0" borderId="49" xfId="5" applyFont="1" applyBorder="1" applyAlignment="1">
      <alignment horizontal="left" vertical="center"/>
    </xf>
    <xf numFmtId="38" fontId="3" fillId="0" borderId="49" xfId="5" applyFont="1" applyBorder="1" applyAlignment="1">
      <alignment horizontal="right" vertical="center"/>
    </xf>
    <xf numFmtId="38" fontId="3" fillId="0" borderId="33" xfId="5" applyFont="1" applyBorder="1" applyAlignment="1">
      <alignment horizontal="center" vertical="center"/>
    </xf>
    <xf numFmtId="38" fontId="3" fillId="0" borderId="51" xfId="5" applyFont="1" applyBorder="1" applyAlignment="1">
      <alignment horizontal="center" vertical="center"/>
    </xf>
    <xf numFmtId="38" fontId="3" fillId="0" borderId="52" xfId="5" applyFont="1" applyBorder="1" applyAlignment="1">
      <alignment horizontal="right" vertical="center"/>
    </xf>
    <xf numFmtId="38" fontId="3" fillId="0" borderId="51" xfId="5" applyFont="1" applyBorder="1" applyAlignment="1">
      <alignment horizontal="left" vertical="center"/>
    </xf>
    <xf numFmtId="38" fontId="3" fillId="0" borderId="51" xfId="5" applyFont="1" applyBorder="1" applyAlignment="1">
      <alignment horizontal="right" vertical="center"/>
    </xf>
    <xf numFmtId="38" fontId="3" fillId="0" borderId="7" xfId="5" applyFont="1" applyBorder="1" applyAlignment="1">
      <alignment horizontal="right" vertical="center"/>
    </xf>
    <xf numFmtId="38" fontId="3" fillId="0" borderId="4" xfId="5" applyFont="1" applyBorder="1" applyAlignment="1">
      <alignment horizontal="center" vertical="center"/>
    </xf>
    <xf numFmtId="38" fontId="3" fillId="0" borderId="12" xfId="5" applyFont="1" applyBorder="1" applyAlignment="1">
      <alignment horizontal="center" vertical="center"/>
    </xf>
    <xf numFmtId="38" fontId="3" fillId="0" borderId="13" xfId="5" applyFont="1" applyBorder="1" applyAlignment="1">
      <alignment horizontal="right" vertical="center"/>
    </xf>
    <xf numFmtId="38" fontId="3" fillId="0" borderId="12" xfId="5" applyFont="1" applyBorder="1" applyAlignment="1">
      <alignment horizontal="left" vertical="center"/>
    </xf>
    <xf numFmtId="38" fontId="3" fillId="0" borderId="12" xfId="5" applyFont="1" applyBorder="1" applyAlignment="1">
      <alignment horizontal="right" vertical="center"/>
    </xf>
    <xf numFmtId="49" fontId="4" fillId="0" borderId="10" xfId="4" applyNumberFormat="1" applyFont="1" applyBorder="1"/>
    <xf numFmtId="49" fontId="4" fillId="0" borderId="0" xfId="4" applyNumberFormat="1" applyFont="1"/>
    <xf numFmtId="1" fontId="13" fillId="0" borderId="54" xfId="1" applyNumberFormat="1" applyFont="1" applyBorder="1" applyAlignment="1">
      <alignment horizontal="left" vertical="center"/>
    </xf>
    <xf numFmtId="1" fontId="2" fillId="0" borderId="54" xfId="1" applyNumberFormat="1" applyFont="1" applyBorder="1" applyAlignment="1">
      <alignment horizontal="left" vertical="center"/>
    </xf>
    <xf numFmtId="1" fontId="2" fillId="0" borderId="53" xfId="1" applyNumberFormat="1" applyFont="1" applyBorder="1" applyAlignment="1">
      <alignment horizontal="left" vertical="center"/>
    </xf>
    <xf numFmtId="0" fontId="4" fillId="0" borderId="10" xfId="0" applyFont="1" applyBorder="1" applyAlignment="1">
      <alignment horizontal="right" vertical="center"/>
    </xf>
    <xf numFmtId="0" fontId="4" fillId="0" borderId="24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4" fillId="0" borderId="26" xfId="0" applyFont="1" applyBorder="1" applyAlignment="1">
      <alignment horizontal="left" vertical="center"/>
    </xf>
    <xf numFmtId="49" fontId="4" fillId="0" borderId="14" xfId="0" applyNumberFormat="1" applyFont="1" applyBorder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/>
    </xf>
    <xf numFmtId="49" fontId="4" fillId="0" borderId="16" xfId="0" applyNumberFormat="1" applyFont="1" applyBorder="1" applyAlignment="1">
      <alignment horizontal="center" vertical="center"/>
    </xf>
    <xf numFmtId="49" fontId="4" fillId="0" borderId="14" xfId="0" applyNumberFormat="1" applyFont="1" applyBorder="1" applyAlignment="1">
      <alignment horizontal="left" vertical="center"/>
    </xf>
    <xf numFmtId="49" fontId="4" fillId="0" borderId="5" xfId="0" applyNumberFormat="1" applyFont="1" applyBorder="1" applyAlignment="1">
      <alignment horizontal="left" vertical="center"/>
    </xf>
    <xf numFmtId="49" fontId="4" fillId="0" borderId="16" xfId="0" applyNumberFormat="1" applyFont="1" applyBorder="1" applyAlignment="1">
      <alignment horizontal="left" vertical="center"/>
    </xf>
    <xf numFmtId="49" fontId="7" fillId="0" borderId="14" xfId="0" applyNumberFormat="1" applyFont="1" applyBorder="1" applyAlignment="1">
      <alignment horizontal="center" vertical="center"/>
    </xf>
    <xf numFmtId="49" fontId="7" fillId="0" borderId="5" xfId="0" applyNumberFormat="1" applyFont="1" applyBorder="1" applyAlignment="1">
      <alignment horizontal="center" vertical="center"/>
    </xf>
    <xf numFmtId="49" fontId="7" fillId="0" borderId="16" xfId="0" applyNumberFormat="1" applyFont="1" applyBorder="1" applyAlignment="1">
      <alignment horizontal="center" vertical="center"/>
    </xf>
    <xf numFmtId="49" fontId="4" fillId="0" borderId="14" xfId="2" applyNumberFormat="1" applyFont="1" applyBorder="1" applyAlignment="1">
      <alignment horizontal="center"/>
    </xf>
    <xf numFmtId="49" fontId="4" fillId="0" borderId="5" xfId="2" applyNumberFormat="1" applyFont="1" applyBorder="1" applyAlignment="1">
      <alignment horizontal="center"/>
    </xf>
    <xf numFmtId="49" fontId="4" fillId="0" borderId="16" xfId="2" applyNumberFormat="1" applyFont="1" applyBorder="1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4" fillId="0" borderId="1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16" xfId="0" applyFont="1" applyBorder="1" applyAlignment="1">
      <alignment horizontal="left" vertical="center"/>
    </xf>
    <xf numFmtId="1" fontId="3" fillId="0" borderId="9" xfId="1" applyNumberFormat="1" applyFont="1" applyBorder="1" applyAlignment="1">
      <alignment horizontal="center" vertical="center"/>
    </xf>
    <xf numFmtId="1" fontId="3" fillId="0" borderId="10" xfId="1" applyNumberFormat="1" applyFont="1" applyBorder="1" applyAlignment="1">
      <alignment horizontal="center" vertical="center"/>
    </xf>
    <xf numFmtId="1" fontId="3" fillId="0" borderId="11" xfId="1" applyNumberFormat="1" applyFont="1" applyBorder="1" applyAlignment="1">
      <alignment horizontal="center" vertical="center"/>
    </xf>
    <xf numFmtId="1" fontId="3" fillId="0" borderId="7" xfId="1" applyNumberFormat="1" applyFont="1" applyBorder="1" applyAlignment="1">
      <alignment horizontal="center" vertical="center"/>
    </xf>
    <xf numFmtId="1" fontId="3" fillId="0" borderId="0" xfId="1" applyNumberFormat="1" applyFont="1" applyAlignment="1">
      <alignment horizontal="center" vertical="center"/>
    </xf>
    <xf numFmtId="1" fontId="3" fillId="0" borderId="8" xfId="1" applyNumberFormat="1" applyFont="1" applyBorder="1" applyAlignment="1">
      <alignment horizontal="center" vertical="center"/>
    </xf>
    <xf numFmtId="1" fontId="3" fillId="0" borderId="12" xfId="1" applyNumberFormat="1" applyFont="1" applyBorder="1" applyAlignment="1">
      <alignment horizontal="center" vertical="center"/>
    </xf>
    <xf numFmtId="1" fontId="3" fillId="0" borderId="4" xfId="1" applyNumberFormat="1" applyFont="1" applyBorder="1" applyAlignment="1">
      <alignment horizontal="center" vertical="center"/>
    </xf>
    <xf numFmtId="1" fontId="3" fillId="0" borderId="13" xfId="1" applyNumberFormat="1" applyFont="1" applyBorder="1" applyAlignment="1">
      <alignment horizontal="center" vertical="center"/>
    </xf>
    <xf numFmtId="1" fontId="3" fillId="0" borderId="9" xfId="1" applyNumberFormat="1" applyFont="1" applyBorder="1" applyAlignment="1">
      <alignment horizontal="center" vertical="center" wrapText="1"/>
    </xf>
    <xf numFmtId="3" fontId="3" fillId="0" borderId="4" xfId="5" applyNumberFormat="1" applyFont="1" applyBorder="1" applyAlignment="1">
      <alignment horizontal="right" vertical="center"/>
    </xf>
    <xf numFmtId="3" fontId="3" fillId="0" borderId="13" xfId="5" applyNumberFormat="1" applyFont="1" applyBorder="1" applyAlignment="1">
      <alignment horizontal="right" vertical="center"/>
    </xf>
    <xf numFmtId="3" fontId="3" fillId="0" borderId="28" xfId="5" applyNumberFormat="1" applyFont="1" applyBorder="1" applyAlignment="1">
      <alignment horizontal="right" vertical="center"/>
    </xf>
    <xf numFmtId="3" fontId="3" fillId="0" borderId="45" xfId="5" applyNumberFormat="1" applyFont="1" applyBorder="1" applyAlignment="1">
      <alignment horizontal="right" vertical="center"/>
    </xf>
    <xf numFmtId="38" fontId="3" fillId="0" borderId="33" xfId="5" applyFont="1" applyBorder="1" applyAlignment="1">
      <alignment horizontal="right" vertical="center"/>
    </xf>
    <xf numFmtId="38" fontId="3" fillId="0" borderId="28" xfId="5" applyFont="1" applyBorder="1" applyAlignment="1">
      <alignment horizontal="right" vertical="center"/>
    </xf>
    <xf numFmtId="38" fontId="3" fillId="0" borderId="4" xfId="5" applyFont="1" applyBorder="1" applyAlignment="1">
      <alignment horizontal="right" vertical="center"/>
    </xf>
    <xf numFmtId="38" fontId="3" fillId="0" borderId="10" xfId="5" applyFont="1" applyBorder="1" applyAlignment="1">
      <alignment horizontal="right" vertical="center"/>
    </xf>
    <xf numFmtId="38" fontId="3" fillId="0" borderId="11" xfId="5" applyFont="1" applyBorder="1" applyAlignment="1">
      <alignment horizontal="right" vertical="center"/>
    </xf>
    <xf numFmtId="38" fontId="3" fillId="0" borderId="52" xfId="5" applyFont="1" applyBorder="1" applyAlignment="1">
      <alignment horizontal="right" vertical="center"/>
    </xf>
    <xf numFmtId="38" fontId="3" fillId="0" borderId="45" xfId="5" applyFont="1" applyBorder="1" applyAlignment="1">
      <alignment horizontal="right" vertical="center"/>
    </xf>
    <xf numFmtId="40" fontId="3" fillId="0" borderId="4" xfId="5" applyNumberFormat="1" applyFont="1" applyBorder="1" applyAlignment="1">
      <alignment horizontal="right" vertical="center"/>
    </xf>
    <xf numFmtId="177" fontId="3" fillId="0" borderId="28" xfId="5" applyNumberFormat="1" applyFont="1" applyBorder="1" applyAlignment="1">
      <alignment horizontal="right" vertical="center"/>
    </xf>
    <xf numFmtId="177" fontId="3" fillId="0" borderId="10" xfId="5" applyNumberFormat="1" applyFont="1" applyBorder="1" applyAlignment="1">
      <alignment horizontal="right" vertical="center"/>
    </xf>
    <xf numFmtId="38" fontId="3" fillId="0" borderId="33" xfId="5" applyFont="1" applyBorder="1" applyAlignment="1">
      <alignment horizontal="center" vertical="center"/>
    </xf>
    <xf numFmtId="38" fontId="3" fillId="0" borderId="28" xfId="5" applyFont="1" applyBorder="1" applyAlignment="1">
      <alignment horizontal="center" vertical="center"/>
    </xf>
    <xf numFmtId="38" fontId="3" fillId="0" borderId="10" xfId="5" applyFont="1" applyBorder="1" applyAlignment="1">
      <alignment horizontal="center" vertical="center"/>
    </xf>
    <xf numFmtId="38" fontId="3" fillId="0" borderId="4" xfId="5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/>
    </xf>
    <xf numFmtId="0" fontId="4" fillId="0" borderId="9" xfId="0" applyFont="1" applyBorder="1" applyAlignment="1">
      <alignment horizontal="center" vertical="center"/>
    </xf>
    <xf numFmtId="0" fontId="4" fillId="0" borderId="9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/>
    </xf>
    <xf numFmtId="0" fontId="4" fillId="0" borderId="9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176" fontId="4" fillId="0" borderId="9" xfId="3" applyFont="1" applyBorder="1" applyAlignment="1">
      <alignment horizontal="center" vertical="center"/>
    </xf>
    <xf numFmtId="176" fontId="4" fillId="0" borderId="10" xfId="3" applyFont="1" applyBorder="1" applyAlignment="1">
      <alignment horizontal="center" vertical="center"/>
    </xf>
    <xf numFmtId="176" fontId="4" fillId="0" borderId="11" xfId="3" applyFont="1" applyBorder="1" applyAlignment="1">
      <alignment horizontal="center" vertical="center"/>
    </xf>
    <xf numFmtId="176" fontId="4" fillId="0" borderId="7" xfId="3" applyFont="1" applyBorder="1" applyAlignment="1">
      <alignment horizontal="center" vertical="center"/>
    </xf>
    <xf numFmtId="176" fontId="4" fillId="0" borderId="0" xfId="3" applyFont="1" applyBorder="1" applyAlignment="1">
      <alignment horizontal="center" vertical="center"/>
    </xf>
    <xf numFmtId="176" fontId="4" fillId="0" borderId="8" xfId="3" applyFont="1" applyBorder="1" applyAlignment="1">
      <alignment horizontal="center" vertical="center"/>
    </xf>
    <xf numFmtId="176" fontId="4" fillId="0" borderId="12" xfId="3" applyFont="1" applyBorder="1" applyAlignment="1">
      <alignment horizontal="center" vertical="center"/>
    </xf>
    <xf numFmtId="176" fontId="4" fillId="0" borderId="4" xfId="3" applyFont="1" applyBorder="1" applyAlignment="1">
      <alignment horizontal="center" vertical="center"/>
    </xf>
    <xf numFmtId="176" fontId="4" fillId="0" borderId="13" xfId="3" applyFont="1" applyBorder="1" applyAlignment="1">
      <alignment horizontal="center" vertical="center"/>
    </xf>
    <xf numFmtId="0" fontId="4" fillId="0" borderId="12" xfId="0" applyFont="1" applyBorder="1" applyAlignment="1">
      <alignment horizontal="center"/>
    </xf>
    <xf numFmtId="0" fontId="4" fillId="0" borderId="6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horizontal="right" vertical="center"/>
    </xf>
    <xf numFmtId="0" fontId="4" fillId="0" borderId="25" xfId="0" applyFont="1" applyBorder="1" applyAlignment="1">
      <alignment horizontal="right" vertical="center"/>
    </xf>
    <xf numFmtId="0" fontId="4" fillId="0" borderId="26" xfId="0" applyFont="1" applyBorder="1" applyAlignment="1">
      <alignment horizontal="right" vertical="center"/>
    </xf>
    <xf numFmtId="0" fontId="4" fillId="0" borderId="24" xfId="0" quotePrefix="1" applyFont="1" applyBorder="1" applyAlignment="1">
      <alignment horizontal="left" vertical="center" wrapText="1"/>
    </xf>
    <xf numFmtId="0" fontId="4" fillId="0" borderId="25" xfId="0" applyFont="1" applyBorder="1" applyAlignment="1">
      <alignment horizontal="left" vertical="center"/>
    </xf>
    <xf numFmtId="0" fontId="4" fillId="0" borderId="26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 wrapText="1"/>
    </xf>
    <xf numFmtId="0" fontId="4" fillId="0" borderId="25" xfId="0" applyFont="1" applyBorder="1" applyAlignment="1">
      <alignment horizontal="left" vertical="center" wrapText="1"/>
    </xf>
    <xf numFmtId="0" fontId="4" fillId="0" borderId="26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/>
    </xf>
    <xf numFmtId="0" fontId="4" fillId="0" borderId="24" xfId="0" quotePrefix="1" applyFont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right" vertical="center"/>
    </xf>
    <xf numFmtId="0" fontId="4" fillId="0" borderId="44" xfId="0" applyFont="1" applyBorder="1" applyAlignment="1">
      <alignment horizontal="center" vertical="center"/>
    </xf>
    <xf numFmtId="0" fontId="4" fillId="0" borderId="24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4" fillId="0" borderId="26" xfId="0" applyFont="1" applyBorder="1" applyAlignment="1">
      <alignment vertical="center"/>
    </xf>
    <xf numFmtId="0" fontId="4" fillId="0" borderId="37" xfId="0" applyFont="1" applyBorder="1" applyAlignment="1">
      <alignment horizontal="right" vertical="center"/>
    </xf>
    <xf numFmtId="0" fontId="4" fillId="0" borderId="38" xfId="0" applyFont="1" applyBorder="1" applyAlignment="1">
      <alignment horizontal="right" vertical="center"/>
    </xf>
    <xf numFmtId="0" fontId="4" fillId="0" borderId="39" xfId="0" applyFont="1" applyBorder="1" applyAlignment="1">
      <alignment horizontal="right" vertical="center"/>
    </xf>
    <xf numFmtId="0" fontId="4" fillId="0" borderId="7" xfId="0" applyFont="1" applyBorder="1" applyAlignment="1">
      <alignment horizontal="left" vertical="center" wrapText="1"/>
    </xf>
    <xf numFmtId="0" fontId="4" fillId="0" borderId="46" xfId="0" applyFont="1" applyBorder="1" applyAlignment="1">
      <alignment vertical="center"/>
    </xf>
    <xf numFmtId="0" fontId="4" fillId="0" borderId="47" xfId="0" applyFont="1" applyBorder="1" applyAlignment="1">
      <alignment vertical="center"/>
    </xf>
    <xf numFmtId="0" fontId="4" fillId="0" borderId="48" xfId="0" applyFont="1" applyBorder="1" applyAlignment="1">
      <alignment vertical="center"/>
    </xf>
    <xf numFmtId="0" fontId="4" fillId="0" borderId="9" xfId="0" applyFont="1" applyBorder="1" applyAlignment="1">
      <alignment horizontal="right" vertical="center"/>
    </xf>
    <xf numFmtId="0" fontId="4" fillId="0" borderId="10" xfId="0" applyFont="1" applyBorder="1" applyAlignment="1">
      <alignment horizontal="right" vertical="center"/>
    </xf>
    <xf numFmtId="0" fontId="4" fillId="0" borderId="11" xfId="0" applyFont="1" applyBorder="1" applyAlignment="1">
      <alignment horizontal="right" vertical="center"/>
    </xf>
    <xf numFmtId="0" fontId="4" fillId="0" borderId="9" xfId="0" applyFont="1" applyBorder="1" applyAlignment="1">
      <alignment horizontal="left" vertical="center"/>
    </xf>
    <xf numFmtId="49" fontId="4" fillId="0" borderId="0" xfId="0" applyNumberFormat="1" applyFont="1" applyAlignment="1">
      <alignment horizontal="left" vertical="center" wrapText="1"/>
    </xf>
    <xf numFmtId="49" fontId="4" fillId="0" borderId="0" xfId="0" applyNumberFormat="1" applyFont="1" applyAlignment="1">
      <alignment horizontal="left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/>
    </xf>
    <xf numFmtId="0" fontId="4" fillId="0" borderId="41" xfId="0" applyFont="1" applyBorder="1" applyAlignment="1">
      <alignment horizontal="right" vertical="center"/>
    </xf>
    <xf numFmtId="0" fontId="4" fillId="0" borderId="42" xfId="0" applyFont="1" applyBorder="1" applyAlignment="1">
      <alignment horizontal="right" vertical="center"/>
    </xf>
    <xf numFmtId="0" fontId="4" fillId="0" borderId="43" xfId="0" applyFont="1" applyBorder="1" applyAlignment="1">
      <alignment horizontal="right" vertical="center"/>
    </xf>
    <xf numFmtId="0" fontId="4" fillId="0" borderId="41" xfId="0" applyFont="1" applyBorder="1" applyAlignment="1">
      <alignment horizontal="left" vertical="center" wrapText="1"/>
    </xf>
    <xf numFmtId="0" fontId="4" fillId="0" borderId="42" xfId="0" applyFont="1" applyBorder="1" applyAlignment="1">
      <alignment horizontal="left" vertical="center" wrapText="1"/>
    </xf>
    <xf numFmtId="0" fontId="4" fillId="0" borderId="43" xfId="0" applyFont="1" applyBorder="1" applyAlignment="1">
      <alignment horizontal="left" vertical="center" wrapText="1"/>
    </xf>
    <xf numFmtId="0" fontId="4" fillId="0" borderId="41" xfId="0" applyFont="1" applyBorder="1" applyAlignment="1">
      <alignment horizontal="left" vertical="center"/>
    </xf>
    <xf numFmtId="0" fontId="4" fillId="0" borderId="42" xfId="0" applyFont="1" applyBorder="1" applyAlignment="1">
      <alignment horizontal="left" vertical="center"/>
    </xf>
    <xf numFmtId="0" fontId="4" fillId="0" borderId="43" xfId="0" applyFont="1" applyBorder="1" applyAlignment="1">
      <alignment horizontal="left" vertical="center"/>
    </xf>
    <xf numFmtId="0" fontId="4" fillId="0" borderId="0" xfId="0" quotePrefix="1" applyFont="1" applyAlignment="1">
      <alignment horizontal="right" vertical="center"/>
    </xf>
    <xf numFmtId="0" fontId="4" fillId="0" borderId="24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</cellXfs>
  <cellStyles count="7">
    <cellStyle name="桁区切り" xfId="5" builtinId="6"/>
    <cellStyle name="通貨" xfId="3" builtinId="7"/>
    <cellStyle name="通貨 2" xfId="6" xr:uid="{3B1DFC44-A9B2-4261-A456-C272B9DA48A1}"/>
    <cellStyle name="標準" xfId="0" builtinId="0"/>
    <cellStyle name="標準 2" xfId="2" xr:uid="{B34FE655-41CA-4C82-B983-5D8136C07A5C}"/>
    <cellStyle name="標準_画面説明書" xfId="4" xr:uid="{B445E181-305D-40DE-8EFD-32CFCFB41EEA}"/>
    <cellStyle name="標準_帳票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242887</xdr:colOff>
      <xdr:row>59</xdr:row>
      <xdr:rowOff>142876</xdr:rowOff>
    </xdr:from>
    <xdr:to>
      <xdr:col>14</xdr:col>
      <xdr:colOff>142875</xdr:colOff>
      <xdr:row>60</xdr:row>
      <xdr:rowOff>280989</xdr:rowOff>
    </xdr:to>
    <xdr:sp macro="" textlink="">
      <xdr:nvSpPr>
        <xdr:cNvPr id="6" name="波線 5">
          <a:extLst>
            <a:ext uri="{FF2B5EF4-FFF2-40B4-BE49-F238E27FC236}">
              <a16:creationId xmlns:a16="http://schemas.microsoft.com/office/drawing/2014/main" id="{2BD714B3-25A2-4770-9A88-8E258939F998}"/>
            </a:ext>
          </a:extLst>
        </xdr:cNvPr>
        <xdr:cNvSpPr/>
      </xdr:nvSpPr>
      <xdr:spPr bwMode="auto">
        <a:xfrm rot="5400000">
          <a:off x="3438525" y="18835688"/>
          <a:ext cx="452438" cy="157163"/>
        </a:xfrm>
        <a:prstGeom prst="wave">
          <a:avLst/>
        </a:prstGeom>
        <a:solidFill>
          <a:schemeClr val="accent5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204787</xdr:colOff>
      <xdr:row>78</xdr:row>
      <xdr:rowOff>9527</xdr:rowOff>
    </xdr:from>
    <xdr:to>
      <xdr:col>13</xdr:col>
      <xdr:colOff>104775</xdr:colOff>
      <xdr:row>79</xdr:row>
      <xdr:rowOff>147640</xdr:rowOff>
    </xdr:to>
    <xdr:sp macro="" textlink="">
      <xdr:nvSpPr>
        <xdr:cNvPr id="7" name="波線 6">
          <a:extLst>
            <a:ext uri="{FF2B5EF4-FFF2-40B4-BE49-F238E27FC236}">
              <a16:creationId xmlns:a16="http://schemas.microsoft.com/office/drawing/2014/main" id="{3DE1CE5F-1A22-4493-8250-BED6094DEED6}"/>
            </a:ext>
          </a:extLst>
        </xdr:cNvPr>
        <xdr:cNvSpPr/>
      </xdr:nvSpPr>
      <xdr:spPr bwMode="auto">
        <a:xfrm rot="5400000">
          <a:off x="3143250" y="24674514"/>
          <a:ext cx="452438" cy="157163"/>
        </a:xfrm>
        <a:prstGeom prst="wave">
          <a:avLst/>
        </a:prstGeom>
        <a:solidFill>
          <a:schemeClr val="accent5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28575</xdr:colOff>
      <xdr:row>100</xdr:row>
      <xdr:rowOff>190501</xdr:rowOff>
    </xdr:from>
    <xdr:to>
      <xdr:col>13</xdr:col>
      <xdr:colOff>185738</xdr:colOff>
      <xdr:row>102</xdr:row>
      <xdr:rowOff>14289</xdr:rowOff>
    </xdr:to>
    <xdr:sp macro="" textlink="">
      <xdr:nvSpPr>
        <xdr:cNvPr id="8" name="波線 7">
          <a:extLst>
            <a:ext uri="{FF2B5EF4-FFF2-40B4-BE49-F238E27FC236}">
              <a16:creationId xmlns:a16="http://schemas.microsoft.com/office/drawing/2014/main" id="{D4BAF215-72A9-4179-A7C5-31C0B400C8D8}"/>
            </a:ext>
          </a:extLst>
        </xdr:cNvPr>
        <xdr:cNvSpPr/>
      </xdr:nvSpPr>
      <xdr:spPr bwMode="auto">
        <a:xfrm rot="5400000">
          <a:off x="3224213" y="31770638"/>
          <a:ext cx="452438" cy="157163"/>
        </a:xfrm>
        <a:prstGeom prst="wave">
          <a:avLst/>
        </a:prstGeom>
        <a:solidFill>
          <a:schemeClr val="accent5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207962</xdr:colOff>
      <xdr:row>41</xdr:row>
      <xdr:rowOff>311153</xdr:rowOff>
    </xdr:from>
    <xdr:to>
      <xdr:col>14</xdr:col>
      <xdr:colOff>104775</xdr:colOff>
      <xdr:row>43</xdr:row>
      <xdr:rowOff>128591</xdr:rowOff>
    </xdr:to>
    <xdr:sp macro="" textlink="">
      <xdr:nvSpPr>
        <xdr:cNvPr id="2" name="波線 1">
          <a:extLst>
            <a:ext uri="{FF2B5EF4-FFF2-40B4-BE49-F238E27FC236}">
              <a16:creationId xmlns:a16="http://schemas.microsoft.com/office/drawing/2014/main" id="{C7CCDB2B-B1EE-4ADA-AA12-7CDC819FD79A}"/>
            </a:ext>
          </a:extLst>
        </xdr:cNvPr>
        <xdr:cNvSpPr/>
      </xdr:nvSpPr>
      <xdr:spPr bwMode="auto">
        <a:xfrm rot="5400000">
          <a:off x="3176587" y="13487403"/>
          <a:ext cx="452438" cy="134938"/>
        </a:xfrm>
        <a:prstGeom prst="wave">
          <a:avLst/>
        </a:prstGeom>
        <a:solidFill>
          <a:schemeClr val="accent5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204787</xdr:colOff>
      <xdr:row>60</xdr:row>
      <xdr:rowOff>9527</xdr:rowOff>
    </xdr:from>
    <xdr:to>
      <xdr:col>13</xdr:col>
      <xdr:colOff>104775</xdr:colOff>
      <xdr:row>61</xdr:row>
      <xdr:rowOff>147640</xdr:rowOff>
    </xdr:to>
    <xdr:sp macro="" textlink="">
      <xdr:nvSpPr>
        <xdr:cNvPr id="3" name="波線 2">
          <a:extLst>
            <a:ext uri="{FF2B5EF4-FFF2-40B4-BE49-F238E27FC236}">
              <a16:creationId xmlns:a16="http://schemas.microsoft.com/office/drawing/2014/main" id="{81C0B65B-AE21-466F-93F6-C012B4E4D3C1}"/>
            </a:ext>
          </a:extLst>
        </xdr:cNvPr>
        <xdr:cNvSpPr/>
      </xdr:nvSpPr>
      <xdr:spPr bwMode="auto">
        <a:xfrm rot="5400000">
          <a:off x="3143250" y="24674514"/>
          <a:ext cx="452438" cy="157163"/>
        </a:xfrm>
        <a:prstGeom prst="wave">
          <a:avLst/>
        </a:prstGeom>
        <a:solidFill>
          <a:schemeClr val="accent5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28575</xdr:colOff>
      <xdr:row>82</xdr:row>
      <xdr:rowOff>190501</xdr:rowOff>
    </xdr:from>
    <xdr:to>
      <xdr:col>13</xdr:col>
      <xdr:colOff>185738</xdr:colOff>
      <xdr:row>84</xdr:row>
      <xdr:rowOff>14289</xdr:rowOff>
    </xdr:to>
    <xdr:sp macro="" textlink="">
      <xdr:nvSpPr>
        <xdr:cNvPr id="4" name="波線 3">
          <a:extLst>
            <a:ext uri="{FF2B5EF4-FFF2-40B4-BE49-F238E27FC236}">
              <a16:creationId xmlns:a16="http://schemas.microsoft.com/office/drawing/2014/main" id="{58D074AD-5FBC-4B45-AA83-14C9428693D3}"/>
            </a:ext>
          </a:extLst>
        </xdr:cNvPr>
        <xdr:cNvSpPr/>
      </xdr:nvSpPr>
      <xdr:spPr bwMode="auto">
        <a:xfrm rot="5400000">
          <a:off x="3224213" y="31770638"/>
          <a:ext cx="452438" cy="157163"/>
        </a:xfrm>
        <a:prstGeom prst="wave">
          <a:avLst/>
        </a:prstGeom>
        <a:solidFill>
          <a:schemeClr val="accent5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66675</xdr:colOff>
      <xdr:row>47</xdr:row>
      <xdr:rowOff>28575</xdr:rowOff>
    </xdr:from>
    <xdr:to>
      <xdr:col>30</xdr:col>
      <xdr:colOff>133350</xdr:colOff>
      <xdr:row>47</xdr:row>
      <xdr:rowOff>238125</xdr:rowOff>
    </xdr:to>
    <xdr:sp macro="" textlink="">
      <xdr:nvSpPr>
        <xdr:cNvPr id="2" name="楕円 1">
          <a:extLst>
            <a:ext uri="{FF2B5EF4-FFF2-40B4-BE49-F238E27FC236}">
              <a16:creationId xmlns:a16="http://schemas.microsoft.com/office/drawing/2014/main" id="{1EC305B9-CBB4-632F-BA24-1D23D6CFA8A4}"/>
            </a:ext>
          </a:extLst>
        </xdr:cNvPr>
        <xdr:cNvSpPr/>
      </xdr:nvSpPr>
      <xdr:spPr bwMode="auto">
        <a:xfrm>
          <a:off x="4762500" y="10048875"/>
          <a:ext cx="228600" cy="209550"/>
        </a:xfrm>
        <a:prstGeom prst="ellipse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66675</xdr:colOff>
      <xdr:row>48</xdr:row>
      <xdr:rowOff>57150</xdr:rowOff>
    </xdr:from>
    <xdr:to>
      <xdr:col>30</xdr:col>
      <xdr:colOff>133350</xdr:colOff>
      <xdr:row>49</xdr:row>
      <xdr:rowOff>9525</xdr:rowOff>
    </xdr:to>
    <xdr:sp macro="" textlink="">
      <xdr:nvSpPr>
        <xdr:cNvPr id="3" name="楕円 2">
          <a:extLst>
            <a:ext uri="{FF2B5EF4-FFF2-40B4-BE49-F238E27FC236}">
              <a16:creationId xmlns:a16="http://schemas.microsoft.com/office/drawing/2014/main" id="{0E3AFA21-0AEE-45A6-BE47-8435DD0F7FA2}"/>
            </a:ext>
          </a:extLst>
        </xdr:cNvPr>
        <xdr:cNvSpPr/>
      </xdr:nvSpPr>
      <xdr:spPr bwMode="auto">
        <a:xfrm>
          <a:off x="4762500" y="10334625"/>
          <a:ext cx="228600" cy="209550"/>
        </a:xfrm>
        <a:prstGeom prst="ellipse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76200</xdr:colOff>
      <xdr:row>49</xdr:row>
      <xdr:rowOff>57150</xdr:rowOff>
    </xdr:from>
    <xdr:to>
      <xdr:col>30</xdr:col>
      <xdr:colOff>142875</xdr:colOff>
      <xdr:row>50</xdr:row>
      <xdr:rowOff>9525</xdr:rowOff>
    </xdr:to>
    <xdr:sp macro="" textlink="">
      <xdr:nvSpPr>
        <xdr:cNvPr id="4" name="楕円 3">
          <a:extLst>
            <a:ext uri="{FF2B5EF4-FFF2-40B4-BE49-F238E27FC236}">
              <a16:creationId xmlns:a16="http://schemas.microsoft.com/office/drawing/2014/main" id="{9BFB95A9-AADF-4CD6-A4F1-C35982623E8D}"/>
            </a:ext>
          </a:extLst>
        </xdr:cNvPr>
        <xdr:cNvSpPr/>
      </xdr:nvSpPr>
      <xdr:spPr bwMode="auto">
        <a:xfrm>
          <a:off x="4772025" y="10591800"/>
          <a:ext cx="228600" cy="209550"/>
        </a:xfrm>
        <a:prstGeom prst="ellipse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76200</xdr:colOff>
      <xdr:row>50</xdr:row>
      <xdr:rowOff>85725</xdr:rowOff>
    </xdr:from>
    <xdr:to>
      <xdr:col>30</xdr:col>
      <xdr:colOff>142875</xdr:colOff>
      <xdr:row>51</xdr:row>
      <xdr:rowOff>38100</xdr:rowOff>
    </xdr:to>
    <xdr:sp macro="" textlink="">
      <xdr:nvSpPr>
        <xdr:cNvPr id="5" name="楕円 4">
          <a:extLst>
            <a:ext uri="{FF2B5EF4-FFF2-40B4-BE49-F238E27FC236}">
              <a16:creationId xmlns:a16="http://schemas.microsoft.com/office/drawing/2014/main" id="{BDE4718B-7AD4-4F6B-B537-EBC4C8AE4DAF}"/>
            </a:ext>
          </a:extLst>
        </xdr:cNvPr>
        <xdr:cNvSpPr/>
      </xdr:nvSpPr>
      <xdr:spPr bwMode="auto">
        <a:xfrm>
          <a:off x="4772025" y="10877550"/>
          <a:ext cx="228600" cy="209550"/>
        </a:xfrm>
        <a:prstGeom prst="ellipse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57150</xdr:colOff>
      <xdr:row>51</xdr:row>
      <xdr:rowOff>57150</xdr:rowOff>
    </xdr:from>
    <xdr:to>
      <xdr:col>30</xdr:col>
      <xdr:colOff>123825</xdr:colOff>
      <xdr:row>52</xdr:row>
      <xdr:rowOff>9525</xdr:rowOff>
    </xdr:to>
    <xdr:sp macro="" textlink="">
      <xdr:nvSpPr>
        <xdr:cNvPr id="7" name="楕円 6">
          <a:extLst>
            <a:ext uri="{FF2B5EF4-FFF2-40B4-BE49-F238E27FC236}">
              <a16:creationId xmlns:a16="http://schemas.microsoft.com/office/drawing/2014/main" id="{7CE5D44E-DFEA-42A6-9E60-2E620577E0EE}"/>
            </a:ext>
          </a:extLst>
        </xdr:cNvPr>
        <xdr:cNvSpPr/>
      </xdr:nvSpPr>
      <xdr:spPr bwMode="auto">
        <a:xfrm>
          <a:off x="4752975" y="11363325"/>
          <a:ext cx="228600" cy="209550"/>
        </a:xfrm>
        <a:prstGeom prst="ellipse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76200</xdr:colOff>
      <xdr:row>52</xdr:row>
      <xdr:rowOff>47625</xdr:rowOff>
    </xdr:from>
    <xdr:to>
      <xdr:col>30</xdr:col>
      <xdr:colOff>142875</xdr:colOff>
      <xdr:row>53</xdr:row>
      <xdr:rowOff>0</xdr:rowOff>
    </xdr:to>
    <xdr:sp macro="" textlink="">
      <xdr:nvSpPr>
        <xdr:cNvPr id="8" name="楕円 7">
          <a:extLst>
            <a:ext uri="{FF2B5EF4-FFF2-40B4-BE49-F238E27FC236}">
              <a16:creationId xmlns:a16="http://schemas.microsoft.com/office/drawing/2014/main" id="{97FA72C3-7244-4A4B-9754-C6F3DDA4F7A0}"/>
            </a:ext>
          </a:extLst>
        </xdr:cNvPr>
        <xdr:cNvSpPr/>
      </xdr:nvSpPr>
      <xdr:spPr bwMode="auto">
        <a:xfrm>
          <a:off x="4772025" y="11868150"/>
          <a:ext cx="228600" cy="209550"/>
        </a:xfrm>
        <a:prstGeom prst="ellipse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E1AF9-6B41-4C78-8AA8-9904CCC79D72}">
  <dimension ref="A1:BJ140"/>
  <sheetViews>
    <sheetView tabSelected="1" view="pageBreakPreview" zoomScaleNormal="100" zoomScaleSheetLayoutView="100" workbookViewId="0"/>
  </sheetViews>
  <sheetFormatPr defaultColWidth="2.125" defaultRowHeight="13.5"/>
  <sheetData>
    <row r="1" spans="1:62" s="4" customFormat="1" ht="18" customHeight="1">
      <c r="A1" s="4" t="s">
        <v>0</v>
      </c>
      <c r="BJ1" s="7" t="s">
        <v>1</v>
      </c>
    </row>
    <row r="2" spans="1:62" s="5" customFormat="1" ht="18" customHeight="1">
      <c r="A2" s="197" t="s">
        <v>2</v>
      </c>
      <c r="B2" s="198"/>
      <c r="C2" s="198"/>
      <c r="D2" s="198"/>
      <c r="E2" s="198"/>
      <c r="F2" s="198"/>
      <c r="G2" s="198"/>
      <c r="H2" s="198"/>
      <c r="I2" s="198"/>
      <c r="J2" s="198"/>
      <c r="K2" s="198"/>
      <c r="L2" s="198"/>
      <c r="M2" s="198"/>
      <c r="N2" s="198"/>
      <c r="O2" s="198"/>
      <c r="P2" s="198"/>
      <c r="Q2" s="198"/>
      <c r="R2" s="198"/>
      <c r="S2" s="198"/>
      <c r="T2" s="198"/>
      <c r="U2" s="198"/>
      <c r="V2" s="198"/>
      <c r="W2" s="198"/>
      <c r="X2" s="198"/>
      <c r="Y2" s="198"/>
      <c r="Z2" s="198"/>
      <c r="AA2" s="198"/>
      <c r="AB2" s="198"/>
      <c r="AC2" s="198"/>
      <c r="AD2" s="198"/>
      <c r="AE2" s="198"/>
      <c r="AF2" s="198"/>
      <c r="AG2" s="198"/>
      <c r="AH2" s="198"/>
      <c r="AI2" s="198"/>
      <c r="AJ2" s="198"/>
      <c r="AK2" s="198"/>
      <c r="AL2" s="198"/>
      <c r="AM2" s="198"/>
      <c r="AN2" s="198"/>
      <c r="AO2" s="198"/>
      <c r="AP2" s="198"/>
      <c r="AQ2" s="198"/>
      <c r="AR2" s="198"/>
      <c r="AS2" s="198"/>
      <c r="AT2" s="198"/>
      <c r="AU2" s="199"/>
      <c r="AV2" s="191" t="s">
        <v>3</v>
      </c>
      <c r="AW2" s="192"/>
      <c r="AX2" s="192"/>
      <c r="AY2" s="193"/>
      <c r="AZ2" s="191" t="s">
        <v>4</v>
      </c>
      <c r="BA2" s="192"/>
      <c r="BB2" s="192"/>
      <c r="BC2" s="193"/>
      <c r="BD2" s="191" t="s">
        <v>5</v>
      </c>
      <c r="BE2" s="192"/>
      <c r="BF2" s="193"/>
      <c r="BG2" s="191"/>
      <c r="BH2" s="192"/>
      <c r="BI2" s="192"/>
      <c r="BJ2" s="193"/>
    </row>
    <row r="3" spans="1:62" s="4" customFormat="1" ht="18" customHeight="1">
      <c r="A3" s="191" t="s">
        <v>6</v>
      </c>
      <c r="B3" s="192"/>
      <c r="C3" s="192"/>
      <c r="D3" s="192"/>
      <c r="E3" s="192"/>
      <c r="F3" s="192"/>
      <c r="G3" s="193"/>
      <c r="H3" s="194" t="s">
        <v>193</v>
      </c>
      <c r="I3" s="195"/>
      <c r="J3" s="195"/>
      <c r="K3" s="195"/>
      <c r="L3" s="195"/>
      <c r="M3" s="195"/>
      <c r="N3" s="195"/>
      <c r="O3" s="195"/>
      <c r="P3" s="195"/>
      <c r="Q3" s="195"/>
      <c r="R3" s="195"/>
      <c r="S3" s="195"/>
      <c r="T3" s="195"/>
      <c r="U3" s="195"/>
      <c r="V3" s="195"/>
      <c r="W3" s="195"/>
      <c r="X3" s="195"/>
      <c r="Y3" s="195"/>
      <c r="Z3" s="195"/>
      <c r="AA3" s="195"/>
      <c r="AB3" s="195"/>
      <c r="AC3" s="195"/>
      <c r="AD3" s="195"/>
      <c r="AE3" s="195"/>
      <c r="AF3" s="195"/>
      <c r="AG3" s="195"/>
      <c r="AH3" s="195"/>
      <c r="AI3" s="195"/>
      <c r="AJ3" s="195"/>
      <c r="AK3" s="195"/>
      <c r="AL3" s="195"/>
      <c r="AM3" s="195"/>
      <c r="AN3" s="195"/>
      <c r="AO3" s="195"/>
      <c r="AP3" s="195"/>
      <c r="AQ3" s="195"/>
      <c r="AR3" s="195"/>
      <c r="AS3" s="195"/>
      <c r="AT3" s="195"/>
      <c r="AU3" s="196"/>
      <c r="AV3" s="191" t="s">
        <v>7</v>
      </c>
      <c r="AW3" s="192"/>
      <c r="AX3" s="192"/>
      <c r="AY3" s="193"/>
      <c r="AZ3" s="191" t="s">
        <v>194</v>
      </c>
      <c r="BA3" s="192"/>
      <c r="BB3" s="192"/>
      <c r="BC3" s="192"/>
      <c r="BD3" s="192"/>
      <c r="BE3" s="192"/>
      <c r="BF3" s="192"/>
      <c r="BG3" s="192"/>
      <c r="BH3" s="192"/>
      <c r="BI3" s="192"/>
      <c r="BJ3" s="193"/>
    </row>
    <row r="4" spans="1:62" s="4" customFormat="1" ht="18" customHeight="1">
      <c r="A4" s="191" t="s">
        <v>8</v>
      </c>
      <c r="B4" s="192"/>
      <c r="C4" s="192"/>
      <c r="D4" s="192"/>
      <c r="E4" s="192"/>
      <c r="F4" s="192"/>
      <c r="G4" s="193"/>
      <c r="H4" s="194" t="s">
        <v>103</v>
      </c>
      <c r="I4" s="195"/>
      <c r="J4" s="195"/>
      <c r="K4" s="195"/>
      <c r="L4" s="195"/>
      <c r="M4" s="195"/>
      <c r="N4" s="195"/>
      <c r="O4" s="195"/>
      <c r="P4" s="195"/>
      <c r="Q4" s="195"/>
      <c r="R4" s="195"/>
      <c r="S4" s="195"/>
      <c r="T4" s="195"/>
      <c r="U4" s="195"/>
      <c r="V4" s="195"/>
      <c r="W4" s="195"/>
      <c r="X4" s="195"/>
      <c r="Y4" s="195"/>
      <c r="Z4" s="195"/>
      <c r="AA4" s="195"/>
      <c r="AB4" s="195"/>
      <c r="AC4" s="195"/>
      <c r="AD4" s="195"/>
      <c r="AE4" s="195"/>
      <c r="AF4" s="195"/>
      <c r="AG4" s="195"/>
      <c r="AH4" s="195"/>
      <c r="AI4" s="195"/>
      <c r="AJ4" s="195"/>
      <c r="AK4" s="195"/>
      <c r="AL4" s="195"/>
      <c r="AM4" s="195"/>
      <c r="AN4" s="195"/>
      <c r="AO4" s="195"/>
      <c r="AP4" s="195"/>
      <c r="AQ4" s="195"/>
      <c r="AR4" s="195"/>
      <c r="AS4" s="195"/>
      <c r="AT4" s="195"/>
      <c r="AU4" s="196"/>
      <c r="AV4" s="191" t="s">
        <v>9</v>
      </c>
      <c r="AW4" s="192"/>
      <c r="AX4" s="192"/>
      <c r="AY4" s="193"/>
      <c r="AZ4" s="191"/>
      <c r="BA4" s="192"/>
      <c r="BB4" s="192"/>
      <c r="BC4" s="192"/>
      <c r="BD4" s="192"/>
      <c r="BE4" s="192"/>
      <c r="BF4" s="192"/>
      <c r="BG4" s="192"/>
      <c r="BH4" s="192"/>
      <c r="BI4" s="192"/>
      <c r="BJ4" s="193"/>
    </row>
    <row r="5" spans="1:62" s="6" customFormat="1" ht="4.5" customHeight="1"/>
    <row r="6" spans="1:62" s="10" customFormat="1" ht="18" customHeight="1">
      <c r="A6" s="203" t="s">
        <v>10</v>
      </c>
      <c r="B6" s="203"/>
      <c r="C6" s="203"/>
      <c r="D6" s="203"/>
      <c r="E6" s="203"/>
      <c r="F6" s="203"/>
      <c r="G6" s="203"/>
      <c r="H6" s="203" t="s">
        <v>120</v>
      </c>
      <c r="I6" s="203"/>
      <c r="J6" s="203"/>
      <c r="K6" s="203"/>
      <c r="L6" s="203"/>
      <c r="M6" s="203"/>
      <c r="N6" s="203"/>
      <c r="O6" s="203"/>
      <c r="P6" s="203" t="s">
        <v>11</v>
      </c>
      <c r="Q6" s="203"/>
      <c r="R6" s="203"/>
      <c r="S6" s="203"/>
      <c r="T6" s="203"/>
      <c r="U6" s="203"/>
      <c r="V6" s="204" t="s">
        <v>121</v>
      </c>
      <c r="W6" s="205"/>
      <c r="X6" s="205"/>
      <c r="Y6" s="205"/>
      <c r="Z6" s="205"/>
      <c r="AA6" s="205"/>
      <c r="AB6" s="205"/>
      <c r="AC6" s="205"/>
      <c r="AD6" s="205"/>
      <c r="AE6" s="205"/>
      <c r="AF6" s="205"/>
      <c r="AG6" s="205"/>
      <c r="AH6" s="205"/>
      <c r="AI6" s="205"/>
      <c r="AJ6" s="205"/>
      <c r="AK6" s="205"/>
      <c r="AL6" s="205"/>
      <c r="AM6" s="205"/>
      <c r="AN6" s="205"/>
      <c r="AO6" s="205"/>
      <c r="AP6" s="205"/>
      <c r="AQ6" s="205"/>
      <c r="AR6" s="205"/>
      <c r="AS6" s="205"/>
      <c r="AT6" s="205"/>
      <c r="AU6" s="205"/>
      <c r="AV6" s="205"/>
      <c r="AW6" s="205"/>
      <c r="AX6" s="205"/>
      <c r="AY6" s="205"/>
      <c r="AZ6" s="205"/>
      <c r="BA6" s="205"/>
      <c r="BB6" s="205"/>
      <c r="BC6" s="205"/>
      <c r="BD6" s="205"/>
      <c r="BE6" s="205"/>
      <c r="BF6" s="205"/>
      <c r="BG6" s="205"/>
      <c r="BH6" s="205"/>
      <c r="BI6" s="205"/>
      <c r="BJ6" s="206"/>
    </row>
    <row r="7" spans="1:62" ht="3.75" customHeight="1"/>
    <row r="8" spans="1:62" s="64" customFormat="1" ht="15.75" customHeight="1">
      <c r="A8" s="200" t="s">
        <v>12</v>
      </c>
      <c r="B8" s="201"/>
      <c r="C8" s="201"/>
      <c r="D8" s="201"/>
      <c r="E8" s="201"/>
      <c r="F8" s="201"/>
      <c r="G8" s="202"/>
      <c r="H8" s="61"/>
      <c r="I8" s="62" t="s">
        <v>13</v>
      </c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2"/>
      <c r="AQ8" s="62"/>
      <c r="AR8" s="62"/>
      <c r="AS8" s="62"/>
      <c r="AT8" s="62"/>
      <c r="AU8" s="62"/>
      <c r="AV8" s="62"/>
      <c r="AW8" s="62"/>
      <c r="AX8" s="62"/>
      <c r="AY8" s="62"/>
      <c r="AZ8" s="62"/>
      <c r="BA8" s="62"/>
      <c r="BB8" s="62"/>
      <c r="BC8" s="62"/>
      <c r="BD8" s="62"/>
      <c r="BE8" s="62"/>
      <c r="BF8" s="62"/>
      <c r="BG8" s="62"/>
      <c r="BH8" s="62"/>
      <c r="BI8" s="62"/>
      <c r="BJ8" s="63"/>
    </row>
    <row r="9" spans="1:62" s="9" customFormat="1" ht="20.25" customHeight="1">
      <c r="A9" s="27"/>
      <c r="B9" s="23"/>
      <c r="C9" s="23"/>
      <c r="D9" s="23"/>
      <c r="E9" s="23"/>
      <c r="F9" s="23"/>
      <c r="G9" s="24"/>
      <c r="H9" s="27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4"/>
    </row>
    <row r="10" spans="1:62" s="9" customFormat="1" ht="20.25" customHeight="1">
      <c r="A10" s="28"/>
      <c r="B10" s="60" t="s">
        <v>211</v>
      </c>
      <c r="C10" s="10"/>
      <c r="D10" s="10"/>
      <c r="E10" s="10"/>
      <c r="F10" s="10"/>
      <c r="G10" s="20"/>
      <c r="H10" s="28"/>
      <c r="I10" s="10" t="s">
        <v>210</v>
      </c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20"/>
    </row>
    <row r="11" spans="1:62" s="9" customFormat="1" ht="20.25" customHeight="1">
      <c r="A11" s="28"/>
      <c r="B11" s="10"/>
      <c r="C11" s="10"/>
      <c r="D11" s="10"/>
      <c r="E11" s="10"/>
      <c r="F11" s="10"/>
      <c r="G11" s="20"/>
      <c r="H11" s="28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20"/>
    </row>
    <row r="12" spans="1:62" s="9" customFormat="1" ht="20.25" customHeight="1">
      <c r="A12" s="28"/>
      <c r="B12" s="10"/>
      <c r="C12" s="10"/>
      <c r="D12" s="10"/>
      <c r="E12" s="10"/>
      <c r="F12" s="10"/>
      <c r="G12" s="20"/>
      <c r="H12" s="28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20"/>
    </row>
    <row r="13" spans="1:62" s="9" customFormat="1" ht="20.25" customHeight="1">
      <c r="A13" s="28"/>
      <c r="B13" s="10"/>
      <c r="C13" s="10"/>
      <c r="D13" s="10"/>
      <c r="E13" s="10"/>
      <c r="F13" s="10"/>
      <c r="G13" s="20"/>
      <c r="H13" s="28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20"/>
    </row>
    <row r="14" spans="1:62" s="9" customFormat="1" ht="20.25" customHeight="1">
      <c r="A14" s="28"/>
      <c r="B14" s="10"/>
      <c r="C14" s="10"/>
      <c r="D14" s="10"/>
      <c r="E14" s="10"/>
      <c r="F14" s="10"/>
      <c r="G14" s="20"/>
      <c r="H14" s="28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20"/>
    </row>
    <row r="15" spans="1:62" s="9" customFormat="1" ht="20.25" customHeight="1">
      <c r="A15" s="28"/>
      <c r="B15" s="10"/>
      <c r="C15" s="10"/>
      <c r="D15" s="10"/>
      <c r="E15" s="10"/>
      <c r="F15" s="10"/>
      <c r="G15" s="20"/>
      <c r="H15" s="28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20"/>
    </row>
    <row r="16" spans="1:62" s="9" customFormat="1" ht="20.25" customHeight="1">
      <c r="A16" s="28"/>
      <c r="B16" s="10"/>
      <c r="C16" s="10"/>
      <c r="D16" s="10"/>
      <c r="E16" s="10"/>
      <c r="F16" s="10"/>
      <c r="G16" s="20"/>
      <c r="H16" s="28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20"/>
    </row>
    <row r="17" spans="1:62" s="9" customFormat="1" ht="20.25" customHeight="1">
      <c r="A17" s="28"/>
      <c r="B17" s="10"/>
      <c r="C17" s="10"/>
      <c r="D17" s="10"/>
      <c r="E17" s="10"/>
      <c r="F17" s="10"/>
      <c r="G17" s="20"/>
      <c r="H17" s="28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20"/>
    </row>
    <row r="18" spans="1:62" s="9" customFormat="1" ht="20.25" customHeight="1">
      <c r="A18" s="28"/>
      <c r="B18" s="10"/>
      <c r="C18" s="10"/>
      <c r="D18" s="10"/>
      <c r="E18" s="10"/>
      <c r="F18" s="10"/>
      <c r="G18" s="20"/>
      <c r="H18" s="28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20"/>
    </row>
    <row r="19" spans="1:62" s="9" customFormat="1" ht="20.25" customHeight="1">
      <c r="A19" s="28"/>
      <c r="B19" s="10"/>
      <c r="C19" s="10"/>
      <c r="D19" s="10"/>
      <c r="E19" s="10"/>
      <c r="F19" s="10"/>
      <c r="G19" s="20"/>
      <c r="H19" s="28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20"/>
    </row>
    <row r="20" spans="1:62" s="9" customFormat="1" ht="20.25" customHeight="1">
      <c r="A20" s="28"/>
      <c r="B20" s="10"/>
      <c r="C20" s="10"/>
      <c r="D20" s="10"/>
      <c r="E20" s="10"/>
      <c r="F20" s="10"/>
      <c r="G20" s="20"/>
      <c r="H20" s="28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20"/>
    </row>
    <row r="21" spans="1:62" s="9" customFormat="1" ht="20.25" customHeight="1">
      <c r="A21" s="28"/>
      <c r="B21" s="10"/>
      <c r="C21" s="10"/>
      <c r="D21" s="10"/>
      <c r="E21" s="10"/>
      <c r="F21" s="10"/>
      <c r="G21" s="20"/>
      <c r="H21" s="28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20"/>
    </row>
    <row r="22" spans="1:62" s="9" customFormat="1" ht="20.25" customHeight="1">
      <c r="A22" s="28"/>
      <c r="B22" s="10"/>
      <c r="C22" s="10"/>
      <c r="D22" s="10"/>
      <c r="E22" s="10"/>
      <c r="F22" s="10"/>
      <c r="G22" s="20"/>
      <c r="H22" s="28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20"/>
    </row>
    <row r="23" spans="1:62" s="9" customFormat="1" ht="20.25" customHeight="1">
      <c r="A23" s="28"/>
      <c r="B23" s="10"/>
      <c r="C23" s="10"/>
      <c r="D23" s="10"/>
      <c r="E23" s="10"/>
      <c r="F23" s="10"/>
      <c r="G23" s="20"/>
      <c r="H23" s="28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20"/>
    </row>
    <row r="24" spans="1:62" s="9" customFormat="1" ht="20.25" customHeight="1">
      <c r="A24" s="28"/>
      <c r="B24" s="10"/>
      <c r="C24" s="10"/>
      <c r="D24" s="10"/>
      <c r="E24" s="10"/>
      <c r="F24" s="10"/>
      <c r="G24" s="20"/>
      <c r="H24" s="28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20"/>
    </row>
    <row r="25" spans="1:62" s="9" customFormat="1" ht="20.25" customHeight="1">
      <c r="A25" s="28"/>
      <c r="B25" s="10"/>
      <c r="C25" s="10"/>
      <c r="D25" s="10"/>
      <c r="E25" s="10"/>
      <c r="F25" s="10"/>
      <c r="G25" s="20"/>
      <c r="H25" s="28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20"/>
    </row>
    <row r="26" spans="1:62" s="9" customFormat="1" ht="20.25" customHeight="1">
      <c r="A26" s="28"/>
      <c r="B26" s="10"/>
      <c r="C26" s="10"/>
      <c r="D26" s="10"/>
      <c r="E26" s="10"/>
      <c r="F26" s="10"/>
      <c r="G26" s="20"/>
      <c r="H26" s="28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20"/>
    </row>
    <row r="27" spans="1:62" s="9" customFormat="1" ht="20.25" customHeight="1">
      <c r="A27" s="28"/>
      <c r="B27" s="10"/>
      <c r="C27" s="10"/>
      <c r="D27" s="10"/>
      <c r="E27" s="10"/>
      <c r="F27" s="10"/>
      <c r="G27" s="20"/>
      <c r="H27" s="28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20"/>
    </row>
    <row r="28" spans="1:62" s="9" customFormat="1" ht="20.25" customHeight="1">
      <c r="A28" s="28"/>
      <c r="B28" s="10"/>
      <c r="C28" s="10"/>
      <c r="D28" s="10"/>
      <c r="E28" s="10"/>
      <c r="F28" s="10"/>
      <c r="G28" s="20"/>
      <c r="H28" s="28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20"/>
    </row>
    <row r="29" spans="1:62" s="9" customFormat="1" ht="20.25" customHeight="1">
      <c r="A29" s="28"/>
      <c r="B29" s="10"/>
      <c r="C29" s="10"/>
      <c r="D29" s="10"/>
      <c r="E29" s="10"/>
      <c r="F29" s="10"/>
      <c r="G29" s="20"/>
      <c r="H29" s="28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20"/>
    </row>
    <row r="30" spans="1:62" s="9" customFormat="1" ht="20.25" customHeight="1">
      <c r="A30" s="28"/>
      <c r="B30" s="10"/>
      <c r="C30" s="10"/>
      <c r="D30" s="10"/>
      <c r="E30" s="10"/>
      <c r="F30" s="10"/>
      <c r="G30" s="20"/>
      <c r="H30" s="28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20"/>
    </row>
    <row r="31" spans="1:62" s="9" customFormat="1" ht="20.25" customHeight="1">
      <c r="A31" s="28"/>
      <c r="B31" s="10"/>
      <c r="C31" s="10"/>
      <c r="D31" s="10"/>
      <c r="E31" s="10"/>
      <c r="F31" s="10"/>
      <c r="G31" s="20"/>
      <c r="H31" s="28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20"/>
    </row>
    <row r="32" spans="1:62" s="9" customFormat="1" ht="20.25" customHeight="1">
      <c r="A32" s="28"/>
      <c r="B32" s="10"/>
      <c r="C32" s="10"/>
      <c r="D32" s="10"/>
      <c r="E32" s="10"/>
      <c r="F32" s="10"/>
      <c r="G32" s="20"/>
      <c r="H32" s="28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20"/>
    </row>
    <row r="33" spans="1:62" s="9" customFormat="1" ht="20.25" customHeight="1">
      <c r="A33" s="28"/>
      <c r="B33" s="10"/>
      <c r="C33" s="10"/>
      <c r="D33" s="10"/>
      <c r="E33" s="10"/>
      <c r="F33" s="10"/>
      <c r="G33" s="20"/>
      <c r="H33" s="28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20"/>
    </row>
    <row r="34" spans="1:62" s="9" customFormat="1" ht="20.25" customHeight="1">
      <c r="A34" s="28"/>
      <c r="B34" s="10"/>
      <c r="C34" s="10"/>
      <c r="D34" s="10"/>
      <c r="E34" s="10"/>
      <c r="F34" s="10"/>
      <c r="G34" s="20"/>
      <c r="H34" s="28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20"/>
    </row>
    <row r="35" spans="1:62" s="9" customFormat="1" ht="20.25" customHeight="1">
      <c r="A35" s="28"/>
      <c r="B35" s="10"/>
      <c r="C35" s="10"/>
      <c r="D35" s="10"/>
      <c r="E35" s="10"/>
      <c r="F35" s="10"/>
      <c r="G35" s="20"/>
      <c r="H35" s="28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20"/>
    </row>
    <row r="36" spans="1:62" s="9" customFormat="1" ht="20.25" customHeight="1">
      <c r="A36" s="28"/>
      <c r="B36" s="10"/>
      <c r="C36" s="10"/>
      <c r="D36" s="10"/>
      <c r="E36" s="10"/>
      <c r="F36" s="10"/>
      <c r="G36" s="20"/>
      <c r="H36" s="28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20"/>
    </row>
    <row r="37" spans="1:62" s="9" customFormat="1" ht="20.25" customHeight="1">
      <c r="A37" s="28"/>
      <c r="B37" s="10"/>
      <c r="C37" s="10"/>
      <c r="D37" s="10"/>
      <c r="E37" s="10"/>
      <c r="F37" s="10"/>
      <c r="G37" s="20"/>
      <c r="H37" s="28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20"/>
    </row>
    <row r="38" spans="1:62" s="9" customFormat="1" ht="20.25" customHeight="1">
      <c r="A38" s="28"/>
      <c r="B38" s="10"/>
      <c r="C38" s="10"/>
      <c r="D38" s="10"/>
      <c r="E38" s="10"/>
      <c r="F38" s="10"/>
      <c r="G38" s="20"/>
      <c r="H38" s="28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20"/>
    </row>
    <row r="39" spans="1:62" s="9" customFormat="1" ht="20.25" customHeight="1">
      <c r="A39" s="28"/>
      <c r="B39" s="10"/>
      <c r="C39" s="10"/>
      <c r="D39" s="10"/>
      <c r="E39" s="10"/>
      <c r="F39" s="10"/>
      <c r="G39" s="20"/>
      <c r="H39" s="28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20"/>
    </row>
    <row r="40" spans="1:62" s="9" customFormat="1" ht="20.25" customHeight="1">
      <c r="A40" s="28"/>
      <c r="B40" s="10"/>
      <c r="C40" s="10"/>
      <c r="D40" s="10"/>
      <c r="E40" s="10"/>
      <c r="F40" s="10"/>
      <c r="G40" s="20"/>
      <c r="H40" s="28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20"/>
    </row>
    <row r="41" spans="1:62" s="9" customFormat="1" ht="20.25" customHeight="1">
      <c r="A41" s="28"/>
      <c r="B41" s="10"/>
      <c r="C41" s="10"/>
      <c r="D41" s="10"/>
      <c r="E41" s="10"/>
      <c r="F41" s="10"/>
      <c r="G41" s="20"/>
      <c r="H41" s="28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20"/>
    </row>
    <row r="42" spans="1:62" s="9" customFormat="1" ht="20.25" customHeight="1">
      <c r="A42" s="28"/>
      <c r="B42" s="10"/>
      <c r="C42" s="10"/>
      <c r="D42" s="10"/>
      <c r="E42" s="10"/>
      <c r="F42" s="10"/>
      <c r="G42" s="20"/>
      <c r="H42" s="28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20"/>
    </row>
    <row r="43" spans="1:62" s="9" customFormat="1" ht="20.25" customHeight="1">
      <c r="A43" s="28"/>
      <c r="B43" s="10"/>
      <c r="C43" s="10"/>
      <c r="D43" s="10"/>
      <c r="E43" s="10"/>
      <c r="F43" s="10"/>
      <c r="G43" s="20"/>
      <c r="H43" s="28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20"/>
    </row>
    <row r="44" spans="1:62" s="9" customFormat="1" ht="20.25" customHeight="1">
      <c r="A44" s="28"/>
      <c r="B44" s="10"/>
      <c r="C44" s="10"/>
      <c r="D44" s="10"/>
      <c r="E44" s="10"/>
      <c r="F44" s="10"/>
      <c r="G44" s="20"/>
      <c r="H44" s="28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20"/>
    </row>
    <row r="45" spans="1:62" s="9" customFormat="1" ht="20.25" customHeight="1">
      <c r="A45" s="28"/>
      <c r="B45" s="10"/>
      <c r="C45" s="10"/>
      <c r="D45" s="10"/>
      <c r="E45" s="10"/>
      <c r="F45" s="10"/>
      <c r="G45" s="20"/>
      <c r="H45" s="28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20"/>
    </row>
    <row r="46" spans="1:62" s="9" customFormat="1" ht="20.25" customHeight="1">
      <c r="A46" s="28"/>
      <c r="B46" s="10"/>
      <c r="C46" s="10"/>
      <c r="D46" s="10"/>
      <c r="E46" s="10"/>
      <c r="F46" s="10"/>
      <c r="G46" s="20"/>
      <c r="H46" s="28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20"/>
    </row>
    <row r="47" spans="1:62" s="9" customFormat="1" ht="20.25" customHeight="1">
      <c r="A47" s="28"/>
      <c r="B47" s="10"/>
      <c r="C47" s="10"/>
      <c r="D47" s="10"/>
      <c r="E47" s="10"/>
      <c r="F47" s="10"/>
      <c r="G47" s="20"/>
      <c r="H47" s="28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20"/>
    </row>
    <row r="48" spans="1:62" s="9" customFormat="1" ht="20.25" customHeight="1">
      <c r="A48" s="28"/>
      <c r="B48" s="10"/>
      <c r="C48" s="10"/>
      <c r="D48" s="10"/>
      <c r="E48" s="10"/>
      <c r="F48" s="10"/>
      <c r="G48" s="20"/>
      <c r="H48" s="28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20"/>
    </row>
    <row r="49" spans="1:62" s="9" customFormat="1" ht="20.25" customHeight="1">
      <c r="A49" s="28"/>
      <c r="B49" s="10"/>
      <c r="C49" s="10"/>
      <c r="D49" s="10"/>
      <c r="E49" s="10"/>
      <c r="F49" s="10"/>
      <c r="G49" s="20"/>
      <c r="H49" s="28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20"/>
    </row>
    <row r="50" spans="1:62" s="9" customFormat="1" ht="20.25" customHeight="1">
      <c r="A50" s="28"/>
      <c r="B50" s="10"/>
      <c r="C50" s="10"/>
      <c r="D50" s="10"/>
      <c r="E50" s="10"/>
      <c r="F50" s="10"/>
      <c r="G50" s="20"/>
      <c r="H50" s="28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20"/>
    </row>
    <row r="51" spans="1:62" s="9" customFormat="1" ht="20.25" customHeight="1">
      <c r="A51" s="28"/>
      <c r="B51" s="10"/>
      <c r="C51" s="10"/>
      <c r="D51" s="10"/>
      <c r="E51" s="10"/>
      <c r="F51" s="10"/>
      <c r="G51" s="20"/>
      <c r="H51" s="28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20"/>
    </row>
    <row r="52" spans="1:62" s="9" customFormat="1" ht="20.25" customHeight="1">
      <c r="A52" s="28"/>
      <c r="B52" s="10"/>
      <c r="C52" s="10"/>
      <c r="D52" s="10"/>
      <c r="E52" s="10"/>
      <c r="F52" s="10"/>
      <c r="G52" s="20"/>
      <c r="H52" s="28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20"/>
    </row>
    <row r="53" spans="1:62" s="9" customFormat="1" ht="20.25" customHeight="1">
      <c r="A53" s="28"/>
      <c r="B53" s="10"/>
      <c r="C53" s="10"/>
      <c r="D53" s="10"/>
      <c r="E53" s="10"/>
      <c r="F53" s="10"/>
      <c r="G53" s="20"/>
      <c r="H53" s="28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20"/>
    </row>
    <row r="54" spans="1:62" s="9" customFormat="1" ht="20.25" customHeight="1">
      <c r="A54" s="28"/>
      <c r="B54" s="10"/>
      <c r="C54" s="10"/>
      <c r="D54" s="10"/>
      <c r="E54" s="10"/>
      <c r="F54" s="10"/>
      <c r="G54" s="20"/>
      <c r="H54" s="28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20"/>
    </row>
    <row r="55" spans="1:62" s="9" customFormat="1" ht="20.25" customHeight="1">
      <c r="A55" s="28"/>
      <c r="B55" s="10"/>
      <c r="C55" s="10"/>
      <c r="D55" s="10"/>
      <c r="E55" s="10"/>
      <c r="F55" s="10"/>
      <c r="G55" s="20"/>
      <c r="H55" s="28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20"/>
    </row>
    <row r="56" spans="1:62" s="9" customFormat="1" ht="20.25" customHeight="1">
      <c r="A56" s="28"/>
      <c r="B56" s="10"/>
      <c r="C56" s="10"/>
      <c r="D56" s="10"/>
      <c r="E56" s="10"/>
      <c r="F56" s="10"/>
      <c r="G56" s="20"/>
      <c r="H56" s="28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20"/>
    </row>
    <row r="57" spans="1:62" s="9" customFormat="1" ht="20.25" customHeight="1">
      <c r="A57" s="28"/>
      <c r="B57" s="10"/>
      <c r="C57" s="10"/>
      <c r="D57" s="10"/>
      <c r="E57" s="10"/>
      <c r="F57" s="10"/>
      <c r="G57" s="20"/>
      <c r="H57" s="28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20"/>
    </row>
    <row r="58" spans="1:62" s="9" customFormat="1" ht="20.25" customHeight="1">
      <c r="A58" s="28"/>
      <c r="B58" s="10"/>
      <c r="C58" s="10"/>
      <c r="D58" s="10"/>
      <c r="E58" s="10"/>
      <c r="F58" s="10"/>
      <c r="G58" s="20"/>
      <c r="H58" s="28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20"/>
    </row>
    <row r="59" spans="1:62" s="9" customFormat="1" ht="20.25" customHeight="1">
      <c r="A59" s="28"/>
      <c r="B59" s="10"/>
      <c r="C59" s="10"/>
      <c r="D59" s="10"/>
      <c r="E59" s="10"/>
      <c r="F59" s="10"/>
      <c r="G59" s="20"/>
      <c r="H59" s="28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20"/>
    </row>
    <row r="60" spans="1:62" s="9" customFormat="1" ht="20.25" customHeight="1">
      <c r="A60" s="29"/>
      <c r="B60" s="21"/>
      <c r="C60" s="21"/>
      <c r="D60" s="21"/>
      <c r="E60" s="21"/>
      <c r="F60" s="21"/>
      <c r="G60" s="22"/>
      <c r="H60" s="29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2"/>
    </row>
    <row r="61" spans="1:62" s="8" customFormat="1" ht="3.75" customHeight="1"/>
    <row r="62" spans="1:62" s="8" customFormat="1" ht="24" customHeight="1"/>
    <row r="63" spans="1:62" s="8" customFormat="1" ht="24" customHeight="1"/>
    <row r="64" spans="1:62" s="8" customFormat="1" ht="24" customHeight="1"/>
    <row r="65" s="8" customFormat="1" ht="24" customHeight="1"/>
    <row r="66" s="8" customFormat="1" ht="24" customHeight="1"/>
    <row r="67" s="8" customFormat="1" ht="24" customHeight="1"/>
    <row r="68" s="8" customFormat="1" ht="24" customHeight="1"/>
    <row r="69" s="8" customFormat="1" ht="24" customHeight="1"/>
    <row r="70" s="8" customFormat="1" ht="24" customHeight="1"/>
    <row r="71" s="8" customFormat="1" ht="24" customHeight="1"/>
    <row r="72" s="8" customFormat="1" ht="24" customHeight="1"/>
    <row r="73" s="8" customFormat="1" ht="24" customHeight="1"/>
    <row r="74" s="8" customFormat="1" ht="24" customHeight="1"/>
    <row r="75" s="8" customFormat="1" ht="24" customHeight="1"/>
    <row r="76" s="8" customFormat="1" ht="24" customHeight="1"/>
    <row r="77" s="8" customFormat="1" ht="24" customHeight="1"/>
    <row r="78" s="8" customFormat="1" ht="24" customHeight="1"/>
    <row r="79" s="8" customFormat="1" ht="24" customHeight="1"/>
    <row r="80" s="8" customFormat="1" ht="24" customHeight="1"/>
    <row r="81" s="8" customFormat="1" ht="24" customHeight="1"/>
    <row r="82" s="8" customFormat="1" ht="24" customHeight="1"/>
    <row r="83" s="8" customFormat="1" ht="24" customHeight="1"/>
    <row r="84" s="8" customFormat="1" ht="24" customHeight="1"/>
    <row r="85" s="8" customFormat="1" ht="24" customHeight="1"/>
    <row r="86" s="8" customFormat="1" ht="24" customHeight="1"/>
    <row r="87" s="8" customFormat="1" ht="24" customHeight="1"/>
    <row r="88" s="8" customFormat="1" ht="24" customHeight="1"/>
    <row r="89" s="8" customFormat="1" ht="24" customHeight="1"/>
    <row r="90" s="8" customFormat="1" ht="24" customHeight="1"/>
    <row r="91" s="8" customFormat="1" ht="24" customHeight="1"/>
    <row r="92" s="8" customFormat="1" ht="24" customHeight="1"/>
    <row r="93" s="8" customFormat="1" ht="24" customHeight="1"/>
    <row r="94" s="8" customFormat="1" ht="24" customHeight="1"/>
    <row r="95" s="8" customFormat="1" ht="24" customHeight="1"/>
    <row r="96" s="8" customFormat="1" ht="24" customHeight="1"/>
    <row r="97" s="8" customFormat="1" ht="24" customHeight="1"/>
    <row r="98" s="8" customFormat="1" ht="24" customHeight="1"/>
    <row r="99" s="8" customFormat="1" ht="24" customHeight="1"/>
    <row r="100" s="8" customFormat="1" ht="24" customHeight="1"/>
    <row r="101" s="8" customFormat="1" ht="24" customHeight="1"/>
    <row r="102" s="8" customFormat="1" ht="24" customHeight="1"/>
    <row r="103" s="8" customFormat="1" ht="24" customHeight="1"/>
    <row r="104" s="8" customFormat="1" ht="24" customHeight="1"/>
    <row r="105" s="8" customFormat="1" ht="24" customHeight="1"/>
    <row r="106" s="8" customFormat="1" ht="24" customHeight="1"/>
    <row r="107" s="8" customFormat="1" ht="24" customHeight="1"/>
    <row r="108" s="8" customFormat="1" ht="24" customHeight="1"/>
    <row r="109" s="8" customFormat="1" ht="24" customHeight="1"/>
    <row r="110" s="8" customFormat="1" ht="24" customHeight="1"/>
    <row r="111" s="8" customFormat="1" ht="24" customHeight="1"/>
    <row r="112" s="8" customFormat="1" ht="24" customHeight="1"/>
    <row r="113" s="8" customFormat="1" ht="24" customHeight="1"/>
    <row r="114" s="8" customFormat="1" ht="24" customHeight="1"/>
    <row r="115" s="8" customFormat="1" ht="24" customHeight="1"/>
    <row r="116" s="8" customFormat="1" ht="24" customHeight="1"/>
    <row r="117" s="8" customFormat="1" ht="24" customHeight="1"/>
    <row r="118" s="8" customFormat="1" ht="24" customHeight="1"/>
    <row r="119" s="8" customFormat="1" ht="24" customHeight="1"/>
    <row r="120" s="8" customFormat="1" ht="24" customHeight="1"/>
    <row r="121" s="8" customFormat="1" ht="24" customHeight="1"/>
    <row r="122" s="8" customFormat="1" ht="24" customHeight="1"/>
    <row r="123" s="8" customFormat="1" ht="24" customHeight="1"/>
    <row r="124" s="8" customFormat="1" ht="24" customHeight="1"/>
    <row r="125" s="8" customFormat="1" ht="24" customHeight="1"/>
    <row r="126" s="8" customFormat="1" ht="24" customHeight="1"/>
    <row r="127" s="8" customFormat="1" ht="24" customHeight="1"/>
    <row r="128" s="8" customFormat="1" ht="24" customHeight="1"/>
    <row r="129" s="8" customFormat="1" ht="24" customHeight="1"/>
    <row r="130" s="8" customFormat="1" ht="24" customHeight="1"/>
    <row r="131" s="8" customFormat="1" ht="24" customHeight="1"/>
    <row r="132" s="8" customFormat="1" ht="24" customHeight="1"/>
    <row r="133" s="8" customFormat="1" ht="24" customHeight="1"/>
    <row r="134" s="8" customFormat="1" ht="24" customHeight="1"/>
    <row r="135" s="8" customFormat="1" ht="24" customHeight="1"/>
    <row r="136" s="8" customFormat="1" ht="24" customHeight="1"/>
    <row r="137" s="8" customFormat="1" ht="24" customHeight="1"/>
    <row r="138" s="8" customFormat="1" ht="24" customHeight="1"/>
    <row r="139" s="8" customFormat="1" ht="24" customHeight="1"/>
    <row r="140" s="8" customFormat="1" ht="24" customHeight="1"/>
  </sheetData>
  <mergeCells count="18">
    <mergeCell ref="A8:G8"/>
    <mergeCell ref="A4:G4"/>
    <mergeCell ref="H4:AU4"/>
    <mergeCell ref="AV4:AY4"/>
    <mergeCell ref="AZ4:BJ4"/>
    <mergeCell ref="A6:G6"/>
    <mergeCell ref="H6:O6"/>
    <mergeCell ref="P6:U6"/>
    <mergeCell ref="V6:BJ6"/>
    <mergeCell ref="A3:G3"/>
    <mergeCell ref="H3:AU3"/>
    <mergeCell ref="AV3:AY3"/>
    <mergeCell ref="AZ3:BJ3"/>
    <mergeCell ref="A2:AU2"/>
    <mergeCell ref="AV2:AY2"/>
    <mergeCell ref="AZ2:BC2"/>
    <mergeCell ref="BD2:BF2"/>
    <mergeCell ref="BG2:BJ2"/>
  </mergeCells>
  <phoneticPr fontId="5"/>
  <pageMargins left="0.74803149606299213" right="0.39370078740157483" top="0.74803149606299213" bottom="0.43307086614173229" header="0.9055118110236221" footer="0.19685039370078741"/>
  <pageSetup paperSize="9" scale="68" orientation="portrait" r:id="rId1"/>
  <headerFooter>
    <oddHeader>&amp;R&amp;P　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604F4-1781-42B5-93F1-39AFB3832A50}">
  <sheetPr>
    <pageSetUpPr fitToPage="1"/>
  </sheetPr>
  <dimension ref="A1:FN113"/>
  <sheetViews>
    <sheetView view="pageBreakPreview" zoomScale="70" zoomScaleNormal="55" zoomScaleSheetLayoutView="70" workbookViewId="0"/>
  </sheetViews>
  <sheetFormatPr defaultColWidth="3.375" defaultRowHeight="24.95" customHeight="1"/>
  <cols>
    <col min="1" max="1" width="3.375" style="39" customWidth="1"/>
    <col min="2" max="119" width="3.375" style="39"/>
    <col min="120" max="120" width="3.375" style="39" customWidth="1"/>
    <col min="121" max="16384" width="3.375" style="39"/>
  </cols>
  <sheetData>
    <row r="1" spans="1:170" ht="24.95" customHeight="1">
      <c r="A1" s="37" t="s">
        <v>14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7"/>
      <c r="AT1" s="37"/>
      <c r="AU1" s="37"/>
      <c r="AV1" s="37"/>
      <c r="AW1" s="37"/>
      <c r="AX1" s="37"/>
      <c r="AY1" s="37"/>
      <c r="AZ1" s="37"/>
      <c r="BA1" s="37"/>
      <c r="BB1" s="37"/>
      <c r="BC1" s="37"/>
      <c r="BD1" s="37"/>
      <c r="BE1" s="37"/>
      <c r="BF1" s="37"/>
      <c r="BG1" s="37"/>
      <c r="BH1" s="37"/>
      <c r="BI1" s="37"/>
      <c r="BJ1" s="37"/>
      <c r="BK1" s="37"/>
      <c r="BL1" s="37"/>
      <c r="BM1" s="37"/>
      <c r="BN1" s="37"/>
      <c r="BO1" s="37"/>
      <c r="BP1" s="37"/>
      <c r="BQ1" s="37"/>
      <c r="BR1" s="37"/>
      <c r="BS1" s="37"/>
      <c r="BT1" s="37"/>
      <c r="BU1" s="37"/>
      <c r="BV1" s="37"/>
      <c r="BW1" s="37"/>
      <c r="BX1" s="37"/>
      <c r="BY1" s="37"/>
      <c r="BZ1" s="37"/>
      <c r="CA1" s="37"/>
      <c r="CB1" s="37"/>
      <c r="CC1" s="37"/>
      <c r="CD1" s="37"/>
      <c r="CE1" s="37"/>
      <c r="CF1" s="37"/>
      <c r="CG1" s="37"/>
      <c r="CH1" s="37"/>
      <c r="CI1" s="37"/>
      <c r="CJ1" s="37"/>
      <c r="CK1" s="37"/>
      <c r="CL1" s="37"/>
      <c r="CM1" s="37"/>
      <c r="CN1" s="37"/>
      <c r="CO1" s="37"/>
      <c r="CP1" s="37"/>
      <c r="CQ1" s="37"/>
      <c r="CR1" s="37"/>
      <c r="CS1" s="37"/>
      <c r="CT1" s="37"/>
      <c r="CU1" s="37"/>
      <c r="CV1" s="37"/>
      <c r="CW1" s="37"/>
      <c r="CX1" s="37"/>
      <c r="CY1" s="37"/>
      <c r="CZ1" s="38"/>
      <c r="DA1" s="38"/>
      <c r="DB1" s="38"/>
      <c r="DC1" s="38"/>
      <c r="DD1" s="38"/>
      <c r="DE1" s="38"/>
      <c r="DF1" s="38"/>
      <c r="DG1" s="38"/>
      <c r="DH1" s="38"/>
      <c r="DI1" s="38"/>
      <c r="DJ1" s="38"/>
      <c r="DK1" s="38"/>
      <c r="DL1" s="38"/>
      <c r="DM1" s="38"/>
      <c r="DN1" s="38"/>
      <c r="DO1" s="38"/>
      <c r="DP1" s="38"/>
      <c r="DQ1" s="38"/>
      <c r="DR1" s="38"/>
      <c r="DS1" s="38"/>
      <c r="DT1" s="38"/>
      <c r="DU1" s="38"/>
      <c r="DV1" s="38"/>
      <c r="DW1" s="38"/>
      <c r="DX1" s="38"/>
      <c r="DY1" s="38"/>
      <c r="DZ1" s="38"/>
      <c r="EA1" s="38"/>
      <c r="EB1" s="38"/>
      <c r="EC1" s="38" t="s">
        <v>15</v>
      </c>
    </row>
    <row r="2" spans="1:170" ht="24.95" customHeight="1">
      <c r="A2" s="45" t="s">
        <v>111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0"/>
      <c r="BB2" s="40"/>
      <c r="BC2" s="40"/>
      <c r="BD2" s="40"/>
      <c r="BE2" s="40"/>
      <c r="BF2" s="40"/>
      <c r="BG2" s="40"/>
      <c r="BH2" s="40"/>
      <c r="BI2" s="40"/>
      <c r="BJ2" s="40"/>
      <c r="BK2" s="40"/>
      <c r="BL2" s="40"/>
      <c r="BM2" s="40"/>
      <c r="BN2" s="40"/>
      <c r="BO2" s="40"/>
      <c r="BP2" s="40"/>
      <c r="BQ2" s="40"/>
      <c r="BR2" s="40"/>
      <c r="BS2" s="40"/>
      <c r="BT2" s="40"/>
      <c r="BU2" s="40"/>
      <c r="BV2" s="40"/>
      <c r="BW2" s="40"/>
      <c r="BX2" s="40"/>
      <c r="BY2" s="40"/>
      <c r="BZ2" s="40"/>
      <c r="CA2" s="40"/>
      <c r="CB2" s="40"/>
      <c r="CC2" s="40"/>
      <c r="CD2" s="40"/>
      <c r="CE2" s="40"/>
      <c r="CF2" s="40"/>
      <c r="CG2" s="40"/>
      <c r="CH2" s="40"/>
      <c r="CI2" s="40"/>
      <c r="CJ2" s="40"/>
      <c r="CK2" s="40"/>
      <c r="CL2" s="40"/>
      <c r="CM2" s="40"/>
      <c r="CN2" s="40"/>
      <c r="CO2" s="40"/>
      <c r="CP2" s="40"/>
      <c r="CQ2" s="40"/>
      <c r="CR2" s="40"/>
      <c r="CS2" s="40"/>
      <c r="CT2" s="40"/>
      <c r="CU2" s="40"/>
      <c r="CV2" s="40"/>
      <c r="CW2" s="40"/>
      <c r="CX2" s="40"/>
      <c r="CY2" s="40"/>
      <c r="CZ2" s="40"/>
      <c r="DA2" s="40"/>
      <c r="DB2" s="40"/>
      <c r="DC2" s="40"/>
      <c r="DD2" s="40"/>
      <c r="DE2" s="40"/>
      <c r="DF2" s="40"/>
      <c r="DG2" s="40"/>
      <c r="DH2" s="40"/>
      <c r="DI2" s="40"/>
      <c r="DJ2" s="40"/>
      <c r="DK2" s="40"/>
      <c r="DL2" s="40"/>
      <c r="DM2" s="40"/>
      <c r="DN2" s="40"/>
      <c r="DO2" s="40"/>
      <c r="DP2" s="40"/>
      <c r="DQ2" s="40"/>
      <c r="DR2" s="40"/>
      <c r="DS2" s="40"/>
      <c r="DT2" s="40"/>
      <c r="DU2" s="40"/>
      <c r="DV2" s="40"/>
      <c r="DW2" s="40"/>
      <c r="DX2" s="40"/>
      <c r="DY2" s="40"/>
      <c r="DZ2" s="40"/>
      <c r="EA2" s="40"/>
      <c r="EB2" s="40"/>
      <c r="EC2" s="41"/>
    </row>
    <row r="3" spans="1:170" s="49" customFormat="1" ht="24.95" customHeight="1">
      <c r="A3" s="45" t="s">
        <v>16</v>
      </c>
      <c r="B3" s="40"/>
      <c r="C3" s="40"/>
      <c r="D3" s="40"/>
      <c r="E3" s="40"/>
      <c r="F3" s="40"/>
      <c r="G3" s="40"/>
      <c r="H3" s="40"/>
      <c r="I3" s="40"/>
      <c r="J3" s="40"/>
      <c r="K3" s="41"/>
      <c r="L3" s="42" t="s">
        <v>193</v>
      </c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3"/>
      <c r="AY3" s="43"/>
      <c r="AZ3" s="43"/>
      <c r="BA3" s="43"/>
      <c r="BB3" s="43"/>
      <c r="BC3" s="43"/>
      <c r="BD3" s="43"/>
      <c r="BE3" s="43"/>
      <c r="BF3" s="43"/>
      <c r="BG3" s="43"/>
      <c r="BH3" s="43"/>
      <c r="BI3" s="43"/>
      <c r="BJ3" s="43"/>
      <c r="BK3" s="43"/>
      <c r="BL3" s="43"/>
      <c r="BM3" s="43"/>
      <c r="BN3" s="43"/>
      <c r="BO3" s="43"/>
      <c r="BP3" s="43"/>
      <c r="BQ3" s="43"/>
      <c r="BR3" s="43"/>
      <c r="BS3" s="43"/>
      <c r="BT3" s="43"/>
      <c r="BU3" s="43"/>
      <c r="BV3" s="43"/>
      <c r="BW3" s="43"/>
      <c r="BX3" s="43"/>
      <c r="BY3" s="43"/>
      <c r="BZ3" s="43"/>
      <c r="CA3" s="43"/>
      <c r="CB3" s="43"/>
      <c r="CC3" s="43"/>
      <c r="CD3" s="43"/>
      <c r="CE3" s="43"/>
      <c r="CF3" s="43"/>
      <c r="CG3" s="43"/>
      <c r="CH3" s="43"/>
      <c r="CI3" s="43"/>
      <c r="CJ3" s="43"/>
      <c r="CK3" s="43"/>
      <c r="CL3" s="43"/>
      <c r="CM3" s="43"/>
      <c r="CN3" s="43"/>
      <c r="CO3" s="43"/>
      <c r="CP3" s="43"/>
      <c r="CQ3" s="44"/>
      <c r="CR3" s="45" t="s">
        <v>17</v>
      </c>
      <c r="CS3" s="40"/>
      <c r="CT3" s="40"/>
      <c r="CU3" s="40"/>
      <c r="CV3" s="40"/>
      <c r="CW3" s="40"/>
      <c r="CX3" s="40"/>
      <c r="CY3" s="40"/>
      <c r="CZ3" s="40"/>
      <c r="DA3" s="41"/>
      <c r="DB3" s="45" t="s">
        <v>18</v>
      </c>
      <c r="DC3" s="40"/>
      <c r="DD3" s="40"/>
      <c r="DE3" s="40"/>
      <c r="DF3" s="40"/>
      <c r="DG3" s="40"/>
      <c r="DH3" s="40"/>
      <c r="DI3" s="40"/>
      <c r="DJ3" s="41"/>
      <c r="DK3" s="45" t="s">
        <v>19</v>
      </c>
      <c r="DL3" s="40"/>
      <c r="DM3" s="40"/>
      <c r="DN3" s="40"/>
      <c r="DO3" s="40"/>
      <c r="DP3" s="40"/>
      <c r="DQ3" s="40"/>
      <c r="DR3" s="40"/>
      <c r="DS3" s="40"/>
      <c r="DT3" s="41"/>
      <c r="DU3" s="46"/>
      <c r="DV3" s="47"/>
      <c r="DW3" s="47"/>
      <c r="DX3" s="47"/>
      <c r="DY3" s="47"/>
      <c r="DZ3" s="47"/>
      <c r="EA3" s="47"/>
      <c r="EB3" s="47"/>
      <c r="EC3" s="48"/>
    </row>
    <row r="4" spans="1:170" s="49" customFormat="1" ht="24.95" customHeight="1">
      <c r="A4" s="45" t="s">
        <v>169</v>
      </c>
      <c r="B4" s="40"/>
      <c r="C4" s="40"/>
      <c r="D4" s="40"/>
      <c r="E4" s="40"/>
      <c r="F4" s="40"/>
      <c r="G4" s="40"/>
      <c r="H4" s="40"/>
      <c r="I4" s="40"/>
      <c r="J4" s="40"/>
      <c r="K4" s="41"/>
      <c r="L4" s="42" t="s">
        <v>103</v>
      </c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3"/>
      <c r="AY4" s="43"/>
      <c r="AZ4" s="43"/>
      <c r="BA4" s="43"/>
      <c r="BB4" s="43"/>
      <c r="BC4" s="43"/>
      <c r="BD4" s="43"/>
      <c r="BE4" s="43"/>
      <c r="BF4" s="43"/>
      <c r="BG4" s="43"/>
      <c r="BH4" s="43"/>
      <c r="BI4" s="43"/>
      <c r="BJ4" s="43"/>
      <c r="BK4" s="43"/>
      <c r="BL4" s="43"/>
      <c r="BM4" s="43"/>
      <c r="BN4" s="43"/>
      <c r="BO4" s="43"/>
      <c r="BP4" s="43"/>
      <c r="BQ4" s="43"/>
      <c r="BR4" s="43"/>
      <c r="BS4" s="43"/>
      <c r="BT4" s="43"/>
      <c r="BU4" s="43"/>
      <c r="BV4" s="43"/>
      <c r="BW4" s="43"/>
      <c r="BX4" s="43"/>
      <c r="BY4" s="43"/>
      <c r="BZ4" s="43"/>
      <c r="CA4" s="43"/>
      <c r="CB4" s="43"/>
      <c r="CC4" s="43"/>
      <c r="CD4" s="43"/>
      <c r="CE4" s="43"/>
      <c r="CF4" s="43"/>
      <c r="CG4" s="43"/>
      <c r="CH4" s="43"/>
      <c r="CI4" s="43"/>
      <c r="CJ4" s="43"/>
      <c r="CK4" s="43"/>
      <c r="CL4" s="43"/>
      <c r="CM4" s="43"/>
      <c r="CN4" s="43"/>
      <c r="CO4" s="43"/>
      <c r="CP4" s="43"/>
      <c r="CQ4" s="44"/>
      <c r="CR4" s="45" t="s">
        <v>20</v>
      </c>
      <c r="CS4" s="40"/>
      <c r="CT4" s="40"/>
      <c r="CU4" s="40"/>
      <c r="CV4" s="40"/>
      <c r="CW4" s="40"/>
      <c r="CX4" s="40"/>
      <c r="CY4" s="40"/>
      <c r="CZ4" s="40"/>
      <c r="DA4" s="41"/>
      <c r="DB4" s="50">
        <v>45898</v>
      </c>
      <c r="DC4" s="51"/>
      <c r="DD4" s="51"/>
      <c r="DE4" s="51"/>
      <c r="DF4" s="51"/>
      <c r="DG4" s="51"/>
      <c r="DH4" s="51"/>
      <c r="DI4" s="51"/>
      <c r="DJ4" s="52"/>
      <c r="DK4" s="45" t="s">
        <v>22</v>
      </c>
      <c r="DL4" s="40"/>
      <c r="DM4" s="40"/>
      <c r="DN4" s="40"/>
      <c r="DO4" s="40"/>
      <c r="DP4" s="40"/>
      <c r="DQ4" s="40"/>
      <c r="DR4" s="40"/>
      <c r="DS4" s="40"/>
      <c r="DT4" s="41"/>
      <c r="DU4" s="50" t="s">
        <v>21</v>
      </c>
      <c r="DV4" s="51"/>
      <c r="DW4" s="51"/>
      <c r="DX4" s="51"/>
      <c r="DY4" s="51"/>
      <c r="DZ4" s="51"/>
      <c r="EA4" s="51"/>
      <c r="EB4" s="51"/>
      <c r="EC4" s="52"/>
    </row>
    <row r="5" spans="1:170" ht="24.95" customHeight="1" thickBot="1">
      <c r="A5" s="53"/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3"/>
      <c r="AP5" s="53"/>
      <c r="AQ5" s="53"/>
      <c r="AR5" s="53"/>
      <c r="AS5" s="53"/>
      <c r="AT5" s="53"/>
      <c r="AU5" s="53"/>
      <c r="AV5" s="53"/>
      <c r="AW5" s="53"/>
      <c r="AX5" s="53"/>
      <c r="AY5" s="53"/>
      <c r="AZ5" s="53"/>
      <c r="BA5" s="53"/>
      <c r="BB5" s="53"/>
      <c r="BC5" s="53"/>
      <c r="BD5" s="53"/>
      <c r="BE5" s="53"/>
      <c r="BF5" s="53"/>
      <c r="BG5" s="53"/>
      <c r="BH5" s="53"/>
      <c r="BI5" s="53"/>
      <c r="BJ5" s="53"/>
      <c r="BK5" s="53"/>
      <c r="BL5" s="53"/>
      <c r="BM5" s="53"/>
      <c r="BN5" s="53"/>
      <c r="BO5" s="53"/>
      <c r="BP5" s="53"/>
      <c r="BQ5" s="53"/>
      <c r="BR5" s="53"/>
      <c r="BS5" s="53"/>
      <c r="BT5" s="53"/>
      <c r="BU5" s="53"/>
      <c r="BV5" s="53"/>
      <c r="BW5" s="53"/>
      <c r="BX5" s="53"/>
      <c r="BY5" s="53"/>
      <c r="BZ5" s="53"/>
      <c r="CA5" s="53"/>
      <c r="CB5" s="53"/>
      <c r="CC5" s="53"/>
      <c r="CD5" s="53"/>
      <c r="CE5" s="53"/>
      <c r="CF5" s="53"/>
      <c r="CG5" s="53"/>
      <c r="CH5" s="53"/>
      <c r="CI5" s="53"/>
      <c r="CJ5" s="53"/>
      <c r="CK5" s="53"/>
      <c r="CL5" s="53"/>
      <c r="CM5" s="53"/>
      <c r="CN5" s="53"/>
      <c r="CO5" s="53"/>
      <c r="CP5" s="53"/>
      <c r="CQ5" s="53"/>
      <c r="CR5" s="53"/>
      <c r="CS5" s="53"/>
      <c r="CT5" s="53"/>
      <c r="CU5" s="53"/>
      <c r="CV5" s="53"/>
      <c r="CW5" s="53"/>
      <c r="CX5" s="53"/>
      <c r="CY5" s="53"/>
      <c r="CZ5" s="53"/>
      <c r="DA5" s="53"/>
      <c r="DB5" s="53"/>
      <c r="DC5" s="53"/>
      <c r="DD5" s="53"/>
      <c r="DE5" s="53"/>
      <c r="DF5" s="53"/>
      <c r="DG5" s="53"/>
      <c r="DH5" s="53"/>
      <c r="DI5" s="53"/>
      <c r="DJ5" s="53"/>
      <c r="DK5" s="53"/>
      <c r="DL5" s="53"/>
      <c r="DM5" s="53"/>
      <c r="DN5" s="53"/>
      <c r="DO5" s="53"/>
      <c r="DP5" s="53"/>
      <c r="DQ5" s="53"/>
      <c r="DR5" s="53"/>
      <c r="DS5" s="53"/>
      <c r="DT5" s="53"/>
      <c r="DU5" s="53"/>
      <c r="DV5" s="53"/>
      <c r="DW5" s="53"/>
      <c r="DX5" s="53"/>
      <c r="DY5" s="53"/>
      <c r="DZ5" s="53"/>
      <c r="EA5" s="53"/>
      <c r="EB5" s="53"/>
      <c r="EC5" s="53"/>
    </row>
    <row r="6" spans="1:170" ht="24.95" customHeight="1">
      <c r="A6" s="54" t="s">
        <v>23</v>
      </c>
      <c r="B6" s="55"/>
      <c r="C6" s="55"/>
      <c r="D6" s="55"/>
      <c r="E6" s="55"/>
      <c r="F6" s="55"/>
      <c r="G6" s="55"/>
      <c r="H6" s="55"/>
      <c r="I6" s="55"/>
      <c r="J6" s="55"/>
      <c r="K6" s="56"/>
      <c r="L6" s="57" t="str">
        <f>変更履歴!V6</f>
        <v>購買共計勘定整理帳</v>
      </c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8"/>
      <c r="AQ6" s="58"/>
      <c r="AR6" s="58"/>
      <c r="AS6" s="58"/>
      <c r="AT6" s="58"/>
      <c r="AU6" s="58"/>
      <c r="AV6" s="58"/>
      <c r="AW6" s="58"/>
      <c r="AX6" s="58"/>
      <c r="AY6" s="58"/>
      <c r="AZ6" s="58"/>
      <c r="BA6" s="58"/>
      <c r="BB6" s="58"/>
      <c r="BC6" s="58"/>
      <c r="BD6" s="58"/>
      <c r="BE6" s="58"/>
      <c r="BF6" s="58"/>
      <c r="BG6" s="58"/>
      <c r="BH6" s="58"/>
      <c r="BI6" s="58"/>
      <c r="BJ6" s="58"/>
      <c r="BK6" s="58"/>
      <c r="BL6" s="58"/>
      <c r="BM6" s="58"/>
      <c r="BN6" s="58"/>
      <c r="BO6" s="58"/>
      <c r="BP6" s="58"/>
      <c r="BQ6" s="58"/>
      <c r="BR6" s="58"/>
      <c r="BS6" s="58"/>
      <c r="BT6" s="58"/>
      <c r="BU6" s="58"/>
      <c r="BV6" s="58"/>
      <c r="BW6" s="58"/>
      <c r="BX6" s="58"/>
      <c r="BY6" s="58"/>
      <c r="BZ6" s="58"/>
      <c r="CA6" s="58"/>
      <c r="CB6" s="58"/>
      <c r="CC6" s="58"/>
      <c r="CD6" s="58"/>
      <c r="CE6" s="58"/>
      <c r="CF6" s="58"/>
      <c r="CG6" s="58"/>
      <c r="CH6" s="58"/>
      <c r="CI6" s="58"/>
      <c r="CJ6" s="58"/>
      <c r="CK6" s="58"/>
      <c r="CL6" s="58"/>
      <c r="CM6" s="58"/>
      <c r="CN6" s="58"/>
      <c r="CO6" s="58"/>
      <c r="CP6" s="58"/>
      <c r="CQ6" s="58"/>
      <c r="CR6" s="58"/>
      <c r="CS6" s="58"/>
      <c r="CT6" s="58"/>
      <c r="CU6" s="58"/>
      <c r="CV6" s="58"/>
      <c r="CW6" s="58"/>
      <c r="CX6" s="58"/>
      <c r="CY6" s="58"/>
      <c r="CZ6" s="58"/>
      <c r="DA6" s="58"/>
      <c r="DB6" s="58"/>
      <c r="DC6" s="58"/>
      <c r="DD6" s="58"/>
      <c r="DE6" s="58"/>
      <c r="DF6" s="58"/>
      <c r="DG6" s="58"/>
      <c r="DH6" s="58"/>
      <c r="DI6" s="58"/>
      <c r="DJ6" s="58"/>
      <c r="DK6" s="58"/>
      <c r="DL6" s="58"/>
      <c r="DM6" s="58"/>
      <c r="DN6" s="58"/>
      <c r="DO6" s="58"/>
      <c r="DP6" s="58"/>
      <c r="DQ6" s="58"/>
      <c r="DR6" s="58"/>
      <c r="DS6" s="58"/>
      <c r="DT6" s="58"/>
      <c r="DU6" s="58"/>
      <c r="DV6" s="58"/>
      <c r="DW6" s="58"/>
      <c r="DX6" s="58"/>
      <c r="DY6" s="58"/>
      <c r="DZ6" s="58"/>
      <c r="EA6" s="58"/>
      <c r="EB6" s="58"/>
      <c r="EC6" s="59"/>
    </row>
    <row r="7" spans="1:170" ht="24.95" customHeight="1">
      <c r="A7" s="1">
        <v>0</v>
      </c>
      <c r="B7" s="39" t="s">
        <v>24</v>
      </c>
      <c r="C7" s="39" t="s">
        <v>24</v>
      </c>
      <c r="D7" s="39" t="s">
        <v>24</v>
      </c>
      <c r="E7" s="39" t="s">
        <v>24</v>
      </c>
      <c r="F7" s="39" t="s">
        <v>24</v>
      </c>
      <c r="G7" s="39" t="s">
        <v>24</v>
      </c>
      <c r="H7" s="39" t="s">
        <v>24</v>
      </c>
      <c r="I7" s="39" t="s">
        <v>24</v>
      </c>
      <c r="J7" s="39" t="s">
        <v>24</v>
      </c>
      <c r="K7" s="39">
        <v>1</v>
      </c>
      <c r="L7" s="39" t="s">
        <v>24</v>
      </c>
      <c r="M7" s="39" t="s">
        <v>24</v>
      </c>
      <c r="N7" s="39" t="s">
        <v>24</v>
      </c>
      <c r="O7" s="39" t="s">
        <v>24</v>
      </c>
      <c r="P7" s="39" t="s">
        <v>24</v>
      </c>
      <c r="Q7" s="39" t="s">
        <v>24</v>
      </c>
      <c r="R7" s="39" t="s">
        <v>24</v>
      </c>
      <c r="S7" s="39" t="s">
        <v>24</v>
      </c>
      <c r="T7" s="39" t="s">
        <v>24</v>
      </c>
      <c r="U7" s="39">
        <v>2</v>
      </c>
      <c r="V7" s="39" t="s">
        <v>24</v>
      </c>
      <c r="W7" s="39" t="s">
        <v>24</v>
      </c>
      <c r="X7" s="39" t="s">
        <v>24</v>
      </c>
      <c r="Y7" s="39" t="s">
        <v>24</v>
      </c>
      <c r="Z7" s="39" t="s">
        <v>24</v>
      </c>
      <c r="AA7" s="39" t="s">
        <v>24</v>
      </c>
      <c r="AB7" s="39" t="s">
        <v>24</v>
      </c>
      <c r="AC7" s="39" t="s">
        <v>24</v>
      </c>
      <c r="AD7" s="39" t="s">
        <v>24</v>
      </c>
      <c r="AE7" s="39">
        <v>3</v>
      </c>
      <c r="AF7" s="39" t="s">
        <v>24</v>
      </c>
      <c r="AG7" s="39" t="s">
        <v>24</v>
      </c>
      <c r="AH7" s="39" t="s">
        <v>24</v>
      </c>
      <c r="AI7" s="39" t="s">
        <v>24</v>
      </c>
      <c r="AJ7" s="39" t="s">
        <v>24</v>
      </c>
      <c r="AK7" s="39" t="s">
        <v>24</v>
      </c>
      <c r="AL7" s="39" t="s">
        <v>24</v>
      </c>
      <c r="AM7" s="39" t="s">
        <v>24</v>
      </c>
      <c r="AN7" s="39" t="s">
        <v>24</v>
      </c>
      <c r="AO7" s="39">
        <v>4</v>
      </c>
      <c r="AP7" s="39" t="s">
        <v>24</v>
      </c>
      <c r="AQ7" s="39" t="s">
        <v>24</v>
      </c>
      <c r="AR7" s="39" t="s">
        <v>24</v>
      </c>
      <c r="AS7" s="39" t="s">
        <v>24</v>
      </c>
      <c r="AT7" s="39" t="s">
        <v>24</v>
      </c>
      <c r="AU7" s="39" t="s">
        <v>24</v>
      </c>
      <c r="AV7" s="39" t="s">
        <v>24</v>
      </c>
      <c r="AW7" s="39" t="s">
        <v>24</v>
      </c>
      <c r="AX7" s="39" t="s">
        <v>24</v>
      </c>
      <c r="AY7" s="39">
        <v>5</v>
      </c>
      <c r="AZ7" s="39" t="s">
        <v>24</v>
      </c>
      <c r="BA7" s="39" t="s">
        <v>24</v>
      </c>
      <c r="BB7" s="39" t="s">
        <v>24</v>
      </c>
      <c r="BC7" s="39" t="s">
        <v>24</v>
      </c>
      <c r="BD7" s="39" t="s">
        <v>24</v>
      </c>
      <c r="BE7" s="39" t="s">
        <v>24</v>
      </c>
      <c r="BF7" s="39" t="s">
        <v>24</v>
      </c>
      <c r="BG7" s="39" t="s">
        <v>24</v>
      </c>
      <c r="BH7" s="39" t="s">
        <v>24</v>
      </c>
      <c r="BI7" s="39">
        <v>6</v>
      </c>
      <c r="BJ7" s="39" t="s">
        <v>24</v>
      </c>
      <c r="BK7" s="39" t="s">
        <v>24</v>
      </c>
      <c r="BL7" s="39" t="s">
        <v>24</v>
      </c>
      <c r="BM7" s="39" t="s">
        <v>24</v>
      </c>
      <c r="BN7" s="39" t="s">
        <v>24</v>
      </c>
      <c r="BO7" s="39" t="s">
        <v>24</v>
      </c>
      <c r="BP7" s="39" t="s">
        <v>24</v>
      </c>
      <c r="BQ7" s="39" t="s">
        <v>24</v>
      </c>
      <c r="BR7" s="39" t="s">
        <v>24</v>
      </c>
      <c r="BS7" s="39">
        <v>7</v>
      </c>
      <c r="BT7" s="39" t="s">
        <v>24</v>
      </c>
      <c r="BU7" s="39" t="s">
        <v>24</v>
      </c>
      <c r="BV7" s="39" t="s">
        <v>24</v>
      </c>
      <c r="BW7" s="39" t="s">
        <v>24</v>
      </c>
      <c r="BX7" s="72" t="s">
        <v>24</v>
      </c>
      <c r="BY7" s="72" t="s">
        <v>24</v>
      </c>
      <c r="BZ7" s="39" t="s">
        <v>24</v>
      </c>
      <c r="CA7" s="39" t="s">
        <v>24</v>
      </c>
      <c r="CB7" s="39" t="s">
        <v>24</v>
      </c>
      <c r="CC7" s="39">
        <v>8</v>
      </c>
      <c r="CD7" s="39" t="s">
        <v>24</v>
      </c>
      <c r="CE7" s="39" t="s">
        <v>24</v>
      </c>
      <c r="CF7" s="39" t="s">
        <v>24</v>
      </c>
      <c r="CG7" s="39" t="s">
        <v>24</v>
      </c>
      <c r="CH7" s="39" t="s">
        <v>24</v>
      </c>
      <c r="CI7" s="39" t="s">
        <v>24</v>
      </c>
      <c r="CJ7" s="39" t="s">
        <v>24</v>
      </c>
      <c r="CK7" s="39" t="s">
        <v>24</v>
      </c>
      <c r="CL7" s="39" t="s">
        <v>24</v>
      </c>
      <c r="CM7" s="39">
        <v>9</v>
      </c>
      <c r="CN7" s="39" t="s">
        <v>24</v>
      </c>
      <c r="CO7" s="39" t="s">
        <v>24</v>
      </c>
      <c r="CP7" s="39" t="s">
        <v>24</v>
      </c>
      <c r="CQ7" s="39" t="s">
        <v>24</v>
      </c>
      <c r="CR7" s="39" t="s">
        <v>24</v>
      </c>
      <c r="CS7" s="39" t="s">
        <v>24</v>
      </c>
      <c r="CT7" s="39" t="s">
        <v>24</v>
      </c>
      <c r="CU7" s="39" t="s">
        <v>24</v>
      </c>
      <c r="CV7" s="39" t="s">
        <v>24</v>
      </c>
      <c r="CW7" s="39">
        <v>0</v>
      </c>
      <c r="CX7" s="39" t="s">
        <v>24</v>
      </c>
      <c r="CY7" s="39" t="s">
        <v>24</v>
      </c>
      <c r="CZ7" s="39" t="s">
        <v>24</v>
      </c>
      <c r="DA7" s="39" t="s">
        <v>24</v>
      </c>
      <c r="DB7" s="39" t="s">
        <v>24</v>
      </c>
      <c r="DC7" s="39" t="s">
        <v>24</v>
      </c>
      <c r="DD7" s="39" t="s">
        <v>24</v>
      </c>
      <c r="DE7" s="39" t="s">
        <v>24</v>
      </c>
      <c r="DF7" s="39" t="s">
        <v>24</v>
      </c>
      <c r="DG7" s="39">
        <v>1</v>
      </c>
      <c r="DH7" s="39" t="s">
        <v>24</v>
      </c>
      <c r="DI7" s="39" t="s">
        <v>24</v>
      </c>
      <c r="DJ7" s="39" t="s">
        <v>24</v>
      </c>
      <c r="DK7" s="39" t="s">
        <v>24</v>
      </c>
      <c r="DL7" s="39" t="s">
        <v>24</v>
      </c>
      <c r="DM7" s="39" t="s">
        <v>24</v>
      </c>
      <c r="DN7" s="39" t="s">
        <v>24</v>
      </c>
      <c r="DO7" s="39" t="s">
        <v>24</v>
      </c>
      <c r="DP7" s="39" t="s">
        <v>24</v>
      </c>
      <c r="DQ7" s="39">
        <v>2</v>
      </c>
      <c r="DR7" s="39" t="s">
        <v>24</v>
      </c>
      <c r="DS7" s="39" t="s">
        <v>24</v>
      </c>
      <c r="DT7" s="39" t="s">
        <v>24</v>
      </c>
      <c r="DU7" s="39" t="s">
        <v>24</v>
      </c>
      <c r="DV7" s="39" t="s">
        <v>24</v>
      </c>
      <c r="DW7" s="39" t="s">
        <v>24</v>
      </c>
      <c r="DX7" s="39" t="s">
        <v>24</v>
      </c>
      <c r="DY7" s="39" t="s">
        <v>24</v>
      </c>
      <c r="DZ7" s="39" t="s">
        <v>24</v>
      </c>
      <c r="EA7" s="39">
        <v>3</v>
      </c>
      <c r="EB7" s="39" t="s">
        <v>24</v>
      </c>
      <c r="EC7" s="2" t="s">
        <v>24</v>
      </c>
    </row>
    <row r="8" spans="1:170" ht="24.95" customHeight="1">
      <c r="A8" s="1">
        <v>0</v>
      </c>
      <c r="B8" s="39">
        <f t="shared" ref="B8:J8" si="0">(A8+1)</f>
        <v>1</v>
      </c>
      <c r="C8" s="39">
        <f t="shared" si="0"/>
        <v>2</v>
      </c>
      <c r="D8" s="39">
        <f t="shared" si="0"/>
        <v>3</v>
      </c>
      <c r="E8" s="39">
        <f t="shared" si="0"/>
        <v>4</v>
      </c>
      <c r="F8" s="39">
        <f t="shared" si="0"/>
        <v>5</v>
      </c>
      <c r="G8" s="39">
        <f t="shared" si="0"/>
        <v>6</v>
      </c>
      <c r="H8" s="39">
        <f t="shared" si="0"/>
        <v>7</v>
      </c>
      <c r="I8" s="39">
        <f t="shared" si="0"/>
        <v>8</v>
      </c>
      <c r="J8" s="39">
        <f t="shared" si="0"/>
        <v>9</v>
      </c>
      <c r="K8" s="39">
        <v>0</v>
      </c>
      <c r="L8" s="39">
        <f t="shared" ref="L8:T8" si="1">(K8+1)</f>
        <v>1</v>
      </c>
      <c r="M8" s="39">
        <f t="shared" si="1"/>
        <v>2</v>
      </c>
      <c r="N8" s="39">
        <f t="shared" si="1"/>
        <v>3</v>
      </c>
      <c r="O8" s="39">
        <f t="shared" si="1"/>
        <v>4</v>
      </c>
      <c r="P8" s="39">
        <f t="shared" si="1"/>
        <v>5</v>
      </c>
      <c r="Q8" s="39">
        <f t="shared" si="1"/>
        <v>6</v>
      </c>
      <c r="R8" s="39">
        <f t="shared" si="1"/>
        <v>7</v>
      </c>
      <c r="S8" s="39">
        <f t="shared" si="1"/>
        <v>8</v>
      </c>
      <c r="T8" s="39">
        <f t="shared" si="1"/>
        <v>9</v>
      </c>
      <c r="U8" s="39">
        <v>0</v>
      </c>
      <c r="V8" s="39">
        <f t="shared" ref="V8:AD8" si="2">(U8+1)</f>
        <v>1</v>
      </c>
      <c r="W8" s="39">
        <f t="shared" si="2"/>
        <v>2</v>
      </c>
      <c r="X8" s="39">
        <f t="shared" si="2"/>
        <v>3</v>
      </c>
      <c r="Y8" s="39">
        <f t="shared" si="2"/>
        <v>4</v>
      </c>
      <c r="Z8" s="39">
        <f t="shared" si="2"/>
        <v>5</v>
      </c>
      <c r="AA8" s="39">
        <f t="shared" si="2"/>
        <v>6</v>
      </c>
      <c r="AB8" s="39">
        <f t="shared" si="2"/>
        <v>7</v>
      </c>
      <c r="AC8" s="39">
        <f t="shared" si="2"/>
        <v>8</v>
      </c>
      <c r="AD8" s="39">
        <f t="shared" si="2"/>
        <v>9</v>
      </c>
      <c r="AE8" s="39">
        <v>0</v>
      </c>
      <c r="AF8" s="39">
        <f t="shared" ref="AF8:AN8" si="3">(AE8+1)</f>
        <v>1</v>
      </c>
      <c r="AG8" s="39">
        <f t="shared" si="3"/>
        <v>2</v>
      </c>
      <c r="AH8" s="39">
        <f t="shared" si="3"/>
        <v>3</v>
      </c>
      <c r="AI8" s="39">
        <f t="shared" si="3"/>
        <v>4</v>
      </c>
      <c r="AJ8" s="39">
        <f t="shared" si="3"/>
        <v>5</v>
      </c>
      <c r="AK8" s="39">
        <f t="shared" si="3"/>
        <v>6</v>
      </c>
      <c r="AL8" s="39">
        <f t="shared" si="3"/>
        <v>7</v>
      </c>
      <c r="AM8" s="39">
        <f t="shared" si="3"/>
        <v>8</v>
      </c>
      <c r="AN8" s="39">
        <f t="shared" si="3"/>
        <v>9</v>
      </c>
      <c r="AO8" s="39">
        <v>0</v>
      </c>
      <c r="AP8" s="39">
        <f t="shared" ref="AP8:AX8" si="4">(AO8+1)</f>
        <v>1</v>
      </c>
      <c r="AQ8" s="39">
        <f t="shared" si="4"/>
        <v>2</v>
      </c>
      <c r="AR8" s="39">
        <f t="shared" si="4"/>
        <v>3</v>
      </c>
      <c r="AS8" s="39">
        <f t="shared" si="4"/>
        <v>4</v>
      </c>
      <c r="AT8" s="39">
        <f t="shared" si="4"/>
        <v>5</v>
      </c>
      <c r="AU8" s="39">
        <f t="shared" si="4"/>
        <v>6</v>
      </c>
      <c r="AV8" s="39">
        <f t="shared" si="4"/>
        <v>7</v>
      </c>
      <c r="AW8" s="39">
        <f t="shared" si="4"/>
        <v>8</v>
      </c>
      <c r="AX8" s="39">
        <f t="shared" si="4"/>
        <v>9</v>
      </c>
      <c r="AY8" s="39">
        <v>0</v>
      </c>
      <c r="AZ8" s="39">
        <f t="shared" ref="AZ8:BH8" si="5">(AY8+1)</f>
        <v>1</v>
      </c>
      <c r="BA8" s="39">
        <f t="shared" si="5"/>
        <v>2</v>
      </c>
      <c r="BB8" s="39">
        <f t="shared" si="5"/>
        <v>3</v>
      </c>
      <c r="BC8" s="39">
        <f t="shared" si="5"/>
        <v>4</v>
      </c>
      <c r="BD8" s="39">
        <f t="shared" si="5"/>
        <v>5</v>
      </c>
      <c r="BE8" s="39">
        <f t="shared" si="5"/>
        <v>6</v>
      </c>
      <c r="BF8" s="39">
        <f t="shared" si="5"/>
        <v>7</v>
      </c>
      <c r="BG8" s="39">
        <f t="shared" si="5"/>
        <v>8</v>
      </c>
      <c r="BH8" s="39">
        <f t="shared" si="5"/>
        <v>9</v>
      </c>
      <c r="BI8" s="39">
        <v>0</v>
      </c>
      <c r="BJ8" s="39">
        <f t="shared" ref="BJ8:BR8" si="6">(BI8+1)</f>
        <v>1</v>
      </c>
      <c r="BK8" s="39">
        <f t="shared" si="6"/>
        <v>2</v>
      </c>
      <c r="BL8" s="39">
        <f t="shared" si="6"/>
        <v>3</v>
      </c>
      <c r="BM8" s="39">
        <f t="shared" si="6"/>
        <v>4</v>
      </c>
      <c r="BN8" s="39">
        <f t="shared" si="6"/>
        <v>5</v>
      </c>
      <c r="BO8" s="39">
        <f t="shared" si="6"/>
        <v>6</v>
      </c>
      <c r="BP8" s="39">
        <f t="shared" si="6"/>
        <v>7</v>
      </c>
      <c r="BQ8" s="39">
        <f t="shared" si="6"/>
        <v>8</v>
      </c>
      <c r="BR8" s="39">
        <f t="shared" si="6"/>
        <v>9</v>
      </c>
      <c r="BS8" s="39">
        <v>0</v>
      </c>
      <c r="BT8" s="39">
        <f t="shared" ref="BT8:CB8" si="7">(BS8+1)</f>
        <v>1</v>
      </c>
      <c r="BU8" s="39">
        <f t="shared" si="7"/>
        <v>2</v>
      </c>
      <c r="BV8" s="39">
        <f t="shared" si="7"/>
        <v>3</v>
      </c>
      <c r="BW8" s="39">
        <f t="shared" si="7"/>
        <v>4</v>
      </c>
      <c r="BX8" s="39">
        <f t="shared" si="7"/>
        <v>5</v>
      </c>
      <c r="BY8" s="39">
        <f t="shared" si="7"/>
        <v>6</v>
      </c>
      <c r="BZ8" s="39">
        <f t="shared" si="7"/>
        <v>7</v>
      </c>
      <c r="CA8" s="39">
        <f t="shared" si="7"/>
        <v>8</v>
      </c>
      <c r="CB8" s="39">
        <f t="shared" si="7"/>
        <v>9</v>
      </c>
      <c r="CC8" s="39">
        <v>0</v>
      </c>
      <c r="CD8" s="39">
        <f t="shared" ref="CD8:CL8" si="8">(CC8+1)</f>
        <v>1</v>
      </c>
      <c r="CE8" s="39">
        <f t="shared" si="8"/>
        <v>2</v>
      </c>
      <c r="CF8" s="39">
        <f t="shared" si="8"/>
        <v>3</v>
      </c>
      <c r="CG8" s="39">
        <f t="shared" si="8"/>
        <v>4</v>
      </c>
      <c r="CH8" s="39">
        <f t="shared" si="8"/>
        <v>5</v>
      </c>
      <c r="CI8" s="39">
        <f t="shared" si="8"/>
        <v>6</v>
      </c>
      <c r="CJ8" s="39">
        <f t="shared" si="8"/>
        <v>7</v>
      </c>
      <c r="CK8" s="39">
        <f t="shared" si="8"/>
        <v>8</v>
      </c>
      <c r="CL8" s="39">
        <f t="shared" si="8"/>
        <v>9</v>
      </c>
      <c r="CM8" s="39">
        <v>0</v>
      </c>
      <c r="CN8" s="39">
        <f t="shared" ref="CN8:CV8" si="9">(CM8+1)</f>
        <v>1</v>
      </c>
      <c r="CO8" s="39">
        <f t="shared" si="9"/>
        <v>2</v>
      </c>
      <c r="CP8" s="39">
        <f t="shared" si="9"/>
        <v>3</v>
      </c>
      <c r="CQ8" s="39">
        <f t="shared" si="9"/>
        <v>4</v>
      </c>
      <c r="CR8" s="39">
        <f t="shared" si="9"/>
        <v>5</v>
      </c>
      <c r="CS8" s="39">
        <f t="shared" si="9"/>
        <v>6</v>
      </c>
      <c r="CT8" s="39">
        <f t="shared" si="9"/>
        <v>7</v>
      </c>
      <c r="CU8" s="39">
        <f t="shared" si="9"/>
        <v>8</v>
      </c>
      <c r="CV8" s="39">
        <f t="shared" si="9"/>
        <v>9</v>
      </c>
      <c r="CW8" s="39">
        <v>0</v>
      </c>
      <c r="CX8" s="39">
        <f t="shared" ref="CX8:DF8" si="10">(CW8+1)</f>
        <v>1</v>
      </c>
      <c r="CY8" s="39">
        <f t="shared" si="10"/>
        <v>2</v>
      </c>
      <c r="CZ8" s="39">
        <f t="shared" si="10"/>
        <v>3</v>
      </c>
      <c r="DA8" s="39">
        <f t="shared" si="10"/>
        <v>4</v>
      </c>
      <c r="DB8" s="39">
        <f t="shared" si="10"/>
        <v>5</v>
      </c>
      <c r="DC8" s="39">
        <f t="shared" si="10"/>
        <v>6</v>
      </c>
      <c r="DD8" s="39">
        <f t="shared" si="10"/>
        <v>7</v>
      </c>
      <c r="DE8" s="39">
        <f t="shared" si="10"/>
        <v>8</v>
      </c>
      <c r="DF8" s="39">
        <f t="shared" si="10"/>
        <v>9</v>
      </c>
      <c r="DG8" s="39">
        <v>0</v>
      </c>
      <c r="DH8" s="39">
        <f t="shared" ref="DH8:DP8" si="11">(DG8+1)</f>
        <v>1</v>
      </c>
      <c r="DI8" s="39">
        <f t="shared" si="11"/>
        <v>2</v>
      </c>
      <c r="DJ8" s="39">
        <f t="shared" si="11"/>
        <v>3</v>
      </c>
      <c r="DK8" s="39">
        <f t="shared" si="11"/>
        <v>4</v>
      </c>
      <c r="DL8" s="39">
        <f t="shared" si="11"/>
        <v>5</v>
      </c>
      <c r="DM8" s="39">
        <f t="shared" si="11"/>
        <v>6</v>
      </c>
      <c r="DN8" s="39">
        <f t="shared" si="11"/>
        <v>7</v>
      </c>
      <c r="DO8" s="39">
        <f t="shared" si="11"/>
        <v>8</v>
      </c>
      <c r="DP8" s="39">
        <f t="shared" si="11"/>
        <v>9</v>
      </c>
      <c r="DQ8" s="39">
        <v>0</v>
      </c>
      <c r="DR8" s="39">
        <f t="shared" ref="DR8:DZ8" si="12">(DQ8+1)</f>
        <v>1</v>
      </c>
      <c r="DS8" s="39">
        <f t="shared" si="12"/>
        <v>2</v>
      </c>
      <c r="DT8" s="39">
        <f t="shared" si="12"/>
        <v>3</v>
      </c>
      <c r="DU8" s="39">
        <f t="shared" si="12"/>
        <v>4</v>
      </c>
      <c r="DV8" s="39">
        <f t="shared" si="12"/>
        <v>5</v>
      </c>
      <c r="DW8" s="39">
        <f t="shared" si="12"/>
        <v>6</v>
      </c>
      <c r="DX8" s="39">
        <f t="shared" si="12"/>
        <v>7</v>
      </c>
      <c r="DY8" s="39">
        <f t="shared" si="12"/>
        <v>8</v>
      </c>
      <c r="DZ8" s="39">
        <f t="shared" si="12"/>
        <v>9</v>
      </c>
      <c r="EA8" s="39">
        <v>0</v>
      </c>
      <c r="EB8" s="39">
        <f>(EA8+1)</f>
        <v>1</v>
      </c>
      <c r="EC8" s="2">
        <f>(EB8+1)</f>
        <v>2</v>
      </c>
    </row>
    <row r="9" spans="1:170" ht="24.75" customHeight="1">
      <c r="A9" s="1">
        <f t="shared" ref="A9:A72" si="13">A8+1</f>
        <v>1</v>
      </c>
      <c r="B9" s="67"/>
      <c r="C9" s="89"/>
      <c r="D9" s="89"/>
      <c r="E9" s="89"/>
      <c r="F9" s="89"/>
      <c r="G9" s="88"/>
      <c r="H9" s="88"/>
      <c r="I9" s="88"/>
      <c r="J9" s="88"/>
      <c r="K9" s="88"/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9"/>
      <c r="AQ9" s="89"/>
      <c r="AR9" s="91"/>
      <c r="AS9" s="91"/>
      <c r="AT9" s="88"/>
      <c r="AU9" s="91"/>
      <c r="AV9" s="91"/>
      <c r="AW9" s="91"/>
      <c r="AX9" s="91"/>
      <c r="AY9" s="91"/>
      <c r="AZ9" s="88"/>
      <c r="BA9" s="88"/>
      <c r="BB9" s="88"/>
      <c r="BC9" s="91"/>
      <c r="BD9" s="91"/>
      <c r="BE9" s="91"/>
      <c r="BF9" s="91"/>
      <c r="BG9" s="91"/>
      <c r="BH9" s="91"/>
      <c r="BI9" s="91"/>
      <c r="BJ9" s="91"/>
      <c r="BK9" s="91"/>
      <c r="BL9" s="91"/>
      <c r="BM9" s="91"/>
      <c r="BN9" s="91"/>
      <c r="BO9" s="91"/>
      <c r="BP9" s="91"/>
      <c r="BQ9" s="91"/>
      <c r="BR9" s="88"/>
      <c r="BS9" s="88" t="s">
        <v>192</v>
      </c>
      <c r="BT9" s="88"/>
      <c r="BU9" s="91"/>
      <c r="BV9" s="88"/>
      <c r="BW9" s="91"/>
      <c r="BX9" s="91"/>
      <c r="BY9" s="91"/>
      <c r="BZ9" s="91"/>
      <c r="CA9" s="91"/>
      <c r="CB9" s="91" t="s">
        <v>98</v>
      </c>
      <c r="CC9" s="91" t="s">
        <v>99</v>
      </c>
      <c r="CD9" s="91" t="s">
        <v>100</v>
      </c>
      <c r="CE9" s="91" t="s">
        <v>101</v>
      </c>
      <c r="CF9" s="91" t="s">
        <v>97</v>
      </c>
      <c r="CG9" s="91"/>
      <c r="CH9" s="88" t="s">
        <v>109</v>
      </c>
      <c r="CI9" s="91"/>
      <c r="CJ9" s="88"/>
      <c r="CK9" s="110"/>
      <c r="CL9" s="88"/>
      <c r="CM9" s="91"/>
      <c r="CN9" s="88"/>
      <c r="CO9" s="88"/>
      <c r="CP9" s="88"/>
      <c r="CQ9" s="88"/>
      <c r="CR9" s="88"/>
      <c r="CS9" s="88"/>
      <c r="CT9" s="91"/>
      <c r="CU9" s="91"/>
      <c r="CV9" s="91"/>
      <c r="CW9" s="91"/>
      <c r="CX9" s="91"/>
      <c r="CY9" s="91"/>
      <c r="CZ9" s="91"/>
      <c r="DA9" s="91"/>
      <c r="DB9" s="91"/>
      <c r="DC9" s="91"/>
      <c r="DD9" s="91"/>
      <c r="DE9" s="91"/>
      <c r="DF9" s="91"/>
      <c r="DG9" s="91"/>
      <c r="DH9" s="91"/>
      <c r="DI9" s="91"/>
      <c r="DJ9" s="91"/>
      <c r="DK9" s="91"/>
      <c r="DL9" s="91"/>
      <c r="DM9" s="91"/>
      <c r="DN9" s="91"/>
      <c r="DO9" s="91"/>
      <c r="DP9" s="91"/>
      <c r="DQ9" s="91"/>
      <c r="DR9" s="91"/>
      <c r="DS9" s="91"/>
      <c r="DT9" s="91"/>
      <c r="DU9" s="91"/>
      <c r="DV9" s="91"/>
      <c r="DW9" s="91"/>
      <c r="DX9" s="91"/>
      <c r="DY9" s="91"/>
      <c r="DZ9" s="91"/>
      <c r="EA9" s="91"/>
      <c r="EB9" s="68"/>
      <c r="EC9" s="82"/>
    </row>
    <row r="10" spans="1:170" ht="24.75" customHeight="1">
      <c r="A10" s="1">
        <f t="shared" si="13"/>
        <v>2</v>
      </c>
      <c r="B10" s="69"/>
      <c r="C10" s="101"/>
      <c r="D10" s="101" t="s">
        <v>360</v>
      </c>
      <c r="E10" s="101"/>
      <c r="F10" s="101"/>
      <c r="G10" s="101"/>
      <c r="H10" s="101"/>
      <c r="I10" s="101"/>
      <c r="J10" s="101"/>
      <c r="K10" s="101"/>
      <c r="L10" s="100"/>
      <c r="M10" s="101"/>
      <c r="N10" s="101"/>
      <c r="O10" s="101"/>
      <c r="P10" s="101"/>
      <c r="Q10" s="101"/>
      <c r="R10" s="101"/>
      <c r="S10" s="101"/>
      <c r="T10" s="101"/>
      <c r="U10" s="101"/>
      <c r="V10" s="101"/>
      <c r="W10" s="101"/>
      <c r="X10" s="101"/>
      <c r="Y10" s="101"/>
      <c r="Z10" s="101"/>
      <c r="AA10" s="101"/>
      <c r="AB10" s="101"/>
      <c r="AC10" s="101"/>
      <c r="AD10" s="101"/>
      <c r="AE10" s="101"/>
      <c r="AF10" s="101"/>
      <c r="AG10" s="101"/>
      <c r="AH10" s="101"/>
      <c r="AI10" s="101"/>
      <c r="AJ10" s="101"/>
      <c r="AK10" s="101"/>
      <c r="AL10" s="103"/>
      <c r="AM10" s="103"/>
      <c r="AN10" s="103"/>
      <c r="AO10" s="103"/>
      <c r="AP10" s="100"/>
      <c r="AQ10" s="100"/>
      <c r="AR10" s="100"/>
      <c r="AS10" s="100"/>
      <c r="AT10" s="100"/>
      <c r="AU10" s="100"/>
      <c r="AV10" s="100"/>
      <c r="AW10" s="100"/>
      <c r="AX10" s="100"/>
      <c r="AY10" s="100"/>
      <c r="AZ10" s="100"/>
      <c r="BA10" s="100"/>
      <c r="BB10" s="100"/>
      <c r="BC10" s="100"/>
      <c r="BD10" s="100"/>
      <c r="BE10" s="100"/>
      <c r="BF10" s="100"/>
      <c r="BG10" s="100"/>
      <c r="BH10" s="100"/>
      <c r="BI10" s="100"/>
      <c r="BJ10" s="100"/>
      <c r="BK10" s="100"/>
      <c r="BL10" s="100"/>
      <c r="BM10" s="100"/>
      <c r="BN10" s="100"/>
      <c r="BO10" s="100"/>
      <c r="BP10" s="100"/>
      <c r="BQ10" s="100"/>
      <c r="BR10" s="100"/>
      <c r="BS10" s="100"/>
      <c r="BT10" s="100"/>
      <c r="BU10" s="100"/>
      <c r="BV10" s="100"/>
      <c r="BW10" s="100"/>
      <c r="BX10" s="100"/>
      <c r="BY10" s="100"/>
      <c r="BZ10" s="100"/>
      <c r="CA10" s="100"/>
      <c r="CB10" s="100"/>
      <c r="CC10" s="100"/>
      <c r="CD10" s="100"/>
      <c r="CE10" s="101"/>
      <c r="CF10" s="101"/>
      <c r="CG10" s="101"/>
      <c r="CH10" s="101"/>
      <c r="CI10" s="101"/>
      <c r="CK10" s="112"/>
      <c r="CN10" s="101"/>
      <c r="CO10" s="49"/>
      <c r="CP10" s="101"/>
      <c r="CQ10" s="101"/>
      <c r="CR10" s="101"/>
      <c r="CS10" s="49"/>
      <c r="CT10" s="93"/>
      <c r="CU10" s="93"/>
      <c r="CV10" s="93"/>
      <c r="CW10" s="93"/>
      <c r="CX10" s="93"/>
      <c r="CY10" s="93"/>
      <c r="CZ10" s="93"/>
      <c r="DA10" s="93"/>
      <c r="DB10" s="93"/>
      <c r="DC10" s="93"/>
      <c r="DD10" s="93"/>
      <c r="DE10" s="93"/>
      <c r="DF10" s="93"/>
      <c r="DG10" s="93"/>
      <c r="DH10" s="93"/>
      <c r="DI10" s="93"/>
      <c r="DJ10" s="93"/>
      <c r="DK10" s="93"/>
      <c r="DL10" s="93"/>
      <c r="DM10" s="93"/>
      <c r="DN10" s="93"/>
      <c r="DO10" s="93"/>
      <c r="DP10" s="93"/>
      <c r="DQ10" s="93"/>
      <c r="DR10" s="93"/>
      <c r="DS10" s="93"/>
      <c r="DT10" s="93"/>
      <c r="DU10" s="93"/>
      <c r="DV10" s="93"/>
      <c r="DW10" s="93"/>
      <c r="DX10" s="93"/>
      <c r="DY10" s="93"/>
      <c r="DZ10" s="93"/>
      <c r="EA10" s="93"/>
      <c r="EB10" s="65"/>
      <c r="EC10" s="76"/>
    </row>
    <row r="11" spans="1:170" ht="24.75" customHeight="1">
      <c r="A11" s="1">
        <f t="shared" si="13"/>
        <v>3</v>
      </c>
      <c r="B11" s="69"/>
      <c r="C11" s="49"/>
      <c r="D11" s="49" t="s">
        <v>116</v>
      </c>
      <c r="E11" s="101"/>
      <c r="F11" s="101"/>
      <c r="G11" s="101"/>
      <c r="H11" s="101"/>
      <c r="I11" s="101"/>
      <c r="J11" s="49" t="s">
        <v>117</v>
      </c>
      <c r="K11" s="49"/>
      <c r="L11" s="49" t="s">
        <v>118</v>
      </c>
      <c r="M11" s="49" t="s">
        <v>110</v>
      </c>
      <c r="N11" s="49"/>
      <c r="O11" s="101"/>
      <c r="P11" s="101"/>
      <c r="Q11" s="101"/>
      <c r="R11" s="101"/>
      <c r="S11" s="101"/>
      <c r="T11" s="101"/>
      <c r="U11" s="101"/>
      <c r="V11" s="101"/>
      <c r="W11" s="101"/>
      <c r="X11" s="49" t="s">
        <v>122</v>
      </c>
      <c r="Y11" s="93"/>
      <c r="Z11" s="94"/>
      <c r="AA11" s="49"/>
      <c r="AB11" s="94"/>
      <c r="AC11" s="93"/>
      <c r="AD11" s="104" t="s">
        <v>113</v>
      </c>
      <c r="AE11" s="93"/>
      <c r="AF11" s="93"/>
      <c r="AG11" s="93"/>
      <c r="AH11" s="101"/>
      <c r="AI11" s="101"/>
      <c r="AJ11" s="101"/>
      <c r="AK11" s="101"/>
      <c r="AL11" s="103"/>
      <c r="AM11" s="103"/>
      <c r="AN11" s="103"/>
      <c r="AO11" s="103"/>
      <c r="AP11" s="100"/>
      <c r="AQ11" s="100"/>
      <c r="AR11" s="100"/>
      <c r="AS11" s="100"/>
      <c r="AT11" s="100"/>
      <c r="AU11" s="100"/>
      <c r="AV11" s="100"/>
      <c r="AW11" s="100"/>
      <c r="AX11" s="100"/>
      <c r="AY11" s="100"/>
      <c r="AZ11" s="100"/>
      <c r="BA11" s="100"/>
      <c r="BB11" s="100"/>
      <c r="BC11" s="100"/>
      <c r="BD11" s="100"/>
      <c r="BE11" s="100"/>
      <c r="BF11" s="100"/>
      <c r="BG11" s="100"/>
      <c r="BH11" s="100"/>
      <c r="BI11" s="100"/>
      <c r="BJ11" s="100"/>
      <c r="BK11" s="100"/>
      <c r="BL11" s="100"/>
      <c r="BM11" s="100"/>
      <c r="BN11" s="100"/>
      <c r="BO11" s="100"/>
      <c r="BP11" s="100"/>
      <c r="BQ11" s="100"/>
      <c r="BR11" s="100"/>
      <c r="BS11" s="100"/>
      <c r="BT11" s="100"/>
      <c r="BU11" s="100"/>
      <c r="BV11" s="100"/>
      <c r="BW11" s="100"/>
      <c r="BX11" s="100"/>
      <c r="BY11" s="100"/>
      <c r="BZ11" s="99"/>
      <c r="CA11" s="99"/>
      <c r="CB11" s="99"/>
      <c r="CC11" s="99"/>
      <c r="CD11" s="99"/>
      <c r="CE11" s="94"/>
      <c r="CF11" s="94"/>
      <c r="CG11" s="94"/>
      <c r="CH11" s="94"/>
      <c r="CI11" s="49"/>
      <c r="CK11" s="112"/>
      <c r="CN11" s="49"/>
      <c r="CO11" s="49"/>
      <c r="CP11" s="49"/>
      <c r="CQ11" s="49"/>
      <c r="CR11" s="49"/>
      <c r="CS11" s="49"/>
      <c r="CT11" s="93"/>
      <c r="CU11" s="93"/>
      <c r="CV11" s="93"/>
      <c r="CW11" s="93"/>
      <c r="CX11" s="93"/>
      <c r="CY11" s="93"/>
      <c r="CZ11" s="93"/>
      <c r="DA11" s="93"/>
      <c r="DB11" s="93"/>
      <c r="DC11" s="93"/>
      <c r="DD11" s="93"/>
      <c r="DE11" s="93"/>
      <c r="DF11" s="93"/>
      <c r="DG11" s="93"/>
      <c r="DH11" s="93"/>
      <c r="DI11" s="93"/>
      <c r="DJ11" s="93"/>
      <c r="DK11" s="93"/>
      <c r="DL11" s="93"/>
      <c r="DM11" s="93"/>
      <c r="DN11" s="93"/>
      <c r="DO11" s="93"/>
      <c r="DP11" s="93"/>
      <c r="DQ11" s="93"/>
      <c r="DR11" s="93"/>
      <c r="DS11" s="93"/>
      <c r="DT11" s="93"/>
      <c r="DU11" s="93"/>
      <c r="DV11" s="93"/>
      <c r="DW11" s="93"/>
      <c r="DX11" s="93"/>
      <c r="DY11" s="93"/>
      <c r="DZ11" s="93"/>
      <c r="EA11" s="93"/>
      <c r="EB11" s="65"/>
      <c r="EC11" s="76"/>
    </row>
    <row r="12" spans="1:170" ht="24.75" customHeight="1">
      <c r="A12" s="1">
        <f t="shared" si="13"/>
        <v>4</v>
      </c>
      <c r="B12" s="69"/>
      <c r="C12" s="49"/>
      <c r="D12" s="49" t="s">
        <v>119</v>
      </c>
      <c r="E12" s="49"/>
      <c r="F12" s="49"/>
      <c r="G12" s="49"/>
      <c r="H12" s="49"/>
      <c r="I12" s="49"/>
      <c r="J12" s="49" t="s">
        <v>105</v>
      </c>
      <c r="K12" s="49"/>
      <c r="L12" s="49" t="s">
        <v>106</v>
      </c>
      <c r="M12" s="49" t="s">
        <v>110</v>
      </c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49"/>
      <c r="AN12" s="49"/>
      <c r="AO12" s="49"/>
      <c r="AT12" s="99"/>
      <c r="AU12" s="99"/>
      <c r="AV12" s="99"/>
      <c r="AW12" s="100"/>
      <c r="AX12" s="100"/>
      <c r="AY12" s="100"/>
      <c r="AZ12" s="100"/>
      <c r="BA12" s="100"/>
      <c r="BB12" s="100"/>
      <c r="BC12" s="100"/>
      <c r="BD12" s="100"/>
      <c r="BE12" s="100"/>
      <c r="BH12" s="49" t="s">
        <v>131</v>
      </c>
      <c r="CK12" s="112"/>
      <c r="DG12" s="49"/>
      <c r="DH12" s="49"/>
      <c r="DI12" s="49"/>
      <c r="DJ12" s="49"/>
      <c r="DK12" s="49"/>
      <c r="DL12" s="49"/>
      <c r="DM12" s="49"/>
      <c r="DN12" s="49"/>
      <c r="DO12" s="49"/>
      <c r="DP12" s="49"/>
      <c r="DQ12" s="49"/>
      <c r="DR12" s="49"/>
      <c r="DS12" s="49"/>
      <c r="DT12" s="49"/>
      <c r="DU12" s="49"/>
      <c r="DV12" s="49"/>
      <c r="DW12" s="49"/>
      <c r="DX12" s="49"/>
      <c r="DY12" s="49"/>
      <c r="DZ12" s="49"/>
      <c r="EA12" s="49"/>
      <c r="EB12" s="65"/>
      <c r="EC12" s="76"/>
      <c r="ED12" s="65"/>
      <c r="EE12" s="65"/>
      <c r="EF12" s="65"/>
      <c r="EG12" s="65"/>
      <c r="EH12" s="65"/>
      <c r="EI12" s="65"/>
      <c r="EJ12" s="65"/>
      <c r="EK12" s="65"/>
      <c r="EL12" s="65"/>
      <c r="EM12" s="65"/>
      <c r="EN12" s="65"/>
      <c r="EO12" s="65"/>
      <c r="EP12" s="65"/>
      <c r="EQ12" s="65"/>
      <c r="ER12" s="65"/>
      <c r="ES12" s="65"/>
      <c r="ET12" s="65"/>
      <c r="EU12" s="65"/>
      <c r="EV12" s="65"/>
      <c r="EW12" s="65"/>
      <c r="EX12" s="65"/>
      <c r="EY12" s="65"/>
      <c r="EZ12" s="65"/>
      <c r="FA12" s="65"/>
      <c r="FB12" s="65"/>
      <c r="FC12" s="65"/>
      <c r="FD12" s="65"/>
      <c r="FE12" s="65"/>
      <c r="FF12" s="65"/>
      <c r="FG12" s="65"/>
      <c r="FH12" s="65"/>
      <c r="FI12" s="65"/>
      <c r="FJ12" s="65"/>
    </row>
    <row r="13" spans="1:170" ht="24.95" customHeight="1">
      <c r="A13" s="1">
        <f t="shared" si="13"/>
        <v>5</v>
      </c>
      <c r="B13" s="69"/>
      <c r="C13" s="93"/>
      <c r="D13" s="49"/>
      <c r="E13" s="93"/>
      <c r="F13" s="94"/>
      <c r="G13" s="49"/>
      <c r="H13" s="94"/>
      <c r="I13" s="93"/>
      <c r="J13" s="104"/>
      <c r="K13" s="93"/>
      <c r="L13" s="93"/>
      <c r="M13" s="93"/>
      <c r="N13" s="93"/>
      <c r="O13" s="93"/>
      <c r="P13" s="93"/>
      <c r="Q13" s="49"/>
      <c r="R13" s="49"/>
      <c r="S13" s="49"/>
      <c r="T13" s="49"/>
      <c r="U13" s="49"/>
      <c r="V13" s="95"/>
      <c r="W13" s="95"/>
      <c r="X13" s="95"/>
      <c r="Y13" s="95"/>
      <c r="Z13" s="95"/>
      <c r="AA13" s="95"/>
      <c r="AB13" s="95"/>
      <c r="AC13" s="95"/>
      <c r="AD13" s="95"/>
      <c r="AE13" s="95"/>
      <c r="AF13" s="95"/>
      <c r="AG13" s="95"/>
      <c r="AH13" s="95"/>
      <c r="AI13" s="95"/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T13" s="49"/>
      <c r="AU13" s="95"/>
      <c r="AV13" s="95"/>
      <c r="AW13" s="95"/>
      <c r="AX13" s="95"/>
      <c r="AY13" s="95"/>
      <c r="AZ13" s="95"/>
      <c r="BA13" s="95"/>
      <c r="BB13" s="95"/>
      <c r="BC13" s="95"/>
      <c r="BD13" s="95"/>
      <c r="BE13" s="95"/>
      <c r="BF13" s="95"/>
      <c r="BG13" s="95"/>
      <c r="BH13" s="95"/>
      <c r="BI13" s="95"/>
      <c r="BJ13" s="95"/>
      <c r="BK13" s="95"/>
      <c r="BL13" s="107"/>
      <c r="BM13" s="95"/>
      <c r="BN13" s="95"/>
      <c r="BO13" s="95"/>
      <c r="BP13" s="95"/>
      <c r="BQ13" s="95"/>
      <c r="BR13" s="95"/>
      <c r="BS13" s="95"/>
      <c r="BT13" s="95"/>
      <c r="BU13" s="95"/>
      <c r="BV13" s="95"/>
      <c r="BW13" s="95"/>
      <c r="BX13" s="95"/>
      <c r="BY13" s="95"/>
      <c r="BZ13" s="95"/>
      <c r="CA13" s="95"/>
      <c r="CB13" s="95"/>
      <c r="CC13" s="95"/>
      <c r="CD13" s="95"/>
      <c r="CE13" s="95"/>
      <c r="CF13" s="95"/>
      <c r="CG13" s="95"/>
      <c r="CH13" s="95"/>
      <c r="CI13" s="95"/>
      <c r="CK13" s="112"/>
      <c r="CN13" s="95"/>
      <c r="CO13" s="95"/>
      <c r="CP13" s="95"/>
      <c r="CQ13" s="95"/>
      <c r="CR13" s="95"/>
      <c r="CS13" s="95"/>
      <c r="CT13" s="95"/>
      <c r="CU13" s="95"/>
      <c r="CV13" s="95"/>
      <c r="CX13" s="95"/>
      <c r="CY13" s="95"/>
      <c r="CZ13" s="95"/>
      <c r="DA13" s="95"/>
      <c r="DB13" s="95"/>
      <c r="DC13" s="95"/>
      <c r="DD13" s="95"/>
      <c r="DE13" s="95"/>
      <c r="DF13" s="95"/>
      <c r="DG13" s="95"/>
      <c r="DH13" s="95"/>
      <c r="DI13" s="95"/>
      <c r="DJ13" s="95"/>
      <c r="DK13" s="95"/>
      <c r="DL13" s="95"/>
      <c r="DM13" s="95"/>
      <c r="DN13" s="95"/>
      <c r="DO13" s="95"/>
      <c r="DP13" s="95"/>
      <c r="DQ13" s="95"/>
      <c r="DR13" s="95"/>
      <c r="DS13" s="95"/>
      <c r="DT13" s="95"/>
      <c r="DU13" s="95"/>
      <c r="DV13" s="95"/>
      <c r="DW13" s="95"/>
      <c r="DX13" s="95"/>
      <c r="DY13" s="95"/>
      <c r="DZ13" s="93"/>
      <c r="EC13" s="2"/>
    </row>
    <row r="14" spans="1:170" ht="24.95" customHeight="1">
      <c r="A14" s="1">
        <f t="shared" si="13"/>
        <v>6</v>
      </c>
      <c r="B14" s="69"/>
      <c r="C14" s="93"/>
      <c r="D14" s="125" t="s">
        <v>408</v>
      </c>
      <c r="E14" s="127"/>
      <c r="F14" s="119"/>
      <c r="G14" s="118"/>
      <c r="H14" s="119"/>
      <c r="I14" s="127"/>
      <c r="J14" s="127"/>
      <c r="K14" s="127"/>
      <c r="L14" s="127"/>
      <c r="M14" s="127"/>
      <c r="N14" s="127"/>
      <c r="O14" s="127"/>
      <c r="P14" s="127"/>
      <c r="Q14" s="118"/>
      <c r="R14" s="118"/>
      <c r="S14" s="118"/>
      <c r="T14" s="118"/>
      <c r="U14" s="118"/>
      <c r="V14" s="120"/>
      <c r="W14" s="120"/>
      <c r="X14" s="120"/>
      <c r="Y14" s="121"/>
      <c r="Z14" s="207" t="s">
        <v>127</v>
      </c>
      <c r="AA14" s="208"/>
      <c r="AB14" s="208"/>
      <c r="AC14" s="208"/>
      <c r="AD14" s="208"/>
      <c r="AE14" s="208"/>
      <c r="AF14" s="208"/>
      <c r="AG14" s="208"/>
      <c r="AH14" s="208"/>
      <c r="AI14" s="208"/>
      <c r="AJ14" s="208"/>
      <c r="AK14" s="208"/>
      <c r="AL14" s="208"/>
      <c r="AM14" s="208"/>
      <c r="AN14" s="208"/>
      <c r="AO14" s="209"/>
      <c r="AP14" s="207" t="s">
        <v>128</v>
      </c>
      <c r="AQ14" s="208"/>
      <c r="AR14" s="208"/>
      <c r="AS14" s="208"/>
      <c r="AT14" s="208"/>
      <c r="AU14" s="208"/>
      <c r="AV14" s="208"/>
      <c r="AW14" s="208"/>
      <c r="AX14" s="208"/>
      <c r="AY14" s="208"/>
      <c r="AZ14" s="208"/>
      <c r="BA14" s="208"/>
      <c r="BB14" s="208"/>
      <c r="BC14" s="208"/>
      <c r="BD14" s="208"/>
      <c r="BE14" s="209"/>
      <c r="BF14" s="207" t="s">
        <v>129</v>
      </c>
      <c r="BG14" s="208"/>
      <c r="BH14" s="208"/>
      <c r="BI14" s="208"/>
      <c r="BJ14" s="208"/>
      <c r="BK14" s="208"/>
      <c r="BL14" s="208"/>
      <c r="BM14" s="208"/>
      <c r="BN14" s="208"/>
      <c r="BO14" s="208"/>
      <c r="BP14" s="208"/>
      <c r="BQ14" s="208"/>
      <c r="BR14" s="208"/>
      <c r="BS14" s="208"/>
      <c r="BT14" s="208"/>
      <c r="BU14" s="209"/>
      <c r="BV14" s="216" t="s">
        <v>218</v>
      </c>
      <c r="BW14" s="208"/>
      <c r="BX14" s="208"/>
      <c r="BY14" s="208"/>
      <c r="BZ14" s="208"/>
      <c r="CA14" s="208"/>
      <c r="CB14" s="209"/>
      <c r="CC14" s="207" t="s">
        <v>196</v>
      </c>
      <c r="CD14" s="208"/>
      <c r="CE14" s="208"/>
      <c r="CF14" s="208"/>
      <c r="CG14" s="208"/>
      <c r="CH14" s="208"/>
      <c r="CI14" s="209"/>
      <c r="CK14" s="112"/>
      <c r="CN14" s="95"/>
      <c r="CO14" s="95"/>
      <c r="CP14" s="95"/>
      <c r="CQ14" s="95"/>
      <c r="CR14" s="95"/>
      <c r="CS14" s="95"/>
      <c r="CT14" s="95"/>
      <c r="CU14" s="95"/>
      <c r="CV14" s="95"/>
      <c r="CW14" s="95"/>
      <c r="CX14" s="95"/>
      <c r="CY14" s="95"/>
      <c r="CZ14" s="95"/>
      <c r="DA14" s="95"/>
      <c r="DB14" s="95"/>
      <c r="DC14" s="95"/>
      <c r="DD14" s="95"/>
      <c r="DE14" s="95"/>
      <c r="DF14" s="95"/>
      <c r="DG14" s="95"/>
      <c r="DH14" s="95"/>
      <c r="DI14" s="95"/>
      <c r="DJ14" s="95"/>
      <c r="DK14" s="95"/>
      <c r="DL14" s="95"/>
      <c r="DM14" s="95"/>
      <c r="DN14" s="95"/>
      <c r="DO14" s="95"/>
      <c r="DP14" s="95"/>
      <c r="DQ14" s="95"/>
      <c r="DR14" s="95"/>
      <c r="DS14" s="95"/>
      <c r="DT14" s="95"/>
      <c r="DU14" s="95"/>
      <c r="DV14" s="95"/>
      <c r="DW14" s="95"/>
      <c r="DX14" s="95"/>
      <c r="DY14" s="95"/>
      <c r="DZ14" s="93"/>
      <c r="EC14" s="2"/>
    </row>
    <row r="15" spans="1:170" ht="24.95" customHeight="1">
      <c r="A15" s="1">
        <f t="shared" si="13"/>
        <v>7</v>
      </c>
      <c r="B15" s="69"/>
      <c r="C15" s="49"/>
      <c r="D15" s="111" t="s">
        <v>429</v>
      </c>
      <c r="E15" s="49"/>
      <c r="F15" s="49"/>
      <c r="G15" s="49"/>
      <c r="H15" s="49"/>
      <c r="I15" s="49"/>
      <c r="J15" s="49"/>
      <c r="K15" s="93"/>
      <c r="L15" s="49"/>
      <c r="M15" s="49"/>
      <c r="N15" s="93"/>
      <c r="O15" s="93"/>
      <c r="P15" s="109"/>
      <c r="Q15" s="49"/>
      <c r="R15" s="49"/>
      <c r="S15" s="49"/>
      <c r="T15" s="49"/>
      <c r="U15" s="49"/>
      <c r="V15" s="49"/>
      <c r="W15" s="49"/>
      <c r="X15" s="109" t="s">
        <v>144</v>
      </c>
      <c r="Y15" s="92"/>
      <c r="Z15" s="216" t="s">
        <v>410</v>
      </c>
      <c r="AA15" s="208"/>
      <c r="AB15" s="208"/>
      <c r="AC15" s="208"/>
      <c r="AD15" s="208"/>
      <c r="AE15" s="208"/>
      <c r="AF15" s="208"/>
      <c r="AG15" s="209"/>
      <c r="AH15" s="216" t="s">
        <v>142</v>
      </c>
      <c r="AI15" s="208"/>
      <c r="AJ15" s="208"/>
      <c r="AK15" s="208"/>
      <c r="AL15" s="208"/>
      <c r="AM15" s="208"/>
      <c r="AN15" s="208"/>
      <c r="AO15" s="209"/>
      <c r="AP15" s="216" t="s">
        <v>410</v>
      </c>
      <c r="AQ15" s="208"/>
      <c r="AR15" s="208"/>
      <c r="AS15" s="208"/>
      <c r="AT15" s="208"/>
      <c r="AU15" s="208"/>
      <c r="AV15" s="208"/>
      <c r="AW15" s="209"/>
      <c r="AX15" s="216" t="s">
        <v>142</v>
      </c>
      <c r="AY15" s="208"/>
      <c r="AZ15" s="208"/>
      <c r="BA15" s="208"/>
      <c r="BB15" s="208"/>
      <c r="BC15" s="208"/>
      <c r="BD15" s="208"/>
      <c r="BE15" s="209"/>
      <c r="BF15" s="216" t="s">
        <v>410</v>
      </c>
      <c r="BG15" s="208"/>
      <c r="BH15" s="208"/>
      <c r="BI15" s="208"/>
      <c r="BJ15" s="208"/>
      <c r="BK15" s="208"/>
      <c r="BL15" s="208"/>
      <c r="BM15" s="209"/>
      <c r="BN15" s="216" t="s">
        <v>143</v>
      </c>
      <c r="BO15" s="208"/>
      <c r="BP15" s="208"/>
      <c r="BQ15" s="208"/>
      <c r="BR15" s="208"/>
      <c r="BS15" s="208"/>
      <c r="BT15" s="208"/>
      <c r="BU15" s="209"/>
      <c r="BV15" s="210"/>
      <c r="BW15" s="211"/>
      <c r="BX15" s="211"/>
      <c r="BY15" s="211"/>
      <c r="BZ15" s="211"/>
      <c r="CA15" s="211"/>
      <c r="CB15" s="212"/>
      <c r="CC15" s="210"/>
      <c r="CD15" s="211"/>
      <c r="CE15" s="211"/>
      <c r="CF15" s="211"/>
      <c r="CG15" s="211"/>
      <c r="CH15" s="211"/>
      <c r="CI15" s="212"/>
      <c r="CK15" s="112"/>
      <c r="CN15" s="49"/>
      <c r="CO15" s="49"/>
      <c r="CP15" s="49"/>
      <c r="CQ15" s="49"/>
      <c r="CR15" s="49"/>
      <c r="CS15" s="49"/>
      <c r="CT15" s="49"/>
      <c r="CU15" s="49"/>
      <c r="CV15" s="49"/>
      <c r="CW15" s="49"/>
      <c r="CX15" s="49"/>
      <c r="CY15" s="49"/>
      <c r="CZ15" s="49"/>
      <c r="DA15" s="49"/>
      <c r="DB15" s="49"/>
      <c r="DC15" s="49"/>
      <c r="DD15" s="49"/>
      <c r="DE15" s="49"/>
      <c r="DF15" s="93"/>
      <c r="DG15" s="93"/>
      <c r="DH15" s="93"/>
      <c r="DI15" s="93"/>
      <c r="DJ15" s="93"/>
      <c r="DK15" s="93"/>
      <c r="DL15" s="93"/>
      <c r="DM15" s="93"/>
      <c r="DN15" s="93"/>
      <c r="DO15" s="93"/>
      <c r="DP15" s="93"/>
      <c r="DQ15" s="93"/>
      <c r="DR15" s="93"/>
      <c r="DS15" s="93"/>
      <c r="DT15" s="93"/>
      <c r="DU15" s="93"/>
      <c r="DV15" s="93"/>
      <c r="DW15" s="93"/>
      <c r="DX15" s="93"/>
      <c r="DY15" s="93"/>
      <c r="DZ15" s="49"/>
      <c r="EC15" s="2"/>
    </row>
    <row r="16" spans="1:170" ht="24.95" customHeight="1">
      <c r="A16" s="1">
        <f t="shared" si="13"/>
        <v>8</v>
      </c>
      <c r="B16" s="69"/>
      <c r="C16" s="93"/>
      <c r="D16" s="111" t="s">
        <v>432</v>
      </c>
      <c r="E16" s="49"/>
      <c r="F16" s="49"/>
      <c r="G16" s="49"/>
      <c r="H16" s="49"/>
      <c r="I16" s="49"/>
      <c r="J16" s="49"/>
      <c r="K16" s="93"/>
      <c r="L16" s="49"/>
      <c r="M16" s="93" t="s">
        <v>104</v>
      </c>
      <c r="N16" s="93"/>
      <c r="O16" s="49"/>
      <c r="P16" s="94"/>
      <c r="Q16" s="93"/>
      <c r="R16" s="93"/>
      <c r="S16" s="93" t="s">
        <v>112</v>
      </c>
      <c r="T16" s="93"/>
      <c r="U16" s="93"/>
      <c r="V16" s="93"/>
      <c r="W16" s="93"/>
      <c r="X16" s="93"/>
      <c r="Y16" s="132"/>
      <c r="Z16" s="210"/>
      <c r="AA16" s="211"/>
      <c r="AB16" s="211"/>
      <c r="AC16" s="211"/>
      <c r="AD16" s="211"/>
      <c r="AE16" s="211"/>
      <c r="AF16" s="211"/>
      <c r="AG16" s="212"/>
      <c r="AH16" s="210"/>
      <c r="AI16" s="211"/>
      <c r="AJ16" s="211"/>
      <c r="AK16" s="211"/>
      <c r="AL16" s="211"/>
      <c r="AM16" s="211"/>
      <c r="AN16" s="211"/>
      <c r="AO16" s="212"/>
      <c r="AP16" s="210"/>
      <c r="AQ16" s="211"/>
      <c r="AR16" s="211"/>
      <c r="AS16" s="211"/>
      <c r="AT16" s="211"/>
      <c r="AU16" s="211"/>
      <c r="AV16" s="211"/>
      <c r="AW16" s="212"/>
      <c r="AX16" s="210"/>
      <c r="AY16" s="211"/>
      <c r="AZ16" s="211"/>
      <c r="BA16" s="211"/>
      <c r="BB16" s="211"/>
      <c r="BC16" s="211"/>
      <c r="BD16" s="211"/>
      <c r="BE16" s="212"/>
      <c r="BF16" s="210"/>
      <c r="BG16" s="211"/>
      <c r="BH16" s="211"/>
      <c r="BI16" s="211"/>
      <c r="BJ16" s="211"/>
      <c r="BK16" s="211"/>
      <c r="BL16" s="211"/>
      <c r="BM16" s="212"/>
      <c r="BN16" s="210"/>
      <c r="BO16" s="211"/>
      <c r="BP16" s="211"/>
      <c r="BQ16" s="211"/>
      <c r="BR16" s="211"/>
      <c r="BS16" s="211"/>
      <c r="BT16" s="211"/>
      <c r="BU16" s="212"/>
      <c r="BV16" s="210"/>
      <c r="BW16" s="211"/>
      <c r="BX16" s="211"/>
      <c r="BY16" s="211"/>
      <c r="BZ16" s="211"/>
      <c r="CA16" s="211"/>
      <c r="CB16" s="212"/>
      <c r="CC16" s="210"/>
      <c r="CD16" s="211"/>
      <c r="CE16" s="211"/>
      <c r="CF16" s="211"/>
      <c r="CG16" s="211"/>
      <c r="CH16" s="211"/>
      <c r="CI16" s="212"/>
      <c r="CK16" s="112"/>
      <c r="CN16" s="93"/>
      <c r="CO16" s="49"/>
      <c r="CP16" s="49"/>
      <c r="CQ16" s="49"/>
      <c r="CR16" s="49"/>
      <c r="CS16" s="49"/>
      <c r="CT16" s="49"/>
      <c r="CU16" s="49"/>
      <c r="CV16" s="49"/>
      <c r="CW16" s="49"/>
      <c r="CX16" s="49"/>
      <c r="CY16" s="49"/>
      <c r="CZ16" s="49"/>
      <c r="DA16" s="49"/>
      <c r="DB16" s="49"/>
      <c r="DC16" s="49"/>
      <c r="DD16" s="49"/>
      <c r="DE16" s="49"/>
      <c r="DF16" s="49"/>
      <c r="DG16" s="49"/>
      <c r="DH16" s="49"/>
      <c r="DI16" s="49"/>
      <c r="DJ16" s="49"/>
      <c r="DK16" s="49"/>
      <c r="DL16" s="49"/>
      <c r="DM16" s="49"/>
      <c r="DN16" s="49"/>
      <c r="DO16" s="49"/>
      <c r="DP16" s="49"/>
      <c r="DQ16" s="49"/>
      <c r="DR16" s="49"/>
      <c r="DS16" s="49"/>
      <c r="DT16" s="49"/>
      <c r="DU16" s="49"/>
      <c r="DV16" s="49"/>
      <c r="DW16" s="49"/>
      <c r="DX16" s="49"/>
      <c r="DY16" s="49"/>
      <c r="DZ16" s="49"/>
      <c r="EC16" s="76"/>
      <c r="ED16" s="65"/>
      <c r="EE16" s="65"/>
      <c r="EF16" s="65"/>
      <c r="EG16" s="65"/>
      <c r="EH16" s="65"/>
      <c r="EI16" s="65"/>
      <c r="EJ16" s="65"/>
      <c r="EK16" s="65"/>
      <c r="EL16" s="65"/>
      <c r="EM16" s="65"/>
      <c r="EN16" s="65"/>
      <c r="EO16" s="65"/>
      <c r="EP16" s="65"/>
      <c r="EQ16" s="65"/>
      <c r="ER16" s="65"/>
      <c r="ES16" s="65"/>
      <c r="ET16" s="65"/>
      <c r="EU16" s="65"/>
      <c r="EV16" s="65"/>
      <c r="EW16" s="65"/>
      <c r="EX16" s="65"/>
      <c r="EY16" s="65"/>
      <c r="EZ16" s="65"/>
      <c r="FA16" s="65"/>
      <c r="FB16" s="65"/>
      <c r="FC16" s="65"/>
      <c r="FD16" s="65"/>
      <c r="FE16" s="65"/>
      <c r="FF16" s="65"/>
      <c r="FG16" s="65"/>
      <c r="FH16" s="65"/>
      <c r="FI16" s="65"/>
      <c r="FJ16" s="65"/>
      <c r="FK16" s="65"/>
      <c r="FL16" s="65"/>
      <c r="FM16" s="65"/>
      <c r="FN16" s="65"/>
    </row>
    <row r="17" spans="1:168" ht="24.75" customHeight="1">
      <c r="A17" s="1">
        <f t="shared" si="13"/>
        <v>9</v>
      </c>
      <c r="B17" s="69"/>
      <c r="C17" s="93"/>
      <c r="D17" s="122"/>
      <c r="E17" s="129"/>
      <c r="F17" s="129"/>
      <c r="G17" s="129"/>
      <c r="H17" s="129"/>
      <c r="I17" s="129"/>
      <c r="J17" s="106"/>
      <c r="K17" s="129"/>
      <c r="L17" s="129"/>
      <c r="M17" s="129"/>
      <c r="N17" s="129"/>
      <c r="O17" s="129"/>
      <c r="P17" s="129"/>
      <c r="Q17" s="129"/>
      <c r="R17" s="129"/>
      <c r="S17" s="129"/>
      <c r="T17" s="106"/>
      <c r="U17" s="129"/>
      <c r="V17" s="129"/>
      <c r="W17" s="129"/>
      <c r="X17" s="129"/>
      <c r="Y17" s="130"/>
      <c r="Z17" s="213"/>
      <c r="AA17" s="214"/>
      <c r="AB17" s="214"/>
      <c r="AC17" s="214"/>
      <c r="AD17" s="214"/>
      <c r="AE17" s="214"/>
      <c r="AF17" s="214"/>
      <c r="AG17" s="215"/>
      <c r="AH17" s="213"/>
      <c r="AI17" s="214"/>
      <c r="AJ17" s="214"/>
      <c r="AK17" s="214"/>
      <c r="AL17" s="214"/>
      <c r="AM17" s="214"/>
      <c r="AN17" s="214"/>
      <c r="AO17" s="215"/>
      <c r="AP17" s="213"/>
      <c r="AQ17" s="214"/>
      <c r="AR17" s="214"/>
      <c r="AS17" s="214"/>
      <c r="AT17" s="214"/>
      <c r="AU17" s="214"/>
      <c r="AV17" s="214"/>
      <c r="AW17" s="215"/>
      <c r="AX17" s="213"/>
      <c r="AY17" s="214"/>
      <c r="AZ17" s="214"/>
      <c r="BA17" s="214"/>
      <c r="BB17" s="214"/>
      <c r="BC17" s="214"/>
      <c r="BD17" s="214"/>
      <c r="BE17" s="215"/>
      <c r="BF17" s="213"/>
      <c r="BG17" s="214"/>
      <c r="BH17" s="214"/>
      <c r="BI17" s="214"/>
      <c r="BJ17" s="214"/>
      <c r="BK17" s="214"/>
      <c r="BL17" s="214"/>
      <c r="BM17" s="215"/>
      <c r="BN17" s="213"/>
      <c r="BO17" s="214"/>
      <c r="BP17" s="214"/>
      <c r="BQ17" s="214"/>
      <c r="BR17" s="214"/>
      <c r="BS17" s="214"/>
      <c r="BT17" s="214"/>
      <c r="BU17" s="215"/>
      <c r="BV17" s="213"/>
      <c r="BW17" s="214"/>
      <c r="BX17" s="214"/>
      <c r="BY17" s="214"/>
      <c r="BZ17" s="214"/>
      <c r="CA17" s="214"/>
      <c r="CB17" s="215"/>
      <c r="CC17" s="213"/>
      <c r="CD17" s="214"/>
      <c r="CE17" s="214"/>
      <c r="CF17" s="214"/>
      <c r="CG17" s="214"/>
      <c r="CH17" s="214"/>
      <c r="CI17" s="215"/>
      <c r="CK17" s="112"/>
      <c r="CN17" s="93"/>
      <c r="CO17" s="93"/>
      <c r="CP17" s="93"/>
      <c r="CQ17" s="93"/>
      <c r="CR17" s="93"/>
      <c r="CS17" s="93"/>
      <c r="CT17" s="93"/>
      <c r="CU17" s="93"/>
      <c r="CV17" s="93"/>
      <c r="CW17" s="93"/>
      <c r="CX17" s="93"/>
      <c r="CY17" s="93"/>
      <c r="CZ17" s="93"/>
      <c r="DA17" s="93"/>
      <c r="DB17" s="93"/>
      <c r="DC17" s="93"/>
      <c r="DD17" s="93"/>
      <c r="DE17" s="93"/>
      <c r="DF17" s="93"/>
      <c r="DG17" s="93"/>
      <c r="DH17" s="93"/>
      <c r="DI17" s="93"/>
      <c r="DJ17" s="93"/>
      <c r="DK17" s="93"/>
      <c r="DL17" s="93"/>
      <c r="DM17" s="93"/>
      <c r="DN17" s="93"/>
      <c r="DO17" s="93"/>
      <c r="DP17" s="93"/>
      <c r="DQ17" s="93"/>
      <c r="DR17" s="93"/>
      <c r="DS17" s="93"/>
      <c r="DT17" s="93"/>
      <c r="DU17" s="93"/>
      <c r="DV17" s="93"/>
      <c r="DW17" s="93"/>
      <c r="DX17" s="93"/>
      <c r="DY17" s="93"/>
      <c r="DZ17" s="49"/>
      <c r="EC17" s="2"/>
    </row>
    <row r="18" spans="1:168" ht="24.95" customHeight="1">
      <c r="A18" s="1">
        <f t="shared" si="13"/>
        <v>10</v>
      </c>
      <c r="B18" s="69"/>
      <c r="C18" s="49"/>
      <c r="D18" s="111" t="s">
        <v>123</v>
      </c>
      <c r="E18" s="49"/>
      <c r="F18" s="49"/>
      <c r="G18" s="93"/>
      <c r="H18" s="93"/>
      <c r="I18" s="93"/>
      <c r="J18" s="108"/>
      <c r="K18" s="95"/>
      <c r="L18" s="93"/>
      <c r="M18" s="93"/>
      <c r="N18" s="93"/>
      <c r="O18" s="93"/>
      <c r="P18" s="93"/>
      <c r="Q18" s="93"/>
      <c r="R18" s="93"/>
      <c r="S18" s="93"/>
      <c r="T18" s="49"/>
      <c r="U18" s="95"/>
      <c r="V18" s="93"/>
      <c r="W18" s="93"/>
      <c r="X18" s="93"/>
      <c r="Y18" s="132"/>
      <c r="Z18" s="111" t="s">
        <v>390</v>
      </c>
      <c r="AA18" s="93"/>
      <c r="AB18" s="93"/>
      <c r="AC18" s="93"/>
      <c r="AD18" s="93"/>
      <c r="AE18" s="95"/>
      <c r="AF18" s="93"/>
      <c r="AG18" s="93"/>
      <c r="AH18" s="131"/>
      <c r="AI18" s="49" t="s">
        <v>126</v>
      </c>
      <c r="AJ18" s="93"/>
      <c r="AK18" s="93"/>
      <c r="AL18" s="93"/>
      <c r="AM18" s="93"/>
      <c r="AN18" s="93"/>
      <c r="AO18" s="98"/>
      <c r="AP18" s="111" t="s">
        <v>390</v>
      </c>
      <c r="AQ18" s="93"/>
      <c r="AR18" s="93"/>
      <c r="AS18" s="93"/>
      <c r="AT18" s="93"/>
      <c r="AU18" s="95"/>
      <c r="AV18" s="93"/>
      <c r="AW18" s="93"/>
      <c r="AX18" s="131"/>
      <c r="AY18" s="49" t="s">
        <v>126</v>
      </c>
      <c r="AZ18" s="93"/>
      <c r="BA18" s="93"/>
      <c r="BB18" s="93"/>
      <c r="BC18" s="93"/>
      <c r="BD18" s="93"/>
      <c r="BE18" s="132"/>
      <c r="BF18" s="111" t="s">
        <v>390</v>
      </c>
      <c r="BG18" s="93"/>
      <c r="BH18" s="93"/>
      <c r="BI18" s="93"/>
      <c r="BJ18" s="93"/>
      <c r="BK18" s="95"/>
      <c r="BL18" s="93"/>
      <c r="BM18" s="93"/>
      <c r="BN18" s="131"/>
      <c r="BO18" s="49" t="s">
        <v>126</v>
      </c>
      <c r="BP18" s="93"/>
      <c r="BQ18" s="93"/>
      <c r="BR18" s="93"/>
      <c r="BS18" s="93"/>
      <c r="BT18" s="93"/>
      <c r="BU18" s="132"/>
      <c r="BV18" s="49" t="s">
        <v>126</v>
      </c>
      <c r="BW18" s="93"/>
      <c r="BX18" s="93"/>
      <c r="BY18" s="93"/>
      <c r="BZ18" s="93"/>
      <c r="CA18" s="95"/>
      <c r="CB18" s="93"/>
      <c r="CC18" s="125" t="s">
        <v>126</v>
      </c>
      <c r="CD18" s="93"/>
      <c r="CE18" s="49"/>
      <c r="CF18" s="93"/>
      <c r="CG18" s="93"/>
      <c r="CH18" s="93"/>
      <c r="CI18" s="132"/>
      <c r="CK18" s="112"/>
      <c r="CN18" s="93"/>
      <c r="CO18" s="95"/>
      <c r="CP18" s="95"/>
      <c r="CQ18" s="95"/>
      <c r="CR18" s="95"/>
      <c r="CS18" s="95"/>
      <c r="CT18" s="95"/>
      <c r="CU18" s="95"/>
      <c r="CV18" s="95"/>
      <c r="CW18" s="95"/>
      <c r="CX18" s="95"/>
      <c r="CY18" s="95"/>
      <c r="CZ18" s="95"/>
      <c r="DA18" s="95"/>
      <c r="DB18" s="95"/>
      <c r="DC18" s="95"/>
      <c r="DD18" s="95"/>
      <c r="DE18" s="95"/>
      <c r="DF18" s="95"/>
      <c r="DG18" s="95"/>
      <c r="DH18" s="95"/>
      <c r="DI18" s="95"/>
      <c r="DJ18" s="95"/>
      <c r="DK18" s="95"/>
      <c r="DL18" s="95"/>
      <c r="DM18" s="95"/>
      <c r="DN18" s="95"/>
      <c r="DO18" s="95"/>
      <c r="DP18" s="95"/>
      <c r="DQ18" s="95"/>
      <c r="DR18" s="95"/>
      <c r="DS18" s="95"/>
      <c r="DT18" s="95"/>
      <c r="DU18" s="95"/>
      <c r="DV18" s="95"/>
      <c r="DW18" s="95"/>
      <c r="DX18" s="95"/>
      <c r="DY18" s="95"/>
      <c r="EC18" s="2"/>
    </row>
    <row r="19" spans="1:168" ht="24.95" customHeight="1">
      <c r="A19" s="1">
        <f t="shared" si="13"/>
        <v>11</v>
      </c>
      <c r="B19" s="69"/>
      <c r="C19" s="49"/>
      <c r="D19" s="111"/>
      <c r="E19" s="49"/>
      <c r="F19" s="49"/>
      <c r="G19" s="93"/>
      <c r="H19" s="93"/>
      <c r="I19" s="93"/>
      <c r="J19" s="108"/>
      <c r="K19" s="95"/>
      <c r="L19" s="93"/>
      <c r="M19" s="93"/>
      <c r="N19" s="93"/>
      <c r="O19" s="93"/>
      <c r="P19" s="93"/>
      <c r="Q19" s="93"/>
      <c r="R19" s="93"/>
      <c r="S19" s="93"/>
      <c r="T19" s="49"/>
      <c r="U19" s="95"/>
      <c r="V19" s="93"/>
      <c r="W19" s="93"/>
      <c r="X19" s="109" t="s">
        <v>215</v>
      </c>
      <c r="Y19" s="132"/>
      <c r="Z19" s="111" t="s">
        <v>126</v>
      </c>
      <c r="AA19" s="93"/>
      <c r="AB19" s="93"/>
      <c r="AC19" s="93"/>
      <c r="AD19" s="93"/>
      <c r="AE19" s="95"/>
      <c r="AF19" s="49"/>
      <c r="AG19" s="93"/>
      <c r="AH19" s="131"/>
      <c r="AI19" s="49" t="s">
        <v>126</v>
      </c>
      <c r="AJ19" s="93"/>
      <c r="AK19" s="93"/>
      <c r="AL19" s="93"/>
      <c r="AM19" s="93"/>
      <c r="AN19" s="93"/>
      <c r="AO19" s="98"/>
      <c r="AP19" s="111" t="s">
        <v>126</v>
      </c>
      <c r="AQ19" s="93"/>
      <c r="AR19" s="93"/>
      <c r="AS19" s="93"/>
      <c r="AT19" s="93"/>
      <c r="AU19" s="95"/>
      <c r="AV19" s="49"/>
      <c r="AW19" s="93"/>
      <c r="AX19" s="131"/>
      <c r="AY19" s="49" t="s">
        <v>126</v>
      </c>
      <c r="AZ19" s="93"/>
      <c r="BA19" s="93"/>
      <c r="BB19" s="93"/>
      <c r="BC19" s="93"/>
      <c r="BD19" s="93"/>
      <c r="BE19" s="132"/>
      <c r="BF19" s="111" t="s">
        <v>126</v>
      </c>
      <c r="BG19" s="93"/>
      <c r="BH19" s="93"/>
      <c r="BI19" s="93"/>
      <c r="BJ19" s="93"/>
      <c r="BK19" s="95"/>
      <c r="BL19" s="49"/>
      <c r="BM19" s="93"/>
      <c r="BN19" s="131"/>
      <c r="BO19" s="49" t="s">
        <v>126</v>
      </c>
      <c r="BP19" s="93"/>
      <c r="BQ19" s="93"/>
      <c r="BR19" s="93"/>
      <c r="BS19" s="93"/>
      <c r="BT19" s="93"/>
      <c r="BU19" s="132"/>
      <c r="BV19" s="49" t="s">
        <v>126</v>
      </c>
      <c r="BW19" s="93"/>
      <c r="BX19" s="93"/>
      <c r="BY19" s="93"/>
      <c r="BZ19" s="93"/>
      <c r="CA19" s="95"/>
      <c r="CB19" s="49"/>
      <c r="CC19" s="111" t="s">
        <v>126</v>
      </c>
      <c r="CD19" s="93"/>
      <c r="CE19" s="49"/>
      <c r="CF19" s="93"/>
      <c r="CG19" s="93"/>
      <c r="CH19" s="93"/>
      <c r="CI19" s="132"/>
      <c r="CK19" s="112"/>
      <c r="CN19" s="93"/>
      <c r="CO19" s="95"/>
      <c r="CP19" s="95"/>
      <c r="CQ19" s="95"/>
      <c r="CR19" s="95"/>
      <c r="CS19" s="95"/>
      <c r="CT19" s="95"/>
      <c r="CU19" s="95"/>
      <c r="CV19" s="95"/>
      <c r="CW19" s="95"/>
      <c r="CX19" s="95"/>
      <c r="CY19" s="95"/>
      <c r="CZ19" s="95"/>
      <c r="DA19" s="95"/>
      <c r="DB19" s="95"/>
      <c r="DC19" s="95"/>
      <c r="DD19" s="95"/>
      <c r="DE19" s="95"/>
      <c r="DF19" s="95"/>
      <c r="DG19" s="95"/>
      <c r="DH19" s="95"/>
      <c r="DI19" s="95"/>
      <c r="DJ19" s="95"/>
      <c r="DK19" s="95"/>
      <c r="DL19" s="95"/>
      <c r="DM19" s="95"/>
      <c r="DN19" s="95"/>
      <c r="DO19" s="95"/>
      <c r="DP19" s="95"/>
      <c r="DQ19" s="95"/>
      <c r="DR19" s="95"/>
      <c r="DS19" s="95"/>
      <c r="DT19" s="95"/>
      <c r="DU19" s="95"/>
      <c r="DV19" s="95"/>
      <c r="DW19" s="95"/>
      <c r="DX19" s="95"/>
      <c r="DY19" s="95"/>
      <c r="EC19" s="2"/>
    </row>
    <row r="20" spans="1:168" ht="24.95" customHeight="1">
      <c r="A20" s="1">
        <f t="shared" si="13"/>
        <v>12</v>
      </c>
      <c r="B20" s="69"/>
      <c r="C20" s="49"/>
      <c r="D20" s="111" t="s">
        <v>195</v>
      </c>
      <c r="E20" s="49"/>
      <c r="F20" s="49"/>
      <c r="G20" s="93"/>
      <c r="H20" s="93"/>
      <c r="I20" s="93"/>
      <c r="J20" s="108"/>
      <c r="K20" s="95"/>
      <c r="L20" s="49"/>
      <c r="M20" s="108"/>
      <c r="N20" s="93"/>
      <c r="O20" s="93"/>
      <c r="P20" s="93"/>
      <c r="Q20" s="93"/>
      <c r="R20" s="93"/>
      <c r="S20" s="93"/>
      <c r="T20" s="93"/>
      <c r="U20" s="95"/>
      <c r="V20" s="49"/>
      <c r="W20" s="93"/>
      <c r="X20" s="109"/>
      <c r="Y20" s="132"/>
      <c r="Z20" s="111" t="s">
        <v>390</v>
      </c>
      <c r="AA20" s="91"/>
      <c r="AB20" s="91"/>
      <c r="AC20" s="91"/>
      <c r="AD20" s="91"/>
      <c r="AE20" s="143"/>
      <c r="AF20" s="88"/>
      <c r="AG20" s="91"/>
      <c r="AH20" s="144"/>
      <c r="AI20" s="88" t="s">
        <v>126</v>
      </c>
      <c r="AJ20" s="91"/>
      <c r="AK20" s="91"/>
      <c r="AL20" s="91"/>
      <c r="AM20" s="91"/>
      <c r="AN20" s="91"/>
      <c r="AO20" s="145"/>
      <c r="AP20" s="111" t="s">
        <v>390</v>
      </c>
      <c r="AQ20" s="91"/>
      <c r="AR20" s="91"/>
      <c r="AS20" s="91"/>
      <c r="AT20" s="91"/>
      <c r="AU20" s="91"/>
      <c r="AV20" s="91"/>
      <c r="AW20" s="91"/>
      <c r="AX20" s="146"/>
      <c r="AY20" s="88" t="s">
        <v>126</v>
      </c>
      <c r="AZ20" s="91"/>
      <c r="BA20" s="143"/>
      <c r="BB20" s="143"/>
      <c r="BC20" s="143"/>
      <c r="BD20" s="143"/>
      <c r="BE20" s="145"/>
      <c r="BF20" s="111" t="s">
        <v>390</v>
      </c>
      <c r="BG20" s="143"/>
      <c r="BH20" s="143"/>
      <c r="BI20" s="143"/>
      <c r="BJ20" s="143"/>
      <c r="BK20" s="143"/>
      <c r="BL20" s="143"/>
      <c r="BM20" s="143"/>
      <c r="BN20" s="146"/>
      <c r="BO20" s="88" t="s">
        <v>126</v>
      </c>
      <c r="BP20" s="91"/>
      <c r="BQ20" s="143"/>
      <c r="BR20" s="143"/>
      <c r="BS20" s="143"/>
      <c r="BT20" s="143"/>
      <c r="BU20" s="145"/>
      <c r="BV20" s="88" t="s">
        <v>126</v>
      </c>
      <c r="BW20" s="143"/>
      <c r="BX20" s="143"/>
      <c r="BY20" s="143"/>
      <c r="BZ20" s="143"/>
      <c r="CA20" s="143"/>
      <c r="CB20" s="143"/>
      <c r="CC20" s="110" t="s">
        <v>126</v>
      </c>
      <c r="CD20" s="143"/>
      <c r="CE20" s="143"/>
      <c r="CF20" s="143"/>
      <c r="CG20" s="143"/>
      <c r="CH20" s="143"/>
      <c r="CI20" s="145"/>
      <c r="CK20" s="112"/>
      <c r="CN20" s="95"/>
      <c r="CO20" s="95"/>
      <c r="CP20" s="95"/>
      <c r="CQ20" s="95"/>
      <c r="CR20" s="95"/>
      <c r="CS20" s="95"/>
      <c r="CT20" s="95"/>
      <c r="CU20" s="95"/>
      <c r="CV20" s="95"/>
      <c r="CW20" s="95"/>
      <c r="CX20" s="95"/>
      <c r="CY20" s="95"/>
      <c r="CZ20" s="95"/>
      <c r="DA20" s="95"/>
      <c r="DB20" s="95"/>
      <c r="DC20" s="95"/>
      <c r="DD20" s="95"/>
      <c r="DE20" s="95"/>
      <c r="DF20" s="95"/>
      <c r="DG20" s="95"/>
      <c r="DH20" s="95"/>
      <c r="DI20" s="95"/>
      <c r="DJ20" s="95"/>
      <c r="DK20" s="95"/>
      <c r="DL20" s="95"/>
      <c r="DM20" s="95"/>
      <c r="DN20" s="95"/>
      <c r="DO20" s="95"/>
      <c r="DP20" s="95"/>
      <c r="DQ20" s="95"/>
      <c r="DR20" s="95"/>
      <c r="DS20" s="95"/>
      <c r="DT20" s="95"/>
      <c r="DU20" s="95"/>
      <c r="DV20" s="95"/>
      <c r="DW20" s="95"/>
      <c r="DX20" s="95"/>
      <c r="DY20" s="95"/>
      <c r="EC20" s="2"/>
    </row>
    <row r="21" spans="1:168" ht="24.95" customHeight="1">
      <c r="A21" s="1">
        <f t="shared" si="13"/>
        <v>13</v>
      </c>
      <c r="B21" s="69"/>
      <c r="C21" s="49"/>
      <c r="D21" s="111" t="s">
        <v>433</v>
      </c>
      <c r="E21" s="49"/>
      <c r="F21" s="49"/>
      <c r="G21" s="93"/>
      <c r="H21" s="93"/>
      <c r="I21" s="93"/>
      <c r="J21" s="95"/>
      <c r="K21" s="95"/>
      <c r="L21" s="49"/>
      <c r="M21" s="104" t="s">
        <v>105</v>
      </c>
      <c r="N21" s="93"/>
      <c r="O21" s="93"/>
      <c r="P21" s="93"/>
      <c r="Q21" s="93"/>
      <c r="R21" s="93"/>
      <c r="S21" s="49" t="s">
        <v>219</v>
      </c>
      <c r="T21" s="93"/>
      <c r="U21" s="95"/>
      <c r="V21" s="49"/>
      <c r="W21" s="93"/>
      <c r="X21" s="109"/>
      <c r="Y21" s="132"/>
      <c r="Z21" s="111" t="s">
        <v>126</v>
      </c>
      <c r="AA21" s="134"/>
      <c r="AB21" s="134"/>
      <c r="AC21" s="134"/>
      <c r="AD21" s="134"/>
      <c r="AE21" s="135"/>
      <c r="AF21" s="133"/>
      <c r="AG21" s="134"/>
      <c r="AH21" s="138"/>
      <c r="AI21" s="133" t="s">
        <v>126</v>
      </c>
      <c r="AJ21" s="134"/>
      <c r="AK21" s="134"/>
      <c r="AL21" s="134"/>
      <c r="AM21" s="134"/>
      <c r="AN21" s="134"/>
      <c r="AO21" s="139"/>
      <c r="AP21" s="111" t="s">
        <v>126</v>
      </c>
      <c r="AQ21" s="134"/>
      <c r="AR21" s="134"/>
      <c r="AS21" s="134"/>
      <c r="AT21" s="134"/>
      <c r="AU21" s="134"/>
      <c r="AV21" s="134"/>
      <c r="AW21" s="134"/>
      <c r="AX21" s="140"/>
      <c r="AY21" s="133" t="s">
        <v>126</v>
      </c>
      <c r="AZ21" s="134"/>
      <c r="BA21" s="135"/>
      <c r="BB21" s="135"/>
      <c r="BC21" s="135"/>
      <c r="BD21" s="135"/>
      <c r="BE21" s="139"/>
      <c r="BF21" s="111" t="s">
        <v>126</v>
      </c>
      <c r="BG21" s="135"/>
      <c r="BH21" s="135"/>
      <c r="BI21" s="135"/>
      <c r="BJ21" s="135"/>
      <c r="BK21" s="135"/>
      <c r="BL21" s="135"/>
      <c r="BM21" s="135"/>
      <c r="BN21" s="140"/>
      <c r="BO21" s="133" t="s">
        <v>126</v>
      </c>
      <c r="BP21" s="134"/>
      <c r="BQ21" s="135"/>
      <c r="BR21" s="135"/>
      <c r="BS21" s="135"/>
      <c r="BT21" s="135"/>
      <c r="BU21" s="139"/>
      <c r="BV21" s="133" t="s">
        <v>126</v>
      </c>
      <c r="BW21" s="135"/>
      <c r="BX21" s="135"/>
      <c r="BY21" s="135"/>
      <c r="BZ21" s="135"/>
      <c r="CA21" s="135"/>
      <c r="CB21" s="135"/>
      <c r="CC21" s="137" t="s">
        <v>126</v>
      </c>
      <c r="CD21" s="135"/>
      <c r="CE21" s="135"/>
      <c r="CF21" s="135"/>
      <c r="CG21" s="135"/>
      <c r="CH21" s="135"/>
      <c r="CI21" s="139"/>
      <c r="CK21" s="112"/>
      <c r="CN21" s="95"/>
      <c r="CO21" s="95"/>
      <c r="CP21" s="95"/>
      <c r="CQ21" s="95"/>
      <c r="CR21" s="95"/>
      <c r="CS21" s="95"/>
      <c r="CT21" s="95"/>
      <c r="CU21" s="95"/>
      <c r="CV21" s="95"/>
      <c r="CW21" s="95"/>
      <c r="CX21" s="95"/>
      <c r="CY21" s="95"/>
      <c r="CZ21" s="95"/>
      <c r="DA21" s="95"/>
      <c r="DB21" s="95"/>
      <c r="DC21" s="95"/>
      <c r="DD21" s="95"/>
      <c r="DE21" s="95"/>
      <c r="DF21" s="95"/>
      <c r="DG21" s="95"/>
      <c r="DH21" s="95"/>
      <c r="DI21" s="95"/>
      <c r="DJ21" s="95"/>
      <c r="DK21" s="95"/>
      <c r="DL21" s="95"/>
      <c r="DM21" s="95"/>
      <c r="DN21" s="95"/>
      <c r="DO21" s="95"/>
      <c r="DP21" s="95"/>
      <c r="DQ21" s="95"/>
      <c r="DR21" s="95"/>
      <c r="DS21" s="95"/>
      <c r="DT21" s="95"/>
      <c r="DU21" s="95"/>
      <c r="DV21" s="95"/>
      <c r="DW21" s="95"/>
      <c r="DX21" s="95"/>
      <c r="DY21" s="95"/>
      <c r="EC21" s="2"/>
    </row>
    <row r="22" spans="1:168" ht="24.95" customHeight="1">
      <c r="A22" s="1">
        <f t="shared" si="13"/>
        <v>14</v>
      </c>
      <c r="B22" s="69"/>
      <c r="C22" s="49"/>
      <c r="D22" s="116"/>
      <c r="E22" s="65"/>
      <c r="F22" s="49"/>
      <c r="G22" s="93"/>
      <c r="H22" s="93"/>
      <c r="I22" s="93"/>
      <c r="J22" s="95"/>
      <c r="K22" s="95"/>
      <c r="L22" s="49"/>
      <c r="M22" s="93"/>
      <c r="N22" s="93"/>
      <c r="O22" s="93"/>
      <c r="P22" s="93"/>
      <c r="Q22" s="93"/>
      <c r="R22" s="93"/>
      <c r="S22" s="93"/>
      <c r="T22" s="93"/>
      <c r="U22" s="95"/>
      <c r="V22" s="49"/>
      <c r="W22" s="93"/>
      <c r="X22" s="93"/>
      <c r="Y22" s="132"/>
      <c r="Z22" s="111" t="s">
        <v>390</v>
      </c>
      <c r="AA22" s="93"/>
      <c r="AB22" s="93"/>
      <c r="AC22" s="109"/>
      <c r="AD22" s="93"/>
      <c r="AE22" s="95"/>
      <c r="AF22" s="49"/>
      <c r="AG22" s="93"/>
      <c r="AH22" s="131"/>
      <c r="AI22" s="49" t="s">
        <v>126</v>
      </c>
      <c r="AJ22" s="93"/>
      <c r="AK22" s="93"/>
      <c r="AL22" s="93"/>
      <c r="AM22" s="93"/>
      <c r="AN22" s="93"/>
      <c r="AO22" s="98"/>
      <c r="AP22" s="111" t="s">
        <v>390</v>
      </c>
      <c r="AQ22" s="93"/>
      <c r="AR22" s="95"/>
      <c r="AS22" s="95"/>
      <c r="AT22" s="95"/>
      <c r="AU22" s="95"/>
      <c r="AV22" s="95"/>
      <c r="AW22" s="95"/>
      <c r="AX22" s="113"/>
      <c r="AY22" s="49" t="s">
        <v>126</v>
      </c>
      <c r="AZ22" s="93"/>
      <c r="BA22" s="95"/>
      <c r="BB22" s="95"/>
      <c r="BC22" s="95"/>
      <c r="BD22" s="95"/>
      <c r="BE22" s="98"/>
      <c r="BF22" s="111" t="s">
        <v>390</v>
      </c>
      <c r="BG22" s="95"/>
      <c r="BH22" s="95"/>
      <c r="BI22" s="95"/>
      <c r="BJ22" s="95"/>
      <c r="BK22" s="95"/>
      <c r="BL22" s="95"/>
      <c r="BM22" s="95"/>
      <c r="BN22" s="113"/>
      <c r="BO22" s="49" t="s">
        <v>126</v>
      </c>
      <c r="BP22" s="93"/>
      <c r="BQ22" s="95"/>
      <c r="BR22" s="95"/>
      <c r="BS22" s="95"/>
      <c r="BT22" s="95"/>
      <c r="BU22" s="98"/>
      <c r="BV22" s="49" t="s">
        <v>126</v>
      </c>
      <c r="BW22" s="95"/>
      <c r="BX22" s="95"/>
      <c r="BY22" s="95"/>
      <c r="BZ22" s="95"/>
      <c r="CA22" s="95"/>
      <c r="CB22" s="95"/>
      <c r="CC22" s="111" t="s">
        <v>126</v>
      </c>
      <c r="CD22" s="95"/>
      <c r="CE22" s="95"/>
      <c r="CF22" s="95"/>
      <c r="CG22" s="95"/>
      <c r="CH22" s="95"/>
      <c r="CI22" s="98"/>
      <c r="CK22" s="112"/>
      <c r="CN22" s="95"/>
      <c r="CO22" s="95"/>
      <c r="CP22" s="95"/>
      <c r="CQ22" s="95"/>
      <c r="CR22" s="95"/>
      <c r="CS22" s="95"/>
      <c r="CT22" s="95"/>
      <c r="CU22" s="95"/>
      <c r="CV22" s="95"/>
      <c r="CW22" s="95"/>
      <c r="CX22" s="95"/>
      <c r="CY22" s="95"/>
      <c r="CZ22" s="95"/>
      <c r="DA22" s="95"/>
      <c r="DB22" s="95"/>
      <c r="DC22" s="95"/>
      <c r="DD22" s="95"/>
      <c r="DE22" s="95"/>
      <c r="DF22" s="95"/>
      <c r="DG22" s="95"/>
      <c r="DH22" s="95"/>
      <c r="DI22" s="95"/>
      <c r="DJ22" s="95"/>
      <c r="DK22" s="95"/>
      <c r="DL22" s="95"/>
      <c r="DM22" s="95"/>
      <c r="DN22" s="95"/>
      <c r="DO22" s="95"/>
      <c r="DP22" s="95"/>
      <c r="DQ22" s="95"/>
      <c r="DR22" s="95"/>
      <c r="DS22" s="95"/>
      <c r="DT22" s="95"/>
      <c r="DU22" s="95"/>
      <c r="DV22" s="95"/>
      <c r="DW22" s="95"/>
      <c r="DX22" s="95"/>
      <c r="DY22" s="95"/>
      <c r="EC22" s="2"/>
    </row>
    <row r="23" spans="1:168" ht="24.95" customHeight="1">
      <c r="A23" s="1">
        <f t="shared" si="13"/>
        <v>15</v>
      </c>
      <c r="B23" s="69"/>
      <c r="C23" s="65"/>
      <c r="D23" s="141"/>
      <c r="E23" s="142"/>
      <c r="F23" s="106"/>
      <c r="G23" s="129"/>
      <c r="H23" s="129"/>
      <c r="I23" s="129"/>
      <c r="J23" s="107"/>
      <c r="K23" s="107"/>
      <c r="L23" s="106"/>
      <c r="M23" s="129"/>
      <c r="N23" s="129"/>
      <c r="O23" s="129"/>
      <c r="P23" s="129"/>
      <c r="Q23" s="129"/>
      <c r="R23" s="129"/>
      <c r="S23" s="129"/>
      <c r="T23" s="129"/>
      <c r="U23" s="107"/>
      <c r="V23" s="106"/>
      <c r="W23" s="129"/>
      <c r="X23" s="129"/>
      <c r="Y23" s="130"/>
      <c r="Z23" s="111" t="s">
        <v>126</v>
      </c>
      <c r="AA23" s="129"/>
      <c r="AB23" s="129"/>
      <c r="AC23" s="129"/>
      <c r="AD23" s="129"/>
      <c r="AE23" s="107"/>
      <c r="AF23" s="106"/>
      <c r="AG23" s="129"/>
      <c r="AH23" s="128"/>
      <c r="AI23" s="106" t="s">
        <v>126</v>
      </c>
      <c r="AJ23" s="129"/>
      <c r="AK23" s="129"/>
      <c r="AL23" s="129"/>
      <c r="AM23" s="129"/>
      <c r="AN23" s="129"/>
      <c r="AO23" s="123"/>
      <c r="AP23" s="111" t="s">
        <v>126</v>
      </c>
      <c r="AQ23" s="129"/>
      <c r="AR23" s="107"/>
      <c r="AS23" s="107"/>
      <c r="AT23" s="107"/>
      <c r="AU23" s="107"/>
      <c r="AV23" s="107"/>
      <c r="AW23" s="107"/>
      <c r="AX23" s="124"/>
      <c r="AY23" s="106" t="s">
        <v>126</v>
      </c>
      <c r="AZ23" s="129"/>
      <c r="BA23" s="107"/>
      <c r="BB23" s="107"/>
      <c r="BC23" s="107"/>
      <c r="BD23" s="107"/>
      <c r="BE23" s="123"/>
      <c r="BF23" s="111" t="s">
        <v>126</v>
      </c>
      <c r="BG23" s="107"/>
      <c r="BH23" s="107"/>
      <c r="BI23" s="107"/>
      <c r="BJ23" s="107"/>
      <c r="BK23" s="107"/>
      <c r="BL23" s="107"/>
      <c r="BM23" s="107"/>
      <c r="BN23" s="124"/>
      <c r="BO23" s="106" t="s">
        <v>126</v>
      </c>
      <c r="BP23" s="129"/>
      <c r="BQ23" s="107"/>
      <c r="BR23" s="107"/>
      <c r="BS23" s="107"/>
      <c r="BT23" s="107"/>
      <c r="BU23" s="123"/>
      <c r="BV23" s="106" t="s">
        <v>126</v>
      </c>
      <c r="BW23" s="107"/>
      <c r="BX23" s="107"/>
      <c r="BY23" s="107"/>
      <c r="BZ23" s="107"/>
      <c r="CA23" s="107"/>
      <c r="CB23" s="107"/>
      <c r="CC23" s="122" t="s">
        <v>126</v>
      </c>
      <c r="CD23" s="107"/>
      <c r="CE23" s="107"/>
      <c r="CF23" s="107"/>
      <c r="CG23" s="107"/>
      <c r="CH23" s="107"/>
      <c r="CI23" s="123"/>
      <c r="CK23" s="112"/>
      <c r="CN23" s="95"/>
      <c r="CO23" s="95"/>
      <c r="CP23" s="95"/>
      <c r="CQ23" s="95"/>
      <c r="CR23" s="95"/>
      <c r="CS23" s="95"/>
      <c r="CT23" s="95"/>
      <c r="CU23" s="95"/>
      <c r="CV23" s="95"/>
      <c r="CW23" s="95"/>
      <c r="CX23" s="95"/>
      <c r="CY23" s="95"/>
      <c r="CZ23" s="95"/>
      <c r="DA23" s="95"/>
      <c r="DB23" s="95"/>
      <c r="DC23" s="95"/>
      <c r="DD23" s="95"/>
      <c r="DE23" s="95"/>
      <c r="DF23" s="95"/>
      <c r="DG23" s="95"/>
      <c r="DH23" s="95"/>
      <c r="DI23" s="95"/>
      <c r="DJ23" s="95"/>
      <c r="DK23" s="95"/>
      <c r="DL23" s="95"/>
      <c r="DM23" s="95"/>
      <c r="DN23" s="95"/>
      <c r="DO23" s="95"/>
      <c r="DP23" s="95"/>
      <c r="DQ23" s="95"/>
      <c r="DR23" s="95"/>
      <c r="DS23" s="95"/>
      <c r="DT23" s="95"/>
      <c r="DU23" s="95"/>
      <c r="DV23" s="95"/>
      <c r="DW23" s="95"/>
      <c r="DX23" s="95"/>
      <c r="DY23" s="95"/>
      <c r="EC23" s="2"/>
    </row>
    <row r="24" spans="1:168" ht="24.95" customHeight="1">
      <c r="A24" s="1">
        <f t="shared" si="13"/>
        <v>16</v>
      </c>
      <c r="B24" s="69"/>
      <c r="C24" s="65"/>
      <c r="D24" s="111" t="s">
        <v>123</v>
      </c>
      <c r="E24" s="49"/>
      <c r="F24" s="49"/>
      <c r="G24" s="93"/>
      <c r="H24" s="93"/>
      <c r="I24" s="93"/>
      <c r="J24" s="108"/>
      <c r="K24" s="95"/>
      <c r="L24" s="93"/>
      <c r="M24" s="93"/>
      <c r="N24" s="93"/>
      <c r="O24" s="93"/>
      <c r="P24" s="93"/>
      <c r="Q24" s="93"/>
      <c r="R24" s="93"/>
      <c r="S24" s="93"/>
      <c r="T24" s="49"/>
      <c r="U24" s="95"/>
      <c r="V24" s="93"/>
      <c r="W24" s="93"/>
      <c r="X24" s="93"/>
      <c r="Y24" s="132"/>
      <c r="Z24" s="125" t="s">
        <v>390</v>
      </c>
      <c r="AA24" s="93"/>
      <c r="AB24" s="93"/>
      <c r="AC24" s="93"/>
      <c r="AD24" s="93"/>
      <c r="AE24" s="95"/>
      <c r="AF24" s="93"/>
      <c r="AG24" s="93"/>
      <c r="AH24" s="131"/>
      <c r="AI24" s="49" t="s">
        <v>126</v>
      </c>
      <c r="AJ24" s="93"/>
      <c r="AK24" s="93"/>
      <c r="AL24" s="93"/>
      <c r="AM24" s="93"/>
      <c r="AN24" s="93"/>
      <c r="AO24" s="98"/>
      <c r="AP24" s="111" t="s">
        <v>390</v>
      </c>
      <c r="AQ24" s="93"/>
      <c r="AR24" s="93"/>
      <c r="AS24" s="93"/>
      <c r="AT24" s="93"/>
      <c r="AU24" s="95"/>
      <c r="AV24" s="93"/>
      <c r="AW24" s="93"/>
      <c r="AX24" s="131"/>
      <c r="AY24" s="49" t="s">
        <v>126</v>
      </c>
      <c r="AZ24" s="93"/>
      <c r="BA24" s="93"/>
      <c r="BB24" s="93"/>
      <c r="BC24" s="93"/>
      <c r="BD24" s="93"/>
      <c r="BE24" s="132"/>
      <c r="BF24" s="111" t="s">
        <v>390</v>
      </c>
      <c r="BG24" s="93"/>
      <c r="BH24" s="93"/>
      <c r="BI24" s="93"/>
      <c r="BJ24" s="93"/>
      <c r="BK24" s="95"/>
      <c r="BL24" s="93"/>
      <c r="BM24" s="93"/>
      <c r="BN24" s="131"/>
      <c r="BO24" s="49" t="s">
        <v>126</v>
      </c>
      <c r="BP24" s="93"/>
      <c r="BQ24" s="93"/>
      <c r="BR24" s="93"/>
      <c r="BS24" s="93"/>
      <c r="BT24" s="93"/>
      <c r="BU24" s="132"/>
      <c r="BV24" s="49" t="s">
        <v>126</v>
      </c>
      <c r="BW24" s="93"/>
      <c r="BX24" s="93"/>
      <c r="BY24" s="93"/>
      <c r="BZ24" s="93"/>
      <c r="CA24" s="95"/>
      <c r="CB24" s="93"/>
      <c r="CC24" s="125" t="s">
        <v>126</v>
      </c>
      <c r="CD24" s="93"/>
      <c r="CE24" s="49"/>
      <c r="CF24" s="93"/>
      <c r="CG24" s="93"/>
      <c r="CH24" s="93"/>
      <c r="CI24" s="98"/>
      <c r="CK24" s="112"/>
      <c r="CN24" s="95"/>
      <c r="CO24" s="95"/>
      <c r="CP24" s="95"/>
      <c r="CQ24" s="95"/>
      <c r="CR24" s="95"/>
      <c r="CS24" s="95"/>
      <c r="CT24" s="95"/>
      <c r="CU24" s="95"/>
      <c r="CV24" s="95"/>
      <c r="CW24" s="95"/>
      <c r="CX24" s="95"/>
      <c r="CY24" s="95"/>
      <c r="CZ24" s="95"/>
      <c r="DA24" s="95"/>
      <c r="DB24" s="95"/>
      <c r="DC24" s="95"/>
      <c r="DD24" s="95"/>
      <c r="DE24" s="95"/>
      <c r="DF24" s="95"/>
      <c r="DG24" s="95"/>
      <c r="DH24" s="95"/>
      <c r="DI24" s="95"/>
      <c r="DJ24" s="95"/>
      <c r="DK24" s="95"/>
      <c r="DL24" s="95"/>
      <c r="DM24" s="95"/>
      <c r="DN24" s="95"/>
      <c r="DO24" s="95"/>
      <c r="DP24" s="95"/>
      <c r="DQ24" s="95"/>
      <c r="DR24" s="95"/>
      <c r="DS24" s="95"/>
      <c r="DT24" s="95"/>
      <c r="DU24" s="95"/>
      <c r="DV24" s="95"/>
      <c r="DW24" s="95"/>
      <c r="DX24" s="95"/>
      <c r="DY24" s="95"/>
      <c r="EC24" s="2"/>
    </row>
    <row r="25" spans="1:168" ht="24.95" customHeight="1">
      <c r="A25" s="1">
        <f t="shared" si="13"/>
        <v>17</v>
      </c>
      <c r="B25" s="69"/>
      <c r="C25" s="65"/>
      <c r="D25" s="111"/>
      <c r="E25" s="49"/>
      <c r="F25" s="49"/>
      <c r="G25" s="93"/>
      <c r="H25" s="93"/>
      <c r="I25" s="93"/>
      <c r="J25" s="108"/>
      <c r="K25" s="95"/>
      <c r="L25" s="93"/>
      <c r="M25" s="93"/>
      <c r="N25" s="93"/>
      <c r="O25" s="93"/>
      <c r="P25" s="93"/>
      <c r="Q25" s="93"/>
      <c r="R25" s="93"/>
      <c r="S25" s="93"/>
      <c r="T25" s="49"/>
      <c r="U25" s="95"/>
      <c r="V25" s="93"/>
      <c r="W25" s="93"/>
      <c r="X25" s="109" t="s">
        <v>215</v>
      </c>
      <c r="Y25" s="132"/>
      <c r="Z25" s="111" t="s">
        <v>126</v>
      </c>
      <c r="AA25" s="93"/>
      <c r="AB25" s="93"/>
      <c r="AC25" s="93"/>
      <c r="AD25" s="93"/>
      <c r="AE25" s="95"/>
      <c r="AF25" s="49"/>
      <c r="AG25" s="93"/>
      <c r="AH25" s="131"/>
      <c r="AI25" s="49" t="s">
        <v>126</v>
      </c>
      <c r="AJ25" s="93"/>
      <c r="AK25" s="93"/>
      <c r="AL25" s="93"/>
      <c r="AM25" s="93"/>
      <c r="AN25" s="93"/>
      <c r="AO25" s="98"/>
      <c r="AP25" s="111" t="s">
        <v>126</v>
      </c>
      <c r="AQ25" s="93"/>
      <c r="AR25" s="93"/>
      <c r="AS25" s="93"/>
      <c r="AT25" s="93"/>
      <c r="AU25" s="95"/>
      <c r="AV25" s="49"/>
      <c r="AW25" s="93"/>
      <c r="AX25" s="131"/>
      <c r="AY25" s="49" t="s">
        <v>126</v>
      </c>
      <c r="AZ25" s="93"/>
      <c r="BA25" s="93"/>
      <c r="BB25" s="93"/>
      <c r="BC25" s="93"/>
      <c r="BD25" s="93"/>
      <c r="BE25" s="132"/>
      <c r="BF25" s="111" t="s">
        <v>126</v>
      </c>
      <c r="BG25" s="93"/>
      <c r="BH25" s="93"/>
      <c r="BI25" s="93"/>
      <c r="BJ25" s="93"/>
      <c r="BK25" s="95"/>
      <c r="BL25" s="49"/>
      <c r="BM25" s="93"/>
      <c r="BN25" s="131"/>
      <c r="BO25" s="49" t="s">
        <v>126</v>
      </c>
      <c r="BP25" s="93"/>
      <c r="BQ25" s="93"/>
      <c r="BR25" s="93"/>
      <c r="BS25" s="93"/>
      <c r="BT25" s="93"/>
      <c r="BU25" s="132"/>
      <c r="BV25" s="49" t="s">
        <v>126</v>
      </c>
      <c r="BW25" s="93"/>
      <c r="BX25" s="93"/>
      <c r="BY25" s="93"/>
      <c r="BZ25" s="93"/>
      <c r="CA25" s="95"/>
      <c r="CB25" s="49"/>
      <c r="CC25" s="111" t="s">
        <v>126</v>
      </c>
      <c r="CD25" s="93"/>
      <c r="CE25" s="49"/>
      <c r="CF25" s="93"/>
      <c r="CG25" s="93"/>
      <c r="CH25" s="93"/>
      <c r="CI25" s="98"/>
      <c r="CK25" s="112"/>
      <c r="CN25" s="95"/>
      <c r="CO25" s="95"/>
      <c r="CP25" s="95"/>
      <c r="CQ25" s="95"/>
      <c r="CR25" s="95"/>
      <c r="CS25" s="95"/>
      <c r="CT25" s="95"/>
      <c r="CU25" s="95"/>
      <c r="CV25" s="95"/>
      <c r="CW25" s="95"/>
      <c r="CX25" s="95"/>
      <c r="CY25" s="95"/>
      <c r="CZ25" s="95"/>
      <c r="DA25" s="95"/>
      <c r="DB25" s="95"/>
      <c r="DC25" s="95"/>
      <c r="DD25" s="95"/>
      <c r="DE25" s="95"/>
      <c r="DF25" s="95"/>
      <c r="DG25" s="95"/>
      <c r="DH25" s="95"/>
      <c r="DI25" s="95"/>
      <c r="DJ25" s="95"/>
      <c r="DK25" s="95"/>
      <c r="DL25" s="95"/>
      <c r="DM25" s="95"/>
      <c r="DN25" s="95"/>
      <c r="DO25" s="95"/>
      <c r="DP25" s="95"/>
      <c r="DQ25" s="95"/>
      <c r="DR25" s="95"/>
      <c r="DS25" s="95"/>
      <c r="DT25" s="95"/>
      <c r="DU25" s="95"/>
      <c r="DV25" s="95"/>
      <c r="DW25" s="95"/>
      <c r="DX25" s="95"/>
      <c r="DY25" s="95"/>
      <c r="EC25" s="2"/>
    </row>
    <row r="26" spans="1:168" ht="24.95" customHeight="1">
      <c r="A26" s="1">
        <f t="shared" si="13"/>
        <v>18</v>
      </c>
      <c r="B26" s="69"/>
      <c r="C26" s="65"/>
      <c r="D26" s="111" t="s">
        <v>195</v>
      </c>
      <c r="E26" s="49"/>
      <c r="F26" s="49"/>
      <c r="G26" s="93"/>
      <c r="H26" s="93"/>
      <c r="I26" s="93"/>
      <c r="J26" s="108"/>
      <c r="K26" s="95"/>
      <c r="L26" s="49"/>
      <c r="M26" s="108"/>
      <c r="N26" s="93"/>
      <c r="O26" s="93"/>
      <c r="P26" s="93"/>
      <c r="Q26" s="93"/>
      <c r="R26" s="93"/>
      <c r="S26" s="93"/>
      <c r="T26" s="93"/>
      <c r="U26" s="95"/>
      <c r="V26" s="49"/>
      <c r="W26" s="93"/>
      <c r="X26" s="109"/>
      <c r="Y26" s="132"/>
      <c r="Z26" s="111" t="s">
        <v>390</v>
      </c>
      <c r="AA26" s="91"/>
      <c r="AB26" s="91"/>
      <c r="AC26" s="91"/>
      <c r="AD26" s="91"/>
      <c r="AE26" s="143"/>
      <c r="AF26" s="88"/>
      <c r="AG26" s="91"/>
      <c r="AH26" s="144"/>
      <c r="AI26" s="88" t="s">
        <v>126</v>
      </c>
      <c r="AJ26" s="91"/>
      <c r="AK26" s="91"/>
      <c r="AL26" s="91"/>
      <c r="AM26" s="91"/>
      <c r="AN26" s="91"/>
      <c r="AO26" s="145"/>
      <c r="AP26" s="111" t="s">
        <v>390</v>
      </c>
      <c r="AQ26" s="91"/>
      <c r="AR26" s="91"/>
      <c r="AS26" s="91"/>
      <c r="AT26" s="91"/>
      <c r="AU26" s="91"/>
      <c r="AV26" s="91"/>
      <c r="AW26" s="91"/>
      <c r="AX26" s="146"/>
      <c r="AY26" s="88" t="s">
        <v>126</v>
      </c>
      <c r="AZ26" s="91"/>
      <c r="BA26" s="143"/>
      <c r="BB26" s="143"/>
      <c r="BC26" s="143"/>
      <c r="BD26" s="143"/>
      <c r="BE26" s="145"/>
      <c r="BF26" s="111" t="s">
        <v>390</v>
      </c>
      <c r="BG26" s="143"/>
      <c r="BH26" s="143"/>
      <c r="BI26" s="143"/>
      <c r="BJ26" s="143"/>
      <c r="BK26" s="143"/>
      <c r="BL26" s="143"/>
      <c r="BM26" s="143"/>
      <c r="BN26" s="146"/>
      <c r="BO26" s="88" t="s">
        <v>126</v>
      </c>
      <c r="BP26" s="91"/>
      <c r="BQ26" s="143"/>
      <c r="BR26" s="143"/>
      <c r="BS26" s="143"/>
      <c r="BT26" s="143"/>
      <c r="BU26" s="145"/>
      <c r="BV26" s="88" t="s">
        <v>126</v>
      </c>
      <c r="BW26" s="143"/>
      <c r="BX26" s="143"/>
      <c r="BY26" s="143"/>
      <c r="BZ26" s="143"/>
      <c r="CA26" s="143"/>
      <c r="CB26" s="143"/>
      <c r="CC26" s="110" t="s">
        <v>126</v>
      </c>
      <c r="CD26" s="143"/>
      <c r="CE26" s="143"/>
      <c r="CF26" s="143"/>
      <c r="CG26" s="143"/>
      <c r="CH26" s="143"/>
      <c r="CI26" s="145"/>
      <c r="CK26" s="112"/>
      <c r="CN26" s="95"/>
      <c r="CO26" s="95"/>
      <c r="CP26" s="95"/>
      <c r="CQ26" s="95"/>
      <c r="CR26" s="95"/>
      <c r="CS26" s="95"/>
      <c r="CT26" s="95"/>
      <c r="CU26" s="95"/>
      <c r="CV26" s="95"/>
      <c r="CW26" s="95"/>
      <c r="CX26" s="95"/>
      <c r="CY26" s="95"/>
      <c r="CZ26" s="95"/>
      <c r="DA26" s="95"/>
      <c r="DB26" s="95"/>
      <c r="DC26" s="95"/>
      <c r="DD26" s="95"/>
      <c r="DE26" s="95"/>
      <c r="DF26" s="95"/>
      <c r="DG26" s="95"/>
      <c r="DH26" s="95"/>
      <c r="DI26" s="95"/>
      <c r="DJ26" s="95"/>
      <c r="DK26" s="95"/>
      <c r="DL26" s="95"/>
      <c r="DM26" s="95"/>
      <c r="DN26" s="95"/>
      <c r="DO26" s="95"/>
      <c r="DP26" s="95"/>
      <c r="DQ26" s="95"/>
      <c r="DR26" s="95"/>
      <c r="DS26" s="95"/>
      <c r="DT26" s="95"/>
      <c r="DU26" s="95"/>
      <c r="DV26" s="95"/>
      <c r="DW26" s="95"/>
      <c r="DX26" s="95"/>
      <c r="DY26" s="95"/>
      <c r="EC26" s="2"/>
    </row>
    <row r="27" spans="1:168" ht="24.95" customHeight="1">
      <c r="A27" s="1">
        <f t="shared" si="13"/>
        <v>19</v>
      </c>
      <c r="B27" s="69"/>
      <c r="C27" s="65"/>
      <c r="D27" s="111" t="s">
        <v>433</v>
      </c>
      <c r="E27" s="49"/>
      <c r="F27" s="49"/>
      <c r="G27" s="93"/>
      <c r="H27" s="93"/>
      <c r="I27" s="93"/>
      <c r="J27" s="95"/>
      <c r="K27" s="95"/>
      <c r="L27" s="49"/>
      <c r="M27" s="104" t="s">
        <v>214</v>
      </c>
      <c r="N27" s="93"/>
      <c r="O27" s="93"/>
      <c r="P27" s="93"/>
      <c r="Q27" s="93"/>
      <c r="R27" s="93"/>
      <c r="S27" s="49" t="s">
        <v>215</v>
      </c>
      <c r="T27" s="93"/>
      <c r="U27" s="95"/>
      <c r="V27" s="49"/>
      <c r="W27" s="93"/>
      <c r="X27" s="109"/>
      <c r="Y27" s="132"/>
      <c r="Z27" s="111" t="s">
        <v>126</v>
      </c>
      <c r="AA27" s="134"/>
      <c r="AB27" s="134"/>
      <c r="AC27" s="134"/>
      <c r="AD27" s="134"/>
      <c r="AE27" s="135"/>
      <c r="AF27" s="133"/>
      <c r="AG27" s="134"/>
      <c r="AH27" s="138"/>
      <c r="AI27" s="133" t="s">
        <v>126</v>
      </c>
      <c r="AJ27" s="134"/>
      <c r="AK27" s="134"/>
      <c r="AL27" s="134"/>
      <c r="AM27" s="134"/>
      <c r="AN27" s="134"/>
      <c r="AO27" s="139"/>
      <c r="AP27" s="111" t="s">
        <v>126</v>
      </c>
      <c r="AQ27" s="134"/>
      <c r="AR27" s="134"/>
      <c r="AS27" s="134"/>
      <c r="AT27" s="134"/>
      <c r="AU27" s="134"/>
      <c r="AV27" s="134"/>
      <c r="AW27" s="134"/>
      <c r="AX27" s="140"/>
      <c r="AY27" s="133" t="s">
        <v>126</v>
      </c>
      <c r="AZ27" s="134"/>
      <c r="BA27" s="135"/>
      <c r="BB27" s="135"/>
      <c r="BC27" s="135"/>
      <c r="BD27" s="135"/>
      <c r="BE27" s="139"/>
      <c r="BF27" s="111" t="s">
        <v>126</v>
      </c>
      <c r="BG27" s="135"/>
      <c r="BH27" s="135"/>
      <c r="BI27" s="135"/>
      <c r="BJ27" s="135"/>
      <c r="BK27" s="135"/>
      <c r="BL27" s="135"/>
      <c r="BM27" s="135"/>
      <c r="BN27" s="140"/>
      <c r="BO27" s="133" t="s">
        <v>126</v>
      </c>
      <c r="BP27" s="134"/>
      <c r="BQ27" s="135"/>
      <c r="BR27" s="135"/>
      <c r="BS27" s="135"/>
      <c r="BT27" s="135"/>
      <c r="BU27" s="139"/>
      <c r="BV27" s="133" t="s">
        <v>126</v>
      </c>
      <c r="BW27" s="135"/>
      <c r="BX27" s="135"/>
      <c r="BY27" s="135"/>
      <c r="BZ27" s="135"/>
      <c r="CA27" s="135"/>
      <c r="CB27" s="135"/>
      <c r="CC27" s="137" t="s">
        <v>126</v>
      </c>
      <c r="CD27" s="135"/>
      <c r="CE27" s="135"/>
      <c r="CF27" s="135"/>
      <c r="CG27" s="135"/>
      <c r="CH27" s="135"/>
      <c r="CI27" s="136"/>
      <c r="CJ27" s="65"/>
      <c r="CK27" s="116"/>
      <c r="CL27" s="65"/>
      <c r="CM27" s="65"/>
      <c r="CN27" s="93"/>
      <c r="CO27" s="93"/>
      <c r="CP27" s="93"/>
      <c r="CQ27" s="93"/>
      <c r="CR27" s="93"/>
      <c r="CS27" s="93"/>
      <c r="CT27" s="93"/>
      <c r="CU27" s="93"/>
      <c r="CV27" s="93"/>
      <c r="CW27" s="93"/>
      <c r="CX27" s="93"/>
      <c r="CY27" s="93"/>
      <c r="CZ27" s="93"/>
      <c r="DA27" s="93"/>
      <c r="DB27" s="93"/>
      <c r="DC27" s="93"/>
      <c r="DD27" s="93"/>
      <c r="DE27" s="93"/>
      <c r="DF27" s="93"/>
      <c r="DG27" s="93"/>
      <c r="DH27" s="93"/>
      <c r="DI27" s="93"/>
      <c r="DJ27" s="93"/>
      <c r="DK27" s="93"/>
      <c r="DL27" s="93"/>
      <c r="DM27" s="93"/>
      <c r="DN27" s="93"/>
      <c r="DO27" s="93"/>
      <c r="DP27" s="93"/>
      <c r="DQ27" s="93"/>
      <c r="DR27" s="93"/>
      <c r="DS27" s="93"/>
      <c r="DT27" s="93"/>
      <c r="DU27" s="93"/>
      <c r="DV27" s="93"/>
      <c r="DW27" s="93"/>
      <c r="DX27" s="93"/>
      <c r="DY27" s="93"/>
      <c r="DZ27" s="93"/>
      <c r="EA27" s="93"/>
      <c r="EB27" s="66"/>
      <c r="EC27" s="77"/>
      <c r="ED27" s="66"/>
      <c r="EE27" s="66"/>
      <c r="EF27" s="66"/>
      <c r="EG27" s="66"/>
      <c r="EH27" s="66"/>
      <c r="EI27" s="66"/>
      <c r="EJ27" s="66"/>
      <c r="EK27" s="66"/>
      <c r="EL27" s="66"/>
      <c r="EM27" s="66"/>
      <c r="EN27" s="66"/>
      <c r="EO27" s="66"/>
      <c r="EP27" s="66"/>
      <c r="EQ27" s="66"/>
      <c r="ER27" s="66"/>
      <c r="ES27" s="66"/>
      <c r="ET27" s="66"/>
      <c r="EU27" s="66"/>
      <c r="EV27" s="66"/>
      <c r="EW27" s="66"/>
      <c r="EX27" s="66"/>
      <c r="EY27" s="66"/>
      <c r="EZ27" s="66"/>
      <c r="FA27" s="66"/>
      <c r="FB27" s="66"/>
      <c r="FC27" s="66"/>
      <c r="FD27" s="66"/>
      <c r="FE27" s="66"/>
      <c r="FF27" s="66"/>
      <c r="FG27" s="66"/>
      <c r="FH27" s="66"/>
      <c r="FI27" s="66"/>
      <c r="FJ27" s="66"/>
      <c r="FK27" s="66"/>
      <c r="FL27" s="66"/>
    </row>
    <row r="28" spans="1:168" ht="24.95" customHeight="1">
      <c r="A28" s="1">
        <f t="shared" si="13"/>
        <v>20</v>
      </c>
      <c r="B28" s="69"/>
      <c r="C28" s="49"/>
      <c r="D28" s="116"/>
      <c r="E28" s="65"/>
      <c r="F28" s="49"/>
      <c r="G28" s="93"/>
      <c r="H28" s="93"/>
      <c r="I28" s="93"/>
      <c r="J28" s="95"/>
      <c r="K28" s="95"/>
      <c r="L28" s="49"/>
      <c r="M28" s="93"/>
      <c r="N28" s="93"/>
      <c r="O28" s="93"/>
      <c r="P28" s="93"/>
      <c r="Q28" s="93"/>
      <c r="R28" s="93"/>
      <c r="S28" s="93"/>
      <c r="T28" s="93"/>
      <c r="U28" s="95"/>
      <c r="V28" s="49"/>
      <c r="W28" s="93"/>
      <c r="X28" s="93"/>
      <c r="Y28" s="132"/>
      <c r="Z28" s="111" t="s">
        <v>390</v>
      </c>
      <c r="AA28" s="93"/>
      <c r="AB28" s="93"/>
      <c r="AC28" s="109"/>
      <c r="AD28" s="93"/>
      <c r="AE28" s="95"/>
      <c r="AF28" s="49"/>
      <c r="AG28" s="93"/>
      <c r="AH28" s="131"/>
      <c r="AI28" s="49" t="s">
        <v>126</v>
      </c>
      <c r="AJ28" s="93"/>
      <c r="AK28" s="93"/>
      <c r="AL28" s="93"/>
      <c r="AM28" s="93"/>
      <c r="AN28" s="93"/>
      <c r="AO28" s="98"/>
      <c r="AP28" s="111" t="s">
        <v>390</v>
      </c>
      <c r="AQ28" s="93"/>
      <c r="AR28" s="95"/>
      <c r="AS28" s="95"/>
      <c r="AT28" s="95"/>
      <c r="AU28" s="95"/>
      <c r="AV28" s="95"/>
      <c r="AW28" s="95"/>
      <c r="AX28" s="113"/>
      <c r="AY28" s="49" t="s">
        <v>126</v>
      </c>
      <c r="AZ28" s="93"/>
      <c r="BA28" s="95"/>
      <c r="BB28" s="95"/>
      <c r="BC28" s="95"/>
      <c r="BD28" s="95"/>
      <c r="BE28" s="98"/>
      <c r="BF28" s="111" t="s">
        <v>390</v>
      </c>
      <c r="BG28" s="95"/>
      <c r="BH28" s="95"/>
      <c r="BI28" s="95"/>
      <c r="BJ28" s="95"/>
      <c r="BK28" s="95"/>
      <c r="BL28" s="95"/>
      <c r="BM28" s="95"/>
      <c r="BN28" s="113"/>
      <c r="BO28" s="49" t="s">
        <v>126</v>
      </c>
      <c r="BP28" s="93"/>
      <c r="BQ28" s="95"/>
      <c r="BR28" s="95"/>
      <c r="BS28" s="95"/>
      <c r="BT28" s="95"/>
      <c r="BU28" s="98"/>
      <c r="BV28" s="49" t="s">
        <v>126</v>
      </c>
      <c r="BW28" s="95"/>
      <c r="BX28" s="95"/>
      <c r="BY28" s="95"/>
      <c r="BZ28" s="95"/>
      <c r="CA28" s="95"/>
      <c r="CB28" s="95"/>
      <c r="CC28" s="111" t="s">
        <v>126</v>
      </c>
      <c r="CD28" s="95"/>
      <c r="CE28" s="95"/>
      <c r="CF28" s="95"/>
      <c r="CG28" s="95"/>
      <c r="CH28" s="95"/>
      <c r="CI28" s="98"/>
      <c r="CJ28" s="65"/>
      <c r="CK28" s="111"/>
      <c r="CL28" s="49"/>
      <c r="CM28" s="49"/>
      <c r="CN28" s="95"/>
      <c r="CO28" s="95"/>
      <c r="CP28" s="95"/>
      <c r="CQ28" s="95"/>
      <c r="CR28" s="95"/>
      <c r="CS28" s="95"/>
      <c r="CT28" s="95"/>
      <c r="CU28" s="95"/>
      <c r="CV28" s="95"/>
      <c r="CW28" s="95"/>
      <c r="CX28" s="95"/>
      <c r="CY28" s="95"/>
      <c r="CZ28" s="95"/>
      <c r="DA28" s="95"/>
      <c r="DB28" s="95"/>
      <c r="DC28" s="95"/>
      <c r="DD28" s="95"/>
      <c r="DE28" s="95"/>
      <c r="DF28" s="95"/>
      <c r="DG28" s="95"/>
      <c r="DH28" s="95"/>
      <c r="DI28" s="95"/>
      <c r="DJ28" s="95"/>
      <c r="DK28" s="95"/>
      <c r="DL28" s="95"/>
      <c r="DM28" s="95"/>
      <c r="DN28" s="95"/>
      <c r="DO28" s="95"/>
      <c r="DP28" s="95"/>
      <c r="DQ28" s="95"/>
      <c r="DR28" s="95"/>
      <c r="DS28" s="95"/>
      <c r="DT28" s="95"/>
      <c r="DU28" s="95"/>
      <c r="DV28" s="95"/>
      <c r="DW28" s="95"/>
      <c r="DX28" s="95"/>
      <c r="DY28" s="95"/>
      <c r="EC28" s="2"/>
    </row>
    <row r="29" spans="1:168" ht="24.95" customHeight="1">
      <c r="A29" s="1">
        <f t="shared" si="13"/>
        <v>21</v>
      </c>
      <c r="B29" s="69"/>
      <c r="C29" s="49"/>
      <c r="D29" s="141"/>
      <c r="E29" s="142"/>
      <c r="F29" s="106"/>
      <c r="G29" s="129"/>
      <c r="H29" s="129"/>
      <c r="I29" s="129"/>
      <c r="J29" s="107"/>
      <c r="K29" s="107"/>
      <c r="L29" s="106"/>
      <c r="M29" s="129"/>
      <c r="N29" s="129"/>
      <c r="O29" s="129"/>
      <c r="P29" s="129"/>
      <c r="Q29" s="129"/>
      <c r="R29" s="129"/>
      <c r="S29" s="129"/>
      <c r="T29" s="129"/>
      <c r="U29" s="107"/>
      <c r="V29" s="106"/>
      <c r="W29" s="129"/>
      <c r="X29" s="129"/>
      <c r="Y29" s="130"/>
      <c r="Z29" s="122" t="s">
        <v>126</v>
      </c>
      <c r="AA29" s="129"/>
      <c r="AB29" s="129"/>
      <c r="AC29" s="129"/>
      <c r="AD29" s="129"/>
      <c r="AE29" s="107"/>
      <c r="AF29" s="106"/>
      <c r="AG29" s="129"/>
      <c r="AH29" s="128"/>
      <c r="AI29" s="106" t="s">
        <v>126</v>
      </c>
      <c r="AJ29" s="129"/>
      <c r="AK29" s="129"/>
      <c r="AL29" s="129"/>
      <c r="AM29" s="129"/>
      <c r="AN29" s="129"/>
      <c r="AO29" s="123"/>
      <c r="AP29" s="111" t="s">
        <v>126</v>
      </c>
      <c r="AQ29" s="129"/>
      <c r="AR29" s="107"/>
      <c r="AS29" s="107"/>
      <c r="AT29" s="107"/>
      <c r="AU29" s="107"/>
      <c r="AV29" s="107"/>
      <c r="AW29" s="107"/>
      <c r="AX29" s="124"/>
      <c r="AY29" s="106" t="s">
        <v>126</v>
      </c>
      <c r="AZ29" s="129"/>
      <c r="BA29" s="107"/>
      <c r="BB29" s="107"/>
      <c r="BC29" s="107"/>
      <c r="BD29" s="107"/>
      <c r="BE29" s="123"/>
      <c r="BF29" s="111" t="s">
        <v>126</v>
      </c>
      <c r="BG29" s="107"/>
      <c r="BH29" s="107"/>
      <c r="BI29" s="107"/>
      <c r="BJ29" s="107"/>
      <c r="BK29" s="107"/>
      <c r="BL29" s="107"/>
      <c r="BM29" s="107"/>
      <c r="BN29" s="124"/>
      <c r="BO29" s="106" t="s">
        <v>126</v>
      </c>
      <c r="BP29" s="129"/>
      <c r="BQ29" s="107"/>
      <c r="BR29" s="107"/>
      <c r="BS29" s="107"/>
      <c r="BT29" s="107"/>
      <c r="BU29" s="123"/>
      <c r="BV29" s="106" t="s">
        <v>126</v>
      </c>
      <c r="BW29" s="107"/>
      <c r="BX29" s="107"/>
      <c r="BY29" s="107"/>
      <c r="BZ29" s="107"/>
      <c r="CA29" s="107"/>
      <c r="CB29" s="107"/>
      <c r="CC29" s="122" t="s">
        <v>126</v>
      </c>
      <c r="CD29" s="107"/>
      <c r="CE29" s="107"/>
      <c r="CF29" s="107"/>
      <c r="CG29" s="107"/>
      <c r="CH29" s="107"/>
      <c r="CI29" s="98"/>
      <c r="CJ29" s="65"/>
      <c r="CK29" s="111"/>
      <c r="CL29" s="49"/>
      <c r="CM29" s="49"/>
      <c r="CN29" s="95"/>
      <c r="CO29" s="95"/>
      <c r="CP29" s="95"/>
      <c r="CQ29" s="95"/>
      <c r="CR29" s="95"/>
      <c r="CS29" s="95"/>
      <c r="CT29" s="95"/>
      <c r="CU29" s="95"/>
      <c r="CV29" s="95"/>
      <c r="CW29" s="95"/>
      <c r="CX29" s="95"/>
      <c r="CY29" s="95"/>
      <c r="CZ29" s="95"/>
      <c r="DA29" s="95"/>
      <c r="DB29" s="95"/>
      <c r="DC29" s="95"/>
      <c r="DD29" s="95"/>
      <c r="DE29" s="95"/>
      <c r="DF29" s="95"/>
      <c r="DG29" s="95"/>
      <c r="DH29" s="95"/>
      <c r="DI29" s="95"/>
      <c r="DJ29" s="95"/>
      <c r="DK29" s="95"/>
      <c r="DL29" s="95"/>
      <c r="DM29" s="95"/>
      <c r="DN29" s="95"/>
      <c r="DO29" s="95"/>
      <c r="DP29" s="95"/>
      <c r="DQ29" s="95"/>
      <c r="DR29" s="95"/>
      <c r="DS29" s="95"/>
      <c r="DT29" s="95"/>
      <c r="DU29" s="95"/>
      <c r="DV29" s="95"/>
      <c r="DW29" s="95"/>
      <c r="DX29" s="95"/>
      <c r="DY29" s="95"/>
      <c r="EC29" s="2"/>
    </row>
    <row r="30" spans="1:168" ht="24.95" customHeight="1">
      <c r="A30" s="1">
        <f t="shared" si="13"/>
        <v>22</v>
      </c>
      <c r="B30" s="69"/>
      <c r="C30" s="49"/>
      <c r="D30" s="111" t="s">
        <v>123</v>
      </c>
      <c r="E30" s="49"/>
      <c r="F30" s="49"/>
      <c r="G30" s="93"/>
      <c r="H30" s="93"/>
      <c r="I30" s="93"/>
      <c r="J30" s="108"/>
      <c r="K30" s="95"/>
      <c r="L30" s="93"/>
      <c r="M30" s="93"/>
      <c r="N30" s="93"/>
      <c r="O30" s="93"/>
      <c r="P30" s="93"/>
      <c r="Q30" s="93"/>
      <c r="R30" s="93"/>
      <c r="S30" s="93"/>
      <c r="T30" s="49"/>
      <c r="U30" s="95"/>
      <c r="V30" s="93"/>
      <c r="W30" s="93"/>
      <c r="X30" s="93"/>
      <c r="Y30" s="132"/>
      <c r="Z30" s="125" t="s">
        <v>390</v>
      </c>
      <c r="AA30" s="93"/>
      <c r="AB30" s="93"/>
      <c r="AC30" s="93"/>
      <c r="AD30" s="93"/>
      <c r="AE30" s="95"/>
      <c r="AF30" s="93"/>
      <c r="AG30" s="93"/>
      <c r="AH30" s="131"/>
      <c r="AI30" s="49" t="s">
        <v>126</v>
      </c>
      <c r="AJ30" s="93"/>
      <c r="AK30" s="93"/>
      <c r="AL30" s="93"/>
      <c r="AM30" s="93"/>
      <c r="AN30" s="93"/>
      <c r="AO30" s="98"/>
      <c r="AP30" s="111" t="s">
        <v>390</v>
      </c>
      <c r="AQ30" s="93"/>
      <c r="AR30" s="93"/>
      <c r="AS30" s="93"/>
      <c r="AT30" s="93"/>
      <c r="AU30" s="95"/>
      <c r="AV30" s="93"/>
      <c r="AW30" s="93"/>
      <c r="AX30" s="131"/>
      <c r="AY30" s="49" t="s">
        <v>126</v>
      </c>
      <c r="AZ30" s="93"/>
      <c r="BA30" s="93"/>
      <c r="BB30" s="93"/>
      <c r="BC30" s="93"/>
      <c r="BD30" s="93"/>
      <c r="BE30" s="132"/>
      <c r="BF30" s="111" t="s">
        <v>390</v>
      </c>
      <c r="BG30" s="93"/>
      <c r="BH30" s="93"/>
      <c r="BI30" s="93"/>
      <c r="BJ30" s="93"/>
      <c r="BK30" s="95"/>
      <c r="BL30" s="93"/>
      <c r="BM30" s="93"/>
      <c r="BN30" s="131"/>
      <c r="BO30" s="49" t="s">
        <v>126</v>
      </c>
      <c r="BP30" s="93"/>
      <c r="BQ30" s="93"/>
      <c r="BR30" s="93"/>
      <c r="BS30" s="93"/>
      <c r="BT30" s="93"/>
      <c r="BU30" s="132"/>
      <c r="BV30" s="49" t="s">
        <v>126</v>
      </c>
      <c r="BW30" s="93"/>
      <c r="BX30" s="93"/>
      <c r="BY30" s="93"/>
      <c r="BZ30" s="93"/>
      <c r="CA30" s="95"/>
      <c r="CB30" s="93"/>
      <c r="CC30" s="125" t="s">
        <v>126</v>
      </c>
      <c r="CD30" s="93"/>
      <c r="CE30" s="49"/>
      <c r="CF30" s="93"/>
      <c r="CG30" s="93"/>
      <c r="CH30" s="93"/>
      <c r="CI30" s="98"/>
      <c r="CJ30" s="65"/>
      <c r="CK30" s="111"/>
      <c r="CL30" s="49"/>
      <c r="CM30" s="49"/>
      <c r="CN30" s="95"/>
      <c r="CO30" s="95"/>
      <c r="CP30" s="95"/>
      <c r="CQ30" s="95"/>
      <c r="CR30" s="95"/>
      <c r="CS30" s="95"/>
      <c r="CT30" s="95"/>
      <c r="CU30" s="95"/>
      <c r="CV30" s="95"/>
      <c r="CW30" s="95"/>
      <c r="CX30" s="95"/>
      <c r="CY30" s="95"/>
      <c r="CZ30" s="95"/>
      <c r="DA30" s="95"/>
      <c r="DB30" s="95"/>
      <c r="DC30" s="95"/>
      <c r="DD30" s="95"/>
      <c r="DE30" s="95"/>
      <c r="DF30" s="95"/>
      <c r="DG30" s="95"/>
      <c r="DH30" s="95"/>
      <c r="DI30" s="95"/>
      <c r="DJ30" s="95"/>
      <c r="DK30" s="95"/>
      <c r="DL30" s="95"/>
      <c r="DM30" s="95"/>
      <c r="DN30" s="95"/>
      <c r="DO30" s="95"/>
      <c r="DP30" s="95"/>
      <c r="DQ30" s="95"/>
      <c r="DR30" s="95"/>
      <c r="DS30" s="95"/>
      <c r="DT30" s="95"/>
      <c r="DU30" s="95"/>
      <c r="DV30" s="95"/>
      <c r="DW30" s="95"/>
      <c r="DX30" s="95"/>
      <c r="DY30" s="95"/>
      <c r="EC30" s="2"/>
    </row>
    <row r="31" spans="1:168" ht="24.95" customHeight="1">
      <c r="A31" s="1">
        <f t="shared" si="13"/>
        <v>23</v>
      </c>
      <c r="B31" s="69"/>
      <c r="C31" s="49"/>
      <c r="D31" s="111"/>
      <c r="E31" s="49"/>
      <c r="F31" s="49"/>
      <c r="G31" s="93"/>
      <c r="H31" s="93"/>
      <c r="I31" s="93"/>
      <c r="J31" s="108"/>
      <c r="K31" s="95"/>
      <c r="L31" s="93"/>
      <c r="M31" s="93"/>
      <c r="N31" s="93"/>
      <c r="O31" s="93"/>
      <c r="P31" s="93"/>
      <c r="Q31" s="93"/>
      <c r="R31" s="93"/>
      <c r="S31" s="93"/>
      <c r="T31" s="49"/>
      <c r="U31" s="95"/>
      <c r="V31" s="93"/>
      <c r="W31" s="93"/>
      <c r="X31" s="109" t="s">
        <v>215</v>
      </c>
      <c r="Y31" s="132"/>
      <c r="Z31" s="111" t="s">
        <v>126</v>
      </c>
      <c r="AA31" s="93"/>
      <c r="AB31" s="93"/>
      <c r="AC31" s="93"/>
      <c r="AD31" s="93"/>
      <c r="AE31" s="95"/>
      <c r="AF31" s="49"/>
      <c r="AG31" s="93"/>
      <c r="AH31" s="131"/>
      <c r="AI31" s="49" t="s">
        <v>126</v>
      </c>
      <c r="AJ31" s="93"/>
      <c r="AK31" s="93"/>
      <c r="AL31" s="93"/>
      <c r="AM31" s="93"/>
      <c r="AN31" s="93"/>
      <c r="AO31" s="98"/>
      <c r="AP31" s="111" t="s">
        <v>126</v>
      </c>
      <c r="AQ31" s="93"/>
      <c r="AR31" s="93"/>
      <c r="AS31" s="93"/>
      <c r="AT31" s="93"/>
      <c r="AU31" s="95"/>
      <c r="AV31" s="49"/>
      <c r="AW31" s="93"/>
      <c r="AX31" s="131"/>
      <c r="AY31" s="49" t="s">
        <v>126</v>
      </c>
      <c r="AZ31" s="93"/>
      <c r="BA31" s="93"/>
      <c r="BB31" s="93"/>
      <c r="BC31" s="93"/>
      <c r="BD31" s="93"/>
      <c r="BE31" s="132"/>
      <c r="BF31" s="111" t="s">
        <v>126</v>
      </c>
      <c r="BG31" s="93"/>
      <c r="BH31" s="93"/>
      <c r="BI31" s="93"/>
      <c r="BJ31" s="93"/>
      <c r="BK31" s="95"/>
      <c r="BL31" s="49"/>
      <c r="BM31" s="93"/>
      <c r="BN31" s="131"/>
      <c r="BO31" s="49" t="s">
        <v>126</v>
      </c>
      <c r="BP31" s="93"/>
      <c r="BQ31" s="93"/>
      <c r="BR31" s="93"/>
      <c r="BS31" s="93"/>
      <c r="BT31" s="93"/>
      <c r="BU31" s="132"/>
      <c r="BV31" s="49" t="s">
        <v>126</v>
      </c>
      <c r="BW31" s="93"/>
      <c r="BX31" s="93"/>
      <c r="BY31" s="93"/>
      <c r="BZ31" s="93"/>
      <c r="CA31" s="95"/>
      <c r="CB31" s="49"/>
      <c r="CC31" s="111" t="s">
        <v>126</v>
      </c>
      <c r="CD31" s="93"/>
      <c r="CE31" s="49"/>
      <c r="CF31" s="93"/>
      <c r="CG31" s="93"/>
      <c r="CH31" s="93"/>
      <c r="CI31" s="98"/>
      <c r="CJ31" s="65"/>
      <c r="CK31" s="111"/>
      <c r="CL31" s="49"/>
      <c r="CM31" s="49"/>
      <c r="CN31" s="95"/>
      <c r="CO31" s="95"/>
      <c r="CP31" s="95"/>
      <c r="CQ31" s="95"/>
      <c r="CR31" s="95"/>
      <c r="CS31" s="95"/>
      <c r="CT31" s="95"/>
      <c r="CU31" s="95"/>
      <c r="CV31" s="95"/>
      <c r="CW31" s="95"/>
      <c r="CX31" s="95"/>
      <c r="CY31" s="95"/>
      <c r="CZ31" s="95"/>
      <c r="DA31" s="95"/>
      <c r="DB31" s="95"/>
      <c r="DC31" s="95"/>
      <c r="DD31" s="95"/>
      <c r="DE31" s="95"/>
      <c r="DF31" s="95"/>
      <c r="DG31" s="95"/>
      <c r="DH31" s="95"/>
      <c r="DI31" s="95"/>
      <c r="DJ31" s="95"/>
      <c r="DK31" s="95"/>
      <c r="DL31" s="95"/>
      <c r="DM31" s="95"/>
      <c r="DN31" s="95"/>
      <c r="DO31" s="95"/>
      <c r="DP31" s="95"/>
      <c r="DQ31" s="95"/>
      <c r="DR31" s="95"/>
      <c r="DS31" s="95"/>
      <c r="DT31" s="95"/>
      <c r="DU31" s="95"/>
      <c r="DV31" s="95"/>
      <c r="DW31" s="95"/>
      <c r="DX31" s="95"/>
      <c r="DY31" s="95"/>
      <c r="EC31" s="2"/>
    </row>
    <row r="32" spans="1:168" ht="24.95" customHeight="1">
      <c r="A32" s="1">
        <f t="shared" si="13"/>
        <v>24</v>
      </c>
      <c r="B32" s="69"/>
      <c r="C32" s="65"/>
      <c r="D32" s="111" t="s">
        <v>195</v>
      </c>
      <c r="E32" s="49"/>
      <c r="F32" s="49"/>
      <c r="G32" s="93"/>
      <c r="H32" s="93"/>
      <c r="I32" s="93"/>
      <c r="J32" s="108"/>
      <c r="K32" s="95"/>
      <c r="L32" s="49"/>
      <c r="M32" s="108"/>
      <c r="N32" s="93"/>
      <c r="O32" s="93"/>
      <c r="P32" s="93"/>
      <c r="Q32" s="93"/>
      <c r="R32" s="93"/>
      <c r="S32" s="93"/>
      <c r="T32" s="93"/>
      <c r="U32" s="95"/>
      <c r="V32" s="49"/>
      <c r="W32" s="93"/>
      <c r="X32" s="109"/>
      <c r="Y32" s="132"/>
      <c r="Z32" s="111" t="s">
        <v>390</v>
      </c>
      <c r="AA32" s="91"/>
      <c r="AB32" s="91"/>
      <c r="AC32" s="91"/>
      <c r="AD32" s="91"/>
      <c r="AE32" s="143"/>
      <c r="AF32" s="88"/>
      <c r="AG32" s="91"/>
      <c r="AH32" s="144"/>
      <c r="AI32" s="88" t="s">
        <v>126</v>
      </c>
      <c r="AJ32" s="91"/>
      <c r="AK32" s="91"/>
      <c r="AL32" s="91"/>
      <c r="AM32" s="91"/>
      <c r="AN32" s="91"/>
      <c r="AO32" s="145"/>
      <c r="AP32" s="111" t="s">
        <v>390</v>
      </c>
      <c r="AQ32" s="91"/>
      <c r="AR32" s="91"/>
      <c r="AS32" s="91"/>
      <c r="AT32" s="91"/>
      <c r="AU32" s="91"/>
      <c r="AV32" s="91"/>
      <c r="AW32" s="91"/>
      <c r="AX32" s="146"/>
      <c r="AY32" s="88" t="s">
        <v>126</v>
      </c>
      <c r="AZ32" s="91"/>
      <c r="BA32" s="143"/>
      <c r="BB32" s="143"/>
      <c r="BC32" s="143"/>
      <c r="BD32" s="143"/>
      <c r="BE32" s="145"/>
      <c r="BF32" s="111" t="s">
        <v>390</v>
      </c>
      <c r="BG32" s="143"/>
      <c r="BH32" s="143"/>
      <c r="BI32" s="143"/>
      <c r="BJ32" s="143"/>
      <c r="BK32" s="143"/>
      <c r="BL32" s="143"/>
      <c r="BM32" s="143"/>
      <c r="BN32" s="146"/>
      <c r="BO32" s="88" t="s">
        <v>126</v>
      </c>
      <c r="BP32" s="91"/>
      <c r="BQ32" s="143"/>
      <c r="BR32" s="143"/>
      <c r="BS32" s="143"/>
      <c r="BT32" s="143"/>
      <c r="BU32" s="145"/>
      <c r="BV32" s="88" t="s">
        <v>126</v>
      </c>
      <c r="BW32" s="143"/>
      <c r="BX32" s="143"/>
      <c r="BY32" s="143"/>
      <c r="BZ32" s="143"/>
      <c r="CA32" s="143"/>
      <c r="CB32" s="143"/>
      <c r="CC32" s="110" t="s">
        <v>126</v>
      </c>
      <c r="CD32" s="143"/>
      <c r="CE32" s="143"/>
      <c r="CF32" s="143"/>
      <c r="CG32" s="143"/>
      <c r="CH32" s="143"/>
      <c r="CI32" s="145"/>
      <c r="CJ32" s="65"/>
      <c r="CK32" s="116"/>
      <c r="CL32" s="65"/>
      <c r="CM32" s="65"/>
      <c r="CN32" s="95"/>
      <c r="CO32" s="95"/>
      <c r="CP32" s="95"/>
      <c r="CQ32" s="95"/>
      <c r="CR32" s="95"/>
      <c r="CS32" s="95"/>
      <c r="CT32" s="95"/>
      <c r="CU32" s="95"/>
      <c r="CV32" s="95"/>
      <c r="CW32" s="95"/>
      <c r="CX32" s="95"/>
      <c r="CY32" s="95"/>
      <c r="CZ32" s="95"/>
      <c r="DA32" s="95"/>
      <c r="DB32" s="95"/>
      <c r="DC32" s="95"/>
      <c r="DD32" s="95"/>
      <c r="DE32" s="95"/>
      <c r="DF32" s="95"/>
      <c r="DG32" s="95"/>
      <c r="DH32" s="95"/>
      <c r="DI32" s="95"/>
      <c r="DJ32" s="95"/>
      <c r="DK32" s="95"/>
      <c r="DL32" s="95"/>
      <c r="DM32" s="95"/>
      <c r="DN32" s="95"/>
      <c r="DO32" s="95"/>
      <c r="DP32" s="95"/>
      <c r="DQ32" s="95"/>
      <c r="DR32" s="95"/>
      <c r="DS32" s="95"/>
      <c r="DT32" s="95"/>
      <c r="DU32" s="95"/>
      <c r="DV32" s="95"/>
      <c r="DW32" s="95"/>
      <c r="DX32" s="95"/>
      <c r="DY32" s="95"/>
      <c r="EC32" s="2"/>
    </row>
    <row r="33" spans="1:170" ht="24.95" customHeight="1">
      <c r="A33" s="1">
        <f t="shared" si="13"/>
        <v>25</v>
      </c>
      <c r="B33" s="69"/>
      <c r="C33" s="65"/>
      <c r="D33" s="111" t="s">
        <v>433</v>
      </c>
      <c r="E33" s="49"/>
      <c r="F33" s="49"/>
      <c r="G33" s="93"/>
      <c r="H33" s="93"/>
      <c r="I33" s="93"/>
      <c r="J33" s="95"/>
      <c r="K33" s="95"/>
      <c r="L33" s="49"/>
      <c r="M33" s="104" t="s">
        <v>214</v>
      </c>
      <c r="N33" s="93"/>
      <c r="O33" s="93"/>
      <c r="P33" s="93"/>
      <c r="Q33" s="93"/>
      <c r="R33" s="93"/>
      <c r="S33" s="49" t="s">
        <v>215</v>
      </c>
      <c r="T33" s="93"/>
      <c r="U33" s="95"/>
      <c r="V33" s="49"/>
      <c r="W33" s="93"/>
      <c r="X33" s="109"/>
      <c r="Y33" s="132"/>
      <c r="Z33" s="111" t="s">
        <v>126</v>
      </c>
      <c r="AA33" s="134"/>
      <c r="AB33" s="134"/>
      <c r="AC33" s="134"/>
      <c r="AD33" s="134"/>
      <c r="AE33" s="135"/>
      <c r="AF33" s="133"/>
      <c r="AG33" s="134"/>
      <c r="AH33" s="138"/>
      <c r="AI33" s="133" t="s">
        <v>126</v>
      </c>
      <c r="AJ33" s="134"/>
      <c r="AK33" s="134"/>
      <c r="AL33" s="134"/>
      <c r="AM33" s="134"/>
      <c r="AN33" s="134"/>
      <c r="AO33" s="139"/>
      <c r="AP33" s="111" t="s">
        <v>126</v>
      </c>
      <c r="AQ33" s="134"/>
      <c r="AR33" s="134"/>
      <c r="AS33" s="134"/>
      <c r="AT33" s="134"/>
      <c r="AU33" s="134"/>
      <c r="AV33" s="134"/>
      <c r="AW33" s="134"/>
      <c r="AX33" s="140"/>
      <c r="AY33" s="133" t="s">
        <v>126</v>
      </c>
      <c r="AZ33" s="134"/>
      <c r="BA33" s="135"/>
      <c r="BB33" s="135"/>
      <c r="BC33" s="135"/>
      <c r="BD33" s="135"/>
      <c r="BE33" s="139"/>
      <c r="BF33" s="111" t="s">
        <v>126</v>
      </c>
      <c r="BG33" s="135"/>
      <c r="BH33" s="135"/>
      <c r="BI33" s="135"/>
      <c r="BJ33" s="135"/>
      <c r="BK33" s="135"/>
      <c r="BL33" s="135"/>
      <c r="BM33" s="135"/>
      <c r="BN33" s="140"/>
      <c r="BO33" s="133" t="s">
        <v>126</v>
      </c>
      <c r="BP33" s="134"/>
      <c r="BQ33" s="135"/>
      <c r="BR33" s="135"/>
      <c r="BS33" s="135"/>
      <c r="BT33" s="135"/>
      <c r="BU33" s="139"/>
      <c r="BV33" s="133" t="s">
        <v>126</v>
      </c>
      <c r="BW33" s="135"/>
      <c r="BX33" s="135"/>
      <c r="BY33" s="135"/>
      <c r="BZ33" s="135"/>
      <c r="CA33" s="135"/>
      <c r="CB33" s="135"/>
      <c r="CC33" s="137" t="s">
        <v>126</v>
      </c>
      <c r="CD33" s="135"/>
      <c r="CE33" s="135"/>
      <c r="CF33" s="135"/>
      <c r="CG33" s="135"/>
      <c r="CH33" s="135"/>
      <c r="CI33" s="139"/>
      <c r="CJ33" s="65"/>
      <c r="CK33" s="116"/>
      <c r="CL33" s="65"/>
      <c r="CM33" s="65"/>
      <c r="CN33" s="95"/>
      <c r="CO33" s="95"/>
      <c r="CP33" s="95"/>
      <c r="CQ33" s="95"/>
      <c r="CR33" s="95"/>
      <c r="CS33" s="95"/>
      <c r="CT33" s="95"/>
      <c r="CU33" s="95"/>
      <c r="CV33" s="95"/>
      <c r="CW33" s="95"/>
      <c r="CX33" s="95"/>
      <c r="CY33" s="95"/>
      <c r="CZ33" s="95"/>
      <c r="DA33" s="95"/>
      <c r="DB33" s="95"/>
      <c r="DC33" s="95"/>
      <c r="DD33" s="95"/>
      <c r="DE33" s="95"/>
      <c r="DF33" s="95"/>
      <c r="DG33" s="95"/>
      <c r="DH33" s="95"/>
      <c r="DI33" s="95"/>
      <c r="DJ33" s="95"/>
      <c r="DK33" s="95"/>
      <c r="DL33" s="95"/>
      <c r="DM33" s="95"/>
      <c r="DN33" s="95"/>
      <c r="DO33" s="95"/>
      <c r="DP33" s="95"/>
      <c r="DQ33" s="95"/>
      <c r="DR33" s="95"/>
      <c r="DS33" s="95"/>
      <c r="DT33" s="95"/>
      <c r="DU33" s="95"/>
      <c r="DV33" s="95"/>
      <c r="DW33" s="95"/>
      <c r="DX33" s="95"/>
      <c r="DY33" s="95"/>
      <c r="EC33" s="2"/>
    </row>
    <row r="34" spans="1:170" ht="24.95" customHeight="1">
      <c r="A34" s="1">
        <f t="shared" si="13"/>
        <v>26</v>
      </c>
      <c r="B34" s="69"/>
      <c r="C34" s="65"/>
      <c r="D34" s="116"/>
      <c r="E34" s="65"/>
      <c r="F34" s="49"/>
      <c r="G34" s="93"/>
      <c r="H34" s="93"/>
      <c r="I34" s="93"/>
      <c r="J34" s="95"/>
      <c r="K34" s="95"/>
      <c r="L34" s="49"/>
      <c r="M34" s="93"/>
      <c r="N34" s="93"/>
      <c r="O34" s="93"/>
      <c r="P34" s="93"/>
      <c r="Q34" s="93"/>
      <c r="R34" s="93"/>
      <c r="S34" s="93"/>
      <c r="T34" s="93"/>
      <c r="U34" s="95"/>
      <c r="V34" s="49"/>
      <c r="W34" s="93"/>
      <c r="X34" s="93"/>
      <c r="Y34" s="132"/>
      <c r="Z34" s="111" t="s">
        <v>390</v>
      </c>
      <c r="AA34" s="93"/>
      <c r="AB34" s="93"/>
      <c r="AC34" s="109"/>
      <c r="AD34" s="93"/>
      <c r="AE34" s="95"/>
      <c r="AF34" s="49"/>
      <c r="AG34" s="93"/>
      <c r="AH34" s="131"/>
      <c r="AI34" s="49" t="s">
        <v>126</v>
      </c>
      <c r="AJ34" s="93"/>
      <c r="AK34" s="93"/>
      <c r="AL34" s="93"/>
      <c r="AM34" s="93"/>
      <c r="AN34" s="93"/>
      <c r="AO34" s="98"/>
      <c r="AP34" s="111" t="s">
        <v>390</v>
      </c>
      <c r="AQ34" s="93"/>
      <c r="AR34" s="95"/>
      <c r="AS34" s="95"/>
      <c r="AT34" s="95"/>
      <c r="AU34" s="95"/>
      <c r="AV34" s="95"/>
      <c r="AW34" s="95"/>
      <c r="AX34" s="113"/>
      <c r="AY34" s="49" t="s">
        <v>126</v>
      </c>
      <c r="AZ34" s="93"/>
      <c r="BA34" s="95"/>
      <c r="BB34" s="95"/>
      <c r="BC34" s="95"/>
      <c r="BD34" s="95"/>
      <c r="BE34" s="98"/>
      <c r="BF34" s="111" t="s">
        <v>390</v>
      </c>
      <c r="BG34" s="95"/>
      <c r="BH34" s="95"/>
      <c r="BI34" s="95"/>
      <c r="BJ34" s="95"/>
      <c r="BK34" s="95"/>
      <c r="BL34" s="95"/>
      <c r="BM34" s="95"/>
      <c r="BN34" s="113"/>
      <c r="BO34" s="49" t="s">
        <v>126</v>
      </c>
      <c r="BP34" s="93"/>
      <c r="BQ34" s="95"/>
      <c r="BR34" s="95"/>
      <c r="BS34" s="95"/>
      <c r="BT34" s="95"/>
      <c r="BU34" s="98"/>
      <c r="BV34" s="49" t="s">
        <v>126</v>
      </c>
      <c r="BW34" s="95"/>
      <c r="BX34" s="95"/>
      <c r="BY34" s="95"/>
      <c r="BZ34" s="95"/>
      <c r="CA34" s="95"/>
      <c r="CB34" s="95"/>
      <c r="CC34" s="111" t="s">
        <v>126</v>
      </c>
      <c r="CD34" s="95"/>
      <c r="CE34" s="95"/>
      <c r="CF34" s="95"/>
      <c r="CG34" s="95"/>
      <c r="CH34" s="95"/>
      <c r="CI34" s="98"/>
      <c r="CJ34" s="65"/>
      <c r="CK34" s="116"/>
      <c r="CL34" s="65"/>
      <c r="CM34" s="65"/>
      <c r="CN34" s="95"/>
      <c r="CO34" s="95"/>
      <c r="CP34" s="95"/>
      <c r="CQ34" s="95"/>
      <c r="CR34" s="95"/>
      <c r="CS34" s="95"/>
      <c r="CT34" s="95"/>
      <c r="CU34" s="95"/>
      <c r="CV34" s="95"/>
      <c r="CW34" s="95"/>
      <c r="CX34" s="95"/>
      <c r="CY34" s="95"/>
      <c r="CZ34" s="95"/>
      <c r="DA34" s="95"/>
      <c r="DB34" s="95"/>
      <c r="DC34" s="95"/>
      <c r="DD34" s="95"/>
      <c r="DE34" s="95"/>
      <c r="DF34" s="95"/>
      <c r="DG34" s="95"/>
      <c r="DH34" s="95"/>
      <c r="DI34" s="95"/>
      <c r="DJ34" s="95"/>
      <c r="DK34" s="95"/>
      <c r="DL34" s="95"/>
      <c r="DM34" s="95"/>
      <c r="DN34" s="95"/>
      <c r="DO34" s="95"/>
      <c r="DP34" s="95"/>
      <c r="DQ34" s="95"/>
      <c r="DR34" s="95"/>
      <c r="DS34" s="95"/>
      <c r="DT34" s="95"/>
      <c r="DU34" s="95"/>
      <c r="DV34" s="95"/>
      <c r="DW34" s="95"/>
      <c r="DX34" s="95"/>
      <c r="DY34" s="95"/>
      <c r="EC34" s="2"/>
    </row>
    <row r="35" spans="1:170" ht="24.95" customHeight="1">
      <c r="A35" s="1">
        <f t="shared" si="13"/>
        <v>27</v>
      </c>
      <c r="B35" s="69"/>
      <c r="C35" s="49"/>
      <c r="D35" s="141"/>
      <c r="E35" s="142"/>
      <c r="F35" s="106"/>
      <c r="G35" s="129"/>
      <c r="H35" s="129"/>
      <c r="I35" s="129"/>
      <c r="J35" s="107"/>
      <c r="K35" s="107"/>
      <c r="L35" s="106"/>
      <c r="M35" s="129"/>
      <c r="N35" s="129"/>
      <c r="O35" s="129"/>
      <c r="P35" s="129"/>
      <c r="Q35" s="129"/>
      <c r="R35" s="129"/>
      <c r="S35" s="129"/>
      <c r="T35" s="129"/>
      <c r="U35" s="107"/>
      <c r="V35" s="106"/>
      <c r="W35" s="129"/>
      <c r="X35" s="129"/>
      <c r="Y35" s="130"/>
      <c r="Z35" s="122" t="s">
        <v>126</v>
      </c>
      <c r="AA35" s="129"/>
      <c r="AB35" s="129"/>
      <c r="AC35" s="129"/>
      <c r="AD35" s="129"/>
      <c r="AE35" s="107"/>
      <c r="AF35" s="106"/>
      <c r="AG35" s="129"/>
      <c r="AH35" s="128"/>
      <c r="AI35" s="106" t="s">
        <v>126</v>
      </c>
      <c r="AJ35" s="129"/>
      <c r="AK35" s="129"/>
      <c r="AL35" s="129"/>
      <c r="AM35" s="129"/>
      <c r="AN35" s="129"/>
      <c r="AO35" s="123"/>
      <c r="AP35" s="111" t="s">
        <v>126</v>
      </c>
      <c r="AQ35" s="129"/>
      <c r="AR35" s="107"/>
      <c r="AS35" s="107"/>
      <c r="AT35" s="107"/>
      <c r="AU35" s="107"/>
      <c r="AV35" s="107"/>
      <c r="AW35" s="107"/>
      <c r="AX35" s="124"/>
      <c r="AY35" s="106" t="s">
        <v>126</v>
      </c>
      <c r="AZ35" s="129"/>
      <c r="BA35" s="107"/>
      <c r="BB35" s="107"/>
      <c r="BC35" s="107"/>
      <c r="BD35" s="107"/>
      <c r="BE35" s="123"/>
      <c r="BF35" s="111" t="s">
        <v>126</v>
      </c>
      <c r="BG35" s="107"/>
      <c r="BH35" s="107"/>
      <c r="BI35" s="107"/>
      <c r="BJ35" s="107"/>
      <c r="BK35" s="107"/>
      <c r="BL35" s="107"/>
      <c r="BM35" s="107"/>
      <c r="BN35" s="124"/>
      <c r="BO35" s="106" t="s">
        <v>126</v>
      </c>
      <c r="BP35" s="129"/>
      <c r="BQ35" s="107"/>
      <c r="BR35" s="107"/>
      <c r="BS35" s="107"/>
      <c r="BT35" s="107"/>
      <c r="BU35" s="123"/>
      <c r="BV35" s="106" t="s">
        <v>126</v>
      </c>
      <c r="BW35" s="107"/>
      <c r="BX35" s="107"/>
      <c r="BY35" s="107"/>
      <c r="BZ35" s="107"/>
      <c r="CA35" s="107"/>
      <c r="CB35" s="107"/>
      <c r="CC35" s="122" t="s">
        <v>126</v>
      </c>
      <c r="CD35" s="107"/>
      <c r="CE35" s="107"/>
      <c r="CF35" s="107"/>
      <c r="CG35" s="107"/>
      <c r="CH35" s="107"/>
      <c r="CI35" s="123"/>
      <c r="CJ35" s="65"/>
      <c r="CK35" s="111"/>
      <c r="CL35" s="65"/>
      <c r="CM35" s="49"/>
      <c r="CN35" s="95"/>
      <c r="CO35" s="95"/>
      <c r="CP35" s="95"/>
      <c r="CQ35" s="95"/>
      <c r="CR35" s="95"/>
      <c r="CS35" s="95"/>
      <c r="CT35" s="95"/>
      <c r="CU35" s="95"/>
      <c r="CV35" s="95"/>
      <c r="CW35" s="95"/>
      <c r="CX35" s="95"/>
      <c r="CY35" s="95"/>
      <c r="CZ35" s="95"/>
      <c r="DA35" s="95"/>
      <c r="DB35" s="95"/>
      <c r="DC35" s="95"/>
      <c r="DD35" s="95"/>
      <c r="DE35" s="95"/>
      <c r="DF35" s="95"/>
      <c r="DG35" s="95"/>
      <c r="DH35" s="95"/>
      <c r="DI35" s="95"/>
      <c r="DJ35" s="95"/>
      <c r="DK35" s="95"/>
      <c r="DL35" s="95"/>
      <c r="DM35" s="95"/>
      <c r="DN35" s="95"/>
      <c r="DO35" s="95"/>
      <c r="DP35" s="95"/>
      <c r="DQ35" s="95"/>
      <c r="DR35" s="95"/>
      <c r="DS35" s="95"/>
      <c r="DT35" s="95"/>
      <c r="DU35" s="95"/>
      <c r="DV35" s="95"/>
      <c r="DW35" s="95"/>
      <c r="DX35" s="95"/>
      <c r="DY35" s="95"/>
      <c r="EC35" s="2"/>
    </row>
    <row r="36" spans="1:170" ht="24.95" customHeight="1">
      <c r="A36" s="1">
        <f t="shared" si="13"/>
        <v>28</v>
      </c>
      <c r="B36" s="69"/>
      <c r="C36" s="49"/>
      <c r="D36" s="111" t="s">
        <v>123</v>
      </c>
      <c r="E36" s="49"/>
      <c r="F36" s="49"/>
      <c r="G36" s="93"/>
      <c r="H36" s="93"/>
      <c r="I36" s="93"/>
      <c r="J36" s="108"/>
      <c r="K36" s="95"/>
      <c r="L36" s="93"/>
      <c r="M36" s="93"/>
      <c r="N36" s="93"/>
      <c r="O36" s="93"/>
      <c r="P36" s="93"/>
      <c r="Q36" s="93"/>
      <c r="R36" s="93"/>
      <c r="S36" s="93"/>
      <c r="T36" s="49"/>
      <c r="U36" s="95"/>
      <c r="V36" s="93"/>
      <c r="W36" s="93"/>
      <c r="X36" s="93"/>
      <c r="Y36" s="132"/>
      <c r="Z36" s="125" t="s">
        <v>390</v>
      </c>
      <c r="AA36" s="93"/>
      <c r="AB36" s="93"/>
      <c r="AC36" s="93"/>
      <c r="AD36" s="93"/>
      <c r="AE36" s="95"/>
      <c r="AF36" s="93"/>
      <c r="AG36" s="93"/>
      <c r="AH36" s="131"/>
      <c r="AI36" s="49" t="s">
        <v>126</v>
      </c>
      <c r="AJ36" s="93"/>
      <c r="AK36" s="93"/>
      <c r="AL36" s="93"/>
      <c r="AM36" s="93"/>
      <c r="AN36" s="93"/>
      <c r="AO36" s="98"/>
      <c r="AP36" s="111" t="s">
        <v>390</v>
      </c>
      <c r="AQ36" s="93"/>
      <c r="AR36" s="93"/>
      <c r="AS36" s="93"/>
      <c r="AT36" s="93"/>
      <c r="AU36" s="95"/>
      <c r="AV36" s="93"/>
      <c r="AW36" s="93"/>
      <c r="AX36" s="131"/>
      <c r="AY36" s="49" t="s">
        <v>126</v>
      </c>
      <c r="AZ36" s="93"/>
      <c r="BA36" s="93"/>
      <c r="BB36" s="93"/>
      <c r="BC36" s="93"/>
      <c r="BD36" s="93"/>
      <c r="BE36" s="132"/>
      <c r="BF36" s="111" t="s">
        <v>390</v>
      </c>
      <c r="BG36" s="93"/>
      <c r="BH36" s="93"/>
      <c r="BI36" s="93"/>
      <c r="BJ36" s="93"/>
      <c r="BK36" s="95"/>
      <c r="BL36" s="93"/>
      <c r="BM36" s="93"/>
      <c r="BN36" s="131"/>
      <c r="BO36" s="49" t="s">
        <v>126</v>
      </c>
      <c r="BP36" s="93"/>
      <c r="BQ36" s="93"/>
      <c r="BR36" s="93"/>
      <c r="BS36" s="93"/>
      <c r="BT36" s="93"/>
      <c r="BU36" s="132"/>
      <c r="BV36" s="49" t="s">
        <v>126</v>
      </c>
      <c r="BW36" s="93"/>
      <c r="BX36" s="93"/>
      <c r="BY36" s="93"/>
      <c r="BZ36" s="93"/>
      <c r="CA36" s="95"/>
      <c r="CB36" s="93"/>
      <c r="CC36" s="125" t="s">
        <v>126</v>
      </c>
      <c r="CD36" s="93"/>
      <c r="CE36" s="49"/>
      <c r="CF36" s="93"/>
      <c r="CG36" s="93"/>
      <c r="CH36" s="93"/>
      <c r="CI36" s="132"/>
      <c r="CJ36" s="65"/>
      <c r="CK36" s="111"/>
      <c r="CL36" s="49"/>
      <c r="CM36" s="49"/>
      <c r="CN36" s="95"/>
      <c r="CO36" s="95"/>
      <c r="CP36" s="95"/>
      <c r="CQ36" s="95"/>
      <c r="CR36" s="95"/>
      <c r="CS36" s="95"/>
      <c r="CT36" s="95"/>
      <c r="CU36" s="95"/>
      <c r="CV36" s="95"/>
      <c r="CW36" s="95"/>
      <c r="CX36" s="95"/>
      <c r="CY36" s="95"/>
      <c r="CZ36" s="95"/>
      <c r="DA36" s="95"/>
      <c r="DB36" s="95"/>
      <c r="DC36" s="95"/>
      <c r="DD36" s="95"/>
      <c r="DE36" s="95"/>
      <c r="DF36" s="95"/>
      <c r="DG36" s="95"/>
      <c r="DH36" s="95"/>
      <c r="DI36" s="95"/>
      <c r="DJ36" s="95"/>
      <c r="DK36" s="95"/>
      <c r="DL36" s="95"/>
      <c r="DM36" s="95"/>
      <c r="DN36" s="95"/>
      <c r="DO36" s="95"/>
      <c r="DP36" s="95"/>
      <c r="DQ36" s="95"/>
      <c r="DR36" s="95"/>
      <c r="DS36" s="95"/>
      <c r="DT36" s="95"/>
      <c r="DU36" s="95"/>
      <c r="DV36" s="95"/>
      <c r="DW36" s="95"/>
      <c r="DX36" s="95"/>
      <c r="DY36" s="95"/>
      <c r="EC36" s="2"/>
    </row>
    <row r="37" spans="1:170" ht="24.95" customHeight="1">
      <c r="A37" s="1">
        <f t="shared" si="13"/>
        <v>29</v>
      </c>
      <c r="B37" s="69"/>
      <c r="C37" s="49"/>
      <c r="D37" s="111"/>
      <c r="E37" s="49"/>
      <c r="F37" s="49"/>
      <c r="G37" s="93"/>
      <c r="H37" s="93"/>
      <c r="I37" s="93"/>
      <c r="J37" s="108"/>
      <c r="K37" s="95"/>
      <c r="L37" s="93"/>
      <c r="M37" s="93"/>
      <c r="N37" s="93"/>
      <c r="O37" s="93"/>
      <c r="P37" s="93"/>
      <c r="Q37" s="93"/>
      <c r="R37" s="93"/>
      <c r="S37" s="93"/>
      <c r="T37" s="49"/>
      <c r="U37" s="95"/>
      <c r="V37" s="93"/>
      <c r="W37" s="93"/>
      <c r="X37" s="109" t="s">
        <v>215</v>
      </c>
      <c r="Y37" s="132"/>
      <c r="Z37" s="111" t="s">
        <v>126</v>
      </c>
      <c r="AA37" s="93"/>
      <c r="AB37" s="93"/>
      <c r="AC37" s="93"/>
      <c r="AD37" s="93"/>
      <c r="AE37" s="95"/>
      <c r="AF37" s="49"/>
      <c r="AG37" s="93"/>
      <c r="AH37" s="131"/>
      <c r="AI37" s="49" t="s">
        <v>126</v>
      </c>
      <c r="AJ37" s="93"/>
      <c r="AK37" s="93"/>
      <c r="AL37" s="93"/>
      <c r="AM37" s="93"/>
      <c r="AN37" s="93"/>
      <c r="AO37" s="98"/>
      <c r="AP37" s="111" t="s">
        <v>126</v>
      </c>
      <c r="AQ37" s="93"/>
      <c r="AR37" s="93"/>
      <c r="AS37" s="93"/>
      <c r="AT37" s="93"/>
      <c r="AU37" s="95"/>
      <c r="AV37" s="49"/>
      <c r="AW37" s="93"/>
      <c r="AX37" s="131"/>
      <c r="AY37" s="49" t="s">
        <v>126</v>
      </c>
      <c r="AZ37" s="93"/>
      <c r="BA37" s="93"/>
      <c r="BB37" s="93"/>
      <c r="BC37" s="93"/>
      <c r="BD37" s="93"/>
      <c r="BE37" s="132"/>
      <c r="BF37" s="111" t="s">
        <v>126</v>
      </c>
      <c r="BG37" s="93"/>
      <c r="BH37" s="93"/>
      <c r="BI37" s="93"/>
      <c r="BJ37" s="93"/>
      <c r="BK37" s="95"/>
      <c r="BL37" s="49"/>
      <c r="BM37" s="93"/>
      <c r="BN37" s="131"/>
      <c r="BO37" s="49" t="s">
        <v>126</v>
      </c>
      <c r="BP37" s="93"/>
      <c r="BQ37" s="93"/>
      <c r="BR37" s="93"/>
      <c r="BS37" s="93"/>
      <c r="BT37" s="93"/>
      <c r="BU37" s="132"/>
      <c r="BV37" s="49" t="s">
        <v>126</v>
      </c>
      <c r="BW37" s="93"/>
      <c r="BX37" s="93"/>
      <c r="BY37" s="93"/>
      <c r="BZ37" s="93"/>
      <c r="CA37" s="95"/>
      <c r="CB37" s="49"/>
      <c r="CC37" s="111" t="s">
        <v>126</v>
      </c>
      <c r="CD37" s="93"/>
      <c r="CE37" s="49"/>
      <c r="CF37" s="93"/>
      <c r="CG37" s="93"/>
      <c r="CH37" s="93"/>
      <c r="CI37" s="132"/>
      <c r="CJ37" s="65"/>
      <c r="CK37" s="111"/>
      <c r="CL37" s="49"/>
      <c r="CM37" s="49"/>
      <c r="CN37" s="95"/>
      <c r="CO37" s="95"/>
      <c r="CP37" s="95"/>
      <c r="CQ37" s="95"/>
      <c r="CR37" s="95"/>
      <c r="CS37" s="95"/>
      <c r="CT37" s="95"/>
      <c r="CU37" s="95"/>
      <c r="CV37" s="95"/>
      <c r="CW37" s="95"/>
      <c r="CX37" s="95"/>
      <c r="CY37" s="95"/>
      <c r="CZ37" s="95"/>
      <c r="DA37" s="95"/>
      <c r="DB37" s="95"/>
      <c r="DC37" s="95"/>
      <c r="DD37" s="95"/>
      <c r="DE37" s="95"/>
      <c r="DF37" s="95"/>
      <c r="DG37" s="95"/>
      <c r="DH37" s="95"/>
      <c r="DI37" s="95"/>
      <c r="DJ37" s="95"/>
      <c r="DK37" s="95"/>
      <c r="DL37" s="95"/>
      <c r="DM37" s="95"/>
      <c r="DN37" s="95"/>
      <c r="DO37" s="95"/>
      <c r="DP37" s="95"/>
      <c r="DQ37" s="95"/>
      <c r="DR37" s="95"/>
      <c r="DS37" s="95"/>
      <c r="DT37" s="95"/>
      <c r="DU37" s="95"/>
      <c r="DV37" s="95"/>
      <c r="DW37" s="95"/>
      <c r="DX37" s="95"/>
      <c r="DY37" s="95"/>
      <c r="EC37" s="2"/>
    </row>
    <row r="38" spans="1:170" ht="24.95" customHeight="1">
      <c r="A38" s="1">
        <f t="shared" si="13"/>
        <v>30</v>
      </c>
      <c r="B38" s="69"/>
      <c r="C38" s="49"/>
      <c r="D38" s="111" t="s">
        <v>195</v>
      </c>
      <c r="E38" s="49"/>
      <c r="F38" s="49"/>
      <c r="G38" s="93"/>
      <c r="H38" s="93"/>
      <c r="I38" s="93"/>
      <c r="J38" s="108"/>
      <c r="K38" s="95"/>
      <c r="L38" s="49"/>
      <c r="M38" s="108"/>
      <c r="N38" s="93"/>
      <c r="O38" s="93"/>
      <c r="P38" s="93"/>
      <c r="Q38" s="93"/>
      <c r="R38" s="93"/>
      <c r="S38" s="93"/>
      <c r="T38" s="93"/>
      <c r="U38" s="95"/>
      <c r="V38" s="49"/>
      <c r="W38" s="93"/>
      <c r="X38" s="109"/>
      <c r="Y38" s="132"/>
      <c r="Z38" s="111" t="s">
        <v>390</v>
      </c>
      <c r="AA38" s="91"/>
      <c r="AB38" s="91"/>
      <c r="AC38" s="91"/>
      <c r="AD38" s="91"/>
      <c r="AE38" s="143"/>
      <c r="AF38" s="88"/>
      <c r="AG38" s="91"/>
      <c r="AH38" s="144"/>
      <c r="AI38" s="88" t="s">
        <v>126</v>
      </c>
      <c r="AJ38" s="91"/>
      <c r="AK38" s="91"/>
      <c r="AL38" s="91"/>
      <c r="AM38" s="91"/>
      <c r="AN38" s="91"/>
      <c r="AO38" s="145"/>
      <c r="AP38" s="111" t="s">
        <v>390</v>
      </c>
      <c r="AQ38" s="91"/>
      <c r="AR38" s="91"/>
      <c r="AS38" s="91"/>
      <c r="AT38" s="91"/>
      <c r="AU38" s="91"/>
      <c r="AV38" s="91"/>
      <c r="AW38" s="91"/>
      <c r="AX38" s="146"/>
      <c r="AY38" s="88" t="s">
        <v>126</v>
      </c>
      <c r="AZ38" s="91"/>
      <c r="BA38" s="143"/>
      <c r="BB38" s="143"/>
      <c r="BC38" s="143"/>
      <c r="BD38" s="143"/>
      <c r="BE38" s="145"/>
      <c r="BF38" s="111" t="s">
        <v>390</v>
      </c>
      <c r="BG38" s="143"/>
      <c r="BH38" s="143"/>
      <c r="BI38" s="143"/>
      <c r="BJ38" s="143"/>
      <c r="BK38" s="143"/>
      <c r="BL38" s="143"/>
      <c r="BM38" s="143"/>
      <c r="BN38" s="146"/>
      <c r="BO38" s="88" t="s">
        <v>126</v>
      </c>
      <c r="BP38" s="91"/>
      <c r="BQ38" s="143"/>
      <c r="BR38" s="143"/>
      <c r="BS38" s="143"/>
      <c r="BT38" s="143"/>
      <c r="BU38" s="145"/>
      <c r="BV38" s="88" t="s">
        <v>126</v>
      </c>
      <c r="BW38" s="143"/>
      <c r="BX38" s="143"/>
      <c r="BY38" s="143"/>
      <c r="BZ38" s="143"/>
      <c r="CA38" s="143"/>
      <c r="CB38" s="143"/>
      <c r="CC38" s="110" t="s">
        <v>126</v>
      </c>
      <c r="CD38" s="143"/>
      <c r="CE38" s="143"/>
      <c r="CF38" s="143"/>
      <c r="CG38" s="143"/>
      <c r="CH38" s="143"/>
      <c r="CI38" s="145"/>
      <c r="CJ38" s="65"/>
      <c r="CK38" s="111"/>
      <c r="CL38" s="49"/>
      <c r="CM38" s="49"/>
      <c r="CN38" s="95"/>
      <c r="CO38" s="95"/>
      <c r="CP38" s="95"/>
      <c r="CQ38" s="95"/>
      <c r="CR38" s="95"/>
      <c r="CS38" s="95"/>
      <c r="CT38" s="95"/>
      <c r="CU38" s="95"/>
      <c r="CV38" s="95"/>
      <c r="CW38" s="95"/>
      <c r="CX38" s="95"/>
      <c r="CY38" s="95"/>
      <c r="CZ38" s="95"/>
      <c r="DA38" s="95"/>
      <c r="DB38" s="95"/>
      <c r="DC38" s="95"/>
      <c r="DD38" s="95"/>
      <c r="DE38" s="95"/>
      <c r="DF38" s="95"/>
      <c r="DG38" s="95"/>
      <c r="DH38" s="95"/>
      <c r="DI38" s="95"/>
      <c r="DJ38" s="95"/>
      <c r="DK38" s="95"/>
      <c r="DL38" s="95"/>
      <c r="DM38" s="95"/>
      <c r="DN38" s="95"/>
      <c r="DO38" s="95"/>
      <c r="DP38" s="95"/>
      <c r="DQ38" s="95"/>
      <c r="DR38" s="95"/>
      <c r="DS38" s="95"/>
      <c r="DT38" s="95"/>
      <c r="DU38" s="95"/>
      <c r="DV38" s="95"/>
      <c r="DW38" s="95"/>
      <c r="DX38" s="95"/>
      <c r="DY38" s="95"/>
      <c r="EC38" s="2"/>
    </row>
    <row r="39" spans="1:170" ht="24.95" customHeight="1">
      <c r="A39" s="1">
        <f t="shared" si="13"/>
        <v>31</v>
      </c>
      <c r="B39" s="69"/>
      <c r="C39" s="49"/>
      <c r="D39" s="111" t="s">
        <v>433</v>
      </c>
      <c r="E39" s="49"/>
      <c r="F39" s="49"/>
      <c r="G39" s="93"/>
      <c r="H39" s="93"/>
      <c r="I39" s="93"/>
      <c r="J39" s="95"/>
      <c r="K39" s="95"/>
      <c r="L39" s="49"/>
      <c r="M39" s="104" t="s">
        <v>214</v>
      </c>
      <c r="N39" s="93"/>
      <c r="O39" s="93"/>
      <c r="P39" s="93"/>
      <c r="Q39" s="93"/>
      <c r="R39" s="93"/>
      <c r="S39" s="49" t="s">
        <v>215</v>
      </c>
      <c r="T39" s="93"/>
      <c r="U39" s="95"/>
      <c r="V39" s="49"/>
      <c r="W39" s="93"/>
      <c r="X39" s="109"/>
      <c r="Y39" s="132"/>
      <c r="Z39" s="111" t="s">
        <v>126</v>
      </c>
      <c r="AA39" s="134"/>
      <c r="AB39" s="134"/>
      <c r="AC39" s="134"/>
      <c r="AD39" s="134"/>
      <c r="AE39" s="135"/>
      <c r="AF39" s="133"/>
      <c r="AG39" s="134"/>
      <c r="AH39" s="138"/>
      <c r="AI39" s="133" t="s">
        <v>126</v>
      </c>
      <c r="AJ39" s="134"/>
      <c r="AK39" s="134"/>
      <c r="AL39" s="134"/>
      <c r="AM39" s="134"/>
      <c r="AN39" s="134"/>
      <c r="AO39" s="139"/>
      <c r="AP39" s="111" t="s">
        <v>126</v>
      </c>
      <c r="AQ39" s="134"/>
      <c r="AR39" s="134"/>
      <c r="AS39" s="134"/>
      <c r="AT39" s="134"/>
      <c r="AU39" s="134"/>
      <c r="AV39" s="134"/>
      <c r="AW39" s="134"/>
      <c r="AX39" s="140"/>
      <c r="AY39" s="133" t="s">
        <v>126</v>
      </c>
      <c r="AZ39" s="134"/>
      <c r="BA39" s="135"/>
      <c r="BB39" s="135"/>
      <c r="BC39" s="135"/>
      <c r="BD39" s="135"/>
      <c r="BE39" s="139"/>
      <c r="BF39" s="111" t="s">
        <v>126</v>
      </c>
      <c r="BG39" s="135"/>
      <c r="BH39" s="135"/>
      <c r="BI39" s="135"/>
      <c r="BJ39" s="135"/>
      <c r="BK39" s="135"/>
      <c r="BL39" s="135"/>
      <c r="BM39" s="135"/>
      <c r="BN39" s="140"/>
      <c r="BO39" s="133" t="s">
        <v>126</v>
      </c>
      <c r="BP39" s="134"/>
      <c r="BQ39" s="135"/>
      <c r="BR39" s="135"/>
      <c r="BS39" s="135"/>
      <c r="BT39" s="135"/>
      <c r="BU39" s="139"/>
      <c r="BV39" s="133" t="s">
        <v>126</v>
      </c>
      <c r="BW39" s="135"/>
      <c r="BX39" s="135"/>
      <c r="BY39" s="135"/>
      <c r="BZ39" s="135"/>
      <c r="CA39" s="135"/>
      <c r="CB39" s="135"/>
      <c r="CC39" s="137" t="s">
        <v>126</v>
      </c>
      <c r="CD39" s="135"/>
      <c r="CE39" s="135"/>
      <c r="CF39" s="135"/>
      <c r="CG39" s="135"/>
      <c r="CH39" s="135"/>
      <c r="CI39" s="139"/>
      <c r="CJ39" s="65"/>
      <c r="CK39" s="111"/>
      <c r="CL39" s="49"/>
      <c r="CM39" s="49"/>
      <c r="CN39" s="95"/>
      <c r="CO39" s="95"/>
      <c r="CP39" s="95"/>
      <c r="CQ39" s="95"/>
      <c r="CR39" s="95"/>
      <c r="CS39" s="95"/>
      <c r="CT39" s="95"/>
      <c r="CU39" s="95"/>
      <c r="CV39" s="95"/>
      <c r="CW39" s="95"/>
      <c r="CX39" s="95"/>
      <c r="CY39" s="95"/>
      <c r="CZ39" s="95"/>
      <c r="DA39" s="95"/>
      <c r="DB39" s="95"/>
      <c r="DC39" s="95"/>
      <c r="DD39" s="95"/>
      <c r="DE39" s="95"/>
      <c r="DF39" s="95"/>
      <c r="DG39" s="95"/>
      <c r="DH39" s="95"/>
      <c r="DI39" s="95"/>
      <c r="DJ39" s="95"/>
      <c r="DK39" s="95"/>
      <c r="DL39" s="95"/>
      <c r="DM39" s="95"/>
      <c r="DN39" s="95"/>
      <c r="DO39" s="95"/>
      <c r="DP39" s="95"/>
      <c r="DQ39" s="95"/>
      <c r="DR39" s="95"/>
      <c r="DS39" s="95"/>
      <c r="DT39" s="95"/>
      <c r="DU39" s="95"/>
      <c r="DV39" s="95"/>
      <c r="DW39" s="95"/>
      <c r="DX39" s="95"/>
      <c r="DY39" s="95"/>
      <c r="EC39" s="2"/>
    </row>
    <row r="40" spans="1:170" ht="24.95" customHeight="1">
      <c r="A40" s="1">
        <f t="shared" si="13"/>
        <v>32</v>
      </c>
      <c r="B40" s="69"/>
      <c r="C40" s="65"/>
      <c r="D40" s="116"/>
      <c r="E40" s="65"/>
      <c r="F40" s="49"/>
      <c r="G40" s="93"/>
      <c r="H40" s="93"/>
      <c r="I40" s="93"/>
      <c r="J40" s="95"/>
      <c r="K40" s="95"/>
      <c r="L40" s="49"/>
      <c r="M40" s="93"/>
      <c r="N40" s="93"/>
      <c r="O40" s="93"/>
      <c r="P40" s="93"/>
      <c r="Q40" s="93"/>
      <c r="R40" s="93"/>
      <c r="S40" s="93"/>
      <c r="T40" s="93"/>
      <c r="U40" s="95"/>
      <c r="V40" s="49"/>
      <c r="W40" s="93"/>
      <c r="X40" s="93"/>
      <c r="Y40" s="132"/>
      <c r="Z40" s="111" t="s">
        <v>390</v>
      </c>
      <c r="AA40" s="93"/>
      <c r="AB40" s="93"/>
      <c r="AC40" s="109"/>
      <c r="AD40" s="93"/>
      <c r="AE40" s="95"/>
      <c r="AF40" s="49"/>
      <c r="AG40" s="93"/>
      <c r="AH40" s="131"/>
      <c r="AI40" s="49" t="s">
        <v>126</v>
      </c>
      <c r="AJ40" s="93"/>
      <c r="AK40" s="93"/>
      <c r="AL40" s="93"/>
      <c r="AM40" s="93"/>
      <c r="AN40" s="93"/>
      <c r="AO40" s="98"/>
      <c r="AP40" s="111" t="s">
        <v>390</v>
      </c>
      <c r="AQ40" s="93"/>
      <c r="AR40" s="95"/>
      <c r="AS40" s="95"/>
      <c r="AT40" s="95"/>
      <c r="AU40" s="95"/>
      <c r="AV40" s="95"/>
      <c r="AW40" s="95"/>
      <c r="AX40" s="113"/>
      <c r="AY40" s="49" t="s">
        <v>126</v>
      </c>
      <c r="AZ40" s="93"/>
      <c r="BA40" s="95"/>
      <c r="BB40" s="95"/>
      <c r="BC40" s="95"/>
      <c r="BD40" s="95"/>
      <c r="BE40" s="98"/>
      <c r="BF40" s="111" t="s">
        <v>390</v>
      </c>
      <c r="BG40" s="95"/>
      <c r="BH40" s="95"/>
      <c r="BI40" s="95"/>
      <c r="BJ40" s="95"/>
      <c r="BK40" s="95"/>
      <c r="BL40" s="95"/>
      <c r="BM40" s="95"/>
      <c r="BN40" s="113"/>
      <c r="BO40" s="49" t="s">
        <v>126</v>
      </c>
      <c r="BP40" s="93"/>
      <c r="BQ40" s="95"/>
      <c r="BR40" s="95"/>
      <c r="BS40" s="95"/>
      <c r="BT40" s="95"/>
      <c r="BU40" s="98"/>
      <c r="BV40" s="49" t="s">
        <v>126</v>
      </c>
      <c r="BW40" s="95"/>
      <c r="BX40" s="95"/>
      <c r="BY40" s="95"/>
      <c r="BZ40" s="95"/>
      <c r="CA40" s="95"/>
      <c r="CB40" s="95"/>
      <c r="CC40" s="111" t="s">
        <v>126</v>
      </c>
      <c r="CD40" s="95"/>
      <c r="CE40" s="95"/>
      <c r="CF40" s="95"/>
      <c r="CG40" s="95"/>
      <c r="CH40" s="95"/>
      <c r="CI40" s="98"/>
      <c r="CJ40" s="95"/>
      <c r="CK40" s="113"/>
      <c r="CL40" s="95"/>
      <c r="CM40" s="95"/>
      <c r="CN40" s="95"/>
      <c r="CO40" s="95"/>
      <c r="CP40" s="95"/>
      <c r="CQ40" s="95"/>
      <c r="CR40" s="95"/>
      <c r="CS40" s="95"/>
      <c r="CT40" s="95"/>
      <c r="CU40" s="95"/>
      <c r="CV40" s="95"/>
      <c r="CW40" s="95"/>
      <c r="CX40" s="95"/>
      <c r="CY40" s="95"/>
      <c r="CZ40" s="95"/>
      <c r="DA40" s="95"/>
      <c r="DB40" s="95"/>
      <c r="DC40" s="95"/>
      <c r="DD40" s="95"/>
      <c r="DE40" s="95"/>
      <c r="DF40" s="95"/>
      <c r="DG40" s="95"/>
      <c r="DH40" s="95"/>
      <c r="DI40" s="95"/>
      <c r="DJ40" s="95"/>
      <c r="DK40" s="95"/>
      <c r="DL40" s="95"/>
      <c r="DM40" s="95"/>
      <c r="DN40" s="95"/>
      <c r="DO40" s="95"/>
      <c r="DP40" s="95"/>
      <c r="DQ40" s="95"/>
      <c r="DR40" s="95"/>
      <c r="DS40" s="95"/>
      <c r="DT40" s="95"/>
      <c r="DU40" s="95"/>
      <c r="DV40" s="95"/>
      <c r="DW40" s="95"/>
      <c r="DX40" s="95"/>
      <c r="DY40" s="95"/>
      <c r="EC40" s="2"/>
    </row>
    <row r="41" spans="1:170" ht="24.95" customHeight="1">
      <c r="A41" s="1">
        <f t="shared" si="13"/>
        <v>33</v>
      </c>
      <c r="B41" s="69"/>
      <c r="C41" s="65"/>
      <c r="D41" s="141"/>
      <c r="E41" s="142"/>
      <c r="F41" s="106"/>
      <c r="G41" s="129"/>
      <c r="H41" s="129"/>
      <c r="I41" s="129"/>
      <c r="J41" s="107"/>
      <c r="K41" s="107"/>
      <c r="L41" s="106"/>
      <c r="M41" s="129"/>
      <c r="N41" s="129"/>
      <c r="O41" s="129"/>
      <c r="P41" s="129"/>
      <c r="Q41" s="129"/>
      <c r="R41" s="129"/>
      <c r="S41" s="129"/>
      <c r="T41" s="129"/>
      <c r="U41" s="107"/>
      <c r="V41" s="106"/>
      <c r="W41" s="129"/>
      <c r="X41" s="129"/>
      <c r="Y41" s="130"/>
      <c r="Z41" s="122" t="s">
        <v>126</v>
      </c>
      <c r="AA41" s="129"/>
      <c r="AB41" s="129"/>
      <c r="AC41" s="129"/>
      <c r="AD41" s="129"/>
      <c r="AE41" s="107"/>
      <c r="AF41" s="106"/>
      <c r="AG41" s="129"/>
      <c r="AH41" s="128"/>
      <c r="AI41" s="106" t="s">
        <v>126</v>
      </c>
      <c r="AJ41" s="129"/>
      <c r="AK41" s="129"/>
      <c r="AL41" s="129"/>
      <c r="AM41" s="129"/>
      <c r="AN41" s="129"/>
      <c r="AO41" s="123"/>
      <c r="AP41" s="111" t="s">
        <v>126</v>
      </c>
      <c r="AQ41" s="129"/>
      <c r="AR41" s="107"/>
      <c r="AS41" s="107"/>
      <c r="AT41" s="107"/>
      <c r="AU41" s="107"/>
      <c r="AV41" s="107"/>
      <c r="AW41" s="107"/>
      <c r="AX41" s="124"/>
      <c r="AY41" s="106" t="s">
        <v>126</v>
      </c>
      <c r="AZ41" s="129"/>
      <c r="BA41" s="107"/>
      <c r="BB41" s="107"/>
      <c r="BC41" s="107"/>
      <c r="BD41" s="107"/>
      <c r="BE41" s="123"/>
      <c r="BF41" s="111" t="s">
        <v>126</v>
      </c>
      <c r="BG41" s="107"/>
      <c r="BH41" s="107"/>
      <c r="BI41" s="107"/>
      <c r="BJ41" s="107"/>
      <c r="BK41" s="107"/>
      <c r="BL41" s="107"/>
      <c r="BM41" s="107"/>
      <c r="BN41" s="124"/>
      <c r="BO41" s="106" t="s">
        <v>126</v>
      </c>
      <c r="BP41" s="129"/>
      <c r="BQ41" s="107"/>
      <c r="BR41" s="107"/>
      <c r="BS41" s="107"/>
      <c r="BT41" s="107"/>
      <c r="BU41" s="123"/>
      <c r="BV41" s="106" t="s">
        <v>126</v>
      </c>
      <c r="BW41" s="107"/>
      <c r="BX41" s="107"/>
      <c r="BY41" s="107"/>
      <c r="BZ41" s="107"/>
      <c r="CA41" s="107"/>
      <c r="CB41" s="107"/>
      <c r="CC41" s="122" t="s">
        <v>126</v>
      </c>
      <c r="CD41" s="107"/>
      <c r="CE41" s="107"/>
      <c r="CF41" s="107"/>
      <c r="CG41" s="107"/>
      <c r="CH41" s="107"/>
      <c r="CI41" s="123"/>
      <c r="CJ41" s="95"/>
      <c r="CK41" s="113"/>
      <c r="CL41" s="95"/>
      <c r="CM41" s="95"/>
      <c r="CN41" s="95"/>
      <c r="CO41" s="95"/>
      <c r="CP41" s="95"/>
      <c r="CQ41" s="95"/>
      <c r="CR41" s="95"/>
      <c r="CS41" s="95"/>
      <c r="CT41" s="95"/>
      <c r="CU41" s="95"/>
      <c r="CV41" s="95"/>
      <c r="CW41" s="95"/>
      <c r="CX41" s="95"/>
      <c r="CY41" s="95"/>
      <c r="CZ41" s="95"/>
      <c r="DA41" s="95"/>
      <c r="DB41" s="95"/>
      <c r="DC41" s="95"/>
      <c r="DD41" s="95"/>
      <c r="DE41" s="95"/>
      <c r="DF41" s="95"/>
      <c r="DG41" s="95"/>
      <c r="DH41" s="95"/>
      <c r="DI41" s="95"/>
      <c r="DJ41" s="95"/>
      <c r="DK41" s="95"/>
      <c r="DL41" s="95"/>
      <c r="DM41" s="95"/>
      <c r="DN41" s="95"/>
      <c r="DO41" s="95"/>
      <c r="DP41" s="95"/>
      <c r="DQ41" s="95"/>
      <c r="DR41" s="95"/>
      <c r="DS41" s="95"/>
      <c r="DT41" s="95"/>
      <c r="DU41" s="95"/>
      <c r="DV41" s="95"/>
      <c r="DW41" s="95"/>
      <c r="DX41" s="95"/>
      <c r="DY41" s="95"/>
      <c r="EC41" s="2"/>
    </row>
    <row r="42" spans="1:170" ht="24.95" customHeight="1">
      <c r="A42" s="1">
        <f t="shared" si="13"/>
        <v>34</v>
      </c>
      <c r="B42" s="69"/>
      <c r="C42" s="65"/>
      <c r="D42" s="111" t="s">
        <v>123</v>
      </c>
      <c r="E42" s="49"/>
      <c r="F42" s="49"/>
      <c r="G42" s="93"/>
      <c r="H42" s="93"/>
      <c r="I42" s="93"/>
      <c r="J42" s="108"/>
      <c r="K42" s="95"/>
      <c r="L42" s="93"/>
      <c r="M42" s="93"/>
      <c r="N42" s="93"/>
      <c r="O42" s="93"/>
      <c r="P42" s="93"/>
      <c r="Q42" s="93"/>
      <c r="R42" s="93"/>
      <c r="S42" s="93"/>
      <c r="T42" s="49"/>
      <c r="U42" s="95"/>
      <c r="V42" s="93"/>
      <c r="W42" s="93"/>
      <c r="X42" s="93"/>
      <c r="Y42" s="132"/>
      <c r="Z42" s="125" t="s">
        <v>390</v>
      </c>
      <c r="AA42" s="93"/>
      <c r="AB42" s="93"/>
      <c r="AC42" s="93"/>
      <c r="AD42" s="93"/>
      <c r="AE42" s="95"/>
      <c r="AF42" s="93"/>
      <c r="AG42" s="93"/>
      <c r="AH42" s="131"/>
      <c r="AI42" s="49" t="s">
        <v>126</v>
      </c>
      <c r="AJ42" s="93"/>
      <c r="AK42" s="93"/>
      <c r="AL42" s="93"/>
      <c r="AM42" s="93"/>
      <c r="AN42" s="93"/>
      <c r="AO42" s="98"/>
      <c r="AP42" s="111" t="s">
        <v>390</v>
      </c>
      <c r="AQ42" s="93"/>
      <c r="AR42" s="93"/>
      <c r="AS42" s="93"/>
      <c r="AT42" s="93"/>
      <c r="AU42" s="95"/>
      <c r="AV42" s="93"/>
      <c r="AW42" s="93"/>
      <c r="AX42" s="131"/>
      <c r="AY42" s="49" t="s">
        <v>126</v>
      </c>
      <c r="AZ42" s="93"/>
      <c r="BA42" s="93"/>
      <c r="BB42" s="93"/>
      <c r="BC42" s="93"/>
      <c r="BD42" s="93"/>
      <c r="BE42" s="132"/>
      <c r="BF42" s="111" t="s">
        <v>390</v>
      </c>
      <c r="BG42" s="93"/>
      <c r="BH42" s="93"/>
      <c r="BI42" s="93"/>
      <c r="BJ42" s="93"/>
      <c r="BK42" s="95"/>
      <c r="BL42" s="93"/>
      <c r="BM42" s="93"/>
      <c r="BN42" s="131"/>
      <c r="BO42" s="49" t="s">
        <v>126</v>
      </c>
      <c r="BP42" s="93"/>
      <c r="BQ42" s="93"/>
      <c r="BR42" s="93"/>
      <c r="BS42" s="93"/>
      <c r="BT42" s="93"/>
      <c r="BU42" s="132"/>
      <c r="BV42" s="49" t="s">
        <v>126</v>
      </c>
      <c r="BW42" s="93"/>
      <c r="BX42" s="93"/>
      <c r="BY42" s="93"/>
      <c r="BZ42" s="93"/>
      <c r="CA42" s="95"/>
      <c r="CB42" s="93"/>
      <c r="CC42" s="125" t="s">
        <v>126</v>
      </c>
      <c r="CD42" s="93"/>
      <c r="CE42" s="49"/>
      <c r="CF42" s="93"/>
      <c r="CG42" s="93"/>
      <c r="CH42" s="93"/>
      <c r="CI42" s="98"/>
      <c r="CJ42" s="95"/>
      <c r="CK42" s="113"/>
      <c r="CL42" s="95"/>
      <c r="CM42" s="95"/>
      <c r="CN42" s="95"/>
      <c r="CO42" s="95"/>
      <c r="CP42" s="95"/>
      <c r="CQ42" s="95"/>
      <c r="CR42" s="95"/>
      <c r="CS42" s="95"/>
      <c r="CT42" s="95"/>
      <c r="CU42" s="95"/>
      <c r="CV42" s="95"/>
      <c r="CW42" s="95"/>
      <c r="CX42" s="95"/>
      <c r="CY42" s="95"/>
      <c r="CZ42" s="95"/>
      <c r="DA42" s="95"/>
      <c r="DB42" s="95"/>
      <c r="DC42" s="95"/>
      <c r="DD42" s="95"/>
      <c r="DE42" s="95"/>
      <c r="DF42" s="95"/>
      <c r="DG42" s="95"/>
      <c r="DH42" s="95"/>
      <c r="DI42" s="95"/>
      <c r="DJ42" s="95"/>
      <c r="DK42" s="95"/>
      <c r="DL42" s="95"/>
      <c r="DM42" s="95"/>
      <c r="DN42" s="95"/>
      <c r="DO42" s="95"/>
      <c r="DP42" s="95"/>
      <c r="DQ42" s="95"/>
      <c r="DR42" s="95"/>
      <c r="DS42" s="95"/>
      <c r="DT42" s="95"/>
      <c r="DU42" s="95"/>
      <c r="DV42" s="95"/>
      <c r="DW42" s="95"/>
      <c r="DX42" s="95"/>
      <c r="DY42" s="95"/>
      <c r="EC42" s="2"/>
    </row>
    <row r="43" spans="1:170" ht="24.95" customHeight="1">
      <c r="A43" s="1">
        <f t="shared" si="13"/>
        <v>35</v>
      </c>
      <c r="B43" s="69"/>
      <c r="C43" s="65"/>
      <c r="D43" s="111"/>
      <c r="E43" s="49"/>
      <c r="F43" s="49"/>
      <c r="G43" s="93"/>
      <c r="H43" s="93"/>
      <c r="I43" s="93"/>
      <c r="J43" s="108"/>
      <c r="K43" s="95"/>
      <c r="L43" s="93"/>
      <c r="M43" s="93"/>
      <c r="N43" s="93"/>
      <c r="O43" s="93"/>
      <c r="P43" s="93"/>
      <c r="Q43" s="93"/>
      <c r="R43" s="93"/>
      <c r="S43" s="93"/>
      <c r="T43" s="49"/>
      <c r="U43" s="95"/>
      <c r="V43" s="93"/>
      <c r="W43" s="93"/>
      <c r="X43" s="109" t="s">
        <v>215</v>
      </c>
      <c r="Y43" s="132"/>
      <c r="Z43" s="111" t="s">
        <v>126</v>
      </c>
      <c r="AA43" s="93"/>
      <c r="AB43" s="93"/>
      <c r="AC43" s="93"/>
      <c r="AD43" s="93"/>
      <c r="AE43" s="95"/>
      <c r="AF43" s="49"/>
      <c r="AG43" s="93"/>
      <c r="AH43" s="131"/>
      <c r="AI43" s="49" t="s">
        <v>126</v>
      </c>
      <c r="AJ43" s="93"/>
      <c r="AK43" s="93"/>
      <c r="AL43" s="93"/>
      <c r="AM43" s="93"/>
      <c r="AN43" s="93"/>
      <c r="AO43" s="98"/>
      <c r="AP43" s="111" t="s">
        <v>126</v>
      </c>
      <c r="AQ43" s="93"/>
      <c r="AR43" s="93"/>
      <c r="AS43" s="93"/>
      <c r="AT43" s="93"/>
      <c r="AU43" s="95"/>
      <c r="AV43" s="49"/>
      <c r="AW43" s="93"/>
      <c r="AX43" s="131"/>
      <c r="AY43" s="49" t="s">
        <v>126</v>
      </c>
      <c r="AZ43" s="93"/>
      <c r="BA43" s="93"/>
      <c r="BB43" s="93"/>
      <c r="BC43" s="93"/>
      <c r="BD43" s="93"/>
      <c r="BE43" s="132"/>
      <c r="BF43" s="111" t="s">
        <v>126</v>
      </c>
      <c r="BG43" s="93"/>
      <c r="BH43" s="93"/>
      <c r="BI43" s="93"/>
      <c r="BJ43" s="93"/>
      <c r="BK43" s="95"/>
      <c r="BL43" s="49"/>
      <c r="BM43" s="93"/>
      <c r="BN43" s="131"/>
      <c r="BO43" s="49" t="s">
        <v>126</v>
      </c>
      <c r="BP43" s="93"/>
      <c r="BQ43" s="93"/>
      <c r="BR43" s="93"/>
      <c r="BS43" s="93"/>
      <c r="BT43" s="93"/>
      <c r="BU43" s="132"/>
      <c r="BV43" s="49" t="s">
        <v>126</v>
      </c>
      <c r="BW43" s="93"/>
      <c r="BX43" s="93"/>
      <c r="BY43" s="93"/>
      <c r="BZ43" s="93"/>
      <c r="CA43" s="95"/>
      <c r="CB43" s="49"/>
      <c r="CC43" s="111" t="s">
        <v>126</v>
      </c>
      <c r="CD43" s="93"/>
      <c r="CE43" s="49"/>
      <c r="CF43" s="93"/>
      <c r="CG43" s="93"/>
      <c r="CH43" s="93"/>
      <c r="CI43" s="98"/>
      <c r="CJ43" s="95"/>
      <c r="CK43" s="113"/>
      <c r="CL43" s="95"/>
      <c r="CM43" s="95"/>
      <c r="CN43" s="95"/>
      <c r="CO43" s="95"/>
      <c r="CP43" s="95"/>
      <c r="CQ43" s="95"/>
      <c r="CR43" s="95"/>
      <c r="CS43" s="95"/>
      <c r="CT43" s="95"/>
      <c r="CU43" s="95"/>
      <c r="CV43" s="95"/>
      <c r="CW43" s="95"/>
      <c r="CX43" s="95"/>
      <c r="CY43" s="95"/>
      <c r="CZ43" s="95"/>
      <c r="DA43" s="95"/>
      <c r="DB43" s="95"/>
      <c r="DC43" s="95"/>
      <c r="DD43" s="95"/>
      <c r="DE43" s="95"/>
      <c r="DF43" s="95"/>
      <c r="DG43" s="95"/>
      <c r="DH43" s="95"/>
      <c r="DI43" s="95"/>
      <c r="DJ43" s="95"/>
      <c r="DK43" s="95"/>
      <c r="DL43" s="95"/>
      <c r="DM43" s="95"/>
      <c r="DN43" s="95"/>
      <c r="DO43" s="95"/>
      <c r="DP43" s="95"/>
      <c r="DQ43" s="95"/>
      <c r="DR43" s="95"/>
      <c r="DS43" s="95"/>
      <c r="DT43" s="95"/>
      <c r="DU43" s="95"/>
      <c r="DV43" s="95"/>
      <c r="DW43" s="95"/>
      <c r="DX43" s="95"/>
      <c r="DY43" s="95"/>
      <c r="EC43" s="2"/>
    </row>
    <row r="44" spans="1:170" ht="24.95" customHeight="1">
      <c r="A44" s="1">
        <f t="shared" si="13"/>
        <v>36</v>
      </c>
      <c r="B44" s="69"/>
      <c r="C44" s="65"/>
      <c r="D44" s="111" t="s">
        <v>195</v>
      </c>
      <c r="E44" s="49"/>
      <c r="F44" s="49"/>
      <c r="G44" s="93"/>
      <c r="H44" s="93"/>
      <c r="I44" s="93"/>
      <c r="J44" s="108"/>
      <c r="K44" s="95"/>
      <c r="L44" s="49"/>
      <c r="M44" s="108"/>
      <c r="N44" s="93"/>
      <c r="O44" s="93"/>
      <c r="P44" s="93"/>
      <c r="Q44" s="93"/>
      <c r="R44" s="93"/>
      <c r="S44" s="93"/>
      <c r="T44" s="93"/>
      <c r="U44" s="95"/>
      <c r="V44" s="49"/>
      <c r="W44" s="93"/>
      <c r="X44" s="109"/>
      <c r="Y44" s="132"/>
      <c r="Z44" s="111" t="s">
        <v>390</v>
      </c>
      <c r="AA44" s="91"/>
      <c r="AB44" s="91"/>
      <c r="AC44" s="91"/>
      <c r="AD44" s="91"/>
      <c r="AE44" s="143"/>
      <c r="AF44" s="88"/>
      <c r="AG44" s="91"/>
      <c r="AH44" s="144"/>
      <c r="AI44" s="88" t="s">
        <v>126</v>
      </c>
      <c r="AJ44" s="91"/>
      <c r="AK44" s="91"/>
      <c r="AL44" s="91"/>
      <c r="AM44" s="91"/>
      <c r="AN44" s="91"/>
      <c r="AO44" s="145"/>
      <c r="AP44" s="111" t="s">
        <v>390</v>
      </c>
      <c r="AQ44" s="91"/>
      <c r="AR44" s="91"/>
      <c r="AS44" s="91"/>
      <c r="AT44" s="91"/>
      <c r="AU44" s="91"/>
      <c r="AV44" s="91"/>
      <c r="AW44" s="91"/>
      <c r="AX44" s="146"/>
      <c r="AY44" s="88" t="s">
        <v>126</v>
      </c>
      <c r="AZ44" s="91"/>
      <c r="BA44" s="143"/>
      <c r="BB44" s="143"/>
      <c r="BC44" s="143"/>
      <c r="BD44" s="143"/>
      <c r="BE44" s="145"/>
      <c r="BF44" s="111" t="s">
        <v>390</v>
      </c>
      <c r="BG44" s="143"/>
      <c r="BH44" s="143"/>
      <c r="BI44" s="143"/>
      <c r="BJ44" s="143"/>
      <c r="BK44" s="143"/>
      <c r="BL44" s="143"/>
      <c r="BM44" s="143"/>
      <c r="BN44" s="146"/>
      <c r="BO44" s="88" t="s">
        <v>126</v>
      </c>
      <c r="BP44" s="91"/>
      <c r="BQ44" s="143"/>
      <c r="BR44" s="143"/>
      <c r="BS44" s="143"/>
      <c r="BT44" s="143"/>
      <c r="BU44" s="145"/>
      <c r="BV44" s="88" t="s">
        <v>126</v>
      </c>
      <c r="BW44" s="143"/>
      <c r="BX44" s="143"/>
      <c r="BY44" s="143"/>
      <c r="BZ44" s="143"/>
      <c r="CA44" s="143"/>
      <c r="CB44" s="143"/>
      <c r="CC44" s="110" t="s">
        <v>126</v>
      </c>
      <c r="CD44" s="143"/>
      <c r="CE44" s="143"/>
      <c r="CF44" s="143"/>
      <c r="CG44" s="143"/>
      <c r="CH44" s="143"/>
      <c r="CI44" s="145"/>
      <c r="CJ44" s="95"/>
      <c r="CK44" s="113"/>
      <c r="CL44" s="95"/>
      <c r="CM44" s="95"/>
      <c r="CN44" s="95"/>
      <c r="CO44" s="95"/>
      <c r="CP44" s="95"/>
      <c r="CQ44" s="95"/>
      <c r="CR44" s="95"/>
      <c r="CS44" s="95"/>
      <c r="CT44" s="95"/>
      <c r="CU44" s="95"/>
      <c r="CV44" s="95"/>
      <c r="CW44" s="95"/>
      <c r="CX44" s="95"/>
      <c r="CY44" s="95"/>
      <c r="CZ44" s="95"/>
      <c r="DA44" s="95"/>
      <c r="DB44" s="95"/>
      <c r="DC44" s="95"/>
      <c r="DD44" s="95"/>
      <c r="DE44" s="95"/>
      <c r="DF44" s="95"/>
      <c r="DG44" s="95"/>
      <c r="DH44" s="95"/>
      <c r="DI44" s="95"/>
      <c r="DJ44" s="95"/>
      <c r="DK44" s="95"/>
      <c r="DL44" s="95"/>
      <c r="DM44" s="95"/>
      <c r="DN44" s="95"/>
      <c r="DO44" s="95"/>
      <c r="DP44" s="95"/>
      <c r="DQ44" s="95"/>
      <c r="DR44" s="95"/>
      <c r="DS44" s="95"/>
      <c r="DT44" s="95"/>
      <c r="DU44" s="95"/>
      <c r="DV44" s="95"/>
      <c r="DW44" s="95"/>
      <c r="DX44" s="95"/>
      <c r="DY44" s="95"/>
      <c r="EC44" s="2"/>
    </row>
    <row r="45" spans="1:170" ht="24.95" customHeight="1">
      <c r="A45" s="1">
        <f t="shared" si="13"/>
        <v>37</v>
      </c>
      <c r="B45" s="69"/>
      <c r="C45" s="65"/>
      <c r="D45" s="111" t="s">
        <v>433</v>
      </c>
      <c r="E45" s="49"/>
      <c r="F45" s="49"/>
      <c r="G45" s="93"/>
      <c r="H45" s="93"/>
      <c r="I45" s="93"/>
      <c r="J45" s="95"/>
      <c r="K45" s="95"/>
      <c r="L45" s="49"/>
      <c r="M45" s="104" t="s">
        <v>214</v>
      </c>
      <c r="N45" s="93"/>
      <c r="O45" s="93"/>
      <c r="P45" s="93"/>
      <c r="Q45" s="93"/>
      <c r="R45" s="93"/>
      <c r="S45" s="49" t="s">
        <v>215</v>
      </c>
      <c r="T45" s="93"/>
      <c r="U45" s="95"/>
      <c r="V45" s="49"/>
      <c r="W45" s="93"/>
      <c r="X45" s="109"/>
      <c r="Y45" s="132"/>
      <c r="Z45" s="111" t="s">
        <v>126</v>
      </c>
      <c r="AA45" s="134"/>
      <c r="AB45" s="134"/>
      <c r="AC45" s="134"/>
      <c r="AD45" s="134"/>
      <c r="AE45" s="135"/>
      <c r="AF45" s="133"/>
      <c r="AG45" s="134"/>
      <c r="AH45" s="138"/>
      <c r="AI45" s="133" t="s">
        <v>126</v>
      </c>
      <c r="AJ45" s="134"/>
      <c r="AK45" s="134"/>
      <c r="AL45" s="134"/>
      <c r="AM45" s="134"/>
      <c r="AN45" s="134"/>
      <c r="AO45" s="139"/>
      <c r="AP45" s="111" t="s">
        <v>126</v>
      </c>
      <c r="AQ45" s="134"/>
      <c r="AR45" s="134"/>
      <c r="AS45" s="134"/>
      <c r="AT45" s="134"/>
      <c r="AU45" s="134"/>
      <c r="AV45" s="134"/>
      <c r="AW45" s="134"/>
      <c r="AX45" s="140"/>
      <c r="AY45" s="133" t="s">
        <v>126</v>
      </c>
      <c r="AZ45" s="134"/>
      <c r="BA45" s="135"/>
      <c r="BB45" s="135"/>
      <c r="BC45" s="135"/>
      <c r="BD45" s="135"/>
      <c r="BE45" s="139"/>
      <c r="BF45" s="111" t="s">
        <v>126</v>
      </c>
      <c r="BG45" s="135"/>
      <c r="BH45" s="135"/>
      <c r="BI45" s="135"/>
      <c r="BJ45" s="135"/>
      <c r="BK45" s="135"/>
      <c r="BL45" s="135"/>
      <c r="BM45" s="135"/>
      <c r="BN45" s="140"/>
      <c r="BO45" s="133" t="s">
        <v>126</v>
      </c>
      <c r="BP45" s="134"/>
      <c r="BQ45" s="135"/>
      <c r="BR45" s="135"/>
      <c r="BS45" s="135"/>
      <c r="BT45" s="135"/>
      <c r="BU45" s="139"/>
      <c r="BV45" s="133" t="s">
        <v>126</v>
      </c>
      <c r="BW45" s="135"/>
      <c r="BX45" s="135"/>
      <c r="BY45" s="135"/>
      <c r="BZ45" s="135"/>
      <c r="CA45" s="135"/>
      <c r="CB45" s="135"/>
      <c r="CC45" s="137" t="s">
        <v>126</v>
      </c>
      <c r="CD45" s="135"/>
      <c r="CE45" s="135"/>
      <c r="CF45" s="135"/>
      <c r="CG45" s="135"/>
      <c r="CH45" s="135"/>
      <c r="CI45" s="136"/>
      <c r="CK45" s="112"/>
      <c r="EB45" s="70"/>
      <c r="EC45" s="81"/>
      <c r="ED45" s="70"/>
      <c r="EE45" s="70"/>
      <c r="EF45" s="70"/>
      <c r="EG45" s="70"/>
      <c r="EH45" s="70"/>
      <c r="EI45" s="70"/>
      <c r="EJ45" s="70"/>
      <c r="EK45" s="70"/>
      <c r="EL45" s="70"/>
      <c r="EM45" s="70"/>
      <c r="EN45" s="70"/>
      <c r="EO45" s="70"/>
      <c r="EP45" s="70"/>
      <c r="EQ45" s="70"/>
      <c r="ER45" s="70"/>
      <c r="ES45" s="70"/>
      <c r="ET45" s="70"/>
      <c r="EU45" s="70"/>
      <c r="EV45" s="70"/>
      <c r="EW45" s="70"/>
      <c r="EX45" s="70"/>
      <c r="EY45" s="70"/>
      <c r="EZ45" s="66"/>
      <c r="FA45" s="66"/>
      <c r="FB45" s="66"/>
      <c r="FC45" s="66"/>
      <c r="FD45" s="66"/>
      <c r="FE45" s="66"/>
      <c r="FF45" s="66"/>
      <c r="FG45" s="66"/>
      <c r="FH45" s="66"/>
      <c r="FI45" s="66"/>
      <c r="FJ45" s="66"/>
      <c r="FK45" s="66"/>
      <c r="FL45" s="66"/>
      <c r="FM45" s="66"/>
      <c r="FN45" s="66"/>
    </row>
    <row r="46" spans="1:170" ht="24.95" customHeight="1">
      <c r="A46" s="1">
        <f t="shared" si="13"/>
        <v>38</v>
      </c>
      <c r="B46" s="69"/>
      <c r="C46" s="65"/>
      <c r="D46" s="116"/>
      <c r="E46" s="65"/>
      <c r="F46" s="49"/>
      <c r="G46" s="93"/>
      <c r="H46" s="93"/>
      <c r="I46" s="93"/>
      <c r="J46" s="95"/>
      <c r="K46" s="95"/>
      <c r="L46" s="49"/>
      <c r="M46" s="93"/>
      <c r="N46" s="93"/>
      <c r="O46" s="93"/>
      <c r="P46" s="93"/>
      <c r="Q46" s="93"/>
      <c r="R46" s="93"/>
      <c r="S46" s="93"/>
      <c r="T46" s="93"/>
      <c r="U46" s="95"/>
      <c r="V46" s="49"/>
      <c r="W46" s="93"/>
      <c r="X46" s="93"/>
      <c r="Y46" s="132"/>
      <c r="Z46" s="111" t="s">
        <v>390</v>
      </c>
      <c r="AA46" s="93"/>
      <c r="AB46" s="93"/>
      <c r="AC46" s="109"/>
      <c r="AD46" s="93"/>
      <c r="AE46" s="95"/>
      <c r="AF46" s="49"/>
      <c r="AG46" s="93"/>
      <c r="AH46" s="131"/>
      <c r="AI46" s="49" t="s">
        <v>126</v>
      </c>
      <c r="AJ46" s="93"/>
      <c r="AK46" s="93"/>
      <c r="AL46" s="93"/>
      <c r="AM46" s="93"/>
      <c r="AN46" s="93"/>
      <c r="AO46" s="98"/>
      <c r="AP46" s="111" t="s">
        <v>390</v>
      </c>
      <c r="AQ46" s="93"/>
      <c r="AR46" s="95"/>
      <c r="AS46" s="95"/>
      <c r="AT46" s="95"/>
      <c r="AU46" s="95"/>
      <c r="AV46" s="95"/>
      <c r="AW46" s="95"/>
      <c r="AX46" s="113"/>
      <c r="AY46" s="49" t="s">
        <v>126</v>
      </c>
      <c r="AZ46" s="93"/>
      <c r="BA46" s="95"/>
      <c r="BB46" s="95"/>
      <c r="BC46" s="95"/>
      <c r="BD46" s="95"/>
      <c r="BE46" s="98"/>
      <c r="BF46" s="111" t="s">
        <v>390</v>
      </c>
      <c r="BG46" s="95"/>
      <c r="BH46" s="95"/>
      <c r="BI46" s="95"/>
      <c r="BJ46" s="95"/>
      <c r="BK46" s="95"/>
      <c r="BL46" s="95"/>
      <c r="BM46" s="95"/>
      <c r="BN46" s="113"/>
      <c r="BO46" s="49" t="s">
        <v>126</v>
      </c>
      <c r="BP46" s="93"/>
      <c r="BQ46" s="95"/>
      <c r="BR46" s="95"/>
      <c r="BS46" s="95"/>
      <c r="BT46" s="95"/>
      <c r="BU46" s="98"/>
      <c r="BV46" s="49" t="s">
        <v>126</v>
      </c>
      <c r="BW46" s="95"/>
      <c r="BX46" s="95"/>
      <c r="BY46" s="95"/>
      <c r="BZ46" s="95"/>
      <c r="CA46" s="95"/>
      <c r="CB46" s="95"/>
      <c r="CC46" s="111" t="s">
        <v>126</v>
      </c>
      <c r="CD46" s="95"/>
      <c r="CE46" s="95"/>
      <c r="CF46" s="95"/>
      <c r="CG46" s="95"/>
      <c r="CH46" s="95"/>
      <c r="CI46" s="98"/>
      <c r="CJ46" s="95"/>
      <c r="CK46" s="113"/>
      <c r="CL46" s="95"/>
      <c r="CM46" s="95"/>
      <c r="CN46" s="95"/>
      <c r="CO46" s="95"/>
      <c r="CP46" s="95"/>
      <c r="CQ46" s="95"/>
      <c r="CR46" s="95"/>
      <c r="CS46" s="95"/>
      <c r="CT46" s="95"/>
      <c r="CU46" s="95"/>
      <c r="CV46" s="95"/>
      <c r="CW46" s="95"/>
      <c r="CX46" s="95"/>
      <c r="CY46" s="95"/>
      <c r="CZ46" s="95"/>
      <c r="DA46" s="95"/>
      <c r="DB46" s="95"/>
      <c r="DC46" s="95"/>
      <c r="DD46" s="95"/>
      <c r="DE46" s="95"/>
      <c r="DF46" s="95"/>
      <c r="DG46" s="95"/>
      <c r="DH46" s="95"/>
      <c r="DI46" s="95"/>
      <c r="DJ46" s="95"/>
      <c r="DK46" s="95"/>
      <c r="DL46" s="95"/>
      <c r="DM46" s="95"/>
      <c r="DN46" s="95"/>
      <c r="DO46" s="95"/>
      <c r="DP46" s="95"/>
      <c r="DQ46" s="95"/>
      <c r="DR46" s="95"/>
      <c r="DS46" s="95"/>
      <c r="DT46" s="95"/>
      <c r="DU46" s="95"/>
      <c r="DV46" s="95"/>
      <c r="DW46" s="95"/>
      <c r="DX46" s="95"/>
      <c r="DY46" s="95"/>
      <c r="EC46" s="2"/>
    </row>
    <row r="47" spans="1:170" ht="24.95" customHeight="1">
      <c r="A47" s="1">
        <f t="shared" si="13"/>
        <v>39</v>
      </c>
      <c r="B47" s="69"/>
      <c r="C47" s="65"/>
      <c r="D47" s="141"/>
      <c r="E47" s="142"/>
      <c r="F47" s="106"/>
      <c r="G47" s="129"/>
      <c r="H47" s="129"/>
      <c r="I47" s="129"/>
      <c r="J47" s="107"/>
      <c r="K47" s="107"/>
      <c r="L47" s="106"/>
      <c r="M47" s="129"/>
      <c r="N47" s="129"/>
      <c r="O47" s="129"/>
      <c r="P47" s="129"/>
      <c r="Q47" s="129"/>
      <c r="R47" s="129"/>
      <c r="S47" s="129"/>
      <c r="T47" s="129"/>
      <c r="U47" s="107"/>
      <c r="V47" s="106"/>
      <c r="W47" s="129"/>
      <c r="X47" s="129"/>
      <c r="Y47" s="130"/>
      <c r="Z47" s="122" t="s">
        <v>126</v>
      </c>
      <c r="AA47" s="129"/>
      <c r="AB47" s="129"/>
      <c r="AC47" s="129"/>
      <c r="AD47" s="129"/>
      <c r="AE47" s="107"/>
      <c r="AF47" s="106"/>
      <c r="AG47" s="129"/>
      <c r="AH47" s="128"/>
      <c r="AI47" s="106" t="s">
        <v>126</v>
      </c>
      <c r="AJ47" s="129"/>
      <c r="AK47" s="129"/>
      <c r="AL47" s="129"/>
      <c r="AM47" s="129"/>
      <c r="AN47" s="129"/>
      <c r="AO47" s="123"/>
      <c r="AP47" s="122" t="s">
        <v>126</v>
      </c>
      <c r="AQ47" s="129"/>
      <c r="AR47" s="107"/>
      <c r="AS47" s="107"/>
      <c r="AT47" s="107"/>
      <c r="AU47" s="107"/>
      <c r="AV47" s="107"/>
      <c r="AW47" s="107"/>
      <c r="AX47" s="124"/>
      <c r="AY47" s="106" t="s">
        <v>126</v>
      </c>
      <c r="AZ47" s="129"/>
      <c r="BA47" s="107"/>
      <c r="BB47" s="107"/>
      <c r="BC47" s="107"/>
      <c r="BD47" s="107"/>
      <c r="BE47" s="123"/>
      <c r="BF47" s="111" t="s">
        <v>126</v>
      </c>
      <c r="BG47" s="107"/>
      <c r="BH47" s="107"/>
      <c r="BI47" s="107"/>
      <c r="BJ47" s="107"/>
      <c r="BK47" s="107"/>
      <c r="BL47" s="107"/>
      <c r="BM47" s="107"/>
      <c r="BN47" s="124"/>
      <c r="BO47" s="106" t="s">
        <v>126</v>
      </c>
      <c r="BP47" s="129"/>
      <c r="BQ47" s="107"/>
      <c r="BR47" s="107"/>
      <c r="BS47" s="107"/>
      <c r="BT47" s="107"/>
      <c r="BU47" s="123"/>
      <c r="BV47" s="106" t="s">
        <v>126</v>
      </c>
      <c r="BW47" s="107"/>
      <c r="BX47" s="107"/>
      <c r="BY47" s="107"/>
      <c r="BZ47" s="107"/>
      <c r="CA47" s="107"/>
      <c r="CB47" s="107"/>
      <c r="CC47" s="122" t="s">
        <v>126</v>
      </c>
      <c r="CD47" s="107"/>
      <c r="CE47" s="107"/>
      <c r="CF47" s="107"/>
      <c r="CG47" s="107"/>
      <c r="CH47" s="107"/>
      <c r="CI47" s="98"/>
      <c r="CJ47" s="95"/>
      <c r="CK47" s="113"/>
      <c r="CL47" s="95"/>
      <c r="CM47" s="95"/>
      <c r="CN47" s="95"/>
      <c r="CO47" s="95"/>
      <c r="CP47" s="95"/>
      <c r="CQ47" s="95"/>
      <c r="CR47" s="95"/>
      <c r="CS47" s="95"/>
      <c r="CT47" s="95"/>
      <c r="CU47" s="95"/>
      <c r="CV47" s="95"/>
      <c r="CW47" s="95"/>
      <c r="CX47" s="95"/>
      <c r="CY47" s="95"/>
      <c r="CZ47" s="95"/>
      <c r="DA47" s="95"/>
      <c r="DB47" s="95"/>
      <c r="DC47" s="95"/>
      <c r="DD47" s="95"/>
      <c r="DE47" s="95"/>
      <c r="DF47" s="95"/>
      <c r="DG47" s="95"/>
      <c r="DH47" s="95"/>
      <c r="DI47" s="95"/>
      <c r="DJ47" s="95"/>
      <c r="DK47" s="95"/>
      <c r="DL47" s="95"/>
      <c r="DM47" s="95"/>
      <c r="DN47" s="95"/>
      <c r="DO47" s="95"/>
      <c r="DP47" s="95"/>
      <c r="DQ47" s="95"/>
      <c r="DR47" s="95"/>
      <c r="DS47" s="95"/>
      <c r="DT47" s="95"/>
      <c r="DU47" s="95"/>
      <c r="DV47" s="95"/>
      <c r="DW47" s="95"/>
      <c r="DX47" s="95"/>
      <c r="DY47" s="95"/>
      <c r="EC47" s="2"/>
    </row>
    <row r="48" spans="1:170" ht="24.95" customHeight="1">
      <c r="A48" s="1">
        <f t="shared" si="13"/>
        <v>40</v>
      </c>
      <c r="B48" s="69"/>
      <c r="C48" s="65"/>
      <c r="D48" s="111" t="s">
        <v>123</v>
      </c>
      <c r="E48" s="49"/>
      <c r="F48" s="49"/>
      <c r="G48" s="93"/>
      <c r="H48" s="93"/>
      <c r="I48" s="93"/>
      <c r="J48" s="108"/>
      <c r="K48" s="95"/>
      <c r="L48" s="93"/>
      <c r="M48" s="93"/>
      <c r="N48" s="93"/>
      <c r="O48" s="93"/>
      <c r="P48" s="93"/>
      <c r="Q48" s="93"/>
      <c r="R48" s="93"/>
      <c r="S48" s="93"/>
      <c r="T48" s="49"/>
      <c r="U48" s="95"/>
      <c r="V48" s="93"/>
      <c r="W48" s="93"/>
      <c r="X48" s="93"/>
      <c r="Y48" s="132"/>
      <c r="Z48" s="125"/>
      <c r="AA48" s="93"/>
      <c r="AB48" s="93"/>
      <c r="AC48" s="93"/>
      <c r="AD48" s="93"/>
      <c r="AE48" s="95"/>
      <c r="AF48" s="93"/>
      <c r="AG48" s="93"/>
      <c r="AH48" s="131"/>
      <c r="AI48" s="49" t="s">
        <v>126</v>
      </c>
      <c r="AJ48" s="93"/>
      <c r="AK48" s="93"/>
      <c r="AL48" s="93"/>
      <c r="AM48" s="93"/>
      <c r="AN48" s="93"/>
      <c r="AO48" s="98"/>
      <c r="AP48" s="111" t="s">
        <v>389</v>
      </c>
      <c r="AQ48" s="93"/>
      <c r="AR48" s="93"/>
      <c r="AS48" s="93"/>
      <c r="AT48" s="93"/>
      <c r="AU48" s="95"/>
      <c r="AV48" s="93"/>
      <c r="AW48" s="93"/>
      <c r="AX48" s="131"/>
      <c r="AY48" s="49" t="s">
        <v>126</v>
      </c>
      <c r="AZ48" s="93"/>
      <c r="BA48" s="93"/>
      <c r="BB48" s="93"/>
      <c r="BC48" s="93"/>
      <c r="BD48" s="93"/>
      <c r="BE48" s="132"/>
      <c r="BF48" s="111"/>
      <c r="BG48" s="93"/>
      <c r="BH48" s="93"/>
      <c r="BI48" s="93"/>
      <c r="BJ48" s="93"/>
      <c r="BK48" s="95"/>
      <c r="BL48" s="93"/>
      <c r="BM48" s="93"/>
      <c r="BN48" s="131"/>
      <c r="BO48" s="49" t="s">
        <v>391</v>
      </c>
      <c r="BP48" s="93"/>
      <c r="BQ48" s="93"/>
      <c r="BR48" s="93"/>
      <c r="BS48" s="93"/>
      <c r="BT48" s="93"/>
      <c r="BU48" s="132"/>
      <c r="BV48" s="49" t="s">
        <v>126</v>
      </c>
      <c r="BW48" s="93"/>
      <c r="BX48" s="93"/>
      <c r="BY48" s="93"/>
      <c r="BZ48" s="93"/>
      <c r="CA48" s="95"/>
      <c r="CB48" s="93"/>
      <c r="CC48" s="125" t="s">
        <v>126</v>
      </c>
      <c r="CD48" s="93"/>
      <c r="CE48" s="49"/>
      <c r="CF48" s="93"/>
      <c r="CG48" s="93"/>
      <c r="CH48" s="93"/>
      <c r="CI48" s="98"/>
      <c r="CJ48" s="95"/>
      <c r="CK48" s="113"/>
      <c r="CL48" s="49"/>
      <c r="CM48" s="49"/>
      <c r="CN48" s="95"/>
      <c r="CO48" s="95"/>
      <c r="CP48" s="95"/>
      <c r="CQ48" s="108"/>
      <c r="CR48" s="95"/>
      <c r="CS48" s="95"/>
      <c r="CT48" s="95"/>
      <c r="CU48" s="95"/>
      <c r="CV48" s="95"/>
      <c r="CW48" s="95"/>
      <c r="CX48" s="95"/>
      <c r="CY48" s="95"/>
      <c r="CZ48" s="95"/>
      <c r="DA48" s="95"/>
      <c r="DB48" s="95"/>
      <c r="DC48" s="95"/>
      <c r="DD48" s="95"/>
      <c r="DE48" s="95"/>
      <c r="DF48" s="95"/>
      <c r="DG48" s="95"/>
      <c r="DH48" s="95"/>
      <c r="DI48" s="95"/>
      <c r="DJ48" s="95"/>
      <c r="DK48" s="95"/>
      <c r="DL48" s="95"/>
      <c r="DM48" s="95"/>
      <c r="DN48" s="95"/>
      <c r="DO48" s="95"/>
      <c r="DP48" s="95"/>
      <c r="DQ48" s="95"/>
      <c r="DR48" s="95"/>
      <c r="DS48" s="95"/>
      <c r="DT48" s="95"/>
      <c r="DU48" s="95"/>
      <c r="DV48" s="95"/>
      <c r="DW48" s="95"/>
      <c r="DX48" s="95"/>
      <c r="DY48" s="95"/>
      <c r="EC48" s="2"/>
    </row>
    <row r="49" spans="1:170" ht="24.95" customHeight="1">
      <c r="A49" s="1">
        <f t="shared" si="13"/>
        <v>41</v>
      </c>
      <c r="B49" s="69"/>
      <c r="C49" s="65"/>
      <c r="D49" s="111"/>
      <c r="E49" s="49"/>
      <c r="F49" s="49"/>
      <c r="G49" s="93"/>
      <c r="H49" s="93"/>
      <c r="I49" s="93"/>
      <c r="J49" s="108"/>
      <c r="K49" s="95"/>
      <c r="L49" s="93"/>
      <c r="M49" s="93"/>
      <c r="N49" s="93"/>
      <c r="O49" s="93"/>
      <c r="P49" s="93"/>
      <c r="Q49" s="93"/>
      <c r="R49" s="93"/>
      <c r="S49" s="93"/>
      <c r="T49" s="49"/>
      <c r="U49" s="95"/>
      <c r="V49" s="93"/>
      <c r="W49" s="93"/>
      <c r="X49" s="109"/>
      <c r="Y49" s="132"/>
      <c r="Z49" s="111"/>
      <c r="AA49" s="93"/>
      <c r="AB49" s="93"/>
      <c r="AC49" s="93"/>
      <c r="AD49" s="93"/>
      <c r="AE49" s="95"/>
      <c r="AF49" s="49"/>
      <c r="AG49" s="93"/>
      <c r="AH49" s="131"/>
      <c r="AI49" s="49" t="s">
        <v>126</v>
      </c>
      <c r="AJ49" s="93"/>
      <c r="AK49" s="93"/>
      <c r="AL49" s="93"/>
      <c r="AM49" s="93"/>
      <c r="AN49" s="93"/>
      <c r="AO49" s="98"/>
      <c r="AP49" s="111" t="s">
        <v>391</v>
      </c>
      <c r="AQ49" s="93"/>
      <c r="AR49" s="93"/>
      <c r="AS49" s="93"/>
      <c r="AT49" s="93"/>
      <c r="AU49" s="95"/>
      <c r="AV49" s="49"/>
      <c r="AW49" s="93"/>
      <c r="AX49" s="131"/>
      <c r="AY49" s="49" t="s">
        <v>126</v>
      </c>
      <c r="AZ49" s="93"/>
      <c r="BA49" s="93"/>
      <c r="BB49" s="93"/>
      <c r="BC49" s="93"/>
      <c r="BD49" s="93"/>
      <c r="BE49" s="132"/>
      <c r="BF49" s="111"/>
      <c r="BG49" s="93"/>
      <c r="BH49" s="93"/>
      <c r="BI49" s="93"/>
      <c r="BJ49" s="93"/>
      <c r="BK49" s="95"/>
      <c r="BL49" s="49"/>
      <c r="BM49" s="93"/>
      <c r="BN49" s="131"/>
      <c r="BO49" s="49"/>
      <c r="BP49" s="93"/>
      <c r="BQ49" s="93"/>
      <c r="BR49" s="93"/>
      <c r="BS49" s="93"/>
      <c r="BT49" s="93"/>
      <c r="BU49" s="132"/>
      <c r="BV49" s="49" t="s">
        <v>126</v>
      </c>
      <c r="BW49" s="93"/>
      <c r="BX49" s="93"/>
      <c r="BY49" s="93"/>
      <c r="BZ49" s="93"/>
      <c r="CA49" s="95"/>
      <c r="CB49" s="49"/>
      <c r="CC49" s="111" t="s">
        <v>126</v>
      </c>
      <c r="CD49" s="93"/>
      <c r="CE49" s="49"/>
      <c r="CF49" s="93"/>
      <c r="CG49" s="93"/>
      <c r="CH49" s="93"/>
      <c r="CI49" s="98"/>
      <c r="CJ49" s="95"/>
      <c r="CK49" s="113"/>
      <c r="CL49" s="65"/>
      <c r="CM49" s="65"/>
      <c r="CN49" s="95"/>
      <c r="CO49" s="95"/>
      <c r="CP49" s="95"/>
      <c r="CQ49" s="95"/>
      <c r="CR49" s="95"/>
      <c r="CS49" s="95"/>
      <c r="CT49" s="95"/>
      <c r="CU49" s="95"/>
      <c r="CV49" s="95"/>
      <c r="CW49" s="95"/>
      <c r="CX49" s="95"/>
      <c r="CY49" s="95"/>
      <c r="CZ49" s="95"/>
      <c r="DA49" s="95"/>
      <c r="DB49" s="95"/>
      <c r="DC49" s="95"/>
      <c r="DD49" s="95"/>
      <c r="DE49" s="95"/>
      <c r="DF49" s="95"/>
      <c r="DG49" s="95"/>
      <c r="DH49" s="95"/>
      <c r="DI49" s="95"/>
      <c r="DJ49" s="95"/>
      <c r="DK49" s="95"/>
      <c r="DL49" s="95"/>
      <c r="DM49" s="95"/>
      <c r="DN49" s="95"/>
      <c r="DO49" s="95"/>
      <c r="DP49" s="95"/>
      <c r="DQ49" s="95"/>
      <c r="DR49" s="95"/>
      <c r="DS49" s="95"/>
      <c r="DT49" s="95"/>
      <c r="DU49" s="95"/>
      <c r="DV49" s="95"/>
      <c r="DW49" s="95"/>
      <c r="DX49" s="95"/>
      <c r="DY49" s="95"/>
      <c r="EC49" s="2"/>
    </row>
    <row r="50" spans="1:170" ht="24.95" customHeight="1">
      <c r="A50" s="1">
        <f t="shared" si="13"/>
        <v>42</v>
      </c>
      <c r="B50" s="69"/>
      <c r="C50" s="65"/>
      <c r="D50" s="111"/>
      <c r="E50" s="49"/>
      <c r="F50" s="49"/>
      <c r="G50" s="93"/>
      <c r="H50" s="93"/>
      <c r="I50" s="93"/>
      <c r="J50" s="108"/>
      <c r="K50" s="95"/>
      <c r="L50" s="49"/>
      <c r="M50" s="108"/>
      <c r="N50" s="93"/>
      <c r="O50" s="93"/>
      <c r="P50" s="93"/>
      <c r="Q50" s="93"/>
      <c r="R50" s="93"/>
      <c r="S50" s="93"/>
      <c r="T50" s="93"/>
      <c r="U50" s="95"/>
      <c r="V50" s="49"/>
      <c r="W50" s="93"/>
      <c r="X50" s="109"/>
      <c r="Y50" s="132"/>
      <c r="Z50" s="111"/>
      <c r="AA50" s="91"/>
      <c r="AB50" s="91"/>
      <c r="AC50" s="91"/>
      <c r="AD50" s="91"/>
      <c r="AE50" s="143"/>
      <c r="AF50" s="88"/>
      <c r="AG50" s="91"/>
      <c r="AH50" s="144"/>
      <c r="AI50" s="88" t="s">
        <v>126</v>
      </c>
      <c r="AJ50" s="91"/>
      <c r="AK50" s="91"/>
      <c r="AL50" s="91"/>
      <c r="AM50" s="91"/>
      <c r="AN50" s="91"/>
      <c r="AO50" s="145"/>
      <c r="AP50" s="110" t="s">
        <v>389</v>
      </c>
      <c r="AQ50" s="91"/>
      <c r="AR50" s="91"/>
      <c r="AS50" s="91"/>
      <c r="AT50" s="91"/>
      <c r="AU50" s="91"/>
      <c r="AV50" s="91"/>
      <c r="AW50" s="91"/>
      <c r="AX50" s="146"/>
      <c r="AY50" s="88" t="s">
        <v>126</v>
      </c>
      <c r="AZ50" s="91"/>
      <c r="BA50" s="143"/>
      <c r="BB50" s="143"/>
      <c r="BC50" s="143"/>
      <c r="BD50" s="143"/>
      <c r="BE50" s="145"/>
      <c r="BF50" s="110"/>
      <c r="BG50" s="143"/>
      <c r="BH50" s="143"/>
      <c r="BI50" s="143"/>
      <c r="BJ50" s="143"/>
      <c r="BK50" s="143"/>
      <c r="BL50" s="143"/>
      <c r="BM50" s="143"/>
      <c r="BN50" s="146"/>
      <c r="BO50" s="88" t="s">
        <v>391</v>
      </c>
      <c r="BP50" s="91"/>
      <c r="BQ50" s="143"/>
      <c r="BR50" s="143"/>
      <c r="BS50" s="143"/>
      <c r="BT50" s="143"/>
      <c r="BU50" s="145"/>
      <c r="BV50" s="88" t="s">
        <v>126</v>
      </c>
      <c r="BW50" s="143"/>
      <c r="BX50" s="143"/>
      <c r="BY50" s="143"/>
      <c r="BZ50" s="143"/>
      <c r="CA50" s="143"/>
      <c r="CB50" s="143"/>
      <c r="CC50" s="110" t="s">
        <v>126</v>
      </c>
      <c r="CD50" s="143"/>
      <c r="CE50" s="143"/>
      <c r="CF50" s="143"/>
      <c r="CG50" s="143"/>
      <c r="CH50" s="143"/>
      <c r="CI50" s="145"/>
      <c r="CJ50" s="95"/>
      <c r="CK50" s="113"/>
      <c r="CL50" s="65"/>
      <c r="CM50" s="65"/>
      <c r="CN50" s="95"/>
      <c r="CO50" s="95"/>
      <c r="CP50" s="95"/>
      <c r="CQ50" s="108"/>
      <c r="CR50" s="108"/>
      <c r="CS50" s="95"/>
      <c r="CT50" s="95"/>
      <c r="CU50" s="95"/>
      <c r="CV50" s="95"/>
      <c r="CW50" s="95"/>
      <c r="CX50" s="95"/>
      <c r="CY50" s="95"/>
      <c r="CZ50" s="95"/>
      <c r="DA50" s="95"/>
      <c r="DB50" s="95"/>
      <c r="DC50" s="95"/>
      <c r="DD50" s="95"/>
      <c r="DE50" s="95"/>
      <c r="DF50" s="95"/>
      <c r="DG50" s="95"/>
      <c r="DH50" s="95"/>
      <c r="DI50" s="95"/>
      <c r="DJ50" s="95"/>
      <c r="DK50" s="95"/>
      <c r="DL50" s="95"/>
      <c r="DM50" s="95"/>
      <c r="DN50" s="95"/>
      <c r="DO50" s="95"/>
      <c r="DP50" s="95"/>
      <c r="DQ50" s="95"/>
      <c r="DR50" s="95"/>
      <c r="DS50" s="95"/>
      <c r="DT50" s="95"/>
      <c r="DU50" s="95"/>
      <c r="DV50" s="95"/>
      <c r="DW50" s="95"/>
      <c r="DX50" s="95"/>
      <c r="DY50" s="95"/>
      <c r="EC50" s="2"/>
    </row>
    <row r="51" spans="1:170" ht="24.95" customHeight="1">
      <c r="A51" s="1">
        <f t="shared" si="13"/>
        <v>43</v>
      </c>
      <c r="B51" s="69"/>
      <c r="C51" s="65"/>
      <c r="D51" s="111" t="s">
        <v>433</v>
      </c>
      <c r="E51" s="49"/>
      <c r="F51" s="49"/>
      <c r="G51" s="93"/>
      <c r="H51" s="93"/>
      <c r="I51" s="93"/>
      <c r="J51" s="95"/>
      <c r="K51" s="95"/>
      <c r="L51" s="49"/>
      <c r="M51" s="104" t="s">
        <v>141</v>
      </c>
      <c r="N51" s="93"/>
      <c r="O51" s="93"/>
      <c r="P51" s="93"/>
      <c r="Q51" s="93"/>
      <c r="R51" s="93"/>
      <c r="S51" s="49"/>
      <c r="T51" s="93"/>
      <c r="U51" s="95"/>
      <c r="V51" s="49"/>
      <c r="W51" s="93"/>
      <c r="X51" s="109"/>
      <c r="Y51" s="132"/>
      <c r="Z51" s="111"/>
      <c r="AA51" s="134"/>
      <c r="AB51" s="134"/>
      <c r="AC51" s="134"/>
      <c r="AD51" s="134"/>
      <c r="AE51" s="135"/>
      <c r="AF51" s="133"/>
      <c r="AG51" s="134"/>
      <c r="AH51" s="138"/>
      <c r="AI51" s="133" t="s">
        <v>126</v>
      </c>
      <c r="AJ51" s="134"/>
      <c r="AK51" s="134"/>
      <c r="AL51" s="134"/>
      <c r="AM51" s="134"/>
      <c r="AN51" s="134"/>
      <c r="AO51" s="139"/>
      <c r="AP51" s="137" t="s">
        <v>391</v>
      </c>
      <c r="AQ51" s="134"/>
      <c r="AR51" s="134"/>
      <c r="AS51" s="134"/>
      <c r="AT51" s="134"/>
      <c r="AU51" s="134"/>
      <c r="AV51" s="134"/>
      <c r="AW51" s="134"/>
      <c r="AX51" s="140"/>
      <c r="AY51" s="133" t="s">
        <v>126</v>
      </c>
      <c r="AZ51" s="134"/>
      <c r="BA51" s="135"/>
      <c r="BB51" s="135"/>
      <c r="BC51" s="135"/>
      <c r="BD51" s="135"/>
      <c r="BE51" s="139"/>
      <c r="BF51" s="137"/>
      <c r="BG51" s="135"/>
      <c r="BH51" s="135"/>
      <c r="BI51" s="135"/>
      <c r="BJ51" s="135"/>
      <c r="BK51" s="135"/>
      <c r="BL51" s="135"/>
      <c r="BM51" s="135"/>
      <c r="BN51" s="140"/>
      <c r="BO51" s="133"/>
      <c r="BP51" s="134"/>
      <c r="BQ51" s="135"/>
      <c r="BR51" s="135"/>
      <c r="BS51" s="135"/>
      <c r="BT51" s="135"/>
      <c r="BU51" s="139"/>
      <c r="BV51" s="133" t="s">
        <v>126</v>
      </c>
      <c r="BW51" s="135"/>
      <c r="BX51" s="135"/>
      <c r="BY51" s="135"/>
      <c r="BZ51" s="135"/>
      <c r="CA51" s="135"/>
      <c r="CB51" s="135"/>
      <c r="CC51" s="137" t="s">
        <v>126</v>
      </c>
      <c r="CD51" s="135"/>
      <c r="CE51" s="135"/>
      <c r="CF51" s="135"/>
      <c r="CG51" s="135"/>
      <c r="CH51" s="135"/>
      <c r="CI51" s="139"/>
      <c r="CJ51" s="95"/>
      <c r="CK51" s="113"/>
      <c r="CL51" s="65"/>
      <c r="CM51" s="65"/>
      <c r="CN51" s="95"/>
      <c r="CO51" s="95"/>
      <c r="CP51" s="95"/>
      <c r="CQ51" s="108"/>
      <c r="CR51" s="108"/>
      <c r="CS51" s="95"/>
      <c r="CT51" s="95"/>
      <c r="CU51" s="95"/>
      <c r="CV51" s="95"/>
      <c r="CW51" s="95"/>
      <c r="CX51" s="95"/>
      <c r="CY51" s="95"/>
      <c r="CZ51" s="95"/>
      <c r="DA51" s="95"/>
      <c r="DB51" s="95"/>
      <c r="DC51" s="95"/>
      <c r="DD51" s="95"/>
      <c r="DE51" s="95"/>
      <c r="DF51" s="95"/>
      <c r="DG51" s="95"/>
      <c r="DH51" s="95"/>
      <c r="DI51" s="95"/>
      <c r="DJ51" s="95"/>
      <c r="DK51" s="95"/>
      <c r="DL51" s="95"/>
      <c r="DM51" s="95"/>
      <c r="DN51" s="95"/>
      <c r="DO51" s="95"/>
      <c r="DP51" s="95"/>
      <c r="DQ51" s="95"/>
      <c r="DR51" s="95"/>
      <c r="DS51" s="95"/>
      <c r="DT51" s="95"/>
      <c r="DU51" s="95"/>
      <c r="DV51" s="95"/>
      <c r="DW51" s="95"/>
      <c r="DX51" s="95"/>
      <c r="DY51" s="95"/>
      <c r="EC51" s="2"/>
    </row>
    <row r="52" spans="1:170" ht="24.95" customHeight="1">
      <c r="A52" s="1">
        <f t="shared" si="13"/>
        <v>44</v>
      </c>
      <c r="B52" s="69"/>
      <c r="C52" s="65"/>
      <c r="D52" s="116"/>
      <c r="E52" s="65"/>
      <c r="F52" s="49"/>
      <c r="G52" s="93"/>
      <c r="H52" s="93"/>
      <c r="I52" s="93"/>
      <c r="J52" s="95"/>
      <c r="K52" s="95"/>
      <c r="L52" s="49"/>
      <c r="M52" s="93"/>
      <c r="N52" s="93"/>
      <c r="O52" s="93"/>
      <c r="P52" s="93"/>
      <c r="Q52" s="93"/>
      <c r="R52" s="93"/>
      <c r="S52" s="93"/>
      <c r="T52" s="93"/>
      <c r="U52" s="95"/>
      <c r="V52" s="49"/>
      <c r="W52" s="93"/>
      <c r="X52" s="93"/>
      <c r="Y52" s="132"/>
      <c r="Z52" s="111"/>
      <c r="AA52" s="93"/>
      <c r="AB52" s="93"/>
      <c r="AC52" s="109"/>
      <c r="AD52" s="93"/>
      <c r="AE52" s="95"/>
      <c r="AF52" s="49"/>
      <c r="AG52" s="93"/>
      <c r="AH52" s="131"/>
      <c r="AI52" s="49" t="s">
        <v>126</v>
      </c>
      <c r="AJ52" s="93"/>
      <c r="AK52" s="93"/>
      <c r="AL52" s="93"/>
      <c r="AM52" s="93"/>
      <c r="AN52" s="93"/>
      <c r="AO52" s="98"/>
      <c r="AP52" s="111" t="s">
        <v>389</v>
      </c>
      <c r="AQ52" s="93"/>
      <c r="AR52" s="95"/>
      <c r="AS52" s="95"/>
      <c r="AT52" s="95"/>
      <c r="AU52" s="95"/>
      <c r="AV52" s="95"/>
      <c r="AW52" s="95"/>
      <c r="AX52" s="113"/>
      <c r="AY52" s="49" t="s">
        <v>126</v>
      </c>
      <c r="AZ52" s="93"/>
      <c r="BA52" s="95"/>
      <c r="BB52" s="95"/>
      <c r="BC52" s="95"/>
      <c r="BD52" s="95"/>
      <c r="BE52" s="98"/>
      <c r="BF52" s="111"/>
      <c r="BG52" s="95"/>
      <c r="BH52" s="95"/>
      <c r="BI52" s="95"/>
      <c r="BJ52" s="95"/>
      <c r="BK52" s="95"/>
      <c r="BL52" s="95"/>
      <c r="BM52" s="95"/>
      <c r="BN52" s="113"/>
      <c r="BO52" s="49" t="s">
        <v>391</v>
      </c>
      <c r="BP52" s="93"/>
      <c r="BQ52" s="95"/>
      <c r="BR52" s="95"/>
      <c r="BS52" s="95"/>
      <c r="BT52" s="95"/>
      <c r="BU52" s="98"/>
      <c r="BV52" s="49" t="s">
        <v>126</v>
      </c>
      <c r="BW52" s="95"/>
      <c r="BX52" s="95"/>
      <c r="BY52" s="95"/>
      <c r="BZ52" s="95"/>
      <c r="CA52" s="95"/>
      <c r="CB52" s="95"/>
      <c r="CC52" s="111" t="s">
        <v>126</v>
      </c>
      <c r="CD52" s="95"/>
      <c r="CE52" s="95"/>
      <c r="CF52" s="95"/>
      <c r="CG52" s="95"/>
      <c r="CH52" s="95"/>
      <c r="CI52" s="98"/>
      <c r="CJ52" s="95"/>
      <c r="CK52" s="113"/>
      <c r="CL52" s="65"/>
      <c r="CM52" s="49"/>
      <c r="CN52" s="95"/>
      <c r="CO52" s="95"/>
      <c r="CP52" s="95"/>
      <c r="CQ52" s="95"/>
      <c r="CR52" s="95"/>
      <c r="CS52" s="95"/>
      <c r="CT52" s="95"/>
      <c r="CU52" s="95"/>
      <c r="CV52" s="95"/>
      <c r="CW52" s="95"/>
      <c r="CX52" s="95"/>
      <c r="CY52" s="95"/>
      <c r="CZ52" s="95"/>
      <c r="DA52" s="95"/>
      <c r="DB52" s="95"/>
      <c r="DC52" s="95"/>
      <c r="DD52" s="95"/>
      <c r="DE52" s="95"/>
      <c r="DF52" s="95"/>
      <c r="DG52" s="95"/>
      <c r="DH52" s="95"/>
      <c r="DI52" s="95"/>
      <c r="DJ52" s="95"/>
      <c r="DK52" s="95"/>
      <c r="DL52" s="95"/>
      <c r="DM52" s="95"/>
      <c r="DN52" s="95"/>
      <c r="DO52" s="95"/>
      <c r="DP52" s="95"/>
      <c r="DQ52" s="95"/>
      <c r="DR52" s="95"/>
      <c r="DS52" s="95"/>
      <c r="DT52" s="95"/>
      <c r="DU52" s="95"/>
      <c r="DV52" s="95"/>
      <c r="DW52" s="95"/>
      <c r="DX52" s="95"/>
      <c r="DY52" s="95"/>
      <c r="EC52" s="2"/>
    </row>
    <row r="53" spans="1:170" ht="24.75" customHeight="1">
      <c r="A53" s="1">
        <f t="shared" si="13"/>
        <v>45</v>
      </c>
      <c r="B53" s="69"/>
      <c r="C53" s="65"/>
      <c r="D53" s="141"/>
      <c r="E53" s="142"/>
      <c r="F53" s="106"/>
      <c r="G53" s="129"/>
      <c r="H53" s="129"/>
      <c r="I53" s="129"/>
      <c r="J53" s="107"/>
      <c r="K53" s="107"/>
      <c r="L53" s="106"/>
      <c r="M53" s="129"/>
      <c r="N53" s="129"/>
      <c r="O53" s="129"/>
      <c r="P53" s="129"/>
      <c r="Q53" s="129"/>
      <c r="R53" s="129"/>
      <c r="S53" s="129"/>
      <c r="T53" s="129"/>
      <c r="U53" s="107"/>
      <c r="V53" s="106"/>
      <c r="W53" s="129"/>
      <c r="X53" s="129"/>
      <c r="Y53" s="130"/>
      <c r="Z53" s="122"/>
      <c r="AA53" s="129"/>
      <c r="AB53" s="129"/>
      <c r="AC53" s="129"/>
      <c r="AD53" s="129"/>
      <c r="AE53" s="107"/>
      <c r="AF53" s="106"/>
      <c r="AG53" s="129"/>
      <c r="AH53" s="128"/>
      <c r="AI53" s="106" t="s">
        <v>126</v>
      </c>
      <c r="AJ53" s="129"/>
      <c r="AK53" s="129"/>
      <c r="AL53" s="129"/>
      <c r="AM53" s="129"/>
      <c r="AN53" s="129"/>
      <c r="AO53" s="123"/>
      <c r="AP53" s="122" t="s">
        <v>391</v>
      </c>
      <c r="AQ53" s="129"/>
      <c r="AR53" s="107"/>
      <c r="AS53" s="107"/>
      <c r="AT53" s="107"/>
      <c r="AU53" s="107"/>
      <c r="AV53" s="107"/>
      <c r="AW53" s="107"/>
      <c r="AX53" s="124"/>
      <c r="AY53" s="106" t="s">
        <v>126</v>
      </c>
      <c r="AZ53" s="129"/>
      <c r="BA53" s="107"/>
      <c r="BB53" s="107"/>
      <c r="BC53" s="107"/>
      <c r="BD53" s="107"/>
      <c r="BE53" s="123"/>
      <c r="BF53" s="111"/>
      <c r="BG53" s="107"/>
      <c r="BH53" s="107"/>
      <c r="BI53" s="107"/>
      <c r="BJ53" s="107"/>
      <c r="BK53" s="107"/>
      <c r="BL53" s="107"/>
      <c r="BM53" s="107"/>
      <c r="BN53" s="124"/>
      <c r="BO53" s="106"/>
      <c r="BP53" s="129"/>
      <c r="BQ53" s="107"/>
      <c r="BR53" s="107"/>
      <c r="BS53" s="107"/>
      <c r="BT53" s="107"/>
      <c r="BU53" s="123"/>
      <c r="BV53" s="106" t="s">
        <v>126</v>
      </c>
      <c r="BW53" s="107"/>
      <c r="BX53" s="107"/>
      <c r="BY53" s="107"/>
      <c r="BZ53" s="107"/>
      <c r="CA53" s="107"/>
      <c r="CB53" s="107"/>
      <c r="CC53" s="122" t="s">
        <v>126</v>
      </c>
      <c r="CD53" s="107"/>
      <c r="CE53" s="107"/>
      <c r="CF53" s="107"/>
      <c r="CG53" s="107"/>
      <c r="CH53" s="107"/>
      <c r="CI53" s="123"/>
      <c r="CJ53" s="95"/>
      <c r="CK53" s="113"/>
      <c r="CL53" s="95"/>
      <c r="CM53" s="95"/>
      <c r="CN53" s="95"/>
      <c r="CO53" s="95"/>
      <c r="CP53" s="95"/>
      <c r="CQ53" s="95"/>
      <c r="CR53" s="95"/>
      <c r="CS53" s="95"/>
      <c r="CT53" s="95"/>
      <c r="CU53" s="95"/>
      <c r="CV53" s="95"/>
      <c r="CW53" s="95"/>
      <c r="CX53" s="95"/>
      <c r="CY53" s="95"/>
      <c r="CZ53" s="95"/>
      <c r="DA53" s="95"/>
      <c r="DB53" s="95"/>
      <c r="DC53" s="95"/>
      <c r="DD53" s="95"/>
      <c r="DE53" s="95"/>
      <c r="DF53" s="95"/>
      <c r="DG53" s="95"/>
      <c r="DH53" s="95"/>
      <c r="DI53" s="95"/>
      <c r="DJ53" s="95"/>
      <c r="DK53" s="95"/>
      <c r="DL53" s="95"/>
      <c r="DM53" s="95"/>
      <c r="DN53" s="95"/>
      <c r="DO53" s="95"/>
      <c r="DP53" s="95"/>
      <c r="DQ53" s="95"/>
      <c r="DR53" s="95"/>
      <c r="DS53" s="95"/>
      <c r="DT53" s="95"/>
      <c r="DU53" s="95"/>
      <c r="DV53" s="95"/>
      <c r="DW53" s="95"/>
      <c r="DX53" s="95"/>
      <c r="DY53" s="95"/>
      <c r="EC53" s="2"/>
    </row>
    <row r="54" spans="1:170" ht="24.95" customHeight="1">
      <c r="A54" s="1">
        <f t="shared" si="13"/>
        <v>46</v>
      </c>
      <c r="B54" s="69"/>
      <c r="C54" s="65"/>
      <c r="D54" s="111"/>
      <c r="E54" s="49"/>
      <c r="F54" s="49"/>
      <c r="G54" s="93"/>
      <c r="H54" s="93"/>
      <c r="I54" s="93"/>
      <c r="J54" s="108"/>
      <c r="K54" s="95"/>
      <c r="L54" s="93"/>
      <c r="M54" s="93"/>
      <c r="N54" s="93"/>
      <c r="O54" s="93"/>
      <c r="P54" s="93"/>
      <c r="Q54" s="93"/>
      <c r="R54" s="93"/>
      <c r="S54" s="93"/>
      <c r="T54" s="49"/>
      <c r="U54" s="95"/>
      <c r="V54" s="93"/>
      <c r="W54" s="93"/>
      <c r="X54" s="109"/>
      <c r="Y54" s="132"/>
      <c r="Z54" s="111"/>
      <c r="AA54" s="93"/>
      <c r="AB54" s="93"/>
      <c r="AC54" s="93"/>
      <c r="AD54" s="93"/>
      <c r="AE54" s="95"/>
      <c r="AF54" s="93"/>
      <c r="AG54" s="93"/>
      <c r="AH54" s="131"/>
      <c r="AI54" s="49" t="s">
        <v>126</v>
      </c>
      <c r="AJ54" s="93"/>
      <c r="AK54" s="93"/>
      <c r="AL54" s="93"/>
      <c r="AM54" s="93"/>
      <c r="AN54" s="93"/>
      <c r="AO54" s="98"/>
      <c r="AP54" s="111"/>
      <c r="AQ54" s="93"/>
      <c r="AR54" s="93"/>
      <c r="AS54" s="93"/>
      <c r="AT54" s="93"/>
      <c r="AU54" s="95"/>
      <c r="AV54" s="93"/>
      <c r="AW54" s="93"/>
      <c r="AX54" s="131"/>
      <c r="AY54" s="49" t="s">
        <v>126</v>
      </c>
      <c r="AZ54" s="93"/>
      <c r="BA54" s="93"/>
      <c r="BB54" s="93"/>
      <c r="BC54" s="93"/>
      <c r="BD54" s="93"/>
      <c r="BE54" s="132"/>
      <c r="BF54" s="111"/>
      <c r="BG54" s="93"/>
      <c r="BH54" s="93"/>
      <c r="BI54" s="93"/>
      <c r="BJ54" s="93"/>
      <c r="BK54" s="95"/>
      <c r="BL54" s="93"/>
      <c r="BM54" s="93"/>
      <c r="BN54" s="131"/>
      <c r="BO54" s="49" t="s">
        <v>391</v>
      </c>
      <c r="BP54" s="93"/>
      <c r="BQ54" s="93"/>
      <c r="BR54" s="93"/>
      <c r="BS54" s="93"/>
      <c r="BT54" s="93"/>
      <c r="BU54" s="132"/>
      <c r="BV54" s="49" t="s">
        <v>126</v>
      </c>
      <c r="BW54" s="93"/>
      <c r="BX54" s="93"/>
      <c r="BY54" s="93"/>
      <c r="BZ54" s="93"/>
      <c r="CA54" s="95"/>
      <c r="CB54" s="93"/>
      <c r="CC54" s="125" t="s">
        <v>126</v>
      </c>
      <c r="CD54" s="93"/>
      <c r="CE54" s="49"/>
      <c r="CF54" s="93"/>
      <c r="CG54" s="93"/>
      <c r="CH54" s="93"/>
      <c r="CI54" s="98"/>
      <c r="CJ54" s="93"/>
      <c r="CK54" s="131"/>
      <c r="CL54" s="49"/>
      <c r="CM54" s="93"/>
      <c r="CN54" s="93"/>
      <c r="CO54" s="93"/>
      <c r="CP54" s="93"/>
      <c r="CQ54" s="93"/>
      <c r="CR54" s="93"/>
      <c r="CS54" s="93"/>
      <c r="CT54" s="93"/>
      <c r="CU54" s="93"/>
      <c r="CV54" s="93"/>
      <c r="CW54" s="93"/>
      <c r="CX54" s="93"/>
      <c r="CY54" s="93"/>
      <c r="CZ54" s="93"/>
      <c r="DA54" s="93"/>
      <c r="DB54" s="93"/>
      <c r="DC54" s="93"/>
      <c r="DD54" s="93"/>
      <c r="DE54" s="93"/>
      <c r="DF54" s="93"/>
      <c r="DG54" s="93"/>
      <c r="DH54" s="93"/>
      <c r="DI54" s="93"/>
      <c r="DJ54" s="93"/>
      <c r="DK54" s="93"/>
      <c r="DL54" s="93"/>
      <c r="DM54" s="93"/>
      <c r="DN54" s="93"/>
      <c r="DO54" s="93"/>
      <c r="DP54" s="93"/>
      <c r="DQ54" s="93"/>
      <c r="DR54" s="93"/>
      <c r="DS54" s="93"/>
      <c r="DT54" s="93"/>
      <c r="DU54" s="93"/>
      <c r="DV54" s="93"/>
      <c r="DW54" s="93"/>
      <c r="DX54" s="93"/>
      <c r="DY54" s="93"/>
      <c r="DZ54" s="93"/>
      <c r="EA54" s="93"/>
      <c r="EB54" s="66"/>
      <c r="EC54" s="77"/>
      <c r="ED54" s="66"/>
      <c r="EE54" s="66"/>
      <c r="EF54" s="66"/>
      <c r="EG54" s="66"/>
      <c r="EH54" s="66"/>
      <c r="EI54" s="66"/>
      <c r="EJ54" s="66"/>
      <c r="EK54" s="66"/>
      <c r="EL54" s="66"/>
      <c r="EM54" s="66"/>
      <c r="EN54" s="66"/>
      <c r="EO54" s="66"/>
      <c r="EP54" s="66"/>
      <c r="EQ54" s="66"/>
      <c r="ER54" s="66"/>
      <c r="ES54" s="66"/>
      <c r="ET54" s="66"/>
      <c r="EU54" s="66"/>
      <c r="EV54" s="66"/>
      <c r="EW54" s="66"/>
      <c r="EX54" s="66"/>
      <c r="EY54" s="66"/>
      <c r="EZ54" s="66"/>
      <c r="FA54" s="66"/>
      <c r="FB54" s="66"/>
      <c r="FC54" s="66"/>
      <c r="FD54" s="66"/>
      <c r="FE54" s="66"/>
      <c r="FF54" s="66"/>
      <c r="FG54" s="66"/>
      <c r="FH54" s="66"/>
      <c r="FI54" s="66"/>
      <c r="FJ54" s="66"/>
      <c r="FK54" s="66"/>
      <c r="FL54" s="66"/>
      <c r="FM54" s="66"/>
      <c r="FN54" s="66"/>
    </row>
    <row r="55" spans="1:170" ht="24.75" customHeight="1">
      <c r="A55" s="1">
        <f t="shared" si="13"/>
        <v>47</v>
      </c>
      <c r="B55" s="69"/>
      <c r="C55" s="65"/>
      <c r="D55" s="111"/>
      <c r="E55" s="49"/>
      <c r="F55" s="49"/>
      <c r="G55" s="93"/>
      <c r="H55" s="93"/>
      <c r="I55" s="93"/>
      <c r="J55" s="108"/>
      <c r="K55" s="95"/>
      <c r="L55" s="93"/>
      <c r="M55" s="93"/>
      <c r="N55" s="93"/>
      <c r="O55" s="93"/>
      <c r="P55" s="93"/>
      <c r="Q55" s="93"/>
      <c r="R55" s="93"/>
      <c r="S55" s="93"/>
      <c r="T55" s="49"/>
      <c r="U55" s="95"/>
      <c r="V55" s="93"/>
      <c r="W55" s="93"/>
      <c r="X55" s="109"/>
      <c r="Y55" s="132"/>
      <c r="Z55" s="111"/>
      <c r="AA55" s="93"/>
      <c r="AB55" s="93"/>
      <c r="AC55" s="93"/>
      <c r="AD55" s="93"/>
      <c r="AE55" s="95"/>
      <c r="AF55" s="49"/>
      <c r="AG55" s="93"/>
      <c r="AH55" s="131"/>
      <c r="AI55" s="49" t="s">
        <v>126</v>
      </c>
      <c r="AJ55" s="93"/>
      <c r="AK55" s="93"/>
      <c r="AL55" s="93"/>
      <c r="AM55" s="93"/>
      <c r="AN55" s="93"/>
      <c r="AO55" s="98"/>
      <c r="AP55" s="111"/>
      <c r="AQ55" s="93"/>
      <c r="AR55" s="93"/>
      <c r="AS55" s="93"/>
      <c r="AT55" s="93"/>
      <c r="AU55" s="95"/>
      <c r="AV55" s="49"/>
      <c r="AW55" s="93"/>
      <c r="AX55" s="131"/>
      <c r="AY55" s="49" t="s">
        <v>126</v>
      </c>
      <c r="AZ55" s="93"/>
      <c r="BA55" s="93"/>
      <c r="BB55" s="93"/>
      <c r="BC55" s="93"/>
      <c r="BD55" s="93"/>
      <c r="BE55" s="132"/>
      <c r="BF55" s="111"/>
      <c r="BG55" s="93"/>
      <c r="BH55" s="93"/>
      <c r="BI55" s="93"/>
      <c r="BJ55" s="93"/>
      <c r="BK55" s="95"/>
      <c r="BL55" s="49"/>
      <c r="BM55" s="93"/>
      <c r="BN55" s="131"/>
      <c r="BO55" s="49"/>
      <c r="BP55" s="93"/>
      <c r="BQ55" s="93"/>
      <c r="BR55" s="93"/>
      <c r="BS55" s="93"/>
      <c r="BT55" s="93"/>
      <c r="BU55" s="132"/>
      <c r="BV55" s="49" t="s">
        <v>126</v>
      </c>
      <c r="BW55" s="93"/>
      <c r="BX55" s="93"/>
      <c r="BY55" s="93"/>
      <c r="BZ55" s="93"/>
      <c r="CA55" s="95"/>
      <c r="CB55" s="49"/>
      <c r="CC55" s="111" t="s">
        <v>126</v>
      </c>
      <c r="CD55" s="93"/>
      <c r="CE55" s="49"/>
      <c r="CF55" s="93"/>
      <c r="CG55" s="93"/>
      <c r="CH55" s="93"/>
      <c r="CI55" s="98"/>
      <c r="CJ55" s="93"/>
      <c r="CK55" s="131"/>
      <c r="CL55" s="93"/>
      <c r="CM55" s="93"/>
      <c r="CN55" s="93"/>
      <c r="CO55" s="93"/>
      <c r="CP55" s="93"/>
      <c r="CQ55" s="93"/>
      <c r="CR55" s="93"/>
      <c r="CS55" s="93"/>
      <c r="CT55" s="93"/>
      <c r="CU55" s="93"/>
      <c r="CV55" s="93"/>
      <c r="CW55" s="93"/>
      <c r="CX55" s="93"/>
      <c r="CY55" s="93"/>
      <c r="CZ55" s="93"/>
      <c r="DA55" s="93"/>
      <c r="DB55" s="93"/>
      <c r="DC55" s="93"/>
      <c r="DD55" s="93"/>
      <c r="DE55" s="93"/>
      <c r="DF55" s="93"/>
      <c r="DG55" s="93"/>
      <c r="DH55" s="93"/>
      <c r="DI55" s="93"/>
      <c r="DJ55" s="93"/>
      <c r="DK55" s="93"/>
      <c r="DL55" s="93"/>
      <c r="DM55" s="93"/>
      <c r="DN55" s="93"/>
      <c r="DO55" s="93"/>
      <c r="DP55" s="93"/>
      <c r="DQ55" s="93"/>
      <c r="DR55" s="93"/>
      <c r="DS55" s="93"/>
      <c r="DT55" s="93"/>
      <c r="DU55" s="93"/>
      <c r="DV55" s="93"/>
      <c r="DW55" s="93"/>
      <c r="DX55" s="93"/>
      <c r="DY55" s="93"/>
      <c r="DZ55" s="93"/>
      <c r="EA55" s="93"/>
      <c r="EB55" s="66"/>
      <c r="EC55" s="77"/>
      <c r="ED55" s="66"/>
      <c r="EE55" s="66"/>
      <c r="EF55" s="66"/>
      <c r="EG55" s="66"/>
      <c r="EH55" s="66"/>
      <c r="EI55" s="66"/>
      <c r="EJ55" s="66"/>
      <c r="EK55" s="66"/>
      <c r="EL55" s="66"/>
      <c r="EM55" s="66"/>
      <c r="EN55" s="66"/>
      <c r="EO55" s="66"/>
      <c r="EP55" s="66"/>
      <c r="EQ55" s="66"/>
      <c r="ER55" s="66"/>
      <c r="ES55" s="66"/>
      <c r="ET55" s="66"/>
      <c r="EU55" s="66"/>
      <c r="EV55" s="66"/>
      <c r="EW55" s="66"/>
      <c r="EX55" s="66"/>
      <c r="EY55" s="66"/>
      <c r="EZ55" s="66"/>
      <c r="FA55" s="66"/>
      <c r="FB55" s="66"/>
      <c r="FC55" s="66"/>
      <c r="FD55" s="66"/>
      <c r="FE55" s="66"/>
      <c r="FF55" s="66"/>
      <c r="FG55" s="66"/>
      <c r="FH55" s="66"/>
      <c r="FI55" s="66"/>
      <c r="FJ55" s="66"/>
      <c r="FK55" s="66"/>
      <c r="FL55" s="66"/>
      <c r="FM55" s="66"/>
      <c r="FN55" s="66"/>
    </row>
    <row r="56" spans="1:170" ht="24.95" customHeight="1">
      <c r="A56" s="1">
        <f t="shared" si="13"/>
        <v>48</v>
      </c>
      <c r="B56" s="69"/>
      <c r="C56" s="65"/>
      <c r="D56" s="111"/>
      <c r="E56" s="49"/>
      <c r="F56" s="49"/>
      <c r="G56" s="93"/>
      <c r="H56" s="93"/>
      <c r="I56" s="93"/>
      <c r="J56" s="108"/>
      <c r="K56" s="95"/>
      <c r="L56" s="49"/>
      <c r="M56" s="108"/>
      <c r="N56" s="93"/>
      <c r="O56" s="93"/>
      <c r="P56" s="93"/>
      <c r="Q56" s="93"/>
      <c r="R56" s="93"/>
      <c r="S56" s="93"/>
      <c r="T56" s="93"/>
      <c r="U56" s="95"/>
      <c r="V56" s="49"/>
      <c r="W56" s="93"/>
      <c r="X56" s="109"/>
      <c r="Y56" s="132"/>
      <c r="Z56" s="110"/>
      <c r="AA56" s="91"/>
      <c r="AB56" s="91"/>
      <c r="AC56" s="91"/>
      <c r="AD56" s="91"/>
      <c r="AE56" s="143"/>
      <c r="AF56" s="88"/>
      <c r="AG56" s="91"/>
      <c r="AH56" s="144"/>
      <c r="AI56" s="88" t="s">
        <v>126</v>
      </c>
      <c r="AJ56" s="91"/>
      <c r="AK56" s="91"/>
      <c r="AL56" s="91"/>
      <c r="AM56" s="91"/>
      <c r="AN56" s="91"/>
      <c r="AO56" s="145"/>
      <c r="AP56" s="110"/>
      <c r="AQ56" s="91"/>
      <c r="AR56" s="91"/>
      <c r="AS56" s="91"/>
      <c r="AT56" s="91"/>
      <c r="AU56" s="91"/>
      <c r="AV56" s="91"/>
      <c r="AW56" s="91"/>
      <c r="AX56" s="146"/>
      <c r="AY56" s="88" t="s">
        <v>126</v>
      </c>
      <c r="AZ56" s="91"/>
      <c r="BA56" s="143"/>
      <c r="BB56" s="143"/>
      <c r="BC56" s="143"/>
      <c r="BD56" s="143"/>
      <c r="BE56" s="145"/>
      <c r="BF56" s="110"/>
      <c r="BG56" s="143"/>
      <c r="BH56" s="143"/>
      <c r="BI56" s="143"/>
      <c r="BJ56" s="143"/>
      <c r="BK56" s="143"/>
      <c r="BL56" s="143"/>
      <c r="BM56" s="143"/>
      <c r="BN56" s="146"/>
      <c r="BO56" s="88" t="s">
        <v>391</v>
      </c>
      <c r="BP56" s="91"/>
      <c r="BQ56" s="143"/>
      <c r="BR56" s="143"/>
      <c r="BS56" s="143"/>
      <c r="BT56" s="143"/>
      <c r="BU56" s="145"/>
      <c r="BV56" s="88" t="s">
        <v>126</v>
      </c>
      <c r="BW56" s="143"/>
      <c r="BX56" s="143"/>
      <c r="BY56" s="143"/>
      <c r="BZ56" s="143"/>
      <c r="CA56" s="143"/>
      <c r="CB56" s="143"/>
      <c r="CC56" s="110" t="s">
        <v>126</v>
      </c>
      <c r="CD56" s="143"/>
      <c r="CE56" s="143"/>
      <c r="CF56" s="143"/>
      <c r="CG56" s="143"/>
      <c r="CH56" s="143"/>
      <c r="CI56" s="145"/>
      <c r="CJ56" s="93"/>
      <c r="CK56" s="131"/>
      <c r="CL56" s="93"/>
      <c r="CM56" s="93"/>
      <c r="CN56" s="93"/>
      <c r="CO56" s="93"/>
      <c r="CP56" s="93"/>
      <c r="CQ56" s="93"/>
      <c r="CR56" s="93"/>
      <c r="CS56" s="93"/>
      <c r="CT56" s="93"/>
      <c r="CU56" s="93"/>
      <c r="CV56" s="93"/>
      <c r="CW56" s="93"/>
      <c r="CX56" s="93"/>
      <c r="CY56" s="93"/>
      <c r="CZ56" s="93"/>
      <c r="DA56" s="93"/>
      <c r="DB56" s="93"/>
      <c r="DC56" s="93"/>
      <c r="DD56" s="93"/>
      <c r="DE56" s="93"/>
      <c r="DF56" s="93"/>
      <c r="DG56" s="93"/>
      <c r="DH56" s="93"/>
      <c r="DI56" s="93"/>
      <c r="DJ56" s="93"/>
      <c r="DK56" s="93"/>
      <c r="DL56" s="93"/>
      <c r="DM56" s="93"/>
      <c r="DN56" s="93"/>
      <c r="DO56" s="93"/>
      <c r="DP56" s="93"/>
      <c r="DQ56" s="93"/>
      <c r="DR56" s="93"/>
      <c r="DS56" s="93"/>
      <c r="DT56" s="93"/>
      <c r="DU56" s="93"/>
      <c r="DV56" s="93"/>
      <c r="DW56" s="93"/>
      <c r="DX56" s="93"/>
      <c r="DY56" s="93"/>
      <c r="DZ56" s="93"/>
      <c r="EA56" s="93"/>
      <c r="EB56" s="66"/>
      <c r="EC56" s="77"/>
      <c r="ED56" s="66"/>
      <c r="EE56" s="66"/>
      <c r="EF56" s="66"/>
      <c r="EG56" s="66"/>
      <c r="EH56" s="66"/>
      <c r="EI56" s="66"/>
      <c r="EJ56" s="66"/>
      <c r="EK56" s="66"/>
      <c r="EL56" s="66"/>
      <c r="EM56" s="66"/>
      <c r="EN56" s="66"/>
      <c r="EO56" s="66"/>
      <c r="EP56" s="66"/>
      <c r="EQ56" s="66"/>
      <c r="ER56" s="66"/>
      <c r="ES56" s="66"/>
      <c r="ET56" s="66"/>
      <c r="EU56" s="66"/>
      <c r="EV56" s="66"/>
      <c r="EW56" s="66"/>
      <c r="EX56" s="66"/>
      <c r="EY56" s="66"/>
      <c r="EZ56" s="66"/>
      <c r="FA56" s="66"/>
      <c r="FB56" s="66"/>
      <c r="FC56" s="66"/>
      <c r="FD56" s="66"/>
      <c r="FE56" s="66"/>
      <c r="FF56" s="66"/>
      <c r="FG56" s="66"/>
      <c r="FH56" s="66"/>
      <c r="FI56" s="66"/>
      <c r="FJ56" s="66"/>
      <c r="FK56" s="66"/>
      <c r="FL56" s="66"/>
      <c r="FM56" s="66"/>
      <c r="FN56" s="66"/>
    </row>
    <row r="57" spans="1:170" ht="24.95" customHeight="1">
      <c r="A57" s="1">
        <f t="shared" si="13"/>
        <v>49</v>
      </c>
      <c r="B57" s="69"/>
      <c r="C57" s="65"/>
      <c r="D57" s="111"/>
      <c r="E57" s="49"/>
      <c r="F57" s="49"/>
      <c r="G57" s="93"/>
      <c r="H57" s="93"/>
      <c r="I57" s="93"/>
      <c r="J57" s="95"/>
      <c r="K57" s="95"/>
      <c r="L57" s="49"/>
      <c r="M57" s="104" t="s">
        <v>362</v>
      </c>
      <c r="N57" s="93"/>
      <c r="O57" s="93"/>
      <c r="P57" s="93"/>
      <c r="Q57" s="93"/>
      <c r="R57" s="93"/>
      <c r="S57" s="49"/>
      <c r="T57" s="93"/>
      <c r="U57" s="95"/>
      <c r="V57" s="49"/>
      <c r="W57" s="93"/>
      <c r="X57" s="109"/>
      <c r="Y57" s="132"/>
      <c r="Z57" s="137"/>
      <c r="AA57" s="134"/>
      <c r="AB57" s="134"/>
      <c r="AC57" s="134"/>
      <c r="AD57" s="134"/>
      <c r="AE57" s="135"/>
      <c r="AF57" s="133"/>
      <c r="AG57" s="134"/>
      <c r="AH57" s="138"/>
      <c r="AI57" s="133" t="s">
        <v>126</v>
      </c>
      <c r="AJ57" s="134"/>
      <c r="AK57" s="134"/>
      <c r="AL57" s="134"/>
      <c r="AM57" s="134"/>
      <c r="AN57" s="134"/>
      <c r="AO57" s="139"/>
      <c r="AP57" s="137"/>
      <c r="AQ57" s="134"/>
      <c r="AR57" s="134"/>
      <c r="AS57" s="134"/>
      <c r="AT57" s="134"/>
      <c r="AU57" s="134"/>
      <c r="AV57" s="134"/>
      <c r="AW57" s="134"/>
      <c r="AX57" s="140"/>
      <c r="AY57" s="133" t="s">
        <v>126</v>
      </c>
      <c r="AZ57" s="134"/>
      <c r="BA57" s="135"/>
      <c r="BB57" s="135"/>
      <c r="BC57" s="135"/>
      <c r="BD57" s="135"/>
      <c r="BE57" s="139"/>
      <c r="BF57" s="137"/>
      <c r="BG57" s="135"/>
      <c r="BH57" s="135"/>
      <c r="BI57" s="135"/>
      <c r="BJ57" s="135"/>
      <c r="BK57" s="135"/>
      <c r="BL57" s="135"/>
      <c r="BM57" s="135"/>
      <c r="BN57" s="140"/>
      <c r="BO57" s="133"/>
      <c r="BP57" s="134"/>
      <c r="BQ57" s="135"/>
      <c r="BR57" s="135"/>
      <c r="BS57" s="135"/>
      <c r="BT57" s="135"/>
      <c r="BU57" s="139"/>
      <c r="BV57" s="133" t="s">
        <v>126</v>
      </c>
      <c r="BW57" s="135"/>
      <c r="BX57" s="135"/>
      <c r="BY57" s="135"/>
      <c r="BZ57" s="135"/>
      <c r="CA57" s="135"/>
      <c r="CB57" s="135"/>
      <c r="CC57" s="137" t="s">
        <v>126</v>
      </c>
      <c r="CD57" s="135"/>
      <c r="CE57" s="135"/>
      <c r="CF57" s="135"/>
      <c r="CG57" s="135"/>
      <c r="CH57" s="135"/>
      <c r="CI57" s="139"/>
      <c r="CJ57" s="93"/>
      <c r="CK57" s="131"/>
      <c r="CL57" s="93"/>
      <c r="CM57" s="93"/>
      <c r="CN57" s="93"/>
      <c r="CO57" s="93"/>
      <c r="CP57" s="93"/>
      <c r="CQ57" s="93"/>
      <c r="CR57" s="93"/>
      <c r="CS57" s="93"/>
      <c r="CT57" s="93"/>
      <c r="CU57" s="93"/>
      <c r="CV57" s="93"/>
      <c r="CW57" s="93"/>
      <c r="CX57" s="93"/>
      <c r="CY57" s="93"/>
      <c r="CZ57" s="93"/>
      <c r="DA57" s="93"/>
      <c r="DB57" s="93"/>
      <c r="DC57" s="93"/>
      <c r="DD57" s="93"/>
      <c r="DE57" s="93"/>
      <c r="DF57" s="93"/>
      <c r="DG57" s="93"/>
      <c r="DH57" s="93"/>
      <c r="DI57" s="93"/>
      <c r="DJ57" s="93"/>
      <c r="DK57" s="93"/>
      <c r="DL57" s="93"/>
      <c r="DM57" s="93"/>
      <c r="DN57" s="93"/>
      <c r="DO57" s="93"/>
      <c r="DP57" s="93"/>
      <c r="DQ57" s="93"/>
      <c r="DR57" s="93"/>
      <c r="DS57" s="93"/>
      <c r="DT57" s="93"/>
      <c r="DU57" s="93"/>
      <c r="DV57" s="93"/>
      <c r="DW57" s="93"/>
      <c r="DX57" s="93"/>
      <c r="DY57" s="93"/>
      <c r="DZ57" s="93"/>
      <c r="EC57" s="2"/>
    </row>
    <row r="58" spans="1:170" ht="24.95" customHeight="1">
      <c r="A58" s="1">
        <f t="shared" si="13"/>
        <v>50</v>
      </c>
      <c r="B58" s="69"/>
      <c r="C58" s="65"/>
      <c r="D58" s="116"/>
      <c r="E58" s="65"/>
      <c r="F58" s="49"/>
      <c r="G58" s="93"/>
      <c r="H58" s="93"/>
      <c r="I58" s="93"/>
      <c r="J58" s="95"/>
      <c r="K58" s="95"/>
      <c r="L58" s="49"/>
      <c r="M58" s="93"/>
      <c r="N58" s="93"/>
      <c r="O58" s="93"/>
      <c r="P58" s="93"/>
      <c r="Q58" s="93"/>
      <c r="R58" s="93"/>
      <c r="S58" s="93"/>
      <c r="T58" s="93"/>
      <c r="U58" s="95"/>
      <c r="V58" s="49"/>
      <c r="W58" s="93"/>
      <c r="X58" s="93"/>
      <c r="Y58" s="132"/>
      <c r="Z58" s="111"/>
      <c r="AA58" s="93"/>
      <c r="AB58" s="93"/>
      <c r="AC58" s="109"/>
      <c r="AD58" s="93"/>
      <c r="AE58" s="95"/>
      <c r="AF58" s="49"/>
      <c r="AG58" s="93"/>
      <c r="AH58" s="131"/>
      <c r="AI58" s="49" t="s">
        <v>126</v>
      </c>
      <c r="AJ58" s="93"/>
      <c r="AK58" s="93"/>
      <c r="AL58" s="93"/>
      <c r="AM58" s="93"/>
      <c r="AN58" s="93"/>
      <c r="AO58" s="98"/>
      <c r="AP58" s="111"/>
      <c r="AQ58" s="93"/>
      <c r="AR58" s="95"/>
      <c r="AS58" s="95"/>
      <c r="AT58" s="95"/>
      <c r="AU58" s="95"/>
      <c r="AV58" s="95"/>
      <c r="AW58" s="95"/>
      <c r="AX58" s="113"/>
      <c r="AY58" s="49" t="s">
        <v>126</v>
      </c>
      <c r="AZ58" s="93"/>
      <c r="BA58" s="95"/>
      <c r="BB58" s="95"/>
      <c r="BC58" s="95"/>
      <c r="BD58" s="95"/>
      <c r="BE58" s="98"/>
      <c r="BF58" s="111"/>
      <c r="BG58" s="95"/>
      <c r="BH58" s="95"/>
      <c r="BI58" s="95"/>
      <c r="BJ58" s="95"/>
      <c r="BK58" s="95"/>
      <c r="BL58" s="95"/>
      <c r="BM58" s="95"/>
      <c r="BN58" s="113"/>
      <c r="BO58" s="49" t="s">
        <v>391</v>
      </c>
      <c r="BP58" s="93"/>
      <c r="BQ58" s="95"/>
      <c r="BR58" s="95"/>
      <c r="BS58" s="95"/>
      <c r="BT58" s="95"/>
      <c r="BU58" s="98"/>
      <c r="BV58" s="49" t="s">
        <v>126</v>
      </c>
      <c r="BW58" s="95"/>
      <c r="BX58" s="95"/>
      <c r="BY58" s="95"/>
      <c r="BZ58" s="95"/>
      <c r="CA58" s="95"/>
      <c r="CB58" s="95"/>
      <c r="CC58" s="111" t="s">
        <v>126</v>
      </c>
      <c r="CD58" s="95"/>
      <c r="CE58" s="95"/>
      <c r="CF58" s="95"/>
      <c r="CG58" s="95"/>
      <c r="CH58" s="95"/>
      <c r="CI58" s="98"/>
      <c r="CJ58" s="95"/>
      <c r="CK58" s="113"/>
      <c r="CL58" s="95"/>
      <c r="CM58" s="95"/>
      <c r="CN58" s="95"/>
      <c r="CO58" s="95"/>
      <c r="CP58" s="95"/>
      <c r="CQ58" s="95"/>
      <c r="CR58" s="95"/>
      <c r="CS58" s="95"/>
      <c r="CT58" s="95"/>
      <c r="CU58" s="95"/>
      <c r="CV58" s="95"/>
      <c r="CW58" s="95"/>
      <c r="CX58" s="95"/>
      <c r="CY58" s="95"/>
      <c r="CZ58" s="95"/>
      <c r="DA58" s="95"/>
      <c r="DB58" s="95"/>
      <c r="DC58" s="95"/>
      <c r="DD58" s="95"/>
      <c r="DE58" s="95"/>
      <c r="DF58" s="95"/>
      <c r="DG58" s="95"/>
      <c r="DH58" s="95"/>
      <c r="DI58" s="95"/>
      <c r="DJ58" s="95"/>
      <c r="DK58" s="95"/>
      <c r="DL58" s="95"/>
      <c r="DM58" s="95"/>
      <c r="DN58" s="95"/>
      <c r="DO58" s="95"/>
      <c r="DP58" s="95"/>
      <c r="DQ58" s="95"/>
      <c r="DR58" s="95"/>
      <c r="DS58" s="95"/>
      <c r="DT58" s="95"/>
      <c r="DU58" s="95"/>
      <c r="DV58" s="95"/>
      <c r="DW58" s="95"/>
      <c r="DX58" s="95"/>
      <c r="DY58" s="95"/>
      <c r="DZ58" s="93"/>
      <c r="EC58" s="2"/>
    </row>
    <row r="59" spans="1:170" ht="24.95" customHeight="1">
      <c r="A59" s="1">
        <f t="shared" si="13"/>
        <v>51</v>
      </c>
      <c r="B59" s="69"/>
      <c r="C59" s="65"/>
      <c r="D59" s="141"/>
      <c r="E59" s="142"/>
      <c r="F59" s="106"/>
      <c r="G59" s="129"/>
      <c r="H59" s="129"/>
      <c r="I59" s="129"/>
      <c r="J59" s="107"/>
      <c r="K59" s="107"/>
      <c r="L59" s="106"/>
      <c r="M59" s="129"/>
      <c r="N59" s="129"/>
      <c r="O59" s="129"/>
      <c r="P59" s="129"/>
      <c r="Q59" s="129"/>
      <c r="R59" s="129"/>
      <c r="S59" s="129"/>
      <c r="T59" s="129"/>
      <c r="U59" s="107"/>
      <c r="V59" s="106"/>
      <c r="W59" s="129"/>
      <c r="X59" s="129"/>
      <c r="Y59" s="130"/>
      <c r="Z59" s="122"/>
      <c r="AA59" s="129"/>
      <c r="AB59" s="129"/>
      <c r="AC59" s="129"/>
      <c r="AD59" s="129"/>
      <c r="AE59" s="107"/>
      <c r="AF59" s="106"/>
      <c r="AG59" s="129"/>
      <c r="AH59" s="128"/>
      <c r="AI59" s="106" t="s">
        <v>126</v>
      </c>
      <c r="AJ59" s="129"/>
      <c r="AK59" s="129"/>
      <c r="AL59" s="129"/>
      <c r="AM59" s="129"/>
      <c r="AN59" s="129"/>
      <c r="AO59" s="123"/>
      <c r="AP59" s="122"/>
      <c r="AQ59" s="129"/>
      <c r="AR59" s="107"/>
      <c r="AS59" s="107"/>
      <c r="AT59" s="107"/>
      <c r="AU59" s="107"/>
      <c r="AV59" s="107"/>
      <c r="AW59" s="107"/>
      <c r="AX59" s="124"/>
      <c r="AY59" s="106" t="s">
        <v>126</v>
      </c>
      <c r="AZ59" s="129"/>
      <c r="BA59" s="107"/>
      <c r="BB59" s="107"/>
      <c r="BC59" s="107"/>
      <c r="BD59" s="107"/>
      <c r="BE59" s="123"/>
      <c r="BF59" s="122"/>
      <c r="BG59" s="107"/>
      <c r="BH59" s="107"/>
      <c r="BI59" s="107"/>
      <c r="BJ59" s="107"/>
      <c r="BK59" s="107"/>
      <c r="BL59" s="107"/>
      <c r="BM59" s="107"/>
      <c r="BN59" s="124"/>
      <c r="BO59" s="106"/>
      <c r="BP59" s="129"/>
      <c r="BQ59" s="107"/>
      <c r="BR59" s="107"/>
      <c r="BS59" s="107"/>
      <c r="BT59" s="107"/>
      <c r="BU59" s="123"/>
      <c r="BV59" s="106" t="s">
        <v>126</v>
      </c>
      <c r="BW59" s="107"/>
      <c r="BX59" s="107"/>
      <c r="BY59" s="107"/>
      <c r="BZ59" s="107"/>
      <c r="CA59" s="107"/>
      <c r="CB59" s="107"/>
      <c r="CC59" s="122" t="s">
        <v>126</v>
      </c>
      <c r="CD59" s="107"/>
      <c r="CE59" s="107"/>
      <c r="CF59" s="107"/>
      <c r="CG59" s="107"/>
      <c r="CH59" s="107"/>
      <c r="CI59" s="123"/>
      <c r="CJ59" s="95"/>
      <c r="CK59" s="113"/>
      <c r="CL59" s="95"/>
      <c r="CM59" s="95"/>
      <c r="CN59" s="95"/>
      <c r="CO59" s="95"/>
      <c r="CP59" s="95"/>
      <c r="CQ59" s="95"/>
      <c r="CR59" s="95"/>
      <c r="CS59" s="95"/>
      <c r="CT59" s="95"/>
      <c r="CU59" s="95"/>
      <c r="CV59" s="95"/>
      <c r="CW59" s="95"/>
      <c r="CX59" s="95"/>
      <c r="CY59" s="95"/>
      <c r="CZ59" s="95"/>
      <c r="DA59" s="95"/>
      <c r="DB59" s="95"/>
      <c r="DC59" s="95"/>
      <c r="DD59" s="95"/>
      <c r="DE59" s="95"/>
      <c r="DF59" s="95"/>
      <c r="DG59" s="95"/>
      <c r="DH59" s="95"/>
      <c r="DI59" s="95"/>
      <c r="DJ59" s="95"/>
      <c r="DK59" s="95"/>
      <c r="DL59" s="95"/>
      <c r="DM59" s="95"/>
      <c r="DN59" s="95"/>
      <c r="DO59" s="95"/>
      <c r="DP59" s="95"/>
      <c r="DQ59" s="95"/>
      <c r="DR59" s="95"/>
      <c r="DS59" s="95"/>
      <c r="DT59" s="95"/>
      <c r="DU59" s="95"/>
      <c r="DV59" s="95"/>
      <c r="DW59" s="95"/>
      <c r="DX59" s="95"/>
      <c r="DY59" s="95"/>
      <c r="DZ59" s="93"/>
      <c r="EC59" s="2"/>
    </row>
    <row r="60" spans="1:170" ht="24.95" customHeight="1">
      <c r="A60" s="1">
        <f t="shared" si="13"/>
        <v>52</v>
      </c>
      <c r="B60" s="69"/>
      <c r="C60" s="65"/>
      <c r="D60" s="116"/>
      <c r="E60" s="65"/>
      <c r="F60" s="49"/>
      <c r="G60" s="93"/>
      <c r="H60" s="93"/>
      <c r="I60" s="93"/>
      <c r="J60" s="95"/>
      <c r="K60" s="95"/>
      <c r="L60" s="49"/>
      <c r="M60" s="93"/>
      <c r="N60" s="93"/>
      <c r="O60" s="93"/>
      <c r="P60" s="93"/>
      <c r="Q60" s="93"/>
      <c r="R60" s="93"/>
      <c r="S60" s="93"/>
      <c r="T60" s="93"/>
      <c r="U60" s="95"/>
      <c r="V60" s="49"/>
      <c r="W60" s="93"/>
      <c r="X60" s="93"/>
      <c r="Y60" s="132"/>
      <c r="Z60" s="111"/>
      <c r="AA60" s="93"/>
      <c r="AB60" s="93"/>
      <c r="AC60" s="93"/>
      <c r="AD60" s="93"/>
      <c r="AE60" s="95"/>
      <c r="AF60" s="49"/>
      <c r="AG60" s="93"/>
      <c r="AH60" s="131"/>
      <c r="AI60" s="49"/>
      <c r="AJ60" s="93"/>
      <c r="AK60" s="93"/>
      <c r="AL60" s="93"/>
      <c r="AM60" s="93"/>
      <c r="AN60" s="93"/>
      <c r="AO60" s="98"/>
      <c r="AP60" s="111"/>
      <c r="AQ60" s="93"/>
      <c r="AR60" s="95"/>
      <c r="AS60" s="95"/>
      <c r="AT60" s="95"/>
      <c r="AU60" s="95"/>
      <c r="AV60" s="95"/>
      <c r="AW60" s="95"/>
      <c r="AX60" s="113"/>
      <c r="AY60" s="49"/>
      <c r="AZ60" s="93"/>
      <c r="BA60" s="95"/>
      <c r="BB60" s="95"/>
      <c r="BC60" s="95"/>
      <c r="BD60" s="95"/>
      <c r="BE60" s="98"/>
      <c r="BF60" s="111"/>
      <c r="BG60" s="95"/>
      <c r="BH60" s="95"/>
      <c r="BI60" s="95"/>
      <c r="BJ60" s="95"/>
      <c r="BK60" s="95"/>
      <c r="BL60" s="95"/>
      <c r="BM60" s="95"/>
      <c r="BN60" s="113"/>
      <c r="BO60" s="49"/>
      <c r="BP60" s="93"/>
      <c r="BQ60" s="95"/>
      <c r="BR60" s="95"/>
      <c r="BS60" s="95"/>
      <c r="BT60" s="95"/>
      <c r="BU60" s="98"/>
      <c r="BV60" s="49"/>
      <c r="BW60" s="95"/>
      <c r="BX60" s="95"/>
      <c r="BY60" s="95"/>
      <c r="BZ60" s="95"/>
      <c r="CA60" s="95"/>
      <c r="CB60" s="95"/>
      <c r="CC60" s="111"/>
      <c r="CD60" s="95"/>
      <c r="CE60" s="95"/>
      <c r="CF60" s="95"/>
      <c r="CG60" s="95"/>
      <c r="CH60" s="95"/>
      <c r="CI60" s="98"/>
      <c r="CJ60" s="95"/>
      <c r="CK60" s="113"/>
      <c r="CL60" s="95"/>
      <c r="CM60" s="95"/>
      <c r="CN60" s="95"/>
      <c r="CO60" s="95"/>
      <c r="CP60" s="95"/>
      <c r="CQ60" s="95"/>
      <c r="CR60" s="95"/>
      <c r="CS60" s="95"/>
      <c r="CT60" s="95"/>
      <c r="CU60" s="95"/>
      <c r="CV60" s="95"/>
      <c r="CW60" s="95"/>
      <c r="CX60" s="95"/>
      <c r="CY60" s="95"/>
      <c r="CZ60" s="95"/>
      <c r="DA60" s="95"/>
      <c r="DB60" s="95"/>
      <c r="DC60" s="95"/>
      <c r="DD60" s="95"/>
      <c r="DE60" s="95"/>
      <c r="DF60" s="95"/>
      <c r="DG60" s="95"/>
      <c r="DH60" s="95"/>
      <c r="DI60" s="95"/>
      <c r="DJ60" s="95"/>
      <c r="DK60" s="95"/>
      <c r="DL60" s="95"/>
      <c r="DM60" s="95"/>
      <c r="DN60" s="95"/>
      <c r="DO60" s="95"/>
      <c r="DP60" s="95"/>
      <c r="DQ60" s="95"/>
      <c r="DR60" s="95"/>
      <c r="DS60" s="95"/>
      <c r="DT60" s="95"/>
      <c r="DU60" s="95"/>
      <c r="DV60" s="95"/>
      <c r="DW60" s="95"/>
      <c r="DX60" s="95"/>
      <c r="DY60" s="95"/>
      <c r="DZ60" s="93"/>
      <c r="EC60" s="2"/>
    </row>
    <row r="61" spans="1:170" ht="24.95" customHeight="1">
      <c r="A61" s="1">
        <f t="shared" si="13"/>
        <v>53</v>
      </c>
      <c r="B61" s="69"/>
      <c r="C61" s="65"/>
      <c r="D61" s="65"/>
      <c r="E61" s="65"/>
      <c r="F61" s="49"/>
      <c r="G61" s="93"/>
      <c r="H61" s="93"/>
      <c r="I61" s="93"/>
      <c r="J61" s="95"/>
      <c r="K61" s="95"/>
      <c r="L61" s="49"/>
      <c r="M61" s="93"/>
      <c r="N61" s="93"/>
      <c r="O61" s="93"/>
      <c r="P61" s="93"/>
      <c r="Q61" s="93"/>
      <c r="R61" s="93"/>
      <c r="S61" s="93"/>
      <c r="T61" s="93"/>
      <c r="U61" s="95"/>
      <c r="V61" s="49"/>
      <c r="W61" s="93"/>
      <c r="X61" s="93"/>
      <c r="Y61" s="93"/>
      <c r="Z61" s="49"/>
      <c r="AA61" s="93"/>
      <c r="AB61" s="93"/>
      <c r="AC61" s="93"/>
      <c r="AD61" s="93"/>
      <c r="AE61" s="95"/>
      <c r="AF61" s="49"/>
      <c r="AG61" s="93"/>
      <c r="AH61" s="93"/>
      <c r="AI61" s="49"/>
      <c r="AJ61" s="93"/>
      <c r="AK61" s="93"/>
      <c r="AL61" s="93"/>
      <c r="AM61" s="93"/>
      <c r="AN61" s="93"/>
      <c r="AO61" s="95"/>
      <c r="AP61" s="49"/>
      <c r="AQ61" s="93"/>
      <c r="AR61" s="95"/>
      <c r="AS61" s="95"/>
      <c r="AT61" s="95"/>
      <c r="AU61" s="95"/>
      <c r="AV61" s="95"/>
      <c r="AW61" s="95"/>
      <c r="AX61" s="95"/>
      <c r="AY61" s="49"/>
      <c r="AZ61" s="93"/>
      <c r="BA61" s="95"/>
      <c r="BB61" s="95"/>
      <c r="BC61" s="95"/>
      <c r="BD61" s="95"/>
      <c r="BE61" s="95"/>
      <c r="BF61" s="49"/>
      <c r="BG61" s="95"/>
      <c r="BH61" s="95"/>
      <c r="BI61" s="95"/>
      <c r="BJ61" s="95"/>
      <c r="BK61" s="95"/>
      <c r="BL61" s="95"/>
      <c r="BM61" s="95"/>
      <c r="BN61" s="95"/>
      <c r="BO61" s="49"/>
      <c r="BP61" s="93"/>
      <c r="BQ61" s="95"/>
      <c r="BR61" s="95"/>
      <c r="BS61" s="95"/>
      <c r="BT61" s="95"/>
      <c r="BU61" s="95"/>
      <c r="BV61" s="49"/>
      <c r="BW61" s="95"/>
      <c r="BX61" s="95"/>
      <c r="BY61" s="95"/>
      <c r="BZ61" s="95"/>
      <c r="CA61" s="95"/>
      <c r="CB61" s="95"/>
      <c r="CC61" s="49"/>
      <c r="CD61" s="95"/>
      <c r="CE61" s="95"/>
      <c r="CF61" s="95"/>
      <c r="CG61" s="95"/>
      <c r="CH61" s="95"/>
      <c r="CI61" s="95"/>
      <c r="CJ61" s="95"/>
      <c r="CK61" s="113"/>
      <c r="CL61" s="95"/>
      <c r="CM61" s="95"/>
      <c r="CN61" s="95"/>
      <c r="CO61" s="95"/>
      <c r="CP61" s="95"/>
      <c r="CQ61" s="95"/>
      <c r="CR61" s="95"/>
      <c r="CS61" s="95"/>
      <c r="CT61" s="95"/>
      <c r="CU61" s="95"/>
      <c r="CV61" s="95"/>
      <c r="CW61" s="95"/>
      <c r="CX61" s="95"/>
      <c r="CY61" s="95"/>
      <c r="CZ61" s="95"/>
      <c r="DA61" s="95"/>
      <c r="DB61" s="95"/>
      <c r="DC61" s="95"/>
      <c r="DD61" s="95"/>
      <c r="DE61" s="95"/>
      <c r="DF61" s="95"/>
      <c r="DG61" s="95"/>
      <c r="DH61" s="95"/>
      <c r="DI61" s="95"/>
      <c r="DJ61" s="95"/>
      <c r="DK61" s="95"/>
      <c r="DL61" s="95"/>
      <c r="DM61" s="95"/>
      <c r="DN61" s="95"/>
      <c r="DO61" s="95"/>
      <c r="DP61" s="95"/>
      <c r="DQ61" s="95"/>
      <c r="DR61" s="95"/>
      <c r="DS61" s="95"/>
      <c r="DT61" s="95"/>
      <c r="DU61" s="95"/>
      <c r="DV61" s="95"/>
      <c r="DW61" s="95"/>
      <c r="DX61" s="95"/>
      <c r="DY61" s="95"/>
      <c r="DZ61" s="93"/>
      <c r="EC61" s="2"/>
    </row>
    <row r="62" spans="1:170" ht="24.95" customHeight="1">
      <c r="A62" s="1">
        <f t="shared" si="13"/>
        <v>54</v>
      </c>
      <c r="B62" s="69"/>
      <c r="C62" s="65"/>
      <c r="D62" s="65"/>
      <c r="E62" s="65"/>
      <c r="F62" s="49"/>
      <c r="G62" s="93"/>
      <c r="H62" s="93"/>
      <c r="I62" s="93"/>
      <c r="J62" s="95"/>
      <c r="K62" s="95"/>
      <c r="L62" s="49"/>
      <c r="M62" s="93"/>
      <c r="N62" s="93"/>
      <c r="O62" s="93"/>
      <c r="P62" s="93"/>
      <c r="Q62" s="93"/>
      <c r="R62" s="93"/>
      <c r="S62" s="93"/>
      <c r="T62" s="93"/>
      <c r="U62" s="95"/>
      <c r="V62" s="49"/>
      <c r="W62" s="93"/>
      <c r="X62" s="93"/>
      <c r="Y62" s="93"/>
      <c r="Z62" s="49"/>
      <c r="AA62" s="93"/>
      <c r="AB62" s="93"/>
      <c r="AC62" s="93"/>
      <c r="AD62" s="93"/>
      <c r="AE62" s="95"/>
      <c r="AF62" s="49"/>
      <c r="AG62" s="93"/>
      <c r="AH62" s="93"/>
      <c r="AI62" s="49"/>
      <c r="AJ62" s="93"/>
      <c r="AK62" s="93"/>
      <c r="AL62" s="93"/>
      <c r="AM62" s="93"/>
      <c r="AN62" s="93"/>
      <c r="AO62" s="95"/>
      <c r="AP62" s="49"/>
      <c r="AQ62" s="93"/>
      <c r="AR62" s="95"/>
      <c r="AS62" s="95"/>
      <c r="AT62" s="95"/>
      <c r="AU62" s="95"/>
      <c r="AV62" s="95"/>
      <c r="AW62" s="95"/>
      <c r="AX62" s="95"/>
      <c r="AY62" s="49"/>
      <c r="AZ62" s="93"/>
      <c r="BA62" s="95"/>
      <c r="BB62" s="95"/>
      <c r="BC62" s="95"/>
      <c r="BD62" s="95"/>
      <c r="BE62" s="95"/>
      <c r="BF62" s="49"/>
      <c r="BG62" s="95"/>
      <c r="BH62" s="95"/>
      <c r="BI62" s="95"/>
      <c r="BJ62" s="95"/>
      <c r="BK62" s="95"/>
      <c r="BL62" s="95"/>
      <c r="BM62" s="95"/>
      <c r="BN62" s="95"/>
      <c r="BO62" s="49"/>
      <c r="BP62" s="93"/>
      <c r="BQ62" s="95"/>
      <c r="BR62" s="95"/>
      <c r="BS62" s="95"/>
      <c r="BT62" s="95"/>
      <c r="BU62" s="95"/>
      <c r="BV62" s="49"/>
      <c r="BW62" s="95"/>
      <c r="BX62" s="95"/>
      <c r="BY62" s="95"/>
      <c r="BZ62" s="95"/>
      <c r="CA62" s="95"/>
      <c r="CB62" s="95"/>
      <c r="CC62" s="49"/>
      <c r="CD62" s="95"/>
      <c r="CE62" s="95"/>
      <c r="CF62" s="95"/>
      <c r="CG62" s="95"/>
      <c r="CH62" s="95"/>
      <c r="CI62" s="95"/>
      <c r="CJ62" s="95"/>
      <c r="CK62" s="113"/>
      <c r="CL62" s="95"/>
      <c r="CM62" s="95"/>
      <c r="CN62" s="95"/>
      <c r="CO62" s="95"/>
      <c r="CP62" s="95"/>
      <c r="CQ62" s="95"/>
      <c r="CR62" s="95"/>
      <c r="CS62" s="95"/>
      <c r="CT62" s="95"/>
      <c r="CU62" s="95"/>
      <c r="CV62" s="95"/>
      <c r="CW62" s="95"/>
      <c r="CX62" s="95"/>
      <c r="CY62" s="95"/>
      <c r="CZ62" s="95"/>
      <c r="DA62" s="95"/>
      <c r="DB62" s="95"/>
      <c r="DC62" s="95"/>
      <c r="DD62" s="95"/>
      <c r="DE62" s="95"/>
      <c r="DF62" s="95"/>
      <c r="DG62" s="95"/>
      <c r="DH62" s="95"/>
      <c r="DI62" s="95"/>
      <c r="DJ62" s="95"/>
      <c r="DK62" s="95"/>
      <c r="DL62" s="95"/>
      <c r="DM62" s="95"/>
      <c r="DN62" s="95"/>
      <c r="DO62" s="95"/>
      <c r="DP62" s="95"/>
      <c r="DQ62" s="95"/>
      <c r="DR62" s="95"/>
      <c r="DS62" s="95"/>
      <c r="DT62" s="95"/>
      <c r="DU62" s="95"/>
      <c r="DV62" s="95"/>
      <c r="DW62" s="95"/>
      <c r="DX62" s="95"/>
      <c r="DY62" s="95"/>
      <c r="DZ62" s="93"/>
      <c r="EC62" s="2"/>
    </row>
    <row r="63" spans="1:170" ht="24.95" customHeight="1">
      <c r="A63" s="1">
        <f t="shared" si="13"/>
        <v>55</v>
      </c>
      <c r="B63" s="67"/>
      <c r="C63" s="89"/>
      <c r="D63" s="89"/>
      <c r="E63" s="89"/>
      <c r="F63" s="89"/>
      <c r="G63" s="88"/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  <c r="AP63" s="89"/>
      <c r="AQ63" s="89"/>
      <c r="AR63" s="91"/>
      <c r="AS63" s="91"/>
      <c r="AT63" s="88"/>
      <c r="AU63" s="91"/>
      <c r="AV63" s="91"/>
      <c r="AW63" s="91"/>
      <c r="AX63" s="91"/>
      <c r="AY63" s="91"/>
      <c r="AZ63" s="88"/>
      <c r="BA63" s="88"/>
      <c r="BB63" s="88"/>
      <c r="BC63" s="91"/>
      <c r="BD63" s="91"/>
      <c r="BE63" s="91"/>
      <c r="BF63" s="91"/>
      <c r="BG63" s="91"/>
      <c r="BH63" s="91"/>
      <c r="BI63" s="91"/>
      <c r="BJ63" s="91"/>
      <c r="BK63" s="91"/>
      <c r="BL63" s="91"/>
      <c r="BM63" s="91"/>
      <c r="BN63" s="91"/>
      <c r="BO63" s="91"/>
      <c r="BP63" s="91"/>
      <c r="BQ63" s="91"/>
      <c r="BR63" s="88"/>
      <c r="BS63" s="88" t="s">
        <v>108</v>
      </c>
      <c r="BT63" s="88"/>
      <c r="BU63" s="91"/>
      <c r="BV63" s="88"/>
      <c r="BW63" s="91"/>
      <c r="BX63" s="91"/>
      <c r="BY63" s="91"/>
      <c r="BZ63" s="91"/>
      <c r="CA63" s="91"/>
      <c r="CB63" s="91" t="s">
        <v>98</v>
      </c>
      <c r="CC63" s="91" t="s">
        <v>99</v>
      </c>
      <c r="CD63" s="91" t="s">
        <v>100</v>
      </c>
      <c r="CE63" s="91" t="s">
        <v>101</v>
      </c>
      <c r="CF63" s="91" t="s">
        <v>97</v>
      </c>
      <c r="CG63" s="91"/>
      <c r="CH63" s="88" t="s">
        <v>109</v>
      </c>
      <c r="CI63" s="91"/>
      <c r="CJ63" s="88"/>
      <c r="CK63" s="113"/>
      <c r="CL63" s="95"/>
      <c r="CM63" s="95"/>
      <c r="CN63" s="95"/>
      <c r="CO63" s="95"/>
      <c r="CP63" s="95"/>
      <c r="CQ63" s="95"/>
      <c r="CR63" s="95"/>
      <c r="CS63" s="95"/>
      <c r="CT63" s="95"/>
      <c r="CU63" s="95"/>
      <c r="CV63" s="95"/>
      <c r="CW63" s="95"/>
      <c r="CX63" s="95"/>
      <c r="CY63" s="95"/>
      <c r="CZ63" s="95"/>
      <c r="DA63" s="95"/>
      <c r="DB63" s="95"/>
      <c r="DC63" s="95"/>
      <c r="DD63" s="95"/>
      <c r="DE63" s="95"/>
      <c r="DF63" s="95"/>
      <c r="DG63" s="95"/>
      <c r="DH63" s="95"/>
      <c r="DI63" s="95"/>
      <c r="DJ63" s="95"/>
      <c r="DK63" s="95"/>
      <c r="DL63" s="95"/>
      <c r="DM63" s="95"/>
      <c r="DN63" s="95"/>
      <c r="DO63" s="95"/>
      <c r="DP63" s="95"/>
      <c r="DQ63" s="95"/>
      <c r="DR63" s="95"/>
      <c r="DS63" s="95"/>
      <c r="DT63" s="95"/>
      <c r="DU63" s="95"/>
      <c r="DV63" s="95"/>
      <c r="DW63" s="95"/>
      <c r="DX63" s="95"/>
      <c r="DY63" s="95"/>
      <c r="DZ63" s="93"/>
      <c r="EC63" s="2"/>
    </row>
    <row r="64" spans="1:170" ht="24.95" customHeight="1">
      <c r="A64" s="1">
        <f t="shared" si="13"/>
        <v>56</v>
      </c>
      <c r="B64" s="69"/>
      <c r="C64" s="101"/>
      <c r="D64" s="101" t="s">
        <v>130</v>
      </c>
      <c r="E64" s="101"/>
      <c r="F64" s="101"/>
      <c r="G64" s="101"/>
      <c r="H64" s="101"/>
      <c r="I64" s="101"/>
      <c r="J64" s="101"/>
      <c r="K64" s="101"/>
      <c r="L64" s="100"/>
      <c r="M64" s="101"/>
      <c r="N64" s="101"/>
      <c r="O64" s="101"/>
      <c r="P64" s="101"/>
      <c r="Q64" s="101"/>
      <c r="R64" s="101"/>
      <c r="S64" s="101"/>
      <c r="T64" s="101"/>
      <c r="U64" s="101"/>
      <c r="V64" s="101"/>
      <c r="W64" s="101"/>
      <c r="X64" s="101"/>
      <c r="Y64" s="101"/>
      <c r="Z64" s="101"/>
      <c r="AA64" s="101"/>
      <c r="AB64" s="101"/>
      <c r="AC64" s="101"/>
      <c r="AD64" s="101"/>
      <c r="AE64" s="101"/>
      <c r="AF64" s="101"/>
      <c r="AG64" s="101"/>
      <c r="AH64" s="101"/>
      <c r="AI64" s="101"/>
      <c r="AJ64" s="101"/>
      <c r="AK64" s="101"/>
      <c r="AL64" s="103"/>
      <c r="AM64" s="103"/>
      <c r="AN64" s="103"/>
      <c r="AO64" s="103"/>
      <c r="AP64" s="100"/>
      <c r="AQ64" s="100"/>
      <c r="AR64" s="100"/>
      <c r="AS64" s="100"/>
      <c r="AT64" s="100"/>
      <c r="AU64" s="100"/>
      <c r="AV64" s="100"/>
      <c r="AW64" s="100"/>
      <c r="AX64" s="100"/>
      <c r="AY64" s="100"/>
      <c r="AZ64" s="100"/>
      <c r="BA64" s="100"/>
      <c r="BB64" s="100"/>
      <c r="BC64" s="100"/>
      <c r="BD64" s="100"/>
      <c r="BE64" s="100"/>
      <c r="BF64" s="100"/>
      <c r="BG64" s="100"/>
      <c r="BH64" s="100"/>
      <c r="BI64" s="100"/>
      <c r="BJ64" s="100"/>
      <c r="BK64" s="100"/>
      <c r="BL64" s="100"/>
      <c r="BM64" s="100"/>
      <c r="BN64" s="100"/>
      <c r="BO64" s="100"/>
      <c r="BP64" s="100"/>
      <c r="BQ64" s="100"/>
      <c r="BR64" s="100"/>
      <c r="BS64" s="100"/>
      <c r="BT64" s="100"/>
      <c r="BU64" s="100"/>
      <c r="BV64" s="100"/>
      <c r="BW64" s="100"/>
      <c r="BX64" s="100"/>
      <c r="BY64" s="100"/>
      <c r="BZ64" s="100"/>
      <c r="CA64" s="100"/>
      <c r="CB64" s="100"/>
      <c r="CC64" s="100"/>
      <c r="CD64" s="100"/>
      <c r="CE64" s="101"/>
      <c r="CF64" s="101"/>
      <c r="CG64" s="101"/>
      <c r="CH64" s="101"/>
      <c r="CI64" s="101"/>
      <c r="CK64" s="113"/>
      <c r="CL64" s="95"/>
      <c r="CM64" s="95"/>
      <c r="CN64" s="95"/>
      <c r="CO64" s="95"/>
      <c r="CP64" s="95"/>
      <c r="CQ64" s="95"/>
      <c r="CR64" s="95"/>
      <c r="CS64" s="95"/>
      <c r="CT64" s="95"/>
      <c r="CU64" s="95"/>
      <c r="CV64" s="95"/>
      <c r="CW64" s="95"/>
      <c r="CX64" s="95"/>
      <c r="CY64" s="95"/>
      <c r="CZ64" s="95"/>
      <c r="DA64" s="95"/>
      <c r="DB64" s="95"/>
      <c r="DC64" s="95"/>
      <c r="DD64" s="95"/>
      <c r="DE64" s="95"/>
      <c r="DF64" s="95"/>
      <c r="DG64" s="95"/>
      <c r="DH64" s="95"/>
      <c r="DI64" s="95"/>
      <c r="DJ64" s="95"/>
      <c r="DK64" s="95"/>
      <c r="DL64" s="95"/>
      <c r="DM64" s="95"/>
      <c r="DN64" s="95"/>
      <c r="DO64" s="95"/>
      <c r="DP64" s="95"/>
      <c r="DQ64" s="95"/>
      <c r="DR64" s="95"/>
      <c r="DS64" s="95"/>
      <c r="DT64" s="95"/>
      <c r="DU64" s="95"/>
      <c r="DV64" s="95"/>
      <c r="DW64" s="95"/>
      <c r="DX64" s="95"/>
      <c r="DY64" s="95"/>
      <c r="DZ64" s="93"/>
      <c r="EC64" s="2"/>
    </row>
    <row r="65" spans="1:170" ht="24.95" customHeight="1">
      <c r="A65" s="1">
        <f t="shared" si="13"/>
        <v>57</v>
      </c>
      <c r="B65" s="69"/>
      <c r="C65" s="49"/>
      <c r="D65" s="49" t="s">
        <v>116</v>
      </c>
      <c r="E65" s="101"/>
      <c r="F65" s="101"/>
      <c r="G65" s="101"/>
      <c r="H65" s="101"/>
      <c r="I65" s="101"/>
      <c r="J65" s="49" t="s">
        <v>117</v>
      </c>
      <c r="K65" s="49"/>
      <c r="L65" s="49" t="s">
        <v>118</v>
      </c>
      <c r="M65" s="49" t="s">
        <v>110</v>
      </c>
      <c r="N65" s="49"/>
      <c r="O65" s="101"/>
      <c r="P65" s="101"/>
      <c r="Q65" s="101"/>
      <c r="R65" s="101"/>
      <c r="S65" s="101"/>
      <c r="T65" s="101"/>
      <c r="U65" s="101"/>
      <c r="V65" s="101"/>
      <c r="W65" s="101"/>
      <c r="X65" s="49" t="s">
        <v>122</v>
      </c>
      <c r="Y65" s="93"/>
      <c r="Z65" s="94"/>
      <c r="AA65" s="49"/>
      <c r="AB65" s="94"/>
      <c r="AC65" s="93"/>
      <c r="AD65" s="104" t="s">
        <v>113</v>
      </c>
      <c r="AE65" s="93"/>
      <c r="AF65" s="93"/>
      <c r="AG65" s="93"/>
      <c r="AH65" s="101"/>
      <c r="AI65" s="101"/>
      <c r="AJ65" s="101"/>
      <c r="AK65" s="101"/>
      <c r="AL65" s="103"/>
      <c r="AM65" s="103"/>
      <c r="AN65" s="103"/>
      <c r="AO65" s="103"/>
      <c r="AP65" s="100"/>
      <c r="AQ65" s="100"/>
      <c r="AR65" s="100"/>
      <c r="AS65" s="100"/>
      <c r="AT65" s="100"/>
      <c r="AU65" s="100"/>
      <c r="AV65" s="100"/>
      <c r="AW65" s="100"/>
      <c r="AX65" s="100"/>
      <c r="AY65" s="100"/>
      <c r="AZ65" s="100"/>
      <c r="BA65" s="100"/>
      <c r="BB65" s="100"/>
      <c r="BC65" s="100"/>
      <c r="BD65" s="100"/>
      <c r="BE65" s="100"/>
      <c r="BF65" s="100"/>
      <c r="BG65" s="100"/>
      <c r="BH65" s="100"/>
      <c r="BI65" s="100"/>
      <c r="BJ65" s="100"/>
      <c r="BK65" s="100"/>
      <c r="BL65" s="100"/>
      <c r="BM65" s="100"/>
      <c r="BN65" s="100"/>
      <c r="BO65" s="100"/>
      <c r="BP65" s="100"/>
      <c r="BQ65" s="100"/>
      <c r="BR65" s="100"/>
      <c r="BS65" s="100"/>
      <c r="BT65" s="100"/>
      <c r="BU65" s="100"/>
      <c r="BV65" s="100"/>
      <c r="BW65" s="100"/>
      <c r="BX65" s="100"/>
      <c r="BY65" s="100"/>
      <c r="BZ65" s="99"/>
      <c r="CA65" s="99"/>
      <c r="CB65" s="99"/>
      <c r="CC65" s="99"/>
      <c r="CD65" s="99"/>
      <c r="CE65" s="94"/>
      <c r="CF65" s="94"/>
      <c r="CG65" s="94"/>
      <c r="CH65" s="94"/>
      <c r="CI65" s="49"/>
      <c r="CK65" s="113"/>
      <c r="CL65" s="95"/>
      <c r="CM65" s="95"/>
      <c r="CN65" s="95"/>
      <c r="CO65" s="95"/>
      <c r="CP65" s="95"/>
      <c r="CQ65" s="95"/>
      <c r="CR65" s="95"/>
      <c r="CS65" s="95"/>
      <c r="CT65" s="95"/>
      <c r="CU65" s="95"/>
      <c r="CV65" s="95"/>
      <c r="CW65" s="95"/>
      <c r="CX65" s="95"/>
      <c r="CY65" s="95"/>
      <c r="CZ65" s="95"/>
      <c r="DA65" s="95"/>
      <c r="DB65" s="95"/>
      <c r="DC65" s="95"/>
      <c r="DD65" s="95"/>
      <c r="DE65" s="95"/>
      <c r="DF65" s="95"/>
      <c r="DG65" s="95"/>
      <c r="DH65" s="95"/>
      <c r="DI65" s="95"/>
      <c r="DJ65" s="95"/>
      <c r="DK65" s="95"/>
      <c r="DL65" s="95"/>
      <c r="DM65" s="95"/>
      <c r="DN65" s="95"/>
      <c r="DO65" s="95"/>
      <c r="DP65" s="95"/>
      <c r="DQ65" s="95"/>
      <c r="DR65" s="95"/>
      <c r="DS65" s="95"/>
      <c r="DT65" s="95"/>
      <c r="DU65" s="95"/>
      <c r="DV65" s="95"/>
      <c r="DW65" s="95"/>
      <c r="DX65" s="95"/>
      <c r="DY65" s="95"/>
      <c r="DZ65" s="93"/>
      <c r="EC65" s="2"/>
    </row>
    <row r="66" spans="1:170" ht="24.95" customHeight="1">
      <c r="A66" s="1">
        <f t="shared" si="13"/>
        <v>58</v>
      </c>
      <c r="B66" s="69"/>
      <c r="C66" s="49"/>
      <c r="D66" s="49" t="s">
        <v>119</v>
      </c>
      <c r="E66" s="49"/>
      <c r="F66" s="49"/>
      <c r="G66" s="49"/>
      <c r="H66" s="49"/>
      <c r="I66" s="49"/>
      <c r="J66" s="49" t="s">
        <v>105</v>
      </c>
      <c r="K66" s="49"/>
      <c r="L66" s="49" t="s">
        <v>106</v>
      </c>
      <c r="M66" s="49" t="s">
        <v>110</v>
      </c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49"/>
      <c r="AH66" s="49"/>
      <c r="AI66" s="49"/>
      <c r="AJ66" s="49"/>
      <c r="AK66" s="49"/>
      <c r="AL66" s="49"/>
      <c r="AM66" s="49"/>
      <c r="AN66" s="49"/>
      <c r="AO66" s="49"/>
      <c r="AT66" s="99"/>
      <c r="AU66" s="99"/>
      <c r="AV66" s="99"/>
      <c r="AW66" s="100"/>
      <c r="AX66" s="100"/>
      <c r="AY66" s="100"/>
      <c r="AZ66" s="100"/>
      <c r="BA66" s="100"/>
      <c r="BB66" s="100"/>
      <c r="BC66" s="100"/>
      <c r="BD66" s="100"/>
      <c r="BE66" s="100"/>
      <c r="BH66" s="49" t="s">
        <v>131</v>
      </c>
      <c r="CK66" s="113"/>
      <c r="CL66" s="95"/>
      <c r="CM66" s="95"/>
      <c r="CN66" s="95"/>
      <c r="CO66" s="95"/>
      <c r="CP66" s="95"/>
      <c r="CQ66" s="95"/>
      <c r="CR66" s="95"/>
      <c r="CS66" s="95"/>
      <c r="CT66" s="95"/>
      <c r="CU66" s="95"/>
      <c r="CV66" s="95"/>
      <c r="CW66" s="95"/>
      <c r="CX66" s="95"/>
      <c r="CY66" s="95"/>
      <c r="CZ66" s="95"/>
      <c r="DA66" s="95"/>
      <c r="DB66" s="95"/>
      <c r="DC66" s="95"/>
      <c r="DD66" s="95"/>
      <c r="DE66" s="95"/>
      <c r="DF66" s="95"/>
      <c r="DG66" s="95"/>
      <c r="DH66" s="95"/>
      <c r="DI66" s="95"/>
      <c r="DJ66" s="95"/>
      <c r="DK66" s="95"/>
      <c r="DL66" s="95"/>
      <c r="DM66" s="95"/>
      <c r="DN66" s="95"/>
      <c r="DO66" s="95"/>
      <c r="DP66" s="95"/>
      <c r="DQ66" s="95"/>
      <c r="DR66" s="95"/>
      <c r="DS66" s="95"/>
      <c r="DT66" s="95"/>
      <c r="DU66" s="95"/>
      <c r="DV66" s="95"/>
      <c r="DW66" s="95"/>
      <c r="DX66" s="95"/>
      <c r="DY66" s="95"/>
      <c r="DZ66" s="93"/>
      <c r="EC66" s="2"/>
    </row>
    <row r="67" spans="1:170" ht="24.95" customHeight="1">
      <c r="A67" s="1">
        <f t="shared" si="13"/>
        <v>59</v>
      </c>
      <c r="B67" s="69"/>
      <c r="C67" s="93"/>
      <c r="D67" s="49"/>
      <c r="E67" s="93"/>
      <c r="F67" s="94"/>
      <c r="G67" s="49"/>
      <c r="H67" s="94"/>
      <c r="I67" s="93"/>
      <c r="J67" s="104"/>
      <c r="K67" s="93"/>
      <c r="L67" s="93"/>
      <c r="M67" s="93"/>
      <c r="N67" s="93"/>
      <c r="O67" s="93"/>
      <c r="P67" s="93"/>
      <c r="Q67" s="49"/>
      <c r="R67" s="49"/>
      <c r="S67" s="49"/>
      <c r="T67" s="49"/>
      <c r="U67" s="49"/>
      <c r="V67" s="95"/>
      <c r="W67" s="95"/>
      <c r="X67" s="95"/>
      <c r="Y67" s="95"/>
      <c r="Z67" s="95"/>
      <c r="AA67" s="95"/>
      <c r="AB67" s="95"/>
      <c r="AC67" s="95"/>
      <c r="AD67" s="95"/>
      <c r="AE67" s="95"/>
      <c r="AF67" s="95"/>
      <c r="AG67" s="95"/>
      <c r="AH67" s="95"/>
      <c r="AI67" s="95"/>
      <c r="AJ67" s="49"/>
      <c r="AK67" s="49"/>
      <c r="AL67" s="49"/>
      <c r="AM67" s="49"/>
      <c r="AN67" s="49"/>
      <c r="AO67" s="49"/>
      <c r="AP67" s="49"/>
      <c r="AQ67" s="49"/>
      <c r="AR67" s="49"/>
      <c r="AS67" s="49"/>
      <c r="AT67" s="49"/>
      <c r="AU67" s="95"/>
      <c r="AV67" s="95"/>
      <c r="AW67" s="95"/>
      <c r="AX67" s="95"/>
      <c r="AY67" s="95"/>
      <c r="AZ67" s="95"/>
      <c r="BA67" s="95"/>
      <c r="BB67" s="95"/>
      <c r="BC67" s="95"/>
      <c r="BD67" s="95"/>
      <c r="BE67" s="95"/>
      <c r="BF67" s="95"/>
      <c r="BG67" s="95"/>
      <c r="BH67" s="95"/>
      <c r="BI67" s="95"/>
      <c r="BJ67" s="95"/>
      <c r="BK67" s="95"/>
      <c r="BL67" s="107"/>
      <c r="BM67" s="95"/>
      <c r="BN67" s="95"/>
      <c r="BO67" s="95"/>
      <c r="BP67" s="95"/>
      <c r="BQ67" s="95"/>
      <c r="BR67" s="95"/>
      <c r="BS67" s="95"/>
      <c r="BT67" s="95"/>
      <c r="BU67" s="95"/>
      <c r="BV67" s="95"/>
      <c r="BW67" s="95"/>
      <c r="BX67" s="95"/>
      <c r="BY67" s="95"/>
      <c r="BZ67" s="95"/>
      <c r="CA67" s="95"/>
      <c r="CB67" s="95"/>
      <c r="CC67" s="95"/>
      <c r="CD67" s="95"/>
      <c r="CE67" s="95"/>
      <c r="CF67" s="95"/>
      <c r="CG67" s="95"/>
      <c r="CH67" s="95"/>
      <c r="CI67" s="95"/>
      <c r="CK67" s="113"/>
      <c r="CL67" s="95"/>
      <c r="CM67" s="95"/>
      <c r="CN67" s="95"/>
      <c r="CO67" s="95"/>
      <c r="CP67" s="95"/>
      <c r="CQ67" s="95"/>
      <c r="CR67" s="95"/>
      <c r="CS67" s="95"/>
      <c r="CT67" s="95"/>
      <c r="CU67" s="95"/>
      <c r="CV67" s="95"/>
      <c r="CW67" s="95"/>
      <c r="CX67" s="95"/>
      <c r="CY67" s="95"/>
      <c r="CZ67" s="95"/>
      <c r="DA67" s="95"/>
      <c r="DB67" s="95"/>
      <c r="DC67" s="95"/>
      <c r="DD67" s="95"/>
      <c r="DE67" s="95"/>
      <c r="DF67" s="95"/>
      <c r="DG67" s="95"/>
      <c r="DH67" s="95"/>
      <c r="DI67" s="95"/>
      <c r="DJ67" s="95"/>
      <c r="DK67" s="95"/>
      <c r="DL67" s="95"/>
      <c r="DM67" s="95"/>
      <c r="DN67" s="95"/>
      <c r="DO67" s="95"/>
      <c r="DP67" s="95"/>
      <c r="DQ67" s="95"/>
      <c r="DR67" s="95"/>
      <c r="DS67" s="95"/>
      <c r="DT67" s="95"/>
      <c r="DU67" s="95"/>
      <c r="DV67" s="95"/>
      <c r="DW67" s="95"/>
      <c r="DX67" s="95"/>
      <c r="DY67" s="95"/>
      <c r="DZ67" s="93"/>
      <c r="EC67" s="2"/>
    </row>
    <row r="68" spans="1:170" ht="24.95" customHeight="1">
      <c r="A68" s="1">
        <f t="shared" si="13"/>
        <v>60</v>
      </c>
      <c r="B68" s="69"/>
      <c r="C68" s="93"/>
      <c r="D68" s="125" t="s">
        <v>408</v>
      </c>
      <c r="E68" s="127"/>
      <c r="F68" s="119"/>
      <c r="G68" s="118"/>
      <c r="H68" s="119"/>
      <c r="I68" s="127"/>
      <c r="J68" s="127"/>
      <c r="K68" s="127"/>
      <c r="L68" s="127"/>
      <c r="M68" s="127"/>
      <c r="N68" s="127"/>
      <c r="O68" s="127"/>
      <c r="P68" s="127"/>
      <c r="Q68" s="118"/>
      <c r="R68" s="118"/>
      <c r="S68" s="118"/>
      <c r="T68" s="118"/>
      <c r="U68" s="118"/>
      <c r="V68" s="120"/>
      <c r="W68" s="120"/>
      <c r="X68" s="120"/>
      <c r="Y68" s="121"/>
      <c r="Z68" s="207" t="s">
        <v>127</v>
      </c>
      <c r="AA68" s="208"/>
      <c r="AB68" s="208"/>
      <c r="AC68" s="208"/>
      <c r="AD68" s="208"/>
      <c r="AE68" s="208"/>
      <c r="AF68" s="208"/>
      <c r="AG68" s="208"/>
      <c r="AH68" s="208"/>
      <c r="AI68" s="208"/>
      <c r="AJ68" s="208"/>
      <c r="AK68" s="208"/>
      <c r="AL68" s="208"/>
      <c r="AM68" s="208"/>
      <c r="AN68" s="208"/>
      <c r="AO68" s="209"/>
      <c r="AP68" s="207" t="s">
        <v>128</v>
      </c>
      <c r="AQ68" s="208"/>
      <c r="AR68" s="208"/>
      <c r="AS68" s="208"/>
      <c r="AT68" s="208"/>
      <c r="AU68" s="208"/>
      <c r="AV68" s="208"/>
      <c r="AW68" s="208"/>
      <c r="AX68" s="208"/>
      <c r="AY68" s="208"/>
      <c r="AZ68" s="208"/>
      <c r="BA68" s="208"/>
      <c r="BB68" s="208"/>
      <c r="BC68" s="208"/>
      <c r="BD68" s="208"/>
      <c r="BE68" s="209"/>
      <c r="BF68" s="207" t="s">
        <v>129</v>
      </c>
      <c r="BG68" s="208"/>
      <c r="BH68" s="208"/>
      <c r="BI68" s="208"/>
      <c r="BJ68" s="208"/>
      <c r="BK68" s="208"/>
      <c r="BL68" s="208"/>
      <c r="BM68" s="208"/>
      <c r="BN68" s="208"/>
      <c r="BO68" s="208"/>
      <c r="BP68" s="208"/>
      <c r="BQ68" s="208"/>
      <c r="BR68" s="208"/>
      <c r="BS68" s="208"/>
      <c r="BT68" s="208"/>
      <c r="BU68" s="209"/>
      <c r="BV68" s="216" t="s">
        <v>218</v>
      </c>
      <c r="BW68" s="208"/>
      <c r="BX68" s="208"/>
      <c r="BY68" s="208"/>
      <c r="BZ68" s="208"/>
      <c r="CA68" s="208"/>
      <c r="CB68" s="209"/>
      <c r="CC68" s="207" t="s">
        <v>196</v>
      </c>
      <c r="CD68" s="208"/>
      <c r="CE68" s="208"/>
      <c r="CF68" s="208"/>
      <c r="CG68" s="208"/>
      <c r="CH68" s="208"/>
      <c r="CI68" s="209"/>
      <c r="CK68" s="113"/>
      <c r="CL68" s="95"/>
      <c r="CM68" s="95"/>
      <c r="CN68" s="95"/>
      <c r="CO68" s="95"/>
      <c r="CP68" s="95"/>
      <c r="CQ68" s="95"/>
      <c r="CR68" s="95"/>
      <c r="CS68" s="95"/>
      <c r="CT68" s="95"/>
      <c r="CU68" s="95"/>
      <c r="CV68" s="95"/>
      <c r="CW68" s="95"/>
      <c r="CX68" s="95"/>
      <c r="CY68" s="95"/>
      <c r="CZ68" s="95"/>
      <c r="DA68" s="95"/>
      <c r="DB68" s="95"/>
      <c r="DC68" s="95"/>
      <c r="DD68" s="95"/>
      <c r="DE68" s="95"/>
      <c r="DF68" s="95"/>
      <c r="DG68" s="95"/>
      <c r="DH68" s="95"/>
      <c r="DI68" s="95"/>
      <c r="DJ68" s="95"/>
      <c r="DK68" s="95"/>
      <c r="DL68" s="95"/>
      <c r="DM68" s="95"/>
      <c r="DN68" s="95"/>
      <c r="DO68" s="95"/>
      <c r="DP68" s="95"/>
      <c r="DQ68" s="95"/>
      <c r="DR68" s="95"/>
      <c r="DS68" s="95"/>
      <c r="DT68" s="95"/>
      <c r="DU68" s="95"/>
      <c r="DV68" s="95"/>
      <c r="DW68" s="95"/>
      <c r="DX68" s="95"/>
      <c r="DY68" s="95"/>
      <c r="DZ68" s="93"/>
      <c r="EC68" s="2"/>
    </row>
    <row r="69" spans="1:170" ht="24.95" customHeight="1">
      <c r="A69" s="1">
        <f t="shared" si="13"/>
        <v>61</v>
      </c>
      <c r="B69" s="69"/>
      <c r="C69" s="49"/>
      <c r="D69" s="111"/>
      <c r="E69" s="49"/>
      <c r="F69" s="49"/>
      <c r="G69" s="49"/>
      <c r="H69" s="49"/>
      <c r="I69" s="49"/>
      <c r="J69" s="49"/>
      <c r="K69" s="93"/>
      <c r="L69" s="49"/>
      <c r="M69" s="49"/>
      <c r="N69" s="93"/>
      <c r="O69" s="93"/>
      <c r="P69" s="109"/>
      <c r="Q69" s="49"/>
      <c r="R69" s="49"/>
      <c r="S69" s="49"/>
      <c r="T69" s="49"/>
      <c r="U69" s="49"/>
      <c r="V69" s="49"/>
      <c r="W69" s="49"/>
      <c r="X69" s="109" t="s">
        <v>144</v>
      </c>
      <c r="Y69" s="92"/>
      <c r="Z69" s="216" t="s">
        <v>410</v>
      </c>
      <c r="AA69" s="208"/>
      <c r="AB69" s="208"/>
      <c r="AC69" s="208"/>
      <c r="AD69" s="208"/>
      <c r="AE69" s="208"/>
      <c r="AF69" s="208"/>
      <c r="AG69" s="209"/>
      <c r="AH69" s="216" t="s">
        <v>142</v>
      </c>
      <c r="AI69" s="208"/>
      <c r="AJ69" s="208"/>
      <c r="AK69" s="208"/>
      <c r="AL69" s="208"/>
      <c r="AM69" s="208"/>
      <c r="AN69" s="208"/>
      <c r="AO69" s="209"/>
      <c r="AP69" s="216" t="s">
        <v>410</v>
      </c>
      <c r="AQ69" s="208"/>
      <c r="AR69" s="208"/>
      <c r="AS69" s="208"/>
      <c r="AT69" s="208"/>
      <c r="AU69" s="208"/>
      <c r="AV69" s="208"/>
      <c r="AW69" s="209"/>
      <c r="AX69" s="216" t="s">
        <v>142</v>
      </c>
      <c r="AY69" s="208"/>
      <c r="AZ69" s="208"/>
      <c r="BA69" s="208"/>
      <c r="BB69" s="208"/>
      <c r="BC69" s="208"/>
      <c r="BD69" s="208"/>
      <c r="BE69" s="209"/>
      <c r="BF69" s="216" t="s">
        <v>410</v>
      </c>
      <c r="BG69" s="208"/>
      <c r="BH69" s="208"/>
      <c r="BI69" s="208"/>
      <c r="BJ69" s="208"/>
      <c r="BK69" s="208"/>
      <c r="BL69" s="208"/>
      <c r="BM69" s="209"/>
      <c r="BN69" s="216" t="s">
        <v>143</v>
      </c>
      <c r="BO69" s="208"/>
      <c r="BP69" s="208"/>
      <c r="BQ69" s="208"/>
      <c r="BR69" s="208"/>
      <c r="BS69" s="208"/>
      <c r="BT69" s="208"/>
      <c r="BU69" s="209"/>
      <c r="BV69" s="210"/>
      <c r="BW69" s="211"/>
      <c r="BX69" s="211"/>
      <c r="BY69" s="211"/>
      <c r="BZ69" s="211"/>
      <c r="CA69" s="211"/>
      <c r="CB69" s="212"/>
      <c r="CC69" s="210"/>
      <c r="CD69" s="211"/>
      <c r="CE69" s="211"/>
      <c r="CF69" s="211"/>
      <c r="CG69" s="211"/>
      <c r="CH69" s="211"/>
      <c r="CI69" s="212"/>
      <c r="CK69" s="113"/>
      <c r="CL69" s="95"/>
      <c r="CM69" s="95"/>
      <c r="CN69" s="95"/>
      <c r="CO69" s="95"/>
      <c r="CP69" s="95"/>
      <c r="CQ69" s="95"/>
      <c r="CR69" s="95"/>
      <c r="CS69" s="95"/>
      <c r="CT69" s="95"/>
      <c r="CU69" s="95"/>
      <c r="CV69" s="95"/>
      <c r="CW69" s="95"/>
      <c r="CX69" s="95"/>
      <c r="CY69" s="95"/>
      <c r="CZ69" s="95"/>
      <c r="DA69" s="95"/>
      <c r="DB69" s="95"/>
      <c r="DC69" s="95"/>
      <c r="DD69" s="95"/>
      <c r="DE69" s="95"/>
      <c r="DF69" s="95"/>
      <c r="DG69" s="95"/>
      <c r="DH69" s="95"/>
      <c r="DI69" s="95"/>
      <c r="DJ69" s="95"/>
      <c r="DK69" s="95"/>
      <c r="DL69" s="95"/>
      <c r="DM69" s="95"/>
      <c r="DN69" s="95"/>
      <c r="DO69" s="95"/>
      <c r="DP69" s="95"/>
      <c r="DQ69" s="95"/>
      <c r="DR69" s="95"/>
      <c r="DS69" s="95"/>
      <c r="DT69" s="95"/>
      <c r="DU69" s="95"/>
      <c r="DV69" s="95"/>
      <c r="DW69" s="95"/>
      <c r="DX69" s="95"/>
      <c r="DY69" s="95"/>
      <c r="DZ69" s="93"/>
      <c r="EC69" s="2"/>
    </row>
    <row r="70" spans="1:170" ht="24.95" customHeight="1">
      <c r="A70" s="1">
        <f t="shared" si="13"/>
        <v>62</v>
      </c>
      <c r="B70" s="69"/>
      <c r="C70" s="93"/>
      <c r="D70" s="111" t="s">
        <v>220</v>
      </c>
      <c r="E70" s="49"/>
      <c r="F70" s="49"/>
      <c r="G70" s="49"/>
      <c r="H70" s="49"/>
      <c r="I70" s="49"/>
      <c r="J70" s="49"/>
      <c r="K70" s="93"/>
      <c r="L70" s="49"/>
      <c r="M70" s="49"/>
      <c r="N70" s="93"/>
      <c r="O70" s="49"/>
      <c r="P70" s="94"/>
      <c r="Q70" s="93"/>
      <c r="R70" s="93"/>
      <c r="S70" s="94"/>
      <c r="T70" s="93"/>
      <c r="U70" s="93"/>
      <c r="V70" s="93"/>
      <c r="W70" s="93"/>
      <c r="X70" s="93"/>
      <c r="Y70" s="132"/>
      <c r="Z70" s="210"/>
      <c r="AA70" s="211"/>
      <c r="AB70" s="211"/>
      <c r="AC70" s="211"/>
      <c r="AD70" s="211"/>
      <c r="AE70" s="211"/>
      <c r="AF70" s="211"/>
      <c r="AG70" s="212"/>
      <c r="AH70" s="210"/>
      <c r="AI70" s="211"/>
      <c r="AJ70" s="211"/>
      <c r="AK70" s="211"/>
      <c r="AL70" s="211"/>
      <c r="AM70" s="211"/>
      <c r="AN70" s="211"/>
      <c r="AO70" s="212"/>
      <c r="AP70" s="210"/>
      <c r="AQ70" s="211"/>
      <c r="AR70" s="211"/>
      <c r="AS70" s="211"/>
      <c r="AT70" s="211"/>
      <c r="AU70" s="211"/>
      <c r="AV70" s="211"/>
      <c r="AW70" s="212"/>
      <c r="AX70" s="210"/>
      <c r="AY70" s="211"/>
      <c r="AZ70" s="211"/>
      <c r="BA70" s="211"/>
      <c r="BB70" s="211"/>
      <c r="BC70" s="211"/>
      <c r="BD70" s="211"/>
      <c r="BE70" s="212"/>
      <c r="BF70" s="210"/>
      <c r="BG70" s="211"/>
      <c r="BH70" s="211"/>
      <c r="BI70" s="211"/>
      <c r="BJ70" s="211"/>
      <c r="BK70" s="211"/>
      <c r="BL70" s="211"/>
      <c r="BM70" s="212"/>
      <c r="BN70" s="210"/>
      <c r="BO70" s="211"/>
      <c r="BP70" s="211"/>
      <c r="BQ70" s="211"/>
      <c r="BR70" s="211"/>
      <c r="BS70" s="211"/>
      <c r="BT70" s="211"/>
      <c r="BU70" s="212"/>
      <c r="BV70" s="210"/>
      <c r="BW70" s="211"/>
      <c r="BX70" s="211"/>
      <c r="BY70" s="211"/>
      <c r="BZ70" s="211"/>
      <c r="CA70" s="211"/>
      <c r="CB70" s="212"/>
      <c r="CC70" s="210"/>
      <c r="CD70" s="211"/>
      <c r="CE70" s="211"/>
      <c r="CF70" s="211"/>
      <c r="CG70" s="211"/>
      <c r="CH70" s="211"/>
      <c r="CI70" s="212"/>
      <c r="CK70" s="113"/>
      <c r="CL70" s="95"/>
      <c r="CM70" s="95"/>
      <c r="CN70" s="95"/>
      <c r="CO70" s="95"/>
      <c r="CP70" s="95"/>
      <c r="CQ70" s="95"/>
      <c r="CR70" s="95"/>
      <c r="CS70" s="95"/>
      <c r="CT70" s="95"/>
      <c r="CU70" s="95"/>
      <c r="CV70" s="95"/>
      <c r="CW70" s="95"/>
      <c r="CX70" s="95"/>
      <c r="CY70" s="95"/>
      <c r="CZ70" s="95"/>
      <c r="DA70" s="95"/>
      <c r="DB70" s="95"/>
      <c r="DC70" s="95"/>
      <c r="DD70" s="95"/>
      <c r="DE70" s="95"/>
      <c r="DF70" s="95"/>
      <c r="DG70" s="95"/>
      <c r="DH70" s="95"/>
      <c r="DI70" s="95"/>
      <c r="DJ70" s="95"/>
      <c r="DK70" s="95"/>
      <c r="DL70" s="95"/>
      <c r="DM70" s="95"/>
      <c r="DN70" s="95"/>
      <c r="DO70" s="95"/>
      <c r="DP70" s="95"/>
      <c r="DQ70" s="95"/>
      <c r="DR70" s="95"/>
      <c r="DS70" s="95"/>
      <c r="DT70" s="95"/>
      <c r="DU70" s="95"/>
      <c r="DV70" s="95"/>
      <c r="DW70" s="95"/>
      <c r="DX70" s="95"/>
      <c r="DY70" s="95"/>
      <c r="DZ70" s="93"/>
      <c r="EC70" s="2"/>
    </row>
    <row r="71" spans="1:170" ht="24.95" customHeight="1">
      <c r="A71" s="1">
        <f t="shared" si="13"/>
        <v>63</v>
      </c>
      <c r="B71" s="69"/>
      <c r="C71" s="93"/>
      <c r="D71" s="122"/>
      <c r="E71" s="129"/>
      <c r="F71" s="129"/>
      <c r="G71" s="129"/>
      <c r="H71" s="129"/>
      <c r="I71" s="129"/>
      <c r="J71" s="106"/>
      <c r="K71" s="129"/>
      <c r="L71" s="129"/>
      <c r="M71" s="129" t="s">
        <v>104</v>
      </c>
      <c r="N71" s="129"/>
      <c r="O71" s="129"/>
      <c r="P71" s="129"/>
      <c r="Q71" s="129"/>
      <c r="R71" s="129"/>
      <c r="S71" s="129" t="s">
        <v>112</v>
      </c>
      <c r="T71" s="106"/>
      <c r="U71" s="129"/>
      <c r="V71" s="129"/>
      <c r="W71" s="129"/>
      <c r="X71" s="129"/>
      <c r="Y71" s="130"/>
      <c r="Z71" s="213"/>
      <c r="AA71" s="214"/>
      <c r="AB71" s="214"/>
      <c r="AC71" s="214"/>
      <c r="AD71" s="214"/>
      <c r="AE71" s="214"/>
      <c r="AF71" s="214"/>
      <c r="AG71" s="215"/>
      <c r="AH71" s="213"/>
      <c r="AI71" s="214"/>
      <c r="AJ71" s="214"/>
      <c r="AK71" s="214"/>
      <c r="AL71" s="214"/>
      <c r="AM71" s="214"/>
      <c r="AN71" s="214"/>
      <c r="AO71" s="215"/>
      <c r="AP71" s="213"/>
      <c r="AQ71" s="214"/>
      <c r="AR71" s="214"/>
      <c r="AS71" s="214"/>
      <c r="AT71" s="214"/>
      <c r="AU71" s="214"/>
      <c r="AV71" s="214"/>
      <c r="AW71" s="215"/>
      <c r="AX71" s="213"/>
      <c r="AY71" s="214"/>
      <c r="AZ71" s="214"/>
      <c r="BA71" s="214"/>
      <c r="BB71" s="214"/>
      <c r="BC71" s="214"/>
      <c r="BD71" s="214"/>
      <c r="BE71" s="215"/>
      <c r="BF71" s="213"/>
      <c r="BG71" s="214"/>
      <c r="BH71" s="214"/>
      <c r="BI71" s="214"/>
      <c r="BJ71" s="214"/>
      <c r="BK71" s="214"/>
      <c r="BL71" s="214"/>
      <c r="BM71" s="215"/>
      <c r="BN71" s="213"/>
      <c r="BO71" s="214"/>
      <c r="BP71" s="214"/>
      <c r="BQ71" s="214"/>
      <c r="BR71" s="214"/>
      <c r="BS71" s="214"/>
      <c r="BT71" s="214"/>
      <c r="BU71" s="215"/>
      <c r="BV71" s="213"/>
      <c r="BW71" s="214"/>
      <c r="BX71" s="214"/>
      <c r="BY71" s="214"/>
      <c r="BZ71" s="214"/>
      <c r="CA71" s="214"/>
      <c r="CB71" s="215"/>
      <c r="CC71" s="213"/>
      <c r="CD71" s="214"/>
      <c r="CE71" s="214"/>
      <c r="CF71" s="214"/>
      <c r="CG71" s="214"/>
      <c r="CH71" s="214"/>
      <c r="CI71" s="215"/>
      <c r="CK71" s="113"/>
      <c r="CL71" s="95"/>
      <c r="CM71" s="95"/>
      <c r="CN71" s="95"/>
      <c r="CO71" s="95"/>
      <c r="CP71" s="95"/>
      <c r="CQ71" s="95"/>
      <c r="CR71" s="95"/>
      <c r="CS71" s="95"/>
      <c r="CT71" s="95"/>
      <c r="CU71" s="95"/>
      <c r="CV71" s="95"/>
      <c r="CW71" s="95"/>
      <c r="CX71" s="95"/>
      <c r="CY71" s="95"/>
      <c r="CZ71" s="95"/>
      <c r="DA71" s="95"/>
      <c r="DB71" s="95"/>
      <c r="DC71" s="95"/>
      <c r="DD71" s="95"/>
      <c r="DE71" s="95"/>
      <c r="DF71" s="95"/>
      <c r="DG71" s="95"/>
      <c r="DH71" s="95"/>
      <c r="DI71" s="95"/>
      <c r="DJ71" s="95"/>
      <c r="DK71" s="95"/>
      <c r="DL71" s="95"/>
      <c r="DM71" s="95"/>
      <c r="DN71" s="95"/>
      <c r="DO71" s="95"/>
      <c r="DP71" s="95"/>
      <c r="DQ71" s="95"/>
      <c r="DR71" s="95"/>
      <c r="DS71" s="95"/>
      <c r="DT71" s="95"/>
      <c r="DU71" s="95"/>
      <c r="DV71" s="95"/>
      <c r="DW71" s="95"/>
      <c r="DX71" s="95"/>
      <c r="DY71" s="95"/>
      <c r="DZ71" s="93"/>
      <c r="EC71" s="2"/>
    </row>
    <row r="72" spans="1:170" ht="24.95" customHeight="1">
      <c r="A72" s="1">
        <f t="shared" si="13"/>
        <v>64</v>
      </c>
      <c r="B72" s="69"/>
      <c r="C72" s="65"/>
      <c r="D72" s="111"/>
      <c r="E72" s="49"/>
      <c r="F72" s="49"/>
      <c r="G72" s="93"/>
      <c r="H72" s="93"/>
      <c r="I72" s="93"/>
      <c r="J72" s="108"/>
      <c r="K72" s="95"/>
      <c r="L72" s="93"/>
      <c r="M72" s="93"/>
      <c r="N72" s="93"/>
      <c r="O72" s="93"/>
      <c r="P72" s="93"/>
      <c r="Q72" s="93"/>
      <c r="R72" s="93"/>
      <c r="S72" s="93"/>
      <c r="T72" s="49"/>
      <c r="U72" s="95"/>
      <c r="V72" s="93"/>
      <c r="W72" s="93"/>
      <c r="X72" s="93"/>
      <c r="Y72" s="132"/>
      <c r="Z72" s="111"/>
      <c r="AA72" s="93"/>
      <c r="AB72" s="93"/>
      <c r="AC72" s="93"/>
      <c r="AD72" s="93"/>
      <c r="AE72" s="95"/>
      <c r="AF72" s="93"/>
      <c r="AG72" s="93"/>
      <c r="AH72" s="131"/>
      <c r="AI72" s="49" t="s">
        <v>126</v>
      </c>
      <c r="AJ72" s="93"/>
      <c r="AK72" s="93"/>
      <c r="AL72" s="93"/>
      <c r="AM72" s="93"/>
      <c r="AN72" s="93"/>
      <c r="AO72" s="98"/>
      <c r="AP72" s="111"/>
      <c r="AQ72" s="93"/>
      <c r="AR72" s="93"/>
      <c r="AS72" s="93"/>
      <c r="AT72" s="93"/>
      <c r="AU72" s="95"/>
      <c r="AV72" s="93"/>
      <c r="AW72" s="93"/>
      <c r="AX72" s="131"/>
      <c r="AY72" s="49" t="s">
        <v>126</v>
      </c>
      <c r="AZ72" s="93"/>
      <c r="BA72" s="93"/>
      <c r="BB72" s="93"/>
      <c r="BC72" s="93"/>
      <c r="BD72" s="93"/>
      <c r="BE72" s="132"/>
      <c r="BF72" s="111" t="s">
        <v>125</v>
      </c>
      <c r="BG72" s="93"/>
      <c r="BH72" s="93"/>
      <c r="BI72" s="93"/>
      <c r="BJ72" s="93"/>
      <c r="BK72" s="95"/>
      <c r="BL72" s="93"/>
      <c r="BM72" s="93"/>
      <c r="BN72" s="131"/>
      <c r="BO72" s="49" t="s">
        <v>391</v>
      </c>
      <c r="BP72" s="93"/>
      <c r="BQ72" s="93"/>
      <c r="BR72" s="93"/>
      <c r="BS72" s="93"/>
      <c r="BT72" s="93"/>
      <c r="BU72" s="132"/>
      <c r="BV72" s="49" t="s">
        <v>126</v>
      </c>
      <c r="BW72" s="93"/>
      <c r="BX72" s="93"/>
      <c r="BY72" s="93"/>
      <c r="BZ72" s="93"/>
      <c r="CA72" s="95"/>
      <c r="CB72" s="93"/>
      <c r="CC72" s="125" t="s">
        <v>126</v>
      </c>
      <c r="CD72" s="93"/>
      <c r="CE72" s="49"/>
      <c r="CF72" s="93"/>
      <c r="CG72" s="93"/>
      <c r="CH72" s="93"/>
      <c r="CI72" s="132"/>
      <c r="CJ72" s="95"/>
      <c r="CK72" s="113"/>
      <c r="CL72" s="95"/>
      <c r="CM72" s="95"/>
      <c r="CN72" s="95"/>
      <c r="CO72" s="95"/>
      <c r="CP72" s="95"/>
      <c r="CQ72" s="95"/>
      <c r="CR72" s="95"/>
      <c r="CS72" s="95"/>
      <c r="CT72" s="95"/>
      <c r="CU72" s="95"/>
      <c r="CV72" s="95"/>
      <c r="CW72" s="95"/>
      <c r="CX72" s="95"/>
      <c r="CY72" s="95"/>
      <c r="CZ72" s="95"/>
      <c r="DA72" s="95"/>
      <c r="DB72" s="95"/>
      <c r="DC72" s="95"/>
      <c r="DD72" s="95"/>
      <c r="DE72" s="95"/>
      <c r="DF72" s="95"/>
      <c r="DG72" s="95"/>
      <c r="DH72" s="95"/>
      <c r="DI72" s="95"/>
      <c r="DJ72" s="95"/>
      <c r="DK72" s="95"/>
      <c r="DL72" s="95"/>
      <c r="DM72" s="95"/>
      <c r="DN72" s="95"/>
      <c r="DO72" s="95"/>
      <c r="DP72" s="95"/>
      <c r="DQ72" s="95"/>
      <c r="DR72" s="95"/>
      <c r="DS72" s="95"/>
      <c r="DT72" s="95"/>
      <c r="DU72" s="95"/>
      <c r="DV72" s="95"/>
      <c r="DW72" s="95"/>
      <c r="DX72" s="95"/>
      <c r="DY72" s="95"/>
      <c r="DZ72" s="93"/>
      <c r="EC72" s="2"/>
    </row>
    <row r="73" spans="1:170" ht="24.95" customHeight="1">
      <c r="A73" s="1">
        <f t="shared" ref="A73:A113" si="14">A72+1</f>
        <v>65</v>
      </c>
      <c r="B73" s="69"/>
      <c r="C73" s="65"/>
      <c r="D73" s="111"/>
      <c r="E73" s="49"/>
      <c r="F73" s="49"/>
      <c r="G73" s="93"/>
      <c r="H73" s="93"/>
      <c r="I73" s="93"/>
      <c r="J73" s="108"/>
      <c r="K73" s="95"/>
      <c r="L73" s="93"/>
      <c r="M73" s="93"/>
      <c r="N73" s="93"/>
      <c r="O73" s="93"/>
      <c r="P73" s="93"/>
      <c r="Q73" s="93"/>
      <c r="R73" s="93"/>
      <c r="S73" s="93"/>
      <c r="T73" s="49"/>
      <c r="U73" s="95"/>
      <c r="V73" s="93"/>
      <c r="W73" s="93"/>
      <c r="X73" s="109"/>
      <c r="Y73" s="132"/>
      <c r="Z73" s="111"/>
      <c r="AA73" s="93"/>
      <c r="AB73" s="93"/>
      <c r="AC73" s="93"/>
      <c r="AD73" s="93"/>
      <c r="AE73" s="95"/>
      <c r="AF73" s="49"/>
      <c r="AG73" s="93"/>
      <c r="AH73" s="131"/>
      <c r="AI73" s="49" t="s">
        <v>126</v>
      </c>
      <c r="AJ73" s="93"/>
      <c r="AK73" s="93"/>
      <c r="AL73" s="93"/>
      <c r="AM73" s="93"/>
      <c r="AN73" s="93"/>
      <c r="AO73" s="98"/>
      <c r="AP73" s="111"/>
      <c r="AQ73" s="93"/>
      <c r="AR73" s="93"/>
      <c r="AS73" s="93"/>
      <c r="AT73" s="93"/>
      <c r="AU73" s="95"/>
      <c r="AV73" s="49"/>
      <c r="AW73" s="93"/>
      <c r="AX73" s="131"/>
      <c r="AY73" s="49" t="s">
        <v>126</v>
      </c>
      <c r="AZ73" s="93"/>
      <c r="BA73" s="93"/>
      <c r="BB73" s="93"/>
      <c r="BC73" s="93"/>
      <c r="BD73" s="93"/>
      <c r="BE73" s="132"/>
      <c r="BF73" s="111" t="s">
        <v>125</v>
      </c>
      <c r="BG73" s="93"/>
      <c r="BH73" s="93"/>
      <c r="BI73" s="93"/>
      <c r="BJ73" s="93"/>
      <c r="BK73" s="95"/>
      <c r="BL73" s="49"/>
      <c r="BM73" s="93"/>
      <c r="BN73" s="131"/>
      <c r="BO73" s="49"/>
      <c r="BP73" s="93"/>
      <c r="BQ73" s="93"/>
      <c r="BR73" s="93"/>
      <c r="BS73" s="93"/>
      <c r="BT73" s="93"/>
      <c r="BU73" s="132"/>
      <c r="BV73" s="49" t="s">
        <v>126</v>
      </c>
      <c r="BW73" s="93"/>
      <c r="BX73" s="93"/>
      <c r="BY73" s="93"/>
      <c r="BZ73" s="93"/>
      <c r="CA73" s="95"/>
      <c r="CB73" s="49"/>
      <c r="CC73" s="111" t="s">
        <v>126</v>
      </c>
      <c r="CD73" s="93"/>
      <c r="CE73" s="49"/>
      <c r="CF73" s="93"/>
      <c r="CG73" s="93"/>
      <c r="CH73" s="93"/>
      <c r="CI73" s="132"/>
      <c r="CJ73" s="95"/>
      <c r="CK73" s="113"/>
      <c r="CL73" s="95"/>
      <c r="CM73" s="95"/>
      <c r="CN73" s="95"/>
      <c r="CO73" s="95"/>
      <c r="CP73" s="95"/>
      <c r="CQ73" s="95"/>
      <c r="CR73" s="95"/>
      <c r="CS73" s="95"/>
      <c r="CT73" s="95"/>
      <c r="CU73" s="95"/>
      <c r="CV73" s="95"/>
      <c r="CW73" s="95"/>
      <c r="CX73" s="95"/>
      <c r="CY73" s="95"/>
      <c r="CZ73" s="95"/>
      <c r="DA73" s="95"/>
      <c r="DB73" s="95"/>
      <c r="DC73" s="95"/>
      <c r="DD73" s="95"/>
      <c r="DE73" s="95"/>
      <c r="DF73" s="95"/>
      <c r="DG73" s="95"/>
      <c r="DH73" s="95"/>
      <c r="DI73" s="95"/>
      <c r="DJ73" s="95"/>
      <c r="DK73" s="95"/>
      <c r="DL73" s="95"/>
      <c r="DM73" s="95"/>
      <c r="DN73" s="95"/>
      <c r="DO73" s="95"/>
      <c r="DP73" s="95"/>
      <c r="DQ73" s="95"/>
      <c r="DR73" s="95"/>
      <c r="DS73" s="95"/>
      <c r="DT73" s="95"/>
      <c r="DU73" s="95"/>
      <c r="DV73" s="95"/>
      <c r="DW73" s="95"/>
      <c r="DX73" s="95"/>
      <c r="DY73" s="95"/>
      <c r="DZ73" s="93"/>
      <c r="EC73" s="2"/>
    </row>
    <row r="74" spans="1:170" ht="24.95" customHeight="1">
      <c r="A74" s="1">
        <f t="shared" si="14"/>
        <v>66</v>
      </c>
      <c r="B74" s="69"/>
      <c r="C74" s="65"/>
      <c r="D74" s="126"/>
      <c r="E74" s="49"/>
      <c r="F74" s="49"/>
      <c r="G74" s="93"/>
      <c r="H74" s="93"/>
      <c r="I74" s="93"/>
      <c r="J74" s="108"/>
      <c r="K74" s="95"/>
      <c r="L74" s="49"/>
      <c r="M74" s="108"/>
      <c r="N74" s="93"/>
      <c r="O74" s="93"/>
      <c r="P74" s="93"/>
      <c r="Q74" s="93"/>
      <c r="R74" s="93"/>
      <c r="S74" s="93"/>
      <c r="T74" s="93"/>
      <c r="U74" s="95"/>
      <c r="V74" s="49"/>
      <c r="W74" s="93"/>
      <c r="X74" s="109"/>
      <c r="Y74" s="132"/>
      <c r="Z74" s="110"/>
      <c r="AA74" s="91"/>
      <c r="AB74" s="91"/>
      <c r="AC74" s="91"/>
      <c r="AD74" s="91"/>
      <c r="AE74" s="143"/>
      <c r="AF74" s="88"/>
      <c r="AG74" s="91"/>
      <c r="AH74" s="144"/>
      <c r="AI74" s="88" t="s">
        <v>126</v>
      </c>
      <c r="AJ74" s="91"/>
      <c r="AK74" s="91"/>
      <c r="AL74" s="91"/>
      <c r="AM74" s="91"/>
      <c r="AN74" s="91"/>
      <c r="AO74" s="145"/>
      <c r="AP74" s="110"/>
      <c r="AQ74" s="91"/>
      <c r="AR74" s="91"/>
      <c r="AS74" s="91"/>
      <c r="AT74" s="91"/>
      <c r="AU74" s="91"/>
      <c r="AV74" s="91"/>
      <c r="AW74" s="91"/>
      <c r="AX74" s="146"/>
      <c r="AY74" s="88" t="s">
        <v>126</v>
      </c>
      <c r="AZ74" s="91"/>
      <c r="BA74" s="143"/>
      <c r="BB74" s="143"/>
      <c r="BC74" s="143"/>
      <c r="BD74" s="143"/>
      <c r="BE74" s="145"/>
      <c r="BF74" s="110" t="s">
        <v>125</v>
      </c>
      <c r="BG74" s="143"/>
      <c r="BH74" s="143"/>
      <c r="BI74" s="143"/>
      <c r="BJ74" s="143"/>
      <c r="BK74" s="143"/>
      <c r="BL74" s="143"/>
      <c r="BM74" s="143"/>
      <c r="BN74" s="146"/>
      <c r="BO74" s="88" t="s">
        <v>391</v>
      </c>
      <c r="BP74" s="91"/>
      <c r="BQ74" s="143"/>
      <c r="BR74" s="143"/>
      <c r="BS74" s="143"/>
      <c r="BT74" s="143"/>
      <c r="BU74" s="145"/>
      <c r="BV74" s="88" t="s">
        <v>126</v>
      </c>
      <c r="BW74" s="143"/>
      <c r="BX74" s="143"/>
      <c r="BY74" s="143"/>
      <c r="BZ74" s="143"/>
      <c r="CA74" s="143"/>
      <c r="CB74" s="143"/>
      <c r="CC74" s="110" t="s">
        <v>126</v>
      </c>
      <c r="CD74" s="143"/>
      <c r="CE74" s="143"/>
      <c r="CF74" s="143"/>
      <c r="CG74" s="143"/>
      <c r="CH74" s="143"/>
      <c r="CI74" s="145"/>
      <c r="CJ74" s="66"/>
      <c r="CK74" s="114"/>
      <c r="CL74" s="66"/>
      <c r="CM74" s="66"/>
      <c r="CN74" s="66"/>
      <c r="CO74" s="66"/>
      <c r="CP74" s="66"/>
      <c r="CQ74" s="66"/>
      <c r="CR74" s="66"/>
      <c r="CS74" s="66"/>
      <c r="CT74" s="66"/>
      <c r="CU74" s="66"/>
      <c r="CV74" s="66"/>
      <c r="CW74" s="66"/>
      <c r="CX74" s="66"/>
      <c r="CY74" s="66"/>
      <c r="CZ74" s="66"/>
      <c r="DA74" s="66"/>
      <c r="DB74" s="66"/>
      <c r="DC74" s="66"/>
      <c r="DD74" s="66"/>
      <c r="DE74" s="66"/>
      <c r="DF74" s="66"/>
      <c r="DG74" s="66"/>
      <c r="DH74" s="66"/>
      <c r="DI74" s="66"/>
      <c r="DJ74" s="66"/>
      <c r="DK74" s="66"/>
      <c r="DL74" s="66"/>
      <c r="DM74" s="66"/>
      <c r="DN74" s="66"/>
      <c r="DO74" s="66"/>
      <c r="DP74" s="66"/>
      <c r="DQ74" s="66"/>
      <c r="DR74" s="66"/>
      <c r="DS74" s="66"/>
      <c r="DT74" s="66"/>
      <c r="DU74" s="66"/>
      <c r="DV74" s="66"/>
      <c r="DW74" s="66"/>
      <c r="DX74" s="66"/>
      <c r="DY74" s="66"/>
      <c r="DZ74" s="66"/>
      <c r="EC74" s="77"/>
      <c r="ED74" s="66"/>
      <c r="EE74" s="66"/>
      <c r="EF74" s="66"/>
      <c r="EG74" s="66"/>
      <c r="EH74" s="66"/>
      <c r="EI74" s="66"/>
      <c r="EJ74" s="66"/>
      <c r="EK74" s="66"/>
      <c r="EL74" s="66"/>
      <c r="EM74" s="66"/>
      <c r="EN74" s="66"/>
      <c r="EO74" s="66"/>
      <c r="EP74" s="66"/>
      <c r="EQ74" s="66"/>
      <c r="ER74" s="66"/>
      <c r="ES74" s="66"/>
      <c r="ET74" s="66"/>
      <c r="EU74" s="66"/>
      <c r="EV74" s="66"/>
      <c r="EW74" s="66"/>
      <c r="EX74" s="66"/>
      <c r="EY74" s="66"/>
      <c r="EZ74" s="66"/>
      <c r="FA74" s="66"/>
      <c r="FB74" s="66"/>
      <c r="FC74" s="66"/>
      <c r="FD74" s="66"/>
      <c r="FE74" s="66"/>
      <c r="FF74" s="66"/>
      <c r="FG74" s="66"/>
      <c r="FH74" s="66"/>
      <c r="FI74" s="66"/>
      <c r="FJ74" s="66"/>
      <c r="FK74" s="66"/>
      <c r="FL74" s="66"/>
      <c r="FM74" s="66"/>
      <c r="FN74" s="66"/>
    </row>
    <row r="75" spans="1:170" ht="24.95" customHeight="1">
      <c r="A75" s="1">
        <f t="shared" si="14"/>
        <v>67</v>
      </c>
      <c r="B75" s="69"/>
      <c r="C75" s="65"/>
      <c r="D75" s="111"/>
      <c r="E75" s="49"/>
      <c r="F75" s="49"/>
      <c r="G75" s="93"/>
      <c r="H75" s="93"/>
      <c r="I75" s="93"/>
      <c r="J75" s="95"/>
      <c r="K75" s="95"/>
      <c r="L75" s="49"/>
      <c r="M75" s="104" t="s">
        <v>363</v>
      </c>
      <c r="N75" s="93"/>
      <c r="O75" s="93"/>
      <c r="P75" s="93"/>
      <c r="Q75" s="93"/>
      <c r="R75" s="93"/>
      <c r="S75" s="49"/>
      <c r="T75" s="93"/>
      <c r="U75" s="95"/>
      <c r="V75" s="49"/>
      <c r="W75" s="93"/>
      <c r="X75" s="109"/>
      <c r="Y75" s="132"/>
      <c r="Z75" s="137"/>
      <c r="AA75" s="134"/>
      <c r="AB75" s="134"/>
      <c r="AC75" s="134"/>
      <c r="AD75" s="134"/>
      <c r="AE75" s="135"/>
      <c r="AF75" s="133"/>
      <c r="AG75" s="134"/>
      <c r="AH75" s="138"/>
      <c r="AI75" s="133" t="s">
        <v>126</v>
      </c>
      <c r="AJ75" s="134"/>
      <c r="AK75" s="134"/>
      <c r="AL75" s="134"/>
      <c r="AM75" s="134"/>
      <c r="AN75" s="134"/>
      <c r="AO75" s="139"/>
      <c r="AP75" s="137"/>
      <c r="AQ75" s="134"/>
      <c r="AR75" s="134"/>
      <c r="AS75" s="134"/>
      <c r="AT75" s="134"/>
      <c r="AU75" s="134"/>
      <c r="AV75" s="134"/>
      <c r="AW75" s="134"/>
      <c r="AX75" s="140"/>
      <c r="AY75" s="133" t="s">
        <v>126</v>
      </c>
      <c r="AZ75" s="134"/>
      <c r="BA75" s="135"/>
      <c r="BB75" s="135"/>
      <c r="BC75" s="135"/>
      <c r="BD75" s="135"/>
      <c r="BE75" s="139"/>
      <c r="BF75" s="137" t="s">
        <v>125</v>
      </c>
      <c r="BG75" s="135"/>
      <c r="BH75" s="135"/>
      <c r="BI75" s="135"/>
      <c r="BJ75" s="135"/>
      <c r="BK75" s="135"/>
      <c r="BL75" s="135"/>
      <c r="BM75" s="135"/>
      <c r="BN75" s="140"/>
      <c r="BO75" s="133"/>
      <c r="BP75" s="134"/>
      <c r="BQ75" s="135"/>
      <c r="BR75" s="135"/>
      <c r="BS75" s="135"/>
      <c r="BT75" s="135"/>
      <c r="BU75" s="139"/>
      <c r="BV75" s="133" t="s">
        <v>126</v>
      </c>
      <c r="BW75" s="135"/>
      <c r="BX75" s="135"/>
      <c r="BY75" s="135"/>
      <c r="BZ75" s="135"/>
      <c r="CA75" s="135"/>
      <c r="CB75" s="135"/>
      <c r="CC75" s="137" t="s">
        <v>126</v>
      </c>
      <c r="CD75" s="135"/>
      <c r="CE75" s="135"/>
      <c r="CF75" s="135"/>
      <c r="CG75" s="135"/>
      <c r="CH75" s="135"/>
      <c r="CI75" s="139"/>
      <c r="CJ75" s="66"/>
      <c r="CK75" s="114"/>
      <c r="CL75" s="66"/>
      <c r="CM75" s="66"/>
      <c r="CN75" s="66"/>
      <c r="CO75" s="66"/>
      <c r="CP75" s="66"/>
      <c r="CQ75" s="66"/>
      <c r="CR75" s="66"/>
      <c r="CS75" s="66"/>
      <c r="CT75" s="66"/>
      <c r="CU75" s="66"/>
      <c r="CV75" s="66"/>
      <c r="CW75" s="66"/>
      <c r="CX75" s="66"/>
      <c r="CY75" s="66"/>
      <c r="CZ75" s="66"/>
      <c r="DA75" s="66"/>
      <c r="DB75" s="66"/>
      <c r="DC75" s="66"/>
      <c r="DD75" s="66"/>
      <c r="DE75" s="66"/>
      <c r="DF75" s="66"/>
      <c r="DG75" s="66"/>
      <c r="DH75" s="66"/>
      <c r="DI75" s="66"/>
      <c r="DJ75" s="66"/>
      <c r="DK75" s="66"/>
      <c r="DL75" s="66"/>
      <c r="DM75" s="66"/>
      <c r="DN75" s="66"/>
      <c r="DO75" s="66"/>
      <c r="DP75" s="66"/>
      <c r="DQ75" s="66"/>
      <c r="DR75" s="66"/>
      <c r="DS75" s="66"/>
      <c r="DT75" s="66"/>
      <c r="DU75" s="66"/>
      <c r="DV75" s="66"/>
      <c r="DW75" s="66"/>
      <c r="DX75" s="66"/>
      <c r="DY75" s="66"/>
      <c r="DZ75" s="66"/>
      <c r="EA75" s="66"/>
      <c r="EB75" s="66"/>
      <c r="EC75" s="77"/>
      <c r="ED75" s="66"/>
      <c r="EE75" s="66"/>
      <c r="EF75" s="66"/>
      <c r="EG75" s="66"/>
      <c r="EH75" s="66"/>
      <c r="EI75" s="66"/>
      <c r="EJ75" s="66"/>
      <c r="EK75" s="66"/>
      <c r="EL75" s="66"/>
      <c r="EM75" s="66"/>
      <c r="EN75" s="66"/>
      <c r="EO75" s="66"/>
      <c r="EP75" s="66"/>
      <c r="EQ75" s="66"/>
      <c r="ER75" s="66"/>
      <c r="ES75" s="66"/>
      <c r="ET75" s="66"/>
      <c r="EU75" s="66"/>
      <c r="EV75" s="66"/>
      <c r="EW75" s="66"/>
      <c r="EX75" s="66"/>
      <c r="EY75" s="66"/>
      <c r="EZ75" s="66"/>
      <c r="FA75" s="66"/>
      <c r="FB75" s="66"/>
      <c r="FC75" s="66"/>
      <c r="FD75" s="66"/>
      <c r="FE75" s="66"/>
      <c r="FF75" s="66"/>
      <c r="FG75" s="66"/>
      <c r="FH75" s="66"/>
      <c r="FI75" s="66"/>
      <c r="FJ75" s="66"/>
      <c r="FK75" s="66"/>
      <c r="FL75" s="66"/>
      <c r="FM75" s="66"/>
      <c r="FN75" s="66"/>
    </row>
    <row r="76" spans="1:170" ht="24.95" customHeight="1">
      <c r="A76" s="1">
        <f t="shared" si="14"/>
        <v>68</v>
      </c>
      <c r="B76" s="69"/>
      <c r="C76" s="65"/>
      <c r="D76" s="116"/>
      <c r="E76" s="65"/>
      <c r="F76" s="49"/>
      <c r="G76" s="93"/>
      <c r="H76" s="93"/>
      <c r="I76" s="93"/>
      <c r="J76" s="95"/>
      <c r="K76" s="95"/>
      <c r="L76" s="49"/>
      <c r="M76" s="93"/>
      <c r="N76" s="93"/>
      <c r="O76" s="93"/>
      <c r="P76" s="93"/>
      <c r="Q76" s="93"/>
      <c r="R76" s="93"/>
      <c r="S76" s="93"/>
      <c r="T76" s="93"/>
      <c r="U76" s="95"/>
      <c r="V76" s="49"/>
      <c r="W76" s="93"/>
      <c r="X76" s="93"/>
      <c r="Y76" s="132"/>
      <c r="Z76" s="111"/>
      <c r="AA76" s="93"/>
      <c r="AB76" s="93"/>
      <c r="AC76" s="109"/>
      <c r="AD76" s="93"/>
      <c r="AE76" s="95"/>
      <c r="AF76" s="49"/>
      <c r="AG76" s="93"/>
      <c r="AH76" s="131"/>
      <c r="AI76" s="49" t="s">
        <v>126</v>
      </c>
      <c r="AJ76" s="93"/>
      <c r="AK76" s="93"/>
      <c r="AL76" s="93"/>
      <c r="AM76" s="93"/>
      <c r="AN76" s="93"/>
      <c r="AO76" s="98"/>
      <c r="AP76" s="111"/>
      <c r="AQ76" s="93"/>
      <c r="AR76" s="95"/>
      <c r="AS76" s="95"/>
      <c r="AT76" s="95"/>
      <c r="AU76" s="95"/>
      <c r="AV76" s="95"/>
      <c r="AW76" s="95"/>
      <c r="AX76" s="113"/>
      <c r="AY76" s="49" t="s">
        <v>126</v>
      </c>
      <c r="AZ76" s="93"/>
      <c r="BA76" s="95"/>
      <c r="BB76" s="95"/>
      <c r="BC76" s="95"/>
      <c r="BD76" s="95"/>
      <c r="BE76" s="98"/>
      <c r="BF76" s="111" t="s">
        <v>125</v>
      </c>
      <c r="BG76" s="95"/>
      <c r="BH76" s="95"/>
      <c r="BI76" s="95"/>
      <c r="BJ76" s="95"/>
      <c r="BK76" s="95"/>
      <c r="BL76" s="95"/>
      <c r="BM76" s="95"/>
      <c r="BN76" s="113"/>
      <c r="BO76" s="49" t="s">
        <v>391</v>
      </c>
      <c r="BP76" s="93"/>
      <c r="BQ76" s="95"/>
      <c r="BR76" s="95"/>
      <c r="BS76" s="95"/>
      <c r="BT76" s="95"/>
      <c r="BU76" s="98"/>
      <c r="BV76" s="49" t="s">
        <v>126</v>
      </c>
      <c r="BW76" s="95"/>
      <c r="BX76" s="95"/>
      <c r="BY76" s="95"/>
      <c r="BZ76" s="95"/>
      <c r="CA76" s="95"/>
      <c r="CB76" s="95"/>
      <c r="CC76" s="111" t="s">
        <v>126</v>
      </c>
      <c r="CD76" s="95"/>
      <c r="CE76" s="95"/>
      <c r="CF76" s="95"/>
      <c r="CG76" s="95"/>
      <c r="CH76" s="95"/>
      <c r="CI76" s="98"/>
      <c r="CJ76" s="66"/>
      <c r="CK76" s="114"/>
      <c r="CL76" s="66"/>
      <c r="CM76" s="66"/>
      <c r="CN76" s="66"/>
      <c r="CO76" s="66"/>
      <c r="CP76" s="66"/>
      <c r="CQ76" s="66"/>
      <c r="CR76" s="66"/>
      <c r="CS76" s="66"/>
      <c r="CT76" s="66"/>
      <c r="CU76" s="66"/>
      <c r="CV76" s="66"/>
      <c r="CW76" s="66"/>
      <c r="CX76" s="66"/>
      <c r="CY76" s="66"/>
      <c r="CZ76" s="66"/>
      <c r="DA76" s="66"/>
      <c r="DB76" s="66"/>
      <c r="DC76" s="66"/>
      <c r="DD76" s="66"/>
      <c r="DE76" s="66"/>
      <c r="DF76" s="66"/>
      <c r="DG76" s="66"/>
      <c r="DH76" s="66"/>
      <c r="DI76" s="66"/>
      <c r="DJ76" s="66"/>
      <c r="DK76" s="66"/>
      <c r="DL76" s="66"/>
      <c r="DM76" s="66"/>
      <c r="DN76" s="66"/>
      <c r="DO76" s="66"/>
      <c r="DP76" s="66"/>
      <c r="DQ76" s="66"/>
      <c r="DR76" s="66"/>
      <c r="DS76" s="66"/>
      <c r="DT76" s="66"/>
      <c r="DU76" s="66"/>
      <c r="DV76" s="66"/>
      <c r="DW76" s="66"/>
      <c r="DX76" s="66"/>
      <c r="DY76" s="66"/>
      <c r="DZ76" s="66"/>
      <c r="EA76" s="66"/>
      <c r="EB76" s="66"/>
      <c r="EC76" s="77"/>
      <c r="ED76" s="66"/>
      <c r="EE76" s="66"/>
      <c r="EF76" s="66"/>
      <c r="EG76" s="66"/>
      <c r="EH76" s="66"/>
      <c r="EI76" s="66"/>
      <c r="EJ76" s="66"/>
      <c r="EK76" s="66"/>
      <c r="EL76" s="66"/>
      <c r="EM76" s="66"/>
      <c r="EN76" s="66"/>
      <c r="EO76" s="66"/>
      <c r="EP76" s="66"/>
      <c r="EQ76" s="66"/>
      <c r="ER76" s="66"/>
      <c r="ES76" s="66"/>
      <c r="ET76" s="66"/>
      <c r="EU76" s="66"/>
      <c r="EV76" s="66"/>
      <c r="EW76" s="66"/>
      <c r="EX76" s="66"/>
      <c r="EY76" s="66"/>
      <c r="EZ76" s="66"/>
      <c r="FA76" s="66"/>
      <c r="FB76" s="66"/>
      <c r="FC76" s="66"/>
      <c r="FD76" s="66"/>
      <c r="FE76" s="66"/>
      <c r="FF76" s="66"/>
      <c r="FG76" s="66"/>
      <c r="FH76" s="66"/>
      <c r="FI76" s="66"/>
      <c r="FJ76" s="66"/>
      <c r="FK76" s="66"/>
      <c r="FL76" s="66"/>
      <c r="FM76" s="66"/>
      <c r="FN76" s="66"/>
    </row>
    <row r="77" spans="1:170" ht="24.95" customHeight="1">
      <c r="A77" s="1">
        <f t="shared" si="14"/>
        <v>69</v>
      </c>
      <c r="B77" s="69"/>
      <c r="C77" s="65"/>
      <c r="D77" s="141"/>
      <c r="E77" s="142"/>
      <c r="F77" s="106"/>
      <c r="G77" s="129"/>
      <c r="H77" s="129"/>
      <c r="I77" s="129"/>
      <c r="J77" s="107"/>
      <c r="K77" s="107"/>
      <c r="L77" s="106"/>
      <c r="M77" s="129"/>
      <c r="N77" s="129"/>
      <c r="O77" s="129"/>
      <c r="P77" s="129"/>
      <c r="Q77" s="129"/>
      <c r="R77" s="129"/>
      <c r="S77" s="129"/>
      <c r="T77" s="129"/>
      <c r="U77" s="107"/>
      <c r="V77" s="106"/>
      <c r="W77" s="129"/>
      <c r="X77" s="129"/>
      <c r="Y77" s="130"/>
      <c r="Z77" s="122"/>
      <c r="AA77" s="129"/>
      <c r="AB77" s="129"/>
      <c r="AC77" s="129"/>
      <c r="AD77" s="129"/>
      <c r="AE77" s="107"/>
      <c r="AF77" s="106"/>
      <c r="AG77" s="129"/>
      <c r="AH77" s="128"/>
      <c r="AI77" s="106" t="s">
        <v>126</v>
      </c>
      <c r="AJ77" s="129"/>
      <c r="AK77" s="129"/>
      <c r="AL77" s="129"/>
      <c r="AM77" s="129"/>
      <c r="AN77" s="129"/>
      <c r="AO77" s="123"/>
      <c r="AP77" s="122"/>
      <c r="AQ77" s="129"/>
      <c r="AR77" s="107"/>
      <c r="AS77" s="107"/>
      <c r="AT77" s="107"/>
      <c r="AU77" s="107"/>
      <c r="AV77" s="107"/>
      <c r="AW77" s="107"/>
      <c r="AX77" s="124"/>
      <c r="AY77" s="106" t="s">
        <v>126</v>
      </c>
      <c r="AZ77" s="129"/>
      <c r="BA77" s="107"/>
      <c r="BB77" s="107"/>
      <c r="BC77" s="107"/>
      <c r="BD77" s="107"/>
      <c r="BE77" s="123"/>
      <c r="BF77" s="122" t="s">
        <v>125</v>
      </c>
      <c r="BG77" s="107"/>
      <c r="BH77" s="107"/>
      <c r="BI77" s="107"/>
      <c r="BJ77" s="107"/>
      <c r="BK77" s="107"/>
      <c r="BL77" s="107"/>
      <c r="BM77" s="107"/>
      <c r="BN77" s="124"/>
      <c r="BO77" s="106"/>
      <c r="BP77" s="129"/>
      <c r="BQ77" s="107"/>
      <c r="BR77" s="107"/>
      <c r="BS77" s="107"/>
      <c r="BT77" s="107"/>
      <c r="BU77" s="123"/>
      <c r="BV77" s="106" t="s">
        <v>126</v>
      </c>
      <c r="BW77" s="107"/>
      <c r="BX77" s="107"/>
      <c r="BY77" s="107"/>
      <c r="BZ77" s="107"/>
      <c r="CA77" s="107"/>
      <c r="CB77" s="107"/>
      <c r="CC77" s="122" t="s">
        <v>126</v>
      </c>
      <c r="CD77" s="107"/>
      <c r="CE77" s="107"/>
      <c r="CF77" s="107"/>
      <c r="CG77" s="107"/>
      <c r="CH77" s="107"/>
      <c r="CI77" s="123"/>
      <c r="CJ77" s="66"/>
      <c r="CK77" s="114"/>
      <c r="CL77" s="66"/>
      <c r="CM77" s="66"/>
      <c r="CN77" s="66"/>
      <c r="CO77" s="66"/>
      <c r="CP77" s="66"/>
      <c r="CQ77" s="66"/>
      <c r="CR77" s="66"/>
      <c r="CS77" s="66"/>
      <c r="CT77" s="66"/>
      <c r="CU77" s="66"/>
      <c r="CV77" s="66"/>
      <c r="CW77" s="66"/>
      <c r="CX77" s="66"/>
      <c r="CY77" s="66"/>
      <c r="CZ77" s="66"/>
      <c r="DA77" s="66"/>
      <c r="DB77" s="66"/>
      <c r="DC77" s="66"/>
      <c r="DD77" s="66"/>
      <c r="DE77" s="66"/>
      <c r="DF77" s="66"/>
      <c r="DG77" s="66"/>
      <c r="DH77" s="66"/>
      <c r="DI77" s="66"/>
      <c r="DJ77" s="66"/>
      <c r="DK77" s="66"/>
      <c r="DL77" s="66"/>
      <c r="DM77" s="66"/>
      <c r="DN77" s="66"/>
      <c r="DO77" s="66"/>
      <c r="DP77" s="66"/>
      <c r="DQ77" s="66"/>
      <c r="DR77" s="66"/>
      <c r="DS77" s="66"/>
      <c r="DT77" s="66"/>
      <c r="DU77" s="66"/>
      <c r="DV77" s="66"/>
      <c r="DW77" s="66"/>
      <c r="DX77" s="66"/>
      <c r="DY77" s="66"/>
      <c r="DZ77" s="66"/>
      <c r="EA77" s="66"/>
      <c r="EB77" s="66"/>
      <c r="EC77" s="77"/>
      <c r="ED77" s="66"/>
      <c r="EE77" s="66"/>
      <c r="EF77" s="66"/>
      <c r="EG77" s="66"/>
      <c r="EH77" s="66"/>
      <c r="EI77" s="66"/>
      <c r="EJ77" s="66"/>
      <c r="EK77" s="66"/>
      <c r="EL77" s="66"/>
      <c r="EM77" s="66"/>
      <c r="EN77" s="66"/>
      <c r="EO77" s="66"/>
      <c r="EP77" s="66"/>
      <c r="EQ77" s="66"/>
      <c r="ER77" s="66"/>
      <c r="ES77" s="66"/>
      <c r="ET77" s="66"/>
      <c r="EU77" s="66"/>
      <c r="EV77" s="66"/>
      <c r="EW77" s="66"/>
      <c r="EX77" s="66"/>
      <c r="EY77" s="66"/>
      <c r="EZ77" s="66"/>
      <c r="FA77" s="66"/>
      <c r="FB77" s="66"/>
      <c r="FC77" s="66"/>
      <c r="FD77" s="66"/>
      <c r="FE77" s="66"/>
      <c r="FF77" s="66"/>
      <c r="FG77" s="66"/>
      <c r="FH77" s="66"/>
      <c r="FI77" s="66"/>
      <c r="FJ77" s="66"/>
      <c r="FK77" s="66"/>
      <c r="FL77" s="65"/>
    </row>
    <row r="78" spans="1:170" ht="24.95" customHeight="1">
      <c r="A78" s="1">
        <f t="shared" si="14"/>
        <v>70</v>
      </c>
      <c r="B78" s="69"/>
      <c r="C78" s="65"/>
      <c r="D78" s="148"/>
      <c r="E78" s="149"/>
      <c r="F78" s="118"/>
      <c r="G78" s="127"/>
      <c r="H78" s="127"/>
      <c r="I78" s="127"/>
      <c r="J78" s="120"/>
      <c r="K78" s="120"/>
      <c r="L78" s="118"/>
      <c r="M78" s="127"/>
      <c r="N78" s="127"/>
      <c r="O78" s="127"/>
      <c r="P78" s="127"/>
      <c r="Q78" s="127"/>
      <c r="R78" s="127"/>
      <c r="S78" s="127"/>
      <c r="T78" s="127"/>
      <c r="U78" s="120"/>
      <c r="V78" s="118"/>
      <c r="W78" s="127"/>
      <c r="X78" s="127"/>
      <c r="Y78" s="127"/>
      <c r="Z78" s="118"/>
      <c r="AA78" s="127"/>
      <c r="AB78" s="127"/>
      <c r="AC78" s="127"/>
      <c r="AD78" s="127"/>
      <c r="AE78" s="120"/>
      <c r="AF78" s="118"/>
      <c r="AG78" s="127"/>
      <c r="AH78" s="127"/>
      <c r="AI78" s="118"/>
      <c r="AJ78" s="127"/>
      <c r="AK78" s="127"/>
      <c r="AL78" s="127"/>
      <c r="AM78" s="127"/>
      <c r="AN78" s="127"/>
      <c r="AO78" s="120"/>
      <c r="AP78" s="118"/>
      <c r="AQ78" s="127"/>
      <c r="AR78" s="120"/>
      <c r="AS78" s="120"/>
      <c r="AT78" s="120"/>
      <c r="AU78" s="120"/>
      <c r="AV78" s="120"/>
      <c r="AW78" s="120"/>
      <c r="AX78" s="120"/>
      <c r="AY78" s="118"/>
      <c r="AZ78" s="127"/>
      <c r="BA78" s="120"/>
      <c r="BB78" s="120"/>
      <c r="BC78" s="120"/>
      <c r="BD78" s="120"/>
      <c r="BE78" s="120"/>
      <c r="BF78" s="118"/>
      <c r="BG78" s="120"/>
      <c r="BH78" s="120"/>
      <c r="BI78" s="120"/>
      <c r="BJ78" s="120"/>
      <c r="BK78" s="120"/>
      <c r="BL78" s="120"/>
      <c r="BM78" s="120"/>
      <c r="BN78" s="120"/>
      <c r="BO78" s="118"/>
      <c r="BP78" s="127"/>
      <c r="BQ78" s="120"/>
      <c r="BR78" s="120"/>
      <c r="BS78" s="120"/>
      <c r="BT78" s="120"/>
      <c r="BU78" s="120"/>
      <c r="BV78" s="118"/>
      <c r="BW78" s="120"/>
      <c r="BX78" s="120"/>
      <c r="BY78" s="120"/>
      <c r="BZ78" s="120"/>
      <c r="CA78" s="120"/>
      <c r="CB78" s="120"/>
      <c r="CC78" s="118"/>
      <c r="CD78" s="120"/>
      <c r="CE78" s="120"/>
      <c r="CF78" s="120"/>
      <c r="CG78" s="120"/>
      <c r="CH78" s="120"/>
      <c r="CI78" s="121"/>
      <c r="CJ78" s="66"/>
      <c r="CK78" s="114"/>
      <c r="CL78" s="66"/>
      <c r="CM78" s="66"/>
      <c r="CN78" s="66"/>
      <c r="CO78" s="66"/>
      <c r="CP78" s="66"/>
      <c r="CQ78" s="66"/>
      <c r="CR78" s="66"/>
      <c r="CS78" s="66"/>
      <c r="CT78" s="66"/>
      <c r="CU78" s="66"/>
      <c r="CV78" s="66"/>
      <c r="CW78" s="66"/>
      <c r="CX78" s="66"/>
      <c r="CY78" s="66"/>
      <c r="CZ78" s="66"/>
      <c r="DA78" s="66"/>
      <c r="DB78" s="66"/>
      <c r="DC78" s="66"/>
      <c r="DD78" s="66"/>
      <c r="DE78" s="66"/>
      <c r="DF78" s="66"/>
      <c r="DG78" s="66"/>
      <c r="DH78" s="66"/>
      <c r="DI78" s="66"/>
      <c r="DJ78" s="66"/>
      <c r="DK78" s="66"/>
      <c r="DL78" s="66"/>
      <c r="DM78" s="66"/>
      <c r="DN78" s="66"/>
      <c r="DO78" s="66"/>
      <c r="DP78" s="66"/>
      <c r="DQ78" s="66"/>
      <c r="DR78" s="66"/>
      <c r="DS78" s="66"/>
      <c r="DT78" s="66"/>
      <c r="DU78" s="66"/>
      <c r="DV78" s="66"/>
      <c r="DW78" s="66"/>
      <c r="DX78" s="66"/>
      <c r="DY78" s="66"/>
      <c r="DZ78" s="66"/>
      <c r="EA78" s="66"/>
      <c r="EB78" s="66"/>
      <c r="EC78" s="77"/>
      <c r="ED78" s="66"/>
      <c r="EE78" s="66"/>
      <c r="EF78" s="66"/>
      <c r="EG78" s="66"/>
      <c r="EH78" s="66"/>
      <c r="EI78" s="66"/>
      <c r="EJ78" s="66"/>
      <c r="EK78" s="66"/>
      <c r="EL78" s="66"/>
      <c r="EM78" s="66"/>
      <c r="EN78" s="66"/>
      <c r="EO78" s="66"/>
      <c r="EP78" s="66"/>
      <c r="EQ78" s="66"/>
      <c r="ER78" s="66"/>
      <c r="ES78" s="66"/>
      <c r="ET78" s="66"/>
      <c r="EU78" s="66"/>
      <c r="EV78" s="66"/>
      <c r="EW78" s="66"/>
      <c r="EX78" s="66"/>
      <c r="EY78" s="66"/>
      <c r="EZ78" s="66"/>
      <c r="FA78" s="66"/>
      <c r="FB78" s="66"/>
      <c r="FC78" s="66"/>
      <c r="FD78" s="66"/>
      <c r="FE78" s="66"/>
      <c r="FF78" s="66"/>
      <c r="FG78" s="66"/>
      <c r="FH78" s="66"/>
      <c r="FI78" s="66"/>
      <c r="FJ78" s="66"/>
      <c r="FK78" s="66"/>
      <c r="FL78" s="65"/>
    </row>
    <row r="79" spans="1:170" ht="24.95" customHeight="1">
      <c r="A79" s="1">
        <f t="shared" si="14"/>
        <v>71</v>
      </c>
      <c r="B79" s="69"/>
      <c r="C79" s="65"/>
      <c r="D79" s="116"/>
      <c r="E79" s="65"/>
      <c r="F79" s="49"/>
      <c r="G79" s="93"/>
      <c r="H79" s="93"/>
      <c r="I79" s="93"/>
      <c r="J79" s="95"/>
      <c r="K79" s="95"/>
      <c r="L79" s="49"/>
      <c r="M79" s="93"/>
      <c r="N79" s="93"/>
      <c r="O79" s="93"/>
      <c r="P79" s="93"/>
      <c r="Q79" s="93"/>
      <c r="R79" s="93"/>
      <c r="S79" s="93"/>
      <c r="T79" s="93"/>
      <c r="U79" s="95"/>
      <c r="V79" s="49"/>
      <c r="W79" s="93"/>
      <c r="X79" s="93"/>
      <c r="Y79" s="93"/>
      <c r="Z79" s="49"/>
      <c r="AA79" s="93"/>
      <c r="AB79" s="93"/>
      <c r="AC79" s="93"/>
      <c r="AD79" s="93"/>
      <c r="AE79" s="95"/>
      <c r="AF79" s="49"/>
      <c r="AG79" s="93"/>
      <c r="AH79" s="93"/>
      <c r="AI79" s="49"/>
      <c r="AJ79" s="93"/>
      <c r="AK79" s="93"/>
      <c r="AL79" s="93"/>
      <c r="AM79" s="93"/>
      <c r="AN79" s="93"/>
      <c r="AO79" s="95"/>
      <c r="AP79" s="49"/>
      <c r="AQ79" s="93"/>
      <c r="AR79" s="95"/>
      <c r="AS79" s="95"/>
      <c r="AT79" s="95"/>
      <c r="AU79" s="95"/>
      <c r="AV79" s="95"/>
      <c r="AW79" s="95"/>
      <c r="AX79" s="95"/>
      <c r="AY79" s="49"/>
      <c r="AZ79" s="93"/>
      <c r="BA79" s="95"/>
      <c r="BB79" s="95"/>
      <c r="BC79" s="95"/>
      <c r="BD79" s="95"/>
      <c r="BE79" s="95"/>
      <c r="BF79" s="49"/>
      <c r="BG79" s="95"/>
      <c r="BH79" s="95"/>
      <c r="BI79" s="95"/>
      <c r="BJ79" s="95"/>
      <c r="BK79" s="95"/>
      <c r="BL79" s="95"/>
      <c r="BM79" s="95"/>
      <c r="BN79" s="95"/>
      <c r="BO79" s="49"/>
      <c r="BP79" s="93"/>
      <c r="BQ79" s="95"/>
      <c r="BR79" s="95"/>
      <c r="BS79" s="95"/>
      <c r="BT79" s="95"/>
      <c r="BU79" s="95"/>
      <c r="BV79" s="49"/>
      <c r="BW79" s="95"/>
      <c r="BX79" s="95"/>
      <c r="BY79" s="95"/>
      <c r="BZ79" s="95"/>
      <c r="CA79" s="95"/>
      <c r="CB79" s="95"/>
      <c r="CC79" s="49"/>
      <c r="CD79" s="95"/>
      <c r="CE79" s="95"/>
      <c r="CF79" s="95"/>
      <c r="CG79" s="95"/>
      <c r="CH79" s="95"/>
      <c r="CI79" s="98"/>
      <c r="CJ79" s="66"/>
      <c r="CK79" s="114"/>
      <c r="CL79" s="66"/>
      <c r="CM79" s="66"/>
      <c r="CN79" s="66"/>
      <c r="CO79" s="66"/>
      <c r="CP79" s="66"/>
      <c r="CQ79" s="66"/>
      <c r="CR79" s="66"/>
      <c r="CS79" s="66"/>
      <c r="CT79" s="66"/>
      <c r="CU79" s="66"/>
      <c r="CV79" s="66"/>
      <c r="CW79" s="66"/>
      <c r="CX79" s="66"/>
      <c r="CY79" s="66"/>
      <c r="CZ79" s="66"/>
      <c r="DA79" s="66"/>
      <c r="DB79" s="66"/>
      <c r="DC79" s="66"/>
      <c r="DD79" s="66"/>
      <c r="DE79" s="66"/>
      <c r="DF79" s="66"/>
      <c r="DG79" s="66"/>
      <c r="DH79" s="66"/>
      <c r="DI79" s="66"/>
      <c r="DJ79" s="66"/>
      <c r="DK79" s="66"/>
      <c r="DL79" s="66"/>
      <c r="DM79" s="66"/>
      <c r="DN79" s="66"/>
      <c r="DO79" s="66"/>
      <c r="DP79" s="66"/>
      <c r="DQ79" s="66"/>
      <c r="DR79" s="66"/>
      <c r="DS79" s="66"/>
      <c r="DT79" s="66"/>
      <c r="DU79" s="66"/>
      <c r="DV79" s="66"/>
      <c r="DW79" s="66"/>
      <c r="DX79" s="66"/>
      <c r="DY79" s="66"/>
      <c r="DZ79" s="66"/>
      <c r="EA79" s="66"/>
      <c r="EB79" s="66"/>
      <c r="EC79" s="77"/>
      <c r="ED79" s="66"/>
      <c r="EE79" s="66"/>
      <c r="EF79" s="66"/>
      <c r="EG79" s="66"/>
      <c r="EH79" s="66"/>
      <c r="EI79" s="66"/>
      <c r="EJ79" s="66"/>
      <c r="EK79" s="66"/>
      <c r="EL79" s="66"/>
      <c r="EM79" s="66"/>
      <c r="EN79" s="66"/>
      <c r="EO79" s="66"/>
      <c r="EP79" s="66"/>
      <c r="EQ79" s="66"/>
      <c r="ER79" s="66"/>
      <c r="ES79" s="66"/>
      <c r="ET79" s="66"/>
      <c r="EU79" s="66"/>
      <c r="EV79" s="66"/>
      <c r="EW79" s="66"/>
      <c r="EX79" s="66"/>
      <c r="EY79" s="66"/>
      <c r="EZ79" s="66"/>
      <c r="FA79" s="66"/>
      <c r="FB79" s="66"/>
      <c r="FC79" s="66"/>
      <c r="FD79" s="66"/>
      <c r="FE79" s="66"/>
      <c r="FF79" s="66"/>
      <c r="FG79" s="66"/>
      <c r="FH79" s="66"/>
      <c r="FI79" s="66"/>
      <c r="FJ79" s="66"/>
      <c r="FK79" s="66"/>
      <c r="FL79" s="65"/>
    </row>
    <row r="80" spans="1:170" ht="24.95" customHeight="1">
      <c r="A80" s="1">
        <f t="shared" si="14"/>
        <v>72</v>
      </c>
      <c r="B80" s="69"/>
      <c r="C80" s="65"/>
      <c r="D80" s="65"/>
      <c r="E80" s="65"/>
      <c r="F80" s="49"/>
      <c r="G80" s="93"/>
      <c r="H80" s="93"/>
      <c r="I80" s="93"/>
      <c r="J80" s="95"/>
      <c r="K80" s="95"/>
      <c r="L80" s="49"/>
      <c r="M80" s="93"/>
      <c r="N80" s="93"/>
      <c r="O80" s="93"/>
      <c r="P80" s="93"/>
      <c r="Q80" s="93"/>
      <c r="R80" s="93"/>
      <c r="S80" s="93"/>
      <c r="T80" s="93"/>
      <c r="U80" s="95"/>
      <c r="V80" s="49"/>
      <c r="W80" s="93"/>
      <c r="X80" s="93"/>
      <c r="Y80" s="93"/>
      <c r="Z80" s="49"/>
      <c r="AA80" s="93"/>
      <c r="AB80" s="93"/>
      <c r="AC80" s="93"/>
      <c r="AD80" s="93"/>
      <c r="AE80" s="95"/>
      <c r="AF80" s="49"/>
      <c r="AG80" s="93"/>
      <c r="AH80" s="93"/>
      <c r="AI80" s="49"/>
      <c r="AJ80" s="93"/>
      <c r="AK80" s="93"/>
      <c r="AL80" s="93"/>
      <c r="AM80" s="93"/>
      <c r="AN80" s="93"/>
      <c r="AO80" s="95"/>
      <c r="AP80" s="49"/>
      <c r="AQ80" s="93"/>
      <c r="AR80" s="95"/>
      <c r="AS80" s="95"/>
      <c r="AT80" s="95"/>
      <c r="AU80" s="95"/>
      <c r="AV80" s="95"/>
      <c r="AW80" s="95"/>
      <c r="AX80" s="95"/>
      <c r="AY80" s="49"/>
      <c r="AZ80" s="93"/>
      <c r="BA80" s="95"/>
      <c r="BB80" s="95"/>
      <c r="BC80" s="95"/>
      <c r="BD80" s="95"/>
      <c r="BE80" s="95"/>
      <c r="BF80" s="49"/>
      <c r="BG80" s="95"/>
      <c r="BH80" s="95"/>
      <c r="BI80" s="95"/>
      <c r="BJ80" s="95"/>
      <c r="BK80" s="95"/>
      <c r="BL80" s="95"/>
      <c r="BM80" s="95"/>
      <c r="BN80" s="95"/>
      <c r="BO80" s="49"/>
      <c r="BP80" s="93"/>
      <c r="BQ80" s="95"/>
      <c r="BR80" s="95"/>
      <c r="BS80" s="95"/>
      <c r="BT80" s="95"/>
      <c r="BU80" s="95"/>
      <c r="BV80" s="49"/>
      <c r="BW80" s="95"/>
      <c r="BX80" s="95"/>
      <c r="BY80" s="95"/>
      <c r="BZ80" s="95"/>
      <c r="CA80" s="95"/>
      <c r="CB80" s="95"/>
      <c r="CC80" s="49"/>
      <c r="CD80" s="95"/>
      <c r="CE80" s="95"/>
      <c r="CF80" s="95"/>
      <c r="CG80" s="95"/>
      <c r="CH80" s="95"/>
      <c r="CI80" s="95"/>
      <c r="CJ80" s="66"/>
      <c r="CK80" s="114"/>
      <c r="CL80" s="66"/>
      <c r="CM80" s="66"/>
      <c r="CN80" s="66"/>
      <c r="CO80" s="66"/>
      <c r="CP80" s="66"/>
      <c r="CQ80" s="66"/>
      <c r="CR80" s="66"/>
      <c r="CS80" s="66"/>
      <c r="CT80" s="66"/>
      <c r="CU80" s="66"/>
      <c r="CV80" s="66"/>
      <c r="CW80" s="66"/>
      <c r="CX80" s="66"/>
      <c r="CY80" s="66"/>
      <c r="CZ80" s="66"/>
      <c r="DA80" s="66"/>
      <c r="DB80" s="66"/>
      <c r="DC80" s="66"/>
      <c r="DD80" s="66"/>
      <c r="DE80" s="66"/>
      <c r="DF80" s="66"/>
      <c r="DG80" s="66"/>
      <c r="DH80" s="66"/>
      <c r="DI80" s="66"/>
      <c r="DJ80" s="66"/>
      <c r="DK80" s="66"/>
      <c r="DL80" s="66"/>
      <c r="DM80" s="66"/>
      <c r="DN80" s="66"/>
      <c r="DO80" s="66"/>
      <c r="DP80" s="66"/>
      <c r="DQ80" s="66"/>
      <c r="DR80" s="66"/>
      <c r="DS80" s="66"/>
      <c r="DT80" s="66"/>
      <c r="DU80" s="66"/>
      <c r="DV80" s="66"/>
      <c r="DW80" s="66"/>
      <c r="DX80" s="66"/>
      <c r="DY80" s="66"/>
      <c r="DZ80" s="66"/>
      <c r="EA80" s="66"/>
      <c r="EB80" s="66"/>
      <c r="EC80" s="77"/>
      <c r="ED80" s="66"/>
      <c r="EE80" s="66"/>
      <c r="EF80" s="66"/>
      <c r="EG80" s="66"/>
      <c r="EH80" s="66"/>
      <c r="EI80" s="66"/>
      <c r="EJ80" s="66"/>
      <c r="EK80" s="66"/>
      <c r="EL80" s="66"/>
      <c r="EM80" s="66"/>
      <c r="EN80" s="66"/>
      <c r="EO80" s="66"/>
      <c r="EP80" s="66"/>
      <c r="EQ80" s="66"/>
      <c r="ER80" s="66"/>
      <c r="ES80" s="66"/>
      <c r="ET80" s="66"/>
      <c r="EU80" s="66"/>
      <c r="EV80" s="66"/>
      <c r="EW80" s="66"/>
      <c r="EX80" s="66"/>
      <c r="EY80" s="66"/>
      <c r="EZ80" s="66"/>
      <c r="FA80" s="66"/>
      <c r="FB80" s="66"/>
      <c r="FC80" s="66"/>
      <c r="FD80" s="66"/>
      <c r="FE80" s="66"/>
      <c r="FF80" s="66"/>
      <c r="FG80" s="66"/>
      <c r="FH80" s="66"/>
      <c r="FI80" s="66"/>
      <c r="FJ80" s="66"/>
      <c r="FK80" s="66"/>
      <c r="FL80" s="65"/>
    </row>
    <row r="81" spans="1:168" ht="24.95" customHeight="1">
      <c r="A81" s="1">
        <f t="shared" si="14"/>
        <v>73</v>
      </c>
      <c r="B81" s="69"/>
      <c r="C81" s="65"/>
      <c r="D81" s="65"/>
      <c r="E81" s="65"/>
      <c r="F81" s="49"/>
      <c r="G81" s="93"/>
      <c r="H81" s="93"/>
      <c r="I81" s="93"/>
      <c r="J81" s="95"/>
      <c r="K81" s="95"/>
      <c r="L81" s="49"/>
      <c r="M81" s="93"/>
      <c r="N81" s="93"/>
      <c r="O81" s="93"/>
      <c r="P81" s="93"/>
      <c r="Q81" s="93"/>
      <c r="R81" s="93"/>
      <c r="S81" s="93"/>
      <c r="T81" s="93"/>
      <c r="U81" s="95"/>
      <c r="V81" s="49"/>
      <c r="W81" s="93"/>
      <c r="X81" s="93"/>
      <c r="Y81" s="93"/>
      <c r="Z81" s="49"/>
      <c r="AA81" s="93"/>
      <c r="AB81" s="93"/>
      <c r="AC81" s="93"/>
      <c r="AD81" s="93"/>
      <c r="AE81" s="95"/>
      <c r="AF81" s="49"/>
      <c r="AG81" s="93"/>
      <c r="AH81" s="93"/>
      <c r="AI81" s="49"/>
      <c r="AJ81" s="93"/>
      <c r="AK81" s="93"/>
      <c r="AL81" s="93"/>
      <c r="AM81" s="93"/>
      <c r="AN81" s="93"/>
      <c r="AO81" s="95"/>
      <c r="AP81" s="49"/>
      <c r="AQ81" s="93"/>
      <c r="AR81" s="95"/>
      <c r="AS81" s="95"/>
      <c r="AT81" s="95"/>
      <c r="AU81" s="95"/>
      <c r="AV81" s="95"/>
      <c r="AW81" s="95"/>
      <c r="AX81" s="95"/>
      <c r="AY81" s="49"/>
      <c r="AZ81" s="93"/>
      <c r="BA81" s="95"/>
      <c r="BB81" s="95"/>
      <c r="BC81" s="95"/>
      <c r="BD81" s="95"/>
      <c r="BE81" s="95"/>
      <c r="BF81" s="49"/>
      <c r="BG81" s="95"/>
      <c r="BH81" s="95"/>
      <c r="BI81" s="95"/>
      <c r="BJ81" s="95"/>
      <c r="BK81" s="95"/>
      <c r="BL81" s="95"/>
      <c r="BM81" s="95"/>
      <c r="BN81" s="95"/>
      <c r="BO81" s="49"/>
      <c r="BP81" s="93"/>
      <c r="BQ81" s="95"/>
      <c r="BR81" s="95"/>
      <c r="BS81" s="95"/>
      <c r="BT81" s="95"/>
      <c r="BU81" s="95"/>
      <c r="BV81" s="49"/>
      <c r="BW81" s="95"/>
      <c r="BX81" s="95"/>
      <c r="BY81" s="95"/>
      <c r="BZ81" s="95"/>
      <c r="CA81" s="95"/>
      <c r="CB81" s="95"/>
      <c r="CC81" s="49"/>
      <c r="CD81" s="95"/>
      <c r="CE81" s="95"/>
      <c r="CF81" s="95"/>
      <c r="CG81" s="95"/>
      <c r="CH81" s="95"/>
      <c r="CI81" s="95"/>
      <c r="CJ81" s="66"/>
      <c r="CK81" s="114"/>
      <c r="CL81" s="66"/>
      <c r="CM81" s="66"/>
      <c r="CN81" s="66"/>
      <c r="CO81" s="66"/>
      <c r="CP81" s="66"/>
      <c r="CQ81" s="66"/>
      <c r="CR81" s="66"/>
      <c r="CS81" s="66"/>
      <c r="CT81" s="66"/>
      <c r="CU81" s="66"/>
      <c r="CV81" s="66"/>
      <c r="CW81" s="66"/>
      <c r="CX81" s="66"/>
      <c r="CY81" s="66"/>
      <c r="CZ81" s="66"/>
      <c r="DA81" s="66"/>
      <c r="DB81" s="66"/>
      <c r="DC81" s="66"/>
      <c r="DD81" s="66"/>
      <c r="DE81" s="66"/>
      <c r="DF81" s="66"/>
      <c r="DG81" s="66"/>
      <c r="DH81" s="66"/>
      <c r="DI81" s="66"/>
      <c r="DJ81" s="66"/>
      <c r="DK81" s="66"/>
      <c r="DL81" s="66"/>
      <c r="DM81" s="66"/>
      <c r="DN81" s="66"/>
      <c r="DO81" s="66"/>
      <c r="DP81" s="66"/>
      <c r="DQ81" s="66"/>
      <c r="DR81" s="66"/>
      <c r="DS81" s="66"/>
      <c r="DT81" s="66"/>
      <c r="DU81" s="66"/>
      <c r="DV81" s="66"/>
      <c r="DW81" s="66"/>
      <c r="DX81" s="66"/>
      <c r="DY81" s="66"/>
      <c r="DZ81" s="66"/>
      <c r="EA81" s="66"/>
      <c r="EB81" s="66"/>
      <c r="EC81" s="77"/>
      <c r="ED81" s="66"/>
      <c r="EE81" s="66"/>
      <c r="EF81" s="66"/>
      <c r="EG81" s="66"/>
      <c r="EH81" s="66"/>
      <c r="EI81" s="66"/>
      <c r="EJ81" s="66"/>
      <c r="EK81" s="66"/>
      <c r="EL81" s="66"/>
      <c r="EM81" s="66"/>
      <c r="EN81" s="66"/>
      <c r="EO81" s="66"/>
      <c r="EP81" s="66"/>
      <c r="EQ81" s="66"/>
      <c r="ER81" s="66"/>
      <c r="ES81" s="66"/>
      <c r="ET81" s="66"/>
      <c r="EU81" s="66"/>
      <c r="EV81" s="66"/>
      <c r="EW81" s="66"/>
      <c r="EX81" s="66"/>
      <c r="EY81" s="66"/>
      <c r="EZ81" s="66"/>
      <c r="FA81" s="66"/>
      <c r="FB81" s="66"/>
      <c r="FC81" s="66"/>
      <c r="FD81" s="66"/>
      <c r="FE81" s="66"/>
      <c r="FF81" s="66"/>
      <c r="FG81" s="66"/>
      <c r="FH81" s="66"/>
      <c r="FI81" s="66"/>
      <c r="FJ81" s="66"/>
      <c r="FK81" s="66"/>
      <c r="FL81" s="65"/>
    </row>
    <row r="82" spans="1:168" ht="24.95" customHeight="1">
      <c r="A82" s="1">
        <f t="shared" si="14"/>
        <v>74</v>
      </c>
      <c r="B82" s="69"/>
      <c r="C82" s="65"/>
      <c r="D82" s="65"/>
      <c r="E82" s="65"/>
      <c r="F82" s="49"/>
      <c r="G82" s="93"/>
      <c r="H82" s="93"/>
      <c r="I82" s="93"/>
      <c r="J82" s="95"/>
      <c r="K82" s="95"/>
      <c r="L82" s="49"/>
      <c r="M82" s="93"/>
      <c r="N82" s="93"/>
      <c r="O82" s="93"/>
      <c r="P82" s="93"/>
      <c r="Q82" s="93"/>
      <c r="R82" s="93"/>
      <c r="S82" s="93"/>
      <c r="T82" s="93"/>
      <c r="U82" s="95"/>
      <c r="V82" s="49"/>
      <c r="W82" s="93"/>
      <c r="X82" s="93"/>
      <c r="Y82" s="93"/>
      <c r="Z82" s="49"/>
      <c r="AA82" s="93"/>
      <c r="AB82" s="93"/>
      <c r="AC82" s="93"/>
      <c r="AD82" s="93"/>
      <c r="AE82" s="95"/>
      <c r="AF82" s="49"/>
      <c r="AG82" s="93"/>
      <c r="AH82" s="93"/>
      <c r="AI82" s="49"/>
      <c r="AJ82" s="93"/>
      <c r="AK82" s="93"/>
      <c r="AL82" s="93"/>
      <c r="AM82" s="93"/>
      <c r="AN82" s="93"/>
      <c r="AO82" s="95"/>
      <c r="AP82" s="49"/>
      <c r="AQ82" s="93"/>
      <c r="AR82" s="95"/>
      <c r="AS82" s="95"/>
      <c r="AT82" s="95"/>
      <c r="AU82" s="95"/>
      <c r="AV82" s="95"/>
      <c r="AW82" s="95"/>
      <c r="AX82" s="95"/>
      <c r="AY82" s="49"/>
      <c r="AZ82" s="93"/>
      <c r="BA82" s="95"/>
      <c r="BB82" s="95"/>
      <c r="BC82" s="95"/>
      <c r="BD82" s="95"/>
      <c r="BE82" s="95"/>
      <c r="BF82" s="49"/>
      <c r="BG82" s="95"/>
      <c r="BH82" s="95"/>
      <c r="BI82" s="95"/>
      <c r="BJ82" s="95"/>
      <c r="BK82" s="95"/>
      <c r="BL82" s="95"/>
      <c r="BM82" s="95"/>
      <c r="BN82" s="95"/>
      <c r="BO82" s="49"/>
      <c r="BP82" s="93"/>
      <c r="BQ82" s="95"/>
      <c r="BR82" s="95"/>
      <c r="BS82" s="95"/>
      <c r="BT82" s="95"/>
      <c r="BU82" s="95"/>
      <c r="BV82" s="49"/>
      <c r="BW82" s="95"/>
      <c r="BX82" s="95"/>
      <c r="BY82" s="95"/>
      <c r="BZ82" s="95"/>
      <c r="CA82" s="95"/>
      <c r="CB82" s="95"/>
      <c r="CC82" s="49"/>
      <c r="CD82" s="95"/>
      <c r="CE82" s="95"/>
      <c r="CF82" s="95"/>
      <c r="CG82" s="95"/>
      <c r="CH82" s="95"/>
      <c r="CI82" s="95"/>
      <c r="CJ82" s="66"/>
      <c r="CK82" s="114"/>
      <c r="CL82" s="66"/>
      <c r="CM82" s="66"/>
      <c r="CN82" s="66"/>
      <c r="CO82" s="66"/>
      <c r="CP82" s="66"/>
      <c r="CQ82" s="66"/>
      <c r="CR82" s="66"/>
      <c r="CS82" s="66"/>
      <c r="CT82" s="66"/>
      <c r="CU82" s="66"/>
      <c r="CV82" s="66"/>
      <c r="CW82" s="66"/>
      <c r="CX82" s="66"/>
      <c r="CY82" s="66"/>
      <c r="CZ82" s="66"/>
      <c r="DA82" s="66"/>
      <c r="DB82" s="66"/>
      <c r="DC82" s="66"/>
      <c r="DD82" s="66"/>
      <c r="DE82" s="66"/>
      <c r="DF82" s="66"/>
      <c r="DG82" s="66"/>
      <c r="DH82" s="66"/>
      <c r="DI82" s="66"/>
      <c r="DJ82" s="66"/>
      <c r="DK82" s="66"/>
      <c r="DL82" s="66"/>
      <c r="DM82" s="66"/>
      <c r="DN82" s="66"/>
      <c r="DO82" s="66"/>
      <c r="DP82" s="66"/>
      <c r="DQ82" s="66"/>
      <c r="DR82" s="66"/>
      <c r="DS82" s="66"/>
      <c r="DT82" s="66"/>
      <c r="DU82" s="66"/>
      <c r="DV82" s="66"/>
      <c r="DW82" s="66"/>
      <c r="DX82" s="66"/>
      <c r="DY82" s="66"/>
      <c r="DZ82" s="66"/>
      <c r="EA82" s="66"/>
      <c r="EB82" s="66"/>
      <c r="EC82" s="77"/>
      <c r="ED82" s="66"/>
      <c r="EE82" s="66"/>
      <c r="EF82" s="66"/>
      <c r="EG82" s="66"/>
      <c r="EH82" s="66"/>
      <c r="EI82" s="66"/>
      <c r="EJ82" s="66"/>
      <c r="EK82" s="66"/>
      <c r="EL82" s="66"/>
      <c r="EM82" s="66"/>
      <c r="EN82" s="66"/>
      <c r="EO82" s="66"/>
      <c r="EP82" s="66"/>
      <c r="EQ82" s="66"/>
      <c r="ER82" s="66"/>
      <c r="ES82" s="66"/>
      <c r="ET82" s="66"/>
      <c r="EU82" s="66"/>
      <c r="EV82" s="66"/>
      <c r="EW82" s="66"/>
      <c r="EX82" s="66"/>
      <c r="EY82" s="66"/>
      <c r="EZ82" s="66"/>
      <c r="FA82" s="66"/>
      <c r="FB82" s="66"/>
      <c r="FC82" s="66"/>
      <c r="FD82" s="66"/>
      <c r="FE82" s="66"/>
      <c r="FF82" s="66"/>
      <c r="FG82" s="66"/>
      <c r="FH82" s="66"/>
      <c r="FI82" s="66"/>
      <c r="FJ82" s="66"/>
      <c r="FK82" s="66"/>
      <c r="FL82" s="65"/>
    </row>
    <row r="83" spans="1:168" ht="24.95" customHeight="1">
      <c r="A83" s="1">
        <f t="shared" si="14"/>
        <v>75</v>
      </c>
      <c r="B83" s="69"/>
      <c r="C83" s="65"/>
      <c r="D83" s="65"/>
      <c r="E83" s="65"/>
      <c r="F83" s="49"/>
      <c r="G83" s="93"/>
      <c r="H83" s="93"/>
      <c r="I83" s="93"/>
      <c r="J83" s="95"/>
      <c r="K83" s="95"/>
      <c r="L83" s="49"/>
      <c r="M83" s="93"/>
      <c r="N83" s="93"/>
      <c r="O83" s="93"/>
      <c r="P83" s="93"/>
      <c r="Q83" s="93"/>
      <c r="R83" s="93"/>
      <c r="S83" s="93"/>
      <c r="T83" s="93"/>
      <c r="U83" s="95"/>
      <c r="V83" s="49"/>
      <c r="W83" s="93"/>
      <c r="X83" s="93"/>
      <c r="Y83" s="93"/>
      <c r="Z83" s="49"/>
      <c r="AA83" s="93"/>
      <c r="AB83" s="93"/>
      <c r="AC83" s="93"/>
      <c r="AD83" s="93"/>
      <c r="AE83" s="95"/>
      <c r="AF83" s="49"/>
      <c r="AG83" s="93"/>
      <c r="AH83" s="93"/>
      <c r="AI83" s="49"/>
      <c r="AJ83" s="93"/>
      <c r="AK83" s="93"/>
      <c r="AL83" s="93"/>
      <c r="AM83" s="93"/>
      <c r="AN83" s="93"/>
      <c r="AO83" s="95"/>
      <c r="AP83" s="49"/>
      <c r="AQ83" s="93"/>
      <c r="AR83" s="95"/>
      <c r="AS83" s="95"/>
      <c r="AT83" s="95"/>
      <c r="AU83" s="95"/>
      <c r="AV83" s="95"/>
      <c r="AW83" s="95"/>
      <c r="AX83" s="95"/>
      <c r="AY83" s="49"/>
      <c r="AZ83" s="93"/>
      <c r="BA83" s="95"/>
      <c r="BB83" s="95"/>
      <c r="BC83" s="95"/>
      <c r="BD83" s="95"/>
      <c r="BE83" s="95"/>
      <c r="BF83" s="49"/>
      <c r="BG83" s="95"/>
      <c r="BH83" s="95"/>
      <c r="BI83" s="95"/>
      <c r="BJ83" s="95"/>
      <c r="BK83" s="95"/>
      <c r="BL83" s="95"/>
      <c r="BM83" s="95"/>
      <c r="BN83" s="95"/>
      <c r="BO83" s="49"/>
      <c r="BP83" s="93"/>
      <c r="BQ83" s="95"/>
      <c r="BR83" s="95"/>
      <c r="BS83" s="95"/>
      <c r="BT83" s="95"/>
      <c r="BU83" s="95"/>
      <c r="BV83" s="49"/>
      <c r="BW83" s="95"/>
      <c r="BX83" s="95"/>
      <c r="BY83" s="95"/>
      <c r="BZ83" s="95"/>
      <c r="CA83" s="95"/>
      <c r="CB83" s="95"/>
      <c r="CC83" s="49"/>
      <c r="CD83" s="95"/>
      <c r="CE83" s="95"/>
      <c r="CF83" s="95"/>
      <c r="CG83" s="95"/>
      <c r="CH83" s="95"/>
      <c r="CI83" s="95"/>
      <c r="CJ83" s="66"/>
      <c r="CK83" s="114"/>
      <c r="CL83" s="66"/>
      <c r="CM83" s="66"/>
      <c r="CN83" s="66"/>
      <c r="CO83" s="66"/>
      <c r="CP83" s="66"/>
      <c r="CQ83" s="66"/>
      <c r="CR83" s="66"/>
      <c r="CS83" s="66"/>
      <c r="CT83" s="66"/>
      <c r="CU83" s="66"/>
      <c r="CV83" s="66"/>
      <c r="CW83" s="66"/>
      <c r="CX83" s="66"/>
      <c r="CY83" s="66"/>
      <c r="CZ83" s="66"/>
      <c r="DA83" s="66"/>
      <c r="DB83" s="66"/>
      <c r="DC83" s="66"/>
      <c r="DD83" s="66"/>
      <c r="DE83" s="66"/>
      <c r="DF83" s="66"/>
      <c r="DG83" s="66"/>
      <c r="DH83" s="66"/>
      <c r="DI83" s="66"/>
      <c r="DJ83" s="66"/>
      <c r="DK83" s="66"/>
      <c r="DL83" s="66"/>
      <c r="DM83" s="66"/>
      <c r="DN83" s="66"/>
      <c r="DO83" s="66"/>
      <c r="DP83" s="66"/>
      <c r="DQ83" s="66"/>
      <c r="DR83" s="66"/>
      <c r="DS83" s="66"/>
      <c r="DT83" s="66"/>
      <c r="DU83" s="66"/>
      <c r="DV83" s="66"/>
      <c r="DW83" s="66"/>
      <c r="DX83" s="66"/>
      <c r="DY83" s="66"/>
      <c r="DZ83" s="66"/>
      <c r="EA83" s="66"/>
      <c r="EB83" s="66"/>
      <c r="EC83" s="77"/>
      <c r="ED83" s="66"/>
      <c r="EE83" s="66"/>
      <c r="EF83" s="66"/>
      <c r="EG83" s="66"/>
      <c r="EH83" s="66"/>
      <c r="EI83" s="66"/>
      <c r="EJ83" s="66"/>
      <c r="EK83" s="66"/>
      <c r="EL83" s="66"/>
      <c r="EM83" s="66"/>
      <c r="EN83" s="66"/>
      <c r="EO83" s="66"/>
      <c r="EP83" s="66"/>
      <c r="EQ83" s="66"/>
      <c r="ER83" s="66"/>
      <c r="ES83" s="66"/>
      <c r="ET83" s="66"/>
      <c r="EU83" s="66"/>
      <c r="EV83" s="66"/>
      <c r="EW83" s="66"/>
      <c r="EX83" s="66"/>
      <c r="EY83" s="66"/>
      <c r="EZ83" s="66"/>
      <c r="FA83" s="66"/>
      <c r="FB83" s="66"/>
      <c r="FC83" s="66"/>
      <c r="FD83" s="66"/>
      <c r="FE83" s="66"/>
      <c r="FF83" s="66"/>
      <c r="FG83" s="66"/>
      <c r="FH83" s="66"/>
      <c r="FI83" s="66"/>
      <c r="FJ83" s="66"/>
      <c r="FK83" s="66"/>
      <c r="FL83" s="65"/>
    </row>
    <row r="84" spans="1:168" ht="24.95" customHeight="1">
      <c r="A84" s="1">
        <f t="shared" si="14"/>
        <v>76</v>
      </c>
      <c r="B84" s="69"/>
      <c r="C84" s="65"/>
      <c r="D84" s="65"/>
      <c r="E84" s="65"/>
      <c r="F84" s="49"/>
      <c r="G84" s="93"/>
      <c r="H84" s="93"/>
      <c r="I84" s="93"/>
      <c r="J84" s="95"/>
      <c r="K84" s="95"/>
      <c r="L84" s="49"/>
      <c r="M84" s="93"/>
      <c r="N84" s="93"/>
      <c r="O84" s="93"/>
      <c r="P84" s="93"/>
      <c r="Q84" s="93"/>
      <c r="R84" s="93"/>
      <c r="S84" s="93"/>
      <c r="T84" s="93"/>
      <c r="U84" s="95"/>
      <c r="V84" s="49"/>
      <c r="W84" s="93"/>
      <c r="X84" s="93"/>
      <c r="Y84" s="93"/>
      <c r="Z84" s="49"/>
      <c r="AA84" s="93"/>
      <c r="AB84" s="93"/>
      <c r="AC84" s="93"/>
      <c r="AD84" s="93"/>
      <c r="AE84" s="95"/>
      <c r="AF84" s="49"/>
      <c r="AG84" s="93"/>
      <c r="AH84" s="93"/>
      <c r="AI84" s="49"/>
      <c r="AJ84" s="93"/>
      <c r="AK84" s="93"/>
      <c r="AL84" s="93"/>
      <c r="AM84" s="93"/>
      <c r="AN84" s="93"/>
      <c r="AO84" s="95"/>
      <c r="AP84" s="49"/>
      <c r="AQ84" s="93"/>
      <c r="AR84" s="95"/>
      <c r="AS84" s="95"/>
      <c r="AT84" s="95"/>
      <c r="AU84" s="95"/>
      <c r="AV84" s="95"/>
      <c r="AW84" s="95"/>
      <c r="AX84" s="95"/>
      <c r="AY84" s="49"/>
      <c r="AZ84" s="93"/>
      <c r="BA84" s="95"/>
      <c r="BB84" s="95"/>
      <c r="BC84" s="95"/>
      <c r="BD84" s="95"/>
      <c r="BE84" s="95"/>
      <c r="BF84" s="49"/>
      <c r="BG84" s="95"/>
      <c r="BH84" s="95"/>
      <c r="BI84" s="95"/>
      <c r="BJ84" s="95"/>
      <c r="BK84" s="95"/>
      <c r="BL84" s="95"/>
      <c r="BM84" s="95"/>
      <c r="BN84" s="95"/>
      <c r="BO84" s="49"/>
      <c r="BP84" s="93"/>
      <c r="BQ84" s="95"/>
      <c r="BR84" s="95"/>
      <c r="BS84" s="95"/>
      <c r="BT84" s="95"/>
      <c r="BU84" s="95"/>
      <c r="BV84" s="49"/>
      <c r="BW84" s="95"/>
      <c r="BX84" s="95"/>
      <c r="BY84" s="95"/>
      <c r="BZ84" s="95"/>
      <c r="CA84" s="95"/>
      <c r="CB84" s="95"/>
      <c r="CC84" s="49"/>
      <c r="CD84" s="95"/>
      <c r="CE84" s="95"/>
      <c r="CF84" s="95"/>
      <c r="CG84" s="95"/>
      <c r="CH84" s="95"/>
      <c r="CI84" s="95"/>
      <c r="CJ84" s="66"/>
      <c r="CK84" s="114"/>
      <c r="CL84" s="66"/>
      <c r="CM84" s="66"/>
      <c r="CN84" s="66"/>
      <c r="CO84" s="66"/>
      <c r="CP84" s="66"/>
      <c r="CQ84" s="66"/>
      <c r="CR84" s="66"/>
      <c r="CS84" s="66"/>
      <c r="CT84" s="66"/>
      <c r="CU84" s="66"/>
      <c r="CV84" s="66"/>
      <c r="CW84" s="66"/>
      <c r="CX84" s="66"/>
      <c r="CY84" s="66"/>
      <c r="CZ84" s="66"/>
      <c r="DA84" s="66"/>
      <c r="DB84" s="66"/>
      <c r="DC84" s="66"/>
      <c r="DD84" s="66"/>
      <c r="DE84" s="66"/>
      <c r="DF84" s="66"/>
      <c r="DG84" s="66"/>
      <c r="DH84" s="66"/>
      <c r="DI84" s="66"/>
      <c r="DJ84" s="66"/>
      <c r="DK84" s="66"/>
      <c r="DL84" s="66"/>
      <c r="DM84" s="66"/>
      <c r="DN84" s="66"/>
      <c r="DO84" s="66"/>
      <c r="DP84" s="66"/>
      <c r="DQ84" s="66"/>
      <c r="DR84" s="66"/>
      <c r="DS84" s="66"/>
      <c r="DT84" s="66"/>
      <c r="DU84" s="66"/>
      <c r="DV84" s="66"/>
      <c r="DW84" s="66"/>
      <c r="DX84" s="66"/>
      <c r="DY84" s="66"/>
      <c r="DZ84" s="66"/>
      <c r="EA84" s="66"/>
      <c r="EB84" s="66"/>
      <c r="EC84" s="77"/>
      <c r="ED84" s="66"/>
      <c r="EE84" s="66"/>
      <c r="EF84" s="66"/>
      <c r="EG84" s="66"/>
      <c r="EH84" s="66"/>
      <c r="EI84" s="66"/>
      <c r="EJ84" s="66"/>
      <c r="EK84" s="66"/>
      <c r="EL84" s="66"/>
      <c r="EM84" s="66"/>
      <c r="EN84" s="66"/>
      <c r="EO84" s="66"/>
      <c r="EP84" s="66"/>
      <c r="EQ84" s="66"/>
      <c r="ER84" s="66"/>
      <c r="ES84" s="66"/>
      <c r="ET84" s="66"/>
      <c r="EU84" s="66"/>
      <c r="EV84" s="66"/>
      <c r="EW84" s="66"/>
      <c r="EX84" s="66"/>
      <c r="EY84" s="66"/>
      <c r="EZ84" s="66"/>
      <c r="FA84" s="66"/>
      <c r="FB84" s="66"/>
      <c r="FC84" s="66"/>
      <c r="FD84" s="66"/>
      <c r="FE84" s="66"/>
      <c r="FF84" s="66"/>
      <c r="FG84" s="66"/>
      <c r="FH84" s="66"/>
      <c r="FI84" s="66"/>
      <c r="FJ84" s="66"/>
      <c r="FK84" s="66"/>
      <c r="FL84" s="65"/>
    </row>
    <row r="85" spans="1:168" ht="24.95" customHeight="1">
      <c r="A85" s="1">
        <f t="shared" si="14"/>
        <v>77</v>
      </c>
      <c r="B85" s="69"/>
      <c r="C85" s="65"/>
      <c r="D85" s="65"/>
      <c r="E85" s="65"/>
      <c r="F85" s="49"/>
      <c r="G85" s="93"/>
      <c r="H85" s="93"/>
      <c r="I85" s="93"/>
      <c r="J85" s="95"/>
      <c r="K85" s="95"/>
      <c r="L85" s="49"/>
      <c r="M85" s="93"/>
      <c r="N85" s="93"/>
      <c r="O85" s="93"/>
      <c r="P85" s="93"/>
      <c r="Q85" s="93"/>
      <c r="R85" s="93"/>
      <c r="S85" s="93"/>
      <c r="T85" s="93"/>
      <c r="U85" s="95"/>
      <c r="V85" s="49"/>
      <c r="W85" s="93"/>
      <c r="X85" s="93"/>
      <c r="Y85" s="93"/>
      <c r="Z85" s="49"/>
      <c r="AA85" s="93"/>
      <c r="AB85" s="93"/>
      <c r="AC85" s="93"/>
      <c r="AD85" s="93"/>
      <c r="AE85" s="95"/>
      <c r="AF85" s="49"/>
      <c r="AG85" s="93"/>
      <c r="AH85" s="93"/>
      <c r="AI85" s="49"/>
      <c r="AJ85" s="93"/>
      <c r="AK85" s="93"/>
      <c r="AL85" s="93"/>
      <c r="AM85" s="93"/>
      <c r="AN85" s="93"/>
      <c r="AO85" s="95"/>
      <c r="AP85" s="49"/>
      <c r="AQ85" s="93"/>
      <c r="AR85" s="95"/>
      <c r="AS85" s="95"/>
      <c r="AT85" s="95"/>
      <c r="AU85" s="95"/>
      <c r="AV85" s="95"/>
      <c r="AW85" s="95"/>
      <c r="AX85" s="95"/>
      <c r="AY85" s="49"/>
      <c r="AZ85" s="93"/>
      <c r="BA85" s="95"/>
      <c r="BB85" s="95"/>
      <c r="BC85" s="95"/>
      <c r="BD85" s="95"/>
      <c r="BE85" s="95"/>
      <c r="BF85" s="49"/>
      <c r="BG85" s="95"/>
      <c r="BH85" s="95"/>
      <c r="BI85" s="95"/>
      <c r="BJ85" s="95"/>
      <c r="BK85" s="95"/>
      <c r="BL85" s="95"/>
      <c r="BM85" s="95"/>
      <c r="BN85" s="95"/>
      <c r="BO85" s="49"/>
      <c r="BP85" s="93"/>
      <c r="BQ85" s="95"/>
      <c r="BR85" s="95"/>
      <c r="BS85" s="95"/>
      <c r="BT85" s="95"/>
      <c r="BU85" s="95"/>
      <c r="BV85" s="49"/>
      <c r="BW85" s="95"/>
      <c r="BX85" s="95"/>
      <c r="BY85" s="95"/>
      <c r="BZ85" s="95"/>
      <c r="CA85" s="95"/>
      <c r="CB85" s="95"/>
      <c r="CC85" s="49"/>
      <c r="CD85" s="95"/>
      <c r="CE85" s="95"/>
      <c r="CF85" s="95"/>
      <c r="CG85" s="95"/>
      <c r="CH85" s="95"/>
      <c r="CI85" s="95"/>
      <c r="CJ85" s="66"/>
      <c r="CK85" s="114"/>
      <c r="CL85" s="66"/>
      <c r="CM85" s="66"/>
      <c r="CN85" s="66"/>
      <c r="CO85" s="66"/>
      <c r="CP85" s="66"/>
      <c r="CQ85" s="66"/>
      <c r="CR85" s="66"/>
      <c r="CS85" s="66"/>
      <c r="CT85" s="66"/>
      <c r="CU85" s="66"/>
      <c r="CV85" s="66"/>
      <c r="CW85" s="66"/>
      <c r="CX85" s="66"/>
      <c r="CY85" s="66"/>
      <c r="CZ85" s="66"/>
      <c r="DA85" s="66"/>
      <c r="DB85" s="66"/>
      <c r="DC85" s="66"/>
      <c r="DD85" s="66"/>
      <c r="DE85" s="66"/>
      <c r="DF85" s="66"/>
      <c r="DG85" s="66"/>
      <c r="DH85" s="66"/>
      <c r="DI85" s="66"/>
      <c r="DJ85" s="66"/>
      <c r="DK85" s="66"/>
      <c r="DL85" s="66"/>
      <c r="DM85" s="66"/>
      <c r="DN85" s="66"/>
      <c r="DO85" s="66"/>
      <c r="DP85" s="66"/>
      <c r="DQ85" s="66"/>
      <c r="DR85" s="66"/>
      <c r="DS85" s="66"/>
      <c r="DT85" s="66"/>
      <c r="DU85" s="66"/>
      <c r="DV85" s="66"/>
      <c r="DW85" s="66"/>
      <c r="DX85" s="66"/>
      <c r="DY85" s="66"/>
      <c r="DZ85" s="66"/>
      <c r="EA85" s="66"/>
      <c r="EB85" s="66"/>
      <c r="EC85" s="77"/>
      <c r="ED85" s="66"/>
      <c r="EE85" s="66"/>
      <c r="EF85" s="66"/>
      <c r="EG85" s="66"/>
      <c r="EH85" s="66"/>
      <c r="EI85" s="66"/>
      <c r="EJ85" s="66"/>
      <c r="EK85" s="66"/>
      <c r="EL85" s="66"/>
      <c r="EM85" s="66"/>
      <c r="EN85" s="66"/>
      <c r="EO85" s="66"/>
      <c r="EP85" s="66"/>
      <c r="EQ85" s="66"/>
      <c r="ER85" s="66"/>
      <c r="ES85" s="66"/>
      <c r="ET85" s="66"/>
      <c r="EU85" s="66"/>
      <c r="EV85" s="66"/>
      <c r="EW85" s="66"/>
      <c r="EX85" s="66"/>
      <c r="EY85" s="66"/>
      <c r="EZ85" s="66"/>
      <c r="FA85" s="66"/>
      <c r="FB85" s="66"/>
      <c r="FC85" s="66"/>
      <c r="FD85" s="66"/>
      <c r="FE85" s="66"/>
      <c r="FF85" s="66"/>
      <c r="FG85" s="66"/>
      <c r="FH85" s="66"/>
      <c r="FI85" s="66"/>
      <c r="FJ85" s="66"/>
      <c r="FK85" s="66"/>
      <c r="FL85" s="65"/>
    </row>
    <row r="86" spans="1:168" ht="24.95" customHeight="1">
      <c r="A86" s="1">
        <f t="shared" si="14"/>
        <v>78</v>
      </c>
      <c r="B86" s="67"/>
      <c r="C86" s="89"/>
      <c r="D86" s="89"/>
      <c r="E86" s="89"/>
      <c r="F86" s="89"/>
      <c r="G86" s="88"/>
      <c r="H86" s="88"/>
      <c r="I86" s="88"/>
      <c r="J86" s="88"/>
      <c r="K86" s="88"/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  <c r="AP86" s="89"/>
      <c r="AQ86" s="89"/>
      <c r="AR86" s="91"/>
      <c r="AS86" s="91"/>
      <c r="AT86" s="88"/>
      <c r="AU86" s="91"/>
      <c r="AV86" s="91"/>
      <c r="AW86" s="91"/>
      <c r="AX86" s="91"/>
      <c r="AY86" s="91"/>
      <c r="AZ86" s="88"/>
      <c r="BA86" s="88"/>
      <c r="BB86" s="88"/>
      <c r="BC86" s="91"/>
      <c r="BD86" s="91"/>
      <c r="BE86" s="91"/>
      <c r="BF86" s="91"/>
      <c r="BG86" s="91"/>
      <c r="BH86" s="91"/>
      <c r="BI86" s="91"/>
      <c r="BJ86" s="91"/>
      <c r="BK86" s="91"/>
      <c r="BL86" s="91"/>
      <c r="BM86" s="91"/>
      <c r="BN86" s="91"/>
      <c r="BO86" s="91"/>
      <c r="BP86" s="91"/>
      <c r="BQ86" s="91"/>
      <c r="BR86" s="88"/>
      <c r="BS86" s="88" t="s">
        <v>108</v>
      </c>
      <c r="BT86" s="88"/>
      <c r="BU86" s="91"/>
      <c r="BV86" s="88"/>
      <c r="BW86" s="91"/>
      <c r="BX86" s="91"/>
      <c r="BY86" s="91"/>
      <c r="BZ86" s="91"/>
      <c r="CA86" s="91"/>
      <c r="CB86" s="91" t="s">
        <v>98</v>
      </c>
      <c r="CC86" s="91" t="s">
        <v>99</v>
      </c>
      <c r="CD86" s="91" t="s">
        <v>100</v>
      </c>
      <c r="CE86" s="91" t="s">
        <v>101</v>
      </c>
      <c r="CF86" s="91" t="s">
        <v>97</v>
      </c>
      <c r="CG86" s="91"/>
      <c r="CH86" s="88" t="s">
        <v>109</v>
      </c>
      <c r="CI86" s="91"/>
      <c r="CJ86" s="88"/>
      <c r="CK86" s="113"/>
      <c r="CL86" s="95"/>
      <c r="CM86" s="95"/>
      <c r="CN86" s="95"/>
      <c r="CO86" s="95"/>
      <c r="CP86" s="95"/>
      <c r="CQ86" s="95"/>
      <c r="CR86" s="95"/>
      <c r="CS86" s="95"/>
      <c r="CT86" s="95"/>
      <c r="CU86" s="95"/>
      <c r="CV86" s="95"/>
      <c r="CW86" s="95"/>
      <c r="CX86" s="95"/>
      <c r="CY86" s="95"/>
      <c r="CZ86" s="95"/>
      <c r="DA86" s="95"/>
      <c r="DB86" s="95"/>
      <c r="DC86" s="95"/>
      <c r="DD86" s="95"/>
      <c r="DE86" s="95"/>
      <c r="DF86" s="95"/>
      <c r="DG86" s="95"/>
      <c r="DH86" s="95"/>
      <c r="DI86" s="95"/>
      <c r="DJ86" s="95"/>
      <c r="DK86" s="95"/>
      <c r="DL86" s="95"/>
      <c r="DM86" s="95"/>
      <c r="DN86" s="95"/>
      <c r="DO86" s="95"/>
      <c r="DP86" s="95"/>
      <c r="DQ86" s="95"/>
      <c r="DR86" s="95"/>
      <c r="DS86" s="95"/>
      <c r="DT86" s="95"/>
      <c r="DU86" s="95"/>
      <c r="DV86" s="95"/>
      <c r="DW86" s="95"/>
      <c r="DX86" s="95"/>
      <c r="DY86" s="95"/>
      <c r="DZ86" s="93"/>
      <c r="EC86" s="2"/>
    </row>
    <row r="87" spans="1:168" ht="24.95" customHeight="1">
      <c r="A87" s="1">
        <f t="shared" si="14"/>
        <v>79</v>
      </c>
      <c r="B87" s="69"/>
      <c r="C87" s="101"/>
      <c r="D87" s="101" t="s">
        <v>130</v>
      </c>
      <c r="E87" s="101"/>
      <c r="F87" s="101"/>
      <c r="G87" s="101"/>
      <c r="H87" s="101"/>
      <c r="I87" s="101"/>
      <c r="J87" s="101"/>
      <c r="K87" s="101"/>
      <c r="L87" s="100"/>
      <c r="M87" s="101"/>
      <c r="N87" s="101"/>
      <c r="O87" s="101"/>
      <c r="P87" s="101"/>
      <c r="Q87" s="101"/>
      <c r="R87" s="101"/>
      <c r="S87" s="101"/>
      <c r="T87" s="101"/>
      <c r="U87" s="101"/>
      <c r="V87" s="101"/>
      <c r="W87" s="101"/>
      <c r="X87" s="101"/>
      <c r="Y87" s="101"/>
      <c r="Z87" s="101"/>
      <c r="AA87" s="101"/>
      <c r="AB87" s="101"/>
      <c r="AC87" s="101"/>
      <c r="AD87" s="101"/>
      <c r="AE87" s="101"/>
      <c r="AF87" s="101"/>
      <c r="AG87" s="101"/>
      <c r="AH87" s="101"/>
      <c r="AI87" s="101"/>
      <c r="AJ87" s="101"/>
      <c r="AK87" s="101"/>
      <c r="AL87" s="103"/>
      <c r="AM87" s="103"/>
      <c r="AN87" s="103"/>
      <c r="AO87" s="103"/>
      <c r="AP87" s="100"/>
      <c r="AQ87" s="100"/>
      <c r="AR87" s="100"/>
      <c r="AS87" s="100"/>
      <c r="AT87" s="100"/>
      <c r="AU87" s="100"/>
      <c r="AV87" s="100"/>
      <c r="AW87" s="100"/>
      <c r="AX87" s="100"/>
      <c r="AY87" s="100"/>
      <c r="AZ87" s="100"/>
      <c r="BA87" s="100"/>
      <c r="BB87" s="100"/>
      <c r="BC87" s="100"/>
      <c r="BD87" s="100"/>
      <c r="BE87" s="100"/>
      <c r="BF87" s="100"/>
      <c r="BG87" s="100"/>
      <c r="BH87" s="100"/>
      <c r="BI87" s="100"/>
      <c r="BJ87" s="100"/>
      <c r="BK87" s="100"/>
      <c r="BL87" s="100"/>
      <c r="BM87" s="100"/>
      <c r="BN87" s="100"/>
      <c r="BO87" s="100"/>
      <c r="BP87" s="100"/>
      <c r="BQ87" s="100"/>
      <c r="BR87" s="100"/>
      <c r="BS87" s="100"/>
      <c r="BT87" s="100"/>
      <c r="BU87" s="100"/>
      <c r="BV87" s="100"/>
      <c r="BW87" s="100"/>
      <c r="BX87" s="100"/>
      <c r="BY87" s="100"/>
      <c r="BZ87" s="100"/>
      <c r="CA87" s="100"/>
      <c r="CB87" s="100"/>
      <c r="CC87" s="100"/>
      <c r="CD87" s="100"/>
      <c r="CE87" s="101"/>
      <c r="CF87" s="101"/>
      <c r="CG87" s="101"/>
      <c r="CH87" s="101"/>
      <c r="CI87" s="101"/>
      <c r="CK87" s="113"/>
      <c r="CL87" s="95"/>
      <c r="CM87" s="95"/>
      <c r="CN87" s="95"/>
      <c r="CO87" s="95"/>
      <c r="CP87" s="95"/>
      <c r="CQ87" s="95"/>
      <c r="CR87" s="95"/>
      <c r="CS87" s="95"/>
      <c r="CT87" s="95"/>
      <c r="CU87" s="95"/>
      <c r="CV87" s="95"/>
      <c r="CW87" s="95"/>
      <c r="CX87" s="95"/>
      <c r="CY87" s="95"/>
      <c r="CZ87" s="95"/>
      <c r="DA87" s="95"/>
      <c r="DB87" s="95"/>
      <c r="DC87" s="95"/>
      <c r="DD87" s="95"/>
      <c r="DE87" s="95"/>
      <c r="DF87" s="95"/>
      <c r="DG87" s="95"/>
      <c r="DH87" s="95"/>
      <c r="DI87" s="95"/>
      <c r="DJ87" s="95"/>
      <c r="DK87" s="95"/>
      <c r="DL87" s="95"/>
      <c r="DM87" s="95"/>
      <c r="DN87" s="95"/>
      <c r="DO87" s="95"/>
      <c r="DP87" s="95"/>
      <c r="DQ87" s="95"/>
      <c r="DR87" s="95"/>
      <c r="DS87" s="95"/>
      <c r="DT87" s="95"/>
      <c r="DU87" s="95"/>
      <c r="DV87" s="95"/>
      <c r="DW87" s="95"/>
      <c r="DX87" s="95"/>
      <c r="DY87" s="95"/>
      <c r="DZ87" s="93"/>
      <c r="EC87" s="2"/>
    </row>
    <row r="88" spans="1:168" ht="24.95" customHeight="1">
      <c r="A88" s="1">
        <f t="shared" si="14"/>
        <v>80</v>
      </c>
      <c r="B88" s="69"/>
      <c r="C88" s="49"/>
      <c r="D88" s="49" t="s">
        <v>116</v>
      </c>
      <c r="E88" s="101"/>
      <c r="F88" s="101"/>
      <c r="G88" s="101"/>
      <c r="H88" s="101"/>
      <c r="I88" s="101"/>
      <c r="J88" s="49" t="s">
        <v>117</v>
      </c>
      <c r="K88" s="49"/>
      <c r="L88" s="49" t="s">
        <v>118</v>
      </c>
      <c r="M88" s="49" t="s">
        <v>110</v>
      </c>
      <c r="N88" s="49"/>
      <c r="O88" s="101"/>
      <c r="P88" s="101"/>
      <c r="Q88" s="101"/>
      <c r="R88" s="101"/>
      <c r="S88" s="101"/>
      <c r="T88" s="101"/>
      <c r="U88" s="101"/>
      <c r="V88" s="101"/>
      <c r="W88" s="101"/>
      <c r="X88" s="49" t="s">
        <v>122</v>
      </c>
      <c r="Y88" s="93"/>
      <c r="Z88" s="94"/>
      <c r="AA88" s="49"/>
      <c r="AB88" s="94"/>
      <c r="AC88" s="93"/>
      <c r="AD88" s="104" t="s">
        <v>113</v>
      </c>
      <c r="AE88" s="93"/>
      <c r="AF88" s="93"/>
      <c r="AG88" s="93"/>
      <c r="AH88" s="101"/>
      <c r="AI88" s="101"/>
      <c r="AJ88" s="101"/>
      <c r="AK88" s="101"/>
      <c r="AL88" s="103"/>
      <c r="AM88" s="103"/>
      <c r="AN88" s="103"/>
      <c r="AO88" s="103"/>
      <c r="AP88" s="100"/>
      <c r="AQ88" s="100"/>
      <c r="AR88" s="100"/>
      <c r="AS88" s="100"/>
      <c r="AT88" s="100"/>
      <c r="AU88" s="100"/>
      <c r="AV88" s="100"/>
      <c r="AW88" s="100"/>
      <c r="AX88" s="100"/>
      <c r="AY88" s="100"/>
      <c r="AZ88" s="100"/>
      <c r="BA88" s="100"/>
      <c r="BB88" s="100"/>
      <c r="BC88" s="100"/>
      <c r="BD88" s="100"/>
      <c r="BE88" s="100"/>
      <c r="BF88" s="100"/>
      <c r="BG88" s="100"/>
      <c r="BH88" s="100"/>
      <c r="BI88" s="100"/>
      <c r="BJ88" s="100"/>
      <c r="BK88" s="100"/>
      <c r="BL88" s="100"/>
      <c r="BM88" s="100"/>
      <c r="BN88" s="100"/>
      <c r="BO88" s="100"/>
      <c r="BP88" s="100"/>
      <c r="BQ88" s="100"/>
      <c r="BR88" s="100"/>
      <c r="BS88" s="100"/>
      <c r="BT88" s="100"/>
      <c r="BU88" s="100"/>
      <c r="BV88" s="100"/>
      <c r="BW88" s="100"/>
      <c r="BX88" s="100"/>
      <c r="BY88" s="100"/>
      <c r="BZ88" s="99"/>
      <c r="CA88" s="99"/>
      <c r="CB88" s="99"/>
      <c r="CC88" s="99"/>
      <c r="CD88" s="99"/>
      <c r="CE88" s="94"/>
      <c r="CF88" s="94"/>
      <c r="CG88" s="94"/>
      <c r="CH88" s="94"/>
      <c r="CI88" s="49"/>
      <c r="CK88" s="113"/>
      <c r="CL88" s="95"/>
      <c r="CM88" s="95"/>
      <c r="CN88" s="95"/>
      <c r="CO88" s="95"/>
      <c r="CP88" s="95"/>
      <c r="CQ88" s="95"/>
      <c r="CR88" s="95"/>
      <c r="CS88" s="95"/>
      <c r="CT88" s="95"/>
      <c r="CU88" s="95"/>
      <c r="CV88" s="95"/>
      <c r="CW88" s="95"/>
      <c r="CX88" s="95"/>
      <c r="CY88" s="95"/>
      <c r="CZ88" s="95"/>
      <c r="DA88" s="95"/>
      <c r="DB88" s="95"/>
      <c r="DC88" s="95"/>
      <c r="DD88" s="95"/>
      <c r="DE88" s="95"/>
      <c r="DF88" s="95"/>
      <c r="DG88" s="95"/>
      <c r="DH88" s="95"/>
      <c r="DI88" s="95"/>
      <c r="DJ88" s="95"/>
      <c r="DK88" s="95"/>
      <c r="DL88" s="95"/>
      <c r="DM88" s="95"/>
      <c r="DN88" s="95"/>
      <c r="DO88" s="95"/>
      <c r="DP88" s="95"/>
      <c r="DQ88" s="95"/>
      <c r="DR88" s="95"/>
      <c r="DS88" s="95"/>
      <c r="DT88" s="95"/>
      <c r="DU88" s="95"/>
      <c r="DV88" s="95"/>
      <c r="DW88" s="95"/>
      <c r="DX88" s="95"/>
      <c r="DY88" s="95"/>
      <c r="DZ88" s="93"/>
      <c r="EC88" s="2"/>
    </row>
    <row r="89" spans="1:168" ht="24.95" customHeight="1">
      <c r="A89" s="1">
        <f t="shared" si="14"/>
        <v>81</v>
      </c>
      <c r="B89" s="69"/>
      <c r="C89" s="49"/>
      <c r="D89" s="49" t="s">
        <v>119</v>
      </c>
      <c r="E89" s="49"/>
      <c r="F89" s="49"/>
      <c r="G89" s="49"/>
      <c r="H89" s="49"/>
      <c r="I89" s="49"/>
      <c r="J89" s="49" t="s">
        <v>105</v>
      </c>
      <c r="K89" s="49"/>
      <c r="L89" s="49" t="s">
        <v>106</v>
      </c>
      <c r="M89" s="49" t="s">
        <v>110</v>
      </c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  <c r="AB89" s="49"/>
      <c r="AC89" s="49"/>
      <c r="AD89" s="49"/>
      <c r="AE89" s="49"/>
      <c r="AF89" s="49"/>
      <c r="AG89" s="49"/>
      <c r="AH89" s="49"/>
      <c r="AI89" s="49"/>
      <c r="AJ89" s="49"/>
      <c r="AK89" s="49"/>
      <c r="AL89" s="49"/>
      <c r="AM89" s="49"/>
      <c r="AN89" s="49"/>
      <c r="AO89" s="49"/>
      <c r="AT89" s="99"/>
      <c r="AU89" s="99"/>
      <c r="AV89" s="99"/>
      <c r="AW89" s="100"/>
      <c r="AX89" s="100"/>
      <c r="AY89" s="100"/>
      <c r="AZ89" s="100"/>
      <c r="BA89" s="100"/>
      <c r="BB89" s="100"/>
      <c r="BC89" s="100"/>
      <c r="BD89" s="100"/>
      <c r="BE89" s="100"/>
      <c r="BH89" s="49" t="s">
        <v>131</v>
      </c>
      <c r="CK89" s="113"/>
      <c r="CL89" s="95"/>
      <c r="CM89" s="95"/>
      <c r="CN89" s="95"/>
      <c r="CO89" s="95"/>
      <c r="CP89" s="95"/>
      <c r="CQ89" s="95"/>
      <c r="CR89" s="95"/>
      <c r="CS89" s="95"/>
      <c r="CT89" s="95"/>
      <c r="CU89" s="95"/>
      <c r="CV89" s="95"/>
      <c r="CW89" s="95"/>
      <c r="CX89" s="95"/>
      <c r="CY89" s="95"/>
      <c r="CZ89" s="95"/>
      <c r="DA89" s="95"/>
      <c r="DB89" s="95"/>
      <c r="DC89" s="95"/>
      <c r="DD89" s="95"/>
      <c r="DE89" s="95"/>
      <c r="DF89" s="95"/>
      <c r="DG89" s="95"/>
      <c r="DH89" s="95"/>
      <c r="DI89" s="95"/>
      <c r="DJ89" s="95"/>
      <c r="DK89" s="95"/>
      <c r="DL89" s="95"/>
      <c r="DM89" s="95"/>
      <c r="DN89" s="95"/>
      <c r="DO89" s="95"/>
      <c r="DP89" s="95"/>
      <c r="DQ89" s="95"/>
      <c r="DR89" s="95"/>
      <c r="DS89" s="95"/>
      <c r="DT89" s="95"/>
      <c r="DU89" s="95"/>
      <c r="DV89" s="95"/>
      <c r="DW89" s="95"/>
      <c r="DX89" s="95"/>
      <c r="DY89" s="95"/>
      <c r="DZ89" s="93"/>
      <c r="EC89" s="2"/>
    </row>
    <row r="90" spans="1:168" ht="24.95" customHeight="1">
      <c r="A90" s="1">
        <f t="shared" si="14"/>
        <v>82</v>
      </c>
      <c r="B90" s="69"/>
      <c r="C90" s="93"/>
      <c r="D90" s="49"/>
      <c r="E90" s="93"/>
      <c r="F90" s="94"/>
      <c r="G90" s="49"/>
      <c r="H90" s="94"/>
      <c r="I90" s="93"/>
      <c r="J90" s="104"/>
      <c r="K90" s="93"/>
      <c r="L90" s="93"/>
      <c r="M90" s="93"/>
      <c r="N90" s="93"/>
      <c r="O90" s="93"/>
      <c r="P90" s="93"/>
      <c r="Q90" s="49"/>
      <c r="R90" s="49"/>
      <c r="S90" s="49"/>
      <c r="T90" s="49"/>
      <c r="U90" s="49"/>
      <c r="V90" s="95"/>
      <c r="W90" s="95"/>
      <c r="X90" s="95"/>
      <c r="Y90" s="95"/>
      <c r="Z90" s="95"/>
      <c r="AA90" s="95"/>
      <c r="AB90" s="95"/>
      <c r="AC90" s="95"/>
      <c r="AD90" s="95"/>
      <c r="AE90" s="95"/>
      <c r="AF90" s="95"/>
      <c r="AG90" s="95"/>
      <c r="AH90" s="95"/>
      <c r="AI90" s="95"/>
      <c r="AJ90" s="49"/>
      <c r="AK90" s="49"/>
      <c r="AL90" s="49"/>
      <c r="AM90" s="49"/>
      <c r="AN90" s="49"/>
      <c r="AO90" s="49"/>
      <c r="AP90" s="49"/>
      <c r="AQ90" s="49"/>
      <c r="AR90" s="49"/>
      <c r="AS90" s="49"/>
      <c r="AT90" s="49"/>
      <c r="AU90" s="95"/>
      <c r="AV90" s="95"/>
      <c r="AW90" s="95"/>
      <c r="AX90" s="95"/>
      <c r="AY90" s="95"/>
      <c r="AZ90" s="95"/>
      <c r="BA90" s="95"/>
      <c r="BB90" s="95"/>
      <c r="BC90" s="95"/>
      <c r="BD90" s="95"/>
      <c r="BE90" s="95"/>
      <c r="BF90" s="95"/>
      <c r="BG90" s="95"/>
      <c r="BH90" s="95"/>
      <c r="BI90" s="95"/>
      <c r="BJ90" s="95"/>
      <c r="BK90" s="95"/>
      <c r="BL90" s="107"/>
      <c r="BM90" s="95"/>
      <c r="BN90" s="95"/>
      <c r="BO90" s="95"/>
      <c r="BP90" s="95"/>
      <c r="BQ90" s="95"/>
      <c r="BR90" s="95"/>
      <c r="BS90" s="95"/>
      <c r="BT90" s="95"/>
      <c r="BU90" s="95"/>
      <c r="BV90" s="95"/>
      <c r="BW90" s="95"/>
      <c r="BX90" s="95"/>
      <c r="BY90" s="95"/>
      <c r="BZ90" s="95"/>
      <c r="CA90" s="95"/>
      <c r="CB90" s="95"/>
      <c r="CC90" s="95"/>
      <c r="CD90" s="95"/>
      <c r="CE90" s="95"/>
      <c r="CF90" s="95"/>
      <c r="CG90" s="95"/>
      <c r="CH90" s="95"/>
      <c r="CI90" s="95"/>
      <c r="CK90" s="113"/>
      <c r="CL90" s="95"/>
      <c r="CM90" s="95"/>
      <c r="CN90" s="95"/>
      <c r="CO90" s="95"/>
      <c r="CP90" s="95"/>
      <c r="CQ90" s="95"/>
      <c r="CR90" s="95"/>
      <c r="CS90" s="95"/>
      <c r="CT90" s="95"/>
      <c r="CU90" s="95"/>
      <c r="CV90" s="95"/>
      <c r="CW90" s="95"/>
      <c r="CX90" s="95"/>
      <c r="CY90" s="95"/>
      <c r="CZ90" s="95"/>
      <c r="DA90" s="95"/>
      <c r="DB90" s="95"/>
      <c r="DC90" s="95"/>
      <c r="DD90" s="95"/>
      <c r="DE90" s="95"/>
      <c r="DF90" s="95"/>
      <c r="DG90" s="95"/>
      <c r="DH90" s="95"/>
      <c r="DI90" s="95"/>
      <c r="DJ90" s="95"/>
      <c r="DK90" s="95"/>
      <c r="DL90" s="95"/>
      <c r="DM90" s="95"/>
      <c r="DN90" s="95"/>
      <c r="DO90" s="95"/>
      <c r="DP90" s="95"/>
      <c r="DQ90" s="95"/>
      <c r="DR90" s="95"/>
      <c r="DS90" s="95"/>
      <c r="DT90" s="95"/>
      <c r="DU90" s="95"/>
      <c r="DV90" s="95"/>
      <c r="DW90" s="95"/>
      <c r="DX90" s="95"/>
      <c r="DY90" s="95"/>
      <c r="DZ90" s="93"/>
      <c r="EC90" s="2"/>
    </row>
    <row r="91" spans="1:168" ht="24.95" customHeight="1">
      <c r="A91" s="1">
        <f t="shared" si="14"/>
        <v>83</v>
      </c>
      <c r="B91" s="69"/>
      <c r="C91" s="93"/>
      <c r="D91" s="125" t="s">
        <v>408</v>
      </c>
      <c r="E91" s="127"/>
      <c r="F91" s="119"/>
      <c r="G91" s="118"/>
      <c r="H91" s="119"/>
      <c r="I91" s="127"/>
      <c r="J91" s="127"/>
      <c r="K91" s="127"/>
      <c r="L91" s="127"/>
      <c r="M91" s="127"/>
      <c r="N91" s="127"/>
      <c r="O91" s="127"/>
      <c r="P91" s="127"/>
      <c r="Q91" s="118"/>
      <c r="R91" s="118"/>
      <c r="S91" s="118"/>
      <c r="T91" s="118"/>
      <c r="U91" s="118"/>
      <c r="V91" s="120"/>
      <c r="W91" s="120"/>
      <c r="X91" s="120"/>
      <c r="Y91" s="121"/>
      <c r="Z91" s="207" t="s">
        <v>127</v>
      </c>
      <c r="AA91" s="208"/>
      <c r="AB91" s="208"/>
      <c r="AC91" s="208"/>
      <c r="AD91" s="208"/>
      <c r="AE91" s="208"/>
      <c r="AF91" s="208"/>
      <c r="AG91" s="208"/>
      <c r="AH91" s="208"/>
      <c r="AI91" s="208"/>
      <c r="AJ91" s="208"/>
      <c r="AK91" s="208"/>
      <c r="AL91" s="208"/>
      <c r="AM91" s="208"/>
      <c r="AN91" s="208"/>
      <c r="AO91" s="209"/>
      <c r="AP91" s="207" t="s">
        <v>128</v>
      </c>
      <c r="AQ91" s="208"/>
      <c r="AR91" s="208"/>
      <c r="AS91" s="208"/>
      <c r="AT91" s="208"/>
      <c r="AU91" s="208"/>
      <c r="AV91" s="208"/>
      <c r="AW91" s="208"/>
      <c r="AX91" s="208"/>
      <c r="AY91" s="208"/>
      <c r="AZ91" s="208"/>
      <c r="BA91" s="208"/>
      <c r="BB91" s="208"/>
      <c r="BC91" s="208"/>
      <c r="BD91" s="208"/>
      <c r="BE91" s="209"/>
      <c r="BF91" s="207" t="s">
        <v>129</v>
      </c>
      <c r="BG91" s="208"/>
      <c r="BH91" s="208"/>
      <c r="BI91" s="208"/>
      <c r="BJ91" s="208"/>
      <c r="BK91" s="208"/>
      <c r="BL91" s="208"/>
      <c r="BM91" s="208"/>
      <c r="BN91" s="208"/>
      <c r="BO91" s="208"/>
      <c r="BP91" s="208"/>
      <c r="BQ91" s="208"/>
      <c r="BR91" s="208"/>
      <c r="BS91" s="208"/>
      <c r="BT91" s="208"/>
      <c r="BU91" s="209"/>
      <c r="BV91" s="216" t="s">
        <v>218</v>
      </c>
      <c r="BW91" s="208"/>
      <c r="BX91" s="208"/>
      <c r="BY91" s="208"/>
      <c r="BZ91" s="208"/>
      <c r="CA91" s="208"/>
      <c r="CB91" s="209"/>
      <c r="CC91" s="207" t="s">
        <v>196</v>
      </c>
      <c r="CD91" s="208"/>
      <c r="CE91" s="208"/>
      <c r="CF91" s="208"/>
      <c r="CG91" s="208"/>
      <c r="CH91" s="208"/>
      <c r="CI91" s="209"/>
      <c r="CK91" s="113"/>
      <c r="CL91" s="95"/>
      <c r="CM91" s="95"/>
      <c r="CN91" s="95"/>
      <c r="CO91" s="95"/>
      <c r="CP91" s="95"/>
      <c r="CQ91" s="95"/>
      <c r="CR91" s="95"/>
      <c r="CS91" s="95"/>
      <c r="CT91" s="95"/>
      <c r="CU91" s="95"/>
      <c r="CV91" s="95"/>
      <c r="CW91" s="95"/>
      <c r="CX91" s="95"/>
      <c r="CY91" s="95"/>
      <c r="CZ91" s="95"/>
      <c r="DA91" s="95"/>
      <c r="DB91" s="95"/>
      <c r="DC91" s="95"/>
      <c r="DD91" s="95"/>
      <c r="DE91" s="95"/>
      <c r="DF91" s="95"/>
      <c r="DG91" s="95"/>
      <c r="DH91" s="95"/>
      <c r="DI91" s="95"/>
      <c r="DJ91" s="95"/>
      <c r="DK91" s="95"/>
      <c r="DL91" s="95"/>
      <c r="DM91" s="95"/>
      <c r="DN91" s="95"/>
      <c r="DO91" s="95"/>
      <c r="DP91" s="95"/>
      <c r="DQ91" s="95"/>
      <c r="DR91" s="95"/>
      <c r="DS91" s="95"/>
      <c r="DT91" s="95"/>
      <c r="DU91" s="95"/>
      <c r="DV91" s="95"/>
      <c r="DW91" s="95"/>
      <c r="DX91" s="95"/>
      <c r="DY91" s="95"/>
      <c r="DZ91" s="93"/>
      <c r="EC91" s="2"/>
    </row>
    <row r="92" spans="1:168" ht="24.95" customHeight="1">
      <c r="A92" s="1">
        <f t="shared" si="14"/>
        <v>84</v>
      </c>
      <c r="B92" s="69"/>
      <c r="C92" s="49"/>
      <c r="D92" s="111"/>
      <c r="E92" s="49"/>
      <c r="F92" s="49"/>
      <c r="G92" s="49"/>
      <c r="H92" s="49"/>
      <c r="I92" s="49"/>
      <c r="J92" s="49"/>
      <c r="K92" s="93"/>
      <c r="L92" s="49"/>
      <c r="M92" s="49"/>
      <c r="N92" s="93"/>
      <c r="O92" s="93"/>
      <c r="P92" s="109"/>
      <c r="Q92" s="49"/>
      <c r="R92" s="49"/>
      <c r="S92" s="49"/>
      <c r="T92" s="49"/>
      <c r="U92" s="49"/>
      <c r="V92" s="49"/>
      <c r="W92" s="49"/>
      <c r="X92" s="109" t="s">
        <v>144</v>
      </c>
      <c r="Y92" s="92"/>
      <c r="Z92" s="216" t="s">
        <v>410</v>
      </c>
      <c r="AA92" s="208"/>
      <c r="AB92" s="208"/>
      <c r="AC92" s="208"/>
      <c r="AD92" s="208"/>
      <c r="AE92" s="208"/>
      <c r="AF92" s="208"/>
      <c r="AG92" s="209"/>
      <c r="AH92" s="216" t="s">
        <v>142</v>
      </c>
      <c r="AI92" s="208"/>
      <c r="AJ92" s="208"/>
      <c r="AK92" s="208"/>
      <c r="AL92" s="208"/>
      <c r="AM92" s="208"/>
      <c r="AN92" s="208"/>
      <c r="AO92" s="209"/>
      <c r="AP92" s="216" t="s">
        <v>410</v>
      </c>
      <c r="AQ92" s="208"/>
      <c r="AR92" s="208"/>
      <c r="AS92" s="208"/>
      <c r="AT92" s="208"/>
      <c r="AU92" s="208"/>
      <c r="AV92" s="208"/>
      <c r="AW92" s="209"/>
      <c r="AX92" s="216" t="s">
        <v>142</v>
      </c>
      <c r="AY92" s="208"/>
      <c r="AZ92" s="208"/>
      <c r="BA92" s="208"/>
      <c r="BB92" s="208"/>
      <c r="BC92" s="208"/>
      <c r="BD92" s="208"/>
      <c r="BE92" s="209"/>
      <c r="BF92" s="216" t="s">
        <v>410</v>
      </c>
      <c r="BG92" s="208"/>
      <c r="BH92" s="208"/>
      <c r="BI92" s="208"/>
      <c r="BJ92" s="208"/>
      <c r="BK92" s="208"/>
      <c r="BL92" s="208"/>
      <c r="BM92" s="209"/>
      <c r="BN92" s="216" t="s">
        <v>143</v>
      </c>
      <c r="BO92" s="208"/>
      <c r="BP92" s="208"/>
      <c r="BQ92" s="208"/>
      <c r="BR92" s="208"/>
      <c r="BS92" s="208"/>
      <c r="BT92" s="208"/>
      <c r="BU92" s="209"/>
      <c r="BV92" s="210"/>
      <c r="BW92" s="211"/>
      <c r="BX92" s="211"/>
      <c r="BY92" s="211"/>
      <c r="BZ92" s="211"/>
      <c r="CA92" s="211"/>
      <c r="CB92" s="212"/>
      <c r="CC92" s="210"/>
      <c r="CD92" s="211"/>
      <c r="CE92" s="211"/>
      <c r="CF92" s="211"/>
      <c r="CG92" s="211"/>
      <c r="CH92" s="211"/>
      <c r="CI92" s="212"/>
      <c r="CK92" s="113"/>
      <c r="CL92" s="95"/>
      <c r="CM92" s="95"/>
      <c r="CN92" s="95"/>
      <c r="CO92" s="95"/>
      <c r="CP92" s="95"/>
      <c r="CQ92" s="95"/>
      <c r="CR92" s="95"/>
      <c r="CS92" s="95"/>
      <c r="CT92" s="95"/>
      <c r="CU92" s="95"/>
      <c r="CV92" s="95"/>
      <c r="CW92" s="95"/>
      <c r="CX92" s="95"/>
      <c r="CY92" s="95"/>
      <c r="CZ92" s="95"/>
      <c r="DA92" s="95"/>
      <c r="DB92" s="95"/>
      <c r="DC92" s="95"/>
      <c r="DD92" s="95"/>
      <c r="DE92" s="95"/>
      <c r="DF92" s="95"/>
      <c r="DG92" s="95"/>
      <c r="DH92" s="95"/>
      <c r="DI92" s="95"/>
      <c r="DJ92" s="95"/>
      <c r="DK92" s="95"/>
      <c r="DL92" s="95"/>
      <c r="DM92" s="95"/>
      <c r="DN92" s="95"/>
      <c r="DO92" s="95"/>
      <c r="DP92" s="95"/>
      <c r="DQ92" s="95"/>
      <c r="DR92" s="95"/>
      <c r="DS92" s="95"/>
      <c r="DT92" s="95"/>
      <c r="DU92" s="95"/>
      <c r="DV92" s="95"/>
      <c r="DW92" s="95"/>
      <c r="DX92" s="95"/>
      <c r="DY92" s="95"/>
      <c r="DZ92" s="93"/>
      <c r="EC92" s="2"/>
    </row>
    <row r="93" spans="1:168" ht="24.95" customHeight="1">
      <c r="A93" s="1">
        <f t="shared" si="14"/>
        <v>85</v>
      </c>
      <c r="B93" s="69"/>
      <c r="C93" s="93"/>
      <c r="D93" s="111" t="s">
        <v>220</v>
      </c>
      <c r="E93" s="49"/>
      <c r="F93" s="49"/>
      <c r="G93" s="49"/>
      <c r="H93" s="49"/>
      <c r="I93" s="49"/>
      <c r="J93" s="49"/>
      <c r="K93" s="93"/>
      <c r="L93" s="49"/>
      <c r="M93" s="49"/>
      <c r="N93" s="93"/>
      <c r="O93" s="49"/>
      <c r="P93" s="94"/>
      <c r="Q93" s="93"/>
      <c r="R93" s="93"/>
      <c r="S93" s="94"/>
      <c r="T93" s="93"/>
      <c r="U93" s="93"/>
      <c r="V93" s="93"/>
      <c r="W93" s="93"/>
      <c r="X93" s="93"/>
      <c r="Y93" s="132"/>
      <c r="Z93" s="210"/>
      <c r="AA93" s="211"/>
      <c r="AB93" s="211"/>
      <c r="AC93" s="211"/>
      <c r="AD93" s="211"/>
      <c r="AE93" s="211"/>
      <c r="AF93" s="211"/>
      <c r="AG93" s="212"/>
      <c r="AH93" s="210"/>
      <c r="AI93" s="211"/>
      <c r="AJ93" s="211"/>
      <c r="AK93" s="211"/>
      <c r="AL93" s="211"/>
      <c r="AM93" s="211"/>
      <c r="AN93" s="211"/>
      <c r="AO93" s="212"/>
      <c r="AP93" s="210"/>
      <c r="AQ93" s="211"/>
      <c r="AR93" s="211"/>
      <c r="AS93" s="211"/>
      <c r="AT93" s="211"/>
      <c r="AU93" s="211"/>
      <c r="AV93" s="211"/>
      <c r="AW93" s="212"/>
      <c r="AX93" s="210"/>
      <c r="AY93" s="211"/>
      <c r="AZ93" s="211"/>
      <c r="BA93" s="211"/>
      <c r="BB93" s="211"/>
      <c r="BC93" s="211"/>
      <c r="BD93" s="211"/>
      <c r="BE93" s="212"/>
      <c r="BF93" s="210"/>
      <c r="BG93" s="211"/>
      <c r="BH93" s="211"/>
      <c r="BI93" s="211"/>
      <c r="BJ93" s="211"/>
      <c r="BK93" s="211"/>
      <c r="BL93" s="211"/>
      <c r="BM93" s="212"/>
      <c r="BN93" s="210"/>
      <c r="BO93" s="211"/>
      <c r="BP93" s="211"/>
      <c r="BQ93" s="211"/>
      <c r="BR93" s="211"/>
      <c r="BS93" s="211"/>
      <c r="BT93" s="211"/>
      <c r="BU93" s="212"/>
      <c r="BV93" s="210"/>
      <c r="BW93" s="211"/>
      <c r="BX93" s="211"/>
      <c r="BY93" s="211"/>
      <c r="BZ93" s="211"/>
      <c r="CA93" s="211"/>
      <c r="CB93" s="212"/>
      <c r="CC93" s="210"/>
      <c r="CD93" s="211"/>
      <c r="CE93" s="211"/>
      <c r="CF93" s="211"/>
      <c r="CG93" s="211"/>
      <c r="CH93" s="211"/>
      <c r="CI93" s="212"/>
      <c r="CK93" s="113"/>
      <c r="CL93" s="95"/>
      <c r="CM93" s="95"/>
      <c r="CN93" s="95"/>
      <c r="CO93" s="95"/>
      <c r="CP93" s="95"/>
      <c r="CQ93" s="95"/>
      <c r="CR93" s="95"/>
      <c r="CS93" s="95"/>
      <c r="CT93" s="95"/>
      <c r="CU93" s="95"/>
      <c r="CV93" s="95"/>
      <c r="CW93" s="95"/>
      <c r="CX93" s="95"/>
      <c r="CY93" s="95"/>
      <c r="CZ93" s="95"/>
      <c r="DA93" s="95"/>
      <c r="DB93" s="95"/>
      <c r="DC93" s="95"/>
      <c r="DD93" s="95"/>
      <c r="DE93" s="95"/>
      <c r="DF93" s="95"/>
      <c r="DG93" s="95"/>
      <c r="DH93" s="95"/>
      <c r="DI93" s="95"/>
      <c r="DJ93" s="95"/>
      <c r="DK93" s="95"/>
      <c r="DL93" s="95"/>
      <c r="DM93" s="95"/>
      <c r="DN93" s="95"/>
      <c r="DO93" s="95"/>
      <c r="DP93" s="95"/>
      <c r="DQ93" s="95"/>
      <c r="DR93" s="95"/>
      <c r="DS93" s="95"/>
      <c r="DT93" s="95"/>
      <c r="DU93" s="95"/>
      <c r="DV93" s="95"/>
      <c r="DW93" s="95"/>
      <c r="DX93" s="95"/>
      <c r="DY93" s="95"/>
      <c r="DZ93" s="93"/>
      <c r="EC93" s="2"/>
    </row>
    <row r="94" spans="1:168" ht="24.95" customHeight="1">
      <c r="A94" s="1">
        <f t="shared" si="14"/>
        <v>86</v>
      </c>
      <c r="B94" s="69"/>
      <c r="C94" s="93"/>
      <c r="D94" s="122"/>
      <c r="E94" s="129"/>
      <c r="F94" s="129"/>
      <c r="G94" s="129"/>
      <c r="H94" s="129"/>
      <c r="I94" s="129"/>
      <c r="J94" s="106"/>
      <c r="K94" s="129"/>
      <c r="L94" s="129"/>
      <c r="M94" s="129" t="s">
        <v>104</v>
      </c>
      <c r="N94" s="129"/>
      <c r="O94" s="129"/>
      <c r="P94" s="129"/>
      <c r="Q94" s="129"/>
      <c r="R94" s="129"/>
      <c r="S94" s="129" t="s">
        <v>112</v>
      </c>
      <c r="T94" s="106"/>
      <c r="U94" s="129"/>
      <c r="V94" s="129"/>
      <c r="W94" s="129"/>
      <c r="X94" s="129"/>
      <c r="Y94" s="130"/>
      <c r="Z94" s="213"/>
      <c r="AA94" s="214"/>
      <c r="AB94" s="214"/>
      <c r="AC94" s="214"/>
      <c r="AD94" s="214"/>
      <c r="AE94" s="214"/>
      <c r="AF94" s="214"/>
      <c r="AG94" s="215"/>
      <c r="AH94" s="213"/>
      <c r="AI94" s="214"/>
      <c r="AJ94" s="214"/>
      <c r="AK94" s="214"/>
      <c r="AL94" s="214"/>
      <c r="AM94" s="214"/>
      <c r="AN94" s="214"/>
      <c r="AO94" s="215"/>
      <c r="AP94" s="213"/>
      <c r="AQ94" s="214"/>
      <c r="AR94" s="214"/>
      <c r="AS94" s="214"/>
      <c r="AT94" s="214"/>
      <c r="AU94" s="214"/>
      <c r="AV94" s="214"/>
      <c r="AW94" s="215"/>
      <c r="AX94" s="213"/>
      <c r="AY94" s="214"/>
      <c r="AZ94" s="214"/>
      <c r="BA94" s="214"/>
      <c r="BB94" s="214"/>
      <c r="BC94" s="214"/>
      <c r="BD94" s="214"/>
      <c r="BE94" s="215"/>
      <c r="BF94" s="213"/>
      <c r="BG94" s="214"/>
      <c r="BH94" s="214"/>
      <c r="BI94" s="214"/>
      <c r="BJ94" s="214"/>
      <c r="BK94" s="214"/>
      <c r="BL94" s="214"/>
      <c r="BM94" s="215"/>
      <c r="BN94" s="213"/>
      <c r="BO94" s="214"/>
      <c r="BP94" s="214"/>
      <c r="BQ94" s="214"/>
      <c r="BR94" s="214"/>
      <c r="BS94" s="214"/>
      <c r="BT94" s="214"/>
      <c r="BU94" s="215"/>
      <c r="BV94" s="213"/>
      <c r="BW94" s="214"/>
      <c r="BX94" s="214"/>
      <c r="BY94" s="214"/>
      <c r="BZ94" s="214"/>
      <c r="CA94" s="214"/>
      <c r="CB94" s="215"/>
      <c r="CC94" s="213"/>
      <c r="CD94" s="214"/>
      <c r="CE94" s="214"/>
      <c r="CF94" s="214"/>
      <c r="CG94" s="214"/>
      <c r="CH94" s="214"/>
      <c r="CI94" s="215"/>
      <c r="CK94" s="113"/>
      <c r="CL94" s="95"/>
      <c r="CM94" s="95"/>
      <c r="CN94" s="95"/>
      <c r="CO94" s="95"/>
      <c r="CP94" s="95"/>
      <c r="CQ94" s="95"/>
      <c r="CR94" s="95"/>
      <c r="CS94" s="95"/>
      <c r="CT94" s="95"/>
      <c r="CU94" s="95"/>
      <c r="CV94" s="95"/>
      <c r="CW94" s="95"/>
      <c r="CX94" s="95"/>
      <c r="CY94" s="95"/>
      <c r="CZ94" s="95"/>
      <c r="DA94" s="95"/>
      <c r="DB94" s="95"/>
      <c r="DC94" s="95"/>
      <c r="DD94" s="95"/>
      <c r="DE94" s="95"/>
      <c r="DF94" s="95"/>
      <c r="DG94" s="95"/>
      <c r="DH94" s="95"/>
      <c r="DI94" s="95"/>
      <c r="DJ94" s="95"/>
      <c r="DK94" s="95"/>
      <c r="DL94" s="95"/>
      <c r="DM94" s="95"/>
      <c r="DN94" s="95"/>
      <c r="DO94" s="95"/>
      <c r="DP94" s="95"/>
      <c r="DQ94" s="95"/>
      <c r="DR94" s="95"/>
      <c r="DS94" s="95"/>
      <c r="DT94" s="95"/>
      <c r="DU94" s="95"/>
      <c r="DV94" s="95"/>
      <c r="DW94" s="95"/>
      <c r="DX94" s="95"/>
      <c r="DY94" s="95"/>
      <c r="DZ94" s="93"/>
      <c r="EC94" s="2"/>
    </row>
    <row r="95" spans="1:168" ht="24.95" customHeight="1">
      <c r="A95" s="1">
        <f>A77+1</f>
        <v>70</v>
      </c>
      <c r="B95" s="69"/>
      <c r="C95" s="65"/>
      <c r="D95" s="111"/>
      <c r="E95" s="49"/>
      <c r="F95" s="49"/>
      <c r="G95" s="93"/>
      <c r="H95" s="93"/>
      <c r="I95" s="93"/>
      <c r="J95" s="108"/>
      <c r="K95" s="95"/>
      <c r="L95" s="93"/>
      <c r="M95" s="93"/>
      <c r="N95" s="93"/>
      <c r="O95" s="93"/>
      <c r="P95" s="93"/>
      <c r="Q95" s="93"/>
      <c r="R95" s="93"/>
      <c r="S95" s="93"/>
      <c r="T95" s="49"/>
      <c r="U95" s="95"/>
      <c r="V95" s="93"/>
      <c r="W95" s="93"/>
      <c r="X95" s="93"/>
      <c r="Y95" s="132"/>
      <c r="Z95" s="111"/>
      <c r="AA95" s="93"/>
      <c r="AB95" s="93"/>
      <c r="AC95" s="93"/>
      <c r="AD95" s="93"/>
      <c r="AE95" s="95"/>
      <c r="AF95" s="93"/>
      <c r="AG95" s="93"/>
      <c r="AH95" s="131"/>
      <c r="AI95" s="49" t="s">
        <v>126</v>
      </c>
      <c r="AJ95" s="93"/>
      <c r="AK95" s="93"/>
      <c r="AL95" s="93"/>
      <c r="AM95" s="93"/>
      <c r="AN95" s="93"/>
      <c r="AO95" s="98"/>
      <c r="AP95" s="111"/>
      <c r="AQ95" s="93"/>
      <c r="AR95" s="93"/>
      <c r="AS95" s="93"/>
      <c r="AT95" s="93"/>
      <c r="AU95" s="95"/>
      <c r="AV95" s="93"/>
      <c r="AW95" s="93"/>
      <c r="AX95" s="131"/>
      <c r="AY95" s="49" t="s">
        <v>126</v>
      </c>
      <c r="AZ95" s="93"/>
      <c r="BA95" s="93"/>
      <c r="BB95" s="93"/>
      <c r="BC95" s="93"/>
      <c r="BD95" s="93"/>
      <c r="BE95" s="132"/>
      <c r="BF95" s="111"/>
      <c r="BG95" s="93"/>
      <c r="BH95" s="93"/>
      <c r="BI95" s="93"/>
      <c r="BJ95" s="93"/>
      <c r="BK95" s="95"/>
      <c r="BL95" s="93"/>
      <c r="BM95" s="93"/>
      <c r="BN95" s="131"/>
      <c r="BO95" s="49" t="s">
        <v>391</v>
      </c>
      <c r="BP95" s="93"/>
      <c r="BQ95" s="93"/>
      <c r="BR95" s="93"/>
      <c r="BS95" s="93"/>
      <c r="BT95" s="93"/>
      <c r="BU95" s="132"/>
      <c r="BV95" s="49" t="s">
        <v>126</v>
      </c>
      <c r="BW95" s="93"/>
      <c r="BX95" s="93"/>
      <c r="BY95" s="93"/>
      <c r="BZ95" s="93"/>
      <c r="CA95" s="95"/>
      <c r="CB95" s="93"/>
      <c r="CC95" s="125" t="s">
        <v>126</v>
      </c>
      <c r="CD95" s="93"/>
      <c r="CE95" s="49"/>
      <c r="CF95" s="93"/>
      <c r="CG95" s="93"/>
      <c r="CH95" s="93"/>
      <c r="CI95" s="98"/>
      <c r="CJ95" s="70"/>
      <c r="CK95" s="115"/>
      <c r="CL95" s="70"/>
      <c r="CM95" s="70"/>
      <c r="CN95" s="70"/>
      <c r="CO95" s="70"/>
      <c r="CP95" s="70"/>
      <c r="CQ95" s="70"/>
      <c r="CR95" s="70"/>
      <c r="CS95" s="70"/>
      <c r="CT95" s="70"/>
      <c r="CU95" s="70"/>
      <c r="CV95" s="70"/>
      <c r="CW95" s="70"/>
      <c r="CX95" s="70"/>
      <c r="CY95" s="70"/>
      <c r="CZ95" s="70"/>
      <c r="DA95" s="70"/>
      <c r="DB95" s="70"/>
      <c r="DC95" s="70"/>
      <c r="DD95" s="70"/>
      <c r="DE95" s="70"/>
      <c r="DF95" s="70"/>
      <c r="DG95" s="70"/>
      <c r="DH95" s="70"/>
      <c r="DI95" s="70"/>
      <c r="DJ95" s="70"/>
      <c r="DK95" s="70"/>
      <c r="DL95" s="70"/>
      <c r="DM95" s="70"/>
      <c r="DN95" s="70"/>
      <c r="DO95" s="70"/>
      <c r="DP95" s="70"/>
      <c r="DQ95" s="70"/>
      <c r="DR95" s="70"/>
      <c r="DS95" s="70"/>
      <c r="DT95" s="70"/>
      <c r="DU95" s="70"/>
      <c r="DV95" s="70"/>
      <c r="DW95" s="70"/>
      <c r="DX95" s="70"/>
      <c r="DY95" s="70"/>
      <c r="DZ95" s="70"/>
      <c r="EA95" s="70"/>
      <c r="EB95" s="70"/>
      <c r="EC95" s="81"/>
      <c r="ED95" s="70"/>
      <c r="EE95" s="70"/>
      <c r="EF95" s="70"/>
      <c r="EG95" s="70"/>
      <c r="EH95" s="70"/>
      <c r="EI95" s="70"/>
      <c r="EJ95" s="70"/>
      <c r="EK95" s="70"/>
      <c r="EL95" s="70"/>
      <c r="EM95" s="70"/>
      <c r="EN95" s="70"/>
      <c r="EO95" s="70"/>
      <c r="EP95" s="70"/>
      <c r="EQ95" s="70"/>
      <c r="ER95" s="70"/>
      <c r="ES95" s="70"/>
      <c r="ET95" s="70"/>
      <c r="EU95" s="70"/>
      <c r="EV95" s="70"/>
      <c r="EW95" s="70"/>
      <c r="EX95" s="66"/>
      <c r="EY95" s="66"/>
      <c r="EZ95" s="66"/>
      <c r="FA95" s="66"/>
      <c r="FB95" s="66"/>
      <c r="FC95" s="66"/>
      <c r="FD95" s="66"/>
      <c r="FE95" s="66"/>
      <c r="FF95" s="66"/>
      <c r="FG95" s="66"/>
      <c r="FH95" s="66"/>
      <c r="FI95" s="66"/>
      <c r="FJ95" s="66"/>
      <c r="FK95" s="66"/>
      <c r="FL95" s="66"/>
    </row>
    <row r="96" spans="1:168" ht="24.95" customHeight="1">
      <c r="A96" s="1">
        <f t="shared" si="14"/>
        <v>71</v>
      </c>
      <c r="B96" s="69"/>
      <c r="C96" s="65"/>
      <c r="D96" s="111"/>
      <c r="E96" s="49"/>
      <c r="F96" s="49"/>
      <c r="G96" s="93"/>
      <c r="H96" s="93"/>
      <c r="I96" s="93"/>
      <c r="J96" s="108"/>
      <c r="K96" s="95"/>
      <c r="L96" s="93"/>
      <c r="M96" s="93"/>
      <c r="N96" s="93"/>
      <c r="O96" s="93"/>
      <c r="P96" s="93"/>
      <c r="Q96" s="93"/>
      <c r="R96" s="93"/>
      <c r="S96" s="93"/>
      <c r="T96" s="49"/>
      <c r="U96" s="95"/>
      <c r="V96" s="93"/>
      <c r="W96" s="93"/>
      <c r="X96" s="109"/>
      <c r="Y96" s="132"/>
      <c r="Z96" s="111"/>
      <c r="AA96" s="93"/>
      <c r="AB96" s="93"/>
      <c r="AC96" s="93"/>
      <c r="AD96" s="93"/>
      <c r="AE96" s="95"/>
      <c r="AF96" s="49"/>
      <c r="AG96" s="93"/>
      <c r="AH96" s="131"/>
      <c r="AI96" s="49" t="s">
        <v>126</v>
      </c>
      <c r="AJ96" s="93"/>
      <c r="AK96" s="93"/>
      <c r="AL96" s="93"/>
      <c r="AM96" s="93"/>
      <c r="AN96" s="93"/>
      <c r="AO96" s="98"/>
      <c r="AP96" s="111"/>
      <c r="AQ96" s="93"/>
      <c r="AR96" s="93"/>
      <c r="AS96" s="93"/>
      <c r="AT96" s="93"/>
      <c r="AU96" s="95"/>
      <c r="AV96" s="49"/>
      <c r="AW96" s="93"/>
      <c r="AX96" s="131"/>
      <c r="AY96" s="49" t="s">
        <v>126</v>
      </c>
      <c r="AZ96" s="93"/>
      <c r="BA96" s="93"/>
      <c r="BB96" s="93"/>
      <c r="BC96" s="93"/>
      <c r="BD96" s="93"/>
      <c r="BE96" s="132"/>
      <c r="BF96" s="111"/>
      <c r="BG96" s="93"/>
      <c r="BH96" s="93"/>
      <c r="BI96" s="93"/>
      <c r="BJ96" s="93"/>
      <c r="BK96" s="95"/>
      <c r="BL96" s="49"/>
      <c r="BM96" s="93"/>
      <c r="BN96" s="131"/>
      <c r="BO96" s="49"/>
      <c r="BP96" s="93"/>
      <c r="BQ96" s="93"/>
      <c r="BR96" s="93"/>
      <c r="BS96" s="93"/>
      <c r="BT96" s="93"/>
      <c r="BU96" s="132"/>
      <c r="BV96" s="49" t="s">
        <v>126</v>
      </c>
      <c r="BW96" s="93"/>
      <c r="BX96" s="93"/>
      <c r="BY96" s="93"/>
      <c r="BZ96" s="93"/>
      <c r="CA96" s="95"/>
      <c r="CB96" s="49"/>
      <c r="CC96" s="111" t="s">
        <v>126</v>
      </c>
      <c r="CD96" s="93"/>
      <c r="CE96" s="49"/>
      <c r="CF96" s="93"/>
      <c r="CG96" s="93"/>
      <c r="CH96" s="93"/>
      <c r="CI96" s="98"/>
      <c r="CJ96" s="70"/>
      <c r="CK96" s="115"/>
      <c r="CL96" s="70"/>
      <c r="CM96" s="70"/>
      <c r="CN96" s="70"/>
      <c r="CO96" s="70"/>
      <c r="CP96" s="70"/>
      <c r="CQ96" s="70"/>
      <c r="CR96" s="70"/>
      <c r="CS96" s="70"/>
      <c r="CT96" s="70"/>
      <c r="CU96" s="70"/>
      <c r="CV96" s="70"/>
      <c r="CW96" s="70"/>
      <c r="CX96" s="70"/>
      <c r="CY96" s="70"/>
      <c r="CZ96" s="70"/>
      <c r="DA96" s="70"/>
      <c r="DB96" s="70"/>
      <c r="DC96" s="70"/>
      <c r="DD96" s="70"/>
      <c r="DE96" s="70"/>
      <c r="DF96" s="70"/>
      <c r="DG96" s="70"/>
      <c r="DH96" s="70"/>
      <c r="DI96" s="70"/>
      <c r="DJ96" s="70"/>
      <c r="DK96" s="70"/>
      <c r="DL96" s="70"/>
      <c r="DM96" s="70"/>
      <c r="DN96" s="70"/>
      <c r="DO96" s="70"/>
      <c r="DP96" s="70"/>
      <c r="DQ96" s="70"/>
      <c r="DR96" s="70"/>
      <c r="DS96" s="70"/>
      <c r="DT96" s="70"/>
      <c r="DU96" s="70"/>
      <c r="DV96" s="70"/>
      <c r="DW96" s="70"/>
      <c r="DX96" s="70"/>
      <c r="DY96" s="70"/>
      <c r="DZ96" s="70"/>
      <c r="EA96" s="70"/>
      <c r="EB96" s="70"/>
      <c r="EC96" s="81"/>
      <c r="ED96" s="70"/>
      <c r="EE96" s="70"/>
      <c r="EF96" s="70"/>
      <c r="EG96" s="70"/>
      <c r="EH96" s="70"/>
      <c r="EI96" s="70"/>
      <c r="EJ96" s="70"/>
      <c r="EK96" s="70"/>
      <c r="EL96" s="70"/>
      <c r="EM96" s="70"/>
      <c r="EN96" s="70"/>
      <c r="EO96" s="70"/>
      <c r="EP96" s="70"/>
      <c r="EQ96" s="70"/>
      <c r="ER96" s="70"/>
      <c r="ES96" s="70"/>
      <c r="ET96" s="70"/>
      <c r="EU96" s="70"/>
      <c r="EV96" s="70"/>
      <c r="EW96" s="70"/>
      <c r="EX96" s="65"/>
      <c r="EY96" s="65"/>
      <c r="EZ96" s="65"/>
      <c r="FA96" s="65"/>
      <c r="FB96" s="65"/>
      <c r="FC96" s="65"/>
      <c r="FD96" s="65"/>
      <c r="FE96" s="65"/>
      <c r="FF96" s="65"/>
      <c r="FG96" s="65"/>
      <c r="FH96" s="65"/>
      <c r="FI96" s="65"/>
      <c r="FJ96" s="65"/>
      <c r="FK96" s="66"/>
      <c r="FL96" s="66"/>
    </row>
    <row r="97" spans="1:168" ht="24.95" customHeight="1">
      <c r="A97" s="1">
        <f t="shared" si="14"/>
        <v>72</v>
      </c>
      <c r="B97" s="69"/>
      <c r="C97" s="65"/>
      <c r="D97" s="126"/>
      <c r="E97" s="49"/>
      <c r="F97" s="49"/>
      <c r="G97" s="93"/>
      <c r="H97" s="93"/>
      <c r="I97" s="93"/>
      <c r="J97" s="108"/>
      <c r="K97" s="95"/>
      <c r="L97" s="49"/>
      <c r="M97" s="108"/>
      <c r="N97" s="93"/>
      <c r="O97" s="93"/>
      <c r="P97" s="93"/>
      <c r="Q97" s="93"/>
      <c r="R97" s="93"/>
      <c r="S97" s="93"/>
      <c r="T97" s="93"/>
      <c r="U97" s="95"/>
      <c r="V97" s="49"/>
      <c r="W97" s="93"/>
      <c r="X97" s="109"/>
      <c r="Y97" s="132"/>
      <c r="Z97" s="110"/>
      <c r="AA97" s="91"/>
      <c r="AB97" s="91"/>
      <c r="AC97" s="91"/>
      <c r="AD97" s="91"/>
      <c r="AE97" s="143"/>
      <c r="AF97" s="88"/>
      <c r="AG97" s="91"/>
      <c r="AH97" s="144"/>
      <c r="AI97" s="88" t="s">
        <v>126</v>
      </c>
      <c r="AJ97" s="91"/>
      <c r="AK97" s="91"/>
      <c r="AL97" s="91"/>
      <c r="AM97" s="91"/>
      <c r="AN97" s="91"/>
      <c r="AO97" s="145"/>
      <c r="AP97" s="110"/>
      <c r="AQ97" s="91"/>
      <c r="AR97" s="91"/>
      <c r="AS97" s="91"/>
      <c r="AT97" s="91"/>
      <c r="AU97" s="91"/>
      <c r="AV97" s="91"/>
      <c r="AW97" s="91"/>
      <c r="AX97" s="146"/>
      <c r="AY97" s="88" t="s">
        <v>126</v>
      </c>
      <c r="AZ97" s="91"/>
      <c r="BA97" s="143"/>
      <c r="BB97" s="143"/>
      <c r="BC97" s="143"/>
      <c r="BD97" s="143"/>
      <c r="BE97" s="145"/>
      <c r="BF97" s="110"/>
      <c r="BG97" s="143"/>
      <c r="BH97" s="143"/>
      <c r="BI97" s="143"/>
      <c r="BJ97" s="143"/>
      <c r="BK97" s="143"/>
      <c r="BL97" s="143"/>
      <c r="BM97" s="143"/>
      <c r="BN97" s="146"/>
      <c r="BO97" s="88" t="s">
        <v>391</v>
      </c>
      <c r="BP97" s="91"/>
      <c r="BQ97" s="143"/>
      <c r="BR97" s="143"/>
      <c r="BS97" s="143"/>
      <c r="BT97" s="143"/>
      <c r="BU97" s="145"/>
      <c r="BV97" s="88" t="s">
        <v>126</v>
      </c>
      <c r="BW97" s="143"/>
      <c r="BX97" s="143"/>
      <c r="BY97" s="143"/>
      <c r="BZ97" s="143"/>
      <c r="CA97" s="143"/>
      <c r="CB97" s="143"/>
      <c r="CC97" s="110" t="s">
        <v>126</v>
      </c>
      <c r="CD97" s="143"/>
      <c r="CE97" s="143"/>
      <c r="CF97" s="143"/>
      <c r="CG97" s="143"/>
      <c r="CH97" s="143"/>
      <c r="CI97" s="145"/>
      <c r="CJ97" s="70"/>
      <c r="CK97" s="115"/>
      <c r="CL97" s="70"/>
      <c r="CM97" s="70"/>
      <c r="CN97" s="70"/>
      <c r="CO97" s="70"/>
      <c r="CP97" s="70"/>
      <c r="CQ97" s="70"/>
      <c r="CR97" s="70"/>
      <c r="CS97" s="70"/>
      <c r="CT97" s="70"/>
      <c r="CU97" s="70"/>
      <c r="CV97" s="70"/>
      <c r="CW97" s="70"/>
      <c r="CX97" s="70"/>
      <c r="CY97" s="70"/>
      <c r="CZ97" s="70"/>
      <c r="DA97" s="70"/>
      <c r="DB97" s="70"/>
      <c r="DC97" s="70"/>
      <c r="DD97" s="70"/>
      <c r="DE97" s="70"/>
      <c r="DF97" s="70"/>
      <c r="DG97" s="70"/>
      <c r="DH97" s="70"/>
      <c r="DI97" s="70"/>
      <c r="DJ97" s="70"/>
      <c r="DK97" s="70"/>
      <c r="DL97" s="70"/>
      <c r="DM97" s="70"/>
      <c r="DN97" s="70"/>
      <c r="DO97" s="70"/>
      <c r="DP97" s="70"/>
      <c r="DQ97" s="70"/>
      <c r="DR97" s="70"/>
      <c r="DS97" s="70"/>
      <c r="DT97" s="70"/>
      <c r="DU97" s="70"/>
      <c r="DV97" s="70"/>
      <c r="DW97" s="70"/>
      <c r="DX97" s="70"/>
      <c r="DY97" s="70"/>
      <c r="DZ97" s="70"/>
      <c r="EA97" s="70"/>
      <c r="EB97" s="70"/>
      <c r="EC97" s="81"/>
      <c r="ED97" s="70"/>
      <c r="EE97" s="70"/>
      <c r="EF97" s="70"/>
      <c r="EG97" s="70"/>
      <c r="EH97" s="70"/>
      <c r="EI97" s="70"/>
      <c r="EJ97" s="70"/>
      <c r="EK97" s="70"/>
      <c r="EL97" s="70"/>
      <c r="EM97" s="70"/>
      <c r="EN97" s="70"/>
      <c r="EO97" s="70"/>
      <c r="EP97" s="70"/>
      <c r="EQ97" s="70"/>
      <c r="ER97" s="70"/>
      <c r="ES97" s="70"/>
      <c r="ET97" s="70"/>
      <c r="EU97" s="70"/>
      <c r="EV97" s="70"/>
      <c r="EW97" s="70"/>
      <c r="EX97" s="65"/>
      <c r="EY97" s="65"/>
      <c r="EZ97" s="65"/>
      <c r="FA97" s="65"/>
      <c r="FB97" s="65"/>
      <c r="FC97" s="65"/>
      <c r="FD97" s="65"/>
      <c r="FE97" s="65"/>
      <c r="FF97" s="65"/>
      <c r="FG97" s="65"/>
      <c r="FH97" s="65"/>
      <c r="FI97" s="65"/>
      <c r="FJ97" s="65"/>
      <c r="FK97" s="66"/>
      <c r="FL97" s="66"/>
    </row>
    <row r="98" spans="1:168" ht="24.95" customHeight="1">
      <c r="A98" s="1">
        <f t="shared" si="14"/>
        <v>73</v>
      </c>
      <c r="B98" s="69"/>
      <c r="C98" s="65"/>
      <c r="D98" s="111"/>
      <c r="E98" s="49"/>
      <c r="F98" s="49"/>
      <c r="G98" s="93"/>
      <c r="H98" s="93"/>
      <c r="I98" s="93"/>
      <c r="J98" s="95"/>
      <c r="K98" s="95"/>
      <c r="L98" s="49"/>
      <c r="M98" s="104" t="s">
        <v>364</v>
      </c>
      <c r="N98" s="93"/>
      <c r="O98" s="93"/>
      <c r="P98" s="93"/>
      <c r="Q98" s="93"/>
      <c r="R98" s="93"/>
      <c r="S98" s="49"/>
      <c r="T98" s="93"/>
      <c r="U98" s="95"/>
      <c r="V98" s="49"/>
      <c r="W98" s="93"/>
      <c r="X98" s="109"/>
      <c r="Y98" s="132"/>
      <c r="Z98" s="137"/>
      <c r="AA98" s="134"/>
      <c r="AB98" s="134"/>
      <c r="AC98" s="134"/>
      <c r="AD98" s="134"/>
      <c r="AE98" s="135"/>
      <c r="AF98" s="133"/>
      <c r="AG98" s="134"/>
      <c r="AH98" s="138"/>
      <c r="AI98" s="133" t="s">
        <v>126</v>
      </c>
      <c r="AJ98" s="134"/>
      <c r="AK98" s="134"/>
      <c r="AL98" s="134"/>
      <c r="AM98" s="134"/>
      <c r="AN98" s="134"/>
      <c r="AO98" s="139"/>
      <c r="AP98" s="137"/>
      <c r="AQ98" s="134"/>
      <c r="AR98" s="134"/>
      <c r="AS98" s="134"/>
      <c r="AT98" s="134"/>
      <c r="AU98" s="134"/>
      <c r="AV98" s="134"/>
      <c r="AW98" s="134"/>
      <c r="AX98" s="140"/>
      <c r="AY98" s="133" t="s">
        <v>126</v>
      </c>
      <c r="AZ98" s="134"/>
      <c r="BA98" s="135"/>
      <c r="BB98" s="135"/>
      <c r="BC98" s="135"/>
      <c r="BD98" s="135"/>
      <c r="BE98" s="139"/>
      <c r="BF98" s="137"/>
      <c r="BG98" s="135"/>
      <c r="BH98" s="135"/>
      <c r="BI98" s="135"/>
      <c r="BJ98" s="135"/>
      <c r="BK98" s="135"/>
      <c r="BL98" s="135"/>
      <c r="BM98" s="135"/>
      <c r="BN98" s="140"/>
      <c r="BO98" s="133"/>
      <c r="BP98" s="134"/>
      <c r="BQ98" s="135"/>
      <c r="BR98" s="135"/>
      <c r="BS98" s="135"/>
      <c r="BT98" s="135"/>
      <c r="BU98" s="139"/>
      <c r="BV98" s="133" t="s">
        <v>126</v>
      </c>
      <c r="BW98" s="135"/>
      <c r="BX98" s="135"/>
      <c r="BY98" s="135"/>
      <c r="BZ98" s="135"/>
      <c r="CA98" s="135"/>
      <c r="CB98" s="135"/>
      <c r="CC98" s="137" t="s">
        <v>126</v>
      </c>
      <c r="CD98" s="135"/>
      <c r="CE98" s="135"/>
      <c r="CF98" s="135"/>
      <c r="CG98" s="135"/>
      <c r="CH98" s="135"/>
      <c r="CI98" s="136"/>
      <c r="CJ98" s="70"/>
      <c r="CK98" s="115"/>
      <c r="CL98" s="70"/>
      <c r="CM98" s="70"/>
      <c r="CN98" s="70"/>
      <c r="CO98" s="70"/>
      <c r="CP98" s="70"/>
      <c r="CQ98" s="70"/>
      <c r="CR98" s="70"/>
      <c r="CS98" s="70"/>
      <c r="CT98" s="70"/>
      <c r="CU98" s="70"/>
      <c r="CV98" s="70"/>
      <c r="CW98" s="70"/>
      <c r="CX98" s="70"/>
      <c r="CY98" s="70"/>
      <c r="CZ98" s="70"/>
      <c r="DA98" s="70"/>
      <c r="DB98" s="70"/>
      <c r="DC98" s="70"/>
      <c r="DD98" s="70"/>
      <c r="DE98" s="70"/>
      <c r="DF98" s="70"/>
      <c r="DG98" s="70"/>
      <c r="DH98" s="70"/>
      <c r="DI98" s="70"/>
      <c r="DJ98" s="70"/>
      <c r="DK98" s="70"/>
      <c r="DL98" s="70"/>
      <c r="DM98" s="70"/>
      <c r="DN98" s="70"/>
      <c r="DO98" s="70"/>
      <c r="DP98" s="70"/>
      <c r="DQ98" s="70"/>
      <c r="DR98" s="70"/>
      <c r="DS98" s="70"/>
      <c r="DT98" s="70"/>
      <c r="DU98" s="70"/>
      <c r="DV98" s="70"/>
      <c r="DW98" s="70"/>
      <c r="DX98" s="70"/>
      <c r="DY98" s="70"/>
      <c r="DZ98" s="70"/>
      <c r="EA98" s="70"/>
      <c r="EB98" s="70"/>
      <c r="EC98" s="81"/>
      <c r="ED98" s="70"/>
      <c r="EE98" s="70"/>
      <c r="EF98" s="70"/>
      <c r="EG98" s="70"/>
      <c r="EH98" s="70"/>
      <c r="EI98" s="70"/>
      <c r="EJ98" s="70"/>
      <c r="EK98" s="70"/>
      <c r="EL98" s="70"/>
      <c r="EM98" s="70"/>
      <c r="EN98" s="70"/>
      <c r="EO98" s="70"/>
      <c r="EP98" s="70"/>
      <c r="EQ98" s="70"/>
      <c r="ER98" s="70"/>
      <c r="ES98" s="70"/>
      <c r="ET98" s="70"/>
      <c r="EU98" s="70"/>
      <c r="EV98" s="70"/>
      <c r="EW98" s="70"/>
      <c r="EX98" s="65"/>
      <c r="EY98" s="65"/>
      <c r="EZ98" s="65"/>
      <c r="FA98" s="65"/>
      <c r="FB98" s="65"/>
      <c r="FC98" s="65"/>
      <c r="FD98" s="65"/>
      <c r="FE98" s="65"/>
      <c r="FF98" s="65"/>
      <c r="FG98" s="65"/>
      <c r="FH98" s="65"/>
      <c r="FI98" s="65"/>
      <c r="FJ98" s="65"/>
      <c r="FK98" s="66"/>
      <c r="FL98" s="66"/>
    </row>
    <row r="99" spans="1:168" ht="24.95" customHeight="1">
      <c r="A99" s="1">
        <f t="shared" si="14"/>
        <v>74</v>
      </c>
      <c r="B99" s="69"/>
      <c r="C99" s="65"/>
      <c r="D99" s="116"/>
      <c r="E99" s="65"/>
      <c r="F99" s="49"/>
      <c r="G99" s="93"/>
      <c r="H99" s="93"/>
      <c r="I99" s="93"/>
      <c r="J99" s="95"/>
      <c r="K99" s="95"/>
      <c r="L99" s="49"/>
      <c r="M99" s="93"/>
      <c r="N99" s="93"/>
      <c r="O99" s="93"/>
      <c r="P99" s="93"/>
      <c r="Q99" s="93"/>
      <c r="R99" s="93"/>
      <c r="S99" s="93"/>
      <c r="T99" s="93"/>
      <c r="U99" s="95"/>
      <c r="V99" s="49"/>
      <c r="W99" s="93"/>
      <c r="X99" s="93"/>
      <c r="Y99" s="132"/>
      <c r="Z99" s="111"/>
      <c r="AA99" s="93"/>
      <c r="AB99" s="93"/>
      <c r="AC99" s="109"/>
      <c r="AD99" s="93"/>
      <c r="AE99" s="95"/>
      <c r="AF99" s="49"/>
      <c r="AG99" s="93"/>
      <c r="AH99" s="131"/>
      <c r="AI99" s="49" t="s">
        <v>126</v>
      </c>
      <c r="AJ99" s="93"/>
      <c r="AK99" s="93"/>
      <c r="AL99" s="93"/>
      <c r="AM99" s="93"/>
      <c r="AN99" s="93"/>
      <c r="AO99" s="98"/>
      <c r="AP99" s="111"/>
      <c r="AQ99" s="93"/>
      <c r="AR99" s="95"/>
      <c r="AS99" s="95"/>
      <c r="AT99" s="95"/>
      <c r="AU99" s="95"/>
      <c r="AV99" s="95"/>
      <c r="AW99" s="95"/>
      <c r="AX99" s="113"/>
      <c r="AY99" s="49" t="s">
        <v>126</v>
      </c>
      <c r="AZ99" s="93"/>
      <c r="BA99" s="95"/>
      <c r="BB99" s="95"/>
      <c r="BC99" s="95"/>
      <c r="BD99" s="95"/>
      <c r="BE99" s="98"/>
      <c r="BF99" s="111"/>
      <c r="BG99" s="95"/>
      <c r="BH99" s="95"/>
      <c r="BI99" s="95"/>
      <c r="BJ99" s="95"/>
      <c r="BK99" s="95"/>
      <c r="BL99" s="95"/>
      <c r="BM99" s="95"/>
      <c r="BN99" s="113"/>
      <c r="BO99" s="49" t="s">
        <v>391</v>
      </c>
      <c r="BP99" s="93"/>
      <c r="BQ99" s="95"/>
      <c r="BR99" s="95"/>
      <c r="BS99" s="95"/>
      <c r="BT99" s="95"/>
      <c r="BU99" s="98"/>
      <c r="BV99" s="49" t="s">
        <v>126</v>
      </c>
      <c r="BW99" s="95"/>
      <c r="BX99" s="95"/>
      <c r="BY99" s="95"/>
      <c r="BZ99" s="95"/>
      <c r="CA99" s="95"/>
      <c r="CB99" s="95"/>
      <c r="CC99" s="111" t="s">
        <v>126</v>
      </c>
      <c r="CD99" s="95"/>
      <c r="CE99" s="95"/>
      <c r="CF99" s="95"/>
      <c r="CG99" s="95"/>
      <c r="CH99" s="95"/>
      <c r="CI99" s="98"/>
      <c r="CJ99" s="70"/>
      <c r="CK99" s="115"/>
      <c r="CL99" s="70"/>
      <c r="CM99" s="70"/>
      <c r="CN99" s="70"/>
      <c r="CO99" s="70"/>
      <c r="CP99" s="70"/>
      <c r="CQ99" s="70"/>
      <c r="CR99" s="70"/>
      <c r="CS99" s="70"/>
      <c r="CT99" s="70"/>
      <c r="CU99" s="70"/>
      <c r="CV99" s="70"/>
      <c r="CW99" s="70"/>
      <c r="CX99" s="70"/>
      <c r="CY99" s="70"/>
      <c r="CZ99" s="70"/>
      <c r="DA99" s="70"/>
      <c r="DB99" s="70"/>
      <c r="DC99" s="70"/>
      <c r="DD99" s="70"/>
      <c r="DE99" s="70"/>
      <c r="DF99" s="70"/>
      <c r="DG99" s="70"/>
      <c r="DH99" s="70"/>
      <c r="DI99" s="70"/>
      <c r="DJ99" s="70"/>
      <c r="DK99" s="70"/>
      <c r="DL99" s="70"/>
      <c r="DM99" s="70"/>
      <c r="DN99" s="70"/>
      <c r="DO99" s="70"/>
      <c r="DP99" s="70"/>
      <c r="DQ99" s="70"/>
      <c r="DR99" s="70"/>
      <c r="DS99" s="70"/>
      <c r="DT99" s="70"/>
      <c r="DU99" s="70"/>
      <c r="DV99" s="70"/>
      <c r="DW99" s="70"/>
      <c r="DX99" s="70"/>
      <c r="DY99" s="70"/>
      <c r="DZ99" s="70"/>
      <c r="EA99" s="70"/>
      <c r="EB99" s="70"/>
      <c r="EC99" s="81"/>
      <c r="ED99" s="70"/>
      <c r="EE99" s="70"/>
      <c r="EF99" s="70"/>
      <c r="EG99" s="70"/>
      <c r="EH99" s="70"/>
      <c r="EI99" s="70"/>
      <c r="EJ99" s="70"/>
      <c r="EK99" s="70"/>
      <c r="EL99" s="70"/>
      <c r="EM99" s="70"/>
      <c r="EN99" s="70"/>
      <c r="EO99" s="70"/>
      <c r="EP99" s="70"/>
      <c r="EQ99" s="70"/>
      <c r="ER99" s="70"/>
      <c r="ES99" s="70"/>
      <c r="ET99" s="70"/>
      <c r="EU99" s="70"/>
      <c r="EV99" s="70"/>
      <c r="EW99" s="70"/>
      <c r="EX99" s="65"/>
      <c r="EY99" s="65"/>
      <c r="EZ99" s="65"/>
      <c r="FA99" s="65"/>
      <c r="FB99" s="65"/>
      <c r="FC99" s="65"/>
      <c r="FD99" s="65"/>
      <c r="FE99" s="65"/>
      <c r="FF99" s="65"/>
      <c r="FG99" s="65"/>
      <c r="FH99" s="65"/>
      <c r="FI99" s="65"/>
      <c r="FJ99" s="65"/>
      <c r="FK99" s="66"/>
      <c r="FL99" s="66"/>
    </row>
    <row r="100" spans="1:168" ht="24.95" customHeight="1">
      <c r="A100" s="1">
        <f t="shared" si="14"/>
        <v>75</v>
      </c>
      <c r="B100" s="69"/>
      <c r="C100" s="70"/>
      <c r="D100" s="141"/>
      <c r="E100" s="142"/>
      <c r="F100" s="106"/>
      <c r="G100" s="129"/>
      <c r="H100" s="129"/>
      <c r="I100" s="129"/>
      <c r="J100" s="107"/>
      <c r="K100" s="107"/>
      <c r="L100" s="106"/>
      <c r="M100" s="129"/>
      <c r="N100" s="129"/>
      <c r="O100" s="129"/>
      <c r="P100" s="129"/>
      <c r="Q100" s="129"/>
      <c r="R100" s="129"/>
      <c r="S100" s="129"/>
      <c r="T100" s="129"/>
      <c r="U100" s="107"/>
      <c r="V100" s="106"/>
      <c r="W100" s="129"/>
      <c r="X100" s="129"/>
      <c r="Y100" s="130"/>
      <c r="Z100" s="122"/>
      <c r="AA100" s="129"/>
      <c r="AB100" s="129"/>
      <c r="AC100" s="129"/>
      <c r="AD100" s="129"/>
      <c r="AE100" s="107"/>
      <c r="AF100" s="106"/>
      <c r="AG100" s="129"/>
      <c r="AH100" s="128"/>
      <c r="AI100" s="106" t="s">
        <v>126</v>
      </c>
      <c r="AJ100" s="129"/>
      <c r="AK100" s="129"/>
      <c r="AL100" s="129"/>
      <c r="AM100" s="129"/>
      <c r="AN100" s="129"/>
      <c r="AO100" s="123"/>
      <c r="AP100" s="122"/>
      <c r="AQ100" s="129"/>
      <c r="AR100" s="107"/>
      <c r="AS100" s="107"/>
      <c r="AT100" s="107"/>
      <c r="AU100" s="107"/>
      <c r="AV100" s="107"/>
      <c r="AW100" s="107"/>
      <c r="AX100" s="124"/>
      <c r="AY100" s="106" t="s">
        <v>126</v>
      </c>
      <c r="AZ100" s="129"/>
      <c r="BA100" s="107"/>
      <c r="BB100" s="107"/>
      <c r="BC100" s="107"/>
      <c r="BD100" s="107"/>
      <c r="BE100" s="123"/>
      <c r="BF100" s="122"/>
      <c r="BG100" s="107"/>
      <c r="BH100" s="107"/>
      <c r="BI100" s="107"/>
      <c r="BJ100" s="107"/>
      <c r="BK100" s="107"/>
      <c r="BL100" s="107"/>
      <c r="BM100" s="107"/>
      <c r="BN100" s="124"/>
      <c r="BO100" s="106"/>
      <c r="BP100" s="129"/>
      <c r="BQ100" s="107"/>
      <c r="BR100" s="107"/>
      <c r="BS100" s="107"/>
      <c r="BT100" s="107"/>
      <c r="BU100" s="123"/>
      <c r="BV100" s="106" t="s">
        <v>126</v>
      </c>
      <c r="BW100" s="107"/>
      <c r="BX100" s="107"/>
      <c r="BY100" s="107"/>
      <c r="BZ100" s="107"/>
      <c r="CA100" s="107"/>
      <c r="CB100" s="107"/>
      <c r="CC100" s="122" t="s">
        <v>126</v>
      </c>
      <c r="CD100" s="107"/>
      <c r="CE100" s="107"/>
      <c r="CF100" s="107"/>
      <c r="CG100" s="107"/>
      <c r="CH100" s="107"/>
      <c r="CI100" s="123"/>
      <c r="CJ100" s="70"/>
      <c r="CK100" s="115"/>
      <c r="CL100" s="70"/>
      <c r="CM100" s="70"/>
      <c r="CN100" s="70"/>
      <c r="CO100" s="70"/>
      <c r="CP100" s="70"/>
      <c r="CQ100" s="70"/>
      <c r="CR100" s="70"/>
      <c r="CS100" s="70"/>
      <c r="CT100" s="70"/>
      <c r="CU100" s="70"/>
      <c r="CV100" s="70"/>
      <c r="CW100" s="70"/>
      <c r="CX100" s="70"/>
      <c r="CY100" s="70"/>
      <c r="CZ100" s="70"/>
      <c r="DA100" s="70"/>
      <c r="DB100" s="70"/>
      <c r="DC100" s="70"/>
      <c r="DD100" s="70"/>
      <c r="DE100" s="70"/>
      <c r="DF100" s="70"/>
      <c r="DG100" s="70"/>
      <c r="DH100" s="70"/>
      <c r="DI100" s="70"/>
      <c r="DJ100" s="70"/>
      <c r="DK100" s="70"/>
      <c r="DL100" s="70"/>
      <c r="DM100" s="70"/>
      <c r="DN100" s="70"/>
      <c r="DO100" s="70"/>
      <c r="DP100" s="70"/>
      <c r="DQ100" s="70"/>
      <c r="DR100" s="70"/>
      <c r="DS100" s="70"/>
      <c r="DT100" s="70"/>
      <c r="DU100" s="70"/>
      <c r="DV100" s="70"/>
      <c r="DW100" s="70"/>
      <c r="DX100" s="70"/>
      <c r="DY100" s="70"/>
      <c r="DZ100" s="70"/>
      <c r="EA100" s="70"/>
      <c r="EB100" s="70"/>
      <c r="EC100" s="81"/>
      <c r="ED100" s="70"/>
      <c r="EE100" s="70"/>
      <c r="EF100" s="70"/>
      <c r="EG100" s="70"/>
      <c r="EH100" s="70"/>
      <c r="EI100" s="70"/>
      <c r="EJ100" s="70"/>
      <c r="EK100" s="70"/>
      <c r="EL100" s="70"/>
      <c r="EM100" s="70"/>
      <c r="EN100" s="70"/>
      <c r="EO100" s="70"/>
      <c r="EP100" s="70"/>
      <c r="EQ100" s="70"/>
      <c r="ER100" s="70"/>
      <c r="ES100" s="70"/>
      <c r="ET100" s="70"/>
      <c r="EU100" s="70"/>
      <c r="EV100" s="65"/>
      <c r="EW100" s="65"/>
      <c r="EX100" s="65"/>
      <c r="EY100" s="65"/>
      <c r="EZ100" s="65"/>
      <c r="FA100" s="65"/>
      <c r="FB100" s="65"/>
      <c r="FC100" s="65"/>
      <c r="FD100" s="65"/>
      <c r="FE100" s="65"/>
      <c r="FF100" s="65"/>
      <c r="FG100" s="65"/>
      <c r="FH100" s="65"/>
      <c r="FI100" s="66"/>
      <c r="FJ100" s="66"/>
    </row>
    <row r="101" spans="1:168" ht="24.95" customHeight="1">
      <c r="A101" s="1">
        <f t="shared" si="14"/>
        <v>76</v>
      </c>
      <c r="B101" s="69"/>
      <c r="C101" s="70"/>
      <c r="D101" s="125"/>
      <c r="E101" s="118"/>
      <c r="F101" s="118"/>
      <c r="G101" s="127"/>
      <c r="H101" s="127"/>
      <c r="I101" s="127"/>
      <c r="J101" s="150"/>
      <c r="K101" s="120"/>
      <c r="L101" s="127"/>
      <c r="M101" s="127"/>
      <c r="N101" s="127"/>
      <c r="O101" s="127"/>
      <c r="P101" s="127"/>
      <c r="Q101" s="127"/>
      <c r="R101" s="127"/>
      <c r="S101" s="127"/>
      <c r="T101" s="118"/>
      <c r="U101" s="120"/>
      <c r="V101" s="127"/>
      <c r="W101" s="127"/>
      <c r="X101" s="127"/>
      <c r="Y101" s="127"/>
      <c r="Z101" s="118"/>
      <c r="AA101" s="127"/>
      <c r="AB101" s="127"/>
      <c r="AC101" s="127"/>
      <c r="AD101" s="127"/>
      <c r="AE101" s="120"/>
      <c r="AF101" s="127"/>
      <c r="AG101" s="127"/>
      <c r="AH101" s="127"/>
      <c r="AI101" s="118"/>
      <c r="AJ101" s="127"/>
      <c r="AK101" s="127"/>
      <c r="AL101" s="127"/>
      <c r="AM101" s="127"/>
      <c r="AN101" s="127"/>
      <c r="AO101" s="120"/>
      <c r="AP101" s="118"/>
      <c r="AQ101" s="127"/>
      <c r="AR101" s="127"/>
      <c r="AS101" s="127"/>
      <c r="AT101" s="127"/>
      <c r="AU101" s="120"/>
      <c r="AV101" s="127"/>
      <c r="AW101" s="127"/>
      <c r="AX101" s="127"/>
      <c r="AY101" s="118"/>
      <c r="AZ101" s="127"/>
      <c r="BA101" s="127"/>
      <c r="BB101" s="127"/>
      <c r="BC101" s="127"/>
      <c r="BD101" s="127"/>
      <c r="BE101" s="127"/>
      <c r="BF101" s="118"/>
      <c r="BG101" s="127"/>
      <c r="BH101" s="127"/>
      <c r="BI101" s="127"/>
      <c r="BJ101" s="127"/>
      <c r="BK101" s="120"/>
      <c r="BL101" s="127"/>
      <c r="BM101" s="127"/>
      <c r="BN101" s="127"/>
      <c r="BO101" s="118"/>
      <c r="BP101" s="127"/>
      <c r="BQ101" s="127"/>
      <c r="BR101" s="127"/>
      <c r="BS101" s="127"/>
      <c r="BT101" s="127"/>
      <c r="BU101" s="127"/>
      <c r="BV101" s="118"/>
      <c r="BW101" s="127"/>
      <c r="BX101" s="127"/>
      <c r="BY101" s="127"/>
      <c r="BZ101" s="127"/>
      <c r="CA101" s="120"/>
      <c r="CB101" s="127"/>
      <c r="CC101" s="118"/>
      <c r="CD101" s="127"/>
      <c r="CE101" s="118"/>
      <c r="CF101" s="127"/>
      <c r="CG101" s="127"/>
      <c r="CH101" s="127"/>
      <c r="CI101" s="121"/>
      <c r="CJ101" s="70"/>
      <c r="CK101" s="115"/>
      <c r="CL101" s="70"/>
      <c r="CM101" s="70"/>
      <c r="CN101" s="70"/>
      <c r="CO101" s="70"/>
      <c r="CP101" s="70"/>
      <c r="CQ101" s="70"/>
      <c r="CR101" s="70"/>
      <c r="CS101" s="70"/>
      <c r="CT101" s="70"/>
      <c r="CU101" s="70"/>
      <c r="CV101" s="70"/>
      <c r="CW101" s="70"/>
      <c r="CX101" s="70"/>
      <c r="CY101" s="70"/>
      <c r="CZ101" s="70"/>
      <c r="DA101" s="70"/>
      <c r="DB101" s="70"/>
      <c r="DC101" s="70"/>
      <c r="DD101" s="70"/>
      <c r="DE101" s="70"/>
      <c r="DF101" s="70"/>
      <c r="DG101" s="70"/>
      <c r="DH101" s="70"/>
      <c r="DI101" s="70"/>
      <c r="DJ101" s="70"/>
      <c r="DK101" s="70"/>
      <c r="DL101" s="70"/>
      <c r="DM101" s="70"/>
      <c r="DN101" s="70"/>
      <c r="DO101" s="70"/>
      <c r="DP101" s="70"/>
      <c r="DQ101" s="70"/>
      <c r="DR101" s="70"/>
      <c r="DS101" s="70"/>
      <c r="DT101" s="70"/>
      <c r="DU101" s="70"/>
      <c r="DV101" s="70"/>
      <c r="DW101" s="70"/>
      <c r="DX101" s="70"/>
      <c r="DY101" s="70"/>
      <c r="DZ101" s="70"/>
      <c r="EA101" s="70"/>
      <c r="EB101" s="70"/>
      <c r="EC101" s="81"/>
      <c r="ED101" s="70"/>
      <c r="EE101" s="70"/>
      <c r="EF101" s="70"/>
      <c r="EG101" s="70"/>
      <c r="EH101" s="70"/>
      <c r="EI101" s="70"/>
      <c r="EJ101" s="70"/>
      <c r="EK101" s="70"/>
      <c r="EL101" s="70"/>
      <c r="EM101" s="70"/>
      <c r="EN101" s="70"/>
      <c r="EO101" s="70"/>
      <c r="EP101" s="70"/>
      <c r="EQ101" s="70"/>
      <c r="ER101" s="70"/>
      <c r="ES101" s="70"/>
      <c r="ET101" s="70"/>
      <c r="EU101" s="70"/>
      <c r="EV101" s="65"/>
      <c r="EW101" s="65"/>
      <c r="EX101" s="65"/>
      <c r="EY101" s="65"/>
      <c r="EZ101" s="65"/>
      <c r="FA101" s="65"/>
      <c r="FB101" s="65"/>
      <c r="FC101" s="65"/>
      <c r="FD101" s="65"/>
      <c r="FE101" s="65"/>
      <c r="FF101" s="65"/>
      <c r="FG101" s="65"/>
      <c r="FH101" s="65"/>
      <c r="FI101" s="66"/>
      <c r="FJ101" s="66"/>
    </row>
    <row r="102" spans="1:168" ht="24.95" customHeight="1">
      <c r="A102" s="1">
        <f t="shared" si="14"/>
        <v>77</v>
      </c>
      <c r="B102" s="69"/>
      <c r="C102" s="70"/>
      <c r="D102" s="111"/>
      <c r="E102" s="49"/>
      <c r="F102" s="49"/>
      <c r="G102" s="93"/>
      <c r="H102" s="93"/>
      <c r="I102" s="93"/>
      <c r="J102" s="108"/>
      <c r="K102" s="95"/>
      <c r="L102" s="93"/>
      <c r="M102" s="93"/>
      <c r="N102" s="93"/>
      <c r="O102" s="93"/>
      <c r="P102" s="93"/>
      <c r="Q102" s="93"/>
      <c r="R102" s="93"/>
      <c r="S102" s="93"/>
      <c r="T102" s="49"/>
      <c r="U102" s="95"/>
      <c r="V102" s="93"/>
      <c r="W102" s="93"/>
      <c r="X102" s="109"/>
      <c r="Y102" s="93"/>
      <c r="Z102" s="49"/>
      <c r="AA102" s="93"/>
      <c r="AB102" s="93"/>
      <c r="AC102" s="93"/>
      <c r="AD102" s="93"/>
      <c r="AE102" s="95"/>
      <c r="AF102" s="49"/>
      <c r="AG102" s="93"/>
      <c r="AH102" s="93"/>
      <c r="AI102" s="49"/>
      <c r="AJ102" s="93"/>
      <c r="AK102" s="93"/>
      <c r="AL102" s="93"/>
      <c r="AM102" s="93"/>
      <c r="AN102" s="93"/>
      <c r="AO102" s="95"/>
      <c r="AP102" s="49"/>
      <c r="AQ102" s="93"/>
      <c r="AR102" s="93"/>
      <c r="AS102" s="93"/>
      <c r="AT102" s="93"/>
      <c r="AU102" s="95"/>
      <c r="AV102" s="49"/>
      <c r="AW102" s="93"/>
      <c r="AX102" s="93"/>
      <c r="AY102" s="49"/>
      <c r="AZ102" s="93"/>
      <c r="BA102" s="93"/>
      <c r="BB102" s="93"/>
      <c r="BC102" s="93"/>
      <c r="BD102" s="93"/>
      <c r="BE102" s="93"/>
      <c r="BF102" s="49"/>
      <c r="BG102" s="93"/>
      <c r="BH102" s="93"/>
      <c r="BI102" s="93"/>
      <c r="BJ102" s="93"/>
      <c r="BK102" s="95"/>
      <c r="BL102" s="49"/>
      <c r="BM102" s="93"/>
      <c r="BN102" s="93"/>
      <c r="BO102" s="49"/>
      <c r="BP102" s="93"/>
      <c r="BQ102" s="93"/>
      <c r="BR102" s="93"/>
      <c r="BS102" s="93"/>
      <c r="BT102" s="93"/>
      <c r="BU102" s="93"/>
      <c r="BV102" s="49"/>
      <c r="BW102" s="93"/>
      <c r="BX102" s="93"/>
      <c r="BY102" s="93"/>
      <c r="BZ102" s="93"/>
      <c r="CA102" s="95"/>
      <c r="CB102" s="49"/>
      <c r="CC102" s="49"/>
      <c r="CD102" s="93"/>
      <c r="CE102" s="49"/>
      <c r="CF102" s="93"/>
      <c r="CG102" s="93"/>
      <c r="CH102" s="93"/>
      <c r="CI102" s="98"/>
      <c r="CJ102" s="70"/>
      <c r="CK102" s="115"/>
      <c r="CL102" s="70"/>
      <c r="CM102" s="70"/>
      <c r="CN102" s="70"/>
      <c r="CO102" s="70"/>
      <c r="CP102" s="70"/>
      <c r="CQ102" s="70"/>
      <c r="CR102" s="70"/>
      <c r="CS102" s="70"/>
      <c r="CT102" s="70"/>
      <c r="CU102" s="70"/>
      <c r="CV102" s="70"/>
      <c r="CW102" s="70"/>
      <c r="CX102" s="70"/>
      <c r="CY102" s="70"/>
      <c r="CZ102" s="70"/>
      <c r="DA102" s="70"/>
      <c r="DB102" s="70"/>
      <c r="DC102" s="70"/>
      <c r="DD102" s="70"/>
      <c r="DE102" s="70"/>
      <c r="DF102" s="70"/>
      <c r="DG102" s="70"/>
      <c r="DH102" s="70"/>
      <c r="DI102" s="70"/>
      <c r="DJ102" s="70"/>
      <c r="DK102" s="70"/>
      <c r="DL102" s="70"/>
      <c r="DM102" s="70"/>
      <c r="DN102" s="70"/>
      <c r="DO102" s="70"/>
      <c r="DP102" s="70"/>
      <c r="DQ102" s="70"/>
      <c r="DR102" s="70"/>
      <c r="DS102" s="70"/>
      <c r="DT102" s="70"/>
      <c r="DU102" s="70"/>
      <c r="DV102" s="70"/>
      <c r="DW102" s="70"/>
      <c r="DX102" s="70"/>
      <c r="DY102" s="70"/>
      <c r="DZ102" s="70"/>
      <c r="EA102" s="70"/>
      <c r="EB102" s="70"/>
      <c r="EC102" s="81"/>
      <c r="ED102" s="70"/>
      <c r="EE102" s="70"/>
      <c r="EF102" s="70"/>
      <c r="EG102" s="70"/>
      <c r="EH102" s="70"/>
      <c r="EI102" s="70"/>
      <c r="EJ102" s="70"/>
      <c r="EK102" s="70"/>
      <c r="EL102" s="70"/>
      <c r="EM102" s="70"/>
      <c r="EN102" s="70"/>
      <c r="EO102" s="70"/>
      <c r="EP102" s="70"/>
      <c r="EQ102" s="70"/>
      <c r="ER102" s="70"/>
      <c r="ES102" s="70"/>
      <c r="ET102" s="70"/>
      <c r="EU102" s="70"/>
      <c r="EV102" s="65"/>
      <c r="EW102" s="65"/>
      <c r="EX102" s="65"/>
      <c r="EY102" s="65"/>
      <c r="EZ102" s="65"/>
      <c r="FA102" s="65"/>
      <c r="FB102" s="65"/>
      <c r="FC102" s="65"/>
      <c r="FD102" s="65"/>
      <c r="FE102" s="65"/>
      <c r="FF102" s="65"/>
      <c r="FG102" s="65"/>
      <c r="FH102" s="65"/>
      <c r="FI102" s="66"/>
      <c r="FJ102" s="66"/>
    </row>
    <row r="103" spans="1:168" ht="24.95" customHeight="1">
      <c r="A103" s="1">
        <f t="shared" si="14"/>
        <v>78</v>
      </c>
      <c r="B103" s="69"/>
      <c r="C103" s="65"/>
      <c r="D103" s="147"/>
      <c r="E103" s="49"/>
      <c r="F103" s="49"/>
      <c r="G103" s="93"/>
      <c r="H103" s="93"/>
      <c r="I103" s="93"/>
      <c r="J103" s="108"/>
      <c r="K103" s="95"/>
      <c r="L103" s="49"/>
      <c r="M103" s="108"/>
      <c r="N103" s="93"/>
      <c r="O103" s="93"/>
      <c r="P103" s="93"/>
      <c r="Q103" s="93"/>
      <c r="R103" s="93"/>
      <c r="S103" s="93"/>
      <c r="T103" s="93"/>
      <c r="U103" s="95"/>
      <c r="V103" s="49"/>
      <c r="W103" s="93"/>
      <c r="X103" s="109"/>
      <c r="Y103" s="93"/>
      <c r="Z103" s="49"/>
      <c r="AA103" s="93"/>
      <c r="AB103" s="93"/>
      <c r="AC103" s="93"/>
      <c r="AD103" s="93"/>
      <c r="AE103" s="95"/>
      <c r="AF103" s="49"/>
      <c r="AG103" s="93"/>
      <c r="AH103" s="93"/>
      <c r="AI103" s="49"/>
      <c r="AJ103" s="93"/>
      <c r="AK103" s="93"/>
      <c r="AL103" s="93"/>
      <c r="AM103" s="93"/>
      <c r="AN103" s="93"/>
      <c r="AO103" s="95"/>
      <c r="AP103" s="49"/>
      <c r="AQ103" s="93"/>
      <c r="AR103" s="93"/>
      <c r="AS103" s="93"/>
      <c r="AT103" s="93"/>
      <c r="AU103" s="93"/>
      <c r="AV103" s="93"/>
      <c r="AW103" s="93"/>
      <c r="AX103" s="95"/>
      <c r="AY103" s="49"/>
      <c r="AZ103" s="93"/>
      <c r="BA103" s="95"/>
      <c r="BB103" s="95"/>
      <c r="BC103" s="95"/>
      <c r="BD103" s="95"/>
      <c r="BE103" s="95"/>
      <c r="BF103" s="49"/>
      <c r="BG103" s="95"/>
      <c r="BH103" s="95"/>
      <c r="BI103" s="95"/>
      <c r="BJ103" s="95"/>
      <c r="BK103" s="95"/>
      <c r="BL103" s="95"/>
      <c r="BM103" s="95"/>
      <c r="BN103" s="95"/>
      <c r="BO103" s="49"/>
      <c r="BP103" s="93"/>
      <c r="BQ103" s="95"/>
      <c r="BR103" s="95"/>
      <c r="BS103" s="95"/>
      <c r="BT103" s="95"/>
      <c r="BU103" s="95"/>
      <c r="BV103" s="49"/>
      <c r="BW103" s="95"/>
      <c r="BX103" s="95"/>
      <c r="BY103" s="95"/>
      <c r="BZ103" s="95"/>
      <c r="CA103" s="95"/>
      <c r="CB103" s="95"/>
      <c r="CC103" s="49"/>
      <c r="CD103" s="95"/>
      <c r="CE103" s="95"/>
      <c r="CF103" s="95"/>
      <c r="CG103" s="95"/>
      <c r="CH103" s="95"/>
      <c r="CI103" s="95"/>
      <c r="CJ103" s="65"/>
      <c r="CK103" s="116"/>
      <c r="CL103" s="65"/>
      <c r="CM103" s="65"/>
      <c r="CN103" s="65"/>
      <c r="CO103" s="65"/>
      <c r="CP103" s="65"/>
      <c r="CQ103" s="65"/>
      <c r="CR103" s="65"/>
      <c r="CS103" s="65"/>
      <c r="CT103" s="65"/>
      <c r="CU103" s="65"/>
      <c r="CV103" s="65"/>
      <c r="CW103" s="65"/>
      <c r="CX103" s="65"/>
      <c r="CY103" s="65"/>
      <c r="CZ103" s="65"/>
      <c r="DA103" s="65"/>
      <c r="DB103" s="65"/>
      <c r="DC103" s="65"/>
      <c r="DD103" s="65"/>
      <c r="DE103" s="65"/>
      <c r="DF103" s="65"/>
      <c r="DG103" s="65"/>
      <c r="DH103" s="65"/>
      <c r="DI103" s="65"/>
      <c r="DJ103" s="65"/>
      <c r="DK103" s="65"/>
      <c r="DL103" s="65"/>
      <c r="DM103" s="65"/>
      <c r="DN103" s="65"/>
      <c r="DO103" s="65"/>
      <c r="DP103" s="65"/>
      <c r="DQ103" s="65"/>
      <c r="DR103" s="65"/>
      <c r="DS103" s="65"/>
      <c r="DT103" s="65"/>
      <c r="DU103" s="65"/>
      <c r="DV103" s="65"/>
      <c r="DW103" s="65"/>
      <c r="DX103" s="65"/>
      <c r="DY103" s="65"/>
      <c r="DZ103" s="65"/>
      <c r="EA103" s="65"/>
      <c r="EB103" s="65"/>
      <c r="EC103" s="76"/>
      <c r="ED103" s="65"/>
      <c r="EE103" s="65"/>
      <c r="EF103" s="65"/>
      <c r="EG103" s="65"/>
      <c r="EH103" s="65"/>
      <c r="EI103" s="65"/>
      <c r="EJ103" s="65"/>
      <c r="EK103" s="65"/>
      <c r="EL103" s="65"/>
      <c r="EM103" s="65"/>
      <c r="EN103" s="65"/>
      <c r="EO103" s="65"/>
      <c r="EP103" s="65"/>
      <c r="EQ103" s="65"/>
      <c r="ER103" s="65"/>
      <c r="ES103" s="65"/>
      <c r="ET103" s="65"/>
      <c r="EU103" s="65"/>
      <c r="EV103" s="65"/>
      <c r="EW103" s="65"/>
      <c r="EX103" s="65"/>
      <c r="EY103" s="65"/>
      <c r="EZ103" s="65"/>
      <c r="FA103" s="65"/>
      <c r="FB103" s="65"/>
      <c r="FC103" s="65"/>
      <c r="FD103" s="65"/>
      <c r="FE103" s="65"/>
      <c r="FF103" s="65"/>
      <c r="FG103" s="65"/>
      <c r="FH103" s="65"/>
      <c r="FI103" s="66"/>
      <c r="FJ103" s="66"/>
    </row>
    <row r="104" spans="1:168" ht="24.95" customHeight="1">
      <c r="A104" s="1">
        <f t="shared" si="14"/>
        <v>79</v>
      </c>
      <c r="B104" s="69"/>
      <c r="C104" s="65"/>
      <c r="D104" s="49"/>
      <c r="E104" s="49"/>
      <c r="F104" s="49"/>
      <c r="G104" s="93"/>
      <c r="H104" s="93"/>
      <c r="I104" s="93"/>
      <c r="J104" s="95"/>
      <c r="K104" s="95"/>
      <c r="L104" s="49"/>
      <c r="M104" s="104"/>
      <c r="N104" s="93"/>
      <c r="O104" s="93"/>
      <c r="P104" s="93"/>
      <c r="Q104" s="93"/>
      <c r="R104" s="93"/>
      <c r="S104" s="49"/>
      <c r="T104" s="93"/>
      <c r="U104" s="95"/>
      <c r="V104" s="49"/>
      <c r="W104" s="93"/>
      <c r="X104" s="109"/>
      <c r="Y104" s="93"/>
      <c r="Z104" s="49"/>
      <c r="AA104" s="93"/>
      <c r="AB104" s="93"/>
      <c r="AC104" s="93"/>
      <c r="AD104" s="93"/>
      <c r="AE104" s="95"/>
      <c r="AF104" s="49"/>
      <c r="AG104" s="93"/>
      <c r="AH104" s="93"/>
      <c r="AI104" s="49"/>
      <c r="AJ104" s="93"/>
      <c r="AK104" s="93"/>
      <c r="AL104" s="93"/>
      <c r="AM104" s="93"/>
      <c r="AN104" s="93"/>
      <c r="AO104" s="95"/>
      <c r="AP104" s="49"/>
      <c r="AQ104" s="93"/>
      <c r="AR104" s="93"/>
      <c r="AS104" s="93"/>
      <c r="AT104" s="93"/>
      <c r="AU104" s="93"/>
      <c r="AV104" s="93"/>
      <c r="AW104" s="93"/>
      <c r="AX104" s="95"/>
      <c r="AY104" s="49"/>
      <c r="AZ104" s="93"/>
      <c r="BA104" s="95"/>
      <c r="BB104" s="95"/>
      <c r="BC104" s="95"/>
      <c r="BD104" s="95"/>
      <c r="BE104" s="95"/>
      <c r="BF104" s="49"/>
      <c r="BG104" s="95"/>
      <c r="BH104" s="95"/>
      <c r="BI104" s="95"/>
      <c r="BJ104" s="95"/>
      <c r="BK104" s="95"/>
      <c r="BL104" s="95"/>
      <c r="BM104" s="95"/>
      <c r="BN104" s="95"/>
      <c r="BO104" s="49"/>
      <c r="BP104" s="93"/>
      <c r="BQ104" s="95"/>
      <c r="BR104" s="95"/>
      <c r="BS104" s="95"/>
      <c r="BT104" s="95"/>
      <c r="BU104" s="95"/>
      <c r="BV104" s="49"/>
      <c r="BW104" s="95"/>
      <c r="BX104" s="95"/>
      <c r="BY104" s="95"/>
      <c r="BZ104" s="95"/>
      <c r="CA104" s="95"/>
      <c r="CB104" s="95"/>
      <c r="CC104" s="49"/>
      <c r="CD104" s="95"/>
      <c r="CE104" s="95"/>
      <c r="CF104" s="95"/>
      <c r="CG104" s="95"/>
      <c r="CH104" s="95"/>
      <c r="CI104" s="95"/>
      <c r="CJ104" s="65"/>
      <c r="CK104" s="116"/>
      <c r="CL104" s="65"/>
      <c r="CM104" s="65"/>
      <c r="CN104" s="65"/>
      <c r="CO104" s="65"/>
      <c r="CP104" s="65"/>
      <c r="CQ104" s="65"/>
      <c r="CR104" s="65"/>
      <c r="CS104" s="65"/>
      <c r="CT104" s="65"/>
      <c r="CU104" s="65"/>
      <c r="CV104" s="65"/>
      <c r="CW104" s="65"/>
      <c r="CX104" s="65"/>
      <c r="CY104" s="65"/>
      <c r="CZ104" s="65"/>
      <c r="DA104" s="65"/>
      <c r="DB104" s="65"/>
      <c r="DC104" s="65"/>
      <c r="DD104" s="65"/>
      <c r="DE104" s="65"/>
      <c r="DF104" s="65"/>
      <c r="DG104" s="65"/>
      <c r="DH104" s="65"/>
      <c r="DI104" s="65"/>
      <c r="DJ104" s="65"/>
      <c r="DK104" s="65"/>
      <c r="DL104" s="65"/>
      <c r="DM104" s="65"/>
      <c r="DN104" s="65"/>
      <c r="DO104" s="65"/>
      <c r="DP104" s="65"/>
      <c r="DQ104" s="65"/>
      <c r="DR104" s="65"/>
      <c r="DS104" s="65"/>
      <c r="DT104" s="65"/>
      <c r="DU104" s="65"/>
      <c r="DV104" s="65"/>
      <c r="DW104" s="65"/>
      <c r="DX104" s="65"/>
      <c r="DY104" s="65"/>
      <c r="DZ104" s="65"/>
      <c r="EA104" s="65"/>
      <c r="EB104" s="65"/>
      <c r="EC104" s="76"/>
      <c r="ED104" s="65"/>
      <c r="EE104" s="65"/>
      <c r="EF104" s="65"/>
      <c r="EG104" s="65"/>
      <c r="EH104" s="65"/>
      <c r="EI104" s="65"/>
      <c r="EJ104" s="65"/>
      <c r="EK104" s="65"/>
      <c r="EL104" s="65"/>
      <c r="EM104" s="65"/>
      <c r="EN104" s="65"/>
      <c r="EO104" s="65"/>
      <c r="EP104" s="65"/>
      <c r="EQ104" s="65"/>
      <c r="ER104" s="65"/>
      <c r="ES104" s="65"/>
      <c r="ET104" s="65"/>
      <c r="EU104" s="65"/>
      <c r="EV104" s="65"/>
      <c r="EW104" s="65"/>
      <c r="EX104" s="65"/>
      <c r="EY104" s="65"/>
      <c r="EZ104" s="65"/>
      <c r="FA104" s="65"/>
      <c r="FB104" s="65"/>
      <c r="FC104" s="65"/>
      <c r="FD104" s="65"/>
      <c r="FE104" s="65"/>
      <c r="FF104" s="65"/>
      <c r="FG104" s="65"/>
      <c r="FH104" s="65"/>
      <c r="FI104" s="66"/>
      <c r="FJ104" s="66"/>
    </row>
    <row r="105" spans="1:168" ht="24.95" customHeight="1">
      <c r="A105" s="1">
        <f t="shared" si="14"/>
        <v>80</v>
      </c>
      <c r="B105" s="69"/>
      <c r="C105" s="65"/>
      <c r="D105" s="65"/>
      <c r="E105" s="65"/>
      <c r="F105" s="49"/>
      <c r="G105" s="93"/>
      <c r="H105" s="93"/>
      <c r="I105" s="93"/>
      <c r="J105" s="95"/>
      <c r="K105" s="95"/>
      <c r="L105" s="49"/>
      <c r="M105" s="93"/>
      <c r="N105" s="93"/>
      <c r="O105" s="93"/>
      <c r="P105" s="93"/>
      <c r="Q105" s="93"/>
      <c r="R105" s="93"/>
      <c r="S105" s="93"/>
      <c r="T105" s="93"/>
      <c r="U105" s="95"/>
      <c r="V105" s="49"/>
      <c r="W105" s="93"/>
      <c r="X105" s="93"/>
      <c r="Y105" s="93"/>
      <c r="Z105" s="49"/>
      <c r="AA105" s="93"/>
      <c r="AB105" s="93"/>
      <c r="AC105" s="109"/>
      <c r="AD105" s="93"/>
      <c r="AE105" s="95"/>
      <c r="AF105" s="49"/>
      <c r="AG105" s="93"/>
      <c r="AH105" s="93"/>
      <c r="AI105" s="49"/>
      <c r="AJ105" s="93"/>
      <c r="AK105" s="93"/>
      <c r="AL105" s="93"/>
      <c r="AM105" s="93"/>
      <c r="AN105" s="93"/>
      <c r="AO105" s="95"/>
      <c r="AP105" s="49"/>
      <c r="AQ105" s="93"/>
      <c r="AR105" s="95"/>
      <c r="AS105" s="95"/>
      <c r="AT105" s="95"/>
      <c r="AU105" s="95"/>
      <c r="AV105" s="95"/>
      <c r="AW105" s="95"/>
      <c r="AX105" s="95"/>
      <c r="AY105" s="49"/>
      <c r="AZ105" s="93"/>
      <c r="BA105" s="95"/>
      <c r="BB105" s="95"/>
      <c r="BC105" s="95"/>
      <c r="BD105" s="95"/>
      <c r="BE105" s="95"/>
      <c r="BF105" s="49"/>
      <c r="BG105" s="95"/>
      <c r="BH105" s="95"/>
      <c r="BI105" s="95"/>
      <c r="BJ105" s="95"/>
      <c r="BK105" s="95"/>
      <c r="BL105" s="95"/>
      <c r="BM105" s="95"/>
      <c r="BN105" s="95"/>
      <c r="BO105" s="49"/>
      <c r="BP105" s="93"/>
      <c r="BQ105" s="95"/>
      <c r="BR105" s="95"/>
      <c r="BS105" s="95"/>
      <c r="BT105" s="95"/>
      <c r="BU105" s="95"/>
      <c r="BV105" s="49"/>
      <c r="BW105" s="95"/>
      <c r="BX105" s="95"/>
      <c r="BY105" s="95"/>
      <c r="BZ105" s="95"/>
      <c r="CA105" s="95"/>
      <c r="CB105" s="95"/>
      <c r="CC105" s="49"/>
      <c r="CD105" s="95"/>
      <c r="CE105" s="95"/>
      <c r="CF105" s="95"/>
      <c r="CG105" s="95"/>
      <c r="CH105" s="95"/>
      <c r="CI105" s="95"/>
      <c r="CJ105" s="65"/>
      <c r="CK105" s="116"/>
      <c r="CL105" s="65"/>
      <c r="CM105" s="65"/>
      <c r="CN105" s="65"/>
      <c r="CO105" s="65"/>
      <c r="CP105" s="65"/>
      <c r="CQ105" s="65"/>
      <c r="CR105" s="65"/>
      <c r="CS105" s="65"/>
      <c r="CT105" s="65"/>
      <c r="CU105" s="65"/>
      <c r="CV105" s="65"/>
      <c r="CW105" s="65"/>
      <c r="CX105" s="65"/>
      <c r="CY105" s="65"/>
      <c r="CZ105" s="65"/>
      <c r="DA105" s="65"/>
      <c r="DB105" s="65"/>
      <c r="DC105" s="65"/>
      <c r="DD105" s="65"/>
      <c r="DE105" s="65"/>
      <c r="DF105" s="65"/>
      <c r="DG105" s="65"/>
      <c r="DH105" s="65"/>
      <c r="DI105" s="65"/>
      <c r="DJ105" s="65"/>
      <c r="DK105" s="65"/>
      <c r="DL105" s="65"/>
      <c r="DM105" s="65"/>
      <c r="DN105" s="65"/>
      <c r="DO105" s="65"/>
      <c r="DP105" s="65"/>
      <c r="DQ105" s="65"/>
      <c r="DR105" s="65"/>
      <c r="DS105" s="65"/>
      <c r="DT105" s="65"/>
      <c r="DU105" s="65"/>
      <c r="DV105" s="65"/>
      <c r="DW105" s="65"/>
      <c r="DX105" s="65"/>
      <c r="DY105" s="65"/>
      <c r="DZ105" s="65"/>
      <c r="EA105" s="65"/>
      <c r="EB105" s="65"/>
      <c r="EC105" s="76"/>
      <c r="ED105" s="65"/>
      <c r="EE105" s="65"/>
      <c r="EF105" s="65"/>
      <c r="EG105" s="65"/>
      <c r="EH105" s="65"/>
      <c r="EI105" s="65"/>
      <c r="EJ105" s="65"/>
      <c r="EK105" s="65"/>
      <c r="EL105" s="65"/>
      <c r="EM105" s="65"/>
      <c r="EN105" s="65"/>
      <c r="EO105" s="65"/>
      <c r="EP105" s="65"/>
      <c r="EQ105" s="65"/>
      <c r="ER105" s="65"/>
      <c r="ES105" s="65"/>
      <c r="ET105" s="65"/>
      <c r="EU105" s="65"/>
      <c r="EV105" s="65"/>
      <c r="EW105" s="65"/>
      <c r="EX105" s="65"/>
      <c r="EY105" s="65"/>
      <c r="EZ105" s="65"/>
      <c r="FA105" s="65"/>
      <c r="FB105" s="65"/>
      <c r="FC105" s="65"/>
      <c r="FD105" s="65"/>
      <c r="FE105" s="65"/>
      <c r="FF105" s="65"/>
      <c r="FG105" s="65"/>
      <c r="FH105" s="65"/>
      <c r="FI105" s="66"/>
      <c r="FJ105" s="66"/>
    </row>
    <row r="106" spans="1:168" ht="24.95" customHeight="1">
      <c r="A106" s="1">
        <f t="shared" si="14"/>
        <v>81</v>
      </c>
      <c r="B106" s="69"/>
      <c r="C106" s="65"/>
      <c r="D106" s="65"/>
      <c r="E106" s="65"/>
      <c r="F106" s="49"/>
      <c r="G106" s="93"/>
      <c r="H106" s="93"/>
      <c r="I106" s="93"/>
      <c r="J106" s="95"/>
      <c r="K106" s="95"/>
      <c r="L106" s="49"/>
      <c r="M106" s="93"/>
      <c r="N106" s="93"/>
      <c r="O106" s="93"/>
      <c r="P106" s="93"/>
      <c r="Q106" s="93"/>
      <c r="R106" s="93"/>
      <c r="S106" s="93"/>
      <c r="T106" s="93"/>
      <c r="U106" s="95"/>
      <c r="V106" s="49"/>
      <c r="W106" s="93"/>
      <c r="X106" s="93"/>
      <c r="Y106" s="93"/>
      <c r="Z106" s="49"/>
      <c r="AA106" s="93"/>
      <c r="AB106" s="93"/>
      <c r="AC106" s="93"/>
      <c r="AD106" s="93"/>
      <c r="AE106" s="95"/>
      <c r="AF106" s="49"/>
      <c r="AG106" s="93"/>
      <c r="AH106" s="93"/>
      <c r="AI106" s="49"/>
      <c r="AJ106" s="93"/>
      <c r="AK106" s="93"/>
      <c r="AL106" s="93"/>
      <c r="AM106" s="93"/>
      <c r="AN106" s="93"/>
      <c r="AO106" s="95"/>
      <c r="AP106" s="49"/>
      <c r="AQ106" s="93"/>
      <c r="AR106" s="95"/>
      <c r="AS106" s="95"/>
      <c r="AT106" s="95"/>
      <c r="AU106" s="95"/>
      <c r="AV106" s="95"/>
      <c r="AW106" s="95"/>
      <c r="AX106" s="95"/>
      <c r="AY106" s="49"/>
      <c r="AZ106" s="93"/>
      <c r="BA106" s="95"/>
      <c r="BB106" s="95"/>
      <c r="BC106" s="95"/>
      <c r="BD106" s="95"/>
      <c r="BE106" s="95"/>
      <c r="BF106" s="49"/>
      <c r="BG106" s="95"/>
      <c r="BH106" s="95"/>
      <c r="BI106" s="95"/>
      <c r="BJ106" s="95"/>
      <c r="BK106" s="95"/>
      <c r="BL106" s="95"/>
      <c r="BM106" s="95"/>
      <c r="BN106" s="95"/>
      <c r="BO106" s="49"/>
      <c r="BP106" s="93"/>
      <c r="BQ106" s="95"/>
      <c r="BR106" s="95"/>
      <c r="BS106" s="95"/>
      <c r="BT106" s="95"/>
      <c r="BU106" s="95"/>
      <c r="BV106" s="49"/>
      <c r="BW106" s="95"/>
      <c r="BX106" s="95"/>
      <c r="BY106" s="95"/>
      <c r="BZ106" s="95"/>
      <c r="CA106" s="95"/>
      <c r="CB106" s="95"/>
      <c r="CC106" s="49"/>
      <c r="CD106" s="95"/>
      <c r="CE106" s="95"/>
      <c r="CF106" s="95"/>
      <c r="CG106" s="95"/>
      <c r="CH106" s="95"/>
      <c r="CI106" s="95"/>
      <c r="CJ106" s="65"/>
      <c r="CK106" s="116"/>
      <c r="CL106" s="65"/>
      <c r="CM106" s="65"/>
      <c r="CN106" s="65"/>
      <c r="CO106" s="65"/>
      <c r="CP106" s="65"/>
      <c r="CQ106" s="65"/>
      <c r="CR106" s="65"/>
      <c r="CS106" s="65"/>
      <c r="CT106" s="65"/>
      <c r="CU106" s="65"/>
      <c r="CV106" s="65"/>
      <c r="CW106" s="65"/>
      <c r="CX106" s="65"/>
      <c r="CY106" s="65"/>
      <c r="CZ106" s="65"/>
      <c r="DA106" s="65"/>
      <c r="DB106" s="65"/>
      <c r="DC106" s="65"/>
      <c r="DD106" s="65"/>
      <c r="DE106" s="65"/>
      <c r="DF106" s="65"/>
      <c r="DG106" s="65"/>
      <c r="DH106" s="65"/>
      <c r="DI106" s="65"/>
      <c r="DJ106" s="65"/>
      <c r="DK106" s="65"/>
      <c r="DL106" s="65"/>
      <c r="DM106" s="65"/>
      <c r="DN106" s="65"/>
      <c r="DO106" s="65"/>
      <c r="DP106" s="65"/>
      <c r="DQ106" s="65"/>
      <c r="DR106" s="65"/>
      <c r="DS106" s="65"/>
      <c r="DT106" s="65"/>
      <c r="DU106" s="65"/>
      <c r="DV106" s="65"/>
      <c r="DW106" s="65"/>
      <c r="DX106" s="65"/>
      <c r="DY106" s="65"/>
      <c r="DZ106" s="65"/>
      <c r="EA106" s="65"/>
      <c r="EB106" s="65"/>
      <c r="EC106" s="76"/>
      <c r="ED106" s="65"/>
      <c r="EE106" s="65"/>
      <c r="EF106" s="65"/>
      <c r="EG106" s="65"/>
      <c r="EH106" s="65"/>
      <c r="EI106" s="65"/>
      <c r="EJ106" s="65"/>
      <c r="EK106" s="65"/>
      <c r="EL106" s="65"/>
      <c r="EM106" s="65"/>
      <c r="EN106" s="65"/>
      <c r="EO106" s="65"/>
      <c r="EP106" s="65"/>
      <c r="EQ106" s="65"/>
      <c r="ER106" s="65"/>
      <c r="ES106" s="65"/>
      <c r="ET106" s="65"/>
      <c r="EU106" s="65"/>
      <c r="EV106" s="65"/>
      <c r="EW106" s="65"/>
      <c r="EX106" s="65"/>
      <c r="EY106" s="65"/>
      <c r="EZ106" s="65"/>
      <c r="FA106" s="65"/>
      <c r="FB106" s="65"/>
      <c r="FC106" s="65"/>
      <c r="FD106" s="65"/>
      <c r="FE106" s="65"/>
      <c r="FF106" s="65"/>
      <c r="FG106" s="65"/>
      <c r="FH106" s="65"/>
      <c r="FI106" s="66"/>
      <c r="FJ106" s="66"/>
    </row>
    <row r="107" spans="1:168" ht="24.95" customHeight="1">
      <c r="A107" s="1">
        <f t="shared" si="14"/>
        <v>82</v>
      </c>
      <c r="B107" s="69"/>
      <c r="C107" s="65"/>
      <c r="D107" s="65"/>
      <c r="E107" s="65"/>
      <c r="F107" s="66"/>
      <c r="G107" s="66"/>
      <c r="H107" s="66"/>
      <c r="I107" s="66"/>
      <c r="J107" s="66"/>
      <c r="K107" s="66"/>
      <c r="L107" s="66"/>
      <c r="M107" s="66"/>
      <c r="N107" s="66"/>
      <c r="O107" s="65"/>
      <c r="P107" s="65"/>
      <c r="Q107" s="65"/>
      <c r="R107" s="65"/>
      <c r="S107" s="65"/>
      <c r="T107" s="65"/>
      <c r="U107" s="65"/>
      <c r="V107" s="65"/>
      <c r="W107" s="65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66"/>
      <c r="AI107" s="66"/>
      <c r="AJ107" s="66"/>
      <c r="AK107" s="66"/>
      <c r="AL107" s="66"/>
      <c r="AM107" s="66"/>
      <c r="AN107" s="66"/>
      <c r="AO107" s="66"/>
      <c r="AP107" s="66"/>
      <c r="AQ107" s="66"/>
      <c r="AR107" s="66"/>
      <c r="AS107" s="66"/>
      <c r="AT107" s="66"/>
      <c r="AU107" s="66"/>
      <c r="AV107" s="66"/>
      <c r="AW107" s="66"/>
      <c r="AX107" s="66"/>
      <c r="AY107" s="66"/>
      <c r="AZ107" s="66"/>
      <c r="BA107" s="66"/>
      <c r="BB107" s="66"/>
      <c r="BC107" s="66"/>
      <c r="BD107" s="66"/>
      <c r="BE107" s="66"/>
      <c r="BF107" s="66"/>
      <c r="BG107" s="66"/>
      <c r="BH107" s="66"/>
      <c r="BI107" s="66"/>
      <c r="BJ107" s="66"/>
      <c r="BK107" s="66"/>
      <c r="BL107" s="66"/>
      <c r="BM107" s="66"/>
      <c r="BN107" s="66"/>
      <c r="BO107" s="66"/>
      <c r="BP107" s="66"/>
      <c r="BQ107" s="66"/>
      <c r="BR107" s="66"/>
      <c r="BS107" s="66"/>
      <c r="BT107" s="66"/>
      <c r="BU107" s="66"/>
      <c r="BV107" s="66"/>
      <c r="BW107" s="66"/>
      <c r="BX107" s="66"/>
      <c r="BY107" s="66"/>
      <c r="BZ107" s="66"/>
      <c r="CA107" s="66"/>
      <c r="CB107" s="66"/>
      <c r="CC107" s="66"/>
      <c r="CD107" s="66"/>
      <c r="CE107" s="66"/>
      <c r="CF107" s="66"/>
      <c r="CG107" s="66"/>
      <c r="CH107" s="66"/>
      <c r="CI107" s="66"/>
      <c r="CJ107" s="66"/>
      <c r="CK107" s="114"/>
      <c r="CL107" s="66"/>
      <c r="CM107" s="66"/>
      <c r="CN107" s="66"/>
      <c r="CO107" s="66"/>
      <c r="CP107" s="66"/>
      <c r="CQ107" s="66"/>
      <c r="CR107" s="66"/>
      <c r="CS107" s="66"/>
      <c r="CT107" s="66"/>
      <c r="CU107" s="66"/>
      <c r="CV107" s="66"/>
      <c r="CW107" s="66"/>
      <c r="CX107" s="66"/>
      <c r="CY107" s="66"/>
      <c r="CZ107" s="66"/>
      <c r="DA107" s="66"/>
      <c r="DB107" s="66"/>
      <c r="DC107" s="66"/>
      <c r="DD107" s="66"/>
      <c r="DE107" s="66"/>
      <c r="DF107" s="66"/>
      <c r="DG107" s="66"/>
      <c r="DH107" s="66"/>
      <c r="DI107" s="66"/>
      <c r="DJ107" s="66"/>
      <c r="DK107" s="66"/>
      <c r="DL107" s="66"/>
      <c r="DM107" s="66"/>
      <c r="DN107" s="66"/>
      <c r="DO107" s="66"/>
      <c r="DP107" s="66"/>
      <c r="DQ107" s="66"/>
      <c r="DR107" s="66"/>
      <c r="DS107" s="66"/>
      <c r="DT107" s="66"/>
      <c r="DU107" s="66"/>
      <c r="DV107" s="66"/>
      <c r="DW107" s="66"/>
      <c r="DX107" s="66"/>
      <c r="DY107" s="66"/>
      <c r="DZ107" s="66"/>
      <c r="EA107" s="66"/>
      <c r="EB107" s="66"/>
      <c r="EC107" s="77"/>
      <c r="ED107" s="66"/>
      <c r="EE107" s="66"/>
      <c r="EF107" s="66"/>
      <c r="EG107" s="66"/>
      <c r="EH107" s="66"/>
      <c r="EI107" s="66"/>
      <c r="EJ107" s="66"/>
      <c r="EK107" s="66"/>
      <c r="EL107" s="66"/>
      <c r="EM107" s="66"/>
      <c r="EN107" s="66"/>
      <c r="EO107" s="66"/>
      <c r="EP107" s="66"/>
      <c r="EQ107" s="66"/>
      <c r="ER107" s="66"/>
      <c r="ES107" s="66"/>
      <c r="ET107" s="66"/>
      <c r="EU107" s="66"/>
      <c r="EV107" s="66"/>
      <c r="EW107" s="66"/>
      <c r="EX107" s="66"/>
      <c r="EY107" s="66"/>
      <c r="EZ107" s="66"/>
      <c r="FA107" s="66"/>
      <c r="FB107" s="66"/>
      <c r="FC107" s="66"/>
      <c r="FD107" s="66"/>
      <c r="FE107" s="66"/>
      <c r="FF107" s="66"/>
      <c r="FG107" s="66"/>
      <c r="FH107" s="66"/>
      <c r="FI107" s="66"/>
      <c r="FJ107" s="66"/>
    </row>
    <row r="108" spans="1:168" ht="24.95" customHeight="1">
      <c r="A108" s="1">
        <f t="shared" si="14"/>
        <v>83</v>
      </c>
      <c r="B108" s="69"/>
      <c r="C108" s="65"/>
      <c r="D108" s="65"/>
      <c r="E108" s="65"/>
      <c r="F108" s="66"/>
      <c r="G108" s="66"/>
      <c r="H108" s="66"/>
      <c r="I108" s="66"/>
      <c r="J108" s="66"/>
      <c r="K108" s="66"/>
      <c r="L108" s="66"/>
      <c r="M108" s="66"/>
      <c r="N108" s="66"/>
      <c r="O108" s="65"/>
      <c r="P108" s="65"/>
      <c r="Q108" s="65"/>
      <c r="R108" s="65"/>
      <c r="S108" s="65"/>
      <c r="T108" s="65"/>
      <c r="U108" s="65"/>
      <c r="V108" s="65"/>
      <c r="W108" s="65"/>
      <c r="X108" s="66"/>
      <c r="Y108" s="66"/>
      <c r="Z108" s="66"/>
      <c r="AA108" s="66"/>
      <c r="AB108" s="66"/>
      <c r="AC108" s="66"/>
      <c r="AD108" s="66"/>
      <c r="AE108" s="66"/>
      <c r="AF108" s="66"/>
      <c r="AG108" s="66"/>
      <c r="AH108" s="66"/>
      <c r="AI108" s="66"/>
      <c r="AJ108" s="66"/>
      <c r="AK108" s="66"/>
      <c r="AL108" s="66"/>
      <c r="AM108" s="66"/>
      <c r="AN108" s="66"/>
      <c r="AO108" s="66"/>
      <c r="AP108" s="66"/>
      <c r="AQ108" s="66"/>
      <c r="AR108" s="66"/>
      <c r="AS108" s="66"/>
      <c r="AT108" s="66"/>
      <c r="AU108" s="66"/>
      <c r="AV108" s="66"/>
      <c r="AW108" s="66"/>
      <c r="AX108" s="66"/>
      <c r="AY108" s="66"/>
      <c r="AZ108" s="66"/>
      <c r="BA108" s="66"/>
      <c r="BB108" s="66"/>
      <c r="BC108" s="66"/>
      <c r="BD108" s="66"/>
      <c r="BE108" s="66"/>
      <c r="BF108" s="66"/>
      <c r="BG108" s="66"/>
      <c r="BH108" s="66"/>
      <c r="BI108" s="66"/>
      <c r="BJ108" s="66"/>
      <c r="BK108" s="66"/>
      <c r="BL108" s="66"/>
      <c r="BM108" s="66"/>
      <c r="BN108" s="66"/>
      <c r="BO108" s="66"/>
      <c r="BP108" s="66"/>
      <c r="BQ108" s="66"/>
      <c r="BR108" s="66"/>
      <c r="BS108" s="66"/>
      <c r="BT108" s="66"/>
      <c r="BU108" s="66"/>
      <c r="BV108" s="66"/>
      <c r="BW108" s="66"/>
      <c r="BX108" s="66"/>
      <c r="BY108" s="66"/>
      <c r="BZ108" s="66"/>
      <c r="CA108" s="66"/>
      <c r="CB108" s="66"/>
      <c r="CC108" s="66"/>
      <c r="CD108" s="66"/>
      <c r="CE108" s="66"/>
      <c r="CF108" s="66"/>
      <c r="CG108" s="66"/>
      <c r="CH108" s="66"/>
      <c r="CI108" s="66"/>
      <c r="CJ108" s="66"/>
      <c r="CK108" s="114"/>
      <c r="CL108" s="66"/>
      <c r="CM108" s="66"/>
      <c r="CN108" s="66"/>
      <c r="CO108" s="66"/>
      <c r="CP108" s="66"/>
      <c r="CQ108" s="66"/>
      <c r="CR108" s="66"/>
      <c r="CS108" s="66"/>
      <c r="CT108" s="66"/>
      <c r="CU108" s="66"/>
      <c r="CV108" s="66"/>
      <c r="CW108" s="66"/>
      <c r="CX108" s="66"/>
      <c r="CY108" s="66"/>
      <c r="CZ108" s="66"/>
      <c r="DA108" s="66"/>
      <c r="DB108" s="66"/>
      <c r="DC108" s="66"/>
      <c r="DD108" s="66"/>
      <c r="DE108" s="66"/>
      <c r="DF108" s="66"/>
      <c r="DG108" s="66"/>
      <c r="DH108" s="66"/>
      <c r="DI108" s="66"/>
      <c r="DJ108" s="66"/>
      <c r="DK108" s="66"/>
      <c r="DL108" s="66"/>
      <c r="DM108" s="66"/>
      <c r="DN108" s="66"/>
      <c r="DO108" s="66"/>
      <c r="DP108" s="66"/>
      <c r="DQ108" s="66"/>
      <c r="DR108" s="66"/>
      <c r="DS108" s="66"/>
      <c r="DT108" s="66"/>
      <c r="DU108" s="66"/>
      <c r="DV108" s="66"/>
      <c r="DW108" s="66"/>
      <c r="DX108" s="66"/>
      <c r="DY108" s="66"/>
      <c r="DZ108" s="66"/>
      <c r="EA108" s="66"/>
      <c r="EB108" s="66"/>
      <c r="EC108" s="77"/>
      <c r="ED108" s="66"/>
      <c r="EE108" s="66"/>
      <c r="EF108" s="66"/>
      <c r="EG108" s="66"/>
      <c r="EH108" s="66"/>
      <c r="EI108" s="66"/>
      <c r="EJ108" s="66"/>
      <c r="EK108" s="66"/>
      <c r="EL108" s="66"/>
      <c r="EM108" s="66"/>
      <c r="EN108" s="66"/>
      <c r="EO108" s="66"/>
      <c r="EP108" s="66"/>
      <c r="EQ108" s="66"/>
      <c r="ER108" s="66"/>
      <c r="ES108" s="66"/>
      <c r="ET108" s="66"/>
      <c r="EU108" s="66"/>
      <c r="EV108" s="66"/>
      <c r="EW108" s="66"/>
      <c r="EX108" s="66"/>
      <c r="EY108" s="66"/>
      <c r="EZ108" s="66"/>
      <c r="FA108" s="66"/>
      <c r="FB108" s="66"/>
      <c r="FC108" s="66"/>
      <c r="FD108" s="66"/>
      <c r="FE108" s="66"/>
      <c r="FF108" s="66"/>
      <c r="FG108" s="66"/>
      <c r="FH108" s="66"/>
      <c r="FI108" s="66"/>
      <c r="FJ108" s="66"/>
    </row>
    <row r="109" spans="1:168" ht="24.95" customHeight="1">
      <c r="A109" s="1">
        <f t="shared" si="14"/>
        <v>84</v>
      </c>
      <c r="B109" s="69"/>
      <c r="C109" s="65"/>
      <c r="D109" s="65"/>
      <c r="E109" s="65"/>
      <c r="F109" s="66"/>
      <c r="G109" s="66"/>
      <c r="H109" s="66"/>
      <c r="I109" s="66"/>
      <c r="J109" s="66"/>
      <c r="K109" s="66"/>
      <c r="L109" s="66"/>
      <c r="M109" s="66"/>
      <c r="N109" s="66"/>
      <c r="O109" s="65"/>
      <c r="P109" s="65"/>
      <c r="Q109" s="65"/>
      <c r="R109" s="65"/>
      <c r="S109" s="65"/>
      <c r="T109" s="65"/>
      <c r="U109" s="65"/>
      <c r="V109" s="65"/>
      <c r="W109" s="65"/>
      <c r="X109" s="66"/>
      <c r="Y109" s="66"/>
      <c r="Z109" s="66"/>
      <c r="AA109" s="66"/>
      <c r="AB109" s="66"/>
      <c r="AC109" s="66"/>
      <c r="AD109" s="66"/>
      <c r="AE109" s="66"/>
      <c r="AF109" s="66"/>
      <c r="AG109" s="66"/>
      <c r="AH109" s="66"/>
      <c r="AI109" s="66"/>
      <c r="AJ109" s="66"/>
      <c r="AK109" s="66"/>
      <c r="AL109" s="66"/>
      <c r="AM109" s="66"/>
      <c r="AN109" s="66"/>
      <c r="AO109" s="66"/>
      <c r="AP109" s="66"/>
      <c r="AQ109" s="66"/>
      <c r="AR109" s="66"/>
      <c r="AS109" s="66"/>
      <c r="AT109" s="66"/>
      <c r="AU109" s="66"/>
      <c r="AV109" s="66"/>
      <c r="AW109" s="66"/>
      <c r="AX109" s="66"/>
      <c r="AY109" s="66"/>
      <c r="AZ109" s="66"/>
      <c r="BA109" s="66"/>
      <c r="BB109" s="66"/>
      <c r="BC109" s="66"/>
      <c r="BD109" s="66"/>
      <c r="BE109" s="66"/>
      <c r="BF109" s="66"/>
      <c r="BG109" s="66"/>
      <c r="BH109" s="66"/>
      <c r="BI109" s="66"/>
      <c r="BJ109" s="66"/>
      <c r="BK109" s="66"/>
      <c r="BL109" s="66"/>
      <c r="BM109" s="66"/>
      <c r="BN109" s="66"/>
      <c r="BO109" s="66"/>
      <c r="BP109" s="66"/>
      <c r="BQ109" s="66"/>
      <c r="BR109" s="66"/>
      <c r="BS109" s="66"/>
      <c r="BT109" s="66"/>
      <c r="BU109" s="66"/>
      <c r="BV109" s="66"/>
      <c r="BW109" s="66"/>
      <c r="BX109" s="66"/>
      <c r="BY109" s="66"/>
      <c r="BZ109" s="66"/>
      <c r="CA109" s="66"/>
      <c r="CB109" s="66"/>
      <c r="CC109" s="66"/>
      <c r="CD109" s="66"/>
      <c r="CE109" s="66"/>
      <c r="CF109" s="66"/>
      <c r="CG109" s="66"/>
      <c r="CH109" s="66"/>
      <c r="CI109" s="66"/>
      <c r="CJ109" s="66"/>
      <c r="CK109" s="114"/>
      <c r="CL109" s="66"/>
      <c r="CM109" s="66"/>
      <c r="CN109" s="66"/>
      <c r="CO109" s="66"/>
      <c r="CP109" s="66"/>
      <c r="CQ109" s="66"/>
      <c r="CR109" s="66"/>
      <c r="CS109" s="66"/>
      <c r="CT109" s="66"/>
      <c r="CU109" s="66"/>
      <c r="CV109" s="66"/>
      <c r="CW109" s="66"/>
      <c r="CX109" s="66"/>
      <c r="CY109" s="66"/>
      <c r="CZ109" s="66"/>
      <c r="DA109" s="66"/>
      <c r="DB109" s="66"/>
      <c r="DC109" s="66"/>
      <c r="DD109" s="66"/>
      <c r="DE109" s="66"/>
      <c r="DF109" s="66"/>
      <c r="DG109" s="66"/>
      <c r="DH109" s="66"/>
      <c r="DI109" s="66"/>
      <c r="DJ109" s="66"/>
      <c r="DK109" s="66"/>
      <c r="DL109" s="66"/>
      <c r="DM109" s="66"/>
      <c r="DN109" s="66"/>
      <c r="DO109" s="66"/>
      <c r="DP109" s="66"/>
      <c r="DQ109" s="66"/>
      <c r="DR109" s="66"/>
      <c r="DS109" s="66"/>
      <c r="DT109" s="66"/>
      <c r="DU109" s="66"/>
      <c r="DV109" s="66"/>
      <c r="DW109" s="66"/>
      <c r="DX109" s="66"/>
      <c r="DY109" s="66"/>
      <c r="DZ109" s="66"/>
      <c r="EA109" s="66"/>
      <c r="EB109" s="66"/>
      <c r="EC109" s="77"/>
      <c r="ED109" s="66"/>
      <c r="EE109" s="66"/>
      <c r="EF109" s="66"/>
      <c r="EG109" s="66"/>
      <c r="EH109" s="66"/>
      <c r="EI109" s="66"/>
      <c r="EJ109" s="66"/>
      <c r="EK109" s="66"/>
      <c r="EL109" s="66"/>
      <c r="EM109" s="66"/>
      <c r="EN109" s="66"/>
      <c r="EO109" s="66"/>
      <c r="EP109" s="66"/>
      <c r="EQ109" s="66"/>
      <c r="ER109" s="66"/>
      <c r="ES109" s="66"/>
      <c r="ET109" s="66"/>
      <c r="EU109" s="66"/>
      <c r="EV109" s="66"/>
      <c r="EW109" s="66"/>
      <c r="EX109" s="66"/>
      <c r="EY109" s="66"/>
      <c r="EZ109" s="66"/>
      <c r="FA109" s="66"/>
      <c r="FB109" s="66"/>
      <c r="FC109" s="66"/>
      <c r="FD109" s="66"/>
      <c r="FE109" s="66"/>
      <c r="FF109" s="66"/>
      <c r="FG109" s="66"/>
      <c r="FH109" s="66"/>
      <c r="FI109" s="66"/>
      <c r="FJ109" s="66"/>
    </row>
    <row r="110" spans="1:168" ht="24.95" customHeight="1">
      <c r="A110" s="1">
        <f t="shared" si="14"/>
        <v>85</v>
      </c>
      <c r="B110" s="69"/>
      <c r="C110" s="65"/>
      <c r="D110" s="65"/>
      <c r="E110" s="65"/>
      <c r="F110" s="66"/>
      <c r="G110" s="66"/>
      <c r="H110" s="66"/>
      <c r="I110" s="66"/>
      <c r="J110" s="66"/>
      <c r="K110" s="66"/>
      <c r="L110" s="66"/>
      <c r="M110" s="66"/>
      <c r="N110" s="66"/>
      <c r="O110" s="65"/>
      <c r="P110" s="65"/>
      <c r="Q110" s="65"/>
      <c r="R110" s="65"/>
      <c r="S110" s="65"/>
      <c r="T110" s="65"/>
      <c r="U110" s="65"/>
      <c r="V110" s="65"/>
      <c r="W110" s="65"/>
      <c r="X110" s="66"/>
      <c r="Y110" s="66"/>
      <c r="Z110" s="66"/>
      <c r="AA110" s="66"/>
      <c r="AB110" s="66"/>
      <c r="AC110" s="66"/>
      <c r="AD110" s="66"/>
      <c r="AE110" s="66"/>
      <c r="AF110" s="66"/>
      <c r="AG110" s="66"/>
      <c r="AH110" s="66"/>
      <c r="AI110" s="66"/>
      <c r="AJ110" s="66"/>
      <c r="AK110" s="66"/>
      <c r="AL110" s="66"/>
      <c r="AM110" s="66"/>
      <c r="AN110" s="66"/>
      <c r="AO110" s="66"/>
      <c r="AP110" s="66"/>
      <c r="AQ110" s="66"/>
      <c r="AR110" s="66"/>
      <c r="AS110" s="66"/>
      <c r="AT110" s="66"/>
      <c r="AU110" s="66"/>
      <c r="AV110" s="66"/>
      <c r="AW110" s="66"/>
      <c r="AX110" s="66"/>
      <c r="AY110" s="66"/>
      <c r="AZ110" s="66"/>
      <c r="BA110" s="66"/>
      <c r="BB110" s="66"/>
      <c r="BC110" s="66"/>
      <c r="BD110" s="66"/>
      <c r="BE110" s="66"/>
      <c r="BF110" s="66"/>
      <c r="BG110" s="66"/>
      <c r="BH110" s="66"/>
      <c r="BI110" s="66"/>
      <c r="BJ110" s="66"/>
      <c r="BK110" s="66"/>
      <c r="BL110" s="66"/>
      <c r="BM110" s="66"/>
      <c r="BN110" s="66"/>
      <c r="BO110" s="66"/>
      <c r="BP110" s="66"/>
      <c r="BQ110" s="66"/>
      <c r="BR110" s="66"/>
      <c r="BS110" s="66"/>
      <c r="BT110" s="66"/>
      <c r="BU110" s="66"/>
      <c r="BV110" s="66"/>
      <c r="BW110" s="66"/>
      <c r="BX110" s="66"/>
      <c r="BY110" s="66"/>
      <c r="BZ110" s="66"/>
      <c r="CA110" s="66"/>
      <c r="CB110" s="66"/>
      <c r="CC110" s="66"/>
      <c r="CD110" s="66"/>
      <c r="CE110" s="66"/>
      <c r="CF110" s="66"/>
      <c r="CG110" s="66"/>
      <c r="CH110" s="66"/>
      <c r="CI110" s="66"/>
      <c r="CJ110" s="66"/>
      <c r="CK110" s="114"/>
      <c r="CL110" s="66"/>
      <c r="CM110" s="66"/>
      <c r="CN110" s="66"/>
      <c r="CO110" s="66"/>
      <c r="CP110" s="66"/>
      <c r="CQ110" s="66"/>
      <c r="CR110" s="66"/>
      <c r="CS110" s="66"/>
      <c r="CT110" s="66"/>
      <c r="CU110" s="66"/>
      <c r="CV110" s="66"/>
      <c r="CW110" s="66"/>
      <c r="CX110" s="66"/>
      <c r="CY110" s="66"/>
      <c r="CZ110" s="66"/>
      <c r="DA110" s="66"/>
      <c r="DB110" s="66"/>
      <c r="DC110" s="66"/>
      <c r="DD110" s="66"/>
      <c r="DE110" s="66"/>
      <c r="DF110" s="66"/>
      <c r="DG110" s="66"/>
      <c r="DH110" s="66"/>
      <c r="DI110" s="66"/>
      <c r="DJ110" s="66"/>
      <c r="DK110" s="66"/>
      <c r="DL110" s="66"/>
      <c r="DM110" s="66"/>
      <c r="DN110" s="66"/>
      <c r="DO110" s="66"/>
      <c r="DP110" s="66"/>
      <c r="DQ110" s="66"/>
      <c r="DR110" s="66"/>
      <c r="DS110" s="66"/>
      <c r="DT110" s="66"/>
      <c r="DU110" s="66"/>
      <c r="DV110" s="66"/>
      <c r="DW110" s="66"/>
      <c r="DX110" s="66"/>
      <c r="DY110" s="66"/>
      <c r="DZ110" s="66"/>
      <c r="EA110" s="66"/>
      <c r="EB110" s="66"/>
      <c r="EC110" s="77"/>
      <c r="ED110" s="66"/>
      <c r="EE110" s="66"/>
      <c r="EF110" s="66"/>
      <c r="EG110" s="66"/>
      <c r="EH110" s="66"/>
      <c r="EI110" s="66"/>
      <c r="EJ110" s="66"/>
      <c r="EK110" s="66"/>
      <c r="EL110" s="66"/>
      <c r="EM110" s="66"/>
      <c r="EN110" s="66"/>
      <c r="EO110" s="66"/>
      <c r="EP110" s="66"/>
      <c r="EQ110" s="66"/>
      <c r="ER110" s="66"/>
      <c r="ES110" s="66"/>
      <c r="ET110" s="66"/>
      <c r="EU110" s="66"/>
      <c r="EV110" s="66"/>
      <c r="EW110" s="66"/>
      <c r="EX110" s="66"/>
      <c r="EY110" s="66"/>
      <c r="EZ110" s="66"/>
      <c r="FA110" s="66"/>
      <c r="FB110" s="66"/>
      <c r="FC110" s="66"/>
      <c r="FD110" s="66"/>
      <c r="FE110" s="66"/>
      <c r="FF110" s="66"/>
      <c r="FG110" s="66"/>
      <c r="FH110" s="66"/>
      <c r="FI110" s="66"/>
      <c r="FJ110" s="66"/>
    </row>
    <row r="111" spans="1:168" ht="24.95" customHeight="1">
      <c r="A111" s="1">
        <f t="shared" si="14"/>
        <v>86</v>
      </c>
      <c r="B111" s="69"/>
      <c r="C111" s="65"/>
      <c r="D111" s="65"/>
      <c r="E111" s="65"/>
      <c r="F111" s="66"/>
      <c r="G111" s="66"/>
      <c r="H111" s="66"/>
      <c r="I111" s="66"/>
      <c r="J111" s="66"/>
      <c r="K111" s="66"/>
      <c r="L111" s="66"/>
      <c r="M111" s="66"/>
      <c r="N111" s="66"/>
      <c r="O111" s="65"/>
      <c r="P111" s="65"/>
      <c r="Q111" s="65"/>
      <c r="R111" s="65"/>
      <c r="S111" s="65"/>
      <c r="T111" s="65"/>
      <c r="U111" s="65"/>
      <c r="V111" s="65"/>
      <c r="W111" s="65"/>
      <c r="X111" s="66"/>
      <c r="Y111" s="66"/>
      <c r="Z111" s="66"/>
      <c r="AA111" s="66"/>
      <c r="AB111" s="66"/>
      <c r="AC111" s="66"/>
      <c r="AD111" s="66"/>
      <c r="AE111" s="66"/>
      <c r="AF111" s="66"/>
      <c r="AG111" s="66"/>
      <c r="AH111" s="66"/>
      <c r="AI111" s="66"/>
      <c r="AJ111" s="66"/>
      <c r="AK111" s="66"/>
      <c r="AL111" s="66"/>
      <c r="AM111" s="66"/>
      <c r="AN111" s="66"/>
      <c r="AO111" s="66"/>
      <c r="AP111" s="66"/>
      <c r="AQ111" s="66"/>
      <c r="AR111" s="66"/>
      <c r="AS111" s="66"/>
      <c r="AT111" s="66"/>
      <c r="AU111" s="66"/>
      <c r="AV111" s="66"/>
      <c r="AW111" s="66"/>
      <c r="AX111" s="66"/>
      <c r="AY111" s="66"/>
      <c r="AZ111" s="66"/>
      <c r="BA111" s="66"/>
      <c r="BB111" s="66"/>
      <c r="BC111" s="66"/>
      <c r="BD111" s="66"/>
      <c r="BE111" s="66"/>
      <c r="BF111" s="66"/>
      <c r="BG111" s="66"/>
      <c r="BH111" s="66"/>
      <c r="BI111" s="66"/>
      <c r="BJ111" s="66"/>
      <c r="BK111" s="66"/>
      <c r="BL111" s="66"/>
      <c r="BM111" s="66"/>
      <c r="BN111" s="66"/>
      <c r="BO111" s="66"/>
      <c r="BP111" s="66"/>
      <c r="BQ111" s="66"/>
      <c r="BR111" s="66"/>
      <c r="BS111" s="66"/>
      <c r="BT111" s="66"/>
      <c r="BU111" s="66"/>
      <c r="BV111" s="66"/>
      <c r="BW111" s="66"/>
      <c r="BX111" s="66"/>
      <c r="BY111" s="66"/>
      <c r="BZ111" s="66"/>
      <c r="CA111" s="66"/>
      <c r="CB111" s="66"/>
      <c r="CC111" s="66"/>
      <c r="CD111" s="66"/>
      <c r="CE111" s="66"/>
      <c r="CF111" s="66"/>
      <c r="CG111" s="66"/>
      <c r="CH111" s="66"/>
      <c r="CI111" s="66"/>
      <c r="CJ111" s="66"/>
      <c r="CK111" s="114"/>
      <c r="CL111" s="66"/>
      <c r="CM111" s="66"/>
      <c r="CN111" s="66"/>
      <c r="CO111" s="66"/>
      <c r="CP111" s="66"/>
      <c r="CQ111" s="66"/>
      <c r="CR111" s="66"/>
      <c r="CS111" s="66"/>
      <c r="CT111" s="66"/>
      <c r="CU111" s="66"/>
      <c r="CV111" s="66"/>
      <c r="CW111" s="66"/>
      <c r="CX111" s="66"/>
      <c r="CY111" s="66"/>
      <c r="CZ111" s="66"/>
      <c r="DA111" s="66"/>
      <c r="DB111" s="66"/>
      <c r="DC111" s="66"/>
      <c r="DD111" s="66"/>
      <c r="DE111" s="66"/>
      <c r="DF111" s="66"/>
      <c r="DG111" s="66"/>
      <c r="DH111" s="66"/>
      <c r="DI111" s="66"/>
      <c r="DJ111" s="66"/>
      <c r="DK111" s="66"/>
      <c r="DL111" s="66"/>
      <c r="DM111" s="66"/>
      <c r="DN111" s="66"/>
      <c r="DO111" s="66"/>
      <c r="DP111" s="66"/>
      <c r="DQ111" s="66"/>
      <c r="DR111" s="66"/>
      <c r="DS111" s="66"/>
      <c r="DT111" s="66"/>
      <c r="DU111" s="66"/>
      <c r="DV111" s="66"/>
      <c r="DW111" s="66"/>
      <c r="DX111" s="66"/>
      <c r="DY111" s="66"/>
      <c r="DZ111" s="66"/>
      <c r="EA111" s="66"/>
      <c r="EB111" s="66"/>
      <c r="EC111" s="77"/>
      <c r="ED111" s="66"/>
      <c r="EE111" s="66"/>
      <c r="EF111" s="66"/>
      <c r="EG111" s="66"/>
      <c r="EH111" s="66"/>
      <c r="EI111" s="66"/>
      <c r="EJ111" s="66"/>
      <c r="EK111" s="66"/>
      <c r="EL111" s="66"/>
      <c r="EM111" s="66"/>
      <c r="EN111" s="66"/>
      <c r="EO111" s="66"/>
      <c r="EP111" s="66"/>
      <c r="EQ111" s="66"/>
      <c r="ER111" s="66"/>
      <c r="ES111" s="66"/>
      <c r="ET111" s="66"/>
      <c r="EU111" s="66"/>
      <c r="EV111" s="66"/>
      <c r="EW111" s="66"/>
      <c r="EX111" s="66"/>
      <c r="EY111" s="66"/>
      <c r="EZ111" s="66"/>
      <c r="FA111" s="66"/>
      <c r="FB111" s="66"/>
      <c r="FC111" s="66"/>
      <c r="FD111" s="66"/>
      <c r="FE111" s="66"/>
      <c r="FF111" s="66"/>
      <c r="FG111" s="66"/>
      <c r="FH111" s="66"/>
      <c r="FI111" s="66"/>
      <c r="FJ111" s="66"/>
    </row>
    <row r="112" spans="1:168" ht="24.95" customHeight="1">
      <c r="A112" s="1">
        <f t="shared" si="14"/>
        <v>87</v>
      </c>
      <c r="B112" s="69"/>
      <c r="C112" s="65"/>
      <c r="D112" s="65"/>
      <c r="E112" s="65"/>
      <c r="F112" s="66"/>
      <c r="G112" s="66"/>
      <c r="H112" s="66"/>
      <c r="I112" s="66"/>
      <c r="J112" s="66"/>
      <c r="K112" s="66"/>
      <c r="L112" s="66"/>
      <c r="M112" s="66"/>
      <c r="N112" s="66"/>
      <c r="O112" s="65"/>
      <c r="P112" s="65"/>
      <c r="Q112" s="65"/>
      <c r="R112" s="65"/>
      <c r="S112" s="65"/>
      <c r="T112" s="65"/>
      <c r="U112" s="65"/>
      <c r="V112" s="65"/>
      <c r="W112" s="65"/>
      <c r="X112" s="66"/>
      <c r="Y112" s="66"/>
      <c r="Z112" s="66"/>
      <c r="AA112" s="66"/>
      <c r="AB112" s="66"/>
      <c r="AC112" s="66"/>
      <c r="AD112" s="66"/>
      <c r="AE112" s="66"/>
      <c r="AF112" s="66"/>
      <c r="AG112" s="66"/>
      <c r="AH112" s="66"/>
      <c r="AI112" s="66"/>
      <c r="AJ112" s="66"/>
      <c r="AK112" s="66"/>
      <c r="AL112" s="66"/>
      <c r="AM112" s="66"/>
      <c r="AN112" s="66"/>
      <c r="AO112" s="66"/>
      <c r="AP112" s="66"/>
      <c r="AQ112" s="66"/>
      <c r="AR112" s="66"/>
      <c r="AS112" s="66"/>
      <c r="AT112" s="66"/>
      <c r="AU112" s="66"/>
      <c r="AV112" s="66"/>
      <c r="AW112" s="66"/>
      <c r="AX112" s="66"/>
      <c r="AY112" s="66"/>
      <c r="AZ112" s="66"/>
      <c r="BA112" s="66"/>
      <c r="BB112" s="66"/>
      <c r="BC112" s="66"/>
      <c r="BD112" s="66"/>
      <c r="BE112" s="66"/>
      <c r="BF112" s="66"/>
      <c r="BG112" s="66"/>
      <c r="BH112" s="66"/>
      <c r="BI112" s="66"/>
      <c r="BJ112" s="66"/>
      <c r="BK112" s="66"/>
      <c r="BL112" s="66"/>
      <c r="BM112" s="66"/>
      <c r="BN112" s="66"/>
      <c r="BO112" s="66"/>
      <c r="BP112" s="66"/>
      <c r="BQ112" s="66"/>
      <c r="BR112" s="66"/>
      <c r="BS112" s="66"/>
      <c r="BT112" s="66"/>
      <c r="BU112" s="66"/>
      <c r="BV112" s="66"/>
      <c r="BW112" s="66"/>
      <c r="BX112" s="66"/>
      <c r="BY112" s="66"/>
      <c r="BZ112" s="66"/>
      <c r="CA112" s="66"/>
      <c r="CB112" s="66"/>
      <c r="CC112" s="66"/>
      <c r="CD112" s="66"/>
      <c r="CE112" s="66"/>
      <c r="CF112" s="66"/>
      <c r="CG112" s="66"/>
      <c r="CH112" s="66"/>
      <c r="CI112" s="66"/>
      <c r="CJ112" s="66"/>
      <c r="CK112" s="114"/>
      <c r="CL112" s="66"/>
      <c r="CM112" s="66"/>
      <c r="CN112" s="66"/>
      <c r="CO112" s="66"/>
      <c r="CP112" s="66"/>
      <c r="CQ112" s="66"/>
      <c r="CR112" s="66"/>
      <c r="CS112" s="66"/>
      <c r="CT112" s="66"/>
      <c r="CU112" s="66"/>
      <c r="CV112" s="66"/>
      <c r="CW112" s="66"/>
      <c r="CX112" s="66"/>
      <c r="CY112" s="66"/>
      <c r="CZ112" s="66"/>
      <c r="DA112" s="66"/>
      <c r="DB112" s="66"/>
      <c r="DC112" s="66"/>
      <c r="DD112" s="66"/>
      <c r="DE112" s="66"/>
      <c r="DF112" s="66"/>
      <c r="DG112" s="66"/>
      <c r="DH112" s="66"/>
      <c r="DI112" s="66"/>
      <c r="DJ112" s="66"/>
      <c r="DK112" s="66"/>
      <c r="DL112" s="66"/>
      <c r="DM112" s="66"/>
      <c r="DN112" s="66"/>
      <c r="DO112" s="66"/>
      <c r="DP112" s="66"/>
      <c r="DQ112" s="66"/>
      <c r="DR112" s="66"/>
      <c r="DS112" s="66"/>
      <c r="DT112" s="66"/>
      <c r="DU112" s="66"/>
      <c r="DV112" s="66"/>
      <c r="DW112" s="66"/>
      <c r="DX112" s="66"/>
      <c r="DY112" s="66"/>
      <c r="DZ112" s="66"/>
      <c r="EA112" s="66"/>
      <c r="EB112" s="66"/>
      <c r="EC112" s="77"/>
      <c r="ED112" s="66"/>
      <c r="EE112" s="66"/>
      <c r="EF112" s="66"/>
      <c r="EG112" s="66"/>
      <c r="EH112" s="66"/>
      <c r="EI112" s="66"/>
      <c r="EJ112" s="66"/>
      <c r="EK112" s="66"/>
      <c r="EL112" s="66"/>
      <c r="EM112" s="66"/>
      <c r="EN112" s="66"/>
      <c r="EO112" s="66"/>
      <c r="EP112" s="66"/>
      <c r="EQ112" s="66"/>
      <c r="ER112" s="66"/>
      <c r="ES112" s="66"/>
      <c r="ET112" s="66"/>
      <c r="EU112" s="66"/>
      <c r="EV112" s="66"/>
      <c r="EW112" s="66"/>
      <c r="EX112" s="66"/>
      <c r="EY112" s="66"/>
      <c r="EZ112" s="66"/>
      <c r="FA112" s="66"/>
      <c r="FB112" s="66"/>
      <c r="FC112" s="66"/>
      <c r="FD112" s="66"/>
      <c r="FE112" s="66"/>
      <c r="FF112" s="66"/>
      <c r="FG112" s="66"/>
      <c r="FH112" s="66"/>
      <c r="FI112" s="66"/>
      <c r="FJ112" s="66"/>
    </row>
    <row r="113" spans="1:166" ht="24.95" customHeight="1" thickBot="1">
      <c r="A113" s="3">
        <f t="shared" si="14"/>
        <v>88</v>
      </c>
      <c r="B113" s="83"/>
      <c r="C113" s="78"/>
      <c r="D113" s="78"/>
      <c r="E113" s="78"/>
      <c r="F113" s="79"/>
      <c r="G113" s="79"/>
      <c r="H113" s="79"/>
      <c r="I113" s="79"/>
      <c r="J113" s="79"/>
      <c r="K113" s="79"/>
      <c r="L113" s="79"/>
      <c r="M113" s="79"/>
      <c r="N113" s="79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  <c r="AA113" s="78"/>
      <c r="AB113" s="78"/>
      <c r="AC113" s="78"/>
      <c r="AD113" s="78"/>
      <c r="AE113" s="78"/>
      <c r="AF113" s="78"/>
      <c r="AG113" s="78"/>
      <c r="AH113" s="78"/>
      <c r="AI113" s="78"/>
      <c r="AJ113" s="78"/>
      <c r="AK113" s="78"/>
      <c r="AL113" s="78"/>
      <c r="AM113" s="78"/>
      <c r="AN113" s="78"/>
      <c r="AO113" s="78"/>
      <c r="AP113" s="78"/>
      <c r="AQ113" s="78"/>
      <c r="AR113" s="78"/>
      <c r="AS113" s="78"/>
      <c r="AT113" s="78"/>
      <c r="AU113" s="78"/>
      <c r="AV113" s="78"/>
      <c r="AW113" s="78"/>
      <c r="AX113" s="78"/>
      <c r="AY113" s="78"/>
      <c r="AZ113" s="78"/>
      <c r="BA113" s="78"/>
      <c r="BB113" s="78"/>
      <c r="BC113" s="78"/>
      <c r="BD113" s="78"/>
      <c r="BE113" s="78"/>
      <c r="BF113" s="78"/>
      <c r="BG113" s="78"/>
      <c r="BH113" s="78"/>
      <c r="BI113" s="78"/>
      <c r="BJ113" s="78"/>
      <c r="BK113" s="78"/>
      <c r="BL113" s="78"/>
      <c r="BM113" s="78"/>
      <c r="BN113" s="78"/>
      <c r="BO113" s="78"/>
      <c r="BP113" s="78"/>
      <c r="BQ113" s="78"/>
      <c r="BR113" s="78"/>
      <c r="BS113" s="78"/>
      <c r="BT113" s="78"/>
      <c r="BU113" s="78"/>
      <c r="BV113" s="78"/>
      <c r="BW113" s="78"/>
      <c r="BX113" s="78"/>
      <c r="BY113" s="78"/>
      <c r="BZ113" s="78"/>
      <c r="CA113" s="78"/>
      <c r="CB113" s="78"/>
      <c r="CC113" s="78"/>
      <c r="CD113" s="78"/>
      <c r="CE113" s="78"/>
      <c r="CF113" s="78"/>
      <c r="CG113" s="78"/>
      <c r="CH113" s="78"/>
      <c r="CI113" s="78"/>
      <c r="CJ113" s="78"/>
      <c r="CK113" s="117"/>
      <c r="CL113" s="78"/>
      <c r="CM113" s="78"/>
      <c r="CN113" s="78"/>
      <c r="CO113" s="78"/>
      <c r="CP113" s="78"/>
      <c r="CQ113" s="78"/>
      <c r="CR113" s="78"/>
      <c r="CS113" s="78"/>
      <c r="CT113" s="78"/>
      <c r="CU113" s="78"/>
      <c r="CV113" s="78"/>
      <c r="CW113" s="78"/>
      <c r="CX113" s="78"/>
      <c r="CY113" s="78"/>
      <c r="CZ113" s="78"/>
      <c r="DA113" s="78"/>
      <c r="DB113" s="78"/>
      <c r="DC113" s="78"/>
      <c r="DD113" s="78"/>
      <c r="DE113" s="78"/>
      <c r="DF113" s="78"/>
      <c r="DG113" s="78"/>
      <c r="DH113" s="78"/>
      <c r="DI113" s="78"/>
      <c r="DJ113" s="78"/>
      <c r="DK113" s="78"/>
      <c r="DL113" s="78"/>
      <c r="DM113" s="78"/>
      <c r="DN113" s="78"/>
      <c r="DO113" s="78"/>
      <c r="DP113" s="78"/>
      <c r="DQ113" s="78"/>
      <c r="DR113" s="78"/>
      <c r="DS113" s="78"/>
      <c r="DT113" s="78"/>
      <c r="DU113" s="78"/>
      <c r="DV113" s="78"/>
      <c r="DW113" s="78"/>
      <c r="DX113" s="78"/>
      <c r="DY113" s="78"/>
      <c r="DZ113" s="78"/>
      <c r="EA113" s="78"/>
      <c r="EB113" s="78"/>
      <c r="EC113" s="80"/>
      <c r="ED113" s="65"/>
      <c r="EE113" s="65"/>
      <c r="EF113" s="65"/>
      <c r="EG113" s="65"/>
      <c r="EH113" s="65"/>
      <c r="EI113" s="65"/>
      <c r="EJ113" s="65"/>
      <c r="EK113" s="65"/>
      <c r="EL113" s="65"/>
      <c r="EM113" s="65"/>
      <c r="EN113" s="65"/>
      <c r="EO113" s="65"/>
      <c r="EP113" s="65"/>
      <c r="EQ113" s="65"/>
      <c r="ER113" s="65"/>
      <c r="ES113" s="65"/>
      <c r="ET113" s="65"/>
      <c r="EU113" s="65"/>
      <c r="EV113" s="65"/>
      <c r="EW113" s="65"/>
      <c r="EX113" s="65"/>
      <c r="EY113" s="65"/>
      <c r="EZ113" s="65"/>
      <c r="FA113" s="65"/>
      <c r="FB113" s="65"/>
      <c r="FC113" s="65"/>
      <c r="FD113" s="65"/>
      <c r="FE113" s="65"/>
      <c r="FF113" s="65"/>
      <c r="FG113" s="65"/>
      <c r="FH113" s="65"/>
      <c r="FI113" s="65"/>
      <c r="FJ113" s="65"/>
    </row>
  </sheetData>
  <mergeCells count="33">
    <mergeCell ref="Z14:AO14"/>
    <mergeCell ref="AP14:BE14"/>
    <mergeCell ref="BF14:BU14"/>
    <mergeCell ref="BV14:CB17"/>
    <mergeCell ref="CC14:CI17"/>
    <mergeCell ref="Z15:AG17"/>
    <mergeCell ref="AH15:AO17"/>
    <mergeCell ref="AP15:AW17"/>
    <mergeCell ref="AX15:BE17"/>
    <mergeCell ref="BF15:BM17"/>
    <mergeCell ref="BN15:BU17"/>
    <mergeCell ref="CC68:CI71"/>
    <mergeCell ref="Z69:AG71"/>
    <mergeCell ref="AH69:AO71"/>
    <mergeCell ref="AP69:AW71"/>
    <mergeCell ref="AX69:BE71"/>
    <mergeCell ref="Z68:AO68"/>
    <mergeCell ref="AP68:BE68"/>
    <mergeCell ref="BF68:BU68"/>
    <mergeCell ref="BV68:CB71"/>
    <mergeCell ref="BF69:BM71"/>
    <mergeCell ref="BN69:BU71"/>
    <mergeCell ref="Z91:AO91"/>
    <mergeCell ref="AP91:BE91"/>
    <mergeCell ref="BF91:BU91"/>
    <mergeCell ref="CC91:CI94"/>
    <mergeCell ref="Z92:AG94"/>
    <mergeCell ref="AH92:AO94"/>
    <mergeCell ref="AP92:AW94"/>
    <mergeCell ref="AX92:BE94"/>
    <mergeCell ref="BF92:BM94"/>
    <mergeCell ref="BN92:BU94"/>
    <mergeCell ref="BV91:CB94"/>
  </mergeCells>
  <phoneticPr fontId="5"/>
  <pageMargins left="0.39370078740157483" right="0.39370078740157483" top="0.39370078740157483" bottom="0.39370078740157483" header="0.59055118110236227" footer="0.11811023622047245"/>
  <pageSetup paperSize="9" scale="31" fitToHeight="0" orientation="landscape" useFirstPageNumber="1" r:id="rId1"/>
  <headerFooter alignWithMargins="0">
    <oddHeader xml:space="preserve">&amp;R&amp;16&amp;P    </oddHeader>
    <oddFooter xml:space="preserve">&amp;C&amp;24 4-3-5-&amp;P 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760D9-B0C3-4EC2-91F6-6617DB8D71CD}">
  <sheetPr>
    <pageSetUpPr fitToPage="1"/>
  </sheetPr>
  <dimension ref="A1:EY102"/>
  <sheetViews>
    <sheetView view="pageBreakPreview" zoomScale="70" zoomScaleNormal="60" zoomScaleSheetLayoutView="70" workbookViewId="0"/>
  </sheetViews>
  <sheetFormatPr defaultColWidth="3.375" defaultRowHeight="24.95" customHeight="1"/>
  <cols>
    <col min="1" max="1" width="3.75" style="39" customWidth="1"/>
    <col min="2" max="133" width="3.375" style="39" customWidth="1"/>
    <col min="134" max="16384" width="3.375" style="39"/>
  </cols>
  <sheetData>
    <row r="1" spans="1:155" ht="24.95" customHeight="1">
      <c r="A1" s="37" t="s">
        <v>14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7"/>
      <c r="AT1" s="37"/>
      <c r="AU1" s="37"/>
      <c r="AV1" s="37"/>
      <c r="AW1" s="37"/>
      <c r="AX1" s="37"/>
      <c r="AY1" s="37"/>
      <c r="AZ1" s="37"/>
      <c r="BA1" s="37"/>
      <c r="BB1" s="37"/>
      <c r="BC1" s="37"/>
      <c r="BD1" s="37"/>
      <c r="BE1" s="37"/>
      <c r="BF1" s="37"/>
      <c r="BG1" s="37"/>
      <c r="BH1" s="37"/>
      <c r="BI1" s="37"/>
      <c r="BJ1" s="37"/>
      <c r="BK1" s="37"/>
      <c r="BL1" s="37"/>
      <c r="BM1" s="37"/>
      <c r="BN1" s="37"/>
      <c r="BO1" s="37"/>
      <c r="BP1" s="37"/>
      <c r="BQ1" s="37"/>
      <c r="BR1" s="37"/>
      <c r="BS1" s="37"/>
      <c r="BT1" s="37"/>
      <c r="BU1" s="37"/>
      <c r="BV1" s="37"/>
      <c r="BW1" s="37"/>
      <c r="BX1" s="37"/>
      <c r="BY1" s="37"/>
      <c r="BZ1" s="37"/>
      <c r="CA1" s="37"/>
      <c r="CB1" s="37"/>
      <c r="CC1" s="37"/>
      <c r="CD1" s="37"/>
      <c r="CE1" s="37"/>
      <c r="CF1" s="37"/>
      <c r="CG1" s="37"/>
      <c r="CH1" s="37"/>
      <c r="CI1" s="37"/>
      <c r="CJ1" s="37"/>
      <c r="CK1" s="37"/>
      <c r="CL1" s="37"/>
      <c r="CM1" s="37"/>
      <c r="CN1" s="37"/>
      <c r="CO1" s="37"/>
      <c r="CP1" s="37"/>
      <c r="CQ1" s="37"/>
      <c r="CR1" s="37"/>
      <c r="CS1" s="37"/>
      <c r="CT1" s="37"/>
      <c r="CU1" s="37"/>
      <c r="CV1" s="37"/>
      <c r="CW1" s="37"/>
      <c r="CX1" s="37"/>
      <c r="CY1" s="37"/>
      <c r="CZ1" s="38"/>
      <c r="DA1" s="38"/>
      <c r="DB1" s="38"/>
      <c r="DC1" s="38"/>
      <c r="DD1" s="38"/>
      <c r="DE1" s="38"/>
      <c r="DF1" s="38"/>
      <c r="DG1" s="38"/>
      <c r="DH1" s="38"/>
      <c r="DI1" s="38"/>
      <c r="DJ1" s="38"/>
      <c r="DK1" s="38"/>
      <c r="DL1" s="38"/>
      <c r="DM1" s="38"/>
      <c r="DN1" s="38"/>
      <c r="DO1" s="38"/>
      <c r="DP1" s="38"/>
      <c r="DQ1" s="38"/>
      <c r="DR1" s="38"/>
      <c r="DS1" s="38"/>
      <c r="DT1" s="38"/>
      <c r="DU1" s="38"/>
      <c r="DV1" s="38"/>
      <c r="DW1" s="38"/>
      <c r="DX1" s="38"/>
      <c r="DY1" s="38"/>
      <c r="DZ1" s="38"/>
      <c r="EA1" s="38"/>
      <c r="EB1" s="38"/>
      <c r="EC1" s="38" t="s">
        <v>15</v>
      </c>
    </row>
    <row r="2" spans="1:155" ht="24.95" customHeight="1">
      <c r="A2" s="45" t="s">
        <v>153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0"/>
      <c r="BB2" s="40"/>
      <c r="BC2" s="40"/>
      <c r="BD2" s="40"/>
      <c r="BE2" s="40"/>
      <c r="BF2" s="40"/>
      <c r="BG2" s="40"/>
      <c r="BH2" s="40"/>
      <c r="BI2" s="40"/>
      <c r="BJ2" s="40"/>
      <c r="BK2" s="40"/>
      <c r="BL2" s="40"/>
      <c r="BM2" s="40"/>
      <c r="BN2" s="40"/>
      <c r="BO2" s="40"/>
      <c r="BP2" s="40"/>
      <c r="BQ2" s="40"/>
      <c r="BR2" s="40"/>
      <c r="BS2" s="40"/>
      <c r="BT2" s="40"/>
      <c r="BU2" s="40"/>
      <c r="BV2" s="40"/>
      <c r="BW2" s="40"/>
      <c r="BX2" s="40"/>
      <c r="BY2" s="40"/>
      <c r="BZ2" s="40"/>
      <c r="CA2" s="40"/>
      <c r="CB2" s="40"/>
      <c r="CC2" s="40"/>
      <c r="CD2" s="40"/>
      <c r="CE2" s="40"/>
      <c r="CF2" s="40"/>
      <c r="CG2" s="40"/>
      <c r="CH2" s="40"/>
      <c r="CI2" s="40"/>
      <c r="CJ2" s="40"/>
      <c r="CK2" s="40"/>
      <c r="CL2" s="40"/>
      <c r="CM2" s="40"/>
      <c r="CN2" s="40"/>
      <c r="CO2" s="40"/>
      <c r="CP2" s="40"/>
      <c r="CQ2" s="40"/>
      <c r="CR2" s="40"/>
      <c r="CS2" s="40"/>
      <c r="CT2" s="40"/>
      <c r="CU2" s="40"/>
      <c r="CV2" s="40"/>
      <c r="CW2" s="40"/>
      <c r="CX2" s="40"/>
      <c r="CY2" s="40"/>
      <c r="CZ2" s="40"/>
      <c r="DA2" s="40"/>
      <c r="DB2" s="40"/>
      <c r="DC2" s="40"/>
      <c r="DD2" s="40"/>
      <c r="DE2" s="40"/>
      <c r="DF2" s="40"/>
      <c r="DG2" s="40"/>
      <c r="DH2" s="40"/>
      <c r="DI2" s="40"/>
      <c r="DJ2" s="40"/>
      <c r="DK2" s="40"/>
      <c r="DL2" s="40"/>
      <c r="DM2" s="40"/>
      <c r="DN2" s="40"/>
      <c r="DO2" s="40"/>
      <c r="DP2" s="40"/>
      <c r="DQ2" s="40"/>
      <c r="DR2" s="40"/>
      <c r="DS2" s="40"/>
      <c r="DT2" s="40"/>
      <c r="DU2" s="40"/>
      <c r="DV2" s="40"/>
      <c r="DW2" s="40"/>
      <c r="DX2" s="40"/>
      <c r="DY2" s="40"/>
      <c r="DZ2" s="40"/>
      <c r="EA2" s="40"/>
      <c r="EB2" s="40"/>
      <c r="EC2" s="41"/>
    </row>
    <row r="3" spans="1:155" s="49" customFormat="1" ht="24.95" customHeight="1">
      <c r="A3" s="45" t="s">
        <v>16</v>
      </c>
      <c r="B3" s="40"/>
      <c r="C3" s="40"/>
      <c r="D3" s="40"/>
      <c r="E3" s="40"/>
      <c r="F3" s="40"/>
      <c r="G3" s="40"/>
      <c r="H3" s="40"/>
      <c r="I3" s="40"/>
      <c r="J3" s="40"/>
      <c r="K3" s="41"/>
      <c r="L3" s="42" t="s">
        <v>193</v>
      </c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3"/>
      <c r="AY3" s="43"/>
      <c r="AZ3" s="43"/>
      <c r="BA3" s="43"/>
      <c r="BB3" s="43"/>
      <c r="BC3" s="43"/>
      <c r="BD3" s="43"/>
      <c r="BE3" s="43"/>
      <c r="BF3" s="43"/>
      <c r="BG3" s="43"/>
      <c r="BH3" s="43"/>
      <c r="BI3" s="43"/>
      <c r="BJ3" s="43"/>
      <c r="BK3" s="43"/>
      <c r="BL3" s="43"/>
      <c r="BM3" s="43"/>
      <c r="BN3" s="43"/>
      <c r="BO3" s="43"/>
      <c r="BP3" s="43"/>
      <c r="BQ3" s="43"/>
      <c r="BR3" s="43"/>
      <c r="BS3" s="43"/>
      <c r="BT3" s="43"/>
      <c r="BU3" s="43"/>
      <c r="BV3" s="43"/>
      <c r="BW3" s="43"/>
      <c r="BX3" s="43"/>
      <c r="BY3" s="43"/>
      <c r="BZ3" s="43"/>
      <c r="CA3" s="43"/>
      <c r="CB3" s="43"/>
      <c r="CC3" s="43"/>
      <c r="CD3" s="43"/>
      <c r="CE3" s="43"/>
      <c r="CF3" s="43"/>
      <c r="CG3" s="43"/>
      <c r="CH3" s="43"/>
      <c r="CI3" s="43"/>
      <c r="CJ3" s="43"/>
      <c r="CK3" s="43"/>
      <c r="CL3" s="43"/>
      <c r="CM3" s="43"/>
      <c r="CN3" s="43"/>
      <c r="CO3" s="43"/>
      <c r="CP3" s="43"/>
      <c r="CQ3" s="44"/>
      <c r="CR3" s="45" t="s">
        <v>17</v>
      </c>
      <c r="CS3" s="40"/>
      <c r="CT3" s="40"/>
      <c r="CU3" s="40"/>
      <c r="CV3" s="40"/>
      <c r="CW3" s="40"/>
      <c r="CX3" s="40"/>
      <c r="CY3" s="40"/>
      <c r="CZ3" s="40"/>
      <c r="DA3" s="41"/>
      <c r="DB3" s="45" t="s">
        <v>18</v>
      </c>
      <c r="DC3" s="40"/>
      <c r="DD3" s="40"/>
      <c r="DE3" s="40"/>
      <c r="DF3" s="40"/>
      <c r="DG3" s="40"/>
      <c r="DH3" s="40"/>
      <c r="DI3" s="40"/>
      <c r="DJ3" s="41"/>
      <c r="DK3" s="45" t="s">
        <v>19</v>
      </c>
      <c r="DL3" s="40"/>
      <c r="DM3" s="40"/>
      <c r="DN3" s="40"/>
      <c r="DO3" s="40"/>
      <c r="DP3" s="40"/>
      <c r="DQ3" s="40"/>
      <c r="DR3" s="40"/>
      <c r="DS3" s="40"/>
      <c r="DT3" s="41"/>
      <c r="DU3" s="46"/>
      <c r="DV3" s="47"/>
      <c r="DW3" s="47"/>
      <c r="DX3" s="47"/>
      <c r="DY3" s="47"/>
      <c r="DZ3" s="47"/>
      <c r="EA3" s="47"/>
      <c r="EB3" s="47"/>
      <c r="EC3" s="48"/>
    </row>
    <row r="4" spans="1:155" s="49" customFormat="1" ht="24.95" customHeight="1">
      <c r="A4" s="45" t="s">
        <v>169</v>
      </c>
      <c r="B4" s="40"/>
      <c r="C4" s="40"/>
      <c r="D4" s="40"/>
      <c r="E4" s="40"/>
      <c r="F4" s="40"/>
      <c r="G4" s="40"/>
      <c r="H4" s="40"/>
      <c r="I4" s="40"/>
      <c r="J4" s="40"/>
      <c r="K4" s="41"/>
      <c r="L4" s="42" t="s">
        <v>103</v>
      </c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3"/>
      <c r="AY4" s="43"/>
      <c r="AZ4" s="43"/>
      <c r="BA4" s="43"/>
      <c r="BB4" s="43"/>
      <c r="BC4" s="43"/>
      <c r="BD4" s="43"/>
      <c r="BE4" s="43"/>
      <c r="BF4" s="43"/>
      <c r="BG4" s="43"/>
      <c r="BH4" s="43"/>
      <c r="BI4" s="43"/>
      <c r="BJ4" s="43"/>
      <c r="BK4" s="43"/>
      <c r="BL4" s="43"/>
      <c r="BM4" s="43"/>
      <c r="BN4" s="43"/>
      <c r="BO4" s="43"/>
      <c r="BP4" s="43"/>
      <c r="BQ4" s="43"/>
      <c r="BR4" s="43"/>
      <c r="BS4" s="43"/>
      <c r="BT4" s="43"/>
      <c r="BU4" s="43"/>
      <c r="BV4" s="43"/>
      <c r="BW4" s="43"/>
      <c r="BX4" s="43"/>
      <c r="BY4" s="43"/>
      <c r="BZ4" s="43"/>
      <c r="CA4" s="43"/>
      <c r="CB4" s="43"/>
      <c r="CC4" s="43"/>
      <c r="CD4" s="43"/>
      <c r="CE4" s="43"/>
      <c r="CF4" s="43"/>
      <c r="CG4" s="43"/>
      <c r="CH4" s="43"/>
      <c r="CI4" s="43"/>
      <c r="CJ4" s="43"/>
      <c r="CK4" s="43"/>
      <c r="CL4" s="43"/>
      <c r="CM4" s="43"/>
      <c r="CN4" s="43"/>
      <c r="CO4" s="43"/>
      <c r="CP4" s="43"/>
      <c r="CQ4" s="44"/>
      <c r="CR4" s="45" t="s">
        <v>20</v>
      </c>
      <c r="CS4" s="40"/>
      <c r="CT4" s="40"/>
      <c r="CU4" s="40"/>
      <c r="CV4" s="40"/>
      <c r="CW4" s="40"/>
      <c r="CX4" s="40"/>
      <c r="CY4" s="40"/>
      <c r="CZ4" s="40"/>
      <c r="DA4" s="41"/>
      <c r="DB4" s="50">
        <v>45898</v>
      </c>
      <c r="DC4" s="51"/>
      <c r="DD4" s="51"/>
      <c r="DE4" s="51"/>
      <c r="DF4" s="51"/>
      <c r="DG4" s="51"/>
      <c r="DH4" s="51"/>
      <c r="DI4" s="51"/>
      <c r="DJ4" s="52"/>
      <c r="DK4" s="45" t="s">
        <v>22</v>
      </c>
      <c r="DL4" s="40"/>
      <c r="DM4" s="40"/>
      <c r="DN4" s="40"/>
      <c r="DO4" s="40"/>
      <c r="DP4" s="40"/>
      <c r="DQ4" s="40"/>
      <c r="DR4" s="40"/>
      <c r="DS4" s="40"/>
      <c r="DT4" s="41"/>
      <c r="DU4" s="50" t="s">
        <v>21</v>
      </c>
      <c r="DV4" s="51"/>
      <c r="DW4" s="51"/>
      <c r="DX4" s="51"/>
      <c r="DY4" s="51"/>
      <c r="DZ4" s="51"/>
      <c r="EA4" s="51"/>
      <c r="EB4" s="51"/>
      <c r="EC4" s="52"/>
    </row>
    <row r="5" spans="1:155" ht="24.95" customHeight="1" thickBot="1">
      <c r="A5" s="53"/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3"/>
      <c r="AP5" s="53"/>
      <c r="AQ5" s="53"/>
      <c r="AR5" s="53"/>
      <c r="AS5" s="53"/>
      <c r="AT5" s="53"/>
      <c r="AU5" s="53"/>
      <c r="AV5" s="53"/>
      <c r="AW5" s="53"/>
      <c r="AX5" s="53"/>
      <c r="AY5" s="53"/>
      <c r="AZ5" s="53"/>
      <c r="BA5" s="53"/>
      <c r="BB5" s="53"/>
      <c r="BC5" s="53"/>
      <c r="BD5" s="53"/>
      <c r="BE5" s="53"/>
      <c r="BF5" s="53"/>
      <c r="BG5" s="53"/>
      <c r="BH5" s="53"/>
      <c r="BI5" s="53"/>
      <c r="BJ5" s="53"/>
      <c r="BK5" s="53"/>
      <c r="BL5" s="53"/>
      <c r="BM5" s="53"/>
      <c r="BN5" s="53"/>
      <c r="BO5" s="53"/>
      <c r="BP5" s="53"/>
      <c r="BQ5" s="53"/>
      <c r="BR5" s="53"/>
      <c r="BS5" s="53"/>
      <c r="BT5" s="53"/>
      <c r="BU5" s="53"/>
      <c r="BV5" s="53"/>
      <c r="BW5" s="53"/>
      <c r="BX5" s="53"/>
      <c r="BY5" s="53"/>
      <c r="BZ5" s="53"/>
      <c r="CA5" s="53"/>
      <c r="CB5" s="53"/>
      <c r="CC5" s="53"/>
      <c r="CD5" s="53"/>
      <c r="CE5" s="53"/>
      <c r="CF5" s="53"/>
      <c r="CG5" s="53"/>
      <c r="CH5" s="53"/>
      <c r="CI5" s="53"/>
      <c r="CJ5" s="53"/>
      <c r="CK5" s="53"/>
      <c r="CL5" s="53"/>
      <c r="CM5" s="53"/>
      <c r="CN5" s="53"/>
      <c r="CO5" s="53"/>
      <c r="CP5" s="53"/>
      <c r="CQ5" s="53"/>
      <c r="CR5" s="53"/>
      <c r="CS5" s="53"/>
      <c r="CT5" s="53"/>
      <c r="CU5" s="53"/>
      <c r="CV5" s="53"/>
      <c r="CW5" s="53"/>
      <c r="CX5" s="53"/>
      <c r="CY5" s="53"/>
      <c r="CZ5" s="53"/>
      <c r="DA5" s="53"/>
      <c r="DB5" s="53"/>
      <c r="DC5" s="53"/>
      <c r="DD5" s="53"/>
      <c r="DE5" s="53"/>
      <c r="DF5" s="53"/>
      <c r="DG5" s="53"/>
      <c r="DH5" s="53"/>
      <c r="DI5" s="53"/>
      <c r="DJ5" s="53"/>
      <c r="DK5" s="53"/>
      <c r="DL5" s="53"/>
      <c r="DM5" s="53"/>
      <c r="DN5" s="53"/>
      <c r="DO5" s="53"/>
      <c r="DP5" s="53"/>
      <c r="DQ5" s="53"/>
      <c r="DR5" s="53"/>
      <c r="DS5" s="53"/>
      <c r="DT5" s="53"/>
      <c r="DU5" s="53"/>
      <c r="DV5" s="53"/>
      <c r="DW5" s="53"/>
      <c r="DX5" s="53"/>
      <c r="DY5" s="53"/>
      <c r="DZ5" s="53"/>
      <c r="EA5" s="53"/>
      <c r="EB5" s="53"/>
      <c r="EC5" s="53"/>
    </row>
    <row r="6" spans="1:155" ht="24.95" customHeight="1">
      <c r="A6" s="54" t="s">
        <v>23</v>
      </c>
      <c r="B6" s="55"/>
      <c r="C6" s="55"/>
      <c r="D6" s="55"/>
      <c r="E6" s="55"/>
      <c r="F6" s="55"/>
      <c r="G6" s="55"/>
      <c r="H6" s="55"/>
      <c r="I6" s="55"/>
      <c r="J6" s="55"/>
      <c r="K6" s="56"/>
      <c r="L6" s="57" t="str">
        <f>変更履歴!V6</f>
        <v>購買共計勘定整理帳</v>
      </c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8"/>
      <c r="AQ6" s="58"/>
      <c r="AR6" s="58"/>
      <c r="AS6" s="58"/>
      <c r="AT6" s="58"/>
      <c r="AU6" s="58"/>
      <c r="AV6" s="58"/>
      <c r="AW6" s="58"/>
      <c r="AX6" s="58"/>
      <c r="AY6" s="58"/>
      <c r="AZ6" s="58"/>
      <c r="BA6" s="58"/>
      <c r="BB6" s="58"/>
      <c r="BC6" s="58"/>
      <c r="BD6" s="58"/>
      <c r="BE6" s="58"/>
      <c r="BF6" s="58"/>
      <c r="BG6" s="58"/>
      <c r="BH6" s="58"/>
      <c r="BI6" s="58"/>
      <c r="BJ6" s="58"/>
      <c r="BK6" s="58"/>
      <c r="BL6" s="58"/>
      <c r="BM6" s="58"/>
      <c r="BN6" s="58"/>
      <c r="BO6" s="58"/>
      <c r="BP6" s="58"/>
      <c r="BQ6" s="58"/>
      <c r="BR6" s="58"/>
      <c r="BS6" s="58"/>
      <c r="BT6" s="58"/>
      <c r="BU6" s="58"/>
      <c r="BV6" s="58"/>
      <c r="BW6" s="58"/>
      <c r="BX6" s="58"/>
      <c r="BY6" s="58"/>
      <c r="BZ6" s="58"/>
      <c r="CA6" s="58"/>
      <c r="CB6" s="58"/>
      <c r="CC6" s="58"/>
      <c r="CD6" s="58"/>
      <c r="CE6" s="58"/>
      <c r="CF6" s="58"/>
      <c r="CG6" s="58"/>
      <c r="CH6" s="58"/>
      <c r="CI6" s="58"/>
      <c r="CJ6" s="58"/>
      <c r="CK6" s="58"/>
      <c r="CL6" s="58"/>
      <c r="CM6" s="58"/>
      <c r="CN6" s="58"/>
      <c r="CO6" s="58"/>
      <c r="CP6" s="58"/>
      <c r="CQ6" s="58"/>
      <c r="CR6" s="58"/>
      <c r="CS6" s="58"/>
      <c r="CT6" s="58"/>
      <c r="CU6" s="58"/>
      <c r="CV6" s="58"/>
      <c r="CW6" s="58"/>
      <c r="CX6" s="58"/>
      <c r="CY6" s="58"/>
      <c r="CZ6" s="58"/>
      <c r="DA6" s="58"/>
      <c r="DB6" s="58"/>
      <c r="DC6" s="58"/>
      <c r="DD6" s="58"/>
      <c r="DE6" s="58"/>
      <c r="DF6" s="58"/>
      <c r="DG6" s="58"/>
      <c r="DH6" s="58"/>
      <c r="DI6" s="58"/>
      <c r="DJ6" s="58"/>
      <c r="DK6" s="58"/>
      <c r="DL6" s="58"/>
      <c r="DM6" s="58"/>
      <c r="DN6" s="58"/>
      <c r="DO6" s="58"/>
      <c r="DP6" s="58"/>
      <c r="DQ6" s="58"/>
      <c r="DR6" s="58"/>
      <c r="DS6" s="58"/>
      <c r="DT6" s="58"/>
      <c r="DU6" s="58"/>
      <c r="DV6" s="58"/>
      <c r="DW6" s="58"/>
      <c r="DX6" s="58"/>
      <c r="DY6" s="58"/>
      <c r="DZ6" s="58"/>
      <c r="EA6" s="58"/>
      <c r="EB6" s="58"/>
      <c r="EC6" s="59"/>
    </row>
    <row r="7" spans="1:155" ht="24.95" customHeight="1">
      <c r="A7" s="1">
        <v>0</v>
      </c>
      <c r="B7" s="72" t="s">
        <v>24</v>
      </c>
      <c r="C7" s="72" t="s">
        <v>24</v>
      </c>
      <c r="D7" s="72" t="s">
        <v>24</v>
      </c>
      <c r="E7" s="72" t="s">
        <v>24</v>
      </c>
      <c r="F7" s="72" t="s">
        <v>24</v>
      </c>
      <c r="G7" s="72" t="s">
        <v>24</v>
      </c>
      <c r="H7" s="72" t="s">
        <v>24</v>
      </c>
      <c r="I7" s="72" t="s">
        <v>24</v>
      </c>
      <c r="J7" s="72" t="s">
        <v>24</v>
      </c>
      <c r="K7" s="72">
        <v>1</v>
      </c>
      <c r="L7" s="72" t="s">
        <v>24</v>
      </c>
      <c r="M7" s="72" t="s">
        <v>24</v>
      </c>
      <c r="N7" s="72" t="s">
        <v>24</v>
      </c>
      <c r="O7" s="72" t="s">
        <v>24</v>
      </c>
      <c r="P7" s="72" t="s">
        <v>24</v>
      </c>
      <c r="Q7" s="72" t="s">
        <v>24</v>
      </c>
      <c r="R7" s="72" t="s">
        <v>24</v>
      </c>
      <c r="S7" s="72" t="s">
        <v>24</v>
      </c>
      <c r="T7" s="72" t="s">
        <v>24</v>
      </c>
      <c r="U7" s="72">
        <v>2</v>
      </c>
      <c r="V7" s="72" t="s">
        <v>24</v>
      </c>
      <c r="W7" s="72" t="s">
        <v>24</v>
      </c>
      <c r="X7" s="72" t="s">
        <v>24</v>
      </c>
      <c r="Y7" s="72" t="s">
        <v>24</v>
      </c>
      <c r="Z7" s="72" t="s">
        <v>24</v>
      </c>
      <c r="AA7" s="72" t="s">
        <v>24</v>
      </c>
      <c r="AB7" s="72" t="s">
        <v>24</v>
      </c>
      <c r="AC7" s="72" t="s">
        <v>24</v>
      </c>
      <c r="AD7" s="72" t="s">
        <v>24</v>
      </c>
      <c r="AE7" s="72">
        <v>3</v>
      </c>
      <c r="AF7" s="72" t="s">
        <v>24</v>
      </c>
      <c r="AG7" s="72" t="s">
        <v>24</v>
      </c>
      <c r="AH7" s="72" t="s">
        <v>24</v>
      </c>
      <c r="AI7" s="72" t="s">
        <v>24</v>
      </c>
      <c r="AJ7" s="72" t="s">
        <v>24</v>
      </c>
      <c r="AK7" s="72" t="s">
        <v>24</v>
      </c>
      <c r="AL7" s="72" t="s">
        <v>24</v>
      </c>
      <c r="AM7" s="72" t="s">
        <v>24</v>
      </c>
      <c r="AN7" s="72" t="s">
        <v>24</v>
      </c>
      <c r="AO7" s="72">
        <v>4</v>
      </c>
      <c r="AP7" s="72" t="s">
        <v>24</v>
      </c>
      <c r="AQ7" s="72" t="s">
        <v>24</v>
      </c>
      <c r="AR7" s="72" t="s">
        <v>24</v>
      </c>
      <c r="AS7" s="72" t="s">
        <v>24</v>
      </c>
      <c r="AT7" s="72" t="s">
        <v>24</v>
      </c>
      <c r="AU7" s="72" t="s">
        <v>24</v>
      </c>
      <c r="AV7" s="72" t="s">
        <v>24</v>
      </c>
      <c r="AW7" s="72" t="s">
        <v>24</v>
      </c>
      <c r="AX7" s="72" t="s">
        <v>24</v>
      </c>
      <c r="AY7" s="72">
        <v>5</v>
      </c>
      <c r="AZ7" s="72" t="s">
        <v>24</v>
      </c>
      <c r="BA7" s="72" t="s">
        <v>24</v>
      </c>
      <c r="BB7" s="72" t="s">
        <v>24</v>
      </c>
      <c r="BC7" s="72" t="s">
        <v>24</v>
      </c>
      <c r="BD7" s="72" t="s">
        <v>24</v>
      </c>
      <c r="BE7" s="72" t="s">
        <v>24</v>
      </c>
      <c r="BF7" s="72" t="s">
        <v>24</v>
      </c>
      <c r="BG7" s="72" t="s">
        <v>24</v>
      </c>
      <c r="BH7" s="72" t="s">
        <v>24</v>
      </c>
      <c r="BI7" s="72">
        <v>6</v>
      </c>
      <c r="BJ7" s="72" t="s">
        <v>24</v>
      </c>
      <c r="BK7" s="72" t="s">
        <v>24</v>
      </c>
      <c r="BL7" s="72" t="s">
        <v>24</v>
      </c>
      <c r="BM7" s="72" t="s">
        <v>24</v>
      </c>
      <c r="BN7" s="72" t="s">
        <v>24</v>
      </c>
      <c r="BO7" s="72" t="s">
        <v>24</v>
      </c>
      <c r="BP7" s="72" t="s">
        <v>24</v>
      </c>
      <c r="BQ7" s="72" t="s">
        <v>24</v>
      </c>
      <c r="BR7" s="72" t="s">
        <v>24</v>
      </c>
      <c r="BS7" s="72">
        <v>7</v>
      </c>
      <c r="BT7" s="72" t="s">
        <v>24</v>
      </c>
      <c r="BU7" s="72" t="s">
        <v>24</v>
      </c>
      <c r="BV7" s="72" t="s">
        <v>24</v>
      </c>
      <c r="BW7" s="72" t="s">
        <v>24</v>
      </c>
      <c r="BX7" s="72" t="s">
        <v>24</v>
      </c>
      <c r="BY7" s="72" t="s">
        <v>24</v>
      </c>
      <c r="BZ7" s="72" t="s">
        <v>24</v>
      </c>
      <c r="CA7" s="72" t="s">
        <v>24</v>
      </c>
      <c r="CB7" s="72" t="s">
        <v>24</v>
      </c>
      <c r="CC7" s="72">
        <v>8</v>
      </c>
      <c r="CD7" s="72" t="s">
        <v>24</v>
      </c>
      <c r="CE7" s="72" t="s">
        <v>24</v>
      </c>
      <c r="CF7" s="72" t="s">
        <v>24</v>
      </c>
      <c r="CG7" s="72" t="s">
        <v>24</v>
      </c>
      <c r="CH7" s="72" t="s">
        <v>24</v>
      </c>
      <c r="CI7" s="72" t="s">
        <v>24</v>
      </c>
      <c r="CJ7" s="72" t="s">
        <v>24</v>
      </c>
      <c r="CK7" s="72" t="s">
        <v>24</v>
      </c>
      <c r="CL7" s="72" t="s">
        <v>24</v>
      </c>
      <c r="CM7" s="72">
        <v>9</v>
      </c>
      <c r="CN7" s="72" t="s">
        <v>24</v>
      </c>
      <c r="CO7" s="72" t="s">
        <v>24</v>
      </c>
      <c r="CP7" s="72" t="s">
        <v>24</v>
      </c>
      <c r="CQ7" s="72" t="s">
        <v>24</v>
      </c>
      <c r="CR7" s="72" t="s">
        <v>24</v>
      </c>
      <c r="CS7" s="72" t="s">
        <v>24</v>
      </c>
      <c r="CT7" s="72" t="s">
        <v>24</v>
      </c>
      <c r="CU7" s="72" t="s">
        <v>24</v>
      </c>
      <c r="CV7" s="72" t="s">
        <v>24</v>
      </c>
      <c r="CW7" s="72">
        <v>0</v>
      </c>
      <c r="CX7" s="72" t="s">
        <v>24</v>
      </c>
      <c r="CY7" s="72" t="s">
        <v>24</v>
      </c>
      <c r="CZ7" s="72" t="s">
        <v>24</v>
      </c>
      <c r="DA7" s="72" t="s">
        <v>24</v>
      </c>
      <c r="DB7" s="72" t="s">
        <v>24</v>
      </c>
      <c r="DC7" s="72" t="s">
        <v>24</v>
      </c>
      <c r="DD7" s="72" t="s">
        <v>24</v>
      </c>
      <c r="DE7" s="72" t="s">
        <v>24</v>
      </c>
      <c r="DF7" s="72" t="s">
        <v>24</v>
      </c>
      <c r="DG7" s="72">
        <v>1</v>
      </c>
      <c r="DH7" s="72" t="s">
        <v>24</v>
      </c>
      <c r="DI7" s="72" t="s">
        <v>24</v>
      </c>
      <c r="DJ7" s="72" t="s">
        <v>24</v>
      </c>
      <c r="DK7" s="72" t="s">
        <v>24</v>
      </c>
      <c r="DL7" s="72" t="s">
        <v>24</v>
      </c>
      <c r="DM7" s="72" t="s">
        <v>24</v>
      </c>
      <c r="DN7" s="72" t="s">
        <v>24</v>
      </c>
      <c r="DO7" s="72" t="s">
        <v>24</v>
      </c>
      <c r="DP7" s="72" t="s">
        <v>24</v>
      </c>
      <c r="DQ7" s="72">
        <v>2</v>
      </c>
      <c r="DR7" s="72" t="s">
        <v>24</v>
      </c>
      <c r="DS7" s="72" t="s">
        <v>24</v>
      </c>
      <c r="DT7" s="72" t="s">
        <v>24</v>
      </c>
      <c r="DU7" s="72" t="s">
        <v>24</v>
      </c>
      <c r="DV7" s="72" t="s">
        <v>24</v>
      </c>
      <c r="DW7" s="72" t="s">
        <v>24</v>
      </c>
      <c r="DX7" s="72" t="s">
        <v>24</v>
      </c>
      <c r="DY7" s="72" t="s">
        <v>24</v>
      </c>
      <c r="DZ7" s="72" t="s">
        <v>24</v>
      </c>
      <c r="EA7" s="72">
        <v>3</v>
      </c>
      <c r="EB7" s="72" t="s">
        <v>24</v>
      </c>
      <c r="EC7" s="73" t="s">
        <v>24</v>
      </c>
    </row>
    <row r="8" spans="1:155" ht="24.95" customHeight="1">
      <c r="A8" s="1">
        <v>0</v>
      </c>
      <c r="B8" s="74">
        <f t="shared" ref="B8:J8" si="0">(A8+1)</f>
        <v>1</v>
      </c>
      <c r="C8" s="71">
        <f t="shared" si="0"/>
        <v>2</v>
      </c>
      <c r="D8" s="71">
        <f t="shared" si="0"/>
        <v>3</v>
      </c>
      <c r="E8" s="71">
        <f t="shared" si="0"/>
        <v>4</v>
      </c>
      <c r="F8" s="71">
        <f t="shared" si="0"/>
        <v>5</v>
      </c>
      <c r="G8" s="71">
        <f t="shared" si="0"/>
        <v>6</v>
      </c>
      <c r="H8" s="71">
        <f t="shared" si="0"/>
        <v>7</v>
      </c>
      <c r="I8" s="71">
        <f t="shared" si="0"/>
        <v>8</v>
      </c>
      <c r="J8" s="71">
        <f t="shared" si="0"/>
        <v>9</v>
      </c>
      <c r="K8" s="71">
        <v>0</v>
      </c>
      <c r="L8" s="71">
        <f t="shared" ref="L8:T8" si="1">(K8+1)</f>
        <v>1</v>
      </c>
      <c r="M8" s="71">
        <f t="shared" si="1"/>
        <v>2</v>
      </c>
      <c r="N8" s="71">
        <f t="shared" si="1"/>
        <v>3</v>
      </c>
      <c r="O8" s="71">
        <f t="shared" si="1"/>
        <v>4</v>
      </c>
      <c r="P8" s="71">
        <f t="shared" si="1"/>
        <v>5</v>
      </c>
      <c r="Q8" s="71">
        <f t="shared" si="1"/>
        <v>6</v>
      </c>
      <c r="R8" s="71">
        <f t="shared" si="1"/>
        <v>7</v>
      </c>
      <c r="S8" s="71">
        <f t="shared" si="1"/>
        <v>8</v>
      </c>
      <c r="T8" s="71">
        <f t="shared" si="1"/>
        <v>9</v>
      </c>
      <c r="U8" s="71">
        <v>0</v>
      </c>
      <c r="V8" s="71">
        <f t="shared" ref="V8:AD8" si="2">(U8+1)</f>
        <v>1</v>
      </c>
      <c r="W8" s="71">
        <f t="shared" si="2"/>
        <v>2</v>
      </c>
      <c r="X8" s="71">
        <f t="shared" si="2"/>
        <v>3</v>
      </c>
      <c r="Y8" s="71">
        <f t="shared" si="2"/>
        <v>4</v>
      </c>
      <c r="Z8" s="71">
        <f t="shared" si="2"/>
        <v>5</v>
      </c>
      <c r="AA8" s="71">
        <f t="shared" si="2"/>
        <v>6</v>
      </c>
      <c r="AB8" s="71">
        <f t="shared" si="2"/>
        <v>7</v>
      </c>
      <c r="AC8" s="71">
        <f t="shared" si="2"/>
        <v>8</v>
      </c>
      <c r="AD8" s="71">
        <f t="shared" si="2"/>
        <v>9</v>
      </c>
      <c r="AE8" s="71">
        <v>0</v>
      </c>
      <c r="AF8" s="71">
        <f t="shared" ref="AF8:AN8" si="3">(AE8+1)</f>
        <v>1</v>
      </c>
      <c r="AG8" s="71">
        <f t="shared" si="3"/>
        <v>2</v>
      </c>
      <c r="AH8" s="71">
        <f t="shared" si="3"/>
        <v>3</v>
      </c>
      <c r="AI8" s="71">
        <f t="shared" si="3"/>
        <v>4</v>
      </c>
      <c r="AJ8" s="71">
        <f t="shared" si="3"/>
        <v>5</v>
      </c>
      <c r="AK8" s="71">
        <f t="shared" si="3"/>
        <v>6</v>
      </c>
      <c r="AL8" s="71">
        <f t="shared" si="3"/>
        <v>7</v>
      </c>
      <c r="AM8" s="71">
        <f t="shared" si="3"/>
        <v>8</v>
      </c>
      <c r="AN8" s="71">
        <f t="shared" si="3"/>
        <v>9</v>
      </c>
      <c r="AO8" s="71">
        <v>0</v>
      </c>
      <c r="AP8" s="71">
        <f t="shared" ref="AP8:AX8" si="4">(AO8+1)</f>
        <v>1</v>
      </c>
      <c r="AQ8" s="71">
        <f t="shared" si="4"/>
        <v>2</v>
      </c>
      <c r="AR8" s="71">
        <f t="shared" si="4"/>
        <v>3</v>
      </c>
      <c r="AS8" s="71">
        <f t="shared" si="4"/>
        <v>4</v>
      </c>
      <c r="AT8" s="71">
        <f t="shared" si="4"/>
        <v>5</v>
      </c>
      <c r="AU8" s="71">
        <f t="shared" si="4"/>
        <v>6</v>
      </c>
      <c r="AV8" s="71">
        <f t="shared" si="4"/>
        <v>7</v>
      </c>
      <c r="AW8" s="71">
        <f t="shared" si="4"/>
        <v>8</v>
      </c>
      <c r="AX8" s="71">
        <f t="shared" si="4"/>
        <v>9</v>
      </c>
      <c r="AY8" s="71">
        <v>0</v>
      </c>
      <c r="AZ8" s="71">
        <f t="shared" ref="AZ8:BH8" si="5">(AY8+1)</f>
        <v>1</v>
      </c>
      <c r="BA8" s="71">
        <f t="shared" si="5"/>
        <v>2</v>
      </c>
      <c r="BB8" s="71">
        <f t="shared" si="5"/>
        <v>3</v>
      </c>
      <c r="BC8" s="71">
        <f t="shared" si="5"/>
        <v>4</v>
      </c>
      <c r="BD8" s="71">
        <f t="shared" si="5"/>
        <v>5</v>
      </c>
      <c r="BE8" s="71">
        <f t="shared" si="5"/>
        <v>6</v>
      </c>
      <c r="BF8" s="71">
        <f t="shared" si="5"/>
        <v>7</v>
      </c>
      <c r="BG8" s="71">
        <f t="shared" si="5"/>
        <v>8</v>
      </c>
      <c r="BH8" s="71">
        <f t="shared" si="5"/>
        <v>9</v>
      </c>
      <c r="BI8" s="71">
        <v>0</v>
      </c>
      <c r="BJ8" s="71">
        <f t="shared" ref="BJ8:BR8" si="6">(BI8+1)</f>
        <v>1</v>
      </c>
      <c r="BK8" s="71">
        <f t="shared" si="6"/>
        <v>2</v>
      </c>
      <c r="BL8" s="71">
        <f t="shared" si="6"/>
        <v>3</v>
      </c>
      <c r="BM8" s="71">
        <f t="shared" si="6"/>
        <v>4</v>
      </c>
      <c r="BN8" s="71">
        <f t="shared" si="6"/>
        <v>5</v>
      </c>
      <c r="BO8" s="71">
        <f t="shared" si="6"/>
        <v>6</v>
      </c>
      <c r="BP8" s="71">
        <f t="shared" si="6"/>
        <v>7</v>
      </c>
      <c r="BQ8" s="71">
        <f t="shared" si="6"/>
        <v>8</v>
      </c>
      <c r="BR8" s="71">
        <f t="shared" si="6"/>
        <v>9</v>
      </c>
      <c r="BS8" s="71">
        <v>0</v>
      </c>
      <c r="BT8" s="71">
        <f t="shared" ref="BT8:CB8" si="7">(BS8+1)</f>
        <v>1</v>
      </c>
      <c r="BU8" s="71">
        <f t="shared" si="7"/>
        <v>2</v>
      </c>
      <c r="BV8" s="71">
        <f t="shared" si="7"/>
        <v>3</v>
      </c>
      <c r="BW8" s="71">
        <f t="shared" si="7"/>
        <v>4</v>
      </c>
      <c r="BX8" s="71">
        <f t="shared" si="7"/>
        <v>5</v>
      </c>
      <c r="BY8" s="71">
        <f t="shared" si="7"/>
        <v>6</v>
      </c>
      <c r="BZ8" s="71">
        <f t="shared" si="7"/>
        <v>7</v>
      </c>
      <c r="CA8" s="71">
        <f t="shared" si="7"/>
        <v>8</v>
      </c>
      <c r="CB8" s="71">
        <f t="shared" si="7"/>
        <v>9</v>
      </c>
      <c r="CC8" s="71">
        <v>0</v>
      </c>
      <c r="CD8" s="71">
        <f t="shared" ref="CD8:CL8" si="8">(CC8+1)</f>
        <v>1</v>
      </c>
      <c r="CE8" s="71">
        <f t="shared" si="8"/>
        <v>2</v>
      </c>
      <c r="CF8" s="71">
        <f t="shared" si="8"/>
        <v>3</v>
      </c>
      <c r="CG8" s="71">
        <f t="shared" si="8"/>
        <v>4</v>
      </c>
      <c r="CH8" s="71">
        <f t="shared" si="8"/>
        <v>5</v>
      </c>
      <c r="CI8" s="71">
        <f t="shared" si="8"/>
        <v>6</v>
      </c>
      <c r="CJ8" s="71">
        <f t="shared" si="8"/>
        <v>7</v>
      </c>
      <c r="CK8" s="71">
        <f t="shared" si="8"/>
        <v>8</v>
      </c>
      <c r="CL8" s="71">
        <f t="shared" si="8"/>
        <v>9</v>
      </c>
      <c r="CM8" s="71">
        <v>0</v>
      </c>
      <c r="CN8" s="71">
        <f t="shared" ref="CN8:CV8" si="9">(CM8+1)</f>
        <v>1</v>
      </c>
      <c r="CO8" s="71">
        <f t="shared" si="9"/>
        <v>2</v>
      </c>
      <c r="CP8" s="71">
        <f t="shared" si="9"/>
        <v>3</v>
      </c>
      <c r="CQ8" s="71">
        <f t="shared" si="9"/>
        <v>4</v>
      </c>
      <c r="CR8" s="71">
        <f t="shared" si="9"/>
        <v>5</v>
      </c>
      <c r="CS8" s="71">
        <f t="shared" si="9"/>
        <v>6</v>
      </c>
      <c r="CT8" s="71">
        <f t="shared" si="9"/>
        <v>7</v>
      </c>
      <c r="CU8" s="71">
        <f t="shared" si="9"/>
        <v>8</v>
      </c>
      <c r="CV8" s="71">
        <f t="shared" si="9"/>
        <v>9</v>
      </c>
      <c r="CW8" s="71">
        <v>0</v>
      </c>
      <c r="CX8" s="71">
        <f t="shared" ref="CX8:DF8" si="10">(CW8+1)</f>
        <v>1</v>
      </c>
      <c r="CY8" s="71">
        <f t="shared" si="10"/>
        <v>2</v>
      </c>
      <c r="CZ8" s="71">
        <f t="shared" si="10"/>
        <v>3</v>
      </c>
      <c r="DA8" s="71">
        <f t="shared" si="10"/>
        <v>4</v>
      </c>
      <c r="DB8" s="71">
        <f t="shared" si="10"/>
        <v>5</v>
      </c>
      <c r="DC8" s="71">
        <f t="shared" si="10"/>
        <v>6</v>
      </c>
      <c r="DD8" s="71">
        <f t="shared" si="10"/>
        <v>7</v>
      </c>
      <c r="DE8" s="71">
        <f t="shared" si="10"/>
        <v>8</v>
      </c>
      <c r="DF8" s="71">
        <f t="shared" si="10"/>
        <v>9</v>
      </c>
      <c r="DG8" s="71">
        <v>0</v>
      </c>
      <c r="DH8" s="71">
        <f t="shared" ref="DH8:DP8" si="11">(DG8+1)</f>
        <v>1</v>
      </c>
      <c r="DI8" s="71">
        <f t="shared" si="11"/>
        <v>2</v>
      </c>
      <c r="DJ8" s="71">
        <f t="shared" si="11"/>
        <v>3</v>
      </c>
      <c r="DK8" s="71">
        <f t="shared" si="11"/>
        <v>4</v>
      </c>
      <c r="DL8" s="71">
        <f t="shared" si="11"/>
        <v>5</v>
      </c>
      <c r="DM8" s="71">
        <f t="shared" si="11"/>
        <v>6</v>
      </c>
      <c r="DN8" s="71">
        <f t="shared" si="11"/>
        <v>7</v>
      </c>
      <c r="DO8" s="71">
        <f t="shared" si="11"/>
        <v>8</v>
      </c>
      <c r="DP8" s="71">
        <f t="shared" si="11"/>
        <v>9</v>
      </c>
      <c r="DQ8" s="71">
        <v>0</v>
      </c>
      <c r="DR8" s="71">
        <f t="shared" ref="DR8:DZ8" si="12">(DQ8+1)</f>
        <v>1</v>
      </c>
      <c r="DS8" s="71">
        <f t="shared" si="12"/>
        <v>2</v>
      </c>
      <c r="DT8" s="71">
        <f t="shared" si="12"/>
        <v>3</v>
      </c>
      <c r="DU8" s="71">
        <f t="shared" si="12"/>
        <v>4</v>
      </c>
      <c r="DV8" s="71">
        <f t="shared" si="12"/>
        <v>5</v>
      </c>
      <c r="DW8" s="71">
        <f t="shared" si="12"/>
        <v>6</v>
      </c>
      <c r="DX8" s="71">
        <f t="shared" si="12"/>
        <v>7</v>
      </c>
      <c r="DY8" s="71">
        <f t="shared" si="12"/>
        <v>8</v>
      </c>
      <c r="DZ8" s="71">
        <f t="shared" si="12"/>
        <v>9</v>
      </c>
      <c r="EA8" s="71">
        <v>0</v>
      </c>
      <c r="EB8" s="71">
        <f>(EA8+1)</f>
        <v>1</v>
      </c>
      <c r="EC8" s="75">
        <f>(EB8+1)</f>
        <v>2</v>
      </c>
    </row>
    <row r="9" spans="1:155" ht="24.95" customHeight="1">
      <c r="A9" s="1">
        <f t="shared" ref="A9:A30" si="13">A8+1</f>
        <v>1</v>
      </c>
      <c r="B9" s="67"/>
      <c r="C9" s="89"/>
      <c r="D9" s="89"/>
      <c r="E9" s="89"/>
      <c r="F9" s="89"/>
      <c r="G9" s="88"/>
      <c r="H9" s="88"/>
      <c r="I9" s="88"/>
      <c r="J9" s="88"/>
      <c r="K9" s="88"/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9"/>
      <c r="AQ9" s="89"/>
      <c r="AR9" s="91"/>
      <c r="AS9" s="91"/>
      <c r="AT9" s="88"/>
      <c r="AU9" s="91"/>
      <c r="AV9" s="91"/>
      <c r="AW9" s="91"/>
      <c r="AX9" s="91"/>
      <c r="AY9" s="91"/>
      <c r="AZ9" s="88"/>
      <c r="BA9" s="88"/>
      <c r="BB9" s="88"/>
      <c r="BC9" s="91"/>
      <c r="BD9" s="91"/>
      <c r="BE9" s="91"/>
      <c r="BF9" s="91"/>
      <c r="BG9" s="91"/>
      <c r="BH9" s="91"/>
      <c r="BI9" s="91"/>
      <c r="BJ9" s="91"/>
      <c r="BK9" s="91"/>
      <c r="BL9" s="91"/>
      <c r="BM9" s="91"/>
      <c r="BN9" s="91"/>
      <c r="BO9" s="91"/>
      <c r="BP9" s="91"/>
      <c r="BQ9" s="91"/>
      <c r="BR9" s="88"/>
      <c r="BS9" s="105" t="s">
        <v>132</v>
      </c>
      <c r="BT9" s="88"/>
      <c r="BU9" s="91"/>
      <c r="BV9" s="88"/>
      <c r="BW9" s="91"/>
      <c r="BX9" s="91"/>
      <c r="BY9" s="91"/>
      <c r="BZ9" s="91"/>
      <c r="CA9" s="91"/>
      <c r="CB9" s="91" t="s">
        <v>98</v>
      </c>
      <c r="CC9" s="91" t="s">
        <v>99</v>
      </c>
      <c r="CD9" s="91" t="s">
        <v>100</v>
      </c>
      <c r="CE9" s="91" t="s">
        <v>101</v>
      </c>
      <c r="CF9" s="91" t="s">
        <v>97</v>
      </c>
      <c r="CG9" s="91"/>
      <c r="CH9" s="88">
        <v>1</v>
      </c>
      <c r="CI9" s="91"/>
      <c r="CJ9" s="88"/>
      <c r="CK9" s="154"/>
      <c r="CL9" s="90"/>
      <c r="CM9" s="88"/>
      <c r="CN9" s="88"/>
      <c r="CO9" s="88"/>
      <c r="CP9" s="88"/>
      <c r="CQ9" s="88"/>
      <c r="CR9" s="88"/>
      <c r="CS9" s="88"/>
      <c r="CT9" s="91"/>
      <c r="CU9" s="91"/>
      <c r="CV9" s="91"/>
      <c r="CW9" s="91"/>
      <c r="CX9" s="91"/>
      <c r="CY9" s="91"/>
      <c r="CZ9" s="91"/>
      <c r="DA9" s="91"/>
      <c r="DB9" s="91"/>
      <c r="DC9" s="91"/>
      <c r="DD9" s="91"/>
      <c r="DE9" s="91"/>
      <c r="DF9" s="91"/>
      <c r="DG9" s="91"/>
      <c r="DH9" s="91"/>
      <c r="DI9" s="91"/>
      <c r="DJ9" s="91"/>
      <c r="DK9" s="91"/>
      <c r="DL9" s="91"/>
      <c r="DM9" s="91"/>
      <c r="DN9" s="91"/>
      <c r="DO9" s="91"/>
      <c r="DP9" s="91"/>
      <c r="DQ9" s="91"/>
      <c r="DR9" s="91"/>
      <c r="DS9" s="91"/>
      <c r="DT9" s="91"/>
      <c r="DU9" s="91"/>
      <c r="DV9" s="91"/>
      <c r="DW9" s="91"/>
      <c r="DX9" s="91"/>
      <c r="DY9" s="91"/>
      <c r="DZ9" s="91"/>
      <c r="EA9" s="91"/>
      <c r="EB9" s="68"/>
      <c r="EC9" s="82"/>
      <c r="EE9" s="65"/>
      <c r="EF9" s="65"/>
    </row>
    <row r="10" spans="1:155" ht="24.95" customHeight="1">
      <c r="A10" s="1">
        <f t="shared" si="13"/>
        <v>2</v>
      </c>
      <c r="B10" s="69"/>
      <c r="C10" s="101"/>
      <c r="D10" s="101" t="s">
        <v>130</v>
      </c>
      <c r="E10" s="101"/>
      <c r="F10" s="101"/>
      <c r="G10" s="101"/>
      <c r="H10" s="101"/>
      <c r="I10" s="101"/>
      <c r="J10" s="101"/>
      <c r="K10" s="101"/>
      <c r="L10" s="100"/>
      <c r="M10" s="101"/>
      <c r="N10" s="101"/>
      <c r="O10" s="101"/>
      <c r="P10" s="101"/>
      <c r="Q10" s="101"/>
      <c r="R10" s="101"/>
      <c r="S10" s="101"/>
      <c r="T10" s="101"/>
      <c r="U10" s="101"/>
      <c r="V10" s="101"/>
      <c r="W10" s="101"/>
      <c r="X10" s="101"/>
      <c r="Y10" s="101"/>
      <c r="Z10" s="101"/>
      <c r="AA10" s="101"/>
      <c r="AB10" s="101"/>
      <c r="AC10" s="101"/>
      <c r="AD10" s="101"/>
      <c r="AE10" s="101"/>
      <c r="AF10" s="101"/>
      <c r="AG10" s="101"/>
      <c r="AH10" s="101"/>
      <c r="AI10" s="101"/>
      <c r="AJ10" s="101"/>
      <c r="AK10" s="101"/>
      <c r="AL10" s="103"/>
      <c r="AM10" s="103"/>
      <c r="AN10" s="103"/>
      <c r="AO10" s="103"/>
      <c r="AP10" s="100"/>
      <c r="AQ10" s="100"/>
      <c r="AR10" s="100"/>
      <c r="AS10" s="100"/>
      <c r="AT10" s="100"/>
      <c r="AU10" s="100"/>
      <c r="AV10" s="100"/>
      <c r="AW10" s="100"/>
      <c r="AX10" s="100"/>
      <c r="AY10" s="100"/>
      <c r="AZ10" s="100"/>
      <c r="BA10" s="100"/>
      <c r="BB10" s="100"/>
      <c r="BC10" s="100"/>
      <c r="BD10" s="100"/>
      <c r="BE10" s="100"/>
      <c r="BF10" s="100"/>
      <c r="BG10" s="100"/>
      <c r="BH10" s="100"/>
      <c r="BI10" s="100"/>
      <c r="BJ10" s="100"/>
      <c r="BK10" s="100"/>
      <c r="BL10" s="100"/>
      <c r="BM10" s="100"/>
      <c r="BN10" s="100"/>
      <c r="BO10" s="100"/>
      <c r="BP10" s="100"/>
      <c r="BQ10" s="100"/>
      <c r="BR10" s="100"/>
      <c r="BS10" s="100"/>
      <c r="BT10" s="100"/>
      <c r="BU10" s="100"/>
      <c r="BV10" s="100"/>
      <c r="BW10" s="100"/>
      <c r="BX10" s="100"/>
      <c r="BY10" s="100"/>
      <c r="BZ10" s="100"/>
      <c r="CA10" s="100"/>
      <c r="CB10" s="100"/>
      <c r="CC10" s="100"/>
      <c r="CD10" s="100"/>
      <c r="CE10" s="101"/>
      <c r="CF10" s="101"/>
      <c r="CG10" s="101"/>
      <c r="CH10" s="101"/>
      <c r="CI10" s="101"/>
      <c r="CK10" s="155"/>
      <c r="CL10" s="94"/>
      <c r="CM10" s="49"/>
      <c r="CN10" s="160"/>
      <c r="CO10" s="49"/>
      <c r="CP10" s="49"/>
      <c r="CQ10" s="49"/>
      <c r="CR10" s="49"/>
      <c r="CS10" s="49"/>
      <c r="CT10" s="93"/>
      <c r="CU10" s="93"/>
      <c r="CV10" s="93"/>
      <c r="CW10" s="93"/>
      <c r="CX10" s="93"/>
      <c r="CY10" s="93"/>
      <c r="CZ10" s="93"/>
      <c r="DA10" s="93"/>
      <c r="DB10" s="93"/>
      <c r="DC10" s="93"/>
      <c r="DD10" s="93"/>
      <c r="DE10" s="93"/>
      <c r="DF10" s="93"/>
      <c r="DG10" s="93"/>
      <c r="DH10" s="93"/>
      <c r="DI10" s="93"/>
      <c r="DJ10" s="93"/>
      <c r="DK10" s="93"/>
      <c r="DL10" s="93"/>
      <c r="DM10" s="93"/>
      <c r="DN10" s="93"/>
      <c r="DO10" s="93"/>
      <c r="DP10" s="93"/>
      <c r="DQ10" s="93"/>
      <c r="DR10" s="93"/>
      <c r="DS10" s="93"/>
      <c r="DT10" s="93"/>
      <c r="DU10" s="93"/>
      <c r="DV10" s="93"/>
      <c r="DW10" s="93"/>
      <c r="DX10" s="93"/>
      <c r="DY10" s="93"/>
      <c r="DZ10" s="93"/>
      <c r="EA10" s="93"/>
      <c r="EB10" s="65"/>
      <c r="EC10" s="76"/>
      <c r="EE10" s="65"/>
      <c r="EF10" s="65"/>
      <c r="EG10" s="65"/>
      <c r="EH10" s="65"/>
      <c r="EI10" s="65"/>
      <c r="EJ10" s="65"/>
      <c r="EK10" s="65"/>
      <c r="EL10" s="65"/>
      <c r="EM10" s="65"/>
      <c r="EN10" s="65"/>
      <c r="EO10" s="65"/>
      <c r="EP10" s="65"/>
      <c r="EQ10" s="65"/>
      <c r="ER10" s="65"/>
      <c r="ES10" s="65"/>
      <c r="ET10" s="65"/>
      <c r="EU10" s="65"/>
      <c r="EV10" s="65"/>
      <c r="EW10" s="65"/>
      <c r="EX10" s="65"/>
      <c r="EY10" s="65"/>
    </row>
    <row r="11" spans="1:155" ht="24.95" customHeight="1">
      <c r="A11" s="1">
        <f t="shared" si="13"/>
        <v>3</v>
      </c>
      <c r="B11" s="69"/>
      <c r="C11" s="49"/>
      <c r="D11" s="49" t="s">
        <v>116</v>
      </c>
      <c r="E11" s="101"/>
      <c r="F11" s="101"/>
      <c r="G11" s="101"/>
      <c r="H11" s="101"/>
      <c r="I11" s="101"/>
      <c r="J11" s="104" t="s">
        <v>133</v>
      </c>
      <c r="K11" s="49"/>
      <c r="L11" s="49" t="s">
        <v>118</v>
      </c>
      <c r="M11" s="49" t="s">
        <v>134</v>
      </c>
      <c r="N11" s="49"/>
      <c r="O11" s="101"/>
      <c r="P11" s="101"/>
      <c r="Q11" s="101"/>
      <c r="R11" s="101"/>
      <c r="S11" s="101"/>
      <c r="T11" s="101"/>
      <c r="U11" s="101"/>
      <c r="V11" s="101"/>
      <c r="W11" s="101"/>
      <c r="X11" s="49" t="s">
        <v>122</v>
      </c>
      <c r="Y11" s="93"/>
      <c r="Z11" s="94"/>
      <c r="AA11" s="49"/>
      <c r="AB11" s="94"/>
      <c r="AC11" s="93"/>
      <c r="AD11" s="104" t="s">
        <v>107</v>
      </c>
      <c r="AE11" s="93"/>
      <c r="AF11" s="93"/>
      <c r="AG11" s="93"/>
      <c r="AH11" s="101"/>
      <c r="AI11" s="101"/>
      <c r="AJ11" s="101"/>
      <c r="AK11" s="101"/>
      <c r="AL11" s="103"/>
      <c r="AM11" s="103"/>
      <c r="AN11" s="103"/>
      <c r="AO11" s="103"/>
      <c r="AP11" s="100"/>
      <c r="AQ11" s="100"/>
      <c r="AR11" s="100"/>
      <c r="AS11" s="100"/>
      <c r="AT11" s="100"/>
      <c r="AU11" s="100"/>
      <c r="AV11" s="100"/>
      <c r="AW11" s="100"/>
      <c r="AX11" s="100"/>
      <c r="AY11" s="100"/>
      <c r="AZ11" s="100"/>
      <c r="BA11" s="100"/>
      <c r="BB11" s="100"/>
      <c r="BC11" s="100"/>
      <c r="BD11" s="100"/>
      <c r="BE11" s="100"/>
      <c r="BF11" s="100"/>
      <c r="BG11" s="100"/>
      <c r="BH11" s="100"/>
      <c r="BI11" s="100"/>
      <c r="BJ11" s="100"/>
      <c r="BK11" s="100"/>
      <c r="BL11" s="100"/>
      <c r="BM11" s="100"/>
      <c r="BN11" s="100"/>
      <c r="BO11" s="100"/>
      <c r="BP11" s="100"/>
      <c r="BQ11" s="100"/>
      <c r="BR11" s="100"/>
      <c r="BS11" s="100"/>
      <c r="BT11" s="100"/>
      <c r="BU11" s="100"/>
      <c r="BV11" s="100"/>
      <c r="BW11" s="100"/>
      <c r="BX11" s="100"/>
      <c r="BY11" s="100"/>
      <c r="BZ11" s="99"/>
      <c r="CA11" s="99"/>
      <c r="CB11" s="99"/>
      <c r="CC11" s="99"/>
      <c r="CD11" s="99"/>
      <c r="CE11" s="94"/>
      <c r="CF11" s="94"/>
      <c r="CG11" s="94"/>
      <c r="CH11" s="94"/>
      <c r="CI11" s="49"/>
      <c r="CK11" s="155"/>
      <c r="CL11" s="94"/>
      <c r="CM11" s="49"/>
      <c r="CN11" s="160"/>
      <c r="CO11" s="49"/>
      <c r="CP11" s="49"/>
      <c r="CQ11" s="49"/>
      <c r="CR11" s="49"/>
      <c r="CS11" s="49"/>
      <c r="CT11" s="93"/>
      <c r="CU11" s="93"/>
      <c r="CV11" s="93"/>
      <c r="CW11" s="93"/>
      <c r="CX11" s="93"/>
      <c r="CY11" s="93"/>
      <c r="CZ11" s="93"/>
      <c r="DA11" s="93"/>
      <c r="DB11" s="93"/>
      <c r="DC11" s="93"/>
      <c r="DD11" s="93"/>
      <c r="DE11" s="93"/>
      <c r="DF11" s="93"/>
      <c r="DG11" s="93"/>
      <c r="DH11" s="93"/>
      <c r="DI11" s="93"/>
      <c r="DJ11" s="93"/>
      <c r="DK11" s="93"/>
      <c r="DL11" s="93"/>
      <c r="DM11" s="93"/>
      <c r="DN11" s="93"/>
      <c r="DO11" s="93"/>
      <c r="DP11" s="93"/>
      <c r="DQ11" s="93"/>
      <c r="DR11" s="93"/>
      <c r="DS11" s="93"/>
      <c r="DT11" s="93"/>
      <c r="DU11" s="93"/>
      <c r="DV11" s="93"/>
      <c r="DW11" s="93"/>
      <c r="DX11" s="93"/>
      <c r="DY11" s="93"/>
      <c r="DZ11" s="93"/>
      <c r="EA11" s="93"/>
      <c r="EC11" s="2"/>
      <c r="EX11" s="65"/>
      <c r="EY11" s="65"/>
    </row>
    <row r="12" spans="1:155" ht="24.95" customHeight="1">
      <c r="A12" s="1">
        <f t="shared" si="13"/>
        <v>4</v>
      </c>
      <c r="B12" s="69"/>
      <c r="C12" s="49"/>
      <c r="D12" s="49" t="s">
        <v>119</v>
      </c>
      <c r="E12" s="49"/>
      <c r="F12" s="49"/>
      <c r="G12" s="49"/>
      <c r="H12" s="49"/>
      <c r="I12" s="49"/>
      <c r="J12" s="104" t="s">
        <v>135</v>
      </c>
      <c r="K12" s="49"/>
      <c r="L12" s="49" t="s">
        <v>106</v>
      </c>
      <c r="M12" s="49" t="s">
        <v>136</v>
      </c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49"/>
      <c r="AN12" s="49"/>
      <c r="AO12" s="49"/>
      <c r="AT12" s="99"/>
      <c r="AU12" s="99"/>
      <c r="AV12" s="99"/>
      <c r="AW12" s="100"/>
      <c r="AX12" s="100"/>
      <c r="AY12" s="100"/>
      <c r="AZ12" s="100"/>
      <c r="BA12" s="100"/>
      <c r="BB12" s="100"/>
      <c r="BC12" s="100"/>
      <c r="BD12" s="100"/>
      <c r="BE12" s="100"/>
      <c r="BH12" s="49" t="s">
        <v>131</v>
      </c>
      <c r="CK12" s="112"/>
      <c r="CN12" s="160"/>
      <c r="DG12" s="49"/>
      <c r="DH12" s="49"/>
      <c r="DI12" s="49"/>
      <c r="DJ12" s="49"/>
      <c r="DK12" s="49"/>
      <c r="DL12" s="49"/>
      <c r="DM12" s="49"/>
      <c r="DN12" s="49"/>
      <c r="DO12" s="49"/>
      <c r="DP12" s="49"/>
      <c r="DQ12" s="49"/>
      <c r="DR12" s="49"/>
      <c r="DS12" s="49"/>
      <c r="DT12" s="49"/>
      <c r="DU12" s="49"/>
      <c r="DV12" s="49"/>
      <c r="DW12" s="49"/>
      <c r="DX12" s="49"/>
      <c r="DY12" s="49"/>
      <c r="DZ12" s="49"/>
      <c r="EA12" s="49"/>
      <c r="EC12" s="2"/>
    </row>
    <row r="13" spans="1:155" ht="24.95" customHeight="1">
      <c r="A13" s="1">
        <f t="shared" si="13"/>
        <v>5</v>
      </c>
      <c r="B13" s="69"/>
      <c r="C13" s="93"/>
      <c r="D13" s="49"/>
      <c r="E13" s="93"/>
      <c r="F13" s="94"/>
      <c r="G13" s="49"/>
      <c r="H13" s="94"/>
      <c r="I13" s="93"/>
      <c r="J13" s="104"/>
      <c r="K13" s="93"/>
      <c r="L13" s="93"/>
      <c r="M13" s="93"/>
      <c r="N13" s="93"/>
      <c r="O13" s="93"/>
      <c r="P13" s="93"/>
      <c r="Q13" s="49"/>
      <c r="R13" s="49"/>
      <c r="S13" s="49"/>
      <c r="T13" s="49"/>
      <c r="U13" s="49"/>
      <c r="V13" s="95"/>
      <c r="W13" s="95"/>
      <c r="X13" s="95"/>
      <c r="Y13" s="95"/>
      <c r="Z13" s="95"/>
      <c r="AA13" s="95"/>
      <c r="AB13" s="95"/>
      <c r="AC13" s="95"/>
      <c r="AD13" s="95"/>
      <c r="AE13" s="95"/>
      <c r="AF13" s="95"/>
      <c r="AG13" s="95"/>
      <c r="AH13" s="95"/>
      <c r="AI13" s="95"/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T13" s="49"/>
      <c r="AU13" s="95"/>
      <c r="AV13" s="95"/>
      <c r="AW13" s="95"/>
      <c r="AX13" s="95"/>
      <c r="AY13" s="95"/>
      <c r="AZ13" s="95"/>
      <c r="BA13" s="95"/>
      <c r="BB13" s="95"/>
      <c r="BC13" s="95"/>
      <c r="BD13" s="95"/>
      <c r="BE13" s="95"/>
      <c r="BF13" s="95"/>
      <c r="BG13" s="95"/>
      <c r="BH13" s="95"/>
      <c r="BI13" s="95"/>
      <c r="BJ13" s="95"/>
      <c r="BK13" s="95"/>
      <c r="BL13" s="95"/>
      <c r="BM13" s="95"/>
      <c r="BN13" s="95"/>
      <c r="BO13" s="95"/>
      <c r="BP13" s="95"/>
      <c r="BQ13" s="95"/>
      <c r="BR13" s="95"/>
      <c r="BS13" s="95"/>
      <c r="BT13" s="95"/>
      <c r="BU13" s="95"/>
      <c r="BV13" s="95"/>
      <c r="BW13" s="95"/>
      <c r="BX13" s="95"/>
      <c r="BY13" s="95"/>
      <c r="BZ13" s="95"/>
      <c r="CA13" s="95"/>
      <c r="CB13" s="95"/>
      <c r="CC13" s="95"/>
      <c r="CD13" s="95"/>
      <c r="CE13" s="95"/>
      <c r="CF13" s="95"/>
      <c r="CG13" s="95"/>
      <c r="CH13" s="95"/>
      <c r="CI13" s="95"/>
      <c r="CK13" s="112"/>
      <c r="DG13" s="49"/>
      <c r="DH13" s="49"/>
      <c r="DI13" s="49"/>
      <c r="DJ13" s="49"/>
      <c r="DK13" s="49"/>
      <c r="DL13" s="49"/>
      <c r="DM13" s="49"/>
      <c r="DN13" s="49"/>
      <c r="DO13" s="49"/>
      <c r="DP13" s="49"/>
      <c r="DQ13" s="49"/>
      <c r="DR13" s="49"/>
      <c r="DS13" s="49"/>
      <c r="DT13" s="49"/>
      <c r="DU13" s="49"/>
      <c r="DV13" s="49"/>
      <c r="DW13" s="49"/>
      <c r="DX13" s="49"/>
      <c r="DY13" s="49"/>
      <c r="DZ13" s="49"/>
      <c r="EA13" s="49"/>
      <c r="EC13" s="2"/>
    </row>
    <row r="14" spans="1:155" ht="24.95" customHeight="1">
      <c r="A14" s="1">
        <f t="shared" si="13"/>
        <v>6</v>
      </c>
      <c r="B14" s="69"/>
      <c r="C14" s="49"/>
      <c r="D14" s="125" t="s">
        <v>408</v>
      </c>
      <c r="E14" s="127"/>
      <c r="F14" s="119"/>
      <c r="G14" s="118"/>
      <c r="H14" s="119"/>
      <c r="I14" s="127"/>
      <c r="J14" s="127"/>
      <c r="K14" s="127"/>
      <c r="L14" s="127"/>
      <c r="M14" s="127"/>
      <c r="N14" s="127"/>
      <c r="O14" s="127"/>
      <c r="P14" s="127"/>
      <c r="Q14" s="118"/>
      <c r="R14" s="118"/>
      <c r="S14" s="118"/>
      <c r="T14" s="118"/>
      <c r="U14" s="118"/>
      <c r="V14" s="120"/>
      <c r="W14" s="120"/>
      <c r="X14" s="120"/>
      <c r="Y14" s="121"/>
      <c r="Z14" s="207" t="s">
        <v>127</v>
      </c>
      <c r="AA14" s="208"/>
      <c r="AB14" s="208"/>
      <c r="AC14" s="208"/>
      <c r="AD14" s="208"/>
      <c r="AE14" s="208"/>
      <c r="AF14" s="208"/>
      <c r="AG14" s="208"/>
      <c r="AH14" s="208"/>
      <c r="AI14" s="208"/>
      <c r="AJ14" s="208"/>
      <c r="AK14" s="208"/>
      <c r="AL14" s="208"/>
      <c r="AM14" s="208"/>
      <c r="AN14" s="208"/>
      <c r="AO14" s="209"/>
      <c r="AP14" s="207" t="s">
        <v>128</v>
      </c>
      <c r="AQ14" s="208"/>
      <c r="AR14" s="208"/>
      <c r="AS14" s="208"/>
      <c r="AT14" s="208"/>
      <c r="AU14" s="208"/>
      <c r="AV14" s="208"/>
      <c r="AW14" s="208"/>
      <c r="AX14" s="208"/>
      <c r="AY14" s="208"/>
      <c r="AZ14" s="208"/>
      <c r="BA14" s="208"/>
      <c r="BB14" s="208"/>
      <c r="BC14" s="208"/>
      <c r="BD14" s="208"/>
      <c r="BE14" s="209"/>
      <c r="BF14" s="207" t="s">
        <v>129</v>
      </c>
      <c r="BG14" s="208"/>
      <c r="BH14" s="208"/>
      <c r="BI14" s="208"/>
      <c r="BJ14" s="208"/>
      <c r="BK14" s="208"/>
      <c r="BL14" s="208"/>
      <c r="BM14" s="208"/>
      <c r="BN14" s="208"/>
      <c r="BO14" s="208"/>
      <c r="BP14" s="208"/>
      <c r="BQ14" s="208"/>
      <c r="BR14" s="208"/>
      <c r="BS14" s="208"/>
      <c r="BT14" s="208"/>
      <c r="BU14" s="209"/>
      <c r="BV14" s="216" t="s">
        <v>218</v>
      </c>
      <c r="BW14" s="208"/>
      <c r="BX14" s="208"/>
      <c r="BY14" s="208"/>
      <c r="BZ14" s="208"/>
      <c r="CA14" s="208"/>
      <c r="CB14" s="209"/>
      <c r="CC14" s="207" t="s">
        <v>196</v>
      </c>
      <c r="CD14" s="208"/>
      <c r="CE14" s="208"/>
      <c r="CF14" s="208"/>
      <c r="CG14" s="208"/>
      <c r="CH14" s="208"/>
      <c r="CI14" s="209"/>
      <c r="CJ14" s="92"/>
      <c r="CK14" s="49"/>
      <c r="CL14" s="49"/>
      <c r="CM14" s="49"/>
      <c r="CN14" s="49"/>
      <c r="CO14" s="49"/>
      <c r="CP14" s="49"/>
      <c r="CQ14" s="49"/>
      <c r="CR14" s="49"/>
      <c r="CS14" s="49"/>
      <c r="CT14" s="49"/>
      <c r="CU14" s="49"/>
      <c r="CV14" s="49"/>
      <c r="CW14" s="49"/>
      <c r="CX14" s="49"/>
      <c r="CY14" s="49"/>
      <c r="CZ14" s="49"/>
      <c r="DA14" s="49"/>
      <c r="DB14" s="49"/>
      <c r="DC14" s="49"/>
      <c r="DD14" s="49"/>
      <c r="DE14" s="49"/>
      <c r="DF14" s="49"/>
      <c r="DG14" s="49"/>
      <c r="DH14" s="49"/>
      <c r="DI14" s="49"/>
      <c r="DJ14" s="49"/>
      <c r="DK14" s="49"/>
      <c r="DL14" s="49"/>
      <c r="DM14" s="49"/>
      <c r="DN14" s="49"/>
      <c r="DO14" s="49"/>
      <c r="DP14" s="49"/>
      <c r="DQ14" s="49"/>
      <c r="DR14" s="49"/>
      <c r="DS14" s="49"/>
      <c r="DT14" s="49"/>
      <c r="DU14" s="49"/>
      <c r="DV14" s="49"/>
      <c r="DW14" s="49"/>
      <c r="DX14" s="49"/>
      <c r="DY14" s="49"/>
      <c r="DZ14" s="49"/>
      <c r="EA14" s="49"/>
      <c r="EC14" s="2"/>
    </row>
    <row r="15" spans="1:155" ht="24.95" customHeight="1">
      <c r="A15" s="1">
        <f t="shared" si="13"/>
        <v>7</v>
      </c>
      <c r="B15" s="69"/>
      <c r="C15" s="65"/>
      <c r="D15" s="111" t="s">
        <v>429</v>
      </c>
      <c r="E15" s="49"/>
      <c r="F15" s="49"/>
      <c r="G15" s="49"/>
      <c r="H15" s="49"/>
      <c r="I15" s="49"/>
      <c r="J15" s="49"/>
      <c r="K15" s="93"/>
      <c r="L15" s="49"/>
      <c r="M15" s="49"/>
      <c r="N15" s="93"/>
      <c r="O15" s="93"/>
      <c r="P15" s="109"/>
      <c r="Q15" s="49"/>
      <c r="R15" s="49"/>
      <c r="S15" s="49"/>
      <c r="T15" s="49"/>
      <c r="U15" s="49"/>
      <c r="V15" s="49"/>
      <c r="W15" s="49"/>
      <c r="X15" s="109" t="s">
        <v>144</v>
      </c>
      <c r="Y15" s="92"/>
      <c r="Z15" s="216" t="s">
        <v>410</v>
      </c>
      <c r="AA15" s="208"/>
      <c r="AB15" s="208"/>
      <c r="AC15" s="208"/>
      <c r="AD15" s="208"/>
      <c r="AE15" s="208"/>
      <c r="AF15" s="208"/>
      <c r="AG15" s="209"/>
      <c r="AH15" s="216" t="s">
        <v>142</v>
      </c>
      <c r="AI15" s="208"/>
      <c r="AJ15" s="208"/>
      <c r="AK15" s="208"/>
      <c r="AL15" s="208"/>
      <c r="AM15" s="208"/>
      <c r="AN15" s="208"/>
      <c r="AO15" s="209"/>
      <c r="AP15" s="216" t="s">
        <v>410</v>
      </c>
      <c r="AQ15" s="208"/>
      <c r="AR15" s="208"/>
      <c r="AS15" s="208"/>
      <c r="AT15" s="208"/>
      <c r="AU15" s="208"/>
      <c r="AV15" s="208"/>
      <c r="AW15" s="209"/>
      <c r="AX15" s="216" t="s">
        <v>142</v>
      </c>
      <c r="AY15" s="208"/>
      <c r="AZ15" s="208"/>
      <c r="BA15" s="208"/>
      <c r="BB15" s="208"/>
      <c r="BC15" s="208"/>
      <c r="BD15" s="208"/>
      <c r="BE15" s="209"/>
      <c r="BF15" s="216" t="s">
        <v>410</v>
      </c>
      <c r="BG15" s="208"/>
      <c r="BH15" s="208"/>
      <c r="BI15" s="208"/>
      <c r="BJ15" s="208"/>
      <c r="BK15" s="208"/>
      <c r="BL15" s="208"/>
      <c r="BM15" s="209"/>
      <c r="BN15" s="216" t="s">
        <v>143</v>
      </c>
      <c r="BO15" s="208"/>
      <c r="BP15" s="208"/>
      <c r="BQ15" s="208"/>
      <c r="BR15" s="208"/>
      <c r="BS15" s="208"/>
      <c r="BT15" s="208"/>
      <c r="BU15" s="209"/>
      <c r="BV15" s="210"/>
      <c r="BW15" s="211"/>
      <c r="BX15" s="211"/>
      <c r="BY15" s="211"/>
      <c r="BZ15" s="211"/>
      <c r="CA15" s="211"/>
      <c r="CB15" s="212"/>
      <c r="CC15" s="210"/>
      <c r="CD15" s="211"/>
      <c r="CE15" s="211"/>
      <c r="CF15" s="211"/>
      <c r="CG15" s="211"/>
      <c r="CH15" s="211"/>
      <c r="CI15" s="212"/>
      <c r="CJ15" s="92"/>
      <c r="CK15" s="49"/>
      <c r="CL15" s="49"/>
      <c r="CM15" s="49"/>
      <c r="CN15" s="49"/>
      <c r="CO15" s="49"/>
      <c r="CP15" s="49"/>
      <c r="CQ15" s="49"/>
      <c r="CR15" s="49"/>
      <c r="CS15" s="49"/>
      <c r="CT15" s="49"/>
      <c r="CU15" s="49"/>
      <c r="CV15" s="49"/>
      <c r="CW15" s="49"/>
      <c r="CX15" s="49"/>
      <c r="CY15" s="49"/>
      <c r="CZ15" s="49"/>
      <c r="DA15" s="49"/>
      <c r="DB15" s="49"/>
      <c r="DC15" s="49"/>
      <c r="DD15" s="49"/>
      <c r="DE15" s="49"/>
      <c r="DF15" s="93"/>
      <c r="DG15" s="93"/>
      <c r="DH15" s="93"/>
      <c r="DI15" s="93"/>
      <c r="DJ15" s="93"/>
      <c r="DK15" s="93"/>
      <c r="DL15" s="93"/>
      <c r="DM15" s="93"/>
      <c r="DN15" s="93"/>
      <c r="DO15" s="93"/>
      <c r="DP15" s="93"/>
      <c r="DQ15" s="93"/>
      <c r="DR15" s="93"/>
      <c r="DS15" s="93"/>
      <c r="DT15" s="93"/>
      <c r="DU15" s="93"/>
      <c r="DV15" s="93"/>
      <c r="DW15" s="93"/>
      <c r="DX15" s="93"/>
      <c r="DY15" s="93"/>
      <c r="DZ15" s="49"/>
      <c r="EC15" s="2"/>
    </row>
    <row r="16" spans="1:155" ht="24.95" customHeight="1">
      <c r="A16" s="1">
        <f t="shared" si="13"/>
        <v>8</v>
      </c>
      <c r="B16" s="69"/>
      <c r="C16" s="65"/>
      <c r="D16" s="111" t="s">
        <v>432</v>
      </c>
      <c r="E16" s="49"/>
      <c r="F16" s="49"/>
      <c r="G16" s="49"/>
      <c r="H16" s="49"/>
      <c r="I16" s="49"/>
      <c r="J16" s="49"/>
      <c r="K16" s="93"/>
      <c r="L16" s="49"/>
      <c r="M16" s="93" t="s">
        <v>104</v>
      </c>
      <c r="N16" s="93"/>
      <c r="O16" s="49"/>
      <c r="P16" s="94"/>
      <c r="Q16" s="93"/>
      <c r="R16" s="93"/>
      <c r="S16" s="93" t="s">
        <v>112</v>
      </c>
      <c r="T16" s="93"/>
      <c r="U16" s="93"/>
      <c r="V16" s="93"/>
      <c r="W16" s="93"/>
      <c r="X16" s="93"/>
      <c r="Y16" s="132"/>
      <c r="Z16" s="210"/>
      <c r="AA16" s="211"/>
      <c r="AB16" s="211"/>
      <c r="AC16" s="211"/>
      <c r="AD16" s="211"/>
      <c r="AE16" s="211"/>
      <c r="AF16" s="211"/>
      <c r="AG16" s="212"/>
      <c r="AH16" s="210"/>
      <c r="AI16" s="211"/>
      <c r="AJ16" s="211"/>
      <c r="AK16" s="211"/>
      <c r="AL16" s="211"/>
      <c r="AM16" s="211"/>
      <c r="AN16" s="211"/>
      <c r="AO16" s="212"/>
      <c r="AP16" s="210"/>
      <c r="AQ16" s="211"/>
      <c r="AR16" s="211"/>
      <c r="AS16" s="211"/>
      <c r="AT16" s="211"/>
      <c r="AU16" s="211"/>
      <c r="AV16" s="211"/>
      <c r="AW16" s="212"/>
      <c r="AX16" s="210"/>
      <c r="AY16" s="211"/>
      <c r="AZ16" s="211"/>
      <c r="BA16" s="211"/>
      <c r="BB16" s="211"/>
      <c r="BC16" s="211"/>
      <c r="BD16" s="211"/>
      <c r="BE16" s="212"/>
      <c r="BF16" s="210"/>
      <c r="BG16" s="211"/>
      <c r="BH16" s="211"/>
      <c r="BI16" s="211"/>
      <c r="BJ16" s="211"/>
      <c r="BK16" s="211"/>
      <c r="BL16" s="211"/>
      <c r="BM16" s="212"/>
      <c r="BN16" s="210"/>
      <c r="BO16" s="211"/>
      <c r="BP16" s="211"/>
      <c r="BQ16" s="211"/>
      <c r="BR16" s="211"/>
      <c r="BS16" s="211"/>
      <c r="BT16" s="211"/>
      <c r="BU16" s="212"/>
      <c r="BV16" s="210"/>
      <c r="BW16" s="211"/>
      <c r="BX16" s="211"/>
      <c r="BY16" s="211"/>
      <c r="BZ16" s="211"/>
      <c r="CA16" s="211"/>
      <c r="CB16" s="212"/>
      <c r="CC16" s="210"/>
      <c r="CD16" s="211"/>
      <c r="CE16" s="211"/>
      <c r="CF16" s="211"/>
      <c r="CG16" s="211"/>
      <c r="CH16" s="211"/>
      <c r="CI16" s="212"/>
      <c r="CJ16" s="92"/>
      <c r="CK16" s="49"/>
      <c r="CL16" s="49"/>
      <c r="CM16" s="49"/>
      <c r="CN16" s="49"/>
      <c r="CO16" s="49"/>
      <c r="CP16" s="49"/>
      <c r="CQ16" s="49"/>
      <c r="CR16" s="49"/>
      <c r="CS16" s="49"/>
      <c r="CT16" s="49"/>
      <c r="CU16" s="49"/>
      <c r="CV16" s="49"/>
      <c r="CW16" s="49"/>
      <c r="CX16" s="49"/>
      <c r="CY16" s="49"/>
      <c r="CZ16" s="49"/>
      <c r="DA16" s="49"/>
      <c r="DB16" s="49"/>
      <c r="DC16" s="49"/>
      <c r="DD16" s="49"/>
      <c r="DE16" s="49"/>
      <c r="DF16" s="49"/>
      <c r="DG16" s="49"/>
      <c r="DH16" s="49"/>
      <c r="DI16" s="49"/>
      <c r="DJ16" s="49"/>
      <c r="DK16" s="49"/>
      <c r="DL16" s="49"/>
      <c r="DM16" s="49"/>
      <c r="DN16" s="49"/>
      <c r="DO16" s="49"/>
      <c r="DP16" s="49"/>
      <c r="DQ16" s="49"/>
      <c r="DR16" s="49"/>
      <c r="DS16" s="49"/>
      <c r="DT16" s="49"/>
      <c r="DU16" s="49"/>
      <c r="DV16" s="49"/>
      <c r="DW16" s="49"/>
      <c r="DX16" s="49"/>
      <c r="DY16" s="49"/>
      <c r="DZ16" s="49"/>
      <c r="EC16" s="2"/>
    </row>
    <row r="17" spans="1:155" ht="24.95" customHeight="1">
      <c r="A17" s="1">
        <f t="shared" si="13"/>
        <v>9</v>
      </c>
      <c r="B17" s="69"/>
      <c r="C17" s="65"/>
      <c r="D17" s="122"/>
      <c r="E17" s="129"/>
      <c r="F17" s="129"/>
      <c r="G17" s="129"/>
      <c r="H17" s="129"/>
      <c r="I17" s="129"/>
      <c r="J17" s="106"/>
      <c r="K17" s="129"/>
      <c r="L17" s="129"/>
      <c r="M17" s="129"/>
      <c r="N17" s="129"/>
      <c r="O17" s="129"/>
      <c r="P17" s="129"/>
      <c r="Q17" s="129"/>
      <c r="R17" s="129"/>
      <c r="S17" s="129"/>
      <c r="T17" s="106"/>
      <c r="U17" s="129"/>
      <c r="V17" s="129"/>
      <c r="W17" s="129"/>
      <c r="X17" s="129"/>
      <c r="Y17" s="130"/>
      <c r="Z17" s="213"/>
      <c r="AA17" s="214"/>
      <c r="AB17" s="214"/>
      <c r="AC17" s="214"/>
      <c r="AD17" s="214"/>
      <c r="AE17" s="214"/>
      <c r="AF17" s="214"/>
      <c r="AG17" s="215"/>
      <c r="AH17" s="213"/>
      <c r="AI17" s="214"/>
      <c r="AJ17" s="214"/>
      <c r="AK17" s="214"/>
      <c r="AL17" s="214"/>
      <c r="AM17" s="214"/>
      <c r="AN17" s="214"/>
      <c r="AO17" s="215"/>
      <c r="AP17" s="213"/>
      <c r="AQ17" s="214"/>
      <c r="AR17" s="214"/>
      <c r="AS17" s="214"/>
      <c r="AT17" s="214"/>
      <c r="AU17" s="214"/>
      <c r="AV17" s="214"/>
      <c r="AW17" s="215"/>
      <c r="AX17" s="213"/>
      <c r="AY17" s="214"/>
      <c r="AZ17" s="214"/>
      <c r="BA17" s="214"/>
      <c r="BB17" s="214"/>
      <c r="BC17" s="214"/>
      <c r="BD17" s="214"/>
      <c r="BE17" s="215"/>
      <c r="BF17" s="213"/>
      <c r="BG17" s="214"/>
      <c r="BH17" s="214"/>
      <c r="BI17" s="214"/>
      <c r="BJ17" s="214"/>
      <c r="BK17" s="214"/>
      <c r="BL17" s="214"/>
      <c r="BM17" s="215"/>
      <c r="BN17" s="213"/>
      <c r="BO17" s="214"/>
      <c r="BP17" s="214"/>
      <c r="BQ17" s="214"/>
      <c r="BR17" s="214"/>
      <c r="BS17" s="214"/>
      <c r="BT17" s="214"/>
      <c r="BU17" s="215"/>
      <c r="BV17" s="213"/>
      <c r="BW17" s="214"/>
      <c r="BX17" s="214"/>
      <c r="BY17" s="214"/>
      <c r="BZ17" s="214"/>
      <c r="CA17" s="214"/>
      <c r="CB17" s="215"/>
      <c r="CC17" s="213"/>
      <c r="CD17" s="214"/>
      <c r="CE17" s="214"/>
      <c r="CF17" s="214"/>
      <c r="CG17" s="214"/>
      <c r="CH17" s="214"/>
      <c r="CI17" s="215"/>
      <c r="CJ17" s="92"/>
      <c r="CK17" s="49"/>
      <c r="CL17" s="49"/>
      <c r="CM17" s="49"/>
      <c r="CN17" s="49"/>
      <c r="CO17" s="49"/>
      <c r="CP17" s="49"/>
      <c r="CQ17" s="49"/>
      <c r="CR17" s="49"/>
      <c r="CS17" s="49"/>
      <c r="CT17" s="49"/>
      <c r="CU17" s="49"/>
      <c r="CV17" s="49"/>
      <c r="CW17" s="49"/>
      <c r="CX17" s="49"/>
      <c r="CY17" s="49"/>
      <c r="CZ17" s="49"/>
      <c r="DA17" s="49"/>
      <c r="DB17" s="49"/>
      <c r="DC17" s="49"/>
      <c r="DD17" s="49"/>
      <c r="DE17" s="49"/>
      <c r="DF17" s="49"/>
      <c r="DG17" s="49"/>
      <c r="DH17" s="49"/>
      <c r="DI17" s="49"/>
      <c r="DJ17" s="49"/>
      <c r="DK17" s="49"/>
      <c r="DL17" s="49"/>
      <c r="DM17" s="49"/>
      <c r="DN17" s="49"/>
      <c r="DO17" s="49"/>
      <c r="DP17" s="49"/>
      <c r="DQ17" s="49"/>
      <c r="DR17" s="49"/>
      <c r="DS17" s="49"/>
      <c r="DT17" s="49"/>
      <c r="DU17" s="49"/>
      <c r="DV17" s="49"/>
      <c r="DW17" s="49"/>
      <c r="DX17" s="49"/>
      <c r="DY17" s="49"/>
      <c r="DZ17" s="49"/>
      <c r="EC17" s="2"/>
    </row>
    <row r="18" spans="1:155" ht="24.95" customHeight="1">
      <c r="A18" s="1">
        <f t="shared" si="13"/>
        <v>10</v>
      </c>
      <c r="B18" s="69"/>
      <c r="C18" s="49"/>
      <c r="D18" s="111" t="s">
        <v>138</v>
      </c>
      <c r="E18" s="49"/>
      <c r="F18" s="49"/>
      <c r="G18" s="93"/>
      <c r="H18" s="93"/>
      <c r="I18" s="93"/>
      <c r="J18" s="108"/>
      <c r="K18" s="95"/>
      <c r="L18" s="93"/>
      <c r="M18" s="93"/>
      <c r="N18" s="93"/>
      <c r="O18" s="93"/>
      <c r="P18" s="93"/>
      <c r="Q18" s="93"/>
      <c r="R18" s="93"/>
      <c r="S18" s="93"/>
      <c r="T18" s="49"/>
      <c r="U18" s="95"/>
      <c r="V18" s="93"/>
      <c r="W18" s="109"/>
      <c r="X18" s="109"/>
      <c r="Y18" s="132"/>
      <c r="Z18" s="111"/>
      <c r="AA18" s="230"/>
      <c r="AB18" s="230"/>
      <c r="AC18" s="230"/>
      <c r="AD18" s="230"/>
      <c r="AE18" s="230"/>
      <c r="AF18" s="230"/>
      <c r="AG18" s="161"/>
      <c r="AH18" s="162"/>
      <c r="AI18" s="224"/>
      <c r="AJ18" s="224"/>
      <c r="AK18" s="224"/>
      <c r="AL18" s="224"/>
      <c r="AM18" s="224"/>
      <c r="AN18" s="224"/>
      <c r="AO18" s="163"/>
      <c r="AP18" s="164"/>
      <c r="AQ18" s="230"/>
      <c r="AR18" s="230"/>
      <c r="AS18" s="230"/>
      <c r="AT18" s="230"/>
      <c r="AU18" s="230"/>
      <c r="AV18" s="230"/>
      <c r="AW18" s="161"/>
      <c r="AX18" s="162"/>
      <c r="AY18" s="224"/>
      <c r="AZ18" s="224"/>
      <c r="BA18" s="224"/>
      <c r="BB18" s="224"/>
      <c r="BC18" s="224"/>
      <c r="BD18" s="224"/>
      <c r="BE18" s="165"/>
      <c r="BF18" s="164"/>
      <c r="BG18" s="233"/>
      <c r="BH18" s="233"/>
      <c r="BI18" s="233"/>
      <c r="BJ18" s="233"/>
      <c r="BK18" s="233"/>
      <c r="BL18" s="233"/>
      <c r="BM18" s="161"/>
      <c r="BN18" s="162"/>
      <c r="BO18" s="224"/>
      <c r="BP18" s="224"/>
      <c r="BQ18" s="224"/>
      <c r="BR18" s="224"/>
      <c r="BS18" s="224"/>
      <c r="BT18" s="224"/>
      <c r="BU18" s="132"/>
      <c r="BV18" s="49"/>
      <c r="BW18" s="224"/>
      <c r="BX18" s="224"/>
      <c r="BY18" s="224"/>
      <c r="BZ18" s="224"/>
      <c r="CA18" s="224"/>
      <c r="CB18" s="224"/>
      <c r="CC18" s="125"/>
      <c r="CD18" s="224"/>
      <c r="CE18" s="224"/>
      <c r="CF18" s="224"/>
      <c r="CG18" s="224"/>
      <c r="CH18" s="224"/>
      <c r="CI18" s="225"/>
      <c r="CJ18" s="132"/>
      <c r="CK18" s="93"/>
      <c r="CL18" s="93"/>
      <c r="CM18" s="93"/>
      <c r="CN18" s="93"/>
      <c r="CO18" s="93"/>
      <c r="CP18" s="93"/>
      <c r="CQ18" s="93"/>
      <c r="CR18" s="93"/>
      <c r="CS18" s="93"/>
      <c r="CT18" s="93"/>
      <c r="CU18" s="93"/>
      <c r="CV18" s="93"/>
      <c r="CW18" s="93"/>
      <c r="CX18" s="93"/>
      <c r="CY18" s="93"/>
      <c r="CZ18" s="93"/>
      <c r="DA18" s="93"/>
      <c r="DB18" s="93"/>
      <c r="DC18" s="93"/>
      <c r="DD18" s="93"/>
      <c r="DE18" s="93"/>
      <c r="DF18" s="93"/>
      <c r="DG18" s="93"/>
      <c r="DH18" s="93"/>
      <c r="DI18" s="93"/>
      <c r="DJ18" s="93"/>
      <c r="DK18" s="93"/>
      <c r="DL18" s="93"/>
      <c r="DM18" s="93"/>
      <c r="DN18" s="93"/>
      <c r="DO18" s="93"/>
      <c r="DP18" s="93"/>
      <c r="DQ18" s="93"/>
      <c r="DR18" s="93"/>
      <c r="DS18" s="93"/>
      <c r="DT18" s="93"/>
      <c r="DU18" s="93"/>
      <c r="DV18" s="93"/>
      <c r="DW18" s="93"/>
      <c r="DX18" s="93"/>
      <c r="DY18" s="93"/>
      <c r="DZ18" s="49"/>
      <c r="EC18" s="2"/>
    </row>
    <row r="19" spans="1:155" ht="24.95" customHeight="1">
      <c r="A19" s="1">
        <f t="shared" si="13"/>
        <v>11</v>
      </c>
      <c r="B19" s="69"/>
      <c r="C19" s="49"/>
      <c r="D19" s="111"/>
      <c r="E19" s="49"/>
      <c r="F19" s="49"/>
      <c r="G19" s="93"/>
      <c r="H19" s="93"/>
      <c r="I19" s="93"/>
      <c r="J19" s="108"/>
      <c r="K19" s="95"/>
      <c r="L19" s="93"/>
      <c r="M19" s="93"/>
      <c r="N19" s="93"/>
      <c r="O19" s="93"/>
      <c r="P19" s="93"/>
      <c r="Q19" s="93"/>
      <c r="R19" s="93"/>
      <c r="S19" s="93"/>
      <c r="T19" s="49"/>
      <c r="U19" s="95"/>
      <c r="V19" s="93"/>
      <c r="W19" s="93"/>
      <c r="X19" s="109" t="s">
        <v>124</v>
      </c>
      <c r="Y19" s="132"/>
      <c r="Z19" s="111"/>
      <c r="AA19" s="221"/>
      <c r="AB19" s="221"/>
      <c r="AC19" s="221"/>
      <c r="AD19" s="221"/>
      <c r="AE19" s="221"/>
      <c r="AF19" s="221"/>
      <c r="AG19" s="161"/>
      <c r="AH19" s="162"/>
      <c r="AI19" s="221"/>
      <c r="AJ19" s="221"/>
      <c r="AK19" s="221"/>
      <c r="AL19" s="221"/>
      <c r="AM19" s="221"/>
      <c r="AN19" s="221"/>
      <c r="AO19" s="163"/>
      <c r="AP19" s="164"/>
      <c r="AQ19" s="221"/>
      <c r="AR19" s="221"/>
      <c r="AS19" s="221"/>
      <c r="AT19" s="221"/>
      <c r="AU19" s="221"/>
      <c r="AV19" s="221"/>
      <c r="AW19" s="161"/>
      <c r="AX19" s="162"/>
      <c r="AY19" s="221"/>
      <c r="AZ19" s="221"/>
      <c r="BA19" s="221"/>
      <c r="BB19" s="221"/>
      <c r="BC19" s="221"/>
      <c r="BD19" s="221"/>
      <c r="BE19" s="165"/>
      <c r="BF19" s="164"/>
      <c r="BG19" s="231"/>
      <c r="BH19" s="231"/>
      <c r="BI19" s="231"/>
      <c r="BJ19" s="231"/>
      <c r="BK19" s="231"/>
      <c r="BL19" s="231"/>
      <c r="BM19" s="161"/>
      <c r="BN19" s="162"/>
      <c r="BO19" s="221"/>
      <c r="BP19" s="221"/>
      <c r="BQ19" s="221"/>
      <c r="BR19" s="221"/>
      <c r="BS19" s="221"/>
      <c r="BT19" s="221"/>
      <c r="BU19" s="132"/>
      <c r="BV19" s="49"/>
      <c r="BW19" s="221"/>
      <c r="BX19" s="221"/>
      <c r="BY19" s="221"/>
      <c r="BZ19" s="221"/>
      <c r="CA19" s="221"/>
      <c r="CB19" s="221"/>
      <c r="CC19" s="111"/>
      <c r="CD19" s="221"/>
      <c r="CE19" s="221"/>
      <c r="CF19" s="221"/>
      <c r="CG19" s="221"/>
      <c r="CH19" s="221"/>
      <c r="CI19" s="226"/>
      <c r="CJ19" s="98"/>
      <c r="CK19" s="95"/>
      <c r="CL19" s="95"/>
      <c r="CM19" s="95"/>
      <c r="CN19" s="95"/>
      <c r="CO19" s="95"/>
      <c r="CP19" s="95"/>
      <c r="CQ19" s="95"/>
      <c r="CR19" s="95"/>
      <c r="CS19" s="95"/>
      <c r="CT19" s="95"/>
      <c r="CU19" s="95"/>
      <c r="CV19" s="95"/>
      <c r="CW19" s="95"/>
      <c r="CX19" s="95"/>
      <c r="CY19" s="95"/>
      <c r="CZ19" s="95"/>
      <c r="DA19" s="95"/>
      <c r="DB19" s="95"/>
      <c r="DC19" s="95"/>
      <c r="DD19" s="95"/>
      <c r="DE19" s="95"/>
      <c r="DF19" s="95"/>
      <c r="DG19" s="95"/>
      <c r="DH19" s="95"/>
      <c r="DI19" s="95"/>
      <c r="DJ19" s="95"/>
      <c r="DK19" s="95"/>
      <c r="DL19" s="95"/>
      <c r="DM19" s="95"/>
      <c r="DN19" s="95"/>
      <c r="DO19" s="95"/>
      <c r="DP19" s="95"/>
      <c r="DQ19" s="95"/>
      <c r="DR19" s="95"/>
      <c r="DS19" s="95"/>
      <c r="DT19" s="95"/>
      <c r="DU19" s="95"/>
      <c r="DV19" s="95"/>
      <c r="DW19" s="95"/>
      <c r="DX19" s="95"/>
      <c r="DY19" s="95"/>
      <c r="EC19" s="2"/>
    </row>
    <row r="20" spans="1:155" ht="24.95" customHeight="1">
      <c r="A20" s="1">
        <f t="shared" si="13"/>
        <v>12</v>
      </c>
      <c r="B20" s="69"/>
      <c r="C20" s="49"/>
      <c r="D20" s="159"/>
      <c r="E20" s="49"/>
      <c r="F20" s="49"/>
      <c r="G20" s="93"/>
      <c r="H20" s="93"/>
      <c r="I20" s="93"/>
      <c r="J20" s="108"/>
      <c r="K20" s="95"/>
      <c r="L20" s="49"/>
      <c r="M20" s="108"/>
      <c r="N20" s="93"/>
      <c r="O20" s="93"/>
      <c r="P20" s="93"/>
      <c r="Q20" s="93"/>
      <c r="R20" s="93"/>
      <c r="S20" s="93"/>
      <c r="T20" s="93"/>
      <c r="U20" s="95"/>
      <c r="V20" s="49"/>
      <c r="W20" s="93"/>
      <c r="X20" s="109"/>
      <c r="Y20" s="132"/>
      <c r="Z20" s="110"/>
      <c r="AA20" s="229"/>
      <c r="AB20" s="229"/>
      <c r="AC20" s="229"/>
      <c r="AD20" s="229"/>
      <c r="AE20" s="229"/>
      <c r="AF20" s="229"/>
      <c r="AG20" s="166"/>
      <c r="AH20" s="167"/>
      <c r="AI20" s="222"/>
      <c r="AJ20" s="222"/>
      <c r="AK20" s="222"/>
      <c r="AL20" s="222"/>
      <c r="AM20" s="222"/>
      <c r="AN20" s="222"/>
      <c r="AO20" s="168"/>
      <c r="AP20" s="169"/>
      <c r="AQ20" s="229"/>
      <c r="AR20" s="229"/>
      <c r="AS20" s="229"/>
      <c r="AT20" s="229"/>
      <c r="AU20" s="229"/>
      <c r="AV20" s="229"/>
      <c r="AW20" s="166"/>
      <c r="AX20" s="170"/>
      <c r="AY20" s="222"/>
      <c r="AZ20" s="222"/>
      <c r="BA20" s="222"/>
      <c r="BB20" s="222"/>
      <c r="BC20" s="222"/>
      <c r="BD20" s="222"/>
      <c r="BE20" s="168"/>
      <c r="BF20" s="169"/>
      <c r="BG20" s="232"/>
      <c r="BH20" s="232"/>
      <c r="BI20" s="232"/>
      <c r="BJ20" s="232"/>
      <c r="BK20" s="232"/>
      <c r="BL20" s="232"/>
      <c r="BM20" s="166"/>
      <c r="BN20" s="170"/>
      <c r="BO20" s="222"/>
      <c r="BP20" s="222"/>
      <c r="BQ20" s="222"/>
      <c r="BR20" s="222"/>
      <c r="BS20" s="222"/>
      <c r="BT20" s="222"/>
      <c r="BU20" s="145"/>
      <c r="BV20" s="88"/>
      <c r="BW20" s="222"/>
      <c r="BX20" s="222"/>
      <c r="BY20" s="222"/>
      <c r="BZ20" s="222"/>
      <c r="CA20" s="222"/>
      <c r="CB20" s="222"/>
      <c r="CC20" s="110"/>
      <c r="CD20" s="222"/>
      <c r="CE20" s="222"/>
      <c r="CF20" s="222"/>
      <c r="CG20" s="222"/>
      <c r="CH20" s="222"/>
      <c r="CI20" s="227"/>
      <c r="CJ20" s="98"/>
      <c r="CK20" s="95"/>
      <c r="CL20" s="95"/>
      <c r="CM20" s="95"/>
      <c r="CN20" s="95"/>
      <c r="CO20" s="95"/>
      <c r="CP20" s="95"/>
      <c r="CQ20" s="95"/>
      <c r="CR20" s="95"/>
      <c r="CS20" s="95"/>
      <c r="CT20" s="95"/>
      <c r="CU20" s="95"/>
      <c r="CV20" s="95"/>
      <c r="CW20" s="95"/>
      <c r="CX20" s="95"/>
      <c r="CY20" s="95"/>
      <c r="CZ20" s="95"/>
      <c r="DA20" s="95"/>
      <c r="DB20" s="95"/>
      <c r="DC20" s="95"/>
      <c r="DD20" s="95"/>
      <c r="DE20" s="95"/>
      <c r="DF20" s="95"/>
      <c r="DG20" s="95"/>
      <c r="DH20" s="95"/>
      <c r="DI20" s="95"/>
      <c r="DJ20" s="95"/>
      <c r="DK20" s="95"/>
      <c r="DL20" s="95"/>
      <c r="DM20" s="95"/>
      <c r="DN20" s="95"/>
      <c r="DO20" s="95"/>
      <c r="DP20" s="95"/>
      <c r="DQ20" s="95"/>
      <c r="DR20" s="95"/>
      <c r="DS20" s="95"/>
      <c r="DT20" s="95"/>
      <c r="DU20" s="95"/>
      <c r="DV20" s="95"/>
      <c r="DW20" s="95"/>
      <c r="DX20" s="95"/>
      <c r="DY20" s="95"/>
      <c r="EC20" s="2"/>
    </row>
    <row r="21" spans="1:155" ht="24.95" customHeight="1">
      <c r="A21" s="1">
        <f t="shared" si="13"/>
        <v>13</v>
      </c>
      <c r="B21" s="69"/>
      <c r="C21" s="49"/>
      <c r="D21" s="159" t="s">
        <v>434</v>
      </c>
      <c r="E21" s="49"/>
      <c r="F21" s="49"/>
      <c r="G21" s="93"/>
      <c r="H21" s="93"/>
      <c r="I21" s="93"/>
      <c r="J21" s="95"/>
      <c r="K21" s="95"/>
      <c r="L21" s="49"/>
      <c r="M21" s="104" t="s">
        <v>114</v>
      </c>
      <c r="N21" s="93"/>
      <c r="O21" s="93"/>
      <c r="P21" s="93"/>
      <c r="Q21" s="93"/>
      <c r="R21" s="93"/>
      <c r="S21" s="49" t="s">
        <v>139</v>
      </c>
      <c r="T21" s="93"/>
      <c r="U21" s="95"/>
      <c r="V21" s="49"/>
      <c r="W21" s="93"/>
      <c r="X21" s="109"/>
      <c r="Y21" s="132"/>
      <c r="Z21" s="137"/>
      <c r="AA21" s="221"/>
      <c r="AB21" s="221"/>
      <c r="AC21" s="221"/>
      <c r="AD21" s="221"/>
      <c r="AE21" s="221"/>
      <c r="AF21" s="221"/>
      <c r="AG21" s="171"/>
      <c r="AH21" s="172"/>
      <c r="AI21" s="221"/>
      <c r="AJ21" s="221"/>
      <c r="AK21" s="221"/>
      <c r="AL21" s="221"/>
      <c r="AM21" s="221"/>
      <c r="AN21" s="221"/>
      <c r="AO21" s="173"/>
      <c r="AP21" s="174"/>
      <c r="AQ21" s="221"/>
      <c r="AR21" s="221"/>
      <c r="AS21" s="221"/>
      <c r="AT21" s="221"/>
      <c r="AU21" s="221"/>
      <c r="AV21" s="221"/>
      <c r="AW21" s="171"/>
      <c r="AX21" s="175"/>
      <c r="AY21" s="221"/>
      <c r="AZ21" s="221"/>
      <c r="BA21" s="221"/>
      <c r="BB21" s="221"/>
      <c r="BC21" s="221"/>
      <c r="BD21" s="221"/>
      <c r="BE21" s="173"/>
      <c r="BF21" s="174"/>
      <c r="BG21" s="231"/>
      <c r="BH21" s="231"/>
      <c r="BI21" s="231"/>
      <c r="BJ21" s="231"/>
      <c r="BK21" s="231"/>
      <c r="BL21" s="231"/>
      <c r="BM21" s="171"/>
      <c r="BN21" s="175"/>
      <c r="BO21" s="221"/>
      <c r="BP21" s="221"/>
      <c r="BQ21" s="221"/>
      <c r="BR21" s="221"/>
      <c r="BS21" s="221"/>
      <c r="BT21" s="221"/>
      <c r="BU21" s="139"/>
      <c r="BV21" s="133"/>
      <c r="BW21" s="221"/>
      <c r="BX21" s="221"/>
      <c r="BY21" s="221"/>
      <c r="BZ21" s="221"/>
      <c r="CA21" s="221"/>
      <c r="CB21" s="221"/>
      <c r="CC21" s="137"/>
      <c r="CD21" s="221"/>
      <c r="CE21" s="221"/>
      <c r="CF21" s="221"/>
      <c r="CG21" s="221"/>
      <c r="CH21" s="221"/>
      <c r="CI21" s="226"/>
      <c r="CJ21" s="98"/>
      <c r="CK21" s="95"/>
      <c r="CL21" s="95"/>
      <c r="CM21" s="95"/>
      <c r="CN21" s="95"/>
      <c r="CO21" s="95"/>
      <c r="CP21" s="95"/>
      <c r="CQ21" s="95"/>
      <c r="CR21" s="95"/>
      <c r="CS21" s="95"/>
      <c r="CT21" s="95"/>
      <c r="CU21" s="95"/>
      <c r="CV21" s="95"/>
      <c r="CW21" s="95"/>
      <c r="CX21" s="95"/>
      <c r="CY21" s="95"/>
      <c r="CZ21" s="95"/>
      <c r="DA21" s="95"/>
      <c r="DB21" s="95"/>
      <c r="DC21" s="95"/>
      <c r="DD21" s="95"/>
      <c r="DE21" s="95"/>
      <c r="DF21" s="95"/>
      <c r="DG21" s="95"/>
      <c r="DH21" s="95"/>
      <c r="DI21" s="95"/>
      <c r="DJ21" s="95"/>
      <c r="DK21" s="95"/>
      <c r="DL21" s="95"/>
      <c r="DM21" s="95"/>
      <c r="DN21" s="95"/>
      <c r="DO21" s="95"/>
      <c r="DP21" s="95"/>
      <c r="DQ21" s="95"/>
      <c r="DR21" s="95"/>
      <c r="DS21" s="95"/>
      <c r="DT21" s="95"/>
      <c r="DU21" s="95"/>
      <c r="DV21" s="95"/>
      <c r="DW21" s="95"/>
      <c r="DX21" s="95"/>
      <c r="DY21" s="95"/>
      <c r="EC21" s="2"/>
    </row>
    <row r="22" spans="1:155" ht="24.95" customHeight="1">
      <c r="A22" s="1">
        <f t="shared" si="13"/>
        <v>14</v>
      </c>
      <c r="B22" s="69"/>
      <c r="C22" s="49"/>
      <c r="D22" s="116"/>
      <c r="E22" s="65"/>
      <c r="F22" s="49"/>
      <c r="G22" s="93"/>
      <c r="H22" s="93"/>
      <c r="I22" s="93"/>
      <c r="J22" s="95"/>
      <c r="K22" s="95"/>
      <c r="L22" s="49"/>
      <c r="M22" s="93"/>
      <c r="N22" s="93"/>
      <c r="O22" s="93"/>
      <c r="P22" s="93"/>
      <c r="Q22" s="93"/>
      <c r="R22" s="93"/>
      <c r="S22" s="93"/>
      <c r="T22" s="93"/>
      <c r="U22" s="95"/>
      <c r="V22" s="49"/>
      <c r="W22" s="93"/>
      <c r="X22" s="93"/>
      <c r="Y22" s="132"/>
      <c r="Z22" s="111"/>
      <c r="AA22" s="229"/>
      <c r="AB22" s="229"/>
      <c r="AC22" s="229"/>
      <c r="AD22" s="229"/>
      <c r="AE22" s="229"/>
      <c r="AF22" s="229"/>
      <c r="AG22" s="161"/>
      <c r="AH22" s="162"/>
      <c r="AI22" s="219">
        <v>-13</v>
      </c>
      <c r="AJ22" s="219"/>
      <c r="AK22" s="219"/>
      <c r="AL22" s="219"/>
      <c r="AM22" s="219"/>
      <c r="AN22" s="219"/>
      <c r="AO22" s="163"/>
      <c r="AP22" s="164"/>
      <c r="AQ22" s="229"/>
      <c r="AR22" s="229"/>
      <c r="AS22" s="229"/>
      <c r="AT22" s="229"/>
      <c r="AU22" s="229"/>
      <c r="AV22" s="229"/>
      <c r="AW22" s="161"/>
      <c r="AX22" s="176"/>
      <c r="AY22" s="219">
        <v>-578</v>
      </c>
      <c r="AZ22" s="219"/>
      <c r="BA22" s="219"/>
      <c r="BB22" s="219"/>
      <c r="BC22" s="219"/>
      <c r="BD22" s="219"/>
      <c r="BE22" s="163"/>
      <c r="BF22" s="164"/>
      <c r="BG22" s="232"/>
      <c r="BH22" s="232"/>
      <c r="BI22" s="232"/>
      <c r="BJ22" s="232"/>
      <c r="BK22" s="232"/>
      <c r="BL22" s="232"/>
      <c r="BM22" s="161"/>
      <c r="BN22" s="176"/>
      <c r="BO22" s="222"/>
      <c r="BP22" s="222"/>
      <c r="BQ22" s="222"/>
      <c r="BR22" s="222"/>
      <c r="BS22" s="222"/>
      <c r="BT22" s="222"/>
      <c r="BU22" s="98"/>
      <c r="BV22" s="49"/>
      <c r="BW22" s="219"/>
      <c r="BX22" s="219"/>
      <c r="BY22" s="219"/>
      <c r="BZ22" s="219"/>
      <c r="CA22" s="219"/>
      <c r="CB22" s="219"/>
      <c r="CC22" s="111"/>
      <c r="CD22" s="219">
        <v>-565</v>
      </c>
      <c r="CE22" s="219"/>
      <c r="CF22" s="219"/>
      <c r="CG22" s="219"/>
      <c r="CH22" s="219"/>
      <c r="CI22" s="220"/>
      <c r="CJ22" s="98"/>
      <c r="CK22" s="95"/>
      <c r="CL22" s="95"/>
      <c r="CM22" s="95"/>
      <c r="CN22" s="95"/>
      <c r="CO22" s="95"/>
      <c r="CP22" s="95"/>
      <c r="CQ22" s="95"/>
      <c r="CR22" s="95"/>
      <c r="CS22" s="95"/>
      <c r="CT22" s="95"/>
      <c r="CU22" s="95"/>
      <c r="CV22" s="95"/>
      <c r="CW22" s="95"/>
      <c r="CX22" s="95"/>
      <c r="CY22" s="95"/>
      <c r="CZ22" s="95"/>
      <c r="DA22" s="95"/>
      <c r="DB22" s="95"/>
      <c r="DC22" s="95"/>
      <c r="DD22" s="95"/>
      <c r="DE22" s="95"/>
      <c r="DF22" s="95"/>
      <c r="DG22" s="95"/>
      <c r="DH22" s="95"/>
      <c r="DI22" s="95"/>
      <c r="DJ22" s="95"/>
      <c r="DK22" s="95"/>
      <c r="DL22" s="95"/>
      <c r="DM22" s="95"/>
      <c r="DN22" s="95"/>
      <c r="DO22" s="95"/>
      <c r="DP22" s="95"/>
      <c r="DQ22" s="95"/>
      <c r="DR22" s="95"/>
      <c r="DS22" s="95"/>
      <c r="DT22" s="95"/>
      <c r="DU22" s="95"/>
      <c r="DV22" s="95"/>
      <c r="DW22" s="95"/>
      <c r="DX22" s="95"/>
      <c r="DY22" s="95"/>
      <c r="EC22" s="2"/>
    </row>
    <row r="23" spans="1:155" ht="24.95" customHeight="1">
      <c r="A23" s="1">
        <f t="shared" si="13"/>
        <v>15</v>
      </c>
      <c r="B23" s="69"/>
      <c r="C23" s="49"/>
      <c r="D23" s="141"/>
      <c r="E23" s="142"/>
      <c r="F23" s="106"/>
      <c r="G23" s="129"/>
      <c r="H23" s="129"/>
      <c r="I23" s="129"/>
      <c r="J23" s="107"/>
      <c r="K23" s="107"/>
      <c r="L23" s="106"/>
      <c r="M23" s="129"/>
      <c r="N23" s="129"/>
      <c r="O23" s="129"/>
      <c r="P23" s="129"/>
      <c r="Q23" s="129"/>
      <c r="R23" s="129"/>
      <c r="S23" s="129"/>
      <c r="T23" s="129"/>
      <c r="U23" s="107"/>
      <c r="V23" s="106"/>
      <c r="W23" s="129"/>
      <c r="X23" s="129"/>
      <c r="Y23" s="130"/>
      <c r="Z23" s="122"/>
      <c r="AA23" s="223"/>
      <c r="AB23" s="223"/>
      <c r="AC23" s="223"/>
      <c r="AD23" s="223"/>
      <c r="AE23" s="223"/>
      <c r="AF23" s="223"/>
      <c r="AG23" s="177"/>
      <c r="AH23" s="178"/>
      <c r="AI23" s="223"/>
      <c r="AJ23" s="223"/>
      <c r="AK23" s="223"/>
      <c r="AL23" s="223"/>
      <c r="AM23" s="223"/>
      <c r="AN23" s="223"/>
      <c r="AO23" s="179"/>
      <c r="AP23" s="180"/>
      <c r="AQ23" s="223"/>
      <c r="AR23" s="223"/>
      <c r="AS23" s="223"/>
      <c r="AT23" s="223"/>
      <c r="AU23" s="223"/>
      <c r="AV23" s="223"/>
      <c r="AW23" s="177"/>
      <c r="AX23" s="181"/>
      <c r="AY23" s="217">
        <v>-5787</v>
      </c>
      <c r="AZ23" s="217"/>
      <c r="BA23" s="217"/>
      <c r="BB23" s="217"/>
      <c r="BC23" s="217"/>
      <c r="BD23" s="217"/>
      <c r="BE23" s="179"/>
      <c r="BF23" s="180"/>
      <c r="BG23" s="234"/>
      <c r="BH23" s="234"/>
      <c r="BI23" s="234"/>
      <c r="BJ23" s="234"/>
      <c r="BK23" s="234"/>
      <c r="BL23" s="234"/>
      <c r="BM23" s="177"/>
      <c r="BN23" s="181"/>
      <c r="BO23" s="223"/>
      <c r="BP23" s="223"/>
      <c r="BQ23" s="223"/>
      <c r="BR23" s="223"/>
      <c r="BS23" s="223"/>
      <c r="BT23" s="223"/>
      <c r="BU23" s="123"/>
      <c r="BV23" s="106"/>
      <c r="BW23" s="217">
        <v>-127</v>
      </c>
      <c r="BX23" s="217"/>
      <c r="BY23" s="217"/>
      <c r="BZ23" s="217"/>
      <c r="CA23" s="217"/>
      <c r="CB23" s="217"/>
      <c r="CC23" s="122"/>
      <c r="CD23" s="217">
        <v>-5660</v>
      </c>
      <c r="CE23" s="217"/>
      <c r="CF23" s="217"/>
      <c r="CG23" s="217"/>
      <c r="CH23" s="217"/>
      <c r="CI23" s="218"/>
      <c r="CJ23" s="98"/>
      <c r="CK23" s="95"/>
      <c r="CL23" s="95"/>
      <c r="CM23" s="95"/>
      <c r="CN23" s="95"/>
      <c r="CO23" s="95"/>
      <c r="CP23" s="95"/>
      <c r="CQ23" s="95"/>
      <c r="CR23" s="95"/>
      <c r="CS23" s="95"/>
      <c r="CT23" s="95"/>
      <c r="CU23" s="95"/>
      <c r="CV23" s="95"/>
      <c r="CW23" s="95"/>
      <c r="CX23" s="95"/>
      <c r="CY23" s="95"/>
      <c r="CZ23" s="95"/>
      <c r="DA23" s="95"/>
      <c r="DB23" s="95"/>
      <c r="DC23" s="95"/>
      <c r="DD23" s="95"/>
      <c r="DE23" s="95"/>
      <c r="DF23" s="95"/>
      <c r="DG23" s="95"/>
      <c r="DH23" s="95"/>
      <c r="DI23" s="95"/>
      <c r="DJ23" s="95"/>
      <c r="DK23" s="95"/>
      <c r="DL23" s="95"/>
      <c r="DM23" s="95"/>
      <c r="DN23" s="95"/>
      <c r="DO23" s="95"/>
      <c r="DP23" s="95"/>
      <c r="DQ23" s="95"/>
      <c r="DR23" s="95"/>
      <c r="DS23" s="95"/>
      <c r="DT23" s="95"/>
      <c r="DU23" s="95"/>
      <c r="DV23" s="95"/>
      <c r="DW23" s="95"/>
      <c r="DX23" s="95"/>
      <c r="DY23" s="95"/>
      <c r="EC23" s="2"/>
    </row>
    <row r="24" spans="1:155" ht="24.95" customHeight="1">
      <c r="A24" s="1">
        <f t="shared" si="13"/>
        <v>16</v>
      </c>
      <c r="B24" s="69"/>
      <c r="C24" s="49"/>
      <c r="D24" s="111" t="s">
        <v>138</v>
      </c>
      <c r="E24" s="49"/>
      <c r="F24" s="49"/>
      <c r="G24" s="93"/>
      <c r="H24" s="93"/>
      <c r="I24" s="93"/>
      <c r="J24" s="108"/>
      <c r="K24" s="95"/>
      <c r="L24" s="93"/>
      <c r="M24" s="93"/>
      <c r="N24" s="93"/>
      <c r="O24" s="93"/>
      <c r="P24" s="93"/>
      <c r="Q24" s="93"/>
      <c r="R24" s="93"/>
      <c r="S24" s="93"/>
      <c r="T24" s="49"/>
      <c r="U24" s="95"/>
      <c r="V24" s="93"/>
      <c r="W24" s="93"/>
      <c r="X24" s="109"/>
      <c r="Y24" s="132"/>
      <c r="Z24" s="111"/>
      <c r="AA24" s="230"/>
      <c r="AB24" s="230"/>
      <c r="AC24" s="230"/>
      <c r="AD24" s="230"/>
      <c r="AE24" s="230"/>
      <c r="AF24" s="230"/>
      <c r="AG24" s="161"/>
      <c r="AH24" s="162"/>
      <c r="AI24" s="224">
        <v>71350</v>
      </c>
      <c r="AJ24" s="224"/>
      <c r="AK24" s="224"/>
      <c r="AL24" s="224"/>
      <c r="AM24" s="224"/>
      <c r="AN24" s="224"/>
      <c r="AO24" s="163"/>
      <c r="AP24" s="164"/>
      <c r="AQ24" s="230">
        <v>1</v>
      </c>
      <c r="AR24" s="230"/>
      <c r="AS24" s="230"/>
      <c r="AT24" s="230"/>
      <c r="AU24" s="230"/>
      <c r="AV24" s="230"/>
      <c r="AW24" s="161"/>
      <c r="AX24" s="162"/>
      <c r="AY24" s="224">
        <v>70470</v>
      </c>
      <c r="AZ24" s="224"/>
      <c r="BA24" s="224"/>
      <c r="BB24" s="224"/>
      <c r="BC24" s="224"/>
      <c r="BD24" s="224"/>
      <c r="BE24" s="165"/>
      <c r="BF24" s="164"/>
      <c r="BG24" s="233"/>
      <c r="BH24" s="233"/>
      <c r="BI24" s="233"/>
      <c r="BJ24" s="233"/>
      <c r="BK24" s="233"/>
      <c r="BL24" s="233"/>
      <c r="BM24" s="161"/>
      <c r="BN24" s="162"/>
      <c r="BO24" s="224"/>
      <c r="BP24" s="224"/>
      <c r="BQ24" s="224"/>
      <c r="BR24" s="224"/>
      <c r="BS24" s="224"/>
      <c r="BT24" s="224"/>
      <c r="BU24" s="132"/>
      <c r="BV24" s="49"/>
      <c r="BW24" s="224">
        <v>1000</v>
      </c>
      <c r="BX24" s="224"/>
      <c r="BY24" s="224"/>
      <c r="BZ24" s="224"/>
      <c r="CA24" s="224"/>
      <c r="CB24" s="224"/>
      <c r="CC24" s="125"/>
      <c r="CD24" s="224"/>
      <c r="CE24" s="224"/>
      <c r="CF24" s="224"/>
      <c r="CG24" s="224"/>
      <c r="CH24" s="224"/>
      <c r="CI24" s="225"/>
      <c r="CJ24" s="98"/>
      <c r="CK24" s="95"/>
      <c r="CL24" s="95"/>
      <c r="CM24" s="95"/>
      <c r="CN24" s="95"/>
      <c r="CO24" s="95"/>
      <c r="CP24" s="95"/>
      <c r="CQ24" s="95"/>
      <c r="CR24" s="95"/>
      <c r="CS24" s="95"/>
      <c r="CT24" s="95"/>
      <c r="CU24" s="95"/>
      <c r="CV24" s="95"/>
      <c r="CW24" s="95"/>
      <c r="CX24" s="95"/>
      <c r="CY24" s="95"/>
      <c r="CZ24" s="95"/>
      <c r="DA24" s="95"/>
      <c r="DB24" s="95"/>
      <c r="DC24" s="95"/>
      <c r="DD24" s="95"/>
      <c r="DE24" s="95"/>
      <c r="DF24" s="95"/>
      <c r="DG24" s="95"/>
      <c r="DH24" s="95"/>
      <c r="DI24" s="95"/>
      <c r="DJ24" s="95"/>
      <c r="DK24" s="95"/>
      <c r="DL24" s="95"/>
      <c r="DM24" s="95"/>
      <c r="DN24" s="95"/>
      <c r="DO24" s="95"/>
      <c r="DP24" s="95"/>
      <c r="DQ24" s="95"/>
      <c r="DR24" s="95"/>
      <c r="DS24" s="95"/>
      <c r="DT24" s="95"/>
      <c r="DU24" s="95"/>
      <c r="DV24" s="95"/>
      <c r="DW24" s="95"/>
      <c r="DX24" s="95"/>
      <c r="DY24" s="95"/>
      <c r="EC24" s="2"/>
    </row>
    <row r="25" spans="1:155" ht="24.95" customHeight="1">
      <c r="A25" s="1">
        <f t="shared" si="13"/>
        <v>17</v>
      </c>
      <c r="B25" s="69"/>
      <c r="C25" s="49"/>
      <c r="D25" s="111"/>
      <c r="E25" s="49"/>
      <c r="F25" s="49"/>
      <c r="G25" s="93"/>
      <c r="H25" s="93"/>
      <c r="I25" s="93"/>
      <c r="J25" s="108"/>
      <c r="K25" s="95"/>
      <c r="L25" s="93"/>
      <c r="M25" s="93"/>
      <c r="N25" s="93"/>
      <c r="O25" s="93"/>
      <c r="P25" s="93"/>
      <c r="Q25" s="93"/>
      <c r="R25" s="93"/>
      <c r="S25" s="93"/>
      <c r="T25" s="49"/>
      <c r="U25" s="95"/>
      <c r="V25" s="93"/>
      <c r="W25" s="93"/>
      <c r="X25" s="109" t="s">
        <v>124</v>
      </c>
      <c r="Y25" s="132"/>
      <c r="Z25" s="111"/>
      <c r="AA25" s="221">
        <v>1</v>
      </c>
      <c r="AB25" s="221"/>
      <c r="AC25" s="221"/>
      <c r="AD25" s="221"/>
      <c r="AE25" s="221"/>
      <c r="AF25" s="221"/>
      <c r="AG25" s="161"/>
      <c r="AH25" s="162"/>
      <c r="AI25" s="221">
        <v>7135</v>
      </c>
      <c r="AJ25" s="221"/>
      <c r="AK25" s="221"/>
      <c r="AL25" s="221"/>
      <c r="AM25" s="221"/>
      <c r="AN25" s="221"/>
      <c r="AO25" s="163"/>
      <c r="AP25" s="164"/>
      <c r="AQ25" s="221">
        <v>5</v>
      </c>
      <c r="AR25" s="221"/>
      <c r="AS25" s="221"/>
      <c r="AT25" s="221"/>
      <c r="AU25" s="221"/>
      <c r="AV25" s="221"/>
      <c r="AW25" s="161"/>
      <c r="AX25" s="162"/>
      <c r="AY25" s="221">
        <v>7047</v>
      </c>
      <c r="AZ25" s="221"/>
      <c r="BA25" s="221"/>
      <c r="BB25" s="221"/>
      <c r="BC25" s="221"/>
      <c r="BD25" s="221"/>
      <c r="BE25" s="165"/>
      <c r="BF25" s="164"/>
      <c r="BG25" s="231"/>
      <c r="BH25" s="231"/>
      <c r="BI25" s="231"/>
      <c r="BJ25" s="231"/>
      <c r="BK25" s="231"/>
      <c r="BL25" s="231"/>
      <c r="BM25" s="161"/>
      <c r="BN25" s="162"/>
      <c r="BO25" s="221"/>
      <c r="BP25" s="221"/>
      <c r="BQ25" s="221"/>
      <c r="BR25" s="221"/>
      <c r="BS25" s="221"/>
      <c r="BT25" s="221"/>
      <c r="BU25" s="132"/>
      <c r="BV25" s="49"/>
      <c r="BW25" s="221"/>
      <c r="BX25" s="221"/>
      <c r="BY25" s="221"/>
      <c r="BZ25" s="221"/>
      <c r="CA25" s="221"/>
      <c r="CB25" s="221"/>
      <c r="CC25" s="111"/>
      <c r="CD25" s="221"/>
      <c r="CE25" s="221"/>
      <c r="CF25" s="221"/>
      <c r="CG25" s="221"/>
      <c r="CH25" s="221"/>
      <c r="CI25" s="226"/>
      <c r="CJ25" s="98"/>
      <c r="CK25" s="95"/>
      <c r="CL25" s="95"/>
      <c r="CM25" s="95"/>
      <c r="CN25" s="95"/>
      <c r="CO25" s="95"/>
      <c r="CP25" s="95"/>
      <c r="CQ25" s="95"/>
      <c r="CR25" s="95"/>
      <c r="CS25" s="95"/>
      <c r="CT25" s="95"/>
      <c r="CU25" s="95"/>
      <c r="CV25" s="95"/>
      <c r="CW25" s="95"/>
      <c r="CX25" s="95"/>
      <c r="CY25" s="95"/>
      <c r="CZ25" s="95"/>
      <c r="DA25" s="95"/>
      <c r="DB25" s="95"/>
      <c r="DC25" s="95"/>
      <c r="DD25" s="95"/>
      <c r="DE25" s="95"/>
      <c r="DF25" s="95"/>
      <c r="DG25" s="95"/>
      <c r="DH25" s="95"/>
      <c r="DI25" s="95"/>
      <c r="DJ25" s="95"/>
      <c r="DK25" s="95"/>
      <c r="DL25" s="95"/>
      <c r="DM25" s="95"/>
      <c r="DN25" s="95"/>
      <c r="DO25" s="95"/>
      <c r="DP25" s="95"/>
      <c r="DQ25" s="95"/>
      <c r="DR25" s="95"/>
      <c r="DS25" s="95"/>
      <c r="DT25" s="95"/>
      <c r="DU25" s="95"/>
      <c r="DV25" s="95"/>
      <c r="DW25" s="95"/>
      <c r="DX25" s="95"/>
      <c r="DY25" s="95"/>
      <c r="EC25" s="2"/>
    </row>
    <row r="26" spans="1:155" ht="24.95" customHeight="1">
      <c r="A26" s="1">
        <f t="shared" si="13"/>
        <v>18</v>
      </c>
      <c r="B26" s="69"/>
      <c r="C26" s="65"/>
      <c r="D26" s="159"/>
      <c r="E26" s="49"/>
      <c r="F26" s="49"/>
      <c r="G26" s="93"/>
      <c r="H26" s="93"/>
      <c r="I26" s="93"/>
      <c r="J26" s="108"/>
      <c r="K26" s="95"/>
      <c r="L26" s="49"/>
      <c r="M26" s="108"/>
      <c r="N26" s="93"/>
      <c r="O26" s="93"/>
      <c r="P26" s="93"/>
      <c r="Q26" s="93"/>
      <c r="R26" s="93"/>
      <c r="S26" s="93"/>
      <c r="T26" s="93"/>
      <c r="U26" s="95"/>
      <c r="V26" s="49"/>
      <c r="W26" s="93"/>
      <c r="X26" s="109"/>
      <c r="Y26" s="132"/>
      <c r="Z26" s="110"/>
      <c r="AA26" s="229"/>
      <c r="AB26" s="229"/>
      <c r="AC26" s="229"/>
      <c r="AD26" s="229"/>
      <c r="AE26" s="229"/>
      <c r="AF26" s="229"/>
      <c r="AG26" s="166"/>
      <c r="AH26" s="167"/>
      <c r="AI26" s="222">
        <v>14886576</v>
      </c>
      <c r="AJ26" s="222"/>
      <c r="AK26" s="222"/>
      <c r="AL26" s="222"/>
      <c r="AM26" s="222"/>
      <c r="AN26" s="222"/>
      <c r="AO26" s="168"/>
      <c r="AP26" s="169"/>
      <c r="AQ26" s="229">
        <v>2</v>
      </c>
      <c r="AR26" s="229"/>
      <c r="AS26" s="229"/>
      <c r="AT26" s="229"/>
      <c r="AU26" s="229"/>
      <c r="AV26" s="229"/>
      <c r="AW26" s="166"/>
      <c r="AX26" s="170"/>
      <c r="AY26" s="222">
        <v>27205026</v>
      </c>
      <c r="AZ26" s="222"/>
      <c r="BA26" s="222"/>
      <c r="BB26" s="222"/>
      <c r="BC26" s="222"/>
      <c r="BD26" s="222"/>
      <c r="BE26" s="168"/>
      <c r="BF26" s="169"/>
      <c r="BG26" s="232"/>
      <c r="BH26" s="232"/>
      <c r="BI26" s="232"/>
      <c r="BJ26" s="232"/>
      <c r="BK26" s="232"/>
      <c r="BL26" s="232"/>
      <c r="BM26" s="166"/>
      <c r="BN26" s="170"/>
      <c r="BO26" s="222"/>
      <c r="BP26" s="222"/>
      <c r="BQ26" s="222"/>
      <c r="BR26" s="222"/>
      <c r="BS26" s="222"/>
      <c r="BT26" s="222"/>
      <c r="BU26" s="145"/>
      <c r="BV26" s="88"/>
      <c r="BW26" s="222">
        <v>598511</v>
      </c>
      <c r="BX26" s="222"/>
      <c r="BY26" s="222"/>
      <c r="BZ26" s="222"/>
      <c r="CA26" s="222"/>
      <c r="CB26" s="222"/>
      <c r="CC26" s="110"/>
      <c r="CD26" s="222"/>
      <c r="CE26" s="222"/>
      <c r="CF26" s="222"/>
      <c r="CG26" s="222"/>
      <c r="CH26" s="222"/>
      <c r="CI26" s="227"/>
      <c r="CJ26" s="132"/>
      <c r="CK26" s="93"/>
      <c r="CL26" s="93"/>
      <c r="CM26" s="93"/>
      <c r="CN26" s="93"/>
      <c r="CO26" s="93"/>
      <c r="CP26" s="93"/>
      <c r="CQ26" s="93"/>
      <c r="CR26" s="93"/>
      <c r="CS26" s="93"/>
      <c r="CT26" s="93"/>
      <c r="CU26" s="93"/>
      <c r="CV26" s="93"/>
      <c r="CW26" s="93"/>
      <c r="CX26" s="93"/>
      <c r="CY26" s="93"/>
      <c r="CZ26" s="93"/>
      <c r="DA26" s="93"/>
      <c r="DB26" s="93"/>
      <c r="DC26" s="93"/>
      <c r="DD26" s="93"/>
      <c r="DE26" s="93"/>
      <c r="DF26" s="93"/>
      <c r="DG26" s="93"/>
      <c r="DH26" s="93"/>
      <c r="DI26" s="93"/>
      <c r="DJ26" s="93"/>
      <c r="DK26" s="93"/>
      <c r="DL26" s="93"/>
      <c r="DM26" s="93"/>
      <c r="DN26" s="93"/>
      <c r="DO26" s="93"/>
      <c r="DP26" s="93"/>
      <c r="DQ26" s="93"/>
      <c r="DR26" s="93"/>
      <c r="DS26" s="93"/>
      <c r="DT26" s="93"/>
      <c r="DU26" s="93"/>
      <c r="DV26" s="93"/>
      <c r="DW26" s="93"/>
      <c r="DX26" s="93"/>
      <c r="DY26" s="93"/>
      <c r="DZ26" s="93"/>
      <c r="EA26" s="93"/>
      <c r="EC26" s="2"/>
    </row>
    <row r="27" spans="1:155" ht="24.95" customHeight="1">
      <c r="A27" s="1">
        <f t="shared" si="13"/>
        <v>19</v>
      </c>
      <c r="B27" s="69"/>
      <c r="C27" s="65"/>
      <c r="D27" s="159" t="s">
        <v>434</v>
      </c>
      <c r="E27" s="49"/>
      <c r="F27" s="49"/>
      <c r="G27" s="93"/>
      <c r="H27" s="93"/>
      <c r="I27" s="93"/>
      <c r="J27" s="95"/>
      <c r="K27" s="95"/>
      <c r="L27" s="49"/>
      <c r="M27" s="104" t="s">
        <v>107</v>
      </c>
      <c r="N27" s="93"/>
      <c r="O27" s="93"/>
      <c r="P27" s="93"/>
      <c r="Q27" s="93"/>
      <c r="R27" s="93"/>
      <c r="S27" s="49" t="s">
        <v>216</v>
      </c>
      <c r="T27" s="93"/>
      <c r="U27" s="95"/>
      <c r="V27" s="49"/>
      <c r="W27" s="93"/>
      <c r="X27" s="109"/>
      <c r="Y27" s="132"/>
      <c r="Z27" s="137"/>
      <c r="AA27" s="221">
        <v>217</v>
      </c>
      <c r="AB27" s="221"/>
      <c r="AC27" s="221"/>
      <c r="AD27" s="221"/>
      <c r="AE27" s="221"/>
      <c r="AF27" s="221"/>
      <c r="AG27" s="171"/>
      <c r="AH27" s="172"/>
      <c r="AI27" s="221">
        <v>1548510</v>
      </c>
      <c r="AJ27" s="221"/>
      <c r="AK27" s="221"/>
      <c r="AL27" s="221"/>
      <c r="AM27" s="221"/>
      <c r="AN27" s="221"/>
      <c r="AO27" s="173"/>
      <c r="AP27" s="174"/>
      <c r="AQ27" s="221">
        <v>386</v>
      </c>
      <c r="AR27" s="221"/>
      <c r="AS27" s="221"/>
      <c r="AT27" s="221"/>
      <c r="AU27" s="221"/>
      <c r="AV27" s="221"/>
      <c r="AW27" s="171"/>
      <c r="AX27" s="175"/>
      <c r="AY27" s="221">
        <v>2720503</v>
      </c>
      <c r="AZ27" s="221"/>
      <c r="BA27" s="221"/>
      <c r="BB27" s="221"/>
      <c r="BC27" s="221"/>
      <c r="BD27" s="221"/>
      <c r="BE27" s="173"/>
      <c r="BF27" s="174"/>
      <c r="BG27" s="231"/>
      <c r="BH27" s="231"/>
      <c r="BI27" s="231"/>
      <c r="BJ27" s="231"/>
      <c r="BK27" s="231"/>
      <c r="BL27" s="231"/>
      <c r="BM27" s="171"/>
      <c r="BN27" s="175"/>
      <c r="BO27" s="221"/>
      <c r="BP27" s="221"/>
      <c r="BQ27" s="221"/>
      <c r="BR27" s="221"/>
      <c r="BS27" s="221"/>
      <c r="BT27" s="221"/>
      <c r="BU27" s="139"/>
      <c r="BV27" s="133"/>
      <c r="BW27" s="221"/>
      <c r="BX27" s="221"/>
      <c r="BY27" s="221"/>
      <c r="BZ27" s="221"/>
      <c r="CA27" s="221"/>
      <c r="CB27" s="221"/>
      <c r="CC27" s="137"/>
      <c r="CD27" s="221"/>
      <c r="CE27" s="221"/>
      <c r="CF27" s="221"/>
      <c r="CG27" s="221"/>
      <c r="CH27" s="221"/>
      <c r="CI27" s="226"/>
      <c r="CJ27" s="98"/>
      <c r="CK27" s="95"/>
      <c r="CL27" s="95"/>
      <c r="CM27" s="95"/>
      <c r="CN27" s="95"/>
      <c r="CO27" s="95"/>
      <c r="CP27" s="95"/>
      <c r="CQ27" s="95"/>
      <c r="CR27" s="95"/>
      <c r="CS27" s="95"/>
      <c r="CT27" s="95"/>
      <c r="CU27" s="95"/>
      <c r="CV27" s="95"/>
      <c r="CW27" s="95"/>
      <c r="CX27" s="95"/>
      <c r="CY27" s="95"/>
      <c r="CZ27" s="95"/>
      <c r="DA27" s="95"/>
      <c r="DB27" s="95"/>
      <c r="DC27" s="95"/>
      <c r="DD27" s="95"/>
      <c r="DE27" s="95"/>
      <c r="DF27" s="95"/>
      <c r="DG27" s="95"/>
      <c r="DH27" s="95"/>
      <c r="DI27" s="95"/>
      <c r="DJ27" s="95"/>
      <c r="DK27" s="95"/>
      <c r="DL27" s="95"/>
      <c r="DM27" s="95"/>
      <c r="DN27" s="95"/>
      <c r="DO27" s="95"/>
      <c r="DP27" s="95"/>
      <c r="DQ27" s="95"/>
      <c r="DR27" s="95"/>
      <c r="DS27" s="95"/>
      <c r="DT27" s="95"/>
      <c r="DU27" s="95"/>
      <c r="DV27" s="95"/>
      <c r="DW27" s="95"/>
      <c r="DX27" s="95"/>
      <c r="DY27" s="95"/>
      <c r="EC27" s="2"/>
    </row>
    <row r="28" spans="1:155" ht="24.95" customHeight="1">
      <c r="A28" s="1">
        <f t="shared" si="13"/>
        <v>20</v>
      </c>
      <c r="B28" s="69"/>
      <c r="C28" s="65"/>
      <c r="D28" s="116"/>
      <c r="E28" s="65"/>
      <c r="F28" s="49"/>
      <c r="G28" s="93"/>
      <c r="H28" s="93"/>
      <c r="I28" s="93"/>
      <c r="J28" s="95"/>
      <c r="K28" s="95"/>
      <c r="L28" s="49"/>
      <c r="M28" s="93"/>
      <c r="N28" s="93"/>
      <c r="O28" s="93"/>
      <c r="P28" s="93"/>
      <c r="Q28" s="93"/>
      <c r="R28" s="93"/>
      <c r="S28" s="93"/>
      <c r="T28" s="93"/>
      <c r="U28" s="95"/>
      <c r="V28" s="49"/>
      <c r="W28" s="93"/>
      <c r="X28" s="93"/>
      <c r="Y28" s="132"/>
      <c r="Z28" s="111"/>
      <c r="AA28" s="229"/>
      <c r="AB28" s="229"/>
      <c r="AC28" s="229"/>
      <c r="AD28" s="229"/>
      <c r="AE28" s="229"/>
      <c r="AF28" s="229"/>
      <c r="AG28" s="161"/>
      <c r="AH28" s="162"/>
      <c r="AI28" s="222">
        <v>97060176</v>
      </c>
      <c r="AJ28" s="222"/>
      <c r="AK28" s="222"/>
      <c r="AL28" s="222"/>
      <c r="AM28" s="222"/>
      <c r="AN28" s="222"/>
      <c r="AO28" s="163"/>
      <c r="AP28" s="164"/>
      <c r="AQ28" s="229">
        <v>2</v>
      </c>
      <c r="AR28" s="229"/>
      <c r="AS28" s="229"/>
      <c r="AT28" s="229"/>
      <c r="AU28" s="229"/>
      <c r="AV28" s="229"/>
      <c r="AW28" s="161"/>
      <c r="AX28" s="176"/>
      <c r="AY28" s="222">
        <v>27909186</v>
      </c>
      <c r="AZ28" s="222"/>
      <c r="BA28" s="222"/>
      <c r="BB28" s="222"/>
      <c r="BC28" s="222"/>
      <c r="BD28" s="222"/>
      <c r="BE28" s="163"/>
      <c r="BF28" s="164"/>
      <c r="BG28" s="229">
        <v>4</v>
      </c>
      <c r="BH28" s="229"/>
      <c r="BI28" s="229"/>
      <c r="BJ28" s="229"/>
      <c r="BK28" s="229"/>
      <c r="BL28" s="229"/>
      <c r="BM28" s="161"/>
      <c r="BN28" s="176"/>
      <c r="BO28" s="222">
        <v>69912552</v>
      </c>
      <c r="BP28" s="222"/>
      <c r="BQ28" s="222"/>
      <c r="BR28" s="222"/>
      <c r="BS28" s="222"/>
      <c r="BT28" s="222"/>
      <c r="BU28" s="98"/>
      <c r="BV28" s="49"/>
      <c r="BW28" s="222">
        <v>614003</v>
      </c>
      <c r="BX28" s="222"/>
      <c r="BY28" s="222"/>
      <c r="BZ28" s="222"/>
      <c r="CA28" s="222"/>
      <c r="CB28" s="222"/>
      <c r="CC28" s="111"/>
      <c r="CD28" s="219">
        <v>-6976500</v>
      </c>
      <c r="CE28" s="219"/>
      <c r="CF28" s="219"/>
      <c r="CG28" s="219"/>
      <c r="CH28" s="219"/>
      <c r="CI28" s="220"/>
      <c r="CJ28" s="98"/>
      <c r="CK28" s="95"/>
      <c r="CL28" s="95"/>
      <c r="CM28" s="95"/>
      <c r="CN28" s="95"/>
      <c r="CO28" s="95"/>
      <c r="CP28" s="95"/>
      <c r="CQ28" s="95"/>
      <c r="CR28" s="95"/>
      <c r="CS28" s="95"/>
      <c r="CT28" s="95"/>
      <c r="CU28" s="95"/>
      <c r="CV28" s="95"/>
      <c r="CW28" s="95"/>
      <c r="CX28" s="95"/>
      <c r="CY28" s="95"/>
      <c r="CZ28" s="95"/>
      <c r="DA28" s="95"/>
      <c r="DB28" s="95"/>
      <c r="DC28" s="95"/>
      <c r="DD28" s="95"/>
      <c r="DE28" s="95"/>
      <c r="DF28" s="95"/>
      <c r="DG28" s="95"/>
      <c r="DH28" s="95"/>
      <c r="DI28" s="95"/>
      <c r="DJ28" s="95"/>
      <c r="DK28" s="95"/>
      <c r="DL28" s="95"/>
      <c r="DM28" s="95"/>
      <c r="DN28" s="95"/>
      <c r="DO28" s="95"/>
      <c r="DP28" s="95"/>
      <c r="DQ28" s="95"/>
      <c r="DR28" s="95"/>
      <c r="DS28" s="95"/>
      <c r="DT28" s="95"/>
      <c r="DU28" s="95"/>
      <c r="DV28" s="95"/>
      <c r="DW28" s="95"/>
      <c r="DX28" s="95"/>
      <c r="DY28" s="95"/>
      <c r="EC28" s="2"/>
    </row>
    <row r="29" spans="1:155" ht="24.95" customHeight="1">
      <c r="A29" s="1">
        <f t="shared" si="13"/>
        <v>21</v>
      </c>
      <c r="B29" s="69"/>
      <c r="C29" s="65"/>
      <c r="D29" s="141"/>
      <c r="E29" s="142"/>
      <c r="F29" s="106"/>
      <c r="G29" s="129"/>
      <c r="H29" s="129"/>
      <c r="I29" s="129"/>
      <c r="J29" s="107"/>
      <c r="K29" s="107"/>
      <c r="L29" s="106"/>
      <c r="M29" s="129"/>
      <c r="N29" s="129"/>
      <c r="O29" s="129"/>
      <c r="P29" s="129"/>
      <c r="Q29" s="129"/>
      <c r="R29" s="129"/>
      <c r="S29" s="129"/>
      <c r="T29" s="129"/>
      <c r="U29" s="107"/>
      <c r="V29" s="106"/>
      <c r="W29" s="129"/>
      <c r="X29" s="129"/>
      <c r="Y29" s="130"/>
      <c r="Z29" s="122"/>
      <c r="AA29" s="223">
        <v>1417</v>
      </c>
      <c r="AB29" s="223"/>
      <c r="AC29" s="223"/>
      <c r="AD29" s="223"/>
      <c r="AE29" s="223"/>
      <c r="AF29" s="223"/>
      <c r="AG29" s="177"/>
      <c r="AH29" s="178"/>
      <c r="AI29" s="223">
        <v>9767419</v>
      </c>
      <c r="AJ29" s="223"/>
      <c r="AK29" s="223"/>
      <c r="AL29" s="223"/>
      <c r="AM29" s="223"/>
      <c r="AN29" s="223"/>
      <c r="AO29" s="179"/>
      <c r="AP29" s="180"/>
      <c r="AQ29" s="223">
        <v>396</v>
      </c>
      <c r="AR29" s="223"/>
      <c r="AS29" s="223"/>
      <c r="AT29" s="223"/>
      <c r="AU29" s="223"/>
      <c r="AV29" s="223"/>
      <c r="AW29" s="177"/>
      <c r="AX29" s="181"/>
      <c r="AY29" s="223">
        <v>2790919</v>
      </c>
      <c r="AZ29" s="223"/>
      <c r="BA29" s="223"/>
      <c r="BB29" s="223"/>
      <c r="BC29" s="223"/>
      <c r="BD29" s="223"/>
      <c r="BE29" s="179"/>
      <c r="BF29" s="180"/>
      <c r="BG29" s="223">
        <v>1020</v>
      </c>
      <c r="BH29" s="223"/>
      <c r="BI29" s="223"/>
      <c r="BJ29" s="223"/>
      <c r="BK29" s="223"/>
      <c r="BL29" s="223"/>
      <c r="BM29" s="177"/>
      <c r="BN29" s="181"/>
      <c r="BO29" s="228">
        <v>68496.95</v>
      </c>
      <c r="BP29" s="228"/>
      <c r="BQ29" s="228"/>
      <c r="BR29" s="228"/>
      <c r="BS29" s="228"/>
      <c r="BT29" s="228"/>
      <c r="BU29" s="123"/>
      <c r="BV29" s="106"/>
      <c r="BW29" s="228"/>
      <c r="BX29" s="228"/>
      <c r="BY29" s="228"/>
      <c r="BZ29" s="228"/>
      <c r="CA29" s="228"/>
      <c r="CB29" s="228"/>
      <c r="CC29" s="122"/>
      <c r="CD29" s="217">
        <v>147559</v>
      </c>
      <c r="CE29" s="217"/>
      <c r="CF29" s="217"/>
      <c r="CG29" s="217"/>
      <c r="CH29" s="217"/>
      <c r="CI29" s="218"/>
      <c r="CJ29" s="98"/>
      <c r="CK29" s="95"/>
      <c r="CL29" s="95"/>
      <c r="CM29" s="95"/>
      <c r="CN29" s="95"/>
      <c r="CO29" s="95"/>
      <c r="CP29" s="95"/>
      <c r="CQ29" s="95"/>
      <c r="CR29" s="95"/>
      <c r="CS29" s="95"/>
      <c r="CT29" s="95"/>
      <c r="CU29" s="95"/>
      <c r="CV29" s="95"/>
      <c r="CW29" s="95"/>
      <c r="CX29" s="95"/>
      <c r="CY29" s="95"/>
      <c r="CZ29" s="95"/>
      <c r="DA29" s="95"/>
      <c r="DB29" s="95"/>
      <c r="DC29" s="95"/>
      <c r="DD29" s="95"/>
      <c r="DE29" s="95"/>
      <c r="DF29" s="95"/>
      <c r="DG29" s="95"/>
      <c r="DH29" s="95"/>
      <c r="DI29" s="95"/>
      <c r="DJ29" s="95"/>
      <c r="DK29" s="95"/>
      <c r="DL29" s="95"/>
      <c r="DM29" s="95"/>
      <c r="DN29" s="95"/>
      <c r="DO29" s="95"/>
      <c r="DP29" s="95"/>
      <c r="DQ29" s="95"/>
      <c r="DR29" s="95"/>
      <c r="DS29" s="95"/>
      <c r="DT29" s="95"/>
      <c r="DU29" s="95"/>
      <c r="DV29" s="95"/>
      <c r="DW29" s="95"/>
      <c r="DX29" s="95"/>
      <c r="DY29" s="95"/>
      <c r="EC29" s="2"/>
    </row>
    <row r="30" spans="1:155" ht="24.95" customHeight="1">
      <c r="A30" s="1">
        <f t="shared" si="13"/>
        <v>22</v>
      </c>
      <c r="B30" s="69"/>
      <c r="C30" s="65"/>
      <c r="D30" s="111" t="s">
        <v>406</v>
      </c>
      <c r="E30" s="49"/>
      <c r="F30" s="49"/>
      <c r="G30" s="93"/>
      <c r="H30" s="93"/>
      <c r="I30" s="93"/>
      <c r="J30" s="108"/>
      <c r="K30" s="95"/>
      <c r="L30" s="93"/>
      <c r="M30" s="93"/>
      <c r="N30" s="93"/>
      <c r="O30" s="93"/>
      <c r="P30" s="93"/>
      <c r="Q30" s="93"/>
      <c r="R30" s="93"/>
      <c r="S30" s="93"/>
      <c r="T30" s="49"/>
      <c r="U30" s="95"/>
      <c r="V30" s="93"/>
      <c r="W30" s="93"/>
      <c r="X30" s="109"/>
      <c r="Y30" s="132"/>
      <c r="Z30" s="111"/>
      <c r="AA30" s="230">
        <v>2</v>
      </c>
      <c r="AB30" s="230"/>
      <c r="AC30" s="230"/>
      <c r="AD30" s="230"/>
      <c r="AE30" s="230"/>
      <c r="AF30" s="230"/>
      <c r="AG30" s="161"/>
      <c r="AH30" s="162"/>
      <c r="AI30" s="224">
        <v>800000</v>
      </c>
      <c r="AJ30" s="224"/>
      <c r="AK30" s="224"/>
      <c r="AL30" s="224"/>
      <c r="AM30" s="224"/>
      <c r="AN30" s="224"/>
      <c r="AO30" s="163"/>
      <c r="AP30" s="164"/>
      <c r="AQ30" s="230">
        <v>2</v>
      </c>
      <c r="AR30" s="230"/>
      <c r="AS30" s="230"/>
      <c r="AT30" s="230"/>
      <c r="AU30" s="230"/>
      <c r="AV30" s="230"/>
      <c r="AW30" s="161"/>
      <c r="AX30" s="162"/>
      <c r="AY30" s="224">
        <v>800000</v>
      </c>
      <c r="AZ30" s="224"/>
      <c r="BA30" s="224"/>
      <c r="BB30" s="224"/>
      <c r="BC30" s="224"/>
      <c r="BD30" s="224"/>
      <c r="BE30" s="165"/>
      <c r="BF30" s="164"/>
      <c r="BG30" s="230"/>
      <c r="BH30" s="230"/>
      <c r="BI30" s="230"/>
      <c r="BJ30" s="230"/>
      <c r="BK30" s="230"/>
      <c r="BL30" s="230"/>
      <c r="BM30" s="161"/>
      <c r="BN30" s="162"/>
      <c r="BO30" s="224"/>
      <c r="BP30" s="224"/>
      <c r="BQ30" s="224"/>
      <c r="BR30" s="224"/>
      <c r="BS30" s="224"/>
      <c r="BT30" s="224"/>
      <c r="BU30" s="132"/>
      <c r="BV30" s="49"/>
      <c r="BW30" s="224">
        <v>1000</v>
      </c>
      <c r="BX30" s="224"/>
      <c r="BY30" s="224"/>
      <c r="BZ30" s="224"/>
      <c r="CA30" s="224"/>
      <c r="CB30" s="224"/>
      <c r="CC30" s="125"/>
      <c r="CD30" s="224"/>
      <c r="CE30" s="224"/>
      <c r="CF30" s="224"/>
      <c r="CG30" s="224"/>
      <c r="CH30" s="224"/>
      <c r="CI30" s="225"/>
      <c r="CJ30" s="98"/>
      <c r="CK30" s="95"/>
      <c r="CL30" s="95"/>
      <c r="CM30" s="95"/>
      <c r="CN30" s="95"/>
      <c r="CO30" s="95"/>
      <c r="CP30" s="95"/>
      <c r="CQ30" s="95"/>
      <c r="CR30" s="95"/>
      <c r="CS30" s="95"/>
      <c r="CT30" s="95"/>
      <c r="CU30" s="95"/>
      <c r="CV30" s="95"/>
      <c r="CW30" s="95"/>
      <c r="CX30" s="95"/>
      <c r="CY30" s="95"/>
      <c r="CZ30" s="95"/>
      <c r="DA30" s="95"/>
      <c r="DB30" s="95"/>
      <c r="DC30" s="95"/>
      <c r="DD30" s="95"/>
      <c r="DE30" s="95"/>
      <c r="DF30" s="95"/>
      <c r="DG30" s="95"/>
      <c r="DH30" s="95"/>
      <c r="DI30" s="95"/>
      <c r="DJ30" s="95"/>
      <c r="DK30" s="95"/>
      <c r="DL30" s="95"/>
      <c r="DM30" s="95"/>
      <c r="DN30" s="95"/>
      <c r="DO30" s="95"/>
      <c r="DP30" s="95"/>
      <c r="DQ30" s="95"/>
      <c r="DR30" s="95"/>
      <c r="DS30" s="95"/>
      <c r="DT30" s="95"/>
      <c r="DU30" s="95"/>
      <c r="DV30" s="95"/>
      <c r="DW30" s="95"/>
      <c r="DX30" s="95"/>
      <c r="DY30" s="95"/>
      <c r="EB30" s="66"/>
      <c r="EC30" s="77"/>
    </row>
    <row r="31" spans="1:155" ht="24.95" customHeight="1">
      <c r="A31" s="1">
        <f t="shared" ref="A31:A85" si="14">A30+1</f>
        <v>23</v>
      </c>
      <c r="B31" s="69"/>
      <c r="C31" s="65"/>
      <c r="D31" s="111"/>
      <c r="E31" s="49"/>
      <c r="F31" s="49"/>
      <c r="G31" s="93"/>
      <c r="H31" s="93"/>
      <c r="I31" s="93"/>
      <c r="J31" s="108"/>
      <c r="K31" s="95"/>
      <c r="L31" s="93"/>
      <c r="M31" s="93"/>
      <c r="N31" s="93"/>
      <c r="O31" s="93"/>
      <c r="P31" s="93"/>
      <c r="Q31" s="93"/>
      <c r="R31" s="93"/>
      <c r="S31" s="93"/>
      <c r="T31" s="49"/>
      <c r="U31" s="95"/>
      <c r="V31" s="93"/>
      <c r="W31" s="93"/>
      <c r="X31" s="109" t="s">
        <v>124</v>
      </c>
      <c r="Y31" s="132"/>
      <c r="Z31" s="111"/>
      <c r="AA31" s="221">
        <v>100</v>
      </c>
      <c r="AB31" s="221"/>
      <c r="AC31" s="221"/>
      <c r="AD31" s="221"/>
      <c r="AE31" s="221"/>
      <c r="AF31" s="221"/>
      <c r="AG31" s="161"/>
      <c r="AH31" s="162"/>
      <c r="AI31" s="221">
        <f>AI30*0.1</f>
        <v>80000</v>
      </c>
      <c r="AJ31" s="221"/>
      <c r="AK31" s="221"/>
      <c r="AL31" s="221"/>
      <c r="AM31" s="221"/>
      <c r="AN31" s="221"/>
      <c r="AO31" s="163"/>
      <c r="AP31" s="164"/>
      <c r="AQ31" s="221">
        <v>100</v>
      </c>
      <c r="AR31" s="221"/>
      <c r="AS31" s="221"/>
      <c r="AT31" s="221"/>
      <c r="AU31" s="221"/>
      <c r="AV31" s="221"/>
      <c r="AW31" s="161"/>
      <c r="AX31" s="162"/>
      <c r="AY31" s="221">
        <f>AY30*0.1</f>
        <v>80000</v>
      </c>
      <c r="AZ31" s="221"/>
      <c r="BA31" s="221"/>
      <c r="BB31" s="221"/>
      <c r="BC31" s="221"/>
      <c r="BD31" s="221"/>
      <c r="BE31" s="165"/>
      <c r="BF31" s="164"/>
      <c r="BG31" s="221"/>
      <c r="BH31" s="221"/>
      <c r="BI31" s="221"/>
      <c r="BJ31" s="221"/>
      <c r="BK31" s="221"/>
      <c r="BL31" s="221"/>
      <c r="BM31" s="161"/>
      <c r="BN31" s="162"/>
      <c r="BO31" s="221"/>
      <c r="BP31" s="221"/>
      <c r="BQ31" s="221"/>
      <c r="BR31" s="221"/>
      <c r="BS31" s="221"/>
      <c r="BT31" s="221"/>
      <c r="BU31" s="132"/>
      <c r="BV31" s="49"/>
      <c r="BW31" s="221"/>
      <c r="BX31" s="221"/>
      <c r="BY31" s="221"/>
      <c r="BZ31" s="221"/>
      <c r="CA31" s="221"/>
      <c r="CB31" s="221"/>
      <c r="CC31" s="111"/>
      <c r="CD31" s="221"/>
      <c r="CE31" s="221"/>
      <c r="CF31" s="221"/>
      <c r="CG31" s="221"/>
      <c r="CH31" s="221"/>
      <c r="CI31" s="226"/>
      <c r="CJ31" s="132"/>
      <c r="CK31" s="93"/>
      <c r="CL31" s="93"/>
      <c r="CM31" s="93"/>
      <c r="CN31" s="93"/>
      <c r="CO31" s="93"/>
      <c r="CP31" s="93"/>
      <c r="CQ31" s="93"/>
      <c r="CR31" s="93"/>
      <c r="CS31" s="93"/>
      <c r="CT31" s="93"/>
      <c r="CU31" s="93"/>
      <c r="CV31" s="93"/>
      <c r="CW31" s="93"/>
      <c r="CX31" s="93"/>
      <c r="CY31" s="93"/>
      <c r="CZ31" s="93"/>
      <c r="DA31" s="93"/>
      <c r="DB31" s="93"/>
      <c r="DC31" s="93"/>
      <c r="DD31" s="93"/>
      <c r="DE31" s="93"/>
      <c r="DF31" s="93"/>
      <c r="DG31" s="93"/>
      <c r="DH31" s="93"/>
      <c r="DI31" s="93"/>
      <c r="DJ31" s="93"/>
      <c r="DK31" s="93"/>
      <c r="DL31" s="93"/>
      <c r="DM31" s="93"/>
      <c r="DN31" s="93"/>
      <c r="DO31" s="93"/>
      <c r="DP31" s="93"/>
      <c r="DQ31" s="93"/>
      <c r="DR31" s="93"/>
      <c r="DS31" s="93"/>
      <c r="DT31" s="93"/>
      <c r="DU31" s="93"/>
      <c r="DV31" s="93"/>
      <c r="DW31" s="93"/>
      <c r="DX31" s="93"/>
      <c r="DY31" s="93"/>
      <c r="DZ31" s="93"/>
      <c r="EA31" s="93"/>
      <c r="EC31" s="2"/>
      <c r="EE31" s="65"/>
      <c r="EF31" s="65"/>
      <c r="EG31" s="65"/>
      <c r="EH31" s="65"/>
      <c r="EI31" s="65"/>
      <c r="EJ31" s="65"/>
      <c r="EK31" s="65"/>
      <c r="EL31" s="65"/>
      <c r="EM31" s="65"/>
      <c r="EN31" s="65"/>
      <c r="EO31" s="65"/>
      <c r="EP31" s="65"/>
      <c r="EQ31" s="65"/>
      <c r="ER31" s="65"/>
      <c r="ES31" s="65"/>
      <c r="ET31" s="65"/>
      <c r="EU31" s="65"/>
      <c r="EV31" s="65"/>
      <c r="EW31" s="65"/>
      <c r="EX31" s="66"/>
      <c r="EY31" s="66"/>
    </row>
    <row r="32" spans="1:155" ht="24.95" customHeight="1">
      <c r="A32" s="1">
        <f t="shared" si="14"/>
        <v>24</v>
      </c>
      <c r="B32" s="69"/>
      <c r="C32" s="65"/>
      <c r="D32" s="159"/>
      <c r="E32" s="49"/>
      <c r="F32" s="49"/>
      <c r="G32" s="93"/>
      <c r="H32" s="93"/>
      <c r="I32" s="93"/>
      <c r="J32" s="108"/>
      <c r="K32" s="95"/>
      <c r="L32" s="49"/>
      <c r="M32" s="108"/>
      <c r="N32" s="93"/>
      <c r="O32" s="93"/>
      <c r="P32" s="93"/>
      <c r="Q32" s="93"/>
      <c r="R32" s="93"/>
      <c r="S32" s="93"/>
      <c r="T32" s="93"/>
      <c r="U32" s="95"/>
      <c r="V32" s="49"/>
      <c r="W32" s="93"/>
      <c r="X32" s="109"/>
      <c r="Y32" s="132"/>
      <c r="Z32" s="110"/>
      <c r="AA32" s="229">
        <v>1</v>
      </c>
      <c r="AB32" s="229"/>
      <c r="AC32" s="229"/>
      <c r="AD32" s="229"/>
      <c r="AE32" s="229"/>
      <c r="AF32" s="229"/>
      <c r="AG32" s="166"/>
      <c r="AH32" s="167"/>
      <c r="AI32" s="222">
        <v>28166644</v>
      </c>
      <c r="AJ32" s="222"/>
      <c r="AK32" s="222"/>
      <c r="AL32" s="222"/>
      <c r="AM32" s="222"/>
      <c r="AN32" s="222"/>
      <c r="AO32" s="168"/>
      <c r="AP32" s="169"/>
      <c r="AQ32" s="229">
        <v>1</v>
      </c>
      <c r="AR32" s="229"/>
      <c r="AS32" s="229"/>
      <c r="AT32" s="229"/>
      <c r="AU32" s="229"/>
      <c r="AV32" s="229"/>
      <c r="AW32" s="166"/>
      <c r="AX32" s="167"/>
      <c r="AY32" s="222">
        <v>28166644</v>
      </c>
      <c r="AZ32" s="222"/>
      <c r="BA32" s="222"/>
      <c r="BB32" s="222"/>
      <c r="BC32" s="222"/>
      <c r="BD32" s="222"/>
      <c r="BE32" s="168"/>
      <c r="BF32" s="169"/>
      <c r="BG32" s="229"/>
      <c r="BH32" s="229"/>
      <c r="BI32" s="229"/>
      <c r="BJ32" s="229"/>
      <c r="BK32" s="229"/>
      <c r="BL32" s="229"/>
      <c r="BM32" s="166"/>
      <c r="BN32" s="170"/>
      <c r="BO32" s="222"/>
      <c r="BP32" s="222"/>
      <c r="BQ32" s="222"/>
      <c r="BR32" s="222"/>
      <c r="BS32" s="222"/>
      <c r="BT32" s="222"/>
      <c r="BU32" s="145"/>
      <c r="BV32" s="88"/>
      <c r="BW32" s="222">
        <v>598511</v>
      </c>
      <c r="BX32" s="222"/>
      <c r="BY32" s="222"/>
      <c r="BZ32" s="222"/>
      <c r="CA32" s="222"/>
      <c r="CB32" s="222"/>
      <c r="CC32" s="110"/>
      <c r="CD32" s="222"/>
      <c r="CE32" s="222"/>
      <c r="CF32" s="222"/>
      <c r="CG32" s="222"/>
      <c r="CH32" s="222"/>
      <c r="CI32" s="227"/>
      <c r="CJ32" s="98"/>
      <c r="CK32" s="95"/>
      <c r="CL32" s="95"/>
      <c r="CM32" s="95"/>
      <c r="CN32" s="95"/>
      <c r="CO32" s="95"/>
      <c r="CP32" s="95"/>
      <c r="CQ32" s="95"/>
      <c r="CR32" s="95"/>
      <c r="CS32" s="95"/>
      <c r="CT32" s="95"/>
      <c r="CU32" s="95"/>
      <c r="CV32" s="95"/>
      <c r="CW32" s="95"/>
      <c r="CX32" s="95"/>
      <c r="CY32" s="95"/>
      <c r="CZ32" s="95"/>
      <c r="DA32" s="95"/>
      <c r="DB32" s="95"/>
      <c r="DC32" s="95"/>
      <c r="DD32" s="95"/>
      <c r="DE32" s="95"/>
      <c r="DF32" s="95"/>
      <c r="DG32" s="95"/>
      <c r="DH32" s="95"/>
      <c r="DI32" s="95"/>
      <c r="DJ32" s="95"/>
      <c r="DK32" s="95"/>
      <c r="DL32" s="95"/>
      <c r="DM32" s="95"/>
      <c r="DN32" s="95"/>
      <c r="DO32" s="95"/>
      <c r="DP32" s="95"/>
      <c r="DQ32" s="95"/>
      <c r="DR32" s="95"/>
      <c r="DS32" s="95"/>
      <c r="DT32" s="95"/>
      <c r="DU32" s="95"/>
      <c r="DV32" s="95"/>
      <c r="DW32" s="95"/>
      <c r="DX32" s="95"/>
      <c r="DY32" s="95"/>
      <c r="EC32" s="2"/>
      <c r="EE32" s="65"/>
      <c r="EF32" s="65"/>
      <c r="EG32" s="65"/>
      <c r="EH32" s="65"/>
      <c r="EI32" s="65"/>
      <c r="EJ32" s="65"/>
      <c r="EK32" s="65"/>
      <c r="EL32" s="65"/>
      <c r="EM32" s="65"/>
      <c r="EN32" s="65"/>
      <c r="EO32" s="65"/>
      <c r="EP32" s="65"/>
      <c r="EQ32" s="65"/>
      <c r="ER32" s="65"/>
      <c r="ES32" s="65"/>
      <c r="ET32" s="65"/>
      <c r="EU32" s="65"/>
      <c r="EV32" s="65"/>
      <c r="EW32" s="65"/>
      <c r="EX32" s="66"/>
      <c r="EY32" s="66"/>
    </row>
    <row r="33" spans="1:155" ht="24.95" customHeight="1">
      <c r="A33" s="1">
        <f t="shared" si="14"/>
        <v>25</v>
      </c>
      <c r="B33" s="69"/>
      <c r="C33" s="49"/>
      <c r="D33" s="159" t="s">
        <v>435</v>
      </c>
      <c r="E33" s="49"/>
      <c r="F33" s="49"/>
      <c r="G33" s="93"/>
      <c r="H33" s="93"/>
      <c r="I33" s="93"/>
      <c r="J33" s="95"/>
      <c r="K33" s="95"/>
      <c r="L33" s="49"/>
      <c r="M33" s="104" t="s">
        <v>114</v>
      </c>
      <c r="N33" s="93"/>
      <c r="O33" s="93"/>
      <c r="P33" s="93"/>
      <c r="Q33" s="93"/>
      <c r="R33" s="93"/>
      <c r="S33" s="49" t="s">
        <v>139</v>
      </c>
      <c r="T33" s="93"/>
      <c r="U33" s="95"/>
      <c r="V33" s="49"/>
      <c r="W33" s="93"/>
      <c r="X33" s="109"/>
      <c r="Y33" s="132"/>
      <c r="Z33" s="137"/>
      <c r="AA33" s="221">
        <v>360</v>
      </c>
      <c r="AB33" s="221"/>
      <c r="AC33" s="221"/>
      <c r="AD33" s="221"/>
      <c r="AE33" s="221"/>
      <c r="AF33" s="221"/>
      <c r="AG33" s="171"/>
      <c r="AH33" s="172"/>
      <c r="AI33" s="221">
        <v>2880320</v>
      </c>
      <c r="AJ33" s="221"/>
      <c r="AK33" s="221"/>
      <c r="AL33" s="221"/>
      <c r="AM33" s="221"/>
      <c r="AN33" s="221"/>
      <c r="AO33" s="173"/>
      <c r="AP33" s="174"/>
      <c r="AQ33" s="221">
        <v>360</v>
      </c>
      <c r="AR33" s="221"/>
      <c r="AS33" s="221"/>
      <c r="AT33" s="221"/>
      <c r="AU33" s="221"/>
      <c r="AV33" s="221"/>
      <c r="AW33" s="171"/>
      <c r="AX33" s="172"/>
      <c r="AY33" s="221">
        <v>2880320</v>
      </c>
      <c r="AZ33" s="221"/>
      <c r="BA33" s="221"/>
      <c r="BB33" s="221"/>
      <c r="BC33" s="221"/>
      <c r="BD33" s="221"/>
      <c r="BE33" s="173"/>
      <c r="BF33" s="174"/>
      <c r="BG33" s="221"/>
      <c r="BH33" s="221"/>
      <c r="BI33" s="221"/>
      <c r="BJ33" s="221"/>
      <c r="BK33" s="221"/>
      <c r="BL33" s="221"/>
      <c r="BM33" s="171"/>
      <c r="BN33" s="175"/>
      <c r="BO33" s="221"/>
      <c r="BP33" s="221"/>
      <c r="BQ33" s="221"/>
      <c r="BR33" s="221"/>
      <c r="BS33" s="221"/>
      <c r="BT33" s="221"/>
      <c r="BU33" s="139"/>
      <c r="BV33" s="133"/>
      <c r="BW33" s="221"/>
      <c r="BX33" s="221"/>
      <c r="BY33" s="221"/>
      <c r="BZ33" s="221"/>
      <c r="CA33" s="221"/>
      <c r="CB33" s="221"/>
      <c r="CC33" s="137"/>
      <c r="CD33" s="221"/>
      <c r="CE33" s="221"/>
      <c r="CF33" s="221"/>
      <c r="CG33" s="221"/>
      <c r="CH33" s="221"/>
      <c r="CI33" s="226"/>
      <c r="CJ33" s="98"/>
      <c r="CK33" s="95"/>
      <c r="CL33" s="95"/>
      <c r="CM33" s="95"/>
      <c r="CN33" s="95"/>
      <c r="CO33" s="95"/>
      <c r="CP33" s="95"/>
      <c r="CQ33" s="95"/>
      <c r="CR33" s="95"/>
      <c r="CS33" s="95"/>
      <c r="CT33" s="95"/>
      <c r="CU33" s="95"/>
      <c r="CV33" s="95"/>
      <c r="CW33" s="95"/>
      <c r="CX33" s="95"/>
      <c r="CY33" s="95"/>
      <c r="CZ33" s="95"/>
      <c r="DA33" s="95"/>
      <c r="DB33" s="95"/>
      <c r="DC33" s="95"/>
      <c r="DD33" s="95"/>
      <c r="DE33" s="95"/>
      <c r="DF33" s="95"/>
      <c r="DG33" s="95"/>
      <c r="DH33" s="95"/>
      <c r="DI33" s="95"/>
      <c r="DJ33" s="95"/>
      <c r="DK33" s="95"/>
      <c r="DL33" s="95"/>
      <c r="DM33" s="95"/>
      <c r="DN33" s="95"/>
      <c r="DO33" s="95"/>
      <c r="DP33" s="95"/>
      <c r="DQ33" s="95"/>
      <c r="DR33" s="95"/>
      <c r="DS33" s="95"/>
      <c r="DT33" s="95"/>
      <c r="DU33" s="95"/>
      <c r="DV33" s="95"/>
      <c r="DW33" s="95"/>
      <c r="DX33" s="95"/>
      <c r="DY33" s="95"/>
      <c r="EC33" s="2"/>
    </row>
    <row r="34" spans="1:155" ht="24.95" customHeight="1">
      <c r="A34" s="1">
        <f t="shared" si="14"/>
        <v>26</v>
      </c>
      <c r="B34" s="69"/>
      <c r="C34" s="49"/>
      <c r="D34" s="116"/>
      <c r="E34" s="65"/>
      <c r="F34" s="49"/>
      <c r="G34" s="93"/>
      <c r="H34" s="93"/>
      <c r="I34" s="93"/>
      <c r="J34" s="95"/>
      <c r="K34" s="95"/>
      <c r="L34" s="49"/>
      <c r="M34" s="93"/>
      <c r="N34" s="93"/>
      <c r="O34" s="93"/>
      <c r="P34" s="93"/>
      <c r="Q34" s="93"/>
      <c r="R34" s="93"/>
      <c r="S34" s="93"/>
      <c r="T34" s="93"/>
      <c r="U34" s="95"/>
      <c r="V34" s="49"/>
      <c r="W34" s="93"/>
      <c r="X34" s="93"/>
      <c r="Y34" s="132"/>
      <c r="Z34" s="111"/>
      <c r="AA34" s="229">
        <v>1</v>
      </c>
      <c r="AB34" s="229"/>
      <c r="AC34" s="229"/>
      <c r="AD34" s="229"/>
      <c r="AE34" s="229"/>
      <c r="AF34" s="229"/>
      <c r="AG34" s="161"/>
      <c r="AH34" s="162"/>
      <c r="AI34" s="222">
        <v>33168645</v>
      </c>
      <c r="AJ34" s="222"/>
      <c r="AK34" s="222"/>
      <c r="AL34" s="222"/>
      <c r="AM34" s="222"/>
      <c r="AN34" s="222"/>
      <c r="AO34" s="163"/>
      <c r="AP34" s="164"/>
      <c r="AQ34" s="229">
        <v>1</v>
      </c>
      <c r="AR34" s="229"/>
      <c r="AS34" s="229"/>
      <c r="AT34" s="229"/>
      <c r="AU34" s="229"/>
      <c r="AV34" s="229"/>
      <c r="AW34" s="161"/>
      <c r="AX34" s="162"/>
      <c r="AY34" s="222">
        <v>33168645</v>
      </c>
      <c r="AZ34" s="222"/>
      <c r="BA34" s="222"/>
      <c r="BB34" s="222"/>
      <c r="BC34" s="222"/>
      <c r="BD34" s="222"/>
      <c r="BE34" s="163"/>
      <c r="BF34" s="164"/>
      <c r="BG34" s="229"/>
      <c r="BH34" s="229"/>
      <c r="BI34" s="229"/>
      <c r="BJ34" s="229"/>
      <c r="BK34" s="229"/>
      <c r="BL34" s="229"/>
      <c r="BM34" s="161"/>
      <c r="BN34" s="176"/>
      <c r="BO34" s="222"/>
      <c r="BP34" s="222"/>
      <c r="BQ34" s="222"/>
      <c r="BR34" s="222"/>
      <c r="BS34" s="222"/>
      <c r="BT34" s="222"/>
      <c r="BU34" s="98"/>
      <c r="BV34" s="49"/>
      <c r="BW34" s="222">
        <v>614003</v>
      </c>
      <c r="BX34" s="222"/>
      <c r="BY34" s="222"/>
      <c r="BZ34" s="222"/>
      <c r="CA34" s="222"/>
      <c r="CB34" s="222"/>
      <c r="CC34" s="111"/>
      <c r="CD34" s="219">
        <v>-6976500</v>
      </c>
      <c r="CE34" s="219"/>
      <c r="CF34" s="219"/>
      <c r="CG34" s="219"/>
      <c r="CH34" s="219"/>
      <c r="CI34" s="220"/>
      <c r="CJ34" s="98"/>
      <c r="CK34" s="95"/>
      <c r="CL34" s="95"/>
      <c r="CM34" s="95"/>
      <c r="CN34" s="95"/>
      <c r="CO34" s="95"/>
      <c r="CP34" s="95"/>
      <c r="CQ34" s="95"/>
      <c r="CR34" s="95"/>
      <c r="CS34" s="95"/>
      <c r="CT34" s="95"/>
      <c r="CU34" s="95"/>
      <c r="CV34" s="95"/>
      <c r="CW34" s="95"/>
      <c r="CX34" s="95"/>
      <c r="CY34" s="95"/>
      <c r="CZ34" s="95"/>
      <c r="DA34" s="95"/>
      <c r="DB34" s="95"/>
      <c r="DC34" s="95"/>
      <c r="DD34" s="95"/>
      <c r="DE34" s="95"/>
      <c r="DF34" s="95"/>
      <c r="DG34" s="95"/>
      <c r="DH34" s="95"/>
      <c r="DI34" s="95"/>
      <c r="DJ34" s="95"/>
      <c r="DK34" s="95"/>
      <c r="DL34" s="95"/>
      <c r="DM34" s="95"/>
      <c r="DN34" s="95"/>
      <c r="DO34" s="95"/>
      <c r="DP34" s="95"/>
      <c r="DQ34" s="95"/>
      <c r="DR34" s="95"/>
      <c r="DS34" s="95"/>
      <c r="DT34" s="95"/>
      <c r="DU34" s="95"/>
      <c r="DV34" s="95"/>
      <c r="DW34" s="95"/>
      <c r="DX34" s="95"/>
      <c r="DY34" s="95"/>
      <c r="EC34" s="2"/>
    </row>
    <row r="35" spans="1:155" ht="24.95" customHeight="1">
      <c r="A35" s="1">
        <f t="shared" si="14"/>
        <v>27</v>
      </c>
      <c r="B35" s="69"/>
      <c r="C35" s="49"/>
      <c r="D35" s="141"/>
      <c r="E35" s="142"/>
      <c r="F35" s="106"/>
      <c r="G35" s="129"/>
      <c r="H35" s="129"/>
      <c r="I35" s="129"/>
      <c r="J35" s="107"/>
      <c r="K35" s="107"/>
      <c r="L35" s="106"/>
      <c r="M35" s="129"/>
      <c r="N35" s="129"/>
      <c r="O35" s="129"/>
      <c r="P35" s="129"/>
      <c r="Q35" s="129"/>
      <c r="R35" s="129"/>
      <c r="S35" s="129"/>
      <c r="T35" s="129"/>
      <c r="U35" s="107"/>
      <c r="V35" s="106"/>
      <c r="W35" s="129"/>
      <c r="X35" s="129"/>
      <c r="Y35" s="130"/>
      <c r="Z35" s="122"/>
      <c r="AA35" s="223">
        <v>424</v>
      </c>
      <c r="AB35" s="223"/>
      <c r="AC35" s="223"/>
      <c r="AD35" s="223"/>
      <c r="AE35" s="223"/>
      <c r="AF35" s="223"/>
      <c r="AG35" s="177"/>
      <c r="AH35" s="178"/>
      <c r="AI35" s="223">
        <v>3391827</v>
      </c>
      <c r="AJ35" s="223"/>
      <c r="AK35" s="223"/>
      <c r="AL35" s="223"/>
      <c r="AM35" s="223"/>
      <c r="AN35" s="223"/>
      <c r="AO35" s="179"/>
      <c r="AP35" s="180"/>
      <c r="AQ35" s="223">
        <v>424</v>
      </c>
      <c r="AR35" s="223"/>
      <c r="AS35" s="223"/>
      <c r="AT35" s="223"/>
      <c r="AU35" s="223"/>
      <c r="AV35" s="223"/>
      <c r="AW35" s="177"/>
      <c r="AX35" s="178"/>
      <c r="AY35" s="223">
        <v>3391827</v>
      </c>
      <c r="AZ35" s="223"/>
      <c r="BA35" s="223"/>
      <c r="BB35" s="223"/>
      <c r="BC35" s="223"/>
      <c r="BD35" s="223"/>
      <c r="BE35" s="179"/>
      <c r="BF35" s="180"/>
      <c r="BG35" s="223"/>
      <c r="BH35" s="223"/>
      <c r="BI35" s="223"/>
      <c r="BJ35" s="223"/>
      <c r="BK35" s="223"/>
      <c r="BL35" s="223"/>
      <c r="BM35" s="177"/>
      <c r="BN35" s="181"/>
      <c r="BO35" s="223"/>
      <c r="BP35" s="223"/>
      <c r="BQ35" s="223"/>
      <c r="BR35" s="223"/>
      <c r="BS35" s="223"/>
      <c r="BT35" s="223"/>
      <c r="BU35" s="123"/>
      <c r="BV35" s="106"/>
      <c r="BW35" s="228"/>
      <c r="BX35" s="228"/>
      <c r="BY35" s="228"/>
      <c r="BZ35" s="228"/>
      <c r="CA35" s="228"/>
      <c r="CB35" s="228"/>
      <c r="CC35" s="122"/>
      <c r="CD35" s="217">
        <v>147559</v>
      </c>
      <c r="CE35" s="217"/>
      <c r="CF35" s="217"/>
      <c r="CG35" s="217"/>
      <c r="CH35" s="217"/>
      <c r="CI35" s="218"/>
      <c r="CJ35" s="98"/>
      <c r="CK35" s="95"/>
      <c r="CL35" s="95"/>
      <c r="CM35" s="95"/>
      <c r="CN35" s="95"/>
      <c r="CO35" s="95"/>
      <c r="CP35" s="95"/>
      <c r="CQ35" s="95"/>
      <c r="CR35" s="95"/>
      <c r="CS35" s="95"/>
      <c r="CT35" s="95"/>
      <c r="CU35" s="95"/>
      <c r="CV35" s="95"/>
      <c r="CW35" s="95"/>
      <c r="CX35" s="95"/>
      <c r="CY35" s="95"/>
      <c r="CZ35" s="95"/>
      <c r="DA35" s="95"/>
      <c r="DB35" s="95"/>
      <c r="DC35" s="95"/>
      <c r="DD35" s="95"/>
      <c r="DE35" s="95"/>
      <c r="DF35" s="95"/>
      <c r="DG35" s="95"/>
      <c r="DH35" s="95"/>
      <c r="DI35" s="95"/>
      <c r="DJ35" s="95"/>
      <c r="DK35" s="95"/>
      <c r="DL35" s="95"/>
      <c r="DM35" s="95"/>
      <c r="DN35" s="95"/>
      <c r="DO35" s="95"/>
      <c r="DP35" s="95"/>
      <c r="DQ35" s="95"/>
      <c r="DR35" s="95"/>
      <c r="DS35" s="95"/>
      <c r="DT35" s="95"/>
      <c r="DU35" s="95"/>
      <c r="DV35" s="95"/>
      <c r="DW35" s="95"/>
      <c r="DX35" s="95"/>
      <c r="DY35" s="95"/>
      <c r="EC35" s="2"/>
    </row>
    <row r="36" spans="1:155" ht="24.95" customHeight="1">
      <c r="A36" s="1">
        <f t="shared" si="14"/>
        <v>28</v>
      </c>
      <c r="B36" s="69"/>
      <c r="C36" s="65"/>
      <c r="D36" s="111" t="s">
        <v>140</v>
      </c>
      <c r="E36" s="49"/>
      <c r="F36" s="49"/>
      <c r="G36" s="93"/>
      <c r="H36" s="93"/>
      <c r="I36" s="93"/>
      <c r="J36" s="108"/>
      <c r="K36" s="95"/>
      <c r="L36" s="93"/>
      <c r="M36" s="93"/>
      <c r="N36" s="93"/>
      <c r="O36" s="93"/>
      <c r="P36" s="93"/>
      <c r="Q36" s="93"/>
      <c r="R36" s="93"/>
      <c r="S36" s="93"/>
      <c r="T36" s="49"/>
      <c r="U36" s="95"/>
      <c r="V36" s="93"/>
      <c r="W36" s="93"/>
      <c r="X36" s="93"/>
      <c r="Y36" s="132"/>
      <c r="Z36" s="111"/>
      <c r="AA36" s="230"/>
      <c r="AB36" s="230"/>
      <c r="AC36" s="230"/>
      <c r="AD36" s="230"/>
      <c r="AE36" s="230"/>
      <c r="AF36" s="230"/>
      <c r="AG36" s="161"/>
      <c r="AH36" s="162"/>
      <c r="AI36" s="224">
        <f>AI18+AI24+AI30</f>
        <v>871350</v>
      </c>
      <c r="AJ36" s="224"/>
      <c r="AK36" s="224"/>
      <c r="AL36" s="224"/>
      <c r="AM36" s="224"/>
      <c r="AN36" s="224"/>
      <c r="AO36" s="163"/>
      <c r="AP36" s="164"/>
      <c r="AQ36" s="230"/>
      <c r="AR36" s="230"/>
      <c r="AS36" s="230"/>
      <c r="AT36" s="230"/>
      <c r="AU36" s="230"/>
      <c r="AV36" s="230"/>
      <c r="AW36" s="161"/>
      <c r="AX36" s="162"/>
      <c r="AY36" s="224">
        <f>AY18+AY24+AY30</f>
        <v>870470</v>
      </c>
      <c r="AZ36" s="224"/>
      <c r="BA36" s="224"/>
      <c r="BB36" s="224"/>
      <c r="BC36" s="224"/>
      <c r="BD36" s="224"/>
      <c r="BE36" s="165"/>
      <c r="BF36" s="164"/>
      <c r="BG36" s="233"/>
      <c r="BH36" s="233"/>
      <c r="BI36" s="233"/>
      <c r="BJ36" s="233"/>
      <c r="BK36" s="233"/>
      <c r="BL36" s="233"/>
      <c r="BM36" s="161"/>
      <c r="BN36" s="162"/>
      <c r="BO36" s="224"/>
      <c r="BP36" s="224"/>
      <c r="BQ36" s="224"/>
      <c r="BR36" s="224"/>
      <c r="BS36" s="224"/>
      <c r="BT36" s="224"/>
      <c r="BU36" s="132"/>
      <c r="BV36" s="49"/>
      <c r="BW36" s="224">
        <f>BW18+BW24+BW30</f>
        <v>2000</v>
      </c>
      <c r="BX36" s="224"/>
      <c r="BY36" s="224"/>
      <c r="BZ36" s="224"/>
      <c r="CA36" s="224"/>
      <c r="CB36" s="224"/>
      <c r="CC36" s="125"/>
      <c r="CD36" s="224"/>
      <c r="CE36" s="224"/>
      <c r="CF36" s="224"/>
      <c r="CG36" s="224"/>
      <c r="CH36" s="224"/>
      <c r="CI36" s="225"/>
      <c r="CJ36" s="132"/>
      <c r="CK36" s="93"/>
      <c r="CL36" s="93"/>
      <c r="CM36" s="93"/>
      <c r="CN36" s="93"/>
      <c r="CO36" s="93"/>
      <c r="CP36" s="93"/>
      <c r="CQ36" s="93"/>
      <c r="CR36" s="93"/>
      <c r="CS36" s="93"/>
      <c r="CT36" s="93"/>
      <c r="CU36" s="93"/>
      <c r="CV36" s="93"/>
      <c r="CW36" s="93"/>
      <c r="CX36" s="93"/>
      <c r="CY36" s="93"/>
      <c r="CZ36" s="93"/>
      <c r="DA36" s="93"/>
      <c r="DB36" s="93"/>
      <c r="DC36" s="93"/>
      <c r="DD36" s="93"/>
      <c r="DE36" s="93"/>
      <c r="DF36" s="93"/>
      <c r="DG36" s="93"/>
      <c r="DH36" s="93"/>
      <c r="DI36" s="93"/>
      <c r="DJ36" s="93"/>
      <c r="DK36" s="93"/>
      <c r="DL36" s="93"/>
      <c r="DM36" s="93"/>
      <c r="DN36" s="93"/>
      <c r="DO36" s="93"/>
      <c r="DP36" s="93"/>
      <c r="DQ36" s="93"/>
      <c r="DR36" s="93"/>
      <c r="DS36" s="93"/>
      <c r="DT36" s="93"/>
      <c r="DU36" s="93"/>
      <c r="DV36" s="93"/>
      <c r="DW36" s="93"/>
      <c r="DX36" s="93"/>
      <c r="DY36" s="93"/>
      <c r="DZ36" s="93"/>
      <c r="EC36" s="2"/>
      <c r="EE36" s="66"/>
      <c r="EF36" s="66"/>
      <c r="EG36" s="66"/>
      <c r="EH36" s="66"/>
      <c r="EI36" s="66"/>
      <c r="EJ36" s="66"/>
      <c r="EK36" s="66"/>
      <c r="EL36" s="66"/>
      <c r="EM36" s="66"/>
      <c r="EN36" s="66"/>
      <c r="EO36" s="66"/>
      <c r="EP36" s="66"/>
      <c r="EQ36" s="66"/>
      <c r="ER36" s="66"/>
      <c r="ES36" s="66"/>
      <c r="ET36" s="66"/>
      <c r="EU36" s="66"/>
      <c r="EV36" s="66"/>
      <c r="EW36" s="66"/>
      <c r="EX36" s="66"/>
      <c r="EY36" s="66"/>
    </row>
    <row r="37" spans="1:155" ht="24.95" customHeight="1">
      <c r="A37" s="1">
        <f t="shared" si="14"/>
        <v>29</v>
      </c>
      <c r="B37" s="69"/>
      <c r="C37" s="65"/>
      <c r="D37" s="111"/>
      <c r="E37" s="49"/>
      <c r="F37" s="49"/>
      <c r="G37" s="93"/>
      <c r="H37" s="93"/>
      <c r="I37" s="93"/>
      <c r="J37" s="108"/>
      <c r="K37" s="95"/>
      <c r="L37" s="93"/>
      <c r="M37" s="93"/>
      <c r="N37" s="93"/>
      <c r="O37" s="93"/>
      <c r="P37" s="93"/>
      <c r="Q37" s="93"/>
      <c r="R37" s="93"/>
      <c r="S37" s="93"/>
      <c r="T37" s="49"/>
      <c r="U37" s="95"/>
      <c r="V37" s="93"/>
      <c r="W37" s="93"/>
      <c r="X37" s="109"/>
      <c r="Y37" s="132"/>
      <c r="Z37" s="111"/>
      <c r="AA37" s="221"/>
      <c r="AB37" s="221"/>
      <c r="AC37" s="221"/>
      <c r="AD37" s="221"/>
      <c r="AE37" s="221"/>
      <c r="AF37" s="221"/>
      <c r="AG37" s="161"/>
      <c r="AH37" s="162"/>
      <c r="AI37" s="221">
        <f>AI36*0.1</f>
        <v>87135</v>
      </c>
      <c r="AJ37" s="221"/>
      <c r="AK37" s="221"/>
      <c r="AL37" s="221"/>
      <c r="AM37" s="221"/>
      <c r="AN37" s="221"/>
      <c r="AO37" s="163"/>
      <c r="AP37" s="164"/>
      <c r="AQ37" s="221"/>
      <c r="AR37" s="221"/>
      <c r="AS37" s="221"/>
      <c r="AT37" s="221"/>
      <c r="AU37" s="221"/>
      <c r="AV37" s="221"/>
      <c r="AW37" s="161"/>
      <c r="AX37" s="162"/>
      <c r="AY37" s="221">
        <f>AY36*0.1</f>
        <v>87047</v>
      </c>
      <c r="AZ37" s="221"/>
      <c r="BA37" s="221"/>
      <c r="BB37" s="221"/>
      <c r="BC37" s="221"/>
      <c r="BD37" s="221"/>
      <c r="BE37" s="165"/>
      <c r="BF37" s="164"/>
      <c r="BG37" s="231"/>
      <c r="BH37" s="231"/>
      <c r="BI37" s="231"/>
      <c r="BJ37" s="231"/>
      <c r="BK37" s="231"/>
      <c r="BL37" s="231"/>
      <c r="BM37" s="161"/>
      <c r="BN37" s="162"/>
      <c r="BO37" s="221"/>
      <c r="BP37" s="221"/>
      <c r="BQ37" s="221"/>
      <c r="BR37" s="221"/>
      <c r="BS37" s="221"/>
      <c r="BT37" s="221"/>
      <c r="BU37" s="132"/>
      <c r="BV37" s="49"/>
      <c r="BW37" s="221">
        <f>BW36*0.1</f>
        <v>200</v>
      </c>
      <c r="BX37" s="221"/>
      <c r="BY37" s="221"/>
      <c r="BZ37" s="221"/>
      <c r="CA37" s="221"/>
      <c r="CB37" s="221"/>
      <c r="CC37" s="111"/>
      <c r="CD37" s="221"/>
      <c r="CE37" s="221"/>
      <c r="CF37" s="221"/>
      <c r="CG37" s="221"/>
      <c r="CH37" s="221"/>
      <c r="CI37" s="226"/>
      <c r="CJ37" s="98"/>
      <c r="CK37" s="95"/>
      <c r="CL37" s="95"/>
      <c r="CM37" s="95"/>
      <c r="CN37" s="95"/>
      <c r="CO37" s="95"/>
      <c r="CP37" s="95"/>
      <c r="CQ37" s="95"/>
      <c r="CR37" s="95"/>
      <c r="CS37" s="95"/>
      <c r="CT37" s="95"/>
      <c r="CU37" s="95"/>
      <c r="CV37" s="95"/>
      <c r="CW37" s="95"/>
      <c r="CX37" s="95"/>
      <c r="CY37" s="95"/>
      <c r="CZ37" s="95"/>
      <c r="DA37" s="95"/>
      <c r="DB37" s="95"/>
      <c r="DC37" s="95"/>
      <c r="DD37" s="95"/>
      <c r="DE37" s="95"/>
      <c r="DF37" s="95"/>
      <c r="DG37" s="95"/>
      <c r="DH37" s="95"/>
      <c r="DI37" s="95"/>
      <c r="DJ37" s="95"/>
      <c r="DK37" s="95"/>
      <c r="DL37" s="95"/>
      <c r="DM37" s="95"/>
      <c r="DN37" s="95"/>
      <c r="DO37" s="95"/>
      <c r="DP37" s="95"/>
      <c r="DQ37" s="95"/>
      <c r="DR37" s="95"/>
      <c r="DS37" s="95"/>
      <c r="DT37" s="95"/>
      <c r="DU37" s="95"/>
      <c r="DV37" s="95"/>
      <c r="DW37" s="95"/>
      <c r="DX37" s="95"/>
      <c r="DY37" s="95"/>
      <c r="DZ37" s="93"/>
      <c r="EC37" s="2"/>
      <c r="EE37" s="65"/>
      <c r="EF37" s="65"/>
      <c r="EG37" s="65"/>
      <c r="EH37" s="65"/>
      <c r="EI37" s="65"/>
      <c r="EJ37" s="65"/>
      <c r="EK37" s="65"/>
      <c r="EL37" s="65"/>
      <c r="EM37" s="65"/>
      <c r="EN37" s="65"/>
      <c r="EO37" s="65"/>
      <c r="EP37" s="65"/>
      <c r="EQ37" s="65"/>
      <c r="ER37" s="65"/>
      <c r="ES37" s="65"/>
      <c r="ET37" s="65"/>
      <c r="EU37" s="65"/>
      <c r="EV37" s="65"/>
      <c r="EW37" s="65"/>
      <c r="EX37" s="66"/>
      <c r="EY37" s="66"/>
    </row>
    <row r="38" spans="1:155" ht="24.95" customHeight="1">
      <c r="A38" s="1">
        <f t="shared" si="14"/>
        <v>30</v>
      </c>
      <c r="B38" s="69"/>
      <c r="C38" s="65"/>
      <c r="D38" s="111"/>
      <c r="E38" s="49"/>
      <c r="F38" s="49"/>
      <c r="G38" s="93"/>
      <c r="H38" s="93"/>
      <c r="I38" s="93"/>
      <c r="J38" s="108"/>
      <c r="K38" s="95"/>
      <c r="L38" s="49"/>
      <c r="M38" s="108"/>
      <c r="N38" s="93"/>
      <c r="O38" s="93"/>
      <c r="P38" s="93"/>
      <c r="Q38" s="93"/>
      <c r="R38" s="93"/>
      <c r="S38" s="93"/>
      <c r="T38" s="93"/>
      <c r="U38" s="95"/>
      <c r="V38" s="49"/>
      <c r="W38" s="93"/>
      <c r="X38" s="109"/>
      <c r="Y38" s="132"/>
      <c r="Z38" s="110"/>
      <c r="AA38" s="229"/>
      <c r="AB38" s="229"/>
      <c r="AC38" s="229"/>
      <c r="AD38" s="229"/>
      <c r="AE38" s="229"/>
      <c r="AF38" s="229"/>
      <c r="AG38" s="166"/>
      <c r="AH38" s="167"/>
      <c r="AI38" s="222">
        <f>AI20+AI26+AI32</f>
        <v>43053220</v>
      </c>
      <c r="AJ38" s="222"/>
      <c r="AK38" s="222"/>
      <c r="AL38" s="222"/>
      <c r="AM38" s="222"/>
      <c r="AN38" s="222"/>
      <c r="AO38" s="168"/>
      <c r="AP38" s="169"/>
      <c r="AQ38" s="229"/>
      <c r="AR38" s="229"/>
      <c r="AS38" s="229"/>
      <c r="AT38" s="229"/>
      <c r="AU38" s="229"/>
      <c r="AV38" s="229"/>
      <c r="AW38" s="166"/>
      <c r="AX38" s="170"/>
      <c r="AY38" s="222">
        <f>AY20+AY26+AY32</f>
        <v>55371670</v>
      </c>
      <c r="AZ38" s="222"/>
      <c r="BA38" s="222"/>
      <c r="BB38" s="222"/>
      <c r="BC38" s="222"/>
      <c r="BD38" s="222"/>
      <c r="BE38" s="168"/>
      <c r="BF38" s="169"/>
      <c r="BG38" s="232"/>
      <c r="BH38" s="232"/>
      <c r="BI38" s="232"/>
      <c r="BJ38" s="232"/>
      <c r="BK38" s="232"/>
      <c r="BL38" s="232"/>
      <c r="BM38" s="166"/>
      <c r="BN38" s="170"/>
      <c r="BO38" s="222"/>
      <c r="BP38" s="222"/>
      <c r="BQ38" s="222"/>
      <c r="BR38" s="222"/>
      <c r="BS38" s="222"/>
      <c r="BT38" s="222"/>
      <c r="BU38" s="145"/>
      <c r="BV38" s="88"/>
      <c r="BW38" s="222">
        <f>BW20+BW26+BW32</f>
        <v>1197022</v>
      </c>
      <c r="BX38" s="222"/>
      <c r="BY38" s="222"/>
      <c r="BZ38" s="222"/>
      <c r="CA38" s="222"/>
      <c r="CB38" s="222"/>
      <c r="CC38" s="110"/>
      <c r="CD38" s="222"/>
      <c r="CE38" s="222"/>
      <c r="CF38" s="222"/>
      <c r="CG38" s="222"/>
      <c r="CH38" s="222"/>
      <c r="CI38" s="227"/>
      <c r="CJ38" s="98"/>
      <c r="CK38" s="95"/>
      <c r="CL38" s="95"/>
      <c r="CM38" s="95"/>
      <c r="CN38" s="95"/>
      <c r="CO38" s="95"/>
      <c r="CP38" s="95"/>
      <c r="CQ38" s="95"/>
      <c r="CR38" s="95"/>
      <c r="CS38" s="95"/>
      <c r="CT38" s="95"/>
      <c r="CU38" s="95"/>
      <c r="CV38" s="95"/>
      <c r="CW38" s="95"/>
      <c r="CX38" s="95"/>
      <c r="CY38" s="95"/>
      <c r="CZ38" s="95"/>
      <c r="DA38" s="95"/>
      <c r="DB38" s="95"/>
      <c r="DC38" s="95"/>
      <c r="DD38" s="95"/>
      <c r="DE38" s="95"/>
      <c r="DF38" s="95"/>
      <c r="DG38" s="95"/>
      <c r="DH38" s="95"/>
      <c r="DI38" s="95"/>
      <c r="DJ38" s="95"/>
      <c r="DK38" s="95"/>
      <c r="DL38" s="95"/>
      <c r="DM38" s="95"/>
      <c r="DN38" s="95"/>
      <c r="DO38" s="95"/>
      <c r="DP38" s="95"/>
      <c r="DQ38" s="95"/>
      <c r="DR38" s="95"/>
      <c r="DS38" s="95"/>
      <c r="DT38" s="95"/>
      <c r="DU38" s="95"/>
      <c r="DV38" s="95"/>
      <c r="DW38" s="95"/>
      <c r="DX38" s="95"/>
      <c r="DY38" s="95"/>
      <c r="DZ38" s="93"/>
      <c r="EC38" s="2"/>
      <c r="EE38" s="65"/>
      <c r="EF38" s="65"/>
      <c r="EG38" s="65"/>
      <c r="EH38" s="65"/>
      <c r="EI38" s="65"/>
      <c r="EJ38" s="65"/>
      <c r="EK38" s="65"/>
      <c r="EL38" s="65"/>
      <c r="EM38" s="65"/>
      <c r="EN38" s="65"/>
      <c r="EO38" s="65"/>
      <c r="EP38" s="65"/>
      <c r="EQ38" s="65"/>
      <c r="ER38" s="65"/>
      <c r="ES38" s="65"/>
      <c r="ET38" s="65"/>
      <c r="EU38" s="65"/>
      <c r="EV38" s="65"/>
      <c r="EW38" s="65"/>
      <c r="EX38" s="66"/>
      <c r="EY38" s="66"/>
    </row>
    <row r="39" spans="1:155" ht="24.95" customHeight="1">
      <c r="A39" s="1">
        <f t="shared" si="14"/>
        <v>31</v>
      </c>
      <c r="B39" s="69"/>
      <c r="C39" s="65"/>
      <c r="D39" s="159" t="s">
        <v>436</v>
      </c>
      <c r="E39" s="49"/>
      <c r="F39" s="49"/>
      <c r="G39" s="93"/>
      <c r="H39" s="93"/>
      <c r="I39" s="93"/>
      <c r="J39" s="95"/>
      <c r="K39" s="95"/>
      <c r="L39" s="49"/>
      <c r="M39" s="104" t="s">
        <v>137</v>
      </c>
      <c r="N39" s="93"/>
      <c r="O39" s="93"/>
      <c r="P39" s="93"/>
      <c r="Q39" s="93"/>
      <c r="R39" s="93"/>
      <c r="S39" s="49"/>
      <c r="T39" s="93"/>
      <c r="U39" s="95"/>
      <c r="V39" s="49"/>
      <c r="W39" s="93"/>
      <c r="X39" s="109"/>
      <c r="Y39" s="132"/>
      <c r="Z39" s="137"/>
      <c r="AA39" s="221"/>
      <c r="AB39" s="221"/>
      <c r="AC39" s="221"/>
      <c r="AD39" s="221"/>
      <c r="AE39" s="221"/>
      <c r="AF39" s="221"/>
      <c r="AG39" s="171"/>
      <c r="AH39" s="172"/>
      <c r="AI39" s="221">
        <f>AI38*0.1</f>
        <v>4305322</v>
      </c>
      <c r="AJ39" s="221"/>
      <c r="AK39" s="221"/>
      <c r="AL39" s="221"/>
      <c r="AM39" s="221"/>
      <c r="AN39" s="221"/>
      <c r="AO39" s="173"/>
      <c r="AP39" s="174"/>
      <c r="AQ39" s="221"/>
      <c r="AR39" s="221"/>
      <c r="AS39" s="221"/>
      <c r="AT39" s="221"/>
      <c r="AU39" s="221"/>
      <c r="AV39" s="221"/>
      <c r="AW39" s="171"/>
      <c r="AX39" s="175"/>
      <c r="AY39" s="221">
        <f>AY38*0.1</f>
        <v>5537167</v>
      </c>
      <c r="AZ39" s="221"/>
      <c r="BA39" s="221"/>
      <c r="BB39" s="221"/>
      <c r="BC39" s="221"/>
      <c r="BD39" s="221"/>
      <c r="BE39" s="173"/>
      <c r="BF39" s="174"/>
      <c r="BG39" s="231"/>
      <c r="BH39" s="231"/>
      <c r="BI39" s="231"/>
      <c r="BJ39" s="231"/>
      <c r="BK39" s="231"/>
      <c r="BL39" s="231"/>
      <c r="BM39" s="171"/>
      <c r="BN39" s="175"/>
      <c r="BO39" s="221"/>
      <c r="BP39" s="221"/>
      <c r="BQ39" s="221"/>
      <c r="BR39" s="221"/>
      <c r="BS39" s="221"/>
      <c r="BT39" s="221"/>
      <c r="BU39" s="139"/>
      <c r="BV39" s="133"/>
      <c r="BW39" s="221">
        <f>BW38*0.1</f>
        <v>119702.20000000001</v>
      </c>
      <c r="BX39" s="221"/>
      <c r="BY39" s="221"/>
      <c r="BZ39" s="221"/>
      <c r="CA39" s="221"/>
      <c r="CB39" s="221"/>
      <c r="CC39" s="137"/>
      <c r="CD39" s="221"/>
      <c r="CE39" s="221"/>
      <c r="CF39" s="221"/>
      <c r="CG39" s="221"/>
      <c r="CH39" s="221"/>
      <c r="CI39" s="226"/>
      <c r="CJ39" s="98"/>
      <c r="CK39" s="95"/>
      <c r="CL39" s="95"/>
      <c r="CM39" s="95"/>
      <c r="CN39" s="95"/>
      <c r="CO39" s="95"/>
      <c r="CP39" s="95"/>
      <c r="CQ39" s="95"/>
      <c r="CR39" s="95"/>
      <c r="CS39" s="95"/>
      <c r="CT39" s="95"/>
      <c r="CU39" s="95"/>
      <c r="CV39" s="95"/>
      <c r="CW39" s="95"/>
      <c r="CX39" s="95"/>
      <c r="CY39" s="95"/>
      <c r="CZ39" s="95"/>
      <c r="DA39" s="95"/>
      <c r="DB39" s="95"/>
      <c r="DC39" s="95"/>
      <c r="DD39" s="95"/>
      <c r="DE39" s="95"/>
      <c r="DF39" s="95"/>
      <c r="DG39" s="95"/>
      <c r="DH39" s="95"/>
      <c r="DI39" s="95"/>
      <c r="DJ39" s="95"/>
      <c r="DK39" s="95"/>
      <c r="DL39" s="95"/>
      <c r="DM39" s="95"/>
      <c r="DN39" s="95"/>
      <c r="DO39" s="95"/>
      <c r="DP39" s="95"/>
      <c r="DQ39" s="95"/>
      <c r="DR39" s="95"/>
      <c r="DS39" s="95"/>
      <c r="DT39" s="95"/>
      <c r="DU39" s="95"/>
      <c r="DV39" s="95"/>
      <c r="DW39" s="95"/>
      <c r="DX39" s="95"/>
      <c r="DY39" s="95"/>
      <c r="DZ39" s="93"/>
      <c r="EB39" s="66"/>
      <c r="EC39" s="77"/>
      <c r="EE39" s="65"/>
      <c r="EF39" s="65"/>
      <c r="EG39" s="65"/>
      <c r="EH39" s="65"/>
      <c r="EI39" s="65"/>
      <c r="EJ39" s="65"/>
      <c r="EK39" s="65"/>
      <c r="EL39" s="65"/>
      <c r="EM39" s="65"/>
      <c r="EN39" s="65"/>
      <c r="EO39" s="65"/>
      <c r="EP39" s="65"/>
      <c r="EQ39" s="65"/>
      <c r="ER39" s="65"/>
      <c r="ES39" s="65"/>
      <c r="ET39" s="65"/>
      <c r="EU39" s="65"/>
      <c r="EV39" s="65"/>
      <c r="EW39" s="65"/>
      <c r="EX39" s="66"/>
      <c r="EY39" s="66"/>
    </row>
    <row r="40" spans="1:155" ht="24.95" customHeight="1">
      <c r="A40" s="1">
        <f t="shared" si="14"/>
        <v>32</v>
      </c>
      <c r="B40" s="69"/>
      <c r="C40" s="65"/>
      <c r="D40" s="116"/>
      <c r="E40" s="65"/>
      <c r="F40" s="49"/>
      <c r="G40" s="93"/>
      <c r="H40" s="93"/>
      <c r="I40" s="93"/>
      <c r="J40" s="95"/>
      <c r="K40" s="95"/>
      <c r="L40" s="49"/>
      <c r="M40" s="93"/>
      <c r="N40" s="93"/>
      <c r="O40" s="93"/>
      <c r="P40" s="93"/>
      <c r="Q40" s="93"/>
      <c r="R40" s="93"/>
      <c r="S40" s="93"/>
      <c r="T40" s="93"/>
      <c r="U40" s="95"/>
      <c r="V40" s="49"/>
      <c r="W40" s="93"/>
      <c r="X40" s="93"/>
      <c r="Y40" s="132"/>
      <c r="Z40" s="111"/>
      <c r="AA40" s="229"/>
      <c r="AB40" s="229"/>
      <c r="AC40" s="229"/>
      <c r="AD40" s="229"/>
      <c r="AE40" s="229"/>
      <c r="AF40" s="229"/>
      <c r="AG40" s="161"/>
      <c r="AH40" s="162"/>
      <c r="AI40" s="222">
        <f>AI22+AI28+AI34</f>
        <v>130228808</v>
      </c>
      <c r="AJ40" s="222"/>
      <c r="AK40" s="222"/>
      <c r="AL40" s="222"/>
      <c r="AM40" s="222"/>
      <c r="AN40" s="222"/>
      <c r="AO40" s="163"/>
      <c r="AP40" s="164"/>
      <c r="AQ40" s="229"/>
      <c r="AR40" s="229"/>
      <c r="AS40" s="229"/>
      <c r="AT40" s="229"/>
      <c r="AU40" s="229"/>
      <c r="AV40" s="229"/>
      <c r="AW40" s="161"/>
      <c r="AX40" s="176"/>
      <c r="AY40" s="222">
        <f>AY22+AY28+AY34</f>
        <v>61077253</v>
      </c>
      <c r="AZ40" s="222"/>
      <c r="BA40" s="222"/>
      <c r="BB40" s="222"/>
      <c r="BC40" s="222"/>
      <c r="BD40" s="222"/>
      <c r="BE40" s="163"/>
      <c r="BF40" s="164"/>
      <c r="BG40" s="232"/>
      <c r="BH40" s="232"/>
      <c r="BI40" s="232"/>
      <c r="BJ40" s="232"/>
      <c r="BK40" s="232"/>
      <c r="BL40" s="232"/>
      <c r="BM40" s="161"/>
      <c r="BN40" s="176"/>
      <c r="BO40" s="222"/>
      <c r="BP40" s="222"/>
      <c r="BQ40" s="222"/>
      <c r="BR40" s="222"/>
      <c r="BS40" s="222"/>
      <c r="BT40" s="222"/>
      <c r="BU40" s="98"/>
      <c r="BV40" s="49"/>
      <c r="BW40" s="222">
        <f>BW22+BW28+BW34</f>
        <v>1228006</v>
      </c>
      <c r="BX40" s="222"/>
      <c r="BY40" s="222"/>
      <c r="BZ40" s="222"/>
      <c r="CA40" s="222"/>
      <c r="CB40" s="222"/>
      <c r="CC40" s="111"/>
      <c r="CD40" s="219">
        <f>CD22+CD28+CD34</f>
        <v>-13953565</v>
      </c>
      <c r="CE40" s="219"/>
      <c r="CF40" s="219"/>
      <c r="CG40" s="219"/>
      <c r="CH40" s="219"/>
      <c r="CI40" s="220"/>
      <c r="CJ40" s="98"/>
      <c r="CK40" s="95"/>
      <c r="CL40" s="95"/>
      <c r="CM40" s="95"/>
      <c r="CN40" s="95"/>
      <c r="CO40" s="95"/>
      <c r="CP40" s="95"/>
      <c r="CQ40" s="95"/>
      <c r="CR40" s="95"/>
      <c r="CS40" s="95"/>
      <c r="CT40" s="95"/>
      <c r="CU40" s="95"/>
      <c r="CV40" s="95"/>
      <c r="CW40" s="95"/>
      <c r="CX40" s="95"/>
      <c r="CY40" s="95"/>
      <c r="CZ40" s="95"/>
      <c r="DA40" s="95"/>
      <c r="DB40" s="95"/>
      <c r="DC40" s="95"/>
      <c r="DD40" s="95"/>
      <c r="DE40" s="95"/>
      <c r="DF40" s="95"/>
      <c r="DG40" s="95"/>
      <c r="DH40" s="95"/>
      <c r="DI40" s="95"/>
      <c r="DJ40" s="95"/>
      <c r="DK40" s="95"/>
      <c r="DL40" s="95"/>
      <c r="DM40" s="95"/>
      <c r="DN40" s="95"/>
      <c r="DO40" s="95"/>
      <c r="DP40" s="95"/>
      <c r="DQ40" s="95"/>
      <c r="DR40" s="95"/>
      <c r="DS40" s="95"/>
      <c r="DT40" s="95"/>
      <c r="DU40" s="95"/>
      <c r="DV40" s="95"/>
      <c r="DW40" s="95"/>
      <c r="DX40" s="95"/>
      <c r="DY40" s="95"/>
      <c r="DZ40" s="93"/>
      <c r="EC40" s="77"/>
      <c r="EE40" s="65"/>
      <c r="EF40" s="65"/>
      <c r="EG40" s="65"/>
      <c r="EH40" s="65"/>
      <c r="EI40" s="65"/>
      <c r="EJ40" s="65"/>
      <c r="EK40" s="65"/>
      <c r="EL40" s="65"/>
      <c r="EM40" s="65"/>
      <c r="EN40" s="65"/>
      <c r="EO40" s="65"/>
      <c r="EP40" s="65"/>
      <c r="EQ40" s="65"/>
      <c r="ER40" s="65"/>
      <c r="ES40" s="65"/>
      <c r="ET40" s="65"/>
      <c r="EU40" s="65"/>
      <c r="EV40" s="65"/>
      <c r="EW40" s="65"/>
      <c r="EX40" s="66"/>
      <c r="EY40" s="66"/>
    </row>
    <row r="41" spans="1:155" ht="24.95" customHeight="1">
      <c r="A41" s="1">
        <f t="shared" si="14"/>
        <v>33</v>
      </c>
      <c r="B41" s="69"/>
      <c r="C41" s="65"/>
      <c r="D41" s="141"/>
      <c r="E41" s="142"/>
      <c r="F41" s="106"/>
      <c r="G41" s="129"/>
      <c r="H41" s="129"/>
      <c r="I41" s="129"/>
      <c r="J41" s="107"/>
      <c r="K41" s="107"/>
      <c r="L41" s="106"/>
      <c r="M41" s="129"/>
      <c r="N41" s="129"/>
      <c r="O41" s="129"/>
      <c r="P41" s="129"/>
      <c r="Q41" s="129"/>
      <c r="R41" s="129"/>
      <c r="S41" s="129"/>
      <c r="T41" s="129"/>
      <c r="U41" s="107"/>
      <c r="V41" s="106"/>
      <c r="W41" s="129"/>
      <c r="X41" s="129"/>
      <c r="Y41" s="130"/>
      <c r="Z41" s="122"/>
      <c r="AA41" s="223"/>
      <c r="AB41" s="223"/>
      <c r="AC41" s="223"/>
      <c r="AD41" s="223"/>
      <c r="AE41" s="223"/>
      <c r="AF41" s="223"/>
      <c r="AG41" s="177"/>
      <c r="AH41" s="178"/>
      <c r="AI41" s="223">
        <f>AI40*0.1</f>
        <v>13022880.800000001</v>
      </c>
      <c r="AJ41" s="223"/>
      <c r="AK41" s="223"/>
      <c r="AL41" s="223"/>
      <c r="AM41" s="223"/>
      <c r="AN41" s="223"/>
      <c r="AO41" s="179"/>
      <c r="AP41" s="180"/>
      <c r="AQ41" s="223"/>
      <c r="AR41" s="223"/>
      <c r="AS41" s="223"/>
      <c r="AT41" s="223"/>
      <c r="AU41" s="223"/>
      <c r="AV41" s="223"/>
      <c r="AW41" s="177"/>
      <c r="AX41" s="181"/>
      <c r="AY41" s="223">
        <f>AY40*0.1</f>
        <v>6107725.3000000007</v>
      </c>
      <c r="AZ41" s="223"/>
      <c r="BA41" s="223"/>
      <c r="BB41" s="223"/>
      <c r="BC41" s="223"/>
      <c r="BD41" s="223"/>
      <c r="BE41" s="179"/>
      <c r="BF41" s="180"/>
      <c r="BG41" s="234"/>
      <c r="BH41" s="234"/>
      <c r="BI41" s="234"/>
      <c r="BJ41" s="234"/>
      <c r="BK41" s="234"/>
      <c r="BL41" s="234"/>
      <c r="BM41" s="177"/>
      <c r="BN41" s="181"/>
      <c r="BO41" s="223"/>
      <c r="BP41" s="223"/>
      <c r="BQ41" s="223"/>
      <c r="BR41" s="223"/>
      <c r="BS41" s="223"/>
      <c r="BT41" s="223"/>
      <c r="BU41" s="123"/>
      <c r="BV41" s="106"/>
      <c r="BW41" s="223">
        <f>BW40*0.1</f>
        <v>122800.6</v>
      </c>
      <c r="BX41" s="223"/>
      <c r="BY41" s="223"/>
      <c r="BZ41" s="223"/>
      <c r="CA41" s="223"/>
      <c r="CB41" s="223"/>
      <c r="CC41" s="122"/>
      <c r="CD41" s="217">
        <f>CD40*0.1</f>
        <v>-1395356.5</v>
      </c>
      <c r="CE41" s="217"/>
      <c r="CF41" s="217"/>
      <c r="CG41" s="217"/>
      <c r="CH41" s="217"/>
      <c r="CI41" s="218"/>
      <c r="CJ41" s="98"/>
      <c r="CK41" s="95"/>
      <c r="CL41" s="95"/>
      <c r="CM41" s="95"/>
      <c r="CN41" s="95"/>
      <c r="CO41" s="95"/>
      <c r="CP41" s="95"/>
      <c r="CQ41" s="95"/>
      <c r="CR41" s="95"/>
      <c r="CS41" s="95"/>
      <c r="CT41" s="95"/>
      <c r="CU41" s="95"/>
      <c r="CV41" s="95"/>
      <c r="CW41" s="95"/>
      <c r="CX41" s="95"/>
      <c r="CY41" s="95"/>
      <c r="CZ41" s="95"/>
      <c r="DA41" s="95"/>
      <c r="DB41" s="95"/>
      <c r="DC41" s="95"/>
      <c r="DD41" s="95"/>
      <c r="DE41" s="95"/>
      <c r="DF41" s="95"/>
      <c r="DG41" s="95"/>
      <c r="DH41" s="95"/>
      <c r="DI41" s="95"/>
      <c r="DJ41" s="95"/>
      <c r="DK41" s="95"/>
      <c r="DL41" s="95"/>
      <c r="DM41" s="95"/>
      <c r="DN41" s="95"/>
      <c r="DO41" s="95"/>
      <c r="DP41" s="95"/>
      <c r="DQ41" s="95"/>
      <c r="DR41" s="95"/>
      <c r="DS41" s="95"/>
      <c r="DT41" s="95"/>
      <c r="DU41" s="95"/>
      <c r="DV41" s="95"/>
      <c r="DW41" s="95"/>
      <c r="DX41" s="95"/>
      <c r="DY41" s="95"/>
      <c r="DZ41" s="93"/>
      <c r="EB41" s="66"/>
      <c r="EC41" s="77"/>
      <c r="EE41" s="65"/>
      <c r="EF41" s="65"/>
      <c r="EG41" s="65"/>
      <c r="EH41" s="65"/>
      <c r="EI41" s="65"/>
      <c r="EJ41" s="65"/>
      <c r="EK41" s="65"/>
      <c r="EL41" s="65"/>
      <c r="EM41" s="65"/>
      <c r="EN41" s="65"/>
      <c r="EO41" s="65"/>
      <c r="EP41" s="65"/>
      <c r="EQ41" s="65"/>
      <c r="ER41" s="65"/>
      <c r="ES41" s="65"/>
      <c r="ET41" s="65"/>
      <c r="EU41" s="65"/>
      <c r="EV41" s="65"/>
      <c r="EW41" s="65"/>
      <c r="EX41" s="66"/>
      <c r="EY41" s="66"/>
    </row>
    <row r="42" spans="1:155" ht="24.95" customHeight="1">
      <c r="A42" s="1">
        <f t="shared" si="14"/>
        <v>34</v>
      </c>
      <c r="B42" s="69"/>
      <c r="C42" s="65"/>
      <c r="D42" s="116"/>
      <c r="E42" s="65"/>
      <c r="F42" s="49"/>
      <c r="G42" s="93"/>
      <c r="H42" s="93"/>
      <c r="I42" s="93"/>
      <c r="J42" s="95"/>
      <c r="K42" s="95"/>
      <c r="L42" s="49"/>
      <c r="M42" s="93"/>
      <c r="N42" s="93"/>
      <c r="O42" s="93"/>
      <c r="P42" s="93"/>
      <c r="Q42" s="93"/>
      <c r="R42" s="93"/>
      <c r="S42" s="93"/>
      <c r="T42" s="93"/>
      <c r="U42" s="95"/>
      <c r="V42" s="49"/>
      <c r="W42" s="93"/>
      <c r="X42" s="93"/>
      <c r="Y42" s="132"/>
      <c r="Z42" s="111"/>
      <c r="AA42" s="93"/>
      <c r="AB42" s="93"/>
      <c r="AC42" s="93"/>
      <c r="AD42" s="93"/>
      <c r="AE42" s="95"/>
      <c r="AF42" s="49"/>
      <c r="AG42" s="93"/>
      <c r="AH42" s="131"/>
      <c r="AI42" s="49"/>
      <c r="AJ42" s="93"/>
      <c r="AK42" s="93"/>
      <c r="AL42" s="93"/>
      <c r="AM42" s="93"/>
      <c r="AN42" s="93"/>
      <c r="AO42" s="98"/>
      <c r="AP42" s="111"/>
      <c r="AQ42" s="93"/>
      <c r="AR42" s="95"/>
      <c r="AS42" s="95"/>
      <c r="AT42" s="95"/>
      <c r="AU42" s="95"/>
      <c r="AV42" s="95"/>
      <c r="AW42" s="95"/>
      <c r="AX42" s="113"/>
      <c r="AY42" s="49"/>
      <c r="AZ42" s="93"/>
      <c r="BA42" s="95"/>
      <c r="BB42" s="95"/>
      <c r="BC42" s="95"/>
      <c r="BD42" s="95"/>
      <c r="BE42" s="98"/>
      <c r="BF42" s="111"/>
      <c r="BG42" s="95"/>
      <c r="BH42" s="95"/>
      <c r="BI42" s="95"/>
      <c r="BJ42" s="95"/>
      <c r="BK42" s="95"/>
      <c r="BL42" s="95"/>
      <c r="BM42" s="95"/>
      <c r="BN42" s="113"/>
      <c r="BO42" s="49"/>
      <c r="BP42" s="93"/>
      <c r="BQ42" s="95"/>
      <c r="BR42" s="95"/>
      <c r="BS42" s="95"/>
      <c r="BT42" s="95"/>
      <c r="BU42" s="98"/>
      <c r="BV42" s="49"/>
      <c r="BW42" s="95"/>
      <c r="BX42" s="95"/>
      <c r="BY42" s="95"/>
      <c r="BZ42" s="95"/>
      <c r="CA42" s="95"/>
      <c r="CB42" s="95"/>
      <c r="CC42" s="111"/>
      <c r="CD42" s="95"/>
      <c r="CE42" s="95"/>
      <c r="CF42" s="95"/>
      <c r="CG42" s="95"/>
      <c r="CH42" s="95"/>
      <c r="CI42" s="98"/>
      <c r="CJ42" s="151"/>
      <c r="CK42" s="70"/>
      <c r="CL42" s="70"/>
      <c r="CM42" s="70"/>
      <c r="CN42" s="70"/>
      <c r="CO42" s="70"/>
      <c r="CP42" s="70"/>
      <c r="CQ42" s="70"/>
      <c r="CR42" s="70"/>
      <c r="CS42" s="70"/>
      <c r="CT42" s="70"/>
      <c r="CU42" s="70"/>
      <c r="CV42" s="70"/>
      <c r="CW42" s="70"/>
      <c r="CX42" s="70"/>
      <c r="CY42" s="70"/>
      <c r="CZ42" s="70"/>
      <c r="DA42" s="70"/>
      <c r="DB42" s="70"/>
      <c r="DC42" s="70"/>
      <c r="DD42" s="70"/>
      <c r="DE42" s="70"/>
      <c r="DF42" s="70"/>
      <c r="DG42" s="70"/>
      <c r="DH42" s="70"/>
      <c r="DI42" s="70"/>
      <c r="DJ42" s="70"/>
      <c r="DK42" s="70"/>
      <c r="DL42" s="70"/>
      <c r="DM42" s="70"/>
      <c r="DN42" s="70"/>
      <c r="DO42" s="70"/>
      <c r="DP42" s="70"/>
      <c r="DQ42" s="70"/>
      <c r="DR42" s="70"/>
      <c r="DS42" s="70"/>
      <c r="DT42" s="70"/>
      <c r="DU42" s="70"/>
      <c r="DV42" s="70"/>
      <c r="DW42" s="70"/>
      <c r="DX42" s="70"/>
      <c r="DY42" s="70"/>
      <c r="DZ42" s="70"/>
      <c r="EA42" s="70"/>
      <c r="EB42" s="70"/>
      <c r="EC42" s="81"/>
      <c r="EE42" s="65"/>
      <c r="EF42" s="65"/>
      <c r="EG42" s="65"/>
      <c r="EH42" s="65"/>
      <c r="EI42" s="65"/>
      <c r="EJ42" s="65"/>
      <c r="EK42" s="65"/>
      <c r="EL42" s="65"/>
      <c r="EM42" s="65"/>
      <c r="EN42" s="65"/>
      <c r="EO42" s="65"/>
      <c r="EP42" s="65"/>
      <c r="EQ42" s="65"/>
      <c r="ER42" s="65"/>
      <c r="ES42" s="65"/>
      <c r="ET42" s="65"/>
      <c r="EU42" s="65"/>
      <c r="EV42" s="65"/>
      <c r="EW42" s="65"/>
      <c r="EX42" s="66"/>
      <c r="EY42" s="66"/>
    </row>
    <row r="43" spans="1:155" ht="24.95" customHeight="1">
      <c r="A43" s="1">
        <f>A42+1</f>
        <v>35</v>
      </c>
      <c r="B43" s="69"/>
      <c r="C43" s="70"/>
      <c r="D43" s="65"/>
      <c r="E43" s="65"/>
      <c r="F43" s="49"/>
      <c r="G43" s="93"/>
      <c r="H43" s="93"/>
      <c r="I43" s="93"/>
      <c r="J43" s="95"/>
      <c r="K43" s="95"/>
      <c r="L43" s="49"/>
      <c r="M43" s="93"/>
      <c r="N43" s="93"/>
      <c r="O43" s="93"/>
      <c r="P43" s="93"/>
      <c r="Q43" s="93"/>
      <c r="R43" s="93"/>
      <c r="S43" s="93"/>
      <c r="T43" s="93"/>
      <c r="U43" s="95"/>
      <c r="V43" s="49"/>
      <c r="W43" s="93"/>
      <c r="X43" s="93"/>
      <c r="Y43" s="93"/>
      <c r="Z43" s="49"/>
      <c r="AA43" s="93"/>
      <c r="AB43" s="93"/>
      <c r="AC43" s="93"/>
      <c r="AD43" s="93"/>
      <c r="AE43" s="95"/>
      <c r="AF43" s="49"/>
      <c r="AG43" s="93"/>
      <c r="AH43" s="93"/>
      <c r="AI43" s="49"/>
      <c r="AJ43" s="93"/>
      <c r="AK43" s="93"/>
      <c r="AL43" s="93"/>
      <c r="AM43" s="93"/>
      <c r="AN43" s="93"/>
      <c r="AO43" s="95"/>
      <c r="AP43" s="49"/>
      <c r="AQ43" s="93"/>
      <c r="AR43" s="95"/>
      <c r="AS43" s="95"/>
      <c r="AT43" s="95"/>
      <c r="AU43" s="95"/>
      <c r="AV43" s="95"/>
      <c r="AW43" s="95"/>
      <c r="AX43" s="95"/>
      <c r="AY43" s="49"/>
      <c r="AZ43" s="93"/>
      <c r="BA43" s="95"/>
      <c r="BB43" s="95"/>
      <c r="BC43" s="95"/>
      <c r="BD43" s="95"/>
      <c r="BE43" s="95"/>
      <c r="BF43" s="49"/>
      <c r="BG43" s="95"/>
      <c r="BH43" s="95"/>
      <c r="BI43" s="95"/>
      <c r="BJ43" s="95"/>
      <c r="BK43" s="95"/>
      <c r="BL43" s="95"/>
      <c r="BM43" s="95"/>
      <c r="BN43" s="95"/>
      <c r="BO43" s="49"/>
      <c r="BP43" s="93"/>
      <c r="BQ43" s="95"/>
      <c r="BR43" s="95"/>
      <c r="BS43" s="95"/>
      <c r="BT43" s="95"/>
      <c r="BU43" s="95"/>
      <c r="BV43" s="49"/>
      <c r="BW43" s="95"/>
      <c r="BX43" s="95"/>
      <c r="BY43" s="95"/>
      <c r="BZ43" s="95"/>
      <c r="CA43" s="95"/>
      <c r="CB43" s="95"/>
      <c r="CC43" s="49"/>
      <c r="CD43" s="95"/>
      <c r="CE43" s="95"/>
      <c r="CF43" s="95"/>
      <c r="CG43" s="95"/>
      <c r="CH43" s="95"/>
      <c r="CI43" s="95"/>
      <c r="CJ43" s="151"/>
      <c r="CK43" s="70"/>
      <c r="CL43" s="70"/>
      <c r="CM43" s="70"/>
      <c r="CN43" s="70"/>
      <c r="CO43" s="70"/>
      <c r="CP43" s="70"/>
      <c r="CQ43" s="70"/>
      <c r="CR43" s="70"/>
      <c r="CS43" s="70"/>
      <c r="CT43" s="70"/>
      <c r="CU43" s="70"/>
      <c r="CV43" s="70"/>
      <c r="CW43" s="70"/>
      <c r="CX43" s="70"/>
      <c r="CY43" s="70"/>
      <c r="CZ43" s="70"/>
      <c r="DA43" s="70"/>
      <c r="DB43" s="70"/>
      <c r="DC43" s="70"/>
      <c r="DD43" s="70"/>
      <c r="DE43" s="70"/>
      <c r="DF43" s="70"/>
      <c r="DG43" s="70"/>
      <c r="DH43" s="70"/>
      <c r="DI43" s="70"/>
      <c r="DJ43" s="70"/>
      <c r="DK43" s="70"/>
      <c r="DL43" s="70"/>
      <c r="DM43" s="70"/>
      <c r="DN43" s="70"/>
      <c r="DO43" s="70"/>
      <c r="DP43" s="70"/>
      <c r="DQ43" s="70"/>
      <c r="DR43" s="70"/>
      <c r="DS43" s="70"/>
      <c r="DT43" s="70"/>
      <c r="DU43" s="70"/>
      <c r="DV43" s="70"/>
      <c r="DW43" s="70"/>
      <c r="DX43" s="70"/>
      <c r="DY43" s="70"/>
      <c r="DZ43" s="70"/>
      <c r="EA43" s="70"/>
      <c r="EB43" s="70"/>
      <c r="EC43" s="81"/>
      <c r="EE43" s="65"/>
      <c r="EF43" s="65"/>
      <c r="EG43" s="65"/>
      <c r="EH43" s="65"/>
      <c r="EI43" s="65"/>
      <c r="EJ43" s="65"/>
      <c r="EK43" s="65"/>
      <c r="EL43" s="65"/>
      <c r="EM43" s="65"/>
      <c r="EN43" s="65"/>
      <c r="EO43" s="65"/>
      <c r="EP43" s="65"/>
      <c r="EQ43" s="65"/>
      <c r="ER43" s="65"/>
      <c r="ES43" s="65"/>
      <c r="ET43" s="65"/>
      <c r="EU43" s="65"/>
      <c r="EV43" s="65"/>
      <c r="EW43" s="65"/>
      <c r="EX43" s="66"/>
      <c r="EY43" s="66"/>
    </row>
    <row r="44" spans="1:155" ht="24.95" customHeight="1">
      <c r="A44" s="1">
        <f t="shared" si="14"/>
        <v>36</v>
      </c>
      <c r="B44" s="69"/>
      <c r="C44" s="70"/>
      <c r="D44" s="65"/>
      <c r="E44" s="65"/>
      <c r="F44" s="49"/>
      <c r="G44" s="93"/>
      <c r="H44" s="93"/>
      <c r="I44" s="93"/>
      <c r="J44" s="95"/>
      <c r="K44" s="95"/>
      <c r="L44" s="49"/>
      <c r="M44" s="93"/>
      <c r="N44" s="93"/>
      <c r="O44" s="93"/>
      <c r="P44" s="93"/>
      <c r="Q44" s="93"/>
      <c r="R44" s="93"/>
      <c r="S44" s="93"/>
      <c r="T44" s="93"/>
      <c r="U44" s="95"/>
      <c r="V44" s="49"/>
      <c r="W44" s="93"/>
      <c r="X44" s="93"/>
      <c r="Y44" s="93"/>
      <c r="Z44" s="49"/>
      <c r="AA44" s="93"/>
      <c r="AB44" s="93"/>
      <c r="AC44" s="93"/>
      <c r="AD44" s="93"/>
      <c r="AE44" s="95"/>
      <c r="AF44" s="49"/>
      <c r="AG44" s="93"/>
      <c r="AH44" s="93"/>
      <c r="AI44" s="49"/>
      <c r="AJ44" s="93"/>
      <c r="AK44" s="93"/>
      <c r="AL44" s="93"/>
      <c r="AM44" s="93"/>
      <c r="AN44" s="93"/>
      <c r="AO44" s="95"/>
      <c r="AP44" s="49"/>
      <c r="AQ44" s="93"/>
      <c r="AR44" s="95"/>
      <c r="AS44" s="95"/>
      <c r="AT44" s="95"/>
      <c r="AU44" s="95"/>
      <c r="AV44" s="95"/>
      <c r="AW44" s="95"/>
      <c r="AX44" s="95"/>
      <c r="AY44" s="49"/>
      <c r="AZ44" s="93"/>
      <c r="BA44" s="95"/>
      <c r="BB44" s="95"/>
      <c r="BC44" s="95"/>
      <c r="BD44" s="95"/>
      <c r="BE44" s="95"/>
      <c r="BF44" s="49"/>
      <c r="BG44" s="95"/>
      <c r="BH44" s="95"/>
      <c r="BI44" s="95"/>
      <c r="BJ44" s="95"/>
      <c r="BK44" s="95"/>
      <c r="BL44" s="95"/>
      <c r="BM44" s="95"/>
      <c r="BN44" s="95"/>
      <c r="BO44" s="49"/>
      <c r="BP44" s="93"/>
      <c r="BQ44" s="95"/>
      <c r="BR44" s="95"/>
      <c r="BS44" s="95"/>
      <c r="BT44" s="95"/>
      <c r="BU44" s="95"/>
      <c r="BV44" s="49"/>
      <c r="BW44" s="95"/>
      <c r="BX44" s="95"/>
      <c r="BY44" s="95"/>
      <c r="BZ44" s="95"/>
      <c r="CA44" s="95"/>
      <c r="CB44" s="95"/>
      <c r="CC44" s="49"/>
      <c r="CD44" s="95"/>
      <c r="CE44" s="95"/>
      <c r="CF44" s="95"/>
      <c r="CG44" s="95"/>
      <c r="CH44" s="95"/>
      <c r="CI44" s="95"/>
      <c r="CJ44" s="151"/>
      <c r="CK44" s="70"/>
      <c r="CL44" s="70"/>
      <c r="CM44" s="70"/>
      <c r="CN44" s="70"/>
      <c r="CO44" s="70"/>
      <c r="CP44" s="70"/>
      <c r="CQ44" s="70"/>
      <c r="CR44" s="70"/>
      <c r="CS44" s="70"/>
      <c r="CT44" s="70"/>
      <c r="CU44" s="70"/>
      <c r="CV44" s="70"/>
      <c r="CW44" s="70"/>
      <c r="CX44" s="70"/>
      <c r="CY44" s="70"/>
      <c r="CZ44" s="70"/>
      <c r="DA44" s="70"/>
      <c r="DB44" s="70"/>
      <c r="DC44" s="70"/>
      <c r="DD44" s="70"/>
      <c r="DE44" s="70"/>
      <c r="DF44" s="70"/>
      <c r="DG44" s="70"/>
      <c r="DH44" s="70"/>
      <c r="DI44" s="70"/>
      <c r="DJ44" s="70"/>
      <c r="DK44" s="70"/>
      <c r="DL44" s="70"/>
      <c r="DM44" s="70"/>
      <c r="DN44" s="70"/>
      <c r="DO44" s="70"/>
      <c r="DP44" s="70"/>
      <c r="DQ44" s="70"/>
      <c r="DR44" s="70"/>
      <c r="DS44" s="70"/>
      <c r="DT44" s="70"/>
      <c r="DU44" s="70"/>
      <c r="DV44" s="70"/>
      <c r="DW44" s="70"/>
      <c r="DX44" s="70"/>
      <c r="DY44" s="70"/>
      <c r="DZ44" s="70"/>
      <c r="EA44" s="70"/>
      <c r="EB44" s="70"/>
      <c r="EC44" s="81"/>
      <c r="EE44" s="65"/>
      <c r="EF44" s="65"/>
      <c r="EG44" s="65"/>
      <c r="EH44" s="65"/>
      <c r="EI44" s="65"/>
      <c r="EJ44" s="65"/>
      <c r="EK44" s="65"/>
      <c r="EL44" s="65"/>
      <c r="EM44" s="65"/>
      <c r="EN44" s="65"/>
      <c r="EO44" s="65"/>
      <c r="EP44" s="65"/>
      <c r="EQ44" s="65"/>
      <c r="ER44" s="65"/>
      <c r="ES44" s="65"/>
      <c r="ET44" s="65"/>
      <c r="EU44" s="65"/>
      <c r="EV44" s="65"/>
      <c r="EW44" s="65"/>
      <c r="EX44" s="66"/>
      <c r="EY44" s="66"/>
    </row>
    <row r="45" spans="1:155" ht="24.95" customHeight="1">
      <c r="A45" s="1">
        <f t="shared" si="14"/>
        <v>37</v>
      </c>
      <c r="B45" s="69"/>
      <c r="C45" s="70"/>
      <c r="D45" s="89"/>
      <c r="E45" s="89"/>
      <c r="F45" s="89"/>
      <c r="G45" s="88"/>
      <c r="H45" s="88"/>
      <c r="I45" s="88"/>
      <c r="J45" s="88"/>
      <c r="K45" s="88"/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  <c r="AP45" s="89"/>
      <c r="AQ45" s="89"/>
      <c r="AR45" s="91"/>
      <c r="AS45" s="91"/>
      <c r="AT45" s="88"/>
      <c r="AU45" s="91"/>
      <c r="AV45" s="91"/>
      <c r="AW45" s="91"/>
      <c r="AX45" s="91"/>
      <c r="AY45" s="91"/>
      <c r="AZ45" s="88"/>
      <c r="BA45" s="88"/>
      <c r="BB45" s="88"/>
      <c r="BC45" s="91"/>
      <c r="BD45" s="91"/>
      <c r="BE45" s="91"/>
      <c r="BF45" s="91"/>
      <c r="BG45" s="91"/>
      <c r="BH45" s="91"/>
      <c r="BI45" s="91"/>
      <c r="BJ45" s="91"/>
      <c r="BK45" s="91"/>
      <c r="BL45" s="91"/>
      <c r="BM45" s="91"/>
      <c r="BN45" s="91"/>
      <c r="BO45" s="91"/>
      <c r="BP45" s="91"/>
      <c r="BQ45" s="91"/>
      <c r="BR45" s="88"/>
      <c r="BS45" s="88" t="s">
        <v>108</v>
      </c>
      <c r="BT45" s="88"/>
      <c r="BU45" s="91"/>
      <c r="BV45" s="88"/>
      <c r="BW45" s="91"/>
      <c r="BX45" s="91"/>
      <c r="BY45" s="91"/>
      <c r="BZ45" s="91"/>
      <c r="CA45" s="91"/>
      <c r="CB45" s="91" t="s">
        <v>98</v>
      </c>
      <c r="CC45" s="91" t="s">
        <v>99</v>
      </c>
      <c r="CD45" s="91" t="s">
        <v>100</v>
      </c>
      <c r="CE45" s="91" t="s">
        <v>101</v>
      </c>
      <c r="CF45" s="91" t="s">
        <v>97</v>
      </c>
      <c r="CG45" s="91"/>
      <c r="CH45" s="88" t="s">
        <v>109</v>
      </c>
      <c r="CI45" s="91"/>
      <c r="CJ45" s="151"/>
      <c r="CK45" s="70"/>
      <c r="CL45" s="70"/>
      <c r="CM45" s="70"/>
      <c r="CN45" s="70"/>
      <c r="CO45" s="70"/>
      <c r="CP45" s="70"/>
      <c r="CQ45" s="70"/>
      <c r="CR45" s="70"/>
      <c r="CS45" s="70"/>
      <c r="CT45" s="70"/>
      <c r="CU45" s="70"/>
      <c r="CV45" s="70"/>
      <c r="CW45" s="70"/>
      <c r="CX45" s="70"/>
      <c r="CY45" s="70"/>
      <c r="CZ45" s="70"/>
      <c r="DA45" s="70"/>
      <c r="DB45" s="70"/>
      <c r="DC45" s="70"/>
      <c r="DD45" s="70"/>
      <c r="DE45" s="70"/>
      <c r="DF45" s="70"/>
      <c r="DG45" s="70"/>
      <c r="DH45" s="70"/>
      <c r="DI45" s="70"/>
      <c r="DJ45" s="70"/>
      <c r="DK45" s="70"/>
      <c r="DL45" s="70"/>
      <c r="DM45" s="70"/>
      <c r="DN45" s="70"/>
      <c r="DO45" s="70"/>
      <c r="DP45" s="70"/>
      <c r="DQ45" s="70"/>
      <c r="DR45" s="70"/>
      <c r="DS45" s="70"/>
      <c r="DT45" s="70"/>
      <c r="DU45" s="70"/>
      <c r="DV45" s="70"/>
      <c r="DW45" s="70"/>
      <c r="DX45" s="70"/>
      <c r="DY45" s="70"/>
      <c r="DZ45" s="70"/>
      <c r="EA45" s="70"/>
      <c r="EB45" s="70"/>
      <c r="EC45" s="81"/>
      <c r="EE45" s="66"/>
      <c r="EF45" s="66"/>
      <c r="EG45" s="66"/>
      <c r="EH45" s="66"/>
      <c r="EI45" s="66"/>
      <c r="EJ45" s="66"/>
      <c r="EK45" s="66"/>
      <c r="EL45" s="66"/>
      <c r="EM45" s="66"/>
      <c r="EN45" s="66"/>
      <c r="EO45" s="66"/>
      <c r="EP45" s="66"/>
      <c r="EQ45" s="66"/>
      <c r="ER45" s="66"/>
      <c r="ES45" s="66"/>
      <c r="ET45" s="66"/>
      <c r="EU45" s="66"/>
      <c r="EV45" s="66"/>
      <c r="EW45" s="66"/>
      <c r="EX45" s="66"/>
      <c r="EY45" s="66"/>
    </row>
    <row r="46" spans="1:155" ht="24.95" customHeight="1">
      <c r="A46" s="1">
        <f t="shared" si="14"/>
        <v>38</v>
      </c>
      <c r="B46" s="69"/>
      <c r="C46" s="65"/>
      <c r="D46" s="101" t="s">
        <v>130</v>
      </c>
      <c r="E46" s="101"/>
      <c r="F46" s="101"/>
      <c r="G46" s="101"/>
      <c r="H46" s="101"/>
      <c r="I46" s="101"/>
      <c r="J46" s="101"/>
      <c r="K46" s="101"/>
      <c r="L46" s="100"/>
      <c r="M46" s="101"/>
      <c r="N46" s="101"/>
      <c r="O46" s="101"/>
      <c r="P46" s="101"/>
      <c r="Q46" s="101"/>
      <c r="R46" s="101"/>
      <c r="S46" s="101"/>
      <c r="T46" s="101"/>
      <c r="U46" s="101"/>
      <c r="V46" s="101"/>
      <c r="W46" s="101"/>
      <c r="X46" s="101"/>
      <c r="Y46" s="101"/>
      <c r="Z46" s="101"/>
      <c r="AA46" s="101"/>
      <c r="AB46" s="101"/>
      <c r="AC46" s="101"/>
      <c r="AD46" s="101"/>
      <c r="AE46" s="101"/>
      <c r="AF46" s="101"/>
      <c r="AG46" s="101"/>
      <c r="AH46" s="101"/>
      <c r="AI46" s="101"/>
      <c r="AJ46" s="101"/>
      <c r="AK46" s="101"/>
      <c r="AL46" s="103"/>
      <c r="AM46" s="103"/>
      <c r="AN46" s="103"/>
      <c r="AO46" s="103"/>
      <c r="AP46" s="100"/>
      <c r="AQ46" s="100"/>
      <c r="AR46" s="100"/>
      <c r="AS46" s="100"/>
      <c r="AT46" s="100"/>
      <c r="AU46" s="100"/>
      <c r="AV46" s="100"/>
      <c r="AW46" s="100"/>
      <c r="AX46" s="100"/>
      <c r="AY46" s="100"/>
      <c r="AZ46" s="100"/>
      <c r="BA46" s="100"/>
      <c r="BB46" s="100"/>
      <c r="BC46" s="100"/>
      <c r="BD46" s="100"/>
      <c r="BE46" s="100"/>
      <c r="BF46" s="100"/>
      <c r="BG46" s="100"/>
      <c r="BH46" s="100"/>
      <c r="BI46" s="100"/>
      <c r="BJ46" s="100"/>
      <c r="BK46" s="100"/>
      <c r="BL46" s="100"/>
      <c r="BM46" s="100"/>
      <c r="BN46" s="100"/>
      <c r="BO46" s="100"/>
      <c r="BP46" s="100"/>
      <c r="BQ46" s="100"/>
      <c r="BR46" s="100"/>
      <c r="BS46" s="100"/>
      <c r="BT46" s="100"/>
      <c r="BU46" s="100"/>
      <c r="BV46" s="100"/>
      <c r="BW46" s="100"/>
      <c r="BX46" s="100"/>
      <c r="BY46" s="100"/>
      <c r="BZ46" s="100"/>
      <c r="CA46" s="100"/>
      <c r="CB46" s="100"/>
      <c r="CC46" s="100"/>
      <c r="CD46" s="100"/>
      <c r="CE46" s="101"/>
      <c r="CF46" s="101"/>
      <c r="CG46" s="101"/>
      <c r="CH46" s="101"/>
      <c r="CI46" s="101"/>
      <c r="CJ46" s="152"/>
      <c r="CK46" s="65"/>
      <c r="CL46" s="65"/>
      <c r="CM46" s="65"/>
      <c r="CN46" s="65"/>
      <c r="CO46" s="65"/>
      <c r="CP46" s="65"/>
      <c r="CQ46" s="65"/>
      <c r="CR46" s="65"/>
      <c r="CS46" s="65"/>
      <c r="CT46" s="65"/>
      <c r="CU46" s="65"/>
      <c r="CV46" s="65"/>
      <c r="CW46" s="65"/>
      <c r="CX46" s="65"/>
      <c r="CY46" s="65"/>
      <c r="CZ46" s="65"/>
      <c r="DA46" s="65"/>
      <c r="DB46" s="65"/>
      <c r="DC46" s="65"/>
      <c r="DD46" s="65"/>
      <c r="DE46" s="65"/>
      <c r="DF46" s="65"/>
      <c r="DG46" s="65"/>
      <c r="DH46" s="65"/>
      <c r="DI46" s="65"/>
      <c r="DJ46" s="65"/>
      <c r="DK46" s="65"/>
      <c r="DL46" s="65"/>
      <c r="DM46" s="65"/>
      <c r="DN46" s="65"/>
      <c r="DO46" s="65"/>
      <c r="DP46" s="65"/>
      <c r="DQ46" s="65"/>
      <c r="DR46" s="65"/>
      <c r="DS46" s="65"/>
      <c r="DT46" s="65"/>
      <c r="DU46" s="65"/>
      <c r="DV46" s="65"/>
      <c r="DW46" s="65"/>
      <c r="DX46" s="65"/>
      <c r="DY46" s="65"/>
      <c r="DZ46" s="65"/>
      <c r="EA46" s="65"/>
      <c r="EB46" s="65"/>
      <c r="EC46" s="76"/>
      <c r="EE46" s="66"/>
      <c r="EF46" s="66"/>
      <c r="EG46" s="66"/>
      <c r="EH46" s="66"/>
      <c r="EI46" s="66"/>
      <c r="EJ46" s="66"/>
      <c r="EK46" s="66"/>
      <c r="EL46" s="66"/>
      <c r="EM46" s="66"/>
      <c r="EN46" s="66"/>
      <c r="EO46" s="66"/>
      <c r="EP46" s="66"/>
      <c r="EQ46" s="66"/>
      <c r="ER46" s="66"/>
      <c r="ES46" s="66"/>
      <c r="ET46" s="66"/>
      <c r="EU46" s="66"/>
      <c r="EV46" s="66"/>
      <c r="EW46" s="66"/>
      <c r="EX46" s="66"/>
      <c r="EY46" s="66"/>
    </row>
    <row r="47" spans="1:155" ht="24.95" customHeight="1">
      <c r="A47" s="1">
        <f t="shared" si="14"/>
        <v>39</v>
      </c>
      <c r="B47" s="69"/>
      <c r="C47" s="65"/>
      <c r="D47" s="49" t="s">
        <v>116</v>
      </c>
      <c r="E47" s="101"/>
      <c r="F47" s="101"/>
      <c r="G47" s="101"/>
      <c r="H47" s="101"/>
      <c r="I47" s="101"/>
      <c r="J47" s="104" t="s">
        <v>133</v>
      </c>
      <c r="K47" s="49"/>
      <c r="L47" s="49" t="s">
        <v>118</v>
      </c>
      <c r="M47" s="49" t="s">
        <v>134</v>
      </c>
      <c r="N47" s="49"/>
      <c r="O47" s="101"/>
      <c r="P47" s="101"/>
      <c r="Q47" s="101"/>
      <c r="R47" s="101"/>
      <c r="S47" s="101"/>
      <c r="T47" s="101"/>
      <c r="U47" s="101"/>
      <c r="V47" s="101"/>
      <c r="W47" s="101"/>
      <c r="X47" s="49" t="s">
        <v>122</v>
      </c>
      <c r="Y47" s="93"/>
      <c r="Z47" s="94"/>
      <c r="AA47" s="49"/>
      <c r="AB47" s="94"/>
      <c r="AC47" s="93"/>
      <c r="AD47" s="104" t="s">
        <v>107</v>
      </c>
      <c r="AE47" s="93"/>
      <c r="AF47" s="93"/>
      <c r="AG47" s="93"/>
      <c r="AH47" s="101"/>
      <c r="AI47" s="101"/>
      <c r="AJ47" s="101"/>
      <c r="AK47" s="101"/>
      <c r="AL47" s="103"/>
      <c r="AM47" s="103"/>
      <c r="AN47" s="103"/>
      <c r="AO47" s="103"/>
      <c r="AP47" s="100"/>
      <c r="AQ47" s="100"/>
      <c r="AR47" s="100"/>
      <c r="AS47" s="100"/>
      <c r="AT47" s="100"/>
      <c r="AU47" s="100"/>
      <c r="AV47" s="100"/>
      <c r="AW47" s="100"/>
      <c r="AX47" s="100"/>
      <c r="AY47" s="100"/>
      <c r="AZ47" s="100"/>
      <c r="BA47" s="100"/>
      <c r="BB47" s="100"/>
      <c r="BC47" s="100"/>
      <c r="BD47" s="100"/>
      <c r="BE47" s="100"/>
      <c r="BF47" s="100"/>
      <c r="BG47" s="100"/>
      <c r="BH47" s="100"/>
      <c r="BI47" s="100"/>
      <c r="BJ47" s="100"/>
      <c r="BK47" s="100"/>
      <c r="BL47" s="100"/>
      <c r="BM47" s="100"/>
      <c r="BN47" s="100"/>
      <c r="BO47" s="100"/>
      <c r="BP47" s="100"/>
      <c r="BQ47" s="100"/>
      <c r="BR47" s="100"/>
      <c r="BS47" s="100"/>
      <c r="BT47" s="100"/>
      <c r="BU47" s="100"/>
      <c r="BV47" s="100"/>
      <c r="BW47" s="100"/>
      <c r="BX47" s="100"/>
      <c r="BY47" s="100"/>
      <c r="BZ47" s="99"/>
      <c r="CA47" s="99"/>
      <c r="CB47" s="99"/>
      <c r="CC47" s="99"/>
      <c r="CD47" s="99"/>
      <c r="CE47" s="94"/>
      <c r="CF47" s="94"/>
      <c r="CG47" s="94"/>
      <c r="CH47" s="94"/>
      <c r="CI47" s="49"/>
      <c r="CJ47" s="152"/>
      <c r="CK47" s="65"/>
      <c r="CL47" s="65"/>
      <c r="CM47" s="65"/>
      <c r="CN47" s="65"/>
      <c r="CO47" s="65"/>
      <c r="CP47" s="65"/>
      <c r="CQ47" s="65"/>
      <c r="CR47" s="65"/>
      <c r="CS47" s="65"/>
      <c r="CT47" s="65"/>
      <c r="CU47" s="65"/>
      <c r="CV47" s="65"/>
      <c r="CW47" s="65"/>
      <c r="CX47" s="65"/>
      <c r="CY47" s="65"/>
      <c r="CZ47" s="65"/>
      <c r="DA47" s="65"/>
      <c r="DB47" s="65"/>
      <c r="DC47" s="65"/>
      <c r="DD47" s="65"/>
      <c r="DE47" s="65"/>
      <c r="DF47" s="65"/>
      <c r="DG47" s="65"/>
      <c r="DH47" s="65"/>
      <c r="DI47" s="65"/>
      <c r="DJ47" s="65"/>
      <c r="DK47" s="65"/>
      <c r="DL47" s="65"/>
      <c r="DM47" s="65"/>
      <c r="DN47" s="65"/>
      <c r="DO47" s="65"/>
      <c r="DP47" s="65"/>
      <c r="DQ47" s="65"/>
      <c r="DR47" s="65"/>
      <c r="DS47" s="65"/>
      <c r="DT47" s="65"/>
      <c r="DU47" s="65"/>
      <c r="DV47" s="65"/>
      <c r="DW47" s="65"/>
      <c r="DX47" s="65"/>
      <c r="DY47" s="65"/>
      <c r="DZ47" s="65"/>
      <c r="EA47" s="65"/>
      <c r="EB47" s="65"/>
      <c r="EC47" s="76"/>
      <c r="EE47" s="66"/>
      <c r="EF47" s="66"/>
      <c r="EG47" s="66"/>
      <c r="EH47" s="66"/>
      <c r="EI47" s="66"/>
      <c r="EJ47" s="66"/>
      <c r="EK47" s="66"/>
      <c r="EL47" s="66"/>
      <c r="EM47" s="66"/>
      <c r="EN47" s="66"/>
      <c r="EO47" s="66"/>
      <c r="EP47" s="66"/>
      <c r="EQ47" s="66"/>
      <c r="ER47" s="66"/>
      <c r="ES47" s="66"/>
      <c r="ET47" s="66"/>
      <c r="EU47" s="66"/>
      <c r="EV47" s="66"/>
      <c r="EW47" s="66"/>
      <c r="EX47" s="66"/>
      <c r="EY47" s="66"/>
    </row>
    <row r="48" spans="1:155" ht="24.95" customHeight="1">
      <c r="A48" s="1">
        <f t="shared" si="14"/>
        <v>40</v>
      </c>
      <c r="B48" s="69"/>
      <c r="C48" s="65"/>
      <c r="D48" s="49" t="s">
        <v>119</v>
      </c>
      <c r="E48" s="49"/>
      <c r="F48" s="49"/>
      <c r="G48" s="49"/>
      <c r="H48" s="49"/>
      <c r="I48" s="49"/>
      <c r="J48" s="104" t="s">
        <v>135</v>
      </c>
      <c r="K48" s="49"/>
      <c r="L48" s="49" t="s">
        <v>106</v>
      </c>
      <c r="M48" s="49" t="s">
        <v>136</v>
      </c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49"/>
      <c r="AO48" s="49"/>
      <c r="AT48" s="99"/>
      <c r="AU48" s="99"/>
      <c r="AV48" s="99"/>
      <c r="AW48" s="100"/>
      <c r="AX48" s="100"/>
      <c r="AY48" s="100"/>
      <c r="AZ48" s="100"/>
      <c r="BA48" s="100"/>
      <c r="BB48" s="100"/>
      <c r="BC48" s="100"/>
      <c r="BD48" s="100"/>
      <c r="BE48" s="100"/>
      <c r="BH48" s="49" t="s">
        <v>131</v>
      </c>
      <c r="CJ48" s="152"/>
      <c r="CK48" s="65"/>
      <c r="CL48" s="65"/>
      <c r="CM48" s="65"/>
      <c r="CN48" s="65"/>
      <c r="CO48" s="65"/>
      <c r="CP48" s="65"/>
      <c r="CQ48" s="65"/>
      <c r="CR48" s="65"/>
      <c r="CS48" s="65"/>
      <c r="CT48" s="65"/>
      <c r="CU48" s="65"/>
      <c r="CV48" s="65"/>
      <c r="CW48" s="65"/>
      <c r="CX48" s="65"/>
      <c r="CY48" s="65"/>
      <c r="CZ48" s="65"/>
      <c r="DA48" s="65"/>
      <c r="DB48" s="65"/>
      <c r="DC48" s="65"/>
      <c r="DD48" s="65"/>
      <c r="DE48" s="65"/>
      <c r="DF48" s="65"/>
      <c r="DG48" s="65"/>
      <c r="DH48" s="65"/>
      <c r="DI48" s="65"/>
      <c r="DJ48" s="65"/>
      <c r="DK48" s="65"/>
      <c r="DL48" s="65"/>
      <c r="DM48" s="65"/>
      <c r="DN48" s="65"/>
      <c r="DO48" s="65"/>
      <c r="DP48" s="65"/>
      <c r="DQ48" s="65"/>
      <c r="DR48" s="65"/>
      <c r="DS48" s="65"/>
      <c r="DT48" s="65"/>
      <c r="DU48" s="65"/>
      <c r="DV48" s="65"/>
      <c r="DW48" s="65"/>
      <c r="DX48" s="65"/>
      <c r="DY48" s="65"/>
      <c r="DZ48" s="65"/>
      <c r="EA48" s="65"/>
      <c r="EB48" s="65"/>
      <c r="EC48" s="76"/>
      <c r="EE48" s="66"/>
      <c r="EF48" s="66"/>
      <c r="EG48" s="66"/>
      <c r="EH48" s="66"/>
      <c r="EI48" s="66"/>
      <c r="EJ48" s="66"/>
      <c r="EK48" s="66"/>
      <c r="EL48" s="66"/>
      <c r="EM48" s="66"/>
      <c r="EN48" s="66"/>
      <c r="EO48" s="66"/>
      <c r="EP48" s="66"/>
      <c r="EQ48" s="66"/>
      <c r="ER48" s="66"/>
      <c r="ES48" s="66"/>
      <c r="ET48" s="66"/>
      <c r="EU48" s="66"/>
      <c r="EV48" s="66"/>
      <c r="EW48" s="66"/>
      <c r="EX48" s="66"/>
      <c r="EY48" s="66"/>
    </row>
    <row r="49" spans="1:155" ht="24.95" customHeight="1">
      <c r="A49" s="1">
        <f t="shared" si="14"/>
        <v>41</v>
      </c>
      <c r="B49" s="69"/>
      <c r="C49" s="65"/>
      <c r="D49" s="49"/>
      <c r="E49" s="93"/>
      <c r="F49" s="94"/>
      <c r="G49" s="49"/>
      <c r="H49" s="94"/>
      <c r="I49" s="93"/>
      <c r="J49" s="104"/>
      <c r="K49" s="93"/>
      <c r="L49" s="93"/>
      <c r="M49" s="93"/>
      <c r="N49" s="93"/>
      <c r="O49" s="93"/>
      <c r="P49" s="93"/>
      <c r="Q49" s="49"/>
      <c r="R49" s="49"/>
      <c r="S49" s="49"/>
      <c r="T49" s="49"/>
      <c r="U49" s="49"/>
      <c r="V49" s="95"/>
      <c r="W49" s="95"/>
      <c r="X49" s="95"/>
      <c r="Y49" s="95"/>
      <c r="Z49" s="95"/>
      <c r="AA49" s="95"/>
      <c r="AB49" s="95"/>
      <c r="AC49" s="95"/>
      <c r="AD49" s="95"/>
      <c r="AE49" s="95"/>
      <c r="AF49" s="95"/>
      <c r="AG49" s="95"/>
      <c r="AH49" s="95"/>
      <c r="AI49" s="95"/>
      <c r="AJ49" s="49"/>
      <c r="AK49" s="49"/>
      <c r="AL49" s="49"/>
      <c r="AM49" s="49"/>
      <c r="AN49" s="49"/>
      <c r="AO49" s="49"/>
      <c r="AP49" s="49"/>
      <c r="AQ49" s="49"/>
      <c r="AR49" s="49"/>
      <c r="AS49" s="49"/>
      <c r="AT49" s="49"/>
      <c r="AU49" s="95"/>
      <c r="AV49" s="95"/>
      <c r="AW49" s="95"/>
      <c r="AX49" s="95"/>
      <c r="AY49" s="95"/>
      <c r="AZ49" s="95"/>
      <c r="BA49" s="95"/>
      <c r="BB49" s="95"/>
      <c r="BC49" s="95"/>
      <c r="BD49" s="95"/>
      <c r="BE49" s="95"/>
      <c r="BF49" s="95"/>
      <c r="BG49" s="95"/>
      <c r="BH49" s="95"/>
      <c r="BI49" s="95"/>
      <c r="BJ49" s="95"/>
      <c r="BK49" s="95"/>
      <c r="BL49" s="107"/>
      <c r="BM49" s="95"/>
      <c r="BN49" s="95"/>
      <c r="BO49" s="95"/>
      <c r="BP49" s="95"/>
      <c r="BQ49" s="95"/>
      <c r="BR49" s="95"/>
      <c r="BS49" s="95"/>
      <c r="BT49" s="95"/>
      <c r="BU49" s="95"/>
      <c r="BV49" s="95"/>
      <c r="BW49" s="95"/>
      <c r="BX49" s="95"/>
      <c r="BY49" s="95"/>
      <c r="BZ49" s="95"/>
      <c r="CA49" s="95"/>
      <c r="CB49" s="95"/>
      <c r="CC49" s="95"/>
      <c r="CD49" s="95"/>
      <c r="CE49" s="95"/>
      <c r="CF49" s="95"/>
      <c r="CG49" s="95"/>
      <c r="CH49" s="95"/>
      <c r="CI49" s="95"/>
      <c r="CJ49" s="152"/>
      <c r="CK49" s="65"/>
      <c r="CL49" s="65"/>
      <c r="CM49" s="65"/>
      <c r="CN49" s="65"/>
      <c r="CO49" s="65"/>
      <c r="CP49" s="65"/>
      <c r="CQ49" s="65"/>
      <c r="CR49" s="65"/>
      <c r="CS49" s="65"/>
      <c r="CT49" s="65"/>
      <c r="CU49" s="65"/>
      <c r="CV49" s="65"/>
      <c r="CW49" s="65"/>
      <c r="CX49" s="65"/>
      <c r="CY49" s="65"/>
      <c r="CZ49" s="65"/>
      <c r="DA49" s="65"/>
      <c r="DB49" s="65"/>
      <c r="DC49" s="65"/>
      <c r="DD49" s="65"/>
      <c r="DE49" s="65"/>
      <c r="DF49" s="65"/>
      <c r="DG49" s="65"/>
      <c r="DH49" s="65"/>
      <c r="DI49" s="65"/>
      <c r="DJ49" s="65"/>
      <c r="DK49" s="65"/>
      <c r="DL49" s="65"/>
      <c r="DM49" s="65"/>
      <c r="DN49" s="65"/>
      <c r="DO49" s="65"/>
      <c r="DP49" s="65"/>
      <c r="DQ49" s="65"/>
      <c r="DR49" s="65"/>
      <c r="DS49" s="65"/>
      <c r="DT49" s="65"/>
      <c r="DU49" s="65"/>
      <c r="DV49" s="65"/>
      <c r="DW49" s="65"/>
      <c r="DX49" s="65"/>
      <c r="DY49" s="65"/>
      <c r="DZ49" s="65"/>
      <c r="EA49" s="65"/>
      <c r="EB49" s="65"/>
      <c r="EC49" s="76"/>
      <c r="EE49" s="66"/>
      <c r="EF49" s="66"/>
      <c r="EG49" s="66"/>
      <c r="EH49" s="66"/>
      <c r="EI49" s="66"/>
      <c r="EJ49" s="66"/>
      <c r="EK49" s="66"/>
      <c r="EL49" s="66"/>
      <c r="EM49" s="66"/>
      <c r="EN49" s="66"/>
      <c r="EO49" s="66"/>
      <c r="EP49" s="66"/>
      <c r="EQ49" s="66"/>
      <c r="ER49" s="66"/>
      <c r="ES49" s="66"/>
      <c r="ET49" s="66"/>
      <c r="EU49" s="66"/>
      <c r="EV49" s="66"/>
      <c r="EW49" s="66"/>
      <c r="EX49" s="66"/>
      <c r="EY49" s="66"/>
    </row>
    <row r="50" spans="1:155" ht="24.95" customHeight="1">
      <c r="A50" s="1">
        <f t="shared" si="14"/>
        <v>42</v>
      </c>
      <c r="B50" s="69"/>
      <c r="C50" s="65"/>
      <c r="D50" s="125" t="s">
        <v>408</v>
      </c>
      <c r="E50" s="127"/>
      <c r="F50" s="119"/>
      <c r="G50" s="118"/>
      <c r="H50" s="119"/>
      <c r="I50" s="127"/>
      <c r="J50" s="127"/>
      <c r="K50" s="127"/>
      <c r="L50" s="127"/>
      <c r="M50" s="127"/>
      <c r="N50" s="127"/>
      <c r="O50" s="127"/>
      <c r="P50" s="127"/>
      <c r="Q50" s="118"/>
      <c r="R50" s="118"/>
      <c r="S50" s="118"/>
      <c r="T50" s="118"/>
      <c r="U50" s="118"/>
      <c r="V50" s="120"/>
      <c r="W50" s="120"/>
      <c r="X50" s="120"/>
      <c r="Y50" s="121"/>
      <c r="Z50" s="207" t="s">
        <v>127</v>
      </c>
      <c r="AA50" s="208"/>
      <c r="AB50" s="208"/>
      <c r="AC50" s="208"/>
      <c r="AD50" s="208"/>
      <c r="AE50" s="208"/>
      <c r="AF50" s="208"/>
      <c r="AG50" s="208"/>
      <c r="AH50" s="208"/>
      <c r="AI50" s="208"/>
      <c r="AJ50" s="208"/>
      <c r="AK50" s="208"/>
      <c r="AL50" s="208"/>
      <c r="AM50" s="208"/>
      <c r="AN50" s="208"/>
      <c r="AO50" s="209"/>
      <c r="AP50" s="207" t="s">
        <v>128</v>
      </c>
      <c r="AQ50" s="208"/>
      <c r="AR50" s="208"/>
      <c r="AS50" s="208"/>
      <c r="AT50" s="208"/>
      <c r="AU50" s="208"/>
      <c r="AV50" s="208"/>
      <c r="AW50" s="208"/>
      <c r="AX50" s="208"/>
      <c r="AY50" s="208"/>
      <c r="AZ50" s="208"/>
      <c r="BA50" s="208"/>
      <c r="BB50" s="208"/>
      <c r="BC50" s="208"/>
      <c r="BD50" s="208"/>
      <c r="BE50" s="209"/>
      <c r="BF50" s="207" t="s">
        <v>129</v>
      </c>
      <c r="BG50" s="208"/>
      <c r="BH50" s="208"/>
      <c r="BI50" s="208"/>
      <c r="BJ50" s="208"/>
      <c r="BK50" s="208"/>
      <c r="BL50" s="208"/>
      <c r="BM50" s="208"/>
      <c r="BN50" s="208"/>
      <c r="BO50" s="208"/>
      <c r="BP50" s="208"/>
      <c r="BQ50" s="208"/>
      <c r="BR50" s="208"/>
      <c r="BS50" s="208"/>
      <c r="BT50" s="208"/>
      <c r="BU50" s="209"/>
      <c r="BV50" s="216" t="s">
        <v>218</v>
      </c>
      <c r="BW50" s="208"/>
      <c r="BX50" s="208"/>
      <c r="BY50" s="208"/>
      <c r="BZ50" s="208"/>
      <c r="CA50" s="208"/>
      <c r="CB50" s="209"/>
      <c r="CC50" s="207" t="s">
        <v>196</v>
      </c>
      <c r="CD50" s="208"/>
      <c r="CE50" s="208"/>
      <c r="CF50" s="208"/>
      <c r="CG50" s="208"/>
      <c r="CH50" s="208"/>
      <c r="CI50" s="209"/>
      <c r="CJ50" s="153"/>
      <c r="CK50" s="66"/>
      <c r="CL50" s="66"/>
      <c r="CM50" s="66"/>
      <c r="CN50" s="66"/>
      <c r="CO50" s="66"/>
      <c r="CP50" s="66"/>
      <c r="CQ50" s="66"/>
      <c r="CR50" s="66"/>
      <c r="CS50" s="66"/>
      <c r="CT50" s="66"/>
      <c r="CU50" s="66"/>
      <c r="CV50" s="66"/>
      <c r="CW50" s="66"/>
      <c r="CX50" s="66"/>
      <c r="CY50" s="66"/>
      <c r="CZ50" s="66"/>
      <c r="DA50" s="66"/>
      <c r="DB50" s="66"/>
      <c r="DC50" s="66"/>
      <c r="DD50" s="66"/>
      <c r="DE50" s="66"/>
      <c r="DF50" s="66"/>
      <c r="DG50" s="66"/>
      <c r="DH50" s="66"/>
      <c r="DI50" s="66"/>
      <c r="DJ50" s="66"/>
      <c r="DK50" s="66"/>
      <c r="DL50" s="66"/>
      <c r="DM50" s="66"/>
      <c r="DN50" s="66"/>
      <c r="DO50" s="66"/>
      <c r="DP50" s="66"/>
      <c r="DQ50" s="66"/>
      <c r="DR50" s="66"/>
      <c r="DS50" s="66"/>
      <c r="DT50" s="66"/>
      <c r="DU50" s="66"/>
      <c r="DV50" s="66"/>
      <c r="DW50" s="66"/>
      <c r="DX50" s="66"/>
      <c r="DY50" s="66"/>
      <c r="DZ50" s="66"/>
      <c r="EA50" s="66"/>
      <c r="EB50" s="66"/>
      <c r="EC50" s="77"/>
      <c r="EE50" s="66"/>
      <c r="EF50" s="66"/>
      <c r="EG50" s="66"/>
      <c r="EH50" s="66"/>
      <c r="EI50" s="66"/>
      <c r="EJ50" s="66"/>
      <c r="EK50" s="66"/>
      <c r="EL50" s="66"/>
      <c r="EM50" s="66"/>
      <c r="EN50" s="66"/>
      <c r="EO50" s="66"/>
      <c r="EP50" s="66"/>
      <c r="EQ50" s="66"/>
      <c r="ER50" s="66"/>
      <c r="ES50" s="66"/>
      <c r="ET50" s="66"/>
      <c r="EU50" s="66"/>
      <c r="EV50" s="66"/>
      <c r="EW50" s="66"/>
      <c r="EX50" s="66"/>
      <c r="EY50" s="66"/>
    </row>
    <row r="51" spans="1:155" ht="24.95" customHeight="1">
      <c r="A51" s="1">
        <f t="shared" si="14"/>
        <v>43</v>
      </c>
      <c r="B51" s="69"/>
      <c r="C51" s="65"/>
      <c r="D51" s="111" t="s">
        <v>429</v>
      </c>
      <c r="E51" s="49"/>
      <c r="F51" s="49"/>
      <c r="G51" s="49"/>
      <c r="H51" s="49"/>
      <c r="I51" s="49"/>
      <c r="J51" s="49"/>
      <c r="K51" s="93"/>
      <c r="L51" s="49"/>
      <c r="M51" s="49"/>
      <c r="N51" s="93"/>
      <c r="O51" s="93"/>
      <c r="P51" s="109"/>
      <c r="Q51" s="49"/>
      <c r="R51" s="49"/>
      <c r="S51" s="49"/>
      <c r="T51" s="49"/>
      <c r="U51" s="49"/>
      <c r="V51" s="49"/>
      <c r="W51" s="49"/>
      <c r="X51" s="109" t="s">
        <v>144</v>
      </c>
      <c r="Y51" s="92"/>
      <c r="Z51" s="216" t="s">
        <v>410</v>
      </c>
      <c r="AA51" s="208"/>
      <c r="AB51" s="208"/>
      <c r="AC51" s="208"/>
      <c r="AD51" s="208"/>
      <c r="AE51" s="208"/>
      <c r="AF51" s="208"/>
      <c r="AG51" s="209"/>
      <c r="AH51" s="216" t="s">
        <v>142</v>
      </c>
      <c r="AI51" s="208"/>
      <c r="AJ51" s="208"/>
      <c r="AK51" s="208"/>
      <c r="AL51" s="208"/>
      <c r="AM51" s="208"/>
      <c r="AN51" s="208"/>
      <c r="AO51" s="209"/>
      <c r="AP51" s="216" t="s">
        <v>410</v>
      </c>
      <c r="AQ51" s="208"/>
      <c r="AR51" s="208"/>
      <c r="AS51" s="208"/>
      <c r="AT51" s="208"/>
      <c r="AU51" s="208"/>
      <c r="AV51" s="208"/>
      <c r="AW51" s="209"/>
      <c r="AX51" s="216" t="s">
        <v>142</v>
      </c>
      <c r="AY51" s="208"/>
      <c r="AZ51" s="208"/>
      <c r="BA51" s="208"/>
      <c r="BB51" s="208"/>
      <c r="BC51" s="208"/>
      <c r="BD51" s="208"/>
      <c r="BE51" s="209"/>
      <c r="BF51" s="216" t="s">
        <v>410</v>
      </c>
      <c r="BG51" s="208"/>
      <c r="BH51" s="208"/>
      <c r="BI51" s="208"/>
      <c r="BJ51" s="208"/>
      <c r="BK51" s="208"/>
      <c r="BL51" s="208"/>
      <c r="BM51" s="209"/>
      <c r="BN51" s="216" t="s">
        <v>143</v>
      </c>
      <c r="BO51" s="208"/>
      <c r="BP51" s="208"/>
      <c r="BQ51" s="208"/>
      <c r="BR51" s="208"/>
      <c r="BS51" s="208"/>
      <c r="BT51" s="208"/>
      <c r="BU51" s="209"/>
      <c r="BV51" s="210"/>
      <c r="BW51" s="211"/>
      <c r="BX51" s="211"/>
      <c r="BY51" s="211"/>
      <c r="BZ51" s="211"/>
      <c r="CA51" s="211"/>
      <c r="CB51" s="212"/>
      <c r="CC51" s="210"/>
      <c r="CD51" s="211"/>
      <c r="CE51" s="211"/>
      <c r="CF51" s="211"/>
      <c r="CG51" s="211"/>
      <c r="CH51" s="211"/>
      <c r="CI51" s="212"/>
      <c r="CJ51" s="153"/>
      <c r="CK51" s="66"/>
      <c r="CL51" s="66"/>
      <c r="CM51" s="66"/>
      <c r="CN51" s="66"/>
      <c r="CO51" s="66"/>
      <c r="CP51" s="66"/>
      <c r="CQ51" s="66"/>
      <c r="CR51" s="66"/>
      <c r="CS51" s="66"/>
      <c r="CT51" s="66"/>
      <c r="CU51" s="66"/>
      <c r="CV51" s="66"/>
      <c r="CW51" s="66"/>
      <c r="CX51" s="66"/>
      <c r="CY51" s="66"/>
      <c r="CZ51" s="66"/>
      <c r="DA51" s="66"/>
      <c r="DB51" s="66"/>
      <c r="DC51" s="66"/>
      <c r="DD51" s="66"/>
      <c r="DE51" s="66"/>
      <c r="DF51" s="66"/>
      <c r="DG51" s="66"/>
      <c r="DH51" s="66"/>
      <c r="DI51" s="66"/>
      <c r="DJ51" s="66"/>
      <c r="DK51" s="66"/>
      <c r="DL51" s="66"/>
      <c r="DM51" s="66"/>
      <c r="DN51" s="66"/>
      <c r="DO51" s="66"/>
      <c r="DP51" s="66"/>
      <c r="DQ51" s="66"/>
      <c r="DR51" s="66"/>
      <c r="DS51" s="66"/>
      <c r="DT51" s="66"/>
      <c r="DU51" s="66"/>
      <c r="DV51" s="66"/>
      <c r="DW51" s="66"/>
      <c r="DX51" s="66"/>
      <c r="DY51" s="66"/>
      <c r="DZ51" s="66"/>
      <c r="EA51" s="66"/>
      <c r="EB51" s="66"/>
      <c r="EC51" s="77"/>
      <c r="EE51" s="65"/>
      <c r="EF51" s="65"/>
      <c r="EG51" s="65"/>
      <c r="EH51" s="65"/>
      <c r="EI51" s="65"/>
      <c r="EJ51" s="65"/>
      <c r="EK51" s="65"/>
      <c r="EL51" s="65"/>
      <c r="EM51" s="65"/>
      <c r="EN51" s="65"/>
      <c r="EO51" s="65"/>
      <c r="EP51" s="65"/>
      <c r="EQ51" s="65"/>
      <c r="ER51" s="65"/>
      <c r="ES51" s="65"/>
      <c r="ET51" s="65"/>
      <c r="EU51" s="65"/>
      <c r="EV51" s="65"/>
      <c r="EW51" s="65"/>
      <c r="EX51" s="65"/>
      <c r="EY51" s="65"/>
    </row>
    <row r="52" spans="1:155" ht="24.95" customHeight="1">
      <c r="A52" s="1">
        <f t="shared" si="14"/>
        <v>44</v>
      </c>
      <c r="B52" s="69"/>
      <c r="C52" s="65"/>
      <c r="D52" s="111" t="s">
        <v>432</v>
      </c>
      <c r="E52" s="49"/>
      <c r="F52" s="49"/>
      <c r="G52" s="49"/>
      <c r="H52" s="49"/>
      <c r="I52" s="49"/>
      <c r="J52" s="49"/>
      <c r="K52" s="93"/>
      <c r="L52" s="49"/>
      <c r="M52" s="93" t="s">
        <v>104</v>
      </c>
      <c r="N52" s="93"/>
      <c r="O52" s="49"/>
      <c r="P52" s="94"/>
      <c r="Q52" s="93"/>
      <c r="R52" s="93"/>
      <c r="S52" s="93" t="s">
        <v>112</v>
      </c>
      <c r="T52" s="93"/>
      <c r="U52" s="93"/>
      <c r="V52" s="93"/>
      <c r="W52" s="93"/>
      <c r="X52" s="93"/>
      <c r="Y52" s="132"/>
      <c r="Z52" s="210"/>
      <c r="AA52" s="211"/>
      <c r="AB52" s="211"/>
      <c r="AC52" s="211"/>
      <c r="AD52" s="211"/>
      <c r="AE52" s="211"/>
      <c r="AF52" s="211"/>
      <c r="AG52" s="212"/>
      <c r="AH52" s="210"/>
      <c r="AI52" s="211"/>
      <c r="AJ52" s="211"/>
      <c r="AK52" s="211"/>
      <c r="AL52" s="211"/>
      <c r="AM52" s="211"/>
      <c r="AN52" s="211"/>
      <c r="AO52" s="212"/>
      <c r="AP52" s="210"/>
      <c r="AQ52" s="211"/>
      <c r="AR52" s="211"/>
      <c r="AS52" s="211"/>
      <c r="AT52" s="211"/>
      <c r="AU52" s="211"/>
      <c r="AV52" s="211"/>
      <c r="AW52" s="212"/>
      <c r="AX52" s="210"/>
      <c r="AY52" s="211"/>
      <c r="AZ52" s="211"/>
      <c r="BA52" s="211"/>
      <c r="BB52" s="211"/>
      <c r="BC52" s="211"/>
      <c r="BD52" s="211"/>
      <c r="BE52" s="212"/>
      <c r="BF52" s="210"/>
      <c r="BG52" s="211"/>
      <c r="BH52" s="211"/>
      <c r="BI52" s="211"/>
      <c r="BJ52" s="211"/>
      <c r="BK52" s="211"/>
      <c r="BL52" s="211"/>
      <c r="BM52" s="212"/>
      <c r="BN52" s="210"/>
      <c r="BO52" s="211"/>
      <c r="BP52" s="211"/>
      <c r="BQ52" s="211"/>
      <c r="BR52" s="211"/>
      <c r="BS52" s="211"/>
      <c r="BT52" s="211"/>
      <c r="BU52" s="212"/>
      <c r="BV52" s="210"/>
      <c r="BW52" s="211"/>
      <c r="BX52" s="211"/>
      <c r="BY52" s="211"/>
      <c r="BZ52" s="211"/>
      <c r="CA52" s="211"/>
      <c r="CB52" s="212"/>
      <c r="CC52" s="210"/>
      <c r="CD52" s="211"/>
      <c r="CE52" s="211"/>
      <c r="CF52" s="211"/>
      <c r="CG52" s="211"/>
      <c r="CH52" s="211"/>
      <c r="CI52" s="212"/>
      <c r="CJ52" s="153"/>
      <c r="CK52" s="66"/>
      <c r="CL52" s="66"/>
      <c r="CM52" s="66"/>
      <c r="CN52" s="66"/>
      <c r="CO52" s="66"/>
      <c r="CP52" s="66"/>
      <c r="CQ52" s="66"/>
      <c r="CR52" s="66"/>
      <c r="CS52" s="66"/>
      <c r="CT52" s="66"/>
      <c r="CU52" s="66"/>
      <c r="CV52" s="66"/>
      <c r="CW52" s="66"/>
      <c r="CX52" s="66"/>
      <c r="CY52" s="66"/>
      <c r="CZ52" s="66"/>
      <c r="DA52" s="66"/>
      <c r="DB52" s="66"/>
      <c r="DC52" s="66"/>
      <c r="DD52" s="66"/>
      <c r="DE52" s="66"/>
      <c r="DF52" s="66"/>
      <c r="DG52" s="66"/>
      <c r="DH52" s="66"/>
      <c r="DI52" s="66"/>
      <c r="DJ52" s="66"/>
      <c r="DK52" s="66"/>
      <c r="DL52" s="66"/>
      <c r="DM52" s="66"/>
      <c r="DN52" s="66"/>
      <c r="DO52" s="66"/>
      <c r="DP52" s="66"/>
      <c r="DQ52" s="66"/>
      <c r="DR52" s="66"/>
      <c r="DS52" s="66"/>
      <c r="DT52" s="66"/>
      <c r="DU52" s="66"/>
      <c r="DV52" s="66"/>
      <c r="DW52" s="66"/>
      <c r="DX52" s="66"/>
      <c r="DY52" s="66"/>
      <c r="DZ52" s="66"/>
      <c r="EA52" s="66"/>
      <c r="EB52" s="66"/>
      <c r="EC52" s="77"/>
    </row>
    <row r="53" spans="1:155" ht="24.95" customHeight="1">
      <c r="A53" s="1">
        <f t="shared" si="14"/>
        <v>45</v>
      </c>
      <c r="B53" s="184"/>
      <c r="C53" s="65"/>
      <c r="D53" s="122"/>
      <c r="E53" s="129"/>
      <c r="F53" s="129"/>
      <c r="G53" s="129"/>
      <c r="H53" s="129"/>
      <c r="I53" s="129"/>
      <c r="J53" s="106"/>
      <c r="K53" s="129"/>
      <c r="L53" s="129"/>
      <c r="M53" s="129"/>
      <c r="N53" s="129"/>
      <c r="O53" s="129"/>
      <c r="P53" s="129"/>
      <c r="Q53" s="129"/>
      <c r="R53" s="129"/>
      <c r="S53" s="129"/>
      <c r="T53" s="106"/>
      <c r="U53" s="129"/>
      <c r="V53" s="129"/>
      <c r="W53" s="129"/>
      <c r="X53" s="129"/>
      <c r="Y53" s="130"/>
      <c r="Z53" s="213"/>
      <c r="AA53" s="214"/>
      <c r="AB53" s="214"/>
      <c r="AC53" s="214"/>
      <c r="AD53" s="214"/>
      <c r="AE53" s="214"/>
      <c r="AF53" s="214"/>
      <c r="AG53" s="215"/>
      <c r="AH53" s="213"/>
      <c r="AI53" s="214"/>
      <c r="AJ53" s="214"/>
      <c r="AK53" s="214"/>
      <c r="AL53" s="214"/>
      <c r="AM53" s="214"/>
      <c r="AN53" s="214"/>
      <c r="AO53" s="215"/>
      <c r="AP53" s="213"/>
      <c r="AQ53" s="214"/>
      <c r="AR53" s="214"/>
      <c r="AS53" s="214"/>
      <c r="AT53" s="214"/>
      <c r="AU53" s="214"/>
      <c r="AV53" s="214"/>
      <c r="AW53" s="215"/>
      <c r="AX53" s="213"/>
      <c r="AY53" s="214"/>
      <c r="AZ53" s="214"/>
      <c r="BA53" s="214"/>
      <c r="BB53" s="214"/>
      <c r="BC53" s="214"/>
      <c r="BD53" s="214"/>
      <c r="BE53" s="215"/>
      <c r="BF53" s="213"/>
      <c r="BG53" s="214"/>
      <c r="BH53" s="214"/>
      <c r="BI53" s="214"/>
      <c r="BJ53" s="214"/>
      <c r="BK53" s="214"/>
      <c r="BL53" s="214"/>
      <c r="BM53" s="215"/>
      <c r="BN53" s="213"/>
      <c r="BO53" s="214"/>
      <c r="BP53" s="214"/>
      <c r="BQ53" s="214"/>
      <c r="BR53" s="214"/>
      <c r="BS53" s="214"/>
      <c r="BT53" s="214"/>
      <c r="BU53" s="215"/>
      <c r="BV53" s="213"/>
      <c r="BW53" s="214"/>
      <c r="BX53" s="214"/>
      <c r="BY53" s="214"/>
      <c r="BZ53" s="214"/>
      <c r="CA53" s="214"/>
      <c r="CB53" s="215"/>
      <c r="CC53" s="213"/>
      <c r="CD53" s="214"/>
      <c r="CE53" s="214"/>
      <c r="CF53" s="214"/>
      <c r="CG53" s="214"/>
      <c r="CH53" s="214"/>
      <c r="CI53" s="215"/>
      <c r="CJ53" s="153"/>
      <c r="CK53" s="66"/>
      <c r="CL53" s="66"/>
      <c r="CM53" s="66"/>
      <c r="CN53" s="66"/>
      <c r="CO53" s="66"/>
      <c r="CP53" s="66"/>
      <c r="CQ53" s="66"/>
      <c r="CR53" s="66"/>
      <c r="CS53" s="66"/>
      <c r="CT53" s="66"/>
      <c r="CU53" s="66"/>
      <c r="CV53" s="66"/>
      <c r="CW53" s="66"/>
      <c r="CX53" s="66"/>
      <c r="CY53" s="66"/>
      <c r="CZ53" s="66"/>
      <c r="DA53" s="66"/>
      <c r="DB53" s="66"/>
      <c r="DC53" s="66"/>
      <c r="DD53" s="66"/>
      <c r="DE53" s="66"/>
      <c r="DF53" s="66"/>
      <c r="DG53" s="66"/>
      <c r="DH53" s="66"/>
      <c r="DI53" s="66"/>
      <c r="DJ53" s="66"/>
      <c r="DK53" s="66"/>
      <c r="DL53" s="66"/>
      <c r="DM53" s="66"/>
      <c r="DN53" s="66"/>
      <c r="DO53" s="66"/>
      <c r="DP53" s="66"/>
      <c r="DQ53" s="66"/>
      <c r="DR53" s="66"/>
      <c r="DS53" s="66"/>
      <c r="DT53" s="66"/>
      <c r="DU53" s="66"/>
      <c r="DV53" s="66"/>
      <c r="DW53" s="66"/>
      <c r="DX53" s="66"/>
      <c r="DY53" s="66"/>
      <c r="DZ53" s="66"/>
      <c r="EA53" s="66"/>
      <c r="EB53" s="66"/>
      <c r="EC53" s="77"/>
    </row>
    <row r="54" spans="1:155" ht="24.95" customHeight="1">
      <c r="A54" s="1">
        <f t="shared" si="14"/>
        <v>46</v>
      </c>
      <c r="B54" s="184"/>
      <c r="C54" s="65"/>
      <c r="D54" s="111"/>
      <c r="E54" s="49"/>
      <c r="F54" s="49"/>
      <c r="G54" s="93"/>
      <c r="H54" s="93"/>
      <c r="I54" s="93"/>
      <c r="J54" s="108"/>
      <c r="K54" s="95"/>
      <c r="L54" s="93"/>
      <c r="M54" s="93"/>
      <c r="N54" s="93"/>
      <c r="O54" s="93"/>
      <c r="P54" s="93"/>
      <c r="Q54" s="93"/>
      <c r="R54" s="93"/>
      <c r="S54" s="93"/>
      <c r="T54" s="49"/>
      <c r="U54" s="95"/>
      <c r="V54" s="93"/>
      <c r="W54" s="93"/>
      <c r="X54" s="93"/>
      <c r="Y54" s="132"/>
      <c r="Z54" s="111"/>
      <c r="AA54" s="93"/>
      <c r="AB54" s="93"/>
      <c r="AC54" s="93"/>
      <c r="AD54" s="93"/>
      <c r="AE54" s="95"/>
      <c r="AF54" s="93"/>
      <c r="AG54" s="93"/>
      <c r="AH54" s="131"/>
      <c r="AI54" s="224">
        <v>871350</v>
      </c>
      <c r="AJ54" s="224"/>
      <c r="AK54" s="224"/>
      <c r="AL54" s="224"/>
      <c r="AM54" s="224"/>
      <c r="AN54" s="224"/>
      <c r="AO54" s="98"/>
      <c r="AP54" s="111"/>
      <c r="AQ54" s="93"/>
      <c r="AR54" s="93"/>
      <c r="AS54" s="93"/>
      <c r="AT54" s="93"/>
      <c r="AU54" s="95"/>
      <c r="AV54" s="93"/>
      <c r="AW54" s="93"/>
      <c r="AX54" s="131"/>
      <c r="AY54" s="224">
        <v>870470</v>
      </c>
      <c r="AZ54" s="224"/>
      <c r="BA54" s="224"/>
      <c r="BB54" s="224"/>
      <c r="BC54" s="224"/>
      <c r="BD54" s="224"/>
      <c r="BE54" s="132"/>
      <c r="BF54" s="111"/>
      <c r="BG54" s="93"/>
      <c r="BH54" s="93"/>
      <c r="BI54" s="93"/>
      <c r="BJ54" s="93"/>
      <c r="BK54" s="95"/>
      <c r="BL54" s="93"/>
      <c r="BM54" s="93"/>
      <c r="BN54" s="131"/>
      <c r="BO54" s="49"/>
      <c r="BP54" s="93"/>
      <c r="BQ54" s="93"/>
      <c r="BR54" s="93"/>
      <c r="BS54" s="93"/>
      <c r="BT54" s="93"/>
      <c r="BU54" s="132"/>
      <c r="BV54" s="49"/>
      <c r="BW54" s="93"/>
      <c r="BX54" s="93"/>
      <c r="BY54" s="93"/>
      <c r="BZ54" s="93"/>
      <c r="CA54" s="95"/>
      <c r="CB54" s="93"/>
      <c r="CC54" s="125"/>
      <c r="CD54" s="93"/>
      <c r="CE54" s="49"/>
      <c r="CF54" s="93"/>
      <c r="CG54" s="93"/>
      <c r="CH54" s="93"/>
      <c r="CI54" s="132"/>
      <c r="CJ54" s="153"/>
      <c r="CK54" s="66"/>
      <c r="CL54" s="66"/>
      <c r="CM54" s="66"/>
      <c r="CN54" s="66"/>
      <c r="CO54" s="66"/>
      <c r="CP54" s="66"/>
      <c r="CQ54" s="66"/>
      <c r="CR54" s="66"/>
      <c r="CS54" s="66"/>
      <c r="CT54" s="66"/>
      <c r="CU54" s="66"/>
      <c r="CV54" s="66"/>
      <c r="CW54" s="66"/>
      <c r="CX54" s="66"/>
      <c r="CY54" s="66"/>
      <c r="CZ54" s="66"/>
      <c r="DA54" s="66"/>
      <c r="DB54" s="66"/>
      <c r="DC54" s="66"/>
      <c r="DD54" s="66"/>
      <c r="DE54" s="66"/>
      <c r="DF54" s="66"/>
      <c r="DG54" s="66"/>
      <c r="DH54" s="66"/>
      <c r="DI54" s="66"/>
      <c r="DJ54" s="66"/>
      <c r="DK54" s="66"/>
      <c r="DL54" s="66"/>
      <c r="DM54" s="66"/>
      <c r="DN54" s="66"/>
      <c r="DO54" s="66"/>
      <c r="DP54" s="66"/>
      <c r="DQ54" s="66"/>
      <c r="DR54" s="66"/>
      <c r="DS54" s="66"/>
      <c r="DT54" s="66"/>
      <c r="DU54" s="66"/>
      <c r="DV54" s="66"/>
      <c r="DW54" s="66"/>
      <c r="DX54" s="66"/>
      <c r="DY54" s="66"/>
      <c r="DZ54" s="66"/>
      <c r="EA54" s="66"/>
      <c r="EB54" s="66"/>
      <c r="EC54" s="77"/>
    </row>
    <row r="55" spans="1:155" ht="24.95" customHeight="1">
      <c r="A55" s="1">
        <f t="shared" si="14"/>
        <v>47</v>
      </c>
      <c r="B55" s="184"/>
      <c r="C55" s="65"/>
      <c r="D55" s="111"/>
      <c r="E55" s="49"/>
      <c r="F55" s="49"/>
      <c r="G55" s="93"/>
      <c r="H55" s="93"/>
      <c r="I55" s="93"/>
      <c r="J55" s="108"/>
      <c r="K55" s="95"/>
      <c r="L55" s="93"/>
      <c r="M55" s="93"/>
      <c r="N55" s="93"/>
      <c r="O55" s="93"/>
      <c r="P55" s="93"/>
      <c r="Q55" s="93"/>
      <c r="R55" s="93"/>
      <c r="S55" s="93"/>
      <c r="T55" s="49"/>
      <c r="U55" s="95"/>
      <c r="V55" s="93"/>
      <c r="W55" s="93"/>
      <c r="X55" s="109"/>
      <c r="Y55" s="132"/>
      <c r="Z55" s="111"/>
      <c r="AA55" s="93"/>
      <c r="AB55" s="93"/>
      <c r="AC55" s="93"/>
      <c r="AD55" s="93"/>
      <c r="AE55" s="95"/>
      <c r="AF55" s="49"/>
      <c r="AG55" s="93"/>
      <c r="AH55" s="131"/>
      <c r="AI55" s="221">
        <v>87135</v>
      </c>
      <c r="AJ55" s="221"/>
      <c r="AK55" s="221"/>
      <c r="AL55" s="221"/>
      <c r="AM55" s="221"/>
      <c r="AN55" s="221"/>
      <c r="AO55" s="98"/>
      <c r="AP55" s="111"/>
      <c r="AQ55" s="93"/>
      <c r="AR55" s="93"/>
      <c r="AS55" s="93"/>
      <c r="AT55" s="93"/>
      <c r="AU55" s="95"/>
      <c r="AV55" s="49"/>
      <c r="AW55" s="93"/>
      <c r="AX55" s="131"/>
      <c r="AY55" s="221">
        <v>87047</v>
      </c>
      <c r="AZ55" s="221"/>
      <c r="BA55" s="221"/>
      <c r="BB55" s="221"/>
      <c r="BC55" s="221"/>
      <c r="BD55" s="221"/>
      <c r="BE55" s="132"/>
      <c r="BF55" s="111"/>
      <c r="BG55" s="93"/>
      <c r="BH55" s="93"/>
      <c r="BI55" s="93"/>
      <c r="BJ55" s="93"/>
      <c r="BK55" s="95"/>
      <c r="BL55" s="49"/>
      <c r="BM55" s="93"/>
      <c r="BN55" s="131"/>
      <c r="BO55" s="49"/>
      <c r="BP55" s="93"/>
      <c r="BQ55" s="93"/>
      <c r="BR55" s="93"/>
      <c r="BS55" s="93"/>
      <c r="BT55" s="93"/>
      <c r="BU55" s="132"/>
      <c r="BV55" s="49"/>
      <c r="BW55" s="93"/>
      <c r="BX55" s="93"/>
      <c r="BY55" s="93"/>
      <c r="BZ55" s="93"/>
      <c r="CA55" s="95"/>
      <c r="CB55" s="49"/>
      <c r="CC55" s="111"/>
      <c r="CD55" s="93"/>
      <c r="CE55" s="49"/>
      <c r="CF55" s="93"/>
      <c r="CG55" s="93"/>
      <c r="CH55" s="93"/>
      <c r="CI55" s="132"/>
      <c r="CJ55" s="153"/>
      <c r="CK55" s="66"/>
      <c r="CL55" s="66"/>
      <c r="CM55" s="66"/>
      <c r="CN55" s="66"/>
      <c r="CO55" s="66"/>
      <c r="CP55" s="66"/>
      <c r="CQ55" s="66"/>
      <c r="CR55" s="66"/>
      <c r="CS55" s="66"/>
      <c r="CT55" s="66"/>
      <c r="CU55" s="66"/>
      <c r="CV55" s="66"/>
      <c r="CW55" s="66"/>
      <c r="CX55" s="66"/>
      <c r="CY55" s="66"/>
      <c r="CZ55" s="66"/>
      <c r="DA55" s="66"/>
      <c r="DB55" s="66"/>
      <c r="DC55" s="66"/>
      <c r="DD55" s="66"/>
      <c r="DE55" s="66"/>
      <c r="DF55" s="66"/>
      <c r="DG55" s="66"/>
      <c r="DH55" s="66"/>
      <c r="DI55" s="66"/>
      <c r="DJ55" s="66"/>
      <c r="DK55" s="66"/>
      <c r="DL55" s="66"/>
      <c r="DM55" s="66"/>
      <c r="DN55" s="66"/>
      <c r="DO55" s="66"/>
      <c r="DP55" s="66"/>
      <c r="DQ55" s="66"/>
      <c r="DR55" s="66"/>
      <c r="DS55" s="66"/>
      <c r="DT55" s="66"/>
      <c r="DU55" s="66"/>
      <c r="DV55" s="66"/>
      <c r="DW55" s="66"/>
      <c r="DX55" s="66"/>
      <c r="DY55" s="66"/>
      <c r="DZ55" s="66"/>
      <c r="EA55" s="66"/>
      <c r="EB55" s="66"/>
      <c r="EC55" s="77"/>
    </row>
    <row r="56" spans="1:155" ht="24.95" customHeight="1">
      <c r="A56" s="1">
        <f t="shared" si="14"/>
        <v>48</v>
      </c>
      <c r="B56" s="184"/>
      <c r="C56" s="65"/>
      <c r="D56" s="111"/>
      <c r="E56" s="49"/>
      <c r="F56" s="49"/>
      <c r="G56" s="93"/>
      <c r="H56" s="93"/>
      <c r="I56" s="93"/>
      <c r="J56" s="108"/>
      <c r="K56" s="95"/>
      <c r="L56" s="49"/>
      <c r="M56" s="108"/>
      <c r="N56" s="93"/>
      <c r="O56" s="93"/>
      <c r="P56" s="93"/>
      <c r="Q56" s="93"/>
      <c r="R56" s="93"/>
      <c r="S56" s="93"/>
      <c r="T56" s="93"/>
      <c r="U56" s="95"/>
      <c r="V56" s="49"/>
      <c r="W56" s="93"/>
      <c r="X56" s="109"/>
      <c r="Y56" s="132"/>
      <c r="Z56" s="110"/>
      <c r="AA56" s="91"/>
      <c r="AB56" s="91"/>
      <c r="AC56" s="91"/>
      <c r="AD56" s="91"/>
      <c r="AE56" s="143"/>
      <c r="AF56" s="88"/>
      <c r="AG56" s="91"/>
      <c r="AH56" s="144"/>
      <c r="AI56" s="222">
        <v>43053220</v>
      </c>
      <c r="AJ56" s="222"/>
      <c r="AK56" s="222"/>
      <c r="AL56" s="222"/>
      <c r="AM56" s="222"/>
      <c r="AN56" s="222"/>
      <c r="AO56" s="145"/>
      <c r="AP56" s="110"/>
      <c r="AQ56" s="91"/>
      <c r="AR56" s="91"/>
      <c r="AS56" s="91"/>
      <c r="AT56" s="91"/>
      <c r="AU56" s="143"/>
      <c r="AV56" s="88"/>
      <c r="AW56" s="91"/>
      <c r="AX56" s="146"/>
      <c r="AY56" s="222">
        <v>55371670</v>
      </c>
      <c r="AZ56" s="222"/>
      <c r="BA56" s="222"/>
      <c r="BB56" s="222"/>
      <c r="BC56" s="222"/>
      <c r="BD56" s="222"/>
      <c r="BE56" s="145"/>
      <c r="BF56" s="110"/>
      <c r="BG56" s="91"/>
      <c r="BH56" s="91"/>
      <c r="BI56" s="91"/>
      <c r="BJ56" s="91"/>
      <c r="BK56" s="143"/>
      <c r="BL56" s="88"/>
      <c r="BM56" s="91"/>
      <c r="BN56" s="146"/>
      <c r="BO56" s="88"/>
      <c r="BP56" s="91"/>
      <c r="BQ56" s="143"/>
      <c r="BR56" s="143"/>
      <c r="BS56" s="143"/>
      <c r="BT56" s="143"/>
      <c r="BU56" s="145"/>
      <c r="BV56" s="88"/>
      <c r="BW56" s="143"/>
      <c r="BX56" s="143"/>
      <c r="BY56" s="143"/>
      <c r="BZ56" s="143"/>
      <c r="CA56" s="143"/>
      <c r="CB56" s="143"/>
      <c r="CC56" s="110"/>
      <c r="CD56" s="143"/>
      <c r="CE56" s="143"/>
      <c r="CF56" s="143"/>
      <c r="CG56" s="143"/>
      <c r="CH56" s="143"/>
      <c r="CI56" s="145"/>
      <c r="CJ56" s="152"/>
      <c r="CK56" s="65"/>
      <c r="CL56" s="65"/>
      <c r="CM56" s="65"/>
      <c r="CN56" s="65"/>
      <c r="CO56" s="65"/>
      <c r="CP56" s="65"/>
      <c r="CQ56" s="65"/>
      <c r="CR56" s="65"/>
      <c r="CS56" s="65"/>
      <c r="CT56" s="65"/>
      <c r="CU56" s="65"/>
      <c r="CV56" s="65"/>
      <c r="CW56" s="65"/>
      <c r="CX56" s="65"/>
      <c r="CY56" s="65"/>
      <c r="CZ56" s="65"/>
      <c r="DA56" s="65"/>
      <c r="DB56" s="65"/>
      <c r="DC56" s="65"/>
      <c r="DD56" s="65"/>
      <c r="DE56" s="65"/>
      <c r="DF56" s="65"/>
      <c r="DG56" s="65"/>
      <c r="DH56" s="65"/>
      <c r="DI56" s="65"/>
      <c r="DJ56" s="65"/>
      <c r="DK56" s="65"/>
      <c r="DL56" s="65"/>
      <c r="DM56" s="65"/>
      <c r="DN56" s="65"/>
      <c r="DO56" s="65"/>
      <c r="DP56" s="65"/>
      <c r="DQ56" s="65"/>
      <c r="DR56" s="65"/>
      <c r="DS56" s="65"/>
      <c r="DT56" s="65"/>
      <c r="DU56" s="65"/>
      <c r="DV56" s="65"/>
      <c r="DW56" s="65"/>
      <c r="DX56" s="65"/>
      <c r="DY56" s="65"/>
      <c r="DZ56" s="65"/>
      <c r="EA56" s="65"/>
      <c r="EB56" s="65"/>
      <c r="EC56" s="76"/>
    </row>
    <row r="57" spans="1:155" ht="24.95" customHeight="1">
      <c r="A57" s="1">
        <f t="shared" si="14"/>
        <v>49</v>
      </c>
      <c r="B57" s="185"/>
      <c r="C57" s="102"/>
      <c r="D57" s="111"/>
      <c r="E57" s="49"/>
      <c r="F57" s="49"/>
      <c r="G57" s="93"/>
      <c r="H57" s="93"/>
      <c r="I57" s="93"/>
      <c r="J57" s="95"/>
      <c r="K57" s="95"/>
      <c r="L57" s="49"/>
      <c r="M57" s="104" t="s">
        <v>362</v>
      </c>
      <c r="N57" s="93"/>
      <c r="O57" s="93"/>
      <c r="P57" s="93"/>
      <c r="Q57" s="93"/>
      <c r="R57" s="93"/>
      <c r="S57" s="49"/>
      <c r="T57" s="93"/>
      <c r="U57" s="95"/>
      <c r="V57" s="49"/>
      <c r="W57" s="93"/>
      <c r="X57" s="109"/>
      <c r="Y57" s="132"/>
      <c r="Z57" s="137"/>
      <c r="AA57" s="134"/>
      <c r="AB57" s="134"/>
      <c r="AC57" s="134"/>
      <c r="AD57" s="134"/>
      <c r="AE57" s="135"/>
      <c r="AF57" s="133"/>
      <c r="AG57" s="134"/>
      <c r="AH57" s="138"/>
      <c r="AI57" s="221">
        <v>4305322</v>
      </c>
      <c r="AJ57" s="221"/>
      <c r="AK57" s="221"/>
      <c r="AL57" s="221"/>
      <c r="AM57" s="221"/>
      <c r="AN57" s="221"/>
      <c r="AO57" s="139"/>
      <c r="AP57" s="137"/>
      <c r="AQ57" s="134"/>
      <c r="AR57" s="134"/>
      <c r="AS57" s="134"/>
      <c r="AT57" s="134"/>
      <c r="AU57" s="135"/>
      <c r="AV57" s="133"/>
      <c r="AW57" s="134"/>
      <c r="AX57" s="140"/>
      <c r="AY57" s="221">
        <v>5537167</v>
      </c>
      <c r="AZ57" s="221"/>
      <c r="BA57" s="221"/>
      <c r="BB57" s="221"/>
      <c r="BC57" s="221"/>
      <c r="BD57" s="221"/>
      <c r="BE57" s="139"/>
      <c r="BF57" s="137"/>
      <c r="BG57" s="134"/>
      <c r="BH57" s="134"/>
      <c r="BI57" s="134"/>
      <c r="BJ57" s="134"/>
      <c r="BK57" s="135"/>
      <c r="BL57" s="133"/>
      <c r="BM57" s="134"/>
      <c r="BN57" s="140"/>
      <c r="BO57" s="133"/>
      <c r="BP57" s="134"/>
      <c r="BQ57" s="135"/>
      <c r="BR57" s="135"/>
      <c r="BS57" s="135"/>
      <c r="BT57" s="135"/>
      <c r="BU57" s="139"/>
      <c r="BV57" s="133"/>
      <c r="BW57" s="135"/>
      <c r="BX57" s="135"/>
      <c r="BY57" s="135"/>
      <c r="BZ57" s="135"/>
      <c r="CA57" s="135"/>
      <c r="CB57" s="135"/>
      <c r="CC57" s="137"/>
      <c r="CD57" s="135"/>
      <c r="CE57" s="135"/>
      <c r="CF57" s="135"/>
      <c r="CG57" s="135"/>
      <c r="CH57" s="135"/>
      <c r="CI57" s="139"/>
      <c r="CJ57" s="112"/>
      <c r="CK57" s="112"/>
      <c r="EC57" s="2"/>
    </row>
    <row r="58" spans="1:155" ht="24.95" customHeight="1">
      <c r="A58" s="1">
        <f t="shared" si="14"/>
        <v>50</v>
      </c>
      <c r="B58" s="185"/>
      <c r="D58" s="116"/>
      <c r="E58" s="65"/>
      <c r="F58" s="49"/>
      <c r="G58" s="93"/>
      <c r="H58" s="93"/>
      <c r="I58" s="93"/>
      <c r="J58" s="95"/>
      <c r="K58" s="95"/>
      <c r="L58" s="49"/>
      <c r="M58" s="93"/>
      <c r="N58" s="93"/>
      <c r="O58" s="93"/>
      <c r="P58" s="93"/>
      <c r="Q58" s="93"/>
      <c r="R58" s="93"/>
      <c r="S58" s="93"/>
      <c r="T58" s="93"/>
      <c r="U58" s="95"/>
      <c r="V58" s="49"/>
      <c r="W58" s="93"/>
      <c r="X58" s="93"/>
      <c r="Y58" s="132"/>
      <c r="Z58" s="111"/>
      <c r="AA58" s="93"/>
      <c r="AB58" s="93"/>
      <c r="AC58" s="109"/>
      <c r="AD58" s="93"/>
      <c r="AE58" s="95"/>
      <c r="AF58" s="49"/>
      <c r="AG58" s="93"/>
      <c r="AH58" s="131"/>
      <c r="AI58" s="222">
        <v>130228808</v>
      </c>
      <c r="AJ58" s="222"/>
      <c r="AK58" s="222"/>
      <c r="AL58" s="222"/>
      <c r="AM58" s="222"/>
      <c r="AN58" s="222"/>
      <c r="AO58" s="98"/>
      <c r="AP58" s="111"/>
      <c r="AQ58" s="93"/>
      <c r="AR58" s="93"/>
      <c r="AS58" s="109"/>
      <c r="AT58" s="93"/>
      <c r="AU58" s="95"/>
      <c r="AV58" s="49"/>
      <c r="AW58" s="93"/>
      <c r="AX58" s="113"/>
      <c r="AY58" s="222">
        <v>61077253</v>
      </c>
      <c r="AZ58" s="222"/>
      <c r="BA58" s="222"/>
      <c r="BB58" s="222"/>
      <c r="BC58" s="222"/>
      <c r="BD58" s="222"/>
      <c r="BE58" s="98"/>
      <c r="BF58" s="111"/>
      <c r="BG58" s="93"/>
      <c r="BH58" s="93"/>
      <c r="BI58" s="109"/>
      <c r="BJ58" s="93"/>
      <c r="BK58" s="95"/>
      <c r="BL58" s="49"/>
      <c r="BM58" s="93"/>
      <c r="BN58" s="113"/>
      <c r="BO58" s="49"/>
      <c r="BP58" s="93"/>
      <c r="BQ58" s="95"/>
      <c r="BR58" s="95"/>
      <c r="BS58" s="95"/>
      <c r="BT58" s="95"/>
      <c r="BU58" s="98"/>
      <c r="BV58" s="49"/>
      <c r="BW58" s="95"/>
      <c r="BX58" s="95"/>
      <c r="BY58" s="95"/>
      <c r="BZ58" s="95"/>
      <c r="CA58" s="95"/>
      <c r="CB58" s="95"/>
      <c r="CC58" s="111"/>
      <c r="CD58" s="219">
        <v>-13953565</v>
      </c>
      <c r="CE58" s="219"/>
      <c r="CF58" s="219"/>
      <c r="CG58" s="219"/>
      <c r="CH58" s="219"/>
      <c r="CI58" s="220"/>
      <c r="CK58" s="112"/>
      <c r="EC58" s="2"/>
    </row>
    <row r="59" spans="1:155" ht="24.95" customHeight="1">
      <c r="A59" s="1">
        <f t="shared" si="14"/>
        <v>51</v>
      </c>
      <c r="B59" s="185"/>
      <c r="D59" s="141"/>
      <c r="E59" s="142"/>
      <c r="F59" s="106"/>
      <c r="G59" s="129"/>
      <c r="H59" s="129"/>
      <c r="I59" s="129"/>
      <c r="J59" s="107"/>
      <c r="K59" s="107"/>
      <c r="L59" s="106"/>
      <c r="M59" s="129"/>
      <c r="N59" s="129"/>
      <c r="O59" s="129"/>
      <c r="P59" s="129"/>
      <c r="Q59" s="129"/>
      <c r="R59" s="129"/>
      <c r="S59" s="129"/>
      <c r="T59" s="129"/>
      <c r="U59" s="107"/>
      <c r="V59" s="106"/>
      <c r="W59" s="129"/>
      <c r="X59" s="129"/>
      <c r="Y59" s="130"/>
      <c r="Z59" s="122"/>
      <c r="AA59" s="129"/>
      <c r="AB59" s="129"/>
      <c r="AC59" s="129"/>
      <c r="AD59" s="129"/>
      <c r="AE59" s="107"/>
      <c r="AF59" s="106"/>
      <c r="AG59" s="129"/>
      <c r="AH59" s="128"/>
      <c r="AI59" s="223">
        <v>13022880.800000001</v>
      </c>
      <c r="AJ59" s="223"/>
      <c r="AK59" s="223"/>
      <c r="AL59" s="223"/>
      <c r="AM59" s="223"/>
      <c r="AN59" s="223"/>
      <c r="AO59" s="123"/>
      <c r="AP59" s="122"/>
      <c r="AQ59" s="129"/>
      <c r="AR59" s="129"/>
      <c r="AS59" s="129"/>
      <c r="AT59" s="129"/>
      <c r="AU59" s="107"/>
      <c r="AV59" s="106"/>
      <c r="AW59" s="129"/>
      <c r="AX59" s="124"/>
      <c r="AY59" s="223">
        <v>6107725.3000000007</v>
      </c>
      <c r="AZ59" s="223"/>
      <c r="BA59" s="223"/>
      <c r="BB59" s="223"/>
      <c r="BC59" s="223"/>
      <c r="BD59" s="223"/>
      <c r="BE59" s="123"/>
      <c r="BF59" s="122"/>
      <c r="BG59" s="129"/>
      <c r="BH59" s="129"/>
      <c r="BI59" s="129"/>
      <c r="BJ59" s="129"/>
      <c r="BK59" s="107"/>
      <c r="BL59" s="106"/>
      <c r="BM59" s="129"/>
      <c r="BN59" s="124"/>
      <c r="BO59" s="106"/>
      <c r="BP59" s="129"/>
      <c r="BQ59" s="107"/>
      <c r="BR59" s="107"/>
      <c r="BS59" s="107"/>
      <c r="BT59" s="107"/>
      <c r="BU59" s="123"/>
      <c r="BV59" s="106"/>
      <c r="BW59" s="107"/>
      <c r="BX59" s="107"/>
      <c r="BY59" s="107"/>
      <c r="BZ59" s="107"/>
      <c r="CA59" s="107"/>
      <c r="CB59" s="107"/>
      <c r="CC59" s="122"/>
      <c r="CD59" s="217">
        <v>-1395356.5</v>
      </c>
      <c r="CE59" s="217"/>
      <c r="CF59" s="217"/>
      <c r="CG59" s="217"/>
      <c r="CH59" s="217"/>
      <c r="CI59" s="218"/>
      <c r="CK59" s="112"/>
      <c r="EC59" s="2"/>
    </row>
    <row r="60" spans="1:155" ht="24.95" customHeight="1">
      <c r="A60" s="1">
        <f t="shared" si="14"/>
        <v>52</v>
      </c>
      <c r="B60" s="185"/>
      <c r="D60" s="148"/>
      <c r="E60" s="149"/>
      <c r="F60" s="118"/>
      <c r="G60" s="127"/>
      <c r="H60" s="127"/>
      <c r="I60" s="127"/>
      <c r="J60" s="120"/>
      <c r="K60" s="120"/>
      <c r="L60" s="118"/>
      <c r="M60" s="127"/>
      <c r="N60" s="127"/>
      <c r="O60" s="127"/>
      <c r="P60" s="127"/>
      <c r="Q60" s="127"/>
      <c r="R60" s="127"/>
      <c r="S60" s="127"/>
      <c r="T60" s="127"/>
      <c r="U60" s="120"/>
      <c r="V60" s="118"/>
      <c r="W60" s="127"/>
      <c r="X60" s="127"/>
      <c r="Y60" s="127"/>
      <c r="Z60" s="118"/>
      <c r="AA60" s="127"/>
      <c r="AB60" s="127"/>
      <c r="AC60" s="127"/>
      <c r="AD60" s="127"/>
      <c r="AE60" s="120"/>
      <c r="AF60" s="118"/>
      <c r="AG60" s="127"/>
      <c r="AH60" s="127"/>
      <c r="AI60" s="118"/>
      <c r="AJ60" s="127"/>
      <c r="AK60" s="127"/>
      <c r="AL60" s="127"/>
      <c r="AM60" s="127"/>
      <c r="AN60" s="127"/>
      <c r="AO60" s="120"/>
      <c r="AP60" s="118"/>
      <c r="AQ60" s="127"/>
      <c r="AR60" s="120"/>
      <c r="AS60" s="120"/>
      <c r="AT60" s="120"/>
      <c r="AU60" s="120"/>
      <c r="AV60" s="120"/>
      <c r="AW60" s="120"/>
      <c r="AX60" s="120"/>
      <c r="AY60" s="118"/>
      <c r="AZ60" s="127"/>
      <c r="BA60" s="120"/>
      <c r="BB60" s="120"/>
      <c r="BC60" s="120"/>
      <c r="BD60" s="120"/>
      <c r="BE60" s="120"/>
      <c r="BF60" s="118"/>
      <c r="BG60" s="120"/>
      <c r="BH60" s="120"/>
      <c r="BI60" s="120"/>
      <c r="BJ60" s="120"/>
      <c r="BK60" s="120"/>
      <c r="BL60" s="120"/>
      <c r="BM60" s="120"/>
      <c r="BN60" s="120"/>
      <c r="BO60" s="118"/>
      <c r="BP60" s="127"/>
      <c r="BQ60" s="120"/>
      <c r="BR60" s="120"/>
      <c r="BS60" s="120"/>
      <c r="BT60" s="120"/>
      <c r="BU60" s="120"/>
      <c r="BV60" s="118"/>
      <c r="BW60" s="120"/>
      <c r="BX60" s="120"/>
      <c r="BY60" s="120"/>
      <c r="BZ60" s="120"/>
      <c r="CA60" s="120"/>
      <c r="CB60" s="120"/>
      <c r="CC60" s="118"/>
      <c r="CD60" s="120"/>
      <c r="CE60" s="120"/>
      <c r="CF60" s="120"/>
      <c r="CG60" s="120"/>
      <c r="CH60" s="120"/>
      <c r="CI60" s="121"/>
      <c r="CK60" s="112"/>
      <c r="EC60" s="2"/>
    </row>
    <row r="61" spans="1:155" ht="24.95" customHeight="1">
      <c r="A61" s="1">
        <f t="shared" si="14"/>
        <v>53</v>
      </c>
      <c r="B61" s="185"/>
      <c r="D61" s="116"/>
      <c r="E61" s="65"/>
      <c r="F61" s="49"/>
      <c r="G61" s="93"/>
      <c r="H61" s="93"/>
      <c r="I61" s="93"/>
      <c r="J61" s="95"/>
      <c r="K61" s="95"/>
      <c r="L61" s="49"/>
      <c r="M61" s="93"/>
      <c r="N61" s="93"/>
      <c r="O61" s="93"/>
      <c r="P61" s="93"/>
      <c r="Q61" s="93"/>
      <c r="R61" s="93"/>
      <c r="S61" s="93"/>
      <c r="T61" s="93"/>
      <c r="U61" s="95"/>
      <c r="V61" s="49"/>
      <c r="W61" s="93"/>
      <c r="X61" s="93"/>
      <c r="Y61" s="93"/>
      <c r="Z61" s="49"/>
      <c r="AA61" s="93"/>
      <c r="AB61" s="93"/>
      <c r="AC61" s="93"/>
      <c r="AD61" s="93"/>
      <c r="AE61" s="95"/>
      <c r="AF61" s="49"/>
      <c r="AG61" s="93"/>
      <c r="AH61" s="93"/>
      <c r="AI61" s="49"/>
      <c r="AJ61" s="93"/>
      <c r="AK61" s="93"/>
      <c r="AL61" s="93"/>
      <c r="AM61" s="93"/>
      <c r="AN61" s="93"/>
      <c r="AO61" s="95"/>
      <c r="AP61" s="49"/>
      <c r="AQ61" s="93"/>
      <c r="AR61" s="95"/>
      <c r="AS61" s="95"/>
      <c r="AT61" s="95"/>
      <c r="AU61" s="95"/>
      <c r="AV61" s="95"/>
      <c r="AW61" s="95"/>
      <c r="AX61" s="95"/>
      <c r="AY61" s="49"/>
      <c r="AZ61" s="93"/>
      <c r="BA61" s="95"/>
      <c r="BB61" s="95"/>
      <c r="BC61" s="95"/>
      <c r="BD61" s="95"/>
      <c r="BE61" s="95"/>
      <c r="BF61" s="49"/>
      <c r="BG61" s="95"/>
      <c r="BH61" s="95"/>
      <c r="BI61" s="95"/>
      <c r="BJ61" s="95"/>
      <c r="BK61" s="95"/>
      <c r="BL61" s="95"/>
      <c r="BM61" s="95"/>
      <c r="BN61" s="95"/>
      <c r="BO61" s="49"/>
      <c r="BP61" s="93"/>
      <c r="BQ61" s="95"/>
      <c r="BR61" s="95"/>
      <c r="BS61" s="95"/>
      <c r="BT61" s="95"/>
      <c r="BU61" s="95"/>
      <c r="BV61" s="49"/>
      <c r="BW61" s="95"/>
      <c r="BX61" s="95"/>
      <c r="BY61" s="95"/>
      <c r="BZ61" s="95"/>
      <c r="CA61" s="95"/>
      <c r="CB61" s="95"/>
      <c r="CC61" s="49"/>
      <c r="CD61" s="95"/>
      <c r="CE61" s="95"/>
      <c r="CF61" s="95"/>
      <c r="CG61" s="95"/>
      <c r="CH61" s="95"/>
      <c r="CI61" s="98"/>
      <c r="CK61" s="112"/>
      <c r="EC61" s="2"/>
    </row>
    <row r="62" spans="1:155" ht="24.95" customHeight="1">
      <c r="A62" s="1">
        <f t="shared" si="14"/>
        <v>54</v>
      </c>
      <c r="B62" s="185"/>
      <c r="D62" s="65"/>
      <c r="E62" s="65"/>
      <c r="F62" s="49"/>
      <c r="G62" s="93"/>
      <c r="H62" s="93"/>
      <c r="I62" s="93"/>
      <c r="J62" s="95"/>
      <c r="K62" s="95"/>
      <c r="L62" s="49"/>
      <c r="M62" s="93"/>
      <c r="N62" s="93"/>
      <c r="O62" s="93"/>
      <c r="P62" s="93"/>
      <c r="Q62" s="93"/>
      <c r="R62" s="93"/>
      <c r="S62" s="93"/>
      <c r="T62" s="93"/>
      <c r="U62" s="95"/>
      <c r="V62" s="49"/>
      <c r="W62" s="93"/>
      <c r="X62" s="93"/>
      <c r="Y62" s="93"/>
      <c r="Z62" s="49"/>
      <c r="AA62" s="93"/>
      <c r="AB62" s="93"/>
      <c r="AC62" s="93"/>
      <c r="AD62" s="93"/>
      <c r="AE62" s="95"/>
      <c r="AF62" s="49"/>
      <c r="AG62" s="93"/>
      <c r="AH62" s="93"/>
      <c r="AI62" s="49"/>
      <c r="AJ62" s="93"/>
      <c r="AK62" s="93"/>
      <c r="AL62" s="93"/>
      <c r="AM62" s="93"/>
      <c r="AN62" s="93"/>
      <c r="AO62" s="95"/>
      <c r="AP62" s="49"/>
      <c r="AQ62" s="93"/>
      <c r="AR62" s="95"/>
      <c r="AS62" s="95"/>
      <c r="AT62" s="95"/>
      <c r="AU62" s="95"/>
      <c r="AV62" s="95"/>
      <c r="AW62" s="95"/>
      <c r="AX62" s="95"/>
      <c r="AY62" s="49"/>
      <c r="AZ62" s="93"/>
      <c r="BA62" s="95"/>
      <c r="BB62" s="95"/>
      <c r="BC62" s="95"/>
      <c r="BD62" s="95"/>
      <c r="BE62" s="95"/>
      <c r="BF62" s="49"/>
      <c r="BG62" s="95"/>
      <c r="BH62" s="95"/>
      <c r="BI62" s="95"/>
      <c r="BJ62" s="95"/>
      <c r="BK62" s="95"/>
      <c r="BL62" s="95"/>
      <c r="BM62" s="95"/>
      <c r="BN62" s="95"/>
      <c r="BO62" s="49"/>
      <c r="BP62" s="93"/>
      <c r="BQ62" s="95"/>
      <c r="BR62" s="95"/>
      <c r="BS62" s="95"/>
      <c r="BT62" s="95"/>
      <c r="BU62" s="95"/>
      <c r="BV62" s="49"/>
      <c r="BW62" s="95"/>
      <c r="BX62" s="95"/>
      <c r="BY62" s="95"/>
      <c r="BZ62" s="95"/>
      <c r="CA62" s="95"/>
      <c r="CB62" s="95"/>
      <c r="CC62" s="49"/>
      <c r="CD62" s="95"/>
      <c r="CE62" s="95"/>
      <c r="CF62" s="95"/>
      <c r="CG62" s="95"/>
      <c r="CH62" s="95"/>
      <c r="CI62" s="95"/>
      <c r="CK62" s="112"/>
      <c r="EC62" s="2"/>
    </row>
    <row r="63" spans="1:155" ht="24.95" customHeight="1">
      <c r="A63" s="1">
        <f t="shared" si="14"/>
        <v>55</v>
      </c>
      <c r="B63" s="185"/>
      <c r="D63" s="65"/>
      <c r="E63" s="65"/>
      <c r="F63" s="49"/>
      <c r="G63" s="93"/>
      <c r="H63" s="93"/>
      <c r="I63" s="93"/>
      <c r="J63" s="95"/>
      <c r="K63" s="95"/>
      <c r="L63" s="49"/>
      <c r="M63" s="93"/>
      <c r="N63" s="93"/>
      <c r="O63" s="93"/>
      <c r="P63" s="93"/>
      <c r="Q63" s="93"/>
      <c r="R63" s="93"/>
      <c r="S63" s="93"/>
      <c r="T63" s="93"/>
      <c r="U63" s="95"/>
      <c r="V63" s="49"/>
      <c r="W63" s="93"/>
      <c r="X63" s="93"/>
      <c r="Y63" s="93"/>
      <c r="Z63" s="49"/>
      <c r="AA63" s="93"/>
      <c r="AB63" s="93"/>
      <c r="AC63" s="93"/>
      <c r="AD63" s="93"/>
      <c r="AE63" s="95"/>
      <c r="AF63" s="49"/>
      <c r="AG63" s="93"/>
      <c r="AH63" s="93"/>
      <c r="AI63" s="49"/>
      <c r="AJ63" s="93"/>
      <c r="AK63" s="93"/>
      <c r="AL63" s="93"/>
      <c r="AM63" s="93"/>
      <c r="AN63" s="93"/>
      <c r="AO63" s="95"/>
      <c r="AP63" s="49"/>
      <c r="AQ63" s="93"/>
      <c r="AR63" s="95"/>
      <c r="AS63" s="95"/>
      <c r="AT63" s="95"/>
      <c r="AU63" s="95"/>
      <c r="AV63" s="95"/>
      <c r="AW63" s="95"/>
      <c r="AX63" s="95"/>
      <c r="AY63" s="49"/>
      <c r="AZ63" s="93"/>
      <c r="BA63" s="95"/>
      <c r="BB63" s="95"/>
      <c r="BC63" s="95"/>
      <c r="BD63" s="95"/>
      <c r="BE63" s="95"/>
      <c r="BF63" s="49"/>
      <c r="BG63" s="95"/>
      <c r="BH63" s="95"/>
      <c r="BI63" s="95"/>
      <c r="BJ63" s="95"/>
      <c r="BK63" s="95"/>
      <c r="BL63" s="95"/>
      <c r="BM63" s="95"/>
      <c r="BN63" s="95"/>
      <c r="BO63" s="49"/>
      <c r="BP63" s="93"/>
      <c r="BQ63" s="95"/>
      <c r="BR63" s="95"/>
      <c r="BS63" s="95"/>
      <c r="BT63" s="95"/>
      <c r="BU63" s="95"/>
      <c r="BV63" s="49"/>
      <c r="BW63" s="95"/>
      <c r="BX63" s="95"/>
      <c r="BY63" s="95"/>
      <c r="BZ63" s="95"/>
      <c r="CA63" s="95"/>
      <c r="CB63" s="95"/>
      <c r="CC63" s="49"/>
      <c r="CD63" s="95"/>
      <c r="CE63" s="95"/>
      <c r="CF63" s="95"/>
      <c r="CG63" s="95"/>
      <c r="CH63" s="95"/>
      <c r="CI63" s="95"/>
      <c r="CK63" s="112"/>
      <c r="EC63" s="2"/>
    </row>
    <row r="64" spans="1:155" ht="24.95" customHeight="1">
      <c r="A64" s="1">
        <f t="shared" si="14"/>
        <v>56</v>
      </c>
      <c r="B64" s="185"/>
      <c r="D64" s="65"/>
      <c r="E64" s="65"/>
      <c r="F64" s="49"/>
      <c r="G64" s="93"/>
      <c r="H64" s="93"/>
      <c r="I64" s="93"/>
      <c r="J64" s="95"/>
      <c r="K64" s="95"/>
      <c r="L64" s="49"/>
      <c r="M64" s="93"/>
      <c r="N64" s="93"/>
      <c r="O64" s="93"/>
      <c r="P64" s="93"/>
      <c r="Q64" s="93"/>
      <c r="R64" s="93"/>
      <c r="S64" s="93"/>
      <c r="T64" s="93"/>
      <c r="U64" s="95"/>
      <c r="V64" s="49"/>
      <c r="W64" s="93"/>
      <c r="X64" s="93"/>
      <c r="Y64" s="93"/>
      <c r="Z64" s="49"/>
      <c r="AA64" s="93"/>
      <c r="AB64" s="93"/>
      <c r="AC64" s="93"/>
      <c r="AD64" s="93"/>
      <c r="AE64" s="95"/>
      <c r="AF64" s="49"/>
      <c r="AG64" s="93"/>
      <c r="AH64" s="93"/>
      <c r="AI64" s="49"/>
      <c r="AJ64" s="93"/>
      <c r="AK64" s="93"/>
      <c r="AL64" s="93"/>
      <c r="AM64" s="93"/>
      <c r="AN64" s="93"/>
      <c r="AO64" s="95"/>
      <c r="AP64" s="49"/>
      <c r="AQ64" s="93"/>
      <c r="AR64" s="95"/>
      <c r="AS64" s="95"/>
      <c r="AT64" s="95"/>
      <c r="AU64" s="95"/>
      <c r="AV64" s="95"/>
      <c r="AW64" s="95"/>
      <c r="AX64" s="95"/>
      <c r="AY64" s="49"/>
      <c r="AZ64" s="93"/>
      <c r="BA64" s="95"/>
      <c r="BB64" s="95"/>
      <c r="BC64" s="95"/>
      <c r="BD64" s="95"/>
      <c r="BE64" s="95"/>
      <c r="BF64" s="49"/>
      <c r="BG64" s="95"/>
      <c r="BH64" s="95"/>
      <c r="BI64" s="95"/>
      <c r="BJ64" s="95"/>
      <c r="BK64" s="95"/>
      <c r="BL64" s="95"/>
      <c r="BM64" s="95"/>
      <c r="BN64" s="95"/>
      <c r="BO64" s="49"/>
      <c r="BP64" s="93"/>
      <c r="BQ64" s="95"/>
      <c r="BR64" s="95"/>
      <c r="BS64" s="95"/>
      <c r="BT64" s="95"/>
      <c r="BU64" s="95"/>
      <c r="BV64" s="49"/>
      <c r="BW64" s="95"/>
      <c r="BX64" s="95"/>
      <c r="BY64" s="95"/>
      <c r="BZ64" s="95"/>
      <c r="CA64" s="95"/>
      <c r="CB64" s="95"/>
      <c r="CC64" s="49"/>
      <c r="CD64" s="95"/>
      <c r="CE64" s="95"/>
      <c r="CF64" s="95"/>
      <c r="CG64" s="95"/>
      <c r="CH64" s="95"/>
      <c r="CI64" s="95"/>
      <c r="CK64" s="112"/>
      <c r="EC64" s="2"/>
    </row>
    <row r="65" spans="1:133" ht="24.95" customHeight="1">
      <c r="A65" s="1">
        <f t="shared" si="14"/>
        <v>57</v>
      </c>
      <c r="B65" s="185"/>
      <c r="D65" s="65"/>
      <c r="E65" s="65"/>
      <c r="F65" s="49"/>
      <c r="G65" s="93"/>
      <c r="H65" s="93"/>
      <c r="I65" s="93"/>
      <c r="J65" s="95"/>
      <c r="K65" s="95"/>
      <c r="L65" s="49"/>
      <c r="M65" s="93"/>
      <c r="N65" s="93"/>
      <c r="O65" s="93"/>
      <c r="P65" s="93"/>
      <c r="Q65" s="93"/>
      <c r="R65" s="93"/>
      <c r="S65" s="93"/>
      <c r="T65" s="93"/>
      <c r="U65" s="95"/>
      <c r="V65" s="49"/>
      <c r="W65" s="93"/>
      <c r="X65" s="93"/>
      <c r="Y65" s="93"/>
      <c r="Z65" s="49"/>
      <c r="AA65" s="93"/>
      <c r="AB65" s="93"/>
      <c r="AC65" s="93"/>
      <c r="AD65" s="93"/>
      <c r="AE65" s="95"/>
      <c r="AF65" s="49"/>
      <c r="AG65" s="93"/>
      <c r="AH65" s="93"/>
      <c r="AI65" s="49"/>
      <c r="AJ65" s="93"/>
      <c r="AK65" s="93"/>
      <c r="AL65" s="93"/>
      <c r="AM65" s="93"/>
      <c r="AN65" s="93"/>
      <c r="AO65" s="95"/>
      <c r="AP65" s="49"/>
      <c r="AQ65" s="93"/>
      <c r="AR65" s="95"/>
      <c r="AS65" s="95"/>
      <c r="AT65" s="95"/>
      <c r="AU65" s="95"/>
      <c r="AV65" s="95"/>
      <c r="AW65" s="95"/>
      <c r="AX65" s="95"/>
      <c r="AY65" s="49"/>
      <c r="AZ65" s="93"/>
      <c r="BA65" s="95"/>
      <c r="BB65" s="95"/>
      <c r="BC65" s="95"/>
      <c r="BD65" s="95"/>
      <c r="BE65" s="95"/>
      <c r="BF65" s="49"/>
      <c r="BG65" s="95"/>
      <c r="BH65" s="95"/>
      <c r="BI65" s="95"/>
      <c r="BJ65" s="95"/>
      <c r="BK65" s="95"/>
      <c r="BL65" s="95"/>
      <c r="BM65" s="95"/>
      <c r="BN65" s="95"/>
      <c r="BO65" s="49"/>
      <c r="BP65" s="93"/>
      <c r="BQ65" s="95"/>
      <c r="BR65" s="95"/>
      <c r="BS65" s="95"/>
      <c r="BT65" s="95"/>
      <c r="BU65" s="95"/>
      <c r="BV65" s="49"/>
      <c r="BW65" s="95"/>
      <c r="BX65" s="95"/>
      <c r="BY65" s="95"/>
      <c r="BZ65" s="95"/>
      <c r="CA65" s="95"/>
      <c r="CB65" s="95"/>
      <c r="CC65" s="49"/>
      <c r="CD65" s="95"/>
      <c r="CE65" s="95"/>
      <c r="CF65" s="95"/>
      <c r="CG65" s="95"/>
      <c r="CH65" s="95"/>
      <c r="CI65" s="95"/>
      <c r="CK65" s="112"/>
      <c r="EC65" s="2"/>
    </row>
    <row r="66" spans="1:133" ht="24.95" customHeight="1">
      <c r="A66" s="1">
        <f t="shared" si="14"/>
        <v>58</v>
      </c>
      <c r="B66" s="185"/>
      <c r="D66" s="65"/>
      <c r="E66" s="65"/>
      <c r="F66" s="49"/>
      <c r="G66" s="93"/>
      <c r="H66" s="93"/>
      <c r="I66" s="93"/>
      <c r="J66" s="95"/>
      <c r="K66" s="95"/>
      <c r="L66" s="49"/>
      <c r="M66" s="93"/>
      <c r="N66" s="93"/>
      <c r="O66" s="93"/>
      <c r="P66" s="93"/>
      <c r="Q66" s="93"/>
      <c r="R66" s="93"/>
      <c r="S66" s="93"/>
      <c r="T66" s="93"/>
      <c r="U66" s="95"/>
      <c r="V66" s="49"/>
      <c r="W66" s="93"/>
      <c r="X66" s="93"/>
      <c r="Y66" s="93"/>
      <c r="Z66" s="49"/>
      <c r="AA66" s="93"/>
      <c r="AB66" s="93"/>
      <c r="AC66" s="93"/>
      <c r="AD66" s="93"/>
      <c r="AE66" s="95"/>
      <c r="AF66" s="49"/>
      <c r="AG66" s="93"/>
      <c r="AH66" s="93"/>
      <c r="AI66" s="49"/>
      <c r="AJ66" s="93"/>
      <c r="AK66" s="93"/>
      <c r="AL66" s="93"/>
      <c r="AM66" s="93"/>
      <c r="AN66" s="93"/>
      <c r="AO66" s="95"/>
      <c r="AP66" s="49"/>
      <c r="AQ66" s="93"/>
      <c r="AR66" s="95"/>
      <c r="AS66" s="95"/>
      <c r="AT66" s="95"/>
      <c r="AU66" s="95"/>
      <c r="AV66" s="95"/>
      <c r="AW66" s="95"/>
      <c r="AX66" s="95"/>
      <c r="AY66" s="49"/>
      <c r="AZ66" s="93"/>
      <c r="BA66" s="95"/>
      <c r="BB66" s="95"/>
      <c r="BC66" s="95"/>
      <c r="BD66" s="95"/>
      <c r="BE66" s="95"/>
      <c r="BF66" s="49"/>
      <c r="BG66" s="95"/>
      <c r="BH66" s="95"/>
      <c r="BI66" s="95"/>
      <c r="BJ66" s="95"/>
      <c r="BK66" s="95"/>
      <c r="BL66" s="95"/>
      <c r="BM66" s="95"/>
      <c r="BN66" s="95"/>
      <c r="BO66" s="49"/>
      <c r="BP66" s="93"/>
      <c r="BQ66" s="95"/>
      <c r="BR66" s="95"/>
      <c r="BS66" s="95"/>
      <c r="BT66" s="95"/>
      <c r="BU66" s="95"/>
      <c r="BV66" s="49"/>
      <c r="BW66" s="95"/>
      <c r="BX66" s="95"/>
      <c r="BY66" s="95"/>
      <c r="BZ66" s="95"/>
      <c r="CA66" s="95"/>
      <c r="CB66" s="95"/>
      <c r="CC66" s="49"/>
      <c r="CD66" s="95"/>
      <c r="CE66" s="95"/>
      <c r="CF66" s="95"/>
      <c r="CG66" s="95"/>
      <c r="CH66" s="95"/>
      <c r="CI66" s="95"/>
      <c r="CK66" s="112"/>
      <c r="EC66" s="2"/>
    </row>
    <row r="67" spans="1:133" ht="24.95" customHeight="1">
      <c r="A67" s="1">
        <f t="shared" si="14"/>
        <v>59</v>
      </c>
      <c r="B67" s="185"/>
      <c r="D67" s="65"/>
      <c r="E67" s="65"/>
      <c r="F67" s="49"/>
      <c r="G67" s="93"/>
      <c r="H67" s="93"/>
      <c r="I67" s="93"/>
      <c r="J67" s="95"/>
      <c r="K67" s="95"/>
      <c r="L67" s="49"/>
      <c r="M67" s="93"/>
      <c r="N67" s="93"/>
      <c r="O67" s="93"/>
      <c r="P67" s="93"/>
      <c r="Q67" s="93"/>
      <c r="R67" s="93"/>
      <c r="S67" s="93"/>
      <c r="T67" s="93"/>
      <c r="U67" s="95"/>
      <c r="V67" s="49"/>
      <c r="W67" s="93"/>
      <c r="X67" s="93"/>
      <c r="Y67" s="93"/>
      <c r="Z67" s="49"/>
      <c r="AA67" s="93"/>
      <c r="AB67" s="93"/>
      <c r="AC67" s="93"/>
      <c r="AD67" s="93"/>
      <c r="AE67" s="95"/>
      <c r="AF67" s="49"/>
      <c r="AG67" s="93"/>
      <c r="AH67" s="93"/>
      <c r="AI67" s="49"/>
      <c r="AJ67" s="93"/>
      <c r="AK67" s="93"/>
      <c r="AL67" s="93"/>
      <c r="AM67" s="93"/>
      <c r="AN67" s="93"/>
      <c r="AO67" s="95"/>
      <c r="AP67" s="49"/>
      <c r="AQ67" s="93"/>
      <c r="AR67" s="95"/>
      <c r="AS67" s="95"/>
      <c r="AT67" s="95"/>
      <c r="AU67" s="95"/>
      <c r="AV67" s="95"/>
      <c r="AW67" s="95"/>
      <c r="AX67" s="95"/>
      <c r="AY67" s="49"/>
      <c r="AZ67" s="93"/>
      <c r="BA67" s="95"/>
      <c r="BB67" s="95"/>
      <c r="BC67" s="95"/>
      <c r="BD67" s="95"/>
      <c r="BE67" s="95"/>
      <c r="BF67" s="49"/>
      <c r="BG67" s="95"/>
      <c r="BH67" s="95"/>
      <c r="BI67" s="95"/>
      <c r="BJ67" s="95"/>
      <c r="BK67" s="95"/>
      <c r="BL67" s="95"/>
      <c r="BM67" s="95"/>
      <c r="BN67" s="95"/>
      <c r="BO67" s="49"/>
      <c r="BP67" s="93"/>
      <c r="BQ67" s="95"/>
      <c r="BR67" s="95"/>
      <c r="BS67" s="95"/>
      <c r="BT67" s="95"/>
      <c r="BU67" s="95"/>
      <c r="BV67" s="49"/>
      <c r="BW67" s="95"/>
      <c r="BX67" s="95"/>
      <c r="BY67" s="95"/>
      <c r="BZ67" s="95"/>
      <c r="CA67" s="95"/>
      <c r="CB67" s="95"/>
      <c r="CC67" s="49"/>
      <c r="CD67" s="95"/>
      <c r="CE67" s="95"/>
      <c r="CF67" s="95"/>
      <c r="CG67" s="95"/>
      <c r="CH67" s="95"/>
      <c r="CI67" s="95"/>
      <c r="CK67" s="112"/>
      <c r="EC67" s="2"/>
    </row>
    <row r="68" spans="1:133" ht="24.95" customHeight="1">
      <c r="A68" s="1">
        <f t="shared" si="14"/>
        <v>60</v>
      </c>
      <c r="B68" s="185"/>
      <c r="D68" s="89"/>
      <c r="E68" s="89"/>
      <c r="F68" s="89"/>
      <c r="G68" s="88"/>
      <c r="H68" s="88"/>
      <c r="I68" s="88"/>
      <c r="J68" s="88"/>
      <c r="K68" s="88"/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  <c r="AP68" s="89"/>
      <c r="AQ68" s="89"/>
      <c r="AR68" s="91"/>
      <c r="AS68" s="91"/>
      <c r="AT68" s="88"/>
      <c r="AU68" s="91"/>
      <c r="AV68" s="91"/>
      <c r="AW68" s="91"/>
      <c r="AX68" s="91"/>
      <c r="AY68" s="91"/>
      <c r="AZ68" s="88"/>
      <c r="BA68" s="88"/>
      <c r="BB68" s="88"/>
      <c r="BC68" s="91"/>
      <c r="BD68" s="91"/>
      <c r="BE68" s="91"/>
      <c r="BF68" s="91"/>
      <c r="BG68" s="91"/>
      <c r="BH68" s="91"/>
      <c r="BI68" s="91"/>
      <c r="BJ68" s="91"/>
      <c r="BK68" s="91"/>
      <c r="BL68" s="91"/>
      <c r="BM68" s="91"/>
      <c r="BN68" s="91"/>
      <c r="BO68" s="91"/>
      <c r="BP68" s="91"/>
      <c r="BQ68" s="91"/>
      <c r="BR68" s="88"/>
      <c r="BS68" s="88" t="s">
        <v>108</v>
      </c>
      <c r="BT68" s="88"/>
      <c r="BU68" s="91"/>
      <c r="BV68" s="88"/>
      <c r="BW68" s="91"/>
      <c r="BX68" s="91"/>
      <c r="BY68" s="91"/>
      <c r="BZ68" s="91"/>
      <c r="CA68" s="91"/>
      <c r="CB68" s="91" t="s">
        <v>98</v>
      </c>
      <c r="CC68" s="91" t="s">
        <v>99</v>
      </c>
      <c r="CD68" s="91" t="s">
        <v>100</v>
      </c>
      <c r="CE68" s="91" t="s">
        <v>101</v>
      </c>
      <c r="CF68" s="91" t="s">
        <v>97</v>
      </c>
      <c r="CG68" s="91"/>
      <c r="CH68" s="88" t="s">
        <v>109</v>
      </c>
      <c r="CI68" s="91"/>
      <c r="CK68" s="112"/>
      <c r="EC68" s="2"/>
    </row>
    <row r="69" spans="1:133" ht="24.95" customHeight="1">
      <c r="A69" s="1">
        <f t="shared" si="14"/>
        <v>61</v>
      </c>
      <c r="B69" s="185"/>
      <c r="D69" s="101" t="s">
        <v>130</v>
      </c>
      <c r="E69" s="101"/>
      <c r="F69" s="101"/>
      <c r="G69" s="101"/>
      <c r="H69" s="101"/>
      <c r="I69" s="101"/>
      <c r="J69" s="101"/>
      <c r="K69" s="101"/>
      <c r="L69" s="100"/>
      <c r="M69" s="101"/>
      <c r="N69" s="101"/>
      <c r="O69" s="101"/>
      <c r="P69" s="101"/>
      <c r="Q69" s="101"/>
      <c r="R69" s="101"/>
      <c r="S69" s="101"/>
      <c r="T69" s="101"/>
      <c r="U69" s="101"/>
      <c r="V69" s="101"/>
      <c r="W69" s="101"/>
      <c r="X69" s="101"/>
      <c r="Y69" s="101"/>
      <c r="Z69" s="101"/>
      <c r="AA69" s="101"/>
      <c r="AB69" s="101"/>
      <c r="AC69" s="101"/>
      <c r="AD69" s="101"/>
      <c r="AE69" s="101"/>
      <c r="AF69" s="101"/>
      <c r="AG69" s="101"/>
      <c r="AH69" s="101"/>
      <c r="AI69" s="101"/>
      <c r="AJ69" s="101"/>
      <c r="AK69" s="101"/>
      <c r="AL69" s="103"/>
      <c r="AM69" s="103"/>
      <c r="AN69" s="103"/>
      <c r="AO69" s="103"/>
      <c r="AP69" s="100"/>
      <c r="AQ69" s="100"/>
      <c r="AR69" s="100"/>
      <c r="AS69" s="100"/>
      <c r="AT69" s="100"/>
      <c r="AU69" s="100"/>
      <c r="AV69" s="100"/>
      <c r="AW69" s="100"/>
      <c r="AX69" s="100"/>
      <c r="AY69" s="100"/>
      <c r="AZ69" s="100"/>
      <c r="BA69" s="100"/>
      <c r="BB69" s="100"/>
      <c r="BC69" s="100"/>
      <c r="BD69" s="100"/>
      <c r="BE69" s="100"/>
      <c r="BF69" s="100"/>
      <c r="BG69" s="100"/>
      <c r="BH69" s="100"/>
      <c r="BI69" s="100"/>
      <c r="BJ69" s="100"/>
      <c r="BK69" s="100"/>
      <c r="BL69" s="100"/>
      <c r="BM69" s="100"/>
      <c r="BN69" s="100"/>
      <c r="BO69" s="100"/>
      <c r="BP69" s="100"/>
      <c r="BQ69" s="100"/>
      <c r="BR69" s="100"/>
      <c r="BS69" s="100"/>
      <c r="BT69" s="100"/>
      <c r="BU69" s="100"/>
      <c r="BV69" s="100"/>
      <c r="BW69" s="100"/>
      <c r="BX69" s="100"/>
      <c r="BY69" s="100"/>
      <c r="BZ69" s="100"/>
      <c r="CA69" s="100"/>
      <c r="CB69" s="100"/>
      <c r="CC69" s="100"/>
      <c r="CD69" s="100"/>
      <c r="CE69" s="101"/>
      <c r="CF69" s="101"/>
      <c r="CG69" s="101"/>
      <c r="CH69" s="101"/>
      <c r="CI69" s="101"/>
      <c r="CK69" s="112"/>
      <c r="EC69" s="2"/>
    </row>
    <row r="70" spans="1:133" ht="24.95" customHeight="1">
      <c r="A70" s="1">
        <f t="shared" si="14"/>
        <v>62</v>
      </c>
      <c r="B70" s="185"/>
      <c r="D70" s="49" t="s">
        <v>116</v>
      </c>
      <c r="E70" s="101"/>
      <c r="F70" s="101"/>
      <c r="G70" s="101"/>
      <c r="H70" s="101"/>
      <c r="I70" s="101"/>
      <c r="J70" s="104" t="s">
        <v>133</v>
      </c>
      <c r="K70" s="49"/>
      <c r="L70" s="49" t="s">
        <v>118</v>
      </c>
      <c r="M70" s="49" t="s">
        <v>134</v>
      </c>
      <c r="N70" s="49"/>
      <c r="O70" s="101"/>
      <c r="P70" s="101"/>
      <c r="Q70" s="101"/>
      <c r="R70" s="101"/>
      <c r="S70" s="101"/>
      <c r="T70" s="101"/>
      <c r="U70" s="101"/>
      <c r="V70" s="101"/>
      <c r="W70" s="101"/>
      <c r="X70" s="49" t="s">
        <v>122</v>
      </c>
      <c r="Y70" s="93"/>
      <c r="Z70" s="94"/>
      <c r="AA70" s="49"/>
      <c r="AB70" s="94"/>
      <c r="AC70" s="93"/>
      <c r="AD70" s="104" t="s">
        <v>107</v>
      </c>
      <c r="AE70" s="93"/>
      <c r="AF70" s="93"/>
      <c r="AG70" s="93"/>
      <c r="AH70" s="101"/>
      <c r="AI70" s="101"/>
      <c r="AJ70" s="101"/>
      <c r="AK70" s="101"/>
      <c r="AL70" s="103"/>
      <c r="AM70" s="103"/>
      <c r="AN70" s="103"/>
      <c r="AO70" s="103"/>
      <c r="AP70" s="100"/>
      <c r="AQ70" s="100"/>
      <c r="AR70" s="100"/>
      <c r="AS70" s="100"/>
      <c r="AT70" s="100"/>
      <c r="AU70" s="100"/>
      <c r="AV70" s="100"/>
      <c r="AW70" s="100"/>
      <c r="AX70" s="100"/>
      <c r="AY70" s="100"/>
      <c r="AZ70" s="100"/>
      <c r="BA70" s="100"/>
      <c r="BB70" s="100"/>
      <c r="BC70" s="100"/>
      <c r="BD70" s="100"/>
      <c r="BE70" s="100"/>
      <c r="BF70" s="100"/>
      <c r="BG70" s="100"/>
      <c r="BH70" s="100"/>
      <c r="BI70" s="100"/>
      <c r="BJ70" s="100"/>
      <c r="BK70" s="100"/>
      <c r="BL70" s="100"/>
      <c r="BM70" s="100"/>
      <c r="BN70" s="100"/>
      <c r="BO70" s="100"/>
      <c r="BP70" s="100"/>
      <c r="BQ70" s="100"/>
      <c r="BR70" s="100"/>
      <c r="BS70" s="100"/>
      <c r="BT70" s="100"/>
      <c r="BU70" s="100"/>
      <c r="BV70" s="100"/>
      <c r="BW70" s="100"/>
      <c r="BX70" s="100"/>
      <c r="BY70" s="100"/>
      <c r="BZ70" s="99"/>
      <c r="CA70" s="99"/>
      <c r="CB70" s="99"/>
      <c r="CC70" s="99"/>
      <c r="CD70" s="99"/>
      <c r="CE70" s="94"/>
      <c r="CF70" s="94"/>
      <c r="CG70" s="94"/>
      <c r="CH70" s="94"/>
      <c r="CI70" s="49"/>
      <c r="CK70" s="112"/>
      <c r="EC70" s="2"/>
    </row>
    <row r="71" spans="1:133" ht="24.95" customHeight="1">
      <c r="A71" s="1">
        <f t="shared" si="14"/>
        <v>63</v>
      </c>
      <c r="B71" s="185"/>
      <c r="D71" s="49" t="s">
        <v>119</v>
      </c>
      <c r="E71" s="49"/>
      <c r="F71" s="49"/>
      <c r="G71" s="49"/>
      <c r="H71" s="49"/>
      <c r="I71" s="49"/>
      <c r="J71" s="104" t="s">
        <v>135</v>
      </c>
      <c r="K71" s="49"/>
      <c r="L71" s="49" t="s">
        <v>106</v>
      </c>
      <c r="M71" s="49" t="s">
        <v>136</v>
      </c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49"/>
      <c r="AC71" s="49"/>
      <c r="AD71" s="49"/>
      <c r="AE71" s="49"/>
      <c r="AF71" s="49"/>
      <c r="AG71" s="49"/>
      <c r="AH71" s="49"/>
      <c r="AI71" s="49"/>
      <c r="AJ71" s="49"/>
      <c r="AK71" s="49"/>
      <c r="AL71" s="49"/>
      <c r="AM71" s="49"/>
      <c r="AN71" s="49"/>
      <c r="AO71" s="49"/>
      <c r="AT71" s="99"/>
      <c r="AU71" s="99"/>
      <c r="AV71" s="99"/>
      <c r="AW71" s="100"/>
      <c r="AX71" s="100"/>
      <c r="AY71" s="100"/>
      <c r="AZ71" s="100"/>
      <c r="BA71" s="100"/>
      <c r="BB71" s="100"/>
      <c r="BC71" s="100"/>
      <c r="BD71" s="100"/>
      <c r="BE71" s="100"/>
      <c r="BH71" s="49" t="s">
        <v>131</v>
      </c>
      <c r="CK71" s="112"/>
      <c r="EC71" s="2"/>
    </row>
    <row r="72" spans="1:133" ht="24.95" customHeight="1">
      <c r="A72" s="1">
        <f t="shared" si="14"/>
        <v>64</v>
      </c>
      <c r="B72" s="185"/>
      <c r="D72" s="49"/>
      <c r="E72" s="93"/>
      <c r="F72" s="94"/>
      <c r="G72" s="49"/>
      <c r="H72" s="94"/>
      <c r="I72" s="93"/>
      <c r="J72" s="104"/>
      <c r="K72" s="93"/>
      <c r="L72" s="93"/>
      <c r="M72" s="93"/>
      <c r="N72" s="93"/>
      <c r="O72" s="93"/>
      <c r="P72" s="93"/>
      <c r="Q72" s="49"/>
      <c r="R72" s="49"/>
      <c r="S72" s="49"/>
      <c r="T72" s="49"/>
      <c r="U72" s="49"/>
      <c r="V72" s="95"/>
      <c r="W72" s="95"/>
      <c r="X72" s="95"/>
      <c r="Y72" s="95"/>
      <c r="Z72" s="95"/>
      <c r="AA72" s="95"/>
      <c r="AB72" s="95"/>
      <c r="AC72" s="95"/>
      <c r="AD72" s="95"/>
      <c r="AE72" s="95"/>
      <c r="AF72" s="95"/>
      <c r="AG72" s="95"/>
      <c r="AH72" s="95"/>
      <c r="AI72" s="95"/>
      <c r="AJ72" s="49"/>
      <c r="AK72" s="49"/>
      <c r="AL72" s="49"/>
      <c r="AM72" s="49"/>
      <c r="AN72" s="49"/>
      <c r="AO72" s="49"/>
      <c r="AP72" s="49"/>
      <c r="AQ72" s="49"/>
      <c r="AR72" s="49"/>
      <c r="AS72" s="49"/>
      <c r="AT72" s="49"/>
      <c r="AU72" s="95"/>
      <c r="AV72" s="95"/>
      <c r="AW72" s="95"/>
      <c r="AX72" s="95"/>
      <c r="AY72" s="95"/>
      <c r="AZ72" s="95"/>
      <c r="BA72" s="95"/>
      <c r="BB72" s="95"/>
      <c r="BC72" s="95"/>
      <c r="BD72" s="95"/>
      <c r="BE72" s="95"/>
      <c r="BF72" s="95"/>
      <c r="BG72" s="95"/>
      <c r="BH72" s="95"/>
      <c r="BI72" s="95"/>
      <c r="BJ72" s="95"/>
      <c r="BK72" s="95"/>
      <c r="BL72" s="107"/>
      <c r="BM72" s="95"/>
      <c r="BN72" s="95"/>
      <c r="BO72" s="95"/>
      <c r="BP72" s="95"/>
      <c r="BQ72" s="95"/>
      <c r="BR72" s="95"/>
      <c r="BS72" s="95"/>
      <c r="BT72" s="95"/>
      <c r="BU72" s="95"/>
      <c r="BV72" s="95"/>
      <c r="BW72" s="95"/>
      <c r="BX72" s="95"/>
      <c r="BY72" s="95"/>
      <c r="BZ72" s="95"/>
      <c r="CA72" s="95"/>
      <c r="CB72" s="95"/>
      <c r="CC72" s="95"/>
      <c r="CD72" s="95"/>
      <c r="CE72" s="95"/>
      <c r="CF72" s="95"/>
      <c r="CG72" s="95"/>
      <c r="CH72" s="95"/>
      <c r="CI72" s="95"/>
      <c r="CK72" s="112"/>
      <c r="EC72" s="2"/>
    </row>
    <row r="73" spans="1:133" ht="24.95" customHeight="1">
      <c r="A73" s="1">
        <f t="shared" si="14"/>
        <v>65</v>
      </c>
      <c r="B73" s="185"/>
      <c r="D73" s="125" t="s">
        <v>408</v>
      </c>
      <c r="E73" s="127"/>
      <c r="F73" s="119"/>
      <c r="G73" s="118"/>
      <c r="H73" s="119"/>
      <c r="I73" s="127"/>
      <c r="J73" s="127"/>
      <c r="K73" s="127"/>
      <c r="L73" s="127"/>
      <c r="M73" s="127"/>
      <c r="N73" s="127"/>
      <c r="O73" s="127"/>
      <c r="P73" s="127"/>
      <c r="Q73" s="118"/>
      <c r="R73" s="118"/>
      <c r="S73" s="118"/>
      <c r="T73" s="118"/>
      <c r="U73" s="118"/>
      <c r="V73" s="120"/>
      <c r="W73" s="120"/>
      <c r="X73" s="120"/>
      <c r="Y73" s="121"/>
      <c r="Z73" s="207" t="s">
        <v>127</v>
      </c>
      <c r="AA73" s="208"/>
      <c r="AB73" s="208"/>
      <c r="AC73" s="208"/>
      <c r="AD73" s="208"/>
      <c r="AE73" s="208"/>
      <c r="AF73" s="208"/>
      <c r="AG73" s="208"/>
      <c r="AH73" s="208"/>
      <c r="AI73" s="208"/>
      <c r="AJ73" s="208"/>
      <c r="AK73" s="208"/>
      <c r="AL73" s="208"/>
      <c r="AM73" s="208"/>
      <c r="AN73" s="208"/>
      <c r="AO73" s="209"/>
      <c r="AP73" s="207" t="s">
        <v>128</v>
      </c>
      <c r="AQ73" s="208"/>
      <c r="AR73" s="208"/>
      <c r="AS73" s="208"/>
      <c r="AT73" s="208"/>
      <c r="AU73" s="208"/>
      <c r="AV73" s="208"/>
      <c r="AW73" s="208"/>
      <c r="AX73" s="208"/>
      <c r="AY73" s="208"/>
      <c r="AZ73" s="208"/>
      <c r="BA73" s="208"/>
      <c r="BB73" s="208"/>
      <c r="BC73" s="208"/>
      <c r="BD73" s="208"/>
      <c r="BE73" s="209"/>
      <c r="BF73" s="207" t="s">
        <v>129</v>
      </c>
      <c r="BG73" s="208"/>
      <c r="BH73" s="208"/>
      <c r="BI73" s="208"/>
      <c r="BJ73" s="208"/>
      <c r="BK73" s="208"/>
      <c r="BL73" s="208"/>
      <c r="BM73" s="208"/>
      <c r="BN73" s="208"/>
      <c r="BO73" s="208"/>
      <c r="BP73" s="208"/>
      <c r="BQ73" s="208"/>
      <c r="BR73" s="208"/>
      <c r="BS73" s="208"/>
      <c r="BT73" s="208"/>
      <c r="BU73" s="209"/>
      <c r="BV73" s="216" t="s">
        <v>218</v>
      </c>
      <c r="BW73" s="208"/>
      <c r="BX73" s="208"/>
      <c r="BY73" s="208"/>
      <c r="BZ73" s="208"/>
      <c r="CA73" s="208"/>
      <c r="CB73" s="209"/>
      <c r="CC73" s="207" t="s">
        <v>196</v>
      </c>
      <c r="CD73" s="208"/>
      <c r="CE73" s="208"/>
      <c r="CF73" s="208"/>
      <c r="CG73" s="208"/>
      <c r="CH73" s="208"/>
      <c r="CI73" s="209"/>
      <c r="CK73" s="112"/>
      <c r="EC73" s="2"/>
    </row>
    <row r="74" spans="1:133" ht="24.95" customHeight="1">
      <c r="A74" s="1">
        <f t="shared" si="14"/>
        <v>66</v>
      </c>
      <c r="B74" s="185"/>
      <c r="D74" s="111" t="s">
        <v>429</v>
      </c>
      <c r="E74" s="49"/>
      <c r="F74" s="49"/>
      <c r="G74" s="49"/>
      <c r="H74" s="49"/>
      <c r="I74" s="49"/>
      <c r="J74" s="49"/>
      <c r="K74" s="93"/>
      <c r="L74" s="49"/>
      <c r="M74" s="49"/>
      <c r="N74" s="93"/>
      <c r="O74" s="93"/>
      <c r="P74" s="109"/>
      <c r="Q74" s="49"/>
      <c r="R74" s="49"/>
      <c r="S74" s="49"/>
      <c r="T74" s="49"/>
      <c r="U74" s="49"/>
      <c r="V74" s="49"/>
      <c r="W74" s="49"/>
      <c r="X74" s="109" t="s">
        <v>144</v>
      </c>
      <c r="Y74" s="92"/>
      <c r="Z74" s="216" t="s">
        <v>410</v>
      </c>
      <c r="AA74" s="208"/>
      <c r="AB74" s="208"/>
      <c r="AC74" s="208"/>
      <c r="AD74" s="208"/>
      <c r="AE74" s="208"/>
      <c r="AF74" s="208"/>
      <c r="AG74" s="209"/>
      <c r="AH74" s="216" t="s">
        <v>142</v>
      </c>
      <c r="AI74" s="208"/>
      <c r="AJ74" s="208"/>
      <c r="AK74" s="208"/>
      <c r="AL74" s="208"/>
      <c r="AM74" s="208"/>
      <c r="AN74" s="208"/>
      <c r="AO74" s="209"/>
      <c r="AP74" s="216" t="s">
        <v>410</v>
      </c>
      <c r="AQ74" s="208"/>
      <c r="AR74" s="208"/>
      <c r="AS74" s="208"/>
      <c r="AT74" s="208"/>
      <c r="AU74" s="208"/>
      <c r="AV74" s="208"/>
      <c r="AW74" s="209"/>
      <c r="AX74" s="216" t="s">
        <v>142</v>
      </c>
      <c r="AY74" s="208"/>
      <c r="AZ74" s="208"/>
      <c r="BA74" s="208"/>
      <c r="BB74" s="208"/>
      <c r="BC74" s="208"/>
      <c r="BD74" s="208"/>
      <c r="BE74" s="209"/>
      <c r="BF74" s="216" t="s">
        <v>410</v>
      </c>
      <c r="BG74" s="208"/>
      <c r="BH74" s="208"/>
      <c r="BI74" s="208"/>
      <c r="BJ74" s="208"/>
      <c r="BK74" s="208"/>
      <c r="BL74" s="208"/>
      <c r="BM74" s="209"/>
      <c r="BN74" s="216" t="s">
        <v>143</v>
      </c>
      <c r="BO74" s="208"/>
      <c r="BP74" s="208"/>
      <c r="BQ74" s="208"/>
      <c r="BR74" s="208"/>
      <c r="BS74" s="208"/>
      <c r="BT74" s="208"/>
      <c r="BU74" s="209"/>
      <c r="BV74" s="210"/>
      <c r="BW74" s="211"/>
      <c r="BX74" s="211"/>
      <c r="BY74" s="211"/>
      <c r="BZ74" s="211"/>
      <c r="CA74" s="211"/>
      <c r="CB74" s="212"/>
      <c r="CC74" s="210"/>
      <c r="CD74" s="211"/>
      <c r="CE74" s="211"/>
      <c r="CF74" s="211"/>
      <c r="CG74" s="211"/>
      <c r="CH74" s="211"/>
      <c r="CI74" s="212"/>
      <c r="CK74" s="112"/>
      <c r="EC74" s="2"/>
    </row>
    <row r="75" spans="1:133" ht="24.95" customHeight="1">
      <c r="A75" s="1">
        <f t="shared" si="14"/>
        <v>67</v>
      </c>
      <c r="B75" s="185"/>
      <c r="D75" s="111" t="s">
        <v>432</v>
      </c>
      <c r="E75" s="49"/>
      <c r="F75" s="49"/>
      <c r="G75" s="49"/>
      <c r="H75" s="49"/>
      <c r="I75" s="49"/>
      <c r="J75" s="49"/>
      <c r="K75" s="93"/>
      <c r="L75" s="49"/>
      <c r="M75" s="93" t="s">
        <v>104</v>
      </c>
      <c r="N75" s="93"/>
      <c r="O75" s="49"/>
      <c r="P75" s="94"/>
      <c r="Q75" s="93"/>
      <c r="R75" s="93"/>
      <c r="S75" s="93" t="s">
        <v>112</v>
      </c>
      <c r="T75" s="93"/>
      <c r="U75" s="93"/>
      <c r="V75" s="93"/>
      <c r="W75" s="93"/>
      <c r="X75" s="93"/>
      <c r="Y75" s="132"/>
      <c r="Z75" s="210"/>
      <c r="AA75" s="211"/>
      <c r="AB75" s="211"/>
      <c r="AC75" s="211"/>
      <c r="AD75" s="211"/>
      <c r="AE75" s="211"/>
      <c r="AF75" s="211"/>
      <c r="AG75" s="212"/>
      <c r="AH75" s="210"/>
      <c r="AI75" s="211"/>
      <c r="AJ75" s="211"/>
      <c r="AK75" s="211"/>
      <c r="AL75" s="211"/>
      <c r="AM75" s="211"/>
      <c r="AN75" s="211"/>
      <c r="AO75" s="212"/>
      <c r="AP75" s="210"/>
      <c r="AQ75" s="211"/>
      <c r="AR75" s="211"/>
      <c r="AS75" s="211"/>
      <c r="AT75" s="211"/>
      <c r="AU75" s="211"/>
      <c r="AV75" s="211"/>
      <c r="AW75" s="212"/>
      <c r="AX75" s="210"/>
      <c r="AY75" s="211"/>
      <c r="AZ75" s="211"/>
      <c r="BA75" s="211"/>
      <c r="BB75" s="211"/>
      <c r="BC75" s="211"/>
      <c r="BD75" s="211"/>
      <c r="BE75" s="212"/>
      <c r="BF75" s="210"/>
      <c r="BG75" s="211"/>
      <c r="BH75" s="211"/>
      <c r="BI75" s="211"/>
      <c r="BJ75" s="211"/>
      <c r="BK75" s="211"/>
      <c r="BL75" s="211"/>
      <c r="BM75" s="212"/>
      <c r="BN75" s="210"/>
      <c r="BO75" s="211"/>
      <c r="BP75" s="211"/>
      <c r="BQ75" s="211"/>
      <c r="BR75" s="211"/>
      <c r="BS75" s="211"/>
      <c r="BT75" s="211"/>
      <c r="BU75" s="212"/>
      <c r="BV75" s="210"/>
      <c r="BW75" s="211"/>
      <c r="BX75" s="211"/>
      <c r="BY75" s="211"/>
      <c r="BZ75" s="211"/>
      <c r="CA75" s="211"/>
      <c r="CB75" s="212"/>
      <c r="CC75" s="210"/>
      <c r="CD75" s="211"/>
      <c r="CE75" s="211"/>
      <c r="CF75" s="211"/>
      <c r="CG75" s="211"/>
      <c r="CH75" s="211"/>
      <c r="CI75" s="212"/>
      <c r="CK75" s="112"/>
      <c r="EC75" s="2"/>
    </row>
    <row r="76" spans="1:133" ht="24.95" customHeight="1">
      <c r="A76" s="1">
        <f t="shared" si="14"/>
        <v>68</v>
      </c>
      <c r="B76" s="185"/>
      <c r="D76" s="122"/>
      <c r="E76" s="129"/>
      <c r="F76" s="129"/>
      <c r="G76" s="129"/>
      <c r="H76" s="129"/>
      <c r="I76" s="129"/>
      <c r="J76" s="106"/>
      <c r="K76" s="129"/>
      <c r="L76" s="129"/>
      <c r="M76" s="129"/>
      <c r="N76" s="129"/>
      <c r="O76" s="129"/>
      <c r="P76" s="129"/>
      <c r="Q76" s="129"/>
      <c r="R76" s="129"/>
      <c r="S76" s="129"/>
      <c r="T76" s="106"/>
      <c r="U76" s="129"/>
      <c r="V76" s="129"/>
      <c r="W76" s="129"/>
      <c r="X76" s="129"/>
      <c r="Y76" s="130"/>
      <c r="Z76" s="213"/>
      <c r="AA76" s="214"/>
      <c r="AB76" s="214"/>
      <c r="AC76" s="214"/>
      <c r="AD76" s="214"/>
      <c r="AE76" s="214"/>
      <c r="AF76" s="214"/>
      <c r="AG76" s="215"/>
      <c r="AH76" s="213"/>
      <c r="AI76" s="214"/>
      <c r="AJ76" s="214"/>
      <c r="AK76" s="214"/>
      <c r="AL76" s="214"/>
      <c r="AM76" s="214"/>
      <c r="AN76" s="214"/>
      <c r="AO76" s="215"/>
      <c r="AP76" s="213"/>
      <c r="AQ76" s="214"/>
      <c r="AR76" s="214"/>
      <c r="AS76" s="214"/>
      <c r="AT76" s="214"/>
      <c r="AU76" s="214"/>
      <c r="AV76" s="214"/>
      <c r="AW76" s="215"/>
      <c r="AX76" s="213"/>
      <c r="AY76" s="214"/>
      <c r="AZ76" s="214"/>
      <c r="BA76" s="214"/>
      <c r="BB76" s="214"/>
      <c r="BC76" s="214"/>
      <c r="BD76" s="214"/>
      <c r="BE76" s="215"/>
      <c r="BF76" s="213"/>
      <c r="BG76" s="214"/>
      <c r="BH76" s="214"/>
      <c r="BI76" s="214"/>
      <c r="BJ76" s="214"/>
      <c r="BK76" s="214"/>
      <c r="BL76" s="214"/>
      <c r="BM76" s="215"/>
      <c r="BN76" s="213"/>
      <c r="BO76" s="214"/>
      <c r="BP76" s="214"/>
      <c r="BQ76" s="214"/>
      <c r="BR76" s="214"/>
      <c r="BS76" s="214"/>
      <c r="BT76" s="214"/>
      <c r="BU76" s="215"/>
      <c r="BV76" s="213"/>
      <c r="BW76" s="214"/>
      <c r="BX76" s="214"/>
      <c r="BY76" s="214"/>
      <c r="BZ76" s="214"/>
      <c r="CA76" s="214"/>
      <c r="CB76" s="215"/>
      <c r="CC76" s="213"/>
      <c r="CD76" s="214"/>
      <c r="CE76" s="214"/>
      <c r="CF76" s="214"/>
      <c r="CG76" s="214"/>
      <c r="CH76" s="214"/>
      <c r="CI76" s="215"/>
      <c r="CK76" s="112"/>
      <c r="EC76" s="2"/>
    </row>
    <row r="77" spans="1:133" ht="24.95" customHeight="1">
      <c r="A77" s="1">
        <f t="shared" si="14"/>
        <v>69</v>
      </c>
      <c r="B77" s="185"/>
      <c r="D77" s="111"/>
      <c r="E77" s="49"/>
      <c r="F77" s="49"/>
      <c r="G77" s="93"/>
      <c r="H77" s="93"/>
      <c r="I77" s="93"/>
      <c r="J77" s="108"/>
      <c r="K77" s="95"/>
      <c r="L77" s="93"/>
      <c r="M77" s="93"/>
      <c r="N77" s="93"/>
      <c r="O77" s="93"/>
      <c r="P77" s="93"/>
      <c r="Q77" s="93"/>
      <c r="R77" s="93"/>
      <c r="S77" s="93"/>
      <c r="T77" s="49"/>
      <c r="U77" s="95"/>
      <c r="V77" s="93"/>
      <c r="W77" s="93"/>
      <c r="X77" s="93"/>
      <c r="Y77" s="132"/>
      <c r="Z77" s="111"/>
      <c r="AA77" s="93"/>
      <c r="AB77" s="93"/>
      <c r="AC77" s="93"/>
      <c r="AD77" s="93"/>
      <c r="AE77" s="95"/>
      <c r="AF77" s="93"/>
      <c r="AG77" s="93"/>
      <c r="AH77" s="131"/>
      <c r="AI77" s="224">
        <v>871350</v>
      </c>
      <c r="AJ77" s="224"/>
      <c r="AK77" s="224"/>
      <c r="AL77" s="224"/>
      <c r="AM77" s="224"/>
      <c r="AN77" s="224"/>
      <c r="AO77" s="98"/>
      <c r="AP77" s="111"/>
      <c r="AQ77" s="93"/>
      <c r="AR77" s="93"/>
      <c r="AS77" s="93"/>
      <c r="AT77" s="93"/>
      <c r="AU77" s="95"/>
      <c r="AV77" s="93"/>
      <c r="AW77" s="93"/>
      <c r="AX77" s="131"/>
      <c r="AY77" s="224">
        <v>870470</v>
      </c>
      <c r="AZ77" s="224"/>
      <c r="BA77" s="224"/>
      <c r="BB77" s="224"/>
      <c r="BC77" s="224"/>
      <c r="BD77" s="224"/>
      <c r="BE77" s="132"/>
      <c r="BF77" s="111"/>
      <c r="BG77" s="93"/>
      <c r="BH77" s="93"/>
      <c r="BI77" s="93"/>
      <c r="BJ77" s="93"/>
      <c r="BK77" s="95"/>
      <c r="BL77" s="93"/>
      <c r="BM77" s="93"/>
      <c r="BN77" s="131"/>
      <c r="BO77" s="49"/>
      <c r="BP77" s="93"/>
      <c r="BQ77" s="93"/>
      <c r="BR77" s="93"/>
      <c r="BS77" s="93"/>
      <c r="BT77" s="93"/>
      <c r="BU77" s="132"/>
      <c r="BV77" s="49"/>
      <c r="BW77" s="93"/>
      <c r="BX77" s="93"/>
      <c r="BY77" s="93"/>
      <c r="BZ77" s="93"/>
      <c r="CA77" s="95"/>
      <c r="CB77" s="93"/>
      <c r="CC77" s="125"/>
      <c r="CD77" s="93"/>
      <c r="CE77" s="49"/>
      <c r="CF77" s="93"/>
      <c r="CG77" s="93"/>
      <c r="CH77" s="93"/>
      <c r="CI77" s="98"/>
      <c r="CK77" s="112"/>
      <c r="EC77" s="2"/>
    </row>
    <row r="78" spans="1:133" ht="24.95" customHeight="1">
      <c r="A78" s="1">
        <f t="shared" si="14"/>
        <v>70</v>
      </c>
      <c r="B78" s="185"/>
      <c r="D78" s="111"/>
      <c r="E78" s="49"/>
      <c r="F78" s="49"/>
      <c r="G78" s="93"/>
      <c r="H78" s="93"/>
      <c r="I78" s="93"/>
      <c r="J78" s="108"/>
      <c r="K78" s="95"/>
      <c r="L78" s="93"/>
      <c r="M78" s="93"/>
      <c r="N78" s="93"/>
      <c r="O78" s="93"/>
      <c r="P78" s="93"/>
      <c r="Q78" s="93"/>
      <c r="R78" s="93"/>
      <c r="S78" s="93"/>
      <c r="T78" s="49"/>
      <c r="U78" s="95"/>
      <c r="V78" s="93"/>
      <c r="W78" s="93"/>
      <c r="X78" s="109"/>
      <c r="Y78" s="132"/>
      <c r="Z78" s="111"/>
      <c r="AA78" s="93"/>
      <c r="AB78" s="93"/>
      <c r="AC78" s="93"/>
      <c r="AD78" s="93"/>
      <c r="AE78" s="95"/>
      <c r="AF78" s="49"/>
      <c r="AG78" s="93"/>
      <c r="AH78" s="131"/>
      <c r="AI78" s="221">
        <v>87135</v>
      </c>
      <c r="AJ78" s="221"/>
      <c r="AK78" s="221"/>
      <c r="AL78" s="221"/>
      <c r="AM78" s="221"/>
      <c r="AN78" s="221"/>
      <c r="AO78" s="98"/>
      <c r="AP78" s="111"/>
      <c r="AQ78" s="93"/>
      <c r="AR78" s="93"/>
      <c r="AS78" s="93"/>
      <c r="AT78" s="93"/>
      <c r="AU78" s="95"/>
      <c r="AV78" s="49"/>
      <c r="AW78" s="93"/>
      <c r="AX78" s="131"/>
      <c r="AY78" s="221">
        <v>87047</v>
      </c>
      <c r="AZ78" s="221"/>
      <c r="BA78" s="221"/>
      <c r="BB78" s="221"/>
      <c r="BC78" s="221"/>
      <c r="BD78" s="221"/>
      <c r="BE78" s="132"/>
      <c r="BF78" s="111"/>
      <c r="BG78" s="93"/>
      <c r="BH78" s="93"/>
      <c r="BI78" s="93"/>
      <c r="BJ78" s="93"/>
      <c r="BK78" s="95"/>
      <c r="BL78" s="49"/>
      <c r="BM78" s="93"/>
      <c r="BN78" s="131"/>
      <c r="BO78" s="49"/>
      <c r="BP78" s="93"/>
      <c r="BQ78" s="93"/>
      <c r="BR78" s="93"/>
      <c r="BS78" s="93"/>
      <c r="BT78" s="93"/>
      <c r="BU78" s="132"/>
      <c r="BV78" s="49"/>
      <c r="BW78" s="93"/>
      <c r="BX78" s="93"/>
      <c r="BY78" s="93"/>
      <c r="BZ78" s="93"/>
      <c r="CA78" s="95"/>
      <c r="CB78" s="49"/>
      <c r="CC78" s="111"/>
      <c r="CD78" s="93"/>
      <c r="CE78" s="49"/>
      <c r="CF78" s="93"/>
      <c r="CG78" s="93"/>
      <c r="CH78" s="93"/>
      <c r="CI78" s="98"/>
      <c r="CK78" s="112"/>
      <c r="EC78" s="2"/>
    </row>
    <row r="79" spans="1:133" ht="24.95" customHeight="1">
      <c r="A79" s="1">
        <f t="shared" si="14"/>
        <v>71</v>
      </c>
      <c r="B79" s="185"/>
      <c r="D79" s="126"/>
      <c r="E79" s="49"/>
      <c r="F79" s="49"/>
      <c r="G79" s="93"/>
      <c r="H79" s="93"/>
      <c r="I79" s="93"/>
      <c r="J79" s="108"/>
      <c r="K79" s="95"/>
      <c r="L79" s="49"/>
      <c r="M79" s="108"/>
      <c r="N79" s="93"/>
      <c r="O79" s="93"/>
      <c r="P79" s="93"/>
      <c r="Q79" s="93"/>
      <c r="R79" s="93"/>
      <c r="S79" s="93"/>
      <c r="T79" s="93"/>
      <c r="U79" s="95"/>
      <c r="V79" s="49"/>
      <c r="W79" s="93"/>
      <c r="X79" s="109"/>
      <c r="Y79" s="132"/>
      <c r="Z79" s="110"/>
      <c r="AA79" s="91"/>
      <c r="AB79" s="91"/>
      <c r="AC79" s="91"/>
      <c r="AD79" s="91"/>
      <c r="AE79" s="143"/>
      <c r="AF79" s="88"/>
      <c r="AG79" s="91"/>
      <c r="AH79" s="144"/>
      <c r="AI79" s="222">
        <v>43053220</v>
      </c>
      <c r="AJ79" s="222"/>
      <c r="AK79" s="222"/>
      <c r="AL79" s="222"/>
      <c r="AM79" s="222"/>
      <c r="AN79" s="222"/>
      <c r="AO79" s="145"/>
      <c r="AP79" s="110"/>
      <c r="AQ79" s="91"/>
      <c r="AR79" s="91"/>
      <c r="AS79" s="91"/>
      <c r="AT79" s="91"/>
      <c r="AU79" s="143"/>
      <c r="AV79" s="88"/>
      <c r="AW79" s="91"/>
      <c r="AX79" s="146"/>
      <c r="AY79" s="222">
        <v>55371670</v>
      </c>
      <c r="AZ79" s="222"/>
      <c r="BA79" s="222"/>
      <c r="BB79" s="222"/>
      <c r="BC79" s="222"/>
      <c r="BD79" s="222"/>
      <c r="BE79" s="145"/>
      <c r="BF79" s="110"/>
      <c r="BG79" s="91"/>
      <c r="BH79" s="91"/>
      <c r="BI79" s="91"/>
      <c r="BJ79" s="91"/>
      <c r="BK79" s="143"/>
      <c r="BL79" s="88"/>
      <c r="BM79" s="91"/>
      <c r="BN79" s="146"/>
      <c r="BO79" s="88"/>
      <c r="BP79" s="91"/>
      <c r="BQ79" s="143"/>
      <c r="BR79" s="143"/>
      <c r="BS79" s="143"/>
      <c r="BT79" s="143"/>
      <c r="BU79" s="145"/>
      <c r="BV79" s="88"/>
      <c r="BW79" s="143"/>
      <c r="BX79" s="143"/>
      <c r="BY79" s="143"/>
      <c r="BZ79" s="143"/>
      <c r="CA79" s="143"/>
      <c r="CB79" s="143"/>
      <c r="CC79" s="110"/>
      <c r="CD79" s="143"/>
      <c r="CE79" s="143"/>
      <c r="CF79" s="143"/>
      <c r="CG79" s="143"/>
      <c r="CH79" s="143"/>
      <c r="CI79" s="145"/>
      <c r="CK79" s="112"/>
      <c r="EC79" s="2"/>
    </row>
    <row r="80" spans="1:133" ht="24.95" customHeight="1">
      <c r="A80" s="1">
        <f t="shared" si="14"/>
        <v>72</v>
      </c>
      <c r="B80" s="185"/>
      <c r="D80" s="111"/>
      <c r="E80" s="49"/>
      <c r="F80" s="49"/>
      <c r="G80" s="93"/>
      <c r="H80" s="93"/>
      <c r="I80" s="93"/>
      <c r="J80" s="95"/>
      <c r="K80" s="95"/>
      <c r="L80" s="49"/>
      <c r="M80" s="104" t="s">
        <v>363</v>
      </c>
      <c r="N80" s="93"/>
      <c r="O80" s="93"/>
      <c r="P80" s="93"/>
      <c r="Q80" s="93"/>
      <c r="R80" s="93"/>
      <c r="S80" s="49"/>
      <c r="T80" s="93"/>
      <c r="U80" s="95"/>
      <c r="V80" s="49"/>
      <c r="W80" s="93"/>
      <c r="X80" s="109"/>
      <c r="Y80" s="132"/>
      <c r="Z80" s="137"/>
      <c r="AA80" s="134"/>
      <c r="AB80" s="134"/>
      <c r="AC80" s="134"/>
      <c r="AD80" s="134"/>
      <c r="AE80" s="135"/>
      <c r="AF80" s="133"/>
      <c r="AG80" s="134"/>
      <c r="AH80" s="138"/>
      <c r="AI80" s="221">
        <v>4305322</v>
      </c>
      <c r="AJ80" s="221"/>
      <c r="AK80" s="221"/>
      <c r="AL80" s="221"/>
      <c r="AM80" s="221"/>
      <c r="AN80" s="221"/>
      <c r="AO80" s="139"/>
      <c r="AP80" s="137"/>
      <c r="AQ80" s="134"/>
      <c r="AR80" s="134"/>
      <c r="AS80" s="134"/>
      <c r="AT80" s="134"/>
      <c r="AU80" s="135"/>
      <c r="AV80" s="133"/>
      <c r="AW80" s="134"/>
      <c r="AX80" s="140"/>
      <c r="AY80" s="221">
        <v>5537167</v>
      </c>
      <c r="AZ80" s="221"/>
      <c r="BA80" s="221"/>
      <c r="BB80" s="221"/>
      <c r="BC80" s="221"/>
      <c r="BD80" s="221"/>
      <c r="BE80" s="139"/>
      <c r="BF80" s="137"/>
      <c r="BG80" s="134"/>
      <c r="BH80" s="134"/>
      <c r="BI80" s="134"/>
      <c r="BJ80" s="134"/>
      <c r="BK80" s="135"/>
      <c r="BL80" s="133"/>
      <c r="BM80" s="134"/>
      <c r="BN80" s="140"/>
      <c r="BO80" s="133"/>
      <c r="BP80" s="134"/>
      <c r="BQ80" s="135"/>
      <c r="BR80" s="135"/>
      <c r="BS80" s="135"/>
      <c r="BT80" s="135"/>
      <c r="BU80" s="139"/>
      <c r="BV80" s="133"/>
      <c r="BW80" s="135"/>
      <c r="BX80" s="135"/>
      <c r="BY80" s="135"/>
      <c r="BZ80" s="135"/>
      <c r="CA80" s="135"/>
      <c r="CB80" s="135"/>
      <c r="CC80" s="137"/>
      <c r="CD80" s="135"/>
      <c r="CE80" s="135"/>
      <c r="CF80" s="135"/>
      <c r="CG80" s="135"/>
      <c r="CH80" s="135"/>
      <c r="CI80" s="136"/>
      <c r="CK80" s="112"/>
      <c r="EC80" s="2"/>
    </row>
    <row r="81" spans="1:133" ht="24.95" customHeight="1">
      <c r="A81" s="1">
        <f t="shared" si="14"/>
        <v>73</v>
      </c>
      <c r="B81" s="185"/>
      <c r="D81" s="116"/>
      <c r="E81" s="65"/>
      <c r="F81" s="49"/>
      <c r="G81" s="93"/>
      <c r="H81" s="93"/>
      <c r="I81" s="93"/>
      <c r="J81" s="95"/>
      <c r="K81" s="95"/>
      <c r="L81" s="49"/>
      <c r="M81" s="93"/>
      <c r="N81" s="93"/>
      <c r="O81" s="93"/>
      <c r="P81" s="93"/>
      <c r="Q81" s="93"/>
      <c r="R81" s="93"/>
      <c r="S81" s="93"/>
      <c r="T81" s="93"/>
      <c r="U81" s="95"/>
      <c r="V81" s="49"/>
      <c r="W81" s="93"/>
      <c r="X81" s="93"/>
      <c r="Y81" s="132"/>
      <c r="Z81" s="111"/>
      <c r="AA81" s="93"/>
      <c r="AB81" s="93"/>
      <c r="AC81" s="109"/>
      <c r="AD81" s="93"/>
      <c r="AE81" s="95"/>
      <c r="AF81" s="49"/>
      <c r="AG81" s="93"/>
      <c r="AH81" s="131"/>
      <c r="AI81" s="222">
        <v>130228808</v>
      </c>
      <c r="AJ81" s="222"/>
      <c r="AK81" s="222"/>
      <c r="AL81" s="222"/>
      <c r="AM81" s="222"/>
      <c r="AN81" s="222"/>
      <c r="AO81" s="98"/>
      <c r="AP81" s="111"/>
      <c r="AQ81" s="93"/>
      <c r="AR81" s="93"/>
      <c r="AS81" s="109"/>
      <c r="AT81" s="93"/>
      <c r="AU81" s="95"/>
      <c r="AV81" s="49"/>
      <c r="AW81" s="93"/>
      <c r="AX81" s="113"/>
      <c r="AY81" s="222">
        <v>61077253</v>
      </c>
      <c r="AZ81" s="222"/>
      <c r="BA81" s="222"/>
      <c r="BB81" s="222"/>
      <c r="BC81" s="222"/>
      <c r="BD81" s="222"/>
      <c r="BE81" s="98"/>
      <c r="BF81" s="111"/>
      <c r="BG81" s="93"/>
      <c r="BH81" s="93"/>
      <c r="BI81" s="109"/>
      <c r="BJ81" s="93"/>
      <c r="BK81" s="95"/>
      <c r="BL81" s="49"/>
      <c r="BM81" s="93"/>
      <c r="BN81" s="113"/>
      <c r="BO81" s="49"/>
      <c r="BP81" s="93"/>
      <c r="BQ81" s="95"/>
      <c r="BR81" s="95"/>
      <c r="BS81" s="95"/>
      <c r="BT81" s="95"/>
      <c r="BU81" s="98"/>
      <c r="BV81" s="49"/>
      <c r="BW81" s="95"/>
      <c r="BX81" s="95"/>
      <c r="BY81" s="95"/>
      <c r="BZ81" s="95"/>
      <c r="CA81" s="95"/>
      <c r="CB81" s="95"/>
      <c r="CC81" s="111"/>
      <c r="CD81" s="219">
        <v>-13953565</v>
      </c>
      <c r="CE81" s="219"/>
      <c r="CF81" s="219"/>
      <c r="CG81" s="219"/>
      <c r="CH81" s="219"/>
      <c r="CI81" s="220"/>
      <c r="CK81" s="112"/>
      <c r="EC81" s="2"/>
    </row>
    <row r="82" spans="1:133" ht="24.95" customHeight="1">
      <c r="A82" s="1">
        <f t="shared" si="14"/>
        <v>74</v>
      </c>
      <c r="B82" s="185"/>
      <c r="D82" s="141"/>
      <c r="E82" s="142"/>
      <c r="F82" s="106"/>
      <c r="G82" s="129"/>
      <c r="H82" s="129"/>
      <c r="I82" s="129"/>
      <c r="J82" s="107"/>
      <c r="K82" s="107"/>
      <c r="L82" s="106"/>
      <c r="M82" s="129"/>
      <c r="N82" s="129"/>
      <c r="O82" s="129"/>
      <c r="P82" s="129"/>
      <c r="Q82" s="129"/>
      <c r="R82" s="129"/>
      <c r="S82" s="129"/>
      <c r="T82" s="129"/>
      <c r="U82" s="107"/>
      <c r="V82" s="106"/>
      <c r="W82" s="129"/>
      <c r="X82" s="129"/>
      <c r="Y82" s="130"/>
      <c r="Z82" s="122"/>
      <c r="AA82" s="129"/>
      <c r="AB82" s="129"/>
      <c r="AC82" s="129"/>
      <c r="AD82" s="129"/>
      <c r="AE82" s="107"/>
      <c r="AF82" s="106"/>
      <c r="AG82" s="129"/>
      <c r="AH82" s="128"/>
      <c r="AI82" s="223">
        <v>13022880.800000001</v>
      </c>
      <c r="AJ82" s="223"/>
      <c r="AK82" s="223"/>
      <c r="AL82" s="223"/>
      <c r="AM82" s="223"/>
      <c r="AN82" s="223"/>
      <c r="AO82" s="123"/>
      <c r="AP82" s="122"/>
      <c r="AQ82" s="129"/>
      <c r="AR82" s="129"/>
      <c r="AS82" s="129"/>
      <c r="AT82" s="129"/>
      <c r="AU82" s="107"/>
      <c r="AV82" s="106"/>
      <c r="AW82" s="129"/>
      <c r="AX82" s="124"/>
      <c r="AY82" s="223">
        <v>6107725.3000000007</v>
      </c>
      <c r="AZ82" s="223"/>
      <c r="BA82" s="223"/>
      <c r="BB82" s="223"/>
      <c r="BC82" s="223"/>
      <c r="BD82" s="223"/>
      <c r="BE82" s="123"/>
      <c r="BF82" s="122"/>
      <c r="BG82" s="129"/>
      <c r="BH82" s="129"/>
      <c r="BI82" s="129"/>
      <c r="BJ82" s="129"/>
      <c r="BK82" s="107"/>
      <c r="BL82" s="106"/>
      <c r="BM82" s="129"/>
      <c r="BN82" s="124"/>
      <c r="BO82" s="106"/>
      <c r="BP82" s="129"/>
      <c r="BQ82" s="107"/>
      <c r="BR82" s="107"/>
      <c r="BS82" s="107"/>
      <c r="BT82" s="107"/>
      <c r="BU82" s="123"/>
      <c r="BV82" s="106"/>
      <c r="BW82" s="107"/>
      <c r="BX82" s="107"/>
      <c r="BY82" s="107"/>
      <c r="BZ82" s="107"/>
      <c r="CA82" s="107"/>
      <c r="CB82" s="107"/>
      <c r="CC82" s="122"/>
      <c r="CD82" s="217">
        <v>-1395356.5</v>
      </c>
      <c r="CE82" s="217"/>
      <c r="CF82" s="217"/>
      <c r="CG82" s="217"/>
      <c r="CH82" s="217"/>
      <c r="CI82" s="218"/>
      <c r="CK82" s="112"/>
      <c r="EC82" s="2"/>
    </row>
    <row r="83" spans="1:133" ht="24.95" customHeight="1">
      <c r="A83" s="1">
        <f t="shared" si="14"/>
        <v>75</v>
      </c>
      <c r="B83" s="185"/>
      <c r="D83" s="125"/>
      <c r="E83" s="118"/>
      <c r="F83" s="118"/>
      <c r="G83" s="127"/>
      <c r="H83" s="127"/>
      <c r="I83" s="127"/>
      <c r="J83" s="150"/>
      <c r="K83" s="120"/>
      <c r="L83" s="127"/>
      <c r="M83" s="127"/>
      <c r="N83" s="127"/>
      <c r="O83" s="127"/>
      <c r="P83" s="127"/>
      <c r="Q83" s="127"/>
      <c r="R83" s="127"/>
      <c r="S83" s="127"/>
      <c r="T83" s="118"/>
      <c r="U83" s="120"/>
      <c r="V83" s="127"/>
      <c r="W83" s="127"/>
      <c r="X83" s="127"/>
      <c r="Y83" s="127"/>
      <c r="Z83" s="118"/>
      <c r="AA83" s="127"/>
      <c r="AB83" s="127"/>
      <c r="AC83" s="127"/>
      <c r="AD83" s="127"/>
      <c r="AE83" s="120"/>
      <c r="AF83" s="127"/>
      <c r="AG83" s="127"/>
      <c r="AH83" s="127"/>
      <c r="AI83" s="118"/>
      <c r="AJ83" s="127"/>
      <c r="AK83" s="127"/>
      <c r="AL83" s="127"/>
      <c r="AM83" s="127"/>
      <c r="AN83" s="127"/>
      <c r="AO83" s="120"/>
      <c r="AP83" s="118"/>
      <c r="AQ83" s="127"/>
      <c r="AR83" s="127"/>
      <c r="AS83" s="127"/>
      <c r="AT83" s="127"/>
      <c r="AU83" s="120"/>
      <c r="AV83" s="127"/>
      <c r="AW83" s="127"/>
      <c r="AX83" s="127"/>
      <c r="AY83" s="118"/>
      <c r="AZ83" s="127"/>
      <c r="BA83" s="127"/>
      <c r="BB83" s="127"/>
      <c r="BC83" s="127"/>
      <c r="BD83" s="127"/>
      <c r="BE83" s="127"/>
      <c r="BF83" s="118"/>
      <c r="BG83" s="127"/>
      <c r="BH83" s="127"/>
      <c r="BI83" s="127"/>
      <c r="BJ83" s="127"/>
      <c r="BK83" s="120"/>
      <c r="BL83" s="127"/>
      <c r="BM83" s="127"/>
      <c r="BN83" s="127"/>
      <c r="BO83" s="118"/>
      <c r="BP83" s="127"/>
      <c r="BQ83" s="127"/>
      <c r="BR83" s="127"/>
      <c r="BS83" s="127"/>
      <c r="BT83" s="127"/>
      <c r="BU83" s="127"/>
      <c r="BV83" s="118"/>
      <c r="BW83" s="127"/>
      <c r="BX83" s="127"/>
      <c r="BY83" s="127"/>
      <c r="BZ83" s="127"/>
      <c r="CA83" s="120"/>
      <c r="CB83" s="127"/>
      <c r="CC83" s="118"/>
      <c r="CD83" s="127"/>
      <c r="CE83" s="118"/>
      <c r="CF83" s="127"/>
      <c r="CG83" s="127"/>
      <c r="CH83" s="127"/>
      <c r="CI83" s="121"/>
      <c r="CK83" s="112"/>
      <c r="EC83" s="2"/>
    </row>
    <row r="84" spans="1:133" ht="24.95" customHeight="1">
      <c r="A84" s="1">
        <f t="shared" si="14"/>
        <v>76</v>
      </c>
      <c r="B84" s="185"/>
      <c r="D84" s="111"/>
      <c r="E84" s="49"/>
      <c r="F84" s="49"/>
      <c r="G84" s="93"/>
      <c r="H84" s="93"/>
      <c r="I84" s="93"/>
      <c r="J84" s="108"/>
      <c r="K84" s="95"/>
      <c r="L84" s="93"/>
      <c r="M84" s="93"/>
      <c r="N84" s="93"/>
      <c r="O84" s="93"/>
      <c r="P84" s="93"/>
      <c r="Q84" s="93"/>
      <c r="R84" s="93"/>
      <c r="S84" s="93"/>
      <c r="T84" s="49"/>
      <c r="U84" s="95"/>
      <c r="V84" s="93"/>
      <c r="W84" s="93"/>
      <c r="X84" s="109"/>
      <c r="Y84" s="93"/>
      <c r="Z84" s="49"/>
      <c r="AA84" s="93"/>
      <c r="AB84" s="93"/>
      <c r="AC84" s="93"/>
      <c r="AD84" s="93"/>
      <c r="AE84" s="95"/>
      <c r="AF84" s="49"/>
      <c r="AG84" s="93"/>
      <c r="AH84" s="93"/>
      <c r="AI84" s="49"/>
      <c r="AJ84" s="93"/>
      <c r="AK84" s="93"/>
      <c r="AL84" s="93"/>
      <c r="AM84" s="93"/>
      <c r="AN84" s="93"/>
      <c r="AO84" s="95"/>
      <c r="AP84" s="49"/>
      <c r="AQ84" s="93"/>
      <c r="AR84" s="93"/>
      <c r="AS84" s="93"/>
      <c r="AT84" s="93"/>
      <c r="AU84" s="95"/>
      <c r="AV84" s="49"/>
      <c r="AW84" s="93"/>
      <c r="AX84" s="93"/>
      <c r="AY84" s="49"/>
      <c r="AZ84" s="93"/>
      <c r="BA84" s="93"/>
      <c r="BB84" s="93"/>
      <c r="BC84" s="93"/>
      <c r="BD84" s="93"/>
      <c r="BE84" s="93"/>
      <c r="BF84" s="49"/>
      <c r="BG84" s="93"/>
      <c r="BH84" s="93"/>
      <c r="BI84" s="93"/>
      <c r="BJ84" s="93"/>
      <c r="BK84" s="95"/>
      <c r="BL84" s="49"/>
      <c r="BM84" s="93"/>
      <c r="BN84" s="93"/>
      <c r="BO84" s="49"/>
      <c r="BP84" s="93"/>
      <c r="BQ84" s="93"/>
      <c r="BR84" s="93"/>
      <c r="BS84" s="93"/>
      <c r="BT84" s="93"/>
      <c r="BU84" s="93"/>
      <c r="BV84" s="49"/>
      <c r="BW84" s="93"/>
      <c r="BX84" s="93"/>
      <c r="BY84" s="93"/>
      <c r="BZ84" s="93"/>
      <c r="CA84" s="95"/>
      <c r="CB84" s="49"/>
      <c r="CC84" s="49"/>
      <c r="CD84" s="93"/>
      <c r="CE84" s="49"/>
      <c r="CF84" s="93"/>
      <c r="CG84" s="93"/>
      <c r="CH84" s="93"/>
      <c r="CI84" s="98"/>
      <c r="CK84" s="112"/>
      <c r="EC84" s="2"/>
    </row>
    <row r="85" spans="1:133" ht="24.95" customHeight="1">
      <c r="A85" s="1">
        <f t="shared" si="14"/>
        <v>77</v>
      </c>
      <c r="B85" s="185"/>
      <c r="CK85" s="112"/>
      <c r="EC85" s="2"/>
    </row>
    <row r="86" spans="1:133" ht="24.95" customHeight="1">
      <c r="A86" s="1">
        <f t="shared" ref="A86:A101" si="15">A85+1</f>
        <v>78</v>
      </c>
      <c r="B86" s="185"/>
      <c r="D86" s="89"/>
      <c r="E86" s="89"/>
      <c r="F86" s="89"/>
      <c r="G86" s="88"/>
      <c r="H86" s="88"/>
      <c r="I86" s="88"/>
      <c r="J86" s="88"/>
      <c r="K86" s="88"/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  <c r="AP86" s="89"/>
      <c r="AQ86" s="89"/>
      <c r="AR86" s="91"/>
      <c r="AS86" s="91"/>
      <c r="AT86" s="88"/>
      <c r="AU86" s="91"/>
      <c r="AV86" s="91"/>
      <c r="AW86" s="91"/>
      <c r="AX86" s="91"/>
      <c r="AY86" s="91"/>
      <c r="AZ86" s="88"/>
      <c r="BA86" s="88"/>
      <c r="BB86" s="88"/>
      <c r="BC86" s="91"/>
      <c r="BD86" s="91"/>
      <c r="BE86" s="91"/>
      <c r="BF86" s="91"/>
      <c r="BG86" s="91"/>
      <c r="BH86" s="91"/>
      <c r="BI86" s="91"/>
      <c r="BJ86" s="91"/>
      <c r="BK86" s="91"/>
      <c r="BL86" s="91"/>
      <c r="BM86" s="91"/>
      <c r="BN86" s="91"/>
      <c r="BO86" s="91"/>
      <c r="BP86" s="91"/>
      <c r="BQ86" s="91"/>
      <c r="BR86" s="88"/>
      <c r="BS86" s="88" t="s">
        <v>108</v>
      </c>
      <c r="BT86" s="88"/>
      <c r="BU86" s="91"/>
      <c r="BV86" s="88"/>
      <c r="BW86" s="91"/>
      <c r="BX86" s="91"/>
      <c r="BY86" s="91"/>
      <c r="BZ86" s="91"/>
      <c r="CA86" s="91"/>
      <c r="CB86" s="91" t="s">
        <v>98</v>
      </c>
      <c r="CC86" s="91" t="s">
        <v>99</v>
      </c>
      <c r="CD86" s="91" t="s">
        <v>100</v>
      </c>
      <c r="CE86" s="91" t="s">
        <v>101</v>
      </c>
      <c r="CF86" s="91" t="s">
        <v>97</v>
      </c>
      <c r="CG86" s="91"/>
      <c r="CH86" s="88" t="s">
        <v>109</v>
      </c>
      <c r="CI86" s="91"/>
      <c r="CK86" s="112"/>
      <c r="EC86" s="2"/>
    </row>
    <row r="87" spans="1:133" ht="24.95" customHeight="1">
      <c r="A87" s="1">
        <f t="shared" si="15"/>
        <v>79</v>
      </c>
      <c r="B87" s="185"/>
      <c r="D87" s="101" t="s">
        <v>130</v>
      </c>
      <c r="E87" s="101"/>
      <c r="F87" s="101"/>
      <c r="G87" s="101"/>
      <c r="H87" s="101"/>
      <c r="I87" s="101"/>
      <c r="J87" s="101"/>
      <c r="K87" s="101"/>
      <c r="L87" s="100"/>
      <c r="M87" s="101"/>
      <c r="N87" s="101"/>
      <c r="O87" s="101"/>
      <c r="P87" s="101"/>
      <c r="Q87" s="101"/>
      <c r="R87" s="101"/>
      <c r="S87" s="101"/>
      <c r="T87" s="101"/>
      <c r="U87" s="101"/>
      <c r="V87" s="101"/>
      <c r="W87" s="101"/>
      <c r="X87" s="101"/>
      <c r="Y87" s="101"/>
      <c r="Z87" s="101"/>
      <c r="AA87" s="101"/>
      <c r="AB87" s="101"/>
      <c r="AC87" s="101"/>
      <c r="AD87" s="101"/>
      <c r="AE87" s="101"/>
      <c r="AF87" s="101"/>
      <c r="AG87" s="101"/>
      <c r="AH87" s="101"/>
      <c r="AI87" s="101"/>
      <c r="AJ87" s="101"/>
      <c r="AK87" s="101"/>
      <c r="AL87" s="103"/>
      <c r="AM87" s="103"/>
      <c r="AN87" s="103"/>
      <c r="AO87" s="103"/>
      <c r="AP87" s="100"/>
      <c r="AQ87" s="100"/>
      <c r="AR87" s="100"/>
      <c r="AS87" s="100"/>
      <c r="AT87" s="100"/>
      <c r="AU87" s="100"/>
      <c r="AV87" s="100"/>
      <c r="AW87" s="100"/>
      <c r="AX87" s="100"/>
      <c r="AY87" s="100"/>
      <c r="AZ87" s="100"/>
      <c r="BA87" s="100"/>
      <c r="BB87" s="100"/>
      <c r="BC87" s="100"/>
      <c r="BD87" s="100"/>
      <c r="BE87" s="100"/>
      <c r="BF87" s="100"/>
      <c r="BG87" s="100"/>
      <c r="BH87" s="100"/>
      <c r="BI87" s="100"/>
      <c r="BJ87" s="100"/>
      <c r="BK87" s="100"/>
      <c r="BL87" s="100"/>
      <c r="BM87" s="100"/>
      <c r="BN87" s="100"/>
      <c r="BO87" s="100"/>
      <c r="BP87" s="100"/>
      <c r="BQ87" s="100"/>
      <c r="BR87" s="100"/>
      <c r="BS87" s="100"/>
      <c r="BT87" s="100"/>
      <c r="BU87" s="100"/>
      <c r="BV87" s="100"/>
      <c r="BW87" s="100"/>
      <c r="BX87" s="100"/>
      <c r="BY87" s="100"/>
      <c r="BZ87" s="100"/>
      <c r="CA87" s="100"/>
      <c r="CB87" s="100"/>
      <c r="CC87" s="100"/>
      <c r="CD87" s="100"/>
      <c r="CE87" s="101"/>
      <c r="CF87" s="101"/>
      <c r="CG87" s="101"/>
      <c r="CH87" s="101"/>
      <c r="CI87" s="101"/>
      <c r="CK87" s="112"/>
      <c r="EC87" s="2"/>
    </row>
    <row r="88" spans="1:133" ht="24.95" customHeight="1">
      <c r="A88" s="1">
        <f t="shared" si="15"/>
        <v>80</v>
      </c>
      <c r="B88" s="185"/>
      <c r="D88" s="49" t="s">
        <v>116</v>
      </c>
      <c r="E88" s="101"/>
      <c r="F88" s="101"/>
      <c r="G88" s="101"/>
      <c r="H88" s="101"/>
      <c r="I88" s="101"/>
      <c r="J88" s="104" t="s">
        <v>133</v>
      </c>
      <c r="K88" s="49"/>
      <c r="L88" s="49" t="s">
        <v>118</v>
      </c>
      <c r="M88" s="49" t="s">
        <v>134</v>
      </c>
      <c r="N88" s="49"/>
      <c r="O88" s="101"/>
      <c r="P88" s="101"/>
      <c r="Q88" s="101"/>
      <c r="R88" s="101"/>
      <c r="S88" s="101"/>
      <c r="T88" s="101"/>
      <c r="U88" s="101"/>
      <c r="V88" s="101"/>
      <c r="W88" s="101"/>
      <c r="X88" s="49" t="s">
        <v>122</v>
      </c>
      <c r="Y88" s="93"/>
      <c r="Z88" s="94"/>
      <c r="AA88" s="49"/>
      <c r="AB88" s="94"/>
      <c r="AC88" s="93"/>
      <c r="AD88" s="104" t="s">
        <v>107</v>
      </c>
      <c r="AE88" s="93"/>
      <c r="AF88" s="93"/>
      <c r="AG88" s="93"/>
      <c r="AH88" s="101"/>
      <c r="AI88" s="101"/>
      <c r="AJ88" s="101"/>
      <c r="AK88" s="101"/>
      <c r="AL88" s="103"/>
      <c r="AM88" s="103"/>
      <c r="AN88" s="103"/>
      <c r="AO88" s="103"/>
      <c r="AP88" s="100"/>
      <c r="AQ88" s="100"/>
      <c r="AR88" s="100"/>
      <c r="AS88" s="100"/>
      <c r="AT88" s="100"/>
      <c r="AU88" s="100"/>
      <c r="AV88" s="100"/>
      <c r="AW88" s="100"/>
      <c r="AX88" s="100"/>
      <c r="AY88" s="100"/>
      <c r="AZ88" s="100"/>
      <c r="BA88" s="100"/>
      <c r="BB88" s="100"/>
      <c r="BC88" s="100"/>
      <c r="BD88" s="100"/>
      <c r="BE88" s="100"/>
      <c r="BF88" s="100"/>
      <c r="BG88" s="100"/>
      <c r="BH88" s="100"/>
      <c r="BI88" s="100"/>
      <c r="BJ88" s="100"/>
      <c r="BK88" s="100"/>
      <c r="BL88" s="100"/>
      <c r="BM88" s="100"/>
      <c r="BN88" s="100"/>
      <c r="BO88" s="100"/>
      <c r="BP88" s="100"/>
      <c r="BQ88" s="100"/>
      <c r="BR88" s="100"/>
      <c r="BS88" s="100"/>
      <c r="BT88" s="100"/>
      <c r="BU88" s="100"/>
      <c r="BV88" s="100"/>
      <c r="BW88" s="100"/>
      <c r="BX88" s="100"/>
      <c r="BY88" s="100"/>
      <c r="BZ88" s="99"/>
      <c r="CA88" s="99"/>
      <c r="CB88" s="99"/>
      <c r="CC88" s="99"/>
      <c r="CD88" s="99"/>
      <c r="CE88" s="94"/>
      <c r="CF88" s="94"/>
      <c r="CG88" s="94"/>
      <c r="CH88" s="94"/>
      <c r="CI88" s="49"/>
      <c r="CK88" s="112"/>
      <c r="EC88" s="2"/>
    </row>
    <row r="89" spans="1:133" ht="24.95" customHeight="1">
      <c r="A89" s="1">
        <f t="shared" si="15"/>
        <v>81</v>
      </c>
      <c r="B89" s="185"/>
      <c r="D89" s="49" t="s">
        <v>119</v>
      </c>
      <c r="E89" s="49"/>
      <c r="F89" s="49"/>
      <c r="G89" s="49"/>
      <c r="H89" s="49"/>
      <c r="I89" s="49"/>
      <c r="J89" s="104" t="s">
        <v>135</v>
      </c>
      <c r="K89" s="49"/>
      <c r="L89" s="49" t="s">
        <v>106</v>
      </c>
      <c r="M89" s="49" t="s">
        <v>136</v>
      </c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  <c r="AB89" s="49"/>
      <c r="AC89" s="49"/>
      <c r="AD89" s="49"/>
      <c r="AE89" s="49"/>
      <c r="AF89" s="49"/>
      <c r="AG89" s="49"/>
      <c r="AH89" s="49"/>
      <c r="AI89" s="49"/>
      <c r="AJ89" s="49"/>
      <c r="AK89" s="49"/>
      <c r="AL89" s="49"/>
      <c r="AM89" s="49"/>
      <c r="AN89" s="49"/>
      <c r="AO89" s="49"/>
      <c r="AT89" s="99"/>
      <c r="AU89" s="99"/>
      <c r="AV89" s="99"/>
      <c r="AW89" s="100"/>
      <c r="AX89" s="100"/>
      <c r="AY89" s="100"/>
      <c r="AZ89" s="100"/>
      <c r="BA89" s="100"/>
      <c r="BB89" s="100"/>
      <c r="BC89" s="100"/>
      <c r="BD89" s="100"/>
      <c r="BE89" s="100"/>
      <c r="BH89" s="49" t="s">
        <v>131</v>
      </c>
      <c r="CK89" s="112"/>
      <c r="EC89" s="2"/>
    </row>
    <row r="90" spans="1:133" ht="24.95" customHeight="1">
      <c r="A90" s="1">
        <f t="shared" si="15"/>
        <v>82</v>
      </c>
      <c r="B90" s="185"/>
      <c r="D90" s="49"/>
      <c r="E90" s="93"/>
      <c r="F90" s="94"/>
      <c r="G90" s="49"/>
      <c r="H90" s="94"/>
      <c r="I90" s="93"/>
      <c r="J90" s="104"/>
      <c r="K90" s="93"/>
      <c r="L90" s="93"/>
      <c r="M90" s="93"/>
      <c r="N90" s="93"/>
      <c r="O90" s="93"/>
      <c r="P90" s="93"/>
      <c r="Q90" s="49"/>
      <c r="R90" s="49"/>
      <c r="S90" s="49"/>
      <c r="T90" s="49"/>
      <c r="U90" s="49"/>
      <c r="V90" s="95"/>
      <c r="W90" s="95"/>
      <c r="X90" s="95"/>
      <c r="Y90" s="95"/>
      <c r="Z90" s="95"/>
      <c r="AA90" s="95"/>
      <c r="AB90" s="95"/>
      <c r="AC90" s="95"/>
      <c r="AD90" s="95"/>
      <c r="AE90" s="95"/>
      <c r="AF90" s="95"/>
      <c r="AG90" s="95"/>
      <c r="AH90" s="95"/>
      <c r="AI90" s="95"/>
      <c r="AJ90" s="49"/>
      <c r="AK90" s="49"/>
      <c r="AL90" s="49"/>
      <c r="AM90" s="49"/>
      <c r="AN90" s="49"/>
      <c r="AO90" s="49"/>
      <c r="AP90" s="49"/>
      <c r="AQ90" s="49"/>
      <c r="AR90" s="49"/>
      <c r="AS90" s="49"/>
      <c r="AT90" s="49"/>
      <c r="AU90" s="95"/>
      <c r="AV90" s="95"/>
      <c r="AW90" s="95"/>
      <c r="AX90" s="95"/>
      <c r="AY90" s="95"/>
      <c r="AZ90" s="95"/>
      <c r="BA90" s="95"/>
      <c r="BB90" s="95"/>
      <c r="BC90" s="95"/>
      <c r="BD90" s="95"/>
      <c r="BE90" s="95"/>
      <c r="BF90" s="95"/>
      <c r="BG90" s="95"/>
      <c r="BH90" s="95"/>
      <c r="BI90" s="95"/>
      <c r="BJ90" s="95"/>
      <c r="BK90" s="95"/>
      <c r="BL90" s="107"/>
      <c r="BM90" s="95"/>
      <c r="BN90" s="95"/>
      <c r="BO90" s="95"/>
      <c r="BP90" s="95"/>
      <c r="BQ90" s="95"/>
      <c r="BR90" s="95"/>
      <c r="BS90" s="95"/>
      <c r="BT90" s="95"/>
      <c r="BU90" s="95"/>
      <c r="BV90" s="95"/>
      <c r="BW90" s="95"/>
      <c r="BX90" s="95"/>
      <c r="BY90" s="95"/>
      <c r="BZ90" s="95"/>
      <c r="CA90" s="95"/>
      <c r="CB90" s="95"/>
      <c r="CC90" s="95"/>
      <c r="CD90" s="95"/>
      <c r="CE90" s="95"/>
      <c r="CF90" s="95"/>
      <c r="CG90" s="95"/>
      <c r="CH90" s="95"/>
      <c r="CI90" s="95"/>
      <c r="CK90" s="112"/>
      <c r="EC90" s="2"/>
    </row>
    <row r="91" spans="1:133" ht="24.95" customHeight="1">
      <c r="A91" s="1">
        <f t="shared" si="15"/>
        <v>83</v>
      </c>
      <c r="B91" s="185"/>
      <c r="D91" s="125" t="s">
        <v>408</v>
      </c>
      <c r="E91" s="127"/>
      <c r="F91" s="119"/>
      <c r="G91" s="118"/>
      <c r="H91" s="119"/>
      <c r="I91" s="127"/>
      <c r="J91" s="127"/>
      <c r="K91" s="127"/>
      <c r="L91" s="127"/>
      <c r="M91" s="127"/>
      <c r="N91" s="127"/>
      <c r="O91" s="127"/>
      <c r="P91" s="127"/>
      <c r="Q91" s="118"/>
      <c r="R91" s="118"/>
      <c r="S91" s="118"/>
      <c r="T91" s="118"/>
      <c r="U91" s="118"/>
      <c r="V91" s="120"/>
      <c r="W91" s="120"/>
      <c r="X91" s="120"/>
      <c r="Y91" s="121"/>
      <c r="Z91" s="207" t="s">
        <v>127</v>
      </c>
      <c r="AA91" s="208"/>
      <c r="AB91" s="208"/>
      <c r="AC91" s="208"/>
      <c r="AD91" s="208"/>
      <c r="AE91" s="208"/>
      <c r="AF91" s="208"/>
      <c r="AG91" s="208"/>
      <c r="AH91" s="208"/>
      <c r="AI91" s="208"/>
      <c r="AJ91" s="208"/>
      <c r="AK91" s="208"/>
      <c r="AL91" s="208"/>
      <c r="AM91" s="208"/>
      <c r="AN91" s="208"/>
      <c r="AO91" s="209"/>
      <c r="AP91" s="207" t="s">
        <v>128</v>
      </c>
      <c r="AQ91" s="208"/>
      <c r="AR91" s="208"/>
      <c r="AS91" s="208"/>
      <c r="AT91" s="208"/>
      <c r="AU91" s="208"/>
      <c r="AV91" s="208"/>
      <c r="AW91" s="208"/>
      <c r="AX91" s="208"/>
      <c r="AY91" s="208"/>
      <c r="AZ91" s="208"/>
      <c r="BA91" s="208"/>
      <c r="BB91" s="208"/>
      <c r="BC91" s="208"/>
      <c r="BD91" s="208"/>
      <c r="BE91" s="209"/>
      <c r="BF91" s="207" t="s">
        <v>129</v>
      </c>
      <c r="BG91" s="208"/>
      <c r="BH91" s="208"/>
      <c r="BI91" s="208"/>
      <c r="BJ91" s="208"/>
      <c r="BK91" s="208"/>
      <c r="BL91" s="208"/>
      <c r="BM91" s="208"/>
      <c r="BN91" s="208"/>
      <c r="BO91" s="208"/>
      <c r="BP91" s="208"/>
      <c r="BQ91" s="208"/>
      <c r="BR91" s="208"/>
      <c r="BS91" s="208"/>
      <c r="BT91" s="208"/>
      <c r="BU91" s="209"/>
      <c r="BV91" s="216" t="s">
        <v>218</v>
      </c>
      <c r="BW91" s="208"/>
      <c r="BX91" s="208"/>
      <c r="BY91" s="208"/>
      <c r="BZ91" s="208"/>
      <c r="CA91" s="208"/>
      <c r="CB91" s="209"/>
      <c r="CC91" s="207" t="s">
        <v>196</v>
      </c>
      <c r="CD91" s="208"/>
      <c r="CE91" s="208"/>
      <c r="CF91" s="208"/>
      <c r="CG91" s="208"/>
      <c r="CH91" s="208"/>
      <c r="CI91" s="209"/>
      <c r="CK91" s="112"/>
      <c r="EC91" s="2"/>
    </row>
    <row r="92" spans="1:133" ht="24.95" customHeight="1">
      <c r="A92" s="1">
        <f t="shared" si="15"/>
        <v>84</v>
      </c>
      <c r="B92" s="185"/>
      <c r="D92" s="111" t="s">
        <v>429</v>
      </c>
      <c r="E92" s="49"/>
      <c r="F92" s="49"/>
      <c r="G92" s="49"/>
      <c r="H92" s="49"/>
      <c r="I92" s="49"/>
      <c r="J92" s="49"/>
      <c r="K92" s="93"/>
      <c r="L92" s="49"/>
      <c r="M92" s="49"/>
      <c r="N92" s="93"/>
      <c r="O92" s="93"/>
      <c r="P92" s="109"/>
      <c r="Q92" s="49"/>
      <c r="R92" s="49"/>
      <c r="S92" s="49"/>
      <c r="T92" s="49"/>
      <c r="U92" s="49"/>
      <c r="V92" s="49"/>
      <c r="W92" s="49"/>
      <c r="X92" s="109" t="s">
        <v>144</v>
      </c>
      <c r="Y92" s="92"/>
      <c r="Z92" s="216" t="s">
        <v>410</v>
      </c>
      <c r="AA92" s="208"/>
      <c r="AB92" s="208"/>
      <c r="AC92" s="208"/>
      <c r="AD92" s="208"/>
      <c r="AE92" s="208"/>
      <c r="AF92" s="208"/>
      <c r="AG92" s="209"/>
      <c r="AH92" s="216" t="s">
        <v>142</v>
      </c>
      <c r="AI92" s="208"/>
      <c r="AJ92" s="208"/>
      <c r="AK92" s="208"/>
      <c r="AL92" s="208"/>
      <c r="AM92" s="208"/>
      <c r="AN92" s="208"/>
      <c r="AO92" s="209"/>
      <c r="AP92" s="216" t="s">
        <v>410</v>
      </c>
      <c r="AQ92" s="208"/>
      <c r="AR92" s="208"/>
      <c r="AS92" s="208"/>
      <c r="AT92" s="208"/>
      <c r="AU92" s="208"/>
      <c r="AV92" s="208"/>
      <c r="AW92" s="209"/>
      <c r="AX92" s="216" t="s">
        <v>142</v>
      </c>
      <c r="AY92" s="208"/>
      <c r="AZ92" s="208"/>
      <c r="BA92" s="208"/>
      <c r="BB92" s="208"/>
      <c r="BC92" s="208"/>
      <c r="BD92" s="208"/>
      <c r="BE92" s="209"/>
      <c r="BF92" s="216" t="s">
        <v>410</v>
      </c>
      <c r="BG92" s="208"/>
      <c r="BH92" s="208"/>
      <c r="BI92" s="208"/>
      <c r="BJ92" s="208"/>
      <c r="BK92" s="208"/>
      <c r="BL92" s="208"/>
      <c r="BM92" s="209"/>
      <c r="BN92" s="216" t="s">
        <v>143</v>
      </c>
      <c r="BO92" s="208"/>
      <c r="BP92" s="208"/>
      <c r="BQ92" s="208"/>
      <c r="BR92" s="208"/>
      <c r="BS92" s="208"/>
      <c r="BT92" s="208"/>
      <c r="BU92" s="209"/>
      <c r="BV92" s="210"/>
      <c r="BW92" s="211"/>
      <c r="BX92" s="211"/>
      <c r="BY92" s="211"/>
      <c r="BZ92" s="211"/>
      <c r="CA92" s="211"/>
      <c r="CB92" s="212"/>
      <c r="CC92" s="210"/>
      <c r="CD92" s="211"/>
      <c r="CE92" s="211"/>
      <c r="CF92" s="211"/>
      <c r="CG92" s="211"/>
      <c r="CH92" s="211"/>
      <c r="CI92" s="212"/>
      <c r="CK92" s="112"/>
      <c r="EC92" s="2"/>
    </row>
    <row r="93" spans="1:133" ht="24.95" customHeight="1">
      <c r="A93" s="1">
        <f t="shared" si="15"/>
        <v>85</v>
      </c>
      <c r="B93" s="185"/>
      <c r="D93" s="111" t="s">
        <v>432</v>
      </c>
      <c r="E93" s="49"/>
      <c r="F93" s="49"/>
      <c r="G93" s="49"/>
      <c r="H93" s="49"/>
      <c r="I93" s="49"/>
      <c r="J93" s="49"/>
      <c r="K93" s="93"/>
      <c r="L93" s="49"/>
      <c r="M93" s="93" t="s">
        <v>104</v>
      </c>
      <c r="N93" s="93"/>
      <c r="O93" s="49"/>
      <c r="P93" s="94"/>
      <c r="Q93" s="93"/>
      <c r="R93" s="93"/>
      <c r="S93" s="93" t="s">
        <v>112</v>
      </c>
      <c r="T93" s="93"/>
      <c r="U93" s="93"/>
      <c r="V93" s="93"/>
      <c r="W93" s="93"/>
      <c r="X93" s="93"/>
      <c r="Y93" s="132"/>
      <c r="Z93" s="210"/>
      <c r="AA93" s="211"/>
      <c r="AB93" s="211"/>
      <c r="AC93" s="211"/>
      <c r="AD93" s="211"/>
      <c r="AE93" s="211"/>
      <c r="AF93" s="211"/>
      <c r="AG93" s="212"/>
      <c r="AH93" s="210"/>
      <c r="AI93" s="211"/>
      <c r="AJ93" s="211"/>
      <c r="AK93" s="211"/>
      <c r="AL93" s="211"/>
      <c r="AM93" s="211"/>
      <c r="AN93" s="211"/>
      <c r="AO93" s="212"/>
      <c r="AP93" s="210"/>
      <c r="AQ93" s="211"/>
      <c r="AR93" s="211"/>
      <c r="AS93" s="211"/>
      <c r="AT93" s="211"/>
      <c r="AU93" s="211"/>
      <c r="AV93" s="211"/>
      <c r="AW93" s="212"/>
      <c r="AX93" s="210"/>
      <c r="AY93" s="211"/>
      <c r="AZ93" s="211"/>
      <c r="BA93" s="211"/>
      <c r="BB93" s="211"/>
      <c r="BC93" s="211"/>
      <c r="BD93" s="211"/>
      <c r="BE93" s="212"/>
      <c r="BF93" s="210"/>
      <c r="BG93" s="211"/>
      <c r="BH93" s="211"/>
      <c r="BI93" s="211"/>
      <c r="BJ93" s="211"/>
      <c r="BK93" s="211"/>
      <c r="BL93" s="211"/>
      <c r="BM93" s="212"/>
      <c r="BN93" s="210"/>
      <c r="BO93" s="211"/>
      <c r="BP93" s="211"/>
      <c r="BQ93" s="211"/>
      <c r="BR93" s="211"/>
      <c r="BS93" s="211"/>
      <c r="BT93" s="211"/>
      <c r="BU93" s="212"/>
      <c r="BV93" s="210"/>
      <c r="BW93" s="211"/>
      <c r="BX93" s="211"/>
      <c r="BY93" s="211"/>
      <c r="BZ93" s="211"/>
      <c r="CA93" s="211"/>
      <c r="CB93" s="212"/>
      <c r="CC93" s="210"/>
      <c r="CD93" s="211"/>
      <c r="CE93" s="211"/>
      <c r="CF93" s="211"/>
      <c r="CG93" s="211"/>
      <c r="CH93" s="211"/>
      <c r="CI93" s="212"/>
      <c r="CK93" s="112"/>
      <c r="EC93" s="2"/>
    </row>
    <row r="94" spans="1:133" ht="24.95" customHeight="1">
      <c r="A94" s="1">
        <f t="shared" si="15"/>
        <v>86</v>
      </c>
      <c r="B94" s="185"/>
      <c r="D94" s="122"/>
      <c r="E94" s="129"/>
      <c r="F94" s="129"/>
      <c r="G94" s="129"/>
      <c r="H94" s="129"/>
      <c r="I94" s="129"/>
      <c r="J94" s="106"/>
      <c r="K94" s="129"/>
      <c r="L94" s="129"/>
      <c r="M94" s="129"/>
      <c r="N94" s="129"/>
      <c r="O94" s="129"/>
      <c r="P94" s="129"/>
      <c r="Q94" s="129"/>
      <c r="R94" s="129"/>
      <c r="S94" s="129"/>
      <c r="T94" s="106"/>
      <c r="U94" s="129"/>
      <c r="V94" s="129"/>
      <c r="W94" s="129"/>
      <c r="X94" s="129"/>
      <c r="Y94" s="130"/>
      <c r="Z94" s="213"/>
      <c r="AA94" s="214"/>
      <c r="AB94" s="214"/>
      <c r="AC94" s="214"/>
      <c r="AD94" s="214"/>
      <c r="AE94" s="214"/>
      <c r="AF94" s="214"/>
      <c r="AG94" s="215"/>
      <c r="AH94" s="213"/>
      <c r="AI94" s="214"/>
      <c r="AJ94" s="214"/>
      <c r="AK94" s="214"/>
      <c r="AL94" s="214"/>
      <c r="AM94" s="214"/>
      <c r="AN94" s="214"/>
      <c r="AO94" s="215"/>
      <c r="AP94" s="213"/>
      <c r="AQ94" s="214"/>
      <c r="AR94" s="214"/>
      <c r="AS94" s="214"/>
      <c r="AT94" s="214"/>
      <c r="AU94" s="214"/>
      <c r="AV94" s="214"/>
      <c r="AW94" s="215"/>
      <c r="AX94" s="213"/>
      <c r="AY94" s="214"/>
      <c r="AZ94" s="214"/>
      <c r="BA94" s="214"/>
      <c r="BB94" s="214"/>
      <c r="BC94" s="214"/>
      <c r="BD94" s="214"/>
      <c r="BE94" s="215"/>
      <c r="BF94" s="213"/>
      <c r="BG94" s="214"/>
      <c r="BH94" s="214"/>
      <c r="BI94" s="214"/>
      <c r="BJ94" s="214"/>
      <c r="BK94" s="214"/>
      <c r="BL94" s="214"/>
      <c r="BM94" s="215"/>
      <c r="BN94" s="213"/>
      <c r="BO94" s="214"/>
      <c r="BP94" s="214"/>
      <c r="BQ94" s="214"/>
      <c r="BR94" s="214"/>
      <c r="BS94" s="214"/>
      <c r="BT94" s="214"/>
      <c r="BU94" s="215"/>
      <c r="BV94" s="213"/>
      <c r="BW94" s="214"/>
      <c r="BX94" s="214"/>
      <c r="BY94" s="214"/>
      <c r="BZ94" s="214"/>
      <c r="CA94" s="214"/>
      <c r="CB94" s="215"/>
      <c r="CC94" s="213"/>
      <c r="CD94" s="214"/>
      <c r="CE94" s="214"/>
      <c r="CF94" s="214"/>
      <c r="CG94" s="214"/>
      <c r="CH94" s="214"/>
      <c r="CI94" s="215"/>
      <c r="CK94" s="112"/>
      <c r="EC94" s="2"/>
    </row>
    <row r="95" spans="1:133" ht="24.95" customHeight="1">
      <c r="A95" s="1">
        <f t="shared" si="15"/>
        <v>87</v>
      </c>
      <c r="B95" s="185"/>
      <c r="D95" s="111"/>
      <c r="E95" s="49"/>
      <c r="F95" s="49"/>
      <c r="G95" s="93"/>
      <c r="H95" s="93"/>
      <c r="I95" s="93"/>
      <c r="J95" s="108"/>
      <c r="K95" s="95"/>
      <c r="L95" s="93"/>
      <c r="M95" s="93"/>
      <c r="N95" s="93"/>
      <c r="O95" s="93"/>
      <c r="P95" s="93"/>
      <c r="Q95" s="93"/>
      <c r="R95" s="93"/>
      <c r="S95" s="93"/>
      <c r="T95" s="49"/>
      <c r="U95" s="95"/>
      <c r="V95" s="93"/>
      <c r="W95" s="93"/>
      <c r="X95" s="93"/>
      <c r="Y95" s="132"/>
      <c r="Z95" s="111"/>
      <c r="AA95" s="93"/>
      <c r="AB95" s="93"/>
      <c r="AC95" s="93"/>
      <c r="AD95" s="93"/>
      <c r="AE95" s="95"/>
      <c r="AF95" s="93"/>
      <c r="AG95" s="93"/>
      <c r="AH95" s="131"/>
      <c r="AI95" s="224">
        <v>871350</v>
      </c>
      <c r="AJ95" s="224"/>
      <c r="AK95" s="224"/>
      <c r="AL95" s="224"/>
      <c r="AM95" s="224"/>
      <c r="AN95" s="224"/>
      <c r="AO95" s="98"/>
      <c r="AP95" s="111"/>
      <c r="AQ95" s="93"/>
      <c r="AR95" s="93"/>
      <c r="AS95" s="93"/>
      <c r="AT95" s="93"/>
      <c r="AU95" s="95"/>
      <c r="AV95" s="93"/>
      <c r="AW95" s="93"/>
      <c r="AX95" s="131"/>
      <c r="AY95" s="224">
        <v>870470</v>
      </c>
      <c r="AZ95" s="224"/>
      <c r="BA95" s="224"/>
      <c r="BB95" s="224"/>
      <c r="BC95" s="224"/>
      <c r="BD95" s="224"/>
      <c r="BE95" s="132"/>
      <c r="BF95" s="111"/>
      <c r="BG95" s="93"/>
      <c r="BH95" s="93"/>
      <c r="BI95" s="93"/>
      <c r="BJ95" s="93"/>
      <c r="BK95" s="95"/>
      <c r="BL95" s="93"/>
      <c r="BM95" s="93"/>
      <c r="BN95" s="131"/>
      <c r="BO95" s="49"/>
      <c r="BP95" s="93"/>
      <c r="BQ95" s="93"/>
      <c r="BR95" s="93"/>
      <c r="BS95" s="93"/>
      <c r="BT95" s="93"/>
      <c r="BU95" s="132"/>
      <c r="BV95" s="49"/>
      <c r="BW95" s="93"/>
      <c r="BX95" s="93"/>
      <c r="BY95" s="93"/>
      <c r="BZ95" s="93"/>
      <c r="CA95" s="95"/>
      <c r="CB95" s="93"/>
      <c r="CC95" s="125"/>
      <c r="CD95" s="93"/>
      <c r="CE95" s="49"/>
      <c r="CF95" s="93"/>
      <c r="CG95" s="93"/>
      <c r="CH95" s="93"/>
      <c r="CI95" s="98"/>
      <c r="CK95" s="112"/>
      <c r="EC95" s="2"/>
    </row>
    <row r="96" spans="1:133" ht="24.95" customHeight="1">
      <c r="A96" s="1">
        <f t="shared" si="15"/>
        <v>88</v>
      </c>
      <c r="B96" s="185"/>
      <c r="D96" s="111"/>
      <c r="E96" s="49"/>
      <c r="F96" s="49"/>
      <c r="G96" s="93"/>
      <c r="H96" s="93"/>
      <c r="I96" s="93"/>
      <c r="J96" s="108"/>
      <c r="K96" s="95"/>
      <c r="L96" s="93"/>
      <c r="M96" s="93"/>
      <c r="N96" s="93"/>
      <c r="O96" s="93"/>
      <c r="P96" s="93"/>
      <c r="Q96" s="93"/>
      <c r="R96" s="93"/>
      <c r="S96" s="93"/>
      <c r="T96" s="49"/>
      <c r="U96" s="95"/>
      <c r="V96" s="93"/>
      <c r="W96" s="93"/>
      <c r="X96" s="109"/>
      <c r="Y96" s="132"/>
      <c r="Z96" s="111"/>
      <c r="AA96" s="93"/>
      <c r="AB96" s="93"/>
      <c r="AC96" s="93"/>
      <c r="AD96" s="93"/>
      <c r="AE96" s="95"/>
      <c r="AF96" s="49"/>
      <c r="AG96" s="93"/>
      <c r="AH96" s="131"/>
      <c r="AI96" s="221">
        <v>87135</v>
      </c>
      <c r="AJ96" s="221"/>
      <c r="AK96" s="221"/>
      <c r="AL96" s="221"/>
      <c r="AM96" s="221"/>
      <c r="AN96" s="221"/>
      <c r="AO96" s="98"/>
      <c r="AP96" s="111"/>
      <c r="AQ96" s="93"/>
      <c r="AR96" s="93"/>
      <c r="AS96" s="93"/>
      <c r="AT96" s="93"/>
      <c r="AU96" s="95"/>
      <c r="AV96" s="49"/>
      <c r="AW96" s="93"/>
      <c r="AX96" s="131"/>
      <c r="AY96" s="221">
        <v>87047</v>
      </c>
      <c r="AZ96" s="221"/>
      <c r="BA96" s="221"/>
      <c r="BB96" s="221"/>
      <c r="BC96" s="221"/>
      <c r="BD96" s="221"/>
      <c r="BE96" s="132"/>
      <c r="BF96" s="111"/>
      <c r="BG96" s="93"/>
      <c r="BH96" s="93"/>
      <c r="BI96" s="93"/>
      <c r="BJ96" s="93"/>
      <c r="BK96" s="95"/>
      <c r="BL96" s="49"/>
      <c r="BM96" s="93"/>
      <c r="BN96" s="131"/>
      <c r="BO96" s="49"/>
      <c r="BP96" s="93"/>
      <c r="BQ96" s="93"/>
      <c r="BR96" s="93"/>
      <c r="BS96" s="93"/>
      <c r="BT96" s="93"/>
      <c r="BU96" s="132"/>
      <c r="BV96" s="49"/>
      <c r="BW96" s="93"/>
      <c r="BX96" s="93"/>
      <c r="BY96" s="93"/>
      <c r="BZ96" s="93"/>
      <c r="CA96" s="95"/>
      <c r="CB96" s="49"/>
      <c r="CC96" s="111"/>
      <c r="CD96" s="93"/>
      <c r="CE96" s="49"/>
      <c r="CF96" s="93"/>
      <c r="CG96" s="93"/>
      <c r="CH96" s="93"/>
      <c r="CI96" s="98"/>
      <c r="CK96" s="112"/>
      <c r="EC96" s="2"/>
    </row>
    <row r="97" spans="1:133" ht="24.95" customHeight="1">
      <c r="A97" s="1">
        <f t="shared" si="15"/>
        <v>89</v>
      </c>
      <c r="B97" s="185"/>
      <c r="D97" s="126"/>
      <c r="E97" s="49"/>
      <c r="F97" s="49"/>
      <c r="G97" s="93"/>
      <c r="H97" s="93"/>
      <c r="I97" s="93"/>
      <c r="J97" s="108"/>
      <c r="K97" s="95"/>
      <c r="L97" s="49"/>
      <c r="M97" s="108"/>
      <c r="N97" s="93"/>
      <c r="O97" s="93"/>
      <c r="P97" s="93"/>
      <c r="Q97" s="93"/>
      <c r="R97" s="93"/>
      <c r="S97" s="93"/>
      <c r="T97" s="93"/>
      <c r="U97" s="95"/>
      <c r="V97" s="49"/>
      <c r="W97" s="93"/>
      <c r="X97" s="109"/>
      <c r="Y97" s="132"/>
      <c r="Z97" s="110"/>
      <c r="AA97" s="91"/>
      <c r="AB97" s="91"/>
      <c r="AC97" s="91"/>
      <c r="AD97" s="91"/>
      <c r="AE97" s="143"/>
      <c r="AF97" s="88"/>
      <c r="AG97" s="91"/>
      <c r="AH97" s="144"/>
      <c r="AI97" s="222">
        <v>43053220</v>
      </c>
      <c r="AJ97" s="222"/>
      <c r="AK97" s="222"/>
      <c r="AL97" s="222"/>
      <c r="AM97" s="222"/>
      <c r="AN97" s="222"/>
      <c r="AO97" s="145"/>
      <c r="AP97" s="110"/>
      <c r="AQ97" s="91"/>
      <c r="AR97" s="91"/>
      <c r="AS97" s="91"/>
      <c r="AT97" s="91"/>
      <c r="AU97" s="143"/>
      <c r="AV97" s="88"/>
      <c r="AW97" s="91"/>
      <c r="AX97" s="146"/>
      <c r="AY97" s="222">
        <v>55371670</v>
      </c>
      <c r="AZ97" s="222"/>
      <c r="BA97" s="222"/>
      <c r="BB97" s="222"/>
      <c r="BC97" s="222"/>
      <c r="BD97" s="222"/>
      <c r="BE97" s="145"/>
      <c r="BF97" s="110"/>
      <c r="BG97" s="91"/>
      <c r="BH97" s="91"/>
      <c r="BI97" s="91"/>
      <c r="BJ97" s="91"/>
      <c r="BK97" s="143"/>
      <c r="BL97" s="88"/>
      <c r="BM97" s="91"/>
      <c r="BN97" s="146"/>
      <c r="BO97" s="88"/>
      <c r="BP97" s="91"/>
      <c r="BQ97" s="143"/>
      <c r="BR97" s="143"/>
      <c r="BS97" s="143"/>
      <c r="BT97" s="143"/>
      <c r="BU97" s="145"/>
      <c r="BV97" s="88"/>
      <c r="BW97" s="143"/>
      <c r="BX97" s="143"/>
      <c r="BY97" s="143"/>
      <c r="BZ97" s="143"/>
      <c r="CA97" s="143"/>
      <c r="CB97" s="143"/>
      <c r="CC97" s="110"/>
      <c r="CD97" s="143"/>
      <c r="CE97" s="143"/>
      <c r="CF97" s="143"/>
      <c r="CG97" s="143"/>
      <c r="CH97" s="143"/>
      <c r="CI97" s="145"/>
      <c r="CK97" s="112"/>
      <c r="EC97" s="2"/>
    </row>
    <row r="98" spans="1:133" ht="24.95" customHeight="1">
      <c r="A98" s="1">
        <f t="shared" si="15"/>
        <v>90</v>
      </c>
      <c r="B98" s="185"/>
      <c r="D98" s="111"/>
      <c r="E98" s="49"/>
      <c r="F98" s="49"/>
      <c r="G98" s="93"/>
      <c r="H98" s="93"/>
      <c r="I98" s="93"/>
      <c r="J98" s="95"/>
      <c r="K98" s="95"/>
      <c r="L98" s="49"/>
      <c r="M98" s="104" t="s">
        <v>364</v>
      </c>
      <c r="N98" s="93"/>
      <c r="O98" s="93"/>
      <c r="P98" s="93"/>
      <c r="Q98" s="93"/>
      <c r="R98" s="93"/>
      <c r="S98" s="49"/>
      <c r="T98" s="93"/>
      <c r="U98" s="95"/>
      <c r="V98" s="49"/>
      <c r="W98" s="93"/>
      <c r="X98" s="109"/>
      <c r="Y98" s="132"/>
      <c r="Z98" s="137"/>
      <c r="AA98" s="134"/>
      <c r="AB98" s="134"/>
      <c r="AC98" s="134"/>
      <c r="AD98" s="134"/>
      <c r="AE98" s="135"/>
      <c r="AF98" s="133"/>
      <c r="AG98" s="134"/>
      <c r="AH98" s="138"/>
      <c r="AI98" s="221">
        <v>4305322</v>
      </c>
      <c r="AJ98" s="221"/>
      <c r="AK98" s="221"/>
      <c r="AL98" s="221"/>
      <c r="AM98" s="221"/>
      <c r="AN98" s="221"/>
      <c r="AO98" s="139"/>
      <c r="AP98" s="137"/>
      <c r="AQ98" s="134"/>
      <c r="AR98" s="134"/>
      <c r="AS98" s="134"/>
      <c r="AT98" s="134"/>
      <c r="AU98" s="135"/>
      <c r="AV98" s="133"/>
      <c r="AW98" s="134"/>
      <c r="AX98" s="140"/>
      <c r="AY98" s="221">
        <v>5537167</v>
      </c>
      <c r="AZ98" s="221"/>
      <c r="BA98" s="221"/>
      <c r="BB98" s="221"/>
      <c r="BC98" s="221"/>
      <c r="BD98" s="221"/>
      <c r="BE98" s="139"/>
      <c r="BF98" s="137"/>
      <c r="BG98" s="134"/>
      <c r="BH98" s="134"/>
      <c r="BI98" s="134"/>
      <c r="BJ98" s="134"/>
      <c r="BK98" s="135"/>
      <c r="BL98" s="133"/>
      <c r="BM98" s="134"/>
      <c r="BN98" s="140"/>
      <c r="BO98" s="133"/>
      <c r="BP98" s="134"/>
      <c r="BQ98" s="135"/>
      <c r="BR98" s="135"/>
      <c r="BS98" s="135"/>
      <c r="BT98" s="135"/>
      <c r="BU98" s="139"/>
      <c r="BV98" s="133"/>
      <c r="BW98" s="135"/>
      <c r="BX98" s="135"/>
      <c r="BY98" s="135"/>
      <c r="BZ98" s="135"/>
      <c r="CA98" s="135"/>
      <c r="CB98" s="135"/>
      <c r="CC98" s="137"/>
      <c r="CD98" s="135"/>
      <c r="CE98" s="135"/>
      <c r="CF98" s="135"/>
      <c r="CG98" s="135"/>
      <c r="CH98" s="135"/>
      <c r="CI98" s="136"/>
      <c r="CK98" s="112"/>
      <c r="EC98" s="2"/>
    </row>
    <row r="99" spans="1:133" ht="24.95" customHeight="1">
      <c r="A99" s="1">
        <f t="shared" si="15"/>
        <v>91</v>
      </c>
      <c r="B99" s="185"/>
      <c r="D99" s="116"/>
      <c r="E99" s="65"/>
      <c r="F99" s="49"/>
      <c r="G99" s="93"/>
      <c r="H99" s="93"/>
      <c r="I99" s="93"/>
      <c r="J99" s="95"/>
      <c r="K99" s="95"/>
      <c r="L99" s="49"/>
      <c r="M99" s="93"/>
      <c r="N99" s="93"/>
      <c r="O99" s="93"/>
      <c r="P99" s="93"/>
      <c r="Q99" s="93"/>
      <c r="R99" s="93"/>
      <c r="S99" s="93"/>
      <c r="T99" s="93"/>
      <c r="U99" s="95"/>
      <c r="V99" s="49"/>
      <c r="W99" s="93"/>
      <c r="X99" s="93"/>
      <c r="Y99" s="132"/>
      <c r="Z99" s="111"/>
      <c r="AA99" s="93"/>
      <c r="AB99" s="93"/>
      <c r="AC99" s="109"/>
      <c r="AD99" s="93"/>
      <c r="AE99" s="95"/>
      <c r="AF99" s="49"/>
      <c r="AG99" s="93"/>
      <c r="AH99" s="131"/>
      <c r="AI99" s="222">
        <v>130228808</v>
      </c>
      <c r="AJ99" s="222"/>
      <c r="AK99" s="222"/>
      <c r="AL99" s="222"/>
      <c r="AM99" s="222"/>
      <c r="AN99" s="222"/>
      <c r="AO99" s="98"/>
      <c r="AP99" s="111"/>
      <c r="AQ99" s="93"/>
      <c r="AR99" s="93"/>
      <c r="AS99" s="109"/>
      <c r="AT99" s="93"/>
      <c r="AU99" s="95"/>
      <c r="AV99" s="49"/>
      <c r="AW99" s="93"/>
      <c r="AX99" s="113"/>
      <c r="AY99" s="222">
        <v>61077253</v>
      </c>
      <c r="AZ99" s="222"/>
      <c r="BA99" s="222"/>
      <c r="BB99" s="222"/>
      <c r="BC99" s="222"/>
      <c r="BD99" s="222"/>
      <c r="BE99" s="98"/>
      <c r="BF99" s="111"/>
      <c r="BG99" s="93"/>
      <c r="BH99" s="93"/>
      <c r="BI99" s="109"/>
      <c r="BJ99" s="93"/>
      <c r="BK99" s="95"/>
      <c r="BL99" s="49"/>
      <c r="BM99" s="93"/>
      <c r="BN99" s="113"/>
      <c r="BO99" s="49"/>
      <c r="BP99" s="93"/>
      <c r="BQ99" s="95"/>
      <c r="BR99" s="95"/>
      <c r="BS99" s="95"/>
      <c r="BT99" s="95"/>
      <c r="BU99" s="98"/>
      <c r="BV99" s="49"/>
      <c r="BW99" s="95"/>
      <c r="BX99" s="95"/>
      <c r="BY99" s="95"/>
      <c r="BZ99" s="95"/>
      <c r="CA99" s="95"/>
      <c r="CB99" s="95"/>
      <c r="CC99" s="111"/>
      <c r="CD99" s="219">
        <v>-13953565</v>
      </c>
      <c r="CE99" s="219"/>
      <c r="CF99" s="219"/>
      <c r="CG99" s="219"/>
      <c r="CH99" s="219"/>
      <c r="CI99" s="220"/>
      <c r="CK99" s="112"/>
      <c r="EC99" s="2"/>
    </row>
    <row r="100" spans="1:133" ht="24.95" customHeight="1">
      <c r="A100" s="1">
        <f t="shared" si="15"/>
        <v>92</v>
      </c>
      <c r="B100" s="185"/>
      <c r="D100" s="141"/>
      <c r="E100" s="142"/>
      <c r="F100" s="106"/>
      <c r="G100" s="129"/>
      <c r="H100" s="129"/>
      <c r="I100" s="129"/>
      <c r="J100" s="107"/>
      <c r="K100" s="107"/>
      <c r="L100" s="106"/>
      <c r="M100" s="129"/>
      <c r="N100" s="129"/>
      <c r="O100" s="129"/>
      <c r="P100" s="129"/>
      <c r="Q100" s="129"/>
      <c r="R100" s="129"/>
      <c r="S100" s="129"/>
      <c r="T100" s="129"/>
      <c r="U100" s="107"/>
      <c r="V100" s="106"/>
      <c r="W100" s="129"/>
      <c r="X100" s="129"/>
      <c r="Y100" s="130"/>
      <c r="Z100" s="122"/>
      <c r="AA100" s="129"/>
      <c r="AB100" s="129"/>
      <c r="AC100" s="129"/>
      <c r="AD100" s="129"/>
      <c r="AE100" s="107"/>
      <c r="AF100" s="106"/>
      <c r="AG100" s="129"/>
      <c r="AH100" s="128"/>
      <c r="AI100" s="223">
        <v>13022880.800000001</v>
      </c>
      <c r="AJ100" s="223"/>
      <c r="AK100" s="223"/>
      <c r="AL100" s="223"/>
      <c r="AM100" s="223"/>
      <c r="AN100" s="223"/>
      <c r="AO100" s="123"/>
      <c r="AP100" s="122"/>
      <c r="AQ100" s="129"/>
      <c r="AR100" s="129"/>
      <c r="AS100" s="129"/>
      <c r="AT100" s="129"/>
      <c r="AU100" s="107"/>
      <c r="AV100" s="106"/>
      <c r="AW100" s="129"/>
      <c r="AX100" s="124"/>
      <c r="AY100" s="223">
        <v>6107725.3000000007</v>
      </c>
      <c r="AZ100" s="223"/>
      <c r="BA100" s="223"/>
      <c r="BB100" s="223"/>
      <c r="BC100" s="223"/>
      <c r="BD100" s="223"/>
      <c r="BE100" s="123"/>
      <c r="BF100" s="122"/>
      <c r="BG100" s="129"/>
      <c r="BH100" s="129"/>
      <c r="BI100" s="129"/>
      <c r="BJ100" s="129"/>
      <c r="BK100" s="107"/>
      <c r="BL100" s="106"/>
      <c r="BM100" s="129"/>
      <c r="BN100" s="124"/>
      <c r="BO100" s="106"/>
      <c r="BP100" s="129"/>
      <c r="BQ100" s="107"/>
      <c r="BR100" s="107"/>
      <c r="BS100" s="107"/>
      <c r="BT100" s="107"/>
      <c r="BU100" s="123"/>
      <c r="BV100" s="106"/>
      <c r="BW100" s="107"/>
      <c r="BX100" s="107"/>
      <c r="BY100" s="107"/>
      <c r="BZ100" s="107"/>
      <c r="CA100" s="107"/>
      <c r="CB100" s="107"/>
      <c r="CC100" s="122"/>
      <c r="CD100" s="217">
        <v>-1395356.5</v>
      </c>
      <c r="CE100" s="217"/>
      <c r="CF100" s="217"/>
      <c r="CG100" s="217"/>
      <c r="CH100" s="217"/>
      <c r="CI100" s="218"/>
      <c r="CK100" s="112"/>
      <c r="EC100" s="2"/>
    </row>
    <row r="101" spans="1:133" ht="24.95" customHeight="1" thickBot="1">
      <c r="A101" s="3">
        <f t="shared" si="15"/>
        <v>93</v>
      </c>
      <c r="B101" s="186"/>
      <c r="C101" s="156"/>
      <c r="D101" s="156"/>
      <c r="E101" s="156"/>
      <c r="F101" s="156"/>
      <c r="G101" s="156"/>
      <c r="H101" s="156"/>
      <c r="I101" s="156"/>
      <c r="J101" s="156"/>
      <c r="K101" s="156"/>
      <c r="L101" s="156"/>
      <c r="M101" s="156"/>
      <c r="N101" s="156"/>
      <c r="O101" s="156"/>
      <c r="P101" s="156"/>
      <c r="Q101" s="156"/>
      <c r="R101" s="156"/>
      <c r="S101" s="156"/>
      <c r="T101" s="156"/>
      <c r="U101" s="156"/>
      <c r="V101" s="156"/>
      <c r="W101" s="156"/>
      <c r="X101" s="156"/>
      <c r="Y101" s="156"/>
      <c r="Z101" s="156"/>
      <c r="AA101" s="156"/>
      <c r="AB101" s="156"/>
      <c r="AC101" s="156"/>
      <c r="AD101" s="156"/>
      <c r="AE101" s="156"/>
      <c r="AF101" s="156"/>
      <c r="AG101" s="156"/>
      <c r="AH101" s="156"/>
      <c r="AI101" s="156"/>
      <c r="AJ101" s="156"/>
      <c r="AK101" s="156"/>
      <c r="AL101" s="156"/>
      <c r="AM101" s="156"/>
      <c r="AN101" s="156"/>
      <c r="AO101" s="156"/>
      <c r="AP101" s="156"/>
      <c r="AQ101" s="156"/>
      <c r="AR101" s="156"/>
      <c r="AS101" s="156"/>
      <c r="AT101" s="156"/>
      <c r="AU101" s="156"/>
      <c r="AV101" s="156"/>
      <c r="AW101" s="156"/>
      <c r="AX101" s="156"/>
      <c r="AY101" s="156"/>
      <c r="AZ101" s="156"/>
      <c r="BA101" s="156"/>
      <c r="BB101" s="156"/>
      <c r="BC101" s="156"/>
      <c r="BD101" s="156"/>
      <c r="BE101" s="156"/>
      <c r="BF101" s="156"/>
      <c r="BG101" s="156"/>
      <c r="BH101" s="156"/>
      <c r="BI101" s="156"/>
      <c r="BJ101" s="156"/>
      <c r="BK101" s="156"/>
      <c r="BL101" s="156"/>
      <c r="BM101" s="156"/>
      <c r="BN101" s="156"/>
      <c r="BO101" s="156"/>
      <c r="BP101" s="156"/>
      <c r="BQ101" s="156"/>
      <c r="BR101" s="156"/>
      <c r="BS101" s="156"/>
      <c r="BT101" s="156"/>
      <c r="BU101" s="156"/>
      <c r="BV101" s="156"/>
      <c r="BW101" s="156"/>
      <c r="BX101" s="156"/>
      <c r="BY101" s="156"/>
      <c r="BZ101" s="156"/>
      <c r="CA101" s="156"/>
      <c r="CB101" s="156"/>
      <c r="CC101" s="156"/>
      <c r="CD101" s="156"/>
      <c r="CE101" s="156"/>
      <c r="CF101" s="156"/>
      <c r="CG101" s="156"/>
      <c r="CH101" s="156"/>
      <c r="CI101" s="156"/>
      <c r="CJ101" s="156"/>
      <c r="CK101" s="157"/>
      <c r="CL101" s="156"/>
      <c r="CM101" s="156"/>
      <c r="CN101" s="156"/>
      <c r="CO101" s="156"/>
      <c r="CP101" s="156"/>
      <c r="CQ101" s="156"/>
      <c r="CR101" s="156"/>
      <c r="CS101" s="156"/>
      <c r="CT101" s="156"/>
      <c r="CU101" s="156"/>
      <c r="CV101" s="156"/>
      <c r="CW101" s="156"/>
      <c r="CX101" s="156"/>
      <c r="CY101" s="156"/>
      <c r="CZ101" s="156"/>
      <c r="DA101" s="156"/>
      <c r="DB101" s="156"/>
      <c r="DC101" s="156"/>
      <c r="DD101" s="156"/>
      <c r="DE101" s="156"/>
      <c r="DF101" s="156"/>
      <c r="DG101" s="156"/>
      <c r="DH101" s="156"/>
      <c r="DI101" s="156"/>
      <c r="DJ101" s="156"/>
      <c r="DK101" s="156"/>
      <c r="DL101" s="156"/>
      <c r="DM101" s="156"/>
      <c r="DN101" s="156"/>
      <c r="DO101" s="156"/>
      <c r="DP101" s="156"/>
      <c r="DQ101" s="156"/>
      <c r="DR101" s="156"/>
      <c r="DS101" s="156"/>
      <c r="DT101" s="156"/>
      <c r="DU101" s="156"/>
      <c r="DV101" s="156"/>
      <c r="DW101" s="156"/>
      <c r="DX101" s="156"/>
      <c r="DY101" s="156"/>
      <c r="DZ101" s="156"/>
      <c r="EA101" s="156"/>
      <c r="EB101" s="156"/>
      <c r="EC101" s="158"/>
    </row>
    <row r="102" spans="1:133" ht="24.95" customHeight="1">
      <c r="A102" s="1"/>
    </row>
  </sheetData>
  <mergeCells count="278">
    <mergeCell ref="BF91:BU91"/>
    <mergeCell ref="Z92:AG94"/>
    <mergeCell ref="AH92:AO94"/>
    <mergeCell ref="AP92:AW94"/>
    <mergeCell ref="AX92:BE94"/>
    <mergeCell ref="BF92:BM94"/>
    <mergeCell ref="BN92:BU94"/>
    <mergeCell ref="Z15:AG17"/>
    <mergeCell ref="AI100:AN100"/>
    <mergeCell ref="AI95:AN95"/>
    <mergeCell ref="AI96:AN96"/>
    <mergeCell ref="AI97:AN97"/>
    <mergeCell ref="AI98:AN98"/>
    <mergeCell ref="AI99:AN99"/>
    <mergeCell ref="Z91:AO91"/>
    <mergeCell ref="AP91:BE91"/>
    <mergeCell ref="BO40:BT40"/>
    <mergeCell ref="AH15:AO17"/>
    <mergeCell ref="AP15:AW17"/>
    <mergeCell ref="AX15:BE17"/>
    <mergeCell ref="BF15:BM17"/>
    <mergeCell ref="AA29:AF29"/>
    <mergeCell ref="AA39:AF39"/>
    <mergeCell ref="AI36:AN36"/>
    <mergeCell ref="BV91:CB94"/>
    <mergeCell ref="CC91:CI94"/>
    <mergeCell ref="Z14:AO14"/>
    <mergeCell ref="AP14:BE14"/>
    <mergeCell ref="BF14:BU14"/>
    <mergeCell ref="BV14:CB17"/>
    <mergeCell ref="CC14:CI17"/>
    <mergeCell ref="BN15:BU17"/>
    <mergeCell ref="Z50:AO50"/>
    <mergeCell ref="AP50:BE50"/>
    <mergeCell ref="BF50:BU50"/>
    <mergeCell ref="BV50:CB53"/>
    <mergeCell ref="AA18:AF18"/>
    <mergeCell ref="AA19:AF19"/>
    <mergeCell ref="AA20:AF20"/>
    <mergeCell ref="AA21:AF21"/>
    <mergeCell ref="AA22:AF22"/>
    <mergeCell ref="AA23:AF23"/>
    <mergeCell ref="AA24:AF24"/>
    <mergeCell ref="AA25:AF25"/>
    <mergeCell ref="AA26:AF26"/>
    <mergeCell ref="AA27:AF27"/>
    <mergeCell ref="AA28:AF28"/>
    <mergeCell ref="AY39:BD39"/>
    <mergeCell ref="Z74:AG76"/>
    <mergeCell ref="AH74:AO76"/>
    <mergeCell ref="AP74:AW76"/>
    <mergeCell ref="AX74:BE76"/>
    <mergeCell ref="BF74:BM76"/>
    <mergeCell ref="BN74:BU76"/>
    <mergeCell ref="CC50:CI53"/>
    <mergeCell ref="Z51:AG53"/>
    <mergeCell ref="AH51:AO53"/>
    <mergeCell ref="AP51:AW53"/>
    <mergeCell ref="AX51:BE53"/>
    <mergeCell ref="BF51:BM53"/>
    <mergeCell ref="BN51:BU53"/>
    <mergeCell ref="BF73:BU73"/>
    <mergeCell ref="BV73:CB76"/>
    <mergeCell ref="AI54:AN54"/>
    <mergeCell ref="AI55:AN55"/>
    <mergeCell ref="AI37:AN37"/>
    <mergeCell ref="AI38:AN38"/>
    <mergeCell ref="BO41:BT41"/>
    <mergeCell ref="AY40:BD40"/>
    <mergeCell ref="AY41:BD41"/>
    <mergeCell ref="AI40:AN40"/>
    <mergeCell ref="AI41:AN41"/>
    <mergeCell ref="AQ36:AV36"/>
    <mergeCell ref="AQ37:AV37"/>
    <mergeCell ref="AQ38:AV38"/>
    <mergeCell ref="AQ39:AV39"/>
    <mergeCell ref="AQ40:AV40"/>
    <mergeCell ref="BG41:BL41"/>
    <mergeCell ref="BO36:BT36"/>
    <mergeCell ref="BO37:BT37"/>
    <mergeCell ref="BO38:BT38"/>
    <mergeCell ref="BO39:BT39"/>
    <mergeCell ref="BG36:BL36"/>
    <mergeCell ref="BG37:BL37"/>
    <mergeCell ref="BG38:BL38"/>
    <mergeCell ref="BG39:BL39"/>
    <mergeCell ref="BG40:BL40"/>
    <mergeCell ref="AY38:BD38"/>
    <mergeCell ref="AI31:AN31"/>
    <mergeCell ref="AA41:AF41"/>
    <mergeCell ref="AI39:AN39"/>
    <mergeCell ref="AQ23:AV23"/>
    <mergeCell ref="AQ24:AV24"/>
    <mergeCell ref="AQ25:AV25"/>
    <mergeCell ref="AQ26:AV26"/>
    <mergeCell ref="AQ27:AV27"/>
    <mergeCell ref="AQ31:AV31"/>
    <mergeCell ref="AA30:AF30"/>
    <mergeCell ref="AA31:AF31"/>
    <mergeCell ref="AQ35:AV35"/>
    <mergeCell ref="AI23:AN23"/>
    <mergeCell ref="AI24:AN24"/>
    <mergeCell ref="AI25:AN25"/>
    <mergeCell ref="AI26:AN26"/>
    <mergeCell ref="AQ32:AV32"/>
    <mergeCell ref="AQ33:AV33"/>
    <mergeCell ref="AQ34:AV34"/>
    <mergeCell ref="AA32:AF32"/>
    <mergeCell ref="AI32:AN32"/>
    <mergeCell ref="AI33:AN33"/>
    <mergeCell ref="AI34:AN34"/>
    <mergeCell ref="AI35:AN35"/>
    <mergeCell ref="AI27:AN27"/>
    <mergeCell ref="AI28:AN28"/>
    <mergeCell ref="AI29:AN29"/>
    <mergeCell ref="AI30:AN30"/>
    <mergeCell ref="AI18:AN18"/>
    <mergeCell ref="AI19:AN19"/>
    <mergeCell ref="AI20:AN20"/>
    <mergeCell ref="AI21:AN21"/>
    <mergeCell ref="AI22:AN22"/>
    <mergeCell ref="BO18:BT18"/>
    <mergeCell ref="BG29:BL29"/>
    <mergeCell ref="BG23:BL23"/>
    <mergeCell ref="BG24:BL24"/>
    <mergeCell ref="AY23:BD23"/>
    <mergeCell ref="AY24:BD24"/>
    <mergeCell ref="AY25:BD25"/>
    <mergeCell ref="AY26:BD26"/>
    <mergeCell ref="AY27:BD27"/>
    <mergeCell ref="AY18:BD18"/>
    <mergeCell ref="AY19:BD19"/>
    <mergeCell ref="AY20:BD20"/>
    <mergeCell ref="AY21:BD21"/>
    <mergeCell ref="AY22:BD22"/>
    <mergeCell ref="AY28:BD28"/>
    <mergeCell ref="AY29:BD29"/>
    <mergeCell ref="BO19:BT19"/>
    <mergeCell ref="BO20:BT20"/>
    <mergeCell ref="BO21:BT21"/>
    <mergeCell ref="BO22:BT22"/>
    <mergeCell ref="BO23:BT23"/>
    <mergeCell ref="BO24:BT24"/>
    <mergeCell ref="BO25:BT25"/>
    <mergeCell ref="BO26:BT26"/>
    <mergeCell ref="AQ18:AV18"/>
    <mergeCell ref="AQ19:AV19"/>
    <mergeCell ref="AQ20:AV20"/>
    <mergeCell ref="AQ21:AV21"/>
    <mergeCell ref="AQ22:AV22"/>
    <mergeCell ref="AQ30:AV30"/>
    <mergeCell ref="AQ28:AV28"/>
    <mergeCell ref="AQ29:AV29"/>
    <mergeCell ref="BG25:BL25"/>
    <mergeCell ref="BG26:BL26"/>
    <mergeCell ref="BG27:BL27"/>
    <mergeCell ref="BG18:BL18"/>
    <mergeCell ref="BG19:BL19"/>
    <mergeCell ref="BG20:BL20"/>
    <mergeCell ref="BG21:BL21"/>
    <mergeCell ref="BG22:BL22"/>
    <mergeCell ref="BG28:BL28"/>
    <mergeCell ref="BG30:BL30"/>
    <mergeCell ref="AY30:BD30"/>
    <mergeCell ref="BG35:BL35"/>
    <mergeCell ref="AY36:BD36"/>
    <mergeCell ref="AY37:BD37"/>
    <mergeCell ref="BO31:BT31"/>
    <mergeCell ref="BO32:BT32"/>
    <mergeCell ref="BO33:BT33"/>
    <mergeCell ref="BO34:BT34"/>
    <mergeCell ref="BO35:BT35"/>
    <mergeCell ref="BO30:BT30"/>
    <mergeCell ref="AY31:BD31"/>
    <mergeCell ref="BG31:BL31"/>
    <mergeCell ref="AI80:AN80"/>
    <mergeCell ref="AY32:BD32"/>
    <mergeCell ref="AY33:BD33"/>
    <mergeCell ref="AY34:BD34"/>
    <mergeCell ref="AY35:BD35"/>
    <mergeCell ref="AI81:AN81"/>
    <mergeCell ref="AI82:AN82"/>
    <mergeCell ref="AI56:AN56"/>
    <mergeCell ref="AI57:AN57"/>
    <mergeCell ref="AI58:AN58"/>
    <mergeCell ref="AI59:AN59"/>
    <mergeCell ref="AI77:AN77"/>
    <mergeCell ref="AQ41:AV41"/>
    <mergeCell ref="AI78:AN78"/>
    <mergeCell ref="AI79:AN79"/>
    <mergeCell ref="Z73:AO73"/>
    <mergeCell ref="AP73:BE73"/>
    <mergeCell ref="AA40:AF40"/>
    <mergeCell ref="AA36:AF36"/>
    <mergeCell ref="AA33:AF33"/>
    <mergeCell ref="AA34:AF34"/>
    <mergeCell ref="AA35:AF35"/>
    <mergeCell ref="AA37:AF37"/>
    <mergeCell ref="AA38:AF38"/>
    <mergeCell ref="BW24:CB24"/>
    <mergeCell ref="BW25:CB25"/>
    <mergeCell ref="BW26:CB26"/>
    <mergeCell ref="BW27:CB27"/>
    <mergeCell ref="BW28:CB28"/>
    <mergeCell ref="BW29:CB29"/>
    <mergeCell ref="BW18:CB18"/>
    <mergeCell ref="BW19:CB19"/>
    <mergeCell ref="BW20:CB20"/>
    <mergeCell ref="BW21:CB21"/>
    <mergeCell ref="BW22:CB22"/>
    <mergeCell ref="BW23:CB23"/>
    <mergeCell ref="CD18:CI18"/>
    <mergeCell ref="CD19:CI19"/>
    <mergeCell ref="CD20:CI20"/>
    <mergeCell ref="CD21:CI21"/>
    <mergeCell ref="CD22:CI22"/>
    <mergeCell ref="CD23:CI23"/>
    <mergeCell ref="CD24:CI24"/>
    <mergeCell ref="CD25:CI25"/>
    <mergeCell ref="CD26:CI26"/>
    <mergeCell ref="AY82:BD82"/>
    <mergeCell ref="AY95:BD95"/>
    <mergeCell ref="AY96:BD96"/>
    <mergeCell ref="AY97:BD97"/>
    <mergeCell ref="CD27:CI27"/>
    <mergeCell ref="CD28:CI28"/>
    <mergeCell ref="CD29:CI29"/>
    <mergeCell ref="AY54:BD54"/>
    <mergeCell ref="AY55:BD55"/>
    <mergeCell ref="AY56:BD56"/>
    <mergeCell ref="AY57:BD57"/>
    <mergeCell ref="AY58:BD58"/>
    <mergeCell ref="AY59:BD59"/>
    <mergeCell ref="CD40:CI40"/>
    <mergeCell ref="BW41:CB41"/>
    <mergeCell ref="CD41:CI41"/>
    <mergeCell ref="CD58:CI58"/>
    <mergeCell ref="CD59:CI59"/>
    <mergeCell ref="BO27:BT27"/>
    <mergeCell ref="BO28:BT28"/>
    <mergeCell ref="BO29:BT29"/>
    <mergeCell ref="BG32:BL32"/>
    <mergeCell ref="BG33:BL33"/>
    <mergeCell ref="BG34:BL34"/>
    <mergeCell ref="BW39:CB39"/>
    <mergeCell ref="CD39:CI39"/>
    <mergeCell ref="BW40:CB40"/>
    <mergeCell ref="AY77:BD77"/>
    <mergeCell ref="AY78:BD78"/>
    <mergeCell ref="AY79:BD79"/>
    <mergeCell ref="AY80:BD80"/>
    <mergeCell ref="AY81:BD81"/>
    <mergeCell ref="CC73:CI76"/>
    <mergeCell ref="CD81:CI81"/>
    <mergeCell ref="CD82:CI82"/>
    <mergeCell ref="CD99:CI99"/>
    <mergeCell ref="CD100:CI100"/>
    <mergeCell ref="AY98:BD98"/>
    <mergeCell ref="AY99:BD99"/>
    <mergeCell ref="AY100:BD100"/>
    <mergeCell ref="BW30:CB30"/>
    <mergeCell ref="CD30:CI30"/>
    <mergeCell ref="BW31:CB31"/>
    <mergeCell ref="CD31:CI31"/>
    <mergeCell ref="BW32:CB32"/>
    <mergeCell ref="CD32:CI32"/>
    <mergeCell ref="BW33:CB33"/>
    <mergeCell ref="CD33:CI33"/>
    <mergeCell ref="BW34:CB34"/>
    <mergeCell ref="CD34:CI34"/>
    <mergeCell ref="BW35:CB35"/>
    <mergeCell ref="CD35:CI35"/>
    <mergeCell ref="BW36:CB36"/>
    <mergeCell ref="CD36:CI36"/>
    <mergeCell ref="BW37:CB37"/>
    <mergeCell ref="CD37:CI37"/>
    <mergeCell ref="BW38:CB38"/>
    <mergeCell ref="CD38:CI38"/>
  </mergeCells>
  <phoneticPr fontId="5"/>
  <pageMargins left="0.39370078740157483" right="0.39370078740157483" top="0.39370078740157483" bottom="0.39370078740157483" header="0.59055118110236227" footer="0.11811023622047245"/>
  <pageSetup paperSize="9" scale="31" fitToHeight="0" orientation="landscape" useFirstPageNumber="1" r:id="rId1"/>
  <headerFooter alignWithMargins="0">
    <oddHeader xml:space="preserve">&amp;R&amp;16&amp;P    </oddHeader>
    <oddFooter xml:space="preserve">&amp;C&amp;24 4-3-5-&amp;P </oddFooter>
  </headerFooter>
  <rowBreaks count="2" manualBreakCount="2">
    <brk id="44" max="132" man="1"/>
    <brk id="85" max="132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85774-A30E-45D3-BE96-3F65A8D337EA}">
  <dimension ref="A1:DS92"/>
  <sheetViews>
    <sheetView view="pageBreakPreview" zoomScaleNormal="100" zoomScaleSheetLayoutView="100" workbookViewId="0"/>
  </sheetViews>
  <sheetFormatPr defaultColWidth="2.125" defaultRowHeight="13.5"/>
  <cols>
    <col min="65" max="123" width="2.125" style="8"/>
  </cols>
  <sheetData>
    <row r="1" spans="1:123" s="4" customFormat="1" ht="18" customHeight="1">
      <c r="A1" s="4" t="s">
        <v>14</v>
      </c>
      <c r="BJ1" s="7" t="s">
        <v>1</v>
      </c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</row>
    <row r="2" spans="1:123" s="5" customFormat="1" ht="18" customHeight="1">
      <c r="A2" s="197" t="s">
        <v>25</v>
      </c>
      <c r="B2" s="198"/>
      <c r="C2" s="198"/>
      <c r="D2" s="198"/>
      <c r="E2" s="198"/>
      <c r="F2" s="198"/>
      <c r="G2" s="198"/>
      <c r="H2" s="198"/>
      <c r="I2" s="198"/>
      <c r="J2" s="198"/>
      <c r="K2" s="198"/>
      <c r="L2" s="198"/>
      <c r="M2" s="198"/>
      <c r="N2" s="198"/>
      <c r="O2" s="198"/>
      <c r="P2" s="198"/>
      <c r="Q2" s="198"/>
      <c r="R2" s="198"/>
      <c r="S2" s="198"/>
      <c r="T2" s="198"/>
      <c r="U2" s="198"/>
      <c r="V2" s="198"/>
      <c r="W2" s="198"/>
      <c r="X2" s="198"/>
      <c r="Y2" s="198"/>
      <c r="Z2" s="198"/>
      <c r="AA2" s="198"/>
      <c r="AB2" s="198"/>
      <c r="AC2" s="198"/>
      <c r="AD2" s="198"/>
      <c r="AE2" s="198"/>
      <c r="AF2" s="198"/>
      <c r="AG2" s="198"/>
      <c r="AH2" s="198"/>
      <c r="AI2" s="198"/>
      <c r="AJ2" s="198"/>
      <c r="AK2" s="198"/>
      <c r="AL2" s="198"/>
      <c r="AM2" s="198"/>
      <c r="AN2" s="198"/>
      <c r="AO2" s="198"/>
      <c r="AP2" s="198"/>
      <c r="AQ2" s="198"/>
      <c r="AR2" s="198"/>
      <c r="AS2" s="198"/>
      <c r="AT2" s="198"/>
      <c r="AU2" s="199"/>
      <c r="AV2" s="191" t="s">
        <v>3</v>
      </c>
      <c r="AW2" s="192"/>
      <c r="AX2" s="192"/>
      <c r="AY2" s="193"/>
      <c r="AZ2" s="191" t="s">
        <v>26</v>
      </c>
      <c r="BA2" s="192"/>
      <c r="BB2" s="192"/>
      <c r="BC2" s="193"/>
      <c r="BD2" s="191" t="s">
        <v>5</v>
      </c>
      <c r="BE2" s="192"/>
      <c r="BF2" s="193"/>
      <c r="BG2" s="191"/>
      <c r="BH2" s="192"/>
      <c r="BI2" s="192"/>
      <c r="BJ2" s="193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</row>
    <row r="3" spans="1:123" s="4" customFormat="1" ht="18" customHeight="1">
      <c r="A3" s="191" t="s">
        <v>6</v>
      </c>
      <c r="B3" s="192"/>
      <c r="C3" s="192"/>
      <c r="D3" s="192"/>
      <c r="E3" s="192"/>
      <c r="F3" s="192"/>
      <c r="G3" s="193"/>
      <c r="H3" s="194" t="s">
        <v>193</v>
      </c>
      <c r="I3" s="195"/>
      <c r="J3" s="195"/>
      <c r="K3" s="195"/>
      <c r="L3" s="195"/>
      <c r="M3" s="195"/>
      <c r="N3" s="195"/>
      <c r="O3" s="195"/>
      <c r="P3" s="195"/>
      <c r="Q3" s="195"/>
      <c r="R3" s="195"/>
      <c r="S3" s="195"/>
      <c r="T3" s="195"/>
      <c r="U3" s="195"/>
      <c r="V3" s="195"/>
      <c r="W3" s="195"/>
      <c r="X3" s="195"/>
      <c r="Y3" s="195"/>
      <c r="Z3" s="195"/>
      <c r="AA3" s="195"/>
      <c r="AB3" s="195"/>
      <c r="AC3" s="195"/>
      <c r="AD3" s="195"/>
      <c r="AE3" s="195"/>
      <c r="AF3" s="195"/>
      <c r="AG3" s="195"/>
      <c r="AH3" s="195"/>
      <c r="AI3" s="195"/>
      <c r="AJ3" s="195"/>
      <c r="AK3" s="195"/>
      <c r="AL3" s="195"/>
      <c r="AM3" s="195"/>
      <c r="AN3" s="195"/>
      <c r="AO3" s="195"/>
      <c r="AP3" s="195"/>
      <c r="AQ3" s="195"/>
      <c r="AR3" s="195"/>
      <c r="AS3" s="195"/>
      <c r="AT3" s="195"/>
      <c r="AU3" s="196"/>
      <c r="AV3" s="191" t="s">
        <v>7</v>
      </c>
      <c r="AW3" s="192"/>
      <c r="AX3" s="192"/>
      <c r="AY3" s="193"/>
      <c r="AZ3" s="191" t="s">
        <v>194</v>
      </c>
      <c r="BA3" s="192"/>
      <c r="BB3" s="192"/>
      <c r="BC3" s="192"/>
      <c r="BD3" s="192"/>
      <c r="BE3" s="192"/>
      <c r="BF3" s="192"/>
      <c r="BG3" s="192"/>
      <c r="BH3" s="192"/>
      <c r="BI3" s="192"/>
      <c r="BJ3" s="193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</row>
    <row r="4" spans="1:123" s="4" customFormat="1" ht="18" customHeight="1">
      <c r="A4" s="191" t="s">
        <v>27</v>
      </c>
      <c r="B4" s="192"/>
      <c r="C4" s="192"/>
      <c r="D4" s="192"/>
      <c r="E4" s="192"/>
      <c r="F4" s="192"/>
      <c r="G4" s="193"/>
      <c r="H4" s="194" t="s">
        <v>103</v>
      </c>
      <c r="I4" s="195"/>
      <c r="J4" s="195"/>
      <c r="K4" s="195"/>
      <c r="L4" s="195"/>
      <c r="M4" s="195"/>
      <c r="N4" s="195"/>
      <c r="O4" s="195"/>
      <c r="P4" s="195"/>
      <c r="Q4" s="195"/>
      <c r="R4" s="195"/>
      <c r="S4" s="195"/>
      <c r="T4" s="195"/>
      <c r="U4" s="195"/>
      <c r="V4" s="195"/>
      <c r="W4" s="195"/>
      <c r="X4" s="195"/>
      <c r="Y4" s="195"/>
      <c r="Z4" s="195"/>
      <c r="AA4" s="195"/>
      <c r="AB4" s="195"/>
      <c r="AC4" s="195"/>
      <c r="AD4" s="195"/>
      <c r="AE4" s="195"/>
      <c r="AF4" s="195"/>
      <c r="AG4" s="195"/>
      <c r="AH4" s="195"/>
      <c r="AI4" s="195"/>
      <c r="AJ4" s="195"/>
      <c r="AK4" s="195"/>
      <c r="AL4" s="195"/>
      <c r="AM4" s="195"/>
      <c r="AN4" s="195"/>
      <c r="AO4" s="195"/>
      <c r="AP4" s="195"/>
      <c r="AQ4" s="195"/>
      <c r="AR4" s="195"/>
      <c r="AS4" s="195"/>
      <c r="AT4" s="195"/>
      <c r="AU4" s="196"/>
      <c r="AV4" s="191" t="s">
        <v>9</v>
      </c>
      <c r="AW4" s="192"/>
      <c r="AX4" s="192"/>
      <c r="AY4" s="193"/>
      <c r="AZ4" s="191"/>
      <c r="BA4" s="192"/>
      <c r="BB4" s="192"/>
      <c r="BC4" s="192"/>
      <c r="BD4" s="192"/>
      <c r="BE4" s="192"/>
      <c r="BF4" s="192"/>
      <c r="BG4" s="192"/>
      <c r="BH4" s="192"/>
      <c r="BI4" s="192"/>
      <c r="BJ4" s="193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</row>
    <row r="5" spans="1:123" s="6" customFormat="1" ht="5.25" customHeight="1"/>
    <row r="6" spans="1:123" s="10" customFormat="1" ht="20.25" customHeight="1">
      <c r="A6" s="203" t="s">
        <v>10</v>
      </c>
      <c r="B6" s="203"/>
      <c r="C6" s="203"/>
      <c r="D6" s="203"/>
      <c r="E6" s="203"/>
      <c r="F6" s="203"/>
      <c r="G6" s="203"/>
      <c r="H6" s="203" t="s">
        <v>120</v>
      </c>
      <c r="I6" s="203"/>
      <c r="J6" s="203"/>
      <c r="K6" s="203"/>
      <c r="L6" s="203"/>
      <c r="M6" s="203"/>
      <c r="N6" s="203"/>
      <c r="O6" s="203"/>
      <c r="P6" s="203" t="s">
        <v>11</v>
      </c>
      <c r="Q6" s="203"/>
      <c r="R6" s="203"/>
      <c r="S6" s="203"/>
      <c r="T6" s="203"/>
      <c r="U6" s="203"/>
      <c r="V6" s="203"/>
      <c r="W6" s="203"/>
      <c r="X6" s="203"/>
      <c r="Y6" s="204" t="str">
        <f>変更履歴!V6</f>
        <v>購買共計勘定整理帳</v>
      </c>
      <c r="Z6" s="205"/>
      <c r="AA6" s="205"/>
      <c r="AB6" s="205"/>
      <c r="AC6" s="205"/>
      <c r="AD6" s="205"/>
      <c r="AE6" s="205"/>
      <c r="AF6" s="205"/>
      <c r="AG6" s="205"/>
      <c r="AH6" s="205"/>
      <c r="AI6" s="205"/>
      <c r="AJ6" s="205"/>
      <c r="AK6" s="205"/>
      <c r="AL6" s="205"/>
      <c r="AM6" s="205"/>
      <c r="AN6" s="205"/>
      <c r="AO6" s="205"/>
      <c r="AP6" s="205"/>
      <c r="AQ6" s="205"/>
      <c r="AR6" s="205"/>
      <c r="AS6" s="205"/>
      <c r="AT6" s="205"/>
      <c r="AU6" s="206"/>
      <c r="AV6" s="235" t="s">
        <v>28</v>
      </c>
      <c r="AW6" s="236"/>
      <c r="AX6" s="236"/>
      <c r="AY6" s="236"/>
      <c r="AZ6" s="236"/>
      <c r="BA6" s="236"/>
      <c r="BB6" s="236"/>
      <c r="BC6" s="237"/>
      <c r="BD6" s="235" t="s">
        <v>145</v>
      </c>
      <c r="BE6" s="236"/>
      <c r="BF6" s="236"/>
      <c r="BG6" s="236"/>
      <c r="BH6" s="236"/>
      <c r="BI6" s="236"/>
      <c r="BJ6" s="237"/>
    </row>
    <row r="7" spans="1:123" s="11" customFormat="1" ht="6" customHeight="1"/>
    <row r="8" spans="1:123" s="11" customFormat="1" ht="20.25" customHeight="1">
      <c r="A8" s="12" t="s">
        <v>29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4"/>
    </row>
    <row r="9" spans="1:123" s="11" customFormat="1" ht="20.25" customHeight="1">
      <c r="A9" s="15"/>
      <c r="C9" s="11" t="s">
        <v>365</v>
      </c>
      <c r="BJ9" s="16"/>
    </row>
    <row r="10" spans="1:123" s="11" customFormat="1" ht="20.25" customHeight="1">
      <c r="A10" s="15"/>
      <c r="BJ10" s="16"/>
    </row>
    <row r="11" spans="1:123" s="11" customFormat="1" ht="20.25" customHeight="1">
      <c r="A11" s="17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9"/>
    </row>
    <row r="12" spans="1:123" s="11" customFormat="1" ht="20.25" customHeight="1">
      <c r="A12" s="238" t="s">
        <v>30</v>
      </c>
      <c r="B12" s="239"/>
      <c r="C12" s="239"/>
      <c r="D12" s="239"/>
      <c r="E12" s="239"/>
      <c r="F12" s="240"/>
      <c r="G12" s="12" t="s">
        <v>31</v>
      </c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4"/>
      <c r="AE12" s="11" t="s">
        <v>32</v>
      </c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4"/>
    </row>
    <row r="13" spans="1:123" s="11" customFormat="1" ht="20.25" customHeight="1">
      <c r="A13" s="241"/>
      <c r="B13" s="242"/>
      <c r="C13" s="242"/>
      <c r="D13" s="242"/>
      <c r="E13" s="242"/>
      <c r="F13" s="243"/>
      <c r="G13" s="15"/>
      <c r="H13" s="11" t="s">
        <v>217</v>
      </c>
      <c r="AD13" s="16"/>
      <c r="AF13" s="11" t="s">
        <v>157</v>
      </c>
      <c r="BJ13" s="16"/>
    </row>
    <row r="14" spans="1:123" s="11" customFormat="1" ht="20.25" customHeight="1">
      <c r="A14" s="241"/>
      <c r="B14" s="242"/>
      <c r="C14" s="242"/>
      <c r="D14" s="242"/>
      <c r="E14" s="242"/>
      <c r="F14" s="243"/>
      <c r="G14" s="15"/>
      <c r="AD14" s="16"/>
      <c r="AF14" s="11" t="s">
        <v>158</v>
      </c>
      <c r="BJ14" s="16"/>
    </row>
    <row r="15" spans="1:123" s="11" customFormat="1" ht="20.25" customHeight="1">
      <c r="A15" s="241"/>
      <c r="B15" s="242"/>
      <c r="C15" s="242"/>
      <c r="D15" s="242"/>
      <c r="E15" s="242"/>
      <c r="F15" s="243"/>
      <c r="G15" s="15" t="s">
        <v>33</v>
      </c>
      <c r="AD15" s="16"/>
      <c r="AF15" s="11" t="s">
        <v>198</v>
      </c>
      <c r="BJ15" s="16"/>
    </row>
    <row r="16" spans="1:123" s="11" customFormat="1" ht="20.25" customHeight="1">
      <c r="A16" s="241"/>
      <c r="B16" s="242"/>
      <c r="C16" s="242"/>
      <c r="D16" s="242"/>
      <c r="E16" s="242"/>
      <c r="F16" s="243"/>
      <c r="G16" s="15"/>
      <c r="H16" s="11" t="s">
        <v>199</v>
      </c>
      <c r="L16" s="11" t="s">
        <v>200</v>
      </c>
      <c r="AD16" s="16"/>
      <c r="AF16" s="11" t="s">
        <v>159</v>
      </c>
      <c r="BJ16" s="16"/>
    </row>
    <row r="17" spans="1:62" s="11" customFormat="1" ht="20.25" customHeight="1">
      <c r="A17" s="241"/>
      <c r="B17" s="242"/>
      <c r="C17" s="242"/>
      <c r="D17" s="242"/>
      <c r="E17" s="242"/>
      <c r="F17" s="243"/>
      <c r="G17" s="15"/>
      <c r="H17" s="11" t="s">
        <v>201</v>
      </c>
      <c r="L17" s="11" t="s">
        <v>202</v>
      </c>
      <c r="AD17" s="16"/>
      <c r="BJ17" s="16"/>
    </row>
    <row r="18" spans="1:62" s="11" customFormat="1" ht="20.25" customHeight="1">
      <c r="A18" s="241"/>
      <c r="B18" s="242"/>
      <c r="C18" s="242"/>
      <c r="D18" s="242"/>
      <c r="E18" s="242"/>
      <c r="F18" s="243"/>
      <c r="G18" s="15"/>
      <c r="L18" s="11" t="s">
        <v>203</v>
      </c>
      <c r="AD18" s="16"/>
      <c r="BJ18" s="16"/>
    </row>
    <row r="19" spans="1:62" s="11" customFormat="1" ht="20.25" customHeight="1">
      <c r="A19" s="241"/>
      <c r="B19" s="242"/>
      <c r="C19" s="242"/>
      <c r="D19" s="242"/>
      <c r="E19" s="242"/>
      <c r="F19" s="243"/>
      <c r="G19" s="15"/>
      <c r="H19" s="11" t="s">
        <v>204</v>
      </c>
      <c r="L19" s="11" t="s">
        <v>388</v>
      </c>
      <c r="AD19" s="16"/>
      <c r="BJ19" s="16"/>
    </row>
    <row r="20" spans="1:62" s="11" customFormat="1" ht="20.25" customHeight="1">
      <c r="A20" s="244"/>
      <c r="B20" s="245"/>
      <c r="C20" s="245"/>
      <c r="D20" s="245"/>
      <c r="E20" s="245"/>
      <c r="F20" s="246"/>
      <c r="G20" s="17"/>
      <c r="H20" s="18"/>
      <c r="I20" s="18"/>
      <c r="J20" s="18"/>
      <c r="K20" s="18"/>
      <c r="L20" s="18" t="s">
        <v>205</v>
      </c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9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9"/>
    </row>
    <row r="21" spans="1:62" s="11" customFormat="1" ht="5.25" customHeight="1"/>
    <row r="22" spans="1:62" s="10" customFormat="1" ht="20.25" customHeight="1">
      <c r="A22" s="235" t="s">
        <v>34</v>
      </c>
      <c r="B22" s="236"/>
      <c r="C22" s="236"/>
      <c r="D22" s="236"/>
      <c r="E22" s="236"/>
      <c r="F22" s="237"/>
      <c r="G22" s="235"/>
      <c r="H22" s="236"/>
      <c r="I22" s="236"/>
      <c r="J22" s="236"/>
      <c r="K22" s="236"/>
      <c r="L22" s="236"/>
      <c r="M22" s="236"/>
      <c r="N22" s="236"/>
      <c r="O22" s="236"/>
      <c r="P22" s="236"/>
      <c r="Q22" s="236"/>
      <c r="R22" s="236"/>
      <c r="S22" s="236"/>
      <c r="T22" s="236"/>
      <c r="U22" s="236"/>
      <c r="V22" s="236"/>
      <c r="W22" s="236"/>
      <c r="X22" s="236"/>
      <c r="Y22" s="236"/>
      <c r="Z22" s="236"/>
      <c r="AA22" s="236"/>
      <c r="AB22" s="236"/>
      <c r="AC22" s="236"/>
      <c r="AD22" s="237"/>
      <c r="AE22" s="235"/>
      <c r="AF22" s="236"/>
      <c r="AG22" s="236"/>
      <c r="AH22" s="236"/>
      <c r="AI22" s="236"/>
      <c r="AJ22" s="236"/>
      <c r="AK22" s="236"/>
      <c r="AL22" s="236"/>
      <c r="AM22" s="236"/>
      <c r="AN22" s="236"/>
      <c r="AO22" s="236"/>
      <c r="AP22" s="236"/>
      <c r="AQ22" s="236"/>
      <c r="AR22" s="236"/>
      <c r="AS22" s="236"/>
      <c r="AT22" s="236"/>
      <c r="AU22" s="236"/>
      <c r="AV22" s="236"/>
      <c r="AW22" s="236"/>
      <c r="AX22" s="236"/>
      <c r="AY22" s="236"/>
      <c r="AZ22" s="236"/>
      <c r="BA22" s="236"/>
      <c r="BB22" s="236"/>
      <c r="BC22" s="236"/>
      <c r="BD22" s="236"/>
      <c r="BE22" s="236"/>
      <c r="BF22" s="236"/>
      <c r="BG22" s="236"/>
      <c r="BH22" s="236"/>
      <c r="BI22" s="236"/>
      <c r="BJ22" s="237"/>
    </row>
    <row r="23" spans="1:62" s="11" customFormat="1" ht="20.25" customHeight="1">
      <c r="A23" s="241" t="s">
        <v>35</v>
      </c>
      <c r="B23" s="242"/>
      <c r="C23" s="242"/>
      <c r="D23" s="242"/>
      <c r="E23" s="242"/>
      <c r="F23" s="243"/>
      <c r="G23" s="15"/>
      <c r="H23" s="247" t="s">
        <v>36</v>
      </c>
      <c r="I23" s="247"/>
      <c r="J23" s="10" t="s">
        <v>37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20"/>
      <c r="AE23" s="248" t="s">
        <v>38</v>
      </c>
      <c r="AF23" s="239"/>
      <c r="AG23" s="239"/>
      <c r="AH23" s="239"/>
      <c r="AI23" s="239"/>
      <c r="AJ23" s="239"/>
      <c r="AK23" s="239"/>
      <c r="AL23" s="240"/>
      <c r="AM23" s="249" t="s">
        <v>39</v>
      </c>
      <c r="AN23" s="247"/>
      <c r="AO23" s="13" t="s">
        <v>40</v>
      </c>
      <c r="AP23" s="13"/>
      <c r="AQ23" s="13"/>
      <c r="AV23" s="13"/>
      <c r="AW23" s="13"/>
      <c r="AX23" s="13"/>
      <c r="AY23" s="23"/>
      <c r="AZ23" s="23"/>
      <c r="BA23" s="23"/>
      <c r="BB23" s="23"/>
      <c r="BC23" s="23"/>
      <c r="BD23" s="13"/>
      <c r="BE23" s="13"/>
      <c r="BF23" s="13"/>
      <c r="BG23" s="13"/>
      <c r="BH23" s="13"/>
      <c r="BI23" s="13"/>
      <c r="BJ23" s="14"/>
    </row>
    <row r="24" spans="1:62" s="11" customFormat="1" ht="20.25" customHeight="1">
      <c r="A24" s="241"/>
      <c r="B24" s="242"/>
      <c r="C24" s="242"/>
      <c r="D24" s="242"/>
      <c r="E24" s="242"/>
      <c r="F24" s="243"/>
      <c r="G24" s="15"/>
      <c r="H24" s="250" t="s">
        <v>39</v>
      </c>
      <c r="I24" s="250"/>
      <c r="J24" s="10" t="s">
        <v>41</v>
      </c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20"/>
      <c r="AE24" s="241"/>
      <c r="AF24" s="242"/>
      <c r="AG24" s="242"/>
      <c r="AH24" s="242"/>
      <c r="AI24" s="242"/>
      <c r="AJ24" s="242"/>
      <c r="AK24" s="242"/>
      <c r="AL24" s="243"/>
      <c r="AM24" s="251" t="s">
        <v>36</v>
      </c>
      <c r="AN24" s="250"/>
      <c r="AO24" s="11" t="s">
        <v>42</v>
      </c>
      <c r="AY24" s="10"/>
      <c r="AZ24" s="10"/>
      <c r="BA24" s="10"/>
      <c r="BB24" s="10"/>
      <c r="BC24" s="10"/>
      <c r="BJ24" s="16"/>
    </row>
    <row r="25" spans="1:62" s="11" customFormat="1" ht="20.25" customHeight="1">
      <c r="A25" s="241"/>
      <c r="B25" s="242"/>
      <c r="C25" s="242"/>
      <c r="D25" s="242"/>
      <c r="E25" s="242"/>
      <c r="F25" s="243"/>
      <c r="G25" s="15"/>
      <c r="H25" s="250" t="s">
        <v>36</v>
      </c>
      <c r="I25" s="250"/>
      <c r="J25" s="10" t="s">
        <v>43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20"/>
      <c r="AE25" s="241"/>
      <c r="AF25" s="242"/>
      <c r="AG25" s="242"/>
      <c r="AH25" s="242"/>
      <c r="AI25" s="242"/>
      <c r="AJ25" s="242"/>
      <c r="AK25" s="242"/>
      <c r="AL25" s="243"/>
      <c r="AM25" s="251" t="s">
        <v>36</v>
      </c>
      <c r="AN25" s="250"/>
      <c r="AO25" s="11" t="s">
        <v>43</v>
      </c>
      <c r="AY25" s="10"/>
      <c r="AZ25" s="10"/>
      <c r="BA25" s="10"/>
      <c r="BB25" s="10"/>
      <c r="BC25" s="10"/>
      <c r="BJ25" s="16"/>
    </row>
    <row r="26" spans="1:62" s="11" customFormat="1" ht="20.25" customHeight="1">
      <c r="A26" s="244"/>
      <c r="B26" s="245"/>
      <c r="C26" s="245"/>
      <c r="D26" s="245"/>
      <c r="E26" s="245"/>
      <c r="F26" s="246"/>
      <c r="G26" s="17"/>
      <c r="H26" s="18"/>
      <c r="I26" s="18"/>
      <c r="J26" s="21" t="s">
        <v>44</v>
      </c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 t="s">
        <v>45</v>
      </c>
      <c r="AC26" s="21"/>
      <c r="AD26" s="22"/>
      <c r="AE26" s="244"/>
      <c r="AF26" s="245"/>
      <c r="AG26" s="245"/>
      <c r="AH26" s="245"/>
      <c r="AI26" s="245"/>
      <c r="AJ26" s="245"/>
      <c r="AK26" s="245"/>
      <c r="AL26" s="246"/>
      <c r="AM26" s="18"/>
      <c r="AN26" s="18"/>
      <c r="AO26" s="18" t="s">
        <v>44</v>
      </c>
      <c r="AP26" s="18"/>
      <c r="AQ26" s="18"/>
      <c r="AV26" s="18"/>
      <c r="AW26" s="18"/>
      <c r="AX26" s="18"/>
      <c r="AY26" s="21"/>
      <c r="AZ26" s="21"/>
      <c r="BA26" s="21"/>
      <c r="BB26" s="21"/>
      <c r="BC26" s="21"/>
      <c r="BD26" s="18"/>
      <c r="BE26" s="18"/>
      <c r="BF26" s="18"/>
      <c r="BG26" s="18"/>
      <c r="BH26" s="18"/>
      <c r="BI26" s="18" t="s">
        <v>45</v>
      </c>
      <c r="BJ26" s="19"/>
    </row>
    <row r="27" spans="1:62" s="11" customFormat="1" ht="20.25" customHeight="1">
      <c r="A27" s="248" t="s">
        <v>46</v>
      </c>
      <c r="B27" s="239"/>
      <c r="C27" s="239"/>
      <c r="D27" s="239"/>
      <c r="E27" s="239"/>
      <c r="F27" s="240"/>
      <c r="G27" s="12"/>
      <c r="H27" s="247" t="s">
        <v>39</v>
      </c>
      <c r="I27" s="247"/>
      <c r="J27" s="23" t="s">
        <v>47</v>
      </c>
      <c r="K27" s="23"/>
      <c r="L27" s="23"/>
      <c r="M27" s="23"/>
      <c r="N27" s="23"/>
      <c r="O27" s="23"/>
      <c r="P27" s="23"/>
      <c r="Q27" s="23" t="s">
        <v>102</v>
      </c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4"/>
      <c r="AE27" s="248" t="s">
        <v>48</v>
      </c>
      <c r="AF27" s="239"/>
      <c r="AG27" s="239"/>
      <c r="AH27" s="239"/>
      <c r="AI27" s="239"/>
      <c r="AJ27" s="239"/>
      <c r="AK27" s="239"/>
      <c r="AL27" s="240"/>
      <c r="AM27" s="239" t="s">
        <v>49</v>
      </c>
      <c r="AN27" s="239"/>
      <c r="AO27" s="239"/>
      <c r="AP27" s="239"/>
      <c r="AQ27" s="239"/>
      <c r="AR27" s="239"/>
      <c r="AS27" s="239"/>
      <c r="AT27" s="239"/>
      <c r="AU27" s="239"/>
      <c r="AV27" s="240"/>
      <c r="AW27" s="238" t="s">
        <v>50</v>
      </c>
      <c r="AX27" s="252"/>
      <c r="AY27" s="252"/>
      <c r="AZ27" s="252"/>
      <c r="BA27" s="252"/>
      <c r="BB27" s="253"/>
      <c r="BC27" s="248" t="s">
        <v>51</v>
      </c>
      <c r="BD27" s="239"/>
      <c r="BE27" s="239"/>
      <c r="BF27" s="239"/>
      <c r="BG27" s="248"/>
      <c r="BH27" s="239"/>
      <c r="BI27" s="239"/>
      <c r="BJ27" s="240"/>
    </row>
    <row r="28" spans="1:62" s="11" customFormat="1" ht="20.25" customHeight="1">
      <c r="A28" s="241"/>
      <c r="B28" s="242"/>
      <c r="C28" s="242"/>
      <c r="D28" s="242"/>
      <c r="E28" s="242"/>
      <c r="F28" s="243"/>
      <c r="G28" s="15"/>
      <c r="H28" s="250" t="s">
        <v>36</v>
      </c>
      <c r="I28" s="250"/>
      <c r="J28" s="10" t="s">
        <v>52</v>
      </c>
      <c r="K28" s="10"/>
      <c r="L28" s="10"/>
      <c r="M28" s="10"/>
      <c r="N28" s="10"/>
      <c r="O28" s="10" t="s">
        <v>44</v>
      </c>
      <c r="P28" s="10"/>
      <c r="Q28" s="10"/>
      <c r="R28" s="10" t="s">
        <v>53</v>
      </c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25" t="s">
        <v>54</v>
      </c>
      <c r="AD28" s="26" t="s">
        <v>45</v>
      </c>
      <c r="AE28" s="244"/>
      <c r="AF28" s="245"/>
      <c r="AG28" s="245"/>
      <c r="AH28" s="245"/>
      <c r="AI28" s="245"/>
      <c r="AJ28" s="245"/>
      <c r="AK28" s="245"/>
      <c r="AL28" s="246"/>
      <c r="AM28" s="245"/>
      <c r="AN28" s="245"/>
      <c r="AO28" s="245"/>
      <c r="AP28" s="245"/>
      <c r="AQ28" s="245"/>
      <c r="AR28" s="245"/>
      <c r="AS28" s="245"/>
      <c r="AT28" s="245"/>
      <c r="AU28" s="245"/>
      <c r="AV28" s="246"/>
      <c r="AW28" s="254"/>
      <c r="AX28" s="255"/>
      <c r="AY28" s="255"/>
      <c r="AZ28" s="255"/>
      <c r="BA28" s="255"/>
      <c r="BB28" s="256"/>
      <c r="BC28" s="244"/>
      <c r="BD28" s="245"/>
      <c r="BE28" s="245"/>
      <c r="BF28" s="245"/>
      <c r="BG28" s="244"/>
      <c r="BH28" s="245"/>
      <c r="BI28" s="245"/>
      <c r="BJ28" s="246"/>
    </row>
    <row r="29" spans="1:62" s="11" customFormat="1" ht="20.25" customHeight="1">
      <c r="A29" s="241"/>
      <c r="B29" s="242"/>
      <c r="C29" s="242"/>
      <c r="D29" s="242"/>
      <c r="E29" s="242"/>
      <c r="F29" s="243"/>
      <c r="G29" s="15"/>
      <c r="H29" s="250" t="s">
        <v>36</v>
      </c>
      <c r="I29" s="250"/>
      <c r="J29" s="10" t="s">
        <v>55</v>
      </c>
      <c r="K29" s="10"/>
      <c r="L29" s="10"/>
      <c r="M29" s="10"/>
      <c r="N29" s="10"/>
      <c r="O29" s="10" t="s">
        <v>44</v>
      </c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20" t="s">
        <v>45</v>
      </c>
      <c r="AE29" s="238" t="s">
        <v>56</v>
      </c>
      <c r="AF29" s="252"/>
      <c r="AG29" s="252"/>
      <c r="AH29" s="252"/>
      <c r="AI29" s="252"/>
      <c r="AJ29" s="252"/>
      <c r="AK29" s="252"/>
      <c r="AL29" s="253"/>
      <c r="AM29" s="239"/>
      <c r="AN29" s="239"/>
      <c r="AO29" s="239"/>
      <c r="AP29" s="239"/>
      <c r="AQ29" s="239"/>
      <c r="AR29" s="239"/>
      <c r="AS29" s="239"/>
      <c r="AT29" s="239"/>
      <c r="AU29" s="239"/>
      <c r="AV29" s="240"/>
      <c r="AW29" s="254"/>
      <c r="AX29" s="255"/>
      <c r="AY29" s="255"/>
      <c r="AZ29" s="255"/>
      <c r="BA29" s="255"/>
      <c r="BB29" s="256"/>
      <c r="BC29" s="248" t="s">
        <v>57</v>
      </c>
      <c r="BD29" s="239"/>
      <c r="BE29" s="239"/>
      <c r="BF29" s="239"/>
      <c r="BG29" s="248"/>
      <c r="BH29" s="239"/>
      <c r="BI29" s="239"/>
      <c r="BJ29" s="240"/>
    </row>
    <row r="30" spans="1:62" s="11" customFormat="1" ht="20.25" customHeight="1">
      <c r="A30" s="244"/>
      <c r="B30" s="245"/>
      <c r="C30" s="245"/>
      <c r="D30" s="245"/>
      <c r="E30" s="245"/>
      <c r="F30" s="246"/>
      <c r="G30" s="17"/>
      <c r="H30" s="260" t="s">
        <v>36</v>
      </c>
      <c r="I30" s="260"/>
      <c r="J30" s="21" t="s">
        <v>43</v>
      </c>
      <c r="K30" s="21"/>
      <c r="L30" s="21"/>
      <c r="M30" s="21"/>
      <c r="N30" s="21"/>
      <c r="O30" s="21" t="s">
        <v>58</v>
      </c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2" t="s">
        <v>45</v>
      </c>
      <c r="AE30" s="257"/>
      <c r="AF30" s="258"/>
      <c r="AG30" s="258"/>
      <c r="AH30" s="258"/>
      <c r="AI30" s="258"/>
      <c r="AJ30" s="258"/>
      <c r="AK30" s="258"/>
      <c r="AL30" s="259"/>
      <c r="AM30" s="245"/>
      <c r="AN30" s="245"/>
      <c r="AO30" s="245"/>
      <c r="AP30" s="245"/>
      <c r="AQ30" s="245"/>
      <c r="AR30" s="245"/>
      <c r="AS30" s="245"/>
      <c r="AT30" s="245"/>
      <c r="AU30" s="245"/>
      <c r="AV30" s="246"/>
      <c r="AW30" s="257"/>
      <c r="AX30" s="258"/>
      <c r="AY30" s="258"/>
      <c r="AZ30" s="258"/>
      <c r="BA30" s="258"/>
      <c r="BB30" s="259"/>
      <c r="BC30" s="244"/>
      <c r="BD30" s="245"/>
      <c r="BE30" s="245"/>
      <c r="BF30" s="245"/>
      <c r="BG30" s="244"/>
      <c r="BH30" s="245"/>
      <c r="BI30" s="245"/>
      <c r="BJ30" s="246"/>
    </row>
    <row r="31" spans="1:62" s="11" customFormat="1" ht="20.25" customHeight="1">
      <c r="A31" s="248" t="s">
        <v>59</v>
      </c>
      <c r="B31" s="239"/>
      <c r="C31" s="239"/>
      <c r="D31" s="239"/>
      <c r="E31" s="239"/>
      <c r="F31" s="240"/>
      <c r="G31" s="12"/>
      <c r="H31" s="247"/>
      <c r="I31" s="247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4"/>
      <c r="AE31" s="270" t="s">
        <v>60</v>
      </c>
      <c r="AF31" s="271"/>
      <c r="AG31" s="271"/>
      <c r="AH31" s="271"/>
      <c r="AI31" s="271"/>
      <c r="AJ31" s="271"/>
      <c r="AK31" s="271"/>
      <c r="AL31" s="272"/>
      <c r="AM31" s="249" t="s">
        <v>36</v>
      </c>
      <c r="AN31" s="247"/>
      <c r="AO31" s="13" t="s">
        <v>61</v>
      </c>
      <c r="AP31" s="13"/>
      <c r="AQ31" s="13"/>
      <c r="AR31" s="13"/>
      <c r="AS31" s="23" t="s">
        <v>62</v>
      </c>
      <c r="AT31" s="23"/>
      <c r="AU31" s="34"/>
      <c r="AV31" s="13"/>
      <c r="AW31" s="23"/>
      <c r="AX31" s="23"/>
      <c r="AY31" s="34"/>
      <c r="AZ31" s="34"/>
      <c r="BA31" s="34"/>
      <c r="BB31" s="34"/>
      <c r="BC31" s="34"/>
      <c r="BD31" s="23"/>
      <c r="BE31" s="23"/>
      <c r="BF31" s="23"/>
      <c r="BG31" s="23"/>
      <c r="BH31" s="23"/>
      <c r="BI31" s="23"/>
      <c r="BJ31" s="24"/>
    </row>
    <row r="32" spans="1:62" s="11" customFormat="1" ht="20.25" customHeight="1">
      <c r="A32" s="241"/>
      <c r="B32" s="242"/>
      <c r="C32" s="242"/>
      <c r="D32" s="242"/>
      <c r="E32" s="242"/>
      <c r="F32" s="243"/>
      <c r="G32" s="15"/>
      <c r="H32" s="250"/>
      <c r="I32" s="250"/>
      <c r="J32" s="10"/>
      <c r="K32" s="10"/>
      <c r="L32" s="10"/>
      <c r="M32" s="10"/>
      <c r="N32" s="10"/>
      <c r="O32" s="10"/>
      <c r="P32" s="10" t="s">
        <v>63</v>
      </c>
      <c r="Q32" s="10"/>
      <c r="R32" s="10"/>
      <c r="S32" s="10"/>
      <c r="T32" s="10"/>
      <c r="U32" s="10"/>
      <c r="V32" s="10"/>
      <c r="X32" s="10"/>
      <c r="Y32" s="10"/>
      <c r="Z32" s="10"/>
      <c r="AA32" s="10"/>
      <c r="AB32" s="10"/>
      <c r="AC32" s="25"/>
      <c r="AD32" s="26"/>
      <c r="AE32" s="273"/>
      <c r="AF32" s="274"/>
      <c r="AG32" s="274"/>
      <c r="AH32" s="274"/>
      <c r="AI32" s="274"/>
      <c r="AJ32" s="274"/>
      <c r="AK32" s="274"/>
      <c r="AL32" s="275"/>
      <c r="AM32" s="250" t="s">
        <v>39</v>
      </c>
      <c r="AN32" s="250"/>
      <c r="AO32" s="11" t="s">
        <v>64</v>
      </c>
      <c r="AS32" s="10"/>
      <c r="AT32" s="10"/>
      <c r="AU32" s="35"/>
      <c r="AW32" s="10"/>
      <c r="AX32" s="10"/>
      <c r="AY32" s="35"/>
      <c r="AZ32" s="35"/>
      <c r="BA32" s="35"/>
      <c r="BB32" s="35"/>
      <c r="BC32" s="35"/>
      <c r="BD32" s="10"/>
      <c r="BE32" s="10"/>
      <c r="BF32" s="10"/>
      <c r="BG32" s="10"/>
      <c r="BH32" s="10"/>
      <c r="BI32" s="10"/>
      <c r="BJ32" s="20"/>
    </row>
    <row r="33" spans="1:62" s="11" customFormat="1" ht="20.25" customHeight="1">
      <c r="A33" s="241"/>
      <c r="B33" s="242"/>
      <c r="C33" s="242"/>
      <c r="D33" s="242"/>
      <c r="E33" s="242"/>
      <c r="F33" s="243"/>
      <c r="G33" s="15"/>
      <c r="H33" s="250"/>
      <c r="I33" s="250"/>
      <c r="J33" s="10"/>
      <c r="K33" s="10"/>
      <c r="L33" s="10"/>
      <c r="M33" s="10"/>
      <c r="N33" s="10"/>
      <c r="O33" s="10"/>
      <c r="P33" s="10" t="s">
        <v>65</v>
      </c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20"/>
      <c r="AE33" s="273"/>
      <c r="AF33" s="274"/>
      <c r="AG33" s="274"/>
      <c r="AH33" s="274"/>
      <c r="AI33" s="274"/>
      <c r="AJ33" s="274"/>
      <c r="AK33" s="274"/>
      <c r="AL33" s="275"/>
      <c r="AM33" s="250" t="s">
        <v>36</v>
      </c>
      <c r="AN33" s="250"/>
      <c r="AO33" s="11" t="s">
        <v>43</v>
      </c>
      <c r="AS33" s="11" t="s">
        <v>44</v>
      </c>
      <c r="AU33" s="35"/>
      <c r="AY33" s="35"/>
      <c r="AZ33" s="35"/>
      <c r="BA33" s="35"/>
      <c r="BB33" s="35"/>
      <c r="BC33" s="35"/>
      <c r="BI33" s="11" t="s">
        <v>45</v>
      </c>
      <c r="BJ33" s="16"/>
    </row>
    <row r="34" spans="1:62" s="11" customFormat="1" ht="20.25" customHeight="1">
      <c r="A34" s="244"/>
      <c r="B34" s="245"/>
      <c r="C34" s="245"/>
      <c r="D34" s="245"/>
      <c r="E34" s="245"/>
      <c r="F34" s="246"/>
      <c r="G34" s="17"/>
      <c r="H34" s="18"/>
      <c r="I34" s="18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2"/>
      <c r="AE34" s="276"/>
      <c r="AF34" s="277"/>
      <c r="AG34" s="277"/>
      <c r="AH34" s="277"/>
      <c r="AI34" s="277"/>
      <c r="AJ34" s="277"/>
      <c r="AK34" s="277"/>
      <c r="AL34" s="278"/>
      <c r="AM34" s="279"/>
      <c r="AN34" s="260"/>
      <c r="AO34" s="18"/>
      <c r="AP34" s="18"/>
      <c r="AQ34" s="18"/>
      <c r="AR34" s="18"/>
      <c r="AS34" s="18"/>
      <c r="AT34" s="18"/>
      <c r="AU34" s="36"/>
      <c r="AV34" s="18"/>
      <c r="AW34" s="18"/>
      <c r="AX34" s="18"/>
      <c r="AY34" s="36"/>
      <c r="AZ34" s="36"/>
      <c r="BA34" s="36"/>
      <c r="BB34" s="36"/>
      <c r="BC34" s="36"/>
      <c r="BD34" s="18"/>
      <c r="BE34" s="18"/>
      <c r="BF34" s="18"/>
      <c r="BG34" s="18"/>
      <c r="BH34" s="18"/>
      <c r="BI34" s="18"/>
      <c r="BJ34" s="19"/>
    </row>
    <row r="35" spans="1:62" s="11" customFormat="1" ht="7.5" customHeight="1"/>
    <row r="36" spans="1:62" s="10" customFormat="1" ht="20.25" customHeight="1">
      <c r="A36" s="238" t="s">
        <v>66</v>
      </c>
      <c r="B36" s="252"/>
      <c r="C36" s="252"/>
      <c r="D36" s="252"/>
      <c r="E36" s="252"/>
      <c r="F36" s="253"/>
      <c r="G36" s="27"/>
      <c r="H36" s="23" t="s">
        <v>39</v>
      </c>
      <c r="I36" s="23"/>
      <c r="J36" s="23" t="s">
        <v>67</v>
      </c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4"/>
      <c r="AJ36" s="27"/>
      <c r="AK36" s="23" t="s">
        <v>36</v>
      </c>
      <c r="AL36" s="23"/>
      <c r="AM36" s="23" t="s">
        <v>68</v>
      </c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4"/>
    </row>
    <row r="37" spans="1:62" s="10" customFormat="1" ht="20.25" customHeight="1">
      <c r="A37" s="254"/>
      <c r="B37" s="255"/>
      <c r="C37" s="255"/>
      <c r="D37" s="255"/>
      <c r="E37" s="255"/>
      <c r="F37" s="256"/>
      <c r="G37" s="27"/>
      <c r="H37" s="23" t="s">
        <v>36</v>
      </c>
      <c r="I37" s="23"/>
      <c r="J37" s="23" t="s">
        <v>69</v>
      </c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4"/>
    </row>
    <row r="38" spans="1:62" s="10" customFormat="1" ht="20.25" customHeight="1">
      <c r="A38" s="254"/>
      <c r="B38" s="255"/>
      <c r="C38" s="255"/>
      <c r="D38" s="255"/>
      <c r="E38" s="255"/>
      <c r="F38" s="256"/>
      <c r="G38" s="28"/>
      <c r="BJ38" s="20"/>
    </row>
    <row r="39" spans="1:62" s="10" customFormat="1" ht="20.25" customHeight="1">
      <c r="A39" s="257"/>
      <c r="B39" s="258"/>
      <c r="C39" s="258"/>
      <c r="D39" s="258"/>
      <c r="E39" s="258"/>
      <c r="F39" s="259"/>
      <c r="G39" s="29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2"/>
    </row>
    <row r="40" spans="1:62" s="11" customFormat="1" ht="20.25" customHeight="1">
      <c r="A40" s="248" t="s">
        <v>70</v>
      </c>
      <c r="B40" s="239"/>
      <c r="C40" s="239"/>
      <c r="D40" s="239"/>
      <c r="E40" s="239"/>
      <c r="F40" s="240"/>
      <c r="G40" s="13" t="s">
        <v>151</v>
      </c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4"/>
    </row>
    <row r="41" spans="1:62" s="11" customFormat="1" ht="20.25" customHeight="1">
      <c r="A41" s="241"/>
      <c r="B41" s="242"/>
      <c r="C41" s="242"/>
      <c r="D41" s="242"/>
      <c r="E41" s="242"/>
      <c r="F41" s="243"/>
      <c r="G41" s="11" t="s">
        <v>154</v>
      </c>
      <c r="BJ41" s="16"/>
    </row>
    <row r="42" spans="1:62" s="11" customFormat="1" ht="20.25" customHeight="1">
      <c r="A42" s="241"/>
      <c r="B42" s="242"/>
      <c r="C42" s="242"/>
      <c r="D42" s="242"/>
      <c r="E42" s="242"/>
      <c r="F42" s="243"/>
      <c r="G42" s="11" t="s">
        <v>152</v>
      </c>
      <c r="BJ42" s="16"/>
    </row>
    <row r="43" spans="1:62" s="11" customFormat="1" ht="20.25" customHeight="1">
      <c r="A43" s="241"/>
      <c r="B43" s="242"/>
      <c r="C43" s="242"/>
      <c r="D43" s="242"/>
      <c r="E43" s="242"/>
      <c r="F43" s="243"/>
      <c r="BJ43" s="16"/>
    </row>
    <row r="44" spans="1:62" s="11" customFormat="1" ht="20.25" customHeight="1">
      <c r="A44" s="244"/>
      <c r="B44" s="245"/>
      <c r="C44" s="245"/>
      <c r="D44" s="245"/>
      <c r="E44" s="245"/>
      <c r="F44" s="246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9"/>
    </row>
    <row r="45" spans="1:62" s="11" customFormat="1" ht="4.5" customHeight="1"/>
    <row r="46" spans="1:62" s="11" customFormat="1" ht="20.25" customHeight="1">
      <c r="A46" s="280" t="s">
        <v>71</v>
      </c>
      <c r="B46" s="203"/>
      <c r="C46" s="203"/>
      <c r="D46" s="203"/>
      <c r="E46" s="203"/>
      <c r="F46" s="203"/>
      <c r="G46" s="203"/>
      <c r="H46" s="203"/>
      <c r="I46" s="203"/>
      <c r="J46" s="203"/>
      <c r="K46" s="203"/>
      <c r="L46" s="203"/>
      <c r="M46" s="203"/>
      <c r="N46" s="203"/>
      <c r="O46" s="203"/>
      <c r="P46" s="203"/>
      <c r="Q46" s="203"/>
      <c r="R46" s="203"/>
      <c r="S46" s="203"/>
      <c r="T46" s="203"/>
      <c r="U46" s="203"/>
      <c r="V46" s="203"/>
      <c r="W46" s="203"/>
      <c r="X46" s="203"/>
      <c r="Y46" s="203"/>
      <c r="Z46" s="203"/>
      <c r="AA46" s="203"/>
      <c r="AB46" s="203"/>
      <c r="AC46" s="203"/>
      <c r="AD46" s="203"/>
      <c r="AE46" s="203"/>
      <c r="AF46" s="203"/>
      <c r="AG46" s="203"/>
      <c r="AH46" s="203"/>
      <c r="AI46" s="203"/>
      <c r="AJ46" s="203"/>
      <c r="AK46" s="203"/>
      <c r="AL46" s="203"/>
      <c r="AM46" s="203"/>
      <c r="AN46" s="203"/>
      <c r="AO46" s="203"/>
      <c r="AP46" s="203"/>
      <c r="AQ46" s="203"/>
      <c r="AR46" s="203"/>
      <c r="AS46" s="203"/>
      <c r="AT46" s="203"/>
      <c r="AU46" s="203"/>
      <c r="AV46" s="203"/>
      <c r="AW46" s="203"/>
      <c r="AX46" s="203"/>
      <c r="AY46" s="203"/>
      <c r="AZ46" s="203"/>
      <c r="BA46" s="203"/>
      <c r="BB46" s="203"/>
      <c r="BC46" s="203"/>
      <c r="BD46" s="203"/>
      <c r="BE46" s="203"/>
      <c r="BF46" s="203"/>
      <c r="BG46" s="203"/>
      <c r="BH46" s="203"/>
      <c r="BI46" s="203"/>
      <c r="BJ46" s="203"/>
    </row>
    <row r="47" spans="1:62" s="11" customFormat="1" ht="20.25" customHeight="1">
      <c r="A47" s="281"/>
      <c r="B47" s="281"/>
      <c r="C47" s="281"/>
      <c r="D47" s="281"/>
      <c r="E47" s="281"/>
      <c r="F47" s="281"/>
      <c r="G47" s="281"/>
      <c r="H47" s="281"/>
      <c r="I47" s="281"/>
      <c r="J47" s="281"/>
      <c r="K47" s="281"/>
      <c r="L47" s="281"/>
      <c r="M47" s="281"/>
      <c r="N47" s="281"/>
      <c r="O47" s="281"/>
      <c r="P47" s="281"/>
      <c r="Q47" s="281"/>
      <c r="R47" s="281"/>
      <c r="S47" s="281"/>
      <c r="T47" s="281"/>
      <c r="U47" s="281"/>
      <c r="V47" s="281"/>
      <c r="W47" s="281"/>
      <c r="X47" s="281"/>
      <c r="Y47" s="281"/>
      <c r="Z47" s="281"/>
      <c r="AA47" s="281"/>
      <c r="AB47" s="281"/>
      <c r="AC47" s="281"/>
      <c r="AD47" s="281"/>
      <c r="AE47" s="281"/>
      <c r="AF47" s="281"/>
      <c r="AG47" s="281"/>
      <c r="AH47" s="281"/>
      <c r="AI47" s="281"/>
      <c r="AJ47" s="281"/>
      <c r="AK47" s="281"/>
      <c r="AL47" s="281"/>
      <c r="AM47" s="281"/>
      <c r="AN47" s="281"/>
      <c r="AO47" s="281"/>
      <c r="AP47" s="281"/>
      <c r="AQ47" s="281"/>
      <c r="AR47" s="281"/>
      <c r="AS47" s="281"/>
      <c r="AT47" s="281"/>
      <c r="AU47" s="281"/>
      <c r="AV47" s="281"/>
      <c r="AW47" s="281"/>
      <c r="AX47" s="281"/>
      <c r="AY47" s="281"/>
      <c r="AZ47" s="281"/>
      <c r="BA47" s="281"/>
      <c r="BB47" s="281"/>
      <c r="BC47" s="281"/>
      <c r="BD47" s="281"/>
      <c r="BE47" s="281"/>
      <c r="BF47" s="281"/>
      <c r="BG47" s="281"/>
      <c r="BH47" s="281"/>
      <c r="BI47" s="281"/>
      <c r="BJ47" s="281"/>
    </row>
    <row r="48" spans="1:62" s="10" customFormat="1" ht="20.25" customHeight="1">
      <c r="A48" s="238" t="s">
        <v>72</v>
      </c>
      <c r="B48" s="252"/>
      <c r="C48" s="252"/>
      <c r="D48" s="252"/>
      <c r="E48" s="252"/>
      <c r="F48" s="253"/>
      <c r="G48" s="30" t="s">
        <v>73</v>
      </c>
      <c r="H48" s="23"/>
      <c r="I48" s="23" t="s">
        <v>116</v>
      </c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187" t="s">
        <v>74</v>
      </c>
      <c r="AI48" s="23"/>
      <c r="AJ48" s="30" t="s">
        <v>87</v>
      </c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187" t="s">
        <v>74</v>
      </c>
      <c r="BJ48" s="24"/>
    </row>
    <row r="49" spans="1:62" s="10" customFormat="1" ht="20.25" customHeight="1">
      <c r="A49" s="254"/>
      <c r="B49" s="255"/>
      <c r="C49" s="255"/>
      <c r="D49" s="255"/>
      <c r="E49" s="255"/>
      <c r="F49" s="256"/>
      <c r="G49" s="31" t="s">
        <v>76</v>
      </c>
      <c r="I49" s="10" t="s">
        <v>359</v>
      </c>
      <c r="AH49" s="25" t="s">
        <v>77</v>
      </c>
      <c r="AJ49" s="31" t="s">
        <v>88</v>
      </c>
      <c r="BI49" s="25" t="s">
        <v>77</v>
      </c>
      <c r="BJ49" s="20"/>
    </row>
    <row r="50" spans="1:62" s="10" customFormat="1" ht="20.25" customHeight="1">
      <c r="A50" s="254"/>
      <c r="B50" s="255"/>
      <c r="C50" s="255"/>
      <c r="D50" s="255"/>
      <c r="E50" s="255"/>
      <c r="F50" s="256"/>
      <c r="G50" s="31" t="s">
        <v>79</v>
      </c>
      <c r="I50" s="10" t="s">
        <v>155</v>
      </c>
      <c r="AH50" s="25" t="s">
        <v>77</v>
      </c>
      <c r="AJ50" s="31" t="s">
        <v>75</v>
      </c>
      <c r="BI50" s="25" t="s">
        <v>77</v>
      </c>
      <c r="BJ50" s="20"/>
    </row>
    <row r="51" spans="1:62" s="10" customFormat="1" ht="20.25" customHeight="1">
      <c r="A51" s="254"/>
      <c r="B51" s="255"/>
      <c r="C51" s="255"/>
      <c r="D51" s="255"/>
      <c r="E51" s="255"/>
      <c r="F51" s="256"/>
      <c r="G51" s="31" t="s">
        <v>81</v>
      </c>
      <c r="I51" s="10" t="s">
        <v>430</v>
      </c>
      <c r="AH51" s="25" t="s">
        <v>77</v>
      </c>
      <c r="AJ51" s="31" t="s">
        <v>78</v>
      </c>
      <c r="BI51" s="25" t="s">
        <v>77</v>
      </c>
      <c r="BJ51" s="20"/>
    </row>
    <row r="52" spans="1:62" s="10" customFormat="1" ht="20.25" customHeight="1">
      <c r="A52" s="254"/>
      <c r="B52" s="255"/>
      <c r="C52" s="255"/>
      <c r="D52" s="255"/>
      <c r="E52" s="255"/>
      <c r="F52" s="256"/>
      <c r="G52" s="31" t="s">
        <v>83</v>
      </c>
      <c r="I52" s="10" t="s">
        <v>156</v>
      </c>
      <c r="AH52" s="25" t="s">
        <v>77</v>
      </c>
      <c r="AJ52" s="31" t="s">
        <v>80</v>
      </c>
      <c r="BI52" s="25" t="s">
        <v>77</v>
      </c>
      <c r="BJ52" s="20"/>
    </row>
    <row r="53" spans="1:62" s="10" customFormat="1" ht="20.25" customHeight="1">
      <c r="A53" s="254"/>
      <c r="B53" s="255"/>
      <c r="C53" s="255"/>
      <c r="D53" s="255"/>
      <c r="E53" s="255"/>
      <c r="F53" s="256"/>
      <c r="G53" s="31" t="s">
        <v>85</v>
      </c>
      <c r="I53" s="10" t="s">
        <v>371</v>
      </c>
      <c r="AH53" s="25" t="s">
        <v>77</v>
      </c>
      <c r="AJ53" s="31" t="s">
        <v>82</v>
      </c>
      <c r="BI53" s="25" t="s">
        <v>77</v>
      </c>
      <c r="BJ53" s="20"/>
    </row>
    <row r="54" spans="1:62" s="10" customFormat="1" ht="20.25" customHeight="1">
      <c r="A54" s="257"/>
      <c r="B54" s="258"/>
      <c r="C54" s="258"/>
      <c r="D54" s="258"/>
      <c r="E54" s="258"/>
      <c r="F54" s="259"/>
      <c r="G54" s="32" t="s">
        <v>86</v>
      </c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33" t="s">
        <v>77</v>
      </c>
      <c r="AI54" s="21"/>
      <c r="AJ54" s="32" t="s">
        <v>84</v>
      </c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33" t="s">
        <v>77</v>
      </c>
      <c r="BJ54" s="22"/>
    </row>
    <row r="55" spans="1:62" s="11" customFormat="1" ht="3" customHeight="1"/>
    <row r="56" spans="1:62" s="11" customFormat="1" ht="20.25" customHeight="1">
      <c r="A56" s="261" t="s">
        <v>89</v>
      </c>
      <c r="B56" s="262"/>
      <c r="C56" s="262"/>
      <c r="D56" s="262"/>
      <c r="E56" s="262"/>
      <c r="F56" s="263"/>
      <c r="G56" s="12"/>
      <c r="H56" s="182" t="s">
        <v>160</v>
      </c>
      <c r="I56" s="13"/>
      <c r="J56" s="13"/>
      <c r="K56" s="13"/>
      <c r="L56" s="13"/>
      <c r="M56" s="13"/>
      <c r="N56" s="13"/>
      <c r="O56" s="13"/>
      <c r="P56" s="182"/>
      <c r="Q56" s="13" t="s">
        <v>163</v>
      </c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4"/>
    </row>
    <row r="57" spans="1:62" s="11" customFormat="1" ht="20.25" customHeight="1">
      <c r="A57" s="264"/>
      <c r="B57" s="265"/>
      <c r="C57" s="265"/>
      <c r="D57" s="265"/>
      <c r="E57" s="265"/>
      <c r="F57" s="266"/>
      <c r="G57" s="15"/>
      <c r="H57" s="183"/>
      <c r="P57" s="183"/>
      <c r="Q57" s="11" t="s">
        <v>368</v>
      </c>
      <c r="BJ57" s="16"/>
    </row>
    <row r="58" spans="1:62" s="11" customFormat="1" ht="20.25" customHeight="1">
      <c r="A58" s="264"/>
      <c r="B58" s="265"/>
      <c r="C58" s="265"/>
      <c r="D58" s="265"/>
      <c r="E58" s="265"/>
      <c r="F58" s="266"/>
      <c r="G58" s="15"/>
      <c r="H58" s="183" t="s">
        <v>161</v>
      </c>
      <c r="P58" s="183"/>
      <c r="Q58" s="11" t="s">
        <v>163</v>
      </c>
      <c r="BJ58" s="16"/>
    </row>
    <row r="59" spans="1:62" s="11" customFormat="1" ht="20.25" customHeight="1">
      <c r="A59" s="264"/>
      <c r="B59" s="265"/>
      <c r="C59" s="265"/>
      <c r="D59" s="265"/>
      <c r="E59" s="265"/>
      <c r="F59" s="266"/>
      <c r="G59" s="15"/>
      <c r="H59" s="183"/>
      <c r="P59" s="183"/>
      <c r="Q59" s="11" t="s">
        <v>369</v>
      </c>
      <c r="BJ59" s="16"/>
    </row>
    <row r="60" spans="1:62" s="11" customFormat="1" ht="20.25" customHeight="1">
      <c r="A60" s="264"/>
      <c r="B60" s="265"/>
      <c r="C60" s="265"/>
      <c r="D60" s="265"/>
      <c r="E60" s="265"/>
      <c r="F60" s="266"/>
      <c r="G60" s="15"/>
      <c r="Q60" s="11" t="s">
        <v>370</v>
      </c>
      <c r="BJ60" s="16"/>
    </row>
    <row r="61" spans="1:62" s="11" customFormat="1" ht="20.25" customHeight="1">
      <c r="A61" s="264"/>
      <c r="B61" s="265"/>
      <c r="C61" s="265"/>
      <c r="D61" s="265"/>
      <c r="E61" s="265"/>
      <c r="F61" s="266"/>
      <c r="G61" s="15"/>
      <c r="H61" s="183" t="s">
        <v>162</v>
      </c>
      <c r="P61" s="183"/>
      <c r="Q61" s="11" t="s">
        <v>163</v>
      </c>
      <c r="BJ61" s="16"/>
    </row>
    <row r="62" spans="1:62" s="11" customFormat="1" ht="20.25" customHeight="1">
      <c r="A62" s="264"/>
      <c r="B62" s="265"/>
      <c r="C62" s="265"/>
      <c r="D62" s="265"/>
      <c r="E62" s="265"/>
      <c r="F62" s="266"/>
      <c r="G62" s="15"/>
      <c r="H62" s="183"/>
      <c r="P62" s="183"/>
      <c r="Q62" s="11" t="s">
        <v>366</v>
      </c>
      <c r="BJ62" s="16"/>
    </row>
    <row r="63" spans="1:62" s="11" customFormat="1" ht="20.25" customHeight="1">
      <c r="A63" s="264"/>
      <c r="B63" s="265"/>
      <c r="C63" s="265"/>
      <c r="D63" s="265"/>
      <c r="E63" s="265"/>
      <c r="F63" s="266"/>
      <c r="G63" s="15"/>
      <c r="H63" s="183" t="s">
        <v>164</v>
      </c>
      <c r="P63" s="183"/>
      <c r="Q63" s="11" t="s">
        <v>163</v>
      </c>
      <c r="BJ63" s="16"/>
    </row>
    <row r="64" spans="1:62" s="11" customFormat="1" ht="20.25" customHeight="1">
      <c r="A64" s="264"/>
      <c r="B64" s="265"/>
      <c r="C64" s="265"/>
      <c r="D64" s="265"/>
      <c r="E64" s="265"/>
      <c r="F64" s="266"/>
      <c r="H64" s="183"/>
      <c r="P64" s="183"/>
      <c r="Q64" s="11" t="s">
        <v>367</v>
      </c>
      <c r="BJ64" s="16"/>
    </row>
    <row r="65" spans="1:62" s="11" customFormat="1" ht="20.25" customHeight="1">
      <c r="A65" s="267"/>
      <c r="B65" s="268"/>
      <c r="C65" s="268"/>
      <c r="D65" s="268"/>
      <c r="E65" s="268"/>
      <c r="F65" s="269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9"/>
    </row>
    <row r="66" spans="1:62" s="8" customFormat="1" ht="3.75" customHeight="1"/>
    <row r="67" spans="1:62" s="8" customFormat="1" ht="12"/>
    <row r="68" spans="1:62" s="8" customFormat="1" ht="12"/>
    <row r="69" spans="1:62" s="8" customFormat="1" ht="12"/>
    <row r="70" spans="1:62" s="8" customFormat="1" ht="12"/>
    <row r="71" spans="1:62" s="8" customFormat="1" ht="12"/>
    <row r="72" spans="1:62" s="8" customFormat="1" ht="12"/>
    <row r="73" spans="1:62" s="8" customFormat="1" ht="12"/>
    <row r="74" spans="1:62" s="8" customFormat="1" ht="12"/>
    <row r="75" spans="1:62" s="8" customFormat="1" ht="12"/>
    <row r="76" spans="1:62" s="8" customFormat="1" ht="12"/>
    <row r="77" spans="1:62" s="8" customFormat="1" ht="12"/>
    <row r="78" spans="1:62" s="8" customFormat="1" ht="12"/>
    <row r="79" spans="1:62" s="8" customFormat="1" ht="12"/>
    <row r="80" spans="1:62" s="8" customFormat="1" ht="12"/>
    <row r="81" s="8" customFormat="1" ht="12"/>
    <row r="82" s="8" customFormat="1" ht="12"/>
    <row r="83" s="8" customFormat="1" ht="12"/>
    <row r="84" s="8" customFormat="1" ht="12"/>
    <row r="85" s="8" customFormat="1" ht="12"/>
    <row r="86" s="8" customFormat="1" ht="12"/>
    <row r="87" s="8" customFormat="1" ht="12"/>
    <row r="88" s="8" customFormat="1" ht="12"/>
    <row r="89" s="8" customFormat="1" ht="12"/>
    <row r="90" s="8" customFormat="1" ht="12"/>
    <row r="91" s="8" customFormat="1" ht="12"/>
    <row r="92" s="8" customFormat="1" ht="12"/>
  </sheetData>
  <mergeCells count="60">
    <mergeCell ref="A56:F65"/>
    <mergeCell ref="A31:F34"/>
    <mergeCell ref="H31:I31"/>
    <mergeCell ref="AE31:AL34"/>
    <mergeCell ref="AM31:AN31"/>
    <mergeCell ref="H32:I32"/>
    <mergeCell ref="AM32:AN32"/>
    <mergeCell ref="H33:I33"/>
    <mergeCell ref="AM33:AN33"/>
    <mergeCell ref="AM34:AN34"/>
    <mergeCell ref="A36:F39"/>
    <mergeCell ref="A40:F44"/>
    <mergeCell ref="A46:F47"/>
    <mergeCell ref="G46:BJ47"/>
    <mergeCell ref="A48:F54"/>
    <mergeCell ref="BC27:BF28"/>
    <mergeCell ref="BG27:BJ28"/>
    <mergeCell ref="H28:I28"/>
    <mergeCell ref="H29:I29"/>
    <mergeCell ref="AE29:AL30"/>
    <mergeCell ref="AM29:AV30"/>
    <mergeCell ref="BC29:BF30"/>
    <mergeCell ref="BG29:BJ30"/>
    <mergeCell ref="H30:I30"/>
    <mergeCell ref="A27:F30"/>
    <mergeCell ref="H27:I27"/>
    <mergeCell ref="AE27:AL28"/>
    <mergeCell ref="AM27:AV28"/>
    <mergeCell ref="AW27:BB30"/>
    <mergeCell ref="A12:F20"/>
    <mergeCell ref="A22:F22"/>
    <mergeCell ref="G22:AD22"/>
    <mergeCell ref="AE22:BJ22"/>
    <mergeCell ref="A23:F26"/>
    <mergeCell ref="H23:I23"/>
    <mergeCell ref="AE23:AL26"/>
    <mergeCell ref="AM23:AN23"/>
    <mergeCell ref="H24:I24"/>
    <mergeCell ref="AM24:AN24"/>
    <mergeCell ref="H25:I25"/>
    <mergeCell ref="AM25:AN25"/>
    <mergeCell ref="A4:G4"/>
    <mergeCell ref="H4:AU4"/>
    <mergeCell ref="AV4:AY4"/>
    <mergeCell ref="AZ4:BJ4"/>
    <mergeCell ref="A6:G6"/>
    <mergeCell ref="H6:O6"/>
    <mergeCell ref="P6:X6"/>
    <mergeCell ref="Y6:AU6"/>
    <mergeCell ref="AV6:BC6"/>
    <mergeCell ref="BD6:BJ6"/>
    <mergeCell ref="A3:G3"/>
    <mergeCell ref="H3:AU3"/>
    <mergeCell ref="AV3:AY3"/>
    <mergeCell ref="AZ3:BJ3"/>
    <mergeCell ref="A2:AU2"/>
    <mergeCell ref="AV2:AY2"/>
    <mergeCell ref="AZ2:BC2"/>
    <mergeCell ref="BD2:BF2"/>
    <mergeCell ref="BG2:BJ2"/>
  </mergeCells>
  <phoneticPr fontId="5"/>
  <pageMargins left="0.78" right="0.28000000000000003" top="0.74803149606299213" bottom="0.43307086614173229" header="0.91" footer="0.19685039370078741"/>
  <pageSetup paperSize="9" scale="69" orientation="portrait" r:id="rId1"/>
  <headerFooter>
    <oddHeader>&amp;R&amp;P　　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79F2B-8DDD-4245-A91D-E49A3398E9D1}">
  <sheetPr>
    <pageSetUpPr fitToPage="1"/>
  </sheetPr>
  <dimension ref="A1:CI273"/>
  <sheetViews>
    <sheetView view="pageBreakPreview" zoomScale="85" zoomScaleNormal="100" zoomScaleSheetLayoutView="85" workbookViewId="0"/>
  </sheetViews>
  <sheetFormatPr defaultColWidth="2.125" defaultRowHeight="13.5"/>
  <cols>
    <col min="20" max="20" width="2.5" bestFit="1" customWidth="1"/>
    <col min="21" max="21" width="2.125" style="86" customWidth="1"/>
  </cols>
  <sheetData>
    <row r="1" spans="1:87" s="4" customFormat="1" ht="18" customHeight="1">
      <c r="A1" s="4" t="s">
        <v>14</v>
      </c>
      <c r="U1" s="84"/>
      <c r="BJ1" s="7" t="s">
        <v>1</v>
      </c>
    </row>
    <row r="2" spans="1:87" s="5" customFormat="1" ht="18" customHeight="1">
      <c r="A2" s="197" t="s">
        <v>90</v>
      </c>
      <c r="B2" s="198"/>
      <c r="C2" s="198"/>
      <c r="D2" s="198"/>
      <c r="E2" s="198"/>
      <c r="F2" s="198"/>
      <c r="G2" s="198"/>
      <c r="H2" s="198"/>
      <c r="I2" s="198"/>
      <c r="J2" s="198"/>
      <c r="K2" s="198"/>
      <c r="L2" s="198"/>
      <c r="M2" s="198"/>
      <c r="N2" s="198"/>
      <c r="O2" s="198"/>
      <c r="P2" s="198"/>
      <c r="Q2" s="198"/>
      <c r="R2" s="198"/>
      <c r="S2" s="198"/>
      <c r="T2" s="198"/>
      <c r="U2" s="198"/>
      <c r="V2" s="198"/>
      <c r="W2" s="198"/>
      <c r="X2" s="198"/>
      <c r="Y2" s="198"/>
      <c r="Z2" s="198"/>
      <c r="AA2" s="198"/>
      <c r="AB2" s="198"/>
      <c r="AC2" s="198"/>
      <c r="AD2" s="198"/>
      <c r="AE2" s="198"/>
      <c r="AF2" s="198"/>
      <c r="AG2" s="198"/>
      <c r="AH2" s="198"/>
      <c r="AI2" s="198"/>
      <c r="AJ2" s="198"/>
      <c r="AK2" s="198"/>
      <c r="AL2" s="198"/>
      <c r="AM2" s="198"/>
      <c r="AN2" s="198"/>
      <c r="AO2" s="198"/>
      <c r="AP2" s="198"/>
      <c r="AQ2" s="198"/>
      <c r="AR2" s="198"/>
      <c r="AS2" s="198"/>
      <c r="AT2" s="198"/>
      <c r="AU2" s="199"/>
      <c r="AV2" s="191" t="s">
        <v>3</v>
      </c>
      <c r="AW2" s="192"/>
      <c r="AX2" s="192"/>
      <c r="AY2" s="193"/>
      <c r="AZ2" s="191" t="s">
        <v>91</v>
      </c>
      <c r="BA2" s="192"/>
      <c r="BB2" s="192"/>
      <c r="BC2" s="193"/>
      <c r="BD2" s="191" t="s">
        <v>5</v>
      </c>
      <c r="BE2" s="192"/>
      <c r="BF2" s="193"/>
      <c r="BG2" s="191"/>
      <c r="BH2" s="192"/>
      <c r="BI2" s="192"/>
      <c r="BJ2" s="193"/>
    </row>
    <row r="3" spans="1:87" s="4" customFormat="1" ht="18" customHeight="1">
      <c r="A3" s="191" t="s">
        <v>6</v>
      </c>
      <c r="B3" s="192"/>
      <c r="C3" s="192"/>
      <c r="D3" s="192"/>
      <c r="E3" s="192"/>
      <c r="F3" s="192"/>
      <c r="G3" s="193"/>
      <c r="H3" s="194" t="s">
        <v>193</v>
      </c>
      <c r="I3" s="195"/>
      <c r="J3" s="195"/>
      <c r="K3" s="195"/>
      <c r="L3" s="195"/>
      <c r="M3" s="195"/>
      <c r="N3" s="195"/>
      <c r="O3" s="195"/>
      <c r="P3" s="195"/>
      <c r="Q3" s="195"/>
      <c r="R3" s="195"/>
      <c r="S3" s="195"/>
      <c r="T3" s="195"/>
      <c r="U3" s="195"/>
      <c r="V3" s="195"/>
      <c r="W3" s="195"/>
      <c r="X3" s="195"/>
      <c r="Y3" s="195"/>
      <c r="Z3" s="195"/>
      <c r="AA3" s="195"/>
      <c r="AB3" s="195"/>
      <c r="AC3" s="195"/>
      <c r="AD3" s="195"/>
      <c r="AE3" s="195"/>
      <c r="AF3" s="195"/>
      <c r="AG3" s="195"/>
      <c r="AH3" s="195"/>
      <c r="AI3" s="195"/>
      <c r="AJ3" s="195"/>
      <c r="AK3" s="195"/>
      <c r="AL3" s="195"/>
      <c r="AM3" s="195"/>
      <c r="AN3" s="195"/>
      <c r="AO3" s="195"/>
      <c r="AP3" s="195"/>
      <c r="AQ3" s="195"/>
      <c r="AR3" s="195"/>
      <c r="AS3" s="195"/>
      <c r="AT3" s="195"/>
      <c r="AU3" s="196"/>
      <c r="AV3" s="191" t="s">
        <v>7</v>
      </c>
      <c r="AW3" s="192"/>
      <c r="AX3" s="192"/>
      <c r="AY3" s="193"/>
      <c r="AZ3" s="191" t="s">
        <v>194</v>
      </c>
      <c r="BA3" s="192"/>
      <c r="BB3" s="192"/>
      <c r="BC3" s="192"/>
      <c r="BD3" s="192"/>
      <c r="BE3" s="192"/>
      <c r="BF3" s="192"/>
      <c r="BG3" s="192"/>
      <c r="BH3" s="192"/>
      <c r="BI3" s="192"/>
      <c r="BJ3" s="193"/>
    </row>
    <row r="4" spans="1:87" s="4" customFormat="1" ht="18" customHeight="1">
      <c r="A4" s="191" t="s">
        <v>27</v>
      </c>
      <c r="B4" s="192"/>
      <c r="C4" s="192"/>
      <c r="D4" s="192"/>
      <c r="E4" s="192"/>
      <c r="F4" s="192"/>
      <c r="G4" s="193"/>
      <c r="H4" s="194" t="s">
        <v>103</v>
      </c>
      <c r="I4" s="195"/>
      <c r="J4" s="195"/>
      <c r="K4" s="195"/>
      <c r="L4" s="195"/>
      <c r="M4" s="195"/>
      <c r="N4" s="195"/>
      <c r="O4" s="195"/>
      <c r="P4" s="195"/>
      <c r="Q4" s="195"/>
      <c r="R4" s="195"/>
      <c r="S4" s="195"/>
      <c r="T4" s="195"/>
      <c r="U4" s="195"/>
      <c r="V4" s="195"/>
      <c r="W4" s="195"/>
      <c r="X4" s="195"/>
      <c r="Y4" s="195"/>
      <c r="Z4" s="195"/>
      <c r="AA4" s="195"/>
      <c r="AB4" s="195"/>
      <c r="AC4" s="195"/>
      <c r="AD4" s="195"/>
      <c r="AE4" s="195"/>
      <c r="AF4" s="195"/>
      <c r="AG4" s="195"/>
      <c r="AH4" s="195"/>
      <c r="AI4" s="195"/>
      <c r="AJ4" s="195"/>
      <c r="AK4" s="195"/>
      <c r="AL4" s="195"/>
      <c r="AM4" s="195"/>
      <c r="AN4" s="195"/>
      <c r="AO4" s="195"/>
      <c r="AP4" s="195"/>
      <c r="AQ4" s="195"/>
      <c r="AR4" s="195"/>
      <c r="AS4" s="195"/>
      <c r="AT4" s="195"/>
      <c r="AU4" s="196"/>
      <c r="AV4" s="191" t="s">
        <v>9</v>
      </c>
      <c r="AW4" s="192"/>
      <c r="AX4" s="192"/>
      <c r="AY4" s="193"/>
      <c r="AZ4" s="191"/>
      <c r="BA4" s="192"/>
      <c r="BB4" s="192"/>
      <c r="BC4" s="192"/>
      <c r="BD4" s="192"/>
      <c r="BE4" s="192"/>
      <c r="BF4" s="192"/>
      <c r="BG4" s="192"/>
      <c r="BH4" s="192"/>
      <c r="BI4" s="192"/>
      <c r="BJ4" s="193"/>
    </row>
    <row r="5" spans="1:87" s="6" customFormat="1" ht="4.5" customHeight="1">
      <c r="U5" s="85"/>
    </row>
    <row r="6" spans="1:87" s="10" customFormat="1" ht="20.25" customHeight="1">
      <c r="A6" s="203" t="s">
        <v>10</v>
      </c>
      <c r="B6" s="203"/>
      <c r="C6" s="203"/>
      <c r="D6" s="203"/>
      <c r="E6" s="203"/>
      <c r="F6" s="203"/>
      <c r="G6" s="203"/>
      <c r="H6" s="203" t="s">
        <v>120</v>
      </c>
      <c r="I6" s="203"/>
      <c r="J6" s="203"/>
      <c r="K6" s="203"/>
      <c r="L6" s="203"/>
      <c r="M6" s="203"/>
      <c r="N6" s="203"/>
      <c r="O6" s="203"/>
      <c r="P6" s="203" t="s">
        <v>11</v>
      </c>
      <c r="Q6" s="203"/>
      <c r="R6" s="203"/>
      <c r="S6" s="203"/>
      <c r="T6" s="203"/>
      <c r="U6" s="203"/>
      <c r="V6" s="203"/>
      <c r="W6" s="203"/>
      <c r="X6" s="203"/>
      <c r="Y6" s="204" t="str">
        <f>変更履歴!V6</f>
        <v>購買共計勘定整理帳</v>
      </c>
      <c r="Z6" s="205"/>
      <c r="AA6" s="205"/>
      <c r="AB6" s="205"/>
      <c r="AC6" s="205"/>
      <c r="AD6" s="205"/>
      <c r="AE6" s="205"/>
      <c r="AF6" s="205"/>
      <c r="AG6" s="205"/>
      <c r="AH6" s="205"/>
      <c r="AI6" s="205"/>
      <c r="AJ6" s="205"/>
      <c r="AK6" s="205"/>
      <c r="AL6" s="205"/>
      <c r="AM6" s="205"/>
      <c r="AN6" s="205"/>
      <c r="AO6" s="205"/>
      <c r="AP6" s="205"/>
      <c r="AQ6" s="205"/>
      <c r="AR6" s="205"/>
      <c r="AS6" s="205"/>
      <c r="AT6" s="205"/>
      <c r="AU6" s="206"/>
      <c r="AV6" s="235" t="s">
        <v>28</v>
      </c>
      <c r="AW6" s="236"/>
      <c r="AX6" s="236"/>
      <c r="AY6" s="236"/>
      <c r="AZ6" s="236"/>
      <c r="BA6" s="236"/>
      <c r="BB6" s="236"/>
      <c r="BC6" s="237"/>
      <c r="BD6" s="235" t="s">
        <v>145</v>
      </c>
      <c r="BE6" s="236"/>
      <c r="BF6" s="236"/>
      <c r="BG6" s="236"/>
      <c r="BH6" s="236"/>
      <c r="BI6" s="236"/>
      <c r="BJ6" s="237"/>
    </row>
    <row r="7" spans="1:87" ht="3.75" customHeight="1"/>
    <row r="8" spans="1:87" s="9" customFormat="1" ht="20.25" customHeight="1">
      <c r="A8" s="203" t="s">
        <v>92</v>
      </c>
      <c r="B8" s="203"/>
      <c r="C8" s="203"/>
      <c r="D8" s="203" t="s">
        <v>93</v>
      </c>
      <c r="E8" s="203"/>
      <c r="F8" s="203"/>
      <c r="G8" s="203"/>
      <c r="H8" s="203"/>
      <c r="I8" s="203"/>
      <c r="J8" s="203"/>
      <c r="K8" s="203"/>
      <c r="L8" s="203"/>
      <c r="M8" s="203"/>
      <c r="N8" s="203"/>
      <c r="O8" s="203"/>
      <c r="P8" s="203"/>
      <c r="Q8" s="203"/>
      <c r="R8" s="280" t="s">
        <v>94</v>
      </c>
      <c r="S8" s="203"/>
      <c r="T8" s="203"/>
      <c r="U8" s="203" t="s">
        <v>95</v>
      </c>
      <c r="V8" s="203"/>
      <c r="W8" s="203"/>
      <c r="X8" s="203"/>
      <c r="Y8" s="203"/>
      <c r="Z8" s="203"/>
      <c r="AA8" s="203"/>
      <c r="AB8" s="203"/>
      <c r="AC8" s="203"/>
      <c r="AD8" s="203"/>
      <c r="AE8" s="203" t="s">
        <v>96</v>
      </c>
      <c r="AF8" s="203"/>
      <c r="AG8" s="203"/>
      <c r="AH8" s="203"/>
      <c r="AI8" s="203"/>
      <c r="AJ8" s="203"/>
      <c r="AK8" s="203"/>
      <c r="AL8" s="203"/>
      <c r="AM8" s="203"/>
      <c r="AN8" s="203"/>
      <c r="AO8" s="203"/>
      <c r="AP8" s="203"/>
      <c r="AQ8" s="203"/>
      <c r="AR8" s="203"/>
      <c r="AS8" s="203"/>
      <c r="AT8" s="203"/>
      <c r="AU8" s="203"/>
      <c r="AV8" s="203"/>
      <c r="AW8" s="203"/>
      <c r="AX8" s="203"/>
      <c r="AY8" s="203"/>
      <c r="AZ8" s="203"/>
      <c r="BA8" s="203"/>
      <c r="BB8" s="203"/>
      <c r="BC8" s="203"/>
      <c r="BD8" s="203"/>
      <c r="BE8" s="203"/>
      <c r="BF8" s="203"/>
      <c r="BG8" s="203"/>
      <c r="BH8" s="203"/>
      <c r="BI8" s="203"/>
      <c r="BJ8" s="203"/>
    </row>
    <row r="9" spans="1:87" s="9" customFormat="1" ht="48.6" customHeight="1">
      <c r="A9" s="281">
        <f>ROW()-8</f>
        <v>1</v>
      </c>
      <c r="B9" s="281"/>
      <c r="C9" s="281"/>
      <c r="D9" s="304" t="s">
        <v>146</v>
      </c>
      <c r="E9" s="305"/>
      <c r="F9" s="305"/>
      <c r="G9" s="305"/>
      <c r="H9" s="305"/>
      <c r="I9" s="305"/>
      <c r="J9" s="305"/>
      <c r="K9" s="305"/>
      <c r="L9" s="305"/>
      <c r="M9" s="305"/>
      <c r="N9" s="305"/>
      <c r="O9" s="305"/>
      <c r="P9" s="305"/>
      <c r="Q9" s="306"/>
      <c r="R9" s="307">
        <v>2</v>
      </c>
      <c r="S9" s="308"/>
      <c r="T9" s="309"/>
      <c r="U9" s="310"/>
      <c r="V9" s="262"/>
      <c r="W9" s="262"/>
      <c r="X9" s="262"/>
      <c r="Y9" s="262"/>
      <c r="Z9" s="262"/>
      <c r="AA9" s="262"/>
      <c r="AB9" s="262"/>
      <c r="AC9" s="262"/>
      <c r="AD9" s="263"/>
      <c r="AE9" s="261" t="s">
        <v>221</v>
      </c>
      <c r="AF9" s="262"/>
      <c r="AG9" s="262"/>
      <c r="AH9" s="262"/>
      <c r="AI9" s="262"/>
      <c r="AJ9" s="262"/>
      <c r="AK9" s="262"/>
      <c r="AL9" s="262"/>
      <c r="AM9" s="262"/>
      <c r="AN9" s="262"/>
      <c r="AO9" s="262"/>
      <c r="AP9" s="262"/>
      <c r="AQ9" s="262"/>
      <c r="AR9" s="262"/>
      <c r="AS9" s="262"/>
      <c r="AT9" s="262"/>
      <c r="AU9" s="262"/>
      <c r="AV9" s="262"/>
      <c r="AW9" s="262"/>
      <c r="AX9" s="262"/>
      <c r="AY9" s="262"/>
      <c r="AZ9" s="262"/>
      <c r="BA9" s="262"/>
      <c r="BB9" s="262"/>
      <c r="BC9" s="262"/>
      <c r="BD9" s="262"/>
      <c r="BE9" s="262"/>
      <c r="BF9" s="262"/>
      <c r="BG9" s="262"/>
      <c r="BH9" s="262"/>
      <c r="BI9" s="262"/>
      <c r="BJ9" s="263"/>
      <c r="BL9" s="96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</row>
    <row r="10" spans="1:87" s="9" customFormat="1" ht="48.6" customHeight="1">
      <c r="A10" s="282">
        <f t="shared" ref="A10:A156" si="0">ROW()-8</f>
        <v>2</v>
      </c>
      <c r="B10" s="282"/>
      <c r="C10" s="282"/>
      <c r="D10" s="297" t="s">
        <v>170</v>
      </c>
      <c r="E10" s="298"/>
      <c r="F10" s="298"/>
      <c r="G10" s="298"/>
      <c r="H10" s="298"/>
      <c r="I10" s="298"/>
      <c r="J10" s="298"/>
      <c r="K10" s="298"/>
      <c r="L10" s="298"/>
      <c r="M10" s="298"/>
      <c r="N10" s="298"/>
      <c r="O10" s="298"/>
      <c r="P10" s="298"/>
      <c r="Q10" s="299"/>
      <c r="R10" s="283">
        <v>10</v>
      </c>
      <c r="S10" s="284"/>
      <c r="T10" s="285"/>
      <c r="U10" s="289"/>
      <c r="V10" s="287"/>
      <c r="W10" s="287"/>
      <c r="X10" s="287"/>
      <c r="Y10" s="287"/>
      <c r="Z10" s="287"/>
      <c r="AA10" s="287"/>
      <c r="AB10" s="287"/>
      <c r="AC10" s="287"/>
      <c r="AD10" s="288"/>
      <c r="AE10" s="289" t="s">
        <v>167</v>
      </c>
      <c r="AF10" s="287"/>
      <c r="AG10" s="287"/>
      <c r="AH10" s="287"/>
      <c r="AI10" s="287"/>
      <c r="AJ10" s="287"/>
      <c r="AK10" s="287"/>
      <c r="AL10" s="287"/>
      <c r="AM10" s="287"/>
      <c r="AN10" s="287"/>
      <c r="AO10" s="287"/>
      <c r="AP10" s="287"/>
      <c r="AQ10" s="287"/>
      <c r="AR10" s="287"/>
      <c r="AS10" s="287"/>
      <c r="AT10" s="287"/>
      <c r="AU10" s="287"/>
      <c r="AV10" s="287"/>
      <c r="AW10" s="287"/>
      <c r="AX10" s="287"/>
      <c r="AY10" s="287"/>
      <c r="AZ10" s="287"/>
      <c r="BA10" s="287"/>
      <c r="BB10" s="287"/>
      <c r="BC10" s="287"/>
      <c r="BD10" s="287"/>
      <c r="BE10" s="287"/>
      <c r="BF10" s="287"/>
      <c r="BG10" s="287"/>
      <c r="BH10" s="287"/>
      <c r="BI10" s="287"/>
      <c r="BJ10" s="288"/>
      <c r="BL10" s="96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</row>
    <row r="11" spans="1:87" s="9" customFormat="1" ht="48.6" customHeight="1">
      <c r="A11" s="282">
        <f t="shared" si="0"/>
        <v>3</v>
      </c>
      <c r="B11" s="282"/>
      <c r="C11" s="282"/>
      <c r="D11" s="297" t="s">
        <v>147</v>
      </c>
      <c r="E11" s="298"/>
      <c r="F11" s="298"/>
      <c r="G11" s="298"/>
      <c r="H11" s="298"/>
      <c r="I11" s="298"/>
      <c r="J11" s="298"/>
      <c r="K11" s="298"/>
      <c r="L11" s="298"/>
      <c r="M11" s="298"/>
      <c r="N11" s="298"/>
      <c r="O11" s="298"/>
      <c r="P11" s="298"/>
      <c r="Q11" s="299"/>
      <c r="R11" s="283">
        <v>4</v>
      </c>
      <c r="S11" s="284"/>
      <c r="T11" s="285"/>
      <c r="U11" s="292"/>
      <c r="V11" s="287"/>
      <c r="W11" s="287"/>
      <c r="X11" s="287"/>
      <c r="Y11" s="287"/>
      <c r="Z11" s="287"/>
      <c r="AA11" s="287"/>
      <c r="AB11" s="287"/>
      <c r="AC11" s="287"/>
      <c r="AD11" s="288"/>
      <c r="AE11" s="289" t="s">
        <v>212</v>
      </c>
      <c r="AF11" s="290"/>
      <c r="AG11" s="290"/>
      <c r="AH11" s="290"/>
      <c r="AI11" s="290"/>
      <c r="AJ11" s="290"/>
      <c r="AK11" s="290"/>
      <c r="AL11" s="290"/>
      <c r="AM11" s="290"/>
      <c r="AN11" s="290"/>
      <c r="AO11" s="290"/>
      <c r="AP11" s="290"/>
      <c r="AQ11" s="290"/>
      <c r="AR11" s="290"/>
      <c r="AS11" s="290"/>
      <c r="AT11" s="290"/>
      <c r="AU11" s="290"/>
      <c r="AV11" s="290"/>
      <c r="AW11" s="290"/>
      <c r="AX11" s="290"/>
      <c r="AY11" s="290"/>
      <c r="AZ11" s="290"/>
      <c r="BA11" s="290"/>
      <c r="BB11" s="290"/>
      <c r="BC11" s="290"/>
      <c r="BD11" s="290"/>
      <c r="BE11" s="290"/>
      <c r="BF11" s="290"/>
      <c r="BG11" s="290"/>
      <c r="BH11" s="290"/>
      <c r="BI11" s="290"/>
      <c r="BJ11" s="291"/>
      <c r="BL11" s="96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</row>
    <row r="12" spans="1:87" s="9" customFormat="1" ht="48.6" customHeight="1">
      <c r="A12" s="282">
        <f t="shared" si="0"/>
        <v>4</v>
      </c>
      <c r="B12" s="282"/>
      <c r="C12" s="282"/>
      <c r="D12" s="297" t="s">
        <v>171</v>
      </c>
      <c r="E12" s="298"/>
      <c r="F12" s="298"/>
      <c r="G12" s="298"/>
      <c r="H12" s="298"/>
      <c r="I12" s="298"/>
      <c r="J12" s="298"/>
      <c r="K12" s="298"/>
      <c r="L12" s="298"/>
      <c r="M12" s="298"/>
      <c r="N12" s="298"/>
      <c r="O12" s="298"/>
      <c r="P12" s="298"/>
      <c r="Q12" s="299"/>
      <c r="R12" s="283">
        <v>15</v>
      </c>
      <c r="S12" s="284"/>
      <c r="T12" s="285"/>
      <c r="U12" s="292"/>
      <c r="V12" s="287"/>
      <c r="W12" s="287"/>
      <c r="X12" s="287"/>
      <c r="Y12" s="287"/>
      <c r="Z12" s="287"/>
      <c r="AA12" s="287"/>
      <c r="AB12" s="287"/>
      <c r="AC12" s="287"/>
      <c r="AD12" s="288"/>
      <c r="AE12" s="289" t="s">
        <v>168</v>
      </c>
      <c r="AF12" s="287"/>
      <c r="AG12" s="287"/>
      <c r="AH12" s="287"/>
      <c r="AI12" s="287"/>
      <c r="AJ12" s="287"/>
      <c r="AK12" s="287"/>
      <c r="AL12" s="287"/>
      <c r="AM12" s="287"/>
      <c r="AN12" s="287"/>
      <c r="AO12" s="287"/>
      <c r="AP12" s="287"/>
      <c r="AQ12" s="287"/>
      <c r="AR12" s="287"/>
      <c r="AS12" s="287"/>
      <c r="AT12" s="287"/>
      <c r="AU12" s="287"/>
      <c r="AV12" s="287"/>
      <c r="AW12" s="287"/>
      <c r="AX12" s="287"/>
      <c r="AY12" s="287"/>
      <c r="AZ12" s="287"/>
      <c r="BA12" s="287"/>
      <c r="BB12" s="287"/>
      <c r="BC12" s="287"/>
      <c r="BD12" s="287"/>
      <c r="BE12" s="287"/>
      <c r="BF12" s="287"/>
      <c r="BG12" s="287"/>
      <c r="BH12" s="287"/>
      <c r="BI12" s="287"/>
      <c r="BJ12" s="288"/>
      <c r="BL12" s="96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</row>
    <row r="13" spans="1:87" s="9" customFormat="1" ht="48.6" customHeight="1">
      <c r="A13" s="282">
        <f t="shared" si="0"/>
        <v>5</v>
      </c>
      <c r="B13" s="282"/>
      <c r="C13" s="282"/>
      <c r="D13" s="297" t="s">
        <v>148</v>
      </c>
      <c r="E13" s="298"/>
      <c r="F13" s="298"/>
      <c r="G13" s="298"/>
      <c r="H13" s="298"/>
      <c r="I13" s="298"/>
      <c r="J13" s="298"/>
      <c r="K13" s="298"/>
      <c r="L13" s="298"/>
      <c r="M13" s="298"/>
      <c r="N13" s="298"/>
      <c r="O13" s="298"/>
      <c r="P13" s="298"/>
      <c r="Q13" s="299"/>
      <c r="R13" s="283">
        <v>20</v>
      </c>
      <c r="S13" s="284"/>
      <c r="T13" s="285"/>
      <c r="U13" s="289"/>
      <c r="V13" s="287"/>
      <c r="W13" s="287"/>
      <c r="X13" s="287"/>
      <c r="Y13" s="287"/>
      <c r="Z13" s="287"/>
      <c r="AA13" s="287"/>
      <c r="AB13" s="287"/>
      <c r="AC13" s="287"/>
      <c r="AD13" s="288"/>
      <c r="AE13" s="289" t="s">
        <v>361</v>
      </c>
      <c r="AF13" s="287"/>
      <c r="AG13" s="287"/>
      <c r="AH13" s="287"/>
      <c r="AI13" s="287"/>
      <c r="AJ13" s="287"/>
      <c r="AK13" s="287"/>
      <c r="AL13" s="287"/>
      <c r="AM13" s="287"/>
      <c r="AN13" s="287"/>
      <c r="AO13" s="287"/>
      <c r="AP13" s="287"/>
      <c r="AQ13" s="287"/>
      <c r="AR13" s="287"/>
      <c r="AS13" s="287"/>
      <c r="AT13" s="287"/>
      <c r="AU13" s="287"/>
      <c r="AV13" s="287"/>
      <c r="AW13" s="287"/>
      <c r="AX13" s="287"/>
      <c r="AY13" s="287"/>
      <c r="AZ13" s="287"/>
      <c r="BA13" s="287"/>
      <c r="BB13" s="287"/>
      <c r="BC13" s="287"/>
      <c r="BD13" s="287"/>
      <c r="BE13" s="287"/>
      <c r="BF13" s="287"/>
      <c r="BG13" s="287"/>
      <c r="BH13" s="287"/>
      <c r="BI13" s="287"/>
      <c r="BJ13" s="288"/>
      <c r="BL13" s="96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</row>
    <row r="14" spans="1:87" s="9" customFormat="1" ht="48.6" customHeight="1">
      <c r="A14" s="296">
        <f>ROW()-8</f>
        <v>6</v>
      </c>
      <c r="B14" s="296"/>
      <c r="C14" s="296"/>
      <c r="D14" s="297" t="s">
        <v>149</v>
      </c>
      <c r="E14" s="298"/>
      <c r="F14" s="298"/>
      <c r="G14" s="298"/>
      <c r="H14" s="298"/>
      <c r="I14" s="298"/>
      <c r="J14" s="298"/>
      <c r="K14" s="298"/>
      <c r="L14" s="298"/>
      <c r="M14" s="298"/>
      <c r="N14" s="298"/>
      <c r="O14" s="298"/>
      <c r="P14" s="298"/>
      <c r="Q14" s="299"/>
      <c r="R14" s="300">
        <v>4</v>
      </c>
      <c r="S14" s="301"/>
      <c r="T14" s="302"/>
      <c r="U14" s="264" t="s">
        <v>165</v>
      </c>
      <c r="V14" s="265"/>
      <c r="W14" s="265"/>
      <c r="X14" s="265"/>
      <c r="Y14" s="265"/>
      <c r="Z14" s="265"/>
      <c r="AA14" s="265"/>
      <c r="AB14" s="265"/>
      <c r="AC14" s="265"/>
      <c r="AD14" s="266"/>
      <c r="AE14" s="303" t="s">
        <v>223</v>
      </c>
      <c r="AF14" s="265"/>
      <c r="AG14" s="265"/>
      <c r="AH14" s="265"/>
      <c r="AI14" s="265"/>
      <c r="AJ14" s="265"/>
      <c r="AK14" s="265"/>
      <c r="AL14" s="265"/>
      <c r="AM14" s="265"/>
      <c r="AN14" s="265"/>
      <c r="AO14" s="265"/>
      <c r="AP14" s="265"/>
      <c r="AQ14" s="265"/>
      <c r="AR14" s="265"/>
      <c r="AS14" s="265"/>
      <c r="AT14" s="265"/>
      <c r="AU14" s="265"/>
      <c r="AV14" s="265"/>
      <c r="AW14" s="265"/>
      <c r="AX14" s="265"/>
      <c r="AY14" s="265"/>
      <c r="AZ14" s="265"/>
      <c r="BA14" s="265"/>
      <c r="BB14" s="265"/>
      <c r="BC14" s="265"/>
      <c r="BD14" s="265"/>
      <c r="BE14" s="265"/>
      <c r="BF14" s="265"/>
      <c r="BG14" s="265"/>
      <c r="BH14" s="265"/>
      <c r="BI14" s="265"/>
      <c r="BJ14" s="266"/>
      <c r="BL14" s="96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</row>
    <row r="15" spans="1:87" s="9" customFormat="1" ht="48.6" customHeight="1">
      <c r="A15" s="282">
        <f t="shared" si="0"/>
        <v>7</v>
      </c>
      <c r="B15" s="282"/>
      <c r="C15" s="282"/>
      <c r="D15" s="297" t="s">
        <v>409</v>
      </c>
      <c r="E15" s="298"/>
      <c r="F15" s="298"/>
      <c r="G15" s="298"/>
      <c r="H15" s="298"/>
      <c r="I15" s="298"/>
      <c r="J15" s="298"/>
      <c r="K15" s="298"/>
      <c r="L15" s="298"/>
      <c r="M15" s="298"/>
      <c r="N15" s="298"/>
      <c r="O15" s="298"/>
      <c r="P15" s="298"/>
      <c r="Q15" s="299"/>
      <c r="R15" s="283">
        <v>50</v>
      </c>
      <c r="S15" s="284"/>
      <c r="T15" s="285"/>
      <c r="U15" s="292"/>
      <c r="V15" s="287"/>
      <c r="W15" s="287"/>
      <c r="X15" s="287"/>
      <c r="Y15" s="287"/>
      <c r="Z15" s="287"/>
      <c r="AA15" s="287"/>
      <c r="AB15" s="287"/>
      <c r="AC15" s="287"/>
      <c r="AD15" s="288"/>
      <c r="AE15" s="289" t="s">
        <v>172</v>
      </c>
      <c r="AF15" s="290"/>
      <c r="AG15" s="290"/>
      <c r="AH15" s="290"/>
      <c r="AI15" s="290"/>
      <c r="AJ15" s="290"/>
      <c r="AK15" s="290"/>
      <c r="AL15" s="290"/>
      <c r="AM15" s="290"/>
      <c r="AN15" s="290"/>
      <c r="AO15" s="290"/>
      <c r="AP15" s="290"/>
      <c r="AQ15" s="290"/>
      <c r="AR15" s="290"/>
      <c r="AS15" s="290"/>
      <c r="AT15" s="290"/>
      <c r="AU15" s="290"/>
      <c r="AV15" s="290"/>
      <c r="AW15" s="290"/>
      <c r="AX15" s="290"/>
      <c r="AY15" s="290"/>
      <c r="AZ15" s="290"/>
      <c r="BA15" s="290"/>
      <c r="BB15" s="290"/>
      <c r="BC15" s="290"/>
      <c r="BD15" s="290"/>
      <c r="BE15" s="290"/>
      <c r="BF15" s="290"/>
      <c r="BG15" s="290"/>
      <c r="BH15" s="290"/>
      <c r="BI15" s="290"/>
      <c r="BJ15" s="291"/>
      <c r="BL15" s="96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</row>
    <row r="16" spans="1:87" s="9" customFormat="1" ht="48.6" customHeight="1">
      <c r="A16" s="326">
        <f t="shared" si="0"/>
        <v>8</v>
      </c>
      <c r="B16" s="327"/>
      <c r="C16" s="328"/>
      <c r="D16" s="297" t="s">
        <v>431</v>
      </c>
      <c r="E16" s="298"/>
      <c r="F16" s="298"/>
      <c r="G16" s="298"/>
      <c r="H16" s="298"/>
      <c r="I16" s="298"/>
      <c r="J16" s="298"/>
      <c r="K16" s="298"/>
      <c r="L16" s="298"/>
      <c r="M16" s="298"/>
      <c r="N16" s="298"/>
      <c r="O16" s="298"/>
      <c r="P16" s="298"/>
      <c r="Q16" s="299"/>
      <c r="R16" s="283">
        <v>6</v>
      </c>
      <c r="S16" s="284"/>
      <c r="T16" s="285"/>
      <c r="U16" s="292"/>
      <c r="V16" s="287"/>
      <c r="W16" s="287"/>
      <c r="X16" s="287"/>
      <c r="Y16" s="287"/>
      <c r="Z16" s="287"/>
      <c r="AA16" s="287"/>
      <c r="AB16" s="287"/>
      <c r="AC16" s="287"/>
      <c r="AD16" s="288"/>
      <c r="AE16" s="289" t="s">
        <v>430</v>
      </c>
      <c r="AF16" s="290"/>
      <c r="AG16" s="290"/>
      <c r="AH16" s="290"/>
      <c r="AI16" s="290"/>
      <c r="AJ16" s="290"/>
      <c r="AK16" s="290"/>
      <c r="AL16" s="290"/>
      <c r="AM16" s="290"/>
      <c r="AN16" s="290"/>
      <c r="AO16" s="290"/>
      <c r="AP16" s="290"/>
      <c r="AQ16" s="290"/>
      <c r="AR16" s="290"/>
      <c r="AS16" s="290"/>
      <c r="AT16" s="290"/>
      <c r="AU16" s="290"/>
      <c r="AV16" s="290"/>
      <c r="AW16" s="290"/>
      <c r="AX16" s="290"/>
      <c r="AY16" s="290"/>
      <c r="AZ16" s="290"/>
      <c r="BA16" s="290"/>
      <c r="BB16" s="290"/>
      <c r="BC16" s="290"/>
      <c r="BD16" s="290"/>
      <c r="BE16" s="290"/>
      <c r="BF16" s="290"/>
      <c r="BG16" s="290"/>
      <c r="BH16" s="290"/>
      <c r="BI16" s="290"/>
      <c r="BJ16" s="291"/>
      <c r="BL16" s="96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</row>
    <row r="17" spans="1:87" s="9" customFormat="1" ht="48.6" customHeight="1">
      <c r="A17" s="326">
        <f t="shared" si="0"/>
        <v>9</v>
      </c>
      <c r="B17" s="327"/>
      <c r="C17" s="328"/>
      <c r="D17" s="297" t="s">
        <v>150</v>
      </c>
      <c r="E17" s="298"/>
      <c r="F17" s="298"/>
      <c r="G17" s="298"/>
      <c r="H17" s="298"/>
      <c r="I17" s="298"/>
      <c r="J17" s="298"/>
      <c r="K17" s="298"/>
      <c r="L17" s="298"/>
      <c r="M17" s="298"/>
      <c r="N17" s="298"/>
      <c r="O17" s="298"/>
      <c r="P17" s="298"/>
      <c r="Q17" s="299"/>
      <c r="R17" s="283">
        <v>6</v>
      </c>
      <c r="S17" s="284"/>
      <c r="T17" s="285"/>
      <c r="U17" s="292"/>
      <c r="V17" s="287"/>
      <c r="W17" s="287"/>
      <c r="X17" s="287"/>
      <c r="Y17" s="287"/>
      <c r="Z17" s="287"/>
      <c r="AA17" s="287"/>
      <c r="AB17" s="287"/>
      <c r="AC17" s="287"/>
      <c r="AD17" s="288"/>
      <c r="AE17" s="289" t="s">
        <v>222</v>
      </c>
      <c r="AF17" s="290"/>
      <c r="AG17" s="290"/>
      <c r="AH17" s="290"/>
      <c r="AI17" s="290"/>
      <c r="AJ17" s="290"/>
      <c r="AK17" s="290"/>
      <c r="AL17" s="290"/>
      <c r="AM17" s="290"/>
      <c r="AN17" s="290"/>
      <c r="AO17" s="290"/>
      <c r="AP17" s="290"/>
      <c r="AQ17" s="290"/>
      <c r="AR17" s="290"/>
      <c r="AS17" s="290"/>
      <c r="AT17" s="290"/>
      <c r="AU17" s="290"/>
      <c r="AV17" s="290"/>
      <c r="AW17" s="290"/>
      <c r="AX17" s="290"/>
      <c r="AY17" s="290"/>
      <c r="AZ17" s="290"/>
      <c r="BA17" s="290"/>
      <c r="BB17" s="290"/>
      <c r="BC17" s="290"/>
      <c r="BD17" s="290"/>
      <c r="BE17" s="290"/>
      <c r="BF17" s="290"/>
      <c r="BG17" s="290"/>
      <c r="BH17" s="290"/>
      <c r="BI17" s="290"/>
      <c r="BJ17" s="291"/>
      <c r="BL17" s="96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</row>
    <row r="18" spans="1:87" s="9" customFormat="1" ht="48.6" customHeight="1">
      <c r="A18" s="282">
        <f t="shared" si="0"/>
        <v>10</v>
      </c>
      <c r="B18" s="282"/>
      <c r="C18" s="282"/>
      <c r="D18" s="292" t="s">
        <v>115</v>
      </c>
      <c r="E18" s="287"/>
      <c r="F18" s="287"/>
      <c r="G18" s="287"/>
      <c r="H18" s="287"/>
      <c r="I18" s="287"/>
      <c r="J18" s="287"/>
      <c r="K18" s="287"/>
      <c r="L18" s="287"/>
      <c r="M18" s="287"/>
      <c r="N18" s="287"/>
      <c r="O18" s="287"/>
      <c r="P18" s="287"/>
      <c r="Q18" s="288"/>
      <c r="R18" s="283">
        <v>4</v>
      </c>
      <c r="S18" s="284"/>
      <c r="T18" s="285"/>
      <c r="U18" s="289"/>
      <c r="V18" s="290"/>
      <c r="W18" s="290"/>
      <c r="X18" s="290"/>
      <c r="Y18" s="290"/>
      <c r="Z18" s="290"/>
      <c r="AA18" s="290"/>
      <c r="AB18" s="290"/>
      <c r="AC18" s="290"/>
      <c r="AD18" s="291"/>
      <c r="AE18" s="289" t="s">
        <v>223</v>
      </c>
      <c r="AF18" s="287"/>
      <c r="AG18" s="287"/>
      <c r="AH18" s="287"/>
      <c r="AI18" s="287"/>
      <c r="AJ18" s="287"/>
      <c r="AK18" s="287"/>
      <c r="AL18" s="287"/>
      <c r="AM18" s="287"/>
      <c r="AN18" s="287"/>
      <c r="AO18" s="287"/>
      <c r="AP18" s="287"/>
      <c r="AQ18" s="287"/>
      <c r="AR18" s="287"/>
      <c r="AS18" s="287"/>
      <c r="AT18" s="287"/>
      <c r="AU18" s="287"/>
      <c r="AV18" s="287"/>
      <c r="AW18" s="287"/>
      <c r="AX18" s="287"/>
      <c r="AY18" s="287"/>
      <c r="AZ18" s="287"/>
      <c r="BA18" s="287"/>
      <c r="BB18" s="287"/>
      <c r="BC18" s="287"/>
      <c r="BD18" s="287"/>
      <c r="BE18" s="287"/>
      <c r="BF18" s="287"/>
      <c r="BG18" s="287"/>
      <c r="BH18" s="287"/>
      <c r="BI18" s="287"/>
      <c r="BJ18" s="288"/>
      <c r="BL18" s="96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</row>
    <row r="19" spans="1:87" s="9" customFormat="1" ht="48.6" customHeight="1">
      <c r="A19" s="326">
        <f t="shared" si="0"/>
        <v>11</v>
      </c>
      <c r="B19" s="327"/>
      <c r="C19" s="328"/>
      <c r="D19" s="297" t="s">
        <v>173</v>
      </c>
      <c r="E19" s="298"/>
      <c r="F19" s="298"/>
      <c r="G19" s="298"/>
      <c r="H19" s="298"/>
      <c r="I19" s="298"/>
      <c r="J19" s="298"/>
      <c r="K19" s="298"/>
      <c r="L19" s="298"/>
      <c r="M19" s="298"/>
      <c r="N19" s="298"/>
      <c r="O19" s="298"/>
      <c r="P19" s="298"/>
      <c r="Q19" s="299"/>
      <c r="R19" s="283">
        <v>10</v>
      </c>
      <c r="S19" s="284"/>
      <c r="T19" s="285"/>
      <c r="U19" s="292" t="s">
        <v>166</v>
      </c>
      <c r="V19" s="287"/>
      <c r="W19" s="287"/>
      <c r="X19" s="287"/>
      <c r="Y19" s="287"/>
      <c r="Z19" s="287"/>
      <c r="AA19" s="287"/>
      <c r="AB19" s="287"/>
      <c r="AC19" s="287"/>
      <c r="AD19" s="288"/>
      <c r="AE19" s="289" t="s">
        <v>224</v>
      </c>
      <c r="AF19" s="290"/>
      <c r="AG19" s="290"/>
      <c r="AH19" s="290"/>
      <c r="AI19" s="290"/>
      <c r="AJ19" s="290"/>
      <c r="AK19" s="290"/>
      <c r="AL19" s="290"/>
      <c r="AM19" s="290"/>
      <c r="AN19" s="290"/>
      <c r="AO19" s="290"/>
      <c r="AP19" s="290"/>
      <c r="AQ19" s="290"/>
      <c r="AR19" s="290"/>
      <c r="AS19" s="290"/>
      <c r="AT19" s="290"/>
      <c r="AU19" s="290"/>
      <c r="AV19" s="290"/>
      <c r="AW19" s="290"/>
      <c r="AX19" s="290"/>
      <c r="AY19" s="290"/>
      <c r="AZ19" s="290"/>
      <c r="BA19" s="290"/>
      <c r="BB19" s="290"/>
      <c r="BC19" s="290"/>
      <c r="BD19" s="290"/>
      <c r="BE19" s="290"/>
      <c r="BF19" s="290"/>
      <c r="BG19" s="290"/>
      <c r="BH19" s="290"/>
      <c r="BI19" s="290"/>
      <c r="BJ19" s="291"/>
      <c r="BL19" s="96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</row>
    <row r="20" spans="1:87" s="9" customFormat="1" ht="48.6" customHeight="1">
      <c r="A20" s="282">
        <f t="shared" si="0"/>
        <v>12</v>
      </c>
      <c r="B20" s="282"/>
      <c r="C20" s="282"/>
      <c r="D20" s="292" t="s">
        <v>407</v>
      </c>
      <c r="E20" s="287"/>
      <c r="F20" s="287"/>
      <c r="G20" s="287"/>
      <c r="H20" s="287"/>
      <c r="I20" s="287"/>
      <c r="J20" s="287"/>
      <c r="K20" s="287"/>
      <c r="L20" s="287"/>
      <c r="M20" s="287"/>
      <c r="N20" s="287"/>
      <c r="O20" s="287"/>
      <c r="P20" s="287"/>
      <c r="Q20" s="288"/>
      <c r="R20" s="283">
        <v>6</v>
      </c>
      <c r="S20" s="284"/>
      <c r="T20" s="285"/>
      <c r="U20" s="289"/>
      <c r="V20" s="290"/>
      <c r="W20" s="290"/>
      <c r="X20" s="290"/>
      <c r="Y20" s="290"/>
      <c r="Z20" s="290"/>
      <c r="AA20" s="290"/>
      <c r="AB20" s="290"/>
      <c r="AC20" s="290"/>
      <c r="AD20" s="291"/>
      <c r="AE20" s="289" t="s">
        <v>197</v>
      </c>
      <c r="AF20" s="290"/>
      <c r="AG20" s="290"/>
      <c r="AH20" s="290"/>
      <c r="AI20" s="290"/>
      <c r="AJ20" s="290"/>
      <c r="AK20" s="290"/>
      <c r="AL20" s="290"/>
      <c r="AM20" s="290"/>
      <c r="AN20" s="290"/>
      <c r="AO20" s="290"/>
      <c r="AP20" s="290"/>
      <c r="AQ20" s="290"/>
      <c r="AR20" s="290"/>
      <c r="AS20" s="290"/>
      <c r="AT20" s="290"/>
      <c r="AU20" s="290"/>
      <c r="AV20" s="290"/>
      <c r="AW20" s="290"/>
      <c r="AX20" s="290"/>
      <c r="AY20" s="290"/>
      <c r="AZ20" s="290"/>
      <c r="BA20" s="290"/>
      <c r="BB20" s="290"/>
      <c r="BC20" s="290"/>
      <c r="BD20" s="290"/>
      <c r="BE20" s="290"/>
      <c r="BF20" s="290"/>
      <c r="BG20" s="290"/>
      <c r="BH20" s="290"/>
      <c r="BI20" s="290"/>
      <c r="BJ20" s="291"/>
      <c r="BL20" s="96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</row>
    <row r="21" spans="1:87" s="9" customFormat="1" ht="48.6" customHeight="1">
      <c r="A21" s="282">
        <f t="shared" si="0"/>
        <v>13</v>
      </c>
      <c r="B21" s="282"/>
      <c r="C21" s="282"/>
      <c r="D21" s="289" t="s">
        <v>411</v>
      </c>
      <c r="E21" s="290"/>
      <c r="F21" s="290"/>
      <c r="G21" s="290"/>
      <c r="H21" s="290"/>
      <c r="I21" s="290"/>
      <c r="J21" s="290"/>
      <c r="K21" s="290"/>
      <c r="L21" s="290"/>
      <c r="M21" s="290"/>
      <c r="N21" s="290"/>
      <c r="O21" s="290"/>
      <c r="P21" s="290"/>
      <c r="Q21" s="291"/>
      <c r="R21" s="283" t="s">
        <v>213</v>
      </c>
      <c r="S21" s="284"/>
      <c r="T21" s="285"/>
      <c r="U21" s="293" t="s">
        <v>393</v>
      </c>
      <c r="V21" s="287"/>
      <c r="W21" s="287"/>
      <c r="X21" s="287"/>
      <c r="Y21" s="287"/>
      <c r="Z21" s="287"/>
      <c r="AA21" s="287"/>
      <c r="AB21" s="287"/>
      <c r="AC21" s="287"/>
      <c r="AD21" s="288"/>
      <c r="AE21" s="289" t="s">
        <v>392</v>
      </c>
      <c r="AF21" s="287"/>
      <c r="AG21" s="287"/>
      <c r="AH21" s="287"/>
      <c r="AI21" s="287"/>
      <c r="AJ21" s="287"/>
      <c r="AK21" s="287"/>
      <c r="AL21" s="287"/>
      <c r="AM21" s="287"/>
      <c r="AN21" s="287"/>
      <c r="AO21" s="287"/>
      <c r="AP21" s="287"/>
      <c r="AQ21" s="287"/>
      <c r="AR21" s="287"/>
      <c r="AS21" s="287"/>
      <c r="AT21" s="287"/>
      <c r="AU21" s="287"/>
      <c r="AV21" s="287"/>
      <c r="AW21" s="287"/>
      <c r="AX21" s="287"/>
      <c r="AY21" s="287"/>
      <c r="AZ21" s="287"/>
      <c r="BA21" s="287"/>
      <c r="BB21" s="287"/>
      <c r="BC21" s="287"/>
      <c r="BD21" s="287"/>
      <c r="BE21" s="287"/>
      <c r="BF21" s="287"/>
      <c r="BG21" s="287"/>
      <c r="BH21" s="287"/>
      <c r="BI21" s="287"/>
      <c r="BJ21" s="288"/>
      <c r="BL21" s="96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</row>
    <row r="22" spans="1:87" s="9" customFormat="1" ht="48.6" customHeight="1">
      <c r="A22" s="282">
        <f t="shared" si="0"/>
        <v>14</v>
      </c>
      <c r="B22" s="282"/>
      <c r="C22" s="282"/>
      <c r="D22" s="289" t="s">
        <v>412</v>
      </c>
      <c r="E22" s="290"/>
      <c r="F22" s="290"/>
      <c r="G22" s="290"/>
      <c r="H22" s="290"/>
      <c r="I22" s="290"/>
      <c r="J22" s="290"/>
      <c r="K22" s="290"/>
      <c r="L22" s="290"/>
      <c r="M22" s="290"/>
      <c r="N22" s="290"/>
      <c r="O22" s="290"/>
      <c r="P22" s="290"/>
      <c r="Q22" s="291"/>
      <c r="R22" s="283">
        <v>14</v>
      </c>
      <c r="S22" s="284"/>
      <c r="T22" s="285"/>
      <c r="U22" s="286" t="s">
        <v>207</v>
      </c>
      <c r="V22" s="287"/>
      <c r="W22" s="287"/>
      <c r="X22" s="287"/>
      <c r="Y22" s="287"/>
      <c r="Z22" s="287"/>
      <c r="AA22" s="287"/>
      <c r="AB22" s="287"/>
      <c r="AC22" s="287"/>
      <c r="AD22" s="288"/>
      <c r="AE22" s="289" t="s">
        <v>372</v>
      </c>
      <c r="AF22" s="287"/>
      <c r="AG22" s="287"/>
      <c r="AH22" s="287"/>
      <c r="AI22" s="287"/>
      <c r="AJ22" s="287"/>
      <c r="AK22" s="287"/>
      <c r="AL22" s="287"/>
      <c r="AM22" s="287"/>
      <c r="AN22" s="287"/>
      <c r="AO22" s="287"/>
      <c r="AP22" s="287"/>
      <c r="AQ22" s="287"/>
      <c r="AR22" s="287"/>
      <c r="AS22" s="287"/>
      <c r="AT22" s="287"/>
      <c r="AU22" s="287"/>
      <c r="AV22" s="287"/>
      <c r="AW22" s="287"/>
      <c r="AX22" s="287"/>
      <c r="AY22" s="287"/>
      <c r="AZ22" s="287"/>
      <c r="BA22" s="287"/>
      <c r="BB22" s="287"/>
      <c r="BC22" s="287"/>
      <c r="BD22" s="287"/>
      <c r="BE22" s="287"/>
      <c r="BF22" s="287"/>
      <c r="BG22" s="287"/>
      <c r="BH22" s="287"/>
      <c r="BI22" s="287"/>
      <c r="BJ22" s="288"/>
      <c r="BL22" s="96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</row>
    <row r="23" spans="1:87" s="9" customFormat="1" ht="48.6" customHeight="1">
      <c r="A23" s="282">
        <f t="shared" si="0"/>
        <v>15</v>
      </c>
      <c r="B23" s="282"/>
      <c r="C23" s="282"/>
      <c r="D23" s="292" t="s">
        <v>174</v>
      </c>
      <c r="E23" s="287"/>
      <c r="F23" s="287"/>
      <c r="G23" s="287"/>
      <c r="H23" s="287"/>
      <c r="I23" s="287"/>
      <c r="J23" s="287"/>
      <c r="K23" s="287"/>
      <c r="L23" s="287"/>
      <c r="M23" s="287"/>
      <c r="N23" s="287"/>
      <c r="O23" s="287"/>
      <c r="P23" s="287"/>
      <c r="Q23" s="288"/>
      <c r="R23" s="283">
        <v>14</v>
      </c>
      <c r="S23" s="284"/>
      <c r="T23" s="285"/>
      <c r="U23" s="286" t="s">
        <v>207</v>
      </c>
      <c r="V23" s="287"/>
      <c r="W23" s="287"/>
      <c r="X23" s="287"/>
      <c r="Y23" s="287"/>
      <c r="Z23" s="287"/>
      <c r="AA23" s="287"/>
      <c r="AB23" s="287"/>
      <c r="AC23" s="287"/>
      <c r="AD23" s="288"/>
      <c r="AE23" s="289" t="s">
        <v>271</v>
      </c>
      <c r="AF23" s="287"/>
      <c r="AG23" s="287"/>
      <c r="AH23" s="287"/>
      <c r="AI23" s="287"/>
      <c r="AJ23" s="287"/>
      <c r="AK23" s="287"/>
      <c r="AL23" s="287"/>
      <c r="AM23" s="287"/>
      <c r="AN23" s="287"/>
      <c r="AO23" s="287"/>
      <c r="AP23" s="287"/>
      <c r="AQ23" s="287"/>
      <c r="AR23" s="287"/>
      <c r="AS23" s="287"/>
      <c r="AT23" s="287"/>
      <c r="AU23" s="287"/>
      <c r="AV23" s="287"/>
      <c r="AW23" s="287"/>
      <c r="AX23" s="287"/>
      <c r="AY23" s="287"/>
      <c r="AZ23" s="287"/>
      <c r="BA23" s="287"/>
      <c r="BB23" s="287"/>
      <c r="BC23" s="287"/>
      <c r="BD23" s="287"/>
      <c r="BE23" s="287"/>
      <c r="BF23" s="287"/>
      <c r="BG23" s="287"/>
      <c r="BH23" s="287"/>
      <c r="BI23" s="287"/>
      <c r="BJ23" s="288"/>
      <c r="BL23" s="96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</row>
    <row r="24" spans="1:87" s="9" customFormat="1" ht="48.6" customHeight="1">
      <c r="A24" s="282">
        <f t="shared" si="0"/>
        <v>16</v>
      </c>
      <c r="B24" s="282"/>
      <c r="C24" s="282"/>
      <c r="D24" s="292" t="s">
        <v>175</v>
      </c>
      <c r="E24" s="287"/>
      <c r="F24" s="287"/>
      <c r="G24" s="287"/>
      <c r="H24" s="287"/>
      <c r="I24" s="287"/>
      <c r="J24" s="287"/>
      <c r="K24" s="287"/>
      <c r="L24" s="287"/>
      <c r="M24" s="287"/>
      <c r="N24" s="287"/>
      <c r="O24" s="287"/>
      <c r="P24" s="287"/>
      <c r="Q24" s="288"/>
      <c r="R24" s="283">
        <v>14</v>
      </c>
      <c r="S24" s="284"/>
      <c r="T24" s="285"/>
      <c r="U24" s="286" t="s">
        <v>207</v>
      </c>
      <c r="V24" s="287"/>
      <c r="W24" s="287"/>
      <c r="X24" s="287"/>
      <c r="Y24" s="287"/>
      <c r="Z24" s="287"/>
      <c r="AA24" s="287"/>
      <c r="AB24" s="287"/>
      <c r="AC24" s="287"/>
      <c r="AD24" s="288"/>
      <c r="AE24" s="289" t="s">
        <v>385</v>
      </c>
      <c r="AF24" s="290"/>
      <c r="AG24" s="290"/>
      <c r="AH24" s="290"/>
      <c r="AI24" s="290"/>
      <c r="AJ24" s="290"/>
      <c r="AK24" s="290"/>
      <c r="AL24" s="290"/>
      <c r="AM24" s="290"/>
      <c r="AN24" s="290"/>
      <c r="AO24" s="290"/>
      <c r="AP24" s="290"/>
      <c r="AQ24" s="290"/>
      <c r="AR24" s="290"/>
      <c r="AS24" s="290"/>
      <c r="AT24" s="290"/>
      <c r="AU24" s="290"/>
      <c r="AV24" s="290"/>
      <c r="AW24" s="290"/>
      <c r="AX24" s="290"/>
      <c r="AY24" s="290"/>
      <c r="AZ24" s="290"/>
      <c r="BA24" s="290"/>
      <c r="BB24" s="290"/>
      <c r="BC24" s="290"/>
      <c r="BD24" s="290"/>
      <c r="BE24" s="290"/>
      <c r="BF24" s="290"/>
      <c r="BG24" s="290"/>
      <c r="BH24" s="290"/>
      <c r="BI24" s="290"/>
      <c r="BJ24" s="291"/>
      <c r="BL24" s="96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</row>
    <row r="25" spans="1:87" s="9" customFormat="1" ht="48.6" customHeight="1">
      <c r="A25" s="282">
        <f t="shared" si="0"/>
        <v>17</v>
      </c>
      <c r="B25" s="282"/>
      <c r="C25" s="282"/>
      <c r="D25" s="289" t="s">
        <v>413</v>
      </c>
      <c r="E25" s="290"/>
      <c r="F25" s="290"/>
      <c r="G25" s="290"/>
      <c r="H25" s="290"/>
      <c r="I25" s="290"/>
      <c r="J25" s="290"/>
      <c r="K25" s="290"/>
      <c r="L25" s="290"/>
      <c r="M25" s="290"/>
      <c r="N25" s="290"/>
      <c r="O25" s="290"/>
      <c r="P25" s="290"/>
      <c r="Q25" s="291"/>
      <c r="R25" s="283" t="s">
        <v>213</v>
      </c>
      <c r="S25" s="284"/>
      <c r="T25" s="285"/>
      <c r="U25" s="293" t="s">
        <v>393</v>
      </c>
      <c r="V25" s="287"/>
      <c r="W25" s="287"/>
      <c r="X25" s="287"/>
      <c r="Y25" s="287"/>
      <c r="Z25" s="287"/>
      <c r="AA25" s="287"/>
      <c r="AB25" s="287"/>
      <c r="AC25" s="287"/>
      <c r="AD25" s="288"/>
      <c r="AE25" s="289" t="s">
        <v>394</v>
      </c>
      <c r="AF25" s="287"/>
      <c r="AG25" s="287"/>
      <c r="AH25" s="287"/>
      <c r="AI25" s="287"/>
      <c r="AJ25" s="287"/>
      <c r="AK25" s="287"/>
      <c r="AL25" s="287"/>
      <c r="AM25" s="287"/>
      <c r="AN25" s="287"/>
      <c r="AO25" s="287"/>
      <c r="AP25" s="287"/>
      <c r="AQ25" s="287"/>
      <c r="AR25" s="287"/>
      <c r="AS25" s="287"/>
      <c r="AT25" s="287"/>
      <c r="AU25" s="287"/>
      <c r="AV25" s="287"/>
      <c r="AW25" s="287"/>
      <c r="AX25" s="287"/>
      <c r="AY25" s="287"/>
      <c r="AZ25" s="287"/>
      <c r="BA25" s="287"/>
      <c r="BB25" s="287"/>
      <c r="BC25" s="287"/>
      <c r="BD25" s="287"/>
      <c r="BE25" s="287"/>
      <c r="BF25" s="287"/>
      <c r="BG25" s="287"/>
      <c r="BH25" s="287"/>
      <c r="BI25" s="287"/>
      <c r="BJ25" s="288"/>
      <c r="BL25" s="96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</row>
    <row r="26" spans="1:87" s="9" customFormat="1" ht="48.6" customHeight="1">
      <c r="A26" s="282">
        <f t="shared" si="0"/>
        <v>18</v>
      </c>
      <c r="B26" s="282"/>
      <c r="C26" s="282"/>
      <c r="D26" s="289" t="s">
        <v>414</v>
      </c>
      <c r="E26" s="290"/>
      <c r="F26" s="290"/>
      <c r="G26" s="290"/>
      <c r="H26" s="290"/>
      <c r="I26" s="290"/>
      <c r="J26" s="290"/>
      <c r="K26" s="290"/>
      <c r="L26" s="290"/>
      <c r="M26" s="290"/>
      <c r="N26" s="290"/>
      <c r="O26" s="290"/>
      <c r="P26" s="290"/>
      <c r="Q26" s="291"/>
      <c r="R26" s="283">
        <v>14</v>
      </c>
      <c r="S26" s="284"/>
      <c r="T26" s="285"/>
      <c r="U26" s="286" t="s">
        <v>207</v>
      </c>
      <c r="V26" s="287"/>
      <c r="W26" s="287"/>
      <c r="X26" s="287"/>
      <c r="Y26" s="287"/>
      <c r="Z26" s="287"/>
      <c r="AA26" s="287"/>
      <c r="AB26" s="287"/>
      <c r="AC26" s="287"/>
      <c r="AD26" s="288"/>
      <c r="AE26" s="289" t="s">
        <v>374</v>
      </c>
      <c r="AF26" s="287"/>
      <c r="AG26" s="287"/>
      <c r="AH26" s="287"/>
      <c r="AI26" s="287"/>
      <c r="AJ26" s="287"/>
      <c r="AK26" s="287"/>
      <c r="AL26" s="287"/>
      <c r="AM26" s="287"/>
      <c r="AN26" s="287"/>
      <c r="AO26" s="287"/>
      <c r="AP26" s="287"/>
      <c r="AQ26" s="287"/>
      <c r="AR26" s="287"/>
      <c r="AS26" s="287"/>
      <c r="AT26" s="287"/>
      <c r="AU26" s="287"/>
      <c r="AV26" s="287"/>
      <c r="AW26" s="287"/>
      <c r="AX26" s="287"/>
      <c r="AY26" s="287"/>
      <c r="AZ26" s="287"/>
      <c r="BA26" s="287"/>
      <c r="BB26" s="287"/>
      <c r="BC26" s="287"/>
      <c r="BD26" s="287"/>
      <c r="BE26" s="287"/>
      <c r="BF26" s="287"/>
      <c r="BG26" s="287"/>
      <c r="BH26" s="287"/>
      <c r="BI26" s="287"/>
      <c r="BJ26" s="288"/>
      <c r="BL26" s="96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  <c r="CF26" s="10"/>
      <c r="CG26" s="10"/>
      <c r="CH26" s="10"/>
      <c r="CI26" s="10"/>
    </row>
    <row r="27" spans="1:87" s="9" customFormat="1" ht="48.6" customHeight="1">
      <c r="A27" s="282">
        <f t="shared" si="0"/>
        <v>19</v>
      </c>
      <c r="B27" s="282"/>
      <c r="C27" s="282"/>
      <c r="D27" s="292" t="s">
        <v>176</v>
      </c>
      <c r="E27" s="287"/>
      <c r="F27" s="287"/>
      <c r="G27" s="287"/>
      <c r="H27" s="287"/>
      <c r="I27" s="287"/>
      <c r="J27" s="287"/>
      <c r="K27" s="287"/>
      <c r="L27" s="287"/>
      <c r="M27" s="287"/>
      <c r="N27" s="287"/>
      <c r="O27" s="287"/>
      <c r="P27" s="287"/>
      <c r="Q27" s="288"/>
      <c r="R27" s="283">
        <v>14</v>
      </c>
      <c r="S27" s="284"/>
      <c r="T27" s="285"/>
      <c r="U27" s="286" t="s">
        <v>207</v>
      </c>
      <c r="V27" s="287"/>
      <c r="W27" s="287"/>
      <c r="X27" s="287"/>
      <c r="Y27" s="287"/>
      <c r="Z27" s="287"/>
      <c r="AA27" s="287"/>
      <c r="AB27" s="287"/>
      <c r="AC27" s="287"/>
      <c r="AD27" s="288"/>
      <c r="AE27" s="289" t="s">
        <v>270</v>
      </c>
      <c r="AF27" s="287"/>
      <c r="AG27" s="287"/>
      <c r="AH27" s="287"/>
      <c r="AI27" s="287"/>
      <c r="AJ27" s="287"/>
      <c r="AK27" s="287"/>
      <c r="AL27" s="287"/>
      <c r="AM27" s="287"/>
      <c r="AN27" s="287"/>
      <c r="AO27" s="287"/>
      <c r="AP27" s="287"/>
      <c r="AQ27" s="287"/>
      <c r="AR27" s="287"/>
      <c r="AS27" s="287"/>
      <c r="AT27" s="287"/>
      <c r="AU27" s="287"/>
      <c r="AV27" s="287"/>
      <c r="AW27" s="287"/>
      <c r="AX27" s="287"/>
      <c r="AY27" s="287"/>
      <c r="AZ27" s="287"/>
      <c r="BA27" s="287"/>
      <c r="BB27" s="287"/>
      <c r="BC27" s="287"/>
      <c r="BD27" s="287"/>
      <c r="BE27" s="287"/>
      <c r="BF27" s="287"/>
      <c r="BG27" s="287"/>
      <c r="BH27" s="287"/>
      <c r="BI27" s="287"/>
      <c r="BJ27" s="288"/>
      <c r="BL27" s="96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/>
    </row>
    <row r="28" spans="1:87" s="9" customFormat="1" ht="48.6" customHeight="1">
      <c r="A28" s="282">
        <f t="shared" si="0"/>
        <v>20</v>
      </c>
      <c r="B28" s="282"/>
      <c r="C28" s="282"/>
      <c r="D28" s="292" t="s">
        <v>177</v>
      </c>
      <c r="E28" s="287"/>
      <c r="F28" s="287"/>
      <c r="G28" s="287"/>
      <c r="H28" s="287"/>
      <c r="I28" s="287"/>
      <c r="J28" s="287"/>
      <c r="K28" s="287"/>
      <c r="L28" s="287"/>
      <c r="M28" s="287"/>
      <c r="N28" s="287"/>
      <c r="O28" s="287"/>
      <c r="P28" s="287"/>
      <c r="Q28" s="288"/>
      <c r="R28" s="283">
        <v>14</v>
      </c>
      <c r="S28" s="284"/>
      <c r="T28" s="285"/>
      <c r="U28" s="286" t="s">
        <v>207</v>
      </c>
      <c r="V28" s="287"/>
      <c r="W28" s="287"/>
      <c r="X28" s="287"/>
      <c r="Y28" s="287"/>
      <c r="Z28" s="287"/>
      <c r="AA28" s="287"/>
      <c r="AB28" s="287"/>
      <c r="AC28" s="287"/>
      <c r="AD28" s="288"/>
      <c r="AE28" s="289" t="s">
        <v>383</v>
      </c>
      <c r="AF28" s="290"/>
      <c r="AG28" s="290"/>
      <c r="AH28" s="290"/>
      <c r="AI28" s="290"/>
      <c r="AJ28" s="290"/>
      <c r="AK28" s="290"/>
      <c r="AL28" s="290"/>
      <c r="AM28" s="290"/>
      <c r="AN28" s="290"/>
      <c r="AO28" s="290"/>
      <c r="AP28" s="290"/>
      <c r="AQ28" s="290"/>
      <c r="AR28" s="290"/>
      <c r="AS28" s="290"/>
      <c r="AT28" s="290"/>
      <c r="AU28" s="290"/>
      <c r="AV28" s="290"/>
      <c r="AW28" s="290"/>
      <c r="AX28" s="290"/>
      <c r="AY28" s="290"/>
      <c r="AZ28" s="290"/>
      <c r="BA28" s="290"/>
      <c r="BB28" s="290"/>
      <c r="BC28" s="290"/>
      <c r="BD28" s="290"/>
      <c r="BE28" s="290"/>
      <c r="BF28" s="290"/>
      <c r="BG28" s="290"/>
      <c r="BH28" s="290"/>
      <c r="BI28" s="290"/>
      <c r="BJ28" s="291"/>
      <c r="BL28" s="96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</row>
    <row r="29" spans="1:87" s="9" customFormat="1" ht="48.6" customHeight="1">
      <c r="A29" s="282">
        <f t="shared" si="0"/>
        <v>21</v>
      </c>
      <c r="B29" s="282"/>
      <c r="C29" s="282"/>
      <c r="D29" s="292" t="s">
        <v>415</v>
      </c>
      <c r="E29" s="287"/>
      <c r="F29" s="287"/>
      <c r="G29" s="287"/>
      <c r="H29" s="287"/>
      <c r="I29" s="287"/>
      <c r="J29" s="287"/>
      <c r="K29" s="287"/>
      <c r="L29" s="287"/>
      <c r="M29" s="287"/>
      <c r="N29" s="287"/>
      <c r="O29" s="287"/>
      <c r="P29" s="287"/>
      <c r="Q29" s="288"/>
      <c r="R29" s="283" t="s">
        <v>213</v>
      </c>
      <c r="S29" s="284"/>
      <c r="T29" s="285"/>
      <c r="U29" s="293" t="s">
        <v>393</v>
      </c>
      <c r="V29" s="287"/>
      <c r="W29" s="287"/>
      <c r="X29" s="287"/>
      <c r="Y29" s="287"/>
      <c r="Z29" s="287"/>
      <c r="AA29" s="287"/>
      <c r="AB29" s="287"/>
      <c r="AC29" s="287"/>
      <c r="AD29" s="288"/>
      <c r="AE29" s="289" t="s">
        <v>395</v>
      </c>
      <c r="AF29" s="290"/>
      <c r="AG29" s="290"/>
      <c r="AH29" s="290"/>
      <c r="AI29" s="290"/>
      <c r="AJ29" s="290"/>
      <c r="AK29" s="290"/>
      <c r="AL29" s="290"/>
      <c r="AM29" s="290"/>
      <c r="AN29" s="290"/>
      <c r="AO29" s="290"/>
      <c r="AP29" s="290"/>
      <c r="AQ29" s="290"/>
      <c r="AR29" s="290"/>
      <c r="AS29" s="290"/>
      <c r="AT29" s="290"/>
      <c r="AU29" s="290"/>
      <c r="AV29" s="290"/>
      <c r="AW29" s="290"/>
      <c r="AX29" s="290"/>
      <c r="AY29" s="290"/>
      <c r="AZ29" s="290"/>
      <c r="BA29" s="290"/>
      <c r="BB29" s="290"/>
      <c r="BC29" s="290"/>
      <c r="BD29" s="290"/>
      <c r="BE29" s="290"/>
      <c r="BF29" s="290"/>
      <c r="BG29" s="290"/>
      <c r="BH29" s="290"/>
      <c r="BI29" s="290"/>
      <c r="BJ29" s="291"/>
      <c r="BL29" s="96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  <c r="CF29" s="10"/>
      <c r="CG29" s="10"/>
      <c r="CH29" s="10"/>
      <c r="CI29" s="10"/>
    </row>
    <row r="30" spans="1:87" s="9" customFormat="1" ht="48.6" customHeight="1">
      <c r="A30" s="282">
        <f t="shared" si="0"/>
        <v>22</v>
      </c>
      <c r="B30" s="282"/>
      <c r="C30" s="282"/>
      <c r="D30" s="292" t="s">
        <v>416</v>
      </c>
      <c r="E30" s="287"/>
      <c r="F30" s="287"/>
      <c r="G30" s="287"/>
      <c r="H30" s="287"/>
      <c r="I30" s="287"/>
      <c r="J30" s="287"/>
      <c r="K30" s="287"/>
      <c r="L30" s="287"/>
      <c r="M30" s="287"/>
      <c r="N30" s="287"/>
      <c r="O30" s="287"/>
      <c r="P30" s="287"/>
      <c r="Q30" s="288"/>
      <c r="R30" s="283">
        <v>14</v>
      </c>
      <c r="S30" s="284"/>
      <c r="T30" s="285"/>
      <c r="U30" s="286" t="s">
        <v>207</v>
      </c>
      <c r="V30" s="287"/>
      <c r="W30" s="287"/>
      <c r="X30" s="287"/>
      <c r="Y30" s="287"/>
      <c r="Z30" s="287"/>
      <c r="AA30" s="287"/>
      <c r="AB30" s="287"/>
      <c r="AC30" s="287"/>
      <c r="AD30" s="288"/>
      <c r="AE30" s="289" t="s">
        <v>382</v>
      </c>
      <c r="AF30" s="290"/>
      <c r="AG30" s="290"/>
      <c r="AH30" s="290"/>
      <c r="AI30" s="290"/>
      <c r="AJ30" s="290"/>
      <c r="AK30" s="290"/>
      <c r="AL30" s="290"/>
      <c r="AM30" s="290"/>
      <c r="AN30" s="290"/>
      <c r="AO30" s="290"/>
      <c r="AP30" s="290"/>
      <c r="AQ30" s="290"/>
      <c r="AR30" s="290"/>
      <c r="AS30" s="290"/>
      <c r="AT30" s="290"/>
      <c r="AU30" s="290"/>
      <c r="AV30" s="290"/>
      <c r="AW30" s="290"/>
      <c r="AX30" s="290"/>
      <c r="AY30" s="290"/>
      <c r="AZ30" s="290"/>
      <c r="BA30" s="290"/>
      <c r="BB30" s="290"/>
      <c r="BC30" s="290"/>
      <c r="BD30" s="290"/>
      <c r="BE30" s="290"/>
      <c r="BF30" s="290"/>
      <c r="BG30" s="290"/>
      <c r="BH30" s="290"/>
      <c r="BI30" s="290"/>
      <c r="BJ30" s="291"/>
      <c r="BL30" s="96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10"/>
      <c r="CD30" s="10"/>
      <c r="CE30" s="10"/>
      <c r="CF30" s="10"/>
      <c r="CG30" s="10"/>
      <c r="CH30" s="10"/>
      <c r="CI30" s="10"/>
    </row>
    <row r="31" spans="1:87" s="9" customFormat="1" ht="40.5" customHeight="1">
      <c r="A31" s="282">
        <f t="shared" si="0"/>
        <v>23</v>
      </c>
      <c r="B31" s="282"/>
      <c r="C31" s="282"/>
      <c r="D31" s="292" t="s">
        <v>178</v>
      </c>
      <c r="E31" s="287"/>
      <c r="F31" s="287"/>
      <c r="G31" s="287"/>
      <c r="H31" s="287"/>
      <c r="I31" s="287"/>
      <c r="J31" s="287"/>
      <c r="K31" s="287"/>
      <c r="L31" s="287"/>
      <c r="M31" s="287"/>
      <c r="N31" s="287"/>
      <c r="O31" s="287"/>
      <c r="P31" s="287"/>
      <c r="Q31" s="288"/>
      <c r="R31" s="283">
        <v>14</v>
      </c>
      <c r="S31" s="284"/>
      <c r="T31" s="285"/>
      <c r="U31" s="286" t="s">
        <v>207</v>
      </c>
      <c r="V31" s="287"/>
      <c r="W31" s="287"/>
      <c r="X31" s="287"/>
      <c r="Y31" s="287"/>
      <c r="Z31" s="287"/>
      <c r="AA31" s="287"/>
      <c r="AB31" s="287"/>
      <c r="AC31" s="287"/>
      <c r="AD31" s="288"/>
      <c r="AE31" s="289" t="s">
        <v>376</v>
      </c>
      <c r="AF31" s="290"/>
      <c r="AG31" s="290"/>
      <c r="AH31" s="290"/>
      <c r="AI31" s="290"/>
      <c r="AJ31" s="290"/>
      <c r="AK31" s="290"/>
      <c r="AL31" s="290"/>
      <c r="AM31" s="290"/>
      <c r="AN31" s="290"/>
      <c r="AO31" s="290"/>
      <c r="AP31" s="290"/>
      <c r="AQ31" s="290"/>
      <c r="AR31" s="290"/>
      <c r="AS31" s="290"/>
      <c r="AT31" s="290"/>
      <c r="AU31" s="290"/>
      <c r="AV31" s="290"/>
      <c r="AW31" s="290"/>
      <c r="AX31" s="290"/>
      <c r="AY31" s="290"/>
      <c r="AZ31" s="290"/>
      <c r="BA31" s="290"/>
      <c r="BB31" s="290"/>
      <c r="BC31" s="290"/>
      <c r="BD31" s="290"/>
      <c r="BE31" s="290"/>
      <c r="BF31" s="290"/>
      <c r="BG31" s="290"/>
      <c r="BH31" s="290"/>
      <c r="BI31" s="290"/>
      <c r="BJ31" s="291"/>
      <c r="BL31" s="96"/>
      <c r="BS31" s="10"/>
      <c r="BT31" s="10"/>
      <c r="BU31" s="10"/>
      <c r="BV31" s="10"/>
      <c r="BW31" s="10"/>
      <c r="BX31" s="10"/>
      <c r="BY31" s="10"/>
      <c r="BZ31" s="10"/>
      <c r="CA31" s="10"/>
      <c r="CB31" s="10"/>
      <c r="CC31" s="10"/>
      <c r="CD31" s="10"/>
      <c r="CE31" s="10"/>
      <c r="CF31" s="10"/>
      <c r="CG31" s="10"/>
      <c r="CH31" s="10"/>
      <c r="CI31" s="10"/>
    </row>
    <row r="32" spans="1:87" s="9" customFormat="1" ht="40.5" customHeight="1">
      <c r="A32" s="282">
        <f t="shared" si="0"/>
        <v>24</v>
      </c>
      <c r="B32" s="282"/>
      <c r="C32" s="282"/>
      <c r="D32" s="292" t="s">
        <v>179</v>
      </c>
      <c r="E32" s="287"/>
      <c r="F32" s="287"/>
      <c r="G32" s="287"/>
      <c r="H32" s="287"/>
      <c r="I32" s="287"/>
      <c r="J32" s="287"/>
      <c r="K32" s="287"/>
      <c r="L32" s="287"/>
      <c r="M32" s="287"/>
      <c r="N32" s="287"/>
      <c r="O32" s="287"/>
      <c r="P32" s="287"/>
      <c r="Q32" s="288"/>
      <c r="R32" s="283" t="s">
        <v>213</v>
      </c>
      <c r="S32" s="284"/>
      <c r="T32" s="285"/>
      <c r="U32" s="293" t="s">
        <v>208</v>
      </c>
      <c r="V32" s="287"/>
      <c r="W32" s="287"/>
      <c r="X32" s="287"/>
      <c r="Y32" s="287"/>
      <c r="Z32" s="287"/>
      <c r="AA32" s="287"/>
      <c r="AB32" s="287"/>
      <c r="AC32" s="287"/>
      <c r="AD32" s="288"/>
      <c r="AE32" s="289" t="s">
        <v>377</v>
      </c>
      <c r="AF32" s="290"/>
      <c r="AG32" s="290"/>
      <c r="AH32" s="290"/>
      <c r="AI32" s="290"/>
      <c r="AJ32" s="290"/>
      <c r="AK32" s="290"/>
      <c r="AL32" s="290"/>
      <c r="AM32" s="290"/>
      <c r="AN32" s="290"/>
      <c r="AO32" s="290"/>
      <c r="AP32" s="290"/>
      <c r="AQ32" s="290"/>
      <c r="AR32" s="290"/>
      <c r="AS32" s="290"/>
      <c r="AT32" s="290"/>
      <c r="AU32" s="290"/>
      <c r="AV32" s="290"/>
      <c r="AW32" s="290"/>
      <c r="AX32" s="290"/>
      <c r="AY32" s="290"/>
      <c r="AZ32" s="290"/>
      <c r="BA32" s="290"/>
      <c r="BB32" s="290"/>
      <c r="BC32" s="290"/>
      <c r="BD32" s="290"/>
      <c r="BE32" s="290"/>
      <c r="BF32" s="290"/>
      <c r="BG32" s="290"/>
      <c r="BH32" s="290"/>
      <c r="BI32" s="290"/>
      <c r="BJ32" s="291"/>
      <c r="BL32" s="96"/>
      <c r="BS32" s="10"/>
      <c r="BT32" s="10"/>
      <c r="BU32" s="10"/>
      <c r="BV32" s="10"/>
      <c r="BW32" s="10"/>
      <c r="BX32" s="10"/>
      <c r="BY32" s="10"/>
      <c r="BZ32" s="10"/>
      <c r="CA32" s="10"/>
      <c r="CB32" s="10"/>
      <c r="CC32" s="10"/>
      <c r="CD32" s="10"/>
      <c r="CE32" s="10"/>
      <c r="CF32" s="10"/>
      <c r="CG32" s="10"/>
      <c r="CH32" s="10"/>
      <c r="CI32" s="10"/>
    </row>
    <row r="33" spans="1:87" s="9" customFormat="1" ht="40.5" customHeight="1">
      <c r="A33" s="282">
        <f t="shared" si="0"/>
        <v>25</v>
      </c>
      <c r="B33" s="282"/>
      <c r="C33" s="282"/>
      <c r="D33" s="292" t="s">
        <v>231</v>
      </c>
      <c r="E33" s="287"/>
      <c r="F33" s="287"/>
      <c r="G33" s="287"/>
      <c r="H33" s="287"/>
      <c r="I33" s="287"/>
      <c r="J33" s="287"/>
      <c r="K33" s="287"/>
      <c r="L33" s="287"/>
      <c r="M33" s="287"/>
      <c r="N33" s="287"/>
      <c r="O33" s="287"/>
      <c r="P33" s="287"/>
      <c r="Q33" s="288"/>
      <c r="R33" s="283">
        <v>14</v>
      </c>
      <c r="S33" s="284"/>
      <c r="T33" s="285"/>
      <c r="U33" s="286" t="s">
        <v>207</v>
      </c>
      <c r="V33" s="287"/>
      <c r="W33" s="287"/>
      <c r="X33" s="287"/>
      <c r="Y33" s="287"/>
      <c r="Z33" s="287"/>
      <c r="AA33" s="287"/>
      <c r="AB33" s="287"/>
      <c r="AC33" s="287"/>
      <c r="AD33" s="288"/>
      <c r="AE33" s="289" t="s">
        <v>206</v>
      </c>
      <c r="AF33" s="290"/>
      <c r="AG33" s="290"/>
      <c r="AH33" s="290"/>
      <c r="AI33" s="290"/>
      <c r="AJ33" s="290"/>
      <c r="AK33" s="290"/>
      <c r="AL33" s="290"/>
      <c r="AM33" s="290"/>
      <c r="AN33" s="290"/>
      <c r="AO33" s="290"/>
      <c r="AP33" s="290"/>
      <c r="AQ33" s="290"/>
      <c r="AR33" s="290"/>
      <c r="AS33" s="290"/>
      <c r="AT33" s="290"/>
      <c r="AU33" s="290"/>
      <c r="AV33" s="290"/>
      <c r="AW33" s="290"/>
      <c r="AX33" s="290"/>
      <c r="AY33" s="290"/>
      <c r="AZ33" s="290"/>
      <c r="BA33" s="290"/>
      <c r="BB33" s="290"/>
      <c r="BC33" s="290"/>
      <c r="BD33" s="290"/>
      <c r="BE33" s="290"/>
      <c r="BF33" s="290"/>
      <c r="BG33" s="290"/>
      <c r="BH33" s="290"/>
      <c r="BI33" s="290"/>
      <c r="BJ33" s="291"/>
      <c r="BL33" s="96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10"/>
      <c r="CI33" s="10"/>
    </row>
    <row r="34" spans="1:87" s="9" customFormat="1" ht="40.5" customHeight="1">
      <c r="A34" s="282">
        <f t="shared" si="0"/>
        <v>26</v>
      </c>
      <c r="B34" s="282"/>
      <c r="C34" s="282"/>
      <c r="D34" s="292" t="s">
        <v>232</v>
      </c>
      <c r="E34" s="287"/>
      <c r="F34" s="287"/>
      <c r="G34" s="287"/>
      <c r="H34" s="287"/>
      <c r="I34" s="287"/>
      <c r="J34" s="287"/>
      <c r="K34" s="287"/>
      <c r="L34" s="287"/>
      <c r="M34" s="287"/>
      <c r="N34" s="287"/>
      <c r="O34" s="287"/>
      <c r="P34" s="287"/>
      <c r="Q34" s="288"/>
      <c r="R34" s="283">
        <v>14</v>
      </c>
      <c r="S34" s="284"/>
      <c r="T34" s="285"/>
      <c r="U34" s="286" t="s">
        <v>207</v>
      </c>
      <c r="V34" s="287"/>
      <c r="W34" s="287"/>
      <c r="X34" s="287"/>
      <c r="Y34" s="287"/>
      <c r="Z34" s="287"/>
      <c r="AA34" s="287"/>
      <c r="AB34" s="287"/>
      <c r="AC34" s="287"/>
      <c r="AD34" s="288"/>
      <c r="AE34" s="289" t="s">
        <v>209</v>
      </c>
      <c r="AF34" s="290"/>
      <c r="AG34" s="290"/>
      <c r="AH34" s="290"/>
      <c r="AI34" s="290"/>
      <c r="AJ34" s="290"/>
      <c r="AK34" s="290"/>
      <c r="AL34" s="290"/>
      <c r="AM34" s="290"/>
      <c r="AN34" s="290"/>
      <c r="AO34" s="290"/>
      <c r="AP34" s="290"/>
      <c r="AQ34" s="290"/>
      <c r="AR34" s="290"/>
      <c r="AS34" s="290"/>
      <c r="AT34" s="290"/>
      <c r="AU34" s="290"/>
      <c r="AV34" s="290"/>
      <c r="AW34" s="290"/>
      <c r="AX34" s="290"/>
      <c r="AY34" s="290"/>
      <c r="AZ34" s="290"/>
      <c r="BA34" s="290"/>
      <c r="BB34" s="290"/>
      <c r="BC34" s="290"/>
      <c r="BD34" s="290"/>
      <c r="BE34" s="290"/>
      <c r="BF34" s="290"/>
      <c r="BG34" s="290"/>
      <c r="BH34" s="290"/>
      <c r="BI34" s="290"/>
      <c r="BJ34" s="291"/>
      <c r="BL34" s="96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0"/>
      <c r="CE34" s="10"/>
      <c r="CF34" s="10"/>
      <c r="CG34" s="10"/>
      <c r="CH34" s="10"/>
      <c r="CI34" s="10"/>
    </row>
    <row r="35" spans="1:87" s="9" customFormat="1" ht="40.5" customHeight="1">
      <c r="A35" s="282">
        <f t="shared" si="0"/>
        <v>27</v>
      </c>
      <c r="B35" s="282"/>
      <c r="C35" s="282"/>
      <c r="D35" s="292" t="s">
        <v>229</v>
      </c>
      <c r="E35" s="287"/>
      <c r="F35" s="287"/>
      <c r="G35" s="287"/>
      <c r="H35" s="287"/>
      <c r="I35" s="287"/>
      <c r="J35" s="287"/>
      <c r="K35" s="287"/>
      <c r="L35" s="287"/>
      <c r="M35" s="287"/>
      <c r="N35" s="287"/>
      <c r="O35" s="287"/>
      <c r="P35" s="287"/>
      <c r="Q35" s="288"/>
      <c r="R35" s="283">
        <v>14</v>
      </c>
      <c r="S35" s="284"/>
      <c r="T35" s="285"/>
      <c r="U35" s="286" t="s">
        <v>207</v>
      </c>
      <c r="V35" s="287"/>
      <c r="W35" s="287"/>
      <c r="X35" s="287"/>
      <c r="Y35" s="287"/>
      <c r="Z35" s="287"/>
      <c r="AA35" s="287"/>
      <c r="AB35" s="287"/>
      <c r="AC35" s="287"/>
      <c r="AD35" s="288"/>
      <c r="AE35" s="289" t="s">
        <v>233</v>
      </c>
      <c r="AF35" s="290"/>
      <c r="AG35" s="290"/>
      <c r="AH35" s="290"/>
      <c r="AI35" s="290"/>
      <c r="AJ35" s="290"/>
      <c r="AK35" s="290"/>
      <c r="AL35" s="290"/>
      <c r="AM35" s="290"/>
      <c r="AN35" s="290"/>
      <c r="AO35" s="290"/>
      <c r="AP35" s="290"/>
      <c r="AQ35" s="290"/>
      <c r="AR35" s="290"/>
      <c r="AS35" s="290"/>
      <c r="AT35" s="290"/>
      <c r="AU35" s="290"/>
      <c r="AV35" s="290"/>
      <c r="AW35" s="290"/>
      <c r="AX35" s="290"/>
      <c r="AY35" s="290"/>
      <c r="AZ35" s="290"/>
      <c r="BA35" s="290"/>
      <c r="BB35" s="290"/>
      <c r="BC35" s="290"/>
      <c r="BD35" s="290"/>
      <c r="BE35" s="290"/>
      <c r="BF35" s="290"/>
      <c r="BG35" s="290"/>
      <c r="BH35" s="290"/>
      <c r="BI35" s="290"/>
      <c r="BJ35" s="291"/>
      <c r="BL35" s="96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  <c r="CE35" s="10"/>
      <c r="CF35" s="10"/>
      <c r="CG35" s="10"/>
      <c r="CH35" s="10"/>
      <c r="CI35" s="10"/>
    </row>
    <row r="36" spans="1:87" s="9" customFormat="1" ht="40.5" customHeight="1">
      <c r="A36" s="282">
        <f t="shared" si="0"/>
        <v>28</v>
      </c>
      <c r="B36" s="282"/>
      <c r="C36" s="282"/>
      <c r="D36" s="292" t="s">
        <v>230</v>
      </c>
      <c r="E36" s="287"/>
      <c r="F36" s="287"/>
      <c r="G36" s="287"/>
      <c r="H36" s="287"/>
      <c r="I36" s="287"/>
      <c r="J36" s="287"/>
      <c r="K36" s="287"/>
      <c r="L36" s="287"/>
      <c r="M36" s="287"/>
      <c r="N36" s="287"/>
      <c r="O36" s="287"/>
      <c r="P36" s="287"/>
      <c r="Q36" s="288"/>
      <c r="R36" s="283">
        <v>14</v>
      </c>
      <c r="S36" s="284"/>
      <c r="T36" s="285"/>
      <c r="U36" s="286" t="s">
        <v>207</v>
      </c>
      <c r="V36" s="287"/>
      <c r="W36" s="287"/>
      <c r="X36" s="287"/>
      <c r="Y36" s="287"/>
      <c r="Z36" s="287"/>
      <c r="AA36" s="287"/>
      <c r="AB36" s="287"/>
      <c r="AC36" s="287"/>
      <c r="AD36" s="288"/>
      <c r="AE36" s="289" t="s">
        <v>259</v>
      </c>
      <c r="AF36" s="290"/>
      <c r="AG36" s="290"/>
      <c r="AH36" s="290"/>
      <c r="AI36" s="290"/>
      <c r="AJ36" s="290"/>
      <c r="AK36" s="290"/>
      <c r="AL36" s="290"/>
      <c r="AM36" s="290"/>
      <c r="AN36" s="290"/>
      <c r="AO36" s="290"/>
      <c r="AP36" s="290"/>
      <c r="AQ36" s="290"/>
      <c r="AR36" s="290"/>
      <c r="AS36" s="290"/>
      <c r="AT36" s="290"/>
      <c r="AU36" s="290"/>
      <c r="AV36" s="290"/>
      <c r="AW36" s="290"/>
      <c r="AX36" s="290"/>
      <c r="AY36" s="290"/>
      <c r="AZ36" s="290"/>
      <c r="BA36" s="290"/>
      <c r="BB36" s="290"/>
      <c r="BC36" s="290"/>
      <c r="BD36" s="290"/>
      <c r="BE36" s="290"/>
      <c r="BF36" s="290"/>
      <c r="BG36" s="290"/>
      <c r="BH36" s="290"/>
      <c r="BI36" s="290"/>
      <c r="BJ36" s="291"/>
      <c r="BL36" s="96"/>
      <c r="BS36" s="10"/>
      <c r="BT36" s="10"/>
      <c r="BU36" s="10"/>
      <c r="BV36" s="10"/>
      <c r="BW36" s="10"/>
      <c r="BX36" s="10"/>
      <c r="BY36" s="10"/>
      <c r="BZ36" s="10"/>
      <c r="CA36" s="10"/>
      <c r="CB36" s="10"/>
      <c r="CC36" s="10"/>
      <c r="CD36" s="10"/>
      <c r="CE36" s="10"/>
      <c r="CF36" s="10"/>
      <c r="CG36" s="10"/>
      <c r="CH36" s="10"/>
      <c r="CI36" s="10"/>
    </row>
    <row r="37" spans="1:87" s="9" customFormat="1" ht="48.6" customHeight="1">
      <c r="A37" s="282">
        <f t="shared" si="0"/>
        <v>29</v>
      </c>
      <c r="B37" s="282"/>
      <c r="C37" s="282"/>
      <c r="D37" s="289" t="s">
        <v>417</v>
      </c>
      <c r="E37" s="290"/>
      <c r="F37" s="290"/>
      <c r="G37" s="290"/>
      <c r="H37" s="290"/>
      <c r="I37" s="290"/>
      <c r="J37" s="290"/>
      <c r="K37" s="290"/>
      <c r="L37" s="290"/>
      <c r="M37" s="290"/>
      <c r="N37" s="290"/>
      <c r="O37" s="290"/>
      <c r="P37" s="290"/>
      <c r="Q37" s="291"/>
      <c r="R37" s="283" t="s">
        <v>213</v>
      </c>
      <c r="S37" s="284"/>
      <c r="T37" s="285"/>
      <c r="U37" s="293" t="s">
        <v>393</v>
      </c>
      <c r="V37" s="287"/>
      <c r="W37" s="287"/>
      <c r="X37" s="287"/>
      <c r="Y37" s="287"/>
      <c r="Z37" s="287"/>
      <c r="AA37" s="287"/>
      <c r="AB37" s="287"/>
      <c r="AC37" s="287"/>
      <c r="AD37" s="288"/>
      <c r="AE37" s="289" t="s">
        <v>396</v>
      </c>
      <c r="AF37" s="287"/>
      <c r="AG37" s="287"/>
      <c r="AH37" s="287"/>
      <c r="AI37" s="287"/>
      <c r="AJ37" s="287"/>
      <c r="AK37" s="287"/>
      <c r="AL37" s="287"/>
      <c r="AM37" s="287"/>
      <c r="AN37" s="287"/>
      <c r="AO37" s="287"/>
      <c r="AP37" s="287"/>
      <c r="AQ37" s="287"/>
      <c r="AR37" s="287"/>
      <c r="AS37" s="287"/>
      <c r="AT37" s="287"/>
      <c r="AU37" s="287"/>
      <c r="AV37" s="287"/>
      <c r="AW37" s="287"/>
      <c r="AX37" s="287"/>
      <c r="AY37" s="287"/>
      <c r="AZ37" s="287"/>
      <c r="BA37" s="287"/>
      <c r="BB37" s="287"/>
      <c r="BC37" s="287"/>
      <c r="BD37" s="287"/>
      <c r="BE37" s="287"/>
      <c r="BF37" s="287"/>
      <c r="BG37" s="287"/>
      <c r="BH37" s="287"/>
      <c r="BI37" s="287"/>
      <c r="BJ37" s="288"/>
      <c r="BL37" s="96"/>
      <c r="BS37" s="10"/>
      <c r="BT37" s="10"/>
      <c r="BU37" s="10"/>
      <c r="BV37" s="10"/>
      <c r="BW37" s="10"/>
      <c r="BX37" s="10"/>
      <c r="BY37" s="10"/>
      <c r="BZ37" s="10"/>
      <c r="CA37" s="10"/>
      <c r="CB37" s="10"/>
      <c r="CC37" s="10"/>
      <c r="CD37" s="10"/>
      <c r="CE37" s="10"/>
      <c r="CF37" s="10"/>
      <c r="CG37" s="10"/>
      <c r="CH37" s="10"/>
      <c r="CI37" s="10"/>
    </row>
    <row r="38" spans="1:87" s="9" customFormat="1" ht="48.6" customHeight="1">
      <c r="A38" s="282">
        <f t="shared" si="0"/>
        <v>30</v>
      </c>
      <c r="B38" s="282"/>
      <c r="C38" s="282"/>
      <c r="D38" s="289" t="s">
        <v>426</v>
      </c>
      <c r="E38" s="290"/>
      <c r="F38" s="290"/>
      <c r="G38" s="290"/>
      <c r="H38" s="290"/>
      <c r="I38" s="290"/>
      <c r="J38" s="290"/>
      <c r="K38" s="290"/>
      <c r="L38" s="290"/>
      <c r="M38" s="290"/>
      <c r="N38" s="290"/>
      <c r="O38" s="290"/>
      <c r="P38" s="290"/>
      <c r="Q38" s="291"/>
      <c r="R38" s="283">
        <v>14</v>
      </c>
      <c r="S38" s="284"/>
      <c r="T38" s="285"/>
      <c r="U38" s="286" t="s">
        <v>207</v>
      </c>
      <c r="V38" s="287"/>
      <c r="W38" s="287"/>
      <c r="X38" s="287"/>
      <c r="Y38" s="287"/>
      <c r="Z38" s="287"/>
      <c r="AA38" s="287"/>
      <c r="AB38" s="287"/>
      <c r="AC38" s="287"/>
      <c r="AD38" s="288"/>
      <c r="AE38" s="289" t="s">
        <v>373</v>
      </c>
      <c r="AF38" s="287"/>
      <c r="AG38" s="287"/>
      <c r="AH38" s="287"/>
      <c r="AI38" s="287"/>
      <c r="AJ38" s="287"/>
      <c r="AK38" s="287"/>
      <c r="AL38" s="287"/>
      <c r="AM38" s="287"/>
      <c r="AN38" s="287"/>
      <c r="AO38" s="287"/>
      <c r="AP38" s="287"/>
      <c r="AQ38" s="287"/>
      <c r="AR38" s="287"/>
      <c r="AS38" s="287"/>
      <c r="AT38" s="287"/>
      <c r="AU38" s="287"/>
      <c r="AV38" s="287"/>
      <c r="AW38" s="287"/>
      <c r="AX38" s="287"/>
      <c r="AY38" s="287"/>
      <c r="AZ38" s="287"/>
      <c r="BA38" s="287"/>
      <c r="BB38" s="287"/>
      <c r="BC38" s="287"/>
      <c r="BD38" s="287"/>
      <c r="BE38" s="287"/>
      <c r="BF38" s="287"/>
      <c r="BG38" s="287"/>
      <c r="BH38" s="287"/>
      <c r="BI38" s="287"/>
      <c r="BJ38" s="288"/>
      <c r="BL38" s="96"/>
      <c r="BS38" s="10"/>
      <c r="BT38" s="10"/>
      <c r="BU38" s="10"/>
      <c r="BV38" s="10"/>
      <c r="BW38" s="10"/>
      <c r="BX38" s="10"/>
      <c r="BY38" s="10"/>
      <c r="BZ38" s="10"/>
      <c r="CA38" s="10"/>
      <c r="CB38" s="10"/>
      <c r="CC38" s="10"/>
      <c r="CD38" s="10"/>
      <c r="CE38" s="10"/>
      <c r="CF38" s="10"/>
      <c r="CG38" s="10"/>
      <c r="CH38" s="10"/>
      <c r="CI38" s="10"/>
    </row>
    <row r="39" spans="1:87" s="9" customFormat="1" ht="48.6" customHeight="1">
      <c r="A39" s="282">
        <f t="shared" si="0"/>
        <v>31</v>
      </c>
      <c r="B39" s="282"/>
      <c r="C39" s="282"/>
      <c r="D39" s="292" t="s">
        <v>180</v>
      </c>
      <c r="E39" s="287"/>
      <c r="F39" s="287"/>
      <c r="G39" s="287"/>
      <c r="H39" s="287"/>
      <c r="I39" s="287"/>
      <c r="J39" s="287"/>
      <c r="K39" s="287"/>
      <c r="L39" s="287"/>
      <c r="M39" s="287"/>
      <c r="N39" s="287"/>
      <c r="O39" s="287"/>
      <c r="P39" s="287"/>
      <c r="Q39" s="288"/>
      <c r="R39" s="283">
        <v>14</v>
      </c>
      <c r="S39" s="284"/>
      <c r="T39" s="285"/>
      <c r="U39" s="286" t="s">
        <v>207</v>
      </c>
      <c r="V39" s="287"/>
      <c r="W39" s="287"/>
      <c r="X39" s="287"/>
      <c r="Y39" s="287"/>
      <c r="Z39" s="287"/>
      <c r="AA39" s="287"/>
      <c r="AB39" s="287"/>
      <c r="AC39" s="287"/>
      <c r="AD39" s="288"/>
      <c r="AE39" s="289" t="s">
        <v>269</v>
      </c>
      <c r="AF39" s="287"/>
      <c r="AG39" s="287"/>
      <c r="AH39" s="287"/>
      <c r="AI39" s="287"/>
      <c r="AJ39" s="287"/>
      <c r="AK39" s="287"/>
      <c r="AL39" s="287"/>
      <c r="AM39" s="287"/>
      <c r="AN39" s="287"/>
      <c r="AO39" s="287"/>
      <c r="AP39" s="287"/>
      <c r="AQ39" s="287"/>
      <c r="AR39" s="287"/>
      <c r="AS39" s="287"/>
      <c r="AT39" s="287"/>
      <c r="AU39" s="287"/>
      <c r="AV39" s="287"/>
      <c r="AW39" s="287"/>
      <c r="AX39" s="287"/>
      <c r="AY39" s="287"/>
      <c r="AZ39" s="287"/>
      <c r="BA39" s="287"/>
      <c r="BB39" s="287"/>
      <c r="BC39" s="287"/>
      <c r="BD39" s="287"/>
      <c r="BE39" s="287"/>
      <c r="BF39" s="287"/>
      <c r="BG39" s="287"/>
      <c r="BH39" s="287"/>
      <c r="BI39" s="287"/>
      <c r="BJ39" s="288"/>
      <c r="BL39" s="96"/>
      <c r="BS39" s="10"/>
      <c r="BT39" s="10"/>
      <c r="BU39" s="10"/>
      <c r="BV39" s="10"/>
      <c r="BW39" s="10"/>
      <c r="BX39" s="10"/>
      <c r="BY39" s="10"/>
      <c r="BZ39" s="10"/>
      <c r="CA39" s="10"/>
      <c r="CB39" s="10"/>
      <c r="CC39" s="10"/>
      <c r="CD39" s="10"/>
      <c r="CE39" s="10"/>
      <c r="CF39" s="10"/>
      <c r="CG39" s="10"/>
      <c r="CH39" s="10"/>
      <c r="CI39" s="10"/>
    </row>
    <row r="40" spans="1:87" s="9" customFormat="1" ht="48.6" customHeight="1">
      <c r="A40" s="282">
        <f t="shared" si="0"/>
        <v>32</v>
      </c>
      <c r="B40" s="282"/>
      <c r="C40" s="282"/>
      <c r="D40" s="292" t="s">
        <v>181</v>
      </c>
      <c r="E40" s="287"/>
      <c r="F40" s="287"/>
      <c r="G40" s="287"/>
      <c r="H40" s="287"/>
      <c r="I40" s="287"/>
      <c r="J40" s="287"/>
      <c r="K40" s="287"/>
      <c r="L40" s="287"/>
      <c r="M40" s="287"/>
      <c r="N40" s="287"/>
      <c r="O40" s="287"/>
      <c r="P40" s="287"/>
      <c r="Q40" s="288"/>
      <c r="R40" s="283">
        <v>14</v>
      </c>
      <c r="S40" s="284"/>
      <c r="T40" s="285"/>
      <c r="U40" s="286" t="s">
        <v>207</v>
      </c>
      <c r="V40" s="287"/>
      <c r="W40" s="287"/>
      <c r="X40" s="287"/>
      <c r="Y40" s="287"/>
      <c r="Z40" s="287"/>
      <c r="AA40" s="287"/>
      <c r="AB40" s="287"/>
      <c r="AC40" s="287"/>
      <c r="AD40" s="288"/>
      <c r="AE40" s="289" t="s">
        <v>386</v>
      </c>
      <c r="AF40" s="290"/>
      <c r="AG40" s="290"/>
      <c r="AH40" s="290"/>
      <c r="AI40" s="290"/>
      <c r="AJ40" s="290"/>
      <c r="AK40" s="290"/>
      <c r="AL40" s="290"/>
      <c r="AM40" s="290"/>
      <c r="AN40" s="290"/>
      <c r="AO40" s="290"/>
      <c r="AP40" s="290"/>
      <c r="AQ40" s="290"/>
      <c r="AR40" s="290"/>
      <c r="AS40" s="290"/>
      <c r="AT40" s="290"/>
      <c r="AU40" s="290"/>
      <c r="AV40" s="290"/>
      <c r="AW40" s="290"/>
      <c r="AX40" s="290"/>
      <c r="AY40" s="290"/>
      <c r="AZ40" s="290"/>
      <c r="BA40" s="290"/>
      <c r="BB40" s="290"/>
      <c r="BC40" s="290"/>
      <c r="BD40" s="290"/>
      <c r="BE40" s="290"/>
      <c r="BF40" s="290"/>
      <c r="BG40" s="290"/>
      <c r="BH40" s="290"/>
      <c r="BI40" s="290"/>
      <c r="BJ40" s="291"/>
      <c r="BL40" s="96"/>
      <c r="BS40" s="10"/>
      <c r="BT40" s="10"/>
      <c r="BU40" s="10"/>
      <c r="BV40" s="10"/>
      <c r="BW40" s="10"/>
      <c r="BX40" s="10"/>
      <c r="BY40" s="10"/>
      <c r="BZ40" s="10"/>
      <c r="CA40" s="10"/>
      <c r="CB40" s="10"/>
      <c r="CC40" s="10"/>
      <c r="CD40" s="10"/>
      <c r="CE40" s="10"/>
      <c r="CF40" s="10"/>
      <c r="CG40" s="10"/>
      <c r="CH40" s="10"/>
      <c r="CI40" s="10"/>
    </row>
    <row r="41" spans="1:87" s="9" customFormat="1" ht="48.6" customHeight="1">
      <c r="A41" s="282">
        <f t="shared" si="0"/>
        <v>33</v>
      </c>
      <c r="B41" s="282"/>
      <c r="C41" s="282"/>
      <c r="D41" s="289" t="s">
        <v>418</v>
      </c>
      <c r="E41" s="290"/>
      <c r="F41" s="290"/>
      <c r="G41" s="290"/>
      <c r="H41" s="290"/>
      <c r="I41" s="290"/>
      <c r="J41" s="290"/>
      <c r="K41" s="290"/>
      <c r="L41" s="290"/>
      <c r="M41" s="290"/>
      <c r="N41" s="290"/>
      <c r="O41" s="290"/>
      <c r="P41" s="290"/>
      <c r="Q41" s="291"/>
      <c r="R41" s="283" t="s">
        <v>213</v>
      </c>
      <c r="S41" s="284"/>
      <c r="T41" s="285"/>
      <c r="U41" s="293" t="s">
        <v>393</v>
      </c>
      <c r="V41" s="287"/>
      <c r="W41" s="287"/>
      <c r="X41" s="287"/>
      <c r="Y41" s="287"/>
      <c r="Z41" s="287"/>
      <c r="AA41" s="287"/>
      <c r="AB41" s="287"/>
      <c r="AC41" s="287"/>
      <c r="AD41" s="288"/>
      <c r="AE41" s="289" t="s">
        <v>397</v>
      </c>
      <c r="AF41" s="287"/>
      <c r="AG41" s="287"/>
      <c r="AH41" s="287"/>
      <c r="AI41" s="287"/>
      <c r="AJ41" s="287"/>
      <c r="AK41" s="287"/>
      <c r="AL41" s="287"/>
      <c r="AM41" s="287"/>
      <c r="AN41" s="287"/>
      <c r="AO41" s="287"/>
      <c r="AP41" s="287"/>
      <c r="AQ41" s="287"/>
      <c r="AR41" s="287"/>
      <c r="AS41" s="287"/>
      <c r="AT41" s="287"/>
      <c r="AU41" s="287"/>
      <c r="AV41" s="287"/>
      <c r="AW41" s="287"/>
      <c r="AX41" s="287"/>
      <c r="AY41" s="287"/>
      <c r="AZ41" s="287"/>
      <c r="BA41" s="287"/>
      <c r="BB41" s="287"/>
      <c r="BC41" s="287"/>
      <c r="BD41" s="287"/>
      <c r="BE41" s="287"/>
      <c r="BF41" s="287"/>
      <c r="BG41" s="287"/>
      <c r="BH41" s="287"/>
      <c r="BI41" s="287"/>
      <c r="BJ41" s="288"/>
      <c r="BL41" s="96"/>
      <c r="BS41" s="10"/>
      <c r="BT41" s="10"/>
      <c r="BU41" s="10"/>
      <c r="BV41" s="10"/>
      <c r="BW41" s="10"/>
      <c r="BX41" s="10"/>
      <c r="BY41" s="10"/>
      <c r="BZ41" s="10"/>
      <c r="CA41" s="10"/>
      <c r="CB41" s="10"/>
      <c r="CC41" s="10"/>
      <c r="CD41" s="10"/>
      <c r="CE41" s="10"/>
      <c r="CF41" s="10"/>
      <c r="CG41" s="10"/>
      <c r="CH41" s="10"/>
      <c r="CI41" s="10"/>
    </row>
    <row r="42" spans="1:87" s="9" customFormat="1" ht="48.6" customHeight="1">
      <c r="A42" s="282">
        <f t="shared" si="0"/>
        <v>34</v>
      </c>
      <c r="B42" s="282"/>
      <c r="C42" s="282"/>
      <c r="D42" s="289" t="s">
        <v>427</v>
      </c>
      <c r="E42" s="290"/>
      <c r="F42" s="290"/>
      <c r="G42" s="290"/>
      <c r="H42" s="290"/>
      <c r="I42" s="290"/>
      <c r="J42" s="290"/>
      <c r="K42" s="290"/>
      <c r="L42" s="290"/>
      <c r="M42" s="290"/>
      <c r="N42" s="290"/>
      <c r="O42" s="290"/>
      <c r="P42" s="290"/>
      <c r="Q42" s="291"/>
      <c r="R42" s="283">
        <v>14</v>
      </c>
      <c r="S42" s="284"/>
      <c r="T42" s="285"/>
      <c r="U42" s="286" t="s">
        <v>207</v>
      </c>
      <c r="V42" s="287"/>
      <c r="W42" s="287"/>
      <c r="X42" s="287"/>
      <c r="Y42" s="287"/>
      <c r="Z42" s="287"/>
      <c r="AA42" s="287"/>
      <c r="AB42" s="287"/>
      <c r="AC42" s="287"/>
      <c r="AD42" s="288"/>
      <c r="AE42" s="289" t="s">
        <v>375</v>
      </c>
      <c r="AF42" s="287"/>
      <c r="AG42" s="287"/>
      <c r="AH42" s="287"/>
      <c r="AI42" s="287"/>
      <c r="AJ42" s="287"/>
      <c r="AK42" s="287"/>
      <c r="AL42" s="287"/>
      <c r="AM42" s="287"/>
      <c r="AN42" s="287"/>
      <c r="AO42" s="287"/>
      <c r="AP42" s="287"/>
      <c r="AQ42" s="287"/>
      <c r="AR42" s="287"/>
      <c r="AS42" s="287"/>
      <c r="AT42" s="287"/>
      <c r="AU42" s="287"/>
      <c r="AV42" s="287"/>
      <c r="AW42" s="287"/>
      <c r="AX42" s="287"/>
      <c r="AY42" s="287"/>
      <c r="AZ42" s="287"/>
      <c r="BA42" s="287"/>
      <c r="BB42" s="287"/>
      <c r="BC42" s="287"/>
      <c r="BD42" s="287"/>
      <c r="BE42" s="287"/>
      <c r="BF42" s="287"/>
      <c r="BG42" s="287"/>
      <c r="BH42" s="287"/>
      <c r="BI42" s="287"/>
      <c r="BJ42" s="288"/>
      <c r="BL42" s="96"/>
      <c r="BS42" s="10"/>
      <c r="BT42" s="10"/>
      <c r="BU42" s="10"/>
      <c r="BV42" s="10"/>
      <c r="BW42" s="10"/>
      <c r="BX42" s="10"/>
      <c r="BY42" s="10"/>
      <c r="BZ42" s="10"/>
      <c r="CA42" s="10"/>
      <c r="CB42" s="10"/>
      <c r="CC42" s="10"/>
      <c r="CD42" s="10"/>
      <c r="CE42" s="10"/>
      <c r="CF42" s="10"/>
      <c r="CG42" s="10"/>
      <c r="CH42" s="10"/>
      <c r="CI42" s="10"/>
    </row>
    <row r="43" spans="1:87" s="9" customFormat="1" ht="48.6" customHeight="1">
      <c r="A43" s="282">
        <f t="shared" si="0"/>
        <v>35</v>
      </c>
      <c r="B43" s="282"/>
      <c r="C43" s="282"/>
      <c r="D43" s="292" t="s">
        <v>182</v>
      </c>
      <c r="E43" s="287"/>
      <c r="F43" s="287"/>
      <c r="G43" s="287"/>
      <c r="H43" s="287"/>
      <c r="I43" s="287"/>
      <c r="J43" s="287"/>
      <c r="K43" s="287"/>
      <c r="L43" s="287"/>
      <c r="M43" s="287"/>
      <c r="N43" s="287"/>
      <c r="O43" s="287"/>
      <c r="P43" s="287"/>
      <c r="Q43" s="288"/>
      <c r="R43" s="283">
        <v>14</v>
      </c>
      <c r="S43" s="284"/>
      <c r="T43" s="285"/>
      <c r="U43" s="286" t="s">
        <v>207</v>
      </c>
      <c r="V43" s="287"/>
      <c r="W43" s="287"/>
      <c r="X43" s="287"/>
      <c r="Y43" s="287"/>
      <c r="Z43" s="287"/>
      <c r="AA43" s="287"/>
      <c r="AB43" s="287"/>
      <c r="AC43" s="287"/>
      <c r="AD43" s="288"/>
      <c r="AE43" s="289" t="s">
        <v>266</v>
      </c>
      <c r="AF43" s="287"/>
      <c r="AG43" s="287"/>
      <c r="AH43" s="287"/>
      <c r="AI43" s="287"/>
      <c r="AJ43" s="287"/>
      <c r="AK43" s="287"/>
      <c r="AL43" s="287"/>
      <c r="AM43" s="287"/>
      <c r="AN43" s="287"/>
      <c r="AO43" s="287"/>
      <c r="AP43" s="287"/>
      <c r="AQ43" s="287"/>
      <c r="AR43" s="287"/>
      <c r="AS43" s="287"/>
      <c r="AT43" s="287"/>
      <c r="AU43" s="287"/>
      <c r="AV43" s="287"/>
      <c r="AW43" s="287"/>
      <c r="AX43" s="287"/>
      <c r="AY43" s="287"/>
      <c r="AZ43" s="287"/>
      <c r="BA43" s="287"/>
      <c r="BB43" s="287"/>
      <c r="BC43" s="287"/>
      <c r="BD43" s="287"/>
      <c r="BE43" s="287"/>
      <c r="BF43" s="287"/>
      <c r="BG43" s="287"/>
      <c r="BH43" s="287"/>
      <c r="BI43" s="287"/>
      <c r="BJ43" s="288"/>
      <c r="BL43" s="96"/>
      <c r="BS43" s="10"/>
      <c r="BT43" s="10"/>
      <c r="BU43" s="10"/>
      <c r="BV43" s="10"/>
      <c r="BW43" s="10"/>
      <c r="BX43" s="10"/>
      <c r="BY43" s="10"/>
      <c r="BZ43" s="10"/>
      <c r="CA43" s="10"/>
      <c r="CB43" s="10"/>
      <c r="CC43" s="10"/>
      <c r="CD43" s="10"/>
      <c r="CE43" s="10"/>
      <c r="CF43" s="10"/>
      <c r="CG43" s="10"/>
      <c r="CH43" s="10"/>
      <c r="CI43" s="10"/>
    </row>
    <row r="44" spans="1:87" s="9" customFormat="1" ht="48.6" customHeight="1">
      <c r="A44" s="282">
        <f t="shared" si="0"/>
        <v>36</v>
      </c>
      <c r="B44" s="282"/>
      <c r="C44" s="282"/>
      <c r="D44" s="292" t="s">
        <v>183</v>
      </c>
      <c r="E44" s="287"/>
      <c r="F44" s="287"/>
      <c r="G44" s="287"/>
      <c r="H44" s="287"/>
      <c r="I44" s="287"/>
      <c r="J44" s="287"/>
      <c r="K44" s="287"/>
      <c r="L44" s="287"/>
      <c r="M44" s="287"/>
      <c r="N44" s="287"/>
      <c r="O44" s="287"/>
      <c r="P44" s="287"/>
      <c r="Q44" s="288"/>
      <c r="R44" s="283">
        <v>14</v>
      </c>
      <c r="S44" s="284"/>
      <c r="T44" s="285"/>
      <c r="U44" s="286" t="s">
        <v>207</v>
      </c>
      <c r="V44" s="287"/>
      <c r="W44" s="287"/>
      <c r="X44" s="287"/>
      <c r="Y44" s="287"/>
      <c r="Z44" s="287"/>
      <c r="AA44" s="287"/>
      <c r="AB44" s="287"/>
      <c r="AC44" s="287"/>
      <c r="AD44" s="288"/>
      <c r="AE44" s="289" t="s">
        <v>265</v>
      </c>
      <c r="AF44" s="290"/>
      <c r="AG44" s="290"/>
      <c r="AH44" s="290"/>
      <c r="AI44" s="290"/>
      <c r="AJ44" s="290"/>
      <c r="AK44" s="290"/>
      <c r="AL44" s="290"/>
      <c r="AM44" s="290"/>
      <c r="AN44" s="290"/>
      <c r="AO44" s="290"/>
      <c r="AP44" s="290"/>
      <c r="AQ44" s="290"/>
      <c r="AR44" s="290"/>
      <c r="AS44" s="290"/>
      <c r="AT44" s="290"/>
      <c r="AU44" s="290"/>
      <c r="AV44" s="290"/>
      <c r="AW44" s="290"/>
      <c r="AX44" s="290"/>
      <c r="AY44" s="290"/>
      <c r="AZ44" s="290"/>
      <c r="BA44" s="290"/>
      <c r="BB44" s="290"/>
      <c r="BC44" s="290"/>
      <c r="BD44" s="290"/>
      <c r="BE44" s="290"/>
      <c r="BF44" s="290"/>
      <c r="BG44" s="290"/>
      <c r="BH44" s="290"/>
      <c r="BI44" s="290"/>
      <c r="BJ44" s="291"/>
      <c r="BL44" s="96"/>
      <c r="BS44" s="10"/>
      <c r="BT44" s="10"/>
      <c r="BU44" s="10"/>
      <c r="BV44" s="10"/>
      <c r="BW44" s="10"/>
      <c r="BX44" s="10"/>
      <c r="BY44" s="10"/>
      <c r="BZ44" s="10"/>
      <c r="CA44" s="10"/>
      <c r="CB44" s="10"/>
      <c r="CC44" s="10"/>
      <c r="CD44" s="10"/>
      <c r="CE44" s="10"/>
      <c r="CF44" s="10"/>
      <c r="CG44" s="10"/>
      <c r="CH44" s="10"/>
      <c r="CI44" s="10"/>
    </row>
    <row r="45" spans="1:87" s="9" customFormat="1" ht="48.6" customHeight="1">
      <c r="A45" s="282">
        <f t="shared" si="0"/>
        <v>37</v>
      </c>
      <c r="B45" s="282"/>
      <c r="C45" s="282"/>
      <c r="D45" s="292" t="s">
        <v>419</v>
      </c>
      <c r="E45" s="287"/>
      <c r="F45" s="287"/>
      <c r="G45" s="287"/>
      <c r="H45" s="287"/>
      <c r="I45" s="287"/>
      <c r="J45" s="287"/>
      <c r="K45" s="287"/>
      <c r="L45" s="287"/>
      <c r="M45" s="287"/>
      <c r="N45" s="287"/>
      <c r="O45" s="287"/>
      <c r="P45" s="287"/>
      <c r="Q45" s="288"/>
      <c r="R45" s="283" t="s">
        <v>213</v>
      </c>
      <c r="S45" s="284"/>
      <c r="T45" s="285"/>
      <c r="U45" s="293" t="s">
        <v>393</v>
      </c>
      <c r="V45" s="287"/>
      <c r="W45" s="287"/>
      <c r="X45" s="287"/>
      <c r="Y45" s="287"/>
      <c r="Z45" s="287"/>
      <c r="AA45" s="287"/>
      <c r="AB45" s="287"/>
      <c r="AC45" s="287"/>
      <c r="AD45" s="288"/>
      <c r="AE45" s="289" t="s">
        <v>398</v>
      </c>
      <c r="AF45" s="290"/>
      <c r="AG45" s="290"/>
      <c r="AH45" s="290"/>
      <c r="AI45" s="290"/>
      <c r="AJ45" s="290"/>
      <c r="AK45" s="290"/>
      <c r="AL45" s="290"/>
      <c r="AM45" s="290"/>
      <c r="AN45" s="290"/>
      <c r="AO45" s="290"/>
      <c r="AP45" s="290"/>
      <c r="AQ45" s="290"/>
      <c r="AR45" s="290"/>
      <c r="AS45" s="290"/>
      <c r="AT45" s="290"/>
      <c r="AU45" s="290"/>
      <c r="AV45" s="290"/>
      <c r="AW45" s="290"/>
      <c r="AX45" s="290"/>
      <c r="AY45" s="290"/>
      <c r="AZ45" s="290"/>
      <c r="BA45" s="290"/>
      <c r="BB45" s="290"/>
      <c r="BC45" s="290"/>
      <c r="BD45" s="290"/>
      <c r="BE45" s="290"/>
      <c r="BF45" s="290"/>
      <c r="BG45" s="290"/>
      <c r="BH45" s="290"/>
      <c r="BI45" s="290"/>
      <c r="BJ45" s="291"/>
      <c r="BL45" s="96"/>
      <c r="BS45" s="10"/>
      <c r="BT45" s="10"/>
      <c r="BU45" s="10"/>
      <c r="BV45" s="10"/>
      <c r="BW45" s="10"/>
      <c r="BX45" s="10"/>
      <c r="BY45" s="10"/>
      <c r="BZ45" s="10"/>
      <c r="CA45" s="10"/>
      <c r="CB45" s="10"/>
      <c r="CC45" s="10"/>
      <c r="CD45" s="10"/>
      <c r="CE45" s="10"/>
      <c r="CF45" s="10"/>
      <c r="CG45" s="10"/>
      <c r="CH45" s="10"/>
      <c r="CI45" s="10"/>
    </row>
    <row r="46" spans="1:87" s="9" customFormat="1" ht="48.6" customHeight="1">
      <c r="A46" s="282">
        <f t="shared" si="0"/>
        <v>38</v>
      </c>
      <c r="B46" s="282"/>
      <c r="C46" s="282"/>
      <c r="D46" s="292" t="s">
        <v>428</v>
      </c>
      <c r="E46" s="287"/>
      <c r="F46" s="287"/>
      <c r="G46" s="287"/>
      <c r="H46" s="287"/>
      <c r="I46" s="287"/>
      <c r="J46" s="287"/>
      <c r="K46" s="287"/>
      <c r="L46" s="287"/>
      <c r="M46" s="287"/>
      <c r="N46" s="287"/>
      <c r="O46" s="287"/>
      <c r="P46" s="287"/>
      <c r="Q46" s="288"/>
      <c r="R46" s="283">
        <v>14</v>
      </c>
      <c r="S46" s="284"/>
      <c r="T46" s="285"/>
      <c r="U46" s="286" t="s">
        <v>207</v>
      </c>
      <c r="V46" s="287"/>
      <c r="W46" s="287"/>
      <c r="X46" s="287"/>
      <c r="Y46" s="287"/>
      <c r="Z46" s="287"/>
      <c r="AA46" s="287"/>
      <c r="AB46" s="287"/>
      <c r="AC46" s="287"/>
      <c r="AD46" s="288"/>
      <c r="AE46" s="289" t="s">
        <v>399</v>
      </c>
      <c r="AF46" s="290"/>
      <c r="AG46" s="290"/>
      <c r="AH46" s="290"/>
      <c r="AI46" s="290"/>
      <c r="AJ46" s="290"/>
      <c r="AK46" s="290"/>
      <c r="AL46" s="290"/>
      <c r="AM46" s="290"/>
      <c r="AN46" s="290"/>
      <c r="AO46" s="290"/>
      <c r="AP46" s="290"/>
      <c r="AQ46" s="290"/>
      <c r="AR46" s="290"/>
      <c r="AS46" s="290"/>
      <c r="AT46" s="290"/>
      <c r="AU46" s="290"/>
      <c r="AV46" s="290"/>
      <c r="AW46" s="290"/>
      <c r="AX46" s="290"/>
      <c r="AY46" s="290"/>
      <c r="AZ46" s="290"/>
      <c r="BA46" s="290"/>
      <c r="BB46" s="290"/>
      <c r="BC46" s="290"/>
      <c r="BD46" s="290"/>
      <c r="BE46" s="290"/>
      <c r="BF46" s="290"/>
      <c r="BG46" s="290"/>
      <c r="BH46" s="290"/>
      <c r="BI46" s="290"/>
      <c r="BJ46" s="291"/>
      <c r="BL46" s="96"/>
      <c r="BS46" s="10"/>
      <c r="BT46" s="10"/>
      <c r="BU46" s="10"/>
      <c r="BV46" s="10"/>
      <c r="BW46" s="10"/>
      <c r="BX46" s="10"/>
      <c r="BY46" s="10"/>
      <c r="BZ46" s="10"/>
      <c r="CA46" s="10"/>
      <c r="CB46" s="10"/>
      <c r="CC46" s="10"/>
      <c r="CD46" s="10"/>
      <c r="CE46" s="10"/>
      <c r="CF46" s="10"/>
      <c r="CG46" s="10"/>
      <c r="CH46" s="10"/>
      <c r="CI46" s="10"/>
    </row>
    <row r="47" spans="1:87" s="9" customFormat="1" ht="40.5" customHeight="1">
      <c r="A47" s="282">
        <f t="shared" si="0"/>
        <v>39</v>
      </c>
      <c r="B47" s="282"/>
      <c r="C47" s="282"/>
      <c r="D47" s="292" t="s">
        <v>184</v>
      </c>
      <c r="E47" s="287"/>
      <c r="F47" s="287"/>
      <c r="G47" s="287"/>
      <c r="H47" s="287"/>
      <c r="I47" s="287"/>
      <c r="J47" s="287"/>
      <c r="K47" s="287"/>
      <c r="L47" s="287"/>
      <c r="M47" s="287"/>
      <c r="N47" s="287"/>
      <c r="O47" s="287"/>
      <c r="P47" s="287"/>
      <c r="Q47" s="288"/>
      <c r="R47" s="283">
        <v>14</v>
      </c>
      <c r="S47" s="284"/>
      <c r="T47" s="285"/>
      <c r="U47" s="286" t="s">
        <v>207</v>
      </c>
      <c r="V47" s="287"/>
      <c r="W47" s="287"/>
      <c r="X47" s="287"/>
      <c r="Y47" s="287"/>
      <c r="Z47" s="287"/>
      <c r="AA47" s="287"/>
      <c r="AB47" s="287"/>
      <c r="AC47" s="287"/>
      <c r="AD47" s="288"/>
      <c r="AE47" s="289" t="s">
        <v>378</v>
      </c>
      <c r="AF47" s="290"/>
      <c r="AG47" s="290"/>
      <c r="AH47" s="290"/>
      <c r="AI47" s="290"/>
      <c r="AJ47" s="290"/>
      <c r="AK47" s="290"/>
      <c r="AL47" s="290"/>
      <c r="AM47" s="290"/>
      <c r="AN47" s="290"/>
      <c r="AO47" s="290"/>
      <c r="AP47" s="290"/>
      <c r="AQ47" s="290"/>
      <c r="AR47" s="290"/>
      <c r="AS47" s="290"/>
      <c r="AT47" s="290"/>
      <c r="AU47" s="290"/>
      <c r="AV47" s="290"/>
      <c r="AW47" s="290"/>
      <c r="AX47" s="290"/>
      <c r="AY47" s="290"/>
      <c r="AZ47" s="290"/>
      <c r="BA47" s="290"/>
      <c r="BB47" s="290"/>
      <c r="BC47" s="290"/>
      <c r="BD47" s="290"/>
      <c r="BE47" s="290"/>
      <c r="BF47" s="290"/>
      <c r="BG47" s="290"/>
      <c r="BH47" s="290"/>
      <c r="BI47" s="290"/>
      <c r="BJ47" s="291"/>
      <c r="BL47" s="96"/>
      <c r="BS47" s="10"/>
      <c r="BT47" s="10"/>
      <c r="BU47" s="10"/>
      <c r="BV47" s="10"/>
      <c r="BW47" s="10"/>
      <c r="BX47" s="10"/>
      <c r="BY47" s="10"/>
      <c r="BZ47" s="10"/>
      <c r="CA47" s="10"/>
      <c r="CB47" s="10"/>
      <c r="CC47" s="10"/>
      <c r="CD47" s="10"/>
      <c r="CE47" s="10"/>
      <c r="CF47" s="10"/>
      <c r="CG47" s="10"/>
      <c r="CH47" s="10"/>
      <c r="CI47" s="10"/>
    </row>
    <row r="48" spans="1:87" s="9" customFormat="1" ht="40.5" customHeight="1">
      <c r="A48" s="282">
        <f t="shared" si="0"/>
        <v>40</v>
      </c>
      <c r="B48" s="282"/>
      <c r="C48" s="282"/>
      <c r="D48" s="292" t="s">
        <v>185</v>
      </c>
      <c r="E48" s="287"/>
      <c r="F48" s="287"/>
      <c r="G48" s="287"/>
      <c r="H48" s="287"/>
      <c r="I48" s="287"/>
      <c r="J48" s="287"/>
      <c r="K48" s="287"/>
      <c r="L48" s="287"/>
      <c r="M48" s="287"/>
      <c r="N48" s="287"/>
      <c r="O48" s="287"/>
      <c r="P48" s="287"/>
      <c r="Q48" s="288"/>
      <c r="R48" s="283" t="s">
        <v>213</v>
      </c>
      <c r="S48" s="284"/>
      <c r="T48" s="285"/>
      <c r="U48" s="293" t="s">
        <v>208</v>
      </c>
      <c r="V48" s="287"/>
      <c r="W48" s="287"/>
      <c r="X48" s="287"/>
      <c r="Y48" s="287"/>
      <c r="Z48" s="287"/>
      <c r="AA48" s="287"/>
      <c r="AB48" s="287"/>
      <c r="AC48" s="287"/>
      <c r="AD48" s="288"/>
      <c r="AE48" s="289" t="s">
        <v>379</v>
      </c>
      <c r="AF48" s="290"/>
      <c r="AG48" s="290"/>
      <c r="AH48" s="290"/>
      <c r="AI48" s="290"/>
      <c r="AJ48" s="290"/>
      <c r="AK48" s="290"/>
      <c r="AL48" s="290"/>
      <c r="AM48" s="290"/>
      <c r="AN48" s="290"/>
      <c r="AO48" s="290"/>
      <c r="AP48" s="290"/>
      <c r="AQ48" s="290"/>
      <c r="AR48" s="290"/>
      <c r="AS48" s="290"/>
      <c r="AT48" s="290"/>
      <c r="AU48" s="290"/>
      <c r="AV48" s="290"/>
      <c r="AW48" s="290"/>
      <c r="AX48" s="290"/>
      <c r="AY48" s="290"/>
      <c r="AZ48" s="290"/>
      <c r="BA48" s="290"/>
      <c r="BB48" s="290"/>
      <c r="BC48" s="290"/>
      <c r="BD48" s="290"/>
      <c r="BE48" s="290"/>
      <c r="BF48" s="290"/>
      <c r="BG48" s="290"/>
      <c r="BH48" s="290"/>
      <c r="BI48" s="290"/>
      <c r="BJ48" s="291"/>
      <c r="BL48" s="96"/>
      <c r="BS48" s="10"/>
      <c r="BT48" s="10"/>
      <c r="BU48" s="10"/>
      <c r="BV48" s="10"/>
      <c r="BW48" s="10"/>
      <c r="BX48" s="10"/>
      <c r="BY48" s="10"/>
      <c r="BZ48" s="10"/>
      <c r="CA48" s="10"/>
      <c r="CB48" s="10"/>
      <c r="CC48" s="10"/>
      <c r="CD48" s="10"/>
      <c r="CE48" s="10"/>
      <c r="CF48" s="10"/>
      <c r="CG48" s="10"/>
      <c r="CH48" s="10"/>
      <c r="CI48" s="10"/>
    </row>
    <row r="49" spans="1:87" s="9" customFormat="1" ht="40.5" customHeight="1">
      <c r="A49" s="282">
        <f t="shared" si="0"/>
        <v>41</v>
      </c>
      <c r="B49" s="282"/>
      <c r="C49" s="282"/>
      <c r="D49" s="292" t="s">
        <v>235</v>
      </c>
      <c r="E49" s="287"/>
      <c r="F49" s="287"/>
      <c r="G49" s="287"/>
      <c r="H49" s="287"/>
      <c r="I49" s="287"/>
      <c r="J49" s="287"/>
      <c r="K49" s="287"/>
      <c r="L49" s="287"/>
      <c r="M49" s="287"/>
      <c r="N49" s="287"/>
      <c r="O49" s="287"/>
      <c r="P49" s="287"/>
      <c r="Q49" s="288"/>
      <c r="R49" s="283">
        <v>14</v>
      </c>
      <c r="S49" s="284"/>
      <c r="T49" s="285"/>
      <c r="U49" s="286" t="s">
        <v>207</v>
      </c>
      <c r="V49" s="287"/>
      <c r="W49" s="287"/>
      <c r="X49" s="287"/>
      <c r="Y49" s="287"/>
      <c r="Z49" s="287"/>
      <c r="AA49" s="287"/>
      <c r="AB49" s="287"/>
      <c r="AC49" s="287"/>
      <c r="AD49" s="288"/>
      <c r="AE49" s="289" t="s">
        <v>242</v>
      </c>
      <c r="AF49" s="290"/>
      <c r="AG49" s="290"/>
      <c r="AH49" s="290"/>
      <c r="AI49" s="290"/>
      <c r="AJ49" s="290"/>
      <c r="AK49" s="290"/>
      <c r="AL49" s="290"/>
      <c r="AM49" s="290"/>
      <c r="AN49" s="290"/>
      <c r="AO49" s="290"/>
      <c r="AP49" s="290"/>
      <c r="AQ49" s="290"/>
      <c r="AR49" s="290"/>
      <c r="AS49" s="290"/>
      <c r="AT49" s="290"/>
      <c r="AU49" s="290"/>
      <c r="AV49" s="290"/>
      <c r="AW49" s="290"/>
      <c r="AX49" s="290"/>
      <c r="AY49" s="290"/>
      <c r="AZ49" s="290"/>
      <c r="BA49" s="290"/>
      <c r="BB49" s="290"/>
      <c r="BC49" s="290"/>
      <c r="BD49" s="290"/>
      <c r="BE49" s="290"/>
      <c r="BF49" s="290"/>
      <c r="BG49" s="290"/>
      <c r="BH49" s="290"/>
      <c r="BI49" s="290"/>
      <c r="BJ49" s="291"/>
      <c r="BL49" s="96"/>
      <c r="BS49" s="10"/>
      <c r="BT49" s="10"/>
      <c r="BU49" s="10"/>
      <c r="BV49" s="10"/>
      <c r="BW49" s="10"/>
      <c r="BX49" s="10"/>
      <c r="BY49" s="10"/>
      <c r="BZ49" s="10"/>
      <c r="CA49" s="10"/>
      <c r="CB49" s="10"/>
      <c r="CC49" s="10"/>
      <c r="CD49" s="10"/>
      <c r="CE49" s="10"/>
      <c r="CF49" s="10"/>
      <c r="CG49" s="10"/>
      <c r="CH49" s="10"/>
      <c r="CI49" s="10"/>
    </row>
    <row r="50" spans="1:87" s="9" customFormat="1" ht="40.5" customHeight="1">
      <c r="A50" s="282">
        <f t="shared" si="0"/>
        <v>42</v>
      </c>
      <c r="B50" s="282"/>
      <c r="C50" s="282"/>
      <c r="D50" s="292" t="s">
        <v>237</v>
      </c>
      <c r="E50" s="287"/>
      <c r="F50" s="287"/>
      <c r="G50" s="287"/>
      <c r="H50" s="287"/>
      <c r="I50" s="287"/>
      <c r="J50" s="287"/>
      <c r="K50" s="287"/>
      <c r="L50" s="287"/>
      <c r="M50" s="287"/>
      <c r="N50" s="287"/>
      <c r="O50" s="287"/>
      <c r="P50" s="287"/>
      <c r="Q50" s="288"/>
      <c r="R50" s="283">
        <v>14</v>
      </c>
      <c r="S50" s="284"/>
      <c r="T50" s="285"/>
      <c r="U50" s="286" t="s">
        <v>207</v>
      </c>
      <c r="V50" s="287"/>
      <c r="W50" s="287"/>
      <c r="X50" s="287"/>
      <c r="Y50" s="287"/>
      <c r="Z50" s="287"/>
      <c r="AA50" s="287"/>
      <c r="AB50" s="287"/>
      <c r="AC50" s="287"/>
      <c r="AD50" s="288"/>
      <c r="AE50" s="289" t="s">
        <v>243</v>
      </c>
      <c r="AF50" s="290"/>
      <c r="AG50" s="290"/>
      <c r="AH50" s="290"/>
      <c r="AI50" s="290"/>
      <c r="AJ50" s="290"/>
      <c r="AK50" s="290"/>
      <c r="AL50" s="290"/>
      <c r="AM50" s="290"/>
      <c r="AN50" s="290"/>
      <c r="AO50" s="290"/>
      <c r="AP50" s="290"/>
      <c r="AQ50" s="290"/>
      <c r="AR50" s="290"/>
      <c r="AS50" s="290"/>
      <c r="AT50" s="290"/>
      <c r="AU50" s="290"/>
      <c r="AV50" s="290"/>
      <c r="AW50" s="290"/>
      <c r="AX50" s="290"/>
      <c r="AY50" s="290"/>
      <c r="AZ50" s="290"/>
      <c r="BA50" s="290"/>
      <c r="BB50" s="290"/>
      <c r="BC50" s="290"/>
      <c r="BD50" s="290"/>
      <c r="BE50" s="290"/>
      <c r="BF50" s="290"/>
      <c r="BG50" s="290"/>
      <c r="BH50" s="290"/>
      <c r="BI50" s="290"/>
      <c r="BJ50" s="291"/>
      <c r="BL50" s="96"/>
      <c r="BS50" s="10"/>
      <c r="BT50" s="10"/>
      <c r="BU50" s="10"/>
      <c r="BV50" s="10"/>
      <c r="BW50" s="10"/>
      <c r="BX50" s="10"/>
      <c r="BY50" s="10"/>
      <c r="BZ50" s="10"/>
      <c r="CA50" s="10"/>
      <c r="CB50" s="10"/>
      <c r="CC50" s="10"/>
      <c r="CD50" s="10"/>
      <c r="CE50" s="10"/>
      <c r="CF50" s="10"/>
      <c r="CG50" s="10"/>
      <c r="CH50" s="10"/>
      <c r="CI50" s="10"/>
    </row>
    <row r="51" spans="1:87" s="9" customFormat="1" ht="40.5" customHeight="1">
      <c r="A51" s="282">
        <f t="shared" si="0"/>
        <v>43</v>
      </c>
      <c r="B51" s="282"/>
      <c r="C51" s="282"/>
      <c r="D51" s="292" t="s">
        <v>239</v>
      </c>
      <c r="E51" s="287"/>
      <c r="F51" s="287"/>
      <c r="G51" s="287"/>
      <c r="H51" s="287"/>
      <c r="I51" s="287"/>
      <c r="J51" s="287"/>
      <c r="K51" s="287"/>
      <c r="L51" s="287"/>
      <c r="M51" s="287"/>
      <c r="N51" s="287"/>
      <c r="O51" s="287"/>
      <c r="P51" s="287"/>
      <c r="Q51" s="288"/>
      <c r="R51" s="283">
        <v>14</v>
      </c>
      <c r="S51" s="284"/>
      <c r="T51" s="285"/>
      <c r="U51" s="286" t="s">
        <v>207</v>
      </c>
      <c r="V51" s="287"/>
      <c r="W51" s="287"/>
      <c r="X51" s="287"/>
      <c r="Y51" s="287"/>
      <c r="Z51" s="287"/>
      <c r="AA51" s="287"/>
      <c r="AB51" s="287"/>
      <c r="AC51" s="287"/>
      <c r="AD51" s="288"/>
      <c r="AE51" s="289" t="s">
        <v>244</v>
      </c>
      <c r="AF51" s="290"/>
      <c r="AG51" s="290"/>
      <c r="AH51" s="290"/>
      <c r="AI51" s="290"/>
      <c r="AJ51" s="290"/>
      <c r="AK51" s="290"/>
      <c r="AL51" s="290"/>
      <c r="AM51" s="290"/>
      <c r="AN51" s="290"/>
      <c r="AO51" s="290"/>
      <c r="AP51" s="290"/>
      <c r="AQ51" s="290"/>
      <c r="AR51" s="290"/>
      <c r="AS51" s="290"/>
      <c r="AT51" s="290"/>
      <c r="AU51" s="290"/>
      <c r="AV51" s="290"/>
      <c r="AW51" s="290"/>
      <c r="AX51" s="290"/>
      <c r="AY51" s="290"/>
      <c r="AZ51" s="290"/>
      <c r="BA51" s="290"/>
      <c r="BB51" s="290"/>
      <c r="BC51" s="290"/>
      <c r="BD51" s="290"/>
      <c r="BE51" s="290"/>
      <c r="BF51" s="290"/>
      <c r="BG51" s="290"/>
      <c r="BH51" s="290"/>
      <c r="BI51" s="290"/>
      <c r="BJ51" s="291"/>
      <c r="BL51" s="96"/>
      <c r="BS51" s="10"/>
      <c r="BT51" s="10"/>
      <c r="BU51" s="10"/>
      <c r="BV51" s="10"/>
      <c r="BW51" s="10"/>
      <c r="BX51" s="10"/>
      <c r="BY51" s="10"/>
      <c r="BZ51" s="10"/>
      <c r="CA51" s="10"/>
      <c r="CB51" s="10"/>
      <c r="CC51" s="10"/>
      <c r="CD51" s="10"/>
      <c r="CE51" s="10"/>
      <c r="CF51" s="10"/>
      <c r="CG51" s="10"/>
      <c r="CH51" s="10"/>
      <c r="CI51" s="10"/>
    </row>
    <row r="52" spans="1:87" s="9" customFormat="1" ht="40.5" customHeight="1">
      <c r="A52" s="282">
        <f t="shared" si="0"/>
        <v>44</v>
      </c>
      <c r="B52" s="282"/>
      <c r="C52" s="282"/>
      <c r="D52" s="292" t="s">
        <v>241</v>
      </c>
      <c r="E52" s="287"/>
      <c r="F52" s="287"/>
      <c r="G52" s="287"/>
      <c r="H52" s="287"/>
      <c r="I52" s="287"/>
      <c r="J52" s="287"/>
      <c r="K52" s="287"/>
      <c r="L52" s="287"/>
      <c r="M52" s="287"/>
      <c r="N52" s="287"/>
      <c r="O52" s="287"/>
      <c r="P52" s="287"/>
      <c r="Q52" s="288"/>
      <c r="R52" s="283">
        <v>14</v>
      </c>
      <c r="S52" s="284"/>
      <c r="T52" s="285"/>
      <c r="U52" s="286" t="s">
        <v>207</v>
      </c>
      <c r="V52" s="287"/>
      <c r="W52" s="287"/>
      <c r="X52" s="287"/>
      <c r="Y52" s="287"/>
      <c r="Z52" s="287"/>
      <c r="AA52" s="287"/>
      <c r="AB52" s="287"/>
      <c r="AC52" s="287"/>
      <c r="AD52" s="288"/>
      <c r="AE52" s="289" t="s">
        <v>245</v>
      </c>
      <c r="AF52" s="290"/>
      <c r="AG52" s="290"/>
      <c r="AH52" s="290"/>
      <c r="AI52" s="290"/>
      <c r="AJ52" s="290"/>
      <c r="AK52" s="290"/>
      <c r="AL52" s="290"/>
      <c r="AM52" s="290"/>
      <c r="AN52" s="290"/>
      <c r="AO52" s="290"/>
      <c r="AP52" s="290"/>
      <c r="AQ52" s="290"/>
      <c r="AR52" s="290"/>
      <c r="AS52" s="290"/>
      <c r="AT52" s="290"/>
      <c r="AU52" s="290"/>
      <c r="AV52" s="290"/>
      <c r="AW52" s="290"/>
      <c r="AX52" s="290"/>
      <c r="AY52" s="290"/>
      <c r="AZ52" s="290"/>
      <c r="BA52" s="290"/>
      <c r="BB52" s="290"/>
      <c r="BC52" s="290"/>
      <c r="BD52" s="290"/>
      <c r="BE52" s="290"/>
      <c r="BF52" s="290"/>
      <c r="BG52" s="290"/>
      <c r="BH52" s="290"/>
      <c r="BI52" s="290"/>
      <c r="BJ52" s="291"/>
      <c r="BL52" s="96"/>
      <c r="BS52" s="10"/>
      <c r="BT52" s="10"/>
      <c r="BU52" s="10"/>
      <c r="BV52" s="10"/>
      <c r="BW52" s="10"/>
      <c r="BX52" s="10"/>
      <c r="BY52" s="10"/>
      <c r="BZ52" s="10"/>
      <c r="CA52" s="10"/>
      <c r="CB52" s="10"/>
      <c r="CC52" s="10"/>
      <c r="CD52" s="10"/>
      <c r="CE52" s="10"/>
      <c r="CF52" s="10"/>
      <c r="CG52" s="10"/>
      <c r="CH52" s="10"/>
      <c r="CI52" s="10"/>
    </row>
    <row r="53" spans="1:87" s="9" customFormat="1" ht="48.6" customHeight="1">
      <c r="A53" s="282">
        <f t="shared" si="0"/>
        <v>45</v>
      </c>
      <c r="B53" s="282"/>
      <c r="C53" s="282"/>
      <c r="D53" s="289" t="s">
        <v>420</v>
      </c>
      <c r="E53" s="290"/>
      <c r="F53" s="290"/>
      <c r="G53" s="290"/>
      <c r="H53" s="290"/>
      <c r="I53" s="290"/>
      <c r="J53" s="290"/>
      <c r="K53" s="290"/>
      <c r="L53" s="290"/>
      <c r="M53" s="290"/>
      <c r="N53" s="290"/>
      <c r="O53" s="290"/>
      <c r="P53" s="290"/>
      <c r="Q53" s="291"/>
      <c r="R53" s="283" t="s">
        <v>213</v>
      </c>
      <c r="S53" s="284"/>
      <c r="T53" s="285"/>
      <c r="U53" s="293" t="s">
        <v>393</v>
      </c>
      <c r="V53" s="287"/>
      <c r="W53" s="287"/>
      <c r="X53" s="287"/>
      <c r="Y53" s="287"/>
      <c r="Z53" s="287"/>
      <c r="AA53" s="287"/>
      <c r="AB53" s="287"/>
      <c r="AC53" s="287"/>
      <c r="AD53" s="288"/>
      <c r="AE53" s="289" t="s">
        <v>400</v>
      </c>
      <c r="AF53" s="287"/>
      <c r="AG53" s="287"/>
      <c r="AH53" s="287"/>
      <c r="AI53" s="287"/>
      <c r="AJ53" s="287"/>
      <c r="AK53" s="287"/>
      <c r="AL53" s="287"/>
      <c r="AM53" s="287"/>
      <c r="AN53" s="287"/>
      <c r="AO53" s="287"/>
      <c r="AP53" s="287"/>
      <c r="AQ53" s="287"/>
      <c r="AR53" s="287"/>
      <c r="AS53" s="287"/>
      <c r="AT53" s="287"/>
      <c r="AU53" s="287"/>
      <c r="AV53" s="287"/>
      <c r="AW53" s="287"/>
      <c r="AX53" s="287"/>
      <c r="AY53" s="287"/>
      <c r="AZ53" s="287"/>
      <c r="BA53" s="287"/>
      <c r="BB53" s="287"/>
      <c r="BC53" s="287"/>
      <c r="BD53" s="287"/>
      <c r="BE53" s="287"/>
      <c r="BF53" s="287"/>
      <c r="BG53" s="287"/>
      <c r="BH53" s="287"/>
      <c r="BI53" s="287"/>
      <c r="BJ53" s="288"/>
      <c r="BL53" s="96"/>
      <c r="BS53" s="10"/>
      <c r="BT53" s="10"/>
      <c r="BU53" s="10"/>
      <c r="BV53" s="10"/>
      <c r="BW53" s="10"/>
      <c r="BX53" s="10"/>
      <c r="BY53" s="10"/>
      <c r="BZ53" s="10"/>
      <c r="CA53" s="10"/>
      <c r="CB53" s="10"/>
      <c r="CC53" s="10"/>
      <c r="CD53" s="10"/>
      <c r="CE53" s="10"/>
      <c r="CF53" s="10"/>
      <c r="CG53" s="10"/>
      <c r="CH53" s="10"/>
      <c r="CI53" s="10"/>
    </row>
    <row r="54" spans="1:87" s="9" customFormat="1" ht="48.6" customHeight="1">
      <c r="A54" s="282">
        <f t="shared" si="0"/>
        <v>46</v>
      </c>
      <c r="B54" s="282"/>
      <c r="C54" s="282"/>
      <c r="D54" s="289" t="s">
        <v>423</v>
      </c>
      <c r="E54" s="290"/>
      <c r="F54" s="290"/>
      <c r="G54" s="290"/>
      <c r="H54" s="290"/>
      <c r="I54" s="290"/>
      <c r="J54" s="290"/>
      <c r="K54" s="290"/>
      <c r="L54" s="290"/>
      <c r="M54" s="290"/>
      <c r="N54" s="290"/>
      <c r="O54" s="290"/>
      <c r="P54" s="290"/>
      <c r="Q54" s="291"/>
      <c r="R54" s="283">
        <v>14</v>
      </c>
      <c r="S54" s="284"/>
      <c r="T54" s="285"/>
      <c r="U54" s="286" t="s">
        <v>207</v>
      </c>
      <c r="V54" s="287"/>
      <c r="W54" s="287"/>
      <c r="X54" s="287"/>
      <c r="Y54" s="287"/>
      <c r="Z54" s="287"/>
      <c r="AA54" s="287"/>
      <c r="AB54" s="287"/>
      <c r="AC54" s="287"/>
      <c r="AD54" s="288"/>
      <c r="AE54" s="289" t="s">
        <v>401</v>
      </c>
      <c r="AF54" s="287"/>
      <c r="AG54" s="287"/>
      <c r="AH54" s="287"/>
      <c r="AI54" s="287"/>
      <c r="AJ54" s="287"/>
      <c r="AK54" s="287"/>
      <c r="AL54" s="287"/>
      <c r="AM54" s="287"/>
      <c r="AN54" s="287"/>
      <c r="AO54" s="287"/>
      <c r="AP54" s="287"/>
      <c r="AQ54" s="287"/>
      <c r="AR54" s="287"/>
      <c r="AS54" s="287"/>
      <c r="AT54" s="287"/>
      <c r="AU54" s="287"/>
      <c r="AV54" s="287"/>
      <c r="AW54" s="287"/>
      <c r="AX54" s="287"/>
      <c r="AY54" s="287"/>
      <c r="AZ54" s="287"/>
      <c r="BA54" s="287"/>
      <c r="BB54" s="287"/>
      <c r="BC54" s="287"/>
      <c r="BD54" s="287"/>
      <c r="BE54" s="287"/>
      <c r="BF54" s="287"/>
      <c r="BG54" s="287"/>
      <c r="BH54" s="287"/>
      <c r="BI54" s="287"/>
      <c r="BJ54" s="288"/>
      <c r="BL54" s="96"/>
      <c r="BS54" s="10"/>
      <c r="BT54" s="10"/>
      <c r="BU54" s="10"/>
      <c r="BV54" s="10"/>
      <c r="BW54" s="10"/>
      <c r="BX54" s="10"/>
      <c r="BY54" s="10"/>
      <c r="BZ54" s="10"/>
      <c r="CA54" s="10"/>
      <c r="CB54" s="10"/>
      <c r="CC54" s="10"/>
      <c r="CD54" s="10"/>
      <c r="CE54" s="10"/>
      <c r="CF54" s="10"/>
      <c r="CG54" s="10"/>
      <c r="CH54" s="10"/>
      <c r="CI54" s="10"/>
    </row>
    <row r="55" spans="1:87" s="9" customFormat="1" ht="48.6" customHeight="1">
      <c r="A55" s="282">
        <f t="shared" si="0"/>
        <v>47</v>
      </c>
      <c r="B55" s="282"/>
      <c r="C55" s="282"/>
      <c r="D55" s="292" t="s">
        <v>186</v>
      </c>
      <c r="E55" s="287"/>
      <c r="F55" s="287"/>
      <c r="G55" s="287"/>
      <c r="H55" s="287"/>
      <c r="I55" s="287"/>
      <c r="J55" s="287"/>
      <c r="K55" s="287"/>
      <c r="L55" s="287"/>
      <c r="M55" s="287"/>
      <c r="N55" s="287"/>
      <c r="O55" s="287"/>
      <c r="P55" s="287"/>
      <c r="Q55" s="288"/>
      <c r="R55" s="283">
        <v>14</v>
      </c>
      <c r="S55" s="284"/>
      <c r="T55" s="285"/>
      <c r="U55" s="286" t="s">
        <v>207</v>
      </c>
      <c r="V55" s="287"/>
      <c r="W55" s="287"/>
      <c r="X55" s="287"/>
      <c r="Y55" s="287"/>
      <c r="Z55" s="287"/>
      <c r="AA55" s="287"/>
      <c r="AB55" s="287"/>
      <c r="AC55" s="287"/>
      <c r="AD55" s="288"/>
      <c r="AE55" s="289" t="s">
        <v>263</v>
      </c>
      <c r="AF55" s="287"/>
      <c r="AG55" s="287"/>
      <c r="AH55" s="287"/>
      <c r="AI55" s="287"/>
      <c r="AJ55" s="287"/>
      <c r="AK55" s="287"/>
      <c r="AL55" s="287"/>
      <c r="AM55" s="287"/>
      <c r="AN55" s="287"/>
      <c r="AO55" s="287"/>
      <c r="AP55" s="287"/>
      <c r="AQ55" s="287"/>
      <c r="AR55" s="287"/>
      <c r="AS55" s="287"/>
      <c r="AT55" s="287"/>
      <c r="AU55" s="287"/>
      <c r="AV55" s="287"/>
      <c r="AW55" s="287"/>
      <c r="AX55" s="287"/>
      <c r="AY55" s="287"/>
      <c r="AZ55" s="287"/>
      <c r="BA55" s="287"/>
      <c r="BB55" s="287"/>
      <c r="BC55" s="287"/>
      <c r="BD55" s="287"/>
      <c r="BE55" s="287"/>
      <c r="BF55" s="287"/>
      <c r="BG55" s="287"/>
      <c r="BH55" s="287"/>
      <c r="BI55" s="287"/>
      <c r="BJ55" s="288"/>
      <c r="BL55" s="96"/>
      <c r="BS55" s="10"/>
      <c r="BT55" s="10"/>
      <c r="BU55" s="10"/>
      <c r="BV55" s="10"/>
      <c r="BW55" s="10"/>
      <c r="BX55" s="10"/>
      <c r="BY55" s="10"/>
      <c r="BZ55" s="10"/>
      <c r="CA55" s="10"/>
      <c r="CB55" s="10"/>
      <c r="CC55" s="10"/>
      <c r="CD55" s="10"/>
      <c r="CE55" s="10"/>
      <c r="CF55" s="10"/>
      <c r="CG55" s="10"/>
      <c r="CH55" s="10"/>
      <c r="CI55" s="10"/>
    </row>
    <row r="56" spans="1:87" s="9" customFormat="1" ht="48.6" customHeight="1">
      <c r="A56" s="282">
        <f t="shared" si="0"/>
        <v>48</v>
      </c>
      <c r="B56" s="282"/>
      <c r="C56" s="282"/>
      <c r="D56" s="292" t="s">
        <v>187</v>
      </c>
      <c r="E56" s="287"/>
      <c r="F56" s="287"/>
      <c r="G56" s="287"/>
      <c r="H56" s="287"/>
      <c r="I56" s="287"/>
      <c r="J56" s="287"/>
      <c r="K56" s="287"/>
      <c r="L56" s="287"/>
      <c r="M56" s="287"/>
      <c r="N56" s="287"/>
      <c r="O56" s="287"/>
      <c r="P56" s="287"/>
      <c r="Q56" s="288"/>
      <c r="R56" s="283">
        <v>14</v>
      </c>
      <c r="S56" s="284"/>
      <c r="T56" s="285"/>
      <c r="U56" s="286" t="s">
        <v>207</v>
      </c>
      <c r="V56" s="287"/>
      <c r="W56" s="287"/>
      <c r="X56" s="287"/>
      <c r="Y56" s="287"/>
      <c r="Z56" s="287"/>
      <c r="AA56" s="287"/>
      <c r="AB56" s="287"/>
      <c r="AC56" s="287"/>
      <c r="AD56" s="288"/>
      <c r="AE56" s="289" t="s">
        <v>387</v>
      </c>
      <c r="AF56" s="290"/>
      <c r="AG56" s="290"/>
      <c r="AH56" s="290"/>
      <c r="AI56" s="290"/>
      <c r="AJ56" s="290"/>
      <c r="AK56" s="290"/>
      <c r="AL56" s="290"/>
      <c r="AM56" s="290"/>
      <c r="AN56" s="290"/>
      <c r="AO56" s="290"/>
      <c r="AP56" s="290"/>
      <c r="AQ56" s="290"/>
      <c r="AR56" s="290"/>
      <c r="AS56" s="290"/>
      <c r="AT56" s="290"/>
      <c r="AU56" s="290"/>
      <c r="AV56" s="290"/>
      <c r="AW56" s="290"/>
      <c r="AX56" s="290"/>
      <c r="AY56" s="290"/>
      <c r="AZ56" s="290"/>
      <c r="BA56" s="290"/>
      <c r="BB56" s="290"/>
      <c r="BC56" s="290"/>
      <c r="BD56" s="290"/>
      <c r="BE56" s="290"/>
      <c r="BF56" s="290"/>
      <c r="BG56" s="290"/>
      <c r="BH56" s="290"/>
      <c r="BI56" s="290"/>
      <c r="BJ56" s="291"/>
      <c r="BL56" s="96"/>
      <c r="BS56" s="10"/>
      <c r="BT56" s="10"/>
      <c r="BU56" s="10"/>
      <c r="BV56" s="10"/>
      <c r="BW56" s="10"/>
      <c r="BX56" s="10"/>
      <c r="BY56" s="10"/>
      <c r="BZ56" s="10"/>
      <c r="CA56" s="10"/>
      <c r="CB56" s="10"/>
      <c r="CC56" s="10"/>
      <c r="CD56" s="10"/>
      <c r="CE56" s="10"/>
      <c r="CF56" s="10"/>
      <c r="CG56" s="10"/>
      <c r="CH56" s="10"/>
      <c r="CI56" s="10"/>
    </row>
    <row r="57" spans="1:87" s="9" customFormat="1" ht="48.6" customHeight="1">
      <c r="A57" s="282">
        <f t="shared" si="0"/>
        <v>49</v>
      </c>
      <c r="B57" s="282"/>
      <c r="C57" s="282"/>
      <c r="D57" s="289" t="s">
        <v>421</v>
      </c>
      <c r="E57" s="290"/>
      <c r="F57" s="290"/>
      <c r="G57" s="290"/>
      <c r="H57" s="290"/>
      <c r="I57" s="290"/>
      <c r="J57" s="290"/>
      <c r="K57" s="290"/>
      <c r="L57" s="290"/>
      <c r="M57" s="290"/>
      <c r="N57" s="290"/>
      <c r="O57" s="290"/>
      <c r="P57" s="290"/>
      <c r="Q57" s="291"/>
      <c r="R57" s="283" t="s">
        <v>213</v>
      </c>
      <c r="S57" s="284"/>
      <c r="T57" s="285"/>
      <c r="U57" s="293" t="s">
        <v>393</v>
      </c>
      <c r="V57" s="287"/>
      <c r="W57" s="287"/>
      <c r="X57" s="287"/>
      <c r="Y57" s="287"/>
      <c r="Z57" s="287"/>
      <c r="AA57" s="287"/>
      <c r="AB57" s="287"/>
      <c r="AC57" s="287"/>
      <c r="AD57" s="288"/>
      <c r="AE57" s="289" t="s">
        <v>402</v>
      </c>
      <c r="AF57" s="287"/>
      <c r="AG57" s="287"/>
      <c r="AH57" s="287"/>
      <c r="AI57" s="287"/>
      <c r="AJ57" s="287"/>
      <c r="AK57" s="287"/>
      <c r="AL57" s="287"/>
      <c r="AM57" s="287"/>
      <c r="AN57" s="287"/>
      <c r="AO57" s="287"/>
      <c r="AP57" s="287"/>
      <c r="AQ57" s="287"/>
      <c r="AR57" s="287"/>
      <c r="AS57" s="287"/>
      <c r="AT57" s="287"/>
      <c r="AU57" s="287"/>
      <c r="AV57" s="287"/>
      <c r="AW57" s="287"/>
      <c r="AX57" s="287"/>
      <c r="AY57" s="287"/>
      <c r="AZ57" s="287"/>
      <c r="BA57" s="287"/>
      <c r="BB57" s="287"/>
      <c r="BC57" s="287"/>
      <c r="BD57" s="287"/>
      <c r="BE57" s="287"/>
      <c r="BF57" s="287"/>
      <c r="BG57" s="287"/>
      <c r="BH57" s="287"/>
      <c r="BI57" s="287"/>
      <c r="BJ57" s="288"/>
      <c r="BL57" s="96"/>
      <c r="BS57" s="10"/>
      <c r="BT57" s="10"/>
      <c r="BU57" s="10"/>
      <c r="BV57" s="10"/>
      <c r="BW57" s="10"/>
      <c r="BX57" s="10"/>
      <c r="BY57" s="10"/>
      <c r="BZ57" s="10"/>
      <c r="CA57" s="10"/>
      <c r="CB57" s="10"/>
      <c r="CC57" s="10"/>
      <c r="CD57" s="10"/>
      <c r="CE57" s="10"/>
      <c r="CF57" s="10"/>
      <c r="CG57" s="10"/>
      <c r="CH57" s="10"/>
      <c r="CI57" s="10"/>
    </row>
    <row r="58" spans="1:87" s="9" customFormat="1" ht="48.6" customHeight="1">
      <c r="A58" s="282">
        <f t="shared" si="0"/>
        <v>50</v>
      </c>
      <c r="B58" s="282"/>
      <c r="C58" s="282"/>
      <c r="D58" s="289" t="s">
        <v>424</v>
      </c>
      <c r="E58" s="290"/>
      <c r="F58" s="290"/>
      <c r="G58" s="290"/>
      <c r="H58" s="290"/>
      <c r="I58" s="290"/>
      <c r="J58" s="290"/>
      <c r="K58" s="290"/>
      <c r="L58" s="290"/>
      <c r="M58" s="290"/>
      <c r="N58" s="290"/>
      <c r="O58" s="290"/>
      <c r="P58" s="290"/>
      <c r="Q58" s="291"/>
      <c r="R58" s="283">
        <v>14</v>
      </c>
      <c r="S58" s="284"/>
      <c r="T58" s="285"/>
      <c r="U58" s="286" t="s">
        <v>207</v>
      </c>
      <c r="V58" s="287"/>
      <c r="W58" s="287"/>
      <c r="X58" s="287"/>
      <c r="Y58" s="287"/>
      <c r="Z58" s="287"/>
      <c r="AA58" s="287"/>
      <c r="AB58" s="287"/>
      <c r="AC58" s="287"/>
      <c r="AD58" s="288"/>
      <c r="AE58" s="289" t="s">
        <v>403</v>
      </c>
      <c r="AF58" s="287"/>
      <c r="AG58" s="287"/>
      <c r="AH58" s="287"/>
      <c r="AI58" s="287"/>
      <c r="AJ58" s="287"/>
      <c r="AK58" s="287"/>
      <c r="AL58" s="287"/>
      <c r="AM58" s="287"/>
      <c r="AN58" s="287"/>
      <c r="AO58" s="287"/>
      <c r="AP58" s="287"/>
      <c r="AQ58" s="287"/>
      <c r="AR58" s="287"/>
      <c r="AS58" s="287"/>
      <c r="AT58" s="287"/>
      <c r="AU58" s="287"/>
      <c r="AV58" s="287"/>
      <c r="AW58" s="287"/>
      <c r="AX58" s="287"/>
      <c r="AY58" s="287"/>
      <c r="AZ58" s="287"/>
      <c r="BA58" s="287"/>
      <c r="BB58" s="287"/>
      <c r="BC58" s="287"/>
      <c r="BD58" s="287"/>
      <c r="BE58" s="287"/>
      <c r="BF58" s="287"/>
      <c r="BG58" s="287"/>
      <c r="BH58" s="287"/>
      <c r="BI58" s="287"/>
      <c r="BJ58" s="288"/>
      <c r="BL58" s="96"/>
      <c r="BS58" s="10"/>
      <c r="BT58" s="10"/>
      <c r="BU58" s="10"/>
      <c r="BV58" s="10"/>
      <c r="BW58" s="10"/>
      <c r="BX58" s="10"/>
      <c r="BY58" s="10"/>
      <c r="BZ58" s="10"/>
      <c r="CA58" s="10"/>
      <c r="CB58" s="10"/>
      <c r="CC58" s="10"/>
      <c r="CD58" s="10"/>
      <c r="CE58" s="10"/>
      <c r="CF58" s="10"/>
      <c r="CG58" s="10"/>
      <c r="CH58" s="10"/>
      <c r="CI58" s="10"/>
    </row>
    <row r="59" spans="1:87" s="9" customFormat="1" ht="48.6" customHeight="1">
      <c r="A59" s="282">
        <f t="shared" si="0"/>
        <v>51</v>
      </c>
      <c r="B59" s="282"/>
      <c r="C59" s="282"/>
      <c r="D59" s="292" t="s">
        <v>188</v>
      </c>
      <c r="E59" s="287"/>
      <c r="F59" s="287"/>
      <c r="G59" s="287"/>
      <c r="H59" s="287"/>
      <c r="I59" s="287"/>
      <c r="J59" s="287"/>
      <c r="K59" s="287"/>
      <c r="L59" s="287"/>
      <c r="M59" s="287"/>
      <c r="N59" s="287"/>
      <c r="O59" s="287"/>
      <c r="P59" s="287"/>
      <c r="Q59" s="288"/>
      <c r="R59" s="283">
        <v>14</v>
      </c>
      <c r="S59" s="284"/>
      <c r="T59" s="285"/>
      <c r="U59" s="286" t="s">
        <v>207</v>
      </c>
      <c r="V59" s="287"/>
      <c r="W59" s="287"/>
      <c r="X59" s="287"/>
      <c r="Y59" s="287"/>
      <c r="Z59" s="287"/>
      <c r="AA59" s="287"/>
      <c r="AB59" s="287"/>
      <c r="AC59" s="287"/>
      <c r="AD59" s="288"/>
      <c r="AE59" s="289" t="s">
        <v>260</v>
      </c>
      <c r="AF59" s="287"/>
      <c r="AG59" s="287"/>
      <c r="AH59" s="287"/>
      <c r="AI59" s="287"/>
      <c r="AJ59" s="287"/>
      <c r="AK59" s="287"/>
      <c r="AL59" s="287"/>
      <c r="AM59" s="287"/>
      <c r="AN59" s="287"/>
      <c r="AO59" s="287"/>
      <c r="AP59" s="287"/>
      <c r="AQ59" s="287"/>
      <c r="AR59" s="287"/>
      <c r="AS59" s="287"/>
      <c r="AT59" s="287"/>
      <c r="AU59" s="287"/>
      <c r="AV59" s="287"/>
      <c r="AW59" s="287"/>
      <c r="AX59" s="287"/>
      <c r="AY59" s="287"/>
      <c r="AZ59" s="287"/>
      <c r="BA59" s="287"/>
      <c r="BB59" s="287"/>
      <c r="BC59" s="287"/>
      <c r="BD59" s="287"/>
      <c r="BE59" s="287"/>
      <c r="BF59" s="287"/>
      <c r="BG59" s="287"/>
      <c r="BH59" s="287"/>
      <c r="BI59" s="287"/>
      <c r="BJ59" s="288"/>
      <c r="BL59" s="96"/>
      <c r="BS59" s="10"/>
      <c r="BT59" s="10"/>
      <c r="BU59" s="10"/>
      <c r="BV59" s="10"/>
      <c r="BW59" s="10"/>
      <c r="BX59" s="10"/>
      <c r="BY59" s="10"/>
      <c r="BZ59" s="10"/>
      <c r="CA59" s="10"/>
      <c r="CB59" s="10"/>
      <c r="CC59" s="10"/>
      <c r="CD59" s="10"/>
      <c r="CE59" s="10"/>
      <c r="CF59" s="10"/>
      <c r="CG59" s="10"/>
      <c r="CH59" s="10"/>
      <c r="CI59" s="10"/>
    </row>
    <row r="60" spans="1:87" s="9" customFormat="1" ht="48.6" customHeight="1">
      <c r="A60" s="282">
        <f t="shared" si="0"/>
        <v>52</v>
      </c>
      <c r="B60" s="282"/>
      <c r="C60" s="282"/>
      <c r="D60" s="292" t="s">
        <v>189</v>
      </c>
      <c r="E60" s="287"/>
      <c r="F60" s="287"/>
      <c r="G60" s="287"/>
      <c r="H60" s="287"/>
      <c r="I60" s="287"/>
      <c r="J60" s="287"/>
      <c r="K60" s="287"/>
      <c r="L60" s="287"/>
      <c r="M60" s="287"/>
      <c r="N60" s="287"/>
      <c r="O60" s="287"/>
      <c r="P60" s="287"/>
      <c r="Q60" s="288"/>
      <c r="R60" s="283">
        <v>14</v>
      </c>
      <c r="S60" s="284"/>
      <c r="T60" s="285"/>
      <c r="U60" s="286" t="s">
        <v>207</v>
      </c>
      <c r="V60" s="287"/>
      <c r="W60" s="287"/>
      <c r="X60" s="287"/>
      <c r="Y60" s="287"/>
      <c r="Z60" s="287"/>
      <c r="AA60" s="287"/>
      <c r="AB60" s="287"/>
      <c r="AC60" s="287"/>
      <c r="AD60" s="288"/>
      <c r="AE60" s="289" t="s">
        <v>384</v>
      </c>
      <c r="AF60" s="290"/>
      <c r="AG60" s="290"/>
      <c r="AH60" s="290"/>
      <c r="AI60" s="290"/>
      <c r="AJ60" s="290"/>
      <c r="AK60" s="290"/>
      <c r="AL60" s="290"/>
      <c r="AM60" s="290"/>
      <c r="AN60" s="290"/>
      <c r="AO60" s="290"/>
      <c r="AP60" s="290"/>
      <c r="AQ60" s="290"/>
      <c r="AR60" s="290"/>
      <c r="AS60" s="290"/>
      <c r="AT60" s="290"/>
      <c r="AU60" s="290"/>
      <c r="AV60" s="290"/>
      <c r="AW60" s="290"/>
      <c r="AX60" s="290"/>
      <c r="AY60" s="290"/>
      <c r="AZ60" s="290"/>
      <c r="BA60" s="290"/>
      <c r="BB60" s="290"/>
      <c r="BC60" s="290"/>
      <c r="BD60" s="290"/>
      <c r="BE60" s="290"/>
      <c r="BF60" s="290"/>
      <c r="BG60" s="290"/>
      <c r="BH60" s="290"/>
      <c r="BI60" s="290"/>
      <c r="BJ60" s="291"/>
      <c r="BL60" s="96"/>
      <c r="BS60" s="10"/>
      <c r="BT60" s="10"/>
      <c r="BU60" s="10"/>
      <c r="BV60" s="10"/>
      <c r="BW60" s="10"/>
      <c r="BX60" s="10"/>
      <c r="BY60" s="10"/>
      <c r="BZ60" s="10"/>
      <c r="CA60" s="10"/>
      <c r="CB60" s="10"/>
      <c r="CC60" s="10"/>
      <c r="CD60" s="10"/>
      <c r="CE60" s="10"/>
      <c r="CF60" s="10"/>
      <c r="CG60" s="10"/>
      <c r="CH60" s="10"/>
      <c r="CI60" s="10"/>
    </row>
    <row r="61" spans="1:87" s="9" customFormat="1" ht="48.6" customHeight="1">
      <c r="A61" s="282">
        <f t="shared" si="0"/>
        <v>53</v>
      </c>
      <c r="B61" s="282"/>
      <c r="C61" s="282"/>
      <c r="D61" s="292" t="s">
        <v>422</v>
      </c>
      <c r="E61" s="287"/>
      <c r="F61" s="287"/>
      <c r="G61" s="287"/>
      <c r="H61" s="287"/>
      <c r="I61" s="287"/>
      <c r="J61" s="287"/>
      <c r="K61" s="287"/>
      <c r="L61" s="287"/>
      <c r="M61" s="287"/>
      <c r="N61" s="287"/>
      <c r="O61" s="287"/>
      <c r="P61" s="287"/>
      <c r="Q61" s="288"/>
      <c r="R61" s="283" t="s">
        <v>213</v>
      </c>
      <c r="S61" s="284"/>
      <c r="T61" s="285"/>
      <c r="U61" s="293" t="s">
        <v>393</v>
      </c>
      <c r="V61" s="287"/>
      <c r="W61" s="287"/>
      <c r="X61" s="287"/>
      <c r="Y61" s="287"/>
      <c r="Z61" s="287"/>
      <c r="AA61" s="287"/>
      <c r="AB61" s="287"/>
      <c r="AC61" s="287"/>
      <c r="AD61" s="288"/>
      <c r="AE61" s="289" t="s">
        <v>404</v>
      </c>
      <c r="AF61" s="290"/>
      <c r="AG61" s="290"/>
      <c r="AH61" s="290"/>
      <c r="AI61" s="290"/>
      <c r="AJ61" s="290"/>
      <c r="AK61" s="290"/>
      <c r="AL61" s="290"/>
      <c r="AM61" s="290"/>
      <c r="AN61" s="290"/>
      <c r="AO61" s="290"/>
      <c r="AP61" s="290"/>
      <c r="AQ61" s="290"/>
      <c r="AR61" s="290"/>
      <c r="AS61" s="290"/>
      <c r="AT61" s="290"/>
      <c r="AU61" s="290"/>
      <c r="AV61" s="290"/>
      <c r="AW61" s="290"/>
      <c r="AX61" s="290"/>
      <c r="AY61" s="290"/>
      <c r="AZ61" s="290"/>
      <c r="BA61" s="290"/>
      <c r="BB61" s="290"/>
      <c r="BC61" s="290"/>
      <c r="BD61" s="290"/>
      <c r="BE61" s="290"/>
      <c r="BF61" s="290"/>
      <c r="BG61" s="290"/>
      <c r="BH61" s="290"/>
      <c r="BI61" s="290"/>
      <c r="BJ61" s="291"/>
      <c r="BL61" s="96"/>
      <c r="BS61" s="10"/>
      <c r="BT61" s="10"/>
      <c r="BU61" s="10"/>
      <c r="BV61" s="10"/>
      <c r="BW61" s="10"/>
      <c r="BX61" s="10"/>
      <c r="BY61" s="10"/>
      <c r="BZ61" s="10"/>
      <c r="CA61" s="10"/>
      <c r="CB61" s="10"/>
      <c r="CC61" s="10"/>
      <c r="CD61" s="10"/>
      <c r="CE61" s="10"/>
      <c r="CF61" s="10"/>
      <c r="CG61" s="10"/>
      <c r="CH61" s="10"/>
      <c r="CI61" s="10"/>
    </row>
    <row r="62" spans="1:87" s="9" customFormat="1" ht="48.6" customHeight="1">
      <c r="A62" s="282">
        <f t="shared" si="0"/>
        <v>54</v>
      </c>
      <c r="B62" s="282"/>
      <c r="C62" s="282"/>
      <c r="D62" s="292" t="s">
        <v>425</v>
      </c>
      <c r="E62" s="287"/>
      <c r="F62" s="287"/>
      <c r="G62" s="287"/>
      <c r="H62" s="287"/>
      <c r="I62" s="287"/>
      <c r="J62" s="287"/>
      <c r="K62" s="287"/>
      <c r="L62" s="287"/>
      <c r="M62" s="287"/>
      <c r="N62" s="287"/>
      <c r="O62" s="287"/>
      <c r="P62" s="287"/>
      <c r="Q62" s="288"/>
      <c r="R62" s="283">
        <v>14</v>
      </c>
      <c r="S62" s="284"/>
      <c r="T62" s="285"/>
      <c r="U62" s="286" t="s">
        <v>207</v>
      </c>
      <c r="V62" s="287"/>
      <c r="W62" s="287"/>
      <c r="X62" s="287"/>
      <c r="Y62" s="287"/>
      <c r="Z62" s="287"/>
      <c r="AA62" s="287"/>
      <c r="AB62" s="287"/>
      <c r="AC62" s="287"/>
      <c r="AD62" s="288"/>
      <c r="AE62" s="289" t="s">
        <v>405</v>
      </c>
      <c r="AF62" s="290"/>
      <c r="AG62" s="290"/>
      <c r="AH62" s="290"/>
      <c r="AI62" s="290"/>
      <c r="AJ62" s="290"/>
      <c r="AK62" s="290"/>
      <c r="AL62" s="290"/>
      <c r="AM62" s="290"/>
      <c r="AN62" s="290"/>
      <c r="AO62" s="290"/>
      <c r="AP62" s="290"/>
      <c r="AQ62" s="290"/>
      <c r="AR62" s="290"/>
      <c r="AS62" s="290"/>
      <c r="AT62" s="290"/>
      <c r="AU62" s="290"/>
      <c r="AV62" s="290"/>
      <c r="AW62" s="290"/>
      <c r="AX62" s="290"/>
      <c r="AY62" s="290"/>
      <c r="AZ62" s="290"/>
      <c r="BA62" s="290"/>
      <c r="BB62" s="290"/>
      <c r="BC62" s="290"/>
      <c r="BD62" s="290"/>
      <c r="BE62" s="290"/>
      <c r="BF62" s="290"/>
      <c r="BG62" s="290"/>
      <c r="BH62" s="290"/>
      <c r="BI62" s="290"/>
      <c r="BJ62" s="291"/>
      <c r="BL62" s="96"/>
      <c r="BS62" s="10"/>
      <c r="BT62" s="10"/>
      <c r="BU62" s="10"/>
      <c r="BV62" s="10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</row>
    <row r="63" spans="1:87" s="9" customFormat="1" ht="40.5" customHeight="1">
      <c r="A63" s="282">
        <f t="shared" si="0"/>
        <v>55</v>
      </c>
      <c r="B63" s="282"/>
      <c r="C63" s="282"/>
      <c r="D63" s="292" t="s">
        <v>190</v>
      </c>
      <c r="E63" s="287"/>
      <c r="F63" s="287"/>
      <c r="G63" s="287"/>
      <c r="H63" s="287"/>
      <c r="I63" s="287"/>
      <c r="J63" s="287"/>
      <c r="K63" s="287"/>
      <c r="L63" s="287"/>
      <c r="M63" s="287"/>
      <c r="N63" s="287"/>
      <c r="O63" s="287"/>
      <c r="P63" s="287"/>
      <c r="Q63" s="288"/>
      <c r="R63" s="283">
        <v>14</v>
      </c>
      <c r="S63" s="284"/>
      <c r="T63" s="285"/>
      <c r="U63" s="286" t="s">
        <v>207</v>
      </c>
      <c r="V63" s="287"/>
      <c r="W63" s="287"/>
      <c r="X63" s="287"/>
      <c r="Y63" s="287"/>
      <c r="Z63" s="287"/>
      <c r="AA63" s="287"/>
      <c r="AB63" s="287"/>
      <c r="AC63" s="287"/>
      <c r="AD63" s="288"/>
      <c r="AE63" s="289" t="s">
        <v>380</v>
      </c>
      <c r="AF63" s="290"/>
      <c r="AG63" s="290"/>
      <c r="AH63" s="290"/>
      <c r="AI63" s="290"/>
      <c r="AJ63" s="290"/>
      <c r="AK63" s="290"/>
      <c r="AL63" s="290"/>
      <c r="AM63" s="290"/>
      <c r="AN63" s="290"/>
      <c r="AO63" s="290"/>
      <c r="AP63" s="290"/>
      <c r="AQ63" s="290"/>
      <c r="AR63" s="290"/>
      <c r="AS63" s="290"/>
      <c r="AT63" s="290"/>
      <c r="AU63" s="290"/>
      <c r="AV63" s="290"/>
      <c r="AW63" s="290"/>
      <c r="AX63" s="290"/>
      <c r="AY63" s="290"/>
      <c r="AZ63" s="290"/>
      <c r="BA63" s="290"/>
      <c r="BB63" s="290"/>
      <c r="BC63" s="290"/>
      <c r="BD63" s="290"/>
      <c r="BE63" s="290"/>
      <c r="BF63" s="290"/>
      <c r="BG63" s="290"/>
      <c r="BH63" s="290"/>
      <c r="BI63" s="290"/>
      <c r="BJ63" s="291"/>
      <c r="BL63" s="96"/>
      <c r="BS63" s="10"/>
      <c r="BT63" s="10"/>
      <c r="BU63" s="10"/>
      <c r="BV63" s="10"/>
      <c r="BW63" s="10"/>
      <c r="BX63" s="10"/>
      <c r="BY63" s="10"/>
      <c r="BZ63" s="10"/>
      <c r="CA63" s="10"/>
      <c r="CB63" s="10"/>
      <c r="CC63" s="10"/>
      <c r="CD63" s="10"/>
      <c r="CE63" s="10"/>
      <c r="CF63" s="10"/>
      <c r="CG63" s="10"/>
      <c r="CH63" s="10"/>
      <c r="CI63" s="10"/>
    </row>
    <row r="64" spans="1:87" s="9" customFormat="1" ht="40.5" customHeight="1">
      <c r="A64" s="282">
        <f t="shared" si="0"/>
        <v>56</v>
      </c>
      <c r="B64" s="282"/>
      <c r="C64" s="282"/>
      <c r="D64" s="292" t="s">
        <v>191</v>
      </c>
      <c r="E64" s="287"/>
      <c r="F64" s="287"/>
      <c r="G64" s="287"/>
      <c r="H64" s="287"/>
      <c r="I64" s="287"/>
      <c r="J64" s="287"/>
      <c r="K64" s="287"/>
      <c r="L64" s="287"/>
      <c r="M64" s="287"/>
      <c r="N64" s="287"/>
      <c r="O64" s="287"/>
      <c r="P64" s="287"/>
      <c r="Q64" s="288"/>
      <c r="R64" s="283" t="s">
        <v>213</v>
      </c>
      <c r="S64" s="284"/>
      <c r="T64" s="285"/>
      <c r="U64" s="293" t="s">
        <v>208</v>
      </c>
      <c r="V64" s="287"/>
      <c r="W64" s="287"/>
      <c r="X64" s="287"/>
      <c r="Y64" s="287"/>
      <c r="Z64" s="287"/>
      <c r="AA64" s="287"/>
      <c r="AB64" s="287"/>
      <c r="AC64" s="287"/>
      <c r="AD64" s="288"/>
      <c r="AE64" s="289" t="s">
        <v>381</v>
      </c>
      <c r="AF64" s="290"/>
      <c r="AG64" s="290"/>
      <c r="AH64" s="290"/>
      <c r="AI64" s="290"/>
      <c r="AJ64" s="290"/>
      <c r="AK64" s="290"/>
      <c r="AL64" s="290"/>
      <c r="AM64" s="290"/>
      <c r="AN64" s="290"/>
      <c r="AO64" s="290"/>
      <c r="AP64" s="290"/>
      <c r="AQ64" s="290"/>
      <c r="AR64" s="290"/>
      <c r="AS64" s="290"/>
      <c r="AT64" s="290"/>
      <c r="AU64" s="290"/>
      <c r="AV64" s="290"/>
      <c r="AW64" s="290"/>
      <c r="AX64" s="290"/>
      <c r="AY64" s="290"/>
      <c r="AZ64" s="290"/>
      <c r="BA64" s="290"/>
      <c r="BB64" s="290"/>
      <c r="BC64" s="290"/>
      <c r="BD64" s="290"/>
      <c r="BE64" s="290"/>
      <c r="BF64" s="290"/>
      <c r="BG64" s="290"/>
      <c r="BH64" s="290"/>
      <c r="BI64" s="290"/>
      <c r="BJ64" s="291"/>
      <c r="BL64" s="96"/>
      <c r="BS64" s="10"/>
      <c r="BT64" s="10"/>
      <c r="BU64" s="10"/>
      <c r="BV64" s="10"/>
      <c r="BW64" s="10"/>
      <c r="BX64" s="10"/>
      <c r="BY64" s="10"/>
      <c r="BZ64" s="10"/>
      <c r="CA64" s="10"/>
      <c r="CB64" s="10"/>
      <c r="CC64" s="10"/>
      <c r="CD64" s="10"/>
      <c r="CE64" s="10"/>
      <c r="CF64" s="10"/>
      <c r="CG64" s="10"/>
      <c r="CH64" s="10"/>
      <c r="CI64" s="10"/>
    </row>
    <row r="65" spans="1:87" s="9" customFormat="1" ht="40.5" customHeight="1">
      <c r="A65" s="282">
        <f t="shared" si="0"/>
        <v>57</v>
      </c>
      <c r="B65" s="282"/>
      <c r="C65" s="282"/>
      <c r="D65" s="292" t="s">
        <v>248</v>
      </c>
      <c r="E65" s="287"/>
      <c r="F65" s="287"/>
      <c r="G65" s="287"/>
      <c r="H65" s="287"/>
      <c r="I65" s="287"/>
      <c r="J65" s="287"/>
      <c r="K65" s="287"/>
      <c r="L65" s="287"/>
      <c r="M65" s="287"/>
      <c r="N65" s="287"/>
      <c r="O65" s="287"/>
      <c r="P65" s="287"/>
      <c r="Q65" s="288"/>
      <c r="R65" s="283">
        <v>14</v>
      </c>
      <c r="S65" s="284"/>
      <c r="T65" s="285"/>
      <c r="U65" s="286" t="s">
        <v>207</v>
      </c>
      <c r="V65" s="287"/>
      <c r="W65" s="287"/>
      <c r="X65" s="287"/>
      <c r="Y65" s="287"/>
      <c r="Z65" s="287"/>
      <c r="AA65" s="287"/>
      <c r="AB65" s="287"/>
      <c r="AC65" s="287"/>
      <c r="AD65" s="288"/>
      <c r="AE65" s="289" t="s">
        <v>255</v>
      </c>
      <c r="AF65" s="290"/>
      <c r="AG65" s="290"/>
      <c r="AH65" s="290"/>
      <c r="AI65" s="290"/>
      <c r="AJ65" s="290"/>
      <c r="AK65" s="290"/>
      <c r="AL65" s="290"/>
      <c r="AM65" s="290"/>
      <c r="AN65" s="290"/>
      <c r="AO65" s="290"/>
      <c r="AP65" s="290"/>
      <c r="AQ65" s="290"/>
      <c r="AR65" s="290"/>
      <c r="AS65" s="290"/>
      <c r="AT65" s="290"/>
      <c r="AU65" s="290"/>
      <c r="AV65" s="290"/>
      <c r="AW65" s="290"/>
      <c r="AX65" s="290"/>
      <c r="AY65" s="290"/>
      <c r="AZ65" s="290"/>
      <c r="BA65" s="290"/>
      <c r="BB65" s="290"/>
      <c r="BC65" s="290"/>
      <c r="BD65" s="290"/>
      <c r="BE65" s="290"/>
      <c r="BF65" s="290"/>
      <c r="BG65" s="290"/>
      <c r="BH65" s="290"/>
      <c r="BI65" s="290"/>
      <c r="BJ65" s="291"/>
      <c r="BL65" s="96"/>
      <c r="BS65" s="10"/>
      <c r="BT65" s="10"/>
      <c r="BU65" s="10"/>
      <c r="BV65" s="10"/>
      <c r="BW65" s="10"/>
      <c r="BX65" s="10"/>
      <c r="BY65" s="10"/>
      <c r="BZ65" s="10"/>
      <c r="CA65" s="10"/>
      <c r="CB65" s="10"/>
      <c r="CC65" s="10"/>
      <c r="CD65" s="10"/>
      <c r="CE65" s="10"/>
      <c r="CF65" s="10"/>
      <c r="CG65" s="10"/>
      <c r="CH65" s="10"/>
      <c r="CI65" s="10"/>
    </row>
    <row r="66" spans="1:87" s="9" customFormat="1" ht="40.5" customHeight="1">
      <c r="A66" s="282">
        <f t="shared" si="0"/>
        <v>58</v>
      </c>
      <c r="B66" s="282"/>
      <c r="C66" s="282"/>
      <c r="D66" s="292" t="s">
        <v>250</v>
      </c>
      <c r="E66" s="287"/>
      <c r="F66" s="287"/>
      <c r="G66" s="287"/>
      <c r="H66" s="287"/>
      <c r="I66" s="287"/>
      <c r="J66" s="287"/>
      <c r="K66" s="287"/>
      <c r="L66" s="287"/>
      <c r="M66" s="287"/>
      <c r="N66" s="287"/>
      <c r="O66" s="287"/>
      <c r="P66" s="287"/>
      <c r="Q66" s="288"/>
      <c r="R66" s="283">
        <v>14</v>
      </c>
      <c r="S66" s="284"/>
      <c r="T66" s="285"/>
      <c r="U66" s="286" t="s">
        <v>207</v>
      </c>
      <c r="V66" s="287"/>
      <c r="W66" s="287"/>
      <c r="X66" s="287"/>
      <c r="Y66" s="287"/>
      <c r="Z66" s="287"/>
      <c r="AA66" s="287"/>
      <c r="AB66" s="287"/>
      <c r="AC66" s="287"/>
      <c r="AD66" s="288"/>
      <c r="AE66" s="289" t="s">
        <v>256</v>
      </c>
      <c r="AF66" s="290"/>
      <c r="AG66" s="290"/>
      <c r="AH66" s="290"/>
      <c r="AI66" s="290"/>
      <c r="AJ66" s="290"/>
      <c r="AK66" s="290"/>
      <c r="AL66" s="290"/>
      <c r="AM66" s="290"/>
      <c r="AN66" s="290"/>
      <c r="AO66" s="290"/>
      <c r="AP66" s="290"/>
      <c r="AQ66" s="290"/>
      <c r="AR66" s="290"/>
      <c r="AS66" s="290"/>
      <c r="AT66" s="290"/>
      <c r="AU66" s="290"/>
      <c r="AV66" s="290"/>
      <c r="AW66" s="290"/>
      <c r="AX66" s="290"/>
      <c r="AY66" s="290"/>
      <c r="AZ66" s="290"/>
      <c r="BA66" s="290"/>
      <c r="BB66" s="290"/>
      <c r="BC66" s="290"/>
      <c r="BD66" s="290"/>
      <c r="BE66" s="290"/>
      <c r="BF66" s="290"/>
      <c r="BG66" s="290"/>
      <c r="BH66" s="290"/>
      <c r="BI66" s="290"/>
      <c r="BJ66" s="291"/>
      <c r="BL66" s="96"/>
      <c r="BS66" s="10"/>
      <c r="BT66" s="10"/>
      <c r="BU66" s="10"/>
      <c r="BV66" s="10"/>
      <c r="BW66" s="10"/>
      <c r="BX66" s="10"/>
      <c r="BY66" s="10"/>
      <c r="BZ66" s="10"/>
      <c r="CA66" s="10"/>
      <c r="CB66" s="10"/>
      <c r="CC66" s="10"/>
      <c r="CD66" s="10"/>
      <c r="CE66" s="10"/>
      <c r="CF66" s="10"/>
      <c r="CG66" s="10"/>
      <c r="CH66" s="10"/>
      <c r="CI66" s="10"/>
    </row>
    <row r="67" spans="1:87" s="9" customFormat="1" ht="40.5" customHeight="1">
      <c r="A67" s="282">
        <f t="shared" si="0"/>
        <v>59</v>
      </c>
      <c r="B67" s="282"/>
      <c r="C67" s="282"/>
      <c r="D67" s="292" t="s">
        <v>252</v>
      </c>
      <c r="E67" s="287"/>
      <c r="F67" s="287"/>
      <c r="G67" s="287"/>
      <c r="H67" s="287"/>
      <c r="I67" s="287"/>
      <c r="J67" s="287"/>
      <c r="K67" s="287"/>
      <c r="L67" s="287"/>
      <c r="M67" s="287"/>
      <c r="N67" s="287"/>
      <c r="O67" s="287"/>
      <c r="P67" s="287"/>
      <c r="Q67" s="288"/>
      <c r="R67" s="283">
        <v>14</v>
      </c>
      <c r="S67" s="284"/>
      <c r="T67" s="285"/>
      <c r="U67" s="286" t="s">
        <v>207</v>
      </c>
      <c r="V67" s="287"/>
      <c r="W67" s="287"/>
      <c r="X67" s="287"/>
      <c r="Y67" s="287"/>
      <c r="Z67" s="287"/>
      <c r="AA67" s="287"/>
      <c r="AB67" s="287"/>
      <c r="AC67" s="287"/>
      <c r="AD67" s="288"/>
      <c r="AE67" s="289" t="s">
        <v>257</v>
      </c>
      <c r="AF67" s="290"/>
      <c r="AG67" s="290"/>
      <c r="AH67" s="290"/>
      <c r="AI67" s="290"/>
      <c r="AJ67" s="290"/>
      <c r="AK67" s="290"/>
      <c r="AL67" s="290"/>
      <c r="AM67" s="290"/>
      <c r="AN67" s="290"/>
      <c r="AO67" s="290"/>
      <c r="AP67" s="290"/>
      <c r="AQ67" s="290"/>
      <c r="AR67" s="290"/>
      <c r="AS67" s="290"/>
      <c r="AT67" s="290"/>
      <c r="AU67" s="290"/>
      <c r="AV67" s="290"/>
      <c r="AW67" s="290"/>
      <c r="AX67" s="290"/>
      <c r="AY67" s="290"/>
      <c r="AZ67" s="290"/>
      <c r="BA67" s="290"/>
      <c r="BB67" s="290"/>
      <c r="BC67" s="290"/>
      <c r="BD67" s="290"/>
      <c r="BE67" s="290"/>
      <c r="BF67" s="290"/>
      <c r="BG67" s="290"/>
      <c r="BH67" s="290"/>
      <c r="BI67" s="290"/>
      <c r="BJ67" s="291"/>
      <c r="BL67" s="96"/>
      <c r="BS67" s="10"/>
      <c r="BT67" s="10"/>
      <c r="BU67" s="10"/>
      <c r="BV67" s="10"/>
      <c r="BW67" s="10"/>
      <c r="BX67" s="10"/>
      <c r="BY67" s="10"/>
      <c r="BZ67" s="10"/>
      <c r="CA67" s="10"/>
      <c r="CB67" s="10"/>
      <c r="CC67" s="10"/>
      <c r="CD67" s="10"/>
      <c r="CE67" s="10"/>
      <c r="CF67" s="10"/>
      <c r="CG67" s="10"/>
      <c r="CH67" s="10"/>
      <c r="CI67" s="10"/>
    </row>
    <row r="68" spans="1:87" s="9" customFormat="1" ht="40.5" customHeight="1">
      <c r="A68" s="282">
        <f t="shared" si="0"/>
        <v>60</v>
      </c>
      <c r="B68" s="282"/>
      <c r="C68" s="282"/>
      <c r="D68" s="292" t="s">
        <v>254</v>
      </c>
      <c r="E68" s="287"/>
      <c r="F68" s="287"/>
      <c r="G68" s="287"/>
      <c r="H68" s="287"/>
      <c r="I68" s="287"/>
      <c r="J68" s="287"/>
      <c r="K68" s="287"/>
      <c r="L68" s="287"/>
      <c r="M68" s="287"/>
      <c r="N68" s="287"/>
      <c r="O68" s="287"/>
      <c r="P68" s="287"/>
      <c r="Q68" s="288"/>
      <c r="R68" s="283">
        <v>14</v>
      </c>
      <c r="S68" s="284"/>
      <c r="T68" s="285"/>
      <c r="U68" s="286" t="s">
        <v>207</v>
      </c>
      <c r="V68" s="287"/>
      <c r="W68" s="287"/>
      <c r="X68" s="287"/>
      <c r="Y68" s="287"/>
      <c r="Z68" s="287"/>
      <c r="AA68" s="287"/>
      <c r="AB68" s="287"/>
      <c r="AC68" s="287"/>
      <c r="AD68" s="288"/>
      <c r="AE68" s="289" t="s">
        <v>258</v>
      </c>
      <c r="AF68" s="290"/>
      <c r="AG68" s="290"/>
      <c r="AH68" s="290"/>
      <c r="AI68" s="290"/>
      <c r="AJ68" s="290"/>
      <c r="AK68" s="290"/>
      <c r="AL68" s="290"/>
      <c r="AM68" s="290"/>
      <c r="AN68" s="290"/>
      <c r="AO68" s="290"/>
      <c r="AP68" s="290"/>
      <c r="AQ68" s="290"/>
      <c r="AR68" s="290"/>
      <c r="AS68" s="290"/>
      <c r="AT68" s="290"/>
      <c r="AU68" s="290"/>
      <c r="AV68" s="290"/>
      <c r="AW68" s="290"/>
      <c r="AX68" s="290"/>
      <c r="AY68" s="290"/>
      <c r="AZ68" s="290"/>
      <c r="BA68" s="290"/>
      <c r="BB68" s="290"/>
      <c r="BC68" s="290"/>
      <c r="BD68" s="290"/>
      <c r="BE68" s="290"/>
      <c r="BF68" s="290"/>
      <c r="BG68" s="290"/>
      <c r="BH68" s="290"/>
      <c r="BI68" s="290"/>
      <c r="BJ68" s="291"/>
      <c r="BL68" s="96"/>
      <c r="BS68" s="10"/>
      <c r="BT68" s="10"/>
      <c r="BU68" s="10"/>
      <c r="BV68" s="10"/>
      <c r="BW68" s="10"/>
      <c r="BX68" s="10"/>
      <c r="BY68" s="10"/>
      <c r="BZ68" s="10"/>
      <c r="CA68" s="10"/>
      <c r="CB68" s="10"/>
      <c r="CC68" s="10"/>
      <c r="CD68" s="10"/>
      <c r="CE68" s="10"/>
      <c r="CF68" s="10"/>
      <c r="CG68" s="10"/>
      <c r="CH68" s="10"/>
      <c r="CI68" s="10"/>
    </row>
    <row r="69" spans="1:87" s="9" customFormat="1" ht="40.5" customHeight="1">
      <c r="A69" s="282"/>
      <c r="B69" s="282"/>
      <c r="C69" s="282"/>
      <c r="D69" s="292" t="s">
        <v>225</v>
      </c>
      <c r="E69" s="287"/>
      <c r="F69" s="287"/>
      <c r="G69" s="287"/>
      <c r="H69" s="287"/>
      <c r="I69" s="287"/>
      <c r="J69" s="287"/>
      <c r="K69" s="287"/>
      <c r="L69" s="287"/>
      <c r="M69" s="287"/>
      <c r="N69" s="287"/>
      <c r="O69" s="287"/>
      <c r="P69" s="287"/>
      <c r="Q69" s="288"/>
      <c r="R69" s="283"/>
      <c r="S69" s="284"/>
      <c r="T69" s="285"/>
      <c r="U69" s="286"/>
      <c r="V69" s="287"/>
      <c r="W69" s="287"/>
      <c r="X69" s="287"/>
      <c r="Y69" s="287"/>
      <c r="Z69" s="287"/>
      <c r="AA69" s="287"/>
      <c r="AB69" s="287"/>
      <c r="AC69" s="287"/>
      <c r="AD69" s="288"/>
      <c r="AE69" s="289"/>
      <c r="AF69" s="290"/>
      <c r="AG69" s="290"/>
      <c r="AH69" s="290"/>
      <c r="AI69" s="290"/>
      <c r="AJ69" s="290"/>
      <c r="AK69" s="290"/>
      <c r="AL69" s="290"/>
      <c r="AM69" s="290"/>
      <c r="AN69" s="290"/>
      <c r="AO69" s="290"/>
      <c r="AP69" s="290"/>
      <c r="AQ69" s="290"/>
      <c r="AR69" s="290"/>
      <c r="AS69" s="290"/>
      <c r="AT69" s="290"/>
      <c r="AU69" s="290"/>
      <c r="AV69" s="290"/>
      <c r="AW69" s="290"/>
      <c r="AX69" s="290"/>
      <c r="AY69" s="290"/>
      <c r="AZ69" s="290"/>
      <c r="BA69" s="290"/>
      <c r="BB69" s="290"/>
      <c r="BC69" s="290"/>
      <c r="BD69" s="290"/>
      <c r="BE69" s="290"/>
      <c r="BF69" s="290"/>
      <c r="BG69" s="290"/>
      <c r="BH69" s="290"/>
      <c r="BI69" s="290"/>
      <c r="BJ69" s="291"/>
      <c r="BL69" s="96"/>
      <c r="BS69" s="10"/>
      <c r="BT69" s="10"/>
      <c r="BU69" s="10"/>
      <c r="BV69" s="10"/>
      <c r="BW69" s="10"/>
      <c r="BX69" s="10"/>
      <c r="BY69" s="10"/>
      <c r="BZ69" s="10"/>
      <c r="CA69" s="10"/>
      <c r="CB69" s="10"/>
      <c r="CC69" s="10"/>
      <c r="CD69" s="10"/>
      <c r="CE69" s="10"/>
      <c r="CF69" s="10"/>
      <c r="CG69" s="10"/>
      <c r="CH69" s="10"/>
      <c r="CI69" s="10"/>
    </row>
    <row r="70" spans="1:87" s="9" customFormat="1" ht="48.6" customHeight="1">
      <c r="A70" s="282">
        <v>61</v>
      </c>
      <c r="B70" s="282"/>
      <c r="C70" s="282"/>
      <c r="D70" s="297" t="s">
        <v>409</v>
      </c>
      <c r="E70" s="298"/>
      <c r="F70" s="298"/>
      <c r="G70" s="298"/>
      <c r="H70" s="298"/>
      <c r="I70" s="298"/>
      <c r="J70" s="298"/>
      <c r="K70" s="298"/>
      <c r="L70" s="298"/>
      <c r="M70" s="298"/>
      <c r="N70" s="298"/>
      <c r="O70" s="298"/>
      <c r="P70" s="298"/>
      <c r="Q70" s="299"/>
      <c r="R70" s="283">
        <v>15</v>
      </c>
      <c r="S70" s="284"/>
      <c r="T70" s="285"/>
      <c r="U70" s="292"/>
      <c r="V70" s="287"/>
      <c r="W70" s="287"/>
      <c r="X70" s="287"/>
      <c r="Y70" s="287"/>
      <c r="Z70" s="287"/>
      <c r="AA70" s="287"/>
      <c r="AB70" s="287"/>
      <c r="AC70" s="287"/>
      <c r="AD70" s="288"/>
      <c r="AE70" s="289" t="s">
        <v>437</v>
      </c>
      <c r="AF70" s="290"/>
      <c r="AG70" s="290"/>
      <c r="AH70" s="290"/>
      <c r="AI70" s="290"/>
      <c r="AJ70" s="290"/>
      <c r="AK70" s="290"/>
      <c r="AL70" s="290"/>
      <c r="AM70" s="290"/>
      <c r="AN70" s="290"/>
      <c r="AO70" s="290"/>
      <c r="AP70" s="290"/>
      <c r="AQ70" s="290"/>
      <c r="AR70" s="290"/>
      <c r="AS70" s="290"/>
      <c r="AT70" s="290"/>
      <c r="AU70" s="290"/>
      <c r="AV70" s="290"/>
      <c r="AW70" s="290"/>
      <c r="AX70" s="290"/>
      <c r="AY70" s="290"/>
      <c r="AZ70" s="290"/>
      <c r="BA70" s="290"/>
      <c r="BB70" s="290"/>
      <c r="BC70" s="290"/>
      <c r="BD70" s="290"/>
      <c r="BE70" s="290"/>
      <c r="BF70" s="290"/>
      <c r="BG70" s="290"/>
      <c r="BH70" s="290"/>
      <c r="BI70" s="290"/>
      <c r="BJ70" s="291"/>
      <c r="BL70" s="96"/>
      <c r="BS70" s="10"/>
      <c r="BT70" s="10"/>
      <c r="BU70" s="10"/>
      <c r="BV70" s="10"/>
      <c r="BW70" s="10"/>
      <c r="BX70" s="10"/>
      <c r="BY70" s="10"/>
      <c r="BZ70" s="10"/>
      <c r="CA70" s="10"/>
      <c r="CB70" s="10"/>
      <c r="CC70" s="10"/>
      <c r="CD70" s="10"/>
      <c r="CE70" s="10"/>
      <c r="CF70" s="10"/>
      <c r="CG70" s="10"/>
      <c r="CH70" s="10"/>
      <c r="CI70" s="10"/>
    </row>
    <row r="71" spans="1:87" s="9" customFormat="1" ht="48.6" customHeight="1">
      <c r="A71" s="326">
        <v>62</v>
      </c>
      <c r="B71" s="327"/>
      <c r="C71" s="328"/>
      <c r="D71" s="297" t="s">
        <v>150</v>
      </c>
      <c r="E71" s="298"/>
      <c r="F71" s="298"/>
      <c r="G71" s="298"/>
      <c r="H71" s="298"/>
      <c r="I71" s="298"/>
      <c r="J71" s="298"/>
      <c r="K71" s="298"/>
      <c r="L71" s="298"/>
      <c r="M71" s="298"/>
      <c r="N71" s="298"/>
      <c r="O71" s="298"/>
      <c r="P71" s="298"/>
      <c r="Q71" s="299"/>
      <c r="R71" s="283">
        <v>3</v>
      </c>
      <c r="S71" s="284"/>
      <c r="T71" s="285"/>
      <c r="U71" s="292"/>
      <c r="V71" s="287"/>
      <c r="W71" s="287"/>
      <c r="X71" s="287"/>
      <c r="Y71" s="287"/>
      <c r="Z71" s="287"/>
      <c r="AA71" s="287"/>
      <c r="AB71" s="287"/>
      <c r="AC71" s="287"/>
      <c r="AD71" s="288"/>
      <c r="AE71" s="289" t="s">
        <v>438</v>
      </c>
      <c r="AF71" s="290"/>
      <c r="AG71" s="290"/>
      <c r="AH71" s="290"/>
      <c r="AI71" s="290"/>
      <c r="AJ71" s="290"/>
      <c r="AK71" s="290"/>
      <c r="AL71" s="290"/>
      <c r="AM71" s="290"/>
      <c r="AN71" s="290"/>
      <c r="AO71" s="290"/>
      <c r="AP71" s="290"/>
      <c r="AQ71" s="290"/>
      <c r="AR71" s="290"/>
      <c r="AS71" s="290"/>
      <c r="AT71" s="290"/>
      <c r="AU71" s="290"/>
      <c r="AV71" s="290"/>
      <c r="AW71" s="290"/>
      <c r="AX71" s="290"/>
      <c r="AY71" s="290"/>
      <c r="AZ71" s="290"/>
      <c r="BA71" s="290"/>
      <c r="BB71" s="290"/>
      <c r="BC71" s="290"/>
      <c r="BD71" s="290"/>
      <c r="BE71" s="290"/>
      <c r="BF71" s="290"/>
      <c r="BG71" s="290"/>
      <c r="BH71" s="290"/>
      <c r="BI71" s="290"/>
      <c r="BJ71" s="291"/>
      <c r="BL71" s="96"/>
      <c r="BS71" s="10"/>
      <c r="BT71" s="10"/>
      <c r="BU71" s="10"/>
      <c r="BV71" s="10"/>
      <c r="BW71" s="10"/>
      <c r="BX71" s="10"/>
      <c r="BY71" s="10"/>
      <c r="BZ71" s="10"/>
      <c r="CA71" s="10"/>
      <c r="CB71" s="10"/>
      <c r="CC71" s="10"/>
      <c r="CD71" s="10"/>
      <c r="CE71" s="10"/>
      <c r="CF71" s="10"/>
      <c r="CG71" s="10"/>
      <c r="CH71" s="10"/>
      <c r="CI71" s="10"/>
    </row>
    <row r="72" spans="1:87" s="9" customFormat="1" ht="48.6" customHeight="1">
      <c r="A72" s="282">
        <v>63</v>
      </c>
      <c r="B72" s="282"/>
      <c r="C72" s="282"/>
      <c r="D72" s="292" t="s">
        <v>174</v>
      </c>
      <c r="E72" s="287"/>
      <c r="F72" s="287"/>
      <c r="G72" s="287"/>
      <c r="H72" s="287"/>
      <c r="I72" s="287"/>
      <c r="J72" s="287"/>
      <c r="K72" s="287"/>
      <c r="L72" s="287"/>
      <c r="M72" s="287"/>
      <c r="N72" s="287"/>
      <c r="O72" s="287"/>
      <c r="P72" s="287"/>
      <c r="Q72" s="288"/>
      <c r="R72" s="283">
        <v>14</v>
      </c>
      <c r="S72" s="284"/>
      <c r="T72" s="285"/>
      <c r="U72" s="286" t="s">
        <v>207</v>
      </c>
      <c r="V72" s="287"/>
      <c r="W72" s="287"/>
      <c r="X72" s="287"/>
      <c r="Y72" s="287"/>
      <c r="Z72" s="287"/>
      <c r="AA72" s="287"/>
      <c r="AB72" s="287"/>
      <c r="AC72" s="287"/>
      <c r="AD72" s="288"/>
      <c r="AE72" s="289" t="s">
        <v>272</v>
      </c>
      <c r="AF72" s="290"/>
      <c r="AG72" s="290"/>
      <c r="AH72" s="290"/>
      <c r="AI72" s="290"/>
      <c r="AJ72" s="290"/>
      <c r="AK72" s="290"/>
      <c r="AL72" s="290"/>
      <c r="AM72" s="290"/>
      <c r="AN72" s="290"/>
      <c r="AO72" s="290"/>
      <c r="AP72" s="290"/>
      <c r="AQ72" s="290"/>
      <c r="AR72" s="290"/>
      <c r="AS72" s="290"/>
      <c r="AT72" s="290"/>
      <c r="AU72" s="290"/>
      <c r="AV72" s="290"/>
      <c r="AW72" s="290"/>
      <c r="AX72" s="290"/>
      <c r="AY72" s="290"/>
      <c r="AZ72" s="290"/>
      <c r="BA72" s="290"/>
      <c r="BB72" s="290"/>
      <c r="BC72" s="290"/>
      <c r="BD72" s="290"/>
      <c r="BE72" s="290"/>
      <c r="BF72" s="290"/>
      <c r="BG72" s="290"/>
      <c r="BH72" s="290"/>
      <c r="BI72" s="290"/>
      <c r="BJ72" s="291"/>
      <c r="BL72" s="96"/>
      <c r="BS72" s="10"/>
      <c r="BT72" s="10"/>
      <c r="BU72" s="10"/>
      <c r="BV72" s="10"/>
      <c r="BW72" s="10"/>
      <c r="BX72" s="10"/>
      <c r="BY72" s="10"/>
      <c r="BZ72" s="10"/>
      <c r="CA72" s="10"/>
      <c r="CB72" s="10"/>
      <c r="CC72" s="10"/>
      <c r="CD72" s="10"/>
      <c r="CE72" s="10"/>
      <c r="CF72" s="10"/>
      <c r="CG72" s="10"/>
      <c r="CH72" s="10"/>
      <c r="CI72" s="10"/>
    </row>
    <row r="73" spans="1:87" s="9" customFormat="1" ht="48.6" customHeight="1">
      <c r="A73" s="326">
        <v>64</v>
      </c>
      <c r="B73" s="327"/>
      <c r="C73" s="328"/>
      <c r="D73" s="292" t="s">
        <v>175</v>
      </c>
      <c r="E73" s="287"/>
      <c r="F73" s="287"/>
      <c r="G73" s="287"/>
      <c r="H73" s="287"/>
      <c r="I73" s="287"/>
      <c r="J73" s="287"/>
      <c r="K73" s="287"/>
      <c r="L73" s="287"/>
      <c r="M73" s="287"/>
      <c r="N73" s="287"/>
      <c r="O73" s="287"/>
      <c r="P73" s="287"/>
      <c r="Q73" s="288"/>
      <c r="R73" s="283">
        <v>14</v>
      </c>
      <c r="S73" s="284"/>
      <c r="T73" s="285"/>
      <c r="U73" s="286" t="s">
        <v>207</v>
      </c>
      <c r="V73" s="287"/>
      <c r="W73" s="287"/>
      <c r="X73" s="287"/>
      <c r="Y73" s="287"/>
      <c r="Z73" s="287"/>
      <c r="AA73" s="287"/>
      <c r="AB73" s="287"/>
      <c r="AC73" s="287"/>
      <c r="AD73" s="288"/>
      <c r="AE73" s="289" t="s">
        <v>273</v>
      </c>
      <c r="AF73" s="290"/>
      <c r="AG73" s="290"/>
      <c r="AH73" s="290"/>
      <c r="AI73" s="290"/>
      <c r="AJ73" s="290"/>
      <c r="AK73" s="290"/>
      <c r="AL73" s="290"/>
      <c r="AM73" s="290"/>
      <c r="AN73" s="290"/>
      <c r="AO73" s="290"/>
      <c r="AP73" s="290"/>
      <c r="AQ73" s="290"/>
      <c r="AR73" s="290"/>
      <c r="AS73" s="290"/>
      <c r="AT73" s="290"/>
      <c r="AU73" s="290"/>
      <c r="AV73" s="290"/>
      <c r="AW73" s="290"/>
      <c r="AX73" s="290"/>
      <c r="AY73" s="290"/>
      <c r="AZ73" s="290"/>
      <c r="BA73" s="290"/>
      <c r="BB73" s="290"/>
      <c r="BC73" s="290"/>
      <c r="BD73" s="290"/>
      <c r="BE73" s="290"/>
      <c r="BF73" s="290"/>
      <c r="BG73" s="290"/>
      <c r="BH73" s="290"/>
      <c r="BI73" s="290"/>
      <c r="BJ73" s="291"/>
      <c r="BL73" s="96"/>
      <c r="BS73" s="10"/>
      <c r="BT73" s="10"/>
      <c r="BU73" s="10"/>
      <c r="BV73" s="10"/>
      <c r="BW73" s="10"/>
      <c r="BX73" s="10"/>
      <c r="BY73" s="10"/>
      <c r="BZ73" s="10"/>
      <c r="CA73" s="10"/>
      <c r="CB73" s="10"/>
      <c r="CC73" s="10"/>
      <c r="CD73" s="10"/>
      <c r="CE73" s="10"/>
      <c r="CF73" s="10"/>
      <c r="CG73" s="10"/>
      <c r="CH73" s="10"/>
      <c r="CI73" s="10"/>
    </row>
    <row r="74" spans="1:87" s="9" customFormat="1" ht="48.6" customHeight="1">
      <c r="A74" s="282">
        <v>65</v>
      </c>
      <c r="B74" s="282"/>
      <c r="C74" s="282"/>
      <c r="D74" s="292" t="s">
        <v>174</v>
      </c>
      <c r="E74" s="287"/>
      <c r="F74" s="287"/>
      <c r="G74" s="287"/>
      <c r="H74" s="287"/>
      <c r="I74" s="287"/>
      <c r="J74" s="287"/>
      <c r="K74" s="287"/>
      <c r="L74" s="287"/>
      <c r="M74" s="287"/>
      <c r="N74" s="287"/>
      <c r="O74" s="287"/>
      <c r="P74" s="287"/>
      <c r="Q74" s="288"/>
      <c r="R74" s="283">
        <v>14</v>
      </c>
      <c r="S74" s="284"/>
      <c r="T74" s="285"/>
      <c r="U74" s="286" t="s">
        <v>207</v>
      </c>
      <c r="V74" s="287"/>
      <c r="W74" s="287"/>
      <c r="X74" s="287"/>
      <c r="Y74" s="287"/>
      <c r="Z74" s="287"/>
      <c r="AA74" s="287"/>
      <c r="AB74" s="287"/>
      <c r="AC74" s="287"/>
      <c r="AD74" s="288"/>
      <c r="AE74" s="289" t="s">
        <v>274</v>
      </c>
      <c r="AF74" s="290"/>
      <c r="AG74" s="290"/>
      <c r="AH74" s="290"/>
      <c r="AI74" s="290"/>
      <c r="AJ74" s="290"/>
      <c r="AK74" s="290"/>
      <c r="AL74" s="290"/>
      <c r="AM74" s="290"/>
      <c r="AN74" s="290"/>
      <c r="AO74" s="290"/>
      <c r="AP74" s="290"/>
      <c r="AQ74" s="290"/>
      <c r="AR74" s="290"/>
      <c r="AS74" s="290"/>
      <c r="AT74" s="290"/>
      <c r="AU74" s="290"/>
      <c r="AV74" s="290"/>
      <c r="AW74" s="290"/>
      <c r="AX74" s="290"/>
      <c r="AY74" s="290"/>
      <c r="AZ74" s="290"/>
      <c r="BA74" s="290"/>
      <c r="BB74" s="290"/>
      <c r="BC74" s="290"/>
      <c r="BD74" s="290"/>
      <c r="BE74" s="290"/>
      <c r="BF74" s="290"/>
      <c r="BG74" s="290"/>
      <c r="BH74" s="290"/>
      <c r="BI74" s="290"/>
      <c r="BJ74" s="291"/>
      <c r="BL74" s="96"/>
      <c r="BS74" s="10"/>
      <c r="BT74" s="10"/>
      <c r="BU74" s="10"/>
      <c r="BV74" s="10"/>
      <c r="BW74" s="10"/>
      <c r="BX74" s="10"/>
      <c r="BY74" s="10"/>
      <c r="BZ74" s="10"/>
      <c r="CA74" s="10"/>
      <c r="CB74" s="10"/>
      <c r="CC74" s="10"/>
      <c r="CD74" s="10"/>
      <c r="CE74" s="10"/>
      <c r="CF74" s="10"/>
      <c r="CG74" s="10"/>
      <c r="CH74" s="10"/>
      <c r="CI74" s="10"/>
    </row>
    <row r="75" spans="1:87" s="9" customFormat="1" ht="48.6" customHeight="1">
      <c r="A75" s="326">
        <v>66</v>
      </c>
      <c r="B75" s="327"/>
      <c r="C75" s="328"/>
      <c r="D75" s="292" t="s">
        <v>175</v>
      </c>
      <c r="E75" s="287"/>
      <c r="F75" s="287"/>
      <c r="G75" s="287"/>
      <c r="H75" s="287"/>
      <c r="I75" s="287"/>
      <c r="J75" s="287"/>
      <c r="K75" s="287"/>
      <c r="L75" s="287"/>
      <c r="M75" s="287"/>
      <c r="N75" s="287"/>
      <c r="O75" s="287"/>
      <c r="P75" s="287"/>
      <c r="Q75" s="288"/>
      <c r="R75" s="283">
        <v>14</v>
      </c>
      <c r="S75" s="284"/>
      <c r="T75" s="285"/>
      <c r="U75" s="286" t="s">
        <v>207</v>
      </c>
      <c r="V75" s="287"/>
      <c r="W75" s="287"/>
      <c r="X75" s="287"/>
      <c r="Y75" s="287"/>
      <c r="Z75" s="287"/>
      <c r="AA75" s="287"/>
      <c r="AB75" s="287"/>
      <c r="AC75" s="287"/>
      <c r="AD75" s="288"/>
      <c r="AE75" s="289" t="s">
        <v>273</v>
      </c>
      <c r="AF75" s="290"/>
      <c r="AG75" s="290"/>
      <c r="AH75" s="290"/>
      <c r="AI75" s="290"/>
      <c r="AJ75" s="290"/>
      <c r="AK75" s="290"/>
      <c r="AL75" s="290"/>
      <c r="AM75" s="290"/>
      <c r="AN75" s="290"/>
      <c r="AO75" s="290"/>
      <c r="AP75" s="290"/>
      <c r="AQ75" s="290"/>
      <c r="AR75" s="290"/>
      <c r="AS75" s="290"/>
      <c r="AT75" s="290"/>
      <c r="AU75" s="290"/>
      <c r="AV75" s="290"/>
      <c r="AW75" s="290"/>
      <c r="AX75" s="290"/>
      <c r="AY75" s="290"/>
      <c r="AZ75" s="290"/>
      <c r="BA75" s="290"/>
      <c r="BB75" s="290"/>
      <c r="BC75" s="290"/>
      <c r="BD75" s="290"/>
      <c r="BE75" s="290"/>
      <c r="BF75" s="290"/>
      <c r="BG75" s="290"/>
      <c r="BH75" s="290"/>
      <c r="BI75" s="290"/>
      <c r="BJ75" s="291"/>
      <c r="BL75" s="96"/>
      <c r="BS75" s="10"/>
      <c r="BT75" s="10"/>
      <c r="BU75" s="10"/>
      <c r="BV75" s="10"/>
      <c r="BW75" s="10"/>
      <c r="BX75" s="10"/>
      <c r="BY75" s="10"/>
      <c r="BZ75" s="10"/>
      <c r="CA75" s="10"/>
      <c r="CB75" s="10"/>
      <c r="CC75" s="10"/>
      <c r="CD75" s="10"/>
      <c r="CE75" s="10"/>
      <c r="CF75" s="10"/>
      <c r="CG75" s="10"/>
      <c r="CH75" s="10"/>
      <c r="CI75" s="10"/>
    </row>
    <row r="76" spans="1:87" s="9" customFormat="1" ht="40.5" customHeight="1">
      <c r="A76" s="282">
        <v>67</v>
      </c>
      <c r="B76" s="282"/>
      <c r="C76" s="282"/>
      <c r="D76" s="292" t="s">
        <v>179</v>
      </c>
      <c r="E76" s="287"/>
      <c r="F76" s="287"/>
      <c r="G76" s="287"/>
      <c r="H76" s="287"/>
      <c r="I76" s="287"/>
      <c r="J76" s="287"/>
      <c r="K76" s="287"/>
      <c r="L76" s="287"/>
      <c r="M76" s="287"/>
      <c r="N76" s="287"/>
      <c r="O76" s="287"/>
      <c r="P76" s="287"/>
      <c r="Q76" s="288"/>
      <c r="R76" s="283" t="s">
        <v>213</v>
      </c>
      <c r="S76" s="284"/>
      <c r="T76" s="285"/>
      <c r="U76" s="293" t="s">
        <v>208</v>
      </c>
      <c r="V76" s="287"/>
      <c r="W76" s="287"/>
      <c r="X76" s="287"/>
      <c r="Y76" s="287"/>
      <c r="Z76" s="287"/>
      <c r="AA76" s="287"/>
      <c r="AB76" s="287"/>
      <c r="AC76" s="287"/>
      <c r="AD76" s="288"/>
      <c r="AE76" s="289" t="s">
        <v>275</v>
      </c>
      <c r="AF76" s="290"/>
      <c r="AG76" s="290"/>
      <c r="AH76" s="290"/>
      <c r="AI76" s="290"/>
      <c r="AJ76" s="290"/>
      <c r="AK76" s="290"/>
      <c r="AL76" s="290"/>
      <c r="AM76" s="290"/>
      <c r="AN76" s="290"/>
      <c r="AO76" s="290"/>
      <c r="AP76" s="290"/>
      <c r="AQ76" s="290"/>
      <c r="AR76" s="290"/>
      <c r="AS76" s="290"/>
      <c r="AT76" s="290"/>
      <c r="AU76" s="290"/>
      <c r="AV76" s="290"/>
      <c r="AW76" s="290"/>
      <c r="AX76" s="290"/>
      <c r="AY76" s="290"/>
      <c r="AZ76" s="290"/>
      <c r="BA76" s="290"/>
      <c r="BB76" s="290"/>
      <c r="BC76" s="290"/>
      <c r="BD76" s="290"/>
      <c r="BE76" s="290"/>
      <c r="BF76" s="290"/>
      <c r="BG76" s="290"/>
      <c r="BH76" s="290"/>
      <c r="BI76" s="290"/>
      <c r="BJ76" s="291"/>
      <c r="BL76" s="96"/>
      <c r="BS76" s="10"/>
      <c r="BT76" s="10"/>
      <c r="BU76" s="10"/>
      <c r="BV76" s="10"/>
      <c r="BW76" s="10"/>
      <c r="BX76" s="10"/>
      <c r="BY76" s="10"/>
      <c r="BZ76" s="10"/>
      <c r="CA76" s="10"/>
      <c r="CB76" s="10"/>
      <c r="CC76" s="10"/>
      <c r="CD76" s="10"/>
      <c r="CE76" s="10"/>
      <c r="CF76" s="10"/>
      <c r="CG76" s="10"/>
      <c r="CH76" s="10"/>
      <c r="CI76" s="10"/>
    </row>
    <row r="77" spans="1:87" s="9" customFormat="1" ht="40.5" customHeight="1">
      <c r="A77" s="326">
        <v>68</v>
      </c>
      <c r="B77" s="327"/>
      <c r="C77" s="328"/>
      <c r="D77" s="292" t="s">
        <v>276</v>
      </c>
      <c r="E77" s="287"/>
      <c r="F77" s="287"/>
      <c r="G77" s="287"/>
      <c r="H77" s="287"/>
      <c r="I77" s="287"/>
      <c r="J77" s="287"/>
      <c r="K77" s="287"/>
      <c r="L77" s="287"/>
      <c r="M77" s="287"/>
      <c r="N77" s="287"/>
      <c r="O77" s="287"/>
      <c r="P77" s="287"/>
      <c r="Q77" s="288"/>
      <c r="R77" s="283">
        <v>14</v>
      </c>
      <c r="S77" s="284"/>
      <c r="T77" s="285"/>
      <c r="U77" s="286" t="s">
        <v>207</v>
      </c>
      <c r="V77" s="287"/>
      <c r="W77" s="287"/>
      <c r="X77" s="287"/>
      <c r="Y77" s="287"/>
      <c r="Z77" s="287"/>
      <c r="AA77" s="287"/>
      <c r="AB77" s="287"/>
      <c r="AC77" s="287"/>
      <c r="AD77" s="288"/>
      <c r="AE77" s="289" t="s">
        <v>278</v>
      </c>
      <c r="AF77" s="290"/>
      <c r="AG77" s="290"/>
      <c r="AH77" s="290"/>
      <c r="AI77" s="290"/>
      <c r="AJ77" s="290"/>
      <c r="AK77" s="290"/>
      <c r="AL77" s="290"/>
      <c r="AM77" s="290"/>
      <c r="AN77" s="290"/>
      <c r="AO77" s="290"/>
      <c r="AP77" s="290"/>
      <c r="AQ77" s="290"/>
      <c r="AR77" s="290"/>
      <c r="AS77" s="290"/>
      <c r="AT77" s="290"/>
      <c r="AU77" s="290"/>
      <c r="AV77" s="290"/>
      <c r="AW77" s="290"/>
      <c r="AX77" s="290"/>
      <c r="AY77" s="290"/>
      <c r="AZ77" s="290"/>
      <c r="BA77" s="290"/>
      <c r="BB77" s="290"/>
      <c r="BC77" s="290"/>
      <c r="BD77" s="290"/>
      <c r="BE77" s="290"/>
      <c r="BF77" s="290"/>
      <c r="BG77" s="290"/>
      <c r="BH77" s="290"/>
      <c r="BI77" s="290"/>
      <c r="BJ77" s="291"/>
      <c r="BL77" s="96"/>
      <c r="BS77" s="10"/>
      <c r="BT77" s="10"/>
      <c r="BU77" s="10"/>
      <c r="BV77" s="10"/>
      <c r="BW77" s="10"/>
      <c r="BX77" s="10"/>
      <c r="BY77" s="10"/>
      <c r="BZ77" s="10"/>
      <c r="CA77" s="10"/>
      <c r="CB77" s="10"/>
      <c r="CC77" s="10"/>
      <c r="CD77" s="10"/>
      <c r="CE77" s="10"/>
      <c r="CF77" s="10"/>
      <c r="CG77" s="10"/>
      <c r="CH77" s="10"/>
      <c r="CI77" s="10"/>
    </row>
    <row r="78" spans="1:87" s="9" customFormat="1" ht="40.5" customHeight="1">
      <c r="A78" s="282">
        <v>69</v>
      </c>
      <c r="B78" s="282"/>
      <c r="C78" s="282"/>
      <c r="D78" s="292" t="s">
        <v>232</v>
      </c>
      <c r="E78" s="287"/>
      <c r="F78" s="287"/>
      <c r="G78" s="287"/>
      <c r="H78" s="287"/>
      <c r="I78" s="287"/>
      <c r="J78" s="287"/>
      <c r="K78" s="287"/>
      <c r="L78" s="287"/>
      <c r="M78" s="287"/>
      <c r="N78" s="287"/>
      <c r="O78" s="287"/>
      <c r="P78" s="287"/>
      <c r="Q78" s="288"/>
      <c r="R78" s="283">
        <v>14</v>
      </c>
      <c r="S78" s="284"/>
      <c r="T78" s="285"/>
      <c r="U78" s="286" t="s">
        <v>207</v>
      </c>
      <c r="V78" s="287"/>
      <c r="W78" s="287"/>
      <c r="X78" s="287"/>
      <c r="Y78" s="287"/>
      <c r="Z78" s="287"/>
      <c r="AA78" s="287"/>
      <c r="AB78" s="287"/>
      <c r="AC78" s="287"/>
      <c r="AD78" s="288"/>
      <c r="AE78" s="289" t="s">
        <v>279</v>
      </c>
      <c r="AF78" s="290"/>
      <c r="AG78" s="290"/>
      <c r="AH78" s="290"/>
      <c r="AI78" s="290"/>
      <c r="AJ78" s="290"/>
      <c r="AK78" s="290"/>
      <c r="AL78" s="290"/>
      <c r="AM78" s="290"/>
      <c r="AN78" s="290"/>
      <c r="AO78" s="290"/>
      <c r="AP78" s="290"/>
      <c r="AQ78" s="290"/>
      <c r="AR78" s="290"/>
      <c r="AS78" s="290"/>
      <c r="AT78" s="290"/>
      <c r="AU78" s="290"/>
      <c r="AV78" s="290"/>
      <c r="AW78" s="290"/>
      <c r="AX78" s="290"/>
      <c r="AY78" s="290"/>
      <c r="AZ78" s="290"/>
      <c r="BA78" s="290"/>
      <c r="BB78" s="290"/>
      <c r="BC78" s="290"/>
      <c r="BD78" s="290"/>
      <c r="BE78" s="290"/>
      <c r="BF78" s="290"/>
      <c r="BG78" s="290"/>
      <c r="BH78" s="290"/>
      <c r="BI78" s="290"/>
      <c r="BJ78" s="291"/>
      <c r="BL78" s="96"/>
      <c r="BS78" s="10"/>
      <c r="BT78" s="10"/>
      <c r="BU78" s="10"/>
      <c r="BV78" s="10"/>
      <c r="BW78" s="10"/>
      <c r="BX78" s="10"/>
      <c r="BY78" s="10"/>
      <c r="BZ78" s="10"/>
      <c r="CA78" s="10"/>
      <c r="CB78" s="10"/>
      <c r="CC78" s="10"/>
      <c r="CD78" s="10"/>
      <c r="CE78" s="10"/>
      <c r="CF78" s="10"/>
      <c r="CG78" s="10"/>
      <c r="CH78" s="10"/>
      <c r="CI78" s="10"/>
    </row>
    <row r="79" spans="1:87" s="9" customFormat="1" ht="40.5" customHeight="1">
      <c r="A79" s="326">
        <v>70</v>
      </c>
      <c r="B79" s="327"/>
      <c r="C79" s="328"/>
      <c r="D79" s="292" t="s">
        <v>277</v>
      </c>
      <c r="E79" s="287"/>
      <c r="F79" s="287"/>
      <c r="G79" s="287"/>
      <c r="H79" s="287"/>
      <c r="I79" s="287"/>
      <c r="J79" s="287"/>
      <c r="K79" s="287"/>
      <c r="L79" s="287"/>
      <c r="M79" s="287"/>
      <c r="N79" s="287"/>
      <c r="O79" s="287"/>
      <c r="P79" s="287"/>
      <c r="Q79" s="288"/>
      <c r="R79" s="283">
        <v>14</v>
      </c>
      <c r="S79" s="284"/>
      <c r="T79" s="285"/>
      <c r="U79" s="286" t="s">
        <v>207</v>
      </c>
      <c r="V79" s="287"/>
      <c r="W79" s="287"/>
      <c r="X79" s="287"/>
      <c r="Y79" s="287"/>
      <c r="Z79" s="287"/>
      <c r="AA79" s="287"/>
      <c r="AB79" s="287"/>
      <c r="AC79" s="287"/>
      <c r="AD79" s="288"/>
      <c r="AE79" s="289" t="s">
        <v>280</v>
      </c>
      <c r="AF79" s="290"/>
      <c r="AG79" s="290"/>
      <c r="AH79" s="290"/>
      <c r="AI79" s="290"/>
      <c r="AJ79" s="290"/>
      <c r="AK79" s="290"/>
      <c r="AL79" s="290"/>
      <c r="AM79" s="290"/>
      <c r="AN79" s="290"/>
      <c r="AO79" s="290"/>
      <c r="AP79" s="290"/>
      <c r="AQ79" s="290"/>
      <c r="AR79" s="290"/>
      <c r="AS79" s="290"/>
      <c r="AT79" s="290"/>
      <c r="AU79" s="290"/>
      <c r="AV79" s="290"/>
      <c r="AW79" s="290"/>
      <c r="AX79" s="290"/>
      <c r="AY79" s="290"/>
      <c r="AZ79" s="290"/>
      <c r="BA79" s="290"/>
      <c r="BB79" s="290"/>
      <c r="BC79" s="290"/>
      <c r="BD79" s="290"/>
      <c r="BE79" s="290"/>
      <c r="BF79" s="290"/>
      <c r="BG79" s="290"/>
      <c r="BH79" s="290"/>
      <c r="BI79" s="290"/>
      <c r="BJ79" s="291"/>
      <c r="BL79" s="96"/>
      <c r="BS79" s="10"/>
      <c r="BT79" s="10"/>
      <c r="BU79" s="10"/>
      <c r="BV79" s="10"/>
      <c r="BW79" s="10"/>
      <c r="BX79" s="10"/>
      <c r="BY79" s="10"/>
      <c r="BZ79" s="10"/>
      <c r="CA79" s="10"/>
      <c r="CB79" s="10"/>
      <c r="CC79" s="10"/>
      <c r="CD79" s="10"/>
      <c r="CE79" s="10"/>
      <c r="CF79" s="10"/>
      <c r="CG79" s="10"/>
      <c r="CH79" s="10"/>
      <c r="CI79" s="10"/>
    </row>
    <row r="80" spans="1:87" s="9" customFormat="1" ht="40.5" customHeight="1">
      <c r="A80" s="282">
        <v>71</v>
      </c>
      <c r="B80" s="282"/>
      <c r="C80" s="282"/>
      <c r="D80" s="292" t="s">
        <v>230</v>
      </c>
      <c r="E80" s="287"/>
      <c r="F80" s="287"/>
      <c r="G80" s="287"/>
      <c r="H80" s="287"/>
      <c r="I80" s="287"/>
      <c r="J80" s="287"/>
      <c r="K80" s="287"/>
      <c r="L80" s="287"/>
      <c r="M80" s="287"/>
      <c r="N80" s="287"/>
      <c r="O80" s="287"/>
      <c r="P80" s="287"/>
      <c r="Q80" s="288"/>
      <c r="R80" s="283">
        <v>14</v>
      </c>
      <c r="S80" s="284"/>
      <c r="T80" s="285"/>
      <c r="U80" s="286" t="s">
        <v>207</v>
      </c>
      <c r="V80" s="287"/>
      <c r="W80" s="287"/>
      <c r="X80" s="287"/>
      <c r="Y80" s="287"/>
      <c r="Z80" s="287"/>
      <c r="AA80" s="287"/>
      <c r="AB80" s="287"/>
      <c r="AC80" s="287"/>
      <c r="AD80" s="288"/>
      <c r="AE80" s="289" t="s">
        <v>281</v>
      </c>
      <c r="AF80" s="290"/>
      <c r="AG80" s="290"/>
      <c r="AH80" s="290"/>
      <c r="AI80" s="290"/>
      <c r="AJ80" s="290"/>
      <c r="AK80" s="290"/>
      <c r="AL80" s="290"/>
      <c r="AM80" s="290"/>
      <c r="AN80" s="290"/>
      <c r="AO80" s="290"/>
      <c r="AP80" s="290"/>
      <c r="AQ80" s="290"/>
      <c r="AR80" s="290"/>
      <c r="AS80" s="290"/>
      <c r="AT80" s="290"/>
      <c r="AU80" s="290"/>
      <c r="AV80" s="290"/>
      <c r="AW80" s="290"/>
      <c r="AX80" s="290"/>
      <c r="AY80" s="290"/>
      <c r="AZ80" s="290"/>
      <c r="BA80" s="290"/>
      <c r="BB80" s="290"/>
      <c r="BC80" s="290"/>
      <c r="BD80" s="290"/>
      <c r="BE80" s="290"/>
      <c r="BF80" s="290"/>
      <c r="BG80" s="290"/>
      <c r="BH80" s="290"/>
      <c r="BI80" s="290"/>
      <c r="BJ80" s="291"/>
      <c r="BL80" s="96"/>
      <c r="BS80" s="10"/>
      <c r="BT80" s="10"/>
      <c r="BU80" s="10"/>
      <c r="BV80" s="10"/>
      <c r="BW80" s="10"/>
      <c r="BX80" s="10"/>
      <c r="BY80" s="10"/>
      <c r="BZ80" s="10"/>
      <c r="CA80" s="10"/>
      <c r="CB80" s="10"/>
      <c r="CC80" s="10"/>
      <c r="CD80" s="10"/>
      <c r="CE80" s="10"/>
      <c r="CF80" s="10"/>
      <c r="CG80" s="10"/>
      <c r="CH80" s="10"/>
      <c r="CI80" s="10"/>
    </row>
    <row r="81" spans="1:87" s="9" customFormat="1" ht="48.6" customHeight="1">
      <c r="A81" s="326">
        <v>72</v>
      </c>
      <c r="B81" s="327"/>
      <c r="C81" s="328"/>
      <c r="D81" s="188" t="s">
        <v>268</v>
      </c>
      <c r="E81" s="189"/>
      <c r="F81" s="189"/>
      <c r="G81" s="189"/>
      <c r="H81" s="189"/>
      <c r="I81" s="189"/>
      <c r="J81" s="189"/>
      <c r="K81" s="189"/>
      <c r="L81" s="189"/>
      <c r="M81" s="189"/>
      <c r="N81" s="189"/>
      <c r="O81" s="189"/>
      <c r="P81" s="189"/>
      <c r="Q81" s="190"/>
      <c r="R81" s="283">
        <v>14</v>
      </c>
      <c r="S81" s="284"/>
      <c r="T81" s="285"/>
      <c r="U81" s="286" t="s">
        <v>207</v>
      </c>
      <c r="V81" s="287"/>
      <c r="W81" s="287"/>
      <c r="X81" s="287"/>
      <c r="Y81" s="287"/>
      <c r="Z81" s="287"/>
      <c r="AA81" s="287"/>
      <c r="AB81" s="287"/>
      <c r="AC81" s="287"/>
      <c r="AD81" s="288"/>
      <c r="AE81" s="289" t="s">
        <v>282</v>
      </c>
      <c r="AF81" s="290"/>
      <c r="AG81" s="290"/>
      <c r="AH81" s="290"/>
      <c r="AI81" s="290"/>
      <c r="AJ81" s="290"/>
      <c r="AK81" s="290"/>
      <c r="AL81" s="290"/>
      <c r="AM81" s="290"/>
      <c r="AN81" s="290"/>
      <c r="AO81" s="290"/>
      <c r="AP81" s="290"/>
      <c r="AQ81" s="290"/>
      <c r="AR81" s="290"/>
      <c r="AS81" s="290"/>
      <c r="AT81" s="290"/>
      <c r="AU81" s="290"/>
      <c r="AV81" s="290"/>
      <c r="AW81" s="290"/>
      <c r="AX81" s="290"/>
      <c r="AY81" s="290"/>
      <c r="AZ81" s="290"/>
      <c r="BA81" s="290"/>
      <c r="BB81" s="290"/>
      <c r="BC81" s="290"/>
      <c r="BD81" s="290"/>
      <c r="BE81" s="290"/>
      <c r="BF81" s="290"/>
      <c r="BG81" s="290"/>
      <c r="BH81" s="290"/>
      <c r="BI81" s="290"/>
      <c r="BJ81" s="291"/>
      <c r="BL81" s="96"/>
      <c r="BS81" s="10"/>
      <c r="BT81" s="10"/>
      <c r="BU81" s="10"/>
      <c r="BV81" s="10"/>
      <c r="BW81" s="10"/>
      <c r="BX81" s="10"/>
      <c r="BY81" s="10"/>
      <c r="BZ81" s="10"/>
      <c r="CA81" s="10"/>
      <c r="CB81" s="10"/>
      <c r="CC81" s="10"/>
      <c r="CD81" s="10"/>
      <c r="CE81" s="10"/>
      <c r="CF81" s="10"/>
      <c r="CG81" s="10"/>
      <c r="CH81" s="10"/>
      <c r="CI81" s="10"/>
    </row>
    <row r="82" spans="1:87" s="9" customFormat="1" ht="48.6" customHeight="1">
      <c r="A82" s="282">
        <v>73</v>
      </c>
      <c r="B82" s="282"/>
      <c r="C82" s="282"/>
      <c r="D82" s="188" t="s">
        <v>267</v>
      </c>
      <c r="E82" s="189"/>
      <c r="F82" s="189"/>
      <c r="G82" s="189"/>
      <c r="H82" s="189"/>
      <c r="I82" s="189"/>
      <c r="J82" s="189"/>
      <c r="K82" s="189"/>
      <c r="L82" s="189"/>
      <c r="M82" s="189"/>
      <c r="N82" s="189"/>
      <c r="O82" s="189"/>
      <c r="P82" s="189"/>
      <c r="Q82" s="190"/>
      <c r="R82" s="283">
        <v>14</v>
      </c>
      <c r="S82" s="284"/>
      <c r="T82" s="285"/>
      <c r="U82" s="286" t="s">
        <v>207</v>
      </c>
      <c r="V82" s="287"/>
      <c r="W82" s="287"/>
      <c r="X82" s="287"/>
      <c r="Y82" s="287"/>
      <c r="Z82" s="287"/>
      <c r="AA82" s="287"/>
      <c r="AB82" s="287"/>
      <c r="AC82" s="287"/>
      <c r="AD82" s="288"/>
      <c r="AE82" s="289" t="s">
        <v>283</v>
      </c>
      <c r="AF82" s="290"/>
      <c r="AG82" s="290"/>
      <c r="AH82" s="290"/>
      <c r="AI82" s="290"/>
      <c r="AJ82" s="290"/>
      <c r="AK82" s="290"/>
      <c r="AL82" s="290"/>
      <c r="AM82" s="290"/>
      <c r="AN82" s="290"/>
      <c r="AO82" s="290"/>
      <c r="AP82" s="290"/>
      <c r="AQ82" s="290"/>
      <c r="AR82" s="290"/>
      <c r="AS82" s="290"/>
      <c r="AT82" s="290"/>
      <c r="AU82" s="290"/>
      <c r="AV82" s="290"/>
      <c r="AW82" s="290"/>
      <c r="AX82" s="290"/>
      <c r="AY82" s="290"/>
      <c r="AZ82" s="290"/>
      <c r="BA82" s="290"/>
      <c r="BB82" s="290"/>
      <c r="BC82" s="290"/>
      <c r="BD82" s="290"/>
      <c r="BE82" s="290"/>
      <c r="BF82" s="290"/>
      <c r="BG82" s="290"/>
      <c r="BH82" s="290"/>
      <c r="BI82" s="290"/>
      <c r="BJ82" s="291"/>
      <c r="BL82" s="96"/>
      <c r="BS82" s="10"/>
      <c r="BT82" s="10"/>
      <c r="BU82" s="10"/>
      <c r="BV82" s="10"/>
      <c r="BW82" s="10"/>
      <c r="BX82" s="10"/>
      <c r="BY82" s="10"/>
      <c r="BZ82" s="10"/>
      <c r="CA82" s="10"/>
      <c r="CB82" s="10"/>
      <c r="CC82" s="10"/>
      <c r="CD82" s="10"/>
      <c r="CE82" s="10"/>
      <c r="CF82" s="10"/>
      <c r="CG82" s="10"/>
      <c r="CH82" s="10"/>
      <c r="CI82" s="10"/>
    </row>
    <row r="83" spans="1:87" s="9" customFormat="1" ht="48.6" customHeight="1">
      <c r="A83" s="326">
        <v>74</v>
      </c>
      <c r="B83" s="327"/>
      <c r="C83" s="328"/>
      <c r="D83" s="188" t="s">
        <v>268</v>
      </c>
      <c r="E83" s="189"/>
      <c r="F83" s="189"/>
      <c r="G83" s="189"/>
      <c r="H83" s="189"/>
      <c r="I83" s="189"/>
      <c r="J83" s="189"/>
      <c r="K83" s="189"/>
      <c r="L83" s="189"/>
      <c r="M83" s="189"/>
      <c r="N83" s="189"/>
      <c r="O83" s="189"/>
      <c r="P83" s="189"/>
      <c r="Q83" s="190"/>
      <c r="R83" s="283">
        <v>14</v>
      </c>
      <c r="S83" s="284"/>
      <c r="T83" s="285"/>
      <c r="U83" s="286" t="s">
        <v>207</v>
      </c>
      <c r="V83" s="287"/>
      <c r="W83" s="287"/>
      <c r="X83" s="287"/>
      <c r="Y83" s="287"/>
      <c r="Z83" s="287"/>
      <c r="AA83" s="287"/>
      <c r="AB83" s="287"/>
      <c r="AC83" s="287"/>
      <c r="AD83" s="288"/>
      <c r="AE83" s="289" t="s">
        <v>282</v>
      </c>
      <c r="AF83" s="290"/>
      <c r="AG83" s="290"/>
      <c r="AH83" s="290"/>
      <c r="AI83" s="290"/>
      <c r="AJ83" s="290"/>
      <c r="AK83" s="290"/>
      <c r="AL83" s="290"/>
      <c r="AM83" s="290"/>
      <c r="AN83" s="290"/>
      <c r="AO83" s="290"/>
      <c r="AP83" s="290"/>
      <c r="AQ83" s="290"/>
      <c r="AR83" s="290"/>
      <c r="AS83" s="290"/>
      <c r="AT83" s="290"/>
      <c r="AU83" s="290"/>
      <c r="AV83" s="290"/>
      <c r="AW83" s="290"/>
      <c r="AX83" s="290"/>
      <c r="AY83" s="290"/>
      <c r="AZ83" s="290"/>
      <c r="BA83" s="290"/>
      <c r="BB83" s="290"/>
      <c r="BC83" s="290"/>
      <c r="BD83" s="290"/>
      <c r="BE83" s="290"/>
      <c r="BF83" s="290"/>
      <c r="BG83" s="290"/>
      <c r="BH83" s="290"/>
      <c r="BI83" s="290"/>
      <c r="BJ83" s="291"/>
      <c r="BL83" s="96"/>
      <c r="BS83" s="10"/>
      <c r="BT83" s="10"/>
      <c r="BU83" s="10"/>
      <c r="BV83" s="10"/>
      <c r="BW83" s="10"/>
      <c r="BX83" s="10"/>
      <c r="BY83" s="10"/>
      <c r="BZ83" s="10"/>
      <c r="CA83" s="10"/>
      <c r="CB83" s="10"/>
      <c r="CC83" s="10"/>
      <c r="CD83" s="10"/>
      <c r="CE83" s="10"/>
      <c r="CF83" s="10"/>
      <c r="CG83" s="10"/>
      <c r="CH83" s="10"/>
      <c r="CI83" s="10"/>
    </row>
    <row r="84" spans="1:87" s="9" customFormat="1" ht="48.6" customHeight="1">
      <c r="A84" s="282">
        <v>75</v>
      </c>
      <c r="B84" s="282"/>
      <c r="C84" s="282"/>
      <c r="D84" s="188" t="s">
        <v>267</v>
      </c>
      <c r="E84" s="189"/>
      <c r="F84" s="189"/>
      <c r="G84" s="189"/>
      <c r="H84" s="189"/>
      <c r="I84" s="189"/>
      <c r="J84" s="189"/>
      <c r="K84" s="189"/>
      <c r="L84" s="189"/>
      <c r="M84" s="189"/>
      <c r="N84" s="189"/>
      <c r="O84" s="189"/>
      <c r="P84" s="189"/>
      <c r="Q84" s="190"/>
      <c r="R84" s="283">
        <v>14</v>
      </c>
      <c r="S84" s="284"/>
      <c r="T84" s="285"/>
      <c r="U84" s="286" t="s">
        <v>207</v>
      </c>
      <c r="V84" s="287"/>
      <c r="W84" s="287"/>
      <c r="X84" s="287"/>
      <c r="Y84" s="287"/>
      <c r="Z84" s="287"/>
      <c r="AA84" s="287"/>
      <c r="AB84" s="287"/>
      <c r="AC84" s="287"/>
      <c r="AD84" s="288"/>
      <c r="AE84" s="289" t="s">
        <v>283</v>
      </c>
      <c r="AF84" s="290"/>
      <c r="AG84" s="290"/>
      <c r="AH84" s="290"/>
      <c r="AI84" s="290"/>
      <c r="AJ84" s="290"/>
      <c r="AK84" s="290"/>
      <c r="AL84" s="290"/>
      <c r="AM84" s="290"/>
      <c r="AN84" s="290"/>
      <c r="AO84" s="290"/>
      <c r="AP84" s="290"/>
      <c r="AQ84" s="290"/>
      <c r="AR84" s="290"/>
      <c r="AS84" s="290"/>
      <c r="AT84" s="290"/>
      <c r="AU84" s="290"/>
      <c r="AV84" s="290"/>
      <c r="AW84" s="290"/>
      <c r="AX84" s="290"/>
      <c r="AY84" s="290"/>
      <c r="AZ84" s="290"/>
      <c r="BA84" s="290"/>
      <c r="BB84" s="290"/>
      <c r="BC84" s="290"/>
      <c r="BD84" s="290"/>
      <c r="BE84" s="290"/>
      <c r="BF84" s="290"/>
      <c r="BG84" s="290"/>
      <c r="BH84" s="290"/>
      <c r="BI84" s="290"/>
      <c r="BJ84" s="291"/>
      <c r="BL84" s="96"/>
      <c r="BS84" s="10"/>
      <c r="BT84" s="10"/>
      <c r="BU84" s="10"/>
      <c r="BV84" s="10"/>
      <c r="BW84" s="10"/>
      <c r="BX84" s="10"/>
      <c r="BY84" s="10"/>
      <c r="BZ84" s="10"/>
      <c r="CA84" s="10"/>
      <c r="CB84" s="10"/>
      <c r="CC84" s="10"/>
      <c r="CD84" s="10"/>
      <c r="CE84" s="10"/>
      <c r="CF84" s="10"/>
      <c r="CG84" s="10"/>
      <c r="CH84" s="10"/>
      <c r="CI84" s="10"/>
    </row>
    <row r="85" spans="1:87" s="9" customFormat="1" ht="40.5" customHeight="1">
      <c r="A85" s="326">
        <v>76</v>
      </c>
      <c r="B85" s="327"/>
      <c r="C85" s="328"/>
      <c r="D85" s="188" t="s">
        <v>264</v>
      </c>
      <c r="E85" s="189"/>
      <c r="F85" s="189"/>
      <c r="G85" s="189"/>
      <c r="H85" s="189"/>
      <c r="I85" s="189"/>
      <c r="J85" s="189"/>
      <c r="K85" s="189"/>
      <c r="L85" s="189"/>
      <c r="M85" s="189"/>
      <c r="N85" s="189"/>
      <c r="O85" s="189"/>
      <c r="P85" s="189"/>
      <c r="Q85" s="190"/>
      <c r="R85" s="283" t="s">
        <v>213</v>
      </c>
      <c r="S85" s="284"/>
      <c r="T85" s="285"/>
      <c r="U85" s="293" t="s">
        <v>208</v>
      </c>
      <c r="V85" s="287"/>
      <c r="W85" s="287"/>
      <c r="X85" s="287"/>
      <c r="Y85" s="287"/>
      <c r="Z85" s="287"/>
      <c r="AA85" s="287"/>
      <c r="AB85" s="287"/>
      <c r="AC85" s="287"/>
      <c r="AD85" s="288"/>
      <c r="AE85" s="289" t="s">
        <v>284</v>
      </c>
      <c r="AF85" s="290"/>
      <c r="AG85" s="290"/>
      <c r="AH85" s="290"/>
      <c r="AI85" s="290"/>
      <c r="AJ85" s="290"/>
      <c r="AK85" s="290"/>
      <c r="AL85" s="290"/>
      <c r="AM85" s="290"/>
      <c r="AN85" s="290"/>
      <c r="AO85" s="290"/>
      <c r="AP85" s="290"/>
      <c r="AQ85" s="290"/>
      <c r="AR85" s="290"/>
      <c r="AS85" s="290"/>
      <c r="AT85" s="290"/>
      <c r="AU85" s="290"/>
      <c r="AV85" s="290"/>
      <c r="AW85" s="290"/>
      <c r="AX85" s="290"/>
      <c r="AY85" s="290"/>
      <c r="AZ85" s="290"/>
      <c r="BA85" s="290"/>
      <c r="BB85" s="290"/>
      <c r="BC85" s="290"/>
      <c r="BD85" s="290"/>
      <c r="BE85" s="290"/>
      <c r="BF85" s="290"/>
      <c r="BG85" s="290"/>
      <c r="BH85" s="290"/>
      <c r="BI85" s="290"/>
      <c r="BJ85" s="291"/>
      <c r="BL85" s="96"/>
      <c r="BS85" s="10"/>
      <c r="BT85" s="10"/>
      <c r="BU85" s="10"/>
      <c r="BV85" s="10"/>
      <c r="BW85" s="10"/>
      <c r="BX85" s="10"/>
      <c r="BY85" s="10"/>
      <c r="BZ85" s="10"/>
      <c r="CA85" s="10"/>
      <c r="CB85" s="10"/>
      <c r="CC85" s="10"/>
      <c r="CD85" s="10"/>
      <c r="CE85" s="10"/>
      <c r="CF85" s="10"/>
      <c r="CG85" s="10"/>
      <c r="CH85" s="10"/>
      <c r="CI85" s="10"/>
    </row>
    <row r="86" spans="1:87" s="9" customFormat="1" ht="40.5" customHeight="1">
      <c r="A86" s="282">
        <v>77</v>
      </c>
      <c r="B86" s="282"/>
      <c r="C86" s="282"/>
      <c r="D86" s="188" t="s">
        <v>234</v>
      </c>
      <c r="E86" s="189"/>
      <c r="F86" s="189"/>
      <c r="G86" s="189"/>
      <c r="H86" s="189"/>
      <c r="I86" s="189"/>
      <c r="J86" s="189"/>
      <c r="K86" s="189"/>
      <c r="L86" s="189"/>
      <c r="M86" s="189"/>
      <c r="N86" s="189"/>
      <c r="O86" s="189"/>
      <c r="P86" s="189"/>
      <c r="Q86" s="190"/>
      <c r="R86" s="283">
        <v>14</v>
      </c>
      <c r="S86" s="284"/>
      <c r="T86" s="285"/>
      <c r="U86" s="286" t="s">
        <v>207</v>
      </c>
      <c r="V86" s="287"/>
      <c r="W86" s="287"/>
      <c r="X86" s="287"/>
      <c r="Y86" s="287"/>
      <c r="Z86" s="287"/>
      <c r="AA86" s="287"/>
      <c r="AB86" s="287"/>
      <c r="AC86" s="287"/>
      <c r="AD86" s="288"/>
      <c r="AE86" s="289" t="s">
        <v>285</v>
      </c>
      <c r="AF86" s="290"/>
      <c r="AG86" s="290"/>
      <c r="AH86" s="290"/>
      <c r="AI86" s="290"/>
      <c r="AJ86" s="290"/>
      <c r="AK86" s="290"/>
      <c r="AL86" s="290"/>
      <c r="AM86" s="290"/>
      <c r="AN86" s="290"/>
      <c r="AO86" s="290"/>
      <c r="AP86" s="290"/>
      <c r="AQ86" s="290"/>
      <c r="AR86" s="290"/>
      <c r="AS86" s="290"/>
      <c r="AT86" s="290"/>
      <c r="AU86" s="290"/>
      <c r="AV86" s="290"/>
      <c r="AW86" s="290"/>
      <c r="AX86" s="290"/>
      <c r="AY86" s="290"/>
      <c r="AZ86" s="290"/>
      <c r="BA86" s="290"/>
      <c r="BB86" s="290"/>
      <c r="BC86" s="290"/>
      <c r="BD86" s="290"/>
      <c r="BE86" s="290"/>
      <c r="BF86" s="290"/>
      <c r="BG86" s="290"/>
      <c r="BH86" s="290"/>
      <c r="BI86" s="290"/>
      <c r="BJ86" s="291"/>
      <c r="BL86" s="96"/>
      <c r="BS86" s="10"/>
      <c r="BT86" s="10"/>
      <c r="BU86" s="10"/>
      <c r="BV86" s="10"/>
      <c r="BW86" s="10"/>
      <c r="BX86" s="10"/>
      <c r="BY86" s="10"/>
      <c r="BZ86" s="10"/>
      <c r="CA86" s="10"/>
      <c r="CB86" s="10"/>
      <c r="CC86" s="10"/>
      <c r="CD86" s="10"/>
      <c r="CE86" s="10"/>
      <c r="CF86" s="10"/>
      <c r="CG86" s="10"/>
      <c r="CH86" s="10"/>
      <c r="CI86" s="10"/>
    </row>
    <row r="87" spans="1:87" s="9" customFormat="1" ht="40.5" customHeight="1">
      <c r="A87" s="326">
        <v>78</v>
      </c>
      <c r="B87" s="327"/>
      <c r="C87" s="328"/>
      <c r="D87" s="188" t="s">
        <v>236</v>
      </c>
      <c r="E87" s="189"/>
      <c r="F87" s="189"/>
      <c r="G87" s="189"/>
      <c r="H87" s="189"/>
      <c r="I87" s="189"/>
      <c r="J87" s="189"/>
      <c r="K87" s="189"/>
      <c r="L87" s="189"/>
      <c r="M87" s="189"/>
      <c r="N87" s="189"/>
      <c r="O87" s="189"/>
      <c r="P87" s="189"/>
      <c r="Q87" s="190"/>
      <c r="R87" s="283">
        <v>14</v>
      </c>
      <c r="S87" s="284"/>
      <c r="T87" s="285"/>
      <c r="U87" s="286" t="s">
        <v>207</v>
      </c>
      <c r="V87" s="287"/>
      <c r="W87" s="287"/>
      <c r="X87" s="287"/>
      <c r="Y87" s="287"/>
      <c r="Z87" s="287"/>
      <c r="AA87" s="287"/>
      <c r="AB87" s="287"/>
      <c r="AC87" s="287"/>
      <c r="AD87" s="288"/>
      <c r="AE87" s="289" t="s">
        <v>286</v>
      </c>
      <c r="AF87" s="290"/>
      <c r="AG87" s="290"/>
      <c r="AH87" s="290"/>
      <c r="AI87" s="290"/>
      <c r="AJ87" s="290"/>
      <c r="AK87" s="290"/>
      <c r="AL87" s="290"/>
      <c r="AM87" s="290"/>
      <c r="AN87" s="290"/>
      <c r="AO87" s="290"/>
      <c r="AP87" s="290"/>
      <c r="AQ87" s="290"/>
      <c r="AR87" s="290"/>
      <c r="AS87" s="290"/>
      <c r="AT87" s="290"/>
      <c r="AU87" s="290"/>
      <c r="AV87" s="290"/>
      <c r="AW87" s="290"/>
      <c r="AX87" s="290"/>
      <c r="AY87" s="290"/>
      <c r="AZ87" s="290"/>
      <c r="BA87" s="290"/>
      <c r="BB87" s="290"/>
      <c r="BC87" s="290"/>
      <c r="BD87" s="290"/>
      <c r="BE87" s="290"/>
      <c r="BF87" s="290"/>
      <c r="BG87" s="290"/>
      <c r="BH87" s="290"/>
      <c r="BI87" s="290"/>
      <c r="BJ87" s="291"/>
      <c r="BL87" s="96"/>
      <c r="BS87" s="10"/>
      <c r="BT87" s="10"/>
      <c r="BU87" s="10"/>
      <c r="BV87" s="10"/>
      <c r="BW87" s="10"/>
      <c r="BX87" s="10"/>
      <c r="BY87" s="10"/>
      <c r="BZ87" s="10"/>
      <c r="CA87" s="10"/>
      <c r="CB87" s="10"/>
      <c r="CC87" s="10"/>
      <c r="CD87" s="10"/>
      <c r="CE87" s="10"/>
      <c r="CF87" s="10"/>
      <c r="CG87" s="10"/>
      <c r="CH87" s="10"/>
      <c r="CI87" s="10"/>
    </row>
    <row r="88" spans="1:87" s="9" customFormat="1" ht="40.5" customHeight="1">
      <c r="A88" s="282">
        <v>79</v>
      </c>
      <c r="B88" s="282"/>
      <c r="C88" s="282"/>
      <c r="D88" s="188" t="s">
        <v>238</v>
      </c>
      <c r="E88" s="189"/>
      <c r="F88" s="189"/>
      <c r="G88" s="189"/>
      <c r="H88" s="189"/>
      <c r="I88" s="189"/>
      <c r="J88" s="189"/>
      <c r="K88" s="189"/>
      <c r="L88" s="189"/>
      <c r="M88" s="189"/>
      <c r="N88" s="189"/>
      <c r="O88" s="189"/>
      <c r="P88" s="189"/>
      <c r="Q88" s="190"/>
      <c r="R88" s="283">
        <v>14</v>
      </c>
      <c r="S88" s="284"/>
      <c r="T88" s="285"/>
      <c r="U88" s="286" t="s">
        <v>207</v>
      </c>
      <c r="V88" s="287"/>
      <c r="W88" s="287"/>
      <c r="X88" s="287"/>
      <c r="Y88" s="287"/>
      <c r="Z88" s="287"/>
      <c r="AA88" s="287"/>
      <c r="AB88" s="287"/>
      <c r="AC88" s="287"/>
      <c r="AD88" s="288"/>
      <c r="AE88" s="289" t="s">
        <v>287</v>
      </c>
      <c r="AF88" s="290"/>
      <c r="AG88" s="290"/>
      <c r="AH88" s="290"/>
      <c r="AI88" s="290"/>
      <c r="AJ88" s="290"/>
      <c r="AK88" s="290"/>
      <c r="AL88" s="290"/>
      <c r="AM88" s="290"/>
      <c r="AN88" s="290"/>
      <c r="AO88" s="290"/>
      <c r="AP88" s="290"/>
      <c r="AQ88" s="290"/>
      <c r="AR88" s="290"/>
      <c r="AS88" s="290"/>
      <c r="AT88" s="290"/>
      <c r="AU88" s="290"/>
      <c r="AV88" s="290"/>
      <c r="AW88" s="290"/>
      <c r="AX88" s="290"/>
      <c r="AY88" s="290"/>
      <c r="AZ88" s="290"/>
      <c r="BA88" s="290"/>
      <c r="BB88" s="290"/>
      <c r="BC88" s="290"/>
      <c r="BD88" s="290"/>
      <c r="BE88" s="290"/>
      <c r="BF88" s="290"/>
      <c r="BG88" s="290"/>
      <c r="BH88" s="290"/>
      <c r="BI88" s="290"/>
      <c r="BJ88" s="291"/>
      <c r="BL88" s="96"/>
      <c r="BS88" s="10"/>
      <c r="BT88" s="10"/>
      <c r="BU88" s="10"/>
      <c r="BV88" s="10"/>
      <c r="BW88" s="10"/>
      <c r="BX88" s="10"/>
      <c r="BY88" s="10"/>
      <c r="BZ88" s="10"/>
      <c r="CA88" s="10"/>
      <c r="CB88" s="10"/>
      <c r="CC88" s="10"/>
      <c r="CD88" s="10"/>
      <c r="CE88" s="10"/>
      <c r="CF88" s="10"/>
      <c r="CG88" s="10"/>
      <c r="CH88" s="10"/>
      <c r="CI88" s="10"/>
    </row>
    <row r="89" spans="1:87" s="9" customFormat="1" ht="40.5" customHeight="1">
      <c r="A89" s="326">
        <v>80</v>
      </c>
      <c r="B89" s="327"/>
      <c r="C89" s="328"/>
      <c r="D89" s="188" t="s">
        <v>240</v>
      </c>
      <c r="E89" s="189"/>
      <c r="F89" s="189"/>
      <c r="G89" s="189"/>
      <c r="H89" s="189"/>
      <c r="I89" s="189"/>
      <c r="J89" s="189"/>
      <c r="K89" s="189"/>
      <c r="L89" s="189"/>
      <c r="M89" s="189"/>
      <c r="N89" s="189"/>
      <c r="O89" s="189"/>
      <c r="P89" s="189"/>
      <c r="Q89" s="190"/>
      <c r="R89" s="283">
        <v>14</v>
      </c>
      <c r="S89" s="284"/>
      <c r="T89" s="285"/>
      <c r="U89" s="286" t="s">
        <v>207</v>
      </c>
      <c r="V89" s="287"/>
      <c r="W89" s="287"/>
      <c r="X89" s="287"/>
      <c r="Y89" s="287"/>
      <c r="Z89" s="287"/>
      <c r="AA89" s="287"/>
      <c r="AB89" s="287"/>
      <c r="AC89" s="287"/>
      <c r="AD89" s="288"/>
      <c r="AE89" s="289" t="s">
        <v>288</v>
      </c>
      <c r="AF89" s="290"/>
      <c r="AG89" s="290"/>
      <c r="AH89" s="290"/>
      <c r="AI89" s="290"/>
      <c r="AJ89" s="290"/>
      <c r="AK89" s="290"/>
      <c r="AL89" s="290"/>
      <c r="AM89" s="290"/>
      <c r="AN89" s="290"/>
      <c r="AO89" s="290"/>
      <c r="AP89" s="290"/>
      <c r="AQ89" s="290"/>
      <c r="AR89" s="290"/>
      <c r="AS89" s="290"/>
      <c r="AT89" s="290"/>
      <c r="AU89" s="290"/>
      <c r="AV89" s="290"/>
      <c r="AW89" s="290"/>
      <c r="AX89" s="290"/>
      <c r="AY89" s="290"/>
      <c r="AZ89" s="290"/>
      <c r="BA89" s="290"/>
      <c r="BB89" s="290"/>
      <c r="BC89" s="290"/>
      <c r="BD89" s="290"/>
      <c r="BE89" s="290"/>
      <c r="BF89" s="290"/>
      <c r="BG89" s="290"/>
      <c r="BH89" s="290"/>
      <c r="BI89" s="290"/>
      <c r="BJ89" s="291"/>
      <c r="BL89" s="96"/>
      <c r="BS89" s="10"/>
      <c r="BT89" s="10"/>
      <c r="BU89" s="10"/>
      <c r="BV89" s="10"/>
      <c r="BW89" s="10"/>
      <c r="BX89" s="10"/>
      <c r="BY89" s="10"/>
      <c r="BZ89" s="10"/>
      <c r="CA89" s="10"/>
      <c r="CB89" s="10"/>
      <c r="CC89" s="10"/>
      <c r="CD89" s="10"/>
      <c r="CE89" s="10"/>
      <c r="CF89" s="10"/>
      <c r="CG89" s="10"/>
      <c r="CH89" s="10"/>
      <c r="CI89" s="10"/>
    </row>
    <row r="90" spans="1:87" s="9" customFormat="1" ht="48.6" customHeight="1">
      <c r="A90" s="282">
        <v>81</v>
      </c>
      <c r="B90" s="282"/>
      <c r="C90" s="282"/>
      <c r="D90" s="188" t="s">
        <v>262</v>
      </c>
      <c r="E90" s="189"/>
      <c r="F90" s="189"/>
      <c r="G90" s="189"/>
      <c r="H90" s="189"/>
      <c r="I90" s="189"/>
      <c r="J90" s="189"/>
      <c r="K90" s="189"/>
      <c r="L90" s="189"/>
      <c r="M90" s="189"/>
      <c r="N90" s="189"/>
      <c r="O90" s="189"/>
      <c r="P90" s="189"/>
      <c r="Q90" s="190"/>
      <c r="R90" s="283">
        <v>14</v>
      </c>
      <c r="S90" s="284"/>
      <c r="T90" s="285"/>
      <c r="U90" s="286" t="s">
        <v>207</v>
      </c>
      <c r="V90" s="287"/>
      <c r="W90" s="287"/>
      <c r="X90" s="287"/>
      <c r="Y90" s="287"/>
      <c r="Z90" s="287"/>
      <c r="AA90" s="287"/>
      <c r="AB90" s="287"/>
      <c r="AC90" s="287"/>
      <c r="AD90" s="288"/>
      <c r="AE90" s="289" t="s">
        <v>289</v>
      </c>
      <c r="AF90" s="290"/>
      <c r="AG90" s="290"/>
      <c r="AH90" s="290"/>
      <c r="AI90" s="290"/>
      <c r="AJ90" s="290"/>
      <c r="AK90" s="290"/>
      <c r="AL90" s="290"/>
      <c r="AM90" s="290"/>
      <c r="AN90" s="290"/>
      <c r="AO90" s="290"/>
      <c r="AP90" s="290"/>
      <c r="AQ90" s="290"/>
      <c r="AR90" s="290"/>
      <c r="AS90" s="290"/>
      <c r="AT90" s="290"/>
      <c r="AU90" s="290"/>
      <c r="AV90" s="290"/>
      <c r="AW90" s="290"/>
      <c r="AX90" s="290"/>
      <c r="AY90" s="290"/>
      <c r="AZ90" s="290"/>
      <c r="BA90" s="290"/>
      <c r="BB90" s="290"/>
      <c r="BC90" s="290"/>
      <c r="BD90" s="290"/>
      <c r="BE90" s="290"/>
      <c r="BF90" s="290"/>
      <c r="BG90" s="290"/>
      <c r="BH90" s="290"/>
      <c r="BI90" s="290"/>
      <c r="BJ90" s="291"/>
      <c r="BL90" s="96"/>
      <c r="BS90" s="10"/>
      <c r="BT90" s="10"/>
      <c r="BU90" s="10"/>
      <c r="BV90" s="10"/>
      <c r="BW90" s="10"/>
      <c r="BX90" s="10"/>
      <c r="BY90" s="10"/>
      <c r="BZ90" s="10"/>
      <c r="CA90" s="10"/>
      <c r="CB90" s="10"/>
      <c r="CC90" s="10"/>
      <c r="CD90" s="10"/>
      <c r="CE90" s="10"/>
      <c r="CF90" s="10"/>
      <c r="CG90" s="10"/>
      <c r="CH90" s="10"/>
      <c r="CI90" s="10"/>
    </row>
    <row r="91" spans="1:87" s="9" customFormat="1" ht="48.6" customHeight="1">
      <c r="A91" s="326">
        <v>82</v>
      </c>
      <c r="B91" s="327"/>
      <c r="C91" s="328"/>
      <c r="D91" s="188" t="s">
        <v>261</v>
      </c>
      <c r="E91" s="189"/>
      <c r="F91" s="189"/>
      <c r="G91" s="189"/>
      <c r="H91" s="189"/>
      <c r="I91" s="189"/>
      <c r="J91" s="189"/>
      <c r="K91" s="189"/>
      <c r="L91" s="189"/>
      <c r="M91" s="189"/>
      <c r="N91" s="189"/>
      <c r="O91" s="189"/>
      <c r="P91" s="189"/>
      <c r="Q91" s="190"/>
      <c r="R91" s="283">
        <v>14</v>
      </c>
      <c r="S91" s="284"/>
      <c r="T91" s="285"/>
      <c r="U91" s="286" t="s">
        <v>207</v>
      </c>
      <c r="V91" s="287"/>
      <c r="W91" s="287"/>
      <c r="X91" s="287"/>
      <c r="Y91" s="287"/>
      <c r="Z91" s="287"/>
      <c r="AA91" s="287"/>
      <c r="AB91" s="287"/>
      <c r="AC91" s="287"/>
      <c r="AD91" s="288"/>
      <c r="AE91" s="289" t="s">
        <v>290</v>
      </c>
      <c r="AF91" s="290"/>
      <c r="AG91" s="290"/>
      <c r="AH91" s="290"/>
      <c r="AI91" s="290"/>
      <c r="AJ91" s="290"/>
      <c r="AK91" s="290"/>
      <c r="AL91" s="290"/>
      <c r="AM91" s="290"/>
      <c r="AN91" s="290"/>
      <c r="AO91" s="290"/>
      <c r="AP91" s="290"/>
      <c r="AQ91" s="290"/>
      <c r="AR91" s="290"/>
      <c r="AS91" s="290"/>
      <c r="AT91" s="290"/>
      <c r="AU91" s="290"/>
      <c r="AV91" s="290"/>
      <c r="AW91" s="290"/>
      <c r="AX91" s="290"/>
      <c r="AY91" s="290"/>
      <c r="AZ91" s="290"/>
      <c r="BA91" s="290"/>
      <c r="BB91" s="290"/>
      <c r="BC91" s="290"/>
      <c r="BD91" s="290"/>
      <c r="BE91" s="290"/>
      <c r="BF91" s="290"/>
      <c r="BG91" s="290"/>
      <c r="BH91" s="290"/>
      <c r="BI91" s="290"/>
      <c r="BJ91" s="291"/>
      <c r="BL91" s="96"/>
      <c r="BS91" s="10"/>
      <c r="BT91" s="10"/>
      <c r="BU91" s="10"/>
      <c r="BV91" s="10"/>
      <c r="BW91" s="10"/>
      <c r="BX91" s="10"/>
      <c r="BY91" s="10"/>
      <c r="BZ91" s="10"/>
      <c r="CA91" s="10"/>
      <c r="CB91" s="10"/>
      <c r="CC91" s="10"/>
      <c r="CD91" s="10"/>
      <c r="CE91" s="10"/>
      <c r="CF91" s="10"/>
      <c r="CG91" s="10"/>
      <c r="CH91" s="10"/>
      <c r="CI91" s="10"/>
    </row>
    <row r="92" spans="1:87" s="9" customFormat="1" ht="48.6" customHeight="1">
      <c r="A92" s="282">
        <v>83</v>
      </c>
      <c r="B92" s="282"/>
      <c r="C92" s="282"/>
      <c r="D92" s="188" t="s">
        <v>262</v>
      </c>
      <c r="E92" s="189"/>
      <c r="F92" s="189"/>
      <c r="G92" s="189"/>
      <c r="H92" s="189"/>
      <c r="I92" s="189"/>
      <c r="J92" s="189"/>
      <c r="K92" s="189"/>
      <c r="L92" s="189"/>
      <c r="M92" s="189"/>
      <c r="N92" s="189"/>
      <c r="O92" s="189"/>
      <c r="P92" s="189"/>
      <c r="Q92" s="190"/>
      <c r="R92" s="283">
        <v>14</v>
      </c>
      <c r="S92" s="284"/>
      <c r="T92" s="285"/>
      <c r="U92" s="286" t="s">
        <v>207</v>
      </c>
      <c r="V92" s="287"/>
      <c r="W92" s="287"/>
      <c r="X92" s="287"/>
      <c r="Y92" s="287"/>
      <c r="Z92" s="287"/>
      <c r="AA92" s="287"/>
      <c r="AB92" s="287"/>
      <c r="AC92" s="287"/>
      <c r="AD92" s="288"/>
      <c r="AE92" s="289" t="s">
        <v>289</v>
      </c>
      <c r="AF92" s="290"/>
      <c r="AG92" s="290"/>
      <c r="AH92" s="290"/>
      <c r="AI92" s="290"/>
      <c r="AJ92" s="290"/>
      <c r="AK92" s="290"/>
      <c r="AL92" s="290"/>
      <c r="AM92" s="290"/>
      <c r="AN92" s="290"/>
      <c r="AO92" s="290"/>
      <c r="AP92" s="290"/>
      <c r="AQ92" s="290"/>
      <c r="AR92" s="290"/>
      <c r="AS92" s="290"/>
      <c r="AT92" s="290"/>
      <c r="AU92" s="290"/>
      <c r="AV92" s="290"/>
      <c r="AW92" s="290"/>
      <c r="AX92" s="290"/>
      <c r="AY92" s="290"/>
      <c r="AZ92" s="290"/>
      <c r="BA92" s="290"/>
      <c r="BB92" s="290"/>
      <c r="BC92" s="290"/>
      <c r="BD92" s="290"/>
      <c r="BE92" s="290"/>
      <c r="BF92" s="290"/>
      <c r="BG92" s="290"/>
      <c r="BH92" s="290"/>
      <c r="BI92" s="290"/>
      <c r="BJ92" s="291"/>
      <c r="BL92" s="96"/>
      <c r="BS92" s="10"/>
      <c r="BT92" s="10"/>
      <c r="BU92" s="10"/>
      <c r="BV92" s="10"/>
      <c r="BW92" s="10"/>
      <c r="BX92" s="10"/>
      <c r="BY92" s="10"/>
      <c r="BZ92" s="10"/>
      <c r="CA92" s="10"/>
      <c r="CB92" s="10"/>
      <c r="CC92" s="10"/>
      <c r="CD92" s="10"/>
      <c r="CE92" s="10"/>
      <c r="CF92" s="10"/>
      <c r="CG92" s="10"/>
      <c r="CH92" s="10"/>
      <c r="CI92" s="10"/>
    </row>
    <row r="93" spans="1:87" s="9" customFormat="1" ht="48.6" customHeight="1">
      <c r="A93" s="326">
        <v>84</v>
      </c>
      <c r="B93" s="327"/>
      <c r="C93" s="328"/>
      <c r="D93" s="188" t="s">
        <v>261</v>
      </c>
      <c r="E93" s="189"/>
      <c r="F93" s="189"/>
      <c r="G93" s="189"/>
      <c r="H93" s="189"/>
      <c r="I93" s="189"/>
      <c r="J93" s="189"/>
      <c r="K93" s="189"/>
      <c r="L93" s="189"/>
      <c r="M93" s="189"/>
      <c r="N93" s="189"/>
      <c r="O93" s="189"/>
      <c r="P93" s="189"/>
      <c r="Q93" s="190"/>
      <c r="R93" s="283">
        <v>14</v>
      </c>
      <c r="S93" s="284"/>
      <c r="T93" s="285"/>
      <c r="U93" s="286" t="s">
        <v>207</v>
      </c>
      <c r="V93" s="287"/>
      <c r="W93" s="287"/>
      <c r="X93" s="287"/>
      <c r="Y93" s="287"/>
      <c r="Z93" s="287"/>
      <c r="AA93" s="287"/>
      <c r="AB93" s="287"/>
      <c r="AC93" s="287"/>
      <c r="AD93" s="288"/>
      <c r="AE93" s="289" t="s">
        <v>290</v>
      </c>
      <c r="AF93" s="290"/>
      <c r="AG93" s="290"/>
      <c r="AH93" s="290"/>
      <c r="AI93" s="290"/>
      <c r="AJ93" s="290"/>
      <c r="AK93" s="290"/>
      <c r="AL93" s="290"/>
      <c r="AM93" s="290"/>
      <c r="AN93" s="290"/>
      <c r="AO93" s="290"/>
      <c r="AP93" s="290"/>
      <c r="AQ93" s="290"/>
      <c r="AR93" s="290"/>
      <c r="AS93" s="290"/>
      <c r="AT93" s="290"/>
      <c r="AU93" s="290"/>
      <c r="AV93" s="290"/>
      <c r="AW93" s="290"/>
      <c r="AX93" s="290"/>
      <c r="AY93" s="290"/>
      <c r="AZ93" s="290"/>
      <c r="BA93" s="290"/>
      <c r="BB93" s="290"/>
      <c r="BC93" s="290"/>
      <c r="BD93" s="290"/>
      <c r="BE93" s="290"/>
      <c r="BF93" s="290"/>
      <c r="BG93" s="290"/>
      <c r="BH93" s="290"/>
      <c r="BI93" s="290"/>
      <c r="BJ93" s="291"/>
      <c r="BL93" s="96"/>
      <c r="BS93" s="10"/>
      <c r="BT93" s="10"/>
      <c r="BU93" s="10"/>
      <c r="BV93" s="10"/>
      <c r="BW93" s="10"/>
      <c r="BX93" s="10"/>
      <c r="BY93" s="10"/>
      <c r="BZ93" s="10"/>
      <c r="CA93" s="10"/>
      <c r="CB93" s="10"/>
      <c r="CC93" s="10"/>
      <c r="CD93" s="10"/>
      <c r="CE93" s="10"/>
      <c r="CF93" s="10"/>
      <c r="CG93" s="10"/>
      <c r="CH93" s="10"/>
      <c r="CI93" s="10"/>
    </row>
    <row r="94" spans="1:87" s="9" customFormat="1" ht="40.5" customHeight="1">
      <c r="A94" s="282">
        <v>85</v>
      </c>
      <c r="B94" s="282"/>
      <c r="C94" s="282"/>
      <c r="D94" s="188" t="s">
        <v>246</v>
      </c>
      <c r="E94" s="189"/>
      <c r="F94" s="189"/>
      <c r="G94" s="189"/>
      <c r="H94" s="189"/>
      <c r="I94" s="189"/>
      <c r="J94" s="189"/>
      <c r="K94" s="189"/>
      <c r="L94" s="189"/>
      <c r="M94" s="189"/>
      <c r="N94" s="189"/>
      <c r="O94" s="189"/>
      <c r="P94" s="189"/>
      <c r="Q94" s="190"/>
      <c r="R94" s="283" t="s">
        <v>213</v>
      </c>
      <c r="S94" s="284"/>
      <c r="T94" s="285"/>
      <c r="U94" s="293" t="s">
        <v>208</v>
      </c>
      <c r="V94" s="287"/>
      <c r="W94" s="287"/>
      <c r="X94" s="287"/>
      <c r="Y94" s="287"/>
      <c r="Z94" s="287"/>
      <c r="AA94" s="287"/>
      <c r="AB94" s="287"/>
      <c r="AC94" s="287"/>
      <c r="AD94" s="288"/>
      <c r="AE94" s="289" t="s">
        <v>291</v>
      </c>
      <c r="AF94" s="290"/>
      <c r="AG94" s="290"/>
      <c r="AH94" s="290"/>
      <c r="AI94" s="290"/>
      <c r="AJ94" s="290"/>
      <c r="AK94" s="290"/>
      <c r="AL94" s="290"/>
      <c r="AM94" s="290"/>
      <c r="AN94" s="290"/>
      <c r="AO94" s="290"/>
      <c r="AP94" s="290"/>
      <c r="AQ94" s="290"/>
      <c r="AR94" s="290"/>
      <c r="AS94" s="290"/>
      <c r="AT94" s="290"/>
      <c r="AU94" s="290"/>
      <c r="AV94" s="290"/>
      <c r="AW94" s="290"/>
      <c r="AX94" s="290"/>
      <c r="AY94" s="290"/>
      <c r="AZ94" s="290"/>
      <c r="BA94" s="290"/>
      <c r="BB94" s="290"/>
      <c r="BC94" s="290"/>
      <c r="BD94" s="290"/>
      <c r="BE94" s="290"/>
      <c r="BF94" s="290"/>
      <c r="BG94" s="290"/>
      <c r="BH94" s="290"/>
      <c r="BI94" s="290"/>
      <c r="BJ94" s="291"/>
      <c r="BL94" s="96"/>
      <c r="BS94" s="10"/>
      <c r="BT94" s="10"/>
      <c r="BU94" s="10"/>
      <c r="BV94" s="10"/>
      <c r="BW94" s="10"/>
      <c r="BX94" s="10"/>
      <c r="BY94" s="10"/>
      <c r="BZ94" s="10"/>
      <c r="CA94" s="10"/>
      <c r="CB94" s="10"/>
      <c r="CC94" s="10"/>
      <c r="CD94" s="10"/>
      <c r="CE94" s="10"/>
      <c r="CF94" s="10"/>
      <c r="CG94" s="10"/>
      <c r="CH94" s="10"/>
      <c r="CI94" s="10"/>
    </row>
    <row r="95" spans="1:87" s="9" customFormat="1" ht="40.5" customHeight="1">
      <c r="A95" s="326">
        <v>86</v>
      </c>
      <c r="B95" s="327"/>
      <c r="C95" s="328"/>
      <c r="D95" s="188" t="s">
        <v>247</v>
      </c>
      <c r="E95" s="189"/>
      <c r="F95" s="189"/>
      <c r="G95" s="189"/>
      <c r="H95" s="189"/>
      <c r="I95" s="189"/>
      <c r="J95" s="189"/>
      <c r="K95" s="189"/>
      <c r="L95" s="189"/>
      <c r="M95" s="189"/>
      <c r="N95" s="189"/>
      <c r="O95" s="189"/>
      <c r="P95" s="189"/>
      <c r="Q95" s="190"/>
      <c r="R95" s="283">
        <v>14</v>
      </c>
      <c r="S95" s="284"/>
      <c r="T95" s="285"/>
      <c r="U95" s="286" t="s">
        <v>207</v>
      </c>
      <c r="V95" s="287"/>
      <c r="W95" s="287"/>
      <c r="X95" s="287"/>
      <c r="Y95" s="287"/>
      <c r="Z95" s="287"/>
      <c r="AA95" s="287"/>
      <c r="AB95" s="287"/>
      <c r="AC95" s="287"/>
      <c r="AD95" s="288"/>
      <c r="AE95" s="289" t="s">
        <v>292</v>
      </c>
      <c r="AF95" s="290"/>
      <c r="AG95" s="290"/>
      <c r="AH95" s="290"/>
      <c r="AI95" s="290"/>
      <c r="AJ95" s="290"/>
      <c r="AK95" s="290"/>
      <c r="AL95" s="290"/>
      <c r="AM95" s="290"/>
      <c r="AN95" s="290"/>
      <c r="AO95" s="290"/>
      <c r="AP95" s="290"/>
      <c r="AQ95" s="290"/>
      <c r="AR95" s="290"/>
      <c r="AS95" s="290"/>
      <c r="AT95" s="290"/>
      <c r="AU95" s="290"/>
      <c r="AV95" s="290"/>
      <c r="AW95" s="290"/>
      <c r="AX95" s="290"/>
      <c r="AY95" s="290"/>
      <c r="AZ95" s="290"/>
      <c r="BA95" s="290"/>
      <c r="BB95" s="290"/>
      <c r="BC95" s="290"/>
      <c r="BD95" s="290"/>
      <c r="BE95" s="290"/>
      <c r="BF95" s="290"/>
      <c r="BG95" s="290"/>
      <c r="BH95" s="290"/>
      <c r="BI95" s="290"/>
      <c r="BJ95" s="291"/>
      <c r="BL95" s="96"/>
      <c r="BS95" s="10"/>
      <c r="BT95" s="10"/>
      <c r="BU95" s="10"/>
      <c r="BV95" s="10"/>
      <c r="BW95" s="10"/>
      <c r="BX95" s="10"/>
      <c r="BY95" s="10"/>
      <c r="BZ95" s="10"/>
      <c r="CA95" s="10"/>
      <c r="CB95" s="10"/>
      <c r="CC95" s="10"/>
      <c r="CD95" s="10"/>
      <c r="CE95" s="10"/>
      <c r="CF95" s="10"/>
      <c r="CG95" s="10"/>
      <c r="CH95" s="10"/>
      <c r="CI95" s="10"/>
    </row>
    <row r="96" spans="1:87" s="9" customFormat="1" ht="40.5" customHeight="1">
      <c r="A96" s="282">
        <v>87</v>
      </c>
      <c r="B96" s="282"/>
      <c r="C96" s="282"/>
      <c r="D96" s="188" t="s">
        <v>249</v>
      </c>
      <c r="E96" s="189"/>
      <c r="F96" s="189"/>
      <c r="G96" s="189"/>
      <c r="H96" s="189"/>
      <c r="I96" s="189"/>
      <c r="J96" s="189"/>
      <c r="K96" s="189"/>
      <c r="L96" s="189"/>
      <c r="M96" s="189"/>
      <c r="N96" s="189"/>
      <c r="O96" s="189"/>
      <c r="P96" s="189"/>
      <c r="Q96" s="190"/>
      <c r="R96" s="283">
        <v>14</v>
      </c>
      <c r="S96" s="284"/>
      <c r="T96" s="285"/>
      <c r="U96" s="286" t="s">
        <v>207</v>
      </c>
      <c r="V96" s="287"/>
      <c r="W96" s="287"/>
      <c r="X96" s="287"/>
      <c r="Y96" s="287"/>
      <c r="Z96" s="287"/>
      <c r="AA96" s="287"/>
      <c r="AB96" s="287"/>
      <c r="AC96" s="287"/>
      <c r="AD96" s="288"/>
      <c r="AE96" s="289" t="s">
        <v>293</v>
      </c>
      <c r="AF96" s="290"/>
      <c r="AG96" s="290"/>
      <c r="AH96" s="290"/>
      <c r="AI96" s="290"/>
      <c r="AJ96" s="290"/>
      <c r="AK96" s="290"/>
      <c r="AL96" s="290"/>
      <c r="AM96" s="290"/>
      <c r="AN96" s="290"/>
      <c r="AO96" s="290"/>
      <c r="AP96" s="290"/>
      <c r="AQ96" s="290"/>
      <c r="AR96" s="290"/>
      <c r="AS96" s="290"/>
      <c r="AT96" s="290"/>
      <c r="AU96" s="290"/>
      <c r="AV96" s="290"/>
      <c r="AW96" s="290"/>
      <c r="AX96" s="290"/>
      <c r="AY96" s="290"/>
      <c r="AZ96" s="290"/>
      <c r="BA96" s="290"/>
      <c r="BB96" s="290"/>
      <c r="BC96" s="290"/>
      <c r="BD96" s="290"/>
      <c r="BE96" s="290"/>
      <c r="BF96" s="290"/>
      <c r="BG96" s="290"/>
      <c r="BH96" s="290"/>
      <c r="BI96" s="290"/>
      <c r="BJ96" s="291"/>
      <c r="BL96" s="96"/>
      <c r="BS96" s="10"/>
      <c r="BT96" s="10"/>
      <c r="BU96" s="10"/>
      <c r="BV96" s="10"/>
      <c r="BW96" s="10"/>
      <c r="BX96" s="10"/>
      <c r="BY96" s="10"/>
      <c r="BZ96" s="10"/>
      <c r="CA96" s="10"/>
      <c r="CB96" s="10"/>
      <c r="CC96" s="10"/>
      <c r="CD96" s="10"/>
      <c r="CE96" s="10"/>
      <c r="CF96" s="10"/>
      <c r="CG96" s="10"/>
      <c r="CH96" s="10"/>
      <c r="CI96" s="10"/>
    </row>
    <row r="97" spans="1:87" s="9" customFormat="1" ht="40.5" customHeight="1">
      <c r="A97" s="326">
        <v>88</v>
      </c>
      <c r="B97" s="327"/>
      <c r="C97" s="328"/>
      <c r="D97" s="188" t="s">
        <v>251</v>
      </c>
      <c r="E97" s="189"/>
      <c r="F97" s="189"/>
      <c r="G97" s="189"/>
      <c r="H97" s="189"/>
      <c r="I97" s="189"/>
      <c r="J97" s="189"/>
      <c r="K97" s="189"/>
      <c r="L97" s="189"/>
      <c r="M97" s="189"/>
      <c r="N97" s="189"/>
      <c r="O97" s="189"/>
      <c r="P97" s="189"/>
      <c r="Q97" s="190"/>
      <c r="R97" s="283">
        <v>14</v>
      </c>
      <c r="S97" s="284"/>
      <c r="T97" s="285"/>
      <c r="U97" s="286" t="s">
        <v>207</v>
      </c>
      <c r="V97" s="287"/>
      <c r="W97" s="287"/>
      <c r="X97" s="287"/>
      <c r="Y97" s="287"/>
      <c r="Z97" s="287"/>
      <c r="AA97" s="287"/>
      <c r="AB97" s="287"/>
      <c r="AC97" s="287"/>
      <c r="AD97" s="288"/>
      <c r="AE97" s="289" t="s">
        <v>294</v>
      </c>
      <c r="AF97" s="290"/>
      <c r="AG97" s="290"/>
      <c r="AH97" s="290"/>
      <c r="AI97" s="290"/>
      <c r="AJ97" s="290"/>
      <c r="AK97" s="290"/>
      <c r="AL97" s="290"/>
      <c r="AM97" s="290"/>
      <c r="AN97" s="290"/>
      <c r="AO97" s="290"/>
      <c r="AP97" s="290"/>
      <c r="AQ97" s="290"/>
      <c r="AR97" s="290"/>
      <c r="AS97" s="290"/>
      <c r="AT97" s="290"/>
      <c r="AU97" s="290"/>
      <c r="AV97" s="290"/>
      <c r="AW97" s="290"/>
      <c r="AX97" s="290"/>
      <c r="AY97" s="290"/>
      <c r="AZ97" s="290"/>
      <c r="BA97" s="290"/>
      <c r="BB97" s="290"/>
      <c r="BC97" s="290"/>
      <c r="BD97" s="290"/>
      <c r="BE97" s="290"/>
      <c r="BF97" s="290"/>
      <c r="BG97" s="290"/>
      <c r="BH97" s="290"/>
      <c r="BI97" s="290"/>
      <c r="BJ97" s="291"/>
      <c r="BL97" s="96"/>
      <c r="BS97" s="10"/>
      <c r="BT97" s="10"/>
      <c r="BU97" s="10"/>
      <c r="BV97" s="10"/>
      <c r="BW97" s="10"/>
      <c r="BX97" s="10"/>
      <c r="BY97" s="10"/>
      <c r="BZ97" s="10"/>
      <c r="CA97" s="10"/>
      <c r="CB97" s="10"/>
      <c r="CC97" s="10"/>
      <c r="CD97" s="10"/>
      <c r="CE97" s="10"/>
      <c r="CF97" s="10"/>
      <c r="CG97" s="10"/>
      <c r="CH97" s="10"/>
      <c r="CI97" s="10"/>
    </row>
    <row r="98" spans="1:87" s="9" customFormat="1" ht="40.5" customHeight="1">
      <c r="A98" s="282">
        <v>89</v>
      </c>
      <c r="B98" s="282"/>
      <c r="C98" s="282"/>
      <c r="D98" s="188" t="s">
        <v>253</v>
      </c>
      <c r="E98" s="189"/>
      <c r="F98" s="189"/>
      <c r="G98" s="189"/>
      <c r="H98" s="189"/>
      <c r="I98" s="189"/>
      <c r="J98" s="189"/>
      <c r="K98" s="189"/>
      <c r="L98" s="189"/>
      <c r="M98" s="189"/>
      <c r="N98" s="189"/>
      <c r="O98" s="189"/>
      <c r="P98" s="189"/>
      <c r="Q98" s="190"/>
      <c r="R98" s="283">
        <v>14</v>
      </c>
      <c r="S98" s="284"/>
      <c r="T98" s="285"/>
      <c r="U98" s="286" t="s">
        <v>207</v>
      </c>
      <c r="V98" s="287"/>
      <c r="W98" s="287"/>
      <c r="X98" s="287"/>
      <c r="Y98" s="287"/>
      <c r="Z98" s="287"/>
      <c r="AA98" s="287"/>
      <c r="AB98" s="287"/>
      <c r="AC98" s="287"/>
      <c r="AD98" s="288"/>
      <c r="AE98" s="289" t="s">
        <v>295</v>
      </c>
      <c r="AF98" s="290"/>
      <c r="AG98" s="290"/>
      <c r="AH98" s="290"/>
      <c r="AI98" s="290"/>
      <c r="AJ98" s="290"/>
      <c r="AK98" s="290"/>
      <c r="AL98" s="290"/>
      <c r="AM98" s="290"/>
      <c r="AN98" s="290"/>
      <c r="AO98" s="290"/>
      <c r="AP98" s="290"/>
      <c r="AQ98" s="290"/>
      <c r="AR98" s="290"/>
      <c r="AS98" s="290"/>
      <c r="AT98" s="290"/>
      <c r="AU98" s="290"/>
      <c r="AV98" s="290"/>
      <c r="AW98" s="290"/>
      <c r="AX98" s="290"/>
      <c r="AY98" s="290"/>
      <c r="AZ98" s="290"/>
      <c r="BA98" s="290"/>
      <c r="BB98" s="290"/>
      <c r="BC98" s="290"/>
      <c r="BD98" s="290"/>
      <c r="BE98" s="290"/>
      <c r="BF98" s="290"/>
      <c r="BG98" s="290"/>
      <c r="BH98" s="290"/>
      <c r="BI98" s="290"/>
      <c r="BJ98" s="291"/>
      <c r="BL98" s="96"/>
      <c r="BS98" s="10"/>
      <c r="BT98" s="10"/>
      <c r="BU98" s="10"/>
      <c r="BV98" s="10"/>
      <c r="BW98" s="10"/>
      <c r="BX98" s="10"/>
      <c r="BY98" s="10"/>
      <c r="BZ98" s="10"/>
      <c r="CA98" s="10"/>
      <c r="CB98" s="10"/>
      <c r="CC98" s="10"/>
      <c r="CD98" s="10"/>
      <c r="CE98" s="10"/>
      <c r="CF98" s="10"/>
      <c r="CG98" s="10"/>
      <c r="CH98" s="10"/>
      <c r="CI98" s="10"/>
    </row>
    <row r="99" spans="1:87" s="9" customFormat="1" ht="40.5" customHeight="1">
      <c r="A99" s="282"/>
      <c r="B99" s="282"/>
      <c r="C99" s="282"/>
      <c r="D99" s="292" t="s">
        <v>226</v>
      </c>
      <c r="E99" s="287"/>
      <c r="F99" s="287"/>
      <c r="G99" s="287"/>
      <c r="H99" s="287"/>
      <c r="I99" s="287"/>
      <c r="J99" s="287"/>
      <c r="K99" s="287"/>
      <c r="L99" s="287"/>
      <c r="M99" s="287"/>
      <c r="N99" s="287"/>
      <c r="O99" s="287"/>
      <c r="P99" s="287"/>
      <c r="Q99" s="288"/>
      <c r="R99" s="283"/>
      <c r="S99" s="284"/>
      <c r="T99" s="285"/>
      <c r="U99" s="286"/>
      <c r="V99" s="287"/>
      <c r="W99" s="287"/>
      <c r="X99" s="287"/>
      <c r="Y99" s="287"/>
      <c r="Z99" s="287"/>
      <c r="AA99" s="287"/>
      <c r="AB99" s="287"/>
      <c r="AC99" s="287"/>
      <c r="AD99" s="288"/>
      <c r="AE99" s="289"/>
      <c r="AF99" s="290"/>
      <c r="AG99" s="290"/>
      <c r="AH99" s="290"/>
      <c r="AI99" s="290"/>
      <c r="AJ99" s="290"/>
      <c r="AK99" s="290"/>
      <c r="AL99" s="290"/>
      <c r="AM99" s="290"/>
      <c r="AN99" s="290"/>
      <c r="AO99" s="290"/>
      <c r="AP99" s="290"/>
      <c r="AQ99" s="290"/>
      <c r="AR99" s="290"/>
      <c r="AS99" s="290"/>
      <c r="AT99" s="290"/>
      <c r="AU99" s="290"/>
      <c r="AV99" s="290"/>
      <c r="AW99" s="290"/>
      <c r="AX99" s="290"/>
      <c r="AY99" s="290"/>
      <c r="AZ99" s="290"/>
      <c r="BA99" s="290"/>
      <c r="BB99" s="290"/>
      <c r="BC99" s="290"/>
      <c r="BD99" s="290"/>
      <c r="BE99" s="290"/>
      <c r="BF99" s="290"/>
      <c r="BG99" s="290"/>
      <c r="BH99" s="290"/>
      <c r="BI99" s="290"/>
      <c r="BJ99" s="291"/>
      <c r="BL99" s="96"/>
      <c r="BS99" s="10"/>
      <c r="BT99" s="10"/>
      <c r="BU99" s="10"/>
      <c r="BV99" s="10"/>
      <c r="BW99" s="10"/>
      <c r="BX99" s="10"/>
      <c r="BY99" s="10"/>
      <c r="BZ99" s="10"/>
      <c r="CA99" s="10"/>
      <c r="CB99" s="10"/>
      <c r="CC99" s="10"/>
      <c r="CD99" s="10"/>
      <c r="CE99" s="10"/>
      <c r="CF99" s="10"/>
      <c r="CG99" s="10"/>
      <c r="CH99" s="10"/>
      <c r="CI99" s="10"/>
    </row>
    <row r="100" spans="1:87" s="9" customFormat="1" ht="48.6" customHeight="1">
      <c r="A100" s="282">
        <v>90</v>
      </c>
      <c r="B100" s="282"/>
      <c r="C100" s="282"/>
      <c r="D100" s="292" t="s">
        <v>174</v>
      </c>
      <c r="E100" s="287"/>
      <c r="F100" s="287"/>
      <c r="G100" s="287"/>
      <c r="H100" s="287"/>
      <c r="I100" s="287"/>
      <c r="J100" s="287"/>
      <c r="K100" s="287"/>
      <c r="L100" s="287"/>
      <c r="M100" s="287"/>
      <c r="N100" s="287"/>
      <c r="O100" s="287"/>
      <c r="P100" s="287"/>
      <c r="Q100" s="288"/>
      <c r="R100" s="283">
        <v>14</v>
      </c>
      <c r="S100" s="284"/>
      <c r="T100" s="285"/>
      <c r="U100" s="286" t="s">
        <v>207</v>
      </c>
      <c r="V100" s="287"/>
      <c r="W100" s="287"/>
      <c r="X100" s="287"/>
      <c r="Y100" s="287"/>
      <c r="Z100" s="287"/>
      <c r="AA100" s="287"/>
      <c r="AB100" s="287"/>
      <c r="AC100" s="287"/>
      <c r="AD100" s="288"/>
      <c r="AE100" s="289" t="s">
        <v>296</v>
      </c>
      <c r="AF100" s="290"/>
      <c r="AG100" s="290"/>
      <c r="AH100" s="290"/>
      <c r="AI100" s="290"/>
      <c r="AJ100" s="290"/>
      <c r="AK100" s="290"/>
      <c r="AL100" s="290"/>
      <c r="AM100" s="290"/>
      <c r="AN100" s="290"/>
      <c r="AO100" s="290"/>
      <c r="AP100" s="290"/>
      <c r="AQ100" s="290"/>
      <c r="AR100" s="290"/>
      <c r="AS100" s="290"/>
      <c r="AT100" s="290"/>
      <c r="AU100" s="290"/>
      <c r="AV100" s="290"/>
      <c r="AW100" s="290"/>
      <c r="AX100" s="290"/>
      <c r="AY100" s="290"/>
      <c r="AZ100" s="290"/>
      <c r="BA100" s="290"/>
      <c r="BB100" s="290"/>
      <c r="BC100" s="290"/>
      <c r="BD100" s="290"/>
      <c r="BE100" s="290"/>
      <c r="BF100" s="290"/>
      <c r="BG100" s="290"/>
      <c r="BH100" s="290"/>
      <c r="BI100" s="290"/>
      <c r="BJ100" s="291"/>
      <c r="BL100" s="96"/>
      <c r="BS100" s="10"/>
      <c r="BT100" s="10"/>
      <c r="BU100" s="10"/>
      <c r="BV100" s="10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</row>
    <row r="101" spans="1:87" s="9" customFormat="1" ht="48.6" customHeight="1">
      <c r="A101" s="282">
        <v>91</v>
      </c>
      <c r="B101" s="282"/>
      <c r="C101" s="282"/>
      <c r="D101" s="292" t="s">
        <v>175</v>
      </c>
      <c r="E101" s="287"/>
      <c r="F101" s="287"/>
      <c r="G101" s="287"/>
      <c r="H101" s="287"/>
      <c r="I101" s="287"/>
      <c r="J101" s="287"/>
      <c r="K101" s="287"/>
      <c r="L101" s="287"/>
      <c r="M101" s="287"/>
      <c r="N101" s="287"/>
      <c r="O101" s="287"/>
      <c r="P101" s="287"/>
      <c r="Q101" s="288"/>
      <c r="R101" s="283">
        <v>14</v>
      </c>
      <c r="S101" s="284"/>
      <c r="T101" s="285"/>
      <c r="U101" s="286" t="s">
        <v>207</v>
      </c>
      <c r="V101" s="287"/>
      <c r="W101" s="287"/>
      <c r="X101" s="287"/>
      <c r="Y101" s="287"/>
      <c r="Z101" s="287"/>
      <c r="AA101" s="287"/>
      <c r="AB101" s="287"/>
      <c r="AC101" s="287"/>
      <c r="AD101" s="288"/>
      <c r="AE101" s="289" t="s">
        <v>297</v>
      </c>
      <c r="AF101" s="290"/>
      <c r="AG101" s="290"/>
      <c r="AH101" s="290"/>
      <c r="AI101" s="290"/>
      <c r="AJ101" s="290"/>
      <c r="AK101" s="290"/>
      <c r="AL101" s="290"/>
      <c r="AM101" s="290"/>
      <c r="AN101" s="290"/>
      <c r="AO101" s="290"/>
      <c r="AP101" s="290"/>
      <c r="AQ101" s="290"/>
      <c r="AR101" s="290"/>
      <c r="AS101" s="290"/>
      <c r="AT101" s="290"/>
      <c r="AU101" s="290"/>
      <c r="AV101" s="290"/>
      <c r="AW101" s="290"/>
      <c r="AX101" s="290"/>
      <c r="AY101" s="290"/>
      <c r="AZ101" s="290"/>
      <c r="BA101" s="290"/>
      <c r="BB101" s="290"/>
      <c r="BC101" s="290"/>
      <c r="BD101" s="290"/>
      <c r="BE101" s="290"/>
      <c r="BF101" s="290"/>
      <c r="BG101" s="290"/>
      <c r="BH101" s="290"/>
      <c r="BI101" s="290"/>
      <c r="BJ101" s="291"/>
      <c r="BL101" s="96"/>
      <c r="BS101" s="10"/>
      <c r="BT101" s="10"/>
      <c r="BU101" s="10"/>
      <c r="BV101" s="10"/>
      <c r="BW101" s="10"/>
      <c r="BX101" s="10"/>
      <c r="BY101" s="10"/>
      <c r="BZ101" s="10"/>
      <c r="CA101" s="10"/>
      <c r="CB101" s="10"/>
      <c r="CC101" s="10"/>
      <c r="CD101" s="10"/>
      <c r="CE101" s="10"/>
      <c r="CF101" s="10"/>
      <c r="CG101" s="10"/>
      <c r="CH101" s="10"/>
      <c r="CI101" s="10"/>
    </row>
    <row r="102" spans="1:87" s="9" customFormat="1" ht="48.6" customHeight="1">
      <c r="A102" s="282">
        <v>92</v>
      </c>
      <c r="B102" s="282"/>
      <c r="C102" s="282"/>
      <c r="D102" s="292" t="s">
        <v>174</v>
      </c>
      <c r="E102" s="287"/>
      <c r="F102" s="287"/>
      <c r="G102" s="287"/>
      <c r="H102" s="287"/>
      <c r="I102" s="287"/>
      <c r="J102" s="287"/>
      <c r="K102" s="287"/>
      <c r="L102" s="287"/>
      <c r="M102" s="287"/>
      <c r="N102" s="287"/>
      <c r="O102" s="287"/>
      <c r="P102" s="287"/>
      <c r="Q102" s="288"/>
      <c r="R102" s="283">
        <v>14</v>
      </c>
      <c r="S102" s="284"/>
      <c r="T102" s="285"/>
      <c r="U102" s="286" t="s">
        <v>207</v>
      </c>
      <c r="V102" s="287"/>
      <c r="W102" s="287"/>
      <c r="X102" s="287"/>
      <c r="Y102" s="287"/>
      <c r="Z102" s="287"/>
      <c r="AA102" s="287"/>
      <c r="AB102" s="287"/>
      <c r="AC102" s="287"/>
      <c r="AD102" s="288"/>
      <c r="AE102" s="289" t="s">
        <v>296</v>
      </c>
      <c r="AF102" s="290"/>
      <c r="AG102" s="290"/>
      <c r="AH102" s="290"/>
      <c r="AI102" s="290"/>
      <c r="AJ102" s="290"/>
      <c r="AK102" s="290"/>
      <c r="AL102" s="290"/>
      <c r="AM102" s="290"/>
      <c r="AN102" s="290"/>
      <c r="AO102" s="290"/>
      <c r="AP102" s="290"/>
      <c r="AQ102" s="290"/>
      <c r="AR102" s="290"/>
      <c r="AS102" s="290"/>
      <c r="AT102" s="290"/>
      <c r="AU102" s="290"/>
      <c r="AV102" s="290"/>
      <c r="AW102" s="290"/>
      <c r="AX102" s="290"/>
      <c r="AY102" s="290"/>
      <c r="AZ102" s="290"/>
      <c r="BA102" s="290"/>
      <c r="BB102" s="290"/>
      <c r="BC102" s="290"/>
      <c r="BD102" s="290"/>
      <c r="BE102" s="290"/>
      <c r="BF102" s="290"/>
      <c r="BG102" s="290"/>
      <c r="BH102" s="290"/>
      <c r="BI102" s="290"/>
      <c r="BJ102" s="291"/>
      <c r="BL102" s="96"/>
      <c r="BS102" s="10"/>
      <c r="BT102" s="10"/>
      <c r="BU102" s="10"/>
      <c r="BV102" s="10"/>
      <c r="BW102" s="10"/>
      <c r="BX102" s="10"/>
      <c r="BY102" s="10"/>
      <c r="BZ102" s="10"/>
      <c r="CA102" s="10"/>
      <c r="CB102" s="10"/>
      <c r="CC102" s="10"/>
      <c r="CD102" s="10"/>
      <c r="CE102" s="10"/>
      <c r="CF102" s="10"/>
      <c r="CG102" s="10"/>
      <c r="CH102" s="10"/>
      <c r="CI102" s="10"/>
    </row>
    <row r="103" spans="1:87" s="9" customFormat="1" ht="48.6" customHeight="1">
      <c r="A103" s="282">
        <v>93</v>
      </c>
      <c r="B103" s="282"/>
      <c r="C103" s="282"/>
      <c r="D103" s="292" t="s">
        <v>175</v>
      </c>
      <c r="E103" s="287"/>
      <c r="F103" s="287"/>
      <c r="G103" s="287"/>
      <c r="H103" s="287"/>
      <c r="I103" s="287"/>
      <c r="J103" s="287"/>
      <c r="K103" s="287"/>
      <c r="L103" s="287"/>
      <c r="M103" s="287"/>
      <c r="N103" s="287"/>
      <c r="O103" s="287"/>
      <c r="P103" s="287"/>
      <c r="Q103" s="288"/>
      <c r="R103" s="283">
        <v>14</v>
      </c>
      <c r="S103" s="284"/>
      <c r="T103" s="285"/>
      <c r="U103" s="286" t="s">
        <v>207</v>
      </c>
      <c r="V103" s="287"/>
      <c r="W103" s="287"/>
      <c r="X103" s="287"/>
      <c r="Y103" s="287"/>
      <c r="Z103" s="287"/>
      <c r="AA103" s="287"/>
      <c r="AB103" s="287"/>
      <c r="AC103" s="287"/>
      <c r="AD103" s="288"/>
      <c r="AE103" s="289" t="s">
        <v>297</v>
      </c>
      <c r="AF103" s="290"/>
      <c r="AG103" s="290"/>
      <c r="AH103" s="290"/>
      <c r="AI103" s="290"/>
      <c r="AJ103" s="290"/>
      <c r="AK103" s="290"/>
      <c r="AL103" s="290"/>
      <c r="AM103" s="290"/>
      <c r="AN103" s="290"/>
      <c r="AO103" s="290"/>
      <c r="AP103" s="290"/>
      <c r="AQ103" s="290"/>
      <c r="AR103" s="290"/>
      <c r="AS103" s="290"/>
      <c r="AT103" s="290"/>
      <c r="AU103" s="290"/>
      <c r="AV103" s="290"/>
      <c r="AW103" s="290"/>
      <c r="AX103" s="290"/>
      <c r="AY103" s="290"/>
      <c r="AZ103" s="290"/>
      <c r="BA103" s="290"/>
      <c r="BB103" s="290"/>
      <c r="BC103" s="290"/>
      <c r="BD103" s="290"/>
      <c r="BE103" s="290"/>
      <c r="BF103" s="290"/>
      <c r="BG103" s="290"/>
      <c r="BH103" s="290"/>
      <c r="BI103" s="290"/>
      <c r="BJ103" s="291"/>
      <c r="BL103" s="96"/>
      <c r="BS103" s="10"/>
      <c r="BT103" s="10"/>
      <c r="BU103" s="10"/>
      <c r="BV103" s="10"/>
      <c r="BW103" s="10"/>
      <c r="BX103" s="10"/>
      <c r="BY103" s="10"/>
      <c r="BZ103" s="10"/>
      <c r="CA103" s="10"/>
      <c r="CB103" s="10"/>
      <c r="CC103" s="10"/>
      <c r="CD103" s="10"/>
      <c r="CE103" s="10"/>
      <c r="CF103" s="10"/>
      <c r="CG103" s="10"/>
      <c r="CH103" s="10"/>
      <c r="CI103" s="10"/>
    </row>
    <row r="104" spans="1:87" s="9" customFormat="1" ht="40.5" customHeight="1">
      <c r="A104" s="282">
        <v>94</v>
      </c>
      <c r="B104" s="282"/>
      <c r="C104" s="282"/>
      <c r="D104" s="292" t="s">
        <v>179</v>
      </c>
      <c r="E104" s="287"/>
      <c r="F104" s="287"/>
      <c r="G104" s="287"/>
      <c r="H104" s="287"/>
      <c r="I104" s="287"/>
      <c r="J104" s="287"/>
      <c r="K104" s="287"/>
      <c r="L104" s="287"/>
      <c r="M104" s="287"/>
      <c r="N104" s="287"/>
      <c r="O104" s="287"/>
      <c r="P104" s="287"/>
      <c r="Q104" s="288"/>
      <c r="R104" s="283" t="s">
        <v>213</v>
      </c>
      <c r="S104" s="284"/>
      <c r="T104" s="285"/>
      <c r="U104" s="293" t="s">
        <v>208</v>
      </c>
      <c r="V104" s="287"/>
      <c r="W104" s="287"/>
      <c r="X104" s="287"/>
      <c r="Y104" s="287"/>
      <c r="Z104" s="287"/>
      <c r="AA104" s="287"/>
      <c r="AB104" s="287"/>
      <c r="AC104" s="287"/>
      <c r="AD104" s="288"/>
      <c r="AE104" s="289" t="s">
        <v>298</v>
      </c>
      <c r="AF104" s="290"/>
      <c r="AG104" s="290"/>
      <c r="AH104" s="290"/>
      <c r="AI104" s="290"/>
      <c r="AJ104" s="290"/>
      <c r="AK104" s="290"/>
      <c r="AL104" s="290"/>
      <c r="AM104" s="290"/>
      <c r="AN104" s="290"/>
      <c r="AO104" s="290"/>
      <c r="AP104" s="290"/>
      <c r="AQ104" s="290"/>
      <c r="AR104" s="290"/>
      <c r="AS104" s="290"/>
      <c r="AT104" s="290"/>
      <c r="AU104" s="290"/>
      <c r="AV104" s="290"/>
      <c r="AW104" s="290"/>
      <c r="AX104" s="290"/>
      <c r="AY104" s="290"/>
      <c r="AZ104" s="290"/>
      <c r="BA104" s="290"/>
      <c r="BB104" s="290"/>
      <c r="BC104" s="290"/>
      <c r="BD104" s="290"/>
      <c r="BE104" s="290"/>
      <c r="BF104" s="290"/>
      <c r="BG104" s="290"/>
      <c r="BH104" s="290"/>
      <c r="BI104" s="290"/>
      <c r="BJ104" s="291"/>
      <c r="BL104" s="96"/>
      <c r="BS104" s="10"/>
      <c r="BT104" s="10"/>
      <c r="BU104" s="10"/>
      <c r="BV104" s="10"/>
      <c r="BW104" s="10"/>
      <c r="BX104" s="10"/>
      <c r="BY104" s="10"/>
      <c r="BZ104" s="10"/>
      <c r="CA104" s="10"/>
      <c r="CB104" s="10"/>
      <c r="CC104" s="10"/>
      <c r="CD104" s="10"/>
      <c r="CE104" s="10"/>
      <c r="CF104" s="10"/>
      <c r="CG104" s="10"/>
      <c r="CH104" s="10"/>
      <c r="CI104" s="10"/>
    </row>
    <row r="105" spans="1:87" s="9" customFormat="1" ht="40.5" customHeight="1">
      <c r="A105" s="282">
        <v>95</v>
      </c>
      <c r="B105" s="282"/>
      <c r="C105" s="282"/>
      <c r="D105" s="292" t="s">
        <v>276</v>
      </c>
      <c r="E105" s="287"/>
      <c r="F105" s="287"/>
      <c r="G105" s="287"/>
      <c r="H105" s="287"/>
      <c r="I105" s="287"/>
      <c r="J105" s="287"/>
      <c r="K105" s="287"/>
      <c r="L105" s="287"/>
      <c r="M105" s="287"/>
      <c r="N105" s="287"/>
      <c r="O105" s="287"/>
      <c r="P105" s="287"/>
      <c r="Q105" s="288"/>
      <c r="R105" s="283">
        <v>14</v>
      </c>
      <c r="S105" s="284"/>
      <c r="T105" s="285"/>
      <c r="U105" s="286" t="s">
        <v>207</v>
      </c>
      <c r="V105" s="287"/>
      <c r="W105" s="287"/>
      <c r="X105" s="287"/>
      <c r="Y105" s="287"/>
      <c r="Z105" s="287"/>
      <c r="AA105" s="287"/>
      <c r="AB105" s="287"/>
      <c r="AC105" s="287"/>
      <c r="AD105" s="288"/>
      <c r="AE105" s="289" t="s">
        <v>299</v>
      </c>
      <c r="AF105" s="290"/>
      <c r="AG105" s="290"/>
      <c r="AH105" s="290"/>
      <c r="AI105" s="290"/>
      <c r="AJ105" s="290"/>
      <c r="AK105" s="290"/>
      <c r="AL105" s="290"/>
      <c r="AM105" s="290"/>
      <c r="AN105" s="290"/>
      <c r="AO105" s="290"/>
      <c r="AP105" s="290"/>
      <c r="AQ105" s="290"/>
      <c r="AR105" s="290"/>
      <c r="AS105" s="290"/>
      <c r="AT105" s="290"/>
      <c r="AU105" s="290"/>
      <c r="AV105" s="290"/>
      <c r="AW105" s="290"/>
      <c r="AX105" s="290"/>
      <c r="AY105" s="290"/>
      <c r="AZ105" s="290"/>
      <c r="BA105" s="290"/>
      <c r="BB105" s="290"/>
      <c r="BC105" s="290"/>
      <c r="BD105" s="290"/>
      <c r="BE105" s="290"/>
      <c r="BF105" s="290"/>
      <c r="BG105" s="290"/>
      <c r="BH105" s="290"/>
      <c r="BI105" s="290"/>
      <c r="BJ105" s="291"/>
      <c r="BL105" s="96"/>
      <c r="BS105" s="10"/>
      <c r="BT105" s="10"/>
      <c r="BU105" s="10"/>
      <c r="BV105" s="10"/>
      <c r="BW105" s="10"/>
      <c r="BX105" s="10"/>
      <c r="BY105" s="10"/>
      <c r="BZ105" s="10"/>
      <c r="CA105" s="10"/>
      <c r="CB105" s="10"/>
      <c r="CC105" s="10"/>
      <c r="CD105" s="10"/>
      <c r="CE105" s="10"/>
      <c r="CF105" s="10"/>
      <c r="CG105" s="10"/>
      <c r="CH105" s="10"/>
      <c r="CI105" s="10"/>
    </row>
    <row r="106" spans="1:87" s="9" customFormat="1" ht="40.5" customHeight="1">
      <c r="A106" s="282">
        <v>96</v>
      </c>
      <c r="B106" s="282"/>
      <c r="C106" s="282"/>
      <c r="D106" s="292" t="s">
        <v>232</v>
      </c>
      <c r="E106" s="287"/>
      <c r="F106" s="287"/>
      <c r="G106" s="287"/>
      <c r="H106" s="287"/>
      <c r="I106" s="287"/>
      <c r="J106" s="287"/>
      <c r="K106" s="287"/>
      <c r="L106" s="287"/>
      <c r="M106" s="287"/>
      <c r="N106" s="287"/>
      <c r="O106" s="287"/>
      <c r="P106" s="287"/>
      <c r="Q106" s="288"/>
      <c r="R106" s="283">
        <v>14</v>
      </c>
      <c r="S106" s="284"/>
      <c r="T106" s="285"/>
      <c r="U106" s="286" t="s">
        <v>207</v>
      </c>
      <c r="V106" s="287"/>
      <c r="W106" s="287"/>
      <c r="X106" s="287"/>
      <c r="Y106" s="287"/>
      <c r="Z106" s="287"/>
      <c r="AA106" s="287"/>
      <c r="AB106" s="287"/>
      <c r="AC106" s="287"/>
      <c r="AD106" s="288"/>
      <c r="AE106" s="289" t="s">
        <v>300</v>
      </c>
      <c r="AF106" s="290"/>
      <c r="AG106" s="290"/>
      <c r="AH106" s="290"/>
      <c r="AI106" s="290"/>
      <c r="AJ106" s="290"/>
      <c r="AK106" s="290"/>
      <c r="AL106" s="290"/>
      <c r="AM106" s="290"/>
      <c r="AN106" s="290"/>
      <c r="AO106" s="290"/>
      <c r="AP106" s="290"/>
      <c r="AQ106" s="290"/>
      <c r="AR106" s="290"/>
      <c r="AS106" s="290"/>
      <c r="AT106" s="290"/>
      <c r="AU106" s="290"/>
      <c r="AV106" s="290"/>
      <c r="AW106" s="290"/>
      <c r="AX106" s="290"/>
      <c r="AY106" s="290"/>
      <c r="AZ106" s="290"/>
      <c r="BA106" s="290"/>
      <c r="BB106" s="290"/>
      <c r="BC106" s="290"/>
      <c r="BD106" s="290"/>
      <c r="BE106" s="290"/>
      <c r="BF106" s="290"/>
      <c r="BG106" s="290"/>
      <c r="BH106" s="290"/>
      <c r="BI106" s="290"/>
      <c r="BJ106" s="291"/>
      <c r="BL106" s="96"/>
      <c r="BS106" s="10"/>
      <c r="BT106" s="10"/>
      <c r="BU106" s="10"/>
      <c r="BV106" s="10"/>
      <c r="BW106" s="10"/>
      <c r="BX106" s="10"/>
      <c r="BY106" s="10"/>
      <c r="BZ106" s="10"/>
      <c r="CA106" s="10"/>
      <c r="CB106" s="10"/>
      <c r="CC106" s="10"/>
      <c r="CD106" s="10"/>
      <c r="CE106" s="10"/>
      <c r="CF106" s="10"/>
      <c r="CG106" s="10"/>
      <c r="CH106" s="10"/>
      <c r="CI106" s="10"/>
    </row>
    <row r="107" spans="1:87" s="9" customFormat="1" ht="40.5" customHeight="1">
      <c r="A107" s="282">
        <v>97</v>
      </c>
      <c r="B107" s="282"/>
      <c r="C107" s="282"/>
      <c r="D107" s="292" t="s">
        <v>277</v>
      </c>
      <c r="E107" s="287"/>
      <c r="F107" s="287"/>
      <c r="G107" s="287"/>
      <c r="H107" s="287"/>
      <c r="I107" s="287"/>
      <c r="J107" s="287"/>
      <c r="K107" s="287"/>
      <c r="L107" s="287"/>
      <c r="M107" s="287"/>
      <c r="N107" s="287"/>
      <c r="O107" s="287"/>
      <c r="P107" s="287"/>
      <c r="Q107" s="288"/>
      <c r="R107" s="283">
        <v>14</v>
      </c>
      <c r="S107" s="284"/>
      <c r="T107" s="285"/>
      <c r="U107" s="286" t="s">
        <v>207</v>
      </c>
      <c r="V107" s="287"/>
      <c r="W107" s="287"/>
      <c r="X107" s="287"/>
      <c r="Y107" s="287"/>
      <c r="Z107" s="287"/>
      <c r="AA107" s="287"/>
      <c r="AB107" s="287"/>
      <c r="AC107" s="287"/>
      <c r="AD107" s="288"/>
      <c r="AE107" s="289" t="s">
        <v>301</v>
      </c>
      <c r="AF107" s="290"/>
      <c r="AG107" s="290"/>
      <c r="AH107" s="290"/>
      <c r="AI107" s="290"/>
      <c r="AJ107" s="290"/>
      <c r="AK107" s="290"/>
      <c r="AL107" s="290"/>
      <c r="AM107" s="290"/>
      <c r="AN107" s="290"/>
      <c r="AO107" s="290"/>
      <c r="AP107" s="290"/>
      <c r="AQ107" s="290"/>
      <c r="AR107" s="290"/>
      <c r="AS107" s="290"/>
      <c r="AT107" s="290"/>
      <c r="AU107" s="290"/>
      <c r="AV107" s="290"/>
      <c r="AW107" s="290"/>
      <c r="AX107" s="290"/>
      <c r="AY107" s="290"/>
      <c r="AZ107" s="290"/>
      <c r="BA107" s="290"/>
      <c r="BB107" s="290"/>
      <c r="BC107" s="290"/>
      <c r="BD107" s="290"/>
      <c r="BE107" s="290"/>
      <c r="BF107" s="290"/>
      <c r="BG107" s="290"/>
      <c r="BH107" s="290"/>
      <c r="BI107" s="290"/>
      <c r="BJ107" s="291"/>
      <c r="BL107" s="96"/>
      <c r="BS107" s="10"/>
      <c r="BT107" s="10"/>
      <c r="BU107" s="10"/>
      <c r="BV107" s="10"/>
      <c r="BW107" s="10"/>
      <c r="BX107" s="10"/>
      <c r="BY107" s="10"/>
      <c r="BZ107" s="10"/>
      <c r="CA107" s="10"/>
      <c r="CB107" s="10"/>
      <c r="CC107" s="10"/>
      <c r="CD107" s="10"/>
      <c r="CE107" s="10"/>
      <c r="CF107" s="10"/>
      <c r="CG107" s="10"/>
      <c r="CH107" s="10"/>
      <c r="CI107" s="10"/>
    </row>
    <row r="108" spans="1:87" s="9" customFormat="1" ht="40.5" customHeight="1">
      <c r="A108" s="282">
        <v>98</v>
      </c>
      <c r="B108" s="282"/>
      <c r="C108" s="282"/>
      <c r="D108" s="292" t="s">
        <v>230</v>
      </c>
      <c r="E108" s="287"/>
      <c r="F108" s="287"/>
      <c r="G108" s="287"/>
      <c r="H108" s="287"/>
      <c r="I108" s="287"/>
      <c r="J108" s="287"/>
      <c r="K108" s="287"/>
      <c r="L108" s="287"/>
      <c r="M108" s="287"/>
      <c r="N108" s="287"/>
      <c r="O108" s="287"/>
      <c r="P108" s="287"/>
      <c r="Q108" s="288"/>
      <c r="R108" s="283">
        <v>14</v>
      </c>
      <c r="S108" s="284"/>
      <c r="T108" s="285"/>
      <c r="U108" s="286" t="s">
        <v>207</v>
      </c>
      <c r="V108" s="287"/>
      <c r="W108" s="287"/>
      <c r="X108" s="287"/>
      <c r="Y108" s="287"/>
      <c r="Z108" s="287"/>
      <c r="AA108" s="287"/>
      <c r="AB108" s="287"/>
      <c r="AC108" s="287"/>
      <c r="AD108" s="288"/>
      <c r="AE108" s="289" t="s">
        <v>302</v>
      </c>
      <c r="AF108" s="290"/>
      <c r="AG108" s="290"/>
      <c r="AH108" s="290"/>
      <c r="AI108" s="290"/>
      <c r="AJ108" s="290"/>
      <c r="AK108" s="290"/>
      <c r="AL108" s="290"/>
      <c r="AM108" s="290"/>
      <c r="AN108" s="290"/>
      <c r="AO108" s="290"/>
      <c r="AP108" s="290"/>
      <c r="AQ108" s="290"/>
      <c r="AR108" s="290"/>
      <c r="AS108" s="290"/>
      <c r="AT108" s="290"/>
      <c r="AU108" s="290"/>
      <c r="AV108" s="290"/>
      <c r="AW108" s="290"/>
      <c r="AX108" s="290"/>
      <c r="AY108" s="290"/>
      <c r="AZ108" s="290"/>
      <c r="BA108" s="290"/>
      <c r="BB108" s="290"/>
      <c r="BC108" s="290"/>
      <c r="BD108" s="290"/>
      <c r="BE108" s="290"/>
      <c r="BF108" s="290"/>
      <c r="BG108" s="290"/>
      <c r="BH108" s="290"/>
      <c r="BI108" s="290"/>
      <c r="BJ108" s="291"/>
      <c r="BL108" s="96"/>
      <c r="BS108" s="10"/>
      <c r="BT108" s="10"/>
      <c r="BU108" s="10"/>
      <c r="BV108" s="10"/>
      <c r="BW108" s="10"/>
      <c r="BX108" s="10"/>
      <c r="BY108" s="10"/>
      <c r="BZ108" s="10"/>
      <c r="CA108" s="10"/>
      <c r="CB108" s="10"/>
      <c r="CC108" s="10"/>
      <c r="CD108" s="10"/>
      <c r="CE108" s="10"/>
      <c r="CF108" s="10"/>
      <c r="CG108" s="10"/>
      <c r="CH108" s="10"/>
      <c r="CI108" s="10"/>
    </row>
    <row r="109" spans="1:87" s="9" customFormat="1" ht="48.6" customHeight="1">
      <c r="A109" s="282">
        <v>99</v>
      </c>
      <c r="B109" s="282"/>
      <c r="C109" s="282"/>
      <c r="D109" s="188" t="s">
        <v>268</v>
      </c>
      <c r="E109" s="189"/>
      <c r="F109" s="189"/>
      <c r="G109" s="189"/>
      <c r="H109" s="189"/>
      <c r="I109" s="189"/>
      <c r="J109" s="189"/>
      <c r="K109" s="189"/>
      <c r="L109" s="189"/>
      <c r="M109" s="189"/>
      <c r="N109" s="189"/>
      <c r="O109" s="189"/>
      <c r="P109" s="189"/>
      <c r="Q109" s="190"/>
      <c r="R109" s="283">
        <v>14</v>
      </c>
      <c r="S109" s="284"/>
      <c r="T109" s="285"/>
      <c r="U109" s="286" t="s">
        <v>207</v>
      </c>
      <c r="V109" s="287"/>
      <c r="W109" s="287"/>
      <c r="X109" s="287"/>
      <c r="Y109" s="287"/>
      <c r="Z109" s="287"/>
      <c r="AA109" s="287"/>
      <c r="AB109" s="287"/>
      <c r="AC109" s="287"/>
      <c r="AD109" s="288"/>
      <c r="AE109" s="289" t="s">
        <v>303</v>
      </c>
      <c r="AF109" s="290"/>
      <c r="AG109" s="290"/>
      <c r="AH109" s="290"/>
      <c r="AI109" s="290"/>
      <c r="AJ109" s="290"/>
      <c r="AK109" s="290"/>
      <c r="AL109" s="290"/>
      <c r="AM109" s="290"/>
      <c r="AN109" s="290"/>
      <c r="AO109" s="290"/>
      <c r="AP109" s="290"/>
      <c r="AQ109" s="290"/>
      <c r="AR109" s="290"/>
      <c r="AS109" s="290"/>
      <c r="AT109" s="290"/>
      <c r="AU109" s="290"/>
      <c r="AV109" s="290"/>
      <c r="AW109" s="290"/>
      <c r="AX109" s="290"/>
      <c r="AY109" s="290"/>
      <c r="AZ109" s="290"/>
      <c r="BA109" s="290"/>
      <c r="BB109" s="290"/>
      <c r="BC109" s="290"/>
      <c r="BD109" s="290"/>
      <c r="BE109" s="290"/>
      <c r="BF109" s="290"/>
      <c r="BG109" s="290"/>
      <c r="BH109" s="290"/>
      <c r="BI109" s="290"/>
      <c r="BJ109" s="291"/>
      <c r="BL109" s="96"/>
      <c r="BS109" s="10"/>
      <c r="BT109" s="10"/>
      <c r="BU109" s="10"/>
      <c r="BV109" s="10"/>
      <c r="BW109" s="10"/>
      <c r="BX109" s="10"/>
      <c r="BY109" s="10"/>
      <c r="BZ109" s="10"/>
      <c r="CA109" s="10"/>
      <c r="CB109" s="10"/>
      <c r="CC109" s="10"/>
      <c r="CD109" s="10"/>
      <c r="CE109" s="10"/>
      <c r="CF109" s="10"/>
      <c r="CG109" s="10"/>
      <c r="CH109" s="10"/>
      <c r="CI109" s="10"/>
    </row>
    <row r="110" spans="1:87" s="9" customFormat="1" ht="48.6" customHeight="1">
      <c r="A110" s="282">
        <v>100</v>
      </c>
      <c r="B110" s="282"/>
      <c r="C110" s="282"/>
      <c r="D110" s="188" t="s">
        <v>267</v>
      </c>
      <c r="E110" s="189"/>
      <c r="F110" s="189"/>
      <c r="G110" s="189"/>
      <c r="H110" s="189"/>
      <c r="I110" s="189"/>
      <c r="J110" s="189"/>
      <c r="K110" s="189"/>
      <c r="L110" s="189"/>
      <c r="M110" s="189"/>
      <c r="N110" s="189"/>
      <c r="O110" s="189"/>
      <c r="P110" s="189"/>
      <c r="Q110" s="190"/>
      <c r="R110" s="283">
        <v>14</v>
      </c>
      <c r="S110" s="284"/>
      <c r="T110" s="285"/>
      <c r="U110" s="286" t="s">
        <v>207</v>
      </c>
      <c r="V110" s="287"/>
      <c r="W110" s="287"/>
      <c r="X110" s="287"/>
      <c r="Y110" s="287"/>
      <c r="Z110" s="287"/>
      <c r="AA110" s="287"/>
      <c r="AB110" s="287"/>
      <c r="AC110" s="287"/>
      <c r="AD110" s="288"/>
      <c r="AE110" s="289" t="s">
        <v>304</v>
      </c>
      <c r="AF110" s="290"/>
      <c r="AG110" s="290"/>
      <c r="AH110" s="290"/>
      <c r="AI110" s="290"/>
      <c r="AJ110" s="290"/>
      <c r="AK110" s="290"/>
      <c r="AL110" s="290"/>
      <c r="AM110" s="290"/>
      <c r="AN110" s="290"/>
      <c r="AO110" s="290"/>
      <c r="AP110" s="290"/>
      <c r="AQ110" s="290"/>
      <c r="AR110" s="290"/>
      <c r="AS110" s="290"/>
      <c r="AT110" s="290"/>
      <c r="AU110" s="290"/>
      <c r="AV110" s="290"/>
      <c r="AW110" s="290"/>
      <c r="AX110" s="290"/>
      <c r="AY110" s="290"/>
      <c r="AZ110" s="290"/>
      <c r="BA110" s="290"/>
      <c r="BB110" s="290"/>
      <c r="BC110" s="290"/>
      <c r="BD110" s="290"/>
      <c r="BE110" s="290"/>
      <c r="BF110" s="290"/>
      <c r="BG110" s="290"/>
      <c r="BH110" s="290"/>
      <c r="BI110" s="290"/>
      <c r="BJ110" s="291"/>
      <c r="BL110" s="96"/>
      <c r="BS110" s="10"/>
      <c r="BT110" s="10"/>
      <c r="BU110" s="10"/>
      <c r="BV110" s="10"/>
      <c r="BW110" s="10"/>
      <c r="BX110" s="10"/>
      <c r="BY110" s="10"/>
      <c r="BZ110" s="10"/>
      <c r="CA110" s="10"/>
      <c r="CB110" s="10"/>
      <c r="CC110" s="10"/>
      <c r="CD110" s="10"/>
      <c r="CE110" s="10"/>
      <c r="CF110" s="10"/>
      <c r="CG110" s="10"/>
      <c r="CH110" s="10"/>
      <c r="CI110" s="10"/>
    </row>
    <row r="111" spans="1:87" s="9" customFormat="1" ht="48.6" customHeight="1">
      <c r="A111" s="282">
        <v>101</v>
      </c>
      <c r="B111" s="282"/>
      <c r="C111" s="282"/>
      <c r="D111" s="188" t="s">
        <v>268</v>
      </c>
      <c r="E111" s="189"/>
      <c r="F111" s="189"/>
      <c r="G111" s="189"/>
      <c r="H111" s="189"/>
      <c r="I111" s="189"/>
      <c r="J111" s="189"/>
      <c r="K111" s="189"/>
      <c r="L111" s="189"/>
      <c r="M111" s="189"/>
      <c r="N111" s="189"/>
      <c r="O111" s="189"/>
      <c r="P111" s="189"/>
      <c r="Q111" s="190"/>
      <c r="R111" s="283">
        <v>14</v>
      </c>
      <c r="S111" s="284"/>
      <c r="T111" s="285"/>
      <c r="U111" s="286" t="s">
        <v>207</v>
      </c>
      <c r="V111" s="287"/>
      <c r="W111" s="287"/>
      <c r="X111" s="287"/>
      <c r="Y111" s="287"/>
      <c r="Z111" s="287"/>
      <c r="AA111" s="287"/>
      <c r="AB111" s="287"/>
      <c r="AC111" s="287"/>
      <c r="AD111" s="288"/>
      <c r="AE111" s="289" t="s">
        <v>303</v>
      </c>
      <c r="AF111" s="290"/>
      <c r="AG111" s="290"/>
      <c r="AH111" s="290"/>
      <c r="AI111" s="290"/>
      <c r="AJ111" s="290"/>
      <c r="AK111" s="290"/>
      <c r="AL111" s="290"/>
      <c r="AM111" s="290"/>
      <c r="AN111" s="290"/>
      <c r="AO111" s="290"/>
      <c r="AP111" s="290"/>
      <c r="AQ111" s="290"/>
      <c r="AR111" s="290"/>
      <c r="AS111" s="290"/>
      <c r="AT111" s="290"/>
      <c r="AU111" s="290"/>
      <c r="AV111" s="290"/>
      <c r="AW111" s="290"/>
      <c r="AX111" s="290"/>
      <c r="AY111" s="290"/>
      <c r="AZ111" s="290"/>
      <c r="BA111" s="290"/>
      <c r="BB111" s="290"/>
      <c r="BC111" s="290"/>
      <c r="BD111" s="290"/>
      <c r="BE111" s="290"/>
      <c r="BF111" s="290"/>
      <c r="BG111" s="290"/>
      <c r="BH111" s="290"/>
      <c r="BI111" s="290"/>
      <c r="BJ111" s="291"/>
      <c r="BL111" s="96"/>
      <c r="BS111" s="10"/>
      <c r="BT111" s="10"/>
      <c r="BU111" s="10"/>
      <c r="BV111" s="10"/>
      <c r="BW111" s="10"/>
      <c r="BX111" s="10"/>
      <c r="BY111" s="10"/>
      <c r="BZ111" s="10"/>
      <c r="CA111" s="10"/>
      <c r="CB111" s="10"/>
      <c r="CC111" s="10"/>
      <c r="CD111" s="10"/>
      <c r="CE111" s="10"/>
      <c r="CF111" s="10"/>
      <c r="CG111" s="10"/>
      <c r="CH111" s="10"/>
      <c r="CI111" s="10"/>
    </row>
    <row r="112" spans="1:87" s="9" customFormat="1" ht="48.6" customHeight="1">
      <c r="A112" s="282">
        <v>102</v>
      </c>
      <c r="B112" s="282"/>
      <c r="C112" s="282"/>
      <c r="D112" s="188" t="s">
        <v>267</v>
      </c>
      <c r="E112" s="189"/>
      <c r="F112" s="189"/>
      <c r="G112" s="189"/>
      <c r="H112" s="189"/>
      <c r="I112" s="189"/>
      <c r="J112" s="189"/>
      <c r="K112" s="189"/>
      <c r="L112" s="189"/>
      <c r="M112" s="189"/>
      <c r="N112" s="189"/>
      <c r="O112" s="189"/>
      <c r="P112" s="189"/>
      <c r="Q112" s="190"/>
      <c r="R112" s="283">
        <v>14</v>
      </c>
      <c r="S112" s="284"/>
      <c r="T112" s="285"/>
      <c r="U112" s="286" t="s">
        <v>207</v>
      </c>
      <c r="V112" s="287"/>
      <c r="W112" s="287"/>
      <c r="X112" s="287"/>
      <c r="Y112" s="287"/>
      <c r="Z112" s="287"/>
      <c r="AA112" s="287"/>
      <c r="AB112" s="287"/>
      <c r="AC112" s="287"/>
      <c r="AD112" s="288"/>
      <c r="AE112" s="289" t="s">
        <v>304</v>
      </c>
      <c r="AF112" s="290"/>
      <c r="AG112" s="290"/>
      <c r="AH112" s="290"/>
      <c r="AI112" s="290"/>
      <c r="AJ112" s="290"/>
      <c r="AK112" s="290"/>
      <c r="AL112" s="290"/>
      <c r="AM112" s="290"/>
      <c r="AN112" s="290"/>
      <c r="AO112" s="290"/>
      <c r="AP112" s="290"/>
      <c r="AQ112" s="290"/>
      <c r="AR112" s="290"/>
      <c r="AS112" s="290"/>
      <c r="AT112" s="290"/>
      <c r="AU112" s="290"/>
      <c r="AV112" s="290"/>
      <c r="AW112" s="290"/>
      <c r="AX112" s="290"/>
      <c r="AY112" s="290"/>
      <c r="AZ112" s="290"/>
      <c r="BA112" s="290"/>
      <c r="BB112" s="290"/>
      <c r="BC112" s="290"/>
      <c r="BD112" s="290"/>
      <c r="BE112" s="290"/>
      <c r="BF112" s="290"/>
      <c r="BG112" s="290"/>
      <c r="BH112" s="290"/>
      <c r="BI112" s="290"/>
      <c r="BJ112" s="291"/>
      <c r="BL112" s="96"/>
      <c r="BS112" s="10"/>
      <c r="BT112" s="10"/>
      <c r="BU112" s="10"/>
      <c r="BV112" s="10"/>
      <c r="BW112" s="10"/>
      <c r="BX112" s="10"/>
      <c r="BY112" s="10"/>
      <c r="BZ112" s="10"/>
      <c r="CA112" s="10"/>
      <c r="CB112" s="10"/>
      <c r="CC112" s="10"/>
      <c r="CD112" s="10"/>
      <c r="CE112" s="10"/>
      <c r="CF112" s="10"/>
      <c r="CG112" s="10"/>
      <c r="CH112" s="10"/>
      <c r="CI112" s="10"/>
    </row>
    <row r="113" spans="1:87" s="9" customFormat="1" ht="40.5" customHeight="1">
      <c r="A113" s="282">
        <v>103</v>
      </c>
      <c r="B113" s="282"/>
      <c r="C113" s="282"/>
      <c r="D113" s="188" t="s">
        <v>264</v>
      </c>
      <c r="E113" s="189"/>
      <c r="F113" s="189"/>
      <c r="G113" s="189"/>
      <c r="H113" s="189"/>
      <c r="I113" s="189"/>
      <c r="J113" s="189"/>
      <c r="K113" s="189"/>
      <c r="L113" s="189"/>
      <c r="M113" s="189"/>
      <c r="N113" s="189"/>
      <c r="O113" s="189"/>
      <c r="P113" s="189"/>
      <c r="Q113" s="190"/>
      <c r="R113" s="283" t="s">
        <v>213</v>
      </c>
      <c r="S113" s="284"/>
      <c r="T113" s="285"/>
      <c r="U113" s="293" t="s">
        <v>208</v>
      </c>
      <c r="V113" s="287"/>
      <c r="W113" s="287"/>
      <c r="X113" s="287"/>
      <c r="Y113" s="287"/>
      <c r="Z113" s="287"/>
      <c r="AA113" s="287"/>
      <c r="AB113" s="287"/>
      <c r="AC113" s="287"/>
      <c r="AD113" s="288"/>
      <c r="AE113" s="289" t="s">
        <v>305</v>
      </c>
      <c r="AF113" s="290"/>
      <c r="AG113" s="290"/>
      <c r="AH113" s="290"/>
      <c r="AI113" s="290"/>
      <c r="AJ113" s="290"/>
      <c r="AK113" s="290"/>
      <c r="AL113" s="290"/>
      <c r="AM113" s="290"/>
      <c r="AN113" s="290"/>
      <c r="AO113" s="290"/>
      <c r="AP113" s="290"/>
      <c r="AQ113" s="290"/>
      <c r="AR113" s="290"/>
      <c r="AS113" s="290"/>
      <c r="AT113" s="290"/>
      <c r="AU113" s="290"/>
      <c r="AV113" s="290"/>
      <c r="AW113" s="290"/>
      <c r="AX113" s="290"/>
      <c r="AY113" s="290"/>
      <c r="AZ113" s="290"/>
      <c r="BA113" s="290"/>
      <c r="BB113" s="290"/>
      <c r="BC113" s="290"/>
      <c r="BD113" s="290"/>
      <c r="BE113" s="290"/>
      <c r="BF113" s="290"/>
      <c r="BG113" s="290"/>
      <c r="BH113" s="290"/>
      <c r="BI113" s="290"/>
      <c r="BJ113" s="291"/>
      <c r="BL113" s="96"/>
      <c r="BS113" s="10"/>
      <c r="BT113" s="10"/>
      <c r="BU113" s="10"/>
      <c r="BV113" s="10"/>
      <c r="BW113" s="10"/>
      <c r="BX113" s="10"/>
      <c r="BY113" s="10"/>
      <c r="BZ113" s="10"/>
      <c r="CA113" s="10"/>
      <c r="CB113" s="10"/>
      <c r="CC113" s="10"/>
      <c r="CD113" s="10"/>
      <c r="CE113" s="10"/>
      <c r="CF113" s="10"/>
      <c r="CG113" s="10"/>
      <c r="CH113" s="10"/>
      <c r="CI113" s="10"/>
    </row>
    <row r="114" spans="1:87" s="9" customFormat="1" ht="40.5" customHeight="1">
      <c r="A114" s="282">
        <v>104</v>
      </c>
      <c r="B114" s="282"/>
      <c r="C114" s="282"/>
      <c r="D114" s="188" t="s">
        <v>234</v>
      </c>
      <c r="E114" s="189"/>
      <c r="F114" s="189"/>
      <c r="G114" s="189"/>
      <c r="H114" s="189"/>
      <c r="I114" s="189"/>
      <c r="J114" s="189"/>
      <c r="K114" s="189"/>
      <c r="L114" s="189"/>
      <c r="M114" s="189"/>
      <c r="N114" s="189"/>
      <c r="O114" s="189"/>
      <c r="P114" s="189"/>
      <c r="Q114" s="190"/>
      <c r="R114" s="283">
        <v>14</v>
      </c>
      <c r="S114" s="284"/>
      <c r="T114" s="285"/>
      <c r="U114" s="286" t="s">
        <v>207</v>
      </c>
      <c r="V114" s="287"/>
      <c r="W114" s="287"/>
      <c r="X114" s="287"/>
      <c r="Y114" s="287"/>
      <c r="Z114" s="287"/>
      <c r="AA114" s="287"/>
      <c r="AB114" s="287"/>
      <c r="AC114" s="287"/>
      <c r="AD114" s="288"/>
      <c r="AE114" s="289" t="s">
        <v>306</v>
      </c>
      <c r="AF114" s="290"/>
      <c r="AG114" s="290"/>
      <c r="AH114" s="290"/>
      <c r="AI114" s="290"/>
      <c r="AJ114" s="290"/>
      <c r="AK114" s="290"/>
      <c r="AL114" s="290"/>
      <c r="AM114" s="290"/>
      <c r="AN114" s="290"/>
      <c r="AO114" s="290"/>
      <c r="AP114" s="290"/>
      <c r="AQ114" s="290"/>
      <c r="AR114" s="290"/>
      <c r="AS114" s="290"/>
      <c r="AT114" s="290"/>
      <c r="AU114" s="290"/>
      <c r="AV114" s="290"/>
      <c r="AW114" s="290"/>
      <c r="AX114" s="290"/>
      <c r="AY114" s="290"/>
      <c r="AZ114" s="290"/>
      <c r="BA114" s="290"/>
      <c r="BB114" s="290"/>
      <c r="BC114" s="290"/>
      <c r="BD114" s="290"/>
      <c r="BE114" s="290"/>
      <c r="BF114" s="290"/>
      <c r="BG114" s="290"/>
      <c r="BH114" s="290"/>
      <c r="BI114" s="290"/>
      <c r="BJ114" s="291"/>
      <c r="BL114" s="96"/>
      <c r="BS114" s="10"/>
      <c r="BT114" s="10"/>
      <c r="BU114" s="10"/>
      <c r="BV114" s="10"/>
      <c r="BW114" s="10"/>
      <c r="BX114" s="10"/>
      <c r="BY114" s="10"/>
      <c r="BZ114" s="10"/>
      <c r="CA114" s="10"/>
      <c r="CB114" s="10"/>
      <c r="CC114" s="10"/>
      <c r="CD114" s="10"/>
      <c r="CE114" s="10"/>
      <c r="CF114" s="10"/>
      <c r="CG114" s="10"/>
      <c r="CH114" s="10"/>
      <c r="CI114" s="10"/>
    </row>
    <row r="115" spans="1:87" s="9" customFormat="1" ht="40.5" customHeight="1">
      <c r="A115" s="282">
        <v>105</v>
      </c>
      <c r="B115" s="282"/>
      <c r="C115" s="282"/>
      <c r="D115" s="188" t="s">
        <v>236</v>
      </c>
      <c r="E115" s="189"/>
      <c r="F115" s="189"/>
      <c r="G115" s="189"/>
      <c r="H115" s="189"/>
      <c r="I115" s="189"/>
      <c r="J115" s="189"/>
      <c r="K115" s="189"/>
      <c r="L115" s="189"/>
      <c r="M115" s="189"/>
      <c r="N115" s="189"/>
      <c r="O115" s="189"/>
      <c r="P115" s="189"/>
      <c r="Q115" s="190"/>
      <c r="R115" s="283">
        <v>14</v>
      </c>
      <c r="S115" s="284"/>
      <c r="T115" s="285"/>
      <c r="U115" s="286" t="s">
        <v>207</v>
      </c>
      <c r="V115" s="287"/>
      <c r="W115" s="287"/>
      <c r="X115" s="287"/>
      <c r="Y115" s="287"/>
      <c r="Z115" s="287"/>
      <c r="AA115" s="287"/>
      <c r="AB115" s="287"/>
      <c r="AC115" s="287"/>
      <c r="AD115" s="288"/>
      <c r="AE115" s="289" t="s">
        <v>307</v>
      </c>
      <c r="AF115" s="290"/>
      <c r="AG115" s="290"/>
      <c r="AH115" s="290"/>
      <c r="AI115" s="290"/>
      <c r="AJ115" s="290"/>
      <c r="AK115" s="290"/>
      <c r="AL115" s="290"/>
      <c r="AM115" s="290"/>
      <c r="AN115" s="290"/>
      <c r="AO115" s="290"/>
      <c r="AP115" s="290"/>
      <c r="AQ115" s="290"/>
      <c r="AR115" s="290"/>
      <c r="AS115" s="290"/>
      <c r="AT115" s="290"/>
      <c r="AU115" s="290"/>
      <c r="AV115" s="290"/>
      <c r="AW115" s="290"/>
      <c r="AX115" s="290"/>
      <c r="AY115" s="290"/>
      <c r="AZ115" s="290"/>
      <c r="BA115" s="290"/>
      <c r="BB115" s="290"/>
      <c r="BC115" s="290"/>
      <c r="BD115" s="290"/>
      <c r="BE115" s="290"/>
      <c r="BF115" s="290"/>
      <c r="BG115" s="290"/>
      <c r="BH115" s="290"/>
      <c r="BI115" s="290"/>
      <c r="BJ115" s="291"/>
      <c r="BL115" s="96"/>
      <c r="BS115" s="10"/>
      <c r="BT115" s="10"/>
      <c r="BU115" s="10"/>
      <c r="BV115" s="10"/>
      <c r="BW115" s="10"/>
      <c r="BX115" s="10"/>
      <c r="BY115" s="10"/>
      <c r="BZ115" s="10"/>
      <c r="CA115" s="10"/>
      <c r="CB115" s="10"/>
      <c r="CC115" s="10"/>
      <c r="CD115" s="10"/>
      <c r="CE115" s="10"/>
      <c r="CF115" s="10"/>
      <c r="CG115" s="10"/>
      <c r="CH115" s="10"/>
      <c r="CI115" s="10"/>
    </row>
    <row r="116" spans="1:87" s="9" customFormat="1" ht="40.5" customHeight="1">
      <c r="A116" s="282">
        <v>106</v>
      </c>
      <c r="B116" s="282"/>
      <c r="C116" s="282"/>
      <c r="D116" s="188" t="s">
        <v>238</v>
      </c>
      <c r="E116" s="189"/>
      <c r="F116" s="189"/>
      <c r="G116" s="189"/>
      <c r="H116" s="189"/>
      <c r="I116" s="189"/>
      <c r="J116" s="189"/>
      <c r="K116" s="189"/>
      <c r="L116" s="189"/>
      <c r="M116" s="189"/>
      <c r="N116" s="189"/>
      <c r="O116" s="189"/>
      <c r="P116" s="189"/>
      <c r="Q116" s="190"/>
      <c r="R116" s="283">
        <v>14</v>
      </c>
      <c r="S116" s="284"/>
      <c r="T116" s="285"/>
      <c r="U116" s="286" t="s">
        <v>207</v>
      </c>
      <c r="V116" s="287"/>
      <c r="W116" s="287"/>
      <c r="X116" s="287"/>
      <c r="Y116" s="287"/>
      <c r="Z116" s="287"/>
      <c r="AA116" s="287"/>
      <c r="AB116" s="287"/>
      <c r="AC116" s="287"/>
      <c r="AD116" s="288"/>
      <c r="AE116" s="289" t="s">
        <v>308</v>
      </c>
      <c r="AF116" s="290"/>
      <c r="AG116" s="290"/>
      <c r="AH116" s="290"/>
      <c r="AI116" s="290"/>
      <c r="AJ116" s="290"/>
      <c r="AK116" s="290"/>
      <c r="AL116" s="290"/>
      <c r="AM116" s="290"/>
      <c r="AN116" s="290"/>
      <c r="AO116" s="290"/>
      <c r="AP116" s="290"/>
      <c r="AQ116" s="290"/>
      <c r="AR116" s="290"/>
      <c r="AS116" s="290"/>
      <c r="AT116" s="290"/>
      <c r="AU116" s="290"/>
      <c r="AV116" s="290"/>
      <c r="AW116" s="290"/>
      <c r="AX116" s="290"/>
      <c r="AY116" s="290"/>
      <c r="AZ116" s="290"/>
      <c r="BA116" s="290"/>
      <c r="BB116" s="290"/>
      <c r="BC116" s="290"/>
      <c r="BD116" s="290"/>
      <c r="BE116" s="290"/>
      <c r="BF116" s="290"/>
      <c r="BG116" s="290"/>
      <c r="BH116" s="290"/>
      <c r="BI116" s="290"/>
      <c r="BJ116" s="291"/>
      <c r="BL116" s="96"/>
      <c r="BS116" s="10"/>
      <c r="BT116" s="10"/>
      <c r="BU116" s="10"/>
      <c r="BV116" s="10"/>
      <c r="BW116" s="10"/>
      <c r="BX116" s="10"/>
      <c r="BY116" s="10"/>
      <c r="BZ116" s="10"/>
      <c r="CA116" s="10"/>
      <c r="CB116" s="10"/>
      <c r="CC116" s="10"/>
      <c r="CD116" s="10"/>
      <c r="CE116" s="10"/>
      <c r="CF116" s="10"/>
      <c r="CG116" s="10"/>
      <c r="CH116" s="10"/>
      <c r="CI116" s="10"/>
    </row>
    <row r="117" spans="1:87" s="9" customFormat="1" ht="40.5" customHeight="1">
      <c r="A117" s="282">
        <v>107</v>
      </c>
      <c r="B117" s="282"/>
      <c r="C117" s="282"/>
      <c r="D117" s="188" t="s">
        <v>240</v>
      </c>
      <c r="E117" s="189"/>
      <c r="F117" s="189"/>
      <c r="G117" s="189"/>
      <c r="H117" s="189"/>
      <c r="I117" s="189"/>
      <c r="J117" s="189"/>
      <c r="K117" s="189"/>
      <c r="L117" s="189"/>
      <c r="M117" s="189"/>
      <c r="N117" s="189"/>
      <c r="O117" s="189"/>
      <c r="P117" s="189"/>
      <c r="Q117" s="190"/>
      <c r="R117" s="283">
        <v>14</v>
      </c>
      <c r="S117" s="284"/>
      <c r="T117" s="285"/>
      <c r="U117" s="286" t="s">
        <v>207</v>
      </c>
      <c r="V117" s="287"/>
      <c r="W117" s="287"/>
      <c r="X117" s="287"/>
      <c r="Y117" s="287"/>
      <c r="Z117" s="287"/>
      <c r="AA117" s="287"/>
      <c r="AB117" s="287"/>
      <c r="AC117" s="287"/>
      <c r="AD117" s="288"/>
      <c r="AE117" s="289" t="s">
        <v>309</v>
      </c>
      <c r="AF117" s="290"/>
      <c r="AG117" s="290"/>
      <c r="AH117" s="290"/>
      <c r="AI117" s="290"/>
      <c r="AJ117" s="290"/>
      <c r="AK117" s="290"/>
      <c r="AL117" s="290"/>
      <c r="AM117" s="290"/>
      <c r="AN117" s="290"/>
      <c r="AO117" s="290"/>
      <c r="AP117" s="290"/>
      <c r="AQ117" s="290"/>
      <c r="AR117" s="290"/>
      <c r="AS117" s="290"/>
      <c r="AT117" s="290"/>
      <c r="AU117" s="290"/>
      <c r="AV117" s="290"/>
      <c r="AW117" s="290"/>
      <c r="AX117" s="290"/>
      <c r="AY117" s="290"/>
      <c r="AZ117" s="290"/>
      <c r="BA117" s="290"/>
      <c r="BB117" s="290"/>
      <c r="BC117" s="290"/>
      <c r="BD117" s="290"/>
      <c r="BE117" s="290"/>
      <c r="BF117" s="290"/>
      <c r="BG117" s="290"/>
      <c r="BH117" s="290"/>
      <c r="BI117" s="290"/>
      <c r="BJ117" s="291"/>
      <c r="BL117" s="96"/>
      <c r="BS117" s="10"/>
      <c r="BT117" s="10"/>
      <c r="BU117" s="10"/>
      <c r="BV117" s="10"/>
      <c r="BW117" s="10"/>
      <c r="BX117" s="10"/>
      <c r="BY117" s="10"/>
      <c r="BZ117" s="10"/>
      <c r="CA117" s="10"/>
      <c r="CB117" s="10"/>
      <c r="CC117" s="10"/>
      <c r="CD117" s="10"/>
      <c r="CE117" s="10"/>
      <c r="CF117" s="10"/>
      <c r="CG117" s="10"/>
      <c r="CH117" s="10"/>
      <c r="CI117" s="10"/>
    </row>
    <row r="118" spans="1:87" s="9" customFormat="1" ht="48.6" customHeight="1">
      <c r="A118" s="282">
        <v>108</v>
      </c>
      <c r="B118" s="282"/>
      <c r="C118" s="282"/>
      <c r="D118" s="188" t="s">
        <v>262</v>
      </c>
      <c r="E118" s="189"/>
      <c r="F118" s="189"/>
      <c r="G118" s="189"/>
      <c r="H118" s="189"/>
      <c r="I118" s="189"/>
      <c r="J118" s="189"/>
      <c r="K118" s="189"/>
      <c r="L118" s="189"/>
      <c r="M118" s="189"/>
      <c r="N118" s="189"/>
      <c r="O118" s="189"/>
      <c r="P118" s="189"/>
      <c r="Q118" s="190"/>
      <c r="R118" s="283">
        <v>14</v>
      </c>
      <c r="S118" s="284"/>
      <c r="T118" s="285"/>
      <c r="U118" s="286" t="s">
        <v>207</v>
      </c>
      <c r="V118" s="287"/>
      <c r="W118" s="287"/>
      <c r="X118" s="287"/>
      <c r="Y118" s="287"/>
      <c r="Z118" s="287"/>
      <c r="AA118" s="287"/>
      <c r="AB118" s="287"/>
      <c r="AC118" s="287"/>
      <c r="AD118" s="288"/>
      <c r="AE118" s="289" t="s">
        <v>310</v>
      </c>
      <c r="AF118" s="290"/>
      <c r="AG118" s="290"/>
      <c r="AH118" s="290"/>
      <c r="AI118" s="290"/>
      <c r="AJ118" s="290"/>
      <c r="AK118" s="290"/>
      <c r="AL118" s="290"/>
      <c r="AM118" s="290"/>
      <c r="AN118" s="290"/>
      <c r="AO118" s="290"/>
      <c r="AP118" s="290"/>
      <c r="AQ118" s="290"/>
      <c r="AR118" s="290"/>
      <c r="AS118" s="290"/>
      <c r="AT118" s="290"/>
      <c r="AU118" s="290"/>
      <c r="AV118" s="290"/>
      <c r="AW118" s="290"/>
      <c r="AX118" s="290"/>
      <c r="AY118" s="290"/>
      <c r="AZ118" s="290"/>
      <c r="BA118" s="290"/>
      <c r="BB118" s="290"/>
      <c r="BC118" s="290"/>
      <c r="BD118" s="290"/>
      <c r="BE118" s="290"/>
      <c r="BF118" s="290"/>
      <c r="BG118" s="290"/>
      <c r="BH118" s="290"/>
      <c r="BI118" s="290"/>
      <c r="BJ118" s="291"/>
      <c r="BL118" s="96"/>
      <c r="BS118" s="10"/>
      <c r="BT118" s="10"/>
      <c r="BU118" s="10"/>
      <c r="BV118" s="10"/>
      <c r="BW118" s="10"/>
      <c r="BX118" s="10"/>
      <c r="BY118" s="10"/>
      <c r="BZ118" s="10"/>
      <c r="CA118" s="10"/>
      <c r="CB118" s="10"/>
      <c r="CC118" s="10"/>
      <c r="CD118" s="10"/>
      <c r="CE118" s="10"/>
      <c r="CF118" s="10"/>
      <c r="CG118" s="10"/>
      <c r="CH118" s="10"/>
      <c r="CI118" s="10"/>
    </row>
    <row r="119" spans="1:87" s="9" customFormat="1" ht="48.6" customHeight="1">
      <c r="A119" s="282">
        <v>109</v>
      </c>
      <c r="B119" s="282"/>
      <c r="C119" s="282"/>
      <c r="D119" s="188" t="s">
        <v>261</v>
      </c>
      <c r="E119" s="189"/>
      <c r="F119" s="189"/>
      <c r="G119" s="189"/>
      <c r="H119" s="189"/>
      <c r="I119" s="189"/>
      <c r="J119" s="189"/>
      <c r="K119" s="189"/>
      <c r="L119" s="189"/>
      <c r="M119" s="189"/>
      <c r="N119" s="189"/>
      <c r="O119" s="189"/>
      <c r="P119" s="189"/>
      <c r="Q119" s="190"/>
      <c r="R119" s="283">
        <v>14</v>
      </c>
      <c r="S119" s="284"/>
      <c r="T119" s="285"/>
      <c r="U119" s="286" t="s">
        <v>207</v>
      </c>
      <c r="V119" s="287"/>
      <c r="W119" s="287"/>
      <c r="X119" s="287"/>
      <c r="Y119" s="287"/>
      <c r="Z119" s="287"/>
      <c r="AA119" s="287"/>
      <c r="AB119" s="287"/>
      <c r="AC119" s="287"/>
      <c r="AD119" s="288"/>
      <c r="AE119" s="289" t="s">
        <v>311</v>
      </c>
      <c r="AF119" s="290"/>
      <c r="AG119" s="290"/>
      <c r="AH119" s="290"/>
      <c r="AI119" s="290"/>
      <c r="AJ119" s="290"/>
      <c r="AK119" s="290"/>
      <c r="AL119" s="290"/>
      <c r="AM119" s="290"/>
      <c r="AN119" s="290"/>
      <c r="AO119" s="290"/>
      <c r="AP119" s="290"/>
      <c r="AQ119" s="290"/>
      <c r="AR119" s="290"/>
      <c r="AS119" s="290"/>
      <c r="AT119" s="290"/>
      <c r="AU119" s="290"/>
      <c r="AV119" s="290"/>
      <c r="AW119" s="290"/>
      <c r="AX119" s="290"/>
      <c r="AY119" s="290"/>
      <c r="AZ119" s="290"/>
      <c r="BA119" s="290"/>
      <c r="BB119" s="290"/>
      <c r="BC119" s="290"/>
      <c r="BD119" s="290"/>
      <c r="BE119" s="290"/>
      <c r="BF119" s="290"/>
      <c r="BG119" s="290"/>
      <c r="BH119" s="290"/>
      <c r="BI119" s="290"/>
      <c r="BJ119" s="291"/>
      <c r="BL119" s="96"/>
      <c r="BS119" s="10"/>
      <c r="BT119" s="10"/>
      <c r="BU119" s="10"/>
      <c r="BV119" s="10"/>
      <c r="BW119" s="10"/>
      <c r="BX119" s="10"/>
      <c r="BY119" s="10"/>
      <c r="BZ119" s="10"/>
      <c r="CA119" s="10"/>
      <c r="CB119" s="10"/>
      <c r="CC119" s="10"/>
      <c r="CD119" s="10"/>
      <c r="CE119" s="10"/>
      <c r="CF119" s="10"/>
      <c r="CG119" s="10"/>
      <c r="CH119" s="10"/>
      <c r="CI119" s="10"/>
    </row>
    <row r="120" spans="1:87" s="9" customFormat="1" ht="48.6" customHeight="1">
      <c r="A120" s="282">
        <v>110</v>
      </c>
      <c r="B120" s="282"/>
      <c r="C120" s="282"/>
      <c r="D120" s="188" t="s">
        <v>262</v>
      </c>
      <c r="E120" s="189"/>
      <c r="F120" s="189"/>
      <c r="G120" s="189"/>
      <c r="H120" s="189"/>
      <c r="I120" s="189"/>
      <c r="J120" s="189"/>
      <c r="K120" s="189"/>
      <c r="L120" s="189"/>
      <c r="M120" s="189"/>
      <c r="N120" s="189"/>
      <c r="O120" s="189"/>
      <c r="P120" s="189"/>
      <c r="Q120" s="190"/>
      <c r="R120" s="283">
        <v>14</v>
      </c>
      <c r="S120" s="284"/>
      <c r="T120" s="285"/>
      <c r="U120" s="286" t="s">
        <v>207</v>
      </c>
      <c r="V120" s="287"/>
      <c r="W120" s="287"/>
      <c r="X120" s="287"/>
      <c r="Y120" s="287"/>
      <c r="Z120" s="287"/>
      <c r="AA120" s="287"/>
      <c r="AB120" s="287"/>
      <c r="AC120" s="287"/>
      <c r="AD120" s="288"/>
      <c r="AE120" s="289" t="s">
        <v>310</v>
      </c>
      <c r="AF120" s="290"/>
      <c r="AG120" s="290"/>
      <c r="AH120" s="290"/>
      <c r="AI120" s="290"/>
      <c r="AJ120" s="290"/>
      <c r="AK120" s="290"/>
      <c r="AL120" s="290"/>
      <c r="AM120" s="290"/>
      <c r="AN120" s="290"/>
      <c r="AO120" s="290"/>
      <c r="AP120" s="290"/>
      <c r="AQ120" s="290"/>
      <c r="AR120" s="290"/>
      <c r="AS120" s="290"/>
      <c r="AT120" s="290"/>
      <c r="AU120" s="290"/>
      <c r="AV120" s="290"/>
      <c r="AW120" s="290"/>
      <c r="AX120" s="290"/>
      <c r="AY120" s="290"/>
      <c r="AZ120" s="290"/>
      <c r="BA120" s="290"/>
      <c r="BB120" s="290"/>
      <c r="BC120" s="290"/>
      <c r="BD120" s="290"/>
      <c r="BE120" s="290"/>
      <c r="BF120" s="290"/>
      <c r="BG120" s="290"/>
      <c r="BH120" s="290"/>
      <c r="BI120" s="290"/>
      <c r="BJ120" s="291"/>
      <c r="BL120" s="96"/>
      <c r="BS120" s="10"/>
      <c r="BT120" s="10"/>
      <c r="BU120" s="10"/>
      <c r="BV120" s="10"/>
      <c r="BW120" s="10"/>
      <c r="BX120" s="10"/>
      <c r="BY120" s="10"/>
      <c r="BZ120" s="10"/>
      <c r="CA120" s="10"/>
      <c r="CB120" s="10"/>
      <c r="CC120" s="10"/>
      <c r="CD120" s="10"/>
      <c r="CE120" s="10"/>
      <c r="CF120" s="10"/>
      <c r="CG120" s="10"/>
      <c r="CH120" s="10"/>
      <c r="CI120" s="10"/>
    </row>
    <row r="121" spans="1:87" s="9" customFormat="1" ht="48.6" customHeight="1">
      <c r="A121" s="282">
        <v>111</v>
      </c>
      <c r="B121" s="282"/>
      <c r="C121" s="282"/>
      <c r="D121" s="188" t="s">
        <v>261</v>
      </c>
      <c r="E121" s="189"/>
      <c r="F121" s="189"/>
      <c r="G121" s="189"/>
      <c r="H121" s="189"/>
      <c r="I121" s="189"/>
      <c r="J121" s="189"/>
      <c r="K121" s="189"/>
      <c r="L121" s="189"/>
      <c r="M121" s="189"/>
      <c r="N121" s="189"/>
      <c r="O121" s="189"/>
      <c r="P121" s="189"/>
      <c r="Q121" s="190"/>
      <c r="R121" s="283">
        <v>14</v>
      </c>
      <c r="S121" s="284"/>
      <c r="T121" s="285"/>
      <c r="U121" s="286" t="s">
        <v>207</v>
      </c>
      <c r="V121" s="287"/>
      <c r="W121" s="287"/>
      <c r="X121" s="287"/>
      <c r="Y121" s="287"/>
      <c r="Z121" s="287"/>
      <c r="AA121" s="287"/>
      <c r="AB121" s="287"/>
      <c r="AC121" s="287"/>
      <c r="AD121" s="288"/>
      <c r="AE121" s="289" t="s">
        <v>311</v>
      </c>
      <c r="AF121" s="290"/>
      <c r="AG121" s="290"/>
      <c r="AH121" s="290"/>
      <c r="AI121" s="290"/>
      <c r="AJ121" s="290"/>
      <c r="AK121" s="290"/>
      <c r="AL121" s="290"/>
      <c r="AM121" s="290"/>
      <c r="AN121" s="290"/>
      <c r="AO121" s="290"/>
      <c r="AP121" s="290"/>
      <c r="AQ121" s="290"/>
      <c r="AR121" s="290"/>
      <c r="AS121" s="290"/>
      <c r="AT121" s="290"/>
      <c r="AU121" s="290"/>
      <c r="AV121" s="290"/>
      <c r="AW121" s="290"/>
      <c r="AX121" s="290"/>
      <c r="AY121" s="290"/>
      <c r="AZ121" s="290"/>
      <c r="BA121" s="290"/>
      <c r="BB121" s="290"/>
      <c r="BC121" s="290"/>
      <c r="BD121" s="290"/>
      <c r="BE121" s="290"/>
      <c r="BF121" s="290"/>
      <c r="BG121" s="290"/>
      <c r="BH121" s="290"/>
      <c r="BI121" s="290"/>
      <c r="BJ121" s="291"/>
      <c r="BL121" s="96"/>
      <c r="BS121" s="10"/>
      <c r="BT121" s="10"/>
      <c r="BU121" s="10"/>
      <c r="BV121" s="10"/>
      <c r="BW121" s="10"/>
      <c r="BX121" s="10"/>
      <c r="BY121" s="10"/>
      <c r="BZ121" s="10"/>
      <c r="CA121" s="10"/>
      <c r="CB121" s="10"/>
      <c r="CC121" s="10"/>
      <c r="CD121" s="10"/>
      <c r="CE121" s="10"/>
      <c r="CF121" s="10"/>
      <c r="CG121" s="10"/>
      <c r="CH121" s="10"/>
      <c r="CI121" s="10"/>
    </row>
    <row r="122" spans="1:87" s="9" customFormat="1" ht="40.5" customHeight="1">
      <c r="A122" s="282">
        <v>112</v>
      </c>
      <c r="B122" s="282"/>
      <c r="C122" s="282"/>
      <c r="D122" s="188" t="s">
        <v>246</v>
      </c>
      <c r="E122" s="189"/>
      <c r="F122" s="189"/>
      <c r="G122" s="189"/>
      <c r="H122" s="189"/>
      <c r="I122" s="189"/>
      <c r="J122" s="189"/>
      <c r="K122" s="189"/>
      <c r="L122" s="189"/>
      <c r="M122" s="189"/>
      <c r="N122" s="189"/>
      <c r="O122" s="189"/>
      <c r="P122" s="189"/>
      <c r="Q122" s="190"/>
      <c r="R122" s="283" t="s">
        <v>213</v>
      </c>
      <c r="S122" s="284"/>
      <c r="T122" s="285"/>
      <c r="U122" s="293" t="s">
        <v>208</v>
      </c>
      <c r="V122" s="287"/>
      <c r="W122" s="287"/>
      <c r="X122" s="287"/>
      <c r="Y122" s="287"/>
      <c r="Z122" s="287"/>
      <c r="AA122" s="287"/>
      <c r="AB122" s="287"/>
      <c r="AC122" s="287"/>
      <c r="AD122" s="288"/>
      <c r="AE122" s="289" t="s">
        <v>312</v>
      </c>
      <c r="AF122" s="290"/>
      <c r="AG122" s="290"/>
      <c r="AH122" s="290"/>
      <c r="AI122" s="290"/>
      <c r="AJ122" s="290"/>
      <c r="AK122" s="290"/>
      <c r="AL122" s="290"/>
      <c r="AM122" s="290"/>
      <c r="AN122" s="290"/>
      <c r="AO122" s="290"/>
      <c r="AP122" s="290"/>
      <c r="AQ122" s="290"/>
      <c r="AR122" s="290"/>
      <c r="AS122" s="290"/>
      <c r="AT122" s="290"/>
      <c r="AU122" s="290"/>
      <c r="AV122" s="290"/>
      <c r="AW122" s="290"/>
      <c r="AX122" s="290"/>
      <c r="AY122" s="290"/>
      <c r="AZ122" s="290"/>
      <c r="BA122" s="290"/>
      <c r="BB122" s="290"/>
      <c r="BC122" s="290"/>
      <c r="BD122" s="290"/>
      <c r="BE122" s="290"/>
      <c r="BF122" s="290"/>
      <c r="BG122" s="290"/>
      <c r="BH122" s="290"/>
      <c r="BI122" s="290"/>
      <c r="BJ122" s="291"/>
      <c r="BL122" s="96"/>
      <c r="BS122" s="10"/>
      <c r="BT122" s="10"/>
      <c r="BU122" s="10"/>
      <c r="BV122" s="10"/>
      <c r="BW122" s="10"/>
      <c r="BX122" s="10"/>
      <c r="BY122" s="10"/>
      <c r="BZ122" s="10"/>
      <c r="CA122" s="10"/>
      <c r="CB122" s="10"/>
      <c r="CC122" s="10"/>
      <c r="CD122" s="10"/>
      <c r="CE122" s="10"/>
      <c r="CF122" s="10"/>
      <c r="CG122" s="10"/>
      <c r="CH122" s="10"/>
      <c r="CI122" s="10"/>
    </row>
    <row r="123" spans="1:87" s="9" customFormat="1" ht="40.5" customHeight="1">
      <c r="A123" s="282">
        <v>113</v>
      </c>
      <c r="B123" s="282"/>
      <c r="C123" s="282"/>
      <c r="D123" s="188" t="s">
        <v>247</v>
      </c>
      <c r="E123" s="189"/>
      <c r="F123" s="189"/>
      <c r="G123" s="189"/>
      <c r="H123" s="189"/>
      <c r="I123" s="189"/>
      <c r="J123" s="189"/>
      <c r="K123" s="189"/>
      <c r="L123" s="189"/>
      <c r="M123" s="189"/>
      <c r="N123" s="189"/>
      <c r="O123" s="189"/>
      <c r="P123" s="189"/>
      <c r="Q123" s="190"/>
      <c r="R123" s="283">
        <v>14</v>
      </c>
      <c r="S123" s="284"/>
      <c r="T123" s="285"/>
      <c r="U123" s="286" t="s">
        <v>207</v>
      </c>
      <c r="V123" s="287"/>
      <c r="W123" s="287"/>
      <c r="X123" s="287"/>
      <c r="Y123" s="287"/>
      <c r="Z123" s="287"/>
      <c r="AA123" s="287"/>
      <c r="AB123" s="287"/>
      <c r="AC123" s="287"/>
      <c r="AD123" s="288"/>
      <c r="AE123" s="289" t="s">
        <v>313</v>
      </c>
      <c r="AF123" s="290"/>
      <c r="AG123" s="290"/>
      <c r="AH123" s="290"/>
      <c r="AI123" s="290"/>
      <c r="AJ123" s="290"/>
      <c r="AK123" s="290"/>
      <c r="AL123" s="290"/>
      <c r="AM123" s="290"/>
      <c r="AN123" s="290"/>
      <c r="AO123" s="290"/>
      <c r="AP123" s="290"/>
      <c r="AQ123" s="290"/>
      <c r="AR123" s="290"/>
      <c r="AS123" s="290"/>
      <c r="AT123" s="290"/>
      <c r="AU123" s="290"/>
      <c r="AV123" s="290"/>
      <c r="AW123" s="290"/>
      <c r="AX123" s="290"/>
      <c r="AY123" s="290"/>
      <c r="AZ123" s="290"/>
      <c r="BA123" s="290"/>
      <c r="BB123" s="290"/>
      <c r="BC123" s="290"/>
      <c r="BD123" s="290"/>
      <c r="BE123" s="290"/>
      <c r="BF123" s="290"/>
      <c r="BG123" s="290"/>
      <c r="BH123" s="290"/>
      <c r="BI123" s="290"/>
      <c r="BJ123" s="291"/>
      <c r="BL123" s="96"/>
      <c r="BS123" s="10"/>
      <c r="BT123" s="10"/>
      <c r="BU123" s="10"/>
      <c r="BV123" s="10"/>
      <c r="BW123" s="10"/>
      <c r="BX123" s="10"/>
      <c r="BY123" s="10"/>
      <c r="BZ123" s="10"/>
      <c r="CA123" s="10"/>
      <c r="CB123" s="10"/>
      <c r="CC123" s="10"/>
      <c r="CD123" s="10"/>
      <c r="CE123" s="10"/>
      <c r="CF123" s="10"/>
      <c r="CG123" s="10"/>
      <c r="CH123" s="10"/>
      <c r="CI123" s="10"/>
    </row>
    <row r="124" spans="1:87" s="9" customFormat="1" ht="40.5" customHeight="1">
      <c r="A124" s="282">
        <v>114</v>
      </c>
      <c r="B124" s="282"/>
      <c r="C124" s="282"/>
      <c r="D124" s="188" t="s">
        <v>249</v>
      </c>
      <c r="E124" s="189"/>
      <c r="F124" s="189"/>
      <c r="G124" s="189"/>
      <c r="H124" s="189"/>
      <c r="I124" s="189"/>
      <c r="J124" s="189"/>
      <c r="K124" s="189"/>
      <c r="L124" s="189"/>
      <c r="M124" s="189"/>
      <c r="N124" s="189"/>
      <c r="O124" s="189"/>
      <c r="P124" s="189"/>
      <c r="Q124" s="190"/>
      <c r="R124" s="283">
        <v>14</v>
      </c>
      <c r="S124" s="284"/>
      <c r="T124" s="285"/>
      <c r="U124" s="286" t="s">
        <v>207</v>
      </c>
      <c r="V124" s="287"/>
      <c r="W124" s="287"/>
      <c r="X124" s="287"/>
      <c r="Y124" s="287"/>
      <c r="Z124" s="287"/>
      <c r="AA124" s="287"/>
      <c r="AB124" s="287"/>
      <c r="AC124" s="287"/>
      <c r="AD124" s="288"/>
      <c r="AE124" s="289" t="s">
        <v>314</v>
      </c>
      <c r="AF124" s="290"/>
      <c r="AG124" s="290"/>
      <c r="AH124" s="290"/>
      <c r="AI124" s="290"/>
      <c r="AJ124" s="290"/>
      <c r="AK124" s="290"/>
      <c r="AL124" s="290"/>
      <c r="AM124" s="290"/>
      <c r="AN124" s="290"/>
      <c r="AO124" s="290"/>
      <c r="AP124" s="290"/>
      <c r="AQ124" s="290"/>
      <c r="AR124" s="290"/>
      <c r="AS124" s="290"/>
      <c r="AT124" s="290"/>
      <c r="AU124" s="290"/>
      <c r="AV124" s="290"/>
      <c r="AW124" s="290"/>
      <c r="AX124" s="290"/>
      <c r="AY124" s="290"/>
      <c r="AZ124" s="290"/>
      <c r="BA124" s="290"/>
      <c r="BB124" s="290"/>
      <c r="BC124" s="290"/>
      <c r="BD124" s="290"/>
      <c r="BE124" s="290"/>
      <c r="BF124" s="290"/>
      <c r="BG124" s="290"/>
      <c r="BH124" s="290"/>
      <c r="BI124" s="290"/>
      <c r="BJ124" s="291"/>
      <c r="BL124" s="96"/>
      <c r="BS124" s="10"/>
      <c r="BT124" s="10"/>
      <c r="BU124" s="10"/>
      <c r="BV124" s="10"/>
      <c r="BW124" s="10"/>
      <c r="BX124" s="10"/>
      <c r="BY124" s="10"/>
      <c r="BZ124" s="10"/>
      <c r="CA124" s="10"/>
      <c r="CB124" s="10"/>
      <c r="CC124" s="10"/>
      <c r="CD124" s="10"/>
      <c r="CE124" s="10"/>
      <c r="CF124" s="10"/>
      <c r="CG124" s="10"/>
      <c r="CH124" s="10"/>
      <c r="CI124" s="10"/>
    </row>
    <row r="125" spans="1:87" s="9" customFormat="1" ht="40.5" customHeight="1">
      <c r="A125" s="282">
        <v>115</v>
      </c>
      <c r="B125" s="282"/>
      <c r="C125" s="282"/>
      <c r="D125" s="188" t="s">
        <v>251</v>
      </c>
      <c r="E125" s="189"/>
      <c r="F125" s="189"/>
      <c r="G125" s="189"/>
      <c r="H125" s="189"/>
      <c r="I125" s="189"/>
      <c r="J125" s="189"/>
      <c r="K125" s="189"/>
      <c r="L125" s="189"/>
      <c r="M125" s="189"/>
      <c r="N125" s="189"/>
      <c r="O125" s="189"/>
      <c r="P125" s="189"/>
      <c r="Q125" s="190"/>
      <c r="R125" s="283">
        <v>14</v>
      </c>
      <c r="S125" s="284"/>
      <c r="T125" s="285"/>
      <c r="U125" s="286" t="s">
        <v>207</v>
      </c>
      <c r="V125" s="287"/>
      <c r="W125" s="287"/>
      <c r="X125" s="287"/>
      <c r="Y125" s="287"/>
      <c r="Z125" s="287"/>
      <c r="AA125" s="287"/>
      <c r="AB125" s="287"/>
      <c r="AC125" s="287"/>
      <c r="AD125" s="288"/>
      <c r="AE125" s="289" t="s">
        <v>315</v>
      </c>
      <c r="AF125" s="290"/>
      <c r="AG125" s="290"/>
      <c r="AH125" s="290"/>
      <c r="AI125" s="290"/>
      <c r="AJ125" s="290"/>
      <c r="AK125" s="290"/>
      <c r="AL125" s="290"/>
      <c r="AM125" s="290"/>
      <c r="AN125" s="290"/>
      <c r="AO125" s="290"/>
      <c r="AP125" s="290"/>
      <c r="AQ125" s="290"/>
      <c r="AR125" s="290"/>
      <c r="AS125" s="290"/>
      <c r="AT125" s="290"/>
      <c r="AU125" s="290"/>
      <c r="AV125" s="290"/>
      <c r="AW125" s="290"/>
      <c r="AX125" s="290"/>
      <c r="AY125" s="290"/>
      <c r="AZ125" s="290"/>
      <c r="BA125" s="290"/>
      <c r="BB125" s="290"/>
      <c r="BC125" s="290"/>
      <c r="BD125" s="290"/>
      <c r="BE125" s="290"/>
      <c r="BF125" s="290"/>
      <c r="BG125" s="290"/>
      <c r="BH125" s="290"/>
      <c r="BI125" s="290"/>
      <c r="BJ125" s="291"/>
      <c r="BL125" s="96"/>
      <c r="BS125" s="10"/>
      <c r="BT125" s="10"/>
      <c r="BU125" s="10"/>
      <c r="BV125" s="10"/>
      <c r="BW125" s="10"/>
      <c r="BX125" s="10"/>
      <c r="BY125" s="10"/>
      <c r="BZ125" s="10"/>
      <c r="CA125" s="10"/>
      <c r="CB125" s="10"/>
      <c r="CC125" s="10"/>
      <c r="CD125" s="10"/>
      <c r="CE125" s="10"/>
      <c r="CF125" s="10"/>
      <c r="CG125" s="10"/>
      <c r="CH125" s="10"/>
      <c r="CI125" s="10"/>
    </row>
    <row r="126" spans="1:87" s="9" customFormat="1" ht="40.5" customHeight="1">
      <c r="A126" s="282">
        <v>116</v>
      </c>
      <c r="B126" s="282"/>
      <c r="C126" s="282"/>
      <c r="D126" s="188" t="s">
        <v>253</v>
      </c>
      <c r="E126" s="189"/>
      <c r="F126" s="189"/>
      <c r="G126" s="189"/>
      <c r="H126" s="189"/>
      <c r="I126" s="189"/>
      <c r="J126" s="189"/>
      <c r="K126" s="189"/>
      <c r="L126" s="189"/>
      <c r="M126" s="189"/>
      <c r="N126" s="189"/>
      <c r="O126" s="189"/>
      <c r="P126" s="189"/>
      <c r="Q126" s="190"/>
      <c r="R126" s="283">
        <v>14</v>
      </c>
      <c r="S126" s="284"/>
      <c r="T126" s="285"/>
      <c r="U126" s="286" t="s">
        <v>207</v>
      </c>
      <c r="V126" s="287"/>
      <c r="W126" s="287"/>
      <c r="X126" s="287"/>
      <c r="Y126" s="287"/>
      <c r="Z126" s="287"/>
      <c r="AA126" s="287"/>
      <c r="AB126" s="287"/>
      <c r="AC126" s="287"/>
      <c r="AD126" s="288"/>
      <c r="AE126" s="289" t="s">
        <v>316</v>
      </c>
      <c r="AF126" s="290"/>
      <c r="AG126" s="290"/>
      <c r="AH126" s="290"/>
      <c r="AI126" s="290"/>
      <c r="AJ126" s="290"/>
      <c r="AK126" s="290"/>
      <c r="AL126" s="290"/>
      <c r="AM126" s="290"/>
      <c r="AN126" s="290"/>
      <c r="AO126" s="290"/>
      <c r="AP126" s="290"/>
      <c r="AQ126" s="290"/>
      <c r="AR126" s="290"/>
      <c r="AS126" s="290"/>
      <c r="AT126" s="290"/>
      <c r="AU126" s="290"/>
      <c r="AV126" s="290"/>
      <c r="AW126" s="290"/>
      <c r="AX126" s="290"/>
      <c r="AY126" s="290"/>
      <c r="AZ126" s="290"/>
      <c r="BA126" s="290"/>
      <c r="BB126" s="290"/>
      <c r="BC126" s="290"/>
      <c r="BD126" s="290"/>
      <c r="BE126" s="290"/>
      <c r="BF126" s="290"/>
      <c r="BG126" s="290"/>
      <c r="BH126" s="290"/>
      <c r="BI126" s="290"/>
      <c r="BJ126" s="291"/>
      <c r="BL126" s="96"/>
      <c r="BS126" s="10"/>
      <c r="BT126" s="10"/>
      <c r="BU126" s="10"/>
      <c r="BV126" s="10"/>
      <c r="BW126" s="10"/>
      <c r="BX126" s="10"/>
      <c r="BY126" s="10"/>
      <c r="BZ126" s="10"/>
      <c r="CA126" s="10"/>
      <c r="CB126" s="10"/>
      <c r="CC126" s="10"/>
      <c r="CD126" s="10"/>
      <c r="CE126" s="10"/>
      <c r="CF126" s="10"/>
      <c r="CG126" s="10"/>
      <c r="CH126" s="10"/>
      <c r="CI126" s="10"/>
    </row>
    <row r="127" spans="1:87" s="9" customFormat="1" ht="40.5" customHeight="1">
      <c r="A127" s="282"/>
      <c r="B127" s="282"/>
      <c r="C127" s="282"/>
      <c r="D127" s="292" t="s">
        <v>227</v>
      </c>
      <c r="E127" s="287"/>
      <c r="F127" s="287"/>
      <c r="G127" s="287"/>
      <c r="H127" s="287"/>
      <c r="I127" s="287"/>
      <c r="J127" s="287"/>
      <c r="K127" s="287"/>
      <c r="L127" s="287"/>
      <c r="M127" s="287"/>
      <c r="N127" s="287"/>
      <c r="O127" s="287"/>
      <c r="P127" s="287"/>
      <c r="Q127" s="288"/>
      <c r="R127" s="283"/>
      <c r="S127" s="284"/>
      <c r="T127" s="285"/>
      <c r="U127" s="286"/>
      <c r="V127" s="287"/>
      <c r="W127" s="287"/>
      <c r="X127" s="287"/>
      <c r="Y127" s="287"/>
      <c r="Z127" s="287"/>
      <c r="AA127" s="287"/>
      <c r="AB127" s="287"/>
      <c r="AC127" s="287"/>
      <c r="AD127" s="288"/>
      <c r="AE127" s="289"/>
      <c r="AF127" s="290"/>
      <c r="AG127" s="290"/>
      <c r="AH127" s="290"/>
      <c r="AI127" s="290"/>
      <c r="AJ127" s="290"/>
      <c r="AK127" s="290"/>
      <c r="AL127" s="290"/>
      <c r="AM127" s="290"/>
      <c r="AN127" s="290"/>
      <c r="AO127" s="290"/>
      <c r="AP127" s="290"/>
      <c r="AQ127" s="290"/>
      <c r="AR127" s="290"/>
      <c r="AS127" s="290"/>
      <c r="AT127" s="290"/>
      <c r="AU127" s="290"/>
      <c r="AV127" s="290"/>
      <c r="AW127" s="290"/>
      <c r="AX127" s="290"/>
      <c r="AY127" s="290"/>
      <c r="AZ127" s="290"/>
      <c r="BA127" s="290"/>
      <c r="BB127" s="290"/>
      <c r="BC127" s="290"/>
      <c r="BD127" s="290"/>
      <c r="BE127" s="290"/>
      <c r="BF127" s="290"/>
      <c r="BG127" s="290"/>
      <c r="BH127" s="290"/>
      <c r="BI127" s="290"/>
      <c r="BJ127" s="291"/>
      <c r="BL127" s="96"/>
      <c r="BS127" s="10"/>
      <c r="BT127" s="10"/>
      <c r="BU127" s="10"/>
      <c r="BV127" s="10"/>
      <c r="BW127" s="10"/>
      <c r="BX127" s="10"/>
      <c r="BY127" s="10"/>
      <c r="BZ127" s="10"/>
      <c r="CA127" s="10"/>
      <c r="CB127" s="10"/>
      <c r="CC127" s="10"/>
      <c r="CD127" s="10"/>
      <c r="CE127" s="10"/>
      <c r="CF127" s="10"/>
      <c r="CG127" s="10"/>
      <c r="CH127" s="10"/>
      <c r="CI127" s="10"/>
    </row>
    <row r="128" spans="1:87" s="9" customFormat="1" ht="48.6" customHeight="1">
      <c r="A128" s="282">
        <v>117</v>
      </c>
      <c r="B128" s="282"/>
      <c r="C128" s="282"/>
      <c r="D128" s="292" t="s">
        <v>174</v>
      </c>
      <c r="E128" s="287"/>
      <c r="F128" s="287"/>
      <c r="G128" s="287"/>
      <c r="H128" s="287"/>
      <c r="I128" s="287"/>
      <c r="J128" s="287"/>
      <c r="K128" s="287"/>
      <c r="L128" s="287"/>
      <c r="M128" s="287"/>
      <c r="N128" s="287"/>
      <c r="O128" s="287"/>
      <c r="P128" s="287"/>
      <c r="Q128" s="288"/>
      <c r="R128" s="283">
        <v>14</v>
      </c>
      <c r="S128" s="284"/>
      <c r="T128" s="285"/>
      <c r="U128" s="286" t="s">
        <v>207</v>
      </c>
      <c r="V128" s="287"/>
      <c r="W128" s="287"/>
      <c r="X128" s="287"/>
      <c r="Y128" s="287"/>
      <c r="Z128" s="287"/>
      <c r="AA128" s="287"/>
      <c r="AB128" s="287"/>
      <c r="AC128" s="287"/>
      <c r="AD128" s="288"/>
      <c r="AE128" s="289" t="s">
        <v>317</v>
      </c>
      <c r="AF128" s="290"/>
      <c r="AG128" s="290"/>
      <c r="AH128" s="290"/>
      <c r="AI128" s="290"/>
      <c r="AJ128" s="290"/>
      <c r="AK128" s="290"/>
      <c r="AL128" s="290"/>
      <c r="AM128" s="290"/>
      <c r="AN128" s="290"/>
      <c r="AO128" s="290"/>
      <c r="AP128" s="290"/>
      <c r="AQ128" s="290"/>
      <c r="AR128" s="290"/>
      <c r="AS128" s="290"/>
      <c r="AT128" s="290"/>
      <c r="AU128" s="290"/>
      <c r="AV128" s="290"/>
      <c r="AW128" s="290"/>
      <c r="AX128" s="290"/>
      <c r="AY128" s="290"/>
      <c r="AZ128" s="290"/>
      <c r="BA128" s="290"/>
      <c r="BB128" s="290"/>
      <c r="BC128" s="290"/>
      <c r="BD128" s="290"/>
      <c r="BE128" s="290"/>
      <c r="BF128" s="290"/>
      <c r="BG128" s="290"/>
      <c r="BH128" s="290"/>
      <c r="BI128" s="290"/>
      <c r="BJ128" s="291"/>
      <c r="BL128" s="96"/>
      <c r="BS128" s="10"/>
      <c r="BT128" s="10"/>
      <c r="BU128" s="10"/>
      <c r="BV128" s="10"/>
      <c r="BW128" s="10"/>
      <c r="BX128" s="10"/>
      <c r="BY128" s="10"/>
      <c r="BZ128" s="10"/>
      <c r="CA128" s="10"/>
      <c r="CB128" s="10"/>
      <c r="CC128" s="10"/>
      <c r="CD128" s="10"/>
      <c r="CE128" s="10"/>
      <c r="CF128" s="10"/>
      <c r="CG128" s="10"/>
      <c r="CH128" s="10"/>
      <c r="CI128" s="10"/>
    </row>
    <row r="129" spans="1:87" s="9" customFormat="1" ht="48.6" customHeight="1">
      <c r="A129" s="282">
        <v>118</v>
      </c>
      <c r="B129" s="282"/>
      <c r="C129" s="282"/>
      <c r="D129" s="292" t="s">
        <v>175</v>
      </c>
      <c r="E129" s="287"/>
      <c r="F129" s="287"/>
      <c r="G129" s="287"/>
      <c r="H129" s="287"/>
      <c r="I129" s="287"/>
      <c r="J129" s="287"/>
      <c r="K129" s="287"/>
      <c r="L129" s="287"/>
      <c r="M129" s="287"/>
      <c r="N129" s="287"/>
      <c r="O129" s="287"/>
      <c r="P129" s="287"/>
      <c r="Q129" s="288"/>
      <c r="R129" s="283">
        <v>14</v>
      </c>
      <c r="S129" s="284"/>
      <c r="T129" s="285"/>
      <c r="U129" s="286" t="s">
        <v>207</v>
      </c>
      <c r="V129" s="287"/>
      <c r="W129" s="287"/>
      <c r="X129" s="287"/>
      <c r="Y129" s="287"/>
      <c r="Z129" s="287"/>
      <c r="AA129" s="287"/>
      <c r="AB129" s="287"/>
      <c r="AC129" s="287"/>
      <c r="AD129" s="288"/>
      <c r="AE129" s="289" t="s">
        <v>318</v>
      </c>
      <c r="AF129" s="290"/>
      <c r="AG129" s="290"/>
      <c r="AH129" s="290"/>
      <c r="AI129" s="290"/>
      <c r="AJ129" s="290"/>
      <c r="AK129" s="290"/>
      <c r="AL129" s="290"/>
      <c r="AM129" s="290"/>
      <c r="AN129" s="290"/>
      <c r="AO129" s="290"/>
      <c r="AP129" s="290"/>
      <c r="AQ129" s="290"/>
      <c r="AR129" s="290"/>
      <c r="AS129" s="290"/>
      <c r="AT129" s="290"/>
      <c r="AU129" s="290"/>
      <c r="AV129" s="290"/>
      <c r="AW129" s="290"/>
      <c r="AX129" s="290"/>
      <c r="AY129" s="290"/>
      <c r="AZ129" s="290"/>
      <c r="BA129" s="290"/>
      <c r="BB129" s="290"/>
      <c r="BC129" s="290"/>
      <c r="BD129" s="290"/>
      <c r="BE129" s="290"/>
      <c r="BF129" s="290"/>
      <c r="BG129" s="290"/>
      <c r="BH129" s="290"/>
      <c r="BI129" s="290"/>
      <c r="BJ129" s="291"/>
      <c r="BL129" s="96"/>
      <c r="BS129" s="10"/>
      <c r="BT129" s="10"/>
      <c r="BU129" s="10"/>
      <c r="BV129" s="10"/>
      <c r="BW129" s="10"/>
      <c r="BX129" s="10"/>
      <c r="BY129" s="10"/>
      <c r="BZ129" s="10"/>
      <c r="CA129" s="10"/>
      <c r="CB129" s="10"/>
      <c r="CC129" s="10"/>
      <c r="CD129" s="10"/>
      <c r="CE129" s="10"/>
      <c r="CF129" s="10"/>
      <c r="CG129" s="10"/>
      <c r="CH129" s="10"/>
      <c r="CI129" s="10"/>
    </row>
    <row r="130" spans="1:87" s="9" customFormat="1" ht="48.6" customHeight="1">
      <c r="A130" s="282">
        <v>119</v>
      </c>
      <c r="B130" s="282"/>
      <c r="C130" s="282"/>
      <c r="D130" s="292" t="s">
        <v>174</v>
      </c>
      <c r="E130" s="287"/>
      <c r="F130" s="287"/>
      <c r="G130" s="287"/>
      <c r="H130" s="287"/>
      <c r="I130" s="287"/>
      <c r="J130" s="287"/>
      <c r="K130" s="287"/>
      <c r="L130" s="287"/>
      <c r="M130" s="287"/>
      <c r="N130" s="287"/>
      <c r="O130" s="287"/>
      <c r="P130" s="287"/>
      <c r="Q130" s="288"/>
      <c r="R130" s="283">
        <v>14</v>
      </c>
      <c r="S130" s="284"/>
      <c r="T130" s="285"/>
      <c r="U130" s="286" t="s">
        <v>207</v>
      </c>
      <c r="V130" s="287"/>
      <c r="W130" s="287"/>
      <c r="X130" s="287"/>
      <c r="Y130" s="287"/>
      <c r="Z130" s="287"/>
      <c r="AA130" s="287"/>
      <c r="AB130" s="287"/>
      <c r="AC130" s="287"/>
      <c r="AD130" s="288"/>
      <c r="AE130" s="289" t="s">
        <v>317</v>
      </c>
      <c r="AF130" s="290"/>
      <c r="AG130" s="290"/>
      <c r="AH130" s="290"/>
      <c r="AI130" s="290"/>
      <c r="AJ130" s="290"/>
      <c r="AK130" s="290"/>
      <c r="AL130" s="290"/>
      <c r="AM130" s="290"/>
      <c r="AN130" s="290"/>
      <c r="AO130" s="290"/>
      <c r="AP130" s="290"/>
      <c r="AQ130" s="290"/>
      <c r="AR130" s="290"/>
      <c r="AS130" s="290"/>
      <c r="AT130" s="290"/>
      <c r="AU130" s="290"/>
      <c r="AV130" s="290"/>
      <c r="AW130" s="290"/>
      <c r="AX130" s="290"/>
      <c r="AY130" s="290"/>
      <c r="AZ130" s="290"/>
      <c r="BA130" s="290"/>
      <c r="BB130" s="290"/>
      <c r="BC130" s="290"/>
      <c r="BD130" s="290"/>
      <c r="BE130" s="290"/>
      <c r="BF130" s="290"/>
      <c r="BG130" s="290"/>
      <c r="BH130" s="290"/>
      <c r="BI130" s="290"/>
      <c r="BJ130" s="291"/>
      <c r="BL130" s="96"/>
      <c r="BS130" s="10"/>
      <c r="BT130" s="10"/>
      <c r="BU130" s="10"/>
      <c r="BV130" s="10"/>
      <c r="BW130" s="10"/>
      <c r="BX130" s="10"/>
      <c r="BY130" s="10"/>
      <c r="BZ130" s="10"/>
      <c r="CA130" s="10"/>
      <c r="CB130" s="10"/>
      <c r="CC130" s="10"/>
      <c r="CD130" s="10"/>
      <c r="CE130" s="10"/>
      <c r="CF130" s="10"/>
      <c r="CG130" s="10"/>
      <c r="CH130" s="10"/>
      <c r="CI130" s="10"/>
    </row>
    <row r="131" spans="1:87" s="9" customFormat="1" ht="48.6" customHeight="1">
      <c r="A131" s="282">
        <v>120</v>
      </c>
      <c r="B131" s="282"/>
      <c r="C131" s="282"/>
      <c r="D131" s="292" t="s">
        <v>175</v>
      </c>
      <c r="E131" s="287"/>
      <c r="F131" s="287"/>
      <c r="G131" s="287"/>
      <c r="H131" s="287"/>
      <c r="I131" s="287"/>
      <c r="J131" s="287"/>
      <c r="K131" s="287"/>
      <c r="L131" s="287"/>
      <c r="M131" s="287"/>
      <c r="N131" s="287"/>
      <c r="O131" s="287"/>
      <c r="P131" s="287"/>
      <c r="Q131" s="288"/>
      <c r="R131" s="283">
        <v>14</v>
      </c>
      <c r="S131" s="284"/>
      <c r="T131" s="285"/>
      <c r="U131" s="286" t="s">
        <v>207</v>
      </c>
      <c r="V131" s="287"/>
      <c r="W131" s="287"/>
      <c r="X131" s="287"/>
      <c r="Y131" s="287"/>
      <c r="Z131" s="287"/>
      <c r="AA131" s="287"/>
      <c r="AB131" s="287"/>
      <c r="AC131" s="287"/>
      <c r="AD131" s="288"/>
      <c r="AE131" s="289" t="s">
        <v>318</v>
      </c>
      <c r="AF131" s="290"/>
      <c r="AG131" s="290"/>
      <c r="AH131" s="290"/>
      <c r="AI131" s="290"/>
      <c r="AJ131" s="290"/>
      <c r="AK131" s="290"/>
      <c r="AL131" s="290"/>
      <c r="AM131" s="290"/>
      <c r="AN131" s="290"/>
      <c r="AO131" s="290"/>
      <c r="AP131" s="290"/>
      <c r="AQ131" s="290"/>
      <c r="AR131" s="290"/>
      <c r="AS131" s="290"/>
      <c r="AT131" s="290"/>
      <c r="AU131" s="290"/>
      <c r="AV131" s="290"/>
      <c r="AW131" s="290"/>
      <c r="AX131" s="290"/>
      <c r="AY131" s="290"/>
      <c r="AZ131" s="290"/>
      <c r="BA131" s="290"/>
      <c r="BB131" s="290"/>
      <c r="BC131" s="290"/>
      <c r="BD131" s="290"/>
      <c r="BE131" s="290"/>
      <c r="BF131" s="290"/>
      <c r="BG131" s="290"/>
      <c r="BH131" s="290"/>
      <c r="BI131" s="290"/>
      <c r="BJ131" s="291"/>
      <c r="BL131" s="96"/>
      <c r="BS131" s="10"/>
      <c r="BT131" s="10"/>
      <c r="BU131" s="10"/>
      <c r="BV131" s="10"/>
      <c r="BW131" s="10"/>
      <c r="BX131" s="10"/>
      <c r="BY131" s="10"/>
      <c r="BZ131" s="10"/>
      <c r="CA131" s="10"/>
      <c r="CB131" s="10"/>
      <c r="CC131" s="10"/>
      <c r="CD131" s="10"/>
      <c r="CE131" s="10"/>
      <c r="CF131" s="10"/>
      <c r="CG131" s="10"/>
      <c r="CH131" s="10"/>
      <c r="CI131" s="10"/>
    </row>
    <row r="132" spans="1:87" s="9" customFormat="1" ht="40.5" customHeight="1">
      <c r="A132" s="282">
        <v>121</v>
      </c>
      <c r="B132" s="282"/>
      <c r="C132" s="282"/>
      <c r="D132" s="292" t="s">
        <v>179</v>
      </c>
      <c r="E132" s="287"/>
      <c r="F132" s="287"/>
      <c r="G132" s="287"/>
      <c r="H132" s="287"/>
      <c r="I132" s="287"/>
      <c r="J132" s="287"/>
      <c r="K132" s="287"/>
      <c r="L132" s="287"/>
      <c r="M132" s="287"/>
      <c r="N132" s="287"/>
      <c r="O132" s="287"/>
      <c r="P132" s="287"/>
      <c r="Q132" s="288"/>
      <c r="R132" s="283" t="s">
        <v>213</v>
      </c>
      <c r="S132" s="284"/>
      <c r="T132" s="285"/>
      <c r="U132" s="293" t="s">
        <v>208</v>
      </c>
      <c r="V132" s="287"/>
      <c r="W132" s="287"/>
      <c r="X132" s="287"/>
      <c r="Y132" s="287"/>
      <c r="Z132" s="287"/>
      <c r="AA132" s="287"/>
      <c r="AB132" s="287"/>
      <c r="AC132" s="287"/>
      <c r="AD132" s="288"/>
      <c r="AE132" s="289" t="s">
        <v>319</v>
      </c>
      <c r="AF132" s="290"/>
      <c r="AG132" s="290"/>
      <c r="AH132" s="290"/>
      <c r="AI132" s="290"/>
      <c r="AJ132" s="290"/>
      <c r="AK132" s="290"/>
      <c r="AL132" s="290"/>
      <c r="AM132" s="290"/>
      <c r="AN132" s="290"/>
      <c r="AO132" s="290"/>
      <c r="AP132" s="290"/>
      <c r="AQ132" s="290"/>
      <c r="AR132" s="290"/>
      <c r="AS132" s="290"/>
      <c r="AT132" s="290"/>
      <c r="AU132" s="290"/>
      <c r="AV132" s="290"/>
      <c r="AW132" s="290"/>
      <c r="AX132" s="290"/>
      <c r="AY132" s="290"/>
      <c r="AZ132" s="290"/>
      <c r="BA132" s="290"/>
      <c r="BB132" s="290"/>
      <c r="BC132" s="290"/>
      <c r="BD132" s="290"/>
      <c r="BE132" s="290"/>
      <c r="BF132" s="290"/>
      <c r="BG132" s="290"/>
      <c r="BH132" s="290"/>
      <c r="BI132" s="290"/>
      <c r="BJ132" s="291"/>
      <c r="BL132" s="96"/>
      <c r="BS132" s="10"/>
      <c r="BT132" s="10"/>
      <c r="BU132" s="10"/>
      <c r="BV132" s="10"/>
      <c r="BW132" s="10"/>
      <c r="BX132" s="10"/>
      <c r="BY132" s="10"/>
      <c r="BZ132" s="10"/>
      <c r="CA132" s="10"/>
      <c r="CB132" s="10"/>
      <c r="CC132" s="10"/>
      <c r="CD132" s="10"/>
      <c r="CE132" s="10"/>
      <c r="CF132" s="10"/>
      <c r="CG132" s="10"/>
      <c r="CH132" s="10"/>
      <c r="CI132" s="10"/>
    </row>
    <row r="133" spans="1:87" s="9" customFormat="1" ht="40.5" customHeight="1">
      <c r="A133" s="282">
        <v>122</v>
      </c>
      <c r="B133" s="282"/>
      <c r="C133" s="282"/>
      <c r="D133" s="292" t="s">
        <v>276</v>
      </c>
      <c r="E133" s="287"/>
      <c r="F133" s="287"/>
      <c r="G133" s="287"/>
      <c r="H133" s="287"/>
      <c r="I133" s="287"/>
      <c r="J133" s="287"/>
      <c r="K133" s="287"/>
      <c r="L133" s="287"/>
      <c r="M133" s="287"/>
      <c r="N133" s="287"/>
      <c r="O133" s="287"/>
      <c r="P133" s="287"/>
      <c r="Q133" s="288"/>
      <c r="R133" s="283">
        <v>14</v>
      </c>
      <c r="S133" s="284"/>
      <c r="T133" s="285"/>
      <c r="U133" s="286" t="s">
        <v>207</v>
      </c>
      <c r="V133" s="287"/>
      <c r="W133" s="287"/>
      <c r="X133" s="287"/>
      <c r="Y133" s="287"/>
      <c r="Z133" s="287"/>
      <c r="AA133" s="287"/>
      <c r="AB133" s="287"/>
      <c r="AC133" s="287"/>
      <c r="AD133" s="288"/>
      <c r="AE133" s="289" t="s">
        <v>320</v>
      </c>
      <c r="AF133" s="290"/>
      <c r="AG133" s="290"/>
      <c r="AH133" s="290"/>
      <c r="AI133" s="290"/>
      <c r="AJ133" s="290"/>
      <c r="AK133" s="290"/>
      <c r="AL133" s="290"/>
      <c r="AM133" s="290"/>
      <c r="AN133" s="290"/>
      <c r="AO133" s="290"/>
      <c r="AP133" s="290"/>
      <c r="AQ133" s="290"/>
      <c r="AR133" s="290"/>
      <c r="AS133" s="290"/>
      <c r="AT133" s="290"/>
      <c r="AU133" s="290"/>
      <c r="AV133" s="290"/>
      <c r="AW133" s="290"/>
      <c r="AX133" s="290"/>
      <c r="AY133" s="290"/>
      <c r="AZ133" s="290"/>
      <c r="BA133" s="290"/>
      <c r="BB133" s="290"/>
      <c r="BC133" s="290"/>
      <c r="BD133" s="290"/>
      <c r="BE133" s="290"/>
      <c r="BF133" s="290"/>
      <c r="BG133" s="290"/>
      <c r="BH133" s="290"/>
      <c r="BI133" s="290"/>
      <c r="BJ133" s="291"/>
      <c r="BL133" s="96"/>
      <c r="BS133" s="10"/>
      <c r="BT133" s="10"/>
      <c r="BU133" s="10"/>
      <c r="BV133" s="10"/>
      <c r="BW133" s="10"/>
      <c r="BX133" s="10"/>
      <c r="BY133" s="10"/>
      <c r="BZ133" s="10"/>
      <c r="CA133" s="10"/>
      <c r="CB133" s="10"/>
      <c r="CC133" s="10"/>
      <c r="CD133" s="10"/>
      <c r="CE133" s="10"/>
      <c r="CF133" s="10"/>
      <c r="CG133" s="10"/>
      <c r="CH133" s="10"/>
      <c r="CI133" s="10"/>
    </row>
    <row r="134" spans="1:87" s="9" customFormat="1" ht="40.5" customHeight="1">
      <c r="A134" s="282">
        <v>123</v>
      </c>
      <c r="B134" s="282"/>
      <c r="C134" s="282"/>
      <c r="D134" s="292" t="s">
        <v>232</v>
      </c>
      <c r="E134" s="287"/>
      <c r="F134" s="287"/>
      <c r="G134" s="287"/>
      <c r="H134" s="287"/>
      <c r="I134" s="287"/>
      <c r="J134" s="287"/>
      <c r="K134" s="287"/>
      <c r="L134" s="287"/>
      <c r="M134" s="287"/>
      <c r="N134" s="287"/>
      <c r="O134" s="287"/>
      <c r="P134" s="287"/>
      <c r="Q134" s="288"/>
      <c r="R134" s="283">
        <v>14</v>
      </c>
      <c r="S134" s="284"/>
      <c r="T134" s="285"/>
      <c r="U134" s="286" t="s">
        <v>207</v>
      </c>
      <c r="V134" s="287"/>
      <c r="W134" s="287"/>
      <c r="X134" s="287"/>
      <c r="Y134" s="287"/>
      <c r="Z134" s="287"/>
      <c r="AA134" s="287"/>
      <c r="AB134" s="287"/>
      <c r="AC134" s="287"/>
      <c r="AD134" s="288"/>
      <c r="AE134" s="289" t="s">
        <v>321</v>
      </c>
      <c r="AF134" s="290"/>
      <c r="AG134" s="290"/>
      <c r="AH134" s="290"/>
      <c r="AI134" s="290"/>
      <c r="AJ134" s="290"/>
      <c r="AK134" s="290"/>
      <c r="AL134" s="290"/>
      <c r="AM134" s="290"/>
      <c r="AN134" s="290"/>
      <c r="AO134" s="290"/>
      <c r="AP134" s="290"/>
      <c r="AQ134" s="290"/>
      <c r="AR134" s="290"/>
      <c r="AS134" s="290"/>
      <c r="AT134" s="290"/>
      <c r="AU134" s="290"/>
      <c r="AV134" s="290"/>
      <c r="AW134" s="290"/>
      <c r="AX134" s="290"/>
      <c r="AY134" s="290"/>
      <c r="AZ134" s="290"/>
      <c r="BA134" s="290"/>
      <c r="BB134" s="290"/>
      <c r="BC134" s="290"/>
      <c r="BD134" s="290"/>
      <c r="BE134" s="290"/>
      <c r="BF134" s="290"/>
      <c r="BG134" s="290"/>
      <c r="BH134" s="290"/>
      <c r="BI134" s="290"/>
      <c r="BJ134" s="291"/>
      <c r="BL134" s="96"/>
      <c r="BS134" s="10"/>
      <c r="BT134" s="10"/>
      <c r="BU134" s="10"/>
      <c r="BV134" s="10"/>
      <c r="BW134" s="10"/>
      <c r="BX134" s="10"/>
      <c r="BY134" s="10"/>
      <c r="BZ134" s="10"/>
      <c r="CA134" s="10"/>
      <c r="CB134" s="10"/>
      <c r="CC134" s="10"/>
      <c r="CD134" s="10"/>
      <c r="CE134" s="10"/>
      <c r="CF134" s="10"/>
      <c r="CG134" s="10"/>
      <c r="CH134" s="10"/>
      <c r="CI134" s="10"/>
    </row>
    <row r="135" spans="1:87" s="9" customFormat="1" ht="40.5" customHeight="1">
      <c r="A135" s="282">
        <v>124</v>
      </c>
      <c r="B135" s="282"/>
      <c r="C135" s="282"/>
      <c r="D135" s="292" t="s">
        <v>277</v>
      </c>
      <c r="E135" s="287"/>
      <c r="F135" s="287"/>
      <c r="G135" s="287"/>
      <c r="H135" s="287"/>
      <c r="I135" s="287"/>
      <c r="J135" s="287"/>
      <c r="K135" s="287"/>
      <c r="L135" s="287"/>
      <c r="M135" s="287"/>
      <c r="N135" s="287"/>
      <c r="O135" s="287"/>
      <c r="P135" s="287"/>
      <c r="Q135" s="288"/>
      <c r="R135" s="283">
        <v>14</v>
      </c>
      <c r="S135" s="284"/>
      <c r="T135" s="285"/>
      <c r="U135" s="286" t="s">
        <v>207</v>
      </c>
      <c r="V135" s="287"/>
      <c r="W135" s="287"/>
      <c r="X135" s="287"/>
      <c r="Y135" s="287"/>
      <c r="Z135" s="287"/>
      <c r="AA135" s="287"/>
      <c r="AB135" s="287"/>
      <c r="AC135" s="287"/>
      <c r="AD135" s="288"/>
      <c r="AE135" s="289" t="s">
        <v>322</v>
      </c>
      <c r="AF135" s="290"/>
      <c r="AG135" s="290"/>
      <c r="AH135" s="290"/>
      <c r="AI135" s="290"/>
      <c r="AJ135" s="290"/>
      <c r="AK135" s="290"/>
      <c r="AL135" s="290"/>
      <c r="AM135" s="290"/>
      <c r="AN135" s="290"/>
      <c r="AO135" s="290"/>
      <c r="AP135" s="290"/>
      <c r="AQ135" s="290"/>
      <c r="AR135" s="290"/>
      <c r="AS135" s="290"/>
      <c r="AT135" s="290"/>
      <c r="AU135" s="290"/>
      <c r="AV135" s="290"/>
      <c r="AW135" s="290"/>
      <c r="AX135" s="290"/>
      <c r="AY135" s="290"/>
      <c r="AZ135" s="290"/>
      <c r="BA135" s="290"/>
      <c r="BB135" s="290"/>
      <c r="BC135" s="290"/>
      <c r="BD135" s="290"/>
      <c r="BE135" s="290"/>
      <c r="BF135" s="290"/>
      <c r="BG135" s="290"/>
      <c r="BH135" s="290"/>
      <c r="BI135" s="290"/>
      <c r="BJ135" s="291"/>
      <c r="BL135" s="96"/>
      <c r="BS135" s="10"/>
      <c r="BT135" s="10"/>
      <c r="BU135" s="10"/>
      <c r="BV135" s="10"/>
      <c r="BW135" s="10"/>
      <c r="BX135" s="10"/>
      <c r="BY135" s="10"/>
      <c r="BZ135" s="10"/>
      <c r="CA135" s="10"/>
      <c r="CB135" s="10"/>
      <c r="CC135" s="10"/>
      <c r="CD135" s="10"/>
      <c r="CE135" s="10"/>
      <c r="CF135" s="10"/>
      <c r="CG135" s="10"/>
      <c r="CH135" s="10"/>
      <c r="CI135" s="10"/>
    </row>
    <row r="136" spans="1:87" s="9" customFormat="1" ht="40.5" customHeight="1">
      <c r="A136" s="282">
        <v>125</v>
      </c>
      <c r="B136" s="282"/>
      <c r="C136" s="282"/>
      <c r="D136" s="292" t="s">
        <v>230</v>
      </c>
      <c r="E136" s="287"/>
      <c r="F136" s="287"/>
      <c r="G136" s="287"/>
      <c r="H136" s="287"/>
      <c r="I136" s="287"/>
      <c r="J136" s="287"/>
      <c r="K136" s="287"/>
      <c r="L136" s="287"/>
      <c r="M136" s="287"/>
      <c r="N136" s="287"/>
      <c r="O136" s="287"/>
      <c r="P136" s="287"/>
      <c r="Q136" s="288"/>
      <c r="R136" s="283">
        <v>14</v>
      </c>
      <c r="S136" s="284"/>
      <c r="T136" s="285"/>
      <c r="U136" s="286" t="s">
        <v>207</v>
      </c>
      <c r="V136" s="287"/>
      <c r="W136" s="287"/>
      <c r="X136" s="287"/>
      <c r="Y136" s="287"/>
      <c r="Z136" s="287"/>
      <c r="AA136" s="287"/>
      <c r="AB136" s="287"/>
      <c r="AC136" s="287"/>
      <c r="AD136" s="288"/>
      <c r="AE136" s="289" t="s">
        <v>323</v>
      </c>
      <c r="AF136" s="290"/>
      <c r="AG136" s="290"/>
      <c r="AH136" s="290"/>
      <c r="AI136" s="290"/>
      <c r="AJ136" s="290"/>
      <c r="AK136" s="290"/>
      <c r="AL136" s="290"/>
      <c r="AM136" s="290"/>
      <c r="AN136" s="290"/>
      <c r="AO136" s="290"/>
      <c r="AP136" s="290"/>
      <c r="AQ136" s="290"/>
      <c r="AR136" s="290"/>
      <c r="AS136" s="290"/>
      <c r="AT136" s="290"/>
      <c r="AU136" s="290"/>
      <c r="AV136" s="290"/>
      <c r="AW136" s="290"/>
      <c r="AX136" s="290"/>
      <c r="AY136" s="290"/>
      <c r="AZ136" s="290"/>
      <c r="BA136" s="290"/>
      <c r="BB136" s="290"/>
      <c r="BC136" s="290"/>
      <c r="BD136" s="290"/>
      <c r="BE136" s="290"/>
      <c r="BF136" s="290"/>
      <c r="BG136" s="290"/>
      <c r="BH136" s="290"/>
      <c r="BI136" s="290"/>
      <c r="BJ136" s="291"/>
      <c r="BL136" s="96"/>
      <c r="BS136" s="10"/>
      <c r="BT136" s="10"/>
      <c r="BU136" s="10"/>
      <c r="BV136" s="10"/>
      <c r="BW136" s="10"/>
      <c r="BX136" s="10"/>
      <c r="BY136" s="10"/>
      <c r="BZ136" s="10"/>
      <c r="CA136" s="10"/>
      <c r="CB136" s="10"/>
      <c r="CC136" s="10"/>
      <c r="CD136" s="10"/>
      <c r="CE136" s="10"/>
      <c r="CF136" s="10"/>
      <c r="CG136" s="10"/>
      <c r="CH136" s="10"/>
      <c r="CI136" s="10"/>
    </row>
    <row r="137" spans="1:87" s="9" customFormat="1" ht="48.6" customHeight="1">
      <c r="A137" s="282">
        <v>126</v>
      </c>
      <c r="B137" s="282"/>
      <c r="C137" s="282"/>
      <c r="D137" s="188" t="s">
        <v>268</v>
      </c>
      <c r="E137" s="189"/>
      <c r="F137" s="189"/>
      <c r="G137" s="189"/>
      <c r="H137" s="189"/>
      <c r="I137" s="189"/>
      <c r="J137" s="189"/>
      <c r="K137" s="189"/>
      <c r="L137" s="189"/>
      <c r="M137" s="189"/>
      <c r="N137" s="189"/>
      <c r="O137" s="189"/>
      <c r="P137" s="189"/>
      <c r="Q137" s="190"/>
      <c r="R137" s="283">
        <v>14</v>
      </c>
      <c r="S137" s="284"/>
      <c r="T137" s="285"/>
      <c r="U137" s="286" t="s">
        <v>207</v>
      </c>
      <c r="V137" s="287"/>
      <c r="W137" s="287"/>
      <c r="X137" s="287"/>
      <c r="Y137" s="287"/>
      <c r="Z137" s="287"/>
      <c r="AA137" s="287"/>
      <c r="AB137" s="287"/>
      <c r="AC137" s="287"/>
      <c r="AD137" s="288"/>
      <c r="AE137" s="289" t="s">
        <v>324</v>
      </c>
      <c r="AF137" s="290"/>
      <c r="AG137" s="290"/>
      <c r="AH137" s="290"/>
      <c r="AI137" s="290"/>
      <c r="AJ137" s="290"/>
      <c r="AK137" s="290"/>
      <c r="AL137" s="290"/>
      <c r="AM137" s="290"/>
      <c r="AN137" s="290"/>
      <c r="AO137" s="290"/>
      <c r="AP137" s="290"/>
      <c r="AQ137" s="290"/>
      <c r="AR137" s="290"/>
      <c r="AS137" s="290"/>
      <c r="AT137" s="290"/>
      <c r="AU137" s="290"/>
      <c r="AV137" s="290"/>
      <c r="AW137" s="290"/>
      <c r="AX137" s="290"/>
      <c r="AY137" s="290"/>
      <c r="AZ137" s="290"/>
      <c r="BA137" s="290"/>
      <c r="BB137" s="290"/>
      <c r="BC137" s="290"/>
      <c r="BD137" s="290"/>
      <c r="BE137" s="290"/>
      <c r="BF137" s="290"/>
      <c r="BG137" s="290"/>
      <c r="BH137" s="290"/>
      <c r="BI137" s="290"/>
      <c r="BJ137" s="291"/>
      <c r="BL137" s="96"/>
      <c r="BS137" s="10"/>
      <c r="BT137" s="10"/>
      <c r="BU137" s="10"/>
      <c r="BV137" s="10"/>
      <c r="BW137" s="10"/>
      <c r="BX137" s="10"/>
      <c r="BY137" s="10"/>
      <c r="BZ137" s="10"/>
      <c r="CA137" s="10"/>
      <c r="CB137" s="10"/>
      <c r="CC137" s="10"/>
      <c r="CD137" s="10"/>
      <c r="CE137" s="10"/>
      <c r="CF137" s="10"/>
      <c r="CG137" s="10"/>
      <c r="CH137" s="10"/>
      <c r="CI137" s="10"/>
    </row>
    <row r="138" spans="1:87" s="9" customFormat="1" ht="48.6" customHeight="1">
      <c r="A138" s="282">
        <v>127</v>
      </c>
      <c r="B138" s="282"/>
      <c r="C138" s="282"/>
      <c r="D138" s="188" t="s">
        <v>267</v>
      </c>
      <c r="E138" s="189"/>
      <c r="F138" s="189"/>
      <c r="G138" s="189"/>
      <c r="H138" s="189"/>
      <c r="I138" s="189"/>
      <c r="J138" s="189"/>
      <c r="K138" s="189"/>
      <c r="L138" s="189"/>
      <c r="M138" s="189"/>
      <c r="N138" s="189"/>
      <c r="O138" s="189"/>
      <c r="P138" s="189"/>
      <c r="Q138" s="190"/>
      <c r="R138" s="283">
        <v>14</v>
      </c>
      <c r="S138" s="284"/>
      <c r="T138" s="285"/>
      <c r="U138" s="286" t="s">
        <v>207</v>
      </c>
      <c r="V138" s="287"/>
      <c r="W138" s="287"/>
      <c r="X138" s="287"/>
      <c r="Y138" s="287"/>
      <c r="Z138" s="287"/>
      <c r="AA138" s="287"/>
      <c r="AB138" s="287"/>
      <c r="AC138" s="287"/>
      <c r="AD138" s="288"/>
      <c r="AE138" s="289" t="s">
        <v>325</v>
      </c>
      <c r="AF138" s="290"/>
      <c r="AG138" s="290"/>
      <c r="AH138" s="290"/>
      <c r="AI138" s="290"/>
      <c r="AJ138" s="290"/>
      <c r="AK138" s="290"/>
      <c r="AL138" s="290"/>
      <c r="AM138" s="290"/>
      <c r="AN138" s="290"/>
      <c r="AO138" s="290"/>
      <c r="AP138" s="290"/>
      <c r="AQ138" s="290"/>
      <c r="AR138" s="290"/>
      <c r="AS138" s="290"/>
      <c r="AT138" s="290"/>
      <c r="AU138" s="290"/>
      <c r="AV138" s="290"/>
      <c r="AW138" s="290"/>
      <c r="AX138" s="290"/>
      <c r="AY138" s="290"/>
      <c r="AZ138" s="290"/>
      <c r="BA138" s="290"/>
      <c r="BB138" s="290"/>
      <c r="BC138" s="290"/>
      <c r="BD138" s="290"/>
      <c r="BE138" s="290"/>
      <c r="BF138" s="290"/>
      <c r="BG138" s="290"/>
      <c r="BH138" s="290"/>
      <c r="BI138" s="290"/>
      <c r="BJ138" s="291"/>
      <c r="BL138" s="96"/>
      <c r="BS138" s="10"/>
      <c r="BT138" s="10"/>
      <c r="BU138" s="10"/>
      <c r="BV138" s="10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</row>
    <row r="139" spans="1:87" s="9" customFormat="1" ht="48.6" customHeight="1">
      <c r="A139" s="282">
        <v>128</v>
      </c>
      <c r="B139" s="282"/>
      <c r="C139" s="282"/>
      <c r="D139" s="188" t="s">
        <v>268</v>
      </c>
      <c r="E139" s="189"/>
      <c r="F139" s="189"/>
      <c r="G139" s="189"/>
      <c r="H139" s="189"/>
      <c r="I139" s="189"/>
      <c r="J139" s="189"/>
      <c r="K139" s="189"/>
      <c r="L139" s="189"/>
      <c r="M139" s="189"/>
      <c r="N139" s="189"/>
      <c r="O139" s="189"/>
      <c r="P139" s="189"/>
      <c r="Q139" s="190"/>
      <c r="R139" s="283">
        <v>14</v>
      </c>
      <c r="S139" s="284"/>
      <c r="T139" s="285"/>
      <c r="U139" s="286" t="s">
        <v>207</v>
      </c>
      <c r="V139" s="287"/>
      <c r="W139" s="287"/>
      <c r="X139" s="287"/>
      <c r="Y139" s="287"/>
      <c r="Z139" s="287"/>
      <c r="AA139" s="287"/>
      <c r="AB139" s="287"/>
      <c r="AC139" s="287"/>
      <c r="AD139" s="288"/>
      <c r="AE139" s="289" t="s">
        <v>324</v>
      </c>
      <c r="AF139" s="290"/>
      <c r="AG139" s="290"/>
      <c r="AH139" s="290"/>
      <c r="AI139" s="290"/>
      <c r="AJ139" s="290"/>
      <c r="AK139" s="290"/>
      <c r="AL139" s="290"/>
      <c r="AM139" s="290"/>
      <c r="AN139" s="290"/>
      <c r="AO139" s="290"/>
      <c r="AP139" s="290"/>
      <c r="AQ139" s="290"/>
      <c r="AR139" s="290"/>
      <c r="AS139" s="290"/>
      <c r="AT139" s="290"/>
      <c r="AU139" s="290"/>
      <c r="AV139" s="290"/>
      <c r="AW139" s="290"/>
      <c r="AX139" s="290"/>
      <c r="AY139" s="290"/>
      <c r="AZ139" s="290"/>
      <c r="BA139" s="290"/>
      <c r="BB139" s="290"/>
      <c r="BC139" s="290"/>
      <c r="BD139" s="290"/>
      <c r="BE139" s="290"/>
      <c r="BF139" s="290"/>
      <c r="BG139" s="290"/>
      <c r="BH139" s="290"/>
      <c r="BI139" s="290"/>
      <c r="BJ139" s="291"/>
      <c r="BL139" s="96"/>
      <c r="BS139" s="10"/>
      <c r="BT139" s="10"/>
      <c r="BU139" s="10"/>
      <c r="BV139" s="10"/>
      <c r="BW139" s="10"/>
      <c r="BX139" s="10"/>
      <c r="BY139" s="10"/>
      <c r="BZ139" s="10"/>
      <c r="CA139" s="10"/>
      <c r="CB139" s="10"/>
      <c r="CC139" s="10"/>
      <c r="CD139" s="10"/>
      <c r="CE139" s="10"/>
      <c r="CF139" s="10"/>
      <c r="CG139" s="10"/>
      <c r="CH139" s="10"/>
      <c r="CI139" s="10"/>
    </row>
    <row r="140" spans="1:87" s="9" customFormat="1" ht="48.6" customHeight="1">
      <c r="A140" s="282">
        <v>129</v>
      </c>
      <c r="B140" s="282"/>
      <c r="C140" s="282"/>
      <c r="D140" s="188" t="s">
        <v>267</v>
      </c>
      <c r="E140" s="189"/>
      <c r="F140" s="189"/>
      <c r="G140" s="189"/>
      <c r="H140" s="189"/>
      <c r="I140" s="189"/>
      <c r="J140" s="189"/>
      <c r="K140" s="189"/>
      <c r="L140" s="189"/>
      <c r="M140" s="189"/>
      <c r="N140" s="189"/>
      <c r="O140" s="189"/>
      <c r="P140" s="189"/>
      <c r="Q140" s="190"/>
      <c r="R140" s="283">
        <v>14</v>
      </c>
      <c r="S140" s="284"/>
      <c r="T140" s="285"/>
      <c r="U140" s="286" t="s">
        <v>207</v>
      </c>
      <c r="V140" s="287"/>
      <c r="W140" s="287"/>
      <c r="X140" s="287"/>
      <c r="Y140" s="287"/>
      <c r="Z140" s="287"/>
      <c r="AA140" s="287"/>
      <c r="AB140" s="287"/>
      <c r="AC140" s="287"/>
      <c r="AD140" s="288"/>
      <c r="AE140" s="289" t="s">
        <v>325</v>
      </c>
      <c r="AF140" s="290"/>
      <c r="AG140" s="290"/>
      <c r="AH140" s="290"/>
      <c r="AI140" s="290"/>
      <c r="AJ140" s="290"/>
      <c r="AK140" s="290"/>
      <c r="AL140" s="290"/>
      <c r="AM140" s="290"/>
      <c r="AN140" s="290"/>
      <c r="AO140" s="290"/>
      <c r="AP140" s="290"/>
      <c r="AQ140" s="290"/>
      <c r="AR140" s="290"/>
      <c r="AS140" s="290"/>
      <c r="AT140" s="290"/>
      <c r="AU140" s="290"/>
      <c r="AV140" s="290"/>
      <c r="AW140" s="290"/>
      <c r="AX140" s="290"/>
      <c r="AY140" s="290"/>
      <c r="AZ140" s="290"/>
      <c r="BA140" s="290"/>
      <c r="BB140" s="290"/>
      <c r="BC140" s="290"/>
      <c r="BD140" s="290"/>
      <c r="BE140" s="290"/>
      <c r="BF140" s="290"/>
      <c r="BG140" s="290"/>
      <c r="BH140" s="290"/>
      <c r="BI140" s="290"/>
      <c r="BJ140" s="291"/>
      <c r="BL140" s="96"/>
      <c r="BS140" s="10"/>
      <c r="BT140" s="10"/>
      <c r="BU140" s="10"/>
      <c r="BV140" s="10"/>
      <c r="BW140" s="10"/>
      <c r="BX140" s="10"/>
      <c r="BY140" s="10"/>
      <c r="BZ140" s="10"/>
      <c r="CA140" s="10"/>
      <c r="CB140" s="10"/>
      <c r="CC140" s="10"/>
      <c r="CD140" s="10"/>
      <c r="CE140" s="10"/>
      <c r="CF140" s="10"/>
      <c r="CG140" s="10"/>
      <c r="CH140" s="10"/>
      <c r="CI140" s="10"/>
    </row>
    <row r="141" spans="1:87" s="9" customFormat="1" ht="40.5" customHeight="1">
      <c r="A141" s="282">
        <v>130</v>
      </c>
      <c r="B141" s="282"/>
      <c r="C141" s="282"/>
      <c r="D141" s="188" t="s">
        <v>264</v>
      </c>
      <c r="E141" s="189"/>
      <c r="F141" s="189"/>
      <c r="G141" s="189"/>
      <c r="H141" s="189"/>
      <c r="I141" s="189"/>
      <c r="J141" s="189"/>
      <c r="K141" s="189"/>
      <c r="L141" s="189"/>
      <c r="M141" s="189"/>
      <c r="N141" s="189"/>
      <c r="O141" s="189"/>
      <c r="P141" s="189"/>
      <c r="Q141" s="190"/>
      <c r="R141" s="283" t="s">
        <v>213</v>
      </c>
      <c r="S141" s="284"/>
      <c r="T141" s="285"/>
      <c r="U141" s="293" t="s">
        <v>208</v>
      </c>
      <c r="V141" s="287"/>
      <c r="W141" s="287"/>
      <c r="X141" s="287"/>
      <c r="Y141" s="287"/>
      <c r="Z141" s="287"/>
      <c r="AA141" s="287"/>
      <c r="AB141" s="287"/>
      <c r="AC141" s="287"/>
      <c r="AD141" s="288"/>
      <c r="AE141" s="289" t="s">
        <v>326</v>
      </c>
      <c r="AF141" s="290"/>
      <c r="AG141" s="290"/>
      <c r="AH141" s="290"/>
      <c r="AI141" s="290"/>
      <c r="AJ141" s="290"/>
      <c r="AK141" s="290"/>
      <c r="AL141" s="290"/>
      <c r="AM141" s="290"/>
      <c r="AN141" s="290"/>
      <c r="AO141" s="290"/>
      <c r="AP141" s="290"/>
      <c r="AQ141" s="290"/>
      <c r="AR141" s="290"/>
      <c r="AS141" s="290"/>
      <c r="AT141" s="290"/>
      <c r="AU141" s="290"/>
      <c r="AV141" s="290"/>
      <c r="AW141" s="290"/>
      <c r="AX141" s="290"/>
      <c r="AY141" s="290"/>
      <c r="AZ141" s="290"/>
      <c r="BA141" s="290"/>
      <c r="BB141" s="290"/>
      <c r="BC141" s="290"/>
      <c r="BD141" s="290"/>
      <c r="BE141" s="290"/>
      <c r="BF141" s="290"/>
      <c r="BG141" s="290"/>
      <c r="BH141" s="290"/>
      <c r="BI141" s="290"/>
      <c r="BJ141" s="291"/>
      <c r="BL141" s="96"/>
      <c r="BS141" s="10"/>
      <c r="BT141" s="10"/>
      <c r="BU141" s="10"/>
      <c r="BV141" s="10"/>
      <c r="BW141" s="10"/>
      <c r="BX141" s="10"/>
      <c r="BY141" s="10"/>
      <c r="BZ141" s="10"/>
      <c r="CA141" s="10"/>
      <c r="CB141" s="10"/>
      <c r="CC141" s="10"/>
      <c r="CD141" s="10"/>
      <c r="CE141" s="10"/>
      <c r="CF141" s="10"/>
      <c r="CG141" s="10"/>
      <c r="CH141" s="10"/>
      <c r="CI141" s="10"/>
    </row>
    <row r="142" spans="1:87" s="9" customFormat="1" ht="40.5" customHeight="1">
      <c r="A142" s="282">
        <v>131</v>
      </c>
      <c r="B142" s="282"/>
      <c r="C142" s="282"/>
      <c r="D142" s="188" t="s">
        <v>234</v>
      </c>
      <c r="E142" s="189"/>
      <c r="F142" s="189"/>
      <c r="G142" s="189"/>
      <c r="H142" s="189"/>
      <c r="I142" s="189"/>
      <c r="J142" s="189"/>
      <c r="K142" s="189"/>
      <c r="L142" s="189"/>
      <c r="M142" s="189"/>
      <c r="N142" s="189"/>
      <c r="O142" s="189"/>
      <c r="P142" s="189"/>
      <c r="Q142" s="190"/>
      <c r="R142" s="283">
        <v>14</v>
      </c>
      <c r="S142" s="284"/>
      <c r="T142" s="285"/>
      <c r="U142" s="286" t="s">
        <v>207</v>
      </c>
      <c r="V142" s="287"/>
      <c r="W142" s="287"/>
      <c r="X142" s="287"/>
      <c r="Y142" s="287"/>
      <c r="Z142" s="287"/>
      <c r="AA142" s="287"/>
      <c r="AB142" s="287"/>
      <c r="AC142" s="287"/>
      <c r="AD142" s="288"/>
      <c r="AE142" s="289" t="s">
        <v>327</v>
      </c>
      <c r="AF142" s="290"/>
      <c r="AG142" s="290"/>
      <c r="AH142" s="290"/>
      <c r="AI142" s="290"/>
      <c r="AJ142" s="290"/>
      <c r="AK142" s="290"/>
      <c r="AL142" s="290"/>
      <c r="AM142" s="290"/>
      <c r="AN142" s="290"/>
      <c r="AO142" s="290"/>
      <c r="AP142" s="290"/>
      <c r="AQ142" s="290"/>
      <c r="AR142" s="290"/>
      <c r="AS142" s="290"/>
      <c r="AT142" s="290"/>
      <c r="AU142" s="290"/>
      <c r="AV142" s="290"/>
      <c r="AW142" s="290"/>
      <c r="AX142" s="290"/>
      <c r="AY142" s="290"/>
      <c r="AZ142" s="290"/>
      <c r="BA142" s="290"/>
      <c r="BB142" s="290"/>
      <c r="BC142" s="290"/>
      <c r="BD142" s="290"/>
      <c r="BE142" s="290"/>
      <c r="BF142" s="290"/>
      <c r="BG142" s="290"/>
      <c r="BH142" s="290"/>
      <c r="BI142" s="290"/>
      <c r="BJ142" s="291"/>
      <c r="BL142" s="96"/>
      <c r="BS142" s="10"/>
      <c r="BT142" s="10"/>
      <c r="BU142" s="10"/>
      <c r="BV142" s="10"/>
      <c r="BW142" s="10"/>
      <c r="BX142" s="10"/>
      <c r="BY142" s="10"/>
      <c r="BZ142" s="10"/>
      <c r="CA142" s="10"/>
      <c r="CB142" s="10"/>
      <c r="CC142" s="10"/>
      <c r="CD142" s="10"/>
      <c r="CE142" s="10"/>
      <c r="CF142" s="10"/>
      <c r="CG142" s="10"/>
      <c r="CH142" s="10"/>
      <c r="CI142" s="10"/>
    </row>
    <row r="143" spans="1:87" s="9" customFormat="1" ht="40.5" customHeight="1">
      <c r="A143" s="282">
        <v>132</v>
      </c>
      <c r="B143" s="282"/>
      <c r="C143" s="282"/>
      <c r="D143" s="188" t="s">
        <v>236</v>
      </c>
      <c r="E143" s="189"/>
      <c r="F143" s="189"/>
      <c r="G143" s="189"/>
      <c r="H143" s="189"/>
      <c r="I143" s="189"/>
      <c r="J143" s="189"/>
      <c r="K143" s="189"/>
      <c r="L143" s="189"/>
      <c r="M143" s="189"/>
      <c r="N143" s="189"/>
      <c r="O143" s="189"/>
      <c r="P143" s="189"/>
      <c r="Q143" s="190"/>
      <c r="R143" s="283">
        <v>14</v>
      </c>
      <c r="S143" s="284"/>
      <c r="T143" s="285"/>
      <c r="U143" s="286" t="s">
        <v>207</v>
      </c>
      <c r="V143" s="287"/>
      <c r="W143" s="287"/>
      <c r="X143" s="287"/>
      <c r="Y143" s="287"/>
      <c r="Z143" s="287"/>
      <c r="AA143" s="287"/>
      <c r="AB143" s="287"/>
      <c r="AC143" s="287"/>
      <c r="AD143" s="288"/>
      <c r="AE143" s="289" t="s">
        <v>328</v>
      </c>
      <c r="AF143" s="290"/>
      <c r="AG143" s="290"/>
      <c r="AH143" s="290"/>
      <c r="AI143" s="290"/>
      <c r="AJ143" s="290"/>
      <c r="AK143" s="290"/>
      <c r="AL143" s="290"/>
      <c r="AM143" s="290"/>
      <c r="AN143" s="290"/>
      <c r="AO143" s="290"/>
      <c r="AP143" s="290"/>
      <c r="AQ143" s="290"/>
      <c r="AR143" s="290"/>
      <c r="AS143" s="290"/>
      <c r="AT143" s="290"/>
      <c r="AU143" s="290"/>
      <c r="AV143" s="290"/>
      <c r="AW143" s="290"/>
      <c r="AX143" s="290"/>
      <c r="AY143" s="290"/>
      <c r="AZ143" s="290"/>
      <c r="BA143" s="290"/>
      <c r="BB143" s="290"/>
      <c r="BC143" s="290"/>
      <c r="BD143" s="290"/>
      <c r="BE143" s="290"/>
      <c r="BF143" s="290"/>
      <c r="BG143" s="290"/>
      <c r="BH143" s="290"/>
      <c r="BI143" s="290"/>
      <c r="BJ143" s="291"/>
      <c r="BL143" s="96"/>
      <c r="BS143" s="10"/>
      <c r="BT143" s="10"/>
      <c r="BU143" s="10"/>
      <c r="BV143" s="10"/>
      <c r="BW143" s="10"/>
      <c r="BX143" s="10"/>
      <c r="BY143" s="10"/>
      <c r="BZ143" s="10"/>
      <c r="CA143" s="10"/>
      <c r="CB143" s="10"/>
      <c r="CC143" s="10"/>
      <c r="CD143" s="10"/>
      <c r="CE143" s="10"/>
      <c r="CF143" s="10"/>
      <c r="CG143" s="10"/>
      <c r="CH143" s="10"/>
      <c r="CI143" s="10"/>
    </row>
    <row r="144" spans="1:87" s="9" customFormat="1" ht="40.5" customHeight="1">
      <c r="A144" s="282">
        <v>133</v>
      </c>
      <c r="B144" s="282"/>
      <c r="C144" s="282"/>
      <c r="D144" s="188" t="s">
        <v>238</v>
      </c>
      <c r="E144" s="189"/>
      <c r="F144" s="189"/>
      <c r="G144" s="189"/>
      <c r="H144" s="189"/>
      <c r="I144" s="189"/>
      <c r="J144" s="189"/>
      <c r="K144" s="189"/>
      <c r="L144" s="189"/>
      <c r="M144" s="189"/>
      <c r="N144" s="189"/>
      <c r="O144" s="189"/>
      <c r="P144" s="189"/>
      <c r="Q144" s="190"/>
      <c r="R144" s="283">
        <v>14</v>
      </c>
      <c r="S144" s="284"/>
      <c r="T144" s="285"/>
      <c r="U144" s="286" t="s">
        <v>207</v>
      </c>
      <c r="V144" s="287"/>
      <c r="W144" s="287"/>
      <c r="X144" s="287"/>
      <c r="Y144" s="287"/>
      <c r="Z144" s="287"/>
      <c r="AA144" s="287"/>
      <c r="AB144" s="287"/>
      <c r="AC144" s="287"/>
      <c r="AD144" s="288"/>
      <c r="AE144" s="289" t="s">
        <v>329</v>
      </c>
      <c r="AF144" s="290"/>
      <c r="AG144" s="290"/>
      <c r="AH144" s="290"/>
      <c r="AI144" s="290"/>
      <c r="AJ144" s="290"/>
      <c r="AK144" s="290"/>
      <c r="AL144" s="290"/>
      <c r="AM144" s="290"/>
      <c r="AN144" s="290"/>
      <c r="AO144" s="290"/>
      <c r="AP144" s="290"/>
      <c r="AQ144" s="290"/>
      <c r="AR144" s="290"/>
      <c r="AS144" s="290"/>
      <c r="AT144" s="290"/>
      <c r="AU144" s="290"/>
      <c r="AV144" s="290"/>
      <c r="AW144" s="290"/>
      <c r="AX144" s="290"/>
      <c r="AY144" s="290"/>
      <c r="AZ144" s="290"/>
      <c r="BA144" s="290"/>
      <c r="BB144" s="290"/>
      <c r="BC144" s="290"/>
      <c r="BD144" s="290"/>
      <c r="BE144" s="290"/>
      <c r="BF144" s="290"/>
      <c r="BG144" s="290"/>
      <c r="BH144" s="290"/>
      <c r="BI144" s="290"/>
      <c r="BJ144" s="291"/>
      <c r="BL144" s="96"/>
      <c r="BS144" s="10"/>
      <c r="BT144" s="10"/>
      <c r="BU144" s="10"/>
      <c r="BV144" s="10"/>
      <c r="BW144" s="10"/>
      <c r="BX144" s="10"/>
      <c r="BY144" s="10"/>
      <c r="BZ144" s="10"/>
      <c r="CA144" s="10"/>
      <c r="CB144" s="10"/>
      <c r="CC144" s="10"/>
      <c r="CD144" s="10"/>
      <c r="CE144" s="10"/>
      <c r="CF144" s="10"/>
      <c r="CG144" s="10"/>
      <c r="CH144" s="10"/>
      <c r="CI144" s="10"/>
    </row>
    <row r="145" spans="1:87" s="9" customFormat="1" ht="40.5" customHeight="1">
      <c r="A145" s="282">
        <v>134</v>
      </c>
      <c r="B145" s="282"/>
      <c r="C145" s="282"/>
      <c r="D145" s="188" t="s">
        <v>240</v>
      </c>
      <c r="E145" s="189"/>
      <c r="F145" s="189"/>
      <c r="G145" s="189"/>
      <c r="H145" s="189"/>
      <c r="I145" s="189"/>
      <c r="J145" s="189"/>
      <c r="K145" s="189"/>
      <c r="L145" s="189"/>
      <c r="M145" s="189"/>
      <c r="N145" s="189"/>
      <c r="O145" s="189"/>
      <c r="P145" s="189"/>
      <c r="Q145" s="190"/>
      <c r="R145" s="283">
        <v>14</v>
      </c>
      <c r="S145" s="284"/>
      <c r="T145" s="285"/>
      <c r="U145" s="286" t="s">
        <v>207</v>
      </c>
      <c r="V145" s="287"/>
      <c r="W145" s="287"/>
      <c r="X145" s="287"/>
      <c r="Y145" s="287"/>
      <c r="Z145" s="287"/>
      <c r="AA145" s="287"/>
      <c r="AB145" s="287"/>
      <c r="AC145" s="287"/>
      <c r="AD145" s="288"/>
      <c r="AE145" s="289" t="s">
        <v>330</v>
      </c>
      <c r="AF145" s="290"/>
      <c r="AG145" s="290"/>
      <c r="AH145" s="290"/>
      <c r="AI145" s="290"/>
      <c r="AJ145" s="290"/>
      <c r="AK145" s="290"/>
      <c r="AL145" s="290"/>
      <c r="AM145" s="290"/>
      <c r="AN145" s="290"/>
      <c r="AO145" s="290"/>
      <c r="AP145" s="290"/>
      <c r="AQ145" s="290"/>
      <c r="AR145" s="290"/>
      <c r="AS145" s="290"/>
      <c r="AT145" s="290"/>
      <c r="AU145" s="290"/>
      <c r="AV145" s="290"/>
      <c r="AW145" s="290"/>
      <c r="AX145" s="290"/>
      <c r="AY145" s="290"/>
      <c r="AZ145" s="290"/>
      <c r="BA145" s="290"/>
      <c r="BB145" s="290"/>
      <c r="BC145" s="290"/>
      <c r="BD145" s="290"/>
      <c r="BE145" s="290"/>
      <c r="BF145" s="290"/>
      <c r="BG145" s="290"/>
      <c r="BH145" s="290"/>
      <c r="BI145" s="290"/>
      <c r="BJ145" s="291"/>
      <c r="BL145" s="96"/>
      <c r="BS145" s="10"/>
      <c r="BT145" s="10"/>
      <c r="BU145" s="10"/>
      <c r="BV145" s="10"/>
      <c r="BW145" s="10"/>
      <c r="BX145" s="10"/>
      <c r="BY145" s="10"/>
      <c r="BZ145" s="10"/>
      <c r="CA145" s="10"/>
      <c r="CB145" s="10"/>
      <c r="CC145" s="10"/>
      <c r="CD145" s="10"/>
      <c r="CE145" s="10"/>
      <c r="CF145" s="10"/>
      <c r="CG145" s="10"/>
      <c r="CH145" s="10"/>
      <c r="CI145" s="10"/>
    </row>
    <row r="146" spans="1:87" s="9" customFormat="1" ht="48.6" customHeight="1">
      <c r="A146" s="282">
        <v>135</v>
      </c>
      <c r="B146" s="282"/>
      <c r="C146" s="282"/>
      <c r="D146" s="188" t="s">
        <v>262</v>
      </c>
      <c r="E146" s="189"/>
      <c r="F146" s="189"/>
      <c r="G146" s="189"/>
      <c r="H146" s="189"/>
      <c r="I146" s="189"/>
      <c r="J146" s="189"/>
      <c r="K146" s="189"/>
      <c r="L146" s="189"/>
      <c r="M146" s="189"/>
      <c r="N146" s="189"/>
      <c r="O146" s="189"/>
      <c r="P146" s="189"/>
      <c r="Q146" s="190"/>
      <c r="R146" s="283">
        <v>14</v>
      </c>
      <c r="S146" s="284"/>
      <c r="T146" s="285"/>
      <c r="U146" s="286" t="s">
        <v>207</v>
      </c>
      <c r="V146" s="287"/>
      <c r="W146" s="287"/>
      <c r="X146" s="287"/>
      <c r="Y146" s="287"/>
      <c r="Z146" s="287"/>
      <c r="AA146" s="287"/>
      <c r="AB146" s="287"/>
      <c r="AC146" s="287"/>
      <c r="AD146" s="288"/>
      <c r="AE146" s="289" t="s">
        <v>331</v>
      </c>
      <c r="AF146" s="290"/>
      <c r="AG146" s="290"/>
      <c r="AH146" s="290"/>
      <c r="AI146" s="290"/>
      <c r="AJ146" s="290"/>
      <c r="AK146" s="290"/>
      <c r="AL146" s="290"/>
      <c r="AM146" s="290"/>
      <c r="AN146" s="290"/>
      <c r="AO146" s="290"/>
      <c r="AP146" s="290"/>
      <c r="AQ146" s="290"/>
      <c r="AR146" s="290"/>
      <c r="AS146" s="290"/>
      <c r="AT146" s="290"/>
      <c r="AU146" s="290"/>
      <c r="AV146" s="290"/>
      <c r="AW146" s="290"/>
      <c r="AX146" s="290"/>
      <c r="AY146" s="290"/>
      <c r="AZ146" s="290"/>
      <c r="BA146" s="290"/>
      <c r="BB146" s="290"/>
      <c r="BC146" s="290"/>
      <c r="BD146" s="290"/>
      <c r="BE146" s="290"/>
      <c r="BF146" s="290"/>
      <c r="BG146" s="290"/>
      <c r="BH146" s="290"/>
      <c r="BI146" s="290"/>
      <c r="BJ146" s="291"/>
      <c r="BL146" s="96"/>
      <c r="BS146" s="10"/>
      <c r="BT146" s="10"/>
      <c r="BU146" s="10"/>
      <c r="BV146" s="10"/>
      <c r="BW146" s="10"/>
      <c r="BX146" s="10"/>
      <c r="BY146" s="10"/>
      <c r="BZ146" s="10"/>
      <c r="CA146" s="10"/>
      <c r="CB146" s="10"/>
      <c r="CC146" s="10"/>
      <c r="CD146" s="10"/>
      <c r="CE146" s="10"/>
      <c r="CF146" s="10"/>
      <c r="CG146" s="10"/>
      <c r="CH146" s="10"/>
      <c r="CI146" s="10"/>
    </row>
    <row r="147" spans="1:87" s="9" customFormat="1" ht="48.6" customHeight="1">
      <c r="A147" s="282">
        <v>136</v>
      </c>
      <c r="B147" s="282"/>
      <c r="C147" s="282"/>
      <c r="D147" s="188" t="s">
        <v>261</v>
      </c>
      <c r="E147" s="189"/>
      <c r="F147" s="189"/>
      <c r="G147" s="189"/>
      <c r="H147" s="189"/>
      <c r="I147" s="189"/>
      <c r="J147" s="189"/>
      <c r="K147" s="189"/>
      <c r="L147" s="189"/>
      <c r="M147" s="189"/>
      <c r="N147" s="189"/>
      <c r="O147" s="189"/>
      <c r="P147" s="189"/>
      <c r="Q147" s="190"/>
      <c r="R147" s="283">
        <v>14</v>
      </c>
      <c r="S147" s="284"/>
      <c r="T147" s="285"/>
      <c r="U147" s="286" t="s">
        <v>207</v>
      </c>
      <c r="V147" s="287"/>
      <c r="W147" s="287"/>
      <c r="X147" s="287"/>
      <c r="Y147" s="287"/>
      <c r="Z147" s="287"/>
      <c r="AA147" s="287"/>
      <c r="AB147" s="287"/>
      <c r="AC147" s="287"/>
      <c r="AD147" s="288"/>
      <c r="AE147" s="289" t="s">
        <v>332</v>
      </c>
      <c r="AF147" s="290"/>
      <c r="AG147" s="290"/>
      <c r="AH147" s="290"/>
      <c r="AI147" s="290"/>
      <c r="AJ147" s="290"/>
      <c r="AK147" s="290"/>
      <c r="AL147" s="290"/>
      <c r="AM147" s="290"/>
      <c r="AN147" s="290"/>
      <c r="AO147" s="290"/>
      <c r="AP147" s="290"/>
      <c r="AQ147" s="290"/>
      <c r="AR147" s="290"/>
      <c r="AS147" s="290"/>
      <c r="AT147" s="290"/>
      <c r="AU147" s="290"/>
      <c r="AV147" s="290"/>
      <c r="AW147" s="290"/>
      <c r="AX147" s="290"/>
      <c r="AY147" s="290"/>
      <c r="AZ147" s="290"/>
      <c r="BA147" s="290"/>
      <c r="BB147" s="290"/>
      <c r="BC147" s="290"/>
      <c r="BD147" s="290"/>
      <c r="BE147" s="290"/>
      <c r="BF147" s="290"/>
      <c r="BG147" s="290"/>
      <c r="BH147" s="290"/>
      <c r="BI147" s="290"/>
      <c r="BJ147" s="291"/>
      <c r="BL147" s="96"/>
      <c r="BS147" s="10"/>
      <c r="BT147" s="10"/>
      <c r="BU147" s="10"/>
      <c r="BV147" s="10"/>
      <c r="BW147" s="10"/>
      <c r="BX147" s="10"/>
      <c r="BY147" s="10"/>
      <c r="BZ147" s="10"/>
      <c r="CA147" s="10"/>
      <c r="CB147" s="10"/>
      <c r="CC147" s="10"/>
      <c r="CD147" s="10"/>
      <c r="CE147" s="10"/>
      <c r="CF147" s="10"/>
      <c r="CG147" s="10"/>
      <c r="CH147" s="10"/>
      <c r="CI147" s="10"/>
    </row>
    <row r="148" spans="1:87" s="9" customFormat="1" ht="48.6" customHeight="1">
      <c r="A148" s="282">
        <v>137</v>
      </c>
      <c r="B148" s="282"/>
      <c r="C148" s="282"/>
      <c r="D148" s="188" t="s">
        <v>262</v>
      </c>
      <c r="E148" s="189"/>
      <c r="F148" s="189"/>
      <c r="G148" s="189"/>
      <c r="H148" s="189"/>
      <c r="I148" s="189"/>
      <c r="J148" s="189"/>
      <c r="K148" s="189"/>
      <c r="L148" s="189"/>
      <c r="M148" s="189"/>
      <c r="N148" s="189"/>
      <c r="O148" s="189"/>
      <c r="P148" s="189"/>
      <c r="Q148" s="190"/>
      <c r="R148" s="283">
        <v>14</v>
      </c>
      <c r="S148" s="284"/>
      <c r="T148" s="285"/>
      <c r="U148" s="286" t="s">
        <v>207</v>
      </c>
      <c r="V148" s="287"/>
      <c r="W148" s="287"/>
      <c r="X148" s="287"/>
      <c r="Y148" s="287"/>
      <c r="Z148" s="287"/>
      <c r="AA148" s="287"/>
      <c r="AB148" s="287"/>
      <c r="AC148" s="287"/>
      <c r="AD148" s="288"/>
      <c r="AE148" s="289" t="s">
        <v>331</v>
      </c>
      <c r="AF148" s="290"/>
      <c r="AG148" s="290"/>
      <c r="AH148" s="290"/>
      <c r="AI148" s="290"/>
      <c r="AJ148" s="290"/>
      <c r="AK148" s="290"/>
      <c r="AL148" s="290"/>
      <c r="AM148" s="290"/>
      <c r="AN148" s="290"/>
      <c r="AO148" s="290"/>
      <c r="AP148" s="290"/>
      <c r="AQ148" s="290"/>
      <c r="AR148" s="290"/>
      <c r="AS148" s="290"/>
      <c r="AT148" s="290"/>
      <c r="AU148" s="290"/>
      <c r="AV148" s="290"/>
      <c r="AW148" s="290"/>
      <c r="AX148" s="290"/>
      <c r="AY148" s="290"/>
      <c r="AZ148" s="290"/>
      <c r="BA148" s="290"/>
      <c r="BB148" s="290"/>
      <c r="BC148" s="290"/>
      <c r="BD148" s="290"/>
      <c r="BE148" s="290"/>
      <c r="BF148" s="290"/>
      <c r="BG148" s="290"/>
      <c r="BH148" s="290"/>
      <c r="BI148" s="290"/>
      <c r="BJ148" s="291"/>
      <c r="BL148" s="96"/>
      <c r="BS148" s="10"/>
      <c r="BT148" s="10"/>
      <c r="BU148" s="10"/>
      <c r="BV148" s="10"/>
      <c r="BW148" s="10"/>
      <c r="BX148" s="10"/>
      <c r="BY148" s="10"/>
      <c r="BZ148" s="10"/>
      <c r="CA148" s="10"/>
      <c r="CB148" s="10"/>
      <c r="CC148" s="10"/>
      <c r="CD148" s="10"/>
      <c r="CE148" s="10"/>
      <c r="CF148" s="10"/>
      <c r="CG148" s="10"/>
      <c r="CH148" s="10"/>
      <c r="CI148" s="10"/>
    </row>
    <row r="149" spans="1:87" s="9" customFormat="1" ht="48.6" customHeight="1">
      <c r="A149" s="282">
        <v>138</v>
      </c>
      <c r="B149" s="282"/>
      <c r="C149" s="282"/>
      <c r="D149" s="188" t="s">
        <v>261</v>
      </c>
      <c r="E149" s="189"/>
      <c r="F149" s="189"/>
      <c r="G149" s="189"/>
      <c r="H149" s="189"/>
      <c r="I149" s="189"/>
      <c r="J149" s="189"/>
      <c r="K149" s="189"/>
      <c r="L149" s="189"/>
      <c r="M149" s="189"/>
      <c r="N149" s="189"/>
      <c r="O149" s="189"/>
      <c r="P149" s="189"/>
      <c r="Q149" s="190"/>
      <c r="R149" s="283">
        <v>14</v>
      </c>
      <c r="S149" s="284"/>
      <c r="T149" s="285"/>
      <c r="U149" s="286" t="s">
        <v>207</v>
      </c>
      <c r="V149" s="287"/>
      <c r="W149" s="287"/>
      <c r="X149" s="287"/>
      <c r="Y149" s="287"/>
      <c r="Z149" s="287"/>
      <c r="AA149" s="287"/>
      <c r="AB149" s="287"/>
      <c r="AC149" s="287"/>
      <c r="AD149" s="288"/>
      <c r="AE149" s="289" t="s">
        <v>332</v>
      </c>
      <c r="AF149" s="290"/>
      <c r="AG149" s="290"/>
      <c r="AH149" s="290"/>
      <c r="AI149" s="290"/>
      <c r="AJ149" s="290"/>
      <c r="AK149" s="290"/>
      <c r="AL149" s="290"/>
      <c r="AM149" s="290"/>
      <c r="AN149" s="290"/>
      <c r="AO149" s="290"/>
      <c r="AP149" s="290"/>
      <c r="AQ149" s="290"/>
      <c r="AR149" s="290"/>
      <c r="AS149" s="290"/>
      <c r="AT149" s="290"/>
      <c r="AU149" s="290"/>
      <c r="AV149" s="290"/>
      <c r="AW149" s="290"/>
      <c r="AX149" s="290"/>
      <c r="AY149" s="290"/>
      <c r="AZ149" s="290"/>
      <c r="BA149" s="290"/>
      <c r="BB149" s="290"/>
      <c r="BC149" s="290"/>
      <c r="BD149" s="290"/>
      <c r="BE149" s="290"/>
      <c r="BF149" s="290"/>
      <c r="BG149" s="290"/>
      <c r="BH149" s="290"/>
      <c r="BI149" s="290"/>
      <c r="BJ149" s="291"/>
      <c r="BL149" s="96"/>
      <c r="BS149" s="10"/>
      <c r="BT149" s="10"/>
      <c r="BU149" s="10"/>
      <c r="BV149" s="10"/>
      <c r="BW149" s="10"/>
      <c r="BX149" s="10"/>
      <c r="BY149" s="10"/>
      <c r="BZ149" s="10"/>
      <c r="CA149" s="10"/>
      <c r="CB149" s="10"/>
      <c r="CC149" s="10"/>
      <c r="CD149" s="10"/>
      <c r="CE149" s="10"/>
      <c r="CF149" s="10"/>
      <c r="CG149" s="10"/>
      <c r="CH149" s="10"/>
      <c r="CI149" s="10"/>
    </row>
    <row r="150" spans="1:87" s="9" customFormat="1" ht="40.5" customHeight="1">
      <c r="A150" s="282">
        <v>139</v>
      </c>
      <c r="B150" s="282"/>
      <c r="C150" s="282"/>
      <c r="D150" s="188" t="s">
        <v>246</v>
      </c>
      <c r="E150" s="189"/>
      <c r="F150" s="189"/>
      <c r="G150" s="189"/>
      <c r="H150" s="189"/>
      <c r="I150" s="189"/>
      <c r="J150" s="189"/>
      <c r="K150" s="189"/>
      <c r="L150" s="189"/>
      <c r="M150" s="189"/>
      <c r="N150" s="189"/>
      <c r="O150" s="189"/>
      <c r="P150" s="189"/>
      <c r="Q150" s="190"/>
      <c r="R150" s="283" t="s">
        <v>213</v>
      </c>
      <c r="S150" s="284"/>
      <c r="T150" s="285"/>
      <c r="U150" s="293" t="s">
        <v>208</v>
      </c>
      <c r="V150" s="287"/>
      <c r="W150" s="287"/>
      <c r="X150" s="287"/>
      <c r="Y150" s="287"/>
      <c r="Z150" s="287"/>
      <c r="AA150" s="287"/>
      <c r="AB150" s="287"/>
      <c r="AC150" s="287"/>
      <c r="AD150" s="288"/>
      <c r="AE150" s="289" t="s">
        <v>333</v>
      </c>
      <c r="AF150" s="290"/>
      <c r="AG150" s="290"/>
      <c r="AH150" s="290"/>
      <c r="AI150" s="290"/>
      <c r="AJ150" s="290"/>
      <c r="AK150" s="290"/>
      <c r="AL150" s="290"/>
      <c r="AM150" s="290"/>
      <c r="AN150" s="290"/>
      <c r="AO150" s="290"/>
      <c r="AP150" s="290"/>
      <c r="AQ150" s="290"/>
      <c r="AR150" s="290"/>
      <c r="AS150" s="290"/>
      <c r="AT150" s="290"/>
      <c r="AU150" s="290"/>
      <c r="AV150" s="290"/>
      <c r="AW150" s="290"/>
      <c r="AX150" s="290"/>
      <c r="AY150" s="290"/>
      <c r="AZ150" s="290"/>
      <c r="BA150" s="290"/>
      <c r="BB150" s="290"/>
      <c r="BC150" s="290"/>
      <c r="BD150" s="290"/>
      <c r="BE150" s="290"/>
      <c r="BF150" s="290"/>
      <c r="BG150" s="290"/>
      <c r="BH150" s="290"/>
      <c r="BI150" s="290"/>
      <c r="BJ150" s="291"/>
      <c r="BL150" s="96"/>
      <c r="BS150" s="10"/>
      <c r="BT150" s="10"/>
      <c r="BU150" s="10"/>
      <c r="BV150" s="10"/>
      <c r="BW150" s="10"/>
      <c r="BX150" s="10"/>
      <c r="BY150" s="10"/>
      <c r="BZ150" s="10"/>
      <c r="CA150" s="10"/>
      <c r="CB150" s="10"/>
      <c r="CC150" s="10"/>
      <c r="CD150" s="10"/>
      <c r="CE150" s="10"/>
      <c r="CF150" s="10"/>
      <c r="CG150" s="10"/>
      <c r="CH150" s="10"/>
      <c r="CI150" s="10"/>
    </row>
    <row r="151" spans="1:87" s="9" customFormat="1" ht="40.5" customHeight="1">
      <c r="A151" s="282">
        <v>140</v>
      </c>
      <c r="B151" s="282"/>
      <c r="C151" s="282"/>
      <c r="D151" s="188" t="s">
        <v>247</v>
      </c>
      <c r="E151" s="189"/>
      <c r="F151" s="189"/>
      <c r="G151" s="189"/>
      <c r="H151" s="189"/>
      <c r="I151" s="189"/>
      <c r="J151" s="189"/>
      <c r="K151" s="189"/>
      <c r="L151" s="189"/>
      <c r="M151" s="189"/>
      <c r="N151" s="189"/>
      <c r="O151" s="189"/>
      <c r="P151" s="189"/>
      <c r="Q151" s="190"/>
      <c r="R151" s="283">
        <v>14</v>
      </c>
      <c r="S151" s="284"/>
      <c r="T151" s="285"/>
      <c r="U151" s="286" t="s">
        <v>207</v>
      </c>
      <c r="V151" s="287"/>
      <c r="W151" s="287"/>
      <c r="X151" s="287"/>
      <c r="Y151" s="287"/>
      <c r="Z151" s="287"/>
      <c r="AA151" s="287"/>
      <c r="AB151" s="287"/>
      <c r="AC151" s="287"/>
      <c r="AD151" s="288"/>
      <c r="AE151" s="289" t="s">
        <v>334</v>
      </c>
      <c r="AF151" s="290"/>
      <c r="AG151" s="290"/>
      <c r="AH151" s="290"/>
      <c r="AI151" s="290"/>
      <c r="AJ151" s="290"/>
      <c r="AK151" s="290"/>
      <c r="AL151" s="290"/>
      <c r="AM151" s="290"/>
      <c r="AN151" s="290"/>
      <c r="AO151" s="290"/>
      <c r="AP151" s="290"/>
      <c r="AQ151" s="290"/>
      <c r="AR151" s="290"/>
      <c r="AS151" s="290"/>
      <c r="AT151" s="290"/>
      <c r="AU151" s="290"/>
      <c r="AV151" s="290"/>
      <c r="AW151" s="290"/>
      <c r="AX151" s="290"/>
      <c r="AY151" s="290"/>
      <c r="AZ151" s="290"/>
      <c r="BA151" s="290"/>
      <c r="BB151" s="290"/>
      <c r="BC151" s="290"/>
      <c r="BD151" s="290"/>
      <c r="BE151" s="290"/>
      <c r="BF151" s="290"/>
      <c r="BG151" s="290"/>
      <c r="BH151" s="290"/>
      <c r="BI151" s="290"/>
      <c r="BJ151" s="291"/>
      <c r="BL151" s="96"/>
      <c r="BS151" s="10"/>
      <c r="BT151" s="10"/>
      <c r="BU151" s="10"/>
      <c r="BV151" s="10"/>
      <c r="BW151" s="10"/>
      <c r="BX151" s="10"/>
      <c r="BY151" s="10"/>
      <c r="BZ151" s="10"/>
      <c r="CA151" s="10"/>
      <c r="CB151" s="10"/>
      <c r="CC151" s="10"/>
      <c r="CD151" s="10"/>
      <c r="CE151" s="10"/>
      <c r="CF151" s="10"/>
      <c r="CG151" s="10"/>
      <c r="CH151" s="10"/>
      <c r="CI151" s="10"/>
    </row>
    <row r="152" spans="1:87" s="9" customFormat="1" ht="40.5" customHeight="1">
      <c r="A152" s="282">
        <v>141</v>
      </c>
      <c r="B152" s="282"/>
      <c r="C152" s="282"/>
      <c r="D152" s="188" t="s">
        <v>249</v>
      </c>
      <c r="E152" s="189"/>
      <c r="F152" s="189"/>
      <c r="G152" s="189"/>
      <c r="H152" s="189"/>
      <c r="I152" s="189"/>
      <c r="J152" s="189"/>
      <c r="K152" s="189"/>
      <c r="L152" s="189"/>
      <c r="M152" s="189"/>
      <c r="N152" s="189"/>
      <c r="O152" s="189"/>
      <c r="P152" s="189"/>
      <c r="Q152" s="190"/>
      <c r="R152" s="283">
        <v>14</v>
      </c>
      <c r="S152" s="284"/>
      <c r="T152" s="285"/>
      <c r="U152" s="286" t="s">
        <v>207</v>
      </c>
      <c r="V152" s="287"/>
      <c r="W152" s="287"/>
      <c r="X152" s="287"/>
      <c r="Y152" s="287"/>
      <c r="Z152" s="287"/>
      <c r="AA152" s="287"/>
      <c r="AB152" s="287"/>
      <c r="AC152" s="287"/>
      <c r="AD152" s="288"/>
      <c r="AE152" s="289" t="s">
        <v>335</v>
      </c>
      <c r="AF152" s="290"/>
      <c r="AG152" s="290"/>
      <c r="AH152" s="290"/>
      <c r="AI152" s="290"/>
      <c r="AJ152" s="290"/>
      <c r="AK152" s="290"/>
      <c r="AL152" s="290"/>
      <c r="AM152" s="290"/>
      <c r="AN152" s="290"/>
      <c r="AO152" s="290"/>
      <c r="AP152" s="290"/>
      <c r="AQ152" s="290"/>
      <c r="AR152" s="290"/>
      <c r="AS152" s="290"/>
      <c r="AT152" s="290"/>
      <c r="AU152" s="290"/>
      <c r="AV152" s="290"/>
      <c r="AW152" s="290"/>
      <c r="AX152" s="290"/>
      <c r="AY152" s="290"/>
      <c r="AZ152" s="290"/>
      <c r="BA152" s="290"/>
      <c r="BB152" s="290"/>
      <c r="BC152" s="290"/>
      <c r="BD152" s="290"/>
      <c r="BE152" s="290"/>
      <c r="BF152" s="290"/>
      <c r="BG152" s="290"/>
      <c r="BH152" s="290"/>
      <c r="BI152" s="290"/>
      <c r="BJ152" s="291"/>
      <c r="BL152" s="96"/>
      <c r="BS152" s="10"/>
      <c r="BT152" s="10"/>
      <c r="BU152" s="10"/>
      <c r="BV152" s="10"/>
      <c r="BW152" s="10"/>
      <c r="BX152" s="10"/>
      <c r="BY152" s="10"/>
      <c r="BZ152" s="10"/>
      <c r="CA152" s="10"/>
      <c r="CB152" s="10"/>
      <c r="CC152" s="10"/>
      <c r="CD152" s="10"/>
      <c r="CE152" s="10"/>
      <c r="CF152" s="10"/>
      <c r="CG152" s="10"/>
      <c r="CH152" s="10"/>
      <c r="CI152" s="10"/>
    </row>
    <row r="153" spans="1:87" s="9" customFormat="1" ht="40.5" customHeight="1">
      <c r="A153" s="282">
        <v>142</v>
      </c>
      <c r="B153" s="282"/>
      <c r="C153" s="282"/>
      <c r="D153" s="188" t="s">
        <v>251</v>
      </c>
      <c r="E153" s="189"/>
      <c r="F153" s="189"/>
      <c r="G153" s="189"/>
      <c r="H153" s="189"/>
      <c r="I153" s="189"/>
      <c r="J153" s="189"/>
      <c r="K153" s="189"/>
      <c r="L153" s="189"/>
      <c r="M153" s="189"/>
      <c r="N153" s="189"/>
      <c r="O153" s="189"/>
      <c r="P153" s="189"/>
      <c r="Q153" s="190"/>
      <c r="R153" s="283">
        <v>14</v>
      </c>
      <c r="S153" s="284"/>
      <c r="T153" s="285"/>
      <c r="U153" s="286" t="s">
        <v>207</v>
      </c>
      <c r="V153" s="287"/>
      <c r="W153" s="287"/>
      <c r="X153" s="287"/>
      <c r="Y153" s="287"/>
      <c r="Z153" s="287"/>
      <c r="AA153" s="287"/>
      <c r="AB153" s="287"/>
      <c r="AC153" s="287"/>
      <c r="AD153" s="288"/>
      <c r="AE153" s="289" t="s">
        <v>336</v>
      </c>
      <c r="AF153" s="290"/>
      <c r="AG153" s="290"/>
      <c r="AH153" s="290"/>
      <c r="AI153" s="290"/>
      <c r="AJ153" s="290"/>
      <c r="AK153" s="290"/>
      <c r="AL153" s="290"/>
      <c r="AM153" s="290"/>
      <c r="AN153" s="290"/>
      <c r="AO153" s="290"/>
      <c r="AP153" s="290"/>
      <c r="AQ153" s="290"/>
      <c r="AR153" s="290"/>
      <c r="AS153" s="290"/>
      <c r="AT153" s="290"/>
      <c r="AU153" s="290"/>
      <c r="AV153" s="290"/>
      <c r="AW153" s="290"/>
      <c r="AX153" s="290"/>
      <c r="AY153" s="290"/>
      <c r="AZ153" s="290"/>
      <c r="BA153" s="290"/>
      <c r="BB153" s="290"/>
      <c r="BC153" s="290"/>
      <c r="BD153" s="290"/>
      <c r="BE153" s="290"/>
      <c r="BF153" s="290"/>
      <c r="BG153" s="290"/>
      <c r="BH153" s="290"/>
      <c r="BI153" s="290"/>
      <c r="BJ153" s="291"/>
      <c r="BL153" s="96"/>
      <c r="BS153" s="10"/>
      <c r="BT153" s="10"/>
      <c r="BU153" s="10"/>
      <c r="BV153" s="10"/>
      <c r="BW153" s="10"/>
      <c r="BX153" s="10"/>
      <c r="BY153" s="10"/>
      <c r="BZ153" s="10"/>
      <c r="CA153" s="10"/>
      <c r="CB153" s="10"/>
      <c r="CC153" s="10"/>
      <c r="CD153" s="10"/>
      <c r="CE153" s="10"/>
      <c r="CF153" s="10"/>
      <c r="CG153" s="10"/>
      <c r="CH153" s="10"/>
      <c r="CI153" s="10"/>
    </row>
    <row r="154" spans="1:87" s="9" customFormat="1" ht="40.5" customHeight="1">
      <c r="A154" s="282">
        <v>143</v>
      </c>
      <c r="B154" s="282"/>
      <c r="C154" s="282"/>
      <c r="D154" s="188" t="s">
        <v>253</v>
      </c>
      <c r="E154" s="189"/>
      <c r="F154" s="189"/>
      <c r="G154" s="189"/>
      <c r="H154" s="189"/>
      <c r="I154" s="189"/>
      <c r="J154" s="189"/>
      <c r="K154" s="189"/>
      <c r="L154" s="189"/>
      <c r="M154" s="189"/>
      <c r="N154" s="189"/>
      <c r="O154" s="189"/>
      <c r="P154" s="189"/>
      <c r="Q154" s="190"/>
      <c r="R154" s="283">
        <v>14</v>
      </c>
      <c r="S154" s="284"/>
      <c r="T154" s="285"/>
      <c r="U154" s="286" t="s">
        <v>207</v>
      </c>
      <c r="V154" s="287"/>
      <c r="W154" s="287"/>
      <c r="X154" s="287"/>
      <c r="Y154" s="287"/>
      <c r="Z154" s="287"/>
      <c r="AA154" s="287"/>
      <c r="AB154" s="287"/>
      <c r="AC154" s="287"/>
      <c r="AD154" s="288"/>
      <c r="AE154" s="289" t="s">
        <v>337</v>
      </c>
      <c r="AF154" s="290"/>
      <c r="AG154" s="290"/>
      <c r="AH154" s="290"/>
      <c r="AI154" s="290"/>
      <c r="AJ154" s="290"/>
      <c r="AK154" s="290"/>
      <c r="AL154" s="290"/>
      <c r="AM154" s="290"/>
      <c r="AN154" s="290"/>
      <c r="AO154" s="290"/>
      <c r="AP154" s="290"/>
      <c r="AQ154" s="290"/>
      <c r="AR154" s="290"/>
      <c r="AS154" s="290"/>
      <c r="AT154" s="290"/>
      <c r="AU154" s="290"/>
      <c r="AV154" s="290"/>
      <c r="AW154" s="290"/>
      <c r="AX154" s="290"/>
      <c r="AY154" s="290"/>
      <c r="AZ154" s="290"/>
      <c r="BA154" s="290"/>
      <c r="BB154" s="290"/>
      <c r="BC154" s="290"/>
      <c r="BD154" s="290"/>
      <c r="BE154" s="290"/>
      <c r="BF154" s="290"/>
      <c r="BG154" s="290"/>
      <c r="BH154" s="290"/>
      <c r="BI154" s="290"/>
      <c r="BJ154" s="291"/>
      <c r="BL154" s="96"/>
      <c r="BS154" s="10"/>
      <c r="BT154" s="10"/>
      <c r="BU154" s="10"/>
      <c r="BV154" s="10"/>
      <c r="BW154" s="10"/>
      <c r="BX154" s="10"/>
      <c r="BY154" s="10"/>
      <c r="BZ154" s="10"/>
      <c r="CA154" s="10"/>
      <c r="CB154" s="10"/>
      <c r="CC154" s="10"/>
      <c r="CD154" s="10"/>
      <c r="CE154" s="10"/>
      <c r="CF154" s="10"/>
      <c r="CG154" s="10"/>
      <c r="CH154" s="10"/>
      <c r="CI154" s="10"/>
    </row>
    <row r="155" spans="1:87" s="9" customFormat="1" ht="40.5" customHeight="1">
      <c r="A155" s="282"/>
      <c r="B155" s="282"/>
      <c r="C155" s="282"/>
      <c r="D155" s="292" t="s">
        <v>228</v>
      </c>
      <c r="E155" s="287"/>
      <c r="F155" s="287"/>
      <c r="G155" s="287"/>
      <c r="H155" s="287"/>
      <c r="I155" s="287"/>
      <c r="J155" s="287"/>
      <c r="K155" s="287"/>
      <c r="L155" s="287"/>
      <c r="M155" s="287"/>
      <c r="N155" s="287"/>
      <c r="O155" s="287"/>
      <c r="P155" s="287"/>
      <c r="Q155" s="288"/>
      <c r="R155" s="283"/>
      <c r="S155" s="284"/>
      <c r="T155" s="285"/>
      <c r="U155" s="286"/>
      <c r="V155" s="287"/>
      <c r="W155" s="287"/>
      <c r="X155" s="287"/>
      <c r="Y155" s="287"/>
      <c r="Z155" s="287"/>
      <c r="AA155" s="287"/>
      <c r="AB155" s="287"/>
      <c r="AC155" s="287"/>
      <c r="AD155" s="288"/>
      <c r="AE155" s="289"/>
      <c r="AF155" s="290"/>
      <c r="AG155" s="290"/>
      <c r="AH155" s="290"/>
      <c r="AI155" s="290"/>
      <c r="AJ155" s="290"/>
      <c r="AK155" s="290"/>
      <c r="AL155" s="290"/>
      <c r="AM155" s="290"/>
      <c r="AN155" s="290"/>
      <c r="AO155" s="290"/>
      <c r="AP155" s="290"/>
      <c r="AQ155" s="290"/>
      <c r="AR155" s="290"/>
      <c r="AS155" s="290"/>
      <c r="AT155" s="290"/>
      <c r="AU155" s="290"/>
      <c r="AV155" s="290"/>
      <c r="AW155" s="290"/>
      <c r="AX155" s="290"/>
      <c r="AY155" s="290"/>
      <c r="AZ155" s="290"/>
      <c r="BA155" s="290"/>
      <c r="BB155" s="290"/>
      <c r="BC155" s="290"/>
      <c r="BD155" s="290"/>
      <c r="BE155" s="290"/>
      <c r="BF155" s="290"/>
      <c r="BG155" s="290"/>
      <c r="BH155" s="290"/>
      <c r="BI155" s="290"/>
      <c r="BJ155" s="291"/>
      <c r="BL155" s="96"/>
      <c r="BS155" s="10"/>
      <c r="BT155" s="10"/>
      <c r="BU155" s="10"/>
      <c r="BV155" s="10"/>
      <c r="BW155" s="10"/>
      <c r="BX155" s="10"/>
      <c r="BY155" s="10"/>
      <c r="BZ155" s="10"/>
      <c r="CA155" s="10"/>
      <c r="CB155" s="10"/>
      <c r="CC155" s="10"/>
      <c r="CD155" s="10"/>
      <c r="CE155" s="10"/>
      <c r="CF155" s="10"/>
      <c r="CG155" s="10"/>
      <c r="CH155" s="10"/>
      <c r="CI155" s="10"/>
    </row>
    <row r="156" spans="1:87" s="9" customFormat="1" ht="48.6" customHeight="1">
      <c r="A156" s="282">
        <v>144</v>
      </c>
      <c r="B156" s="282"/>
      <c r="C156" s="282"/>
      <c r="D156" s="292" t="s">
        <v>174</v>
      </c>
      <c r="E156" s="287"/>
      <c r="F156" s="287"/>
      <c r="G156" s="287"/>
      <c r="H156" s="287"/>
      <c r="I156" s="287"/>
      <c r="J156" s="287"/>
      <c r="K156" s="287"/>
      <c r="L156" s="287"/>
      <c r="M156" s="287"/>
      <c r="N156" s="287"/>
      <c r="O156" s="287"/>
      <c r="P156" s="287"/>
      <c r="Q156" s="288"/>
      <c r="R156" s="283">
        <v>14</v>
      </c>
      <c r="S156" s="284"/>
      <c r="T156" s="285"/>
      <c r="U156" s="286" t="s">
        <v>207</v>
      </c>
      <c r="V156" s="287"/>
      <c r="W156" s="287"/>
      <c r="X156" s="287"/>
      <c r="Y156" s="287"/>
      <c r="Z156" s="287"/>
      <c r="AA156" s="287"/>
      <c r="AB156" s="287"/>
      <c r="AC156" s="287"/>
      <c r="AD156" s="288"/>
      <c r="AE156" s="289" t="s">
        <v>338</v>
      </c>
      <c r="AF156" s="290"/>
      <c r="AG156" s="290"/>
      <c r="AH156" s="290"/>
      <c r="AI156" s="290"/>
      <c r="AJ156" s="290"/>
      <c r="AK156" s="290"/>
      <c r="AL156" s="290"/>
      <c r="AM156" s="290"/>
      <c r="AN156" s="290"/>
      <c r="AO156" s="290"/>
      <c r="AP156" s="290"/>
      <c r="AQ156" s="290"/>
      <c r="AR156" s="290"/>
      <c r="AS156" s="290"/>
      <c r="AT156" s="290"/>
      <c r="AU156" s="290"/>
      <c r="AV156" s="290"/>
      <c r="AW156" s="290"/>
      <c r="AX156" s="290"/>
      <c r="AY156" s="290"/>
      <c r="AZ156" s="290"/>
      <c r="BA156" s="290"/>
      <c r="BB156" s="290"/>
      <c r="BC156" s="290"/>
      <c r="BD156" s="290"/>
      <c r="BE156" s="290"/>
      <c r="BF156" s="290"/>
      <c r="BG156" s="290"/>
      <c r="BH156" s="290"/>
      <c r="BI156" s="290"/>
      <c r="BJ156" s="291"/>
      <c r="BL156" s="96"/>
      <c r="BS156" s="10"/>
      <c r="BT156" s="10"/>
      <c r="BU156" s="10"/>
      <c r="BV156" s="10"/>
      <c r="BW156" s="10"/>
      <c r="BX156" s="10"/>
      <c r="BY156" s="10"/>
      <c r="BZ156" s="10"/>
      <c r="CA156" s="10"/>
      <c r="CB156" s="10"/>
      <c r="CC156" s="10"/>
      <c r="CD156" s="10"/>
      <c r="CE156" s="10"/>
      <c r="CF156" s="10"/>
      <c r="CG156" s="10"/>
      <c r="CH156" s="10"/>
      <c r="CI156" s="10"/>
    </row>
    <row r="157" spans="1:87" s="9" customFormat="1" ht="48.6" customHeight="1">
      <c r="A157" s="282">
        <v>145</v>
      </c>
      <c r="B157" s="282"/>
      <c r="C157" s="282"/>
      <c r="D157" s="292" t="s">
        <v>175</v>
      </c>
      <c r="E157" s="287"/>
      <c r="F157" s="287"/>
      <c r="G157" s="287"/>
      <c r="H157" s="287"/>
      <c r="I157" s="287"/>
      <c r="J157" s="287"/>
      <c r="K157" s="287"/>
      <c r="L157" s="287"/>
      <c r="M157" s="287"/>
      <c r="N157" s="287"/>
      <c r="O157" s="287"/>
      <c r="P157" s="287"/>
      <c r="Q157" s="288"/>
      <c r="R157" s="283">
        <v>14</v>
      </c>
      <c r="S157" s="284"/>
      <c r="T157" s="285"/>
      <c r="U157" s="286" t="s">
        <v>207</v>
      </c>
      <c r="V157" s="287"/>
      <c r="W157" s="287"/>
      <c r="X157" s="287"/>
      <c r="Y157" s="287"/>
      <c r="Z157" s="287"/>
      <c r="AA157" s="287"/>
      <c r="AB157" s="287"/>
      <c r="AC157" s="287"/>
      <c r="AD157" s="288"/>
      <c r="AE157" s="289" t="s">
        <v>339</v>
      </c>
      <c r="AF157" s="290"/>
      <c r="AG157" s="290"/>
      <c r="AH157" s="290"/>
      <c r="AI157" s="290"/>
      <c r="AJ157" s="290"/>
      <c r="AK157" s="290"/>
      <c r="AL157" s="290"/>
      <c r="AM157" s="290"/>
      <c r="AN157" s="290"/>
      <c r="AO157" s="290"/>
      <c r="AP157" s="290"/>
      <c r="AQ157" s="290"/>
      <c r="AR157" s="290"/>
      <c r="AS157" s="290"/>
      <c r="AT157" s="290"/>
      <c r="AU157" s="290"/>
      <c r="AV157" s="290"/>
      <c r="AW157" s="290"/>
      <c r="AX157" s="290"/>
      <c r="AY157" s="290"/>
      <c r="AZ157" s="290"/>
      <c r="BA157" s="290"/>
      <c r="BB157" s="290"/>
      <c r="BC157" s="290"/>
      <c r="BD157" s="290"/>
      <c r="BE157" s="290"/>
      <c r="BF157" s="290"/>
      <c r="BG157" s="290"/>
      <c r="BH157" s="290"/>
      <c r="BI157" s="290"/>
      <c r="BJ157" s="291"/>
      <c r="BL157" s="96"/>
      <c r="BS157" s="10"/>
      <c r="BT157" s="10"/>
      <c r="BU157" s="10"/>
      <c r="BV157" s="10"/>
      <c r="BW157" s="10"/>
      <c r="BX157" s="10"/>
      <c r="BY157" s="10"/>
      <c r="BZ157" s="10"/>
      <c r="CA157" s="10"/>
      <c r="CB157" s="10"/>
      <c r="CC157" s="10"/>
      <c r="CD157" s="10"/>
      <c r="CE157" s="10"/>
      <c r="CF157" s="10"/>
      <c r="CG157" s="10"/>
      <c r="CH157" s="10"/>
      <c r="CI157" s="10"/>
    </row>
    <row r="158" spans="1:87" s="9" customFormat="1" ht="48.6" customHeight="1">
      <c r="A158" s="282">
        <v>146</v>
      </c>
      <c r="B158" s="282"/>
      <c r="C158" s="282"/>
      <c r="D158" s="292" t="s">
        <v>174</v>
      </c>
      <c r="E158" s="287"/>
      <c r="F158" s="287"/>
      <c r="G158" s="287"/>
      <c r="H158" s="287"/>
      <c r="I158" s="287"/>
      <c r="J158" s="287"/>
      <c r="K158" s="287"/>
      <c r="L158" s="287"/>
      <c r="M158" s="287"/>
      <c r="N158" s="287"/>
      <c r="O158" s="287"/>
      <c r="P158" s="287"/>
      <c r="Q158" s="288"/>
      <c r="R158" s="283">
        <v>14</v>
      </c>
      <c r="S158" s="284"/>
      <c r="T158" s="285"/>
      <c r="U158" s="286" t="s">
        <v>207</v>
      </c>
      <c r="V158" s="287"/>
      <c r="W158" s="287"/>
      <c r="X158" s="287"/>
      <c r="Y158" s="287"/>
      <c r="Z158" s="287"/>
      <c r="AA158" s="287"/>
      <c r="AB158" s="287"/>
      <c r="AC158" s="287"/>
      <c r="AD158" s="288"/>
      <c r="AE158" s="289" t="s">
        <v>338</v>
      </c>
      <c r="AF158" s="290"/>
      <c r="AG158" s="290"/>
      <c r="AH158" s="290"/>
      <c r="AI158" s="290"/>
      <c r="AJ158" s="290"/>
      <c r="AK158" s="290"/>
      <c r="AL158" s="290"/>
      <c r="AM158" s="290"/>
      <c r="AN158" s="290"/>
      <c r="AO158" s="290"/>
      <c r="AP158" s="290"/>
      <c r="AQ158" s="290"/>
      <c r="AR158" s="290"/>
      <c r="AS158" s="290"/>
      <c r="AT158" s="290"/>
      <c r="AU158" s="290"/>
      <c r="AV158" s="290"/>
      <c r="AW158" s="290"/>
      <c r="AX158" s="290"/>
      <c r="AY158" s="290"/>
      <c r="AZ158" s="290"/>
      <c r="BA158" s="290"/>
      <c r="BB158" s="290"/>
      <c r="BC158" s="290"/>
      <c r="BD158" s="290"/>
      <c r="BE158" s="290"/>
      <c r="BF158" s="290"/>
      <c r="BG158" s="290"/>
      <c r="BH158" s="290"/>
      <c r="BI158" s="290"/>
      <c r="BJ158" s="291"/>
      <c r="BL158" s="96"/>
      <c r="BS158" s="10"/>
      <c r="BT158" s="10"/>
      <c r="BU158" s="10"/>
      <c r="BV158" s="10"/>
      <c r="BW158" s="10"/>
      <c r="BX158" s="10"/>
      <c r="BY158" s="10"/>
      <c r="BZ158" s="10"/>
      <c r="CA158" s="10"/>
      <c r="CB158" s="10"/>
      <c r="CC158" s="10"/>
      <c r="CD158" s="10"/>
      <c r="CE158" s="10"/>
      <c r="CF158" s="10"/>
      <c r="CG158" s="10"/>
      <c r="CH158" s="10"/>
      <c r="CI158" s="10"/>
    </row>
    <row r="159" spans="1:87" s="9" customFormat="1" ht="48.6" customHeight="1">
      <c r="A159" s="282">
        <v>147</v>
      </c>
      <c r="B159" s="282"/>
      <c r="C159" s="282"/>
      <c r="D159" s="292" t="s">
        <v>175</v>
      </c>
      <c r="E159" s="287"/>
      <c r="F159" s="287"/>
      <c r="G159" s="287"/>
      <c r="H159" s="287"/>
      <c r="I159" s="287"/>
      <c r="J159" s="287"/>
      <c r="K159" s="287"/>
      <c r="L159" s="287"/>
      <c r="M159" s="287"/>
      <c r="N159" s="287"/>
      <c r="O159" s="287"/>
      <c r="P159" s="287"/>
      <c r="Q159" s="288"/>
      <c r="R159" s="283">
        <v>14</v>
      </c>
      <c r="S159" s="284"/>
      <c r="T159" s="285"/>
      <c r="U159" s="286" t="s">
        <v>207</v>
      </c>
      <c r="V159" s="287"/>
      <c r="W159" s="287"/>
      <c r="X159" s="287"/>
      <c r="Y159" s="287"/>
      <c r="Z159" s="287"/>
      <c r="AA159" s="287"/>
      <c r="AB159" s="287"/>
      <c r="AC159" s="287"/>
      <c r="AD159" s="288"/>
      <c r="AE159" s="289" t="s">
        <v>339</v>
      </c>
      <c r="AF159" s="290"/>
      <c r="AG159" s="290"/>
      <c r="AH159" s="290"/>
      <c r="AI159" s="290"/>
      <c r="AJ159" s="290"/>
      <c r="AK159" s="290"/>
      <c r="AL159" s="290"/>
      <c r="AM159" s="290"/>
      <c r="AN159" s="290"/>
      <c r="AO159" s="290"/>
      <c r="AP159" s="290"/>
      <c r="AQ159" s="290"/>
      <c r="AR159" s="290"/>
      <c r="AS159" s="290"/>
      <c r="AT159" s="290"/>
      <c r="AU159" s="290"/>
      <c r="AV159" s="290"/>
      <c r="AW159" s="290"/>
      <c r="AX159" s="290"/>
      <c r="AY159" s="290"/>
      <c r="AZ159" s="290"/>
      <c r="BA159" s="290"/>
      <c r="BB159" s="290"/>
      <c r="BC159" s="290"/>
      <c r="BD159" s="290"/>
      <c r="BE159" s="290"/>
      <c r="BF159" s="290"/>
      <c r="BG159" s="290"/>
      <c r="BH159" s="290"/>
      <c r="BI159" s="290"/>
      <c r="BJ159" s="291"/>
      <c r="BL159" s="96"/>
      <c r="BS159" s="10"/>
      <c r="BT159" s="10"/>
      <c r="BU159" s="10"/>
      <c r="BV159" s="10"/>
      <c r="BW159" s="10"/>
      <c r="BX159" s="10"/>
      <c r="BY159" s="10"/>
      <c r="BZ159" s="10"/>
      <c r="CA159" s="10"/>
      <c r="CB159" s="10"/>
      <c r="CC159" s="10"/>
      <c r="CD159" s="10"/>
      <c r="CE159" s="10"/>
      <c r="CF159" s="10"/>
      <c r="CG159" s="10"/>
      <c r="CH159" s="10"/>
      <c r="CI159" s="10"/>
    </row>
    <row r="160" spans="1:87" s="9" customFormat="1" ht="40.5" customHeight="1">
      <c r="A160" s="282">
        <v>148</v>
      </c>
      <c r="B160" s="282"/>
      <c r="C160" s="282"/>
      <c r="D160" s="292" t="s">
        <v>179</v>
      </c>
      <c r="E160" s="287"/>
      <c r="F160" s="287"/>
      <c r="G160" s="287"/>
      <c r="H160" s="287"/>
      <c r="I160" s="287"/>
      <c r="J160" s="287"/>
      <c r="K160" s="287"/>
      <c r="L160" s="287"/>
      <c r="M160" s="287"/>
      <c r="N160" s="287"/>
      <c r="O160" s="287"/>
      <c r="P160" s="287"/>
      <c r="Q160" s="288"/>
      <c r="R160" s="283" t="s">
        <v>213</v>
      </c>
      <c r="S160" s="284"/>
      <c r="T160" s="285"/>
      <c r="U160" s="293" t="s">
        <v>208</v>
      </c>
      <c r="V160" s="287"/>
      <c r="W160" s="287"/>
      <c r="X160" s="287"/>
      <c r="Y160" s="287"/>
      <c r="Z160" s="287"/>
      <c r="AA160" s="287"/>
      <c r="AB160" s="287"/>
      <c r="AC160" s="287"/>
      <c r="AD160" s="288"/>
      <c r="AE160" s="289" t="s">
        <v>340</v>
      </c>
      <c r="AF160" s="290"/>
      <c r="AG160" s="290"/>
      <c r="AH160" s="290"/>
      <c r="AI160" s="290"/>
      <c r="AJ160" s="290"/>
      <c r="AK160" s="290"/>
      <c r="AL160" s="290"/>
      <c r="AM160" s="290"/>
      <c r="AN160" s="290"/>
      <c r="AO160" s="290"/>
      <c r="AP160" s="290"/>
      <c r="AQ160" s="290"/>
      <c r="AR160" s="290"/>
      <c r="AS160" s="290"/>
      <c r="AT160" s="290"/>
      <c r="AU160" s="290"/>
      <c r="AV160" s="290"/>
      <c r="AW160" s="290"/>
      <c r="AX160" s="290"/>
      <c r="AY160" s="290"/>
      <c r="AZ160" s="290"/>
      <c r="BA160" s="290"/>
      <c r="BB160" s="290"/>
      <c r="BC160" s="290"/>
      <c r="BD160" s="290"/>
      <c r="BE160" s="290"/>
      <c r="BF160" s="290"/>
      <c r="BG160" s="290"/>
      <c r="BH160" s="290"/>
      <c r="BI160" s="290"/>
      <c r="BJ160" s="291"/>
      <c r="BL160" s="96"/>
      <c r="BS160" s="10"/>
      <c r="BT160" s="10"/>
      <c r="BU160" s="10"/>
      <c r="BV160" s="10"/>
      <c r="BW160" s="10"/>
      <c r="BX160" s="10"/>
      <c r="BY160" s="10"/>
      <c r="BZ160" s="10"/>
      <c r="CA160" s="10"/>
      <c r="CB160" s="10"/>
      <c r="CC160" s="10"/>
      <c r="CD160" s="10"/>
      <c r="CE160" s="10"/>
      <c r="CF160" s="10"/>
      <c r="CG160" s="10"/>
      <c r="CH160" s="10"/>
      <c r="CI160" s="10"/>
    </row>
    <row r="161" spans="1:87" s="9" customFormat="1" ht="40.5" customHeight="1">
      <c r="A161" s="282">
        <v>149</v>
      </c>
      <c r="B161" s="282"/>
      <c r="C161" s="282"/>
      <c r="D161" s="292" t="s">
        <v>276</v>
      </c>
      <c r="E161" s="287"/>
      <c r="F161" s="287"/>
      <c r="G161" s="287"/>
      <c r="H161" s="287"/>
      <c r="I161" s="287"/>
      <c r="J161" s="287"/>
      <c r="K161" s="287"/>
      <c r="L161" s="287"/>
      <c r="M161" s="287"/>
      <c r="N161" s="287"/>
      <c r="O161" s="287"/>
      <c r="P161" s="287"/>
      <c r="Q161" s="288"/>
      <c r="R161" s="283">
        <v>14</v>
      </c>
      <c r="S161" s="284"/>
      <c r="T161" s="285"/>
      <c r="U161" s="286" t="s">
        <v>207</v>
      </c>
      <c r="V161" s="287"/>
      <c r="W161" s="287"/>
      <c r="X161" s="287"/>
      <c r="Y161" s="287"/>
      <c r="Z161" s="287"/>
      <c r="AA161" s="287"/>
      <c r="AB161" s="287"/>
      <c r="AC161" s="287"/>
      <c r="AD161" s="288"/>
      <c r="AE161" s="289" t="s">
        <v>341</v>
      </c>
      <c r="AF161" s="290"/>
      <c r="AG161" s="290"/>
      <c r="AH161" s="290"/>
      <c r="AI161" s="290"/>
      <c r="AJ161" s="290"/>
      <c r="AK161" s="290"/>
      <c r="AL161" s="290"/>
      <c r="AM161" s="290"/>
      <c r="AN161" s="290"/>
      <c r="AO161" s="290"/>
      <c r="AP161" s="290"/>
      <c r="AQ161" s="290"/>
      <c r="AR161" s="290"/>
      <c r="AS161" s="290"/>
      <c r="AT161" s="290"/>
      <c r="AU161" s="290"/>
      <c r="AV161" s="290"/>
      <c r="AW161" s="290"/>
      <c r="AX161" s="290"/>
      <c r="AY161" s="290"/>
      <c r="AZ161" s="290"/>
      <c r="BA161" s="290"/>
      <c r="BB161" s="290"/>
      <c r="BC161" s="290"/>
      <c r="BD161" s="290"/>
      <c r="BE161" s="290"/>
      <c r="BF161" s="290"/>
      <c r="BG161" s="290"/>
      <c r="BH161" s="290"/>
      <c r="BI161" s="290"/>
      <c r="BJ161" s="291"/>
      <c r="BL161" s="96"/>
      <c r="BS161" s="10"/>
      <c r="BT161" s="10"/>
      <c r="BU161" s="10"/>
      <c r="BV161" s="10"/>
      <c r="BW161" s="10"/>
      <c r="BX161" s="10"/>
      <c r="BY161" s="10"/>
      <c r="BZ161" s="10"/>
      <c r="CA161" s="10"/>
      <c r="CB161" s="10"/>
      <c r="CC161" s="10"/>
      <c r="CD161" s="10"/>
      <c r="CE161" s="10"/>
      <c r="CF161" s="10"/>
      <c r="CG161" s="10"/>
      <c r="CH161" s="10"/>
      <c r="CI161" s="10"/>
    </row>
    <row r="162" spans="1:87" s="9" customFormat="1" ht="40.5" customHeight="1">
      <c r="A162" s="282">
        <v>150</v>
      </c>
      <c r="B162" s="282"/>
      <c r="C162" s="282"/>
      <c r="D162" s="292" t="s">
        <v>232</v>
      </c>
      <c r="E162" s="287"/>
      <c r="F162" s="287"/>
      <c r="G162" s="287"/>
      <c r="H162" s="287"/>
      <c r="I162" s="287"/>
      <c r="J162" s="287"/>
      <c r="K162" s="287"/>
      <c r="L162" s="287"/>
      <c r="M162" s="287"/>
      <c r="N162" s="287"/>
      <c r="O162" s="287"/>
      <c r="P162" s="287"/>
      <c r="Q162" s="288"/>
      <c r="R162" s="283">
        <v>14</v>
      </c>
      <c r="S162" s="284"/>
      <c r="T162" s="285"/>
      <c r="U162" s="286" t="s">
        <v>207</v>
      </c>
      <c r="V162" s="287"/>
      <c r="W162" s="287"/>
      <c r="X162" s="287"/>
      <c r="Y162" s="287"/>
      <c r="Z162" s="287"/>
      <c r="AA162" s="287"/>
      <c r="AB162" s="287"/>
      <c r="AC162" s="287"/>
      <c r="AD162" s="288"/>
      <c r="AE162" s="289" t="s">
        <v>342</v>
      </c>
      <c r="AF162" s="290"/>
      <c r="AG162" s="290"/>
      <c r="AH162" s="290"/>
      <c r="AI162" s="290"/>
      <c r="AJ162" s="290"/>
      <c r="AK162" s="290"/>
      <c r="AL162" s="290"/>
      <c r="AM162" s="290"/>
      <c r="AN162" s="290"/>
      <c r="AO162" s="290"/>
      <c r="AP162" s="290"/>
      <c r="AQ162" s="290"/>
      <c r="AR162" s="290"/>
      <c r="AS162" s="290"/>
      <c r="AT162" s="290"/>
      <c r="AU162" s="290"/>
      <c r="AV162" s="290"/>
      <c r="AW162" s="290"/>
      <c r="AX162" s="290"/>
      <c r="AY162" s="290"/>
      <c r="AZ162" s="290"/>
      <c r="BA162" s="290"/>
      <c r="BB162" s="290"/>
      <c r="BC162" s="290"/>
      <c r="BD162" s="290"/>
      <c r="BE162" s="290"/>
      <c r="BF162" s="290"/>
      <c r="BG162" s="290"/>
      <c r="BH162" s="290"/>
      <c r="BI162" s="290"/>
      <c r="BJ162" s="291"/>
      <c r="BL162" s="96"/>
      <c r="BS162" s="10"/>
      <c r="BT162" s="10"/>
      <c r="BU162" s="10"/>
      <c r="BV162" s="10"/>
      <c r="BW162" s="10"/>
      <c r="BX162" s="10"/>
      <c r="BY162" s="10"/>
      <c r="BZ162" s="10"/>
      <c r="CA162" s="10"/>
      <c r="CB162" s="10"/>
      <c r="CC162" s="10"/>
      <c r="CD162" s="10"/>
      <c r="CE162" s="10"/>
      <c r="CF162" s="10"/>
      <c r="CG162" s="10"/>
      <c r="CH162" s="10"/>
      <c r="CI162" s="10"/>
    </row>
    <row r="163" spans="1:87" s="9" customFormat="1" ht="40.5" customHeight="1">
      <c r="A163" s="282">
        <v>151</v>
      </c>
      <c r="B163" s="282"/>
      <c r="C163" s="282"/>
      <c r="D163" s="292" t="s">
        <v>277</v>
      </c>
      <c r="E163" s="287"/>
      <c r="F163" s="287"/>
      <c r="G163" s="287"/>
      <c r="H163" s="287"/>
      <c r="I163" s="287"/>
      <c r="J163" s="287"/>
      <c r="K163" s="287"/>
      <c r="L163" s="287"/>
      <c r="M163" s="287"/>
      <c r="N163" s="287"/>
      <c r="O163" s="287"/>
      <c r="P163" s="287"/>
      <c r="Q163" s="288"/>
      <c r="R163" s="283">
        <v>14</v>
      </c>
      <c r="S163" s="284"/>
      <c r="T163" s="285"/>
      <c r="U163" s="286" t="s">
        <v>207</v>
      </c>
      <c r="V163" s="287"/>
      <c r="W163" s="287"/>
      <c r="X163" s="287"/>
      <c r="Y163" s="287"/>
      <c r="Z163" s="287"/>
      <c r="AA163" s="287"/>
      <c r="AB163" s="287"/>
      <c r="AC163" s="287"/>
      <c r="AD163" s="288"/>
      <c r="AE163" s="289" t="s">
        <v>343</v>
      </c>
      <c r="AF163" s="290"/>
      <c r="AG163" s="290"/>
      <c r="AH163" s="290"/>
      <c r="AI163" s="290"/>
      <c r="AJ163" s="290"/>
      <c r="AK163" s="290"/>
      <c r="AL163" s="290"/>
      <c r="AM163" s="290"/>
      <c r="AN163" s="290"/>
      <c r="AO163" s="290"/>
      <c r="AP163" s="290"/>
      <c r="AQ163" s="290"/>
      <c r="AR163" s="290"/>
      <c r="AS163" s="290"/>
      <c r="AT163" s="290"/>
      <c r="AU163" s="290"/>
      <c r="AV163" s="290"/>
      <c r="AW163" s="290"/>
      <c r="AX163" s="290"/>
      <c r="AY163" s="290"/>
      <c r="AZ163" s="290"/>
      <c r="BA163" s="290"/>
      <c r="BB163" s="290"/>
      <c r="BC163" s="290"/>
      <c r="BD163" s="290"/>
      <c r="BE163" s="290"/>
      <c r="BF163" s="290"/>
      <c r="BG163" s="290"/>
      <c r="BH163" s="290"/>
      <c r="BI163" s="290"/>
      <c r="BJ163" s="291"/>
      <c r="BL163" s="96"/>
      <c r="BS163" s="10"/>
      <c r="BT163" s="10"/>
      <c r="BU163" s="10"/>
      <c r="BV163" s="10"/>
      <c r="BW163" s="10"/>
      <c r="BX163" s="10"/>
      <c r="BY163" s="10"/>
      <c r="BZ163" s="10"/>
      <c r="CA163" s="10"/>
      <c r="CB163" s="10"/>
      <c r="CC163" s="10"/>
      <c r="CD163" s="10"/>
      <c r="CE163" s="10"/>
      <c r="CF163" s="10"/>
      <c r="CG163" s="10"/>
      <c r="CH163" s="10"/>
      <c r="CI163" s="10"/>
    </row>
    <row r="164" spans="1:87" s="9" customFormat="1" ht="40.5" customHeight="1">
      <c r="A164" s="282">
        <v>152</v>
      </c>
      <c r="B164" s="282"/>
      <c r="C164" s="282"/>
      <c r="D164" s="292" t="s">
        <v>230</v>
      </c>
      <c r="E164" s="287"/>
      <c r="F164" s="287"/>
      <c r="G164" s="287"/>
      <c r="H164" s="287"/>
      <c r="I164" s="287"/>
      <c r="J164" s="287"/>
      <c r="K164" s="287"/>
      <c r="L164" s="287"/>
      <c r="M164" s="287"/>
      <c r="N164" s="287"/>
      <c r="O164" s="287"/>
      <c r="P164" s="287"/>
      <c r="Q164" s="288"/>
      <c r="R164" s="283">
        <v>14</v>
      </c>
      <c r="S164" s="284"/>
      <c r="T164" s="285"/>
      <c r="U164" s="286" t="s">
        <v>207</v>
      </c>
      <c r="V164" s="287"/>
      <c r="W164" s="287"/>
      <c r="X164" s="287"/>
      <c r="Y164" s="287"/>
      <c r="Z164" s="287"/>
      <c r="AA164" s="287"/>
      <c r="AB164" s="287"/>
      <c r="AC164" s="287"/>
      <c r="AD164" s="288"/>
      <c r="AE164" s="289" t="s">
        <v>344</v>
      </c>
      <c r="AF164" s="290"/>
      <c r="AG164" s="290"/>
      <c r="AH164" s="290"/>
      <c r="AI164" s="290"/>
      <c r="AJ164" s="290"/>
      <c r="AK164" s="290"/>
      <c r="AL164" s="290"/>
      <c r="AM164" s="290"/>
      <c r="AN164" s="290"/>
      <c r="AO164" s="290"/>
      <c r="AP164" s="290"/>
      <c r="AQ164" s="290"/>
      <c r="AR164" s="290"/>
      <c r="AS164" s="290"/>
      <c r="AT164" s="290"/>
      <c r="AU164" s="290"/>
      <c r="AV164" s="290"/>
      <c r="AW164" s="290"/>
      <c r="AX164" s="290"/>
      <c r="AY164" s="290"/>
      <c r="AZ164" s="290"/>
      <c r="BA164" s="290"/>
      <c r="BB164" s="290"/>
      <c r="BC164" s="290"/>
      <c r="BD164" s="290"/>
      <c r="BE164" s="290"/>
      <c r="BF164" s="290"/>
      <c r="BG164" s="290"/>
      <c r="BH164" s="290"/>
      <c r="BI164" s="290"/>
      <c r="BJ164" s="291"/>
      <c r="BL164" s="96"/>
      <c r="BS164" s="10"/>
      <c r="BT164" s="10"/>
      <c r="BU164" s="10"/>
      <c r="BV164" s="10"/>
      <c r="BW164" s="10"/>
      <c r="BX164" s="10"/>
      <c r="BY164" s="10"/>
      <c r="BZ164" s="10"/>
      <c r="CA164" s="10"/>
      <c r="CB164" s="10"/>
      <c r="CC164" s="10"/>
      <c r="CD164" s="10"/>
      <c r="CE164" s="10"/>
      <c r="CF164" s="10"/>
      <c r="CG164" s="10"/>
      <c r="CH164" s="10"/>
      <c r="CI164" s="10"/>
    </row>
    <row r="165" spans="1:87" s="9" customFormat="1" ht="48.6" customHeight="1">
      <c r="A165" s="282">
        <v>153</v>
      </c>
      <c r="B165" s="282"/>
      <c r="C165" s="282"/>
      <c r="D165" s="188" t="s">
        <v>268</v>
      </c>
      <c r="E165" s="189"/>
      <c r="F165" s="189"/>
      <c r="G165" s="189"/>
      <c r="H165" s="189"/>
      <c r="I165" s="189"/>
      <c r="J165" s="189"/>
      <c r="K165" s="189"/>
      <c r="L165" s="189"/>
      <c r="M165" s="189"/>
      <c r="N165" s="189"/>
      <c r="O165" s="189"/>
      <c r="P165" s="189"/>
      <c r="Q165" s="190"/>
      <c r="R165" s="283">
        <v>14</v>
      </c>
      <c r="S165" s="284"/>
      <c r="T165" s="285"/>
      <c r="U165" s="286" t="s">
        <v>207</v>
      </c>
      <c r="V165" s="287"/>
      <c r="W165" s="287"/>
      <c r="X165" s="287"/>
      <c r="Y165" s="287"/>
      <c r="Z165" s="287"/>
      <c r="AA165" s="287"/>
      <c r="AB165" s="287"/>
      <c r="AC165" s="287"/>
      <c r="AD165" s="288"/>
      <c r="AE165" s="289" t="s">
        <v>345</v>
      </c>
      <c r="AF165" s="290"/>
      <c r="AG165" s="290"/>
      <c r="AH165" s="290"/>
      <c r="AI165" s="290"/>
      <c r="AJ165" s="290"/>
      <c r="AK165" s="290"/>
      <c r="AL165" s="290"/>
      <c r="AM165" s="290"/>
      <c r="AN165" s="290"/>
      <c r="AO165" s="290"/>
      <c r="AP165" s="290"/>
      <c r="AQ165" s="290"/>
      <c r="AR165" s="290"/>
      <c r="AS165" s="290"/>
      <c r="AT165" s="290"/>
      <c r="AU165" s="290"/>
      <c r="AV165" s="290"/>
      <c r="AW165" s="290"/>
      <c r="AX165" s="290"/>
      <c r="AY165" s="290"/>
      <c r="AZ165" s="290"/>
      <c r="BA165" s="290"/>
      <c r="BB165" s="290"/>
      <c r="BC165" s="290"/>
      <c r="BD165" s="290"/>
      <c r="BE165" s="290"/>
      <c r="BF165" s="290"/>
      <c r="BG165" s="290"/>
      <c r="BH165" s="290"/>
      <c r="BI165" s="290"/>
      <c r="BJ165" s="291"/>
      <c r="BL165" s="96"/>
      <c r="BS165" s="10"/>
      <c r="BT165" s="10"/>
      <c r="BU165" s="10"/>
      <c r="BV165" s="10"/>
      <c r="BW165" s="10"/>
      <c r="BX165" s="10"/>
      <c r="BY165" s="10"/>
      <c r="BZ165" s="10"/>
      <c r="CA165" s="10"/>
      <c r="CB165" s="10"/>
      <c r="CC165" s="10"/>
      <c r="CD165" s="10"/>
      <c r="CE165" s="10"/>
      <c r="CF165" s="10"/>
      <c r="CG165" s="10"/>
      <c r="CH165" s="10"/>
      <c r="CI165" s="10"/>
    </row>
    <row r="166" spans="1:87" s="9" customFormat="1" ht="48.6" customHeight="1">
      <c r="A166" s="282">
        <v>154</v>
      </c>
      <c r="B166" s="282"/>
      <c r="C166" s="282"/>
      <c r="D166" s="188" t="s">
        <v>267</v>
      </c>
      <c r="E166" s="189"/>
      <c r="F166" s="189"/>
      <c r="G166" s="189"/>
      <c r="H166" s="189"/>
      <c r="I166" s="189"/>
      <c r="J166" s="189"/>
      <c r="K166" s="189"/>
      <c r="L166" s="189"/>
      <c r="M166" s="189"/>
      <c r="N166" s="189"/>
      <c r="O166" s="189"/>
      <c r="P166" s="189"/>
      <c r="Q166" s="190"/>
      <c r="R166" s="283">
        <v>14</v>
      </c>
      <c r="S166" s="284"/>
      <c r="T166" s="285"/>
      <c r="U166" s="286" t="s">
        <v>207</v>
      </c>
      <c r="V166" s="287"/>
      <c r="W166" s="287"/>
      <c r="X166" s="287"/>
      <c r="Y166" s="287"/>
      <c r="Z166" s="287"/>
      <c r="AA166" s="287"/>
      <c r="AB166" s="287"/>
      <c r="AC166" s="287"/>
      <c r="AD166" s="288"/>
      <c r="AE166" s="289" t="s">
        <v>346</v>
      </c>
      <c r="AF166" s="290"/>
      <c r="AG166" s="290"/>
      <c r="AH166" s="290"/>
      <c r="AI166" s="290"/>
      <c r="AJ166" s="290"/>
      <c r="AK166" s="290"/>
      <c r="AL166" s="290"/>
      <c r="AM166" s="290"/>
      <c r="AN166" s="290"/>
      <c r="AO166" s="290"/>
      <c r="AP166" s="290"/>
      <c r="AQ166" s="290"/>
      <c r="AR166" s="290"/>
      <c r="AS166" s="290"/>
      <c r="AT166" s="290"/>
      <c r="AU166" s="290"/>
      <c r="AV166" s="290"/>
      <c r="AW166" s="290"/>
      <c r="AX166" s="290"/>
      <c r="AY166" s="290"/>
      <c r="AZ166" s="290"/>
      <c r="BA166" s="290"/>
      <c r="BB166" s="290"/>
      <c r="BC166" s="290"/>
      <c r="BD166" s="290"/>
      <c r="BE166" s="290"/>
      <c r="BF166" s="290"/>
      <c r="BG166" s="290"/>
      <c r="BH166" s="290"/>
      <c r="BI166" s="290"/>
      <c r="BJ166" s="291"/>
      <c r="BL166" s="96"/>
      <c r="BS166" s="10"/>
      <c r="BT166" s="10"/>
      <c r="BU166" s="10"/>
      <c r="BV166" s="10"/>
      <c r="BW166" s="10"/>
      <c r="BX166" s="10"/>
      <c r="BY166" s="10"/>
      <c r="BZ166" s="10"/>
      <c r="CA166" s="10"/>
      <c r="CB166" s="10"/>
      <c r="CC166" s="10"/>
      <c r="CD166" s="10"/>
      <c r="CE166" s="10"/>
      <c r="CF166" s="10"/>
      <c r="CG166" s="10"/>
      <c r="CH166" s="10"/>
      <c r="CI166" s="10"/>
    </row>
    <row r="167" spans="1:87" s="9" customFormat="1" ht="48.6" customHeight="1">
      <c r="A167" s="282">
        <v>155</v>
      </c>
      <c r="B167" s="282"/>
      <c r="C167" s="282"/>
      <c r="D167" s="188" t="s">
        <v>268</v>
      </c>
      <c r="E167" s="189"/>
      <c r="F167" s="189"/>
      <c r="G167" s="189"/>
      <c r="H167" s="189"/>
      <c r="I167" s="189"/>
      <c r="J167" s="189"/>
      <c r="K167" s="189"/>
      <c r="L167" s="189"/>
      <c r="M167" s="189"/>
      <c r="N167" s="189"/>
      <c r="O167" s="189"/>
      <c r="P167" s="189"/>
      <c r="Q167" s="190"/>
      <c r="R167" s="283">
        <v>14</v>
      </c>
      <c r="S167" s="284"/>
      <c r="T167" s="285"/>
      <c r="U167" s="286" t="s">
        <v>207</v>
      </c>
      <c r="V167" s="287"/>
      <c r="W167" s="287"/>
      <c r="X167" s="287"/>
      <c r="Y167" s="287"/>
      <c r="Z167" s="287"/>
      <c r="AA167" s="287"/>
      <c r="AB167" s="287"/>
      <c r="AC167" s="287"/>
      <c r="AD167" s="288"/>
      <c r="AE167" s="289" t="s">
        <v>345</v>
      </c>
      <c r="AF167" s="290"/>
      <c r="AG167" s="290"/>
      <c r="AH167" s="290"/>
      <c r="AI167" s="290"/>
      <c r="AJ167" s="290"/>
      <c r="AK167" s="290"/>
      <c r="AL167" s="290"/>
      <c r="AM167" s="290"/>
      <c r="AN167" s="290"/>
      <c r="AO167" s="290"/>
      <c r="AP167" s="290"/>
      <c r="AQ167" s="290"/>
      <c r="AR167" s="290"/>
      <c r="AS167" s="290"/>
      <c r="AT167" s="290"/>
      <c r="AU167" s="290"/>
      <c r="AV167" s="290"/>
      <c r="AW167" s="290"/>
      <c r="AX167" s="290"/>
      <c r="AY167" s="290"/>
      <c r="AZ167" s="290"/>
      <c r="BA167" s="290"/>
      <c r="BB167" s="290"/>
      <c r="BC167" s="290"/>
      <c r="BD167" s="290"/>
      <c r="BE167" s="290"/>
      <c r="BF167" s="290"/>
      <c r="BG167" s="290"/>
      <c r="BH167" s="290"/>
      <c r="BI167" s="290"/>
      <c r="BJ167" s="291"/>
      <c r="BL167" s="96"/>
      <c r="BS167" s="10"/>
      <c r="BT167" s="10"/>
      <c r="BU167" s="10"/>
      <c r="BV167" s="10"/>
      <c r="BW167" s="10"/>
      <c r="BX167" s="10"/>
      <c r="BY167" s="10"/>
      <c r="BZ167" s="10"/>
      <c r="CA167" s="10"/>
      <c r="CB167" s="10"/>
      <c r="CC167" s="10"/>
      <c r="CD167" s="10"/>
      <c r="CE167" s="10"/>
      <c r="CF167" s="10"/>
      <c r="CG167" s="10"/>
      <c r="CH167" s="10"/>
      <c r="CI167" s="10"/>
    </row>
    <row r="168" spans="1:87" s="9" customFormat="1" ht="48.6" customHeight="1">
      <c r="A168" s="282">
        <v>156</v>
      </c>
      <c r="B168" s="282"/>
      <c r="C168" s="282"/>
      <c r="D168" s="188" t="s">
        <v>267</v>
      </c>
      <c r="E168" s="189"/>
      <c r="F168" s="189"/>
      <c r="G168" s="189"/>
      <c r="H168" s="189"/>
      <c r="I168" s="189"/>
      <c r="J168" s="189"/>
      <c r="K168" s="189"/>
      <c r="L168" s="189"/>
      <c r="M168" s="189"/>
      <c r="N168" s="189"/>
      <c r="O168" s="189"/>
      <c r="P168" s="189"/>
      <c r="Q168" s="190"/>
      <c r="R168" s="283">
        <v>14</v>
      </c>
      <c r="S168" s="284"/>
      <c r="T168" s="285"/>
      <c r="U168" s="286" t="s">
        <v>207</v>
      </c>
      <c r="V168" s="287"/>
      <c r="W168" s="287"/>
      <c r="X168" s="287"/>
      <c r="Y168" s="287"/>
      <c r="Z168" s="287"/>
      <c r="AA168" s="287"/>
      <c r="AB168" s="287"/>
      <c r="AC168" s="287"/>
      <c r="AD168" s="288"/>
      <c r="AE168" s="289" t="s">
        <v>346</v>
      </c>
      <c r="AF168" s="290"/>
      <c r="AG168" s="290"/>
      <c r="AH168" s="290"/>
      <c r="AI168" s="290"/>
      <c r="AJ168" s="290"/>
      <c r="AK168" s="290"/>
      <c r="AL168" s="290"/>
      <c r="AM168" s="290"/>
      <c r="AN168" s="290"/>
      <c r="AO168" s="290"/>
      <c r="AP168" s="290"/>
      <c r="AQ168" s="290"/>
      <c r="AR168" s="290"/>
      <c r="AS168" s="290"/>
      <c r="AT168" s="290"/>
      <c r="AU168" s="290"/>
      <c r="AV168" s="290"/>
      <c r="AW168" s="290"/>
      <c r="AX168" s="290"/>
      <c r="AY168" s="290"/>
      <c r="AZ168" s="290"/>
      <c r="BA168" s="290"/>
      <c r="BB168" s="290"/>
      <c r="BC168" s="290"/>
      <c r="BD168" s="290"/>
      <c r="BE168" s="290"/>
      <c r="BF168" s="290"/>
      <c r="BG168" s="290"/>
      <c r="BH168" s="290"/>
      <c r="BI168" s="290"/>
      <c r="BJ168" s="291"/>
      <c r="BL168" s="96"/>
      <c r="BS168" s="10"/>
      <c r="BT168" s="10"/>
      <c r="BU168" s="10"/>
      <c r="BV168" s="10"/>
      <c r="BW168" s="10"/>
      <c r="BX168" s="10"/>
      <c r="BY168" s="10"/>
      <c r="BZ168" s="10"/>
      <c r="CA168" s="10"/>
      <c r="CB168" s="10"/>
      <c r="CC168" s="10"/>
      <c r="CD168" s="10"/>
      <c r="CE168" s="10"/>
      <c r="CF168" s="10"/>
      <c r="CG168" s="10"/>
      <c r="CH168" s="10"/>
      <c r="CI168" s="10"/>
    </row>
    <row r="169" spans="1:87" s="9" customFormat="1" ht="40.5" customHeight="1">
      <c r="A169" s="282">
        <v>157</v>
      </c>
      <c r="B169" s="282"/>
      <c r="C169" s="282"/>
      <c r="D169" s="188" t="s">
        <v>264</v>
      </c>
      <c r="E169" s="189"/>
      <c r="F169" s="189"/>
      <c r="G169" s="189"/>
      <c r="H169" s="189"/>
      <c r="I169" s="189"/>
      <c r="J169" s="189"/>
      <c r="K169" s="189"/>
      <c r="L169" s="189"/>
      <c r="M169" s="189"/>
      <c r="N169" s="189"/>
      <c r="O169" s="189"/>
      <c r="P169" s="189"/>
      <c r="Q169" s="190"/>
      <c r="R169" s="283" t="s">
        <v>213</v>
      </c>
      <c r="S169" s="284"/>
      <c r="T169" s="285"/>
      <c r="U169" s="293" t="s">
        <v>208</v>
      </c>
      <c r="V169" s="287"/>
      <c r="W169" s="287"/>
      <c r="X169" s="287"/>
      <c r="Y169" s="287"/>
      <c r="Z169" s="287"/>
      <c r="AA169" s="287"/>
      <c r="AB169" s="287"/>
      <c r="AC169" s="287"/>
      <c r="AD169" s="288"/>
      <c r="AE169" s="289" t="s">
        <v>347</v>
      </c>
      <c r="AF169" s="290"/>
      <c r="AG169" s="290"/>
      <c r="AH169" s="290"/>
      <c r="AI169" s="290"/>
      <c r="AJ169" s="290"/>
      <c r="AK169" s="290"/>
      <c r="AL169" s="290"/>
      <c r="AM169" s="290"/>
      <c r="AN169" s="290"/>
      <c r="AO169" s="290"/>
      <c r="AP169" s="290"/>
      <c r="AQ169" s="290"/>
      <c r="AR169" s="290"/>
      <c r="AS169" s="290"/>
      <c r="AT169" s="290"/>
      <c r="AU169" s="290"/>
      <c r="AV169" s="290"/>
      <c r="AW169" s="290"/>
      <c r="AX169" s="290"/>
      <c r="AY169" s="290"/>
      <c r="AZ169" s="290"/>
      <c r="BA169" s="290"/>
      <c r="BB169" s="290"/>
      <c r="BC169" s="290"/>
      <c r="BD169" s="290"/>
      <c r="BE169" s="290"/>
      <c r="BF169" s="290"/>
      <c r="BG169" s="290"/>
      <c r="BH169" s="290"/>
      <c r="BI169" s="290"/>
      <c r="BJ169" s="291"/>
      <c r="BL169" s="96"/>
      <c r="BS169" s="10"/>
      <c r="BT169" s="10"/>
      <c r="BU169" s="10"/>
      <c r="BV169" s="10"/>
      <c r="BW169" s="10"/>
      <c r="BX169" s="10"/>
      <c r="BY169" s="10"/>
      <c r="BZ169" s="10"/>
      <c r="CA169" s="10"/>
      <c r="CB169" s="10"/>
      <c r="CC169" s="10"/>
      <c r="CD169" s="10"/>
      <c r="CE169" s="10"/>
      <c r="CF169" s="10"/>
      <c r="CG169" s="10"/>
      <c r="CH169" s="10"/>
      <c r="CI169" s="10"/>
    </row>
    <row r="170" spans="1:87" s="9" customFormat="1" ht="40.5" customHeight="1">
      <c r="A170" s="282">
        <v>158</v>
      </c>
      <c r="B170" s="282"/>
      <c r="C170" s="282"/>
      <c r="D170" s="188" t="s">
        <v>234</v>
      </c>
      <c r="E170" s="189"/>
      <c r="F170" s="189"/>
      <c r="G170" s="189"/>
      <c r="H170" s="189"/>
      <c r="I170" s="189"/>
      <c r="J170" s="189"/>
      <c r="K170" s="189"/>
      <c r="L170" s="189"/>
      <c r="M170" s="189"/>
      <c r="N170" s="189"/>
      <c r="O170" s="189"/>
      <c r="P170" s="189"/>
      <c r="Q170" s="190"/>
      <c r="R170" s="283">
        <v>14</v>
      </c>
      <c r="S170" s="284"/>
      <c r="T170" s="285"/>
      <c r="U170" s="286" t="s">
        <v>207</v>
      </c>
      <c r="V170" s="287"/>
      <c r="W170" s="287"/>
      <c r="X170" s="287"/>
      <c r="Y170" s="287"/>
      <c r="Z170" s="287"/>
      <c r="AA170" s="287"/>
      <c r="AB170" s="287"/>
      <c r="AC170" s="287"/>
      <c r="AD170" s="288"/>
      <c r="AE170" s="289" t="s">
        <v>348</v>
      </c>
      <c r="AF170" s="290"/>
      <c r="AG170" s="290"/>
      <c r="AH170" s="290"/>
      <c r="AI170" s="290"/>
      <c r="AJ170" s="290"/>
      <c r="AK170" s="290"/>
      <c r="AL170" s="290"/>
      <c r="AM170" s="290"/>
      <c r="AN170" s="290"/>
      <c r="AO170" s="290"/>
      <c r="AP170" s="290"/>
      <c r="AQ170" s="290"/>
      <c r="AR170" s="290"/>
      <c r="AS170" s="290"/>
      <c r="AT170" s="290"/>
      <c r="AU170" s="290"/>
      <c r="AV170" s="290"/>
      <c r="AW170" s="290"/>
      <c r="AX170" s="290"/>
      <c r="AY170" s="290"/>
      <c r="AZ170" s="290"/>
      <c r="BA170" s="290"/>
      <c r="BB170" s="290"/>
      <c r="BC170" s="290"/>
      <c r="BD170" s="290"/>
      <c r="BE170" s="290"/>
      <c r="BF170" s="290"/>
      <c r="BG170" s="290"/>
      <c r="BH170" s="290"/>
      <c r="BI170" s="290"/>
      <c r="BJ170" s="291"/>
      <c r="BL170" s="96"/>
      <c r="BS170" s="10"/>
      <c r="BT170" s="10"/>
      <c r="BU170" s="10"/>
      <c r="BV170" s="10"/>
      <c r="BW170" s="10"/>
      <c r="BX170" s="10"/>
      <c r="BY170" s="10"/>
      <c r="BZ170" s="10"/>
      <c r="CA170" s="10"/>
      <c r="CB170" s="10"/>
      <c r="CC170" s="10"/>
      <c r="CD170" s="10"/>
      <c r="CE170" s="10"/>
      <c r="CF170" s="10"/>
      <c r="CG170" s="10"/>
      <c r="CH170" s="10"/>
      <c r="CI170" s="10"/>
    </row>
    <row r="171" spans="1:87" s="9" customFormat="1" ht="40.5" customHeight="1">
      <c r="A171" s="282">
        <v>159</v>
      </c>
      <c r="B171" s="282"/>
      <c r="C171" s="282"/>
      <c r="D171" s="188" t="s">
        <v>236</v>
      </c>
      <c r="E171" s="189"/>
      <c r="F171" s="189"/>
      <c r="G171" s="189"/>
      <c r="H171" s="189"/>
      <c r="I171" s="189"/>
      <c r="J171" s="189"/>
      <c r="K171" s="189"/>
      <c r="L171" s="189"/>
      <c r="M171" s="189"/>
      <c r="N171" s="189"/>
      <c r="O171" s="189"/>
      <c r="P171" s="189"/>
      <c r="Q171" s="190"/>
      <c r="R171" s="283">
        <v>14</v>
      </c>
      <c r="S171" s="284"/>
      <c r="T171" s="285"/>
      <c r="U171" s="286" t="s">
        <v>207</v>
      </c>
      <c r="V171" s="287"/>
      <c r="W171" s="287"/>
      <c r="X171" s="287"/>
      <c r="Y171" s="287"/>
      <c r="Z171" s="287"/>
      <c r="AA171" s="287"/>
      <c r="AB171" s="287"/>
      <c r="AC171" s="287"/>
      <c r="AD171" s="288"/>
      <c r="AE171" s="289" t="s">
        <v>349</v>
      </c>
      <c r="AF171" s="290"/>
      <c r="AG171" s="290"/>
      <c r="AH171" s="290"/>
      <c r="AI171" s="290"/>
      <c r="AJ171" s="290"/>
      <c r="AK171" s="290"/>
      <c r="AL171" s="290"/>
      <c r="AM171" s="290"/>
      <c r="AN171" s="290"/>
      <c r="AO171" s="290"/>
      <c r="AP171" s="290"/>
      <c r="AQ171" s="290"/>
      <c r="AR171" s="290"/>
      <c r="AS171" s="290"/>
      <c r="AT171" s="290"/>
      <c r="AU171" s="290"/>
      <c r="AV171" s="290"/>
      <c r="AW171" s="290"/>
      <c r="AX171" s="290"/>
      <c r="AY171" s="290"/>
      <c r="AZ171" s="290"/>
      <c r="BA171" s="290"/>
      <c r="BB171" s="290"/>
      <c r="BC171" s="290"/>
      <c r="BD171" s="290"/>
      <c r="BE171" s="290"/>
      <c r="BF171" s="290"/>
      <c r="BG171" s="290"/>
      <c r="BH171" s="290"/>
      <c r="BI171" s="290"/>
      <c r="BJ171" s="291"/>
      <c r="BL171" s="96"/>
      <c r="BS171" s="10"/>
      <c r="BT171" s="10"/>
      <c r="BU171" s="10"/>
      <c r="BV171" s="10"/>
      <c r="BW171" s="10"/>
      <c r="BX171" s="10"/>
      <c r="BY171" s="10"/>
      <c r="BZ171" s="10"/>
      <c r="CA171" s="10"/>
      <c r="CB171" s="10"/>
      <c r="CC171" s="10"/>
      <c r="CD171" s="10"/>
      <c r="CE171" s="10"/>
      <c r="CF171" s="10"/>
      <c r="CG171" s="10"/>
      <c r="CH171" s="10"/>
      <c r="CI171" s="10"/>
    </row>
    <row r="172" spans="1:87" s="9" customFormat="1" ht="40.5" customHeight="1">
      <c r="A172" s="282">
        <v>160</v>
      </c>
      <c r="B172" s="282"/>
      <c r="C172" s="282"/>
      <c r="D172" s="188" t="s">
        <v>238</v>
      </c>
      <c r="E172" s="189"/>
      <c r="F172" s="189"/>
      <c r="G172" s="189"/>
      <c r="H172" s="189"/>
      <c r="I172" s="189"/>
      <c r="J172" s="189"/>
      <c r="K172" s="189"/>
      <c r="L172" s="189"/>
      <c r="M172" s="189"/>
      <c r="N172" s="189"/>
      <c r="O172" s="189"/>
      <c r="P172" s="189"/>
      <c r="Q172" s="190"/>
      <c r="R172" s="283">
        <v>14</v>
      </c>
      <c r="S172" s="284"/>
      <c r="T172" s="285"/>
      <c r="U172" s="286" t="s">
        <v>207</v>
      </c>
      <c r="V172" s="287"/>
      <c r="W172" s="287"/>
      <c r="X172" s="287"/>
      <c r="Y172" s="287"/>
      <c r="Z172" s="287"/>
      <c r="AA172" s="287"/>
      <c r="AB172" s="287"/>
      <c r="AC172" s="287"/>
      <c r="AD172" s="288"/>
      <c r="AE172" s="289" t="s">
        <v>350</v>
      </c>
      <c r="AF172" s="290"/>
      <c r="AG172" s="290"/>
      <c r="AH172" s="290"/>
      <c r="AI172" s="290"/>
      <c r="AJ172" s="290"/>
      <c r="AK172" s="290"/>
      <c r="AL172" s="290"/>
      <c r="AM172" s="290"/>
      <c r="AN172" s="290"/>
      <c r="AO172" s="290"/>
      <c r="AP172" s="290"/>
      <c r="AQ172" s="290"/>
      <c r="AR172" s="290"/>
      <c r="AS172" s="290"/>
      <c r="AT172" s="290"/>
      <c r="AU172" s="290"/>
      <c r="AV172" s="290"/>
      <c r="AW172" s="290"/>
      <c r="AX172" s="290"/>
      <c r="AY172" s="290"/>
      <c r="AZ172" s="290"/>
      <c r="BA172" s="290"/>
      <c r="BB172" s="290"/>
      <c r="BC172" s="290"/>
      <c r="BD172" s="290"/>
      <c r="BE172" s="290"/>
      <c r="BF172" s="290"/>
      <c r="BG172" s="290"/>
      <c r="BH172" s="290"/>
      <c r="BI172" s="290"/>
      <c r="BJ172" s="291"/>
      <c r="BL172" s="96"/>
      <c r="BS172" s="10"/>
      <c r="BT172" s="10"/>
      <c r="BU172" s="10"/>
      <c r="BV172" s="10"/>
      <c r="BW172" s="10"/>
      <c r="BX172" s="10"/>
      <c r="BY172" s="10"/>
      <c r="BZ172" s="10"/>
      <c r="CA172" s="10"/>
      <c r="CB172" s="10"/>
      <c r="CC172" s="10"/>
      <c r="CD172" s="10"/>
      <c r="CE172" s="10"/>
      <c r="CF172" s="10"/>
      <c r="CG172" s="10"/>
      <c r="CH172" s="10"/>
      <c r="CI172" s="10"/>
    </row>
    <row r="173" spans="1:87" s="9" customFormat="1" ht="40.5" customHeight="1">
      <c r="A173" s="282">
        <v>161</v>
      </c>
      <c r="B173" s="282"/>
      <c r="C173" s="282"/>
      <c r="D173" s="188" t="s">
        <v>240</v>
      </c>
      <c r="E173" s="189"/>
      <c r="F173" s="189"/>
      <c r="G173" s="189"/>
      <c r="H173" s="189"/>
      <c r="I173" s="189"/>
      <c r="J173" s="189"/>
      <c r="K173" s="189"/>
      <c r="L173" s="189"/>
      <c r="M173" s="189"/>
      <c r="N173" s="189"/>
      <c r="O173" s="189"/>
      <c r="P173" s="189"/>
      <c r="Q173" s="190"/>
      <c r="R173" s="283">
        <v>14</v>
      </c>
      <c r="S173" s="284"/>
      <c r="T173" s="285"/>
      <c r="U173" s="286" t="s">
        <v>207</v>
      </c>
      <c r="V173" s="287"/>
      <c r="W173" s="287"/>
      <c r="X173" s="287"/>
      <c r="Y173" s="287"/>
      <c r="Z173" s="287"/>
      <c r="AA173" s="287"/>
      <c r="AB173" s="287"/>
      <c r="AC173" s="287"/>
      <c r="AD173" s="288"/>
      <c r="AE173" s="289" t="s">
        <v>351</v>
      </c>
      <c r="AF173" s="290"/>
      <c r="AG173" s="290"/>
      <c r="AH173" s="290"/>
      <c r="AI173" s="290"/>
      <c r="AJ173" s="290"/>
      <c r="AK173" s="290"/>
      <c r="AL173" s="290"/>
      <c r="AM173" s="290"/>
      <c r="AN173" s="290"/>
      <c r="AO173" s="290"/>
      <c r="AP173" s="290"/>
      <c r="AQ173" s="290"/>
      <c r="AR173" s="290"/>
      <c r="AS173" s="290"/>
      <c r="AT173" s="290"/>
      <c r="AU173" s="290"/>
      <c r="AV173" s="290"/>
      <c r="AW173" s="290"/>
      <c r="AX173" s="290"/>
      <c r="AY173" s="290"/>
      <c r="AZ173" s="290"/>
      <c r="BA173" s="290"/>
      <c r="BB173" s="290"/>
      <c r="BC173" s="290"/>
      <c r="BD173" s="290"/>
      <c r="BE173" s="290"/>
      <c r="BF173" s="290"/>
      <c r="BG173" s="290"/>
      <c r="BH173" s="290"/>
      <c r="BI173" s="290"/>
      <c r="BJ173" s="291"/>
      <c r="BL173" s="96"/>
      <c r="BS173" s="10"/>
      <c r="BT173" s="10"/>
      <c r="BU173" s="10"/>
      <c r="BV173" s="10"/>
      <c r="BW173" s="10"/>
      <c r="BX173" s="10"/>
      <c r="BY173" s="10"/>
      <c r="BZ173" s="10"/>
      <c r="CA173" s="10"/>
      <c r="CB173" s="10"/>
      <c r="CC173" s="10"/>
      <c r="CD173" s="10"/>
      <c r="CE173" s="10"/>
      <c r="CF173" s="10"/>
      <c r="CG173" s="10"/>
      <c r="CH173" s="10"/>
      <c r="CI173" s="10"/>
    </row>
    <row r="174" spans="1:87" s="9" customFormat="1" ht="48.6" customHeight="1">
      <c r="A174" s="282">
        <v>162</v>
      </c>
      <c r="B174" s="282"/>
      <c r="C174" s="282"/>
      <c r="D174" s="188" t="s">
        <v>262</v>
      </c>
      <c r="E174" s="189"/>
      <c r="F174" s="189"/>
      <c r="G174" s="189"/>
      <c r="H174" s="189"/>
      <c r="I174" s="189"/>
      <c r="J174" s="189"/>
      <c r="K174" s="189"/>
      <c r="L174" s="189"/>
      <c r="M174" s="189"/>
      <c r="N174" s="189"/>
      <c r="O174" s="189"/>
      <c r="P174" s="189"/>
      <c r="Q174" s="190"/>
      <c r="R174" s="283">
        <v>14</v>
      </c>
      <c r="S174" s="284"/>
      <c r="T174" s="285"/>
      <c r="U174" s="286" t="s">
        <v>207</v>
      </c>
      <c r="V174" s="287"/>
      <c r="W174" s="287"/>
      <c r="X174" s="287"/>
      <c r="Y174" s="287"/>
      <c r="Z174" s="287"/>
      <c r="AA174" s="287"/>
      <c r="AB174" s="287"/>
      <c r="AC174" s="287"/>
      <c r="AD174" s="288"/>
      <c r="AE174" s="289" t="s">
        <v>352</v>
      </c>
      <c r="AF174" s="290"/>
      <c r="AG174" s="290"/>
      <c r="AH174" s="290"/>
      <c r="AI174" s="290"/>
      <c r="AJ174" s="290"/>
      <c r="AK174" s="290"/>
      <c r="AL174" s="290"/>
      <c r="AM174" s="290"/>
      <c r="AN174" s="290"/>
      <c r="AO174" s="290"/>
      <c r="AP174" s="290"/>
      <c r="AQ174" s="290"/>
      <c r="AR174" s="290"/>
      <c r="AS174" s="290"/>
      <c r="AT174" s="290"/>
      <c r="AU174" s="290"/>
      <c r="AV174" s="290"/>
      <c r="AW174" s="290"/>
      <c r="AX174" s="290"/>
      <c r="AY174" s="290"/>
      <c r="AZ174" s="290"/>
      <c r="BA174" s="290"/>
      <c r="BB174" s="290"/>
      <c r="BC174" s="290"/>
      <c r="BD174" s="290"/>
      <c r="BE174" s="290"/>
      <c r="BF174" s="290"/>
      <c r="BG174" s="290"/>
      <c r="BH174" s="290"/>
      <c r="BI174" s="290"/>
      <c r="BJ174" s="291"/>
      <c r="BL174" s="96"/>
      <c r="BS174" s="10"/>
      <c r="BT174" s="10"/>
      <c r="BU174" s="10"/>
      <c r="BV174" s="10"/>
      <c r="BW174" s="10"/>
      <c r="BX174" s="10"/>
      <c r="BY174" s="10"/>
      <c r="BZ174" s="10"/>
      <c r="CA174" s="10"/>
      <c r="CB174" s="10"/>
      <c r="CC174" s="10"/>
      <c r="CD174" s="10"/>
      <c r="CE174" s="10"/>
      <c r="CF174" s="10"/>
      <c r="CG174" s="10"/>
      <c r="CH174" s="10"/>
      <c r="CI174" s="10"/>
    </row>
    <row r="175" spans="1:87" s="9" customFormat="1" ht="48.6" customHeight="1">
      <c r="A175" s="282">
        <v>163</v>
      </c>
      <c r="B175" s="282"/>
      <c r="C175" s="282"/>
      <c r="D175" s="188" t="s">
        <v>261</v>
      </c>
      <c r="E175" s="189"/>
      <c r="F175" s="189"/>
      <c r="G175" s="189"/>
      <c r="H175" s="189"/>
      <c r="I175" s="189"/>
      <c r="J175" s="189"/>
      <c r="K175" s="189"/>
      <c r="L175" s="189"/>
      <c r="M175" s="189"/>
      <c r="N175" s="189"/>
      <c r="O175" s="189"/>
      <c r="P175" s="189"/>
      <c r="Q175" s="190"/>
      <c r="R175" s="283">
        <v>14</v>
      </c>
      <c r="S175" s="284"/>
      <c r="T175" s="285"/>
      <c r="U175" s="286" t="s">
        <v>207</v>
      </c>
      <c r="V175" s="287"/>
      <c r="W175" s="287"/>
      <c r="X175" s="287"/>
      <c r="Y175" s="287"/>
      <c r="Z175" s="287"/>
      <c r="AA175" s="287"/>
      <c r="AB175" s="287"/>
      <c r="AC175" s="287"/>
      <c r="AD175" s="288"/>
      <c r="AE175" s="289" t="s">
        <v>353</v>
      </c>
      <c r="AF175" s="290"/>
      <c r="AG175" s="290"/>
      <c r="AH175" s="290"/>
      <c r="AI175" s="290"/>
      <c r="AJ175" s="290"/>
      <c r="AK175" s="290"/>
      <c r="AL175" s="290"/>
      <c r="AM175" s="290"/>
      <c r="AN175" s="290"/>
      <c r="AO175" s="290"/>
      <c r="AP175" s="290"/>
      <c r="AQ175" s="290"/>
      <c r="AR175" s="290"/>
      <c r="AS175" s="290"/>
      <c r="AT175" s="290"/>
      <c r="AU175" s="290"/>
      <c r="AV175" s="290"/>
      <c r="AW175" s="290"/>
      <c r="AX175" s="290"/>
      <c r="AY175" s="290"/>
      <c r="AZ175" s="290"/>
      <c r="BA175" s="290"/>
      <c r="BB175" s="290"/>
      <c r="BC175" s="290"/>
      <c r="BD175" s="290"/>
      <c r="BE175" s="290"/>
      <c r="BF175" s="290"/>
      <c r="BG175" s="290"/>
      <c r="BH175" s="290"/>
      <c r="BI175" s="290"/>
      <c r="BJ175" s="291"/>
      <c r="BL175" s="96"/>
      <c r="BS175" s="10"/>
      <c r="BT175" s="10"/>
      <c r="BU175" s="10"/>
      <c r="BV175" s="10"/>
      <c r="BW175" s="10"/>
      <c r="BX175" s="10"/>
      <c r="BY175" s="10"/>
      <c r="BZ175" s="10"/>
      <c r="CA175" s="10"/>
      <c r="CB175" s="10"/>
      <c r="CC175" s="10"/>
      <c r="CD175" s="10"/>
      <c r="CE175" s="10"/>
      <c r="CF175" s="10"/>
      <c r="CG175" s="10"/>
      <c r="CH175" s="10"/>
      <c r="CI175" s="10"/>
    </row>
    <row r="176" spans="1:87" s="9" customFormat="1" ht="48.6" customHeight="1">
      <c r="A176" s="282">
        <v>164</v>
      </c>
      <c r="B176" s="282"/>
      <c r="C176" s="282"/>
      <c r="D176" s="188" t="s">
        <v>262</v>
      </c>
      <c r="E176" s="189"/>
      <c r="F176" s="189"/>
      <c r="G176" s="189"/>
      <c r="H176" s="189"/>
      <c r="I176" s="189"/>
      <c r="J176" s="189"/>
      <c r="K176" s="189"/>
      <c r="L176" s="189"/>
      <c r="M176" s="189"/>
      <c r="N176" s="189"/>
      <c r="O176" s="189"/>
      <c r="P176" s="189"/>
      <c r="Q176" s="190"/>
      <c r="R176" s="283">
        <v>14</v>
      </c>
      <c r="S176" s="284"/>
      <c r="T176" s="285"/>
      <c r="U176" s="286" t="s">
        <v>207</v>
      </c>
      <c r="V176" s="287"/>
      <c r="W176" s="287"/>
      <c r="X176" s="287"/>
      <c r="Y176" s="287"/>
      <c r="Z176" s="287"/>
      <c r="AA176" s="287"/>
      <c r="AB176" s="287"/>
      <c r="AC176" s="287"/>
      <c r="AD176" s="288"/>
      <c r="AE176" s="289" t="s">
        <v>352</v>
      </c>
      <c r="AF176" s="290"/>
      <c r="AG176" s="290"/>
      <c r="AH176" s="290"/>
      <c r="AI176" s="290"/>
      <c r="AJ176" s="290"/>
      <c r="AK176" s="290"/>
      <c r="AL176" s="290"/>
      <c r="AM176" s="290"/>
      <c r="AN176" s="290"/>
      <c r="AO176" s="290"/>
      <c r="AP176" s="290"/>
      <c r="AQ176" s="290"/>
      <c r="AR176" s="290"/>
      <c r="AS176" s="290"/>
      <c r="AT176" s="290"/>
      <c r="AU176" s="290"/>
      <c r="AV176" s="290"/>
      <c r="AW176" s="290"/>
      <c r="AX176" s="290"/>
      <c r="AY176" s="290"/>
      <c r="AZ176" s="290"/>
      <c r="BA176" s="290"/>
      <c r="BB176" s="290"/>
      <c r="BC176" s="290"/>
      <c r="BD176" s="290"/>
      <c r="BE176" s="290"/>
      <c r="BF176" s="290"/>
      <c r="BG176" s="290"/>
      <c r="BH176" s="290"/>
      <c r="BI176" s="290"/>
      <c r="BJ176" s="291"/>
      <c r="BL176" s="96"/>
      <c r="BS176" s="10"/>
      <c r="BT176" s="10"/>
      <c r="BU176" s="10"/>
      <c r="BV176" s="10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</row>
    <row r="177" spans="1:87" s="9" customFormat="1" ht="48.6" customHeight="1">
      <c r="A177" s="282">
        <v>165</v>
      </c>
      <c r="B177" s="282"/>
      <c r="C177" s="282"/>
      <c r="D177" s="188" t="s">
        <v>261</v>
      </c>
      <c r="E177" s="189"/>
      <c r="F177" s="189"/>
      <c r="G177" s="189"/>
      <c r="H177" s="189"/>
      <c r="I177" s="189"/>
      <c r="J177" s="189"/>
      <c r="K177" s="189"/>
      <c r="L177" s="189"/>
      <c r="M177" s="189"/>
      <c r="N177" s="189"/>
      <c r="O177" s="189"/>
      <c r="P177" s="189"/>
      <c r="Q177" s="190"/>
      <c r="R177" s="283">
        <v>14</v>
      </c>
      <c r="S177" s="284"/>
      <c r="T177" s="285"/>
      <c r="U177" s="286" t="s">
        <v>207</v>
      </c>
      <c r="V177" s="287"/>
      <c r="W177" s="287"/>
      <c r="X177" s="287"/>
      <c r="Y177" s="287"/>
      <c r="Z177" s="287"/>
      <c r="AA177" s="287"/>
      <c r="AB177" s="287"/>
      <c r="AC177" s="287"/>
      <c r="AD177" s="288"/>
      <c r="AE177" s="289" t="s">
        <v>353</v>
      </c>
      <c r="AF177" s="290"/>
      <c r="AG177" s="290"/>
      <c r="AH177" s="290"/>
      <c r="AI177" s="290"/>
      <c r="AJ177" s="290"/>
      <c r="AK177" s="290"/>
      <c r="AL177" s="290"/>
      <c r="AM177" s="290"/>
      <c r="AN177" s="290"/>
      <c r="AO177" s="290"/>
      <c r="AP177" s="290"/>
      <c r="AQ177" s="290"/>
      <c r="AR177" s="290"/>
      <c r="AS177" s="290"/>
      <c r="AT177" s="290"/>
      <c r="AU177" s="290"/>
      <c r="AV177" s="290"/>
      <c r="AW177" s="290"/>
      <c r="AX177" s="290"/>
      <c r="AY177" s="290"/>
      <c r="AZ177" s="290"/>
      <c r="BA177" s="290"/>
      <c r="BB177" s="290"/>
      <c r="BC177" s="290"/>
      <c r="BD177" s="290"/>
      <c r="BE177" s="290"/>
      <c r="BF177" s="290"/>
      <c r="BG177" s="290"/>
      <c r="BH177" s="290"/>
      <c r="BI177" s="290"/>
      <c r="BJ177" s="291"/>
      <c r="BL177" s="96"/>
      <c r="BS177" s="10"/>
      <c r="BT177" s="10"/>
      <c r="BU177" s="10"/>
      <c r="BV177" s="10"/>
      <c r="BW177" s="10"/>
      <c r="BX177" s="10"/>
      <c r="BY177" s="10"/>
      <c r="BZ177" s="10"/>
      <c r="CA177" s="10"/>
      <c r="CB177" s="10"/>
      <c r="CC177" s="10"/>
      <c r="CD177" s="10"/>
      <c r="CE177" s="10"/>
      <c r="CF177" s="10"/>
      <c r="CG177" s="10"/>
      <c r="CH177" s="10"/>
      <c r="CI177" s="10"/>
    </row>
    <row r="178" spans="1:87" s="9" customFormat="1" ht="40.5" customHeight="1">
      <c r="A178" s="282">
        <v>166</v>
      </c>
      <c r="B178" s="282"/>
      <c r="C178" s="282"/>
      <c r="D178" s="188" t="s">
        <v>246</v>
      </c>
      <c r="E178" s="189"/>
      <c r="F178" s="189"/>
      <c r="G178" s="189"/>
      <c r="H178" s="189"/>
      <c r="I178" s="189"/>
      <c r="J178" s="189"/>
      <c r="K178" s="189"/>
      <c r="L178" s="189"/>
      <c r="M178" s="189"/>
      <c r="N178" s="189"/>
      <c r="O178" s="189"/>
      <c r="P178" s="189"/>
      <c r="Q178" s="190"/>
      <c r="R178" s="283" t="s">
        <v>213</v>
      </c>
      <c r="S178" s="284"/>
      <c r="T178" s="285"/>
      <c r="U178" s="293" t="s">
        <v>208</v>
      </c>
      <c r="V178" s="287"/>
      <c r="W178" s="287"/>
      <c r="X178" s="287"/>
      <c r="Y178" s="287"/>
      <c r="Z178" s="287"/>
      <c r="AA178" s="287"/>
      <c r="AB178" s="287"/>
      <c r="AC178" s="287"/>
      <c r="AD178" s="288"/>
      <c r="AE178" s="289" t="s">
        <v>354</v>
      </c>
      <c r="AF178" s="290"/>
      <c r="AG178" s="290"/>
      <c r="AH178" s="290"/>
      <c r="AI178" s="290"/>
      <c r="AJ178" s="290"/>
      <c r="AK178" s="290"/>
      <c r="AL178" s="290"/>
      <c r="AM178" s="290"/>
      <c r="AN178" s="290"/>
      <c r="AO178" s="290"/>
      <c r="AP178" s="290"/>
      <c r="AQ178" s="290"/>
      <c r="AR178" s="290"/>
      <c r="AS178" s="290"/>
      <c r="AT178" s="290"/>
      <c r="AU178" s="290"/>
      <c r="AV178" s="290"/>
      <c r="AW178" s="290"/>
      <c r="AX178" s="290"/>
      <c r="AY178" s="290"/>
      <c r="AZ178" s="290"/>
      <c r="BA178" s="290"/>
      <c r="BB178" s="290"/>
      <c r="BC178" s="290"/>
      <c r="BD178" s="290"/>
      <c r="BE178" s="290"/>
      <c r="BF178" s="290"/>
      <c r="BG178" s="290"/>
      <c r="BH178" s="290"/>
      <c r="BI178" s="290"/>
      <c r="BJ178" s="291"/>
      <c r="BL178" s="96"/>
      <c r="BS178" s="10"/>
      <c r="BT178" s="10"/>
      <c r="BU178" s="10"/>
      <c r="BV178" s="10"/>
      <c r="BW178" s="10"/>
      <c r="BX178" s="10"/>
      <c r="BY178" s="10"/>
      <c r="BZ178" s="10"/>
      <c r="CA178" s="10"/>
      <c r="CB178" s="10"/>
      <c r="CC178" s="10"/>
      <c r="CD178" s="10"/>
      <c r="CE178" s="10"/>
      <c r="CF178" s="10"/>
      <c r="CG178" s="10"/>
      <c r="CH178" s="10"/>
      <c r="CI178" s="10"/>
    </row>
    <row r="179" spans="1:87" s="9" customFormat="1" ht="40.5" customHeight="1">
      <c r="A179" s="282">
        <v>167</v>
      </c>
      <c r="B179" s="282"/>
      <c r="C179" s="282"/>
      <c r="D179" s="188" t="s">
        <v>247</v>
      </c>
      <c r="E179" s="189"/>
      <c r="F179" s="189"/>
      <c r="G179" s="189"/>
      <c r="H179" s="189"/>
      <c r="I179" s="189"/>
      <c r="J179" s="189"/>
      <c r="K179" s="189"/>
      <c r="L179" s="189"/>
      <c r="M179" s="189"/>
      <c r="N179" s="189"/>
      <c r="O179" s="189"/>
      <c r="P179" s="189"/>
      <c r="Q179" s="190"/>
      <c r="R179" s="283">
        <v>14</v>
      </c>
      <c r="S179" s="284"/>
      <c r="T179" s="285"/>
      <c r="U179" s="286" t="s">
        <v>207</v>
      </c>
      <c r="V179" s="287"/>
      <c r="W179" s="287"/>
      <c r="X179" s="287"/>
      <c r="Y179" s="287"/>
      <c r="Z179" s="287"/>
      <c r="AA179" s="287"/>
      <c r="AB179" s="287"/>
      <c r="AC179" s="287"/>
      <c r="AD179" s="288"/>
      <c r="AE179" s="289" t="s">
        <v>355</v>
      </c>
      <c r="AF179" s="290"/>
      <c r="AG179" s="290"/>
      <c r="AH179" s="290"/>
      <c r="AI179" s="290"/>
      <c r="AJ179" s="290"/>
      <c r="AK179" s="290"/>
      <c r="AL179" s="290"/>
      <c r="AM179" s="290"/>
      <c r="AN179" s="290"/>
      <c r="AO179" s="290"/>
      <c r="AP179" s="290"/>
      <c r="AQ179" s="290"/>
      <c r="AR179" s="290"/>
      <c r="AS179" s="290"/>
      <c r="AT179" s="290"/>
      <c r="AU179" s="290"/>
      <c r="AV179" s="290"/>
      <c r="AW179" s="290"/>
      <c r="AX179" s="290"/>
      <c r="AY179" s="290"/>
      <c r="AZ179" s="290"/>
      <c r="BA179" s="290"/>
      <c r="BB179" s="290"/>
      <c r="BC179" s="290"/>
      <c r="BD179" s="290"/>
      <c r="BE179" s="290"/>
      <c r="BF179" s="290"/>
      <c r="BG179" s="290"/>
      <c r="BH179" s="290"/>
      <c r="BI179" s="290"/>
      <c r="BJ179" s="291"/>
      <c r="BL179" s="96"/>
      <c r="BS179" s="10"/>
      <c r="BT179" s="10"/>
      <c r="BU179" s="10"/>
      <c r="BV179" s="10"/>
      <c r="BW179" s="10"/>
      <c r="BX179" s="10"/>
      <c r="BY179" s="10"/>
      <c r="BZ179" s="10"/>
      <c r="CA179" s="10"/>
      <c r="CB179" s="10"/>
      <c r="CC179" s="10"/>
      <c r="CD179" s="10"/>
      <c r="CE179" s="10"/>
      <c r="CF179" s="10"/>
      <c r="CG179" s="10"/>
      <c r="CH179" s="10"/>
      <c r="CI179" s="10"/>
    </row>
    <row r="180" spans="1:87" s="9" customFormat="1" ht="40.5" customHeight="1">
      <c r="A180" s="282">
        <v>168</v>
      </c>
      <c r="B180" s="282"/>
      <c r="C180" s="282"/>
      <c r="D180" s="188" t="s">
        <v>249</v>
      </c>
      <c r="E180" s="189"/>
      <c r="F180" s="189"/>
      <c r="G180" s="189"/>
      <c r="H180" s="189"/>
      <c r="I180" s="189"/>
      <c r="J180" s="189"/>
      <c r="K180" s="189"/>
      <c r="L180" s="189"/>
      <c r="M180" s="189"/>
      <c r="N180" s="189"/>
      <c r="O180" s="189"/>
      <c r="P180" s="189"/>
      <c r="Q180" s="190"/>
      <c r="R180" s="283">
        <v>14</v>
      </c>
      <c r="S180" s="284"/>
      <c r="T180" s="285"/>
      <c r="U180" s="286" t="s">
        <v>207</v>
      </c>
      <c r="V180" s="287"/>
      <c r="W180" s="287"/>
      <c r="X180" s="287"/>
      <c r="Y180" s="287"/>
      <c r="Z180" s="287"/>
      <c r="AA180" s="287"/>
      <c r="AB180" s="287"/>
      <c r="AC180" s="287"/>
      <c r="AD180" s="288"/>
      <c r="AE180" s="289" t="s">
        <v>356</v>
      </c>
      <c r="AF180" s="290"/>
      <c r="AG180" s="290"/>
      <c r="AH180" s="290"/>
      <c r="AI180" s="290"/>
      <c r="AJ180" s="290"/>
      <c r="AK180" s="290"/>
      <c r="AL180" s="290"/>
      <c r="AM180" s="290"/>
      <c r="AN180" s="290"/>
      <c r="AO180" s="290"/>
      <c r="AP180" s="290"/>
      <c r="AQ180" s="290"/>
      <c r="AR180" s="290"/>
      <c r="AS180" s="290"/>
      <c r="AT180" s="290"/>
      <c r="AU180" s="290"/>
      <c r="AV180" s="290"/>
      <c r="AW180" s="290"/>
      <c r="AX180" s="290"/>
      <c r="AY180" s="290"/>
      <c r="AZ180" s="290"/>
      <c r="BA180" s="290"/>
      <c r="BB180" s="290"/>
      <c r="BC180" s="290"/>
      <c r="BD180" s="290"/>
      <c r="BE180" s="290"/>
      <c r="BF180" s="290"/>
      <c r="BG180" s="290"/>
      <c r="BH180" s="290"/>
      <c r="BI180" s="290"/>
      <c r="BJ180" s="291"/>
      <c r="BL180" s="96"/>
      <c r="BS180" s="10"/>
      <c r="BT180" s="10"/>
      <c r="BU180" s="10"/>
      <c r="BV180" s="10"/>
      <c r="BW180" s="10"/>
      <c r="BX180" s="10"/>
      <c r="BY180" s="10"/>
      <c r="BZ180" s="10"/>
      <c r="CA180" s="10"/>
      <c r="CB180" s="10"/>
      <c r="CC180" s="10"/>
      <c r="CD180" s="10"/>
      <c r="CE180" s="10"/>
      <c r="CF180" s="10"/>
      <c r="CG180" s="10"/>
      <c r="CH180" s="10"/>
      <c r="CI180" s="10"/>
    </row>
    <row r="181" spans="1:87" s="9" customFormat="1" ht="40.5" customHeight="1">
      <c r="A181" s="282">
        <v>169</v>
      </c>
      <c r="B181" s="282"/>
      <c r="C181" s="282"/>
      <c r="D181" s="188" t="s">
        <v>251</v>
      </c>
      <c r="E181" s="189"/>
      <c r="F181" s="189"/>
      <c r="G181" s="189"/>
      <c r="H181" s="189"/>
      <c r="I181" s="189"/>
      <c r="J181" s="189"/>
      <c r="K181" s="189"/>
      <c r="L181" s="189"/>
      <c r="M181" s="189"/>
      <c r="N181" s="189"/>
      <c r="O181" s="189"/>
      <c r="P181" s="189"/>
      <c r="Q181" s="190"/>
      <c r="R181" s="283">
        <v>14</v>
      </c>
      <c r="S181" s="284"/>
      <c r="T181" s="285"/>
      <c r="U181" s="286" t="s">
        <v>207</v>
      </c>
      <c r="V181" s="287"/>
      <c r="W181" s="287"/>
      <c r="X181" s="287"/>
      <c r="Y181" s="287"/>
      <c r="Z181" s="287"/>
      <c r="AA181" s="287"/>
      <c r="AB181" s="287"/>
      <c r="AC181" s="287"/>
      <c r="AD181" s="288"/>
      <c r="AE181" s="289" t="s">
        <v>357</v>
      </c>
      <c r="AF181" s="290"/>
      <c r="AG181" s="290"/>
      <c r="AH181" s="290"/>
      <c r="AI181" s="290"/>
      <c r="AJ181" s="290"/>
      <c r="AK181" s="290"/>
      <c r="AL181" s="290"/>
      <c r="AM181" s="290"/>
      <c r="AN181" s="290"/>
      <c r="AO181" s="290"/>
      <c r="AP181" s="290"/>
      <c r="AQ181" s="290"/>
      <c r="AR181" s="290"/>
      <c r="AS181" s="290"/>
      <c r="AT181" s="290"/>
      <c r="AU181" s="290"/>
      <c r="AV181" s="290"/>
      <c r="AW181" s="290"/>
      <c r="AX181" s="290"/>
      <c r="AY181" s="290"/>
      <c r="AZ181" s="290"/>
      <c r="BA181" s="290"/>
      <c r="BB181" s="290"/>
      <c r="BC181" s="290"/>
      <c r="BD181" s="290"/>
      <c r="BE181" s="290"/>
      <c r="BF181" s="290"/>
      <c r="BG181" s="290"/>
      <c r="BH181" s="290"/>
      <c r="BI181" s="290"/>
      <c r="BJ181" s="291"/>
      <c r="BL181" s="96"/>
      <c r="BS181" s="10"/>
      <c r="BT181" s="10"/>
      <c r="BU181" s="10"/>
      <c r="BV181" s="10"/>
      <c r="BW181" s="10"/>
      <c r="BX181" s="10"/>
      <c r="BY181" s="10"/>
      <c r="BZ181" s="10"/>
      <c r="CA181" s="10"/>
      <c r="CB181" s="10"/>
      <c r="CC181" s="10"/>
      <c r="CD181" s="10"/>
      <c r="CE181" s="10"/>
      <c r="CF181" s="10"/>
      <c r="CG181" s="10"/>
      <c r="CH181" s="10"/>
      <c r="CI181" s="10"/>
    </row>
    <row r="182" spans="1:87" s="9" customFormat="1" ht="40.5" customHeight="1">
      <c r="A182" s="282">
        <v>170</v>
      </c>
      <c r="B182" s="282"/>
      <c r="C182" s="282"/>
      <c r="D182" s="188" t="s">
        <v>253</v>
      </c>
      <c r="E182" s="189"/>
      <c r="F182" s="189"/>
      <c r="G182" s="189"/>
      <c r="H182" s="189"/>
      <c r="I182" s="189"/>
      <c r="J182" s="189"/>
      <c r="K182" s="189"/>
      <c r="L182" s="189"/>
      <c r="M182" s="189"/>
      <c r="N182" s="189"/>
      <c r="O182" s="189"/>
      <c r="P182" s="189"/>
      <c r="Q182" s="190"/>
      <c r="R182" s="283">
        <v>14</v>
      </c>
      <c r="S182" s="284"/>
      <c r="T182" s="285"/>
      <c r="U182" s="286" t="s">
        <v>207</v>
      </c>
      <c r="V182" s="287"/>
      <c r="W182" s="287"/>
      <c r="X182" s="287"/>
      <c r="Y182" s="287"/>
      <c r="Z182" s="287"/>
      <c r="AA182" s="287"/>
      <c r="AB182" s="287"/>
      <c r="AC182" s="287"/>
      <c r="AD182" s="288"/>
      <c r="AE182" s="289" t="s">
        <v>358</v>
      </c>
      <c r="AF182" s="290"/>
      <c r="AG182" s="290"/>
      <c r="AH182" s="290"/>
      <c r="AI182" s="290"/>
      <c r="AJ182" s="290"/>
      <c r="AK182" s="290"/>
      <c r="AL182" s="290"/>
      <c r="AM182" s="290"/>
      <c r="AN182" s="290"/>
      <c r="AO182" s="290"/>
      <c r="AP182" s="290"/>
      <c r="AQ182" s="290"/>
      <c r="AR182" s="290"/>
      <c r="AS182" s="290"/>
      <c r="AT182" s="290"/>
      <c r="AU182" s="290"/>
      <c r="AV182" s="290"/>
      <c r="AW182" s="290"/>
      <c r="AX182" s="290"/>
      <c r="AY182" s="290"/>
      <c r="AZ182" s="290"/>
      <c r="BA182" s="290"/>
      <c r="BB182" s="290"/>
      <c r="BC182" s="290"/>
      <c r="BD182" s="290"/>
      <c r="BE182" s="290"/>
      <c r="BF182" s="290"/>
      <c r="BG182" s="290"/>
      <c r="BH182" s="290"/>
      <c r="BI182" s="290"/>
      <c r="BJ182" s="291"/>
      <c r="BL182" s="96"/>
      <c r="BS182" s="10"/>
      <c r="BT182" s="10"/>
      <c r="BU182" s="10"/>
      <c r="BV182" s="10"/>
      <c r="BW182" s="10"/>
      <c r="BX182" s="10"/>
      <c r="BY182" s="10"/>
      <c r="BZ182" s="10"/>
      <c r="CA182" s="10"/>
      <c r="CB182" s="10"/>
      <c r="CC182" s="10"/>
      <c r="CD182" s="10"/>
      <c r="CE182" s="10"/>
      <c r="CF182" s="10"/>
      <c r="CG182" s="10"/>
      <c r="CH182" s="10"/>
      <c r="CI182" s="10"/>
    </row>
    <row r="183" spans="1:87" s="9" customFormat="1" ht="40.5" customHeight="1" thickBot="1">
      <c r="A183" s="313"/>
      <c r="B183" s="314"/>
      <c r="C183" s="315"/>
      <c r="D183" s="322"/>
      <c r="E183" s="323"/>
      <c r="F183" s="323"/>
      <c r="G183" s="323"/>
      <c r="H183" s="323"/>
      <c r="I183" s="323"/>
      <c r="J183" s="323"/>
      <c r="K183" s="323"/>
      <c r="L183" s="323"/>
      <c r="M183" s="323"/>
      <c r="N183" s="323"/>
      <c r="O183" s="323"/>
      <c r="P183" s="323"/>
      <c r="Q183" s="324"/>
      <c r="R183" s="316"/>
      <c r="S183" s="317"/>
      <c r="T183" s="318"/>
      <c r="U183" s="322"/>
      <c r="V183" s="323"/>
      <c r="W183" s="323"/>
      <c r="X183" s="323"/>
      <c r="Y183" s="323"/>
      <c r="Z183" s="323"/>
      <c r="AA183" s="323"/>
      <c r="AB183" s="323"/>
      <c r="AC183" s="323"/>
      <c r="AD183" s="324"/>
      <c r="AE183" s="319"/>
      <c r="AF183" s="320"/>
      <c r="AG183" s="320"/>
      <c r="AH183" s="320"/>
      <c r="AI183" s="320"/>
      <c r="AJ183" s="320"/>
      <c r="AK183" s="320"/>
      <c r="AL183" s="320"/>
      <c r="AM183" s="320"/>
      <c r="AN183" s="320"/>
      <c r="AO183" s="320"/>
      <c r="AP183" s="320"/>
      <c r="AQ183" s="320"/>
      <c r="AR183" s="320"/>
      <c r="AS183" s="320"/>
      <c r="AT183" s="320"/>
      <c r="AU183" s="320"/>
      <c r="AV183" s="320"/>
      <c r="AW183" s="320"/>
      <c r="AX183" s="320"/>
      <c r="AY183" s="320"/>
      <c r="AZ183" s="320"/>
      <c r="BA183" s="320"/>
      <c r="BB183" s="320"/>
      <c r="BC183" s="320"/>
      <c r="BD183" s="320"/>
      <c r="BE183" s="320"/>
      <c r="BF183" s="320"/>
      <c r="BG183" s="320"/>
      <c r="BH183" s="320"/>
      <c r="BI183" s="320"/>
      <c r="BJ183" s="321"/>
    </row>
    <row r="184" spans="1:87" s="9" customFormat="1" ht="40.5" customHeight="1">
      <c r="A184" s="241"/>
      <c r="B184" s="242"/>
      <c r="C184" s="242"/>
      <c r="D184" s="265"/>
      <c r="E184" s="265"/>
      <c r="F184" s="265"/>
      <c r="G184" s="265"/>
      <c r="H184" s="265"/>
      <c r="I184" s="265"/>
      <c r="J184" s="265"/>
      <c r="K184" s="265"/>
      <c r="L184" s="265"/>
      <c r="M184" s="265"/>
      <c r="N184" s="265"/>
      <c r="O184" s="265"/>
      <c r="P184" s="265"/>
      <c r="Q184" s="265"/>
      <c r="R184" s="295"/>
      <c r="S184" s="295"/>
      <c r="T184" s="295"/>
      <c r="U184" s="96"/>
      <c r="V184" s="10"/>
      <c r="W184" s="10"/>
      <c r="X184" s="10"/>
      <c r="Y184" s="10"/>
      <c r="Z184" s="10"/>
      <c r="AA184" s="10"/>
      <c r="AB184" s="10"/>
      <c r="AC184" s="10"/>
      <c r="AD184" s="10"/>
      <c r="AE184" s="294"/>
      <c r="AF184" s="294"/>
      <c r="AG184" s="294"/>
      <c r="AH184" s="294"/>
      <c r="AI184" s="294"/>
      <c r="AJ184" s="294"/>
      <c r="AK184" s="294"/>
      <c r="AL184" s="294"/>
      <c r="AM184" s="294"/>
      <c r="AN184" s="294"/>
      <c r="AO184" s="294"/>
      <c r="AP184" s="294"/>
      <c r="AQ184" s="294"/>
      <c r="AR184" s="294"/>
      <c r="AS184" s="294"/>
      <c r="AT184" s="294"/>
      <c r="AU184" s="294"/>
      <c r="AV184" s="294"/>
      <c r="AW184" s="294"/>
      <c r="AX184" s="294"/>
      <c r="AY184" s="294"/>
      <c r="AZ184" s="294"/>
      <c r="BA184" s="294"/>
      <c r="BB184" s="294"/>
      <c r="BC184" s="294"/>
      <c r="BD184" s="294"/>
      <c r="BE184" s="294"/>
      <c r="BF184" s="294"/>
      <c r="BG184" s="294"/>
      <c r="BH184" s="294"/>
      <c r="BI184" s="294"/>
      <c r="BJ184" s="294"/>
    </row>
    <row r="185" spans="1:87" s="9" customFormat="1" ht="40.5" customHeight="1">
      <c r="A185" s="242"/>
      <c r="B185" s="242"/>
      <c r="C185" s="242"/>
      <c r="D185" s="265"/>
      <c r="E185" s="265"/>
      <c r="F185" s="265"/>
      <c r="G185" s="265"/>
      <c r="H185" s="265"/>
      <c r="I185" s="265"/>
      <c r="J185" s="265"/>
      <c r="K185" s="265"/>
      <c r="L185" s="265"/>
      <c r="M185" s="265"/>
      <c r="N185" s="265"/>
      <c r="O185" s="265"/>
      <c r="P185" s="265"/>
      <c r="Q185" s="265"/>
      <c r="R185" s="295"/>
      <c r="S185" s="295"/>
      <c r="T185" s="295"/>
      <c r="U185" s="96"/>
      <c r="V185" s="10"/>
      <c r="W185" s="10"/>
      <c r="X185" s="10"/>
      <c r="Y185" s="10"/>
      <c r="Z185" s="10"/>
      <c r="AA185" s="10"/>
      <c r="AB185" s="10"/>
      <c r="AC185" s="10"/>
      <c r="AD185" s="10"/>
      <c r="AE185" s="311"/>
      <c r="AF185" s="294"/>
      <c r="AG185" s="294"/>
      <c r="AH185" s="294"/>
      <c r="AI185" s="294"/>
      <c r="AJ185" s="294"/>
      <c r="AK185" s="294"/>
      <c r="AL185" s="294"/>
      <c r="AM185" s="294"/>
      <c r="AN185" s="294"/>
      <c r="AO185" s="294"/>
      <c r="AP185" s="294"/>
      <c r="AQ185" s="294"/>
      <c r="AR185" s="294"/>
      <c r="AS185" s="294"/>
      <c r="AT185" s="294"/>
      <c r="AU185" s="294"/>
      <c r="AV185" s="294"/>
      <c r="AW185" s="294"/>
      <c r="AX185" s="294"/>
      <c r="AY185" s="294"/>
      <c r="AZ185" s="294"/>
      <c r="BA185" s="294"/>
      <c r="BB185" s="294"/>
      <c r="BC185" s="294"/>
      <c r="BD185" s="294"/>
      <c r="BE185" s="294"/>
      <c r="BF185" s="294"/>
      <c r="BG185" s="294"/>
      <c r="BH185" s="294"/>
      <c r="BI185" s="294"/>
      <c r="BJ185" s="294"/>
    </row>
    <row r="186" spans="1:87" s="9" customFormat="1" ht="40.5" customHeight="1">
      <c r="A186" s="242"/>
      <c r="B186" s="242"/>
      <c r="C186" s="242"/>
      <c r="D186" s="265"/>
      <c r="E186" s="265"/>
      <c r="F186" s="265"/>
      <c r="G186" s="265"/>
      <c r="H186" s="265"/>
      <c r="I186" s="265"/>
      <c r="J186" s="265"/>
      <c r="K186" s="265"/>
      <c r="L186" s="265"/>
      <c r="M186" s="265"/>
      <c r="N186" s="265"/>
      <c r="O186" s="265"/>
      <c r="P186" s="265"/>
      <c r="Q186" s="265"/>
      <c r="R186" s="295"/>
      <c r="S186" s="295"/>
      <c r="T186" s="295"/>
      <c r="U186" s="96"/>
      <c r="V186" s="10"/>
      <c r="W186" s="10"/>
      <c r="X186" s="10"/>
      <c r="Y186" s="10"/>
      <c r="Z186" s="10"/>
      <c r="AA186" s="10"/>
      <c r="AB186" s="10"/>
      <c r="AC186" s="10"/>
      <c r="AD186" s="10"/>
      <c r="AE186" s="294"/>
      <c r="AF186" s="294"/>
      <c r="AG186" s="294"/>
      <c r="AH186" s="294"/>
      <c r="AI186" s="294"/>
      <c r="AJ186" s="294"/>
      <c r="AK186" s="294"/>
      <c r="AL186" s="294"/>
      <c r="AM186" s="294"/>
      <c r="AN186" s="294"/>
      <c r="AO186" s="294"/>
      <c r="AP186" s="294"/>
      <c r="AQ186" s="294"/>
      <c r="AR186" s="294"/>
      <c r="AS186" s="294"/>
      <c r="AT186" s="294"/>
      <c r="AU186" s="294"/>
      <c r="AV186" s="294"/>
      <c r="AW186" s="294"/>
      <c r="AX186" s="294"/>
      <c r="AY186" s="294"/>
      <c r="AZ186" s="294"/>
      <c r="BA186" s="294"/>
      <c r="BB186" s="294"/>
      <c r="BC186" s="294"/>
      <c r="BD186" s="294"/>
      <c r="BE186" s="294"/>
      <c r="BF186" s="294"/>
      <c r="BG186" s="294"/>
      <c r="BH186" s="294"/>
      <c r="BI186" s="294"/>
      <c r="BJ186" s="294"/>
    </row>
    <row r="187" spans="1:87" s="9" customFormat="1" ht="40.5" customHeight="1">
      <c r="A187" s="242"/>
      <c r="B187" s="242"/>
      <c r="C187" s="242"/>
      <c r="D187" s="265"/>
      <c r="E187" s="265"/>
      <c r="F187" s="265"/>
      <c r="G187" s="265"/>
      <c r="H187" s="265"/>
      <c r="I187" s="265"/>
      <c r="J187" s="265"/>
      <c r="K187" s="265"/>
      <c r="L187" s="265"/>
      <c r="M187" s="265"/>
      <c r="N187" s="265"/>
      <c r="O187" s="265"/>
      <c r="P187" s="265"/>
      <c r="Q187" s="265"/>
      <c r="R187" s="295"/>
      <c r="S187" s="295"/>
      <c r="T187" s="295"/>
      <c r="U187" s="96"/>
      <c r="V187" s="10"/>
      <c r="W187" s="10"/>
      <c r="X187" s="10"/>
      <c r="Y187" s="10"/>
      <c r="Z187" s="10"/>
      <c r="AA187" s="10"/>
      <c r="AB187" s="10"/>
      <c r="AC187" s="10"/>
      <c r="AD187" s="10"/>
      <c r="AE187" s="294"/>
      <c r="AF187" s="294"/>
      <c r="AG187" s="294"/>
      <c r="AH187" s="294"/>
      <c r="AI187" s="294"/>
      <c r="AJ187" s="294"/>
      <c r="AK187" s="294"/>
      <c r="AL187" s="294"/>
      <c r="AM187" s="294"/>
      <c r="AN187" s="294"/>
      <c r="AO187" s="294"/>
      <c r="AP187" s="294"/>
      <c r="AQ187" s="294"/>
      <c r="AR187" s="294"/>
      <c r="AS187" s="294"/>
      <c r="AT187" s="294"/>
      <c r="AU187" s="294"/>
      <c r="AV187" s="294"/>
      <c r="AW187" s="294"/>
      <c r="AX187" s="294"/>
      <c r="AY187" s="294"/>
      <c r="AZ187" s="294"/>
      <c r="BA187" s="294"/>
      <c r="BB187" s="294"/>
      <c r="BC187" s="294"/>
      <c r="BD187" s="294"/>
      <c r="BE187" s="294"/>
      <c r="BF187" s="294"/>
      <c r="BG187" s="294"/>
      <c r="BH187" s="294"/>
      <c r="BI187" s="294"/>
      <c r="BJ187" s="294"/>
    </row>
    <row r="188" spans="1:87" s="9" customFormat="1" ht="40.5" customHeight="1">
      <c r="A188" s="242"/>
      <c r="B188" s="242"/>
      <c r="C188" s="242"/>
      <c r="D188" s="265"/>
      <c r="E188" s="265"/>
      <c r="F188" s="265"/>
      <c r="G188" s="265"/>
      <c r="H188" s="265"/>
      <c r="I188" s="265"/>
      <c r="J188" s="265"/>
      <c r="K188" s="265"/>
      <c r="L188" s="265"/>
      <c r="M188" s="265"/>
      <c r="N188" s="265"/>
      <c r="O188" s="265"/>
      <c r="P188" s="265"/>
      <c r="Q188" s="265"/>
      <c r="R188" s="295"/>
      <c r="S188" s="295"/>
      <c r="T188" s="295"/>
      <c r="U188" s="96"/>
      <c r="V188" s="10"/>
      <c r="W188" s="10"/>
      <c r="X188" s="10"/>
      <c r="Y188" s="10"/>
      <c r="Z188" s="10"/>
      <c r="AA188" s="10"/>
      <c r="AB188" s="10"/>
      <c r="AC188" s="10"/>
      <c r="AD188" s="10"/>
      <c r="AE188" s="294"/>
      <c r="AF188" s="294"/>
      <c r="AG188" s="294"/>
      <c r="AH188" s="294"/>
      <c r="AI188" s="294"/>
      <c r="AJ188" s="294"/>
      <c r="AK188" s="294"/>
      <c r="AL188" s="294"/>
      <c r="AM188" s="294"/>
      <c r="AN188" s="294"/>
      <c r="AO188" s="294"/>
      <c r="AP188" s="294"/>
      <c r="AQ188" s="294"/>
      <c r="AR188" s="294"/>
      <c r="AS188" s="294"/>
      <c r="AT188" s="294"/>
      <c r="AU188" s="294"/>
      <c r="AV188" s="294"/>
      <c r="AW188" s="294"/>
      <c r="AX188" s="294"/>
      <c r="AY188" s="294"/>
      <c r="AZ188" s="294"/>
      <c r="BA188" s="294"/>
      <c r="BB188" s="294"/>
      <c r="BC188" s="294"/>
      <c r="BD188" s="294"/>
      <c r="BE188" s="294"/>
      <c r="BF188" s="294"/>
      <c r="BG188" s="294"/>
      <c r="BH188" s="294"/>
      <c r="BI188" s="294"/>
      <c r="BJ188" s="294"/>
    </row>
    <row r="189" spans="1:87" s="9" customFormat="1" ht="40.5" customHeight="1">
      <c r="A189" s="242"/>
      <c r="B189" s="242"/>
      <c r="C189" s="242"/>
      <c r="D189" s="312"/>
      <c r="E189" s="265"/>
      <c r="F189" s="265"/>
      <c r="G189" s="265"/>
      <c r="H189" s="265"/>
      <c r="I189" s="265"/>
      <c r="J189" s="265"/>
      <c r="K189" s="265"/>
      <c r="L189" s="265"/>
      <c r="M189" s="265"/>
      <c r="N189" s="265"/>
      <c r="O189" s="265"/>
      <c r="P189" s="265"/>
      <c r="Q189" s="265"/>
      <c r="R189" s="295"/>
      <c r="S189" s="295"/>
      <c r="T189" s="295"/>
      <c r="U189" s="96"/>
      <c r="V189" s="10"/>
      <c r="W189" s="10"/>
      <c r="X189" s="10"/>
      <c r="Y189" s="10"/>
      <c r="Z189" s="10"/>
      <c r="AA189" s="10"/>
      <c r="AB189" s="10"/>
      <c r="AC189" s="10"/>
      <c r="AD189" s="10"/>
      <c r="AE189" s="294"/>
      <c r="AF189" s="294"/>
      <c r="AG189" s="294"/>
      <c r="AH189" s="294"/>
      <c r="AI189" s="294"/>
      <c r="AJ189" s="294"/>
      <c r="AK189" s="294"/>
      <c r="AL189" s="294"/>
      <c r="AM189" s="294"/>
      <c r="AN189" s="294"/>
      <c r="AO189" s="294"/>
      <c r="AP189" s="294"/>
      <c r="AQ189" s="294"/>
      <c r="AR189" s="294"/>
      <c r="AS189" s="294"/>
      <c r="AT189" s="294"/>
      <c r="AU189" s="294"/>
      <c r="AV189" s="294"/>
      <c r="AW189" s="294"/>
      <c r="AX189" s="294"/>
      <c r="AY189" s="294"/>
      <c r="AZ189" s="294"/>
      <c r="BA189" s="294"/>
      <c r="BB189" s="294"/>
      <c r="BC189" s="294"/>
      <c r="BD189" s="294"/>
      <c r="BE189" s="294"/>
      <c r="BF189" s="294"/>
      <c r="BG189" s="294"/>
      <c r="BH189" s="294"/>
      <c r="BI189" s="294"/>
      <c r="BJ189" s="294"/>
    </row>
    <row r="190" spans="1:87" s="9" customFormat="1" ht="40.5" customHeight="1">
      <c r="A190" s="242"/>
      <c r="B190" s="242"/>
      <c r="C190" s="242"/>
      <c r="D190" s="265"/>
      <c r="E190" s="265"/>
      <c r="F190" s="265"/>
      <c r="G190" s="265"/>
      <c r="H190" s="265"/>
      <c r="I190" s="265"/>
      <c r="J190" s="265"/>
      <c r="K190" s="265"/>
      <c r="L190" s="265"/>
      <c r="M190" s="265"/>
      <c r="N190" s="265"/>
      <c r="O190" s="265"/>
      <c r="P190" s="265"/>
      <c r="Q190" s="265"/>
      <c r="R190" s="295"/>
      <c r="S190" s="295"/>
      <c r="T190" s="295"/>
      <c r="U190" s="96"/>
      <c r="V190" s="10"/>
      <c r="W190" s="10"/>
      <c r="X190" s="10"/>
      <c r="Y190" s="10"/>
      <c r="Z190" s="10"/>
      <c r="AA190" s="10"/>
      <c r="AB190" s="10"/>
      <c r="AC190" s="10"/>
      <c r="AD190" s="10"/>
      <c r="AE190" s="311"/>
      <c r="AF190" s="294"/>
      <c r="AG190" s="294"/>
      <c r="AH190" s="294"/>
      <c r="AI190" s="294"/>
      <c r="AJ190" s="294"/>
      <c r="AK190" s="294"/>
      <c r="AL190" s="294"/>
      <c r="AM190" s="294"/>
      <c r="AN190" s="294"/>
      <c r="AO190" s="294"/>
      <c r="AP190" s="294"/>
      <c r="AQ190" s="294"/>
      <c r="AR190" s="294"/>
      <c r="AS190" s="294"/>
      <c r="AT190" s="294"/>
      <c r="AU190" s="294"/>
      <c r="AV190" s="294"/>
      <c r="AW190" s="294"/>
      <c r="AX190" s="294"/>
      <c r="AY190" s="294"/>
      <c r="AZ190" s="294"/>
      <c r="BA190" s="294"/>
      <c r="BB190" s="294"/>
      <c r="BC190" s="294"/>
      <c r="BD190" s="294"/>
      <c r="BE190" s="294"/>
      <c r="BF190" s="294"/>
      <c r="BG190" s="294"/>
      <c r="BH190" s="294"/>
      <c r="BI190" s="294"/>
      <c r="BJ190" s="294"/>
    </row>
    <row r="191" spans="1:87" s="9" customFormat="1" ht="40.5" customHeight="1">
      <c r="A191" s="242"/>
      <c r="B191" s="242"/>
      <c r="C191" s="242"/>
      <c r="D191" s="265"/>
      <c r="E191" s="265"/>
      <c r="F191" s="265"/>
      <c r="G191" s="265"/>
      <c r="H191" s="265"/>
      <c r="I191" s="265"/>
      <c r="J191" s="265"/>
      <c r="K191" s="265"/>
      <c r="L191" s="265"/>
      <c r="M191" s="265"/>
      <c r="N191" s="265"/>
      <c r="O191" s="265"/>
      <c r="P191" s="265"/>
      <c r="Q191" s="265"/>
      <c r="R191" s="295"/>
      <c r="S191" s="295"/>
      <c r="T191" s="295"/>
      <c r="U191" s="96"/>
      <c r="V191" s="10"/>
      <c r="W191" s="10"/>
      <c r="X191" s="10"/>
      <c r="Y191" s="10"/>
      <c r="Z191" s="10"/>
      <c r="AA191" s="10"/>
      <c r="AB191" s="10"/>
      <c r="AC191" s="10"/>
      <c r="AD191" s="10"/>
      <c r="AE191" s="294"/>
      <c r="AF191" s="294"/>
      <c r="AG191" s="294"/>
      <c r="AH191" s="294"/>
      <c r="AI191" s="294"/>
      <c r="AJ191" s="294"/>
      <c r="AK191" s="294"/>
      <c r="AL191" s="294"/>
      <c r="AM191" s="294"/>
      <c r="AN191" s="294"/>
      <c r="AO191" s="294"/>
      <c r="AP191" s="294"/>
      <c r="AQ191" s="294"/>
      <c r="AR191" s="294"/>
      <c r="AS191" s="294"/>
      <c r="AT191" s="294"/>
      <c r="AU191" s="294"/>
      <c r="AV191" s="294"/>
      <c r="AW191" s="294"/>
      <c r="AX191" s="294"/>
      <c r="AY191" s="294"/>
      <c r="AZ191" s="294"/>
      <c r="BA191" s="294"/>
      <c r="BB191" s="294"/>
      <c r="BC191" s="294"/>
      <c r="BD191" s="294"/>
      <c r="BE191" s="294"/>
      <c r="BF191" s="294"/>
      <c r="BG191" s="294"/>
      <c r="BH191" s="294"/>
      <c r="BI191" s="294"/>
      <c r="BJ191" s="294"/>
    </row>
    <row r="192" spans="1:87" s="9" customFormat="1" ht="40.5" customHeight="1">
      <c r="A192" s="242"/>
      <c r="B192" s="242"/>
      <c r="C192" s="242"/>
      <c r="D192" s="265"/>
      <c r="E192" s="265"/>
      <c r="F192" s="265"/>
      <c r="G192" s="265"/>
      <c r="H192" s="265"/>
      <c r="I192" s="265"/>
      <c r="J192" s="265"/>
      <c r="K192" s="265"/>
      <c r="L192" s="265"/>
      <c r="M192" s="265"/>
      <c r="N192" s="265"/>
      <c r="O192" s="265"/>
      <c r="P192" s="265"/>
      <c r="Q192" s="265"/>
      <c r="R192" s="295"/>
      <c r="S192" s="295"/>
      <c r="T192" s="295"/>
      <c r="U192" s="96"/>
      <c r="V192" s="10"/>
      <c r="W192" s="10"/>
      <c r="X192" s="10"/>
      <c r="Y192" s="10"/>
      <c r="Z192" s="10"/>
      <c r="AA192" s="10"/>
      <c r="AB192" s="10"/>
      <c r="AC192" s="10"/>
      <c r="AD192" s="10"/>
      <c r="AE192" s="294"/>
      <c r="AF192" s="294"/>
      <c r="AG192" s="294"/>
      <c r="AH192" s="294"/>
      <c r="AI192" s="294"/>
      <c r="AJ192" s="294"/>
      <c r="AK192" s="294"/>
      <c r="AL192" s="294"/>
      <c r="AM192" s="294"/>
      <c r="AN192" s="294"/>
      <c r="AO192" s="294"/>
      <c r="AP192" s="294"/>
      <c r="AQ192" s="294"/>
      <c r="AR192" s="294"/>
      <c r="AS192" s="294"/>
      <c r="AT192" s="294"/>
      <c r="AU192" s="294"/>
      <c r="AV192" s="294"/>
      <c r="AW192" s="294"/>
      <c r="AX192" s="294"/>
      <c r="AY192" s="294"/>
      <c r="AZ192" s="294"/>
      <c r="BA192" s="294"/>
      <c r="BB192" s="294"/>
      <c r="BC192" s="294"/>
      <c r="BD192" s="294"/>
      <c r="BE192" s="294"/>
      <c r="BF192" s="294"/>
      <c r="BG192" s="294"/>
      <c r="BH192" s="294"/>
      <c r="BI192" s="294"/>
      <c r="BJ192" s="294"/>
    </row>
    <row r="193" spans="1:62" s="9" customFormat="1" ht="40.5" customHeight="1">
      <c r="A193" s="242"/>
      <c r="B193" s="242"/>
      <c r="C193" s="242"/>
      <c r="D193" s="265"/>
      <c r="E193" s="265"/>
      <c r="F193" s="265"/>
      <c r="G193" s="265"/>
      <c r="H193" s="265"/>
      <c r="I193" s="265"/>
      <c r="J193" s="265"/>
      <c r="K193" s="265"/>
      <c r="L193" s="265"/>
      <c r="M193" s="265"/>
      <c r="N193" s="265"/>
      <c r="O193" s="265"/>
      <c r="P193" s="265"/>
      <c r="Q193" s="265"/>
      <c r="R193" s="295"/>
      <c r="S193" s="295"/>
      <c r="T193" s="295"/>
      <c r="U193" s="96"/>
      <c r="V193" s="10"/>
      <c r="W193" s="10"/>
      <c r="X193" s="10"/>
      <c r="Y193" s="10"/>
      <c r="Z193" s="10"/>
      <c r="AA193" s="10"/>
      <c r="AB193" s="10"/>
      <c r="AC193" s="10"/>
      <c r="AD193" s="10"/>
      <c r="AE193" s="294"/>
      <c r="AF193" s="294"/>
      <c r="AG193" s="294"/>
      <c r="AH193" s="294"/>
      <c r="AI193" s="294"/>
      <c r="AJ193" s="294"/>
      <c r="AK193" s="294"/>
      <c r="AL193" s="294"/>
      <c r="AM193" s="294"/>
      <c r="AN193" s="294"/>
      <c r="AO193" s="294"/>
      <c r="AP193" s="294"/>
      <c r="AQ193" s="294"/>
      <c r="AR193" s="294"/>
      <c r="AS193" s="294"/>
      <c r="AT193" s="294"/>
      <c r="AU193" s="294"/>
      <c r="AV193" s="294"/>
      <c r="AW193" s="294"/>
      <c r="AX193" s="294"/>
      <c r="AY193" s="294"/>
      <c r="AZ193" s="294"/>
      <c r="BA193" s="294"/>
      <c r="BB193" s="294"/>
      <c r="BC193" s="294"/>
      <c r="BD193" s="294"/>
      <c r="BE193" s="294"/>
      <c r="BF193" s="294"/>
      <c r="BG193" s="294"/>
      <c r="BH193" s="294"/>
      <c r="BI193" s="294"/>
      <c r="BJ193" s="294"/>
    </row>
    <row r="194" spans="1:62" s="9" customFormat="1" ht="40.5" customHeight="1">
      <c r="A194" s="242"/>
      <c r="B194" s="242"/>
      <c r="C194" s="242"/>
      <c r="D194" s="265"/>
      <c r="E194" s="265"/>
      <c r="F194" s="265"/>
      <c r="G194" s="265"/>
      <c r="H194" s="265"/>
      <c r="I194" s="265"/>
      <c r="J194" s="265"/>
      <c r="K194" s="265"/>
      <c r="L194" s="265"/>
      <c r="M194" s="265"/>
      <c r="N194" s="265"/>
      <c r="O194" s="265"/>
      <c r="P194" s="265"/>
      <c r="Q194" s="265"/>
      <c r="R194" s="295"/>
      <c r="S194" s="295"/>
      <c r="T194" s="295"/>
      <c r="U194" s="96"/>
      <c r="V194" s="10"/>
      <c r="W194" s="10"/>
      <c r="X194" s="10"/>
      <c r="Y194" s="10"/>
      <c r="Z194" s="10"/>
      <c r="AA194" s="10"/>
      <c r="AB194" s="10"/>
      <c r="AC194" s="10"/>
      <c r="AD194" s="10"/>
      <c r="AE194" s="294"/>
      <c r="AF194" s="294"/>
      <c r="AG194" s="294"/>
      <c r="AH194" s="294"/>
      <c r="AI194" s="294"/>
      <c r="AJ194" s="294"/>
      <c r="AK194" s="294"/>
      <c r="AL194" s="294"/>
      <c r="AM194" s="294"/>
      <c r="AN194" s="294"/>
      <c r="AO194" s="294"/>
      <c r="AP194" s="294"/>
      <c r="AQ194" s="294"/>
      <c r="AR194" s="294"/>
      <c r="AS194" s="294"/>
      <c r="AT194" s="294"/>
      <c r="AU194" s="294"/>
      <c r="AV194" s="294"/>
      <c r="AW194" s="294"/>
      <c r="AX194" s="294"/>
      <c r="AY194" s="294"/>
      <c r="AZ194" s="294"/>
      <c r="BA194" s="294"/>
      <c r="BB194" s="294"/>
      <c r="BC194" s="294"/>
      <c r="BD194" s="294"/>
      <c r="BE194" s="294"/>
      <c r="BF194" s="294"/>
      <c r="BG194" s="294"/>
      <c r="BH194" s="294"/>
      <c r="BI194" s="294"/>
      <c r="BJ194" s="294"/>
    </row>
    <row r="195" spans="1:62" s="9" customFormat="1" ht="40.5" customHeight="1">
      <c r="A195" s="242"/>
      <c r="B195" s="242"/>
      <c r="C195" s="242"/>
      <c r="D195" s="312"/>
      <c r="E195" s="265"/>
      <c r="F195" s="265"/>
      <c r="G195" s="265"/>
      <c r="H195" s="265"/>
      <c r="I195" s="265"/>
      <c r="J195" s="265"/>
      <c r="K195" s="265"/>
      <c r="L195" s="265"/>
      <c r="M195" s="265"/>
      <c r="N195" s="265"/>
      <c r="O195" s="265"/>
      <c r="P195" s="265"/>
      <c r="Q195" s="265"/>
      <c r="R195" s="295"/>
      <c r="S195" s="295"/>
      <c r="T195" s="295"/>
      <c r="U195" s="96"/>
      <c r="V195" s="10"/>
      <c r="W195" s="10"/>
      <c r="X195" s="10"/>
      <c r="Y195" s="10"/>
      <c r="Z195" s="10"/>
      <c r="AA195" s="10"/>
      <c r="AB195" s="10"/>
      <c r="AC195" s="10"/>
      <c r="AD195" s="10"/>
      <c r="AE195" s="294"/>
      <c r="AF195" s="294"/>
      <c r="AG195" s="294"/>
      <c r="AH195" s="294"/>
      <c r="AI195" s="294"/>
      <c r="AJ195" s="294"/>
      <c r="AK195" s="294"/>
      <c r="AL195" s="294"/>
      <c r="AM195" s="294"/>
      <c r="AN195" s="294"/>
      <c r="AO195" s="294"/>
      <c r="AP195" s="294"/>
      <c r="AQ195" s="294"/>
      <c r="AR195" s="294"/>
      <c r="AS195" s="294"/>
      <c r="AT195" s="294"/>
      <c r="AU195" s="294"/>
      <c r="AV195" s="294"/>
      <c r="AW195" s="294"/>
      <c r="AX195" s="294"/>
      <c r="AY195" s="294"/>
      <c r="AZ195" s="294"/>
      <c r="BA195" s="294"/>
      <c r="BB195" s="294"/>
      <c r="BC195" s="294"/>
      <c r="BD195" s="294"/>
      <c r="BE195" s="294"/>
      <c r="BF195" s="294"/>
      <c r="BG195" s="294"/>
      <c r="BH195" s="294"/>
      <c r="BI195" s="294"/>
      <c r="BJ195" s="294"/>
    </row>
    <row r="196" spans="1:62" s="9" customFormat="1" ht="40.5" customHeight="1">
      <c r="A196" s="242"/>
      <c r="B196" s="242"/>
      <c r="C196" s="242"/>
      <c r="D196" s="265"/>
      <c r="E196" s="265"/>
      <c r="F196" s="265"/>
      <c r="G196" s="265"/>
      <c r="H196" s="265"/>
      <c r="I196" s="265"/>
      <c r="J196" s="265"/>
      <c r="K196" s="265"/>
      <c r="L196" s="265"/>
      <c r="M196" s="265"/>
      <c r="N196" s="265"/>
      <c r="O196" s="265"/>
      <c r="P196" s="265"/>
      <c r="Q196" s="265"/>
      <c r="R196" s="295"/>
      <c r="S196" s="295"/>
      <c r="T196" s="295"/>
      <c r="U196" s="96"/>
      <c r="V196" s="10"/>
      <c r="W196" s="10"/>
      <c r="X196" s="10"/>
      <c r="Y196" s="10"/>
      <c r="Z196" s="10"/>
      <c r="AA196" s="10"/>
      <c r="AB196" s="10"/>
      <c r="AC196" s="10"/>
      <c r="AD196" s="10"/>
      <c r="AE196" s="294"/>
      <c r="AF196" s="294"/>
      <c r="AG196" s="294"/>
      <c r="AH196" s="294"/>
      <c r="AI196" s="294"/>
      <c r="AJ196" s="294"/>
      <c r="AK196" s="294"/>
      <c r="AL196" s="294"/>
      <c r="AM196" s="294"/>
      <c r="AN196" s="294"/>
      <c r="AO196" s="294"/>
      <c r="AP196" s="294"/>
      <c r="AQ196" s="294"/>
      <c r="AR196" s="294"/>
      <c r="AS196" s="294"/>
      <c r="AT196" s="294"/>
      <c r="AU196" s="294"/>
      <c r="AV196" s="294"/>
      <c r="AW196" s="294"/>
      <c r="AX196" s="294"/>
      <c r="AY196" s="294"/>
      <c r="AZ196" s="294"/>
      <c r="BA196" s="294"/>
      <c r="BB196" s="294"/>
      <c r="BC196" s="294"/>
      <c r="BD196" s="294"/>
      <c r="BE196" s="294"/>
      <c r="BF196" s="294"/>
      <c r="BG196" s="294"/>
      <c r="BH196" s="294"/>
      <c r="BI196" s="294"/>
      <c r="BJ196" s="294"/>
    </row>
    <row r="197" spans="1:62" s="9" customFormat="1" ht="40.5" customHeight="1">
      <c r="A197" s="242"/>
      <c r="B197" s="242"/>
      <c r="C197" s="242"/>
      <c r="D197" s="265"/>
      <c r="E197" s="265"/>
      <c r="F197" s="265"/>
      <c r="G197" s="265"/>
      <c r="H197" s="265"/>
      <c r="I197" s="265"/>
      <c r="J197" s="265"/>
      <c r="K197" s="265"/>
      <c r="L197" s="265"/>
      <c r="M197" s="265"/>
      <c r="N197" s="265"/>
      <c r="O197" s="265"/>
      <c r="P197" s="265"/>
      <c r="Q197" s="265"/>
      <c r="R197" s="295"/>
      <c r="S197" s="295"/>
      <c r="T197" s="295"/>
      <c r="U197" s="96"/>
      <c r="V197" s="10"/>
      <c r="W197" s="10"/>
      <c r="X197" s="10"/>
      <c r="Y197" s="10"/>
      <c r="Z197" s="10"/>
      <c r="AA197" s="10"/>
      <c r="AB197" s="10"/>
      <c r="AC197" s="10"/>
      <c r="AD197" s="10"/>
      <c r="AE197" s="294"/>
      <c r="AF197" s="294"/>
      <c r="AG197" s="294"/>
      <c r="AH197" s="294"/>
      <c r="AI197" s="294"/>
      <c r="AJ197" s="294"/>
      <c r="AK197" s="294"/>
      <c r="AL197" s="294"/>
      <c r="AM197" s="294"/>
      <c r="AN197" s="294"/>
      <c r="AO197" s="294"/>
      <c r="AP197" s="294"/>
      <c r="AQ197" s="294"/>
      <c r="AR197" s="294"/>
      <c r="AS197" s="294"/>
      <c r="AT197" s="294"/>
      <c r="AU197" s="294"/>
      <c r="AV197" s="294"/>
      <c r="AW197" s="294"/>
      <c r="AX197" s="294"/>
      <c r="AY197" s="294"/>
      <c r="AZ197" s="294"/>
      <c r="BA197" s="294"/>
      <c r="BB197" s="294"/>
      <c r="BC197" s="294"/>
      <c r="BD197" s="294"/>
      <c r="BE197" s="294"/>
      <c r="BF197" s="294"/>
      <c r="BG197" s="294"/>
      <c r="BH197" s="294"/>
      <c r="BI197" s="294"/>
      <c r="BJ197" s="294"/>
    </row>
    <row r="198" spans="1:62" s="9" customFormat="1" ht="40.5" customHeight="1">
      <c r="A198" s="242"/>
      <c r="B198" s="242"/>
      <c r="C198" s="242"/>
      <c r="D198" s="265"/>
      <c r="E198" s="265"/>
      <c r="F198" s="265"/>
      <c r="G198" s="265"/>
      <c r="H198" s="265"/>
      <c r="I198" s="265"/>
      <c r="J198" s="265"/>
      <c r="K198" s="265"/>
      <c r="L198" s="265"/>
      <c r="M198" s="265"/>
      <c r="N198" s="265"/>
      <c r="O198" s="265"/>
      <c r="P198" s="265"/>
      <c r="Q198" s="265"/>
      <c r="R198" s="295"/>
      <c r="S198" s="295"/>
      <c r="T198" s="295"/>
      <c r="U198" s="96"/>
      <c r="V198" s="10"/>
      <c r="W198" s="10"/>
      <c r="X198" s="10"/>
      <c r="Y198" s="10"/>
      <c r="Z198" s="10"/>
      <c r="AA198" s="10"/>
      <c r="AB198" s="10"/>
      <c r="AC198" s="10"/>
      <c r="AD198" s="10"/>
      <c r="AE198" s="294"/>
      <c r="AF198" s="294"/>
      <c r="AG198" s="294"/>
      <c r="AH198" s="294"/>
      <c r="AI198" s="294"/>
      <c r="AJ198" s="294"/>
      <c r="AK198" s="294"/>
      <c r="AL198" s="294"/>
      <c r="AM198" s="294"/>
      <c r="AN198" s="294"/>
      <c r="AO198" s="294"/>
      <c r="AP198" s="294"/>
      <c r="AQ198" s="294"/>
      <c r="AR198" s="294"/>
      <c r="AS198" s="294"/>
      <c r="AT198" s="294"/>
      <c r="AU198" s="294"/>
      <c r="AV198" s="294"/>
      <c r="AW198" s="294"/>
      <c r="AX198" s="294"/>
      <c r="AY198" s="294"/>
      <c r="AZ198" s="294"/>
      <c r="BA198" s="294"/>
      <c r="BB198" s="294"/>
      <c r="BC198" s="294"/>
      <c r="BD198" s="294"/>
      <c r="BE198" s="294"/>
      <c r="BF198" s="294"/>
      <c r="BG198" s="294"/>
      <c r="BH198" s="294"/>
      <c r="BI198" s="294"/>
      <c r="BJ198" s="294"/>
    </row>
    <row r="199" spans="1:62" s="9" customFormat="1" ht="40.5" customHeight="1">
      <c r="A199" s="242"/>
      <c r="B199" s="242"/>
      <c r="C199" s="242"/>
      <c r="D199" s="265"/>
      <c r="E199" s="265"/>
      <c r="F199" s="265"/>
      <c r="G199" s="265"/>
      <c r="H199" s="265"/>
      <c r="I199" s="265"/>
      <c r="J199" s="265"/>
      <c r="K199" s="265"/>
      <c r="L199" s="265"/>
      <c r="M199" s="265"/>
      <c r="N199" s="265"/>
      <c r="O199" s="265"/>
      <c r="P199" s="265"/>
      <c r="Q199" s="265"/>
      <c r="R199" s="295"/>
      <c r="S199" s="295"/>
      <c r="T199" s="295"/>
      <c r="U199" s="96"/>
      <c r="V199" s="10"/>
      <c r="W199" s="10"/>
      <c r="X199" s="10"/>
      <c r="Y199" s="10"/>
      <c r="Z199" s="10"/>
      <c r="AA199" s="10"/>
      <c r="AB199" s="10"/>
      <c r="AC199" s="10"/>
      <c r="AD199" s="10"/>
      <c r="AE199" s="294"/>
      <c r="AF199" s="294"/>
      <c r="AG199" s="294"/>
      <c r="AH199" s="294"/>
      <c r="AI199" s="294"/>
      <c r="AJ199" s="294"/>
      <c r="AK199" s="294"/>
      <c r="AL199" s="294"/>
      <c r="AM199" s="294"/>
      <c r="AN199" s="294"/>
      <c r="AO199" s="294"/>
      <c r="AP199" s="294"/>
      <c r="AQ199" s="294"/>
      <c r="AR199" s="294"/>
      <c r="AS199" s="294"/>
      <c r="AT199" s="294"/>
      <c r="AU199" s="294"/>
      <c r="AV199" s="294"/>
      <c r="AW199" s="294"/>
      <c r="AX199" s="294"/>
      <c r="AY199" s="294"/>
      <c r="AZ199" s="294"/>
      <c r="BA199" s="294"/>
      <c r="BB199" s="294"/>
      <c r="BC199" s="294"/>
      <c r="BD199" s="294"/>
      <c r="BE199" s="294"/>
      <c r="BF199" s="294"/>
      <c r="BG199" s="294"/>
      <c r="BH199" s="294"/>
      <c r="BI199" s="294"/>
      <c r="BJ199" s="294"/>
    </row>
    <row r="200" spans="1:62" s="9" customFormat="1" ht="40.5" customHeight="1">
      <c r="A200" s="242"/>
      <c r="B200" s="242"/>
      <c r="C200" s="242"/>
      <c r="D200" s="265"/>
      <c r="E200" s="265"/>
      <c r="F200" s="265"/>
      <c r="G200" s="265"/>
      <c r="H200" s="265"/>
      <c r="I200" s="265"/>
      <c r="J200" s="265"/>
      <c r="K200" s="265"/>
      <c r="L200" s="265"/>
      <c r="M200" s="265"/>
      <c r="N200" s="265"/>
      <c r="O200" s="265"/>
      <c r="P200" s="265"/>
      <c r="Q200" s="265"/>
      <c r="R200" s="295"/>
      <c r="S200" s="295"/>
      <c r="T200" s="295"/>
      <c r="U200" s="96"/>
      <c r="V200" s="10"/>
      <c r="W200" s="10"/>
      <c r="X200" s="10"/>
      <c r="Y200" s="10"/>
      <c r="Z200" s="10"/>
      <c r="AA200" s="10"/>
      <c r="AB200" s="10"/>
      <c r="AC200" s="10"/>
      <c r="AD200" s="10"/>
      <c r="AE200" s="294"/>
      <c r="AF200" s="294"/>
      <c r="AG200" s="294"/>
      <c r="AH200" s="294"/>
      <c r="AI200" s="294"/>
      <c r="AJ200" s="294"/>
      <c r="AK200" s="294"/>
      <c r="AL200" s="294"/>
      <c r="AM200" s="294"/>
      <c r="AN200" s="294"/>
      <c r="AO200" s="294"/>
      <c r="AP200" s="294"/>
      <c r="AQ200" s="294"/>
      <c r="AR200" s="294"/>
      <c r="AS200" s="294"/>
      <c r="AT200" s="294"/>
      <c r="AU200" s="294"/>
      <c r="AV200" s="294"/>
      <c r="AW200" s="294"/>
      <c r="AX200" s="294"/>
      <c r="AY200" s="294"/>
      <c r="AZ200" s="294"/>
      <c r="BA200" s="294"/>
      <c r="BB200" s="294"/>
      <c r="BC200" s="294"/>
      <c r="BD200" s="294"/>
      <c r="BE200" s="294"/>
      <c r="BF200" s="294"/>
      <c r="BG200" s="294"/>
      <c r="BH200" s="294"/>
      <c r="BI200" s="294"/>
      <c r="BJ200" s="294"/>
    </row>
    <row r="201" spans="1:62" s="9" customFormat="1" ht="40.5" customHeight="1">
      <c r="A201" s="242"/>
      <c r="B201" s="242"/>
      <c r="C201" s="242"/>
      <c r="D201" s="265"/>
      <c r="E201" s="265"/>
      <c r="F201" s="265"/>
      <c r="G201" s="265"/>
      <c r="H201" s="265"/>
      <c r="I201" s="265"/>
      <c r="J201" s="265"/>
      <c r="K201" s="265"/>
      <c r="L201" s="265"/>
      <c r="M201" s="265"/>
      <c r="N201" s="265"/>
      <c r="O201" s="265"/>
      <c r="P201" s="265"/>
      <c r="Q201" s="265"/>
      <c r="R201" s="295"/>
      <c r="S201" s="295"/>
      <c r="T201" s="295"/>
      <c r="U201" s="97"/>
      <c r="V201" s="10"/>
      <c r="W201" s="10"/>
      <c r="X201" s="10"/>
      <c r="Y201" s="10"/>
      <c r="Z201" s="10"/>
      <c r="AA201" s="10"/>
      <c r="AB201" s="10"/>
      <c r="AC201" s="10"/>
      <c r="AD201" s="10"/>
      <c r="AE201" s="294"/>
      <c r="AF201" s="294"/>
      <c r="AG201" s="294"/>
      <c r="AH201" s="294"/>
      <c r="AI201" s="294"/>
      <c r="AJ201" s="294"/>
      <c r="AK201" s="294"/>
      <c r="AL201" s="294"/>
      <c r="AM201" s="294"/>
      <c r="AN201" s="294"/>
      <c r="AO201" s="294"/>
      <c r="AP201" s="294"/>
      <c r="AQ201" s="294"/>
      <c r="AR201" s="294"/>
      <c r="AS201" s="294"/>
      <c r="AT201" s="294"/>
      <c r="AU201" s="294"/>
      <c r="AV201" s="294"/>
      <c r="AW201" s="294"/>
      <c r="AX201" s="294"/>
      <c r="AY201" s="294"/>
      <c r="AZ201" s="294"/>
      <c r="BA201" s="294"/>
      <c r="BB201" s="294"/>
      <c r="BC201" s="294"/>
      <c r="BD201" s="294"/>
      <c r="BE201" s="294"/>
      <c r="BF201" s="294"/>
      <c r="BG201" s="294"/>
      <c r="BH201" s="294"/>
      <c r="BI201" s="294"/>
      <c r="BJ201" s="294"/>
    </row>
    <row r="202" spans="1:62" s="9" customFormat="1" ht="40.5" customHeight="1">
      <c r="A202" s="242"/>
      <c r="B202" s="242"/>
      <c r="C202" s="242"/>
      <c r="D202" s="265"/>
      <c r="E202" s="265"/>
      <c r="F202" s="265"/>
      <c r="G202" s="265"/>
      <c r="H202" s="265"/>
      <c r="I202" s="265"/>
      <c r="J202" s="265"/>
      <c r="K202" s="265"/>
      <c r="L202" s="265"/>
      <c r="M202" s="265"/>
      <c r="N202" s="265"/>
      <c r="O202" s="265"/>
      <c r="P202" s="265"/>
      <c r="Q202" s="265"/>
      <c r="R202" s="295"/>
      <c r="S202" s="295"/>
      <c r="T202" s="295"/>
      <c r="U202" s="96"/>
      <c r="V202" s="10"/>
      <c r="W202" s="10"/>
      <c r="X202" s="10"/>
      <c r="Y202" s="10"/>
      <c r="Z202" s="10"/>
      <c r="AA202" s="10"/>
      <c r="AB202" s="10"/>
      <c r="AC202" s="10"/>
      <c r="AD202" s="10"/>
      <c r="AE202" s="294"/>
      <c r="AF202" s="294"/>
      <c r="AG202" s="294"/>
      <c r="AH202" s="294"/>
      <c r="AI202" s="294"/>
      <c r="AJ202" s="294"/>
      <c r="AK202" s="294"/>
      <c r="AL202" s="294"/>
      <c r="AM202" s="294"/>
      <c r="AN202" s="294"/>
      <c r="AO202" s="294"/>
      <c r="AP202" s="294"/>
      <c r="AQ202" s="294"/>
      <c r="AR202" s="294"/>
      <c r="AS202" s="294"/>
      <c r="AT202" s="294"/>
      <c r="AU202" s="294"/>
      <c r="AV202" s="294"/>
      <c r="AW202" s="294"/>
      <c r="AX202" s="294"/>
      <c r="AY202" s="294"/>
      <c r="AZ202" s="294"/>
      <c r="BA202" s="294"/>
      <c r="BB202" s="294"/>
      <c r="BC202" s="294"/>
      <c r="BD202" s="294"/>
      <c r="BE202" s="294"/>
      <c r="BF202" s="294"/>
      <c r="BG202" s="294"/>
      <c r="BH202" s="294"/>
      <c r="BI202" s="294"/>
      <c r="BJ202" s="294"/>
    </row>
    <row r="203" spans="1:62" s="9" customFormat="1" ht="40.5" customHeight="1">
      <c r="A203" s="242"/>
      <c r="B203" s="242"/>
      <c r="C203" s="242"/>
      <c r="D203" s="265"/>
      <c r="E203" s="265"/>
      <c r="F203" s="265"/>
      <c r="G203" s="265"/>
      <c r="H203" s="265"/>
      <c r="I203" s="265"/>
      <c r="J203" s="265"/>
      <c r="K203" s="265"/>
      <c r="L203" s="265"/>
      <c r="M203" s="265"/>
      <c r="N203" s="265"/>
      <c r="O203" s="265"/>
      <c r="P203" s="265"/>
      <c r="Q203" s="265"/>
      <c r="R203" s="295"/>
      <c r="S203" s="295"/>
      <c r="T203" s="295"/>
      <c r="U203" s="96"/>
      <c r="V203" s="10"/>
      <c r="W203" s="10"/>
      <c r="X203" s="10"/>
      <c r="Y203" s="10"/>
      <c r="Z203" s="10"/>
      <c r="AA203" s="10"/>
      <c r="AB203" s="10"/>
      <c r="AC203" s="10"/>
      <c r="AD203" s="10"/>
      <c r="AE203" s="294"/>
      <c r="AF203" s="294"/>
      <c r="AG203" s="294"/>
      <c r="AH203" s="294"/>
      <c r="AI203" s="294"/>
      <c r="AJ203" s="294"/>
      <c r="AK203" s="294"/>
      <c r="AL203" s="294"/>
      <c r="AM203" s="294"/>
      <c r="AN203" s="294"/>
      <c r="AO203" s="294"/>
      <c r="AP203" s="294"/>
      <c r="AQ203" s="294"/>
      <c r="AR203" s="294"/>
      <c r="AS203" s="294"/>
      <c r="AT203" s="294"/>
      <c r="AU203" s="294"/>
      <c r="AV203" s="294"/>
      <c r="AW203" s="294"/>
      <c r="AX203" s="294"/>
      <c r="AY203" s="294"/>
      <c r="AZ203" s="294"/>
      <c r="BA203" s="294"/>
      <c r="BB203" s="294"/>
      <c r="BC203" s="294"/>
      <c r="BD203" s="294"/>
      <c r="BE203" s="294"/>
      <c r="BF203" s="294"/>
      <c r="BG203" s="294"/>
      <c r="BH203" s="294"/>
      <c r="BI203" s="294"/>
      <c r="BJ203" s="294"/>
    </row>
    <row r="204" spans="1:62" s="9" customFormat="1" ht="40.5" customHeight="1">
      <c r="A204" s="242"/>
      <c r="B204" s="242"/>
      <c r="C204" s="242"/>
      <c r="D204" s="265"/>
      <c r="E204" s="265"/>
      <c r="F204" s="265"/>
      <c r="G204" s="265"/>
      <c r="H204" s="265"/>
      <c r="I204" s="265"/>
      <c r="J204" s="265"/>
      <c r="K204" s="265"/>
      <c r="L204" s="265"/>
      <c r="M204" s="265"/>
      <c r="N204" s="265"/>
      <c r="O204" s="265"/>
      <c r="P204" s="265"/>
      <c r="Q204" s="265"/>
      <c r="R204" s="295"/>
      <c r="S204" s="295"/>
      <c r="T204" s="295"/>
      <c r="U204" s="97"/>
      <c r="V204" s="10"/>
      <c r="W204" s="10"/>
      <c r="X204" s="10"/>
      <c r="Y204" s="10"/>
      <c r="Z204" s="10"/>
      <c r="AA204" s="10"/>
      <c r="AB204" s="10"/>
      <c r="AC204" s="10"/>
      <c r="AD204" s="10"/>
      <c r="AE204" s="294"/>
      <c r="AF204" s="294"/>
      <c r="AG204" s="294"/>
      <c r="AH204" s="294"/>
      <c r="AI204" s="294"/>
      <c r="AJ204" s="294"/>
      <c r="AK204" s="294"/>
      <c r="AL204" s="294"/>
      <c r="AM204" s="294"/>
      <c r="AN204" s="294"/>
      <c r="AO204" s="294"/>
      <c r="AP204" s="294"/>
      <c r="AQ204" s="294"/>
      <c r="AR204" s="294"/>
      <c r="AS204" s="294"/>
      <c r="AT204" s="294"/>
      <c r="AU204" s="294"/>
      <c r="AV204" s="294"/>
      <c r="AW204" s="294"/>
      <c r="AX204" s="294"/>
      <c r="AY204" s="294"/>
      <c r="AZ204" s="294"/>
      <c r="BA204" s="294"/>
      <c r="BB204" s="294"/>
      <c r="BC204" s="294"/>
      <c r="BD204" s="294"/>
      <c r="BE204" s="294"/>
      <c r="BF204" s="294"/>
      <c r="BG204" s="294"/>
      <c r="BH204" s="294"/>
      <c r="BI204" s="294"/>
      <c r="BJ204" s="294"/>
    </row>
    <row r="205" spans="1:62" s="9" customFormat="1" ht="40.5" customHeight="1">
      <c r="A205" s="242"/>
      <c r="B205" s="242"/>
      <c r="C205" s="242"/>
      <c r="D205" s="265"/>
      <c r="E205" s="265"/>
      <c r="F205" s="265"/>
      <c r="G205" s="265"/>
      <c r="H205" s="265"/>
      <c r="I205" s="265"/>
      <c r="J205" s="265"/>
      <c r="K205" s="265"/>
      <c r="L205" s="265"/>
      <c r="M205" s="265"/>
      <c r="N205" s="265"/>
      <c r="O205" s="265"/>
      <c r="P205" s="265"/>
      <c r="Q205" s="265"/>
      <c r="R205" s="295"/>
      <c r="S205" s="295"/>
      <c r="T205" s="295"/>
      <c r="U205" s="96"/>
      <c r="V205" s="10"/>
      <c r="W205" s="10"/>
      <c r="X205" s="10"/>
      <c r="Y205" s="10"/>
      <c r="Z205" s="10"/>
      <c r="AA205" s="10"/>
      <c r="AB205" s="10"/>
      <c r="AC205" s="10"/>
      <c r="AD205" s="10"/>
      <c r="AE205" s="294"/>
      <c r="AF205" s="294"/>
      <c r="AG205" s="294"/>
      <c r="AH205" s="294"/>
      <c r="AI205" s="294"/>
      <c r="AJ205" s="294"/>
      <c r="AK205" s="294"/>
      <c r="AL205" s="294"/>
      <c r="AM205" s="294"/>
      <c r="AN205" s="294"/>
      <c r="AO205" s="294"/>
      <c r="AP205" s="294"/>
      <c r="AQ205" s="294"/>
      <c r="AR205" s="294"/>
      <c r="AS205" s="294"/>
      <c r="AT205" s="294"/>
      <c r="AU205" s="294"/>
      <c r="AV205" s="294"/>
      <c r="AW205" s="294"/>
      <c r="AX205" s="294"/>
      <c r="AY205" s="294"/>
      <c r="AZ205" s="294"/>
      <c r="BA205" s="294"/>
      <c r="BB205" s="294"/>
      <c r="BC205" s="294"/>
      <c r="BD205" s="294"/>
      <c r="BE205" s="294"/>
      <c r="BF205" s="294"/>
      <c r="BG205" s="294"/>
      <c r="BH205" s="294"/>
      <c r="BI205" s="294"/>
      <c r="BJ205" s="294"/>
    </row>
    <row r="206" spans="1:62" s="9" customFormat="1" ht="40.5" customHeight="1">
      <c r="A206" s="242"/>
      <c r="B206" s="242"/>
      <c r="C206" s="242"/>
      <c r="D206" s="265"/>
      <c r="E206" s="265"/>
      <c r="F206" s="265"/>
      <c r="G206" s="265"/>
      <c r="H206" s="265"/>
      <c r="I206" s="265"/>
      <c r="J206" s="265"/>
      <c r="K206" s="265"/>
      <c r="L206" s="265"/>
      <c r="M206" s="265"/>
      <c r="N206" s="265"/>
      <c r="O206" s="265"/>
      <c r="P206" s="265"/>
      <c r="Q206" s="265"/>
      <c r="R206" s="295"/>
      <c r="S206" s="295"/>
      <c r="T206" s="295"/>
      <c r="U206" s="96"/>
      <c r="V206" s="10"/>
      <c r="W206" s="10"/>
      <c r="X206" s="10"/>
      <c r="Y206" s="10"/>
      <c r="Z206" s="10"/>
      <c r="AA206" s="10"/>
      <c r="AB206" s="10"/>
      <c r="AC206" s="10"/>
      <c r="AD206" s="10"/>
      <c r="AE206" s="294"/>
      <c r="AF206" s="294"/>
      <c r="AG206" s="294"/>
      <c r="AH206" s="294"/>
      <c r="AI206" s="294"/>
      <c r="AJ206" s="294"/>
      <c r="AK206" s="294"/>
      <c r="AL206" s="294"/>
      <c r="AM206" s="294"/>
      <c r="AN206" s="294"/>
      <c r="AO206" s="294"/>
      <c r="AP206" s="294"/>
      <c r="AQ206" s="294"/>
      <c r="AR206" s="294"/>
      <c r="AS206" s="294"/>
      <c r="AT206" s="294"/>
      <c r="AU206" s="294"/>
      <c r="AV206" s="294"/>
      <c r="AW206" s="294"/>
      <c r="AX206" s="294"/>
      <c r="AY206" s="294"/>
      <c r="AZ206" s="294"/>
      <c r="BA206" s="294"/>
      <c r="BB206" s="294"/>
      <c r="BC206" s="294"/>
      <c r="BD206" s="294"/>
      <c r="BE206" s="294"/>
      <c r="BF206" s="294"/>
      <c r="BG206" s="294"/>
      <c r="BH206" s="294"/>
      <c r="BI206" s="294"/>
      <c r="BJ206" s="294"/>
    </row>
    <row r="207" spans="1:62" s="9" customFormat="1" ht="40.5" customHeight="1">
      <c r="A207" s="242"/>
      <c r="B207" s="242"/>
      <c r="C207" s="242"/>
      <c r="D207" s="265"/>
      <c r="E207" s="265"/>
      <c r="F207" s="265"/>
      <c r="G207" s="265"/>
      <c r="H207" s="265"/>
      <c r="I207" s="265"/>
      <c r="J207" s="265"/>
      <c r="K207" s="265"/>
      <c r="L207" s="265"/>
      <c r="M207" s="265"/>
      <c r="N207" s="265"/>
      <c r="O207" s="265"/>
      <c r="P207" s="265"/>
      <c r="Q207" s="265"/>
      <c r="R207" s="295"/>
      <c r="S207" s="295"/>
      <c r="T207" s="295"/>
      <c r="U207" s="97"/>
      <c r="V207" s="10"/>
      <c r="W207" s="10"/>
      <c r="X207" s="10"/>
      <c r="Y207" s="10"/>
      <c r="Z207" s="10"/>
      <c r="AA207" s="10"/>
      <c r="AB207" s="10"/>
      <c r="AC207" s="10"/>
      <c r="AD207" s="10"/>
      <c r="AE207" s="294"/>
      <c r="AF207" s="294"/>
      <c r="AG207" s="294"/>
      <c r="AH207" s="294"/>
      <c r="AI207" s="294"/>
      <c r="AJ207" s="294"/>
      <c r="AK207" s="294"/>
      <c r="AL207" s="294"/>
      <c r="AM207" s="294"/>
      <c r="AN207" s="294"/>
      <c r="AO207" s="294"/>
      <c r="AP207" s="294"/>
      <c r="AQ207" s="294"/>
      <c r="AR207" s="294"/>
      <c r="AS207" s="294"/>
      <c r="AT207" s="294"/>
      <c r="AU207" s="294"/>
      <c r="AV207" s="294"/>
      <c r="AW207" s="294"/>
      <c r="AX207" s="294"/>
      <c r="AY207" s="294"/>
      <c r="AZ207" s="294"/>
      <c r="BA207" s="294"/>
      <c r="BB207" s="294"/>
      <c r="BC207" s="294"/>
      <c r="BD207" s="294"/>
      <c r="BE207" s="294"/>
      <c r="BF207" s="294"/>
      <c r="BG207" s="294"/>
      <c r="BH207" s="294"/>
      <c r="BI207" s="294"/>
      <c r="BJ207" s="294"/>
    </row>
    <row r="208" spans="1:62" s="9" customFormat="1" ht="40.5" customHeight="1">
      <c r="A208" s="242"/>
      <c r="B208" s="242"/>
      <c r="C208" s="242"/>
      <c r="D208" s="265"/>
      <c r="E208" s="265"/>
      <c r="F208" s="265"/>
      <c r="G208" s="265"/>
      <c r="H208" s="265"/>
      <c r="I208" s="265"/>
      <c r="J208" s="265"/>
      <c r="K208" s="265"/>
      <c r="L208" s="265"/>
      <c r="M208" s="265"/>
      <c r="N208" s="265"/>
      <c r="O208" s="265"/>
      <c r="P208" s="265"/>
      <c r="Q208" s="265"/>
      <c r="R208" s="295"/>
      <c r="S208" s="295"/>
      <c r="T208" s="295"/>
      <c r="U208" s="96"/>
      <c r="V208" s="10"/>
      <c r="W208" s="10"/>
      <c r="X208" s="10"/>
      <c r="Y208" s="10"/>
      <c r="Z208" s="10"/>
      <c r="AA208" s="10"/>
      <c r="AB208" s="10"/>
      <c r="AC208" s="10"/>
      <c r="AD208" s="10"/>
      <c r="AE208" s="294"/>
      <c r="AF208" s="294"/>
      <c r="AG208" s="294"/>
      <c r="AH208" s="294"/>
      <c r="AI208" s="294"/>
      <c r="AJ208" s="294"/>
      <c r="AK208" s="294"/>
      <c r="AL208" s="294"/>
      <c r="AM208" s="294"/>
      <c r="AN208" s="294"/>
      <c r="AO208" s="294"/>
      <c r="AP208" s="294"/>
      <c r="AQ208" s="294"/>
      <c r="AR208" s="294"/>
      <c r="AS208" s="294"/>
      <c r="AT208" s="294"/>
      <c r="AU208" s="294"/>
      <c r="AV208" s="294"/>
      <c r="AW208" s="294"/>
      <c r="AX208" s="294"/>
      <c r="AY208" s="294"/>
      <c r="AZ208" s="294"/>
      <c r="BA208" s="294"/>
      <c r="BB208" s="294"/>
      <c r="BC208" s="294"/>
      <c r="BD208" s="294"/>
      <c r="BE208" s="294"/>
      <c r="BF208" s="294"/>
      <c r="BG208" s="294"/>
      <c r="BH208" s="294"/>
      <c r="BI208" s="294"/>
      <c r="BJ208" s="294"/>
    </row>
    <row r="209" spans="1:62" s="9" customFormat="1" ht="40.5" customHeight="1">
      <c r="A209" s="242"/>
      <c r="B209" s="242"/>
      <c r="C209" s="242"/>
      <c r="D209" s="265"/>
      <c r="E209" s="265"/>
      <c r="F209" s="265"/>
      <c r="G209" s="265"/>
      <c r="H209" s="265"/>
      <c r="I209" s="265"/>
      <c r="J209" s="265"/>
      <c r="K209" s="265"/>
      <c r="L209" s="265"/>
      <c r="M209" s="265"/>
      <c r="N209" s="265"/>
      <c r="O209" s="265"/>
      <c r="P209" s="265"/>
      <c r="Q209" s="265"/>
      <c r="R209" s="295"/>
      <c r="S209" s="295"/>
      <c r="T209" s="295"/>
      <c r="U209" s="96"/>
      <c r="V209" s="10"/>
      <c r="W209" s="10"/>
      <c r="X209" s="10"/>
      <c r="Y209" s="10"/>
      <c r="Z209" s="10"/>
      <c r="AA209" s="10"/>
      <c r="AB209" s="10"/>
      <c r="AC209" s="10"/>
      <c r="AD209" s="10"/>
      <c r="AE209" s="294"/>
      <c r="AF209" s="294"/>
      <c r="AG209" s="294"/>
      <c r="AH209" s="294"/>
      <c r="AI209" s="294"/>
      <c r="AJ209" s="294"/>
      <c r="AK209" s="294"/>
      <c r="AL209" s="294"/>
      <c r="AM209" s="294"/>
      <c r="AN209" s="294"/>
      <c r="AO209" s="294"/>
      <c r="AP209" s="294"/>
      <c r="AQ209" s="294"/>
      <c r="AR209" s="294"/>
      <c r="AS209" s="294"/>
      <c r="AT209" s="294"/>
      <c r="AU209" s="294"/>
      <c r="AV209" s="294"/>
      <c r="AW209" s="294"/>
      <c r="AX209" s="294"/>
      <c r="AY209" s="294"/>
      <c r="AZ209" s="294"/>
      <c r="BA209" s="294"/>
      <c r="BB209" s="294"/>
      <c r="BC209" s="294"/>
      <c r="BD209" s="294"/>
      <c r="BE209" s="294"/>
      <c r="BF209" s="294"/>
      <c r="BG209" s="294"/>
      <c r="BH209" s="294"/>
      <c r="BI209" s="294"/>
      <c r="BJ209" s="294"/>
    </row>
    <row r="210" spans="1:62" s="9" customFormat="1" ht="40.5" customHeight="1">
      <c r="A210" s="242"/>
      <c r="B210" s="242"/>
      <c r="C210" s="242"/>
      <c r="D210" s="265"/>
      <c r="E210" s="265"/>
      <c r="F210" s="265"/>
      <c r="G210" s="265"/>
      <c r="H210" s="265"/>
      <c r="I210" s="265"/>
      <c r="J210" s="265"/>
      <c r="K210" s="265"/>
      <c r="L210" s="265"/>
      <c r="M210" s="265"/>
      <c r="N210" s="265"/>
      <c r="O210" s="265"/>
      <c r="P210" s="265"/>
      <c r="Q210" s="265"/>
      <c r="R210" s="295"/>
      <c r="S210" s="295"/>
      <c r="T210" s="295"/>
      <c r="U210" s="97"/>
      <c r="V210" s="10"/>
      <c r="W210" s="10"/>
      <c r="X210" s="10"/>
      <c r="Y210" s="10"/>
      <c r="Z210" s="10"/>
      <c r="AA210" s="10"/>
      <c r="AB210" s="10"/>
      <c r="AC210" s="10"/>
      <c r="AD210" s="10"/>
      <c r="AE210" s="294"/>
      <c r="AF210" s="294"/>
      <c r="AG210" s="294"/>
      <c r="AH210" s="294"/>
      <c r="AI210" s="294"/>
      <c r="AJ210" s="294"/>
      <c r="AK210" s="294"/>
      <c r="AL210" s="294"/>
      <c r="AM210" s="294"/>
      <c r="AN210" s="294"/>
      <c r="AO210" s="294"/>
      <c r="AP210" s="294"/>
      <c r="AQ210" s="294"/>
      <c r="AR210" s="294"/>
      <c r="AS210" s="294"/>
      <c r="AT210" s="294"/>
      <c r="AU210" s="294"/>
      <c r="AV210" s="294"/>
      <c r="AW210" s="294"/>
      <c r="AX210" s="294"/>
      <c r="AY210" s="294"/>
      <c r="AZ210" s="294"/>
      <c r="BA210" s="294"/>
      <c r="BB210" s="294"/>
      <c r="BC210" s="294"/>
      <c r="BD210" s="294"/>
      <c r="BE210" s="294"/>
      <c r="BF210" s="294"/>
      <c r="BG210" s="294"/>
      <c r="BH210" s="294"/>
      <c r="BI210" s="294"/>
      <c r="BJ210" s="294"/>
    </row>
    <row r="211" spans="1:62" s="9" customFormat="1" ht="40.5" customHeight="1">
      <c r="A211" s="242"/>
      <c r="B211" s="242"/>
      <c r="C211" s="242"/>
      <c r="D211" s="265"/>
      <c r="E211" s="265"/>
      <c r="F211" s="265"/>
      <c r="G211" s="265"/>
      <c r="H211" s="265"/>
      <c r="I211" s="265"/>
      <c r="J211" s="265"/>
      <c r="K211" s="265"/>
      <c r="L211" s="265"/>
      <c r="M211" s="265"/>
      <c r="N211" s="265"/>
      <c r="O211" s="265"/>
      <c r="P211" s="265"/>
      <c r="Q211" s="265"/>
      <c r="R211" s="295"/>
      <c r="S211" s="295"/>
      <c r="T211" s="295"/>
      <c r="U211" s="96"/>
      <c r="V211" s="10"/>
      <c r="W211" s="10"/>
      <c r="X211" s="10"/>
      <c r="Y211" s="10"/>
      <c r="Z211" s="10"/>
      <c r="AA211" s="10"/>
      <c r="AB211" s="10"/>
      <c r="AC211" s="10"/>
      <c r="AD211" s="10"/>
      <c r="AE211" s="294"/>
      <c r="AF211" s="294"/>
      <c r="AG211" s="294"/>
      <c r="AH211" s="294"/>
      <c r="AI211" s="294"/>
      <c r="AJ211" s="294"/>
      <c r="AK211" s="294"/>
      <c r="AL211" s="294"/>
      <c r="AM211" s="294"/>
      <c r="AN211" s="294"/>
      <c r="AO211" s="294"/>
      <c r="AP211" s="294"/>
      <c r="AQ211" s="294"/>
      <c r="AR211" s="294"/>
      <c r="AS211" s="294"/>
      <c r="AT211" s="294"/>
      <c r="AU211" s="294"/>
      <c r="AV211" s="294"/>
      <c r="AW211" s="294"/>
      <c r="AX211" s="294"/>
      <c r="AY211" s="294"/>
      <c r="AZ211" s="294"/>
      <c r="BA211" s="294"/>
      <c r="BB211" s="294"/>
      <c r="BC211" s="294"/>
      <c r="BD211" s="294"/>
      <c r="BE211" s="294"/>
      <c r="BF211" s="294"/>
      <c r="BG211" s="294"/>
      <c r="BH211" s="294"/>
      <c r="BI211" s="294"/>
      <c r="BJ211" s="294"/>
    </row>
    <row r="212" spans="1:62" s="9" customFormat="1" ht="40.5" customHeight="1">
      <c r="A212" s="242"/>
      <c r="B212" s="242"/>
      <c r="C212" s="242"/>
      <c r="D212" s="265"/>
      <c r="E212" s="265"/>
      <c r="F212" s="265"/>
      <c r="G212" s="265"/>
      <c r="H212" s="265"/>
      <c r="I212" s="265"/>
      <c r="J212" s="265"/>
      <c r="K212" s="265"/>
      <c r="L212" s="265"/>
      <c r="M212" s="265"/>
      <c r="N212" s="265"/>
      <c r="O212" s="265"/>
      <c r="P212" s="265"/>
      <c r="Q212" s="265"/>
      <c r="R212" s="295"/>
      <c r="S212" s="295"/>
      <c r="T212" s="295"/>
      <c r="U212" s="96"/>
      <c r="V212" s="10"/>
      <c r="W212" s="10"/>
      <c r="X212" s="10"/>
      <c r="Y212" s="10"/>
      <c r="Z212" s="10"/>
      <c r="AA212" s="10"/>
      <c r="AB212" s="10"/>
      <c r="AC212" s="10"/>
      <c r="AD212" s="10"/>
      <c r="AE212" s="294"/>
      <c r="AF212" s="294"/>
      <c r="AG212" s="294"/>
      <c r="AH212" s="294"/>
      <c r="AI212" s="294"/>
      <c r="AJ212" s="294"/>
      <c r="AK212" s="294"/>
      <c r="AL212" s="294"/>
      <c r="AM212" s="294"/>
      <c r="AN212" s="294"/>
      <c r="AO212" s="294"/>
      <c r="AP212" s="294"/>
      <c r="AQ212" s="294"/>
      <c r="AR212" s="294"/>
      <c r="AS212" s="294"/>
      <c r="AT212" s="294"/>
      <c r="AU212" s="294"/>
      <c r="AV212" s="294"/>
      <c r="AW212" s="294"/>
      <c r="AX212" s="294"/>
      <c r="AY212" s="294"/>
      <c r="AZ212" s="294"/>
      <c r="BA212" s="294"/>
      <c r="BB212" s="294"/>
      <c r="BC212" s="294"/>
      <c r="BD212" s="294"/>
      <c r="BE212" s="294"/>
      <c r="BF212" s="294"/>
      <c r="BG212" s="294"/>
      <c r="BH212" s="294"/>
      <c r="BI212" s="294"/>
      <c r="BJ212" s="294"/>
    </row>
    <row r="213" spans="1:62" s="9" customFormat="1" ht="40.5" customHeight="1">
      <c r="A213" s="242"/>
      <c r="B213" s="242"/>
      <c r="C213" s="242"/>
      <c r="D213" s="265"/>
      <c r="E213" s="265"/>
      <c r="F213" s="265"/>
      <c r="G213" s="265"/>
      <c r="H213" s="265"/>
      <c r="I213" s="265"/>
      <c r="J213" s="265"/>
      <c r="K213" s="265"/>
      <c r="L213" s="265"/>
      <c r="M213" s="265"/>
      <c r="N213" s="265"/>
      <c r="O213" s="265"/>
      <c r="P213" s="265"/>
      <c r="Q213" s="265"/>
      <c r="R213" s="295"/>
      <c r="S213" s="295"/>
      <c r="T213" s="295"/>
      <c r="U213" s="97"/>
      <c r="V213" s="10"/>
      <c r="W213" s="10"/>
      <c r="X213" s="10"/>
      <c r="Y213" s="10"/>
      <c r="Z213" s="10"/>
      <c r="AA213" s="10"/>
      <c r="AB213" s="10"/>
      <c r="AC213" s="10"/>
      <c r="AD213" s="10"/>
      <c r="AE213" s="294"/>
      <c r="AF213" s="294"/>
      <c r="AG213" s="294"/>
      <c r="AH213" s="294"/>
      <c r="AI213" s="294"/>
      <c r="AJ213" s="294"/>
      <c r="AK213" s="294"/>
      <c r="AL213" s="294"/>
      <c r="AM213" s="294"/>
      <c r="AN213" s="294"/>
      <c r="AO213" s="294"/>
      <c r="AP213" s="294"/>
      <c r="AQ213" s="294"/>
      <c r="AR213" s="294"/>
      <c r="AS213" s="294"/>
      <c r="AT213" s="294"/>
      <c r="AU213" s="294"/>
      <c r="AV213" s="294"/>
      <c r="AW213" s="294"/>
      <c r="AX213" s="294"/>
      <c r="AY213" s="294"/>
      <c r="AZ213" s="294"/>
      <c r="BA213" s="294"/>
      <c r="BB213" s="294"/>
      <c r="BC213" s="294"/>
      <c r="BD213" s="294"/>
      <c r="BE213" s="294"/>
      <c r="BF213" s="294"/>
      <c r="BG213" s="294"/>
      <c r="BH213" s="294"/>
      <c r="BI213" s="294"/>
      <c r="BJ213" s="294"/>
    </row>
    <row r="214" spans="1:62" s="9" customFormat="1" ht="40.5" customHeight="1">
      <c r="A214" s="242"/>
      <c r="B214" s="242"/>
      <c r="C214" s="242"/>
      <c r="D214" s="265"/>
      <c r="E214" s="265"/>
      <c r="F214" s="265"/>
      <c r="G214" s="265"/>
      <c r="H214" s="265"/>
      <c r="I214" s="265"/>
      <c r="J214" s="265"/>
      <c r="K214" s="265"/>
      <c r="L214" s="265"/>
      <c r="M214" s="265"/>
      <c r="N214" s="265"/>
      <c r="O214" s="265"/>
      <c r="P214" s="265"/>
      <c r="Q214" s="265"/>
      <c r="R214" s="295"/>
      <c r="S214" s="295"/>
      <c r="T214" s="295"/>
      <c r="U214" s="96"/>
      <c r="V214" s="10"/>
      <c r="W214" s="10"/>
      <c r="X214" s="10"/>
      <c r="Y214" s="10"/>
      <c r="Z214" s="10"/>
      <c r="AA214" s="10"/>
      <c r="AB214" s="10"/>
      <c r="AC214" s="10"/>
      <c r="AD214" s="10"/>
      <c r="AE214" s="294"/>
      <c r="AF214" s="294"/>
      <c r="AG214" s="294"/>
      <c r="AH214" s="294"/>
      <c r="AI214" s="294"/>
      <c r="AJ214" s="294"/>
      <c r="AK214" s="294"/>
      <c r="AL214" s="294"/>
      <c r="AM214" s="294"/>
      <c r="AN214" s="294"/>
      <c r="AO214" s="294"/>
      <c r="AP214" s="294"/>
      <c r="AQ214" s="294"/>
      <c r="AR214" s="294"/>
      <c r="AS214" s="294"/>
      <c r="AT214" s="294"/>
      <c r="AU214" s="294"/>
      <c r="AV214" s="294"/>
      <c r="AW214" s="294"/>
      <c r="AX214" s="294"/>
      <c r="AY214" s="294"/>
      <c r="AZ214" s="294"/>
      <c r="BA214" s="294"/>
      <c r="BB214" s="294"/>
      <c r="BC214" s="294"/>
      <c r="BD214" s="294"/>
      <c r="BE214" s="294"/>
      <c r="BF214" s="294"/>
      <c r="BG214" s="294"/>
      <c r="BH214" s="294"/>
      <c r="BI214" s="294"/>
      <c r="BJ214" s="294"/>
    </row>
    <row r="215" spans="1:62" s="9" customFormat="1" ht="40.5" customHeight="1">
      <c r="A215" s="242"/>
      <c r="B215" s="242"/>
      <c r="C215" s="242"/>
      <c r="D215" s="265"/>
      <c r="E215" s="265"/>
      <c r="F215" s="265"/>
      <c r="G215" s="265"/>
      <c r="H215" s="265"/>
      <c r="I215" s="265"/>
      <c r="J215" s="265"/>
      <c r="K215" s="265"/>
      <c r="L215" s="265"/>
      <c r="M215" s="265"/>
      <c r="N215" s="265"/>
      <c r="O215" s="265"/>
      <c r="P215" s="265"/>
      <c r="Q215" s="265"/>
      <c r="R215" s="295"/>
      <c r="S215" s="295"/>
      <c r="T215" s="295"/>
      <c r="U215" s="96"/>
      <c r="V215" s="10"/>
      <c r="W215" s="10"/>
      <c r="X215" s="10"/>
      <c r="Y215" s="10"/>
      <c r="Z215" s="10"/>
      <c r="AA215" s="10"/>
      <c r="AB215" s="10"/>
      <c r="AC215" s="10"/>
      <c r="AD215" s="10"/>
      <c r="AE215" s="294"/>
      <c r="AF215" s="294"/>
      <c r="AG215" s="294"/>
      <c r="AH215" s="294"/>
      <c r="AI215" s="294"/>
      <c r="AJ215" s="294"/>
      <c r="AK215" s="294"/>
      <c r="AL215" s="294"/>
      <c r="AM215" s="294"/>
      <c r="AN215" s="294"/>
      <c r="AO215" s="294"/>
      <c r="AP215" s="294"/>
      <c r="AQ215" s="294"/>
      <c r="AR215" s="294"/>
      <c r="AS215" s="294"/>
      <c r="AT215" s="294"/>
      <c r="AU215" s="294"/>
      <c r="AV215" s="294"/>
      <c r="AW215" s="294"/>
      <c r="AX215" s="294"/>
      <c r="AY215" s="294"/>
      <c r="AZ215" s="294"/>
      <c r="BA215" s="294"/>
      <c r="BB215" s="294"/>
      <c r="BC215" s="294"/>
      <c r="BD215" s="294"/>
      <c r="BE215" s="294"/>
      <c r="BF215" s="294"/>
      <c r="BG215" s="294"/>
      <c r="BH215" s="294"/>
      <c r="BI215" s="294"/>
      <c r="BJ215" s="294"/>
    </row>
    <row r="216" spans="1:62" s="9" customFormat="1" ht="40.5" customHeight="1">
      <c r="A216" s="242"/>
      <c r="B216" s="242"/>
      <c r="C216" s="242"/>
      <c r="D216" s="265"/>
      <c r="E216" s="265"/>
      <c r="F216" s="265"/>
      <c r="G216" s="265"/>
      <c r="H216" s="265"/>
      <c r="I216" s="265"/>
      <c r="J216" s="265"/>
      <c r="K216" s="265"/>
      <c r="L216" s="265"/>
      <c r="M216" s="265"/>
      <c r="N216" s="265"/>
      <c r="O216" s="265"/>
      <c r="P216" s="265"/>
      <c r="Q216" s="265"/>
      <c r="R216" s="295"/>
      <c r="S216" s="295"/>
      <c r="T216" s="295"/>
      <c r="U216" s="97"/>
      <c r="V216" s="10"/>
      <c r="W216" s="10"/>
      <c r="X216" s="10"/>
      <c r="Y216" s="10"/>
      <c r="Z216" s="10"/>
      <c r="AA216" s="10"/>
      <c r="AB216" s="10"/>
      <c r="AC216" s="10"/>
      <c r="AD216" s="10"/>
      <c r="AE216" s="294"/>
      <c r="AF216" s="294"/>
      <c r="AG216" s="294"/>
      <c r="AH216" s="294"/>
      <c r="AI216" s="294"/>
      <c r="AJ216" s="294"/>
      <c r="AK216" s="294"/>
      <c r="AL216" s="294"/>
      <c r="AM216" s="294"/>
      <c r="AN216" s="294"/>
      <c r="AO216" s="294"/>
      <c r="AP216" s="294"/>
      <c r="AQ216" s="294"/>
      <c r="AR216" s="294"/>
      <c r="AS216" s="294"/>
      <c r="AT216" s="294"/>
      <c r="AU216" s="294"/>
      <c r="AV216" s="294"/>
      <c r="AW216" s="294"/>
      <c r="AX216" s="294"/>
      <c r="AY216" s="294"/>
      <c r="AZ216" s="294"/>
      <c r="BA216" s="294"/>
      <c r="BB216" s="294"/>
      <c r="BC216" s="294"/>
      <c r="BD216" s="294"/>
      <c r="BE216" s="294"/>
      <c r="BF216" s="294"/>
      <c r="BG216" s="294"/>
      <c r="BH216" s="294"/>
      <c r="BI216" s="294"/>
      <c r="BJ216" s="294"/>
    </row>
    <row r="217" spans="1:62" s="9" customFormat="1" ht="40.5" customHeight="1">
      <c r="A217" s="242"/>
      <c r="B217" s="242"/>
      <c r="C217" s="242"/>
      <c r="D217" s="265"/>
      <c r="E217" s="265"/>
      <c r="F217" s="265"/>
      <c r="G217" s="265"/>
      <c r="H217" s="265"/>
      <c r="I217" s="265"/>
      <c r="J217" s="265"/>
      <c r="K217" s="265"/>
      <c r="L217" s="265"/>
      <c r="M217" s="265"/>
      <c r="N217" s="265"/>
      <c r="O217" s="265"/>
      <c r="P217" s="265"/>
      <c r="Q217" s="265"/>
      <c r="R217" s="295"/>
      <c r="S217" s="295"/>
      <c r="T217" s="295"/>
      <c r="U217" s="96"/>
      <c r="V217" s="10"/>
      <c r="W217" s="10"/>
      <c r="X217" s="10"/>
      <c r="Y217" s="10"/>
      <c r="Z217" s="10"/>
      <c r="AA217" s="10"/>
      <c r="AB217" s="10"/>
      <c r="AC217" s="10"/>
      <c r="AD217" s="10"/>
      <c r="AE217" s="294"/>
      <c r="AF217" s="294"/>
      <c r="AG217" s="294"/>
      <c r="AH217" s="294"/>
      <c r="AI217" s="294"/>
      <c r="AJ217" s="294"/>
      <c r="AK217" s="294"/>
      <c r="AL217" s="294"/>
      <c r="AM217" s="294"/>
      <c r="AN217" s="294"/>
      <c r="AO217" s="294"/>
      <c r="AP217" s="294"/>
      <c r="AQ217" s="294"/>
      <c r="AR217" s="294"/>
      <c r="AS217" s="294"/>
      <c r="AT217" s="294"/>
      <c r="AU217" s="294"/>
      <c r="AV217" s="294"/>
      <c r="AW217" s="294"/>
      <c r="AX217" s="294"/>
      <c r="AY217" s="294"/>
      <c r="AZ217" s="294"/>
      <c r="BA217" s="294"/>
      <c r="BB217" s="294"/>
      <c r="BC217" s="294"/>
      <c r="BD217" s="294"/>
      <c r="BE217" s="294"/>
      <c r="BF217" s="294"/>
      <c r="BG217" s="294"/>
      <c r="BH217" s="294"/>
      <c r="BI217" s="294"/>
      <c r="BJ217" s="294"/>
    </row>
    <row r="218" spans="1:62" s="9" customFormat="1" ht="40.5" customHeight="1">
      <c r="A218" s="242"/>
      <c r="B218" s="242"/>
      <c r="C218" s="242"/>
      <c r="D218" s="265"/>
      <c r="E218" s="265"/>
      <c r="F218" s="265"/>
      <c r="G218" s="265"/>
      <c r="H218" s="265"/>
      <c r="I218" s="265"/>
      <c r="J218" s="265"/>
      <c r="K218" s="265"/>
      <c r="L218" s="265"/>
      <c r="M218" s="265"/>
      <c r="N218" s="265"/>
      <c r="O218" s="265"/>
      <c r="P218" s="265"/>
      <c r="Q218" s="265"/>
      <c r="R218" s="295"/>
      <c r="S218" s="295"/>
      <c r="T218" s="295"/>
      <c r="U218" s="96"/>
      <c r="V218" s="10"/>
      <c r="W218" s="10"/>
      <c r="X218" s="10"/>
      <c r="Y218" s="10"/>
      <c r="Z218" s="10"/>
      <c r="AA218" s="10"/>
      <c r="AB218" s="10"/>
      <c r="AC218" s="10"/>
      <c r="AD218" s="10"/>
      <c r="AE218" s="294"/>
      <c r="AF218" s="294"/>
      <c r="AG218" s="294"/>
      <c r="AH218" s="294"/>
      <c r="AI218" s="294"/>
      <c r="AJ218" s="294"/>
      <c r="AK218" s="294"/>
      <c r="AL218" s="294"/>
      <c r="AM218" s="294"/>
      <c r="AN218" s="294"/>
      <c r="AO218" s="294"/>
      <c r="AP218" s="294"/>
      <c r="AQ218" s="294"/>
      <c r="AR218" s="294"/>
      <c r="AS218" s="294"/>
      <c r="AT218" s="294"/>
      <c r="AU218" s="294"/>
      <c r="AV218" s="294"/>
      <c r="AW218" s="294"/>
      <c r="AX218" s="294"/>
      <c r="AY218" s="294"/>
      <c r="AZ218" s="294"/>
      <c r="BA218" s="294"/>
      <c r="BB218" s="294"/>
      <c r="BC218" s="294"/>
      <c r="BD218" s="294"/>
      <c r="BE218" s="294"/>
      <c r="BF218" s="294"/>
      <c r="BG218" s="294"/>
      <c r="BH218" s="294"/>
      <c r="BI218" s="294"/>
      <c r="BJ218" s="294"/>
    </row>
    <row r="219" spans="1:62" s="9" customFormat="1" ht="40.5" customHeight="1">
      <c r="A219" s="242"/>
      <c r="B219" s="242"/>
      <c r="C219" s="242"/>
      <c r="D219" s="265"/>
      <c r="E219" s="265"/>
      <c r="F219" s="265"/>
      <c r="G219" s="265"/>
      <c r="H219" s="265"/>
      <c r="I219" s="265"/>
      <c r="J219" s="265"/>
      <c r="K219" s="265"/>
      <c r="L219" s="265"/>
      <c r="M219" s="265"/>
      <c r="N219" s="265"/>
      <c r="O219" s="265"/>
      <c r="P219" s="265"/>
      <c r="Q219" s="265"/>
      <c r="R219" s="295"/>
      <c r="S219" s="295"/>
      <c r="T219" s="295"/>
      <c r="U219" s="96"/>
      <c r="V219" s="10"/>
      <c r="W219" s="10"/>
      <c r="X219" s="10"/>
      <c r="Y219" s="10"/>
      <c r="Z219" s="10"/>
      <c r="AA219" s="10"/>
      <c r="AB219" s="10"/>
      <c r="AC219" s="10"/>
      <c r="AD219" s="10"/>
      <c r="AE219" s="294"/>
      <c r="AF219" s="294"/>
      <c r="AG219" s="294"/>
      <c r="AH219" s="294"/>
      <c r="AI219" s="294"/>
      <c r="AJ219" s="294"/>
      <c r="AK219" s="294"/>
      <c r="AL219" s="294"/>
      <c r="AM219" s="294"/>
      <c r="AN219" s="294"/>
      <c r="AO219" s="294"/>
      <c r="AP219" s="294"/>
      <c r="AQ219" s="294"/>
      <c r="AR219" s="294"/>
      <c r="AS219" s="294"/>
      <c r="AT219" s="294"/>
      <c r="AU219" s="294"/>
      <c r="AV219" s="294"/>
      <c r="AW219" s="294"/>
      <c r="AX219" s="294"/>
      <c r="AY219" s="294"/>
      <c r="AZ219" s="294"/>
      <c r="BA219" s="294"/>
      <c r="BB219" s="294"/>
      <c r="BC219" s="294"/>
      <c r="BD219" s="294"/>
      <c r="BE219" s="294"/>
      <c r="BF219" s="294"/>
      <c r="BG219" s="294"/>
      <c r="BH219" s="294"/>
      <c r="BI219" s="294"/>
      <c r="BJ219" s="294"/>
    </row>
    <row r="220" spans="1:62" s="9" customFormat="1" ht="40.5" customHeight="1">
      <c r="A220" s="242"/>
      <c r="B220" s="242"/>
      <c r="C220" s="242"/>
      <c r="D220" s="265"/>
      <c r="E220" s="265"/>
      <c r="F220" s="265"/>
      <c r="G220" s="265"/>
      <c r="H220" s="265"/>
      <c r="I220" s="265"/>
      <c r="J220" s="265"/>
      <c r="K220" s="265"/>
      <c r="L220" s="265"/>
      <c r="M220" s="265"/>
      <c r="N220" s="265"/>
      <c r="O220" s="265"/>
      <c r="P220" s="265"/>
      <c r="Q220" s="265"/>
      <c r="R220" s="295"/>
      <c r="S220" s="295"/>
      <c r="T220" s="295"/>
      <c r="U220" s="96"/>
      <c r="V220" s="10"/>
      <c r="W220" s="10"/>
      <c r="X220" s="10"/>
      <c r="Y220" s="10"/>
      <c r="Z220" s="10"/>
      <c r="AA220" s="10"/>
      <c r="AB220" s="10"/>
      <c r="AC220" s="10"/>
      <c r="AD220" s="10"/>
      <c r="AE220" s="294"/>
      <c r="AF220" s="294"/>
      <c r="AG220" s="294"/>
      <c r="AH220" s="294"/>
      <c r="AI220" s="294"/>
      <c r="AJ220" s="294"/>
      <c r="AK220" s="294"/>
      <c r="AL220" s="294"/>
      <c r="AM220" s="294"/>
      <c r="AN220" s="294"/>
      <c r="AO220" s="294"/>
      <c r="AP220" s="294"/>
      <c r="AQ220" s="294"/>
      <c r="AR220" s="294"/>
      <c r="AS220" s="294"/>
      <c r="AT220" s="294"/>
      <c r="AU220" s="294"/>
      <c r="AV220" s="294"/>
      <c r="AW220" s="294"/>
      <c r="AX220" s="294"/>
      <c r="AY220" s="294"/>
      <c r="AZ220" s="294"/>
      <c r="BA220" s="294"/>
      <c r="BB220" s="294"/>
      <c r="BC220" s="294"/>
      <c r="BD220" s="294"/>
      <c r="BE220" s="294"/>
      <c r="BF220" s="294"/>
      <c r="BG220" s="294"/>
      <c r="BH220" s="294"/>
      <c r="BI220" s="294"/>
      <c r="BJ220" s="294"/>
    </row>
    <row r="221" spans="1:62" s="9" customFormat="1" ht="40.5" customHeight="1">
      <c r="A221" s="242"/>
      <c r="B221" s="242"/>
      <c r="C221" s="242"/>
      <c r="D221" s="265"/>
      <c r="E221" s="265"/>
      <c r="F221" s="265"/>
      <c r="G221" s="265"/>
      <c r="H221" s="265"/>
      <c r="I221" s="265"/>
      <c r="J221" s="265"/>
      <c r="K221" s="265"/>
      <c r="L221" s="265"/>
      <c r="M221" s="265"/>
      <c r="N221" s="265"/>
      <c r="O221" s="265"/>
      <c r="P221" s="265"/>
      <c r="Q221" s="265"/>
      <c r="R221" s="295"/>
      <c r="S221" s="295"/>
      <c r="T221" s="295"/>
      <c r="U221" s="96"/>
      <c r="V221" s="10"/>
      <c r="W221" s="10"/>
      <c r="X221" s="10"/>
      <c r="Y221" s="10"/>
      <c r="Z221" s="10"/>
      <c r="AA221" s="10"/>
      <c r="AB221" s="10"/>
      <c r="AC221" s="10"/>
      <c r="AD221" s="10"/>
      <c r="AE221" s="294"/>
      <c r="AF221" s="294"/>
      <c r="AG221" s="294"/>
      <c r="AH221" s="294"/>
      <c r="AI221" s="294"/>
      <c r="AJ221" s="294"/>
      <c r="AK221" s="294"/>
      <c r="AL221" s="294"/>
      <c r="AM221" s="294"/>
      <c r="AN221" s="294"/>
      <c r="AO221" s="294"/>
      <c r="AP221" s="294"/>
      <c r="AQ221" s="294"/>
      <c r="AR221" s="294"/>
      <c r="AS221" s="294"/>
      <c r="AT221" s="294"/>
      <c r="AU221" s="294"/>
      <c r="AV221" s="294"/>
      <c r="AW221" s="294"/>
      <c r="AX221" s="294"/>
      <c r="AY221" s="294"/>
      <c r="AZ221" s="294"/>
      <c r="BA221" s="294"/>
      <c r="BB221" s="294"/>
      <c r="BC221" s="294"/>
      <c r="BD221" s="294"/>
      <c r="BE221" s="294"/>
      <c r="BF221" s="294"/>
      <c r="BG221" s="294"/>
      <c r="BH221" s="294"/>
      <c r="BI221" s="294"/>
      <c r="BJ221" s="294"/>
    </row>
    <row r="222" spans="1:62" s="9" customFormat="1" ht="40.5" customHeight="1">
      <c r="A222" s="242"/>
      <c r="B222" s="242"/>
      <c r="C222" s="242"/>
      <c r="D222" s="265"/>
      <c r="E222" s="265"/>
      <c r="F222" s="265"/>
      <c r="G222" s="265"/>
      <c r="H222" s="265"/>
      <c r="I222" s="265"/>
      <c r="J222" s="265"/>
      <c r="K222" s="265"/>
      <c r="L222" s="265"/>
      <c r="M222" s="265"/>
      <c r="N222" s="265"/>
      <c r="O222" s="265"/>
      <c r="P222" s="265"/>
      <c r="Q222" s="265"/>
      <c r="R222" s="295"/>
      <c r="S222" s="295"/>
      <c r="T222" s="295"/>
      <c r="U222" s="96"/>
      <c r="V222" s="10"/>
      <c r="W222" s="10"/>
      <c r="X222" s="10"/>
      <c r="Y222" s="10"/>
      <c r="Z222" s="10"/>
      <c r="AA222" s="10"/>
      <c r="AB222" s="10"/>
      <c r="AC222" s="10"/>
      <c r="AD222" s="10"/>
      <c r="AE222" s="294"/>
      <c r="AF222" s="294"/>
      <c r="AG222" s="294"/>
      <c r="AH222" s="294"/>
      <c r="AI222" s="294"/>
      <c r="AJ222" s="294"/>
      <c r="AK222" s="294"/>
      <c r="AL222" s="294"/>
      <c r="AM222" s="294"/>
      <c r="AN222" s="294"/>
      <c r="AO222" s="294"/>
      <c r="AP222" s="294"/>
      <c r="AQ222" s="294"/>
      <c r="AR222" s="294"/>
      <c r="AS222" s="294"/>
      <c r="AT222" s="294"/>
      <c r="AU222" s="294"/>
      <c r="AV222" s="294"/>
      <c r="AW222" s="294"/>
      <c r="AX222" s="294"/>
      <c r="AY222" s="294"/>
      <c r="AZ222" s="294"/>
      <c r="BA222" s="294"/>
      <c r="BB222" s="294"/>
      <c r="BC222" s="294"/>
      <c r="BD222" s="294"/>
      <c r="BE222" s="294"/>
      <c r="BF222" s="294"/>
      <c r="BG222" s="294"/>
      <c r="BH222" s="294"/>
      <c r="BI222" s="294"/>
      <c r="BJ222" s="294"/>
    </row>
    <row r="223" spans="1:62" s="9" customFormat="1" ht="40.5" customHeight="1">
      <c r="A223" s="242"/>
      <c r="B223" s="242"/>
      <c r="C223" s="242"/>
      <c r="D223" s="265"/>
      <c r="E223" s="265"/>
      <c r="F223" s="265"/>
      <c r="G223" s="265"/>
      <c r="H223" s="265"/>
      <c r="I223" s="265"/>
      <c r="J223" s="265"/>
      <c r="K223" s="265"/>
      <c r="L223" s="265"/>
      <c r="M223" s="265"/>
      <c r="N223" s="265"/>
      <c r="O223" s="265"/>
      <c r="P223" s="265"/>
      <c r="Q223" s="265"/>
      <c r="R223" s="295"/>
      <c r="S223" s="295"/>
      <c r="T223" s="295"/>
      <c r="U223" s="96"/>
      <c r="V223" s="10"/>
      <c r="W223" s="10"/>
      <c r="X223" s="10"/>
      <c r="Y223" s="10"/>
      <c r="Z223" s="10"/>
      <c r="AA223" s="10"/>
      <c r="AB223" s="10"/>
      <c r="AC223" s="10"/>
      <c r="AD223" s="10"/>
      <c r="AE223" s="294"/>
      <c r="AF223" s="294"/>
      <c r="AG223" s="294"/>
      <c r="AH223" s="294"/>
      <c r="AI223" s="294"/>
      <c r="AJ223" s="294"/>
      <c r="AK223" s="294"/>
      <c r="AL223" s="294"/>
      <c r="AM223" s="294"/>
      <c r="AN223" s="294"/>
      <c r="AO223" s="294"/>
      <c r="AP223" s="294"/>
      <c r="AQ223" s="294"/>
      <c r="AR223" s="294"/>
      <c r="AS223" s="294"/>
      <c r="AT223" s="294"/>
      <c r="AU223" s="294"/>
      <c r="AV223" s="294"/>
      <c r="AW223" s="294"/>
      <c r="AX223" s="294"/>
      <c r="AY223" s="294"/>
      <c r="AZ223" s="294"/>
      <c r="BA223" s="294"/>
      <c r="BB223" s="294"/>
      <c r="BC223" s="294"/>
      <c r="BD223" s="294"/>
      <c r="BE223" s="294"/>
      <c r="BF223" s="294"/>
      <c r="BG223" s="294"/>
      <c r="BH223" s="294"/>
      <c r="BI223" s="294"/>
      <c r="BJ223" s="294"/>
    </row>
    <row r="224" spans="1:62" s="9" customFormat="1" ht="40.5" customHeight="1">
      <c r="A224" s="242"/>
      <c r="B224" s="242"/>
      <c r="C224" s="242"/>
      <c r="D224" s="265"/>
      <c r="E224" s="265"/>
      <c r="F224" s="265"/>
      <c r="G224" s="265"/>
      <c r="H224" s="265"/>
      <c r="I224" s="265"/>
      <c r="J224" s="265"/>
      <c r="K224" s="265"/>
      <c r="L224" s="265"/>
      <c r="M224" s="265"/>
      <c r="N224" s="265"/>
      <c r="O224" s="265"/>
      <c r="P224" s="265"/>
      <c r="Q224" s="265"/>
      <c r="R224" s="295"/>
      <c r="S224" s="295"/>
      <c r="T224" s="295"/>
      <c r="U224" s="96"/>
      <c r="V224" s="10"/>
      <c r="W224" s="10"/>
      <c r="X224" s="10"/>
      <c r="Y224" s="10"/>
      <c r="Z224" s="10"/>
      <c r="AA224" s="10"/>
      <c r="AB224" s="10"/>
      <c r="AC224" s="10"/>
      <c r="AD224" s="10"/>
      <c r="AE224" s="294"/>
      <c r="AF224" s="294"/>
      <c r="AG224" s="294"/>
      <c r="AH224" s="294"/>
      <c r="AI224" s="294"/>
      <c r="AJ224" s="294"/>
      <c r="AK224" s="294"/>
      <c r="AL224" s="294"/>
      <c r="AM224" s="294"/>
      <c r="AN224" s="294"/>
      <c r="AO224" s="294"/>
      <c r="AP224" s="294"/>
      <c r="AQ224" s="294"/>
      <c r="AR224" s="294"/>
      <c r="AS224" s="294"/>
      <c r="AT224" s="294"/>
      <c r="AU224" s="294"/>
      <c r="AV224" s="294"/>
      <c r="AW224" s="294"/>
      <c r="AX224" s="294"/>
      <c r="AY224" s="294"/>
      <c r="AZ224" s="294"/>
      <c r="BA224" s="294"/>
      <c r="BB224" s="294"/>
      <c r="BC224" s="294"/>
      <c r="BD224" s="294"/>
      <c r="BE224" s="294"/>
      <c r="BF224" s="294"/>
      <c r="BG224" s="294"/>
      <c r="BH224" s="294"/>
      <c r="BI224" s="294"/>
      <c r="BJ224" s="294"/>
    </row>
    <row r="225" spans="1:62" s="9" customFormat="1" ht="40.5" customHeight="1">
      <c r="A225" s="242"/>
      <c r="B225" s="242"/>
      <c r="C225" s="242"/>
      <c r="D225" s="265"/>
      <c r="E225" s="265"/>
      <c r="F225" s="265"/>
      <c r="G225" s="265"/>
      <c r="H225" s="265"/>
      <c r="I225" s="265"/>
      <c r="J225" s="265"/>
      <c r="K225" s="265"/>
      <c r="L225" s="265"/>
      <c r="M225" s="265"/>
      <c r="N225" s="265"/>
      <c r="O225" s="265"/>
      <c r="P225" s="265"/>
      <c r="Q225" s="265"/>
      <c r="R225" s="295"/>
      <c r="S225" s="295"/>
      <c r="T225" s="295"/>
      <c r="U225" s="96"/>
      <c r="V225" s="10"/>
      <c r="W225" s="10"/>
      <c r="X225" s="10"/>
      <c r="Y225" s="10"/>
      <c r="Z225" s="10"/>
      <c r="AA225" s="10"/>
      <c r="AB225" s="10"/>
      <c r="AC225" s="10"/>
      <c r="AD225" s="10"/>
      <c r="AE225" s="294"/>
      <c r="AF225" s="294"/>
      <c r="AG225" s="294"/>
      <c r="AH225" s="294"/>
      <c r="AI225" s="294"/>
      <c r="AJ225" s="294"/>
      <c r="AK225" s="294"/>
      <c r="AL225" s="294"/>
      <c r="AM225" s="294"/>
      <c r="AN225" s="294"/>
      <c r="AO225" s="294"/>
      <c r="AP225" s="294"/>
      <c r="AQ225" s="294"/>
      <c r="AR225" s="294"/>
      <c r="AS225" s="294"/>
      <c r="AT225" s="294"/>
      <c r="AU225" s="294"/>
      <c r="AV225" s="294"/>
      <c r="AW225" s="294"/>
      <c r="AX225" s="294"/>
      <c r="AY225" s="294"/>
      <c r="AZ225" s="294"/>
      <c r="BA225" s="294"/>
      <c r="BB225" s="294"/>
      <c r="BC225" s="294"/>
      <c r="BD225" s="294"/>
      <c r="BE225" s="294"/>
      <c r="BF225" s="294"/>
      <c r="BG225" s="294"/>
      <c r="BH225" s="294"/>
      <c r="BI225" s="294"/>
      <c r="BJ225" s="294"/>
    </row>
    <row r="226" spans="1:62" s="9" customFormat="1" ht="40.5" customHeight="1">
      <c r="A226" s="242"/>
      <c r="B226" s="242"/>
      <c r="C226" s="242"/>
      <c r="D226" s="265"/>
      <c r="E226" s="265"/>
      <c r="F226" s="265"/>
      <c r="G226" s="265"/>
      <c r="H226" s="265"/>
      <c r="I226" s="265"/>
      <c r="J226" s="265"/>
      <c r="K226" s="265"/>
      <c r="L226" s="265"/>
      <c r="M226" s="265"/>
      <c r="N226" s="265"/>
      <c r="O226" s="265"/>
      <c r="P226" s="265"/>
      <c r="Q226" s="265"/>
      <c r="R226" s="295"/>
      <c r="S226" s="295"/>
      <c r="T226" s="295"/>
      <c r="U226" s="96"/>
      <c r="V226" s="10"/>
      <c r="W226" s="10"/>
      <c r="X226" s="10"/>
      <c r="Y226" s="10"/>
      <c r="Z226" s="10"/>
      <c r="AA226" s="10"/>
      <c r="AB226" s="10"/>
      <c r="AC226" s="10"/>
      <c r="AD226" s="10"/>
      <c r="AE226" s="294"/>
      <c r="AF226" s="294"/>
      <c r="AG226" s="294"/>
      <c r="AH226" s="294"/>
      <c r="AI226" s="294"/>
      <c r="AJ226" s="294"/>
      <c r="AK226" s="294"/>
      <c r="AL226" s="294"/>
      <c r="AM226" s="294"/>
      <c r="AN226" s="294"/>
      <c r="AO226" s="294"/>
      <c r="AP226" s="294"/>
      <c r="AQ226" s="294"/>
      <c r="AR226" s="294"/>
      <c r="AS226" s="294"/>
      <c r="AT226" s="294"/>
      <c r="AU226" s="294"/>
      <c r="AV226" s="294"/>
      <c r="AW226" s="294"/>
      <c r="AX226" s="294"/>
      <c r="AY226" s="294"/>
      <c r="AZ226" s="294"/>
      <c r="BA226" s="294"/>
      <c r="BB226" s="294"/>
      <c r="BC226" s="294"/>
      <c r="BD226" s="294"/>
      <c r="BE226" s="294"/>
      <c r="BF226" s="294"/>
      <c r="BG226" s="294"/>
      <c r="BH226" s="294"/>
      <c r="BI226" s="294"/>
      <c r="BJ226" s="294"/>
    </row>
    <row r="227" spans="1:62" s="9" customFormat="1" ht="40.5" customHeight="1">
      <c r="A227" s="242"/>
      <c r="B227" s="242"/>
      <c r="C227" s="242"/>
      <c r="D227" s="265"/>
      <c r="E227" s="265"/>
      <c r="F227" s="265"/>
      <c r="G227" s="265"/>
      <c r="H227" s="265"/>
      <c r="I227" s="265"/>
      <c r="J227" s="265"/>
      <c r="K227" s="265"/>
      <c r="L227" s="265"/>
      <c r="M227" s="265"/>
      <c r="N227" s="265"/>
      <c r="O227" s="265"/>
      <c r="P227" s="265"/>
      <c r="Q227" s="265"/>
      <c r="R227" s="295"/>
      <c r="S227" s="295"/>
      <c r="T227" s="295"/>
      <c r="U227" s="96"/>
      <c r="V227" s="10"/>
      <c r="W227" s="10"/>
      <c r="X227" s="10"/>
      <c r="Y227" s="10"/>
      <c r="Z227" s="10"/>
      <c r="AA227" s="10"/>
      <c r="AB227" s="10"/>
      <c r="AC227" s="10"/>
      <c r="AD227" s="10"/>
      <c r="AE227" s="294"/>
      <c r="AF227" s="294"/>
      <c r="AG227" s="294"/>
      <c r="AH227" s="294"/>
      <c r="AI227" s="294"/>
      <c r="AJ227" s="294"/>
      <c r="AK227" s="294"/>
      <c r="AL227" s="294"/>
      <c r="AM227" s="294"/>
      <c r="AN227" s="294"/>
      <c r="AO227" s="294"/>
      <c r="AP227" s="294"/>
      <c r="AQ227" s="294"/>
      <c r="AR227" s="294"/>
      <c r="AS227" s="294"/>
      <c r="AT227" s="294"/>
      <c r="AU227" s="294"/>
      <c r="AV227" s="294"/>
      <c r="AW227" s="294"/>
      <c r="AX227" s="294"/>
      <c r="AY227" s="294"/>
      <c r="AZ227" s="294"/>
      <c r="BA227" s="294"/>
      <c r="BB227" s="294"/>
      <c r="BC227" s="294"/>
      <c r="BD227" s="294"/>
      <c r="BE227" s="294"/>
      <c r="BF227" s="294"/>
      <c r="BG227" s="294"/>
      <c r="BH227" s="294"/>
      <c r="BI227" s="294"/>
      <c r="BJ227" s="294"/>
    </row>
    <row r="228" spans="1:62" s="9" customFormat="1" ht="40.5" customHeight="1">
      <c r="A228" s="242"/>
      <c r="B228" s="242"/>
      <c r="C228" s="242"/>
      <c r="D228" s="265"/>
      <c r="E228" s="265"/>
      <c r="F228" s="265"/>
      <c r="G228" s="265"/>
      <c r="H228" s="265"/>
      <c r="I228" s="265"/>
      <c r="J228" s="265"/>
      <c r="K228" s="265"/>
      <c r="L228" s="265"/>
      <c r="M228" s="265"/>
      <c r="N228" s="265"/>
      <c r="O228" s="265"/>
      <c r="P228" s="265"/>
      <c r="Q228" s="265"/>
      <c r="R228" s="295"/>
      <c r="S228" s="295"/>
      <c r="T228" s="295"/>
      <c r="U228" s="96"/>
      <c r="V228" s="10"/>
      <c r="W228" s="10"/>
      <c r="X228" s="10"/>
      <c r="Y228" s="10"/>
      <c r="Z228" s="10"/>
      <c r="AA228" s="10"/>
      <c r="AB228" s="10"/>
      <c r="AC228" s="10"/>
      <c r="AD228" s="10"/>
      <c r="AE228" s="294"/>
      <c r="AF228" s="294"/>
      <c r="AG228" s="294"/>
      <c r="AH228" s="294"/>
      <c r="AI228" s="294"/>
      <c r="AJ228" s="294"/>
      <c r="AK228" s="294"/>
      <c r="AL228" s="294"/>
      <c r="AM228" s="294"/>
      <c r="AN228" s="294"/>
      <c r="AO228" s="294"/>
      <c r="AP228" s="294"/>
      <c r="AQ228" s="294"/>
      <c r="AR228" s="294"/>
      <c r="AS228" s="294"/>
      <c r="AT228" s="294"/>
      <c r="AU228" s="294"/>
      <c r="AV228" s="294"/>
      <c r="AW228" s="294"/>
      <c r="AX228" s="294"/>
      <c r="AY228" s="294"/>
      <c r="AZ228" s="294"/>
      <c r="BA228" s="294"/>
      <c r="BB228" s="294"/>
      <c r="BC228" s="294"/>
      <c r="BD228" s="294"/>
      <c r="BE228" s="294"/>
      <c r="BF228" s="294"/>
      <c r="BG228" s="294"/>
      <c r="BH228" s="294"/>
      <c r="BI228" s="294"/>
      <c r="BJ228" s="294"/>
    </row>
    <row r="229" spans="1:62" s="9" customFormat="1" ht="40.5" customHeight="1">
      <c r="A229" s="242"/>
      <c r="B229" s="242"/>
      <c r="C229" s="242"/>
      <c r="D229" s="265"/>
      <c r="E229" s="265"/>
      <c r="F229" s="265"/>
      <c r="G229" s="265"/>
      <c r="H229" s="265"/>
      <c r="I229" s="265"/>
      <c r="J229" s="265"/>
      <c r="K229" s="265"/>
      <c r="L229" s="265"/>
      <c r="M229" s="265"/>
      <c r="N229" s="265"/>
      <c r="O229" s="265"/>
      <c r="P229" s="265"/>
      <c r="Q229" s="265"/>
      <c r="R229" s="295"/>
      <c r="S229" s="295"/>
      <c r="T229" s="295"/>
      <c r="U229" s="96"/>
      <c r="V229" s="10"/>
      <c r="W229" s="10"/>
      <c r="X229" s="10"/>
      <c r="Y229" s="10"/>
      <c r="Z229" s="10"/>
      <c r="AA229" s="10"/>
      <c r="AB229" s="10"/>
      <c r="AC229" s="10"/>
      <c r="AD229" s="10"/>
      <c r="AE229" s="294"/>
      <c r="AF229" s="294"/>
      <c r="AG229" s="294"/>
      <c r="AH229" s="294"/>
      <c r="AI229" s="294"/>
      <c r="AJ229" s="294"/>
      <c r="AK229" s="294"/>
      <c r="AL229" s="294"/>
      <c r="AM229" s="294"/>
      <c r="AN229" s="294"/>
      <c r="AO229" s="294"/>
      <c r="AP229" s="294"/>
      <c r="AQ229" s="294"/>
      <c r="AR229" s="294"/>
      <c r="AS229" s="294"/>
      <c r="AT229" s="294"/>
      <c r="AU229" s="294"/>
      <c r="AV229" s="294"/>
      <c r="AW229" s="294"/>
      <c r="AX229" s="294"/>
      <c r="AY229" s="294"/>
      <c r="AZ229" s="294"/>
      <c r="BA229" s="294"/>
      <c r="BB229" s="294"/>
      <c r="BC229" s="294"/>
      <c r="BD229" s="294"/>
      <c r="BE229" s="294"/>
      <c r="BF229" s="294"/>
      <c r="BG229" s="294"/>
      <c r="BH229" s="294"/>
      <c r="BI229" s="294"/>
      <c r="BJ229" s="294"/>
    </row>
    <row r="230" spans="1:62" s="9" customFormat="1" ht="40.5" customHeight="1">
      <c r="A230" s="242"/>
      <c r="B230" s="242"/>
      <c r="C230" s="242"/>
      <c r="D230" s="265"/>
      <c r="E230" s="265"/>
      <c r="F230" s="265"/>
      <c r="G230" s="265"/>
      <c r="H230" s="265"/>
      <c r="I230" s="265"/>
      <c r="J230" s="265"/>
      <c r="K230" s="265"/>
      <c r="L230" s="265"/>
      <c r="M230" s="265"/>
      <c r="N230" s="265"/>
      <c r="O230" s="265"/>
      <c r="P230" s="265"/>
      <c r="Q230" s="265"/>
      <c r="R230" s="295"/>
      <c r="S230" s="295"/>
      <c r="T230" s="295"/>
      <c r="U230" s="96"/>
      <c r="V230" s="10"/>
      <c r="W230" s="10"/>
      <c r="X230" s="10"/>
      <c r="Y230" s="10"/>
      <c r="Z230" s="10"/>
      <c r="AA230" s="10"/>
      <c r="AB230" s="10"/>
      <c r="AC230" s="10"/>
      <c r="AD230" s="10"/>
      <c r="AE230" s="294"/>
      <c r="AF230" s="294"/>
      <c r="AG230" s="294"/>
      <c r="AH230" s="294"/>
      <c r="AI230" s="294"/>
      <c r="AJ230" s="294"/>
      <c r="AK230" s="294"/>
      <c r="AL230" s="294"/>
      <c r="AM230" s="294"/>
      <c r="AN230" s="294"/>
      <c r="AO230" s="294"/>
      <c r="AP230" s="294"/>
      <c r="AQ230" s="294"/>
      <c r="AR230" s="294"/>
      <c r="AS230" s="294"/>
      <c r="AT230" s="294"/>
      <c r="AU230" s="294"/>
      <c r="AV230" s="294"/>
      <c r="AW230" s="294"/>
      <c r="AX230" s="294"/>
      <c r="AY230" s="294"/>
      <c r="AZ230" s="294"/>
      <c r="BA230" s="294"/>
      <c r="BB230" s="294"/>
      <c r="BC230" s="294"/>
      <c r="BD230" s="294"/>
      <c r="BE230" s="294"/>
      <c r="BF230" s="294"/>
      <c r="BG230" s="294"/>
      <c r="BH230" s="294"/>
      <c r="BI230" s="294"/>
      <c r="BJ230" s="294"/>
    </row>
    <row r="231" spans="1:62" s="9" customFormat="1" ht="40.5" customHeight="1">
      <c r="A231" s="242"/>
      <c r="B231" s="242"/>
      <c r="C231" s="242"/>
      <c r="D231" s="265"/>
      <c r="E231" s="265"/>
      <c r="F231" s="265"/>
      <c r="G231" s="265"/>
      <c r="H231" s="265"/>
      <c r="I231" s="265"/>
      <c r="J231" s="265"/>
      <c r="K231" s="265"/>
      <c r="L231" s="265"/>
      <c r="M231" s="265"/>
      <c r="N231" s="265"/>
      <c r="O231" s="265"/>
      <c r="P231" s="265"/>
      <c r="Q231" s="265"/>
      <c r="R231" s="295"/>
      <c r="S231" s="295"/>
      <c r="T231" s="295"/>
      <c r="U231" s="96"/>
      <c r="V231" s="10"/>
      <c r="W231" s="10"/>
      <c r="X231" s="10"/>
      <c r="Y231" s="10"/>
      <c r="Z231" s="10"/>
      <c r="AA231" s="10"/>
      <c r="AB231" s="10"/>
      <c r="AC231" s="10"/>
      <c r="AD231" s="10"/>
      <c r="AE231" s="294"/>
      <c r="AF231" s="294"/>
      <c r="AG231" s="294"/>
      <c r="AH231" s="294"/>
      <c r="AI231" s="294"/>
      <c r="AJ231" s="294"/>
      <c r="AK231" s="294"/>
      <c r="AL231" s="294"/>
      <c r="AM231" s="294"/>
      <c r="AN231" s="294"/>
      <c r="AO231" s="294"/>
      <c r="AP231" s="294"/>
      <c r="AQ231" s="294"/>
      <c r="AR231" s="294"/>
      <c r="AS231" s="294"/>
      <c r="AT231" s="294"/>
      <c r="AU231" s="294"/>
      <c r="AV231" s="294"/>
      <c r="AW231" s="294"/>
      <c r="AX231" s="294"/>
      <c r="AY231" s="294"/>
      <c r="AZ231" s="294"/>
      <c r="BA231" s="294"/>
      <c r="BB231" s="294"/>
      <c r="BC231" s="294"/>
      <c r="BD231" s="294"/>
      <c r="BE231" s="294"/>
      <c r="BF231" s="294"/>
      <c r="BG231" s="294"/>
      <c r="BH231" s="294"/>
      <c r="BI231" s="294"/>
      <c r="BJ231" s="294"/>
    </row>
    <row r="232" spans="1:62" s="9" customFormat="1" ht="40.5" customHeight="1">
      <c r="A232" s="242"/>
      <c r="B232" s="242"/>
      <c r="C232" s="242"/>
      <c r="D232" s="265"/>
      <c r="E232" s="265"/>
      <c r="F232" s="265"/>
      <c r="G232" s="265"/>
      <c r="H232" s="265"/>
      <c r="I232" s="265"/>
      <c r="J232" s="265"/>
      <c r="K232" s="265"/>
      <c r="L232" s="265"/>
      <c r="M232" s="265"/>
      <c r="N232" s="265"/>
      <c r="O232" s="265"/>
      <c r="P232" s="265"/>
      <c r="Q232" s="265"/>
      <c r="R232" s="295"/>
      <c r="S232" s="295"/>
      <c r="T232" s="295"/>
      <c r="U232" s="97"/>
      <c r="V232" s="10"/>
      <c r="W232" s="10"/>
      <c r="X232" s="10"/>
      <c r="Y232" s="10"/>
      <c r="Z232" s="10"/>
      <c r="AA232" s="10"/>
      <c r="AB232" s="10"/>
      <c r="AC232" s="10"/>
      <c r="AD232" s="10"/>
      <c r="AE232" s="294"/>
      <c r="AF232" s="294"/>
      <c r="AG232" s="294"/>
      <c r="AH232" s="294"/>
      <c r="AI232" s="294"/>
      <c r="AJ232" s="294"/>
      <c r="AK232" s="294"/>
      <c r="AL232" s="294"/>
      <c r="AM232" s="294"/>
      <c r="AN232" s="294"/>
      <c r="AO232" s="294"/>
      <c r="AP232" s="294"/>
      <c r="AQ232" s="294"/>
      <c r="AR232" s="294"/>
      <c r="AS232" s="294"/>
      <c r="AT232" s="294"/>
      <c r="AU232" s="294"/>
      <c r="AV232" s="294"/>
      <c r="AW232" s="294"/>
      <c r="AX232" s="294"/>
      <c r="AY232" s="294"/>
      <c r="AZ232" s="294"/>
      <c r="BA232" s="294"/>
      <c r="BB232" s="294"/>
      <c r="BC232" s="294"/>
      <c r="BD232" s="294"/>
      <c r="BE232" s="294"/>
      <c r="BF232" s="294"/>
      <c r="BG232" s="294"/>
      <c r="BH232" s="294"/>
      <c r="BI232" s="294"/>
      <c r="BJ232" s="294"/>
    </row>
    <row r="233" spans="1:62" s="9" customFormat="1" ht="40.5" customHeight="1">
      <c r="A233" s="242"/>
      <c r="B233" s="242"/>
      <c r="C233" s="242"/>
      <c r="D233" s="265"/>
      <c r="E233" s="265"/>
      <c r="F233" s="265"/>
      <c r="G233" s="265"/>
      <c r="H233" s="265"/>
      <c r="I233" s="265"/>
      <c r="J233" s="265"/>
      <c r="K233" s="265"/>
      <c r="L233" s="265"/>
      <c r="M233" s="265"/>
      <c r="N233" s="265"/>
      <c r="O233" s="265"/>
      <c r="P233" s="265"/>
      <c r="Q233" s="265"/>
      <c r="R233" s="295"/>
      <c r="S233" s="295"/>
      <c r="T233" s="295"/>
      <c r="U233" s="96"/>
      <c r="V233" s="10"/>
      <c r="W233" s="10"/>
      <c r="X233" s="10"/>
      <c r="Y233" s="10"/>
      <c r="Z233" s="10"/>
      <c r="AA233" s="10"/>
      <c r="AB233" s="10"/>
      <c r="AC233" s="10"/>
      <c r="AD233" s="10"/>
      <c r="AE233" s="294"/>
      <c r="AF233" s="294"/>
      <c r="AG233" s="294"/>
      <c r="AH233" s="294"/>
      <c r="AI233" s="294"/>
      <c r="AJ233" s="294"/>
      <c r="AK233" s="294"/>
      <c r="AL233" s="294"/>
      <c r="AM233" s="294"/>
      <c r="AN233" s="294"/>
      <c r="AO233" s="294"/>
      <c r="AP233" s="294"/>
      <c r="AQ233" s="294"/>
      <c r="AR233" s="294"/>
      <c r="AS233" s="294"/>
      <c r="AT233" s="294"/>
      <c r="AU233" s="294"/>
      <c r="AV233" s="294"/>
      <c r="AW233" s="294"/>
      <c r="AX233" s="294"/>
      <c r="AY233" s="294"/>
      <c r="AZ233" s="294"/>
      <c r="BA233" s="294"/>
      <c r="BB233" s="294"/>
      <c r="BC233" s="294"/>
      <c r="BD233" s="294"/>
      <c r="BE233" s="294"/>
      <c r="BF233" s="294"/>
      <c r="BG233" s="294"/>
      <c r="BH233" s="294"/>
      <c r="BI233" s="294"/>
      <c r="BJ233" s="294"/>
    </row>
    <row r="234" spans="1:62" s="9" customFormat="1" ht="40.5" customHeight="1">
      <c r="A234" s="242"/>
      <c r="B234" s="242"/>
      <c r="C234" s="242"/>
      <c r="D234" s="265"/>
      <c r="E234" s="265"/>
      <c r="F234" s="265"/>
      <c r="G234" s="265"/>
      <c r="H234" s="265"/>
      <c r="I234" s="265"/>
      <c r="J234" s="265"/>
      <c r="K234" s="265"/>
      <c r="L234" s="265"/>
      <c r="M234" s="265"/>
      <c r="N234" s="265"/>
      <c r="O234" s="265"/>
      <c r="P234" s="265"/>
      <c r="Q234" s="265"/>
      <c r="R234" s="295"/>
      <c r="S234" s="295"/>
      <c r="T234" s="295"/>
      <c r="U234" s="96"/>
      <c r="V234" s="10"/>
      <c r="W234" s="10"/>
      <c r="X234" s="10"/>
      <c r="Y234" s="10"/>
      <c r="Z234" s="10"/>
      <c r="AA234" s="10"/>
      <c r="AB234" s="10"/>
      <c r="AC234" s="10"/>
      <c r="AD234" s="10"/>
      <c r="AE234" s="294"/>
      <c r="AF234" s="294"/>
      <c r="AG234" s="294"/>
      <c r="AH234" s="294"/>
      <c r="AI234" s="294"/>
      <c r="AJ234" s="294"/>
      <c r="AK234" s="294"/>
      <c r="AL234" s="294"/>
      <c r="AM234" s="294"/>
      <c r="AN234" s="294"/>
      <c r="AO234" s="294"/>
      <c r="AP234" s="294"/>
      <c r="AQ234" s="294"/>
      <c r="AR234" s="294"/>
      <c r="AS234" s="294"/>
      <c r="AT234" s="294"/>
      <c r="AU234" s="294"/>
      <c r="AV234" s="294"/>
      <c r="AW234" s="294"/>
      <c r="AX234" s="294"/>
      <c r="AY234" s="294"/>
      <c r="AZ234" s="294"/>
      <c r="BA234" s="294"/>
      <c r="BB234" s="294"/>
      <c r="BC234" s="294"/>
      <c r="BD234" s="294"/>
      <c r="BE234" s="294"/>
      <c r="BF234" s="294"/>
      <c r="BG234" s="294"/>
      <c r="BH234" s="294"/>
      <c r="BI234" s="294"/>
      <c r="BJ234" s="294"/>
    </row>
    <row r="235" spans="1:62" s="9" customFormat="1" ht="40.5" customHeight="1">
      <c r="A235" s="242"/>
      <c r="B235" s="242"/>
      <c r="C235" s="242"/>
      <c r="D235" s="265"/>
      <c r="E235" s="265"/>
      <c r="F235" s="265"/>
      <c r="G235" s="265"/>
      <c r="H235" s="265"/>
      <c r="I235" s="265"/>
      <c r="J235" s="265"/>
      <c r="K235" s="265"/>
      <c r="L235" s="265"/>
      <c r="M235" s="265"/>
      <c r="N235" s="265"/>
      <c r="O235" s="265"/>
      <c r="P235" s="265"/>
      <c r="Q235" s="265"/>
      <c r="R235" s="325"/>
      <c r="S235" s="295"/>
      <c r="T235" s="295"/>
      <c r="U235" s="97"/>
      <c r="V235" s="10"/>
      <c r="W235" s="10"/>
      <c r="X235" s="10"/>
      <c r="Y235" s="10"/>
      <c r="Z235" s="10"/>
      <c r="AA235" s="10"/>
      <c r="AB235" s="10"/>
      <c r="AC235" s="10"/>
      <c r="AD235" s="10"/>
      <c r="AE235" s="294"/>
      <c r="AF235" s="294"/>
      <c r="AG235" s="294"/>
      <c r="AH235" s="294"/>
      <c r="AI235" s="294"/>
      <c r="AJ235" s="294"/>
      <c r="AK235" s="294"/>
      <c r="AL235" s="294"/>
      <c r="AM235" s="294"/>
      <c r="AN235" s="294"/>
      <c r="AO235" s="294"/>
      <c r="AP235" s="294"/>
      <c r="AQ235" s="294"/>
      <c r="AR235" s="294"/>
      <c r="AS235" s="294"/>
      <c r="AT235" s="294"/>
      <c r="AU235" s="294"/>
      <c r="AV235" s="294"/>
      <c r="AW235" s="294"/>
      <c r="AX235" s="294"/>
      <c r="AY235" s="294"/>
      <c r="AZ235" s="294"/>
      <c r="BA235" s="294"/>
      <c r="BB235" s="294"/>
      <c r="BC235" s="294"/>
      <c r="BD235" s="294"/>
      <c r="BE235" s="294"/>
      <c r="BF235" s="294"/>
      <c r="BG235" s="294"/>
      <c r="BH235" s="294"/>
      <c r="BI235" s="294"/>
      <c r="BJ235" s="294"/>
    </row>
    <row r="236" spans="1:62" s="9" customFormat="1" ht="40.5" customHeight="1">
      <c r="A236" s="242"/>
      <c r="B236" s="242"/>
      <c r="C236" s="242"/>
      <c r="D236" s="265"/>
      <c r="E236" s="265"/>
      <c r="F236" s="265"/>
      <c r="G236" s="265"/>
      <c r="H236" s="265"/>
      <c r="I236" s="265"/>
      <c r="J236" s="265"/>
      <c r="K236" s="265"/>
      <c r="L236" s="265"/>
      <c r="M236" s="265"/>
      <c r="N236" s="265"/>
      <c r="O236" s="265"/>
      <c r="P236" s="265"/>
      <c r="Q236" s="265"/>
      <c r="R236" s="295"/>
      <c r="S236" s="295"/>
      <c r="T236" s="295"/>
      <c r="U236" s="97"/>
      <c r="V236" s="10"/>
      <c r="W236" s="10"/>
      <c r="X236" s="10"/>
      <c r="Y236" s="10"/>
      <c r="Z236" s="10"/>
      <c r="AA236" s="10"/>
      <c r="AB236" s="10"/>
      <c r="AC236" s="10"/>
      <c r="AD236" s="10"/>
      <c r="AE236" s="294"/>
      <c r="AF236" s="294"/>
      <c r="AG236" s="294"/>
      <c r="AH236" s="294"/>
      <c r="AI236" s="294"/>
      <c r="AJ236" s="294"/>
      <c r="AK236" s="294"/>
      <c r="AL236" s="294"/>
      <c r="AM236" s="294"/>
      <c r="AN236" s="294"/>
      <c r="AO236" s="294"/>
      <c r="AP236" s="294"/>
      <c r="AQ236" s="294"/>
      <c r="AR236" s="294"/>
      <c r="AS236" s="294"/>
      <c r="AT236" s="294"/>
      <c r="AU236" s="294"/>
      <c r="AV236" s="294"/>
      <c r="AW236" s="294"/>
      <c r="AX236" s="294"/>
      <c r="AY236" s="294"/>
      <c r="AZ236" s="294"/>
      <c r="BA236" s="294"/>
      <c r="BB236" s="294"/>
      <c r="BC236" s="294"/>
      <c r="BD236" s="294"/>
      <c r="BE236" s="294"/>
      <c r="BF236" s="294"/>
      <c r="BG236" s="294"/>
      <c r="BH236" s="294"/>
      <c r="BI236" s="294"/>
      <c r="BJ236" s="294"/>
    </row>
    <row r="237" spans="1:62" s="9" customFormat="1" ht="40.5" customHeight="1">
      <c r="A237" s="242"/>
      <c r="B237" s="242"/>
      <c r="C237" s="242"/>
      <c r="D237" s="265"/>
      <c r="E237" s="265"/>
      <c r="F237" s="265"/>
      <c r="G237" s="265"/>
      <c r="H237" s="265"/>
      <c r="I237" s="265"/>
      <c r="J237" s="265"/>
      <c r="K237" s="265"/>
      <c r="L237" s="265"/>
      <c r="M237" s="265"/>
      <c r="N237" s="265"/>
      <c r="O237" s="265"/>
      <c r="P237" s="265"/>
      <c r="Q237" s="265"/>
      <c r="R237" s="295"/>
      <c r="S237" s="295"/>
      <c r="T237" s="295"/>
      <c r="U237" s="97"/>
      <c r="V237" s="10"/>
      <c r="W237" s="10"/>
      <c r="X237" s="10"/>
      <c r="Y237" s="10"/>
      <c r="Z237" s="10"/>
      <c r="AA237" s="10"/>
      <c r="AB237" s="10"/>
      <c r="AC237" s="10"/>
      <c r="AD237" s="10"/>
      <c r="AE237" s="294"/>
      <c r="AF237" s="294"/>
      <c r="AG237" s="294"/>
      <c r="AH237" s="294"/>
      <c r="AI237" s="294"/>
      <c r="AJ237" s="294"/>
      <c r="AK237" s="294"/>
      <c r="AL237" s="294"/>
      <c r="AM237" s="294"/>
      <c r="AN237" s="294"/>
      <c r="AO237" s="294"/>
      <c r="AP237" s="294"/>
      <c r="AQ237" s="294"/>
      <c r="AR237" s="294"/>
      <c r="AS237" s="294"/>
      <c r="AT237" s="294"/>
      <c r="AU237" s="294"/>
      <c r="AV237" s="294"/>
      <c r="AW237" s="294"/>
      <c r="AX237" s="294"/>
      <c r="AY237" s="294"/>
      <c r="AZ237" s="294"/>
      <c r="BA237" s="294"/>
      <c r="BB237" s="294"/>
      <c r="BC237" s="294"/>
      <c r="BD237" s="294"/>
      <c r="BE237" s="294"/>
      <c r="BF237" s="294"/>
      <c r="BG237" s="294"/>
      <c r="BH237" s="294"/>
      <c r="BI237" s="294"/>
      <c r="BJ237" s="294"/>
    </row>
    <row r="238" spans="1:62" s="9" customFormat="1" ht="40.5" customHeight="1">
      <c r="A238" s="242"/>
      <c r="B238" s="242"/>
      <c r="C238" s="242"/>
      <c r="D238" s="265"/>
      <c r="E238" s="265"/>
      <c r="F238" s="265"/>
      <c r="G238" s="265"/>
      <c r="H238" s="265"/>
      <c r="I238" s="265"/>
      <c r="J238" s="265"/>
      <c r="K238" s="265"/>
      <c r="L238" s="265"/>
      <c r="M238" s="265"/>
      <c r="N238" s="265"/>
      <c r="O238" s="265"/>
      <c r="P238" s="265"/>
      <c r="Q238" s="265"/>
      <c r="R238" s="295"/>
      <c r="S238" s="295"/>
      <c r="T238" s="295"/>
      <c r="U238" s="96"/>
      <c r="V238" s="10"/>
      <c r="W238" s="10"/>
      <c r="X238" s="10"/>
      <c r="Y238" s="10"/>
      <c r="Z238" s="10"/>
      <c r="AA238" s="10"/>
      <c r="AB238" s="10"/>
      <c r="AC238" s="10"/>
      <c r="AD238" s="10"/>
      <c r="AE238" s="294"/>
      <c r="AF238" s="294"/>
      <c r="AG238" s="294"/>
      <c r="AH238" s="294"/>
      <c r="AI238" s="294"/>
      <c r="AJ238" s="294"/>
      <c r="AK238" s="294"/>
      <c r="AL238" s="294"/>
      <c r="AM238" s="294"/>
      <c r="AN238" s="294"/>
      <c r="AO238" s="294"/>
      <c r="AP238" s="294"/>
      <c r="AQ238" s="294"/>
      <c r="AR238" s="294"/>
      <c r="AS238" s="294"/>
      <c r="AT238" s="294"/>
      <c r="AU238" s="294"/>
      <c r="AV238" s="294"/>
      <c r="AW238" s="294"/>
      <c r="AX238" s="294"/>
      <c r="AY238" s="294"/>
      <c r="AZ238" s="294"/>
      <c r="BA238" s="294"/>
      <c r="BB238" s="294"/>
      <c r="BC238" s="294"/>
      <c r="BD238" s="294"/>
      <c r="BE238" s="294"/>
      <c r="BF238" s="294"/>
      <c r="BG238" s="294"/>
      <c r="BH238" s="294"/>
      <c r="BI238" s="294"/>
      <c r="BJ238" s="294"/>
    </row>
    <row r="239" spans="1:62" s="9" customFormat="1" ht="40.5" customHeight="1">
      <c r="A239" s="242"/>
      <c r="B239" s="242"/>
      <c r="C239" s="242"/>
      <c r="D239" s="265"/>
      <c r="E239" s="265"/>
      <c r="F239" s="265"/>
      <c r="G239" s="265"/>
      <c r="H239" s="265"/>
      <c r="I239" s="265"/>
      <c r="J239" s="265"/>
      <c r="K239" s="265"/>
      <c r="L239" s="265"/>
      <c r="M239" s="265"/>
      <c r="N239" s="265"/>
      <c r="O239" s="265"/>
      <c r="P239" s="265"/>
      <c r="Q239" s="265"/>
      <c r="R239" s="295"/>
      <c r="S239" s="295"/>
      <c r="T239" s="295"/>
      <c r="U239" s="96"/>
      <c r="V239" s="10"/>
      <c r="W239" s="10"/>
      <c r="X239" s="10"/>
      <c r="Y239" s="10"/>
      <c r="Z239" s="10"/>
      <c r="AA239" s="10"/>
      <c r="AB239" s="10"/>
      <c r="AC239" s="10"/>
      <c r="AD239" s="10"/>
      <c r="AE239" s="294"/>
      <c r="AF239" s="294"/>
      <c r="AG239" s="294"/>
      <c r="AH239" s="294"/>
      <c r="AI239" s="294"/>
      <c r="AJ239" s="294"/>
      <c r="AK239" s="294"/>
      <c r="AL239" s="294"/>
      <c r="AM239" s="294"/>
      <c r="AN239" s="294"/>
      <c r="AO239" s="294"/>
      <c r="AP239" s="294"/>
      <c r="AQ239" s="294"/>
      <c r="AR239" s="294"/>
      <c r="AS239" s="294"/>
      <c r="AT239" s="294"/>
      <c r="AU239" s="294"/>
      <c r="AV239" s="294"/>
      <c r="AW239" s="294"/>
      <c r="AX239" s="294"/>
      <c r="AY239" s="294"/>
      <c r="AZ239" s="294"/>
      <c r="BA239" s="294"/>
      <c r="BB239" s="294"/>
      <c r="BC239" s="294"/>
      <c r="BD239" s="294"/>
      <c r="BE239" s="294"/>
      <c r="BF239" s="294"/>
      <c r="BG239" s="294"/>
      <c r="BH239" s="294"/>
      <c r="BI239" s="294"/>
      <c r="BJ239" s="294"/>
    </row>
    <row r="240" spans="1:62" s="9" customFormat="1" ht="40.5" customHeight="1">
      <c r="A240" s="242"/>
      <c r="B240" s="242"/>
      <c r="C240" s="242"/>
      <c r="D240" s="265"/>
      <c r="E240" s="265"/>
      <c r="F240" s="265"/>
      <c r="G240" s="265"/>
      <c r="H240" s="265"/>
      <c r="I240" s="265"/>
      <c r="J240" s="265"/>
      <c r="K240" s="265"/>
      <c r="L240" s="265"/>
      <c r="M240" s="265"/>
      <c r="N240" s="265"/>
      <c r="O240" s="265"/>
      <c r="P240" s="265"/>
      <c r="Q240" s="265"/>
      <c r="R240" s="295"/>
      <c r="S240" s="295"/>
      <c r="T240" s="295"/>
      <c r="U240" s="97"/>
      <c r="V240" s="10"/>
      <c r="W240" s="10"/>
      <c r="X240" s="10"/>
      <c r="Y240" s="10"/>
      <c r="Z240" s="10"/>
      <c r="AA240" s="10"/>
      <c r="AB240" s="10"/>
      <c r="AC240" s="10"/>
      <c r="AD240" s="10"/>
      <c r="AE240" s="294"/>
      <c r="AF240" s="294"/>
      <c r="AG240" s="294"/>
      <c r="AH240" s="294"/>
      <c r="AI240" s="294"/>
      <c r="AJ240" s="294"/>
      <c r="AK240" s="294"/>
      <c r="AL240" s="294"/>
      <c r="AM240" s="294"/>
      <c r="AN240" s="294"/>
      <c r="AO240" s="294"/>
      <c r="AP240" s="294"/>
      <c r="AQ240" s="294"/>
      <c r="AR240" s="294"/>
      <c r="AS240" s="294"/>
      <c r="AT240" s="294"/>
      <c r="AU240" s="294"/>
      <c r="AV240" s="294"/>
      <c r="AW240" s="294"/>
      <c r="AX240" s="294"/>
      <c r="AY240" s="294"/>
      <c r="AZ240" s="294"/>
      <c r="BA240" s="294"/>
      <c r="BB240" s="294"/>
      <c r="BC240" s="294"/>
      <c r="BD240" s="294"/>
      <c r="BE240" s="294"/>
      <c r="BF240" s="294"/>
      <c r="BG240" s="294"/>
      <c r="BH240" s="294"/>
      <c r="BI240" s="294"/>
      <c r="BJ240" s="294"/>
    </row>
    <row r="241" spans="1:62" s="9" customFormat="1" ht="40.5" customHeight="1">
      <c r="A241" s="242"/>
      <c r="B241" s="242"/>
      <c r="C241" s="242"/>
      <c r="D241" s="265"/>
      <c r="E241" s="265"/>
      <c r="F241" s="265"/>
      <c r="G241" s="265"/>
      <c r="H241" s="265"/>
      <c r="I241" s="265"/>
      <c r="J241" s="265"/>
      <c r="K241" s="265"/>
      <c r="L241" s="265"/>
      <c r="M241" s="265"/>
      <c r="N241" s="265"/>
      <c r="O241" s="265"/>
      <c r="P241" s="265"/>
      <c r="Q241" s="265"/>
      <c r="R241" s="295"/>
      <c r="S241" s="295"/>
      <c r="T241" s="295"/>
      <c r="U241" s="97"/>
      <c r="V241" s="10"/>
      <c r="W241" s="10"/>
      <c r="X241" s="10"/>
      <c r="Y241" s="10"/>
      <c r="Z241" s="10"/>
      <c r="AA241" s="10"/>
      <c r="AB241" s="10"/>
      <c r="AC241" s="10"/>
      <c r="AD241" s="10"/>
      <c r="AE241" s="294"/>
      <c r="AF241" s="294"/>
      <c r="AG241" s="294"/>
      <c r="AH241" s="294"/>
      <c r="AI241" s="294"/>
      <c r="AJ241" s="294"/>
      <c r="AK241" s="294"/>
      <c r="AL241" s="294"/>
      <c r="AM241" s="294"/>
      <c r="AN241" s="294"/>
      <c r="AO241" s="294"/>
      <c r="AP241" s="294"/>
      <c r="AQ241" s="294"/>
      <c r="AR241" s="294"/>
      <c r="AS241" s="294"/>
      <c r="AT241" s="294"/>
      <c r="AU241" s="294"/>
      <c r="AV241" s="294"/>
      <c r="AW241" s="294"/>
      <c r="AX241" s="294"/>
      <c r="AY241" s="294"/>
      <c r="AZ241" s="294"/>
      <c r="BA241" s="294"/>
      <c r="BB241" s="294"/>
      <c r="BC241" s="294"/>
      <c r="BD241" s="294"/>
      <c r="BE241" s="294"/>
      <c r="BF241" s="294"/>
      <c r="BG241" s="294"/>
      <c r="BH241" s="294"/>
      <c r="BI241" s="294"/>
      <c r="BJ241" s="294"/>
    </row>
    <row r="242" spans="1:62" s="9" customFormat="1" ht="40.5" customHeight="1">
      <c r="A242" s="242"/>
      <c r="B242" s="242"/>
      <c r="C242" s="242"/>
      <c r="D242" s="265"/>
      <c r="E242" s="265"/>
      <c r="F242" s="265"/>
      <c r="G242" s="265"/>
      <c r="H242" s="265"/>
      <c r="I242" s="265"/>
      <c r="J242" s="265"/>
      <c r="K242" s="265"/>
      <c r="L242" s="265"/>
      <c r="M242" s="265"/>
      <c r="N242" s="265"/>
      <c r="O242" s="265"/>
      <c r="P242" s="265"/>
      <c r="Q242" s="265"/>
      <c r="R242" s="295"/>
      <c r="S242" s="295"/>
      <c r="T242" s="295"/>
      <c r="U242" s="96"/>
      <c r="V242" s="10"/>
      <c r="W242" s="10"/>
      <c r="X242" s="10"/>
      <c r="Y242" s="10"/>
      <c r="Z242" s="10"/>
      <c r="AA242" s="10"/>
      <c r="AB242" s="10"/>
      <c r="AC242" s="10"/>
      <c r="AD242" s="10"/>
      <c r="AE242" s="294"/>
      <c r="AF242" s="294"/>
      <c r="AG242" s="294"/>
      <c r="AH242" s="294"/>
      <c r="AI242" s="294"/>
      <c r="AJ242" s="294"/>
      <c r="AK242" s="294"/>
      <c r="AL242" s="294"/>
      <c r="AM242" s="294"/>
      <c r="AN242" s="294"/>
      <c r="AO242" s="294"/>
      <c r="AP242" s="294"/>
      <c r="AQ242" s="294"/>
      <c r="AR242" s="294"/>
      <c r="AS242" s="294"/>
      <c r="AT242" s="294"/>
      <c r="AU242" s="294"/>
      <c r="AV242" s="294"/>
      <c r="AW242" s="294"/>
      <c r="AX242" s="294"/>
      <c r="AY242" s="294"/>
      <c r="AZ242" s="294"/>
      <c r="BA242" s="294"/>
      <c r="BB242" s="294"/>
      <c r="BC242" s="294"/>
      <c r="BD242" s="294"/>
      <c r="BE242" s="294"/>
      <c r="BF242" s="294"/>
      <c r="BG242" s="294"/>
      <c r="BH242" s="294"/>
      <c r="BI242" s="294"/>
      <c r="BJ242" s="294"/>
    </row>
    <row r="243" spans="1:62" s="9" customFormat="1" ht="40.5" customHeight="1">
      <c r="A243" s="242"/>
      <c r="B243" s="242"/>
      <c r="C243" s="242"/>
      <c r="D243" s="265"/>
      <c r="E243" s="265"/>
      <c r="F243" s="265"/>
      <c r="G243" s="265"/>
      <c r="H243" s="265"/>
      <c r="I243" s="265"/>
      <c r="J243" s="265"/>
      <c r="K243" s="265"/>
      <c r="L243" s="265"/>
      <c r="M243" s="265"/>
      <c r="N243" s="265"/>
      <c r="O243" s="265"/>
      <c r="P243" s="265"/>
      <c r="Q243" s="265"/>
      <c r="R243" s="295"/>
      <c r="S243" s="295"/>
      <c r="T243" s="295"/>
      <c r="U243" s="96"/>
      <c r="V243" s="10"/>
      <c r="W243" s="10"/>
      <c r="X243" s="10"/>
      <c r="Y243" s="10"/>
      <c r="Z243" s="10"/>
      <c r="AA243" s="10"/>
      <c r="AB243" s="10"/>
      <c r="AC243" s="10"/>
      <c r="AD243" s="10"/>
      <c r="AE243" s="294"/>
      <c r="AF243" s="294"/>
      <c r="AG243" s="294"/>
      <c r="AH243" s="294"/>
      <c r="AI243" s="294"/>
      <c r="AJ243" s="294"/>
      <c r="AK243" s="294"/>
      <c r="AL243" s="294"/>
      <c r="AM243" s="294"/>
      <c r="AN243" s="294"/>
      <c r="AO243" s="294"/>
      <c r="AP243" s="294"/>
      <c r="AQ243" s="294"/>
      <c r="AR243" s="294"/>
      <c r="AS243" s="294"/>
      <c r="AT243" s="294"/>
      <c r="AU243" s="294"/>
      <c r="AV243" s="294"/>
      <c r="AW243" s="294"/>
      <c r="AX243" s="294"/>
      <c r="AY243" s="294"/>
      <c r="AZ243" s="294"/>
      <c r="BA243" s="294"/>
      <c r="BB243" s="294"/>
      <c r="BC243" s="294"/>
      <c r="BD243" s="294"/>
      <c r="BE243" s="294"/>
      <c r="BF243" s="294"/>
      <c r="BG243" s="294"/>
      <c r="BH243" s="294"/>
      <c r="BI243" s="294"/>
      <c r="BJ243" s="294"/>
    </row>
    <row r="244" spans="1:62" s="9" customFormat="1" ht="40.5" customHeight="1">
      <c r="A244" s="242"/>
      <c r="B244" s="242"/>
      <c r="C244" s="242"/>
      <c r="D244" s="265"/>
      <c r="E244" s="265"/>
      <c r="F244" s="265"/>
      <c r="G244" s="265"/>
      <c r="H244" s="265"/>
      <c r="I244" s="265"/>
      <c r="J244" s="265"/>
      <c r="K244" s="265"/>
      <c r="L244" s="265"/>
      <c r="M244" s="265"/>
      <c r="N244" s="265"/>
      <c r="O244" s="265"/>
      <c r="P244" s="265"/>
      <c r="Q244" s="265"/>
      <c r="R244" s="295"/>
      <c r="S244" s="295"/>
      <c r="T244" s="295"/>
      <c r="U244" s="97"/>
      <c r="V244" s="10"/>
      <c r="W244" s="10"/>
      <c r="X244" s="10"/>
      <c r="Y244" s="10"/>
      <c r="Z244" s="10"/>
      <c r="AA244" s="10"/>
      <c r="AB244" s="10"/>
      <c r="AC244" s="10"/>
      <c r="AD244" s="10"/>
      <c r="AE244" s="294"/>
      <c r="AF244" s="294"/>
      <c r="AG244" s="294"/>
      <c r="AH244" s="294"/>
      <c r="AI244" s="294"/>
      <c r="AJ244" s="294"/>
      <c r="AK244" s="294"/>
      <c r="AL244" s="294"/>
      <c r="AM244" s="294"/>
      <c r="AN244" s="294"/>
      <c r="AO244" s="294"/>
      <c r="AP244" s="294"/>
      <c r="AQ244" s="294"/>
      <c r="AR244" s="294"/>
      <c r="AS244" s="294"/>
      <c r="AT244" s="294"/>
      <c r="AU244" s="294"/>
      <c r="AV244" s="294"/>
      <c r="AW244" s="294"/>
      <c r="AX244" s="294"/>
      <c r="AY244" s="294"/>
      <c r="AZ244" s="294"/>
      <c r="BA244" s="294"/>
      <c r="BB244" s="294"/>
      <c r="BC244" s="294"/>
      <c r="BD244" s="294"/>
      <c r="BE244" s="294"/>
      <c r="BF244" s="294"/>
      <c r="BG244" s="294"/>
      <c r="BH244" s="294"/>
      <c r="BI244" s="294"/>
      <c r="BJ244" s="294"/>
    </row>
    <row r="245" spans="1:62" s="9" customFormat="1" ht="40.5" customHeight="1">
      <c r="A245" s="242"/>
      <c r="B245" s="242"/>
      <c r="C245" s="242"/>
      <c r="D245" s="265"/>
      <c r="E245" s="265"/>
      <c r="F245" s="265"/>
      <c r="G245" s="265"/>
      <c r="H245" s="265"/>
      <c r="I245" s="265"/>
      <c r="J245" s="265"/>
      <c r="K245" s="265"/>
      <c r="L245" s="265"/>
      <c r="M245" s="265"/>
      <c r="N245" s="265"/>
      <c r="O245" s="265"/>
      <c r="P245" s="265"/>
      <c r="Q245" s="265"/>
      <c r="R245" s="295"/>
      <c r="S245" s="295"/>
      <c r="T245" s="295"/>
      <c r="U245" s="96"/>
      <c r="V245" s="10"/>
      <c r="W245" s="10"/>
      <c r="X245" s="10"/>
      <c r="Y245" s="10"/>
      <c r="Z245" s="10"/>
      <c r="AA245" s="10"/>
      <c r="AB245" s="10"/>
      <c r="AC245" s="10"/>
      <c r="AD245" s="10"/>
      <c r="AE245" s="294"/>
      <c r="AF245" s="294"/>
      <c r="AG245" s="294"/>
      <c r="AH245" s="294"/>
      <c r="AI245" s="294"/>
      <c r="AJ245" s="294"/>
      <c r="AK245" s="294"/>
      <c r="AL245" s="294"/>
      <c r="AM245" s="294"/>
      <c r="AN245" s="294"/>
      <c r="AO245" s="294"/>
      <c r="AP245" s="294"/>
      <c r="AQ245" s="294"/>
      <c r="AR245" s="294"/>
      <c r="AS245" s="294"/>
      <c r="AT245" s="294"/>
      <c r="AU245" s="294"/>
      <c r="AV245" s="294"/>
      <c r="AW245" s="294"/>
      <c r="AX245" s="294"/>
      <c r="AY245" s="294"/>
      <c r="AZ245" s="294"/>
      <c r="BA245" s="294"/>
      <c r="BB245" s="294"/>
      <c r="BC245" s="294"/>
      <c r="BD245" s="294"/>
      <c r="BE245" s="294"/>
      <c r="BF245" s="294"/>
      <c r="BG245" s="294"/>
      <c r="BH245" s="294"/>
      <c r="BI245" s="294"/>
      <c r="BJ245" s="294"/>
    </row>
    <row r="246" spans="1:62" s="9" customFormat="1" ht="40.5" customHeight="1">
      <c r="A246" s="242"/>
      <c r="B246" s="242"/>
      <c r="C246" s="242"/>
      <c r="D246" s="265"/>
      <c r="E246" s="265"/>
      <c r="F246" s="265"/>
      <c r="G246" s="265"/>
      <c r="H246" s="265"/>
      <c r="I246" s="265"/>
      <c r="J246" s="265"/>
      <c r="K246" s="265"/>
      <c r="L246" s="265"/>
      <c r="M246" s="265"/>
      <c r="N246" s="265"/>
      <c r="O246" s="265"/>
      <c r="P246" s="265"/>
      <c r="Q246" s="265"/>
      <c r="R246" s="295"/>
      <c r="S246" s="295"/>
      <c r="T246" s="295"/>
      <c r="U246" s="96"/>
      <c r="V246" s="10"/>
      <c r="W246" s="10"/>
      <c r="X246" s="10"/>
      <c r="Y246" s="10"/>
      <c r="Z246" s="10"/>
      <c r="AA246" s="10"/>
      <c r="AB246" s="10"/>
      <c r="AC246" s="10"/>
      <c r="AD246" s="10"/>
      <c r="AE246" s="294"/>
      <c r="AF246" s="294"/>
      <c r="AG246" s="294"/>
      <c r="AH246" s="294"/>
      <c r="AI246" s="294"/>
      <c r="AJ246" s="294"/>
      <c r="AK246" s="294"/>
      <c r="AL246" s="294"/>
      <c r="AM246" s="294"/>
      <c r="AN246" s="294"/>
      <c r="AO246" s="294"/>
      <c r="AP246" s="294"/>
      <c r="AQ246" s="294"/>
      <c r="AR246" s="294"/>
      <c r="AS246" s="294"/>
      <c r="AT246" s="294"/>
      <c r="AU246" s="294"/>
      <c r="AV246" s="294"/>
      <c r="AW246" s="294"/>
      <c r="AX246" s="294"/>
      <c r="AY246" s="294"/>
      <c r="AZ246" s="294"/>
      <c r="BA246" s="294"/>
      <c r="BB246" s="294"/>
      <c r="BC246" s="294"/>
      <c r="BD246" s="294"/>
      <c r="BE246" s="294"/>
      <c r="BF246" s="294"/>
      <c r="BG246" s="294"/>
      <c r="BH246" s="294"/>
      <c r="BI246" s="294"/>
      <c r="BJ246" s="294"/>
    </row>
    <row r="247" spans="1:62" s="9" customFormat="1" ht="40.5" customHeight="1">
      <c r="A247" s="242"/>
      <c r="B247" s="242"/>
      <c r="C247" s="242"/>
      <c r="D247" s="265"/>
      <c r="E247" s="265"/>
      <c r="F247" s="265"/>
      <c r="G247" s="265"/>
      <c r="H247" s="265"/>
      <c r="I247" s="265"/>
      <c r="J247" s="265"/>
      <c r="K247" s="265"/>
      <c r="L247" s="265"/>
      <c r="M247" s="265"/>
      <c r="N247" s="265"/>
      <c r="O247" s="265"/>
      <c r="P247" s="265"/>
      <c r="Q247" s="265"/>
      <c r="R247" s="295"/>
      <c r="S247" s="295"/>
      <c r="T247" s="295"/>
      <c r="U247" s="96"/>
      <c r="V247" s="10"/>
      <c r="W247" s="10"/>
      <c r="X247" s="10"/>
      <c r="Y247" s="10"/>
      <c r="Z247" s="10"/>
      <c r="AA247" s="10"/>
      <c r="AB247" s="10"/>
      <c r="AC247" s="10"/>
      <c r="AD247" s="10"/>
      <c r="AE247" s="294"/>
      <c r="AF247" s="294"/>
      <c r="AG247" s="294"/>
      <c r="AH247" s="294"/>
      <c r="AI247" s="294"/>
      <c r="AJ247" s="294"/>
      <c r="AK247" s="294"/>
      <c r="AL247" s="294"/>
      <c r="AM247" s="294"/>
      <c r="AN247" s="294"/>
      <c r="AO247" s="294"/>
      <c r="AP247" s="294"/>
      <c r="AQ247" s="294"/>
      <c r="AR247" s="294"/>
      <c r="AS247" s="294"/>
      <c r="AT247" s="294"/>
      <c r="AU247" s="294"/>
      <c r="AV247" s="294"/>
      <c r="AW247" s="294"/>
      <c r="AX247" s="294"/>
      <c r="AY247" s="294"/>
      <c r="AZ247" s="294"/>
      <c r="BA247" s="294"/>
      <c r="BB247" s="294"/>
      <c r="BC247" s="294"/>
      <c r="BD247" s="294"/>
      <c r="BE247" s="294"/>
      <c r="BF247" s="294"/>
      <c r="BG247" s="294"/>
      <c r="BH247" s="294"/>
      <c r="BI247" s="294"/>
      <c r="BJ247" s="294"/>
    </row>
    <row r="248" spans="1:62" s="9" customFormat="1" ht="40.5" customHeight="1">
      <c r="A248" s="242"/>
      <c r="B248" s="242"/>
      <c r="C248" s="242"/>
      <c r="D248" s="265"/>
      <c r="E248" s="265"/>
      <c r="F248" s="265"/>
      <c r="G248" s="265"/>
      <c r="H248" s="265"/>
      <c r="I248" s="265"/>
      <c r="J248" s="265"/>
      <c r="K248" s="265"/>
      <c r="L248" s="265"/>
      <c r="M248" s="265"/>
      <c r="N248" s="265"/>
      <c r="O248" s="265"/>
      <c r="P248" s="265"/>
      <c r="Q248" s="265"/>
      <c r="R248" s="295"/>
      <c r="S248" s="295"/>
      <c r="T248" s="295"/>
      <c r="U248" s="96"/>
      <c r="V248" s="10"/>
      <c r="W248" s="10"/>
      <c r="X248" s="10"/>
      <c r="Y248" s="10"/>
      <c r="Z248" s="10"/>
      <c r="AA248" s="10"/>
      <c r="AB248" s="10"/>
      <c r="AC248" s="10"/>
      <c r="AD248" s="10"/>
      <c r="AE248" s="294"/>
      <c r="AF248" s="294"/>
      <c r="AG248" s="294"/>
      <c r="AH248" s="294"/>
      <c r="AI248" s="294"/>
      <c r="AJ248" s="294"/>
      <c r="AK248" s="294"/>
      <c r="AL248" s="294"/>
      <c r="AM248" s="294"/>
      <c r="AN248" s="294"/>
      <c r="AO248" s="294"/>
      <c r="AP248" s="294"/>
      <c r="AQ248" s="294"/>
      <c r="AR248" s="294"/>
      <c r="AS248" s="294"/>
      <c r="AT248" s="294"/>
      <c r="AU248" s="294"/>
      <c r="AV248" s="294"/>
      <c r="AW248" s="294"/>
      <c r="AX248" s="294"/>
      <c r="AY248" s="294"/>
      <c r="AZ248" s="294"/>
      <c r="BA248" s="294"/>
      <c r="BB248" s="294"/>
      <c r="BC248" s="294"/>
      <c r="BD248" s="294"/>
      <c r="BE248" s="294"/>
      <c r="BF248" s="294"/>
      <c r="BG248" s="294"/>
      <c r="BH248" s="294"/>
      <c r="BI248" s="294"/>
      <c r="BJ248" s="294"/>
    </row>
    <row r="249" spans="1:62" s="9" customFormat="1" ht="40.5" customHeight="1">
      <c r="A249" s="242"/>
      <c r="B249" s="242"/>
      <c r="C249" s="242"/>
      <c r="D249" s="265"/>
      <c r="E249" s="265"/>
      <c r="F249" s="265"/>
      <c r="G249" s="265"/>
      <c r="H249" s="265"/>
      <c r="I249" s="265"/>
      <c r="J249" s="265"/>
      <c r="K249" s="265"/>
      <c r="L249" s="265"/>
      <c r="M249" s="265"/>
      <c r="N249" s="265"/>
      <c r="O249" s="265"/>
      <c r="P249" s="265"/>
      <c r="Q249" s="265"/>
      <c r="R249" s="295"/>
      <c r="S249" s="295"/>
      <c r="T249" s="295"/>
      <c r="U249" s="96"/>
      <c r="V249" s="10"/>
      <c r="W249" s="10"/>
      <c r="X249" s="10"/>
      <c r="Y249" s="10"/>
      <c r="Z249" s="10"/>
      <c r="AA249" s="10"/>
      <c r="AB249" s="10"/>
      <c r="AC249" s="10"/>
      <c r="AD249" s="10"/>
      <c r="AE249" s="294"/>
      <c r="AF249" s="294"/>
      <c r="AG249" s="294"/>
      <c r="AH249" s="294"/>
      <c r="AI249" s="294"/>
      <c r="AJ249" s="294"/>
      <c r="AK249" s="294"/>
      <c r="AL249" s="294"/>
      <c r="AM249" s="294"/>
      <c r="AN249" s="294"/>
      <c r="AO249" s="294"/>
      <c r="AP249" s="294"/>
      <c r="AQ249" s="294"/>
      <c r="AR249" s="294"/>
      <c r="AS249" s="294"/>
      <c r="AT249" s="294"/>
      <c r="AU249" s="294"/>
      <c r="AV249" s="294"/>
      <c r="AW249" s="294"/>
      <c r="AX249" s="294"/>
      <c r="AY249" s="294"/>
      <c r="AZ249" s="294"/>
      <c r="BA249" s="294"/>
      <c r="BB249" s="294"/>
      <c r="BC249" s="294"/>
      <c r="BD249" s="294"/>
      <c r="BE249" s="294"/>
      <c r="BF249" s="294"/>
      <c r="BG249" s="294"/>
      <c r="BH249" s="294"/>
      <c r="BI249" s="294"/>
      <c r="BJ249" s="294"/>
    </row>
    <row r="250" spans="1:62" s="9" customFormat="1" ht="40.5" customHeight="1">
      <c r="A250" s="242"/>
      <c r="B250" s="242"/>
      <c r="C250" s="242"/>
      <c r="D250" s="265"/>
      <c r="E250" s="265"/>
      <c r="F250" s="265"/>
      <c r="G250" s="265"/>
      <c r="H250" s="265"/>
      <c r="I250" s="265"/>
      <c r="J250" s="265"/>
      <c r="K250" s="265"/>
      <c r="L250" s="265"/>
      <c r="M250" s="265"/>
      <c r="N250" s="265"/>
      <c r="O250" s="265"/>
      <c r="P250" s="265"/>
      <c r="Q250" s="265"/>
      <c r="R250" s="295"/>
      <c r="S250" s="295"/>
      <c r="T250" s="295"/>
      <c r="U250" s="96"/>
      <c r="V250" s="10"/>
      <c r="W250" s="10"/>
      <c r="X250" s="10"/>
      <c r="Y250" s="10"/>
      <c r="Z250" s="10"/>
      <c r="AA250" s="10"/>
      <c r="AB250" s="10"/>
      <c r="AC250" s="10"/>
      <c r="AD250" s="10"/>
      <c r="AE250" s="294"/>
      <c r="AF250" s="294"/>
      <c r="AG250" s="294"/>
      <c r="AH250" s="294"/>
      <c r="AI250" s="294"/>
      <c r="AJ250" s="294"/>
      <c r="AK250" s="294"/>
      <c r="AL250" s="294"/>
      <c r="AM250" s="294"/>
      <c r="AN250" s="294"/>
      <c r="AO250" s="294"/>
      <c r="AP250" s="294"/>
      <c r="AQ250" s="294"/>
      <c r="AR250" s="294"/>
      <c r="AS250" s="294"/>
      <c r="AT250" s="294"/>
      <c r="AU250" s="294"/>
      <c r="AV250" s="294"/>
      <c r="AW250" s="294"/>
      <c r="AX250" s="294"/>
      <c r="AY250" s="294"/>
      <c r="AZ250" s="294"/>
      <c r="BA250" s="294"/>
      <c r="BB250" s="294"/>
      <c r="BC250" s="294"/>
      <c r="BD250" s="294"/>
      <c r="BE250" s="294"/>
      <c r="BF250" s="294"/>
      <c r="BG250" s="294"/>
      <c r="BH250" s="294"/>
      <c r="BI250" s="294"/>
      <c r="BJ250" s="294"/>
    </row>
    <row r="251" spans="1:62" s="9" customFormat="1" ht="40.5" customHeight="1">
      <c r="A251" s="242"/>
      <c r="B251" s="242"/>
      <c r="C251" s="242"/>
      <c r="D251" s="265"/>
      <c r="E251" s="265"/>
      <c r="F251" s="265"/>
      <c r="G251" s="265"/>
      <c r="H251" s="265"/>
      <c r="I251" s="265"/>
      <c r="J251" s="265"/>
      <c r="K251" s="265"/>
      <c r="L251" s="265"/>
      <c r="M251" s="265"/>
      <c r="N251" s="265"/>
      <c r="O251" s="265"/>
      <c r="P251" s="265"/>
      <c r="Q251" s="265"/>
      <c r="R251" s="295"/>
      <c r="S251" s="295"/>
      <c r="T251" s="295"/>
      <c r="U251" s="96"/>
      <c r="V251" s="10"/>
      <c r="W251" s="10"/>
      <c r="X251" s="10"/>
      <c r="Y251" s="10"/>
      <c r="Z251" s="10"/>
      <c r="AA251" s="10"/>
      <c r="AB251" s="10"/>
      <c r="AC251" s="10"/>
      <c r="AD251" s="10"/>
      <c r="AE251" s="294"/>
      <c r="AF251" s="294"/>
      <c r="AG251" s="294"/>
      <c r="AH251" s="294"/>
      <c r="AI251" s="294"/>
      <c r="AJ251" s="294"/>
      <c r="AK251" s="294"/>
      <c r="AL251" s="294"/>
      <c r="AM251" s="294"/>
      <c r="AN251" s="294"/>
      <c r="AO251" s="294"/>
      <c r="AP251" s="294"/>
      <c r="AQ251" s="294"/>
      <c r="AR251" s="294"/>
      <c r="AS251" s="294"/>
      <c r="AT251" s="294"/>
      <c r="AU251" s="294"/>
      <c r="AV251" s="294"/>
      <c r="AW251" s="294"/>
      <c r="AX251" s="294"/>
      <c r="AY251" s="294"/>
      <c r="AZ251" s="294"/>
      <c r="BA251" s="294"/>
      <c r="BB251" s="294"/>
      <c r="BC251" s="294"/>
      <c r="BD251" s="294"/>
      <c r="BE251" s="294"/>
      <c r="BF251" s="294"/>
      <c r="BG251" s="294"/>
      <c r="BH251" s="294"/>
      <c r="BI251" s="294"/>
      <c r="BJ251" s="294"/>
    </row>
    <row r="252" spans="1:62" s="9" customFormat="1" ht="40.5" customHeight="1">
      <c r="A252" s="242"/>
      <c r="B252" s="242"/>
      <c r="C252" s="242"/>
      <c r="D252" s="265"/>
      <c r="E252" s="265"/>
      <c r="F252" s="265"/>
      <c r="G252" s="265"/>
      <c r="H252" s="265"/>
      <c r="I252" s="265"/>
      <c r="J252" s="265"/>
      <c r="K252" s="265"/>
      <c r="L252" s="265"/>
      <c r="M252" s="265"/>
      <c r="N252" s="265"/>
      <c r="O252" s="265"/>
      <c r="P252" s="265"/>
      <c r="Q252" s="265"/>
      <c r="R252" s="295"/>
      <c r="S252" s="295"/>
      <c r="T252" s="295"/>
      <c r="U252" s="96"/>
      <c r="V252" s="10"/>
      <c r="W252" s="10"/>
      <c r="X252" s="10"/>
      <c r="Y252" s="10"/>
      <c r="Z252" s="10"/>
      <c r="AA252" s="10"/>
      <c r="AB252" s="10"/>
      <c r="AC252" s="10"/>
      <c r="AD252" s="10"/>
      <c r="AE252" s="294"/>
      <c r="AF252" s="294"/>
      <c r="AG252" s="294"/>
      <c r="AH252" s="294"/>
      <c r="AI252" s="294"/>
      <c r="AJ252" s="294"/>
      <c r="AK252" s="294"/>
      <c r="AL252" s="294"/>
      <c r="AM252" s="294"/>
      <c r="AN252" s="294"/>
      <c r="AO252" s="294"/>
      <c r="AP252" s="294"/>
      <c r="AQ252" s="294"/>
      <c r="AR252" s="294"/>
      <c r="AS252" s="294"/>
      <c r="AT252" s="294"/>
      <c r="AU252" s="294"/>
      <c r="AV252" s="294"/>
      <c r="AW252" s="294"/>
      <c r="AX252" s="294"/>
      <c r="AY252" s="294"/>
      <c r="AZ252" s="294"/>
      <c r="BA252" s="294"/>
      <c r="BB252" s="294"/>
      <c r="BC252" s="294"/>
      <c r="BD252" s="294"/>
      <c r="BE252" s="294"/>
      <c r="BF252" s="294"/>
      <c r="BG252" s="294"/>
      <c r="BH252" s="294"/>
      <c r="BI252" s="294"/>
      <c r="BJ252" s="294"/>
    </row>
    <row r="253" spans="1:62" s="9" customFormat="1" ht="40.5" customHeight="1">
      <c r="A253" s="242"/>
      <c r="B253" s="242"/>
      <c r="C253" s="242"/>
      <c r="D253" s="265"/>
      <c r="E253" s="265"/>
      <c r="F253" s="265"/>
      <c r="G253" s="265"/>
      <c r="H253" s="265"/>
      <c r="I253" s="265"/>
      <c r="J253" s="265"/>
      <c r="K253" s="265"/>
      <c r="L253" s="265"/>
      <c r="M253" s="265"/>
      <c r="N253" s="265"/>
      <c r="O253" s="265"/>
      <c r="P253" s="265"/>
      <c r="Q253" s="265"/>
      <c r="R253" s="295"/>
      <c r="S253" s="295"/>
      <c r="T253" s="295"/>
      <c r="U253" s="96"/>
      <c r="V253" s="10"/>
      <c r="W253" s="10"/>
      <c r="X253" s="10"/>
      <c r="Y253" s="10"/>
      <c r="Z253" s="10"/>
      <c r="AA253" s="10"/>
      <c r="AB253" s="10"/>
      <c r="AC253" s="10"/>
      <c r="AD253" s="10"/>
      <c r="AE253" s="294"/>
      <c r="AF253" s="294"/>
      <c r="AG253" s="294"/>
      <c r="AH253" s="294"/>
      <c r="AI253" s="294"/>
      <c r="AJ253" s="294"/>
      <c r="AK253" s="294"/>
      <c r="AL253" s="294"/>
      <c r="AM253" s="294"/>
      <c r="AN253" s="294"/>
      <c r="AO253" s="294"/>
      <c r="AP253" s="294"/>
      <c r="AQ253" s="294"/>
      <c r="AR253" s="294"/>
      <c r="AS253" s="294"/>
      <c r="AT253" s="294"/>
      <c r="AU253" s="294"/>
      <c r="AV253" s="294"/>
      <c r="AW253" s="294"/>
      <c r="AX253" s="294"/>
      <c r="AY253" s="294"/>
      <c r="AZ253" s="294"/>
      <c r="BA253" s="294"/>
      <c r="BB253" s="294"/>
      <c r="BC253" s="294"/>
      <c r="BD253" s="294"/>
      <c r="BE253" s="294"/>
      <c r="BF253" s="294"/>
      <c r="BG253" s="294"/>
      <c r="BH253" s="294"/>
      <c r="BI253" s="294"/>
      <c r="BJ253" s="294"/>
    </row>
    <row r="254" spans="1:62" s="9" customFormat="1" ht="40.5" customHeight="1">
      <c r="A254" s="242"/>
      <c r="B254" s="242"/>
      <c r="C254" s="242"/>
      <c r="D254" s="265"/>
      <c r="E254" s="265"/>
      <c r="F254" s="265"/>
      <c r="G254" s="265"/>
      <c r="H254" s="265"/>
      <c r="I254" s="265"/>
      <c r="J254" s="265"/>
      <c r="K254" s="265"/>
      <c r="L254" s="265"/>
      <c r="M254" s="265"/>
      <c r="N254" s="265"/>
      <c r="O254" s="265"/>
      <c r="P254" s="265"/>
      <c r="Q254" s="265"/>
      <c r="R254" s="295"/>
      <c r="S254" s="295"/>
      <c r="T254" s="295"/>
      <c r="U254" s="96"/>
      <c r="V254" s="10"/>
      <c r="W254" s="10"/>
      <c r="X254" s="10"/>
      <c r="Y254" s="10"/>
      <c r="Z254" s="10"/>
      <c r="AA254" s="10"/>
      <c r="AB254" s="10"/>
      <c r="AC254" s="10"/>
      <c r="AD254" s="10"/>
      <c r="AE254" s="294"/>
      <c r="AF254" s="294"/>
      <c r="AG254" s="294"/>
      <c r="AH254" s="294"/>
      <c r="AI254" s="294"/>
      <c r="AJ254" s="294"/>
      <c r="AK254" s="294"/>
      <c r="AL254" s="294"/>
      <c r="AM254" s="294"/>
      <c r="AN254" s="294"/>
      <c r="AO254" s="294"/>
      <c r="AP254" s="294"/>
      <c r="AQ254" s="294"/>
      <c r="AR254" s="294"/>
      <c r="AS254" s="294"/>
      <c r="AT254" s="294"/>
      <c r="AU254" s="294"/>
      <c r="AV254" s="294"/>
      <c r="AW254" s="294"/>
      <c r="AX254" s="294"/>
      <c r="AY254" s="294"/>
      <c r="AZ254" s="294"/>
      <c r="BA254" s="294"/>
      <c r="BB254" s="294"/>
      <c r="BC254" s="294"/>
      <c r="BD254" s="294"/>
      <c r="BE254" s="294"/>
      <c r="BF254" s="294"/>
      <c r="BG254" s="294"/>
      <c r="BH254" s="294"/>
      <c r="BI254" s="294"/>
      <c r="BJ254" s="294"/>
    </row>
    <row r="255" spans="1:62" s="9" customFormat="1" ht="40.5" customHeight="1">
      <c r="A255" s="242"/>
      <c r="B255" s="242"/>
      <c r="C255" s="242"/>
      <c r="D255" s="265"/>
      <c r="E255" s="265"/>
      <c r="F255" s="265"/>
      <c r="G255" s="265"/>
      <c r="H255" s="265"/>
      <c r="I255" s="265"/>
      <c r="J255" s="265"/>
      <c r="K255" s="265"/>
      <c r="L255" s="265"/>
      <c r="M255" s="265"/>
      <c r="N255" s="265"/>
      <c r="O255" s="265"/>
      <c r="P255" s="265"/>
      <c r="Q255" s="265"/>
      <c r="R255" s="295"/>
      <c r="S255" s="295"/>
      <c r="T255" s="295"/>
      <c r="U255" s="96"/>
      <c r="V255" s="10"/>
      <c r="W255" s="10"/>
      <c r="X255" s="10"/>
      <c r="Y255" s="10"/>
      <c r="Z255" s="10"/>
      <c r="AA255" s="10"/>
      <c r="AB255" s="10"/>
      <c r="AC255" s="10"/>
      <c r="AD255" s="10"/>
      <c r="AE255" s="294"/>
      <c r="AF255" s="294"/>
      <c r="AG255" s="294"/>
      <c r="AH255" s="294"/>
      <c r="AI255" s="294"/>
      <c r="AJ255" s="294"/>
      <c r="AK255" s="294"/>
      <c r="AL255" s="294"/>
      <c r="AM255" s="294"/>
      <c r="AN255" s="294"/>
      <c r="AO255" s="294"/>
      <c r="AP255" s="294"/>
      <c r="AQ255" s="294"/>
      <c r="AR255" s="294"/>
      <c r="AS255" s="294"/>
      <c r="AT255" s="294"/>
      <c r="AU255" s="294"/>
      <c r="AV255" s="294"/>
      <c r="AW255" s="294"/>
      <c r="AX255" s="294"/>
      <c r="AY255" s="294"/>
      <c r="AZ255" s="294"/>
      <c r="BA255" s="294"/>
      <c r="BB255" s="294"/>
      <c r="BC255" s="294"/>
      <c r="BD255" s="294"/>
      <c r="BE255" s="294"/>
      <c r="BF255" s="294"/>
      <c r="BG255" s="294"/>
      <c r="BH255" s="294"/>
      <c r="BI255" s="294"/>
      <c r="BJ255" s="294"/>
    </row>
    <row r="256" spans="1:62" s="9" customFormat="1" ht="40.5" customHeight="1">
      <c r="A256" s="242"/>
      <c r="B256" s="242"/>
      <c r="C256" s="242"/>
      <c r="D256" s="265"/>
      <c r="E256" s="265"/>
      <c r="F256" s="265"/>
      <c r="G256" s="265"/>
      <c r="H256" s="265"/>
      <c r="I256" s="265"/>
      <c r="J256" s="265"/>
      <c r="K256" s="265"/>
      <c r="L256" s="265"/>
      <c r="M256" s="265"/>
      <c r="N256" s="265"/>
      <c r="O256" s="265"/>
      <c r="P256" s="265"/>
      <c r="Q256" s="265"/>
      <c r="R256" s="295"/>
      <c r="S256" s="295"/>
      <c r="T256" s="295"/>
      <c r="U256" s="96"/>
      <c r="V256" s="10"/>
      <c r="W256" s="10"/>
      <c r="X256" s="10"/>
      <c r="Y256" s="10"/>
      <c r="Z256" s="10"/>
      <c r="AA256" s="10"/>
      <c r="AB256" s="10"/>
      <c r="AC256" s="10"/>
      <c r="AD256" s="10"/>
      <c r="AE256" s="294"/>
      <c r="AF256" s="294"/>
      <c r="AG256" s="294"/>
      <c r="AH256" s="294"/>
      <c r="AI256" s="294"/>
      <c r="AJ256" s="294"/>
      <c r="AK256" s="294"/>
      <c r="AL256" s="294"/>
      <c r="AM256" s="294"/>
      <c r="AN256" s="294"/>
      <c r="AO256" s="294"/>
      <c r="AP256" s="294"/>
      <c r="AQ256" s="294"/>
      <c r="AR256" s="294"/>
      <c r="AS256" s="294"/>
      <c r="AT256" s="294"/>
      <c r="AU256" s="294"/>
      <c r="AV256" s="294"/>
      <c r="AW256" s="294"/>
      <c r="AX256" s="294"/>
      <c r="AY256" s="294"/>
      <c r="AZ256" s="294"/>
      <c r="BA256" s="294"/>
      <c r="BB256" s="294"/>
      <c r="BC256" s="294"/>
      <c r="BD256" s="294"/>
      <c r="BE256" s="294"/>
      <c r="BF256" s="294"/>
      <c r="BG256" s="294"/>
      <c r="BH256" s="294"/>
      <c r="BI256" s="294"/>
      <c r="BJ256" s="294"/>
    </row>
    <row r="257" spans="1:62" s="9" customFormat="1" ht="40.5" customHeight="1">
      <c r="A257" s="242"/>
      <c r="B257" s="242"/>
      <c r="C257" s="242"/>
      <c r="D257" s="265"/>
      <c r="E257" s="265"/>
      <c r="F257" s="265"/>
      <c r="G257" s="265"/>
      <c r="H257" s="265"/>
      <c r="I257" s="265"/>
      <c r="J257" s="265"/>
      <c r="K257" s="265"/>
      <c r="L257" s="265"/>
      <c r="M257" s="265"/>
      <c r="N257" s="265"/>
      <c r="O257" s="265"/>
      <c r="P257" s="265"/>
      <c r="Q257" s="265"/>
      <c r="R257" s="295"/>
      <c r="S257" s="295"/>
      <c r="T257" s="295"/>
      <c r="U257" s="96"/>
      <c r="V257" s="10"/>
      <c r="W257" s="10"/>
      <c r="X257" s="10"/>
      <c r="Y257" s="10"/>
      <c r="Z257" s="10"/>
      <c r="AA257" s="10"/>
      <c r="AB257" s="10"/>
      <c r="AC257" s="10"/>
      <c r="AD257" s="10"/>
      <c r="AE257" s="294"/>
      <c r="AF257" s="294"/>
      <c r="AG257" s="294"/>
      <c r="AH257" s="294"/>
      <c r="AI257" s="294"/>
      <c r="AJ257" s="294"/>
      <c r="AK257" s="294"/>
      <c r="AL257" s="294"/>
      <c r="AM257" s="294"/>
      <c r="AN257" s="294"/>
      <c r="AO257" s="294"/>
      <c r="AP257" s="294"/>
      <c r="AQ257" s="294"/>
      <c r="AR257" s="294"/>
      <c r="AS257" s="294"/>
      <c r="AT257" s="294"/>
      <c r="AU257" s="294"/>
      <c r="AV257" s="294"/>
      <c r="AW257" s="294"/>
      <c r="AX257" s="294"/>
      <c r="AY257" s="294"/>
      <c r="AZ257" s="294"/>
      <c r="BA257" s="294"/>
      <c r="BB257" s="294"/>
      <c r="BC257" s="294"/>
      <c r="BD257" s="294"/>
      <c r="BE257" s="294"/>
      <c r="BF257" s="294"/>
      <c r="BG257" s="294"/>
      <c r="BH257" s="294"/>
      <c r="BI257" s="294"/>
      <c r="BJ257" s="294"/>
    </row>
    <row r="258" spans="1:62" s="9" customFormat="1" ht="40.5" customHeight="1">
      <c r="A258" s="242"/>
      <c r="B258" s="242"/>
      <c r="C258" s="242"/>
      <c r="D258" s="265"/>
      <c r="E258" s="265"/>
      <c r="F258" s="265"/>
      <c r="G258" s="265"/>
      <c r="H258" s="265"/>
      <c r="I258" s="265"/>
      <c r="J258" s="265"/>
      <c r="K258" s="265"/>
      <c r="L258" s="265"/>
      <c r="M258" s="265"/>
      <c r="N258" s="265"/>
      <c r="O258" s="265"/>
      <c r="P258" s="265"/>
      <c r="Q258" s="265"/>
      <c r="R258" s="295"/>
      <c r="S258" s="295"/>
      <c r="T258" s="295"/>
      <c r="U258" s="96"/>
      <c r="V258" s="10"/>
      <c r="W258" s="10"/>
      <c r="X258" s="10"/>
      <c r="Y258" s="10"/>
      <c r="Z258" s="10"/>
      <c r="AA258" s="10"/>
      <c r="AB258" s="10"/>
      <c r="AC258" s="10"/>
      <c r="AD258" s="10"/>
      <c r="AE258" s="294"/>
      <c r="AF258" s="294"/>
      <c r="AG258" s="294"/>
      <c r="AH258" s="294"/>
      <c r="AI258" s="294"/>
      <c r="AJ258" s="294"/>
      <c r="AK258" s="294"/>
      <c r="AL258" s="294"/>
      <c r="AM258" s="294"/>
      <c r="AN258" s="294"/>
      <c r="AO258" s="294"/>
      <c r="AP258" s="294"/>
      <c r="AQ258" s="294"/>
      <c r="AR258" s="294"/>
      <c r="AS258" s="294"/>
      <c r="AT258" s="294"/>
      <c r="AU258" s="294"/>
      <c r="AV258" s="294"/>
      <c r="AW258" s="294"/>
      <c r="AX258" s="294"/>
      <c r="AY258" s="294"/>
      <c r="AZ258" s="294"/>
      <c r="BA258" s="294"/>
      <c r="BB258" s="294"/>
      <c r="BC258" s="294"/>
      <c r="BD258" s="294"/>
      <c r="BE258" s="294"/>
      <c r="BF258" s="294"/>
      <c r="BG258" s="294"/>
      <c r="BH258" s="294"/>
      <c r="BI258" s="294"/>
      <c r="BJ258" s="294"/>
    </row>
    <row r="259" spans="1:62" s="9" customFormat="1" ht="40.5" customHeight="1">
      <c r="A259" s="242"/>
      <c r="B259" s="242"/>
      <c r="C259" s="242"/>
      <c r="D259" s="265"/>
      <c r="E259" s="265"/>
      <c r="F259" s="265"/>
      <c r="G259" s="265"/>
      <c r="H259" s="265"/>
      <c r="I259" s="265"/>
      <c r="J259" s="265"/>
      <c r="K259" s="265"/>
      <c r="L259" s="265"/>
      <c r="M259" s="265"/>
      <c r="N259" s="265"/>
      <c r="O259" s="265"/>
      <c r="P259" s="265"/>
      <c r="Q259" s="265"/>
      <c r="R259" s="295"/>
      <c r="S259" s="295"/>
      <c r="T259" s="295"/>
      <c r="U259" s="96"/>
      <c r="V259" s="10"/>
      <c r="W259" s="10"/>
      <c r="X259" s="10"/>
      <c r="Y259" s="10"/>
      <c r="Z259" s="10"/>
      <c r="AA259" s="10"/>
      <c r="AB259" s="10"/>
      <c r="AC259" s="10"/>
      <c r="AD259" s="10"/>
      <c r="AE259" s="294"/>
      <c r="AF259" s="294"/>
      <c r="AG259" s="294"/>
      <c r="AH259" s="294"/>
      <c r="AI259" s="294"/>
      <c r="AJ259" s="294"/>
      <c r="AK259" s="294"/>
      <c r="AL259" s="294"/>
      <c r="AM259" s="294"/>
      <c r="AN259" s="294"/>
      <c r="AO259" s="294"/>
      <c r="AP259" s="294"/>
      <c r="AQ259" s="294"/>
      <c r="AR259" s="294"/>
      <c r="AS259" s="294"/>
      <c r="AT259" s="294"/>
      <c r="AU259" s="294"/>
      <c r="AV259" s="294"/>
      <c r="AW259" s="294"/>
      <c r="AX259" s="294"/>
      <c r="AY259" s="294"/>
      <c r="AZ259" s="294"/>
      <c r="BA259" s="294"/>
      <c r="BB259" s="294"/>
      <c r="BC259" s="294"/>
      <c r="BD259" s="294"/>
      <c r="BE259" s="294"/>
      <c r="BF259" s="294"/>
      <c r="BG259" s="294"/>
      <c r="BH259" s="294"/>
      <c r="BI259" s="294"/>
      <c r="BJ259" s="294"/>
    </row>
    <row r="260" spans="1:62" s="9" customFormat="1" ht="40.5" customHeight="1">
      <c r="A260" s="242"/>
      <c r="B260" s="242"/>
      <c r="C260" s="242"/>
      <c r="D260" s="265"/>
      <c r="E260" s="265"/>
      <c r="F260" s="265"/>
      <c r="G260" s="265"/>
      <c r="H260" s="265"/>
      <c r="I260" s="265"/>
      <c r="J260" s="265"/>
      <c r="K260" s="265"/>
      <c r="L260" s="265"/>
      <c r="M260" s="265"/>
      <c r="N260" s="265"/>
      <c r="O260" s="265"/>
      <c r="P260" s="265"/>
      <c r="Q260" s="265"/>
      <c r="R260" s="295"/>
      <c r="S260" s="295"/>
      <c r="T260" s="295"/>
      <c r="U260" s="96"/>
      <c r="V260" s="10"/>
      <c r="W260" s="10"/>
      <c r="X260" s="10"/>
      <c r="Y260" s="10"/>
      <c r="Z260" s="10"/>
      <c r="AA260" s="10"/>
      <c r="AB260" s="10"/>
      <c r="AC260" s="10"/>
      <c r="AD260" s="10"/>
      <c r="AE260" s="294"/>
      <c r="AF260" s="294"/>
      <c r="AG260" s="294"/>
      <c r="AH260" s="294"/>
      <c r="AI260" s="294"/>
      <c r="AJ260" s="294"/>
      <c r="AK260" s="294"/>
      <c r="AL260" s="294"/>
      <c r="AM260" s="294"/>
      <c r="AN260" s="294"/>
      <c r="AO260" s="294"/>
      <c r="AP260" s="294"/>
      <c r="AQ260" s="294"/>
      <c r="AR260" s="294"/>
      <c r="AS260" s="294"/>
      <c r="AT260" s="294"/>
      <c r="AU260" s="294"/>
      <c r="AV260" s="294"/>
      <c r="AW260" s="294"/>
      <c r="AX260" s="294"/>
      <c r="AY260" s="294"/>
      <c r="AZ260" s="294"/>
      <c r="BA260" s="294"/>
      <c r="BB260" s="294"/>
      <c r="BC260" s="294"/>
      <c r="BD260" s="294"/>
      <c r="BE260" s="294"/>
      <c r="BF260" s="294"/>
      <c r="BG260" s="294"/>
      <c r="BH260" s="294"/>
      <c r="BI260" s="294"/>
      <c r="BJ260" s="294"/>
    </row>
    <row r="261" spans="1:62" s="9" customFormat="1" ht="40.5" customHeight="1">
      <c r="A261" s="242"/>
      <c r="B261" s="242"/>
      <c r="C261" s="242"/>
      <c r="D261" s="265"/>
      <c r="E261" s="265"/>
      <c r="F261" s="265"/>
      <c r="G261" s="265"/>
      <c r="H261" s="265"/>
      <c r="I261" s="265"/>
      <c r="J261" s="265"/>
      <c r="K261" s="265"/>
      <c r="L261" s="265"/>
      <c r="M261" s="265"/>
      <c r="N261" s="265"/>
      <c r="O261" s="265"/>
      <c r="P261" s="265"/>
      <c r="Q261" s="265"/>
      <c r="R261" s="295"/>
      <c r="S261" s="295"/>
      <c r="T261" s="295"/>
      <c r="U261" s="96"/>
      <c r="V261" s="10"/>
      <c r="W261" s="10"/>
      <c r="X261" s="10"/>
      <c r="Y261" s="10"/>
      <c r="Z261" s="10"/>
      <c r="AA261" s="10"/>
      <c r="AB261" s="10"/>
      <c r="AC261" s="10"/>
      <c r="AD261" s="10"/>
      <c r="AE261" s="294"/>
      <c r="AF261" s="294"/>
      <c r="AG261" s="294"/>
      <c r="AH261" s="294"/>
      <c r="AI261" s="294"/>
      <c r="AJ261" s="294"/>
      <c r="AK261" s="294"/>
      <c r="AL261" s="294"/>
      <c r="AM261" s="294"/>
      <c r="AN261" s="294"/>
      <c r="AO261" s="294"/>
      <c r="AP261" s="294"/>
      <c r="AQ261" s="294"/>
      <c r="AR261" s="294"/>
      <c r="AS261" s="294"/>
      <c r="AT261" s="294"/>
      <c r="AU261" s="294"/>
      <c r="AV261" s="294"/>
      <c r="AW261" s="294"/>
      <c r="AX261" s="294"/>
      <c r="AY261" s="294"/>
      <c r="AZ261" s="294"/>
      <c r="BA261" s="294"/>
      <c r="BB261" s="294"/>
      <c r="BC261" s="294"/>
      <c r="BD261" s="294"/>
      <c r="BE261" s="294"/>
      <c r="BF261" s="294"/>
      <c r="BG261" s="294"/>
      <c r="BH261" s="294"/>
      <c r="BI261" s="294"/>
      <c r="BJ261" s="294"/>
    </row>
    <row r="262" spans="1:62" s="9" customFormat="1" ht="40.5" customHeight="1">
      <c r="A262" s="242"/>
      <c r="B262" s="242"/>
      <c r="C262" s="242"/>
      <c r="D262" s="265"/>
      <c r="E262" s="265"/>
      <c r="F262" s="265"/>
      <c r="G262" s="265"/>
      <c r="H262" s="265"/>
      <c r="I262" s="265"/>
      <c r="J262" s="265"/>
      <c r="K262" s="265"/>
      <c r="L262" s="265"/>
      <c r="M262" s="265"/>
      <c r="N262" s="265"/>
      <c r="O262" s="265"/>
      <c r="P262" s="265"/>
      <c r="Q262" s="265"/>
      <c r="R262" s="295"/>
      <c r="S262" s="295"/>
      <c r="T262" s="295"/>
      <c r="U262" s="96"/>
      <c r="V262" s="10"/>
      <c r="W262" s="10"/>
      <c r="X262" s="10"/>
      <c r="Y262" s="10"/>
      <c r="Z262" s="10"/>
      <c r="AA262" s="10"/>
      <c r="AB262" s="10"/>
      <c r="AC262" s="10"/>
      <c r="AD262" s="10"/>
      <c r="AE262" s="294"/>
      <c r="AF262" s="294"/>
      <c r="AG262" s="294"/>
      <c r="AH262" s="294"/>
      <c r="AI262" s="294"/>
      <c r="AJ262" s="294"/>
      <c r="AK262" s="294"/>
      <c r="AL262" s="294"/>
      <c r="AM262" s="294"/>
      <c r="AN262" s="294"/>
      <c r="AO262" s="294"/>
      <c r="AP262" s="294"/>
      <c r="AQ262" s="294"/>
      <c r="AR262" s="294"/>
      <c r="AS262" s="294"/>
      <c r="AT262" s="294"/>
      <c r="AU262" s="294"/>
      <c r="AV262" s="294"/>
      <c r="AW262" s="294"/>
      <c r="AX262" s="294"/>
      <c r="AY262" s="294"/>
      <c r="AZ262" s="294"/>
      <c r="BA262" s="294"/>
      <c r="BB262" s="294"/>
      <c r="BC262" s="294"/>
      <c r="BD262" s="294"/>
      <c r="BE262" s="294"/>
      <c r="BF262" s="294"/>
      <c r="BG262" s="294"/>
      <c r="BH262" s="294"/>
      <c r="BI262" s="294"/>
      <c r="BJ262" s="294"/>
    </row>
    <row r="263" spans="1:62" s="9" customFormat="1" ht="40.5" customHeight="1">
      <c r="A263" s="242"/>
      <c r="B263" s="242"/>
      <c r="C263" s="242"/>
      <c r="D263" s="265"/>
      <c r="E263" s="265"/>
      <c r="F263" s="265"/>
      <c r="G263" s="265"/>
      <c r="H263" s="265"/>
      <c r="I263" s="265"/>
      <c r="J263" s="265"/>
      <c r="K263" s="265"/>
      <c r="L263" s="265"/>
      <c r="M263" s="265"/>
      <c r="N263" s="265"/>
      <c r="O263" s="265"/>
      <c r="P263" s="265"/>
      <c r="Q263" s="265"/>
      <c r="R263" s="295"/>
      <c r="S263" s="295"/>
      <c r="T263" s="295"/>
      <c r="U263" s="96"/>
      <c r="V263" s="10"/>
      <c r="W263" s="10"/>
      <c r="X263" s="10"/>
      <c r="Y263" s="10"/>
      <c r="Z263" s="10"/>
      <c r="AA263" s="10"/>
      <c r="AB263" s="10"/>
      <c r="AC263" s="10"/>
      <c r="AD263" s="10"/>
      <c r="AE263" s="294"/>
      <c r="AF263" s="294"/>
      <c r="AG263" s="294"/>
      <c r="AH263" s="294"/>
      <c r="AI263" s="294"/>
      <c r="AJ263" s="294"/>
      <c r="AK263" s="294"/>
      <c r="AL263" s="294"/>
      <c r="AM263" s="294"/>
      <c r="AN263" s="294"/>
      <c r="AO263" s="294"/>
      <c r="AP263" s="294"/>
      <c r="AQ263" s="294"/>
      <c r="AR263" s="294"/>
      <c r="AS263" s="294"/>
      <c r="AT263" s="294"/>
      <c r="AU263" s="294"/>
      <c r="AV263" s="294"/>
      <c r="AW263" s="294"/>
      <c r="AX263" s="294"/>
      <c r="AY263" s="294"/>
      <c r="AZ263" s="294"/>
      <c r="BA263" s="294"/>
      <c r="BB263" s="294"/>
      <c r="BC263" s="294"/>
      <c r="BD263" s="294"/>
      <c r="BE263" s="294"/>
      <c r="BF263" s="294"/>
      <c r="BG263" s="294"/>
      <c r="BH263" s="294"/>
      <c r="BI263" s="294"/>
      <c r="BJ263" s="294"/>
    </row>
    <row r="264" spans="1:62" s="9" customFormat="1" ht="40.5" customHeight="1">
      <c r="A264" s="242"/>
      <c r="B264" s="242"/>
      <c r="C264" s="242"/>
      <c r="D264" s="265"/>
      <c r="E264" s="265"/>
      <c r="F264" s="265"/>
      <c r="G264" s="265"/>
      <c r="H264" s="265"/>
      <c r="I264" s="265"/>
      <c r="J264" s="265"/>
      <c r="K264" s="265"/>
      <c r="L264" s="265"/>
      <c r="M264" s="265"/>
      <c r="N264" s="265"/>
      <c r="O264" s="265"/>
      <c r="P264" s="265"/>
      <c r="Q264" s="265"/>
      <c r="R264" s="295"/>
      <c r="S264" s="295"/>
      <c r="T264" s="295"/>
      <c r="U264" s="96"/>
      <c r="V264" s="10"/>
      <c r="W264" s="10"/>
      <c r="X264" s="10"/>
      <c r="Y264" s="10"/>
      <c r="Z264" s="10"/>
      <c r="AA264" s="10"/>
      <c r="AB264" s="10"/>
      <c r="AC264" s="10"/>
      <c r="AD264" s="10"/>
      <c r="AE264" s="294"/>
      <c r="AF264" s="294"/>
      <c r="AG264" s="294"/>
      <c r="AH264" s="294"/>
      <c r="AI264" s="294"/>
      <c r="AJ264" s="294"/>
      <c r="AK264" s="294"/>
      <c r="AL264" s="294"/>
      <c r="AM264" s="294"/>
      <c r="AN264" s="294"/>
      <c r="AO264" s="294"/>
      <c r="AP264" s="294"/>
      <c r="AQ264" s="294"/>
      <c r="AR264" s="294"/>
      <c r="AS264" s="294"/>
      <c r="AT264" s="294"/>
      <c r="AU264" s="294"/>
      <c r="AV264" s="294"/>
      <c r="AW264" s="294"/>
      <c r="AX264" s="294"/>
      <c r="AY264" s="294"/>
      <c r="AZ264" s="294"/>
      <c r="BA264" s="294"/>
      <c r="BB264" s="294"/>
      <c r="BC264" s="294"/>
      <c r="BD264" s="294"/>
      <c r="BE264" s="294"/>
      <c r="BF264" s="294"/>
      <c r="BG264" s="294"/>
      <c r="BH264" s="294"/>
      <c r="BI264" s="294"/>
      <c r="BJ264" s="294"/>
    </row>
    <row r="265" spans="1:62" s="8" customFormat="1" ht="24" customHeight="1">
      <c r="A265" s="242"/>
      <c r="B265" s="242"/>
      <c r="C265" s="242"/>
      <c r="D265" s="265"/>
      <c r="E265" s="265"/>
      <c r="F265" s="265"/>
      <c r="G265" s="265"/>
      <c r="H265" s="265"/>
      <c r="I265" s="265"/>
      <c r="J265" s="265"/>
      <c r="K265" s="265"/>
      <c r="L265" s="265"/>
      <c r="M265" s="265"/>
      <c r="N265" s="265"/>
      <c r="O265" s="265"/>
      <c r="P265" s="265"/>
      <c r="Q265" s="265"/>
      <c r="R265" s="295"/>
      <c r="S265" s="295"/>
      <c r="T265" s="295"/>
      <c r="U265" s="96"/>
      <c r="V265" s="10"/>
      <c r="W265" s="10"/>
      <c r="X265" s="10"/>
      <c r="Y265" s="10"/>
      <c r="Z265" s="10"/>
      <c r="AA265" s="10"/>
      <c r="AB265" s="10"/>
      <c r="AC265" s="10"/>
      <c r="AD265" s="10"/>
      <c r="AE265" s="294"/>
      <c r="AF265" s="294"/>
      <c r="AG265" s="294"/>
      <c r="AH265" s="294"/>
      <c r="AI265" s="294"/>
      <c r="AJ265" s="294"/>
      <c r="AK265" s="294"/>
      <c r="AL265" s="294"/>
      <c r="AM265" s="294"/>
      <c r="AN265" s="294"/>
      <c r="AO265" s="294"/>
      <c r="AP265" s="294"/>
      <c r="AQ265" s="294"/>
      <c r="AR265" s="294"/>
      <c r="AS265" s="294"/>
      <c r="AT265" s="294"/>
      <c r="AU265" s="294"/>
      <c r="AV265" s="294"/>
      <c r="AW265" s="294"/>
      <c r="AX265" s="294"/>
      <c r="AY265" s="294"/>
      <c r="AZ265" s="294"/>
      <c r="BA265" s="294"/>
      <c r="BB265" s="294"/>
      <c r="BC265" s="294"/>
      <c r="BD265" s="294"/>
      <c r="BE265" s="294"/>
      <c r="BF265" s="294"/>
      <c r="BG265" s="294"/>
      <c r="BH265" s="294"/>
      <c r="BI265" s="294"/>
      <c r="BJ265" s="294"/>
    </row>
    <row r="266" spans="1:62" s="8" customFormat="1" ht="24" customHeight="1">
      <c r="A266" s="242"/>
      <c r="B266" s="242"/>
      <c r="C266" s="242"/>
      <c r="D266" s="265"/>
      <c r="E266" s="265"/>
      <c r="F266" s="265"/>
      <c r="G266" s="265"/>
      <c r="H266" s="265"/>
      <c r="I266" s="265"/>
      <c r="J266" s="265"/>
      <c r="K266" s="265"/>
      <c r="L266" s="265"/>
      <c r="M266" s="265"/>
      <c r="N266" s="265"/>
      <c r="O266" s="265"/>
      <c r="P266" s="265"/>
      <c r="Q266" s="265"/>
      <c r="R266" s="295"/>
      <c r="S266" s="295"/>
      <c r="T266" s="295"/>
      <c r="U266" s="96"/>
      <c r="V266" s="10"/>
      <c r="W266" s="10"/>
      <c r="X266" s="10"/>
      <c r="Y266" s="10"/>
      <c r="Z266" s="10"/>
      <c r="AA266" s="10"/>
      <c r="AB266" s="10"/>
      <c r="AC266" s="10"/>
      <c r="AD266" s="10"/>
      <c r="AE266" s="294"/>
      <c r="AF266" s="294"/>
      <c r="AG266" s="294"/>
      <c r="AH266" s="294"/>
      <c r="AI266" s="294"/>
      <c r="AJ266" s="294"/>
      <c r="AK266" s="294"/>
      <c r="AL266" s="294"/>
      <c r="AM266" s="294"/>
      <c r="AN266" s="294"/>
      <c r="AO266" s="294"/>
      <c r="AP266" s="294"/>
      <c r="AQ266" s="294"/>
      <c r="AR266" s="294"/>
      <c r="AS266" s="294"/>
      <c r="AT266" s="294"/>
      <c r="AU266" s="294"/>
      <c r="AV266" s="294"/>
      <c r="AW266" s="294"/>
      <c r="AX266" s="294"/>
      <c r="AY266" s="294"/>
      <c r="AZ266" s="294"/>
      <c r="BA266" s="294"/>
      <c r="BB266" s="294"/>
      <c r="BC266" s="294"/>
      <c r="BD266" s="294"/>
      <c r="BE266" s="294"/>
      <c r="BF266" s="294"/>
      <c r="BG266" s="294"/>
      <c r="BH266" s="294"/>
      <c r="BI266" s="294"/>
      <c r="BJ266" s="294"/>
    </row>
    <row r="267" spans="1:62" s="8" customFormat="1" ht="24" customHeight="1">
      <c r="A267" s="242"/>
      <c r="B267" s="242"/>
      <c r="C267" s="242"/>
      <c r="D267" s="265"/>
      <c r="E267" s="265"/>
      <c r="F267" s="265"/>
      <c r="G267" s="265"/>
      <c r="H267" s="265"/>
      <c r="I267" s="265"/>
      <c r="J267" s="265"/>
      <c r="K267" s="265"/>
      <c r="L267" s="265"/>
      <c r="M267" s="265"/>
      <c r="N267" s="265"/>
      <c r="O267" s="265"/>
      <c r="P267" s="265"/>
      <c r="Q267" s="265"/>
      <c r="R267" s="295"/>
      <c r="S267" s="295"/>
      <c r="T267" s="295"/>
      <c r="U267" s="96"/>
      <c r="V267" s="10"/>
      <c r="W267" s="10"/>
      <c r="X267" s="10"/>
      <c r="Y267" s="10"/>
      <c r="Z267" s="10"/>
      <c r="AA267" s="10"/>
      <c r="AB267" s="10"/>
      <c r="AC267" s="10"/>
      <c r="AD267" s="10"/>
      <c r="AE267" s="294"/>
      <c r="AF267" s="294"/>
      <c r="AG267" s="294"/>
      <c r="AH267" s="294"/>
      <c r="AI267" s="294"/>
      <c r="AJ267" s="294"/>
      <c r="AK267" s="294"/>
      <c r="AL267" s="294"/>
      <c r="AM267" s="294"/>
      <c r="AN267" s="294"/>
      <c r="AO267" s="294"/>
      <c r="AP267" s="294"/>
      <c r="AQ267" s="294"/>
      <c r="AR267" s="294"/>
      <c r="AS267" s="294"/>
      <c r="AT267" s="294"/>
      <c r="AU267" s="294"/>
      <c r="AV267" s="294"/>
      <c r="AW267" s="294"/>
      <c r="AX267" s="294"/>
      <c r="AY267" s="294"/>
      <c r="AZ267" s="294"/>
      <c r="BA267" s="294"/>
      <c r="BB267" s="294"/>
      <c r="BC267" s="294"/>
      <c r="BD267" s="294"/>
      <c r="BE267" s="294"/>
      <c r="BF267" s="294"/>
      <c r="BG267" s="294"/>
      <c r="BH267" s="294"/>
      <c r="BI267" s="294"/>
      <c r="BJ267" s="294"/>
    </row>
    <row r="268" spans="1:62" s="8" customFormat="1" ht="24" customHeight="1">
      <c r="A268" s="242"/>
      <c r="B268" s="242"/>
      <c r="C268" s="242"/>
      <c r="D268" s="312"/>
      <c r="E268" s="265"/>
      <c r="F268" s="265"/>
      <c r="G268" s="265"/>
      <c r="H268" s="265"/>
      <c r="I268" s="265"/>
      <c r="J268" s="265"/>
      <c r="K268" s="265"/>
      <c r="L268" s="265"/>
      <c r="M268" s="265"/>
      <c r="N268" s="265"/>
      <c r="O268" s="265"/>
      <c r="P268" s="265"/>
      <c r="Q268" s="265"/>
      <c r="R268" s="295"/>
      <c r="S268" s="295"/>
      <c r="T268" s="295"/>
      <c r="U268" s="96"/>
      <c r="V268" s="10"/>
      <c r="W268" s="10"/>
      <c r="X268" s="10"/>
      <c r="Y268" s="10"/>
      <c r="Z268" s="10"/>
      <c r="AA268" s="10"/>
      <c r="AB268" s="10"/>
      <c r="AC268" s="10"/>
      <c r="AD268" s="10"/>
      <c r="AE268" s="294"/>
      <c r="AF268" s="294"/>
      <c r="AG268" s="294"/>
      <c r="AH268" s="294"/>
      <c r="AI268" s="294"/>
      <c r="AJ268" s="294"/>
      <c r="AK268" s="294"/>
      <c r="AL268" s="294"/>
      <c r="AM268" s="294"/>
      <c r="AN268" s="294"/>
      <c r="AO268" s="294"/>
      <c r="AP268" s="294"/>
      <c r="AQ268" s="294"/>
      <c r="AR268" s="294"/>
      <c r="AS268" s="294"/>
      <c r="AT268" s="294"/>
      <c r="AU268" s="294"/>
      <c r="AV268" s="294"/>
      <c r="AW268" s="294"/>
      <c r="AX268" s="294"/>
      <c r="AY268" s="294"/>
      <c r="AZ268" s="294"/>
      <c r="BA268" s="294"/>
      <c r="BB268" s="294"/>
      <c r="BC268" s="294"/>
      <c r="BD268" s="294"/>
      <c r="BE268" s="294"/>
      <c r="BF268" s="294"/>
      <c r="BG268" s="294"/>
      <c r="BH268" s="294"/>
      <c r="BI268" s="294"/>
      <c r="BJ268" s="294"/>
    </row>
    <row r="269" spans="1:62" s="8" customFormat="1" ht="24" customHeight="1">
      <c r="U269" s="87"/>
    </row>
    <row r="270" spans="1:62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7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  <c r="BA270" s="8"/>
      <c r="BB270" s="8"/>
      <c r="BC270" s="8"/>
      <c r="BD270" s="8"/>
      <c r="BE270" s="8"/>
      <c r="BF270" s="8"/>
      <c r="BG270" s="8"/>
      <c r="BH270" s="8"/>
      <c r="BI270" s="8"/>
      <c r="BJ270" s="8"/>
    </row>
    <row r="271" spans="1:62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7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  <c r="BA271" s="8"/>
      <c r="BB271" s="8"/>
      <c r="BC271" s="8"/>
      <c r="BD271" s="8"/>
      <c r="BE271" s="8"/>
      <c r="BF271" s="8"/>
      <c r="BG271" s="8"/>
      <c r="BH271" s="8"/>
      <c r="BI271" s="8"/>
      <c r="BJ271" s="8"/>
    </row>
    <row r="272" spans="1:6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7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  <c r="BA272" s="8"/>
      <c r="BB272" s="8"/>
      <c r="BC272" s="8"/>
      <c r="BD272" s="8"/>
      <c r="BE272" s="8"/>
      <c r="BF272" s="8"/>
      <c r="BG272" s="8"/>
      <c r="BH272" s="8"/>
      <c r="BI272" s="8"/>
      <c r="BJ272" s="8"/>
    </row>
    <row r="273" spans="1:62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7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  <c r="BA273" s="8"/>
      <c r="BB273" s="8"/>
      <c r="BC273" s="8"/>
      <c r="BD273" s="8"/>
      <c r="BE273" s="8"/>
      <c r="BF273" s="8"/>
      <c r="BG273" s="8"/>
      <c r="BH273" s="8"/>
      <c r="BI273" s="8"/>
      <c r="BJ273" s="8"/>
    </row>
  </sheetData>
  <mergeCells count="1167">
    <mergeCell ref="AE33:BJ33"/>
    <mergeCell ref="A34:C34"/>
    <mergeCell ref="D34:Q34"/>
    <mergeCell ref="R34:T34"/>
    <mergeCell ref="U34:AD34"/>
    <mergeCell ref="AE34:BJ34"/>
    <mergeCell ref="A35:C35"/>
    <mergeCell ref="D35:Q35"/>
    <mergeCell ref="R35:T35"/>
    <mergeCell ref="U35:AD35"/>
    <mergeCell ref="A33:C33"/>
    <mergeCell ref="A70:C70"/>
    <mergeCell ref="D70:Q70"/>
    <mergeCell ref="R70:T70"/>
    <mergeCell ref="U70:AD70"/>
    <mergeCell ref="AE70:BJ70"/>
    <mergeCell ref="A174:C174"/>
    <mergeCell ref="R174:T174"/>
    <mergeCell ref="U174:AD174"/>
    <mergeCell ref="AE174:BJ174"/>
    <mergeCell ref="A175:C175"/>
    <mergeCell ref="R175:T175"/>
    <mergeCell ref="U175:AD175"/>
    <mergeCell ref="AE175:BJ175"/>
    <mergeCell ref="A176:C176"/>
    <mergeCell ref="R176:T176"/>
    <mergeCell ref="U176:AD176"/>
    <mergeCell ref="AE176:BJ176"/>
    <mergeCell ref="A181:C181"/>
    <mergeCell ref="R181:T181"/>
    <mergeCell ref="U181:AD181"/>
    <mergeCell ref="AE181:BJ181"/>
    <mergeCell ref="A16:C16"/>
    <mergeCell ref="D16:Q16"/>
    <mergeCell ref="R16:T16"/>
    <mergeCell ref="AE16:BJ16"/>
    <mergeCell ref="U16:AD16"/>
    <mergeCell ref="AE25:BJ25"/>
    <mergeCell ref="A29:C29"/>
    <mergeCell ref="D29:Q29"/>
    <mergeCell ref="R29:T29"/>
    <mergeCell ref="U29:AD29"/>
    <mergeCell ref="AE29:BJ29"/>
    <mergeCell ref="A37:C37"/>
    <mergeCell ref="D37:Q37"/>
    <mergeCell ref="R37:T37"/>
    <mergeCell ref="U37:AD37"/>
    <mergeCell ref="AE37:BJ37"/>
    <mergeCell ref="A182:C182"/>
    <mergeCell ref="R182:T182"/>
    <mergeCell ref="U182:AD182"/>
    <mergeCell ref="AE182:BJ182"/>
    <mergeCell ref="A177:C177"/>
    <mergeCell ref="R177:T177"/>
    <mergeCell ref="U177:AD177"/>
    <mergeCell ref="AE177:BJ177"/>
    <mergeCell ref="A178:C178"/>
    <mergeCell ref="R178:T178"/>
    <mergeCell ref="U178:AD178"/>
    <mergeCell ref="AE178:BJ178"/>
    <mergeCell ref="A179:C179"/>
    <mergeCell ref="R179:T179"/>
    <mergeCell ref="U179:AD179"/>
    <mergeCell ref="AE179:BJ179"/>
    <mergeCell ref="A171:C171"/>
    <mergeCell ref="R171:T171"/>
    <mergeCell ref="U171:AD171"/>
    <mergeCell ref="AE171:BJ171"/>
    <mergeCell ref="A172:C172"/>
    <mergeCell ref="R172:T172"/>
    <mergeCell ref="U172:AD172"/>
    <mergeCell ref="AE172:BJ172"/>
    <mergeCell ref="A173:C173"/>
    <mergeCell ref="R173:T173"/>
    <mergeCell ref="U173:AD173"/>
    <mergeCell ref="AE173:BJ173"/>
    <mergeCell ref="A180:C180"/>
    <mergeCell ref="R180:T180"/>
    <mergeCell ref="U180:AD180"/>
    <mergeCell ref="AE180:BJ180"/>
    <mergeCell ref="A168:C168"/>
    <mergeCell ref="R168:T168"/>
    <mergeCell ref="U168:AD168"/>
    <mergeCell ref="AE168:BJ168"/>
    <mergeCell ref="A169:C169"/>
    <mergeCell ref="R169:T169"/>
    <mergeCell ref="U169:AD169"/>
    <mergeCell ref="AE169:BJ169"/>
    <mergeCell ref="A170:C170"/>
    <mergeCell ref="R170:T170"/>
    <mergeCell ref="U170:AD170"/>
    <mergeCell ref="AE170:BJ170"/>
    <mergeCell ref="A165:C165"/>
    <mergeCell ref="R165:T165"/>
    <mergeCell ref="U165:AD165"/>
    <mergeCell ref="AE165:BJ165"/>
    <mergeCell ref="A166:C166"/>
    <mergeCell ref="R166:T166"/>
    <mergeCell ref="U166:AD166"/>
    <mergeCell ref="AE166:BJ166"/>
    <mergeCell ref="A167:C167"/>
    <mergeCell ref="R167:T167"/>
    <mergeCell ref="U167:AD167"/>
    <mergeCell ref="AE167:BJ167"/>
    <mergeCell ref="A163:C163"/>
    <mergeCell ref="D163:Q163"/>
    <mergeCell ref="R163:T163"/>
    <mergeCell ref="U163:AD163"/>
    <mergeCell ref="AE163:BJ163"/>
    <mergeCell ref="A164:C164"/>
    <mergeCell ref="D164:Q164"/>
    <mergeCell ref="R164:T164"/>
    <mergeCell ref="U164:AD164"/>
    <mergeCell ref="AE164:BJ164"/>
    <mergeCell ref="A161:C161"/>
    <mergeCell ref="D161:Q161"/>
    <mergeCell ref="R161:T161"/>
    <mergeCell ref="U161:AD161"/>
    <mergeCell ref="AE161:BJ161"/>
    <mergeCell ref="A162:C162"/>
    <mergeCell ref="D162:Q162"/>
    <mergeCell ref="R162:T162"/>
    <mergeCell ref="U162:AD162"/>
    <mergeCell ref="AE162:BJ162"/>
    <mergeCell ref="A159:C159"/>
    <mergeCell ref="D159:Q159"/>
    <mergeCell ref="R159:T159"/>
    <mergeCell ref="U159:AD159"/>
    <mergeCell ref="AE159:BJ159"/>
    <mergeCell ref="A160:C160"/>
    <mergeCell ref="D160:Q160"/>
    <mergeCell ref="R160:T160"/>
    <mergeCell ref="U160:AD160"/>
    <mergeCell ref="AE160:BJ160"/>
    <mergeCell ref="A157:C157"/>
    <mergeCell ref="D157:Q157"/>
    <mergeCell ref="R157:T157"/>
    <mergeCell ref="U157:AD157"/>
    <mergeCell ref="AE157:BJ157"/>
    <mergeCell ref="A158:C158"/>
    <mergeCell ref="D158:Q158"/>
    <mergeCell ref="R158:T158"/>
    <mergeCell ref="U158:AD158"/>
    <mergeCell ref="AE158:BJ158"/>
    <mergeCell ref="AE152:BJ152"/>
    <mergeCell ref="AE153:BJ153"/>
    <mergeCell ref="AE154:BJ154"/>
    <mergeCell ref="A156:C156"/>
    <mergeCell ref="D156:Q156"/>
    <mergeCell ref="R156:T156"/>
    <mergeCell ref="U156:AD156"/>
    <mergeCell ref="AE156:BJ156"/>
    <mergeCell ref="A155:C155"/>
    <mergeCell ref="D155:Q155"/>
    <mergeCell ref="R155:T155"/>
    <mergeCell ref="U155:AD155"/>
    <mergeCell ref="AE155:BJ155"/>
    <mergeCell ref="A152:C152"/>
    <mergeCell ref="R152:T152"/>
    <mergeCell ref="U152:AD152"/>
    <mergeCell ref="A153:C153"/>
    <mergeCell ref="R153:T153"/>
    <mergeCell ref="U153:AD153"/>
    <mergeCell ref="A154:C154"/>
    <mergeCell ref="R154:T154"/>
    <mergeCell ref="U154:AD154"/>
    <mergeCell ref="A150:C150"/>
    <mergeCell ref="R150:T150"/>
    <mergeCell ref="U150:AD150"/>
    <mergeCell ref="A151:C151"/>
    <mergeCell ref="R151:T151"/>
    <mergeCell ref="U151:AD151"/>
    <mergeCell ref="A146:C146"/>
    <mergeCell ref="R146:T146"/>
    <mergeCell ref="U146:AD146"/>
    <mergeCell ref="A147:C147"/>
    <mergeCell ref="R147:T147"/>
    <mergeCell ref="U147:AD147"/>
    <mergeCell ref="A148:C148"/>
    <mergeCell ref="AE101:BJ101"/>
    <mergeCell ref="AE102:BJ102"/>
    <mergeCell ref="AE103:BJ103"/>
    <mergeCell ref="AE104:BJ104"/>
    <mergeCell ref="AE105:BJ105"/>
    <mergeCell ref="AE106:BJ106"/>
    <mergeCell ref="AE107:BJ107"/>
    <mergeCell ref="AE108:BJ108"/>
    <mergeCell ref="AE109:BJ109"/>
    <mergeCell ref="AE129:BJ129"/>
    <mergeCell ref="AE130:BJ130"/>
    <mergeCell ref="AE131:BJ131"/>
    <mergeCell ref="AE132:BJ132"/>
    <mergeCell ref="AE133:BJ133"/>
    <mergeCell ref="AE134:BJ134"/>
    <mergeCell ref="AE135:BJ135"/>
    <mergeCell ref="AE136:BJ136"/>
    <mergeCell ref="AE119:BJ119"/>
    <mergeCell ref="AE120:BJ120"/>
    <mergeCell ref="AE121:BJ121"/>
    <mergeCell ref="AE122:BJ122"/>
    <mergeCell ref="AE123:BJ123"/>
    <mergeCell ref="AE124:BJ124"/>
    <mergeCell ref="AE125:BJ125"/>
    <mergeCell ref="AE126:BJ126"/>
    <mergeCell ref="AE128:BJ128"/>
    <mergeCell ref="AE127:BJ127"/>
    <mergeCell ref="AE110:BJ110"/>
    <mergeCell ref="AE111:BJ111"/>
    <mergeCell ref="AE112:BJ112"/>
    <mergeCell ref="AE113:BJ113"/>
    <mergeCell ref="AE114:BJ114"/>
    <mergeCell ref="AE115:BJ115"/>
    <mergeCell ref="AE116:BJ116"/>
    <mergeCell ref="AE117:BJ117"/>
    <mergeCell ref="AE118:BJ118"/>
    <mergeCell ref="AE137:BJ137"/>
    <mergeCell ref="AE147:BJ147"/>
    <mergeCell ref="AE148:BJ148"/>
    <mergeCell ref="AE149:BJ149"/>
    <mergeCell ref="AE150:BJ150"/>
    <mergeCell ref="AE151:BJ151"/>
    <mergeCell ref="R127:T127"/>
    <mergeCell ref="U127:AD127"/>
    <mergeCell ref="AE138:BJ138"/>
    <mergeCell ref="AE139:BJ139"/>
    <mergeCell ref="AE140:BJ140"/>
    <mergeCell ref="AE141:BJ141"/>
    <mergeCell ref="AE142:BJ142"/>
    <mergeCell ref="AE143:BJ143"/>
    <mergeCell ref="AE144:BJ144"/>
    <mergeCell ref="AE145:BJ145"/>
    <mergeCell ref="AE146:BJ146"/>
    <mergeCell ref="A144:C144"/>
    <mergeCell ref="R144:T144"/>
    <mergeCell ref="U144:AD144"/>
    <mergeCell ref="A145:C145"/>
    <mergeCell ref="R145:T145"/>
    <mergeCell ref="U145:AD145"/>
    <mergeCell ref="A140:C140"/>
    <mergeCell ref="R141:T141"/>
    <mergeCell ref="U141:AD141"/>
    <mergeCell ref="A142:C142"/>
    <mergeCell ref="R142:T142"/>
    <mergeCell ref="U142:AD142"/>
    <mergeCell ref="R149:T149"/>
    <mergeCell ref="U149:AD149"/>
    <mergeCell ref="A139:C139"/>
    <mergeCell ref="R139:T139"/>
    <mergeCell ref="U139:AD139"/>
    <mergeCell ref="R148:T148"/>
    <mergeCell ref="U148:AD148"/>
    <mergeCell ref="R140:T140"/>
    <mergeCell ref="U140:AD140"/>
    <mergeCell ref="A141:C141"/>
    <mergeCell ref="A149:C149"/>
    <mergeCell ref="A134:C134"/>
    <mergeCell ref="D134:Q134"/>
    <mergeCell ref="R134:T134"/>
    <mergeCell ref="U134:AD134"/>
    <mergeCell ref="A135:C135"/>
    <mergeCell ref="D135:Q135"/>
    <mergeCell ref="R135:T135"/>
    <mergeCell ref="U135:AD135"/>
    <mergeCell ref="A136:C136"/>
    <mergeCell ref="D136:Q136"/>
    <mergeCell ref="R136:T136"/>
    <mergeCell ref="U136:AD136"/>
    <mergeCell ref="A143:C143"/>
    <mergeCell ref="R143:T143"/>
    <mergeCell ref="U143:AD143"/>
    <mergeCell ref="A124:C124"/>
    <mergeCell ref="R124:T124"/>
    <mergeCell ref="U124:AD124"/>
    <mergeCell ref="A125:C125"/>
    <mergeCell ref="R125:T125"/>
    <mergeCell ref="U125:AD125"/>
    <mergeCell ref="A126:C126"/>
    <mergeCell ref="R126:T126"/>
    <mergeCell ref="U126:AD126"/>
    <mergeCell ref="A137:C137"/>
    <mergeCell ref="R137:T137"/>
    <mergeCell ref="U137:AD137"/>
    <mergeCell ref="A138:C138"/>
    <mergeCell ref="R138:T138"/>
    <mergeCell ref="U138:AD138"/>
    <mergeCell ref="A127:C127"/>
    <mergeCell ref="D127:Q127"/>
    <mergeCell ref="A121:C121"/>
    <mergeCell ref="R121:T121"/>
    <mergeCell ref="U121:AD121"/>
    <mergeCell ref="A122:C122"/>
    <mergeCell ref="R122:T122"/>
    <mergeCell ref="U122:AD122"/>
    <mergeCell ref="A123:C123"/>
    <mergeCell ref="R123:T123"/>
    <mergeCell ref="U123:AD123"/>
    <mergeCell ref="A118:C118"/>
    <mergeCell ref="R118:T118"/>
    <mergeCell ref="U118:AD118"/>
    <mergeCell ref="A119:C119"/>
    <mergeCell ref="R119:T119"/>
    <mergeCell ref="U119:AD119"/>
    <mergeCell ref="A120:C120"/>
    <mergeCell ref="R120:T120"/>
    <mergeCell ref="U120:AD120"/>
    <mergeCell ref="A115:C115"/>
    <mergeCell ref="R115:T115"/>
    <mergeCell ref="U115:AD115"/>
    <mergeCell ref="A116:C116"/>
    <mergeCell ref="R116:T116"/>
    <mergeCell ref="U116:AD116"/>
    <mergeCell ref="A117:C117"/>
    <mergeCell ref="R117:T117"/>
    <mergeCell ref="U117:AD117"/>
    <mergeCell ref="A112:C112"/>
    <mergeCell ref="R112:T112"/>
    <mergeCell ref="U112:AD112"/>
    <mergeCell ref="A113:C113"/>
    <mergeCell ref="R113:T113"/>
    <mergeCell ref="U113:AD113"/>
    <mergeCell ref="A114:C114"/>
    <mergeCell ref="R114:T114"/>
    <mergeCell ref="U114:AD114"/>
    <mergeCell ref="A109:C109"/>
    <mergeCell ref="R109:T109"/>
    <mergeCell ref="U109:AD109"/>
    <mergeCell ref="A110:C110"/>
    <mergeCell ref="R110:T110"/>
    <mergeCell ref="U110:AD110"/>
    <mergeCell ref="A111:C111"/>
    <mergeCell ref="R111:T111"/>
    <mergeCell ref="U111:AD111"/>
    <mergeCell ref="A107:C107"/>
    <mergeCell ref="D107:Q107"/>
    <mergeCell ref="R107:T107"/>
    <mergeCell ref="U107:AD107"/>
    <mergeCell ref="A108:C108"/>
    <mergeCell ref="D108:Q108"/>
    <mergeCell ref="R108:T108"/>
    <mergeCell ref="U108:AD108"/>
    <mergeCell ref="A95:C95"/>
    <mergeCell ref="R95:T95"/>
    <mergeCell ref="A105:C105"/>
    <mergeCell ref="D105:Q105"/>
    <mergeCell ref="R105:T105"/>
    <mergeCell ref="U105:AD105"/>
    <mergeCell ref="A106:C106"/>
    <mergeCell ref="D106:Q106"/>
    <mergeCell ref="R106:T106"/>
    <mergeCell ref="U106:AD106"/>
    <mergeCell ref="A103:C103"/>
    <mergeCell ref="D103:Q103"/>
    <mergeCell ref="R103:T103"/>
    <mergeCell ref="U103:AD103"/>
    <mergeCell ref="A104:C104"/>
    <mergeCell ref="D104:Q104"/>
    <mergeCell ref="R104:T104"/>
    <mergeCell ref="U104:AD104"/>
    <mergeCell ref="A101:C101"/>
    <mergeCell ref="D101:Q101"/>
    <mergeCell ref="R101:T101"/>
    <mergeCell ref="U101:AD101"/>
    <mergeCell ref="A102:C102"/>
    <mergeCell ref="D102:Q102"/>
    <mergeCell ref="R102:T102"/>
    <mergeCell ref="U102:AD102"/>
    <mergeCell ref="R89:T89"/>
    <mergeCell ref="U89:AD89"/>
    <mergeCell ref="AE82:BJ82"/>
    <mergeCell ref="AE83:BJ83"/>
    <mergeCell ref="AE84:BJ84"/>
    <mergeCell ref="AE85:BJ85"/>
    <mergeCell ref="AE86:BJ86"/>
    <mergeCell ref="AE87:BJ87"/>
    <mergeCell ref="AE88:BJ88"/>
    <mergeCell ref="AE89:BJ89"/>
    <mergeCell ref="AE90:BJ90"/>
    <mergeCell ref="R76:T76"/>
    <mergeCell ref="U76:AD76"/>
    <mergeCell ref="AE76:BJ76"/>
    <mergeCell ref="A82:C82"/>
    <mergeCell ref="R94:T94"/>
    <mergeCell ref="U94:AD94"/>
    <mergeCell ref="AE35:BJ35"/>
    <mergeCell ref="A36:C36"/>
    <mergeCell ref="D36:Q36"/>
    <mergeCell ref="R36:T36"/>
    <mergeCell ref="U36:AD36"/>
    <mergeCell ref="AE36:BJ36"/>
    <mergeCell ref="A49:C49"/>
    <mergeCell ref="D49:Q49"/>
    <mergeCell ref="R49:T49"/>
    <mergeCell ref="U49:AD49"/>
    <mergeCell ref="AE49:BJ49"/>
    <mergeCell ref="A77:C77"/>
    <mergeCell ref="D77:Q77"/>
    <mergeCell ref="R77:T77"/>
    <mergeCell ref="U77:AD77"/>
    <mergeCell ref="AE77:BJ77"/>
    <mergeCell ref="A86:C86"/>
    <mergeCell ref="R86:T86"/>
    <mergeCell ref="U86:AD86"/>
    <mergeCell ref="A84:C84"/>
    <mergeCell ref="U75:AD75"/>
    <mergeCell ref="A41:C41"/>
    <mergeCell ref="D41:Q41"/>
    <mergeCell ref="R41:T41"/>
    <mergeCell ref="U41:AD41"/>
    <mergeCell ref="AE41:BJ41"/>
    <mergeCell ref="A71:C71"/>
    <mergeCell ref="D71:Q71"/>
    <mergeCell ref="R71:T71"/>
    <mergeCell ref="U71:AD71"/>
    <mergeCell ref="AE71:BJ71"/>
    <mergeCell ref="U72:AD72"/>
    <mergeCell ref="AE72:BJ72"/>
    <mergeCell ref="A73:C73"/>
    <mergeCell ref="D73:Q73"/>
    <mergeCell ref="AE75:BJ75"/>
    <mergeCell ref="A76:C76"/>
    <mergeCell ref="D76:Q76"/>
    <mergeCell ref="AE96:BJ96"/>
    <mergeCell ref="AE97:BJ97"/>
    <mergeCell ref="AE98:BJ98"/>
    <mergeCell ref="AE100:BJ100"/>
    <mergeCell ref="R98:T98"/>
    <mergeCell ref="U98:AD98"/>
    <mergeCell ref="A94:C94"/>
    <mergeCell ref="AE69:BJ69"/>
    <mergeCell ref="A63:C63"/>
    <mergeCell ref="D63:Q63"/>
    <mergeCell ref="R63:T63"/>
    <mergeCell ref="U63:AD63"/>
    <mergeCell ref="AE63:BJ63"/>
    <mergeCell ref="A88:C88"/>
    <mergeCell ref="R88:T88"/>
    <mergeCell ref="U88:AD88"/>
    <mergeCell ref="A87:C87"/>
    <mergeCell ref="R87:T87"/>
    <mergeCell ref="U87:AD87"/>
    <mergeCell ref="U95:AD95"/>
    <mergeCell ref="A90:C90"/>
    <mergeCell ref="R90:T90"/>
    <mergeCell ref="U90:AD90"/>
    <mergeCell ref="A91:C91"/>
    <mergeCell ref="R91:T91"/>
    <mergeCell ref="A100:C100"/>
    <mergeCell ref="D100:Q100"/>
    <mergeCell ref="R100:T100"/>
    <mergeCell ref="U100:AD100"/>
    <mergeCell ref="A96:C96"/>
    <mergeCell ref="R96:T96"/>
    <mergeCell ref="U96:AD96"/>
    <mergeCell ref="A97:C97"/>
    <mergeCell ref="R97:T97"/>
    <mergeCell ref="U97:AD97"/>
    <mergeCell ref="A98:C98"/>
    <mergeCell ref="AE74:BJ74"/>
    <mergeCell ref="A75:C75"/>
    <mergeCell ref="A128:C128"/>
    <mergeCell ref="D128:Q128"/>
    <mergeCell ref="R128:T128"/>
    <mergeCell ref="U128:AD128"/>
    <mergeCell ref="A99:C99"/>
    <mergeCell ref="D99:Q99"/>
    <mergeCell ref="R99:T99"/>
    <mergeCell ref="U99:AD99"/>
    <mergeCell ref="AE99:BJ99"/>
    <mergeCell ref="U91:AD91"/>
    <mergeCell ref="A92:C92"/>
    <mergeCell ref="R92:T92"/>
    <mergeCell ref="U92:AD92"/>
    <mergeCell ref="AE91:BJ91"/>
    <mergeCell ref="AE92:BJ92"/>
    <mergeCell ref="AE93:BJ93"/>
    <mergeCell ref="AE94:BJ94"/>
    <mergeCell ref="AE95:BJ95"/>
    <mergeCell ref="A89:C89"/>
    <mergeCell ref="A130:C130"/>
    <mergeCell ref="D130:Q130"/>
    <mergeCell ref="R130:T130"/>
    <mergeCell ref="U130:AD130"/>
    <mergeCell ref="A131:C131"/>
    <mergeCell ref="D131:Q131"/>
    <mergeCell ref="R131:T131"/>
    <mergeCell ref="U131:AD131"/>
    <mergeCell ref="A132:C132"/>
    <mergeCell ref="D132:Q132"/>
    <mergeCell ref="R132:T132"/>
    <mergeCell ref="U132:AD132"/>
    <mergeCell ref="A133:C133"/>
    <mergeCell ref="D133:Q133"/>
    <mergeCell ref="R133:T133"/>
    <mergeCell ref="U133:AD133"/>
    <mergeCell ref="A129:C129"/>
    <mergeCell ref="D129:Q129"/>
    <mergeCell ref="R129:T129"/>
    <mergeCell ref="U129:AD129"/>
    <mergeCell ref="D33:Q33"/>
    <mergeCell ref="R33:T33"/>
    <mergeCell ref="U33:AD33"/>
    <mergeCell ref="D69:Q69"/>
    <mergeCell ref="R69:T69"/>
    <mergeCell ref="U69:AD69"/>
    <mergeCell ref="R84:T84"/>
    <mergeCell ref="U84:AD84"/>
    <mergeCell ref="A85:C85"/>
    <mergeCell ref="R85:T85"/>
    <mergeCell ref="U85:AD85"/>
    <mergeCell ref="R93:T93"/>
    <mergeCell ref="U93:AD93"/>
    <mergeCell ref="D75:Q75"/>
    <mergeCell ref="R75:T75"/>
    <mergeCell ref="R82:T82"/>
    <mergeCell ref="U82:AD82"/>
    <mergeCell ref="A83:C83"/>
    <mergeCell ref="R83:T83"/>
    <mergeCell ref="U83:AD83"/>
    <mergeCell ref="A80:C80"/>
    <mergeCell ref="D80:Q80"/>
    <mergeCell ref="R80:T80"/>
    <mergeCell ref="U80:AD80"/>
    <mergeCell ref="A93:C93"/>
    <mergeCell ref="A64:C64"/>
    <mergeCell ref="D64:Q64"/>
    <mergeCell ref="R64:T64"/>
    <mergeCell ref="U64:AD64"/>
    <mergeCell ref="A60:C60"/>
    <mergeCell ref="D60:Q60"/>
    <mergeCell ref="R60:T60"/>
    <mergeCell ref="AE64:BJ64"/>
    <mergeCell ref="A65:C65"/>
    <mergeCell ref="D65:Q65"/>
    <mergeCell ref="R65:T65"/>
    <mergeCell ref="U65:AD65"/>
    <mergeCell ref="AE65:BJ65"/>
    <mergeCell ref="AE80:BJ80"/>
    <mergeCell ref="A81:C81"/>
    <mergeCell ref="R81:T81"/>
    <mergeCell ref="U81:AD81"/>
    <mergeCell ref="AE81:BJ81"/>
    <mergeCell ref="A78:C78"/>
    <mergeCell ref="D78:Q78"/>
    <mergeCell ref="R78:T78"/>
    <mergeCell ref="U78:AD78"/>
    <mergeCell ref="AE78:BJ78"/>
    <mergeCell ref="A79:C79"/>
    <mergeCell ref="D79:Q79"/>
    <mergeCell ref="R79:T79"/>
    <mergeCell ref="U79:AD79"/>
    <mergeCell ref="AE79:BJ79"/>
    <mergeCell ref="R73:T73"/>
    <mergeCell ref="U73:AD73"/>
    <mergeCell ref="AE73:BJ73"/>
    <mergeCell ref="A74:C74"/>
    <mergeCell ref="D74:Q74"/>
    <mergeCell ref="R74:T74"/>
    <mergeCell ref="U74:AD74"/>
    <mergeCell ref="A69:C69"/>
    <mergeCell ref="A72:C72"/>
    <mergeCell ref="D72:Q72"/>
    <mergeCell ref="R72:T72"/>
    <mergeCell ref="U60:AD60"/>
    <mergeCell ref="AE60:BJ60"/>
    <mergeCell ref="A61:C61"/>
    <mergeCell ref="D61:Q61"/>
    <mergeCell ref="R61:T61"/>
    <mergeCell ref="U61:AD61"/>
    <mergeCell ref="AE61:BJ61"/>
    <mergeCell ref="A62:C62"/>
    <mergeCell ref="D62:Q62"/>
    <mergeCell ref="R62:T62"/>
    <mergeCell ref="U62:AD62"/>
    <mergeCell ref="AE62:BJ62"/>
    <mergeCell ref="A59:C59"/>
    <mergeCell ref="D59:Q59"/>
    <mergeCell ref="R59:T59"/>
    <mergeCell ref="U59:AD59"/>
    <mergeCell ref="AE59:BJ59"/>
    <mergeCell ref="A55:C55"/>
    <mergeCell ref="D55:Q55"/>
    <mergeCell ref="R55:T55"/>
    <mergeCell ref="U55:AD55"/>
    <mergeCell ref="AE55:BJ55"/>
    <mergeCell ref="A56:C56"/>
    <mergeCell ref="D56:Q56"/>
    <mergeCell ref="R56:T56"/>
    <mergeCell ref="U56:AD56"/>
    <mergeCell ref="AE56:BJ56"/>
    <mergeCell ref="A57:C57"/>
    <mergeCell ref="D57:Q57"/>
    <mergeCell ref="R57:T57"/>
    <mergeCell ref="U57:AD57"/>
    <mergeCell ref="AE57:BJ57"/>
    <mergeCell ref="A58:C58"/>
    <mergeCell ref="D58:Q58"/>
    <mergeCell ref="R58:T58"/>
    <mergeCell ref="U58:AD58"/>
    <mergeCell ref="AE58:BJ58"/>
    <mergeCell ref="A50:C50"/>
    <mergeCell ref="D50:Q50"/>
    <mergeCell ref="R50:T50"/>
    <mergeCell ref="U50:AD50"/>
    <mergeCell ref="AE50:BJ50"/>
    <mergeCell ref="A51:C51"/>
    <mergeCell ref="D51:Q51"/>
    <mergeCell ref="R51:T51"/>
    <mergeCell ref="U51:AD51"/>
    <mergeCell ref="AE51:BJ51"/>
    <mergeCell ref="A52:C52"/>
    <mergeCell ref="D52:Q52"/>
    <mergeCell ref="R52:T52"/>
    <mergeCell ref="U52:AD52"/>
    <mergeCell ref="A53:C53"/>
    <mergeCell ref="D53:Q53"/>
    <mergeCell ref="R53:T53"/>
    <mergeCell ref="U53:AD53"/>
    <mergeCell ref="AE53:BJ53"/>
    <mergeCell ref="AE52:BJ52"/>
    <mergeCell ref="A54:C54"/>
    <mergeCell ref="D54:Q54"/>
    <mergeCell ref="R54:T54"/>
    <mergeCell ref="U54:AD54"/>
    <mergeCell ref="AE54:BJ54"/>
    <mergeCell ref="A47:C47"/>
    <mergeCell ref="D47:Q47"/>
    <mergeCell ref="R47:T47"/>
    <mergeCell ref="U47:AD47"/>
    <mergeCell ref="AE47:BJ47"/>
    <mergeCell ref="A43:C43"/>
    <mergeCell ref="D43:Q43"/>
    <mergeCell ref="R43:T43"/>
    <mergeCell ref="U43:AD43"/>
    <mergeCell ref="AE43:BJ43"/>
    <mergeCell ref="A44:C44"/>
    <mergeCell ref="D44:Q44"/>
    <mergeCell ref="R44:T44"/>
    <mergeCell ref="U44:AD44"/>
    <mergeCell ref="AE44:BJ44"/>
    <mergeCell ref="A48:C48"/>
    <mergeCell ref="D48:Q48"/>
    <mergeCell ref="R48:T48"/>
    <mergeCell ref="U48:AD48"/>
    <mergeCell ref="AE48:BJ48"/>
    <mergeCell ref="A45:C45"/>
    <mergeCell ref="D45:Q45"/>
    <mergeCell ref="R45:T45"/>
    <mergeCell ref="U45:AD45"/>
    <mergeCell ref="AE45:BJ45"/>
    <mergeCell ref="A46:C46"/>
    <mergeCell ref="D46:Q46"/>
    <mergeCell ref="R46:T46"/>
    <mergeCell ref="U46:AD46"/>
    <mergeCell ref="AE46:BJ46"/>
    <mergeCell ref="AE40:BJ40"/>
    <mergeCell ref="A42:C42"/>
    <mergeCell ref="D42:Q42"/>
    <mergeCell ref="R42:T42"/>
    <mergeCell ref="U42:AD42"/>
    <mergeCell ref="AE42:BJ42"/>
    <mergeCell ref="A38:C38"/>
    <mergeCell ref="D38:Q38"/>
    <mergeCell ref="R38:T38"/>
    <mergeCell ref="U38:AD38"/>
    <mergeCell ref="AE38:BJ38"/>
    <mergeCell ref="A39:C39"/>
    <mergeCell ref="D39:Q39"/>
    <mergeCell ref="R39:T39"/>
    <mergeCell ref="U39:AD39"/>
    <mergeCell ref="AE39:BJ39"/>
    <mergeCell ref="U20:AD20"/>
    <mergeCell ref="AE20:BJ20"/>
    <mergeCell ref="A21:C21"/>
    <mergeCell ref="R21:T21"/>
    <mergeCell ref="R26:T26"/>
    <mergeCell ref="AE26:BJ26"/>
    <mergeCell ref="U26:AD26"/>
    <mergeCell ref="U27:AD27"/>
    <mergeCell ref="D27:Q27"/>
    <mergeCell ref="U24:AD24"/>
    <mergeCell ref="AE21:BJ21"/>
    <mergeCell ref="D21:Q21"/>
    <mergeCell ref="D24:Q24"/>
    <mergeCell ref="D26:Q26"/>
    <mergeCell ref="AE24:BJ24"/>
    <mergeCell ref="U21:AD21"/>
    <mergeCell ref="D23:Q23"/>
    <mergeCell ref="A23:C23"/>
    <mergeCell ref="R23:T23"/>
    <mergeCell ref="U23:AD23"/>
    <mergeCell ref="AE23:BJ23"/>
    <mergeCell ref="A24:C24"/>
    <mergeCell ref="R24:T24"/>
    <mergeCell ref="A22:C22"/>
    <mergeCell ref="D22:Q22"/>
    <mergeCell ref="R22:T22"/>
    <mergeCell ref="U22:AD22"/>
    <mergeCell ref="AE22:BJ22"/>
    <mergeCell ref="A25:C25"/>
    <mergeCell ref="D25:Q25"/>
    <mergeCell ref="R25:T25"/>
    <mergeCell ref="U25:AD25"/>
    <mergeCell ref="R19:T19"/>
    <mergeCell ref="D14:Q14"/>
    <mergeCell ref="R15:T15"/>
    <mergeCell ref="A20:C20"/>
    <mergeCell ref="D20:Q20"/>
    <mergeCell ref="R20:T20"/>
    <mergeCell ref="R17:T17"/>
    <mergeCell ref="A17:C17"/>
    <mergeCell ref="D17:Q17"/>
    <mergeCell ref="A10:C10"/>
    <mergeCell ref="R10:T10"/>
    <mergeCell ref="AE10:BJ10"/>
    <mergeCell ref="D15:Q15"/>
    <mergeCell ref="U15:AD15"/>
    <mergeCell ref="U13:AD13"/>
    <mergeCell ref="D12:Q12"/>
    <mergeCell ref="U12:AD12"/>
    <mergeCell ref="A12:C12"/>
    <mergeCell ref="R12:T12"/>
    <mergeCell ref="AE12:BJ12"/>
    <mergeCell ref="D11:Q11"/>
    <mergeCell ref="A11:C11"/>
    <mergeCell ref="AE17:BJ17"/>
    <mergeCell ref="U17:AD17"/>
    <mergeCell ref="U19:AD19"/>
    <mergeCell ref="AE19:BJ19"/>
    <mergeCell ref="A19:C19"/>
    <mergeCell ref="R18:T18"/>
    <mergeCell ref="AE18:BJ18"/>
    <mergeCell ref="U18:AD18"/>
    <mergeCell ref="A15:C15"/>
    <mergeCell ref="AE15:BJ15"/>
    <mergeCell ref="D18:Q18"/>
    <mergeCell ref="D19:Q19"/>
    <mergeCell ref="A18:C18"/>
    <mergeCell ref="R31:T31"/>
    <mergeCell ref="U31:AD31"/>
    <mergeCell ref="AE31:BJ31"/>
    <mergeCell ref="D28:Q28"/>
    <mergeCell ref="D30:Q30"/>
    <mergeCell ref="D31:Q31"/>
    <mergeCell ref="D32:Q32"/>
    <mergeCell ref="A264:C264"/>
    <mergeCell ref="D264:Q264"/>
    <mergeCell ref="R264:T264"/>
    <mergeCell ref="AE264:BJ264"/>
    <mergeCell ref="A260:C260"/>
    <mergeCell ref="D260:Q260"/>
    <mergeCell ref="R260:T260"/>
    <mergeCell ref="AE260:BJ260"/>
    <mergeCell ref="A261:C261"/>
    <mergeCell ref="D261:Q261"/>
    <mergeCell ref="R261:T261"/>
    <mergeCell ref="AE261:BJ261"/>
    <mergeCell ref="A258:C258"/>
    <mergeCell ref="D258:Q258"/>
    <mergeCell ref="R258:T258"/>
    <mergeCell ref="AE258:BJ258"/>
    <mergeCell ref="A259:C259"/>
    <mergeCell ref="D259:Q259"/>
    <mergeCell ref="R259:T259"/>
    <mergeCell ref="AE259:BJ259"/>
    <mergeCell ref="A256:C256"/>
    <mergeCell ref="D256:Q256"/>
    <mergeCell ref="A265:C265"/>
    <mergeCell ref="D265:Q265"/>
    <mergeCell ref="R265:T265"/>
    <mergeCell ref="AE265:BJ265"/>
    <mergeCell ref="A262:C262"/>
    <mergeCell ref="D262:Q262"/>
    <mergeCell ref="R262:T262"/>
    <mergeCell ref="AE262:BJ262"/>
    <mergeCell ref="A263:C263"/>
    <mergeCell ref="D263:Q263"/>
    <mergeCell ref="R263:T263"/>
    <mergeCell ref="AE263:BJ263"/>
    <mergeCell ref="A268:C268"/>
    <mergeCell ref="D268:Q268"/>
    <mergeCell ref="R268:T268"/>
    <mergeCell ref="AE268:BJ268"/>
    <mergeCell ref="A266:C266"/>
    <mergeCell ref="D266:Q266"/>
    <mergeCell ref="R266:T266"/>
    <mergeCell ref="AE266:BJ266"/>
    <mergeCell ref="A267:C267"/>
    <mergeCell ref="D267:Q267"/>
    <mergeCell ref="R267:T267"/>
    <mergeCell ref="AE267:BJ267"/>
    <mergeCell ref="R256:T256"/>
    <mergeCell ref="AE256:BJ256"/>
    <mergeCell ref="A257:C257"/>
    <mergeCell ref="D257:Q257"/>
    <mergeCell ref="R257:T257"/>
    <mergeCell ref="AE257:BJ257"/>
    <mergeCell ref="A254:C254"/>
    <mergeCell ref="D254:Q254"/>
    <mergeCell ref="R254:T254"/>
    <mergeCell ref="AE254:BJ254"/>
    <mergeCell ref="A255:C255"/>
    <mergeCell ref="D255:Q255"/>
    <mergeCell ref="R255:T255"/>
    <mergeCell ref="AE255:BJ255"/>
    <mergeCell ref="A252:C252"/>
    <mergeCell ref="D252:Q252"/>
    <mergeCell ref="R252:T252"/>
    <mergeCell ref="AE252:BJ252"/>
    <mergeCell ref="A253:C253"/>
    <mergeCell ref="D253:Q253"/>
    <mergeCell ref="R253:T253"/>
    <mergeCell ref="AE253:BJ253"/>
    <mergeCell ref="A250:C250"/>
    <mergeCell ref="D250:Q250"/>
    <mergeCell ref="R250:T250"/>
    <mergeCell ref="AE250:BJ250"/>
    <mergeCell ref="A251:C251"/>
    <mergeCell ref="D251:Q251"/>
    <mergeCell ref="R251:T251"/>
    <mergeCell ref="AE251:BJ251"/>
    <mergeCell ref="A248:C248"/>
    <mergeCell ref="D248:Q248"/>
    <mergeCell ref="R248:T248"/>
    <mergeCell ref="AE248:BJ248"/>
    <mergeCell ref="A249:C249"/>
    <mergeCell ref="D249:Q249"/>
    <mergeCell ref="R249:T249"/>
    <mergeCell ref="AE249:BJ249"/>
    <mergeCell ref="A246:C246"/>
    <mergeCell ref="D246:Q246"/>
    <mergeCell ref="R246:T246"/>
    <mergeCell ref="AE246:BJ246"/>
    <mergeCell ref="A247:C247"/>
    <mergeCell ref="D247:Q247"/>
    <mergeCell ref="R247:T247"/>
    <mergeCell ref="AE247:BJ247"/>
    <mergeCell ref="A244:C244"/>
    <mergeCell ref="D244:Q244"/>
    <mergeCell ref="R244:T244"/>
    <mergeCell ref="AE244:BJ244"/>
    <mergeCell ref="A245:C245"/>
    <mergeCell ref="D245:Q245"/>
    <mergeCell ref="R245:T245"/>
    <mergeCell ref="AE245:BJ245"/>
    <mergeCell ref="A242:C242"/>
    <mergeCell ref="D242:Q242"/>
    <mergeCell ref="R242:T242"/>
    <mergeCell ref="AE242:BJ242"/>
    <mergeCell ref="A243:C243"/>
    <mergeCell ref="D243:Q243"/>
    <mergeCell ref="R243:T243"/>
    <mergeCell ref="AE243:BJ243"/>
    <mergeCell ref="A240:C240"/>
    <mergeCell ref="D240:Q240"/>
    <mergeCell ref="R240:T240"/>
    <mergeCell ref="AE240:BJ240"/>
    <mergeCell ref="A241:C241"/>
    <mergeCell ref="D241:Q241"/>
    <mergeCell ref="R241:T241"/>
    <mergeCell ref="AE241:BJ241"/>
    <mergeCell ref="A238:C238"/>
    <mergeCell ref="D238:Q238"/>
    <mergeCell ref="R238:T238"/>
    <mergeCell ref="AE238:BJ238"/>
    <mergeCell ref="A239:C239"/>
    <mergeCell ref="D239:Q239"/>
    <mergeCell ref="R239:T239"/>
    <mergeCell ref="AE239:BJ239"/>
    <mergeCell ref="A236:C236"/>
    <mergeCell ref="D236:Q236"/>
    <mergeCell ref="R236:T236"/>
    <mergeCell ref="AE236:BJ236"/>
    <mergeCell ref="A237:C237"/>
    <mergeCell ref="D237:Q237"/>
    <mergeCell ref="R237:T237"/>
    <mergeCell ref="AE237:BJ237"/>
    <mergeCell ref="A234:C234"/>
    <mergeCell ref="D234:Q234"/>
    <mergeCell ref="R234:T234"/>
    <mergeCell ref="AE234:BJ234"/>
    <mergeCell ref="A235:C235"/>
    <mergeCell ref="D235:Q235"/>
    <mergeCell ref="R235:T235"/>
    <mergeCell ref="AE235:BJ235"/>
    <mergeCell ref="A232:C232"/>
    <mergeCell ref="D232:Q232"/>
    <mergeCell ref="R232:T232"/>
    <mergeCell ref="AE232:BJ232"/>
    <mergeCell ref="A233:C233"/>
    <mergeCell ref="D233:Q233"/>
    <mergeCell ref="R233:T233"/>
    <mergeCell ref="AE233:BJ233"/>
    <mergeCell ref="A230:C230"/>
    <mergeCell ref="D230:Q230"/>
    <mergeCell ref="R230:T230"/>
    <mergeCell ref="AE230:BJ230"/>
    <mergeCell ref="A231:C231"/>
    <mergeCell ref="D231:Q231"/>
    <mergeCell ref="R231:T231"/>
    <mergeCell ref="AE231:BJ231"/>
    <mergeCell ref="A228:C228"/>
    <mergeCell ref="D228:Q228"/>
    <mergeCell ref="R228:T228"/>
    <mergeCell ref="AE228:BJ228"/>
    <mergeCell ref="A229:C229"/>
    <mergeCell ref="D229:Q229"/>
    <mergeCell ref="R229:T229"/>
    <mergeCell ref="AE229:BJ229"/>
    <mergeCell ref="A226:C226"/>
    <mergeCell ref="D226:Q226"/>
    <mergeCell ref="R226:T226"/>
    <mergeCell ref="AE226:BJ226"/>
    <mergeCell ref="A227:C227"/>
    <mergeCell ref="D227:Q227"/>
    <mergeCell ref="R227:T227"/>
    <mergeCell ref="AE227:BJ227"/>
    <mergeCell ref="A224:C224"/>
    <mergeCell ref="D224:Q224"/>
    <mergeCell ref="R224:T224"/>
    <mergeCell ref="AE224:BJ224"/>
    <mergeCell ref="A225:C225"/>
    <mergeCell ref="D225:Q225"/>
    <mergeCell ref="R225:T225"/>
    <mergeCell ref="AE225:BJ225"/>
    <mergeCell ref="A222:C222"/>
    <mergeCell ref="D222:Q222"/>
    <mergeCell ref="R222:T222"/>
    <mergeCell ref="AE222:BJ222"/>
    <mergeCell ref="A223:C223"/>
    <mergeCell ref="D223:Q223"/>
    <mergeCell ref="R223:T223"/>
    <mergeCell ref="AE223:BJ223"/>
    <mergeCell ref="A220:C220"/>
    <mergeCell ref="D220:Q220"/>
    <mergeCell ref="R220:T220"/>
    <mergeCell ref="AE220:BJ220"/>
    <mergeCell ref="A221:C221"/>
    <mergeCell ref="D221:Q221"/>
    <mergeCell ref="R221:T221"/>
    <mergeCell ref="AE221:BJ221"/>
    <mergeCell ref="A218:C218"/>
    <mergeCell ref="D218:Q218"/>
    <mergeCell ref="R218:T218"/>
    <mergeCell ref="AE218:BJ218"/>
    <mergeCell ref="A219:C219"/>
    <mergeCell ref="D219:Q219"/>
    <mergeCell ref="R219:T219"/>
    <mergeCell ref="AE219:BJ219"/>
    <mergeCell ref="A216:C216"/>
    <mergeCell ref="D216:Q216"/>
    <mergeCell ref="R216:T216"/>
    <mergeCell ref="AE216:BJ216"/>
    <mergeCell ref="A217:C217"/>
    <mergeCell ref="D217:Q217"/>
    <mergeCell ref="R217:T217"/>
    <mergeCell ref="AE217:BJ217"/>
    <mergeCell ref="A214:C214"/>
    <mergeCell ref="D214:Q214"/>
    <mergeCell ref="R214:T214"/>
    <mergeCell ref="AE214:BJ214"/>
    <mergeCell ref="A215:C215"/>
    <mergeCell ref="D215:Q215"/>
    <mergeCell ref="R215:T215"/>
    <mergeCell ref="AE215:BJ215"/>
    <mergeCell ref="A212:C212"/>
    <mergeCell ref="D212:Q212"/>
    <mergeCell ref="R212:T212"/>
    <mergeCell ref="AE212:BJ212"/>
    <mergeCell ref="A213:C213"/>
    <mergeCell ref="D213:Q213"/>
    <mergeCell ref="R213:T213"/>
    <mergeCell ref="AE213:BJ213"/>
    <mergeCell ref="A210:C210"/>
    <mergeCell ref="D210:Q210"/>
    <mergeCell ref="R210:T210"/>
    <mergeCell ref="AE210:BJ210"/>
    <mergeCell ref="A211:C211"/>
    <mergeCell ref="D211:Q211"/>
    <mergeCell ref="R211:T211"/>
    <mergeCell ref="AE211:BJ211"/>
    <mergeCell ref="A208:C208"/>
    <mergeCell ref="D208:Q208"/>
    <mergeCell ref="R208:T208"/>
    <mergeCell ref="AE208:BJ208"/>
    <mergeCell ref="A209:C209"/>
    <mergeCell ref="D209:Q209"/>
    <mergeCell ref="R209:T209"/>
    <mergeCell ref="AE209:BJ209"/>
    <mergeCell ref="A206:C206"/>
    <mergeCell ref="D206:Q206"/>
    <mergeCell ref="R206:T206"/>
    <mergeCell ref="AE206:BJ206"/>
    <mergeCell ref="A207:C207"/>
    <mergeCell ref="D207:Q207"/>
    <mergeCell ref="R207:T207"/>
    <mergeCell ref="AE207:BJ207"/>
    <mergeCell ref="A204:C204"/>
    <mergeCell ref="D204:Q204"/>
    <mergeCell ref="R204:T204"/>
    <mergeCell ref="AE204:BJ204"/>
    <mergeCell ref="A205:C205"/>
    <mergeCell ref="D205:Q205"/>
    <mergeCell ref="R205:T205"/>
    <mergeCell ref="AE205:BJ205"/>
    <mergeCell ref="A202:C202"/>
    <mergeCell ref="D202:Q202"/>
    <mergeCell ref="R202:T202"/>
    <mergeCell ref="AE202:BJ202"/>
    <mergeCell ref="A203:C203"/>
    <mergeCell ref="D203:Q203"/>
    <mergeCell ref="R203:T203"/>
    <mergeCell ref="AE203:BJ203"/>
    <mergeCell ref="A200:C200"/>
    <mergeCell ref="D200:Q200"/>
    <mergeCell ref="R200:T200"/>
    <mergeCell ref="AE200:BJ200"/>
    <mergeCell ref="A201:C201"/>
    <mergeCell ref="D201:Q201"/>
    <mergeCell ref="R201:T201"/>
    <mergeCell ref="AE201:BJ201"/>
    <mergeCell ref="A198:C198"/>
    <mergeCell ref="D198:Q198"/>
    <mergeCell ref="R198:T198"/>
    <mergeCell ref="AE198:BJ198"/>
    <mergeCell ref="A199:C199"/>
    <mergeCell ref="D199:Q199"/>
    <mergeCell ref="R199:T199"/>
    <mergeCell ref="AE199:BJ199"/>
    <mergeCell ref="A196:C196"/>
    <mergeCell ref="D196:Q196"/>
    <mergeCell ref="R196:T196"/>
    <mergeCell ref="AE196:BJ196"/>
    <mergeCell ref="A197:C197"/>
    <mergeCell ref="D197:Q197"/>
    <mergeCell ref="R197:T197"/>
    <mergeCell ref="AE197:BJ197"/>
    <mergeCell ref="A194:C194"/>
    <mergeCell ref="D194:Q194"/>
    <mergeCell ref="R194:T194"/>
    <mergeCell ref="AE194:BJ194"/>
    <mergeCell ref="A195:C195"/>
    <mergeCell ref="D195:Q195"/>
    <mergeCell ref="R195:T195"/>
    <mergeCell ref="AE195:BJ195"/>
    <mergeCell ref="A192:C192"/>
    <mergeCell ref="D192:Q192"/>
    <mergeCell ref="R192:T192"/>
    <mergeCell ref="AE192:BJ192"/>
    <mergeCell ref="A193:C193"/>
    <mergeCell ref="D193:Q193"/>
    <mergeCell ref="R193:T193"/>
    <mergeCell ref="AE193:BJ193"/>
    <mergeCell ref="AE185:BJ185"/>
    <mergeCell ref="A190:C190"/>
    <mergeCell ref="D190:Q190"/>
    <mergeCell ref="R190:T190"/>
    <mergeCell ref="AE190:BJ190"/>
    <mergeCell ref="A191:C191"/>
    <mergeCell ref="D191:Q191"/>
    <mergeCell ref="R191:T191"/>
    <mergeCell ref="AE191:BJ191"/>
    <mergeCell ref="A189:C189"/>
    <mergeCell ref="D189:Q189"/>
    <mergeCell ref="R189:T189"/>
    <mergeCell ref="AE189:BJ189"/>
    <mergeCell ref="A183:C183"/>
    <mergeCell ref="R183:T183"/>
    <mergeCell ref="AE183:BJ183"/>
    <mergeCell ref="A188:C188"/>
    <mergeCell ref="D188:Q188"/>
    <mergeCell ref="R188:T188"/>
    <mergeCell ref="AE188:BJ188"/>
    <mergeCell ref="U183:AD183"/>
    <mergeCell ref="A184:C184"/>
    <mergeCell ref="D184:Q184"/>
    <mergeCell ref="R184:T184"/>
    <mergeCell ref="D183:Q183"/>
    <mergeCell ref="A186:C186"/>
    <mergeCell ref="D186:Q186"/>
    <mergeCell ref="R186:T186"/>
    <mergeCell ref="AE186:BJ186"/>
    <mergeCell ref="A187:C187"/>
    <mergeCell ref="D187:Q187"/>
    <mergeCell ref="R187:T187"/>
    <mergeCell ref="AE187:BJ187"/>
    <mergeCell ref="AE184:BJ184"/>
    <mergeCell ref="A185:C185"/>
    <mergeCell ref="D185:Q185"/>
    <mergeCell ref="R185:T185"/>
    <mergeCell ref="A8:C8"/>
    <mergeCell ref="D8:Q8"/>
    <mergeCell ref="R8:T8"/>
    <mergeCell ref="U8:AD8"/>
    <mergeCell ref="AE8:BJ8"/>
    <mergeCell ref="A14:C14"/>
    <mergeCell ref="D13:Q13"/>
    <mergeCell ref="R14:T14"/>
    <mergeCell ref="AE14:BJ14"/>
    <mergeCell ref="U14:AD14"/>
    <mergeCell ref="D9:Q9"/>
    <mergeCell ref="A9:C9"/>
    <mergeCell ref="R9:T9"/>
    <mergeCell ref="U9:AD9"/>
    <mergeCell ref="AE9:BJ9"/>
    <mergeCell ref="U10:AD10"/>
    <mergeCell ref="D10:Q10"/>
    <mergeCell ref="R11:T11"/>
    <mergeCell ref="U11:AD11"/>
    <mergeCell ref="AE11:BJ11"/>
    <mergeCell ref="A13:C13"/>
    <mergeCell ref="R13:T13"/>
    <mergeCell ref="AE13:BJ13"/>
    <mergeCell ref="A27:C27"/>
    <mergeCell ref="R27:T27"/>
    <mergeCell ref="AE27:BJ27"/>
    <mergeCell ref="A26:C26"/>
    <mergeCell ref="A4:G4"/>
    <mergeCell ref="H4:AU4"/>
    <mergeCell ref="AV4:AY4"/>
    <mergeCell ref="AZ4:BJ4"/>
    <mergeCell ref="A6:G6"/>
    <mergeCell ref="H6:O6"/>
    <mergeCell ref="P6:X6"/>
    <mergeCell ref="Y6:AU6"/>
    <mergeCell ref="AV6:BC6"/>
    <mergeCell ref="BD6:BJ6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  <mergeCell ref="A28:C28"/>
    <mergeCell ref="R28:T28"/>
    <mergeCell ref="U28:AD28"/>
    <mergeCell ref="AE28:BJ28"/>
    <mergeCell ref="A30:C30"/>
    <mergeCell ref="R30:T30"/>
    <mergeCell ref="U30:AD30"/>
    <mergeCell ref="AE30:BJ30"/>
    <mergeCell ref="A31:C31"/>
    <mergeCell ref="A68:C68"/>
    <mergeCell ref="D68:Q68"/>
    <mergeCell ref="R68:T68"/>
    <mergeCell ref="U68:AD68"/>
    <mergeCell ref="AE68:BJ68"/>
    <mergeCell ref="A66:C66"/>
    <mergeCell ref="D66:Q66"/>
    <mergeCell ref="R66:T66"/>
    <mergeCell ref="U66:AD66"/>
    <mergeCell ref="AE66:BJ66"/>
    <mergeCell ref="A67:C67"/>
    <mergeCell ref="D67:Q67"/>
    <mergeCell ref="R67:T67"/>
    <mergeCell ref="U67:AD67"/>
    <mergeCell ref="AE67:BJ67"/>
    <mergeCell ref="A32:C32"/>
    <mergeCell ref="R32:T32"/>
    <mergeCell ref="U32:AD32"/>
    <mergeCell ref="AE32:BJ32"/>
    <mergeCell ref="A40:C40"/>
    <mergeCell ref="D40:Q40"/>
    <mergeCell ref="R40:T40"/>
    <mergeCell ref="U40:AD40"/>
  </mergeCells>
  <phoneticPr fontId="5"/>
  <pageMargins left="0.74803149606299213" right="0.39370078740157483" top="0.74803149606299213" bottom="0.31496062992125984" header="0.9055118110236221" footer="0.19685039370078741"/>
  <pageSetup paperSize="9" scale="69" fitToHeight="0" orientation="portrait" r:id="rId1"/>
  <headerFooter>
    <oddHeader>&amp;R&amp;P　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0652402-256E-4A94-9019-0B36EE0194AB}"/>
</file>

<file path=customXml/itemProps2.xml><?xml version="1.0" encoding="utf-8"?>
<ds:datastoreItem xmlns:ds="http://schemas.openxmlformats.org/officeDocument/2006/customXml" ds:itemID="{90D9BC56-CB69-4111-AE3D-B4D833A07265}">
  <ds:schemaRefs>
    <ds:schemaRef ds:uri="http://purl.org/dc/terms/"/>
    <ds:schemaRef ds:uri="http://purl.org/dc/elements/1.1/"/>
    <ds:schemaRef ds:uri="http://www.w3.org/XML/1998/namespace"/>
    <ds:schemaRef ds:uri="http://purl.org/dc/dcmitype/"/>
    <ds:schemaRef ds:uri="http://schemas.microsoft.com/office/2006/documentManagement/types"/>
    <ds:schemaRef ds:uri="4a1f72ec-30b8-4383-892a-fcacdd251f13"/>
    <ds:schemaRef ds:uri="http://schemas.microsoft.com/office/infopath/2007/PartnerControls"/>
    <ds:schemaRef ds:uri="b9cc7365-e218-4624-aedb-0a55e821af1f"/>
    <ds:schemaRef ds:uri="http://schemas.microsoft.com/office/2006/metadata/propertie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A8D6625D-3D95-4B68-B80F-A6AA1EFE9FA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6</vt:i4>
      </vt:variant>
    </vt:vector>
  </HeadingPairs>
  <TitlesOfParts>
    <vt:vector size="11" baseType="lpstr">
      <vt:lpstr>変更履歴</vt:lpstr>
      <vt:lpstr>1.帳票レイアウト</vt:lpstr>
      <vt:lpstr>1.帳票イメージ</vt:lpstr>
      <vt:lpstr>2.条件表</vt:lpstr>
      <vt:lpstr>3.項目説明</vt:lpstr>
      <vt:lpstr>'1.帳票イメージ'!Print_Area</vt:lpstr>
      <vt:lpstr>'1.帳票レイアウト'!Print_Area</vt:lpstr>
      <vt:lpstr>'2.条件表'!Print_Area</vt:lpstr>
      <vt:lpstr>'3.項目説明'!Print_Area</vt:lpstr>
      <vt:lpstr>変更履歴!Print_Area</vt:lpstr>
      <vt:lpstr>'3.項目説明'!Print_Titles</vt:lpstr>
    </vt:vector>
  </TitlesOfParts>
  <Manager/>
  <Company>ＨＩＳ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業務システム課 横田 健一</dc:creator>
  <cp:keywords/>
  <dc:description/>
  <cp:lastModifiedBy>福嶋 大樹</cp:lastModifiedBy>
  <cp:revision/>
  <cp:lastPrinted>2025-06-16T14:06:57Z</cp:lastPrinted>
  <dcterms:created xsi:type="dcterms:W3CDTF">2001-03-07T04:21:32Z</dcterms:created>
  <dcterms:modified xsi:type="dcterms:W3CDTF">2025-09-01T10:43:38Z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