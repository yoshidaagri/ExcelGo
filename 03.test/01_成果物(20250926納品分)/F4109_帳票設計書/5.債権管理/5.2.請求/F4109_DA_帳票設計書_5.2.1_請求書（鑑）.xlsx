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09_帳票設計書\5.債権管理\5.2.請求\"/>
    </mc:Choice>
  </mc:AlternateContent>
  <xr:revisionPtr revIDLastSave="0" documentId="13_ncr:1_{4350CB50-68DB-4539-9EDC-C777F8B459DF}" xr6:coauthVersionLast="47" xr6:coauthVersionMax="47" xr10:uidLastSave="{00000000-0000-0000-0000-000000000000}"/>
  <bookViews>
    <workbookView xWindow="-120" yWindow="-120" windowWidth="29040" windowHeight="15720" tabRatio="758" xr2:uid="{00000000-000D-0000-FFFF-FFFF00000000}"/>
  </bookViews>
  <sheets>
    <sheet name="変更履歴" sheetId="23" r:id="rId1"/>
    <sheet name="1.帳票レイアウト" sheetId="24" r:id="rId2"/>
    <sheet name="1.帳票イメージ（1ページ）" sheetId="28" r:id="rId3"/>
    <sheet name="1.帳票イメージ（所属別内訳で改ページ）" sheetId="31" r:id="rId4"/>
    <sheet name="1.帳票イメージ（品目別内訳、店舗別内訳で改ページ）" sheetId="30" r:id="rId5"/>
    <sheet name="1.帳票イメージ（税率別の表現)" sheetId="33" r:id="rId6"/>
    <sheet name="2.条件表" sheetId="26" r:id="rId7"/>
    <sheet name="3.項目説明" sheetId="27" r:id="rId8"/>
  </sheets>
  <definedNames>
    <definedName name="_Regression_X" hidden="1">#REF!</definedName>
    <definedName name="_xlnm.Print_Area" localSheetId="2">'1.帳票イメージ（1ページ）'!$A$1:$EC$74</definedName>
    <definedName name="_xlnm.Print_Area" localSheetId="3">'1.帳票イメージ（所属別内訳で改ページ）'!$A$1:$EC$142</definedName>
    <definedName name="_xlnm.Print_Area" localSheetId="5">'1.帳票イメージ（税率別の表現)'!$A$1:$EC$134</definedName>
    <definedName name="_xlnm.Print_Area" localSheetId="4">'1.帳票イメージ（品目別内訳、店舗別内訳で改ページ）'!$A$1:$EC$142</definedName>
    <definedName name="_xlnm.Print_Area" localSheetId="1">'1.帳票レイアウト'!$A$1:$EC$142</definedName>
    <definedName name="_xlnm.Print_Area" localSheetId="6">'2.条件表'!$A$1:$BJ$76</definedName>
    <definedName name="_xlnm.Print_Area" localSheetId="7">'3.項目説明'!$A$1:$BJ$70</definedName>
    <definedName name="_xlnm.Print_Area" localSheetId="0">変更履歴!$A$1:$BJ$60</definedName>
    <definedName name="_xlnm.Print_Titles" localSheetId="7">'3.項目説明'!$1:$8</definedName>
    <definedName name="ね表紙" hidden="1">#REF!</definedName>
    <definedName name="ランク別売単価">#REF!</definedName>
    <definedName name="関連表" hidden="1">#REF!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 i="30" l="1"/>
  <c r="A124" i="30"/>
  <c r="A125" i="30" s="1"/>
  <c r="A126" i="30" s="1"/>
  <c r="A127" i="30" s="1"/>
  <c r="A128" i="30" s="1"/>
  <c r="A129" i="30" s="1"/>
  <c r="A130" i="30" s="1"/>
  <c r="A131" i="30" s="1"/>
  <c r="A132" i="30" s="1"/>
  <c r="A133" i="30" s="1"/>
  <c r="A134" i="30" s="1"/>
  <c r="A135" i="30" s="1"/>
  <c r="A136" i="30" s="1"/>
  <c r="A137" i="30" s="1"/>
  <c r="A138" i="30" s="1"/>
  <c r="A139" i="30" s="1"/>
  <c r="A140" i="30" s="1"/>
  <c r="A141" i="30" s="1"/>
  <c r="A81" i="3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29" i="31" s="1"/>
  <c r="A130" i="31" s="1"/>
  <c r="A131" i="31" s="1"/>
  <c r="A132" i="31" s="1"/>
  <c r="A133" i="31" s="1"/>
  <c r="A134" i="31" s="1"/>
  <c r="A135" i="31" s="1"/>
  <c r="A136" i="31" s="1"/>
  <c r="A137" i="31" s="1"/>
  <c r="A138" i="31" s="1"/>
  <c r="A139" i="31" s="1"/>
  <c r="A140" i="31" s="1"/>
  <c r="A141" i="31" s="1"/>
  <c r="A80" i="31"/>
  <c r="A79" i="31"/>
  <c r="A78" i="31"/>
  <c r="A73" i="31"/>
  <c r="A72" i="31"/>
  <c r="A140" i="24"/>
  <c r="A139" i="24"/>
  <c r="A138" i="24"/>
  <c r="A136" i="24"/>
  <c r="A78" i="24"/>
  <c r="DL68" i="28"/>
  <c r="BB68" i="28"/>
  <c r="BB87" i="33"/>
  <c r="A82" i="33"/>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32" i="33" s="1"/>
  <c r="A133" i="33" s="1"/>
  <c r="A134" i="33" s="1"/>
  <c r="A79" i="33"/>
  <c r="A80" i="33" s="1"/>
  <c r="A81" i="33" s="1"/>
  <c r="EB78" i="33"/>
  <c r="EC78" i="33" s="1"/>
  <c r="DR78" i="33"/>
  <c r="DS78" i="33" s="1"/>
  <c r="DT78" i="33" s="1"/>
  <c r="DU78" i="33" s="1"/>
  <c r="DV78" i="33" s="1"/>
  <c r="DW78" i="33" s="1"/>
  <c r="DX78" i="33" s="1"/>
  <c r="DY78" i="33" s="1"/>
  <c r="DZ78" i="33" s="1"/>
  <c r="DH78" i="33"/>
  <c r="DI78" i="33" s="1"/>
  <c r="DJ78" i="33" s="1"/>
  <c r="DK78" i="33" s="1"/>
  <c r="DL78" i="33" s="1"/>
  <c r="DM78" i="33" s="1"/>
  <c r="DN78" i="33" s="1"/>
  <c r="DO78" i="33" s="1"/>
  <c r="DP78" i="33" s="1"/>
  <c r="CX78" i="33"/>
  <c r="CY78" i="33" s="1"/>
  <c r="CZ78" i="33" s="1"/>
  <c r="DA78" i="33" s="1"/>
  <c r="DB78" i="33" s="1"/>
  <c r="DC78" i="33" s="1"/>
  <c r="DD78" i="33" s="1"/>
  <c r="DE78" i="33" s="1"/>
  <c r="DF78" i="33" s="1"/>
  <c r="CN78" i="33"/>
  <c r="CO78" i="33" s="1"/>
  <c r="CP78" i="33" s="1"/>
  <c r="CQ78" i="33" s="1"/>
  <c r="CR78" i="33" s="1"/>
  <c r="CS78" i="33" s="1"/>
  <c r="CT78" i="33" s="1"/>
  <c r="CU78" i="33" s="1"/>
  <c r="CV78" i="33" s="1"/>
  <c r="CD78" i="33"/>
  <c r="CE78" i="33" s="1"/>
  <c r="CF78" i="33" s="1"/>
  <c r="CG78" i="33" s="1"/>
  <c r="CH78" i="33" s="1"/>
  <c r="CI78" i="33" s="1"/>
  <c r="CJ78" i="33" s="1"/>
  <c r="CK78" i="33" s="1"/>
  <c r="CL78" i="33" s="1"/>
  <c r="BT78" i="33"/>
  <c r="BU78" i="33" s="1"/>
  <c r="BV78" i="33" s="1"/>
  <c r="BW78" i="33" s="1"/>
  <c r="BX78" i="33" s="1"/>
  <c r="BY78" i="33" s="1"/>
  <c r="BZ78" i="33" s="1"/>
  <c r="CA78" i="33" s="1"/>
  <c r="CB78" i="33" s="1"/>
  <c r="BJ78" i="33"/>
  <c r="BK78" i="33" s="1"/>
  <c r="BL78" i="33" s="1"/>
  <c r="BM78" i="33" s="1"/>
  <c r="BN78" i="33" s="1"/>
  <c r="BO78" i="33" s="1"/>
  <c r="BP78" i="33" s="1"/>
  <c r="BQ78" i="33" s="1"/>
  <c r="BR78" i="33" s="1"/>
  <c r="AZ78" i="33"/>
  <c r="BA78" i="33" s="1"/>
  <c r="BB78" i="33" s="1"/>
  <c r="BC78" i="33" s="1"/>
  <c r="BD78" i="33" s="1"/>
  <c r="BE78" i="33" s="1"/>
  <c r="BF78" i="33" s="1"/>
  <c r="BG78" i="33" s="1"/>
  <c r="BH78" i="33" s="1"/>
  <c r="AP78" i="33"/>
  <c r="AQ78" i="33" s="1"/>
  <c r="AR78" i="33" s="1"/>
  <c r="AS78" i="33" s="1"/>
  <c r="AT78" i="33" s="1"/>
  <c r="AU78" i="33" s="1"/>
  <c r="AV78" i="33" s="1"/>
  <c r="AW78" i="33" s="1"/>
  <c r="AX78" i="33" s="1"/>
  <c r="AF78" i="33"/>
  <c r="AG78" i="33" s="1"/>
  <c r="AH78" i="33" s="1"/>
  <c r="AI78" i="33" s="1"/>
  <c r="AJ78" i="33" s="1"/>
  <c r="AK78" i="33" s="1"/>
  <c r="AL78" i="33" s="1"/>
  <c r="AM78" i="33" s="1"/>
  <c r="AN78" i="33" s="1"/>
  <c r="V78" i="33"/>
  <c r="W78" i="33" s="1"/>
  <c r="X78" i="33" s="1"/>
  <c r="Y78" i="33" s="1"/>
  <c r="Z78" i="33" s="1"/>
  <c r="AA78" i="33" s="1"/>
  <c r="AB78" i="33" s="1"/>
  <c r="AC78" i="33" s="1"/>
  <c r="AD78" i="33" s="1"/>
  <c r="L78" i="33"/>
  <c r="M78" i="33" s="1"/>
  <c r="N78" i="33" s="1"/>
  <c r="O78" i="33" s="1"/>
  <c r="P78" i="33" s="1"/>
  <c r="Q78" i="33" s="1"/>
  <c r="R78" i="33" s="1"/>
  <c r="S78" i="33" s="1"/>
  <c r="T78" i="33" s="1"/>
  <c r="B78" i="33"/>
  <c r="C78" i="33" s="1"/>
  <c r="D78" i="33" s="1"/>
  <c r="E78" i="33" s="1"/>
  <c r="F78" i="33" s="1"/>
  <c r="G78" i="33" s="1"/>
  <c r="H78" i="33" s="1"/>
  <c r="I78" i="33" s="1"/>
  <c r="J78" i="33" s="1"/>
  <c r="CO62" i="33"/>
  <c r="Q62" i="33"/>
  <c r="CO61" i="33"/>
  <c r="BV61" i="33"/>
  <c r="Q61" i="33"/>
  <c r="BC60" i="33"/>
  <c r="AJ60" i="33"/>
  <c r="CO59" i="33"/>
  <c r="BV58" i="33"/>
  <c r="DH58" i="33" s="1"/>
  <c r="Q57" i="33"/>
  <c r="Q59" i="33" s="1"/>
  <c r="BV56" i="33"/>
  <c r="DH56" i="33" s="1"/>
  <c r="DH61" i="33" s="1"/>
  <c r="CO52" i="33"/>
  <c r="Q52" i="33"/>
  <c r="BV50" i="33"/>
  <c r="DH50" i="33" s="1"/>
  <c r="A9" i="33"/>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EB8" i="33"/>
  <c r="EC8" i="33" s="1"/>
  <c r="DR8" i="33"/>
  <c r="DS8" i="33" s="1"/>
  <c r="DT8" i="33" s="1"/>
  <c r="DU8" i="33" s="1"/>
  <c r="DV8" i="33" s="1"/>
  <c r="DW8" i="33" s="1"/>
  <c r="DX8" i="33" s="1"/>
  <c r="DY8" i="33" s="1"/>
  <c r="DZ8" i="33" s="1"/>
  <c r="DH8" i="33"/>
  <c r="DI8" i="33" s="1"/>
  <c r="DJ8" i="33" s="1"/>
  <c r="DK8" i="33" s="1"/>
  <c r="DL8" i="33" s="1"/>
  <c r="DM8" i="33" s="1"/>
  <c r="DN8" i="33" s="1"/>
  <c r="DO8" i="33" s="1"/>
  <c r="DP8" i="33" s="1"/>
  <c r="CX8" i="33"/>
  <c r="CY8" i="33" s="1"/>
  <c r="CZ8" i="33" s="1"/>
  <c r="DA8" i="33" s="1"/>
  <c r="DB8" i="33" s="1"/>
  <c r="DC8" i="33" s="1"/>
  <c r="DD8" i="33" s="1"/>
  <c r="DE8" i="33" s="1"/>
  <c r="DF8" i="33" s="1"/>
  <c r="CN8" i="33"/>
  <c r="CO8" i="33" s="1"/>
  <c r="CP8" i="33" s="1"/>
  <c r="CQ8" i="33" s="1"/>
  <c r="CR8" i="33" s="1"/>
  <c r="CS8" i="33" s="1"/>
  <c r="CT8" i="33" s="1"/>
  <c r="CU8" i="33" s="1"/>
  <c r="CV8" i="33" s="1"/>
  <c r="CD8" i="33"/>
  <c r="CE8" i="33" s="1"/>
  <c r="CF8" i="33" s="1"/>
  <c r="CG8" i="33" s="1"/>
  <c r="CH8" i="33" s="1"/>
  <c r="CI8" i="33" s="1"/>
  <c r="CJ8" i="33" s="1"/>
  <c r="CK8" i="33" s="1"/>
  <c r="CL8" i="33" s="1"/>
  <c r="BT8" i="33"/>
  <c r="BU8" i="33" s="1"/>
  <c r="BV8" i="33" s="1"/>
  <c r="BW8" i="33" s="1"/>
  <c r="BX8" i="33" s="1"/>
  <c r="BY8" i="33" s="1"/>
  <c r="BZ8" i="33" s="1"/>
  <c r="CA8" i="33" s="1"/>
  <c r="CB8" i="33" s="1"/>
  <c r="BJ8" i="33"/>
  <c r="BK8" i="33" s="1"/>
  <c r="BL8" i="33" s="1"/>
  <c r="BM8" i="33" s="1"/>
  <c r="BN8" i="33" s="1"/>
  <c r="BO8" i="33" s="1"/>
  <c r="BP8" i="33" s="1"/>
  <c r="BQ8" i="33" s="1"/>
  <c r="BR8" i="33" s="1"/>
  <c r="AZ8" i="33"/>
  <c r="BA8" i="33" s="1"/>
  <c r="BB8" i="33" s="1"/>
  <c r="BC8" i="33" s="1"/>
  <c r="BD8" i="33" s="1"/>
  <c r="BE8" i="33" s="1"/>
  <c r="BF8" i="33" s="1"/>
  <c r="BG8" i="33" s="1"/>
  <c r="BH8" i="33" s="1"/>
  <c r="AP8" i="33"/>
  <c r="AQ8" i="33" s="1"/>
  <c r="AR8" i="33" s="1"/>
  <c r="AS8" i="33" s="1"/>
  <c r="AT8" i="33" s="1"/>
  <c r="AU8" i="33" s="1"/>
  <c r="AV8" i="33" s="1"/>
  <c r="AW8" i="33" s="1"/>
  <c r="AX8" i="33" s="1"/>
  <c r="AF8" i="33"/>
  <c r="AG8" i="33" s="1"/>
  <c r="AH8" i="33" s="1"/>
  <c r="AI8" i="33" s="1"/>
  <c r="AJ8" i="33" s="1"/>
  <c r="AK8" i="33" s="1"/>
  <c r="AL8" i="33" s="1"/>
  <c r="AM8" i="33" s="1"/>
  <c r="AN8" i="33" s="1"/>
  <c r="V8" i="33"/>
  <c r="W8" i="33" s="1"/>
  <c r="X8" i="33" s="1"/>
  <c r="Y8" i="33" s="1"/>
  <c r="Z8" i="33" s="1"/>
  <c r="AA8" i="33" s="1"/>
  <c r="AB8" i="33" s="1"/>
  <c r="AC8" i="33" s="1"/>
  <c r="AD8" i="33" s="1"/>
  <c r="L8" i="33"/>
  <c r="M8" i="33" s="1"/>
  <c r="N8" i="33" s="1"/>
  <c r="O8" i="33" s="1"/>
  <c r="P8" i="33" s="1"/>
  <c r="Q8" i="33" s="1"/>
  <c r="R8" i="33" s="1"/>
  <c r="S8" i="33" s="1"/>
  <c r="T8" i="33" s="1"/>
  <c r="B8" i="33"/>
  <c r="C8" i="33" s="1"/>
  <c r="D8" i="33" s="1"/>
  <c r="E8" i="33" s="1"/>
  <c r="F8" i="33" s="1"/>
  <c r="G8" i="33" s="1"/>
  <c r="H8" i="33" s="1"/>
  <c r="I8" i="33" s="1"/>
  <c r="J8" i="33" s="1"/>
  <c r="CO60" i="33" l="1"/>
  <c r="Q60" i="33"/>
  <c r="BV52" i="33"/>
  <c r="BV57" i="33"/>
  <c r="BV62" i="33"/>
  <c r="BV59" i="33"/>
  <c r="BV60" i="33" s="1"/>
  <c r="DH52" i="33"/>
  <c r="DH57" i="33"/>
  <c r="DH59" i="33" s="1"/>
  <c r="DH62" i="33" l="1"/>
  <c r="DH60" i="33"/>
  <c r="BB67" i="30" l="1"/>
  <c r="DL102" i="31"/>
  <c r="BB103" i="31"/>
  <c r="DH95" i="31"/>
  <c r="DH94" i="31"/>
  <c r="CO95" i="31"/>
  <c r="CO94" i="31"/>
  <c r="BV95" i="31"/>
  <c r="BV94" i="31"/>
  <c r="Q95" i="31"/>
  <c r="Q94" i="31"/>
  <c r="Q92" i="31"/>
  <c r="Q86" i="31"/>
  <c r="Q70" i="31"/>
  <c r="Q64" i="31"/>
  <c r="Q58" i="31"/>
  <c r="DH70" i="31"/>
  <c r="CO70" i="31"/>
  <c r="BV70" i="31"/>
  <c r="DH64" i="31"/>
  <c r="DL103" i="31" s="1"/>
  <c r="CO64" i="31"/>
  <c r="BV64" i="31"/>
  <c r="DH58" i="31"/>
  <c r="CO58" i="31"/>
  <c r="BV58" i="31"/>
  <c r="A77" i="31"/>
  <c r="EB76" i="31"/>
  <c r="EC76" i="31" s="1"/>
  <c r="DR76" i="31"/>
  <c r="DS76" i="31" s="1"/>
  <c r="DT76" i="31" s="1"/>
  <c r="DU76" i="31" s="1"/>
  <c r="DV76" i="31" s="1"/>
  <c r="DW76" i="31" s="1"/>
  <c r="DX76" i="31" s="1"/>
  <c r="DY76" i="31" s="1"/>
  <c r="DZ76" i="31" s="1"/>
  <c r="DH76" i="31"/>
  <c r="DI76" i="31" s="1"/>
  <c r="DJ76" i="31" s="1"/>
  <c r="DK76" i="31" s="1"/>
  <c r="DL76" i="31" s="1"/>
  <c r="DM76" i="31" s="1"/>
  <c r="DN76" i="31" s="1"/>
  <c r="DO76" i="31" s="1"/>
  <c r="DP76" i="31" s="1"/>
  <c r="CX76" i="31"/>
  <c r="CY76" i="31" s="1"/>
  <c r="CZ76" i="31" s="1"/>
  <c r="DA76" i="31" s="1"/>
  <c r="DB76" i="31" s="1"/>
  <c r="DC76" i="31" s="1"/>
  <c r="DD76" i="31" s="1"/>
  <c r="DE76" i="31" s="1"/>
  <c r="DF76" i="31" s="1"/>
  <c r="CN76" i="31"/>
  <c r="CO76" i="31" s="1"/>
  <c r="CP76" i="31" s="1"/>
  <c r="CQ76" i="31" s="1"/>
  <c r="CR76" i="31" s="1"/>
  <c r="CS76" i="31" s="1"/>
  <c r="CT76" i="31" s="1"/>
  <c r="CU76" i="31" s="1"/>
  <c r="CV76" i="31" s="1"/>
  <c r="CD76" i="31"/>
  <c r="CE76" i="31" s="1"/>
  <c r="CF76" i="31" s="1"/>
  <c r="CG76" i="31" s="1"/>
  <c r="CH76" i="31" s="1"/>
  <c r="CI76" i="31" s="1"/>
  <c r="CJ76" i="31" s="1"/>
  <c r="CK76" i="31" s="1"/>
  <c r="CL76" i="31" s="1"/>
  <c r="BT76" i="31"/>
  <c r="BU76" i="31" s="1"/>
  <c r="BV76" i="31" s="1"/>
  <c r="BW76" i="31" s="1"/>
  <c r="BX76" i="31" s="1"/>
  <c r="BY76" i="31" s="1"/>
  <c r="BZ76" i="31" s="1"/>
  <c r="CA76" i="31" s="1"/>
  <c r="CB76" i="31" s="1"/>
  <c r="BJ76" i="31"/>
  <c r="BK76" i="31" s="1"/>
  <c r="BL76" i="31" s="1"/>
  <c r="BM76" i="31" s="1"/>
  <c r="BN76" i="31" s="1"/>
  <c r="BO76" i="31" s="1"/>
  <c r="BP76" i="31" s="1"/>
  <c r="BQ76" i="31" s="1"/>
  <c r="BR76" i="31" s="1"/>
  <c r="AZ76" i="31"/>
  <c r="BA76" i="31" s="1"/>
  <c r="BB76" i="31" s="1"/>
  <c r="BC76" i="31" s="1"/>
  <c r="BD76" i="31" s="1"/>
  <c r="BE76" i="31" s="1"/>
  <c r="BF76" i="31" s="1"/>
  <c r="BG76" i="31" s="1"/>
  <c r="BH76" i="31" s="1"/>
  <c r="AP76" i="31"/>
  <c r="AQ76" i="31" s="1"/>
  <c r="AR76" i="31" s="1"/>
  <c r="AS76" i="31" s="1"/>
  <c r="AT76" i="31" s="1"/>
  <c r="AU76" i="31" s="1"/>
  <c r="AV76" i="31" s="1"/>
  <c r="AW76" i="31" s="1"/>
  <c r="AX76" i="31" s="1"/>
  <c r="AF76" i="31"/>
  <c r="AG76" i="31" s="1"/>
  <c r="AH76" i="31" s="1"/>
  <c r="AI76" i="31" s="1"/>
  <c r="AJ76" i="31" s="1"/>
  <c r="AK76" i="31" s="1"/>
  <c r="AL76" i="31" s="1"/>
  <c r="AM76" i="31" s="1"/>
  <c r="AN76" i="31" s="1"/>
  <c r="V76" i="31"/>
  <c r="W76" i="31" s="1"/>
  <c r="X76" i="31" s="1"/>
  <c r="Y76" i="31" s="1"/>
  <c r="Z76" i="31" s="1"/>
  <c r="AA76" i="31" s="1"/>
  <c r="AB76" i="31" s="1"/>
  <c r="AC76" i="31" s="1"/>
  <c r="AD76" i="31" s="1"/>
  <c r="L76" i="31"/>
  <c r="M76" i="31" s="1"/>
  <c r="N76" i="31" s="1"/>
  <c r="O76" i="31" s="1"/>
  <c r="P76" i="31" s="1"/>
  <c r="Q76" i="31" s="1"/>
  <c r="R76" i="31" s="1"/>
  <c r="S76" i="31" s="1"/>
  <c r="T76" i="31" s="1"/>
  <c r="B76" i="31"/>
  <c r="C76" i="31" s="1"/>
  <c r="D76" i="31" s="1"/>
  <c r="E76" i="31" s="1"/>
  <c r="F76" i="31" s="1"/>
  <c r="G76" i="31" s="1"/>
  <c r="H76" i="31" s="1"/>
  <c r="I76" i="31" s="1"/>
  <c r="J76" i="31" s="1"/>
  <c r="A74" i="31"/>
  <c r="DH52" i="31"/>
  <c r="BB101" i="31" s="1"/>
  <c r="CO52" i="31"/>
  <c r="BV52" i="31"/>
  <c r="A9" i="3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EB8" i="31"/>
  <c r="EC8" i="31" s="1"/>
  <c r="DR8" i="31"/>
  <c r="DS8" i="31" s="1"/>
  <c r="DT8" i="31" s="1"/>
  <c r="DU8" i="31" s="1"/>
  <c r="DV8" i="31" s="1"/>
  <c r="DW8" i="31" s="1"/>
  <c r="DX8" i="31" s="1"/>
  <c r="DY8" i="31" s="1"/>
  <c r="DZ8" i="31" s="1"/>
  <c r="DH8" i="31"/>
  <c r="DI8" i="31" s="1"/>
  <c r="DJ8" i="31" s="1"/>
  <c r="DK8" i="31" s="1"/>
  <c r="DL8" i="31" s="1"/>
  <c r="DM8" i="31" s="1"/>
  <c r="DN8" i="31" s="1"/>
  <c r="DO8" i="31" s="1"/>
  <c r="DP8" i="31" s="1"/>
  <c r="CX8" i="31"/>
  <c r="CY8" i="31" s="1"/>
  <c r="CZ8" i="31" s="1"/>
  <c r="DA8" i="31" s="1"/>
  <c r="DB8" i="31" s="1"/>
  <c r="DC8" i="31" s="1"/>
  <c r="DD8" i="31" s="1"/>
  <c r="DE8" i="31" s="1"/>
  <c r="DF8" i="31" s="1"/>
  <c r="CN8" i="31"/>
  <c r="CO8" i="31" s="1"/>
  <c r="CP8" i="31" s="1"/>
  <c r="CQ8" i="31" s="1"/>
  <c r="CR8" i="31" s="1"/>
  <c r="CS8" i="31" s="1"/>
  <c r="CT8" i="31" s="1"/>
  <c r="CU8" i="31" s="1"/>
  <c r="CV8" i="31" s="1"/>
  <c r="CD8" i="31"/>
  <c r="CE8" i="31" s="1"/>
  <c r="CF8" i="31" s="1"/>
  <c r="CG8" i="31" s="1"/>
  <c r="CH8" i="31" s="1"/>
  <c r="CI8" i="31" s="1"/>
  <c r="CJ8" i="31" s="1"/>
  <c r="CK8" i="31" s="1"/>
  <c r="CL8" i="31" s="1"/>
  <c r="BT8" i="31"/>
  <c r="BU8" i="31" s="1"/>
  <c r="BV8" i="31" s="1"/>
  <c r="BW8" i="31" s="1"/>
  <c r="BX8" i="31" s="1"/>
  <c r="BY8" i="31" s="1"/>
  <c r="BZ8" i="31" s="1"/>
  <c r="CA8" i="31" s="1"/>
  <c r="CB8" i="31" s="1"/>
  <c r="BJ8" i="31"/>
  <c r="BK8" i="31" s="1"/>
  <c r="BL8" i="31" s="1"/>
  <c r="BM8" i="31" s="1"/>
  <c r="BN8" i="31" s="1"/>
  <c r="BO8" i="31" s="1"/>
  <c r="BP8" i="31" s="1"/>
  <c r="BQ8" i="31" s="1"/>
  <c r="BR8" i="31" s="1"/>
  <c r="AZ8" i="31"/>
  <c r="BA8" i="31" s="1"/>
  <c r="BB8" i="31" s="1"/>
  <c r="BC8" i="31" s="1"/>
  <c r="BD8" i="31" s="1"/>
  <c r="BE8" i="31" s="1"/>
  <c r="BF8" i="31" s="1"/>
  <c r="BG8" i="31" s="1"/>
  <c r="BH8" i="31" s="1"/>
  <c r="AP8" i="31"/>
  <c r="AQ8" i="31" s="1"/>
  <c r="AR8" i="31" s="1"/>
  <c r="AS8" i="31" s="1"/>
  <c r="AT8" i="31" s="1"/>
  <c r="AU8" i="31" s="1"/>
  <c r="AV8" i="31" s="1"/>
  <c r="AW8" i="31" s="1"/>
  <c r="AX8" i="31" s="1"/>
  <c r="AF8" i="31"/>
  <c r="AG8" i="31" s="1"/>
  <c r="AH8" i="31" s="1"/>
  <c r="AI8" i="31" s="1"/>
  <c r="AJ8" i="31" s="1"/>
  <c r="AK8" i="31" s="1"/>
  <c r="AL8" i="31" s="1"/>
  <c r="AM8" i="31" s="1"/>
  <c r="AN8" i="31" s="1"/>
  <c r="V8" i="31"/>
  <c r="W8" i="31" s="1"/>
  <c r="X8" i="31" s="1"/>
  <c r="Y8" i="31" s="1"/>
  <c r="Z8" i="31" s="1"/>
  <c r="AA8" i="31" s="1"/>
  <c r="AB8" i="31" s="1"/>
  <c r="AC8" i="31" s="1"/>
  <c r="AD8" i="31" s="1"/>
  <c r="L8" i="31"/>
  <c r="M8" i="31" s="1"/>
  <c r="N8" i="31" s="1"/>
  <c r="O8" i="31" s="1"/>
  <c r="P8" i="31" s="1"/>
  <c r="Q8" i="31" s="1"/>
  <c r="R8" i="31" s="1"/>
  <c r="S8" i="31" s="1"/>
  <c r="T8" i="31" s="1"/>
  <c r="B8" i="31"/>
  <c r="C8" i="31" s="1"/>
  <c r="D8" i="31" s="1"/>
  <c r="E8" i="31" s="1"/>
  <c r="F8" i="31" s="1"/>
  <c r="G8" i="31" s="1"/>
  <c r="H8" i="31" s="1"/>
  <c r="I8" i="31" s="1"/>
  <c r="J8" i="31" s="1"/>
  <c r="A77" i="30"/>
  <c r="EB76" i="30"/>
  <c r="EC76" i="30" s="1"/>
  <c r="DR76" i="30"/>
  <c r="DS76" i="30" s="1"/>
  <c r="DT76" i="30" s="1"/>
  <c r="DU76" i="30" s="1"/>
  <c r="DV76" i="30" s="1"/>
  <c r="DW76" i="30" s="1"/>
  <c r="DX76" i="30" s="1"/>
  <c r="DY76" i="30" s="1"/>
  <c r="DZ76" i="30" s="1"/>
  <c r="DH76" i="30"/>
  <c r="DI76" i="30" s="1"/>
  <c r="DJ76" i="30" s="1"/>
  <c r="DK76" i="30" s="1"/>
  <c r="DL76" i="30" s="1"/>
  <c r="DM76" i="30" s="1"/>
  <c r="DN76" i="30" s="1"/>
  <c r="DO76" i="30" s="1"/>
  <c r="DP76" i="30" s="1"/>
  <c r="CX76" i="30"/>
  <c r="CY76" i="30" s="1"/>
  <c r="CZ76" i="30" s="1"/>
  <c r="DA76" i="30" s="1"/>
  <c r="DB76" i="30" s="1"/>
  <c r="DC76" i="30" s="1"/>
  <c r="DD76" i="30" s="1"/>
  <c r="DE76" i="30" s="1"/>
  <c r="DF76" i="30" s="1"/>
  <c r="CN76" i="30"/>
  <c r="CO76" i="30" s="1"/>
  <c r="CP76" i="30" s="1"/>
  <c r="CQ76" i="30" s="1"/>
  <c r="CR76" i="30" s="1"/>
  <c r="CS76" i="30" s="1"/>
  <c r="CT76" i="30" s="1"/>
  <c r="CU76" i="30" s="1"/>
  <c r="CV76" i="30" s="1"/>
  <c r="CD76" i="30"/>
  <c r="CE76" i="30" s="1"/>
  <c r="CF76" i="30" s="1"/>
  <c r="CG76" i="30" s="1"/>
  <c r="CH76" i="30" s="1"/>
  <c r="CI76" i="30" s="1"/>
  <c r="CJ76" i="30" s="1"/>
  <c r="CK76" i="30" s="1"/>
  <c r="CL76" i="30" s="1"/>
  <c r="BT76" i="30"/>
  <c r="BU76" i="30" s="1"/>
  <c r="BV76" i="30" s="1"/>
  <c r="BW76" i="30" s="1"/>
  <c r="BX76" i="30" s="1"/>
  <c r="BY76" i="30" s="1"/>
  <c r="BZ76" i="30" s="1"/>
  <c r="CA76" i="30" s="1"/>
  <c r="CB76" i="30" s="1"/>
  <c r="BJ76" i="30"/>
  <c r="BK76" i="30" s="1"/>
  <c r="BL76" i="30" s="1"/>
  <c r="BM76" i="30" s="1"/>
  <c r="BN76" i="30" s="1"/>
  <c r="BO76" i="30" s="1"/>
  <c r="BP76" i="30" s="1"/>
  <c r="BQ76" i="30" s="1"/>
  <c r="BR76" i="30" s="1"/>
  <c r="AZ76" i="30"/>
  <c r="BA76" i="30" s="1"/>
  <c r="BB76" i="30" s="1"/>
  <c r="BC76" i="30" s="1"/>
  <c r="BD76" i="30" s="1"/>
  <c r="BE76" i="30" s="1"/>
  <c r="BF76" i="30" s="1"/>
  <c r="BG76" i="30" s="1"/>
  <c r="BH76" i="30" s="1"/>
  <c r="AP76" i="30"/>
  <c r="AQ76" i="30" s="1"/>
  <c r="AR76" i="30" s="1"/>
  <c r="AS76" i="30" s="1"/>
  <c r="AT76" i="30" s="1"/>
  <c r="AU76" i="30" s="1"/>
  <c r="AV76" i="30" s="1"/>
  <c r="AW76" i="30" s="1"/>
  <c r="AX76" i="30" s="1"/>
  <c r="AF76" i="30"/>
  <c r="AG76" i="30" s="1"/>
  <c r="AH76" i="30" s="1"/>
  <c r="AI76" i="30" s="1"/>
  <c r="AJ76" i="30" s="1"/>
  <c r="AK76" i="30" s="1"/>
  <c r="AL76" i="30" s="1"/>
  <c r="AM76" i="30" s="1"/>
  <c r="AN76" i="30" s="1"/>
  <c r="V76" i="30"/>
  <c r="W76" i="30" s="1"/>
  <c r="X76" i="30" s="1"/>
  <c r="Y76" i="30" s="1"/>
  <c r="Z76" i="30" s="1"/>
  <c r="AA76" i="30" s="1"/>
  <c r="AB76" i="30" s="1"/>
  <c r="AC76" i="30" s="1"/>
  <c r="AD76" i="30" s="1"/>
  <c r="L76" i="30"/>
  <c r="M76" i="30" s="1"/>
  <c r="N76" i="30" s="1"/>
  <c r="O76" i="30" s="1"/>
  <c r="P76" i="30" s="1"/>
  <c r="Q76" i="30" s="1"/>
  <c r="R76" i="30" s="1"/>
  <c r="S76" i="30" s="1"/>
  <c r="T76" i="30" s="1"/>
  <c r="B76" i="30"/>
  <c r="C76" i="30" s="1"/>
  <c r="D76" i="30" s="1"/>
  <c r="E76" i="30" s="1"/>
  <c r="F76" i="30" s="1"/>
  <c r="G76" i="30" s="1"/>
  <c r="H76" i="30" s="1"/>
  <c r="I76" i="30" s="1"/>
  <c r="J76" i="30" s="1"/>
  <c r="A72" i="30"/>
  <c r="A73" i="30" s="1"/>
  <c r="A74" i="30" s="1"/>
  <c r="DL67" i="30"/>
  <c r="DL85" i="30" s="1"/>
  <c r="DL66" i="30"/>
  <c r="DL65" i="30"/>
  <c r="DH61" i="30"/>
  <c r="CO61" i="30"/>
  <c r="BV61" i="30"/>
  <c r="Q61" i="30"/>
  <c r="DH60" i="30"/>
  <c r="CO60" i="30"/>
  <c r="BV60" i="30"/>
  <c r="Q60" i="30"/>
  <c r="Q59" i="30"/>
  <c r="DH58" i="30"/>
  <c r="BB84" i="30" s="1"/>
  <c r="CO58" i="30"/>
  <c r="BV58" i="30"/>
  <c r="DH52" i="30"/>
  <c r="CO52" i="30"/>
  <c r="BV52" i="30"/>
  <c r="A9" i="30"/>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EB8" i="30"/>
  <c r="EC8" i="30" s="1"/>
  <c r="DR8" i="30"/>
  <c r="DS8" i="30" s="1"/>
  <c r="DT8" i="30" s="1"/>
  <c r="DU8" i="30" s="1"/>
  <c r="DV8" i="30" s="1"/>
  <c r="DW8" i="30" s="1"/>
  <c r="DX8" i="30" s="1"/>
  <c r="DY8" i="30" s="1"/>
  <c r="DZ8" i="30" s="1"/>
  <c r="DH8" i="30"/>
  <c r="DI8" i="30" s="1"/>
  <c r="DJ8" i="30" s="1"/>
  <c r="DK8" i="30" s="1"/>
  <c r="DL8" i="30" s="1"/>
  <c r="DM8" i="30" s="1"/>
  <c r="DN8" i="30" s="1"/>
  <c r="DO8" i="30" s="1"/>
  <c r="DP8" i="30" s="1"/>
  <c r="CX8" i="30"/>
  <c r="CY8" i="30" s="1"/>
  <c r="CZ8" i="30" s="1"/>
  <c r="DA8" i="30" s="1"/>
  <c r="DB8" i="30" s="1"/>
  <c r="DC8" i="30" s="1"/>
  <c r="DD8" i="30" s="1"/>
  <c r="DE8" i="30" s="1"/>
  <c r="DF8" i="30" s="1"/>
  <c r="CN8" i="30"/>
  <c r="CO8" i="30" s="1"/>
  <c r="CP8" i="30" s="1"/>
  <c r="CQ8" i="30" s="1"/>
  <c r="CR8" i="30" s="1"/>
  <c r="CS8" i="30" s="1"/>
  <c r="CT8" i="30" s="1"/>
  <c r="CU8" i="30" s="1"/>
  <c r="CV8" i="30" s="1"/>
  <c r="CD8" i="30"/>
  <c r="CE8" i="30" s="1"/>
  <c r="CF8" i="30" s="1"/>
  <c r="CG8" i="30" s="1"/>
  <c r="CH8" i="30" s="1"/>
  <c r="CI8" i="30" s="1"/>
  <c r="CJ8" i="30" s="1"/>
  <c r="CK8" i="30" s="1"/>
  <c r="CL8" i="30" s="1"/>
  <c r="BT8" i="30"/>
  <c r="BU8" i="30" s="1"/>
  <c r="BV8" i="30" s="1"/>
  <c r="BW8" i="30" s="1"/>
  <c r="BX8" i="30" s="1"/>
  <c r="BY8" i="30" s="1"/>
  <c r="BZ8" i="30" s="1"/>
  <c r="CA8" i="30" s="1"/>
  <c r="CB8" i="30" s="1"/>
  <c r="BJ8" i="30"/>
  <c r="BK8" i="30" s="1"/>
  <c r="BL8" i="30" s="1"/>
  <c r="BM8" i="30" s="1"/>
  <c r="BN8" i="30" s="1"/>
  <c r="BO8" i="30" s="1"/>
  <c r="BP8" i="30" s="1"/>
  <c r="BQ8" i="30" s="1"/>
  <c r="BR8" i="30" s="1"/>
  <c r="AZ8" i="30"/>
  <c r="BA8" i="30" s="1"/>
  <c r="BB8" i="30" s="1"/>
  <c r="BC8" i="30" s="1"/>
  <c r="BD8" i="30" s="1"/>
  <c r="BE8" i="30" s="1"/>
  <c r="BF8" i="30" s="1"/>
  <c r="BG8" i="30" s="1"/>
  <c r="BH8" i="30" s="1"/>
  <c r="AP8" i="30"/>
  <c r="AQ8" i="30" s="1"/>
  <c r="AR8" i="30" s="1"/>
  <c r="AS8" i="30" s="1"/>
  <c r="AT8" i="30" s="1"/>
  <c r="AU8" i="30" s="1"/>
  <c r="AV8" i="30" s="1"/>
  <c r="AW8" i="30" s="1"/>
  <c r="AX8" i="30" s="1"/>
  <c r="AF8" i="30"/>
  <c r="AG8" i="30" s="1"/>
  <c r="AH8" i="30" s="1"/>
  <c r="AI8" i="30" s="1"/>
  <c r="AJ8" i="30" s="1"/>
  <c r="AK8" i="30" s="1"/>
  <c r="AL8" i="30" s="1"/>
  <c r="AM8" i="30" s="1"/>
  <c r="AN8" i="30" s="1"/>
  <c r="V8" i="30"/>
  <c r="W8" i="30" s="1"/>
  <c r="X8" i="30" s="1"/>
  <c r="Y8" i="30" s="1"/>
  <c r="Z8" i="30" s="1"/>
  <c r="AA8" i="30" s="1"/>
  <c r="AB8" i="30" s="1"/>
  <c r="AC8" i="30" s="1"/>
  <c r="AD8" i="30" s="1"/>
  <c r="L8" i="30"/>
  <c r="M8" i="30" s="1"/>
  <c r="N8" i="30" s="1"/>
  <c r="O8" i="30" s="1"/>
  <c r="P8" i="30" s="1"/>
  <c r="Q8" i="30" s="1"/>
  <c r="R8" i="30" s="1"/>
  <c r="S8" i="30" s="1"/>
  <c r="T8" i="30" s="1"/>
  <c r="B8" i="30"/>
  <c r="C8" i="30" s="1"/>
  <c r="D8" i="30" s="1"/>
  <c r="E8" i="30" s="1"/>
  <c r="F8" i="30" s="1"/>
  <c r="G8" i="30" s="1"/>
  <c r="H8" i="30" s="1"/>
  <c r="I8" i="30" s="1"/>
  <c r="J8" i="30" s="1"/>
  <c r="DL67" i="28"/>
  <c r="DL66" i="28"/>
  <c r="DL65" i="28"/>
  <c r="Q61" i="28"/>
  <c r="Q60" i="28"/>
  <c r="Q59" i="28"/>
  <c r="BV58" i="28"/>
  <c r="BV52" i="28"/>
  <c r="CO52" i="28"/>
  <c r="CO58" i="28"/>
  <c r="DH58" i="28"/>
  <c r="DH52" i="28"/>
  <c r="BB67" i="28"/>
  <c r="BB66" i="28"/>
  <c r="BB65" i="28"/>
  <c r="DH61" i="28"/>
  <c r="DH60" i="28"/>
  <c r="CO61" i="28"/>
  <c r="CO60" i="28"/>
  <c r="BV60" i="28"/>
  <c r="BV61" i="28"/>
  <c r="BV59" i="30" l="1"/>
  <c r="DH59" i="30"/>
  <c r="BB69" i="30"/>
  <c r="BB66" i="30"/>
  <c r="BB68" i="30"/>
  <c r="CO59" i="30"/>
  <c r="BB70" i="30"/>
  <c r="A34" i="3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BV93" i="31"/>
  <c r="CO93" i="31"/>
  <c r="DH93" i="31"/>
  <c r="BB102" i="31"/>
  <c r="BB104" i="31" s="1"/>
  <c r="Q93" i="31"/>
  <c r="DL101" i="31"/>
  <c r="DL104" i="31" s="1"/>
  <c r="BB80" i="30"/>
  <c r="BB82" i="30"/>
  <c r="BB65" i="30"/>
  <c r="BB83" i="30"/>
  <c r="BB71" i="30"/>
  <c r="BB81" i="30"/>
  <c r="A142" i="31"/>
  <c r="A70" i="30"/>
  <c r="A71" i="30" s="1"/>
  <c r="CO59" i="28"/>
  <c r="BV59" i="28"/>
  <c r="DH59" i="28"/>
  <c r="BB85" i="30" l="1"/>
  <c r="BJ8" i="24" l="1"/>
  <c r="BK8" i="24" s="1"/>
  <c r="BL8" i="24" s="1"/>
  <c r="BM8" i="24" s="1"/>
  <c r="BN8" i="24" s="1"/>
  <c r="BO8" i="24" s="1"/>
  <c r="BP8" i="24" s="1"/>
  <c r="BQ8" i="24" s="1"/>
  <c r="BR8" i="24" s="1"/>
  <c r="AF8" i="24"/>
  <c r="AG8" i="24" s="1"/>
  <c r="AH8" i="24" s="1"/>
  <c r="AI8" i="24" s="1"/>
  <c r="AJ8" i="24" s="1"/>
  <c r="AK8" i="24" s="1"/>
  <c r="AL8" i="24" s="1"/>
  <c r="AM8" i="24" s="1"/>
  <c r="AN8" i="24" s="1"/>
  <c r="V8" i="24"/>
  <c r="W8" i="24" s="1"/>
  <c r="X8" i="24" s="1"/>
  <c r="Y8" i="24" s="1"/>
  <c r="Z8" i="24" s="1"/>
  <c r="AA8" i="24" s="1"/>
  <c r="AB8" i="24" s="1"/>
  <c r="AC8" i="24" s="1"/>
  <c r="AD8" i="24" s="1"/>
  <c r="L8" i="24"/>
  <c r="M8" i="24" s="1"/>
  <c r="N8" i="24" s="1"/>
  <c r="O8" i="24" s="1"/>
  <c r="P8" i="24" s="1"/>
  <c r="Q8" i="24" s="1"/>
  <c r="R8" i="24" s="1"/>
  <c r="S8" i="24" s="1"/>
  <c r="T8" i="24" s="1"/>
  <c r="A77" i="24" l="1"/>
  <c r="A79" i="24" l="1"/>
  <c r="A80" i="24" s="1"/>
  <c r="A81" i="24" s="1"/>
  <c r="A82" i="24" s="1"/>
  <c r="A83" i="24" s="1"/>
  <c r="A84" i="24" s="1"/>
  <c r="A85" i="24" s="1"/>
  <c r="A86" i="24" s="1"/>
  <c r="A87" i="24" s="1"/>
  <c r="EB76" i="24"/>
  <c r="EC76" i="24" s="1"/>
  <c r="DR76" i="24"/>
  <c r="DS76" i="24" s="1"/>
  <c r="DT76" i="24" s="1"/>
  <c r="DU76" i="24" s="1"/>
  <c r="DV76" i="24" s="1"/>
  <c r="DW76" i="24" s="1"/>
  <c r="DX76" i="24" s="1"/>
  <c r="DH76" i="24"/>
  <c r="DI76" i="24" s="1"/>
  <c r="DJ76" i="24" s="1"/>
  <c r="DK76" i="24" s="1"/>
  <c r="CX76" i="24"/>
  <c r="CL76" i="24" s="1"/>
  <c r="CN76" i="24"/>
  <c r="CO76" i="24" s="1"/>
  <c r="CP76" i="24" s="1"/>
  <c r="CQ76" i="24" s="1"/>
  <c r="CR76" i="24" s="1"/>
  <c r="CS76" i="24" s="1"/>
  <c r="CT76" i="24" s="1"/>
  <c r="CU76" i="24" s="1"/>
  <c r="CV76" i="24" s="1"/>
  <c r="CD76" i="24"/>
  <c r="CE76" i="24" s="1"/>
  <c r="CF76" i="24" s="1"/>
  <c r="CG76" i="24" s="1"/>
  <c r="CH76" i="24" s="1"/>
  <c r="CI76" i="24" s="1"/>
  <c r="CJ76" i="24" s="1"/>
  <c r="CK76" i="24" s="1"/>
  <c r="BT76" i="24"/>
  <c r="BU76" i="24" s="1"/>
  <c r="BV76" i="24" s="1"/>
  <c r="BW76" i="24" s="1"/>
  <c r="BX76" i="24" s="1"/>
  <c r="BJ76" i="24"/>
  <c r="BK76" i="24" s="1"/>
  <c r="AZ76" i="24"/>
  <c r="BA76" i="24" s="1"/>
  <c r="BB76" i="24" s="1"/>
  <c r="BC76" i="24" s="1"/>
  <c r="BD76" i="24" s="1"/>
  <c r="BE76" i="24" s="1"/>
  <c r="BF76" i="24" s="1"/>
  <c r="BG76" i="24" s="1"/>
  <c r="BH76" i="24" s="1"/>
  <c r="AP76" i="24"/>
  <c r="AQ76" i="24" s="1"/>
  <c r="AR76" i="24" s="1"/>
  <c r="AS76" i="24" s="1"/>
  <c r="AT76" i="24" s="1"/>
  <c r="AU76" i="24" s="1"/>
  <c r="AV76" i="24" s="1"/>
  <c r="AW76" i="24" s="1"/>
  <c r="AX76" i="24" s="1"/>
  <c r="AL76" i="24" s="1"/>
  <c r="AM76" i="24" s="1"/>
  <c r="AN76" i="24" s="1"/>
  <c r="AF76" i="24"/>
  <c r="AG76" i="24" s="1"/>
  <c r="AH76" i="24" s="1"/>
  <c r="AI76" i="24" s="1"/>
  <c r="AJ76" i="24" s="1"/>
  <c r="AK76" i="24" s="1"/>
  <c r="V76" i="24"/>
  <c r="W76" i="24" s="1"/>
  <c r="X76" i="24" s="1"/>
  <c r="B76" i="24"/>
  <c r="C76" i="24" s="1"/>
  <c r="D76" i="24" s="1"/>
  <c r="E76" i="24" s="1"/>
  <c r="F76" i="24" s="1"/>
  <c r="G76" i="24" s="1"/>
  <c r="H76" i="24" s="1"/>
  <c r="I76" i="24" s="1"/>
  <c r="J76" i="24" s="1"/>
  <c r="A88" i="24" l="1"/>
  <c r="A89" i="24" s="1"/>
  <c r="A90" i="24" s="1"/>
  <c r="A91" i="24" s="1"/>
  <c r="A92" i="24" s="1"/>
  <c r="A93" i="24" s="1"/>
  <c r="Y76" i="24"/>
  <c r="Z76" i="24" s="1"/>
  <c r="AA76" i="24" s="1"/>
  <c r="AB76" i="24" s="1"/>
  <c r="AC76" i="24" s="1"/>
  <c r="AD76" i="24" s="1"/>
  <c r="L76" i="24"/>
  <c r="M76" i="24" s="1"/>
  <c r="N76" i="24" s="1"/>
  <c r="O76" i="24" s="1"/>
  <c r="P76" i="24" s="1"/>
  <c r="Q76" i="24" s="1"/>
  <c r="R76" i="24" s="1"/>
  <c r="S76" i="24" s="1"/>
  <c r="T76" i="24" s="1"/>
  <c r="DY76" i="24"/>
  <c r="DZ76" i="24" s="1"/>
  <c r="DL76" i="24"/>
  <c r="DM76" i="24" s="1"/>
  <c r="DN76" i="24" s="1"/>
  <c r="DO76" i="24" s="1"/>
  <c r="DP76" i="24" s="1"/>
  <c r="BY76" i="24"/>
  <c r="BZ76" i="24" s="1"/>
  <c r="CA76" i="24" s="1"/>
  <c r="CB76" i="24" s="1"/>
  <c r="BL76" i="24"/>
  <c r="BM76" i="24" s="1"/>
  <c r="BN76" i="24" s="1"/>
  <c r="BO76" i="24" s="1"/>
  <c r="BP76" i="24" s="1"/>
  <c r="BQ76" i="24" s="1"/>
  <c r="BR76" i="24" s="1"/>
  <c r="CY76" i="24"/>
  <c r="CZ76" i="24" s="1"/>
  <c r="DA76" i="24" s="1"/>
  <c r="DB76" i="24" s="1"/>
  <c r="DC76" i="24" s="1"/>
  <c r="DD76" i="24" s="1"/>
  <c r="DE76" i="24" s="1"/>
  <c r="DF76" i="24" s="1"/>
  <c r="A94" i="24" l="1"/>
  <c r="A95" i="24" s="1"/>
  <c r="A96" i="24" s="1"/>
  <c r="A97" i="24" s="1"/>
  <c r="A98" i="24" s="1"/>
  <c r="A99" i="24" s="1"/>
  <c r="DH8" i="24"/>
  <c r="DI8" i="24" s="1"/>
  <c r="DJ8" i="24" s="1"/>
  <c r="DK8" i="24" s="1"/>
  <c r="DR8" i="24"/>
  <c r="DS8" i="24" s="1"/>
  <c r="DT8" i="24" s="1"/>
  <c r="DU8" i="24" s="1"/>
  <c r="DV8" i="24" s="1"/>
  <c r="DW8" i="24" s="1"/>
  <c r="DX8" i="24" s="1"/>
  <c r="A100" i="24" l="1"/>
  <c r="A101" i="24" s="1"/>
  <c r="A102" i="24" s="1"/>
  <c r="A103" i="24" s="1"/>
  <c r="A104" i="24" s="1"/>
  <c r="A105" i="24" s="1"/>
  <c r="DY8" i="24"/>
  <c r="DZ8" i="24" s="1"/>
  <c r="DL8" i="24"/>
  <c r="DM8" i="24" s="1"/>
  <c r="DN8" i="24" s="1"/>
  <c r="DO8" i="24" s="1"/>
  <c r="DP8" i="24" s="1"/>
  <c r="A9" i="28"/>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1" i="28" s="1"/>
  <c r="A32" i="28" s="1"/>
  <c r="A33" i="28" s="1"/>
  <c r="A34" i="28" s="1"/>
  <c r="A35" i="28" s="1"/>
  <c r="A36" i="28" s="1"/>
  <c r="A37" i="28" s="1"/>
  <c r="A38" i="28" s="1"/>
  <c r="A39" i="28" s="1"/>
  <c r="A40" i="28" s="1"/>
  <c r="A30" i="28" s="1"/>
  <c r="EB8" i="28"/>
  <c r="EC8" i="28" s="1"/>
  <c r="DR8" i="28"/>
  <c r="DS8" i="28" s="1"/>
  <c r="DT8" i="28" s="1"/>
  <c r="DU8" i="28" s="1"/>
  <c r="DV8" i="28" s="1"/>
  <c r="DW8" i="28" s="1"/>
  <c r="DX8" i="28" s="1"/>
  <c r="DY8" i="28" s="1"/>
  <c r="DZ8" i="28" s="1"/>
  <c r="DH8" i="28"/>
  <c r="DI8" i="28" s="1"/>
  <c r="DJ8" i="28" s="1"/>
  <c r="DK8" i="28" s="1"/>
  <c r="DL8" i="28" s="1"/>
  <c r="DM8" i="28" s="1"/>
  <c r="DN8" i="28" s="1"/>
  <c r="DO8" i="28" s="1"/>
  <c r="DP8" i="28" s="1"/>
  <c r="CX8" i="28"/>
  <c r="CY8" i="28" s="1"/>
  <c r="CZ8" i="28" s="1"/>
  <c r="DA8" i="28" s="1"/>
  <c r="DB8" i="28" s="1"/>
  <c r="DC8" i="28" s="1"/>
  <c r="DD8" i="28" s="1"/>
  <c r="DE8" i="28" s="1"/>
  <c r="DF8" i="28" s="1"/>
  <c r="CN8" i="28"/>
  <c r="CO8" i="28" s="1"/>
  <c r="CP8" i="28" s="1"/>
  <c r="CQ8" i="28" s="1"/>
  <c r="CR8" i="28" s="1"/>
  <c r="CS8" i="28" s="1"/>
  <c r="CT8" i="28" s="1"/>
  <c r="CU8" i="28" s="1"/>
  <c r="CV8" i="28" s="1"/>
  <c r="CD8" i="28"/>
  <c r="CE8" i="28" s="1"/>
  <c r="CF8" i="28" s="1"/>
  <c r="CG8" i="28" s="1"/>
  <c r="CH8" i="28" s="1"/>
  <c r="CI8" i="28" s="1"/>
  <c r="CJ8" i="28" s="1"/>
  <c r="CK8" i="28" s="1"/>
  <c r="CL8" i="28" s="1"/>
  <c r="BT8" i="28"/>
  <c r="BU8" i="28" s="1"/>
  <c r="BV8" i="28" s="1"/>
  <c r="BW8" i="28" s="1"/>
  <c r="BX8" i="28" s="1"/>
  <c r="BY8" i="28" s="1"/>
  <c r="BZ8" i="28" s="1"/>
  <c r="CA8" i="28" s="1"/>
  <c r="CB8" i="28" s="1"/>
  <c r="BJ8" i="28"/>
  <c r="BK8" i="28" s="1"/>
  <c r="BL8" i="28" s="1"/>
  <c r="BM8" i="28" s="1"/>
  <c r="BN8" i="28" s="1"/>
  <c r="BO8" i="28" s="1"/>
  <c r="BP8" i="28" s="1"/>
  <c r="BQ8" i="28" s="1"/>
  <c r="BR8" i="28" s="1"/>
  <c r="AZ8" i="28"/>
  <c r="BA8" i="28" s="1"/>
  <c r="BB8" i="28" s="1"/>
  <c r="BC8" i="28" s="1"/>
  <c r="BD8" i="28" s="1"/>
  <c r="BE8" i="28" s="1"/>
  <c r="BF8" i="28" s="1"/>
  <c r="BG8" i="28" s="1"/>
  <c r="BH8" i="28" s="1"/>
  <c r="AP8" i="28"/>
  <c r="AQ8" i="28" s="1"/>
  <c r="AR8" i="28" s="1"/>
  <c r="AS8" i="28" s="1"/>
  <c r="AT8" i="28" s="1"/>
  <c r="AU8" i="28" s="1"/>
  <c r="AV8" i="28" s="1"/>
  <c r="AW8" i="28" s="1"/>
  <c r="AX8" i="28" s="1"/>
  <c r="AF8" i="28"/>
  <c r="AG8" i="28" s="1"/>
  <c r="AH8" i="28" s="1"/>
  <c r="AI8" i="28" s="1"/>
  <c r="AJ8" i="28" s="1"/>
  <c r="AK8" i="28" s="1"/>
  <c r="AL8" i="28" s="1"/>
  <c r="AM8" i="28" s="1"/>
  <c r="AN8" i="28" s="1"/>
  <c r="V8" i="28"/>
  <c r="W8" i="28" s="1"/>
  <c r="X8" i="28" s="1"/>
  <c r="Y8" i="28" s="1"/>
  <c r="Z8" i="28" s="1"/>
  <c r="AA8" i="28" s="1"/>
  <c r="AB8" i="28" s="1"/>
  <c r="AC8" i="28" s="1"/>
  <c r="AD8" i="28" s="1"/>
  <c r="L8" i="28"/>
  <c r="M8" i="28" s="1"/>
  <c r="N8" i="28" s="1"/>
  <c r="O8" i="28" s="1"/>
  <c r="P8" i="28" s="1"/>
  <c r="Q8" i="28" s="1"/>
  <c r="R8" i="28" s="1"/>
  <c r="S8" i="28" s="1"/>
  <c r="T8" i="28" s="1"/>
  <c r="B8" i="28"/>
  <c r="C8" i="28" s="1"/>
  <c r="D8" i="28" s="1"/>
  <c r="E8" i="28" s="1"/>
  <c r="F8" i="28" s="1"/>
  <c r="G8" i="28" s="1"/>
  <c r="H8" i="28" s="1"/>
  <c r="I8" i="28" s="1"/>
  <c r="J8" i="28" s="1"/>
  <c r="A9" i="24"/>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1" i="24" s="1"/>
  <c r="A32" i="24" s="1"/>
  <c r="A33" i="24" s="1"/>
  <c r="EB8" i="24"/>
  <c r="EC8" i="24" s="1"/>
  <c r="CX8" i="24"/>
  <c r="CN8" i="24"/>
  <c r="CO8" i="24" s="1"/>
  <c r="CP8" i="24" s="1"/>
  <c r="CQ8" i="24" s="1"/>
  <c r="CR8" i="24" s="1"/>
  <c r="CS8" i="24" s="1"/>
  <c r="CT8" i="24" s="1"/>
  <c r="CU8" i="24" s="1"/>
  <c r="CV8" i="24" s="1"/>
  <c r="CD8" i="24"/>
  <c r="CE8" i="24" s="1"/>
  <c r="CF8" i="24" s="1"/>
  <c r="CG8" i="24" s="1"/>
  <c r="CH8" i="24" s="1"/>
  <c r="CI8" i="24" s="1"/>
  <c r="CJ8" i="24" s="1"/>
  <c r="CK8" i="24" s="1"/>
  <c r="BT8" i="24"/>
  <c r="BU8" i="24" s="1"/>
  <c r="BV8" i="24" s="1"/>
  <c r="BW8" i="24" s="1"/>
  <c r="BX8" i="24" s="1"/>
  <c r="AZ8" i="24"/>
  <c r="BA8" i="24" s="1"/>
  <c r="BB8" i="24" s="1"/>
  <c r="BC8" i="24" s="1"/>
  <c r="BD8" i="24" s="1"/>
  <c r="BE8" i="24" s="1"/>
  <c r="BF8" i="24" s="1"/>
  <c r="BG8" i="24" s="1"/>
  <c r="BH8" i="24" s="1"/>
  <c r="AP8" i="24"/>
  <c r="AQ8" i="24" s="1"/>
  <c r="AR8" i="24" s="1"/>
  <c r="AS8" i="24" s="1"/>
  <c r="AT8" i="24" s="1"/>
  <c r="AU8" i="24" s="1"/>
  <c r="AV8" i="24" s="1"/>
  <c r="AW8" i="24" s="1"/>
  <c r="AX8" i="24" s="1"/>
  <c r="B8" i="24"/>
  <c r="C8" i="24" s="1"/>
  <c r="D8" i="24" s="1"/>
  <c r="E8" i="24" s="1"/>
  <c r="F8" i="24" s="1"/>
  <c r="G8" i="24" s="1"/>
  <c r="H8" i="24" s="1"/>
  <c r="I8" i="24" s="1"/>
  <c r="J8" i="24" s="1"/>
  <c r="A34" i="24" l="1"/>
  <c r="A35" i="24" s="1"/>
  <c r="A36" i="24" s="1"/>
  <c r="A37" i="24" s="1"/>
  <c r="A38" i="24" s="1"/>
  <c r="A39" i="24" s="1"/>
  <c r="A30"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106" i="24"/>
  <c r="A107" i="24" s="1"/>
  <c r="A108" i="24" s="1"/>
  <c r="A109" i="24" s="1"/>
  <c r="A41" i="28"/>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BY8" i="24"/>
  <c r="BZ8" i="24" s="1"/>
  <c r="CA8" i="24" s="1"/>
  <c r="CB8" i="24" s="1"/>
  <c r="CY8" i="24"/>
  <c r="CZ8" i="24" s="1"/>
  <c r="DA8" i="24" s="1"/>
  <c r="DB8" i="24" s="1"/>
  <c r="DC8" i="24" s="1"/>
  <c r="DD8" i="24" s="1"/>
  <c r="DE8" i="24" s="1"/>
  <c r="DF8" i="24" s="1"/>
  <c r="CL8" i="24"/>
  <c r="A110" i="24" l="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7" i="24" s="1"/>
  <c r="A72" i="28"/>
  <c r="A63" i="28"/>
  <c r="A62" i="24"/>
  <c r="A63" i="24" s="1"/>
  <c r="A64" i="24" s="1"/>
  <c r="A65" i="24" s="1"/>
  <c r="A66" i="24" s="1"/>
  <c r="A67" i="24" s="1"/>
  <c r="A68" i="24" s="1"/>
  <c r="A69" i="24" s="1"/>
  <c r="A70" i="24" s="1"/>
  <c r="A71" i="24" s="1"/>
  <c r="A72" i="24" s="1"/>
  <c r="A73" i="24" s="1"/>
  <c r="A74" i="24" s="1"/>
  <c r="A64" i="28" l="1"/>
  <c r="A65" i="28" s="1"/>
  <c r="A66" i="28" s="1"/>
  <c r="A67" i="28" s="1"/>
  <c r="A68" i="28" s="1"/>
  <c r="A69" i="28" s="1"/>
  <c r="A70" i="28" s="1"/>
  <c r="A71" i="28" s="1"/>
  <c r="A141" i="24"/>
  <c r="A142" i="24" s="1"/>
  <c r="A73" i="28"/>
  <c r="A74" i="28" s="1"/>
  <c r="A142" i="30" l="1"/>
  <c r="A78" i="30"/>
  <c r="A79" i="30" s="1"/>
  <c r="A80" i="30" s="1"/>
  <c r="A81" i="30" s="1"/>
  <c r="A82" i="30" s="1"/>
  <c r="A83" i="30" s="1"/>
  <c r="A84" i="30" s="1"/>
  <c r="A85" i="30" s="1"/>
  <c r="A86" i="30" s="1"/>
  <c r="A87" i="30" s="1"/>
  <c r="A88" i="30" s="1"/>
  <c r="A89" i="30" s="1"/>
  <c r="A90" i="30" s="1"/>
  <c r="A91" i="30" s="1"/>
  <c r="A92" i="30" s="1"/>
  <c r="A93" i="30" s="1"/>
  <c r="A94" i="30" s="1"/>
  <c r="A95" i="30" s="1"/>
  <c r="A96" i="30" s="1"/>
  <c r="A97" i="30" s="1"/>
  <c r="A100" i="30" s="1"/>
  <c r="A101" i="30" s="1"/>
  <c r="A102" i="30" s="1"/>
  <c r="A103" i="30" s="1"/>
  <c r="A104" i="30" s="1"/>
  <c r="A105" i="30" s="1"/>
  <c r="A106" i="30" s="1"/>
  <c r="A107" i="30" s="1"/>
  <c r="A108" i="30" s="1"/>
  <c r="A109"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<sst xmlns="http://schemas.openxmlformats.org/spreadsheetml/2006/main" count="2321" uniqueCount="364">
  <si>
    <t>Ｐｈａｓｅ　外部設計工程</t>
    <rPh sb="6" eb="8">
      <t>ガイブ</t>
    </rPh>
    <rPh sb="8" eb="10">
      <t>セッケイ</t>
    </rPh>
    <rPh sb="10" eb="12">
      <t>コウテイ</t>
    </rPh>
    <phoneticPr fontId="8"/>
  </si>
  <si>
    <t>HOKUREN INTERNAL USE ONLY</t>
  </si>
  <si>
    <t>帳票設計書　変更履歴</t>
    <rPh sb="0" eb="2">
      <t>チョウヒョウ</t>
    </rPh>
    <rPh sb="2" eb="5">
      <t>セッケイショ</t>
    </rPh>
    <rPh sb="4" eb="5">
      <t>ショ</t>
    </rPh>
    <rPh sb="6" eb="10">
      <t>ヘンコウリレキ</t>
    </rPh>
    <phoneticPr fontId="8"/>
  </si>
  <si>
    <t>様式No.</t>
    <rPh sb="0" eb="2">
      <t>ヨウシキ</t>
    </rPh>
    <phoneticPr fontId="8"/>
  </si>
  <si>
    <t>F4109-0</t>
    <phoneticPr fontId="8"/>
  </si>
  <si>
    <t>PAGE</t>
    <phoneticPr fontId="8"/>
  </si>
  <si>
    <t>システム名</t>
    <rPh sb="4" eb="5">
      <t>メイ</t>
    </rPh>
    <phoneticPr fontId="8"/>
  </si>
  <si>
    <t>作成日</t>
    <rPh sb="0" eb="2">
      <t>サクセイ</t>
    </rPh>
    <rPh sb="2" eb="3">
      <t>ヒ</t>
    </rPh>
    <phoneticPr fontId="8"/>
  </si>
  <si>
    <t>サブシステム名</t>
    <rPh sb="6" eb="7">
      <t>メイ</t>
    </rPh>
    <phoneticPr fontId="8"/>
  </si>
  <si>
    <t>更新日</t>
    <rPh sb="0" eb="3">
      <t>コウシンビ</t>
    </rPh>
    <phoneticPr fontId="8"/>
  </si>
  <si>
    <t>機能Ｎｏ．</t>
    <rPh sb="0" eb="2">
      <t>キノウ</t>
    </rPh>
    <phoneticPr fontId="7"/>
  </si>
  <si>
    <t>帳票名</t>
    <rPh sb="0" eb="2">
      <t>チョウヒョウ</t>
    </rPh>
    <rPh sb="2" eb="3">
      <t>メイ</t>
    </rPh>
    <phoneticPr fontId="7"/>
  </si>
  <si>
    <t>管理番号</t>
    <rPh sb="0" eb="2">
      <t>カンリ</t>
    </rPh>
    <rPh sb="2" eb="4">
      <t>バンゴウ</t>
    </rPh>
    <phoneticPr fontId="8"/>
  </si>
  <si>
    <t>案件名 / 障害・問合せ件名</t>
    <rPh sb="0" eb="3">
      <t>アンケンメイ</t>
    </rPh>
    <rPh sb="12" eb="14">
      <t>ケンメイ</t>
    </rPh>
    <phoneticPr fontId="17"/>
  </si>
  <si>
    <t>Ｐｈａｓｅ　外部設計工程　</t>
    <rPh sb="10" eb="12">
      <t>コウテイ</t>
    </rPh>
    <phoneticPr fontId="7"/>
  </si>
  <si>
    <t>HOKUREN INTERNAL USE ONLY</t>
    <phoneticPr fontId="4"/>
  </si>
  <si>
    <t>システム名</t>
  </si>
  <si>
    <t>様  式  №</t>
  </si>
  <si>
    <t>F4109-1</t>
    <phoneticPr fontId="7"/>
  </si>
  <si>
    <t>ＰＡＧＥ</t>
    <phoneticPr fontId="4"/>
  </si>
  <si>
    <t>作成日</t>
    <rPh sb="0" eb="2">
      <t>サクセイ</t>
    </rPh>
    <rPh sb="2" eb="3">
      <t>ビ</t>
    </rPh>
    <phoneticPr fontId="4"/>
  </si>
  <si>
    <t>　</t>
    <phoneticPr fontId="7"/>
  </si>
  <si>
    <t>更新日</t>
    <rPh sb="0" eb="3">
      <t>コウシンビ</t>
    </rPh>
    <phoneticPr fontId="4"/>
  </si>
  <si>
    <t>帳  票  名</t>
  </si>
  <si>
    <t xml:space="preserve"> </t>
  </si>
  <si>
    <t>帳票説明書　（作成条件表）</t>
    <rPh sb="0" eb="2">
      <t>チョウヒョウ</t>
    </rPh>
    <rPh sb="2" eb="5">
      <t>セツメイショ</t>
    </rPh>
    <rPh sb="7" eb="9">
      <t>サクセイ</t>
    </rPh>
    <rPh sb="9" eb="11">
      <t>ジョウケン</t>
    </rPh>
    <rPh sb="11" eb="12">
      <t>オモテ</t>
    </rPh>
    <phoneticPr fontId="8"/>
  </si>
  <si>
    <t>F4109-2</t>
    <phoneticPr fontId="8"/>
  </si>
  <si>
    <t>業務名</t>
    <rPh sb="0" eb="2">
      <t>ギョウム</t>
    </rPh>
    <rPh sb="2" eb="3">
      <t>メイ</t>
    </rPh>
    <phoneticPr fontId="8"/>
  </si>
  <si>
    <t>データストア№</t>
    <phoneticPr fontId="7"/>
  </si>
  <si>
    <t>【帳票 用途】</t>
    <rPh sb="4" eb="6">
      <t>ヨウト</t>
    </rPh>
    <phoneticPr fontId="7"/>
  </si>
  <si>
    <t>作成処理
概要</t>
    <rPh sb="0" eb="2">
      <t>サクセイ</t>
    </rPh>
    <rPh sb="2" eb="4">
      <t>ショリ</t>
    </rPh>
    <rPh sb="5" eb="7">
      <t>ガイヨウ</t>
    </rPh>
    <phoneticPr fontId="7"/>
  </si>
  <si>
    <t>入力ファイル　：</t>
    <rPh sb="0" eb="2">
      <t>ニュウリョク</t>
    </rPh>
    <phoneticPr fontId="7"/>
  </si>
  <si>
    <t>対象とするデータの条件　：</t>
    <rPh sb="0" eb="2">
      <t>タイショウ</t>
    </rPh>
    <rPh sb="9" eb="11">
      <t>ジョウケン</t>
    </rPh>
    <phoneticPr fontId="7"/>
  </si>
  <si>
    <t>留意事項：</t>
    <rPh sb="0" eb="2">
      <t>リュウイ</t>
    </rPh>
    <rPh sb="2" eb="4">
      <t>ジコウ</t>
    </rPh>
    <phoneticPr fontId="7"/>
  </si>
  <si>
    <t>帳票ＩＤ</t>
    <rPh sb="0" eb="2">
      <t>チョウヒョウ</t>
    </rPh>
    <phoneticPr fontId="7"/>
  </si>
  <si>
    <t>印刷箇所</t>
    <rPh sb="0" eb="2">
      <t>インサツ</t>
    </rPh>
    <rPh sb="2" eb="4">
      <t>カショ</t>
    </rPh>
    <phoneticPr fontId="7"/>
  </si>
  <si>
    <t>□</t>
    <phoneticPr fontId="7"/>
  </si>
  <si>
    <t>センター印刷（　　1　部）</t>
    <rPh sb="4" eb="6">
      <t>インサツ</t>
    </rPh>
    <rPh sb="11" eb="12">
      <t>ブ</t>
    </rPh>
    <phoneticPr fontId="7"/>
  </si>
  <si>
    <t>印刷装置</t>
    <rPh sb="0" eb="2">
      <t>インサツ</t>
    </rPh>
    <rPh sb="2" eb="4">
      <t>ソウチ</t>
    </rPh>
    <phoneticPr fontId="7"/>
  </si>
  <si>
    <t>■</t>
    <phoneticPr fontId="7"/>
  </si>
  <si>
    <t>レーザープリンター</t>
    <phoneticPr fontId="7"/>
  </si>
  <si>
    <t>オンライン印刷（　　　　　　）</t>
    <rPh sb="5" eb="7">
      <t>インサツ</t>
    </rPh>
    <phoneticPr fontId="7"/>
  </si>
  <si>
    <t>インパクトプリンター</t>
    <phoneticPr fontId="7"/>
  </si>
  <si>
    <t>その他</t>
    <rPh sb="2" eb="3">
      <t>タ</t>
    </rPh>
    <phoneticPr fontId="7"/>
  </si>
  <si>
    <t>（</t>
    <phoneticPr fontId="7"/>
  </si>
  <si>
    <t>）</t>
    <phoneticPr fontId="7"/>
  </si>
  <si>
    <t>印刷用紙</t>
    <rPh sb="0" eb="2">
      <t>インサツ</t>
    </rPh>
    <rPh sb="2" eb="4">
      <t>ヨウシ</t>
    </rPh>
    <phoneticPr fontId="7"/>
  </si>
  <si>
    <t>Ａ４カット紙</t>
    <rPh sb="5" eb="6">
      <t>シ</t>
    </rPh>
    <phoneticPr fontId="7"/>
  </si>
  <si>
    <t>作成サイクル</t>
    <rPh sb="0" eb="2">
      <t>サクセイ</t>
    </rPh>
    <phoneticPr fontId="7"/>
  </si>
  <si>
    <t>随時</t>
    <rPh sb="0" eb="2">
      <t>ズイジ</t>
    </rPh>
    <phoneticPr fontId="7"/>
  </si>
  <si>
    <t>帳票管理ｓ
保管</t>
    <rPh sb="0" eb="2">
      <t>チョウヒョウ</t>
    </rPh>
    <rPh sb="2" eb="4">
      <t>カンリ</t>
    </rPh>
    <rPh sb="6" eb="8">
      <t>ホカン</t>
    </rPh>
    <phoneticPr fontId="7"/>
  </si>
  <si>
    <t>世代数</t>
    <rPh sb="0" eb="2">
      <t>セダイ</t>
    </rPh>
    <rPh sb="2" eb="3">
      <t>スウ</t>
    </rPh>
    <phoneticPr fontId="7"/>
  </si>
  <si>
    <t>連続用紙</t>
    <rPh sb="0" eb="2">
      <t>レンゾク</t>
    </rPh>
    <rPh sb="2" eb="4">
      <t>ヨウシ</t>
    </rPh>
    <phoneticPr fontId="7"/>
  </si>
  <si>
    <t>ｲﾝﾁx</t>
    <phoneticPr fontId="7"/>
  </si>
  <si>
    <t>ｲﾝﾁ</t>
    <phoneticPr fontId="7"/>
  </si>
  <si>
    <t>定型用紙</t>
    <rPh sb="0" eb="2">
      <t>テイケイ</t>
    </rPh>
    <rPh sb="2" eb="4">
      <t>ヨウシ</t>
    </rPh>
    <phoneticPr fontId="7"/>
  </si>
  <si>
    <t>センター印刷時
配布箇所</t>
    <rPh sb="4" eb="6">
      <t>インサツ</t>
    </rPh>
    <rPh sb="6" eb="7">
      <t>ジ</t>
    </rPh>
    <rPh sb="8" eb="10">
      <t>ハイフ</t>
    </rPh>
    <rPh sb="10" eb="12">
      <t>カショ</t>
    </rPh>
    <phoneticPr fontId="7"/>
  </si>
  <si>
    <t>期間日数</t>
    <rPh sb="0" eb="2">
      <t>キカン</t>
    </rPh>
    <rPh sb="2" eb="4">
      <t>ニッスウ</t>
    </rPh>
    <phoneticPr fontId="7"/>
  </si>
  <si>
    <t>（</t>
  </si>
  <si>
    <t>印字サイズ</t>
    <rPh sb="0" eb="2">
      <t>インジ</t>
    </rPh>
    <phoneticPr fontId="7"/>
  </si>
  <si>
    <t>処理タイプ</t>
    <rPh sb="0" eb="2">
      <t>ショリ</t>
    </rPh>
    <phoneticPr fontId="7"/>
  </si>
  <si>
    <t>バッチ</t>
    <phoneticPr fontId="7"/>
  </si>
  <si>
    <t>（　　日中　・　夜間　　）　　</t>
    <rPh sb="3" eb="5">
      <t>ニッチュウ</t>
    </rPh>
    <rPh sb="8" eb="10">
      <t>ヤカン</t>
    </rPh>
    <phoneticPr fontId="7"/>
  </si>
  <si>
    <t>桁</t>
    <rPh sb="0" eb="1">
      <t>ケタ</t>
    </rPh>
    <phoneticPr fontId="7"/>
  </si>
  <si>
    <t>オンライン画面起動</t>
    <rPh sb="5" eb="7">
      <t>ガメン</t>
    </rPh>
    <rPh sb="7" eb="9">
      <t>キドウ</t>
    </rPh>
    <phoneticPr fontId="7"/>
  </si>
  <si>
    <t>行</t>
    <rPh sb="0" eb="1">
      <t>ギョウ</t>
    </rPh>
    <phoneticPr fontId="7"/>
  </si>
  <si>
    <t>ページ番号
採番条件</t>
    <rPh sb="3" eb="5">
      <t>バンゴウ</t>
    </rPh>
    <rPh sb="6" eb="8">
      <t>サイバン</t>
    </rPh>
    <rPh sb="8" eb="10">
      <t>ジョウケン</t>
    </rPh>
    <phoneticPr fontId="7"/>
  </si>
  <si>
    <t>一連番号で採番（１から連番）</t>
    <rPh sb="0" eb="2">
      <t>イチレン</t>
    </rPh>
    <rPh sb="2" eb="4">
      <t>バンゴウ</t>
    </rPh>
    <rPh sb="5" eb="7">
      <t>サイバン</t>
    </rPh>
    <rPh sb="11" eb="13">
      <t>レンバン</t>
    </rPh>
    <phoneticPr fontId="7"/>
  </si>
  <si>
    <t>ページ番号印字なし</t>
    <rPh sb="3" eb="5">
      <t>バンゴウ</t>
    </rPh>
    <rPh sb="5" eb="7">
      <t>インジ</t>
    </rPh>
    <phoneticPr fontId="7"/>
  </si>
  <si>
    <t>ページ番号採番条件あり</t>
    <rPh sb="3" eb="5">
      <t>バンゴウ</t>
    </rPh>
    <rPh sb="5" eb="7">
      <t>サイバン</t>
    </rPh>
    <rPh sb="7" eb="9">
      <t>ジョウケン</t>
    </rPh>
    <phoneticPr fontId="7"/>
  </si>
  <si>
    <t>改ページ条件</t>
    <rPh sb="0" eb="1">
      <t>カイ</t>
    </rPh>
    <rPh sb="4" eb="6">
      <t>ジョウケン</t>
    </rPh>
    <phoneticPr fontId="7"/>
  </si>
  <si>
    <t>１ページ
明細数</t>
    <rPh sb="5" eb="7">
      <t>メイサイ</t>
    </rPh>
    <rPh sb="7" eb="8">
      <t>スウ</t>
    </rPh>
    <phoneticPr fontId="7"/>
  </si>
  <si>
    <r>
      <t xml:space="preserve">入力ファイルソートキー
</t>
    </r>
    <r>
      <rPr>
        <sz val="9"/>
        <rFont val="ＭＳ 明朝"/>
        <family val="1"/>
        <charset val="128"/>
      </rPr>
      <t>（明細印字順）</t>
    </r>
    <rPh sb="0" eb="2">
      <t>ニュウリョク</t>
    </rPh>
    <rPh sb="13" eb="15">
      <t>メイサイ</t>
    </rPh>
    <rPh sb="15" eb="18">
      <t>インジジュン</t>
    </rPh>
    <phoneticPr fontId="7"/>
  </si>
  <si>
    <t>1:</t>
    <phoneticPr fontId="7"/>
  </si>
  <si>
    <t>昇順／降順</t>
    <rPh sb="0" eb="2">
      <t>ショウジュン</t>
    </rPh>
    <rPh sb="3" eb="5">
      <t>コウジュン</t>
    </rPh>
    <phoneticPr fontId="7"/>
  </si>
  <si>
    <t>10:</t>
    <phoneticPr fontId="7"/>
  </si>
  <si>
    <t>2:</t>
    <phoneticPr fontId="7"/>
  </si>
  <si>
    <t>昇順／降順</t>
  </si>
  <si>
    <t>11:</t>
    <phoneticPr fontId="7"/>
  </si>
  <si>
    <t>3:</t>
    <phoneticPr fontId="7"/>
  </si>
  <si>
    <t>12:</t>
    <phoneticPr fontId="7"/>
  </si>
  <si>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</si>
  <si>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</si>
  <si>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</si>
  <si>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</si>
  <si>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</si>
  <si>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</si>
  <si>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</si>
  <si>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</si>
  <si>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</si>
  <si>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</si>
  <si>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</si>
  <si>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</si>
  <si>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7"/>
  </si>
  <si>
    <t>帳票説明書　（項目説明）</t>
    <rPh sb="0" eb="2">
      <t>チョウヒョウ</t>
    </rPh>
    <rPh sb="2" eb="5">
      <t>セツメイショ</t>
    </rPh>
    <rPh sb="7" eb="9">
      <t>コウモク</t>
    </rPh>
    <rPh sb="9" eb="11">
      <t>セツメイ</t>
    </rPh>
    <phoneticPr fontId="8"/>
  </si>
  <si>
    <t>F4109-3</t>
    <phoneticPr fontId="7"/>
  </si>
  <si>
    <t>№</t>
  </si>
  <si>
    <t>項目名</t>
    <rPh sb="0" eb="2">
      <t>コウモク</t>
    </rPh>
    <rPh sb="2" eb="3">
      <t>メイ</t>
    </rPh>
    <phoneticPr fontId="7"/>
  </si>
  <si>
    <t>桁数</t>
    <rPh sb="0" eb="2">
      <t>ケタスウ</t>
    </rPh>
    <phoneticPr fontId="7"/>
  </si>
  <si>
    <t>編集パターン</t>
    <rPh sb="0" eb="2">
      <t>ヘンシュウ</t>
    </rPh>
    <phoneticPr fontId="7"/>
  </si>
  <si>
    <t>項目編集説明</t>
    <rPh sb="0" eb="2">
      <t>コウモク</t>
    </rPh>
    <rPh sb="2" eb="4">
      <t>ヘンシュウ</t>
    </rPh>
    <rPh sb="4" eb="6">
      <t>セツメイ</t>
    </rPh>
    <phoneticPr fontId="7"/>
  </si>
  <si>
    <t>御</t>
    <rPh sb="0" eb="1">
      <t>オ</t>
    </rPh>
    <phoneticPr fontId="4"/>
  </si>
  <si>
    <t>中</t>
  </si>
  <si>
    <t>額</t>
    <phoneticPr fontId="7"/>
  </si>
  <si>
    <t>計</t>
    <phoneticPr fontId="7"/>
  </si>
  <si>
    <t>合</t>
    <rPh sb="0" eb="1">
      <t>ゴウ</t>
    </rPh>
    <phoneticPr fontId="7"/>
  </si>
  <si>
    <t>債権管理</t>
    <rPh sb="0" eb="4">
      <t>サイケンカンリ</t>
    </rPh>
    <phoneticPr fontId="7"/>
  </si>
  <si>
    <t>請求書（鑑）</t>
    <rPh sb="0" eb="3">
      <t>セイキュウショ</t>
    </rPh>
    <rPh sb="4" eb="5">
      <t>カガミ</t>
    </rPh>
    <phoneticPr fontId="7"/>
  </si>
  <si>
    <t>請求書（鑑）</t>
    <phoneticPr fontId="7"/>
  </si>
  <si>
    <t>事業所</t>
    <rPh sb="0" eb="3">
      <t>ジギョウショ</t>
    </rPh>
    <phoneticPr fontId="7"/>
  </si>
  <si>
    <t>所属</t>
    <rPh sb="0" eb="2">
      <t>ショゾク</t>
    </rPh>
    <phoneticPr fontId="7"/>
  </si>
  <si>
    <t>HOKUREN INTERNAL USE ONLY</t>
    <phoneticPr fontId="7"/>
  </si>
  <si>
    <t>小</t>
    <rPh sb="0" eb="1">
      <t>ショウ</t>
    </rPh>
    <phoneticPr fontId="7"/>
  </si>
  <si>
    <t>金</t>
    <rPh sb="0" eb="1">
      <t>キン</t>
    </rPh>
    <phoneticPr fontId="7"/>
  </si>
  <si>
    <t>店舗</t>
    <rPh sb="0" eb="2">
      <t>テンポ</t>
    </rPh>
    <phoneticPr fontId="7"/>
  </si>
  <si>
    <t>住所</t>
    <rPh sb="0" eb="2">
      <t>ジュウショ</t>
    </rPh>
    <phoneticPr fontId="7"/>
  </si>
  <si>
    <t>債権管理</t>
  </si>
  <si>
    <t>5.2.1</t>
  </si>
  <si>
    <t>請求書（鑑）</t>
  </si>
  <si>
    <t>帳  票  レ　イ　ア　ウ　ト</t>
    <rPh sb="0" eb="1">
      <t>トバリ</t>
    </rPh>
    <rPh sb="3" eb="4">
      <t>ヒョウ</t>
    </rPh>
    <phoneticPr fontId="4"/>
  </si>
  <si>
    <t>5.2.1</t>
    <phoneticPr fontId="7"/>
  </si>
  <si>
    <t>業務名</t>
    <phoneticPr fontId="4"/>
  </si>
  <si>
    <t>業務名</t>
    <phoneticPr fontId="7"/>
  </si>
  <si>
    <t>３．特別歩引小計</t>
    <rPh sb="2" eb="4">
      <t>トクベツ</t>
    </rPh>
    <rPh sb="4" eb="6">
      <t>ブビ</t>
    </rPh>
    <rPh sb="6" eb="8">
      <t>ショウケイ</t>
    </rPh>
    <phoneticPr fontId="7"/>
  </si>
  <si>
    <t>４．帳合料小計</t>
    <rPh sb="2" eb="5">
      <t>チョウアイリョウ</t>
    </rPh>
    <rPh sb="5" eb="7">
      <t>ショウケイ</t>
    </rPh>
    <phoneticPr fontId="7"/>
  </si>
  <si>
    <t>５．売上計小計</t>
    <rPh sb="2" eb="4">
      <t>ウリアゲ</t>
    </rPh>
    <rPh sb="4" eb="5">
      <t>ケイ</t>
    </rPh>
    <rPh sb="5" eb="7">
      <t>ショウケイ</t>
    </rPh>
    <phoneticPr fontId="7"/>
  </si>
  <si>
    <t>６．消費税小計</t>
    <rPh sb="2" eb="5">
      <t>ショウヒゼイ</t>
    </rPh>
    <rPh sb="5" eb="7">
      <t>ショウケイ</t>
    </rPh>
    <phoneticPr fontId="7"/>
  </si>
  <si>
    <t>７．税込合計</t>
    <rPh sb="2" eb="4">
      <t>ゼイコミ</t>
    </rPh>
    <rPh sb="4" eb="6">
      <t>ゴウケイ</t>
    </rPh>
    <phoneticPr fontId="7"/>
  </si>
  <si>
    <t>１０．特別歩引合計</t>
    <rPh sb="3" eb="5">
      <t>トクベツ</t>
    </rPh>
    <rPh sb="5" eb="7">
      <t>ブビ</t>
    </rPh>
    <phoneticPr fontId="7"/>
  </si>
  <si>
    <t>１１．帳合料合計</t>
    <rPh sb="3" eb="6">
      <t>チョウアイリョウ</t>
    </rPh>
    <phoneticPr fontId="7"/>
  </si>
  <si>
    <t>１２．売上計合計</t>
    <rPh sb="3" eb="5">
      <t>ウリアゲ</t>
    </rPh>
    <rPh sb="5" eb="6">
      <t>ケイ</t>
    </rPh>
    <phoneticPr fontId="7"/>
  </si>
  <si>
    <t>１３．消費税合計</t>
    <rPh sb="3" eb="6">
      <t>ショウヒゼイ</t>
    </rPh>
    <rPh sb="6" eb="8">
      <t>ゴウケイ</t>
    </rPh>
    <phoneticPr fontId="7"/>
  </si>
  <si>
    <t>１４．税込合計</t>
    <rPh sb="3" eb="5">
      <t>ゼイコミ</t>
    </rPh>
    <phoneticPr fontId="7"/>
  </si>
  <si>
    <t>１６．店舗別内訳金額合計</t>
    <rPh sb="3" eb="6">
      <t>テンポベツ</t>
    </rPh>
    <rPh sb="6" eb="10">
      <t>ウチワケキンガク</t>
    </rPh>
    <rPh sb="10" eb="12">
      <t>ゴウケイ</t>
    </rPh>
    <phoneticPr fontId="7"/>
  </si>
  <si>
    <t>２．取引先単位、または法人単位ごとに帳票を分割し出力する。</t>
    <rPh sb="2" eb="7">
      <t>トリヒキサキタンイ</t>
    </rPh>
    <rPh sb="11" eb="15">
      <t>ホウジンタンイ</t>
    </rPh>
    <rPh sb="18" eb="20">
      <t>チョウヒョウ</t>
    </rPh>
    <rPh sb="21" eb="23">
      <t>ブンカツ</t>
    </rPh>
    <rPh sb="24" eb="26">
      <t>シュツリョク</t>
    </rPh>
    <phoneticPr fontId="7"/>
  </si>
  <si>
    <t>１．請求先へ代金を請求するために、支払い期限や振込先情報を明示し、請求先へ送付する。</t>
    <rPh sb="2" eb="4">
      <t>セイキュウ</t>
    </rPh>
    <rPh sb="4" eb="5">
      <t>サキ</t>
    </rPh>
    <rPh sb="6" eb="8">
      <t>ダイキン</t>
    </rPh>
    <rPh sb="9" eb="11">
      <t>セイキュウ</t>
    </rPh>
    <rPh sb="17" eb="19">
      <t>シハラ</t>
    </rPh>
    <rPh sb="20" eb="22">
      <t>キゲン</t>
    </rPh>
    <rPh sb="23" eb="26">
      <t>フリコミサキ</t>
    </rPh>
    <rPh sb="26" eb="28">
      <t>ジョウホウ</t>
    </rPh>
    <rPh sb="29" eb="31">
      <t>メイジ</t>
    </rPh>
    <rPh sb="33" eb="35">
      <t>セイキュウ</t>
    </rPh>
    <rPh sb="35" eb="36">
      <t>サキ</t>
    </rPh>
    <rPh sb="37" eb="39">
      <t>ソウフ</t>
    </rPh>
    <phoneticPr fontId="7"/>
  </si>
  <si>
    <t>D05020302　請求書作成データ（汎用）</t>
    <phoneticPr fontId="7"/>
  </si>
  <si>
    <t>D05020101　請求書作成データ（自動）</t>
    <phoneticPr fontId="7"/>
  </si>
  <si>
    <t>なし</t>
    <phoneticPr fontId="7"/>
  </si>
  <si>
    <t>共通請求書作成処理から出力する場合は、請求書制御マスタにて</t>
    <rPh sb="0" eb="2">
      <t>キョウツウ</t>
    </rPh>
    <rPh sb="2" eb="5">
      <t>セイキュウショ</t>
    </rPh>
    <rPh sb="5" eb="7">
      <t>サクセイ</t>
    </rPh>
    <rPh sb="7" eb="9">
      <t>ショリ</t>
    </rPh>
    <rPh sb="11" eb="13">
      <t>シュツリョク</t>
    </rPh>
    <rPh sb="15" eb="17">
      <t>バアイ</t>
    </rPh>
    <rPh sb="19" eb="22">
      <t>セイキュウショ</t>
    </rPh>
    <rPh sb="22" eb="24">
      <t>セイギョ</t>
    </rPh>
    <phoneticPr fontId="7"/>
  </si>
  <si>
    <t>汎用請求書入力で作成した請求書情報が承認された場合は、</t>
    <rPh sb="0" eb="5">
      <t>ハンヨウセイキュウショ</t>
    </rPh>
    <rPh sb="5" eb="7">
      <t>ニュウリョク</t>
    </rPh>
    <rPh sb="8" eb="10">
      <t>サクセイ</t>
    </rPh>
    <rPh sb="12" eb="15">
      <t>セイキュウショ</t>
    </rPh>
    <rPh sb="15" eb="17">
      <t>ジョウホウ</t>
    </rPh>
    <rPh sb="18" eb="20">
      <t>ショウニン</t>
    </rPh>
    <rPh sb="23" eb="25">
      <t>バアイ</t>
    </rPh>
    <phoneticPr fontId="7"/>
  </si>
  <si>
    <t>承認した請求情報を対象とする。</t>
    <rPh sb="0" eb="2">
      <t>ショウニン</t>
    </rPh>
    <rPh sb="4" eb="8">
      <t>セイキュウジョウホウ</t>
    </rPh>
    <rPh sb="9" eb="11">
      <t>タイショウ</t>
    </rPh>
    <phoneticPr fontId="7"/>
  </si>
  <si>
    <t>管理されている相手先とその債権明細情報を対象とする。</t>
    <rPh sb="0" eb="2">
      <t>カンリ</t>
    </rPh>
    <rPh sb="7" eb="10">
      <t>アイテサキ</t>
    </rPh>
    <rPh sb="13" eb="15">
      <t>サイケン</t>
    </rPh>
    <rPh sb="15" eb="17">
      <t>メイサイ</t>
    </rPh>
    <rPh sb="17" eb="19">
      <t>ジョウホウ</t>
    </rPh>
    <rPh sb="20" eb="22">
      <t>タイショウ</t>
    </rPh>
    <phoneticPr fontId="7"/>
  </si>
  <si>
    <t>D05020102</t>
    <phoneticPr fontId="7"/>
  </si>
  <si>
    <t>【ヘッダ】</t>
    <phoneticPr fontId="7"/>
  </si>
  <si>
    <t>相手先郵便番号</t>
    <rPh sb="0" eb="3">
      <t>アイテサキ</t>
    </rPh>
    <rPh sb="3" eb="7">
      <t>ユウビンバンゴウ</t>
    </rPh>
    <phoneticPr fontId="7"/>
  </si>
  <si>
    <t>相手先住所</t>
    <rPh sb="0" eb="3">
      <t>アイテサキ</t>
    </rPh>
    <rPh sb="3" eb="5">
      <t>ジュウショ</t>
    </rPh>
    <phoneticPr fontId="7"/>
  </si>
  <si>
    <t>相手先名</t>
    <rPh sb="0" eb="3">
      <t>アイテサキ</t>
    </rPh>
    <rPh sb="3" eb="4">
      <t>メイ</t>
    </rPh>
    <phoneticPr fontId="7"/>
  </si>
  <si>
    <t>全角20文字</t>
    <rPh sb="0" eb="2">
      <t>ゼンカク</t>
    </rPh>
    <rPh sb="4" eb="6">
      <t>モジ</t>
    </rPh>
    <phoneticPr fontId="7"/>
  </si>
  <si>
    <t>相手先電話番号</t>
    <rPh sb="0" eb="3">
      <t>アイテサキ</t>
    </rPh>
    <rPh sb="3" eb="7">
      <t>デンワバンゴウ</t>
    </rPh>
    <phoneticPr fontId="7"/>
  </si>
  <si>
    <t>農業協同組合連合会名</t>
    <rPh sb="9" eb="10">
      <t>メイ</t>
    </rPh>
    <phoneticPr fontId="7"/>
  </si>
  <si>
    <t>全角13文字</t>
    <rPh sb="0" eb="2">
      <t>ゼンカク</t>
    </rPh>
    <rPh sb="4" eb="6">
      <t>モジ</t>
    </rPh>
    <phoneticPr fontId="7"/>
  </si>
  <si>
    <t>帳票案内文</t>
    <rPh sb="0" eb="5">
      <t>チョウヒョウアンナイブン</t>
    </rPh>
    <phoneticPr fontId="7"/>
  </si>
  <si>
    <t>登録事業者No</t>
    <rPh sb="0" eb="2">
      <t>トウロク</t>
    </rPh>
    <rPh sb="2" eb="5">
      <t>ジギョウシャ</t>
    </rPh>
    <phoneticPr fontId="7"/>
  </si>
  <si>
    <t>XXXXXXXXXXXXX</t>
    <phoneticPr fontId="7"/>
  </si>
  <si>
    <t>全角80文字</t>
    <rPh sb="0" eb="2">
      <t>ゼンカク</t>
    </rPh>
    <rPh sb="4" eb="6">
      <t>モジ</t>
    </rPh>
    <phoneticPr fontId="7"/>
  </si>
  <si>
    <t>Z,ZZZ,ZZZ,ZZZ,ZZ9</t>
    <phoneticPr fontId="7"/>
  </si>
  <si>
    <t>今回請求額</t>
    <rPh sb="0" eb="4">
      <t>コンカイセイキュウ</t>
    </rPh>
    <rPh sb="4" eb="5">
      <t>ガク</t>
    </rPh>
    <phoneticPr fontId="7"/>
  </si>
  <si>
    <t>支払方法</t>
    <rPh sb="0" eb="4">
      <t>シハライホウホウ</t>
    </rPh>
    <phoneticPr fontId="7"/>
  </si>
  <si>
    <t>起算日</t>
    <rPh sb="0" eb="3">
      <t>キサンビ</t>
    </rPh>
    <phoneticPr fontId="7"/>
  </si>
  <si>
    <t>満期日</t>
    <rPh sb="0" eb="3">
      <t>マンキビ</t>
    </rPh>
    <phoneticPr fontId="7"/>
  </si>
  <si>
    <t>支払期日</t>
    <rPh sb="0" eb="4">
      <t>シハライキジツ</t>
    </rPh>
    <phoneticPr fontId="7"/>
  </si>
  <si>
    <t>XXXXXXX</t>
    <phoneticPr fontId="7"/>
  </si>
  <si>
    <t>【請求情報】</t>
    <rPh sb="1" eb="3">
      <t>セイキュウ</t>
    </rPh>
    <rPh sb="3" eb="5">
      <t>ジョウホウ</t>
    </rPh>
    <phoneticPr fontId="7"/>
  </si>
  <si>
    <t>【事業所/所属別内訳】</t>
    <rPh sb="1" eb="4">
      <t>ジギョウショ</t>
    </rPh>
    <rPh sb="5" eb="7">
      <t>ショゾク</t>
    </rPh>
    <rPh sb="7" eb="8">
      <t>ベツ</t>
    </rPh>
    <rPh sb="8" eb="10">
      <t>ウチワケ</t>
    </rPh>
    <phoneticPr fontId="7"/>
  </si>
  <si>
    <t>特別歩引</t>
    <rPh sb="0" eb="2">
      <t>トクベツ</t>
    </rPh>
    <rPh sb="2" eb="4">
      <t>ブビ</t>
    </rPh>
    <phoneticPr fontId="7"/>
  </si>
  <si>
    <t>帳合料</t>
    <rPh sb="0" eb="3">
      <t>チョウアイリョウ</t>
    </rPh>
    <phoneticPr fontId="7"/>
  </si>
  <si>
    <t>売上計</t>
    <rPh sb="0" eb="3">
      <t>ウリアゲケイ</t>
    </rPh>
    <phoneticPr fontId="7"/>
  </si>
  <si>
    <t>消費税</t>
    <rPh sb="0" eb="3">
      <t>ショウヒゼイ</t>
    </rPh>
    <phoneticPr fontId="7"/>
  </si>
  <si>
    <t>税込額</t>
    <rPh sb="0" eb="2">
      <t>ゼイコミ</t>
    </rPh>
    <rPh sb="2" eb="3">
      <t>ガク</t>
    </rPh>
    <phoneticPr fontId="7"/>
  </si>
  <si>
    <t>【店舗別内訳】</t>
    <rPh sb="1" eb="3">
      <t>テンポ</t>
    </rPh>
    <rPh sb="3" eb="4">
      <t>ベツ</t>
    </rPh>
    <rPh sb="4" eb="6">
      <t>ウチワケ</t>
    </rPh>
    <phoneticPr fontId="7"/>
  </si>
  <si>
    <t>店舗計</t>
    <rPh sb="0" eb="3">
      <t>テンポケイ</t>
    </rPh>
    <phoneticPr fontId="7"/>
  </si>
  <si>
    <t>【フッタ】</t>
    <phoneticPr fontId="7"/>
  </si>
  <si>
    <t>プログラムID</t>
    <phoneticPr fontId="7"/>
  </si>
  <si>
    <t>全角15文字</t>
    <rPh sb="0" eb="2">
      <t>ゼンカク</t>
    </rPh>
    <rPh sb="4" eb="6">
      <t>モジ</t>
    </rPh>
    <phoneticPr fontId="7"/>
  </si>
  <si>
    <t>全角25文字</t>
    <rPh sb="0" eb="2">
      <t>ゼンカク</t>
    </rPh>
    <rPh sb="4" eb="6">
      <t>モジ</t>
    </rPh>
    <phoneticPr fontId="7"/>
  </si>
  <si>
    <t>全角10文字</t>
    <rPh sb="0" eb="2">
      <t>ゼンカク</t>
    </rPh>
    <rPh sb="4" eb="6">
      <t>モジ</t>
    </rPh>
    <phoneticPr fontId="7"/>
  </si>
  <si>
    <t>全角40文字</t>
    <rPh sb="0" eb="2">
      <t>ゼンカク</t>
    </rPh>
    <rPh sb="4" eb="6">
      <t>モジ</t>
    </rPh>
    <phoneticPr fontId="7"/>
  </si>
  <si>
    <t>請求締日</t>
    <rPh sb="0" eb="2">
      <t>セイキュウ</t>
    </rPh>
    <rPh sb="2" eb="4">
      <t>シメビ</t>
    </rPh>
    <rPh sb="3" eb="4">
      <t>ビ</t>
    </rPh>
    <phoneticPr fontId="7"/>
  </si>
  <si>
    <t>統合会計システム</t>
    <phoneticPr fontId="7"/>
  </si>
  <si>
    <t>2025/8/29</t>
    <phoneticPr fontId="7"/>
  </si>
  <si>
    <t>１．事業所／所属別内訳行をMAX印字した場合</t>
    <rPh sb="2" eb="5">
      <t>ジギョウショ</t>
    </rPh>
    <rPh sb="6" eb="8">
      <t>ショゾク</t>
    </rPh>
    <rPh sb="8" eb="9">
      <t>ベツ</t>
    </rPh>
    <rPh sb="9" eb="11">
      <t>ウチワケ</t>
    </rPh>
    <rPh sb="11" eb="12">
      <t>ギョウ</t>
    </rPh>
    <rPh sb="16" eb="18">
      <t>インジ</t>
    </rPh>
    <rPh sb="20" eb="22">
      <t>バアイ</t>
    </rPh>
    <phoneticPr fontId="7"/>
  </si>
  <si>
    <t>３．店舗別内訳行をMAX印字した場合</t>
    <rPh sb="2" eb="4">
      <t>テンポ</t>
    </rPh>
    <rPh sb="4" eb="5">
      <t>ベツ</t>
    </rPh>
    <rPh sb="5" eb="7">
      <t>ウチワケ</t>
    </rPh>
    <rPh sb="7" eb="8">
      <t>ギョウ</t>
    </rPh>
    <rPh sb="12" eb="14">
      <t>インジ</t>
    </rPh>
    <rPh sb="16" eb="18">
      <t>バアイ</t>
    </rPh>
    <phoneticPr fontId="7"/>
  </si>
  <si>
    <t>〒XXX-XXXX</t>
    <phoneticPr fontId="7"/>
  </si>
  <si>
    <t>XXXXXXXXXXXXXXXX</t>
    <phoneticPr fontId="7"/>
  </si>
  <si>
    <t>全角50文字</t>
    <rPh sb="0" eb="2">
      <t>ゼンカク</t>
    </rPh>
    <rPh sb="4" eb="6">
      <t>モジ</t>
    </rPh>
    <phoneticPr fontId="7"/>
  </si>
  <si>
    <t>YYYY年MM月DD日</t>
    <rPh sb="4" eb="5">
      <t>ネン</t>
    </rPh>
    <rPh sb="7" eb="8">
      <t>ツキ</t>
    </rPh>
    <rPh sb="10" eb="11">
      <t>ニチ</t>
    </rPh>
    <phoneticPr fontId="7"/>
  </si>
  <si>
    <t>振込指定口座（口座名義人漢字）１</t>
    <rPh sb="0" eb="2">
      <t>フリコミ</t>
    </rPh>
    <rPh sb="2" eb="6">
      <t>シテイコウザ</t>
    </rPh>
    <rPh sb="7" eb="9">
      <t>コウザ</t>
    </rPh>
    <rPh sb="9" eb="11">
      <t>メイギ</t>
    </rPh>
    <rPh sb="11" eb="12">
      <t>ニン</t>
    </rPh>
    <rPh sb="12" eb="14">
      <t>カンジ</t>
    </rPh>
    <phoneticPr fontId="7"/>
  </si>
  <si>
    <t>振込指定口座（口座名義人漢字）３</t>
    <rPh sb="0" eb="2">
      <t>フリコミ</t>
    </rPh>
    <rPh sb="2" eb="6">
      <t>シテイコウザ</t>
    </rPh>
    <rPh sb="7" eb="9">
      <t>コウザ</t>
    </rPh>
    <rPh sb="9" eb="11">
      <t>メイギ</t>
    </rPh>
    <rPh sb="11" eb="12">
      <t>ニン</t>
    </rPh>
    <rPh sb="12" eb="14">
      <t>カンジ</t>
    </rPh>
    <phoneticPr fontId="7"/>
  </si>
  <si>
    <t>振込指定口座（口座名義人漢字）２</t>
    <rPh sb="0" eb="2">
      <t>フリコミ</t>
    </rPh>
    <rPh sb="2" eb="6">
      <t>シテイコウザ</t>
    </rPh>
    <rPh sb="7" eb="9">
      <t>コウザ</t>
    </rPh>
    <rPh sb="9" eb="11">
      <t>メイギ</t>
    </rPh>
    <rPh sb="11" eb="12">
      <t>ニン</t>
    </rPh>
    <rPh sb="12" eb="14">
      <t>カンジ</t>
    </rPh>
    <phoneticPr fontId="7"/>
  </si>
  <si>
    <t>振込指定口座（口座番号）３</t>
    <phoneticPr fontId="7"/>
  </si>
  <si>
    <t>振込指定口座（口座番号）２</t>
    <rPh sb="0" eb="2">
      <t>フリコミ</t>
    </rPh>
    <rPh sb="2" eb="6">
      <t>シテイコウザ</t>
    </rPh>
    <rPh sb="7" eb="11">
      <t>コウザバンゴウ</t>
    </rPh>
    <phoneticPr fontId="7"/>
  </si>
  <si>
    <t>振込指定口座（口座番号）１</t>
    <rPh sb="0" eb="2">
      <t>フリコミ</t>
    </rPh>
    <rPh sb="2" eb="6">
      <t>シテイコウザ</t>
    </rPh>
    <rPh sb="7" eb="11">
      <t>コウザバンゴウ</t>
    </rPh>
    <phoneticPr fontId="7"/>
  </si>
  <si>
    <t>振込指定口座（口座種別）３</t>
    <rPh sb="0" eb="2">
      <t>フリコミ</t>
    </rPh>
    <rPh sb="2" eb="6">
      <t>シテイコウザ</t>
    </rPh>
    <rPh sb="7" eb="9">
      <t>コウザ</t>
    </rPh>
    <rPh sb="9" eb="11">
      <t>シュベツ</t>
    </rPh>
    <phoneticPr fontId="7"/>
  </si>
  <si>
    <t>振込指定口座（口座種別）２</t>
    <rPh sb="0" eb="2">
      <t>フリコミ</t>
    </rPh>
    <rPh sb="2" eb="6">
      <t>シテイコウザ</t>
    </rPh>
    <rPh sb="7" eb="9">
      <t>コウザ</t>
    </rPh>
    <rPh sb="9" eb="11">
      <t>シュベツ</t>
    </rPh>
    <phoneticPr fontId="7"/>
  </si>
  <si>
    <t>振込指定口座（口座種別）１</t>
    <rPh sb="0" eb="2">
      <t>フリコミ</t>
    </rPh>
    <rPh sb="2" eb="6">
      <t>シテイコウザ</t>
    </rPh>
    <rPh sb="7" eb="9">
      <t>コウザ</t>
    </rPh>
    <rPh sb="9" eb="11">
      <t>シュベツ</t>
    </rPh>
    <phoneticPr fontId="7"/>
  </si>
  <si>
    <t>振込指定口座（金融機関名)３</t>
    <rPh sb="0" eb="2">
      <t>フリコミ</t>
    </rPh>
    <rPh sb="2" eb="6">
      <t>シテイコウザ</t>
    </rPh>
    <rPh sb="7" eb="12">
      <t>キンユウキカンメイ</t>
    </rPh>
    <phoneticPr fontId="7"/>
  </si>
  <si>
    <t>振込指定口座（金融機関名)２</t>
    <rPh sb="0" eb="2">
      <t>フリコミ</t>
    </rPh>
    <rPh sb="2" eb="6">
      <t>シテイコウザ</t>
    </rPh>
    <rPh sb="7" eb="12">
      <t>キンユウキカンメイ</t>
    </rPh>
    <phoneticPr fontId="7"/>
  </si>
  <si>
    <t>振込指定口座（金融機関名)１</t>
    <rPh sb="0" eb="2">
      <t>フリコミ</t>
    </rPh>
    <rPh sb="2" eb="6">
      <t>シテイコウザ</t>
    </rPh>
    <rPh sb="7" eb="12">
      <t>キンユウキカンメイ</t>
    </rPh>
    <phoneticPr fontId="7"/>
  </si>
  <si>
    <t>振込指定口座（支店名）３</t>
    <rPh sb="0" eb="2">
      <t>フリコミ</t>
    </rPh>
    <rPh sb="2" eb="6">
      <t>シテイコウザ</t>
    </rPh>
    <rPh sb="7" eb="10">
      <t>シテンメイ</t>
    </rPh>
    <phoneticPr fontId="7"/>
  </si>
  <si>
    <t>振込指定口座（支店名）２</t>
    <rPh sb="0" eb="2">
      <t>フリコミ</t>
    </rPh>
    <rPh sb="2" eb="6">
      <t>シテイコウザ</t>
    </rPh>
    <rPh sb="7" eb="10">
      <t>シテンメイ</t>
    </rPh>
    <phoneticPr fontId="7"/>
  </si>
  <si>
    <t>振込指定口座（支店名）１</t>
    <rPh sb="0" eb="2">
      <t>フリコミ</t>
    </rPh>
    <rPh sb="2" eb="6">
      <t>シテイコウザ</t>
    </rPh>
    <rPh sb="7" eb="10">
      <t>シテンメイ</t>
    </rPh>
    <phoneticPr fontId="7"/>
  </si>
  <si>
    <t>全角1文字</t>
    <rPh sb="0" eb="2">
      <t>ゼンカク</t>
    </rPh>
    <rPh sb="3" eb="5">
      <t>モジ</t>
    </rPh>
    <phoneticPr fontId="7"/>
  </si>
  <si>
    <t>店舗（※店舗別内訳でのみ適用）</t>
    <rPh sb="0" eb="2">
      <t>テンポ</t>
    </rPh>
    <rPh sb="4" eb="6">
      <t>テンポ</t>
    </rPh>
    <phoneticPr fontId="7"/>
  </si>
  <si>
    <t>全角18文字</t>
    <rPh sb="0" eb="2">
      <t>ゼンカク</t>
    </rPh>
    <rPh sb="4" eb="6">
      <t>モジ</t>
    </rPh>
    <phoneticPr fontId="7"/>
  </si>
  <si>
    <t>消費税率（※事業所/所属別内訳でのみ適用）</t>
    <rPh sb="18" eb="20">
      <t>テキヨウ</t>
    </rPh>
    <phoneticPr fontId="7"/>
  </si>
  <si>
    <t>１．消費税率小計</t>
    <rPh sb="6" eb="8">
      <t>ショウケイ</t>
    </rPh>
    <phoneticPr fontId="7"/>
  </si>
  <si>
    <t>８．消費税率合計</t>
    <phoneticPr fontId="7"/>
  </si>
  <si>
    <t>消費税率</t>
    <phoneticPr fontId="7"/>
  </si>
  <si>
    <t>２．本体金額計小計</t>
    <rPh sb="6" eb="7">
      <t>ケイ</t>
    </rPh>
    <rPh sb="7" eb="9">
      <t>ショウケイ</t>
    </rPh>
    <phoneticPr fontId="7"/>
  </si>
  <si>
    <t>９．本体金額計合計</t>
    <rPh sb="6" eb="7">
      <t>ケイ</t>
    </rPh>
    <phoneticPr fontId="7"/>
  </si>
  <si>
    <t>本体金額計</t>
    <rPh sb="4" eb="5">
      <t>ケイ</t>
    </rPh>
    <phoneticPr fontId="7"/>
  </si>
  <si>
    <t>２．品目別内訳行をMAX印字した場合</t>
    <rPh sb="4" eb="5">
      <t>ベツ</t>
    </rPh>
    <rPh sb="5" eb="7">
      <t>ウチワケ</t>
    </rPh>
    <rPh sb="7" eb="8">
      <t>ギョウ</t>
    </rPh>
    <rPh sb="12" eb="14">
      <t>インジ</t>
    </rPh>
    <rPh sb="16" eb="18">
      <t>バアイ</t>
    </rPh>
    <phoneticPr fontId="7"/>
  </si>
  <si>
    <t>品目（※品目別内訳でのみ適用）</t>
    <rPh sb="7" eb="9">
      <t>ウチワケ</t>
    </rPh>
    <phoneticPr fontId="7"/>
  </si>
  <si>
    <t>１５．品目別内訳金額合計</t>
    <rPh sb="6" eb="10">
      <t>ウチワケキンガク</t>
    </rPh>
    <rPh sb="10" eb="12">
      <t>ゴウケイ</t>
    </rPh>
    <phoneticPr fontId="7"/>
  </si>
  <si>
    <t>【品目別内訳】</t>
    <rPh sb="4" eb="6">
      <t>ウチワケ</t>
    </rPh>
    <phoneticPr fontId="7"/>
  </si>
  <si>
    <t>品目</t>
    <phoneticPr fontId="7"/>
  </si>
  <si>
    <t>品目計</t>
    <phoneticPr fontId="7"/>
  </si>
  <si>
    <t>ZZ9.99%X</t>
    <phoneticPr fontId="7"/>
  </si>
  <si>
    <t>24058</t>
    <phoneticPr fontId="17"/>
  </si>
  <si>
    <t>基幹システム再構築　会計システム外部設計</t>
    <phoneticPr fontId="17"/>
  </si>
  <si>
    <t>売上計＊消費税率を印字する。</t>
    <rPh sb="0" eb="2">
      <t>ウリアゲ</t>
    </rPh>
    <rPh sb="2" eb="3">
      <t>ケイ</t>
    </rPh>
    <phoneticPr fontId="7"/>
  </si>
  <si>
    <t>（売上計＊消費税率）＋売上計を印字する。</t>
    <rPh sb="1" eb="4">
      <t>ウリアゲケイ</t>
    </rPh>
    <phoneticPr fontId="7"/>
  </si>
  <si>
    <t>プログラムIDを印字する。</t>
    <rPh sb="8" eb="10">
      <t>インジ</t>
    </rPh>
    <phoneticPr fontId="7"/>
  </si>
  <si>
    <t>固定文言「ホクレン農業協同組合連合会」を印字する。</t>
    <rPh sb="0" eb="4">
      <t>コテイモンゴン</t>
    </rPh>
    <rPh sb="9" eb="18">
      <t>ノウギョウキョウドウクミアイレンゴウカイ</t>
    </rPh>
    <rPh sb="20" eb="22">
      <t>インジ</t>
    </rPh>
    <phoneticPr fontId="7"/>
  </si>
  <si>
    <t>請求書の帳票案内文用のデータをメッセージマスタから取得し印字する。</t>
    <rPh sb="0" eb="3">
      <t>セイキュウショ</t>
    </rPh>
    <rPh sb="4" eb="6">
      <t>チョウヒョウ</t>
    </rPh>
    <rPh sb="6" eb="9">
      <t>アンナイブン</t>
    </rPh>
    <rPh sb="9" eb="10">
      <t>ヨウ</t>
    </rPh>
    <rPh sb="25" eb="27">
      <t>シュトク</t>
    </rPh>
    <rPh sb="28" eb="30">
      <t>インジ</t>
    </rPh>
    <phoneticPr fontId="7"/>
  </si>
  <si>
    <t>ＸＸＸＸＸＸＸＸＸＸＸＸＸＸＸＸＸＸＸＸ</t>
    <phoneticPr fontId="7"/>
  </si>
  <si>
    <t>発行日：9999年99月99日</t>
    <phoneticPr fontId="7"/>
  </si>
  <si>
    <t xml:space="preserve">登録事業者Ｎｏ：XXXXXXXXXXX	</t>
    <phoneticPr fontId="7"/>
  </si>
  <si>
    <t>ホクレン農業協同組合連合会</t>
    <phoneticPr fontId="7"/>
  </si>
  <si>
    <t>支払期日</t>
    <rPh sb="0" eb="2">
      <t>シハライ</t>
    </rPh>
    <rPh sb="2" eb="4">
      <t>キジツ</t>
    </rPh>
    <phoneticPr fontId="7"/>
  </si>
  <si>
    <t>ＸＸＸＸ</t>
    <phoneticPr fontId="7"/>
  </si>
  <si>
    <t>9999年99月99日</t>
    <rPh sb="4" eb="5">
      <t>ネン</t>
    </rPh>
    <rPh sb="7" eb="8">
      <t>ガツ</t>
    </rPh>
    <rPh sb="10" eb="11">
      <t>ニチ</t>
    </rPh>
    <phoneticPr fontId="7"/>
  </si>
  <si>
    <t>ＸＸＸＸＸＸＸＸＸＸＸＸＸＸＸ</t>
    <phoneticPr fontId="7"/>
  </si>
  <si>
    <t>ＸＸＸＸＸＸＸＸＸＸＸＸＸＸＸＸＸＸＸＸＸＸＸＸＸ</t>
    <phoneticPr fontId="7"/>
  </si>
  <si>
    <t>消費税率</t>
    <rPh sb="0" eb="4">
      <t>ショウヒゼイリツ</t>
    </rPh>
    <phoneticPr fontId="7"/>
  </si>
  <si>
    <t>特別歩合</t>
    <rPh sb="0" eb="4">
      <t>トクベツブアイ</t>
    </rPh>
    <phoneticPr fontId="7"/>
  </si>
  <si>
    <t>ＸＸＸＸＸＸ</t>
    <phoneticPr fontId="7"/>
  </si>
  <si>
    <t>小計</t>
    <rPh sb="0" eb="2">
      <t>ショウケイ</t>
    </rPh>
    <phoneticPr fontId="7"/>
  </si>
  <si>
    <t>&lt;事業所／所属別内訳&gt;</t>
    <phoneticPr fontId="7"/>
  </si>
  <si>
    <t>ＸＸＸＸＸＸＸＸＸＸＸＸＸＸＸＸＸＸＸＸＸＸＸＸＸＸＸＸＸＸＸＸＸＸＸＸＸＸＸＸ</t>
    <phoneticPr fontId="7"/>
  </si>
  <si>
    <t>税込額</t>
    <rPh sb="0" eb="3">
      <t>ゼイコミガク</t>
    </rPh>
    <phoneticPr fontId="7"/>
  </si>
  <si>
    <t>売上計</t>
    <rPh sb="0" eb="2">
      <t>ウリアゲ</t>
    </rPh>
    <rPh sb="2" eb="3">
      <t>ケイ</t>
    </rPh>
    <phoneticPr fontId="7"/>
  </si>
  <si>
    <t>本体金額計</t>
    <rPh sb="0" eb="2">
      <t>ホンタイ</t>
    </rPh>
    <rPh sb="2" eb="4">
      <t>キンガク</t>
    </rPh>
    <rPh sb="4" eb="5">
      <t>ケイ</t>
    </rPh>
    <phoneticPr fontId="7"/>
  </si>
  <si>
    <t>品目（摘要）</t>
    <rPh sb="0" eb="2">
      <t>ヒンモク</t>
    </rPh>
    <rPh sb="3" eb="5">
      <t>テキヨウ</t>
    </rPh>
    <phoneticPr fontId="7"/>
  </si>
  <si>
    <t>&lt;品目別内訳&gt;</t>
    <phoneticPr fontId="7"/>
  </si>
  <si>
    <t>&lt;店舗別内訳&gt;</t>
    <phoneticPr fontId="7"/>
  </si>
  <si>
    <t>金額</t>
    <rPh sb="0" eb="2">
      <t>キンガク</t>
    </rPh>
    <phoneticPr fontId="7"/>
  </si>
  <si>
    <t>合計</t>
    <rPh sb="0" eb="2">
      <t>ゴウケイ</t>
    </rPh>
    <phoneticPr fontId="7"/>
  </si>
  <si>
    <t>XXXXXX</t>
    <phoneticPr fontId="7"/>
  </si>
  <si>
    <t xml:space="preserve">9999年99月99日締	</t>
    <phoneticPr fontId="7"/>
  </si>
  <si>
    <t>北海道札幌市 北区 北七条西1丁目 ２ー６</t>
    <phoneticPr fontId="7"/>
  </si>
  <si>
    <t>ＮＳＳニューステージ札幌</t>
    <phoneticPr fontId="7"/>
  </si>
  <si>
    <t>株式会社ホクレン商事</t>
    <phoneticPr fontId="7"/>
  </si>
  <si>
    <t>011-756-3211</t>
    <phoneticPr fontId="7"/>
  </si>
  <si>
    <t>発行日：2025年07月01日</t>
    <phoneticPr fontId="7"/>
  </si>
  <si>
    <t>登録事業者Ｎo：T7430005003072</t>
    <phoneticPr fontId="7"/>
  </si>
  <si>
    <t>請求書No：12345612345612345</t>
    <phoneticPr fontId="7"/>
  </si>
  <si>
    <t>東京支店</t>
    <rPh sb="0" eb="4">
      <t>トウキョウシテン</t>
    </rPh>
    <phoneticPr fontId="7"/>
  </si>
  <si>
    <t xml:space="preserve">  8.00%*</t>
    <phoneticPr fontId="7"/>
  </si>
  <si>
    <t xml:space="preserve"> 10.00%</t>
    <phoneticPr fontId="4"/>
  </si>
  <si>
    <t>東京都千代田区東神田2丁目9番5号</t>
    <phoneticPr fontId="7"/>
  </si>
  <si>
    <t>食品課</t>
    <rPh sb="0" eb="2">
      <t>ショクヒン</t>
    </rPh>
    <rPh sb="2" eb="3">
      <t>カ</t>
    </rPh>
    <phoneticPr fontId="7"/>
  </si>
  <si>
    <t>農産販売課</t>
    <rPh sb="0" eb="5">
      <t>ノウサンハンバイカ</t>
    </rPh>
    <phoneticPr fontId="7"/>
  </si>
  <si>
    <t>03-5821-3006</t>
    <phoneticPr fontId="7"/>
  </si>
  <si>
    <t>03-5821-3023</t>
    <phoneticPr fontId="7"/>
  </si>
  <si>
    <t>冷凍食品</t>
    <rPh sb="0" eb="4">
      <t>レイトウショクヒン</t>
    </rPh>
    <phoneticPr fontId="7"/>
  </si>
  <si>
    <t>小袋豆</t>
    <rPh sb="0" eb="1">
      <t>チイ</t>
    </rPh>
    <rPh sb="1" eb="2">
      <t>フクロ</t>
    </rPh>
    <rPh sb="2" eb="3">
      <t>マメ</t>
    </rPh>
    <phoneticPr fontId="7"/>
  </si>
  <si>
    <t>片栗粉</t>
    <rPh sb="0" eb="3">
      <t>カタクリコ</t>
    </rPh>
    <phoneticPr fontId="7"/>
  </si>
  <si>
    <t>札幌支店</t>
    <rPh sb="0" eb="4">
      <t>サッポロシテン</t>
    </rPh>
    <phoneticPr fontId="7"/>
  </si>
  <si>
    <t>江別支店</t>
    <rPh sb="0" eb="4">
      <t>エベツシテン</t>
    </rPh>
    <phoneticPr fontId="7"/>
  </si>
  <si>
    <t>岩井沢支店</t>
    <rPh sb="0" eb="5">
      <t>イワイザワシテン</t>
    </rPh>
    <phoneticPr fontId="7"/>
  </si>
  <si>
    <t>AA0001</t>
    <phoneticPr fontId="7"/>
  </si>
  <si>
    <t>請求内訳                                                   当請求書（明細含む）の＊印は軽減税率対象です。</t>
    <rPh sb="0" eb="4">
      <t>セイキュウウチワケ</t>
    </rPh>
    <phoneticPr fontId="7"/>
  </si>
  <si>
    <t>今回請求金額</t>
    <rPh sb="0" eb="6">
      <t>コンカイセイキュウキンガク</t>
    </rPh>
    <phoneticPr fontId="7"/>
  </si>
  <si>
    <t>Z,ZZZ,ZZZ,ZZZ,ZZ9円</t>
    <rPh sb="17" eb="18">
      <t>エン</t>
    </rPh>
    <phoneticPr fontId="7"/>
  </si>
  <si>
    <t>請求書</t>
    <rPh sb="0" eb="3">
      <t>セイキュウショ</t>
    </rPh>
    <phoneticPr fontId="7"/>
  </si>
  <si>
    <t>小 計</t>
    <rPh sb="0" eb="1">
      <t>ショウ</t>
    </rPh>
    <rPh sb="2" eb="3">
      <t>ケイ</t>
    </rPh>
    <phoneticPr fontId="7"/>
  </si>
  <si>
    <t>合 計</t>
    <rPh sb="0" eb="1">
      <t>ゴウ</t>
    </rPh>
    <rPh sb="2" eb="3">
      <t>ケイ</t>
    </rPh>
    <phoneticPr fontId="7"/>
  </si>
  <si>
    <t>99/99</t>
    <phoneticPr fontId="7"/>
  </si>
  <si>
    <t xml:space="preserve"> 普 1234567</t>
    <phoneticPr fontId="7"/>
  </si>
  <si>
    <t>ホクレン東京支店</t>
    <rPh sb="4" eb="8">
      <t>トウキョウシテン</t>
    </rPh>
    <phoneticPr fontId="7"/>
  </si>
  <si>
    <t>○○銀行(XXXX)</t>
    <phoneticPr fontId="7"/>
  </si>
  <si>
    <t>北海道信連(XXXX)</t>
    <phoneticPr fontId="7"/>
  </si>
  <si>
    <t>本所(XXX)</t>
    <rPh sb="0" eb="2">
      <t>ホンショ</t>
    </rPh>
    <phoneticPr fontId="7"/>
  </si>
  <si>
    <t>〇〇支店(XXX)</t>
    <rPh sb="2" eb="4">
      <t>シテン</t>
    </rPh>
    <phoneticPr fontId="7"/>
  </si>
  <si>
    <t>ＸＸ銀行(XXXX)</t>
    <phoneticPr fontId="7"/>
  </si>
  <si>
    <t>ＸＸ支店(XXX)</t>
    <rPh sb="2" eb="4">
      <t>シテン</t>
    </rPh>
    <phoneticPr fontId="7"/>
  </si>
  <si>
    <t>振込指定口座</t>
    <phoneticPr fontId="7"/>
  </si>
  <si>
    <t xml:space="preserve"> Ｘ XXXXXXX</t>
    <phoneticPr fontId="7"/>
  </si>
  <si>
    <t>20,623円</t>
    <rPh sb="6" eb="7">
      <t>エン</t>
    </rPh>
    <phoneticPr fontId="7"/>
  </si>
  <si>
    <t>1/1</t>
    <phoneticPr fontId="4"/>
  </si>
  <si>
    <t>ＸＸ支店</t>
    <rPh sb="2" eb="4">
      <t>シテン</t>
    </rPh>
    <phoneticPr fontId="7"/>
  </si>
  <si>
    <t>ＸＸＸＸ課</t>
    <rPh sb="4" eb="5">
      <t>カ</t>
    </rPh>
    <phoneticPr fontId="7"/>
  </si>
  <si>
    <t>ＸＸＸ</t>
    <phoneticPr fontId="7"/>
  </si>
  <si>
    <t>70,315円</t>
    <rPh sb="6" eb="7">
      <t>エン</t>
    </rPh>
    <phoneticPr fontId="7"/>
  </si>
  <si>
    <t>2/2</t>
    <phoneticPr fontId="7"/>
  </si>
  <si>
    <t>1/2</t>
    <phoneticPr fontId="4"/>
  </si>
  <si>
    <t>ＸＸ県ＸＸ</t>
    <rPh sb="2" eb="3">
      <t>ケン</t>
    </rPh>
    <phoneticPr fontId="7"/>
  </si>
  <si>
    <t>XXX-XXX-XXXX</t>
    <phoneticPr fontId="7"/>
  </si>
  <si>
    <t>本所</t>
    <rPh sb="0" eb="2">
      <t>ホンショ</t>
    </rPh>
    <phoneticPr fontId="31"/>
  </si>
  <si>
    <t>野果花課</t>
    <rPh sb="0" eb="1">
      <t>ノ</t>
    </rPh>
    <rPh sb="1" eb="2">
      <t>カ</t>
    </rPh>
    <rPh sb="2" eb="3">
      <t>ハナ</t>
    </rPh>
    <rPh sb="3" eb="4">
      <t>カ</t>
    </rPh>
    <phoneticPr fontId="7"/>
  </si>
  <si>
    <t>札幌市中央区北四条西１丁目</t>
    <rPh sb="0" eb="2">
      <t>サッポロ</t>
    </rPh>
    <rPh sb="2" eb="3">
      <t>シ</t>
    </rPh>
    <rPh sb="3" eb="6">
      <t>チュウオウク</t>
    </rPh>
    <rPh sb="6" eb="7">
      <t>キタ</t>
    </rPh>
    <rPh sb="7" eb="8">
      <t>4</t>
    </rPh>
    <rPh sb="8" eb="9">
      <t>ジョウ</t>
    </rPh>
    <rPh sb="9" eb="10">
      <t>ニシ</t>
    </rPh>
    <rPh sb="11" eb="13">
      <t>チョウメ</t>
    </rPh>
    <phoneticPr fontId="7"/>
  </si>
  <si>
    <t>011-232-6276</t>
    <phoneticPr fontId="7"/>
  </si>
  <si>
    <t>ＸＸ支所</t>
    <rPh sb="2" eb="4">
      <t>シショ</t>
    </rPh>
    <phoneticPr fontId="31"/>
  </si>
  <si>
    <t xml:space="preserve">  0.00%</t>
    <phoneticPr fontId="31"/>
  </si>
  <si>
    <t>ながいも（長芋）ソノタA</t>
    <rPh sb="5" eb="6">
      <t>チョウ</t>
    </rPh>
    <rPh sb="6" eb="7">
      <t>イモ</t>
    </rPh>
    <phoneticPr fontId="7"/>
  </si>
  <si>
    <t>ながいも（長芋）ソノタB</t>
    <rPh sb="5" eb="6">
      <t>チョウ</t>
    </rPh>
    <rPh sb="6" eb="7">
      <t>イモ</t>
    </rPh>
    <phoneticPr fontId="7"/>
  </si>
  <si>
    <t>ながいも（長芋）ソノタC</t>
    <rPh sb="5" eb="6">
      <t>チョウ</t>
    </rPh>
    <rPh sb="6" eb="7">
      <t>イモ</t>
    </rPh>
    <phoneticPr fontId="7"/>
  </si>
  <si>
    <t>ながいも（長芋）サンテナC　M</t>
    <rPh sb="5" eb="6">
      <t>チョウ</t>
    </rPh>
    <rPh sb="6" eb="7">
      <t>イモ</t>
    </rPh>
    <phoneticPr fontId="7"/>
  </si>
  <si>
    <t>ながいも（長芋）サンテナC　S</t>
    <rPh sb="5" eb="6">
      <t>チョウ</t>
    </rPh>
    <rPh sb="6" eb="7">
      <t>イモ</t>
    </rPh>
    <phoneticPr fontId="7"/>
  </si>
  <si>
    <t>ながいも（長芋）サンテナC　２S</t>
    <rPh sb="5" eb="6">
      <t>チョウ</t>
    </rPh>
    <rPh sb="6" eb="7">
      <t>イモ</t>
    </rPh>
    <phoneticPr fontId="7"/>
  </si>
  <si>
    <t>ながいも（長芋）サンテナD　コミ</t>
    <rPh sb="5" eb="6">
      <t>チョウ</t>
    </rPh>
    <rPh sb="6" eb="7">
      <t>イモ</t>
    </rPh>
    <phoneticPr fontId="7"/>
  </si>
  <si>
    <t>立替諸掛</t>
    <rPh sb="0" eb="2">
      <t>タテカエ</t>
    </rPh>
    <rPh sb="2" eb="4">
      <t>ショガカ</t>
    </rPh>
    <phoneticPr fontId="31"/>
  </si>
  <si>
    <t>振込指定口座</t>
  </si>
  <si>
    <t>毎度格別のお引き立てを賜り厚くお礼申し上げます。
本書記載の通りご請求申し上げます。
なお、本書についてご不明な点がございましたら記載の担当窓口にご照会願います。</t>
    <rPh sb="25" eb="27">
      <t>ホンショ</t>
    </rPh>
    <rPh sb="27" eb="29">
      <t>キサイ</t>
    </rPh>
    <phoneticPr fontId="7"/>
  </si>
  <si>
    <t>3,0101,382円</t>
    <rPh sb="10" eb="11">
      <t>エン</t>
    </rPh>
    <phoneticPr fontId="7"/>
  </si>
  <si>
    <t>発行日</t>
    <rPh sb="0" eb="3">
      <t>ハッコウビ</t>
    </rPh>
    <phoneticPr fontId="7"/>
  </si>
  <si>
    <t>請求書No</t>
    <rPh sb="0" eb="3">
      <t>セイキュウショ</t>
    </rPh>
    <phoneticPr fontId="7"/>
  </si>
  <si>
    <t>XXXXXXXXXXXXXXXXX</t>
    <phoneticPr fontId="7"/>
  </si>
  <si>
    <t>請求書No：XXXXXXXXXXXXXXXXX</t>
    <phoneticPr fontId="7"/>
  </si>
  <si>
    <t>（請求書作成データ（自動） or 請求書作成データ（汎用））．請求先郵便番号親番、（請求書作成データ（自動） or 請求書作成データ（汎用））．請求先郵便番号子番を取得し、
「"〒"＋請求先郵便番号親番＋"-"＋請求先郵便番号子番」を印字する。</t>
    <rPh sb="31" eb="33">
      <t>セイキュウ</t>
    </rPh>
    <rPh sb="33" eb="34">
      <t>サキ</t>
    </rPh>
    <rPh sb="34" eb="38">
      <t>ユウビンバンゴウ</t>
    </rPh>
    <rPh sb="38" eb="40">
      <t>オヤバン</t>
    </rPh>
    <rPh sb="82" eb="84">
      <t>シュトク</t>
    </rPh>
    <rPh sb="92" eb="94">
      <t>セイキュウ</t>
    </rPh>
    <rPh sb="94" eb="95">
      <t>サキ</t>
    </rPh>
    <rPh sb="95" eb="99">
      <t>ユウビンバンゴウ</t>
    </rPh>
    <rPh sb="99" eb="101">
      <t>オヤバン</t>
    </rPh>
    <rPh sb="106" eb="108">
      <t>セイキュウ</t>
    </rPh>
    <rPh sb="108" eb="109">
      <t>サキ</t>
    </rPh>
    <rPh sb="109" eb="113">
      <t>ユウビンバンゴウ</t>
    </rPh>
    <rPh sb="113" eb="114">
      <t>コ</t>
    </rPh>
    <rPh sb="114" eb="115">
      <t>バン</t>
    </rPh>
    <phoneticPr fontId="7"/>
  </si>
  <si>
    <t>（請求書作成データ（自動） or 請求書作成データ（汎用））．請求先住所を印字する。</t>
  </si>
  <si>
    <t>（請求書作成データ（自動） or 請求書作成データ（汎用））．請求先名称を印字する。</t>
  </si>
  <si>
    <t>（請求書作成データ（自動） or 請求書作成データ（汎用））．市外局番、（請求書作成データ（自動） or 請求書作成データ（汎用））．局番、（請求書作成データ（自動） or 請求書作成データ（汎用））．電話番号を取得し、
「市外局番＋"－"＋局番＋"－"＋電話番号」を印字する。</t>
    <rPh sb="31" eb="33">
      <t>シガイ</t>
    </rPh>
    <rPh sb="33" eb="35">
      <t>キョクバン</t>
    </rPh>
    <rPh sb="106" eb="108">
      <t>シュトク</t>
    </rPh>
    <rPh sb="112" eb="114">
      <t>シガイ</t>
    </rPh>
    <rPh sb="114" eb="116">
      <t>キョクバン</t>
    </rPh>
    <rPh sb="121" eb="123">
      <t>キョクバン</t>
    </rPh>
    <phoneticPr fontId="7"/>
  </si>
  <si>
    <t>（請求書作成データ（自動） or 請求書作成データ（汎用））．請求締日を印字する。</t>
  </si>
  <si>
    <t>（請求書作成データ（自動） or 請求書作成データ（汎用））．回収方法を印字する。</t>
  </si>
  <si>
    <t>（請求書作成データ（自動） or 請求書作成データ（汎用））．起算日を印字する。</t>
  </si>
  <si>
    <t>（請求書作成データ（自動） or 請求書作成データ（汎用））．満期日を印字する。</t>
  </si>
  <si>
    <t>（請求書作成データ（自動） or 請求書作成データ（汎用））．回収予定日を印字する。</t>
  </si>
  <si>
    <t>（請求書作成データ（自動） or 請求書作成データ（汎用））．振込指定口座１に紐づくホクレン口座マスタ．口座種別を印字する。</t>
    <rPh sb="46" eb="48">
      <t>コウザ</t>
    </rPh>
    <rPh sb="52" eb="54">
      <t>コウザ</t>
    </rPh>
    <rPh sb="54" eb="56">
      <t>シュベツ</t>
    </rPh>
    <phoneticPr fontId="7"/>
  </si>
  <si>
    <t>（請求書作成データ（自動） or 請求書作成データ（汎用））．振込指定口座１に紐づくホクレン口座マスタ．口座番号を印字する。</t>
    <rPh sb="52" eb="54">
      <t>コウザ</t>
    </rPh>
    <rPh sb="54" eb="56">
      <t>バンゴウ</t>
    </rPh>
    <phoneticPr fontId="7"/>
  </si>
  <si>
    <t>（請求書作成データ（自動） or 請求書作成データ（汎用））．振込指定口座１に紐づくホクレン口座マスタ．口座名義人漢字を印字する。</t>
    <rPh sb="52" eb="57">
      <t>コウザメイギニン</t>
    </rPh>
    <rPh sb="57" eb="59">
      <t>カンジ</t>
    </rPh>
    <phoneticPr fontId="7"/>
  </si>
  <si>
    <t>（請求書作成データ（自動） or 請求書作成データ（汎用））．振込指定口座２に紐づくホクレン口座マスタ．口座種別を印字する。</t>
    <rPh sb="46" eb="48">
      <t>コウザ</t>
    </rPh>
    <rPh sb="52" eb="54">
      <t>コウザ</t>
    </rPh>
    <rPh sb="54" eb="56">
      <t>シュベツ</t>
    </rPh>
    <phoneticPr fontId="7"/>
  </si>
  <si>
    <t>（請求書作成データ（自動） or 請求書作成データ（汎用））．振込指定口座２に紐づくホクレン口座マスタ．口座番号を印字する。</t>
    <rPh sb="52" eb="54">
      <t>コウザ</t>
    </rPh>
    <rPh sb="54" eb="56">
      <t>バンゴウ</t>
    </rPh>
    <phoneticPr fontId="7"/>
  </si>
  <si>
    <t>（請求書作成データ（自動） or 請求書作成データ（汎用））．振込指定口座２に紐づくホクレン口座マスタ．口座名義人漢字を印字する。</t>
    <rPh sb="52" eb="57">
      <t>コウザメイギニン</t>
    </rPh>
    <rPh sb="57" eb="59">
      <t>カンジ</t>
    </rPh>
    <phoneticPr fontId="7"/>
  </si>
  <si>
    <t>（請求書作成データ（自動） or 請求書作成データ（汎用））．振込指定口座３に紐づくホクレン口座マスタ．口座種別を印字する。</t>
    <rPh sb="46" eb="48">
      <t>コウザ</t>
    </rPh>
    <rPh sb="52" eb="54">
      <t>コウザ</t>
    </rPh>
    <rPh sb="54" eb="56">
      <t>シュベツ</t>
    </rPh>
    <phoneticPr fontId="7"/>
  </si>
  <si>
    <t>（請求書作成データ（自動） or 請求書作成データ（汎用））．振込指定口座３に紐づくホクレン口座マスタ．口座番号を印字する。</t>
    <rPh sb="52" eb="54">
      <t>コウザ</t>
    </rPh>
    <rPh sb="54" eb="56">
      <t>バンゴウ</t>
    </rPh>
    <phoneticPr fontId="7"/>
  </si>
  <si>
    <t>（請求書作成データ（自動） or 請求書作成データ（汎用））．振込指定口座３に紐づくホクレン口座マスタ．口座名義人漢字を印字する。</t>
    <rPh sb="52" eb="57">
      <t>コウザメイギニン</t>
    </rPh>
    <rPh sb="57" eb="59">
      <t>カンジ</t>
    </rPh>
    <phoneticPr fontId="7"/>
  </si>
  <si>
    <t>ﾎｸﾚﾝの適格請求書発行事業者登録番号 (T7430005003072)を固定文言として印字する。</t>
    <rPh sb="37" eb="39">
      <t>コテイ</t>
    </rPh>
    <rPh sb="39" eb="41">
      <t>モンゴン</t>
    </rPh>
    <rPh sb="44" eb="46">
      <t>インジ</t>
    </rPh>
    <phoneticPr fontId="7"/>
  </si>
  <si>
    <t>（請求書作成データ（自動） or 請求書作成データ（汎用））．回収合計金額を印字する。</t>
    <rPh sb="31" eb="33">
      <t>カイシュウ</t>
    </rPh>
    <rPh sb="33" eb="35">
      <t>ゴウケイ</t>
    </rPh>
    <rPh sb="35" eb="37">
      <t>キンガク</t>
    </rPh>
    <phoneticPr fontId="7"/>
  </si>
  <si>
    <t>（請求書作成データ（自動） or 請求書作成データ（汎用））．振込指定口座１に紐づく金融機関マスタ．銀行名（漢字） ＋ "（" ＋ ホクレン口座マスタ．銀行コード ＋ "）"を印字する。</t>
    <rPh sb="39" eb="40">
      <t>ヒモ</t>
    </rPh>
    <phoneticPr fontId="7"/>
  </si>
  <si>
    <t>（請求書作成データ（自動） or 請求書作成データ（汎用））．振込指定口座１に紐づく金融機関マスタ．支店名（漢字）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</si>
  <si>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請求書作成データ（汎用））．振込指定口座２に紐づく金融機関マスタ銀行名（漢字） ＋ "（" ＋ ホクレン口座マスタ．銀行コード ＋ "）"を印字する。</t>
    <rPh sb="39" eb="40">
      <t>ヒモ</t>
    </rPh>
    <phoneticPr fontId="7"/>
  </si>
  <si>
    <t>（請求書作成データ（自動） or 請求書作成データ（汎用））．振込指定口座２に紐づく金融機関マスタ．支店名（漢字）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</si>
  <si>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請求書作成データ（汎用））．振込指定口座３に紐づく金融機関マスタ銀行名（漢字） ＋ "（" ＋ ホクレン口座マスタ．銀行コード ＋ "）"を印字する。</t>
    <rPh sb="39" eb="40">
      <t>ヒモ</t>
    </rPh>
    <phoneticPr fontId="7"/>
  </si>
  <si>
    <t>（請求書作成データ（自動） or 請求書作成データ（汎用））．振込指定口座３に紐づく金融機関マスタ．支店名（漢字） ＋ "（" ＋ ホクレン口座マスタ．本支店コード ＋ "）"を印字する。</t>
    <rPh sb="39" eb="40">
      <t>ヒモ</t>
    </rPh>
    <rPh sb="50" eb="52">
      <t>シテン</t>
    </rPh>
    <rPh sb="76" eb="79">
      <t>ホンシテン</t>
    </rPh>
    <phoneticPr fontId="7"/>
  </si>
  <si>
    <t>（請求書作成データ（自動） or 請求書作成データ（汎用））．事業所から、事業所マスタ．事業所名（漢字）を印字する。</t>
    <rPh sb="31" eb="34">
      <t>ジギョウショ</t>
    </rPh>
    <rPh sb="37" eb="40">
      <t>ジギョウショ</t>
    </rPh>
    <phoneticPr fontId="7"/>
  </si>
  <si>
    <t>（請求書作成データ（自動） or 請求書作成データ（汎用））．所属から、課マスタ．課名（漢字）を印字する。</t>
    <rPh sb="31" eb="33">
      <t>ショゾク</t>
    </rPh>
    <phoneticPr fontId="7"/>
  </si>
  <si>
    <t>（請求書作成データ（自動） or 請求書作成データ（汎用））．事業所に紐づく事業所マスタ、および
事業所マスタ．都道府県コード、事業所マスタ．都道府県コード市町村コード、事業所マスタ．都道府県コード大字・通称コード、事業所マスタ．都道府県コード字・丁目コードに紐づく住所マスタを取得する。
取得した値を基に「住所マスタ．都道府県名（漢字）＋住所マスタ．市町村名（漢字）＋住所マスタ．大字・通称（漢字）＋字・丁目（漢字）＋事業所マスタ．住所・番地名（漢字）＋住所・肩書（漢字）」を印字する。</t>
    <rPh sb="139" eb="141">
      <t>シュトク</t>
    </rPh>
    <rPh sb="145" eb="147">
      <t>シュトク</t>
    </rPh>
    <rPh sb="149" eb="150">
      <t>アタイ</t>
    </rPh>
    <rPh sb="151" eb="152">
      <t>モト</t>
    </rPh>
    <rPh sb="210" eb="213">
      <t>ジギョウショ</t>
    </rPh>
    <phoneticPr fontId="7"/>
  </si>
  <si>
    <t>（請求書作成データ（自動） or 請求書作成データ（汎用））．所属から、課マスタ．課名（漢字）を取得する。
課マスタ．市外局番、課マスタ．局番、課マスタ．電話番号をもとに「市外局番＋"－"＋局番＋"－"＋電話番号」を印字する。</t>
    <rPh sb="31" eb="33">
      <t>ショゾク</t>
    </rPh>
    <rPh sb="48" eb="50">
      <t>シュトク</t>
    </rPh>
    <rPh sb="54" eb="55">
      <t>カ</t>
    </rPh>
    <phoneticPr fontId="7"/>
  </si>
  <si>
    <t>事業所、所属単位に集約し、（請求書作成データ（自動） or 請求書作成データ（汎用））.税率と（請求書作成データ（自動） or 請求書作成データ（汎用））.消費税区分を税率毎にを印字する。
また、消費税区分に「*」が設定されている時、「%」の右横に「*」を固定でを印字する。</t>
    <rPh sb="0" eb="3">
      <t>ジギョウショ</t>
    </rPh>
    <rPh sb="4" eb="6">
      <t>ショゾク</t>
    </rPh>
    <rPh sb="6" eb="8">
      <t>タンイ</t>
    </rPh>
    <rPh sb="9" eb="11">
      <t>シュウヤク</t>
    </rPh>
    <rPh sb="45" eb="46">
      <t>リツ</t>
    </rPh>
    <rPh sb="81" eb="83">
      <t>クブン</t>
    </rPh>
    <rPh sb="84" eb="87">
      <t>ゼイリツマイ</t>
    </rPh>
    <rPh sb="98" eb="103">
      <t>ショウヒゼイクブン</t>
    </rPh>
    <rPh sb="108" eb="110">
      <t>セッテイ</t>
    </rPh>
    <rPh sb="115" eb="116">
      <t>トキ</t>
    </rPh>
    <rPh sb="121" eb="123">
      <t>ミギヨコ</t>
    </rPh>
    <rPh sb="128" eb="130">
      <t>コテイ</t>
    </rPh>
    <phoneticPr fontId="7"/>
  </si>
  <si>
    <t>事業所、所属単位に集約し、さらに（請求書作成データ（自動） or 請求書作成データ（汎用））.税率と（請求書作成データ（自動） or 請求書作成データ（汎用））.消費税区分毎に集約した、（請求書作成データ（自動） or 請求書作成データ（汎用））.明細金額計の合計を印字する。</t>
    <rPh sb="86" eb="87">
      <t>マイ</t>
    </rPh>
    <rPh sb="88" eb="90">
      <t>シュウヤク</t>
    </rPh>
    <rPh sb="130" eb="132">
      <t>ゴウケイ</t>
    </rPh>
    <phoneticPr fontId="7"/>
  </si>
  <si>
    <t>事業所、所属単位に集約し、さらに（請求書作成データ（自動） or 請求書作成データ（汎用））.税率と（請求書作成データ（自動） or 請求書作成データ（汎用））.消費税区分毎に毎集約した、請求書作成データ（明細）.特別歩引の合計を印字する。
※設定されている場合のみ表示、設定されていない場合はラベル含めて非表示とする。</t>
    <rPh sb="88" eb="89">
      <t>マイ</t>
    </rPh>
    <rPh sb="89" eb="91">
      <t>シュウヤク</t>
    </rPh>
    <rPh sb="107" eb="109">
      <t>トクベツ</t>
    </rPh>
    <rPh sb="109" eb="110">
      <t>アユミ</t>
    </rPh>
    <rPh sb="110" eb="111">
      <t>イン</t>
    </rPh>
    <rPh sb="112" eb="114">
      <t>ゴウケイ</t>
    </rPh>
    <rPh sb="115" eb="117">
      <t>インジ</t>
    </rPh>
    <rPh sb="122" eb="124">
      <t>セッテイ</t>
    </rPh>
    <rPh sb="129" eb="131">
      <t>バアイ</t>
    </rPh>
    <rPh sb="133" eb="135">
      <t>ヒョウジ</t>
    </rPh>
    <rPh sb="136" eb="138">
      <t>セッテイ</t>
    </rPh>
    <rPh sb="144" eb="146">
      <t>バアイ</t>
    </rPh>
    <rPh sb="150" eb="151">
      <t>フク</t>
    </rPh>
    <rPh sb="153" eb="156">
      <t>ヒヒョウジ</t>
    </rPh>
    <phoneticPr fontId="7"/>
  </si>
  <si>
    <t>事業所、所属単位に集約し、さらに（請求書作成データ（自動） or 請求書作成データ（汎用））.税率と（請求書作成データ（自動） or 請求書作成データ（汎用））.消費税区分毎に毎集約した、（請求書作成データ（自動） or 請求書作成データ（汎用））.帳合料の合計を印字する。
※設定されている場合のみ表示、設定されていない場合はラベル含めて非表示とする。</t>
    <rPh sb="88" eb="89">
      <t>マイ</t>
    </rPh>
    <rPh sb="89" eb="91">
      <t>シュウヤク</t>
    </rPh>
    <rPh sb="125" eb="128">
      <t>チョウアイリョウ</t>
    </rPh>
    <rPh sb="129" eb="131">
      <t>ゴウケイ</t>
    </rPh>
    <rPh sb="132" eb="134">
      <t>インジ</t>
    </rPh>
    <phoneticPr fontId="7"/>
  </si>
  <si>
    <t>本体金額 - 特別歩引 ＋ 帳合料を印字する。</t>
    <rPh sb="7" eb="9">
      <t>トクベツ</t>
    </rPh>
    <rPh sb="9" eb="11">
      <t>ブビ</t>
    </rPh>
    <rPh sb="14" eb="17">
      <t>チョウアイリョウ</t>
    </rPh>
    <rPh sb="18" eb="20">
      <t>インジ</t>
    </rPh>
    <phoneticPr fontId="7"/>
  </si>
  <si>
    <t>品目名単位に集約した（請求書作成データ（自動） or 請求書作成データ（汎用））.品目１～品目５を印字する。</t>
    <rPh sb="45" eb="47">
      <t>ヒンモク</t>
    </rPh>
    <phoneticPr fontId="7"/>
  </si>
  <si>
    <t>品目名単位に集約した本体金額計を印字する。</t>
    <rPh sb="3" eb="5">
      <t>タンイ</t>
    </rPh>
    <rPh sb="6" eb="8">
      <t>シュウヤク</t>
    </rPh>
    <rPh sb="10" eb="12">
      <t>ホンタイ</t>
    </rPh>
    <rPh sb="12" eb="14">
      <t>キンガク</t>
    </rPh>
    <rPh sb="14" eb="15">
      <t>ケイ</t>
    </rPh>
    <rPh sb="16" eb="18">
      <t>インジ</t>
    </rPh>
    <phoneticPr fontId="7"/>
  </si>
  <si>
    <t>店舗名単位に集約した（請求書作成データ（自動） or 請求書作成データ（汎用））.店舗を印字する。</t>
    <rPh sb="0" eb="2">
      <t>テンポ</t>
    </rPh>
    <rPh sb="41" eb="43">
      <t>テンポ</t>
    </rPh>
    <phoneticPr fontId="7"/>
  </si>
  <si>
    <t>店舗名単位に集約した本体金額計を印字する。</t>
    <rPh sb="0" eb="2">
      <t>テンポ</t>
    </rPh>
    <rPh sb="3" eb="5">
      <t>タンイ</t>
    </rPh>
    <rPh sb="6" eb="8">
      <t>シュウヤク</t>
    </rPh>
    <rPh sb="14" eb="15">
      <t>ケイ</t>
    </rPh>
    <rPh sb="16" eb="18">
      <t>インジ</t>
    </rPh>
    <phoneticPr fontId="7"/>
  </si>
  <si>
    <t>以下の仕様を参考に印字する。
F4190_DA_5.2.請求
補足・項目編集仕様(請求書No)</t>
    <rPh sb="0" eb="2">
      <t>イカ</t>
    </rPh>
    <rPh sb="3" eb="5">
      <t>シヨウ</t>
    </rPh>
    <rPh sb="6" eb="8">
      <t>サンコウ</t>
    </rPh>
    <phoneticPr fontId="7"/>
  </si>
  <si>
    <t>請求書作成を実行した「運用管理日」を印字する。</t>
    <phoneticPr fontId="7"/>
  </si>
  <si>
    <t>電話番号</t>
    <rPh sb="0" eb="4">
      <t>デンワバンゴウ</t>
    </rPh>
    <phoneticPr fontId="7"/>
  </si>
  <si>
    <t>電話番号</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</si>
</sst>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_);[Red]\(&quot;¥&quot;#,##0\)"/>
    <numFmt numFmtId="177" formatCode="#,##0_ "/>
  </numFmts>
  <fonts count="35">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6"/>
      <name val="ＭＳ Ｐ明朝"/>
      <family val="1"/>
      <charset val="128"/>
    </font>
    <font>
      <b/>
      <sz val="9"/>
      <color indexed="81"/>
      <name val="MS P ゴシック"/>
      <family val="3"/>
      <charset val="128"/>
    </font>
    <font>
      <sz val="24"/>
      <name val="ＭＳ Ｐ明朝"/>
      <family val="1"/>
      <charset val="128"/>
    </font>
    <font>
      <sz val="12"/>
      <color rgb="FFFF0000"/>
      <name val="ＭＳ 明朝"/>
      <family val="1"/>
      <charset val="128"/>
    </font>
    <font>
      <sz val="24"/>
      <name val="ＭＳ 明朝"/>
      <family val="1"/>
      <charset val="128"/>
    </font>
    <font>
      <b/>
      <sz val="24"/>
      <name val="ＭＳ 明朝"/>
      <family val="1"/>
      <charset val="128"/>
    </font>
    <font>
      <b/>
      <sz val="22"/>
      <name val="ＭＳ 明朝"/>
      <family val="1"/>
      <charset val="128"/>
    </font>
    <font>
      <sz val="36"/>
      <name val="ＭＳ 明朝"/>
      <family val="1"/>
      <charset val="128"/>
    </font>
    <font>
      <sz val="26"/>
      <name val="ＭＳ 明朝"/>
      <family val="1"/>
      <charset val="128"/>
    </font>
    <font>
      <b/>
      <sz val="36"/>
      <name val="ＭＳ 明朝"/>
      <family val="1"/>
      <charset val="128"/>
    </font>
    <font>
      <b/>
      <sz val="24"/>
      <name val="ＭＳ Ｐ明朝"/>
      <family val="1"/>
      <charset val="128"/>
    </font>
    <font>
      <b/>
      <sz val="10"/>
      <name val="ＭＳ 明朝"/>
      <family val="1"/>
      <charset val="128"/>
    </font>
    <font>
      <b/>
      <sz val="56"/>
      <name val="ＭＳ 明朝"/>
      <family val="1"/>
      <charset val="128"/>
    </font>
    <font>
      <b/>
      <sz val="10"/>
      <name val="ＭＳ ゴシック"/>
      <family val="3"/>
      <charset val="128"/>
    </font>
    <font>
      <sz val="6"/>
      <name val="Meiryo UI"/>
      <family val="2"/>
      <charset val="128"/>
    </font>
    <font>
      <sz val="24"/>
      <color theme="1"/>
      <name val="ＭＳ 明朝"/>
      <family val="1"/>
      <charset val="128"/>
    </font>
    <font>
      <sz val="11"/>
      <color theme="1"/>
      <name val="Meiryo UI"/>
      <family val="2"/>
      <charset val="128"/>
    </font>
    <font>
      <sz val="28"/>
      <name val="ＭＳ Ｐ明朝"/>
      <family val="1"/>
      <charset val="128"/>
    </font>
  </fonts>
  <fills count="3">
    <fill>
      <patternFill patternType="none"/>
    </fill>
    <fill>
      <patternFill patternType="gray125"/>
    </fill>
    <fill>
      <patternFill patternType="solid">
        <fgColor theme="9" tint="0.79998168889431442"/>
        <bgColor indexed="64"/>
      </patternFill>
    </fill>
  </fills>
  <borders count="49">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1"/>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dotted">
        <color indexed="64"/>
      </top>
      <bottom/>
      <diagonal/>
    </border>
    <border>
      <left style="thin">
        <color indexed="64"/>
      </left>
      <right style="dotted">
        <color indexed="64"/>
      </right>
      <top/>
      <bottom/>
      <diagonal/>
    </border>
    <border>
      <left style="dotted">
        <color indexed="64"/>
      </left>
      <right/>
      <top/>
      <bottom style="thin">
        <color indexed="64"/>
      </bottom>
      <diagonal/>
    </border>
    <border>
      <left style="medium">
        <color indexed="64"/>
      </left>
      <right style="dotted">
        <color indexed="64"/>
      </right>
      <top/>
      <bottom/>
      <diagonal/>
    </border>
  </borders>
  <cellStyleXfs count="10">
    <xf numFmtId="0" fontId="0" fillId="0" borderId="0"/>
    <xf numFmtId="0" fontId="3" fillId="0" borderId="0"/>
    <xf numFmtId="0" fontId="12" fillId="0" borderId="0"/>
    <xf numFmtId="176" fontId="13" fillId="0" borderId="0" applyFont="0" applyFill="0" applyBorder="0" applyAlignment="0" applyProtection="0">
      <alignment vertical="center"/>
    </xf>
    <xf numFmtId="0" fontId="13" fillId="0" borderId="0"/>
    <xf numFmtId="0" fontId="2" fillId="0" borderId="0">
      <alignment vertical="center"/>
    </xf>
    <xf numFmtId="176" fontId="13" fillId="0" borderId="0" applyFont="0" applyFill="0" applyBorder="0" applyAlignment="0" applyProtection="0">
      <alignment vertical="center"/>
    </xf>
    <xf numFmtId="0" fontId="1" fillId="0" borderId="0">
      <alignment vertical="center"/>
    </xf>
    <xf numFmtId="0" fontId="1" fillId="0" borderId="0">
      <alignment vertical="center"/>
    </xf>
    <xf numFmtId="0" fontId="33" fillId="0" borderId="0">
      <alignment vertical="center"/>
    </xf>
  </cellStyleXfs>
  <cellXfs count="422">
    <xf numFmtId="0" fontId="0" fillId="0" borderId="0" xfId="0"/>
    <xf numFmtId="1" fontId="4" fillId="0" borderId="1" xfId="1" applyNumberFormat="1" applyFont="1" applyBorder="1" applyAlignment="1">
      <alignment horizontal="left" vertical="center"/>
    </xf>
    <xf numFmtId="1" fontId="4" fillId="0" borderId="2" xfId="1" applyNumberFormat="1" applyFont="1" applyBorder="1" applyAlignment="1">
      <alignment horizontal="left" vertical="center"/>
    </xf>
    <xf numFmtId="49" fontId="6" fillId="0" borderId="0" xfId="0" applyNumberFormat="1" applyFont="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6" fillId="0" borderId="0" xfId="0" applyNumberFormat="1" applyFont="1" applyAlignment="1">
      <alignment horizontal="right" vertical="center"/>
    </xf>
    <xf numFmtId="0" fontId="11"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xf numFmtId="0" fontId="6" fillId="0" borderId="8" xfId="0" applyFont="1" applyBorder="1"/>
    <xf numFmtId="0" fontId="6" fillId="0" borderId="9" xfId="0" applyFont="1" applyBorder="1"/>
    <xf numFmtId="0" fontId="6" fillId="0" borderId="10" xfId="0" applyFont="1" applyBorder="1"/>
    <xf numFmtId="0" fontId="6" fillId="0" borderId="6" xfId="0" applyFont="1" applyBorder="1"/>
    <xf numFmtId="0" fontId="6" fillId="0" borderId="7" xfId="0" applyFont="1" applyBorder="1"/>
    <xf numFmtId="0" fontId="6" fillId="0" borderId="11" xfId="0" applyFont="1" applyBorder="1"/>
    <xf numFmtId="0" fontId="6" fillId="0" borderId="3" xfId="0" applyFont="1" applyBorder="1"/>
    <xf numFmtId="0" fontId="6" fillId="0" borderId="12" xfId="0" applyFont="1" applyBorder="1"/>
    <xf numFmtId="0" fontId="6" fillId="0" borderId="7" xfId="0" applyFont="1" applyBorder="1" applyAlignment="1">
      <alignment vertical="center"/>
    </xf>
    <xf numFmtId="0" fontId="6" fillId="0" borderId="3"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0" xfId="0" applyFont="1" applyAlignment="1">
      <alignment horizontal="right" vertical="center"/>
    </xf>
    <xf numFmtId="0" fontId="6" fillId="0" borderId="7" xfId="0" applyFont="1" applyBorder="1" applyAlignment="1">
      <alignment horizontal="left" vertical="center"/>
    </xf>
    <xf numFmtId="0" fontId="6" fillId="0" borderId="8" xfId="0" applyFont="1" applyBorder="1" applyAlignment="1">
      <alignment vertical="center"/>
    </xf>
    <xf numFmtId="0" fontId="6" fillId="0" borderId="6" xfId="0" applyFont="1" applyBorder="1" applyAlignment="1">
      <alignment vertical="center"/>
    </xf>
    <xf numFmtId="0" fontId="6" fillId="0" borderId="11" xfId="0" applyFont="1" applyBorder="1" applyAlignment="1">
      <alignment vertical="center"/>
    </xf>
    <xf numFmtId="0" fontId="6" fillId="0" borderId="8" xfId="0" quotePrefix="1" applyFont="1" applyBorder="1" applyAlignment="1">
      <alignment vertical="center"/>
    </xf>
    <xf numFmtId="0" fontId="6" fillId="0" borderId="9" xfId="0" applyFont="1" applyBorder="1" applyAlignment="1">
      <alignment horizontal="right" vertical="center"/>
    </xf>
    <xf numFmtId="0" fontId="6" fillId="0" borderId="6" xfId="0" quotePrefix="1" applyFont="1" applyBorder="1" applyAlignment="1">
      <alignment vertical="center"/>
    </xf>
    <xf numFmtId="0" fontId="6" fillId="0" borderId="11" xfId="0" quotePrefix="1" applyFont="1" applyBorder="1" applyAlignment="1">
      <alignment vertical="center"/>
    </xf>
    <xf numFmtId="0" fontId="6" fillId="0" borderId="3" xfId="0" applyFont="1" applyBorder="1" applyAlignment="1">
      <alignment horizontal="righ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28" xfId="0" applyFont="1" applyBorder="1" applyAlignment="1">
      <alignment vertical="center"/>
    </xf>
    <xf numFmtId="0" fontId="6" fillId="0" borderId="29" xfId="0" applyFont="1" applyBorder="1" applyAlignment="1">
      <alignment vertical="center"/>
    </xf>
    <xf numFmtId="0" fontId="6" fillId="0" borderId="30" xfId="0" applyFont="1" applyBorder="1" applyAlignment="1">
      <alignment vertical="center"/>
    </xf>
    <xf numFmtId="0" fontId="6" fillId="0" borderId="31" xfId="0" applyFont="1" applyBorder="1" applyAlignment="1">
      <alignment vertical="center"/>
    </xf>
    <xf numFmtId="0" fontId="6" fillId="0" borderId="32" xfId="0" applyFont="1" applyBorder="1" applyAlignment="1">
      <alignment vertical="center"/>
    </xf>
    <xf numFmtId="0" fontId="6" fillId="0" borderId="33" xfId="0" applyFont="1" applyBorder="1" applyAlignment="1">
      <alignment vertical="center"/>
    </xf>
    <xf numFmtId="176" fontId="6" fillId="0" borderId="9" xfId="3" applyFont="1" applyBorder="1" applyAlignment="1">
      <alignment vertical="center"/>
    </xf>
    <xf numFmtId="176" fontId="6" fillId="0" borderId="0" xfId="3" applyFont="1" applyBorder="1" applyAlignment="1">
      <alignment vertical="center"/>
    </xf>
    <xf numFmtId="176" fontId="6" fillId="0" borderId="3" xfId="3" applyFont="1" applyBorder="1" applyAlignment="1">
      <alignment vertical="center"/>
    </xf>
    <xf numFmtId="1" fontId="10" fillId="0" borderId="3" xfId="1" applyNumberFormat="1" applyFont="1" applyBorder="1" applyAlignment="1">
      <alignment vertical="center"/>
    </xf>
    <xf numFmtId="1" fontId="10" fillId="0" borderId="3" xfId="1" applyNumberFormat="1" applyFont="1" applyBorder="1" applyAlignment="1">
      <alignment horizontal="right" vertical="center"/>
    </xf>
    <xf numFmtId="1" fontId="4" fillId="0" borderId="0" xfId="1" applyNumberFormat="1" applyFont="1" applyAlignment="1">
      <alignment horizontal="left" vertical="center"/>
    </xf>
    <xf numFmtId="1" fontId="15" fillId="0" borderId="4" xfId="1" applyNumberFormat="1" applyFont="1" applyBorder="1" applyAlignment="1">
      <alignment horizontal="centerContinuous" vertical="center"/>
    </xf>
    <xf numFmtId="1" fontId="15" fillId="0" borderId="16" xfId="1" applyNumberFormat="1" applyFont="1" applyBorder="1" applyAlignment="1">
      <alignment horizontal="centerContinuous" vertical="center"/>
    </xf>
    <xf numFmtId="0" fontId="15" fillId="0" borderId="13" xfId="1" applyFont="1" applyBorder="1" applyAlignment="1">
      <alignment vertical="center"/>
    </xf>
    <xf numFmtId="0" fontId="15" fillId="0" borderId="4" xfId="1" applyFont="1" applyBorder="1" applyAlignment="1">
      <alignment vertical="center"/>
    </xf>
    <xf numFmtId="0" fontId="15" fillId="0" borderId="16" xfId="1" applyFont="1" applyBorder="1" applyAlignment="1">
      <alignment vertical="center"/>
    </xf>
    <xf numFmtId="1" fontId="15" fillId="0" borderId="13" xfId="1" applyNumberFormat="1" applyFont="1" applyBorder="1" applyAlignment="1">
      <alignment horizontal="centerContinuous" vertical="center"/>
    </xf>
    <xf numFmtId="1" fontId="15" fillId="0" borderId="13" xfId="1" applyNumberFormat="1" applyFont="1" applyBorder="1" applyAlignment="1">
      <alignment vertical="center"/>
    </xf>
    <xf numFmtId="1" fontId="15" fillId="0" borderId="4" xfId="1" applyNumberFormat="1" applyFont="1" applyBorder="1" applyAlignment="1">
      <alignment vertical="center"/>
    </xf>
    <xf numFmtId="1" fontId="15" fillId="0" borderId="16" xfId="1" applyNumberFormat="1" applyFont="1" applyBorder="1" applyAlignment="1">
      <alignment vertical="center"/>
    </xf>
    <xf numFmtId="1" fontId="5" fillId="0" borderId="0" xfId="1" applyNumberFormat="1" applyFont="1" applyAlignment="1">
      <alignment horizontal="left" vertical="center"/>
    </xf>
    <xf numFmtId="14" fontId="15" fillId="0" borderId="13" xfId="1" applyNumberFormat="1" applyFont="1" applyBorder="1" applyAlignment="1">
      <alignment horizontal="centerContinuous" vertical="center"/>
    </xf>
    <xf numFmtId="14" fontId="15" fillId="0" borderId="4" xfId="1" applyNumberFormat="1" applyFont="1" applyBorder="1" applyAlignment="1">
      <alignment horizontal="centerContinuous" vertical="center"/>
    </xf>
    <xf numFmtId="14" fontId="15" fillId="0" borderId="16" xfId="1" applyNumberFormat="1" applyFont="1" applyBorder="1" applyAlignment="1">
      <alignment horizontal="centerContinuous" vertical="center"/>
    </xf>
    <xf numFmtId="1" fontId="15" fillId="0" borderId="22" xfId="1" applyNumberFormat="1" applyFont="1" applyBorder="1" applyAlignment="1">
      <alignment vertical="center"/>
    </xf>
    <xf numFmtId="1" fontId="15" fillId="0" borderId="17" xfId="1" applyNumberFormat="1" applyFont="1" applyBorder="1" applyAlignment="1">
      <alignment horizontal="centerContinuous" vertical="center"/>
    </xf>
    <xf numFmtId="1" fontId="15" fillId="0" borderId="18" xfId="1" applyNumberFormat="1" applyFont="1" applyBorder="1" applyAlignment="1">
      <alignment horizontal="centerContinuous" vertical="center"/>
    </xf>
    <xf numFmtId="1" fontId="15" fillId="0" borderId="19" xfId="1" applyNumberFormat="1" applyFont="1" applyBorder="1" applyAlignment="1">
      <alignment horizontal="centerContinuous" vertical="center"/>
    </xf>
    <xf numFmtId="1" fontId="15" fillId="0" borderId="18" xfId="1" applyNumberFormat="1" applyFont="1" applyBorder="1" applyAlignment="1">
      <alignment vertical="center"/>
    </xf>
    <xf numFmtId="1" fontId="15" fillId="0" borderId="21" xfId="1" applyNumberFormat="1" applyFont="1" applyBorder="1" applyAlignment="1">
      <alignment vertical="center"/>
    </xf>
    <xf numFmtId="1" fontId="16" fillId="0" borderId="35" xfId="1" applyNumberFormat="1" applyFont="1" applyBorder="1" applyAlignment="1">
      <alignment horizontal="left" vertical="center"/>
    </xf>
    <xf numFmtId="1" fontId="16" fillId="0" borderId="36" xfId="1" applyNumberFormat="1" applyFont="1" applyBorder="1" applyAlignment="1">
      <alignment horizontal="left" vertical="center"/>
    </xf>
    <xf numFmtId="1" fontId="16" fillId="0" borderId="37" xfId="1" applyNumberFormat="1" applyFont="1" applyBorder="1" applyAlignment="1">
      <alignment vertical="center"/>
    </xf>
    <xf numFmtId="1" fontId="16" fillId="0" borderId="0" xfId="1" applyNumberFormat="1" applyFont="1" applyAlignment="1">
      <alignment horizontal="centerContinuous" vertical="center"/>
    </xf>
    <xf numFmtId="1" fontId="16" fillId="0" borderId="0" xfId="1" applyNumberFormat="1" applyFont="1" applyAlignment="1">
      <alignment vertical="center"/>
    </xf>
    <xf numFmtId="1" fontId="16" fillId="0" borderId="0" xfId="1" quotePrefix="1" applyNumberFormat="1" applyFont="1" applyAlignment="1">
      <alignment horizontal="center" vertical="center"/>
    </xf>
    <xf numFmtId="1" fontId="16" fillId="0" borderId="2" xfId="1" applyNumberFormat="1" applyFont="1" applyBorder="1" applyAlignment="1">
      <alignment vertical="center"/>
    </xf>
    <xf numFmtId="1" fontId="16" fillId="0" borderId="0" xfId="1" quotePrefix="1" applyNumberFormat="1" applyFont="1" applyAlignment="1">
      <alignment horizontal="centerContinuous" vertical="center"/>
    </xf>
    <xf numFmtId="1" fontId="16" fillId="0" borderId="38" xfId="1" applyNumberFormat="1" applyFont="1" applyBorder="1" applyAlignment="1">
      <alignment vertical="center"/>
    </xf>
    <xf numFmtId="1" fontId="16" fillId="0" borderId="39" xfId="1" applyNumberFormat="1" applyFont="1" applyBorder="1" applyAlignment="1">
      <alignment vertical="center"/>
    </xf>
    <xf numFmtId="1" fontId="16" fillId="0" borderId="40" xfId="1" applyNumberFormat="1" applyFont="1" applyBorder="1" applyAlignment="1">
      <alignment vertical="center"/>
    </xf>
    <xf numFmtId="0" fontId="6" fillId="0" borderId="28" xfId="0" quotePrefix="1" applyFont="1" applyBorder="1" applyAlignment="1">
      <alignment vertical="center"/>
    </xf>
    <xf numFmtId="49" fontId="6" fillId="0" borderId="13" xfId="2" applyNumberFormat="1" applyFont="1" applyBorder="1"/>
    <xf numFmtId="49" fontId="6" fillId="0" borderId="4" xfId="2" applyNumberFormat="1" applyFont="1" applyBorder="1"/>
    <xf numFmtId="49" fontId="6" fillId="0" borderId="16" xfId="2" applyNumberFormat="1" applyFont="1" applyBorder="1"/>
    <xf numFmtId="49" fontId="6" fillId="0" borderId="0" xfId="2" applyNumberFormat="1" applyFont="1"/>
    <xf numFmtId="0" fontId="20" fillId="0" borderId="0" xfId="0" applyFont="1" applyAlignment="1">
      <alignment vertical="center"/>
    </xf>
    <xf numFmtId="1" fontId="4" fillId="0" borderId="41" xfId="1" applyNumberFormat="1" applyFont="1" applyBorder="1" applyAlignment="1">
      <alignment horizontal="left" vertical="center"/>
    </xf>
    <xf numFmtId="1" fontId="15" fillId="0" borderId="20" xfId="1" applyNumberFormat="1" applyFont="1" applyBorder="1" applyAlignment="1">
      <alignment vertical="center"/>
    </xf>
    <xf numFmtId="1" fontId="16" fillId="0" borderId="0" xfId="1" applyNumberFormat="1" applyFont="1" applyAlignment="1">
      <alignment horizontal="center" vertical="center"/>
    </xf>
    <xf numFmtId="1" fontId="16" fillId="0" borderId="39" xfId="1" quotePrefix="1" applyNumberFormat="1" applyFont="1" applyBorder="1" applyAlignment="1">
      <alignment horizontal="centerContinuous" vertical="center"/>
    </xf>
    <xf numFmtId="1" fontId="16" fillId="0" borderId="39" xfId="1" applyNumberFormat="1" applyFont="1" applyBorder="1" applyAlignment="1">
      <alignment horizontal="centerContinuous" vertical="center"/>
    </xf>
    <xf numFmtId="1" fontId="16" fillId="0" borderId="39" xfId="1" applyNumberFormat="1" applyFont="1" applyBorder="1" applyAlignment="1">
      <alignment horizontal="center" vertical="center"/>
    </xf>
    <xf numFmtId="1" fontId="16" fillId="0" borderId="39" xfId="1" quotePrefix="1" applyNumberFormat="1" applyFont="1" applyBorder="1" applyAlignment="1">
      <alignment horizontal="center" vertical="center"/>
    </xf>
    <xf numFmtId="0" fontId="21" fillId="0" borderId="34" xfId="1" applyFont="1" applyBorder="1" applyAlignment="1">
      <alignment horizontal="center" vertical="center"/>
    </xf>
    <xf numFmtId="0" fontId="15" fillId="0" borderId="0" xfId="1" applyFont="1" applyAlignment="1">
      <alignment horizontal="center" vertical="center"/>
    </xf>
    <xf numFmtId="0" fontId="15" fillId="0" borderId="35" xfId="1" applyFont="1" applyBorder="1" applyAlignment="1">
      <alignment horizontal="center" vertical="center"/>
    </xf>
    <xf numFmtId="0" fontId="21" fillId="0" borderId="35" xfId="1" applyFont="1" applyBorder="1" applyAlignment="1">
      <alignment horizontal="center" vertical="center"/>
    </xf>
    <xf numFmtId="0" fontId="21" fillId="0" borderId="35" xfId="1" applyFont="1" applyBorder="1" applyAlignment="1">
      <alignment vertical="center"/>
    </xf>
    <xf numFmtId="1" fontId="21" fillId="0" borderId="35" xfId="1" applyNumberFormat="1" applyFont="1" applyBorder="1" applyAlignment="1">
      <alignment vertical="center"/>
    </xf>
    <xf numFmtId="1" fontId="16" fillId="0" borderId="35" xfId="1" applyNumberFormat="1" applyFont="1" applyBorder="1" applyAlignment="1">
      <alignment horizontal="center" vertical="center"/>
    </xf>
    <xf numFmtId="1" fontId="16" fillId="0" borderId="0" xfId="1" applyNumberFormat="1" applyFont="1" applyAlignment="1">
      <alignment horizontal="left" vertical="center"/>
    </xf>
    <xf numFmtId="1" fontId="16" fillId="0" borderId="35" xfId="1" applyNumberFormat="1" applyFont="1" applyBorder="1" applyAlignment="1">
      <alignment vertical="center"/>
    </xf>
    <xf numFmtId="0" fontId="21" fillId="0" borderId="37" xfId="1" applyFont="1" applyBorder="1" applyAlignment="1">
      <alignment horizontal="center" vertical="center"/>
    </xf>
    <xf numFmtId="0" fontId="21" fillId="0" borderId="0" xfId="1" applyFont="1" applyAlignment="1">
      <alignment horizontal="center" vertical="center"/>
    </xf>
    <xf numFmtId="1" fontId="11" fillId="0" borderId="0" xfId="1" applyNumberFormat="1" applyFont="1" applyAlignment="1">
      <alignment horizontal="center" vertical="center"/>
    </xf>
    <xf numFmtId="0" fontId="21" fillId="0" borderId="9" xfId="1" applyFont="1" applyBorder="1" applyAlignment="1">
      <alignment horizontal="center" vertical="center"/>
    </xf>
    <xf numFmtId="1" fontId="11" fillId="0" borderId="0" xfId="1" applyNumberFormat="1" applyFont="1" applyAlignment="1">
      <alignment horizontal="left" vertical="center"/>
    </xf>
    <xf numFmtId="0" fontId="21" fillId="0" borderId="0" xfId="1" applyFont="1" applyAlignment="1">
      <alignment vertical="center"/>
    </xf>
    <xf numFmtId="49" fontId="21" fillId="0" borderId="0" xfId="1" applyNumberFormat="1" applyFont="1" applyAlignment="1">
      <alignment vertical="center"/>
    </xf>
    <xf numFmtId="1" fontId="15" fillId="0" borderId="0" xfId="1" applyNumberFormat="1" applyFont="1" applyAlignment="1">
      <alignment horizontal="center" vertical="center"/>
    </xf>
    <xf numFmtId="49" fontId="15" fillId="0" borderId="0" xfId="4" applyNumberFormat="1" applyFont="1" applyAlignment="1">
      <alignment horizontal="center" vertical="center"/>
    </xf>
    <xf numFmtId="0" fontId="21" fillId="0" borderId="3" xfId="1" applyFont="1" applyBorder="1" applyAlignment="1">
      <alignment horizontal="center" vertical="center"/>
    </xf>
    <xf numFmtId="0" fontId="15" fillId="0" borderId="0" xfId="1" applyFont="1" applyAlignment="1">
      <alignment vertical="center"/>
    </xf>
    <xf numFmtId="1" fontId="21" fillId="0" borderId="0" xfId="1" applyNumberFormat="1" applyFont="1" applyAlignment="1">
      <alignment vertical="center"/>
    </xf>
    <xf numFmtId="1" fontId="11" fillId="0" borderId="39" xfId="1" applyNumberFormat="1" applyFont="1" applyBorder="1" applyAlignment="1">
      <alignment horizontal="left" vertical="center"/>
    </xf>
    <xf numFmtId="1" fontId="15" fillId="0" borderId="9" xfId="1" applyNumberFormat="1" applyFont="1" applyBorder="1" applyAlignment="1">
      <alignment horizontal="center" vertical="center"/>
    </xf>
    <xf numFmtId="0" fontId="15" fillId="0" borderId="9" xfId="1" applyFont="1" applyBorder="1" applyAlignment="1">
      <alignment horizontal="center" vertical="center"/>
    </xf>
    <xf numFmtId="0" fontId="21" fillId="0" borderId="9" xfId="1" applyFont="1" applyBorder="1" applyAlignment="1">
      <alignment vertical="center"/>
    </xf>
    <xf numFmtId="1" fontId="11" fillId="0" borderId="9" xfId="1" applyNumberFormat="1" applyFont="1" applyBorder="1" applyAlignment="1">
      <alignment horizontal="center" vertical="center"/>
    </xf>
    <xf numFmtId="1" fontId="16" fillId="0" borderId="9" xfId="1" applyNumberFormat="1" applyFont="1" applyBorder="1" applyAlignment="1">
      <alignment vertical="center"/>
    </xf>
    <xf numFmtId="0" fontId="22" fillId="0" borderId="0" xfId="1" applyFont="1" applyAlignment="1">
      <alignment horizontal="center" vertical="center"/>
    </xf>
    <xf numFmtId="49" fontId="21" fillId="0" borderId="0" xfId="1" applyNumberFormat="1" applyFont="1" applyAlignment="1">
      <alignment horizontal="center" vertical="center"/>
    </xf>
    <xf numFmtId="1" fontId="4" fillId="0" borderId="9" xfId="1" applyNumberFormat="1" applyFont="1" applyBorder="1" applyAlignment="1">
      <alignment horizontal="left" vertical="center"/>
    </xf>
    <xf numFmtId="1" fontId="16" fillId="0" borderId="9" xfId="1" applyNumberFormat="1" applyFont="1" applyBorder="1" applyAlignment="1">
      <alignment horizontal="centerContinuous" vertical="center"/>
    </xf>
    <xf numFmtId="1" fontId="11" fillId="0" borderId="9" xfId="1" applyNumberFormat="1" applyFont="1" applyBorder="1" applyAlignment="1">
      <alignment horizontal="left" vertical="center"/>
    </xf>
    <xf numFmtId="1" fontId="15" fillId="0" borderId="3" xfId="1" applyNumberFormat="1" applyFont="1" applyBorder="1" applyAlignment="1">
      <alignment horizontal="center" vertical="center"/>
    </xf>
    <xf numFmtId="0" fontId="15" fillId="0" borderId="3" xfId="1" applyFont="1" applyBorder="1" applyAlignment="1">
      <alignment horizontal="center" vertical="center"/>
    </xf>
    <xf numFmtId="0" fontId="21" fillId="0" borderId="3" xfId="1" applyFont="1" applyBorder="1" applyAlignment="1">
      <alignment vertical="center"/>
    </xf>
    <xf numFmtId="1" fontId="11" fillId="0" borderId="3" xfId="1" applyNumberFormat="1" applyFont="1" applyBorder="1" applyAlignment="1">
      <alignment horizontal="left" vertical="center"/>
    </xf>
    <xf numFmtId="1" fontId="4" fillId="0" borderId="42" xfId="1" applyNumberFormat="1" applyFont="1" applyBorder="1" applyAlignment="1">
      <alignment horizontal="left" vertical="center"/>
    </xf>
    <xf numFmtId="1" fontId="15" fillId="0" borderId="0" xfId="1" applyNumberFormat="1" applyFont="1" applyAlignment="1">
      <alignment vertical="center"/>
    </xf>
    <xf numFmtId="1" fontId="15" fillId="0" borderId="39" xfId="1" applyNumberFormat="1" applyFont="1" applyBorder="1" applyAlignment="1">
      <alignment vertical="center"/>
    </xf>
    <xf numFmtId="0" fontId="6" fillId="0" borderId="24" xfId="0" applyFont="1" applyBorder="1" applyAlignment="1">
      <alignment vertical="center"/>
    </xf>
    <xf numFmtId="1" fontId="21" fillId="0" borderId="0" xfId="1" applyNumberFormat="1" applyFont="1" applyAlignment="1">
      <alignment horizontal="center" vertical="center"/>
    </xf>
    <xf numFmtId="1" fontId="15" fillId="0" borderId="0" xfId="1" applyNumberFormat="1" applyFont="1" applyAlignment="1">
      <alignment horizontal="left" vertical="center"/>
    </xf>
    <xf numFmtId="1" fontId="11" fillId="0" borderId="1" xfId="1" applyNumberFormat="1" applyFont="1" applyBorder="1" applyAlignment="1">
      <alignment horizontal="left" vertical="center"/>
    </xf>
    <xf numFmtId="1" fontId="11" fillId="0" borderId="2" xfId="1" applyNumberFormat="1" applyFont="1" applyBorder="1" applyAlignment="1">
      <alignment horizontal="left" vertical="center"/>
    </xf>
    <xf numFmtId="1" fontId="11" fillId="0" borderId="41" xfId="1" applyNumberFormat="1" applyFont="1" applyBorder="1" applyAlignment="1">
      <alignment horizontal="left" vertical="center"/>
    </xf>
    <xf numFmtId="1" fontId="11" fillId="0" borderId="11" xfId="1" applyNumberFormat="1" applyFont="1" applyBorder="1" applyAlignment="1">
      <alignment horizontal="center" vertical="center"/>
    </xf>
    <xf numFmtId="1" fontId="11" fillId="0" borderId="40" xfId="1" applyNumberFormat="1" applyFont="1" applyBorder="1" applyAlignment="1">
      <alignment horizontal="left" vertical="center"/>
    </xf>
    <xf numFmtId="1" fontId="15" fillId="0" borderId="38" xfId="1" applyNumberFormat="1" applyFont="1" applyBorder="1" applyAlignment="1">
      <alignment vertical="center"/>
    </xf>
    <xf numFmtId="1" fontId="15" fillId="0" borderId="39" xfId="1" quotePrefix="1" applyNumberFormat="1" applyFont="1" applyBorder="1" applyAlignment="1">
      <alignment vertical="center"/>
    </xf>
    <xf numFmtId="1" fontId="15" fillId="0" borderId="40" xfId="1" applyNumberFormat="1" applyFont="1" applyBorder="1" applyAlignment="1">
      <alignment vertical="center"/>
    </xf>
    <xf numFmtId="1" fontId="11" fillId="0" borderId="38" xfId="1" applyNumberFormat="1" applyFont="1" applyBorder="1" applyAlignment="1">
      <alignment horizontal="left" vertical="center"/>
    </xf>
    <xf numFmtId="1" fontId="11" fillId="0" borderId="37" xfId="1" applyNumberFormat="1" applyFont="1" applyBorder="1" applyAlignment="1">
      <alignment horizontal="center" vertical="center"/>
    </xf>
    <xf numFmtId="1" fontId="11" fillId="0" borderId="6" xfId="1" applyNumberFormat="1" applyFont="1" applyBorder="1" applyAlignment="1">
      <alignment horizontal="center" vertical="center"/>
    </xf>
    <xf numFmtId="1" fontId="11" fillId="0" borderId="8" xfId="1" applyNumberFormat="1" applyFont="1" applyBorder="1" applyAlignment="1">
      <alignment horizontal="center" vertical="center"/>
    </xf>
    <xf numFmtId="49" fontId="6" fillId="0" borderId="6" xfId="2" applyNumberFormat="1" applyFont="1" applyBorder="1"/>
    <xf numFmtId="49" fontId="6" fillId="0" borderId="0" xfId="2" applyNumberFormat="1" applyFont="1" applyAlignment="1">
      <alignment vertical="center"/>
    </xf>
    <xf numFmtId="49" fontId="6" fillId="0" borderId="6" xfId="2" applyNumberFormat="1" applyFont="1" applyBorder="1" applyAlignment="1">
      <alignment vertical="center"/>
    </xf>
    <xf numFmtId="49" fontId="6" fillId="0" borderId="0" xfId="2" applyNumberFormat="1" applyFont="1" applyAlignment="1">
      <alignment vertical="center" wrapText="1"/>
    </xf>
    <xf numFmtId="49" fontId="6" fillId="0" borderId="7" xfId="2" applyNumberFormat="1" applyFont="1" applyBorder="1"/>
    <xf numFmtId="0" fontId="21" fillId="0" borderId="0" xfId="1" applyFont="1" applyAlignment="1">
      <alignment horizontal="left" vertical="center"/>
    </xf>
    <xf numFmtId="0" fontId="21" fillId="0" borderId="3" xfId="1" applyFont="1" applyBorder="1" applyAlignment="1">
      <alignment vertical="center" wrapText="1"/>
    </xf>
    <xf numFmtId="0" fontId="21" fillId="0" borderId="0" xfId="1" applyFont="1" applyAlignment="1">
      <alignment horizontal="right" vertical="center"/>
    </xf>
    <xf numFmtId="0" fontId="21" fillId="0" borderId="3" xfId="1" applyFont="1" applyBorder="1" applyAlignment="1">
      <alignment horizontal="left" vertical="center"/>
    </xf>
    <xf numFmtId="0" fontId="21" fillId="0" borderId="9" xfId="1" applyFont="1" applyBorder="1" applyAlignment="1">
      <alignment horizontal="left" vertical="center"/>
    </xf>
    <xf numFmtId="0" fontId="21" fillId="0" borderId="0" xfId="1" applyFont="1" applyAlignment="1">
      <alignment horizontal="right" vertical="center" wrapText="1"/>
    </xf>
    <xf numFmtId="1" fontId="16" fillId="0" borderId="3" xfId="1" applyNumberFormat="1" applyFont="1" applyBorder="1" applyAlignment="1">
      <alignment horizontal="center" vertical="center"/>
    </xf>
    <xf numFmtId="1" fontId="21" fillId="0" borderId="0" xfId="1" applyNumberFormat="1" applyFont="1" applyAlignment="1">
      <alignment horizontal="left" vertical="center"/>
    </xf>
    <xf numFmtId="0" fontId="22" fillId="2" borderId="9" xfId="1" applyFont="1" applyFill="1" applyBorder="1" applyAlignment="1">
      <alignment horizontal="center" vertical="center"/>
    </xf>
    <xf numFmtId="0" fontId="19" fillId="0" borderId="0" xfId="1" applyFont="1" applyAlignment="1">
      <alignment vertical="center"/>
    </xf>
    <xf numFmtId="0" fontId="19" fillId="0" borderId="6" xfId="1" applyFont="1" applyBorder="1" applyAlignment="1">
      <alignment vertical="center"/>
    </xf>
    <xf numFmtId="0" fontId="21" fillId="0" borderId="0" xfId="1" applyFont="1" applyAlignment="1">
      <alignment vertical="center" wrapText="1"/>
    </xf>
    <xf numFmtId="0" fontId="27" fillId="0" borderId="0" xfId="1" applyFont="1" applyAlignment="1">
      <alignment vertical="center"/>
    </xf>
    <xf numFmtId="0" fontId="21" fillId="2" borderId="0" xfId="1" applyFont="1" applyFill="1" applyAlignment="1">
      <alignment horizontal="center" vertical="center"/>
    </xf>
    <xf numFmtId="0" fontId="22" fillId="2" borderId="0" xfId="1" applyFont="1" applyFill="1" applyAlignment="1">
      <alignment horizontal="center" vertical="center"/>
    </xf>
    <xf numFmtId="1" fontId="11" fillId="2" borderId="0" xfId="1" applyNumberFormat="1" applyFont="1" applyFill="1" applyAlignment="1">
      <alignment horizontal="center" vertical="center"/>
    </xf>
    <xf numFmtId="1" fontId="28" fillId="2" borderId="0" xfId="1" applyNumberFormat="1" applyFont="1" applyFill="1" applyAlignment="1">
      <alignment horizontal="center" vertical="center"/>
    </xf>
    <xf numFmtId="1" fontId="23" fillId="2" borderId="0" xfId="1" applyNumberFormat="1" applyFont="1" applyFill="1" applyAlignment="1">
      <alignment vertical="center"/>
    </xf>
    <xf numFmtId="0" fontId="22" fillId="2" borderId="9" xfId="1" applyFont="1" applyFill="1" applyBorder="1" applyAlignment="1">
      <alignment vertical="center"/>
    </xf>
    <xf numFmtId="1" fontId="11" fillId="2" borderId="0" xfId="1" applyNumberFormat="1" applyFont="1" applyFill="1" applyAlignment="1">
      <alignment horizontal="left" vertical="center"/>
    </xf>
    <xf numFmtId="0" fontId="22" fillId="2" borderId="0" xfId="1" applyFont="1" applyFill="1" applyAlignment="1">
      <alignment vertical="center"/>
    </xf>
    <xf numFmtId="0" fontId="22" fillId="2" borderId="4" xfId="1" applyFont="1" applyFill="1" applyBorder="1" applyAlignment="1">
      <alignment horizontal="center" vertical="center"/>
    </xf>
    <xf numFmtId="0" fontId="21" fillId="0" borderId="35" xfId="1" applyFont="1" applyBorder="1" applyAlignment="1">
      <alignment horizontal="left" vertical="center"/>
    </xf>
    <xf numFmtId="0" fontId="21" fillId="0" borderId="6" xfId="1" applyFont="1" applyBorder="1" applyAlignment="1">
      <alignment vertical="center" wrapText="1"/>
    </xf>
    <xf numFmtId="1" fontId="16" fillId="0" borderId="12" xfId="1" applyNumberFormat="1" applyFont="1" applyBorder="1" applyAlignment="1">
      <alignment vertical="center"/>
    </xf>
    <xf numFmtId="1" fontId="30" fillId="0" borderId="1" xfId="1" applyNumberFormat="1" applyFont="1" applyBorder="1" applyAlignment="1">
      <alignment horizontal="left" vertical="center"/>
    </xf>
    <xf numFmtId="1" fontId="23" fillId="0" borderId="37" xfId="1" applyNumberFormat="1" applyFont="1" applyBorder="1" applyAlignment="1">
      <alignment vertical="center"/>
    </xf>
    <xf numFmtId="0" fontId="22" fillId="2" borderId="4" xfId="1" applyFont="1" applyFill="1" applyBorder="1" applyAlignment="1">
      <alignment horizontal="left" vertical="center"/>
    </xf>
    <xf numFmtId="1" fontId="30" fillId="2" borderId="4" xfId="1" applyNumberFormat="1" applyFont="1" applyFill="1" applyBorder="1" applyAlignment="1">
      <alignment horizontal="left" vertical="center"/>
    </xf>
    <xf numFmtId="1" fontId="30" fillId="0" borderId="0" xfId="1" applyNumberFormat="1" applyFont="1" applyAlignment="1">
      <alignment horizontal="left" vertical="center"/>
    </xf>
    <xf numFmtId="1" fontId="23" fillId="0" borderId="2" xfId="1" applyNumberFormat="1" applyFont="1" applyBorder="1" applyAlignment="1">
      <alignment vertical="center"/>
    </xf>
    <xf numFmtId="0" fontId="21" fillId="0" borderId="8" xfId="1" applyFont="1" applyBorder="1" applyAlignment="1">
      <alignment vertical="center" wrapText="1"/>
    </xf>
    <xf numFmtId="0" fontId="27" fillId="0" borderId="3" xfId="1" applyFont="1" applyBorder="1" applyAlignment="1">
      <alignment vertical="center"/>
    </xf>
    <xf numFmtId="0" fontId="21" fillId="0" borderId="0" xfId="1" applyFont="1" applyAlignment="1">
      <alignment horizontal="left" vertical="center" wrapText="1"/>
    </xf>
    <xf numFmtId="1" fontId="16" fillId="0" borderId="9" xfId="1" applyNumberFormat="1" applyFont="1" applyBorder="1" applyAlignment="1">
      <alignment horizontal="center" vertical="center"/>
    </xf>
    <xf numFmtId="3" fontId="21" fillId="0" borderId="0" xfId="1" applyNumberFormat="1" applyFont="1" applyAlignment="1">
      <alignment horizontal="right" vertical="center" wrapText="1"/>
    </xf>
    <xf numFmtId="3" fontId="21" fillId="0" borderId="0" xfId="1" applyNumberFormat="1" applyFont="1" applyAlignment="1">
      <alignment horizontal="right" vertical="center"/>
    </xf>
    <xf numFmtId="1" fontId="10" fillId="0" borderId="13" xfId="1" applyNumberFormat="1" applyFont="1" applyBorder="1" applyAlignment="1">
      <alignment vertical="center"/>
    </xf>
    <xf numFmtId="1" fontId="10" fillId="0" borderId="4" xfId="1" applyNumberFormat="1" applyFont="1" applyBorder="1" applyAlignment="1">
      <alignment vertical="center"/>
    </xf>
    <xf numFmtId="1" fontId="10" fillId="0" borderId="4" xfId="1" applyNumberFormat="1" applyFont="1" applyBorder="1" applyAlignment="1">
      <alignment horizontal="right" vertical="center"/>
    </xf>
    <xf numFmtId="1" fontId="10" fillId="0" borderId="16" xfId="1" applyNumberFormat="1" applyFont="1" applyBorder="1" applyAlignment="1">
      <alignment horizontal="right" vertical="center"/>
    </xf>
    <xf numFmtId="1" fontId="15" fillId="0" borderId="43" xfId="1" applyNumberFormat="1" applyFont="1" applyBorder="1" applyAlignment="1">
      <alignment vertical="center"/>
    </xf>
    <xf numFmtId="1" fontId="15" fillId="0" borderId="44" xfId="1" applyNumberFormat="1" applyFont="1" applyBorder="1" applyAlignment="1">
      <alignment vertical="center"/>
    </xf>
    <xf numFmtId="1" fontId="15" fillId="0" borderId="20" xfId="1" applyNumberFormat="1" applyFont="1" applyBorder="1" applyAlignment="1">
      <alignment horizontal="centerContinuous" vertical="center"/>
    </xf>
    <xf numFmtId="1" fontId="15" fillId="0" borderId="19" xfId="1" applyNumberFormat="1" applyFont="1" applyBorder="1" applyAlignment="1">
      <alignment vertical="center"/>
    </xf>
    <xf numFmtId="1" fontId="11" fillId="0" borderId="6" xfId="1" applyNumberFormat="1" applyFont="1" applyBorder="1" applyAlignment="1">
      <alignment horizontal="left" vertical="center"/>
    </xf>
    <xf numFmtId="1" fontId="11" fillId="0" borderId="7" xfId="1" applyNumberFormat="1" applyFont="1" applyBorder="1" applyAlignment="1">
      <alignment horizontal="left" vertical="center"/>
    </xf>
    <xf numFmtId="1" fontId="16" fillId="0" borderId="45" xfId="1" applyNumberFormat="1" applyFont="1" applyBorder="1" applyAlignment="1">
      <alignment horizontal="left" vertical="center"/>
    </xf>
    <xf numFmtId="1" fontId="16" fillId="0" borderId="7" xfId="1" applyNumberFormat="1" applyFont="1" applyBorder="1" applyAlignment="1">
      <alignment vertical="center"/>
    </xf>
    <xf numFmtId="0" fontId="25" fillId="0" borderId="0" xfId="1" applyFont="1" applyAlignment="1">
      <alignment horizontal="center" vertical="center"/>
    </xf>
    <xf numFmtId="1" fontId="25" fillId="0" borderId="0" xfId="1" applyNumberFormat="1" applyFont="1" applyAlignment="1">
      <alignment vertical="center"/>
    </xf>
    <xf numFmtId="1" fontId="4" fillId="0" borderId="6" xfId="1" applyNumberFormat="1" applyFont="1" applyBorder="1" applyAlignment="1">
      <alignment horizontal="left" vertical="center"/>
    </xf>
    <xf numFmtId="1" fontId="11" fillId="0" borderId="46" xfId="1" applyNumberFormat="1" applyFont="1" applyBorder="1" applyAlignment="1">
      <alignment horizontal="left" vertical="center"/>
    </xf>
    <xf numFmtId="1" fontId="23" fillId="0" borderId="7" xfId="1" applyNumberFormat="1" applyFont="1" applyBorder="1" applyAlignment="1">
      <alignment vertical="center"/>
    </xf>
    <xf numFmtId="1" fontId="11" fillId="0" borderId="11" xfId="1" applyNumberFormat="1" applyFont="1" applyBorder="1" applyAlignment="1">
      <alignment horizontal="left" vertical="center"/>
    </xf>
    <xf numFmtId="1" fontId="16" fillId="0" borderId="47" xfId="1" applyNumberFormat="1" applyFont="1" applyBorder="1" applyAlignment="1">
      <alignment vertical="center"/>
    </xf>
    <xf numFmtId="1" fontId="15" fillId="0" borderId="3" xfId="1" applyNumberFormat="1" applyFont="1" applyBorder="1" applyAlignment="1">
      <alignment vertical="center"/>
    </xf>
    <xf numFmtId="1" fontId="16" fillId="0" borderId="3" xfId="1" applyNumberFormat="1" applyFont="1" applyBorder="1" applyAlignment="1">
      <alignment horizontal="centerContinuous" vertical="center"/>
    </xf>
    <xf numFmtId="1" fontId="16" fillId="0" borderId="3" xfId="1" applyNumberFormat="1" applyFont="1" applyBorder="1" applyAlignment="1">
      <alignment vertical="center"/>
    </xf>
    <xf numFmtId="1" fontId="16" fillId="0" borderId="3" xfId="1" quotePrefix="1" applyNumberFormat="1" applyFont="1" applyBorder="1" applyAlignment="1">
      <alignment horizontal="centerContinuous" vertical="center"/>
    </xf>
    <xf numFmtId="1" fontId="16" fillId="0" borderId="3" xfId="1" quotePrefix="1" applyNumberFormat="1" applyFont="1" applyBorder="1" applyAlignment="1">
      <alignment horizontal="center" vertical="center"/>
    </xf>
    <xf numFmtId="1" fontId="11" fillId="2" borderId="9" xfId="1" applyNumberFormat="1" applyFont="1" applyFill="1" applyBorder="1" applyAlignment="1">
      <alignment horizontal="center" vertical="center"/>
    </xf>
    <xf numFmtId="1" fontId="11" fillId="2" borderId="9" xfId="1" applyNumberFormat="1" applyFont="1" applyFill="1" applyBorder="1" applyAlignment="1">
      <alignment horizontal="left" vertical="center"/>
    </xf>
    <xf numFmtId="1" fontId="28" fillId="2" borderId="3" xfId="1" applyNumberFormat="1" applyFont="1" applyFill="1" applyBorder="1" applyAlignment="1">
      <alignment horizontal="center" vertical="center"/>
    </xf>
    <xf numFmtId="1" fontId="23" fillId="2" borderId="3" xfId="1" applyNumberFormat="1" applyFont="1" applyFill="1" applyBorder="1" applyAlignment="1">
      <alignment vertical="center"/>
    </xf>
    <xf numFmtId="0" fontId="21" fillId="0" borderId="7" xfId="1" applyFont="1" applyBorder="1" applyAlignment="1">
      <alignment horizontal="left" vertical="center"/>
    </xf>
    <xf numFmtId="1" fontId="11" fillId="0" borderId="48" xfId="1" applyNumberFormat="1" applyFont="1" applyBorder="1" applyAlignment="1">
      <alignment horizontal="left" vertical="center"/>
    </xf>
    <xf numFmtId="0" fontId="21" fillId="0" borderId="9" xfId="1" applyFont="1" applyBorder="1" applyAlignment="1">
      <alignment vertical="center" wrapText="1"/>
    </xf>
    <xf numFmtId="1" fontId="25" fillId="0" borderId="0" xfId="1" applyNumberFormat="1" applyFont="1" applyAlignment="1">
      <alignment horizontal="center" vertical="center"/>
    </xf>
    <xf numFmtId="0" fontId="21" fillId="0" borderId="12" xfId="1" applyFont="1" applyBorder="1" applyAlignment="1">
      <alignment horizontal="left" vertical="center"/>
    </xf>
    <xf numFmtId="0" fontId="21" fillId="0" borderId="3" xfId="1" applyFont="1" applyBorder="1" applyAlignment="1">
      <alignment horizontal="left" vertical="center" wrapText="1"/>
    </xf>
    <xf numFmtId="1" fontId="4" fillId="0" borderId="3" xfId="1" applyNumberFormat="1" applyFont="1" applyBorder="1" applyAlignment="1">
      <alignment horizontal="left" vertical="center"/>
    </xf>
    <xf numFmtId="0" fontId="21" fillId="0" borderId="25" xfId="1" applyFont="1" applyBorder="1" applyAlignment="1">
      <alignment horizontal="left" vertical="center"/>
    </xf>
    <xf numFmtId="0" fontId="21" fillId="0" borderId="29" xfId="1" applyFont="1" applyBorder="1" applyAlignment="1">
      <alignment horizontal="left" vertical="center"/>
    </xf>
    <xf numFmtId="0" fontId="21" fillId="0" borderId="32" xfId="1" applyFont="1" applyBorder="1" applyAlignment="1">
      <alignment horizontal="left" vertical="center"/>
    </xf>
    <xf numFmtId="0" fontId="34" fillId="0" borderId="0" xfId="1" applyFont="1" applyAlignment="1">
      <alignment horizontal="left" vertical="center" wrapText="1"/>
    </xf>
    <xf numFmtId="0" fontId="27" fillId="0" borderId="0" xfId="1" applyFont="1" applyAlignment="1">
      <alignment horizontal="center" vertical="center"/>
    </xf>
    <xf numFmtId="49" fontId="6" fillId="0" borderId="13"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13" xfId="0" applyNumberFormat="1" applyFont="1" applyBorder="1" applyAlignment="1">
      <alignment horizontal="left" vertical="center"/>
    </xf>
    <xf numFmtId="49" fontId="6" fillId="0" borderId="4" xfId="0" applyNumberFormat="1" applyFont="1" applyBorder="1" applyAlignment="1">
      <alignment horizontal="left" vertical="center"/>
    </xf>
    <xf numFmtId="49" fontId="6" fillId="0" borderId="16" xfId="0" applyNumberFormat="1" applyFont="1" applyBorder="1" applyAlignment="1">
      <alignment horizontal="left" vertical="center"/>
    </xf>
    <xf numFmtId="49" fontId="9" fillId="0" borderId="13" xfId="0" applyNumberFormat="1" applyFont="1" applyBorder="1" applyAlignment="1">
      <alignment horizontal="center" vertical="center"/>
    </xf>
    <xf numFmtId="49" fontId="9" fillId="0" borderId="4" xfId="0" applyNumberFormat="1" applyFont="1" applyBorder="1" applyAlignment="1">
      <alignment horizontal="center" vertical="center"/>
    </xf>
    <xf numFmtId="49" fontId="9" fillId="0" borderId="16" xfId="0" applyNumberFormat="1" applyFont="1" applyBorder="1" applyAlignment="1">
      <alignment horizontal="center" vertical="center"/>
    </xf>
    <xf numFmtId="49" fontId="6" fillId="0" borderId="13" xfId="2" applyNumberFormat="1" applyFont="1" applyBorder="1" applyAlignment="1">
      <alignment horizontal="center"/>
    </xf>
    <xf numFmtId="49" fontId="6" fillId="0" borderId="4" xfId="2" applyNumberFormat="1" applyFont="1" applyBorder="1" applyAlignment="1">
      <alignment horizontal="center"/>
    </xf>
    <xf numFmtId="49" fontId="6" fillId="0" borderId="16" xfId="2" applyNumberFormat="1" applyFont="1" applyBorder="1" applyAlignment="1">
      <alignment horizontal="center"/>
    </xf>
    <xf numFmtId="0" fontId="6" fillId="0" borderId="5" xfId="0" applyFont="1" applyBorder="1" applyAlignment="1">
      <alignment horizontal="center" vertical="center"/>
    </xf>
    <xf numFmtId="0" fontId="6" fillId="0" borderId="13" xfId="0" applyFont="1" applyBorder="1" applyAlignment="1">
      <alignment horizontal="left" vertical="center"/>
    </xf>
    <xf numFmtId="0" fontId="6" fillId="0" borderId="4" xfId="0" applyFont="1" applyBorder="1" applyAlignment="1">
      <alignment horizontal="left" vertical="center"/>
    </xf>
    <xf numFmtId="0" fontId="6" fillId="0" borderId="16" xfId="0" applyFont="1" applyBorder="1" applyAlignment="1">
      <alignment horizontal="left" vertical="center"/>
    </xf>
    <xf numFmtId="1" fontId="21" fillId="0" borderId="0" xfId="1" quotePrefix="1" applyNumberFormat="1" applyFont="1" applyAlignment="1">
      <alignment horizontal="center" vertical="center"/>
    </xf>
    <xf numFmtId="1" fontId="21" fillId="0" borderId="0" xfId="1" applyNumberFormat="1" applyFont="1" applyAlignment="1">
      <alignment horizontal="center" vertical="center"/>
    </xf>
    <xf numFmtId="0" fontId="21" fillId="0" borderId="9" xfId="1" applyFont="1" applyBorder="1" applyAlignment="1">
      <alignment horizontal="right" vertical="center"/>
    </xf>
    <xf numFmtId="0" fontId="21" fillId="0" borderId="9" xfId="1" applyFont="1" applyBorder="1" applyAlignment="1">
      <alignment horizontal="left" vertical="center"/>
    </xf>
    <xf numFmtId="0" fontId="21" fillId="0" borderId="29" xfId="1" applyFont="1" applyBorder="1" applyAlignment="1">
      <alignment horizontal="right" vertical="center"/>
    </xf>
    <xf numFmtId="0" fontId="21" fillId="0" borderId="29" xfId="1" applyFont="1" applyBorder="1" applyAlignment="1">
      <alignment horizontal="left" vertical="center"/>
    </xf>
    <xf numFmtId="0" fontId="21" fillId="0" borderId="32" xfId="1" applyFont="1" applyBorder="1" applyAlignment="1">
      <alignment horizontal="right" vertical="center"/>
    </xf>
    <xf numFmtId="0" fontId="21" fillId="0" borderId="32" xfId="1" applyFont="1" applyBorder="1" applyAlignment="1">
      <alignment horizontal="left" vertical="center"/>
    </xf>
    <xf numFmtId="0" fontId="21" fillId="0" borderId="0" xfId="1" applyFont="1" applyAlignment="1">
      <alignment horizontal="right" vertical="center"/>
    </xf>
    <xf numFmtId="0" fontId="21" fillId="0" borderId="0" xfId="1" applyFont="1" applyAlignment="1">
      <alignment horizontal="right" vertical="center" wrapText="1"/>
    </xf>
    <xf numFmtId="0" fontId="21" fillId="0" borderId="25" xfId="1" applyFont="1" applyBorder="1" applyAlignment="1">
      <alignment horizontal="right" vertical="center"/>
    </xf>
    <xf numFmtId="0" fontId="21" fillId="0" borderId="25" xfId="1" applyFont="1" applyBorder="1" applyAlignment="1">
      <alignment horizontal="left" vertical="center"/>
    </xf>
    <xf numFmtId="0" fontId="21" fillId="0" borderId="3" xfId="1" applyFont="1" applyBorder="1" applyAlignment="1">
      <alignment horizontal="left" vertical="center"/>
    </xf>
    <xf numFmtId="0" fontId="22" fillId="2" borderId="9" xfId="1" applyFont="1" applyFill="1" applyBorder="1" applyAlignment="1">
      <alignment horizontal="left" vertical="center"/>
    </xf>
    <xf numFmtId="0" fontId="22" fillId="2" borderId="9" xfId="1" applyFont="1" applyFill="1" applyBorder="1" applyAlignment="1">
      <alignment horizontal="right" vertical="center"/>
    </xf>
    <xf numFmtId="0" fontId="21" fillId="0" borderId="0" xfId="1" applyFont="1" applyAlignment="1">
      <alignment horizontal="left" vertical="center" wrapText="1"/>
    </xf>
    <xf numFmtId="0" fontId="21" fillId="0" borderId="0" xfId="1" applyFont="1" applyAlignment="1">
      <alignment horizontal="left" vertical="center"/>
    </xf>
    <xf numFmtId="0" fontId="22" fillId="2" borderId="9" xfId="1" applyFont="1" applyFill="1" applyBorder="1" applyAlignment="1">
      <alignment horizontal="center" vertical="center"/>
    </xf>
    <xf numFmtId="0" fontId="21" fillId="0" borderId="35" xfId="1" applyFont="1" applyBorder="1" applyAlignment="1">
      <alignment horizontal="center" vertical="center"/>
    </xf>
    <xf numFmtId="1" fontId="21" fillId="0" borderId="35" xfId="1" applyNumberFormat="1" applyFont="1" applyBorder="1" applyAlignment="1">
      <alignment horizontal="center" vertical="center"/>
    </xf>
    <xf numFmtId="0" fontId="22" fillId="2" borderId="3" xfId="1" applyFont="1" applyFill="1" applyBorder="1" applyAlignment="1">
      <alignment horizontal="right" vertical="center"/>
    </xf>
    <xf numFmtId="0" fontId="22" fillId="2" borderId="0" xfId="1" applyFont="1" applyFill="1" applyAlignment="1">
      <alignment horizontal="right" vertical="center" wrapText="1"/>
    </xf>
    <xf numFmtId="0" fontId="22" fillId="2" borderId="0" xfId="1" applyFont="1" applyFill="1" applyAlignment="1">
      <alignment horizontal="right" vertical="center"/>
    </xf>
    <xf numFmtId="0" fontId="21" fillId="0" borderId="0" xfId="1" applyFont="1" applyAlignment="1">
      <alignment horizontal="center" vertical="center"/>
    </xf>
    <xf numFmtId="0" fontId="22" fillId="2" borderId="3" xfId="1" applyFont="1" applyFill="1" applyBorder="1" applyAlignment="1">
      <alignment horizontal="left" vertical="center"/>
    </xf>
    <xf numFmtId="0" fontId="21" fillId="0" borderId="7" xfId="1" applyFont="1" applyBorder="1" applyAlignment="1">
      <alignment horizontal="left" vertical="center"/>
    </xf>
    <xf numFmtId="0" fontId="24" fillId="0" borderId="9" xfId="1" applyFont="1" applyBorder="1" applyAlignment="1">
      <alignment horizontal="center" vertical="center"/>
    </xf>
    <xf numFmtId="0" fontId="24" fillId="0" borderId="10" xfId="1" applyFont="1" applyBorder="1" applyAlignment="1">
      <alignment horizontal="center" vertical="center"/>
    </xf>
    <xf numFmtId="0" fontId="24" fillId="0" borderId="0" xfId="1" applyFont="1" applyAlignment="1">
      <alignment horizontal="center" vertical="center"/>
    </xf>
    <xf numFmtId="0" fontId="24" fillId="0" borderId="7" xfId="1" applyFont="1" applyBorder="1" applyAlignment="1">
      <alignment horizontal="center" vertical="center"/>
    </xf>
    <xf numFmtId="0" fontId="24" fillId="0" borderId="3" xfId="1" applyFont="1" applyBorder="1" applyAlignment="1">
      <alignment horizontal="center" vertical="center"/>
    </xf>
    <xf numFmtId="0" fontId="24" fillId="0" borderId="12" xfId="1" applyFont="1" applyBorder="1" applyAlignment="1">
      <alignment horizontal="center" vertical="center"/>
    </xf>
    <xf numFmtId="0" fontId="21" fillId="0" borderId="8" xfId="1" applyFont="1" applyBorder="1" applyAlignment="1">
      <alignment horizontal="center" vertical="center"/>
    </xf>
    <xf numFmtId="0" fontId="21" fillId="0" borderId="9" xfId="1" applyFont="1" applyBorder="1" applyAlignment="1">
      <alignment horizontal="center" vertical="center"/>
    </xf>
    <xf numFmtId="0" fontId="21" fillId="0" borderId="10" xfId="1" applyFont="1" applyBorder="1" applyAlignment="1">
      <alignment horizontal="center" vertical="center"/>
    </xf>
    <xf numFmtId="0" fontId="21" fillId="0" borderId="11" xfId="1" applyFont="1" applyBorder="1" applyAlignment="1">
      <alignment horizontal="center" vertical="center"/>
    </xf>
    <xf numFmtId="0" fontId="21" fillId="0" borderId="3" xfId="1" applyFont="1" applyBorder="1" applyAlignment="1">
      <alignment horizontal="center" vertical="center"/>
    </xf>
    <xf numFmtId="0" fontId="21" fillId="0" borderId="12" xfId="1" applyFont="1" applyBorder="1" applyAlignment="1">
      <alignment horizontal="center" vertical="center"/>
    </xf>
    <xf numFmtId="0" fontId="29" fillId="0" borderId="0" xfId="1" applyFont="1" applyAlignment="1">
      <alignment horizontal="left" vertical="center"/>
    </xf>
    <xf numFmtId="0" fontId="19" fillId="0" borderId="0" xfId="1" applyFont="1" applyAlignment="1">
      <alignment horizontal="center" vertical="center"/>
    </xf>
    <xf numFmtId="0" fontId="34" fillId="0" borderId="0" xfId="1" applyFont="1" applyAlignment="1">
      <alignment horizontal="left" vertical="center" wrapText="1"/>
    </xf>
    <xf numFmtId="0" fontId="21" fillId="0" borderId="9" xfId="1" applyFont="1" applyBorder="1" applyAlignment="1">
      <alignment horizontal="left" vertical="center" wrapText="1"/>
    </xf>
    <xf numFmtId="1" fontId="16" fillId="0" borderId="35" xfId="1" applyNumberFormat="1" applyFont="1" applyBorder="1" applyAlignment="1">
      <alignment horizontal="center" vertical="center"/>
    </xf>
    <xf numFmtId="0" fontId="24" fillId="0" borderId="0" xfId="1" applyFont="1" applyAlignment="1">
      <alignment horizontal="right" vertical="center"/>
    </xf>
    <xf numFmtId="0" fontId="26" fillId="2" borderId="8" xfId="1" applyFont="1" applyFill="1" applyBorder="1" applyAlignment="1">
      <alignment horizontal="center" vertical="center"/>
    </xf>
    <xf numFmtId="0" fontId="26" fillId="2" borderId="9" xfId="1" applyFont="1" applyFill="1" applyBorder="1" applyAlignment="1">
      <alignment horizontal="center" vertical="center"/>
    </xf>
    <xf numFmtId="0" fontId="26" fillId="2" borderId="10" xfId="1" applyFont="1" applyFill="1" applyBorder="1" applyAlignment="1">
      <alignment horizontal="center" vertical="center"/>
    </xf>
    <xf numFmtId="0" fontId="26" fillId="2" borderId="6" xfId="1" applyFont="1" applyFill="1" applyBorder="1" applyAlignment="1">
      <alignment horizontal="center" vertical="center"/>
    </xf>
    <xf numFmtId="0" fontId="26" fillId="2" borderId="0" xfId="1" applyFont="1" applyFill="1" applyAlignment="1">
      <alignment horizontal="center" vertical="center"/>
    </xf>
    <xf numFmtId="0" fontId="26" fillId="2" borderId="7" xfId="1" applyFont="1" applyFill="1" applyBorder="1" applyAlignment="1">
      <alignment horizontal="center" vertical="center"/>
    </xf>
    <xf numFmtId="0" fontId="26" fillId="2" borderId="11" xfId="1" applyFont="1" applyFill="1" applyBorder="1" applyAlignment="1">
      <alignment horizontal="center" vertical="center"/>
    </xf>
    <xf numFmtId="0" fontId="26" fillId="2" borderId="3" xfId="1" applyFont="1" applyFill="1" applyBorder="1" applyAlignment="1">
      <alignment horizontal="center" vertical="center"/>
    </xf>
    <xf numFmtId="0" fontId="26" fillId="2" borderId="12" xfId="1" applyFont="1" applyFill="1" applyBorder="1" applyAlignment="1">
      <alignment horizontal="center" vertical="center"/>
    </xf>
    <xf numFmtId="1" fontId="16" fillId="0" borderId="0" xfId="1" applyNumberFormat="1" applyFont="1" applyAlignment="1">
      <alignment horizontal="center" vertical="center"/>
    </xf>
    <xf numFmtId="0" fontId="21" fillId="0" borderId="10" xfId="1" applyFont="1" applyBorder="1" applyAlignment="1">
      <alignment horizontal="left" vertical="center"/>
    </xf>
    <xf numFmtId="0" fontId="21" fillId="0" borderId="3" xfId="1" applyFont="1" applyBorder="1" applyAlignment="1">
      <alignment horizontal="right" vertical="center"/>
    </xf>
    <xf numFmtId="0" fontId="22" fillId="2" borderId="8" xfId="1" applyFont="1" applyFill="1" applyBorder="1" applyAlignment="1">
      <alignment horizontal="center" vertical="center"/>
    </xf>
    <xf numFmtId="0" fontId="22" fillId="2" borderId="10" xfId="1" applyFont="1" applyFill="1" applyBorder="1" applyAlignment="1">
      <alignment horizontal="center" vertical="center"/>
    </xf>
    <xf numFmtId="0" fontId="22" fillId="2" borderId="11" xfId="1" applyFont="1" applyFill="1" applyBorder="1" applyAlignment="1">
      <alignment horizontal="center" vertical="center"/>
    </xf>
    <xf numFmtId="0" fontId="22" fillId="2" borderId="3" xfId="1" applyFont="1" applyFill="1" applyBorder="1" applyAlignment="1">
      <alignment horizontal="center" vertical="center"/>
    </xf>
    <xf numFmtId="0" fontId="22" fillId="2" borderId="12" xfId="1" applyFont="1" applyFill="1" applyBorder="1" applyAlignment="1">
      <alignment horizontal="center" vertical="center"/>
    </xf>
    <xf numFmtId="0" fontId="21" fillId="0" borderId="3" xfId="1" applyFont="1" applyBorder="1" applyAlignment="1">
      <alignment horizontal="left" vertical="center" wrapText="1"/>
    </xf>
    <xf numFmtId="0" fontId="27" fillId="2" borderId="6" xfId="1" applyFont="1" applyFill="1" applyBorder="1" applyAlignment="1">
      <alignment horizontal="center" vertical="center"/>
    </xf>
    <xf numFmtId="0" fontId="27" fillId="2" borderId="0" xfId="1" applyFont="1" applyFill="1" applyAlignment="1">
      <alignment horizontal="center" vertical="center"/>
    </xf>
    <xf numFmtId="0" fontId="27" fillId="2" borderId="7" xfId="1" applyFont="1" applyFill="1" applyBorder="1" applyAlignment="1">
      <alignment horizontal="center" vertical="center"/>
    </xf>
    <xf numFmtId="0" fontId="27" fillId="2" borderId="11" xfId="1" applyFont="1" applyFill="1" applyBorder="1" applyAlignment="1">
      <alignment horizontal="center" vertical="center"/>
    </xf>
    <xf numFmtId="0" fontId="27" fillId="2" borderId="3" xfId="1" applyFont="1" applyFill="1" applyBorder="1" applyAlignment="1">
      <alignment horizontal="center" vertical="center"/>
    </xf>
    <xf numFmtId="0" fontId="27" fillId="2" borderId="12" xfId="1" applyFont="1" applyFill="1" applyBorder="1" applyAlignment="1">
      <alignment horizontal="center" vertical="center"/>
    </xf>
    <xf numFmtId="0" fontId="21" fillId="0" borderId="9" xfId="1" applyFont="1" applyBorder="1" applyAlignment="1">
      <alignment horizontal="right" vertical="center" wrapText="1"/>
    </xf>
    <xf numFmtId="0" fontId="25" fillId="0" borderId="0" xfId="1" applyFont="1" applyAlignment="1">
      <alignment horizontal="left" vertical="center"/>
    </xf>
    <xf numFmtId="1" fontId="25" fillId="0" borderId="0" xfId="1" applyNumberFormat="1" applyFont="1" applyAlignment="1">
      <alignment horizontal="center" vertical="center"/>
    </xf>
    <xf numFmtId="3" fontId="21" fillId="0" borderId="0" xfId="1" applyNumberFormat="1" applyFont="1" applyAlignment="1">
      <alignment horizontal="right" vertical="center"/>
    </xf>
    <xf numFmtId="10" fontId="21" fillId="0" borderId="0" xfId="1" quotePrefix="1" applyNumberFormat="1" applyFont="1" applyAlignment="1">
      <alignment horizontal="left" vertical="center"/>
    </xf>
    <xf numFmtId="3" fontId="21" fillId="0" borderId="0" xfId="1" applyNumberFormat="1" applyFont="1" applyAlignment="1">
      <alignment horizontal="right" vertical="center" wrapText="1"/>
    </xf>
    <xf numFmtId="3" fontId="21" fillId="0" borderId="3" xfId="1" applyNumberFormat="1" applyFont="1" applyBorder="1" applyAlignment="1">
      <alignment horizontal="right" vertical="center" wrapText="1"/>
    </xf>
    <xf numFmtId="0" fontId="21" fillId="0" borderId="3" xfId="1" applyFont="1" applyBorder="1" applyAlignment="1">
      <alignment horizontal="right" vertical="center" wrapText="1"/>
    </xf>
    <xf numFmtId="1" fontId="16" fillId="0" borderId="3" xfId="1" applyNumberFormat="1" applyFont="1" applyBorder="1" applyAlignment="1">
      <alignment horizontal="center" vertical="center"/>
    </xf>
    <xf numFmtId="0" fontId="21" fillId="0" borderId="9" xfId="1" applyFont="1" applyBorder="1" applyAlignment="1">
      <alignment vertical="center" wrapText="1"/>
    </xf>
    <xf numFmtId="1" fontId="21" fillId="0" borderId="0" xfId="1" applyNumberFormat="1" applyFont="1" applyAlignment="1">
      <alignment horizontal="left" vertical="center"/>
    </xf>
    <xf numFmtId="3" fontId="21" fillId="0" borderId="9" xfId="1" applyNumberFormat="1" applyFont="1" applyBorder="1" applyAlignment="1">
      <alignment horizontal="right" vertical="center"/>
    </xf>
    <xf numFmtId="0" fontId="22" fillId="2" borderId="4" xfId="1" applyFont="1" applyFill="1" applyBorder="1" applyAlignment="1">
      <alignment horizontal="left" vertical="center"/>
    </xf>
    <xf numFmtId="3" fontId="21" fillId="0" borderId="25" xfId="1" applyNumberFormat="1" applyFont="1" applyBorder="1" applyAlignment="1">
      <alignment horizontal="right" vertical="center"/>
    </xf>
    <xf numFmtId="3" fontId="21" fillId="0" borderId="29" xfId="1" applyNumberFormat="1" applyFont="1" applyBorder="1" applyAlignment="1">
      <alignment horizontal="right" vertical="center"/>
    </xf>
    <xf numFmtId="0" fontId="21" fillId="0" borderId="0" xfId="1" applyFont="1" applyAlignment="1">
      <alignment vertical="center" wrapText="1"/>
    </xf>
    <xf numFmtId="0" fontId="27" fillId="2" borderId="8" xfId="1" applyFont="1" applyFill="1" applyBorder="1" applyAlignment="1">
      <alignment horizontal="center" vertical="center"/>
    </xf>
    <xf numFmtId="0" fontId="27" fillId="2" borderId="9" xfId="1" applyFont="1" applyFill="1" applyBorder="1" applyAlignment="1">
      <alignment horizontal="center" vertical="center"/>
    </xf>
    <xf numFmtId="0" fontId="27" fillId="2" borderId="10" xfId="1" applyFont="1" applyFill="1" applyBorder="1" applyAlignment="1">
      <alignment horizontal="center" vertical="center"/>
    </xf>
    <xf numFmtId="0" fontId="25" fillId="0" borderId="0" xfId="1" quotePrefix="1" applyFont="1" applyAlignment="1">
      <alignment horizontal="left" vertical="center"/>
    </xf>
    <xf numFmtId="0" fontId="24" fillId="0" borderId="8" xfId="1" applyFont="1" applyBorder="1" applyAlignment="1">
      <alignment horizontal="center" vertical="center"/>
    </xf>
    <xf numFmtId="0" fontId="24" fillId="0" borderId="6" xfId="1" applyFont="1" applyBorder="1" applyAlignment="1">
      <alignment horizontal="center" vertical="center"/>
    </xf>
    <xf numFmtId="0" fontId="24" fillId="0" borderId="11" xfId="1" applyFont="1" applyBorder="1" applyAlignment="1">
      <alignment horizontal="center" vertical="center"/>
    </xf>
    <xf numFmtId="0" fontId="22" fillId="2" borderId="3" xfId="1" applyFont="1" applyFill="1" applyBorder="1" applyAlignment="1">
      <alignment horizontal="right" vertical="center" wrapText="1"/>
    </xf>
    <xf numFmtId="1" fontId="16" fillId="0" borderId="9" xfId="1" applyNumberFormat="1" applyFont="1" applyBorder="1" applyAlignment="1">
      <alignment horizontal="center" vertical="center"/>
    </xf>
    <xf numFmtId="49" fontId="21" fillId="0" borderId="0" xfId="1" applyNumberFormat="1" applyFont="1" applyAlignment="1">
      <alignment horizontal="center" vertical="center"/>
    </xf>
    <xf numFmtId="3" fontId="21" fillId="0" borderId="32" xfId="1" applyNumberFormat="1" applyFont="1" applyBorder="1" applyAlignment="1">
      <alignment horizontal="right" vertical="center"/>
    </xf>
    <xf numFmtId="3" fontId="21" fillId="0" borderId="9" xfId="1" applyNumberFormat="1" applyFont="1" applyBorder="1" applyAlignment="1">
      <alignment horizontal="right" vertical="center" wrapText="1"/>
    </xf>
    <xf numFmtId="0" fontId="22" fillId="2" borderId="4" xfId="1" applyFont="1" applyFill="1" applyBorder="1" applyAlignment="1">
      <alignment horizontal="center" vertical="center"/>
    </xf>
    <xf numFmtId="0" fontId="22" fillId="0" borderId="0" xfId="1" applyFont="1" applyAlignment="1">
      <alignment horizontal="left" vertical="center"/>
    </xf>
    <xf numFmtId="0" fontId="22" fillId="0" borderId="0" xfId="1" applyFont="1" applyAlignment="1">
      <alignment horizontal="center" vertical="center"/>
    </xf>
    <xf numFmtId="0" fontId="22" fillId="0" borderId="0" xfId="1" applyFont="1" applyAlignment="1">
      <alignment horizontal="right" vertical="center"/>
    </xf>
    <xf numFmtId="0" fontId="33" fillId="0" borderId="0" xfId="9">
      <alignment vertical="center"/>
    </xf>
    <xf numFmtId="3" fontId="21" fillId="0" borderId="3" xfId="1" applyNumberFormat="1" applyFont="1" applyBorder="1" applyAlignment="1">
      <alignment horizontal="right" vertical="center"/>
    </xf>
    <xf numFmtId="0" fontId="32" fillId="0" borderId="0" xfId="1" applyFont="1" applyAlignment="1">
      <alignment horizontal="left" vertical="center" wrapText="1"/>
    </xf>
    <xf numFmtId="0" fontId="32" fillId="0" borderId="0" xfId="1" applyFont="1" applyAlignment="1">
      <alignment horizontal="left" vertical="center"/>
    </xf>
    <xf numFmtId="177" fontId="21" fillId="0" borderId="0" xfId="1" applyNumberFormat="1" applyFont="1" applyAlignment="1">
      <alignment horizontal="right" vertical="center" wrapText="1"/>
    </xf>
    <xf numFmtId="177" fontId="21" fillId="0" borderId="0" xfId="1" applyNumberFormat="1" applyFont="1" applyAlignment="1">
      <alignment horizontal="right"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11" xfId="0" applyFont="1" applyBorder="1" applyAlignment="1">
      <alignment horizontal="center" vertical="center"/>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6" fillId="0" borderId="9" xfId="0" applyFont="1" applyBorder="1" applyAlignment="1">
      <alignment horizontal="center"/>
    </xf>
    <xf numFmtId="176" fontId="6" fillId="0" borderId="8" xfId="3" applyFont="1" applyBorder="1" applyAlignment="1">
      <alignment horizontal="center" vertical="center"/>
    </xf>
    <xf numFmtId="176" fontId="6" fillId="0" borderId="9" xfId="3" applyFont="1" applyBorder="1" applyAlignment="1">
      <alignment horizontal="center" vertical="center"/>
    </xf>
    <xf numFmtId="176" fontId="6" fillId="0" borderId="10" xfId="3" applyFont="1" applyBorder="1" applyAlignment="1">
      <alignment horizontal="center" vertical="center"/>
    </xf>
    <xf numFmtId="176" fontId="6" fillId="0" borderId="6" xfId="3" applyFont="1" applyBorder="1" applyAlignment="1">
      <alignment horizontal="center" vertical="center"/>
    </xf>
    <xf numFmtId="176" fontId="6" fillId="0" borderId="0" xfId="3" applyFont="1" applyBorder="1" applyAlignment="1">
      <alignment horizontal="center" vertical="center"/>
    </xf>
    <xf numFmtId="176" fontId="6" fillId="0" borderId="7" xfId="3" applyFont="1" applyBorder="1" applyAlignment="1">
      <alignment horizontal="center" vertical="center"/>
    </xf>
    <xf numFmtId="176" fontId="6" fillId="0" borderId="11" xfId="3" applyFont="1" applyBorder="1" applyAlignment="1">
      <alignment horizontal="center" vertical="center"/>
    </xf>
    <xf numFmtId="176" fontId="6" fillId="0" borderId="3" xfId="3" applyFont="1" applyBorder="1" applyAlignment="1">
      <alignment horizontal="center" vertical="center"/>
    </xf>
    <xf numFmtId="176" fontId="6" fillId="0" borderId="12" xfId="3" applyFont="1" applyBorder="1" applyAlignment="1">
      <alignment horizontal="center" vertical="center"/>
    </xf>
    <xf numFmtId="0" fontId="6" fillId="0" borderId="0" xfId="0" applyFont="1" applyAlignment="1">
      <alignment horizontal="center"/>
    </xf>
    <xf numFmtId="0" fontId="6" fillId="0" borderId="11" xfId="0" applyFont="1" applyBorder="1" applyAlignment="1">
      <alignment horizontal="center"/>
    </xf>
    <xf numFmtId="0" fontId="6" fillId="0" borderId="3" xfId="0" applyFont="1" applyBorder="1" applyAlignment="1">
      <alignment horizontal="center"/>
    </xf>
    <xf numFmtId="0" fontId="6" fillId="0" borderId="13" xfId="0" applyFont="1" applyBorder="1" applyAlignment="1">
      <alignment horizontal="center" vertical="center"/>
    </xf>
    <xf numFmtId="0" fontId="6" fillId="0" borderId="4" xfId="0" applyFont="1" applyBorder="1" applyAlignment="1">
      <alignment horizontal="center" vertical="center"/>
    </xf>
    <xf numFmtId="0" fontId="6" fillId="0" borderId="16" xfId="0" applyFont="1" applyBorder="1" applyAlignment="1">
      <alignment horizontal="center" vertical="center"/>
    </xf>
    <xf numFmtId="0" fontId="6" fillId="0" borderId="8" xfId="0" applyFont="1" applyBorder="1" applyAlignment="1">
      <alignment horizontal="center" vertical="center" wrapText="1"/>
    </xf>
    <xf numFmtId="0" fontId="6" fillId="0" borderId="8" xfId="0" applyFont="1" applyBorder="1" applyAlignment="1">
      <alignment horizontal="center"/>
    </xf>
    <xf numFmtId="0" fontId="6" fillId="0" borderId="6" xfId="0" applyFont="1" applyBorder="1" applyAlignment="1">
      <alignment horizontal="center"/>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11" xfId="0" applyFont="1" applyBorder="1" applyAlignment="1">
      <alignment horizontal="left" vertical="center"/>
    </xf>
    <xf numFmtId="0" fontId="6" fillId="0" borderId="3" xfId="0" applyFont="1" applyBorder="1" applyAlignment="1">
      <alignment horizontal="left" vertical="center"/>
    </xf>
    <xf numFmtId="0" fontId="6" fillId="0" borderId="12" xfId="0" applyFont="1" applyBorder="1" applyAlignment="1">
      <alignment horizontal="left" vertical="center"/>
    </xf>
    <xf numFmtId="0" fontId="6" fillId="0" borderId="5" xfId="0" applyFont="1" applyBorder="1" applyAlignment="1">
      <alignment horizontal="center" vertical="center" wrapText="1"/>
    </xf>
    <xf numFmtId="0" fontId="6" fillId="0" borderId="14" xfId="0" applyFont="1" applyBorder="1" applyAlignment="1">
      <alignment horizontal="center" vertical="center"/>
    </xf>
    <xf numFmtId="0" fontId="6" fillId="0" borderId="27" xfId="0" applyFont="1" applyBorder="1" applyAlignment="1">
      <alignment horizontal="right" vertical="center"/>
    </xf>
    <xf numFmtId="0" fontId="6" fillId="0" borderId="28" xfId="0" applyFont="1" applyBorder="1" applyAlignment="1">
      <alignment horizontal="left" vertical="center" wrapText="1"/>
    </xf>
    <xf numFmtId="0" fontId="6" fillId="0" borderId="29" xfId="0" applyFont="1" applyBorder="1" applyAlignment="1">
      <alignment horizontal="left" vertical="center" wrapText="1"/>
    </xf>
    <xf numFmtId="0" fontId="6" fillId="0" borderId="30" xfId="0" applyFont="1" applyBorder="1" applyAlignment="1">
      <alignment horizontal="left" vertical="center" wrapText="1"/>
    </xf>
    <xf numFmtId="0" fontId="6" fillId="0" borderId="27" xfId="0" applyFont="1" applyBorder="1" applyAlignment="1">
      <alignment horizontal="center" vertical="center"/>
    </xf>
    <xf numFmtId="0" fontId="6" fillId="0" borderId="27" xfId="0" applyFont="1" applyBorder="1" applyAlignment="1">
      <alignment horizontal="left"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23" xfId="0" applyFont="1" applyBorder="1" applyAlignment="1">
      <alignment horizontal="center" vertical="center"/>
    </xf>
    <xf numFmtId="0" fontId="6" fillId="0" borderId="23" xfId="0" applyFont="1" applyBorder="1" applyAlignment="1">
      <alignment horizontal="left" vertical="center"/>
    </xf>
    <xf numFmtId="0" fontId="6" fillId="0" borderId="23" xfId="0" applyFont="1" applyBorder="1" applyAlignment="1">
      <alignment horizontal="right" vertical="center"/>
    </xf>
    <xf numFmtId="0" fontId="6" fillId="0" borderId="29" xfId="0" applyFont="1" applyBorder="1" applyAlignment="1">
      <alignment horizontal="left" vertical="center"/>
    </xf>
    <xf numFmtId="0" fontId="6" fillId="0" borderId="30" xfId="0" applyFont="1" applyBorder="1" applyAlignment="1">
      <alignment horizontal="left"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6" fillId="0" borderId="15" xfId="0" applyFont="1" applyBorder="1" applyAlignment="1">
      <alignment horizontal="right"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6" fillId="0" borderId="28" xfId="0" applyFont="1" applyBorder="1" applyAlignment="1">
      <alignment horizontal="right" vertical="center"/>
    </xf>
    <xf numFmtId="0" fontId="6" fillId="0" borderId="29" xfId="0" applyFont="1" applyBorder="1" applyAlignment="1">
      <alignment horizontal="right" vertical="center"/>
    </xf>
    <xf numFmtId="0" fontId="6" fillId="0" borderId="30" xfId="0" applyFont="1" applyBorder="1" applyAlignment="1">
      <alignment horizontal="right" vertical="center"/>
    </xf>
  </cellXfs>
  <cellStyles count="10">
    <cellStyle name="通貨" xfId="3" builtinId="7"/>
    <cellStyle name="通貨 2" xfId="6" xr:uid="{AA99929C-17EC-45AF-82FE-61BAC3BEF5DA}"/>
    <cellStyle name="標準" xfId="0" builtinId="0"/>
    <cellStyle name="標準 2" xfId="2" xr:uid="{B34FE655-41CA-4C82-B983-5D8136C07A5C}"/>
    <cellStyle name="標準 2 3" xfId="5" xr:uid="{C3833CEB-5BF1-47A0-A382-F63F65C19D1D}"/>
    <cellStyle name="標準 2 3 2" xfId="8" xr:uid="{DDCDF261-1FB9-48F2-94D4-A2E8C72652D8}"/>
    <cellStyle name="標準 2 3 3" xfId="7" xr:uid="{8C75AC42-FAA9-4601-9DE1-B4409D75850A}"/>
    <cellStyle name="標準 3" xfId="9" xr:uid="{93B1C07A-54B4-4ED7-A6E8-AF212D58328A}"/>
    <cellStyle name="標準 3 2" xfId="4" xr:uid="{9114F6BC-78FB-4031-8801-C1999E7AE3BC}"/>
    <cellStyle name="標準_帳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18" name="フローチャート: 代替処理 17">
          <a:extLst>
            <a:ext uri="{FF2B5EF4-FFF2-40B4-BE49-F238E27FC236}">
              <a16:creationId xmlns:a16="http://schemas.microsoft.com/office/drawing/2014/main" id="{7A52731B-0437-4933-94C1-2D77478D6138}"/>
            </a:ext>
          </a:extLst>
        </xdr:cNvPr>
        <xdr:cNvSpPr/>
      </xdr:nvSpPr>
      <xdr:spPr>
        <a:xfrm>
          <a:off x="28367182" y="4022149"/>
          <a:ext cx="1554307" cy="140421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7273</xdr:colOff>
      <xdr:row>10</xdr:row>
      <xdr:rowOff>302559</xdr:rowOff>
    </xdr:from>
    <xdr:to>
      <xdr:col>52</xdr:col>
      <xdr:colOff>1557</xdr:colOff>
      <xdr:row>23</xdr:row>
      <xdr:rowOff>304799</xdr:rowOff>
    </xdr:to>
    <xdr:sp macro="" textlink="">
      <xdr:nvSpPr>
        <xdr:cNvPr id="2" name="角丸四角形 3">
          <a:extLst>
            <a:ext uri="{FF2B5EF4-FFF2-40B4-BE49-F238E27FC236}">
              <a16:creationId xmlns:a16="http://schemas.microsoft.com/office/drawing/2014/main" id="{3B85EA0D-2656-4F19-9EAF-BA4A0F4ABD68}"/>
            </a:ext>
          </a:extLst>
        </xdr:cNvPr>
        <xdr:cNvSpPr/>
      </xdr:nvSpPr>
      <xdr:spPr bwMode="auto">
        <a:xfrm>
          <a:off x="907818" y="3437150"/>
          <a:ext cx="10800830" cy="4054694"/>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xdr:col>
      <xdr:colOff>211629</xdr:colOff>
      <xdr:row>52</xdr:row>
      <xdr:rowOff>155864</xdr:rowOff>
    </xdr:from>
    <xdr:to>
      <xdr:col>132</xdr:col>
      <xdr:colOff>121227</xdr:colOff>
      <xdr:row>52</xdr:row>
      <xdr:rowOff>173182</xdr:rowOff>
    </xdr:to>
    <xdr:cxnSp macro="">
      <xdr:nvCxnSpPr>
        <xdr:cNvPr id="3" name="直線コネクタ 2">
          <a:extLst>
            <a:ext uri="{FF2B5EF4-FFF2-40B4-BE49-F238E27FC236}">
              <a16:creationId xmlns:a16="http://schemas.microsoft.com/office/drawing/2014/main" id="{6F88C253-CED7-4908-95DF-F9E167CC2F71}"/>
            </a:ext>
          </a:extLst>
        </xdr:cNvPr>
        <xdr:cNvCxnSpPr/>
      </xdr:nvCxnSpPr>
      <xdr:spPr bwMode="auto">
        <a:xfrm>
          <a:off x="436765" y="16383000"/>
          <a:ext cx="29402462" cy="17318"/>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34636</xdr:colOff>
      <xdr:row>86</xdr:row>
      <xdr:rowOff>138545</xdr:rowOff>
    </xdr:from>
    <xdr:to>
      <xdr:col>131</xdr:col>
      <xdr:colOff>204007</xdr:colOff>
      <xdr:row>86</xdr:row>
      <xdr:rowOff>138545</xdr:rowOff>
    </xdr:to>
    <xdr:cxnSp macro="">
      <xdr:nvCxnSpPr>
        <xdr:cNvPr id="5" name="直線コネクタ 4">
          <a:extLst>
            <a:ext uri="{FF2B5EF4-FFF2-40B4-BE49-F238E27FC236}">
              <a16:creationId xmlns:a16="http://schemas.microsoft.com/office/drawing/2014/main" id="{D0FB6E55-17F3-4C7B-B1B3-C6B876047969}"/>
            </a:ext>
          </a:extLst>
        </xdr:cNvPr>
        <xdr:cNvCxnSpPr/>
      </xdr:nvCxnSpPr>
      <xdr:spPr bwMode="auto">
        <a:xfrm>
          <a:off x="484909" y="27587863"/>
          <a:ext cx="29211962"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17317</xdr:colOff>
      <xdr:row>92</xdr:row>
      <xdr:rowOff>186689</xdr:rowOff>
    </xdr:from>
    <xdr:to>
      <xdr:col>131</xdr:col>
      <xdr:colOff>190498</xdr:colOff>
      <xdr:row>92</xdr:row>
      <xdr:rowOff>186689</xdr:rowOff>
    </xdr:to>
    <xdr:cxnSp macro="">
      <xdr:nvCxnSpPr>
        <xdr:cNvPr id="6" name="直線コネクタ 5">
          <a:extLst>
            <a:ext uri="{FF2B5EF4-FFF2-40B4-BE49-F238E27FC236}">
              <a16:creationId xmlns:a16="http://schemas.microsoft.com/office/drawing/2014/main" id="{906B21DE-9CAF-4451-AFCB-7010B93F575B}"/>
            </a:ext>
          </a:extLst>
        </xdr:cNvPr>
        <xdr:cNvCxnSpPr/>
      </xdr:nvCxnSpPr>
      <xdr:spPr bwMode="auto">
        <a:xfrm>
          <a:off x="467590" y="29506371"/>
          <a:ext cx="29215772"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3809</xdr:colOff>
      <xdr:row>98</xdr:row>
      <xdr:rowOff>202103</xdr:rowOff>
    </xdr:from>
    <xdr:to>
      <xdr:col>131</xdr:col>
      <xdr:colOff>167465</xdr:colOff>
      <xdr:row>98</xdr:row>
      <xdr:rowOff>202103</xdr:rowOff>
    </xdr:to>
    <xdr:cxnSp macro="">
      <xdr:nvCxnSpPr>
        <xdr:cNvPr id="7" name="直線コネクタ 6">
          <a:extLst>
            <a:ext uri="{FF2B5EF4-FFF2-40B4-BE49-F238E27FC236}">
              <a16:creationId xmlns:a16="http://schemas.microsoft.com/office/drawing/2014/main" id="{85BBFC14-FE17-4A4E-807C-DD325D694D49}"/>
            </a:ext>
          </a:extLst>
        </xdr:cNvPr>
        <xdr:cNvCxnSpPr/>
      </xdr:nvCxnSpPr>
      <xdr:spPr bwMode="auto">
        <a:xfrm>
          <a:off x="454082" y="31392148"/>
          <a:ext cx="29206247"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10</xdr:row>
      <xdr:rowOff>285751</xdr:rowOff>
    </xdr:from>
    <xdr:to>
      <xdr:col>52</xdr:col>
      <xdr:colOff>0</xdr:colOff>
      <xdr:row>23</xdr:row>
      <xdr:rowOff>281788</xdr:rowOff>
    </xdr:to>
    <xdr:sp macro="" textlink="">
      <xdr:nvSpPr>
        <xdr:cNvPr id="3" name="角丸四角形 3">
          <a:extLst>
            <a:ext uri="{FF2B5EF4-FFF2-40B4-BE49-F238E27FC236}">
              <a16:creationId xmlns:a16="http://schemas.microsoft.com/office/drawing/2014/main" id="{7E03B089-FDE1-4D73-B8FC-C1251D3BEA49}"/>
            </a:ext>
          </a:extLst>
        </xdr:cNvPr>
        <xdr:cNvSpPr/>
      </xdr:nvSpPr>
      <xdr:spPr bwMode="auto">
        <a:xfrm>
          <a:off x="952500" y="3381376"/>
          <a:ext cx="11430000" cy="4020350"/>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5" name="フローチャート: 代替処理 4">
          <a:extLst>
            <a:ext uri="{FF2B5EF4-FFF2-40B4-BE49-F238E27FC236}">
              <a16:creationId xmlns:a16="http://schemas.microsoft.com/office/drawing/2014/main" id="{F04B5131-D443-4762-82CB-3B8650819C96}"/>
            </a:ext>
          </a:extLst>
        </xdr:cNvPr>
        <xdr:cNvSpPr/>
      </xdr:nvSpPr>
      <xdr:spPr>
        <a:xfrm>
          <a:off x="28860173" y="3960381"/>
          <a:ext cx="1582593" cy="13811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21128</xdr:colOff>
      <xdr:row>52</xdr:row>
      <xdr:rowOff>134735</xdr:rowOff>
    </xdr:from>
    <xdr:to>
      <xdr:col>131</xdr:col>
      <xdr:colOff>173181</xdr:colOff>
      <xdr:row>52</xdr:row>
      <xdr:rowOff>155864</xdr:rowOff>
    </xdr:to>
    <xdr:cxnSp macro="">
      <xdr:nvCxnSpPr>
        <xdr:cNvPr id="2" name="直線コネクタ 1">
          <a:extLst>
            <a:ext uri="{FF2B5EF4-FFF2-40B4-BE49-F238E27FC236}">
              <a16:creationId xmlns:a16="http://schemas.microsoft.com/office/drawing/2014/main" id="{13359D3F-EA86-4FEA-9575-7AAFC8FA58EC}"/>
            </a:ext>
          </a:extLst>
        </xdr:cNvPr>
        <xdr:cNvCxnSpPr/>
      </xdr:nvCxnSpPr>
      <xdr:spPr bwMode="auto">
        <a:xfrm>
          <a:off x="471401" y="16344553"/>
          <a:ext cx="29194644" cy="2112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1D5A6666-47A7-480D-A46A-9F2AF921CB4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7" name="フローチャート: 代替処理 6">
          <a:extLst>
            <a:ext uri="{FF2B5EF4-FFF2-40B4-BE49-F238E27FC236}">
              <a16:creationId xmlns:a16="http://schemas.microsoft.com/office/drawing/2014/main" id="{8E9B2479-153A-46DD-94B3-5974FD5E04C9}"/>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8" name="フローチャート: 代替処理 7">
          <a:extLst>
            <a:ext uri="{FF2B5EF4-FFF2-40B4-BE49-F238E27FC236}">
              <a16:creationId xmlns:a16="http://schemas.microsoft.com/office/drawing/2014/main" id="{76CAFCE9-4EDC-4A55-91B2-5AA0ADB667F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0" name="フローチャート: 代替処理 9">
          <a:extLst>
            <a:ext uri="{FF2B5EF4-FFF2-40B4-BE49-F238E27FC236}">
              <a16:creationId xmlns:a16="http://schemas.microsoft.com/office/drawing/2014/main" id="{C291D347-D9C1-438C-8D10-FBA5DA6C71A8}"/>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D24CEE96-760C-4378-A72D-E3E02654596A}"/>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81</xdr:col>
      <xdr:colOff>179071</xdr:colOff>
      <xdr:row>106</xdr:row>
      <xdr:rowOff>131444</xdr:rowOff>
    </xdr:from>
    <xdr:to>
      <xdr:col>129</xdr:col>
      <xdr:colOff>211456</xdr:colOff>
      <xdr:row>116</xdr:row>
      <xdr:rowOff>131444</xdr:rowOff>
    </xdr:to>
    <xdr:sp macro="" textlink="">
      <xdr:nvSpPr>
        <xdr:cNvPr id="4" name="吹き出し: 角を丸めた四角形 3">
          <a:extLst>
            <a:ext uri="{FF2B5EF4-FFF2-40B4-BE49-F238E27FC236}">
              <a16:creationId xmlns:a16="http://schemas.microsoft.com/office/drawing/2014/main" id="{7402DF22-9266-45A6-83E7-F706CF1DBF29}"/>
            </a:ext>
          </a:extLst>
        </xdr:cNvPr>
        <xdr:cNvSpPr/>
      </xdr:nvSpPr>
      <xdr:spPr bwMode="auto">
        <a:xfrm>
          <a:off x="19467196" y="33564194"/>
          <a:ext cx="11462385" cy="3095625"/>
        </a:xfrm>
        <a:prstGeom prst="wedgeRoundRectCallout">
          <a:avLst>
            <a:gd name="adj1" fmla="val -20105"/>
            <a:gd name="adj2" fmla="val -334334"/>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・改ページ発生時、</a:t>
          </a:r>
          <a:r>
            <a:rPr kumimoji="1" lang="en-US" altLang="ja-JP" sz="2400">
              <a:solidFill>
                <a:schemeClr val="dk1"/>
              </a:solidFill>
              <a:latin typeface="ＭＳ 明朝" panose="02020609040205080304" pitchFamily="17" charset="-128"/>
              <a:ea typeface="ＭＳ 明朝" panose="02020609040205080304" pitchFamily="17" charset="-128"/>
              <a:cs typeface="+mn-cs"/>
            </a:rPr>
            <a:t>2</a:t>
          </a:r>
          <a:r>
            <a:rPr kumimoji="1" lang="ja-JP" altLang="ja-JP" sz="2400">
              <a:solidFill>
                <a:schemeClr val="dk1"/>
              </a:solidFill>
              <a:latin typeface="ＭＳ 明朝" panose="02020609040205080304" pitchFamily="17" charset="-128"/>
              <a:ea typeface="ＭＳ 明朝" panose="02020609040205080304" pitchFamily="17" charset="-128"/>
              <a:cs typeface="+mn-cs"/>
            </a:rPr>
            <a:t>ページ目以降にはヘッダ部分を印字しない</a:t>
          </a:r>
          <a:r>
            <a:rPr kumimoji="1" lang="ja-JP" altLang="en-US" sz="2400">
              <a:solidFill>
                <a:schemeClr val="dk1"/>
              </a:solidFill>
              <a:latin typeface="ＭＳ 明朝" panose="02020609040205080304" pitchFamily="17" charset="-128"/>
              <a:ea typeface="ＭＳ 明朝" panose="02020609040205080304" pitchFamily="17" charset="-128"/>
              <a:cs typeface="+mn-cs"/>
            </a:rPr>
            <a:t>。</a:t>
          </a:r>
          <a:endParaRPr kumimoji="1" lang="ja-JP" altLang="ja-JP" sz="2400">
            <a:solidFill>
              <a:schemeClr val="dk1"/>
            </a:solidFill>
            <a:latin typeface="ＭＳ 明朝" panose="02020609040205080304" pitchFamily="17" charset="-128"/>
            <a:ea typeface="ＭＳ 明朝" panose="02020609040205080304" pitchFamily="17" charset="-128"/>
            <a:cs typeface="+mn-cs"/>
          </a:endParaRPr>
        </a:p>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・改ページ対象となった＜事業所／所属</a:t>
          </a:r>
          <a:r>
            <a:rPr kumimoji="1" lang="ja-JP" altLang="en-US" sz="2400">
              <a:solidFill>
                <a:schemeClr val="dk1"/>
              </a:solidFill>
              <a:latin typeface="ＭＳ 明朝" panose="02020609040205080304" pitchFamily="17" charset="-128"/>
              <a:ea typeface="ＭＳ 明朝" panose="02020609040205080304" pitchFamily="17" charset="-128"/>
              <a:cs typeface="+mn-cs"/>
            </a:rPr>
            <a:t>別</a:t>
          </a:r>
          <a:r>
            <a:rPr kumimoji="1" lang="ja-JP" altLang="ja-JP" sz="2400">
              <a:solidFill>
                <a:schemeClr val="dk1"/>
              </a:solidFill>
              <a:latin typeface="ＭＳ 明朝" panose="02020609040205080304" pitchFamily="17" charset="-128"/>
              <a:ea typeface="ＭＳ 明朝" panose="02020609040205080304" pitchFamily="17" charset="-128"/>
              <a:cs typeface="+mn-cs"/>
            </a:rPr>
            <a:t>内訳＞のヘッダ、もしくは</a:t>
          </a:r>
        </a:p>
        <a:p>
          <a:pPr marL="0" indent="0" algn="l"/>
          <a:r>
            <a:rPr kumimoji="1" lang="ja-JP" altLang="ja-JP" sz="2400">
              <a:solidFill>
                <a:schemeClr val="dk1"/>
              </a:solidFill>
              <a:latin typeface="ＭＳ 明朝" panose="02020609040205080304" pitchFamily="17" charset="-128"/>
              <a:ea typeface="ＭＳ 明朝" panose="02020609040205080304" pitchFamily="17" charset="-128"/>
              <a:cs typeface="+mn-cs"/>
            </a:rPr>
            <a:t>＜品目別内訳＞、＜店舗別内訳＞のヘッダ</a:t>
          </a:r>
          <a:r>
            <a:rPr kumimoji="1" lang="ja-JP" altLang="en-US" sz="2400">
              <a:solidFill>
                <a:schemeClr val="dk1"/>
              </a:solidFill>
              <a:latin typeface="ＭＳ 明朝" panose="02020609040205080304" pitchFamily="17" charset="-128"/>
              <a:ea typeface="ＭＳ 明朝" panose="02020609040205080304" pitchFamily="17" charset="-128"/>
              <a:cs typeface="+mn-cs"/>
            </a:rPr>
            <a:t>は</a:t>
          </a:r>
          <a:r>
            <a:rPr kumimoji="1" lang="ja-JP" altLang="ja-JP" sz="2400">
              <a:solidFill>
                <a:schemeClr val="dk1"/>
              </a:solidFill>
              <a:latin typeface="ＭＳ 明朝" panose="02020609040205080304" pitchFamily="17" charset="-128"/>
              <a:ea typeface="ＭＳ 明朝" panose="02020609040205080304" pitchFamily="17" charset="-128"/>
              <a:cs typeface="+mn-cs"/>
            </a:rPr>
            <a:t>改ページの都度出力する。</a:t>
          </a:r>
        </a:p>
      </xdr:txBody>
    </xdr:sp>
    <xdr:clientData/>
  </xdr:twoCellAnchor>
  <xdr:twoCellAnchor>
    <xdr:from>
      <xdr:col>4</xdr:col>
      <xdr:colOff>0</xdr:colOff>
      <xdr:row>10</xdr:row>
      <xdr:rowOff>285751</xdr:rowOff>
    </xdr:from>
    <xdr:to>
      <xdr:col>52</xdr:col>
      <xdr:colOff>0</xdr:colOff>
      <xdr:row>23</xdr:row>
      <xdr:rowOff>281788</xdr:rowOff>
    </xdr:to>
    <xdr:sp macro="" textlink="">
      <xdr:nvSpPr>
        <xdr:cNvPr id="5" name="角丸四角形 3">
          <a:extLst>
            <a:ext uri="{FF2B5EF4-FFF2-40B4-BE49-F238E27FC236}">
              <a16:creationId xmlns:a16="http://schemas.microsoft.com/office/drawing/2014/main" id="{DE56BFA2-CD6F-4F90-AEB4-E181185D1156}"/>
            </a:ext>
          </a:extLst>
        </xdr:cNvPr>
        <xdr:cNvSpPr/>
      </xdr:nvSpPr>
      <xdr:spPr bwMode="auto">
        <a:xfrm>
          <a:off x="914400" y="3425191"/>
          <a:ext cx="10972800" cy="408988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EADA7986-226B-421B-90F9-8DFE4441F732}"/>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51955</xdr:colOff>
      <xdr:row>52</xdr:row>
      <xdr:rowOff>155864</xdr:rowOff>
    </xdr:from>
    <xdr:to>
      <xdr:col>131</xdr:col>
      <xdr:colOff>204008</xdr:colOff>
      <xdr:row>52</xdr:row>
      <xdr:rowOff>173183</xdr:rowOff>
    </xdr:to>
    <xdr:cxnSp macro="">
      <xdr:nvCxnSpPr>
        <xdr:cNvPr id="7" name="直線コネクタ 6">
          <a:extLst>
            <a:ext uri="{FF2B5EF4-FFF2-40B4-BE49-F238E27FC236}">
              <a16:creationId xmlns:a16="http://schemas.microsoft.com/office/drawing/2014/main" id="{7851A813-8813-474E-A337-CC4DBB9A0757}"/>
            </a:ext>
          </a:extLst>
        </xdr:cNvPr>
        <xdr:cNvCxnSpPr/>
      </xdr:nvCxnSpPr>
      <xdr:spPr bwMode="auto">
        <a:xfrm>
          <a:off x="502228" y="16365682"/>
          <a:ext cx="29194644" cy="1731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38447</xdr:colOff>
      <xdr:row>58</xdr:row>
      <xdr:rowOff>155863</xdr:rowOff>
    </xdr:from>
    <xdr:to>
      <xdr:col>131</xdr:col>
      <xdr:colOff>190500</xdr:colOff>
      <xdr:row>58</xdr:row>
      <xdr:rowOff>169372</xdr:rowOff>
    </xdr:to>
    <xdr:cxnSp macro="">
      <xdr:nvCxnSpPr>
        <xdr:cNvPr id="8" name="直線コネクタ 7">
          <a:extLst>
            <a:ext uri="{FF2B5EF4-FFF2-40B4-BE49-F238E27FC236}">
              <a16:creationId xmlns:a16="http://schemas.microsoft.com/office/drawing/2014/main" id="{6232A551-413C-435A-8CAE-87FCE175711C}"/>
            </a:ext>
          </a:extLst>
        </xdr:cNvPr>
        <xdr:cNvCxnSpPr/>
      </xdr:nvCxnSpPr>
      <xdr:spPr bwMode="auto">
        <a:xfrm>
          <a:off x="488720" y="18236045"/>
          <a:ext cx="29194644" cy="1350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34983</xdr:colOff>
      <xdr:row>64</xdr:row>
      <xdr:rowOff>152400</xdr:rowOff>
    </xdr:from>
    <xdr:to>
      <xdr:col>131</xdr:col>
      <xdr:colOff>187036</xdr:colOff>
      <xdr:row>64</xdr:row>
      <xdr:rowOff>173529</xdr:rowOff>
    </xdr:to>
    <xdr:cxnSp macro="">
      <xdr:nvCxnSpPr>
        <xdr:cNvPr id="9" name="直線コネクタ 8">
          <a:extLst>
            <a:ext uri="{FF2B5EF4-FFF2-40B4-BE49-F238E27FC236}">
              <a16:creationId xmlns:a16="http://schemas.microsoft.com/office/drawing/2014/main" id="{984D45E1-E43A-40F4-B249-F610A07619E1}"/>
            </a:ext>
          </a:extLst>
        </xdr:cNvPr>
        <xdr:cNvCxnSpPr/>
      </xdr:nvCxnSpPr>
      <xdr:spPr bwMode="auto">
        <a:xfrm>
          <a:off x="485256" y="20102945"/>
          <a:ext cx="29194644" cy="21129"/>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31519</xdr:colOff>
      <xdr:row>70</xdr:row>
      <xdr:rowOff>114300</xdr:rowOff>
    </xdr:from>
    <xdr:to>
      <xdr:col>131</xdr:col>
      <xdr:colOff>183572</xdr:colOff>
      <xdr:row>70</xdr:row>
      <xdr:rowOff>133524</xdr:rowOff>
    </xdr:to>
    <xdr:cxnSp macro="">
      <xdr:nvCxnSpPr>
        <xdr:cNvPr id="10" name="直線コネクタ 9">
          <a:extLst>
            <a:ext uri="{FF2B5EF4-FFF2-40B4-BE49-F238E27FC236}">
              <a16:creationId xmlns:a16="http://schemas.microsoft.com/office/drawing/2014/main" id="{B7CFBA87-BECB-477A-85AE-DD393C837EC2}"/>
            </a:ext>
          </a:extLst>
        </xdr:cNvPr>
        <xdr:cNvCxnSpPr/>
      </xdr:nvCxnSpPr>
      <xdr:spPr bwMode="auto">
        <a:xfrm>
          <a:off x="481792" y="21935209"/>
          <a:ext cx="29194644" cy="1922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69273</xdr:colOff>
      <xdr:row>86</xdr:row>
      <xdr:rowOff>155864</xdr:rowOff>
    </xdr:from>
    <xdr:to>
      <xdr:col>131</xdr:col>
      <xdr:colOff>221326</xdr:colOff>
      <xdr:row>86</xdr:row>
      <xdr:rowOff>171278</xdr:rowOff>
    </xdr:to>
    <xdr:cxnSp macro="">
      <xdr:nvCxnSpPr>
        <xdr:cNvPr id="11" name="直線コネクタ 10">
          <a:extLst>
            <a:ext uri="{FF2B5EF4-FFF2-40B4-BE49-F238E27FC236}">
              <a16:creationId xmlns:a16="http://schemas.microsoft.com/office/drawing/2014/main" id="{F2E12C35-24DE-4E40-8B65-436FBB076D06}"/>
            </a:ext>
          </a:extLst>
        </xdr:cNvPr>
        <xdr:cNvCxnSpPr/>
      </xdr:nvCxnSpPr>
      <xdr:spPr bwMode="auto">
        <a:xfrm>
          <a:off x="519546" y="27587864"/>
          <a:ext cx="29194644" cy="15414"/>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2" name="フローチャート: 代替処理 11">
          <a:extLst>
            <a:ext uri="{FF2B5EF4-FFF2-40B4-BE49-F238E27FC236}">
              <a16:creationId xmlns:a16="http://schemas.microsoft.com/office/drawing/2014/main" id="{30C4652A-8B15-4D70-825E-98840A5DF072}"/>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3" name="フローチャート: 代替処理 12">
          <a:extLst>
            <a:ext uri="{FF2B5EF4-FFF2-40B4-BE49-F238E27FC236}">
              <a16:creationId xmlns:a16="http://schemas.microsoft.com/office/drawing/2014/main" id="{216B1794-AD05-4060-A220-2AC600FCB4A0}"/>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4" name="フローチャート: 代替処理 13">
          <a:extLst>
            <a:ext uri="{FF2B5EF4-FFF2-40B4-BE49-F238E27FC236}">
              <a16:creationId xmlns:a16="http://schemas.microsoft.com/office/drawing/2014/main" id="{EA7AF863-371F-4C6E-8D8D-FEFBE0F1D90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6" name="フローチャート: 代替処理 15">
          <a:extLst>
            <a:ext uri="{FF2B5EF4-FFF2-40B4-BE49-F238E27FC236}">
              <a16:creationId xmlns:a16="http://schemas.microsoft.com/office/drawing/2014/main" id="{98BBD914-AC17-4CCC-8369-60C93F7A9D0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0D58EB41-D7F8-442E-AE09-339D71356DC5}"/>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83</xdr:col>
      <xdr:colOff>131445</xdr:colOff>
      <xdr:row>87</xdr:row>
      <xdr:rowOff>174307</xdr:rowOff>
    </xdr:from>
    <xdr:to>
      <xdr:col>131</xdr:col>
      <xdr:colOff>167640</xdr:colOff>
      <xdr:row>94</xdr:row>
      <xdr:rowOff>285750</xdr:rowOff>
    </xdr:to>
    <xdr:sp macro="" textlink="">
      <xdr:nvSpPr>
        <xdr:cNvPr id="7" name="吹き出し: 角を丸めた四角形 6">
          <a:extLst>
            <a:ext uri="{FF2B5EF4-FFF2-40B4-BE49-F238E27FC236}">
              <a16:creationId xmlns:a16="http://schemas.microsoft.com/office/drawing/2014/main" id="{68137456-B278-4092-967E-7F3519CBC04D}"/>
            </a:ext>
          </a:extLst>
        </xdr:cNvPr>
        <xdr:cNvSpPr/>
      </xdr:nvSpPr>
      <xdr:spPr bwMode="auto">
        <a:xfrm>
          <a:off x="20610195" y="27725370"/>
          <a:ext cx="11466195" cy="2278380"/>
        </a:xfrm>
        <a:prstGeom prst="wedgeRoundRectCallout">
          <a:avLst>
            <a:gd name="adj1" fmla="val -39007"/>
            <a:gd name="adj2" fmla="val -20572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a:latin typeface="ＭＳ 明朝" panose="02020609040205080304" pitchFamily="17" charset="-128"/>
              <a:ea typeface="ＭＳ 明朝" panose="02020609040205080304" pitchFamily="17" charset="-128"/>
            </a:rPr>
            <a:t>・改ページ発生時、</a:t>
          </a:r>
          <a:r>
            <a:rPr kumimoji="1" lang="en-US" altLang="ja-JP" sz="2400">
              <a:latin typeface="ＭＳ 明朝" panose="02020609040205080304" pitchFamily="17" charset="-128"/>
              <a:ea typeface="ＭＳ 明朝" panose="02020609040205080304" pitchFamily="17" charset="-128"/>
            </a:rPr>
            <a:t>2</a:t>
          </a:r>
          <a:r>
            <a:rPr kumimoji="1" lang="ja-JP" altLang="en-US" sz="2400">
              <a:latin typeface="ＭＳ 明朝" panose="02020609040205080304" pitchFamily="17" charset="-128"/>
              <a:ea typeface="ＭＳ 明朝" panose="02020609040205080304" pitchFamily="17" charset="-128"/>
            </a:rPr>
            <a:t>ページ目以降にはヘッダ部分を印字しない</a:t>
          </a:r>
          <a:endParaRPr kumimoji="1" lang="en-US" altLang="ja-JP" sz="2400">
            <a:latin typeface="ＭＳ 明朝" panose="02020609040205080304" pitchFamily="17" charset="-128"/>
            <a:ea typeface="ＭＳ 明朝" panose="02020609040205080304" pitchFamily="17" charset="-128"/>
          </a:endParaRPr>
        </a:p>
        <a:p>
          <a:pPr algn="l"/>
          <a:r>
            <a:rPr kumimoji="1" lang="ja-JP" altLang="en-US" sz="2400">
              <a:latin typeface="ＭＳ 明朝" panose="02020609040205080304" pitchFamily="17" charset="-128"/>
              <a:ea typeface="ＭＳ 明朝" panose="02020609040205080304" pitchFamily="17" charset="-128"/>
            </a:rPr>
            <a:t>・改ページ対象となった＜事業所／所属別内訳＞のヘッダ、もしくは</a:t>
          </a:r>
          <a:endParaRPr kumimoji="1" lang="en-US" altLang="ja-JP" sz="2400">
            <a:latin typeface="ＭＳ 明朝" panose="02020609040205080304" pitchFamily="17" charset="-128"/>
            <a:ea typeface="ＭＳ 明朝" panose="02020609040205080304" pitchFamily="17" charset="-128"/>
          </a:endParaRPr>
        </a:p>
        <a:p>
          <a:pPr algn="l"/>
          <a:r>
            <a:rPr kumimoji="1" lang="ja-JP" altLang="en-US" sz="2400">
              <a:latin typeface="ＭＳ 明朝" panose="02020609040205080304" pitchFamily="17" charset="-128"/>
              <a:ea typeface="ＭＳ 明朝" panose="02020609040205080304" pitchFamily="17" charset="-128"/>
            </a:rPr>
            <a:t>＜品目別内訳＞、＜店舗別内訳＞のヘッダは改ページの都度出力する。</a:t>
          </a:r>
          <a:endParaRPr kumimoji="1" lang="en-US" altLang="ja-JP" sz="2400">
            <a:latin typeface="ＭＳ 明朝" panose="02020609040205080304" pitchFamily="17" charset="-128"/>
            <a:ea typeface="ＭＳ 明朝" panose="02020609040205080304" pitchFamily="17" charset="-128"/>
          </a:endParaRP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4" name="フローチャート: 代替処理 3">
          <a:extLst>
            <a:ext uri="{FF2B5EF4-FFF2-40B4-BE49-F238E27FC236}">
              <a16:creationId xmlns:a16="http://schemas.microsoft.com/office/drawing/2014/main" id="{521CF890-0C8F-4421-9D97-E35A80F94822}"/>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0</xdr:colOff>
      <xdr:row>10</xdr:row>
      <xdr:rowOff>285751</xdr:rowOff>
    </xdr:from>
    <xdr:to>
      <xdr:col>52</xdr:col>
      <xdr:colOff>0</xdr:colOff>
      <xdr:row>23</xdr:row>
      <xdr:rowOff>281788</xdr:rowOff>
    </xdr:to>
    <xdr:sp macro="" textlink="">
      <xdr:nvSpPr>
        <xdr:cNvPr id="5" name="角丸四角形 3">
          <a:extLst>
            <a:ext uri="{FF2B5EF4-FFF2-40B4-BE49-F238E27FC236}">
              <a16:creationId xmlns:a16="http://schemas.microsoft.com/office/drawing/2014/main" id="{04FEC48C-539F-4BD2-8786-200C52465C22}"/>
            </a:ext>
          </a:extLst>
        </xdr:cNvPr>
        <xdr:cNvSpPr/>
      </xdr:nvSpPr>
      <xdr:spPr bwMode="auto">
        <a:xfrm>
          <a:off x="914400" y="3425191"/>
          <a:ext cx="10972800" cy="408988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6" name="フローチャート: 代替処理 5">
          <a:extLst>
            <a:ext uri="{FF2B5EF4-FFF2-40B4-BE49-F238E27FC236}">
              <a16:creationId xmlns:a16="http://schemas.microsoft.com/office/drawing/2014/main" id="{13DF7F04-83E6-47EA-AE0C-9C460D438F3F}"/>
            </a:ext>
          </a:extLst>
        </xdr:cNvPr>
        <xdr:cNvSpPr/>
      </xdr:nvSpPr>
      <xdr:spPr>
        <a:xfrm>
          <a:off x="28087378"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2</xdr:col>
      <xdr:colOff>53340</xdr:colOff>
      <xdr:row>52</xdr:row>
      <xdr:rowOff>190500</xdr:rowOff>
    </xdr:from>
    <xdr:to>
      <xdr:col>132</xdr:col>
      <xdr:colOff>0</xdr:colOff>
      <xdr:row>52</xdr:row>
      <xdr:rowOff>214312</xdr:rowOff>
    </xdr:to>
    <xdr:cxnSp macro="">
      <xdr:nvCxnSpPr>
        <xdr:cNvPr id="8" name="直線コネクタ 7">
          <a:extLst>
            <a:ext uri="{FF2B5EF4-FFF2-40B4-BE49-F238E27FC236}">
              <a16:creationId xmlns:a16="http://schemas.microsoft.com/office/drawing/2014/main" id="{AD75ED27-CEE4-4F4E-80EE-E37379000F15}"/>
            </a:ext>
          </a:extLst>
        </xdr:cNvPr>
        <xdr:cNvCxnSpPr/>
      </xdr:nvCxnSpPr>
      <xdr:spPr bwMode="auto">
        <a:xfrm>
          <a:off x="529590" y="16287750"/>
          <a:ext cx="31617285" cy="23812"/>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1" name="フローチャート: 代替処理 10">
          <a:extLst>
            <a:ext uri="{FF2B5EF4-FFF2-40B4-BE49-F238E27FC236}">
              <a16:creationId xmlns:a16="http://schemas.microsoft.com/office/drawing/2014/main" id="{FCB5E869-189B-497F-BA32-9B3ADA82325D}"/>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2" name="フローチャート: 代替処理 11">
          <a:extLst>
            <a:ext uri="{FF2B5EF4-FFF2-40B4-BE49-F238E27FC236}">
              <a16:creationId xmlns:a16="http://schemas.microsoft.com/office/drawing/2014/main" id="{747F1F04-39B6-45CA-A5E3-7A32E75517F8}"/>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3" name="フローチャート: 代替処理 12">
          <a:extLst>
            <a:ext uri="{FF2B5EF4-FFF2-40B4-BE49-F238E27FC236}">
              <a16:creationId xmlns:a16="http://schemas.microsoft.com/office/drawing/2014/main" id="{08489D6B-DC74-4828-B2AD-AF8454FC9D4C}"/>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5" name="フローチャート: 代替処理 14">
          <a:extLst>
            <a:ext uri="{FF2B5EF4-FFF2-40B4-BE49-F238E27FC236}">
              <a16:creationId xmlns:a16="http://schemas.microsoft.com/office/drawing/2014/main" id="{8C2994D1-1F92-413B-B9F4-C9E5943EFD4E}"/>
            </a:ext>
          </a:extLst>
        </xdr:cNvPr>
        <xdr:cNvSpPr/>
      </xdr:nvSpPr>
      <xdr:spPr>
        <a:xfrm>
          <a:off x="30411478" y="4021341"/>
          <a:ext cx="1665778" cy="14065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122</xdr:col>
      <xdr:colOff>196273</xdr:colOff>
      <xdr:row>12</xdr:row>
      <xdr:rowOff>131331</xdr:rowOff>
    </xdr:from>
    <xdr:to>
      <xdr:col>129</xdr:col>
      <xdr:colOff>134216</xdr:colOff>
      <xdr:row>16</xdr:row>
      <xdr:rowOff>242455</xdr:rowOff>
    </xdr:to>
    <xdr:sp macro="" textlink="">
      <xdr:nvSpPr>
        <xdr:cNvPr id="3" name="フローチャート: 代替処理 2">
          <a:extLst>
            <a:ext uri="{FF2B5EF4-FFF2-40B4-BE49-F238E27FC236}">
              <a16:creationId xmlns:a16="http://schemas.microsoft.com/office/drawing/2014/main" id="{4CEC342D-3C89-40B4-9F10-339E3B5066E7}"/>
            </a:ext>
          </a:extLst>
        </xdr:cNvPr>
        <xdr:cNvSpPr/>
      </xdr:nvSpPr>
      <xdr:spPr>
        <a:xfrm>
          <a:off x="30874393" y="3971811"/>
          <a:ext cx="1698163" cy="139128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66</xdr:col>
      <xdr:colOff>0</xdr:colOff>
      <xdr:row>40</xdr:row>
      <xdr:rowOff>285750</xdr:rowOff>
    </xdr:from>
    <xdr:to>
      <xdr:col>118</xdr:col>
      <xdr:colOff>53340</xdr:colOff>
      <xdr:row>45</xdr:row>
      <xdr:rowOff>174307</xdr:rowOff>
    </xdr:to>
    <xdr:sp macro="" textlink="">
      <xdr:nvSpPr>
        <xdr:cNvPr id="4" name="吹き出し: 角を丸めた四角形 3">
          <a:extLst>
            <a:ext uri="{FF2B5EF4-FFF2-40B4-BE49-F238E27FC236}">
              <a16:creationId xmlns:a16="http://schemas.microsoft.com/office/drawing/2014/main" id="{D6D7C3B0-F327-AA20-CD86-2C41BFAE3948}"/>
            </a:ext>
          </a:extLst>
        </xdr:cNvPr>
        <xdr:cNvSpPr/>
      </xdr:nvSpPr>
      <xdr:spPr bwMode="auto">
        <a:xfrm>
          <a:off x="15716250" y="13620750"/>
          <a:ext cx="12435840" cy="1555432"/>
        </a:xfrm>
        <a:prstGeom prst="wedgeRoundRectCallout">
          <a:avLst>
            <a:gd name="adj1" fmla="val -52632"/>
            <a:gd name="adj2" fmla="val 128329"/>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事業所／所属部分の税率別内訳は対象となる税率のみ表示</a:t>
          </a:r>
        </a:p>
      </xdr:txBody>
    </xdr:sp>
    <xdr:clientData/>
  </xdr:twoCellAnchor>
  <xdr:twoCellAnchor>
    <xdr:from>
      <xdr:col>81</xdr:col>
      <xdr:colOff>49530</xdr:colOff>
      <xdr:row>63</xdr:row>
      <xdr:rowOff>115253</xdr:rowOff>
    </xdr:from>
    <xdr:to>
      <xdr:col>128</xdr:col>
      <xdr:colOff>168593</xdr:colOff>
      <xdr:row>68</xdr:row>
      <xdr:rowOff>7620</xdr:rowOff>
    </xdr:to>
    <xdr:sp macro="" textlink="">
      <xdr:nvSpPr>
        <xdr:cNvPr id="5" name="吹き出し: 角を丸めた四角形 4">
          <a:extLst>
            <a:ext uri="{FF2B5EF4-FFF2-40B4-BE49-F238E27FC236}">
              <a16:creationId xmlns:a16="http://schemas.microsoft.com/office/drawing/2014/main" id="{BFB3BCE1-C2C2-4FCD-83E9-C01D7A58A5CF}"/>
            </a:ext>
          </a:extLst>
        </xdr:cNvPr>
        <xdr:cNvSpPr/>
      </xdr:nvSpPr>
      <xdr:spPr bwMode="auto">
        <a:xfrm>
          <a:off x="19337655" y="20451128"/>
          <a:ext cx="11310938" cy="1559242"/>
        </a:xfrm>
        <a:prstGeom prst="wedgeRoundRectCallout">
          <a:avLst>
            <a:gd name="adj1" fmla="val -66106"/>
            <a:gd name="adj2" fmla="val -6409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合計部分の税率別内訳は、対象となった税率すべてを表示</a:t>
          </a:r>
          <a:br>
            <a:rPr kumimoji="1" lang="en-US" altLang="ja-JP" sz="2400" kern="1200"/>
          </a:br>
          <a:endParaRPr kumimoji="1" lang="ja-JP" altLang="en-US" sz="2400" kern="1200"/>
        </a:p>
      </xdr:txBody>
    </xdr:sp>
    <xdr:clientData/>
  </xdr:twoCellAnchor>
  <xdr:twoCellAnchor>
    <xdr:from>
      <xdr:col>78</xdr:col>
      <xdr:colOff>77153</xdr:colOff>
      <xdr:row>70</xdr:row>
      <xdr:rowOff>20003</xdr:rowOff>
    </xdr:from>
    <xdr:to>
      <xdr:col>125</xdr:col>
      <xdr:colOff>196216</xdr:colOff>
      <xdr:row>74</xdr:row>
      <xdr:rowOff>249555</xdr:rowOff>
    </xdr:to>
    <xdr:sp macro="" textlink="">
      <xdr:nvSpPr>
        <xdr:cNvPr id="6" name="吹き出し: 角を丸めた四角形 5">
          <a:extLst>
            <a:ext uri="{FF2B5EF4-FFF2-40B4-BE49-F238E27FC236}">
              <a16:creationId xmlns:a16="http://schemas.microsoft.com/office/drawing/2014/main" id="{A7D44138-F579-4649-82F4-7C3FC89AACBF}"/>
            </a:ext>
          </a:extLst>
        </xdr:cNvPr>
        <xdr:cNvSpPr/>
      </xdr:nvSpPr>
      <xdr:spPr bwMode="auto">
        <a:xfrm>
          <a:off x="18650903" y="22689503"/>
          <a:ext cx="11310938" cy="1563052"/>
        </a:xfrm>
        <a:prstGeom prst="wedgeRoundRectCallout">
          <a:avLst>
            <a:gd name="adj1" fmla="val -66106"/>
            <a:gd name="adj2" fmla="val -64096"/>
            <a:gd name="adj3" fmla="val 16667"/>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r>
            <a:rPr kumimoji="1" lang="ja-JP" altLang="en-US" sz="2400" kern="1200"/>
            <a:t>＜品目別内訳＞、＜店舗別内訳＞はマスタで指定された場合に表示</a:t>
          </a:r>
          <a:br>
            <a:rPr kumimoji="1" lang="en-US" altLang="ja-JP" sz="2400" kern="1200"/>
          </a:br>
          <a:r>
            <a:rPr kumimoji="1" lang="ja-JP" altLang="en-US" sz="2400" kern="1200"/>
            <a:t>両方非表示、片方のみ表示、両方表示</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7" name="フローチャート: 代替処理 6">
          <a:extLst>
            <a:ext uri="{FF2B5EF4-FFF2-40B4-BE49-F238E27FC236}">
              <a16:creationId xmlns:a16="http://schemas.microsoft.com/office/drawing/2014/main" id="{62B0CA00-490B-48D8-A44C-328396769A12}"/>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8" name="フローチャート: 代替処理 7">
          <a:extLst>
            <a:ext uri="{FF2B5EF4-FFF2-40B4-BE49-F238E27FC236}">
              <a16:creationId xmlns:a16="http://schemas.microsoft.com/office/drawing/2014/main" id="{DCA7AF9F-3538-43B0-94AD-A7A966A288D3}"/>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twoCellAnchor>
    <xdr:from>
      <xdr:col>4</xdr:col>
      <xdr:colOff>0</xdr:colOff>
      <xdr:row>10</xdr:row>
      <xdr:rowOff>281941</xdr:rowOff>
    </xdr:from>
    <xdr:to>
      <xdr:col>52</xdr:col>
      <xdr:colOff>0</xdr:colOff>
      <xdr:row>23</xdr:row>
      <xdr:rowOff>285598</xdr:rowOff>
    </xdr:to>
    <xdr:sp macro="" textlink="">
      <xdr:nvSpPr>
        <xdr:cNvPr id="9" name="角丸四角形 3">
          <a:extLst>
            <a:ext uri="{FF2B5EF4-FFF2-40B4-BE49-F238E27FC236}">
              <a16:creationId xmlns:a16="http://schemas.microsoft.com/office/drawing/2014/main" id="{78406D73-6F6D-4920-9EFA-EE97AB8DD188}"/>
            </a:ext>
          </a:extLst>
        </xdr:cNvPr>
        <xdr:cNvSpPr/>
      </xdr:nvSpPr>
      <xdr:spPr bwMode="auto">
        <a:xfrm>
          <a:off x="952500" y="3615691"/>
          <a:ext cx="11430000" cy="433753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122</xdr:col>
      <xdr:colOff>196273</xdr:colOff>
      <xdr:row>12</xdr:row>
      <xdr:rowOff>131331</xdr:rowOff>
    </xdr:from>
    <xdr:to>
      <xdr:col>129</xdr:col>
      <xdr:colOff>134216</xdr:colOff>
      <xdr:row>16</xdr:row>
      <xdr:rowOff>242455</xdr:rowOff>
    </xdr:to>
    <xdr:sp macro="" textlink="">
      <xdr:nvSpPr>
        <xdr:cNvPr id="10" name="フローチャート: 代替処理 9">
          <a:extLst>
            <a:ext uri="{FF2B5EF4-FFF2-40B4-BE49-F238E27FC236}">
              <a16:creationId xmlns:a16="http://schemas.microsoft.com/office/drawing/2014/main" id="{769C55FA-7F99-47F8-AD96-A90621679D03}"/>
            </a:ext>
          </a:extLst>
        </xdr:cNvPr>
        <xdr:cNvSpPr/>
      </xdr:nvSpPr>
      <xdr:spPr>
        <a:xfrm>
          <a:off x="28820803" y="3907041"/>
          <a:ext cx="1532428" cy="136842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28</xdr:col>
      <xdr:colOff>111124</xdr:colOff>
      <xdr:row>43</xdr:row>
      <xdr:rowOff>48867</xdr:rowOff>
    </xdr:from>
    <xdr:to>
      <xdr:col>31</xdr:col>
      <xdr:colOff>11043</xdr:colOff>
      <xdr:row>43</xdr:row>
      <xdr:rowOff>223630</xdr:rowOff>
    </xdr:to>
    <xdr:sp macro="" textlink="">
      <xdr:nvSpPr>
        <xdr:cNvPr id="7" name="円/楕円 1">
          <a:extLst>
            <a:ext uri="{FF2B5EF4-FFF2-40B4-BE49-F238E27FC236}">
              <a16:creationId xmlns:a16="http://schemas.microsoft.com/office/drawing/2014/main" id="{429BBD50-21F2-D905-DA48-39CE396EA4FE}"/>
            </a:ext>
          </a:extLst>
        </xdr:cNvPr>
        <xdr:cNvSpPr/>
      </xdr:nvSpPr>
      <xdr:spPr bwMode="auto">
        <a:xfrm>
          <a:off x="4200524" y="9954867"/>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44</xdr:row>
      <xdr:rowOff>48867</xdr:rowOff>
    </xdr:from>
    <xdr:to>
      <xdr:col>31</xdr:col>
      <xdr:colOff>11043</xdr:colOff>
      <xdr:row>44</xdr:row>
      <xdr:rowOff>223630</xdr:rowOff>
    </xdr:to>
    <xdr:sp macro="" textlink="">
      <xdr:nvSpPr>
        <xdr:cNvPr id="4" name="円/楕円 1">
          <a:extLst>
            <a:ext uri="{FF2B5EF4-FFF2-40B4-BE49-F238E27FC236}">
              <a16:creationId xmlns:a16="http://schemas.microsoft.com/office/drawing/2014/main" id="{F6BF3121-638A-0653-38E7-419B0D5935E2}"/>
            </a:ext>
          </a:extLst>
        </xdr:cNvPr>
        <xdr:cNvSpPr/>
      </xdr:nvSpPr>
      <xdr:spPr bwMode="auto">
        <a:xfrm>
          <a:off x="4200524" y="10208867"/>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45</xdr:row>
      <xdr:rowOff>39342</xdr:rowOff>
    </xdr:from>
    <xdr:to>
      <xdr:col>31</xdr:col>
      <xdr:colOff>11043</xdr:colOff>
      <xdr:row>45</xdr:row>
      <xdr:rowOff>214105</xdr:rowOff>
    </xdr:to>
    <xdr:sp macro="" textlink="">
      <xdr:nvSpPr>
        <xdr:cNvPr id="5" name="円/楕円 1">
          <a:extLst>
            <a:ext uri="{FF2B5EF4-FFF2-40B4-BE49-F238E27FC236}">
              <a16:creationId xmlns:a16="http://schemas.microsoft.com/office/drawing/2014/main" id="{600D8FA2-C065-149E-C904-AADCE237C915}"/>
            </a:ext>
          </a:extLst>
        </xdr:cNvPr>
        <xdr:cNvSpPr/>
      </xdr:nvSpPr>
      <xdr:spPr bwMode="auto">
        <a:xfrm>
          <a:off x="4200524" y="1045334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46</xdr:row>
      <xdr:rowOff>58392</xdr:rowOff>
    </xdr:from>
    <xdr:to>
      <xdr:col>31</xdr:col>
      <xdr:colOff>11043</xdr:colOff>
      <xdr:row>46</xdr:row>
      <xdr:rowOff>233155</xdr:rowOff>
    </xdr:to>
    <xdr:sp macro="" textlink="">
      <xdr:nvSpPr>
        <xdr:cNvPr id="6" name="円/楕円 1">
          <a:extLst>
            <a:ext uri="{FF2B5EF4-FFF2-40B4-BE49-F238E27FC236}">
              <a16:creationId xmlns:a16="http://schemas.microsoft.com/office/drawing/2014/main" id="{857A1D74-6832-7C5E-7F31-1E0BCF36DB90}"/>
            </a:ext>
          </a:extLst>
        </xdr:cNvPr>
        <xdr:cNvSpPr/>
      </xdr:nvSpPr>
      <xdr:spPr bwMode="auto">
        <a:xfrm>
          <a:off x="4200524" y="1072639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47</xdr:row>
      <xdr:rowOff>39342</xdr:rowOff>
    </xdr:from>
    <xdr:to>
      <xdr:col>31</xdr:col>
      <xdr:colOff>11043</xdr:colOff>
      <xdr:row>47</xdr:row>
      <xdr:rowOff>214105</xdr:rowOff>
    </xdr:to>
    <xdr:sp macro="" textlink="">
      <xdr:nvSpPr>
        <xdr:cNvPr id="8" name="円/楕円 1">
          <a:extLst>
            <a:ext uri="{FF2B5EF4-FFF2-40B4-BE49-F238E27FC236}">
              <a16:creationId xmlns:a16="http://schemas.microsoft.com/office/drawing/2014/main" id="{C8486C8E-6570-0BDD-F8DB-6925BED089CE}"/>
            </a:ext>
          </a:extLst>
        </xdr:cNvPr>
        <xdr:cNvSpPr/>
      </xdr:nvSpPr>
      <xdr:spPr bwMode="auto">
        <a:xfrm>
          <a:off x="4200524" y="10961342"/>
          <a:ext cx="338069" cy="17476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51</xdr:col>
      <xdr:colOff>2898</xdr:colOff>
      <xdr:row>28</xdr:row>
      <xdr:rowOff>8283</xdr:rowOff>
    </xdr:from>
    <xdr:to>
      <xdr:col>54</xdr:col>
      <xdr:colOff>90279</xdr:colOff>
      <xdr:row>28</xdr:row>
      <xdr:rowOff>248478</xdr:rowOff>
    </xdr:to>
    <xdr:sp macro="" textlink="">
      <xdr:nvSpPr>
        <xdr:cNvPr id="3" name="円/楕円 1">
          <a:extLst>
            <a:ext uri="{FF2B5EF4-FFF2-40B4-BE49-F238E27FC236}">
              <a16:creationId xmlns:a16="http://schemas.microsoft.com/office/drawing/2014/main" id="{29493629-3DDE-45D9-B8D5-4B9835F56CDC}"/>
            </a:ext>
          </a:extLst>
        </xdr:cNvPr>
        <xdr:cNvSpPr/>
      </xdr:nvSpPr>
      <xdr:spPr bwMode="auto">
        <a:xfrm>
          <a:off x="8261073" y="6532908"/>
          <a:ext cx="573156" cy="2401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dimension ref="A1:BJ139"/>
  <sheetViews>
    <sheetView tabSelected="1" view="pageBreakPreview" zoomScaleNormal="100" zoomScaleSheetLayoutView="100" workbookViewId="0"/>
  </sheetViews>
  <sheetFormatPr defaultColWidth="2.125" defaultRowHeight="13.5"/>
  <sheetData>
    <row r="1" spans="1:62" s="3" customFormat="1" ht="18" customHeight="1">
      <c r="A1" s="3" t="s">
        <v>0</v>
      </c>
      <c r="BJ1" s="6" t="s">
        <v>1</v>
      </c>
    </row>
    <row r="2" spans="1:62" s="4" customFormat="1" ht="18" customHeight="1">
      <c r="A2" s="233" t="s">
        <v>2</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4</v>
      </c>
      <c r="BA2" s="228"/>
      <c r="BB2" s="228"/>
      <c r="BC2" s="229"/>
      <c r="BD2" s="227" t="s">
        <v>5</v>
      </c>
      <c r="BE2" s="228"/>
      <c r="BF2" s="229"/>
      <c r="BG2" s="227"/>
      <c r="BH2" s="228"/>
      <c r="BI2" s="228"/>
      <c r="BJ2" s="229"/>
    </row>
    <row r="3" spans="1:62" s="3" customFormat="1" ht="18" customHeight="1">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row>
    <row r="4" spans="1:62" s="3" customFormat="1" ht="18" customHeight="1">
      <c r="A4" s="227" t="s">
        <v>8</v>
      </c>
      <c r="B4" s="228"/>
      <c r="C4" s="228"/>
      <c r="D4" s="228"/>
      <c r="E4" s="228"/>
      <c r="F4" s="228"/>
      <c r="G4" s="229"/>
      <c r="H4" s="230" t="s">
        <v>116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row>
    <row r="5" spans="1:62" s="5" customFormat="1" ht="4.5" customHeight="1"/>
    <row r="6" spans="1:62" s="9" customFormat="1" ht="18" customHeight="1">
      <c r="A6" s="239" t="s">
        <v>10</v>
      </c>
      <c r="B6" s="239"/>
      <c r="C6" s="239"/>
      <c r="D6" s="239"/>
      <c r="E6" s="239"/>
      <c r="F6" s="239"/>
      <c r="G6" s="239"/>
      <c r="H6" s="239" t="s">
        <v>117</v>
      </c>
      <c r="I6" s="239"/>
      <c r="J6" s="239"/>
      <c r="K6" s="239"/>
      <c r="L6" s="239"/>
      <c r="M6" s="239"/>
      <c r="N6" s="239"/>
      <c r="O6" s="239"/>
      <c r="P6" s="239" t="s">
        <v>11</v>
      </c>
      <c r="Q6" s="239"/>
      <c r="R6" s="239"/>
      <c r="S6" s="239"/>
      <c r="T6" s="239"/>
      <c r="U6" s="239"/>
      <c r="V6" s="240" t="s">
        <v>118</v>
      </c>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2"/>
    </row>
    <row r="7" spans="1:62" ht="3.75" customHeight="1"/>
    <row r="8" spans="1:62" s="82" customFormat="1" ht="15.75" customHeight="1">
      <c r="A8" s="236" t="s">
        <v>12</v>
      </c>
      <c r="B8" s="237"/>
      <c r="C8" s="237"/>
      <c r="D8" s="237"/>
      <c r="E8" s="237"/>
      <c r="F8" s="237"/>
      <c r="G8" s="238"/>
      <c r="H8" s="79"/>
      <c r="I8" s="80" t="s">
        <v>13</v>
      </c>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s="8" customFormat="1" ht="20.65" customHeight="1">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2" customFormat="1" ht="20.25" customHeight="1">
      <c r="A10" s="145"/>
      <c r="B10" s="82" t="s">
        <v>219</v>
      </c>
      <c r="C10" s="146"/>
      <c r="D10" s="146"/>
      <c r="E10" s="146"/>
      <c r="F10" s="146"/>
      <c r="G10" s="146"/>
      <c r="H10" s="147"/>
      <c r="I10" s="82" t="s">
        <v>220</v>
      </c>
      <c r="O10" s="148"/>
      <c r="P10" s="148"/>
      <c r="Q10" s="148"/>
      <c r="R10" s="148"/>
      <c r="S10" s="148"/>
      <c r="T10" s="148"/>
      <c r="U10" s="148"/>
      <c r="V10" s="148"/>
      <c r="W10" s="148"/>
      <c r="X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BJ10" s="149"/>
    </row>
    <row r="11" spans="1:62" s="8" customFormat="1" ht="20.25" customHeight="1">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1" ht="20.25" customHeight="1">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1" ht="20.25" customHeight="1">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1" ht="20.25" customHeight="1">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1" ht="20.25" customHeight="1">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1" ht="20.25" customHeight="1">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1" ht="20.25" customHeight="1">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1" ht="20.25" customHeight="1">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1" ht="20.25" customHeight="1">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1" ht="20.25" customHeight="1">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1" ht="20.25" customHeight="1">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1" ht="20.25" customHeight="1">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1" ht="20.25" customHeight="1">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1" ht="20.25" customHeight="1">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1" ht="20.25" customHeight="1">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1" ht="20.25" customHeight="1">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1" ht="20.25" customHeight="1">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1" ht="20.25" customHeight="1">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1" ht="20.25" customHeight="1">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1" ht="20.25" customHeight="1">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1" ht="20.25" customHeight="1">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1" ht="20.25" customHeight="1">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1" ht="20.25" customHeight="1">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1" ht="20.25" customHeight="1">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1" ht="20.25" customHeight="1">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1" ht="20.25" customHeight="1">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1" ht="20.25" customHeight="1">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1" ht="20.25" customHeight="1">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1" ht="20.25" customHeight="1">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1" ht="20.25" customHeight="1">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1" ht="20.25" customHeight="1">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1" ht="20.25" customHeight="1">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1" ht="20.25" customHeight="1">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1" ht="20.25" customHeight="1">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1" ht="20.25" customHeight="1">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1" ht="20.25" customHeight="1">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1" ht="20.25" customHeight="1">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1" ht="20.25" customHeight="1">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1" ht="20.25" customHeight="1">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1" ht="20.25" customHeight="1">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1" ht="20.25" customHeight="1">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1" ht="20.25" customHeight="1">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1" ht="20.25" customHeight="1">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1" ht="20.25" customHeight="1">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1" ht="20.25" customHeight="1">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1" ht="20.25" customHeight="1">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1" ht="20.25" customHeight="1">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1" ht="20.25" customHeight="1">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1" ht="20.25" customHeight="1">
      <c r="A59" s="28"/>
      <c r="B59" s="20"/>
      <c r="C59" s="20"/>
      <c r="D59" s="20"/>
      <c r="E59" s="20"/>
      <c r="F59" s="20"/>
      <c r="G59" s="21"/>
      <c r="H59" s="28"/>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1"/>
    </row>
    <row r="60" spans="1:62" s="7" customFormat="1" ht="3.75" customHeight="1"/>
    <row r="61" spans="1:62" s="7" customFormat="1" ht="24" customHeight="1"/>
    <row r="62" spans="1:62" s="7" customFormat="1" ht="24" customHeight="1"/>
    <row r="63" spans="1:62" s="7" customFormat="1" ht="24" customHeight="1"/>
    <row r="64" spans="1:62"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7"/>
  <pageMargins left="0.74803149606299213" right="0.39370078740157483" top="0.74803149606299213" bottom="0.43307086614173229" header="0.9055118110236221" footer="0.19685039370078741"/>
  <pageSetup paperSize="9" scale="69" orientation="portrait" r:id="rId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codeName="Sheet2">
    <pageSetUpPr fitToPage="1"/>
  </sheetPr>
  <dimension ref="A1:EI142"/>
  <sheetViews>
    <sheetView view="pageBreakPreview" zoomScale="55" zoomScaleNormal="100" zoomScaleSheetLayoutView="55" workbookViewId="0"/>
  </sheetViews>
  <sheetFormatPr defaultColWidth="3.375" defaultRowHeight="25.15" customHeight="1"/>
  <cols>
    <col min="1" max="16384" width="3.375" style="47"/>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111</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57"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57" customFormat="1" ht="25.15" customHeight="1">
      <c r="A4" s="53" t="s">
        <v>122</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
        <v>0</v>
      </c>
      <c r="B7" s="47" t="s">
        <v>24</v>
      </c>
      <c r="C7" s="47" t="s">
        <v>24</v>
      </c>
      <c r="D7" s="47" t="s">
        <v>24</v>
      </c>
      <c r="E7" s="47" t="s">
        <v>24</v>
      </c>
      <c r="F7" s="47" t="s">
        <v>24</v>
      </c>
      <c r="G7" s="47" t="s">
        <v>24</v>
      </c>
      <c r="H7" s="47" t="s">
        <v>24</v>
      </c>
      <c r="I7" s="47" t="s">
        <v>24</v>
      </c>
      <c r="J7" s="47" t="s">
        <v>24</v>
      </c>
      <c r="K7" s="47">
        <v>1</v>
      </c>
      <c r="L7" s="47" t="s">
        <v>24</v>
      </c>
      <c r="M7" s="47" t="s">
        <v>24</v>
      </c>
      <c r="N7" s="47" t="s">
        <v>24</v>
      </c>
      <c r="O7" s="47" t="s">
        <v>24</v>
      </c>
      <c r="P7" s="47" t="s">
        <v>24</v>
      </c>
      <c r="Q7" s="47" t="s">
        <v>24</v>
      </c>
      <c r="R7" s="47" t="s">
        <v>24</v>
      </c>
      <c r="S7" s="47" t="s">
        <v>24</v>
      </c>
      <c r="T7" s="47" t="s">
        <v>24</v>
      </c>
      <c r="U7" s="47">
        <v>2</v>
      </c>
      <c r="V7" s="47" t="s">
        <v>24</v>
      </c>
      <c r="W7" s="47" t="s">
        <v>24</v>
      </c>
      <c r="X7" s="47" t="s">
        <v>24</v>
      </c>
      <c r="Y7" s="47" t="s">
        <v>24</v>
      </c>
      <c r="Z7" s="47" t="s">
        <v>24</v>
      </c>
      <c r="AA7" s="47" t="s">
        <v>24</v>
      </c>
      <c r="AB7" s="47" t="s">
        <v>24</v>
      </c>
      <c r="AC7" s="47" t="s">
        <v>24</v>
      </c>
      <c r="AD7" s="47" t="s">
        <v>24</v>
      </c>
      <c r="AE7" s="47">
        <v>3</v>
      </c>
      <c r="AF7" s="47" t="s">
        <v>24</v>
      </c>
      <c r="AG7" s="47" t="s">
        <v>24</v>
      </c>
      <c r="AH7" s="47" t="s">
        <v>24</v>
      </c>
      <c r="AI7" s="47" t="s">
        <v>24</v>
      </c>
      <c r="AJ7" s="47" t="s">
        <v>24</v>
      </c>
      <c r="AK7" s="47" t="s">
        <v>24</v>
      </c>
      <c r="AL7" s="47" t="s">
        <v>24</v>
      </c>
      <c r="AM7" s="47" t="s">
        <v>24</v>
      </c>
      <c r="AN7" s="47" t="s">
        <v>24</v>
      </c>
      <c r="AO7" s="47">
        <v>4</v>
      </c>
      <c r="AP7" s="47" t="s">
        <v>24</v>
      </c>
      <c r="AQ7" s="47" t="s">
        <v>24</v>
      </c>
      <c r="AR7" s="47" t="s">
        <v>24</v>
      </c>
      <c r="AS7" s="47" t="s">
        <v>24</v>
      </c>
      <c r="AT7" s="47" t="s">
        <v>24</v>
      </c>
      <c r="AU7" s="47" t="s">
        <v>24</v>
      </c>
      <c r="AV7" s="47" t="s">
        <v>24</v>
      </c>
      <c r="AW7" s="47" t="s">
        <v>24</v>
      </c>
      <c r="AX7" s="47" t="s">
        <v>24</v>
      </c>
      <c r="AY7" s="47">
        <v>5</v>
      </c>
      <c r="AZ7" s="47" t="s">
        <v>24</v>
      </c>
      <c r="BA7" s="47" t="s">
        <v>24</v>
      </c>
      <c r="BB7" s="47" t="s">
        <v>24</v>
      </c>
      <c r="BC7" s="47" t="s">
        <v>24</v>
      </c>
      <c r="BD7" s="47" t="s">
        <v>24</v>
      </c>
      <c r="BE7" s="47" t="s">
        <v>24</v>
      </c>
      <c r="BF7" s="47" t="s">
        <v>24</v>
      </c>
      <c r="BG7" s="47" t="s">
        <v>24</v>
      </c>
      <c r="BH7" s="47" t="s">
        <v>24</v>
      </c>
      <c r="BI7" s="47">
        <v>6</v>
      </c>
      <c r="BJ7" s="47" t="s">
        <v>24</v>
      </c>
      <c r="BK7" s="47" t="s">
        <v>24</v>
      </c>
      <c r="BL7" s="47" t="s">
        <v>24</v>
      </c>
      <c r="BM7" s="47" t="s">
        <v>24</v>
      </c>
      <c r="BN7" s="47" t="s">
        <v>24</v>
      </c>
      <c r="BO7" s="47" t="s">
        <v>24</v>
      </c>
      <c r="BP7" s="47" t="s">
        <v>24</v>
      </c>
      <c r="BQ7" s="47" t="s">
        <v>24</v>
      </c>
      <c r="BR7" s="47" t="s">
        <v>24</v>
      </c>
      <c r="BS7" s="47">
        <v>7</v>
      </c>
      <c r="BT7" s="47" t="s">
        <v>24</v>
      </c>
      <c r="BU7" s="47" t="s">
        <v>24</v>
      </c>
      <c r="BV7" s="47" t="s">
        <v>24</v>
      </c>
      <c r="BW7" s="47" t="s">
        <v>24</v>
      </c>
      <c r="BX7" s="47" t="s">
        <v>24</v>
      </c>
      <c r="BY7" s="47" t="s">
        <v>24</v>
      </c>
      <c r="BZ7" s="47" t="s">
        <v>24</v>
      </c>
      <c r="CA7" s="47" t="s">
        <v>24</v>
      </c>
      <c r="CB7" s="47" t="s">
        <v>24</v>
      </c>
      <c r="CC7" s="47">
        <v>8</v>
      </c>
      <c r="CD7" s="47" t="s">
        <v>24</v>
      </c>
      <c r="CE7" s="47" t="s">
        <v>24</v>
      </c>
      <c r="CF7" s="47" t="s">
        <v>24</v>
      </c>
      <c r="CG7" s="47" t="s">
        <v>24</v>
      </c>
      <c r="CH7" s="47" t="s">
        <v>24</v>
      </c>
      <c r="CI7" s="47" t="s">
        <v>24</v>
      </c>
      <c r="CJ7" s="47" t="s">
        <v>24</v>
      </c>
      <c r="CK7" s="47" t="s">
        <v>24</v>
      </c>
      <c r="CL7" s="47" t="s">
        <v>24</v>
      </c>
      <c r="CM7" s="47">
        <v>9</v>
      </c>
      <c r="CN7" s="47" t="s">
        <v>24</v>
      </c>
      <c r="CO7" s="47" t="s">
        <v>24</v>
      </c>
      <c r="CP7" s="47" t="s">
        <v>24</v>
      </c>
      <c r="CQ7" s="47" t="s">
        <v>24</v>
      </c>
      <c r="CR7" s="47" t="s">
        <v>24</v>
      </c>
      <c r="CS7" s="47" t="s">
        <v>24</v>
      </c>
      <c r="CT7" s="47" t="s">
        <v>24</v>
      </c>
      <c r="CU7" s="47" t="s">
        <v>24</v>
      </c>
      <c r="CV7" s="47" t="s">
        <v>24</v>
      </c>
      <c r="CW7" s="47">
        <v>0</v>
      </c>
      <c r="CX7" s="47" t="s">
        <v>24</v>
      </c>
      <c r="CY7" s="47" t="s">
        <v>24</v>
      </c>
      <c r="CZ7" s="47" t="s">
        <v>24</v>
      </c>
      <c r="DA7" s="47" t="s">
        <v>24</v>
      </c>
      <c r="DB7" s="47" t="s">
        <v>24</v>
      </c>
      <c r="DC7" s="47" t="s">
        <v>24</v>
      </c>
      <c r="DD7" s="47" t="s">
        <v>24</v>
      </c>
      <c r="DE7" s="47" t="s">
        <v>24</v>
      </c>
      <c r="DF7" s="47" t="s">
        <v>24</v>
      </c>
      <c r="DG7" s="47">
        <v>1</v>
      </c>
      <c r="DH7" s="47" t="s">
        <v>24</v>
      </c>
      <c r="DI7" s="47" t="s">
        <v>24</v>
      </c>
      <c r="DJ7" s="47" t="s">
        <v>24</v>
      </c>
      <c r="DK7" s="47" t="s">
        <v>24</v>
      </c>
      <c r="DL7" s="47" t="s">
        <v>24</v>
      </c>
      <c r="DM7" s="47" t="s">
        <v>24</v>
      </c>
      <c r="DN7" s="47" t="s">
        <v>24</v>
      </c>
      <c r="DO7" s="47" t="s">
        <v>24</v>
      </c>
      <c r="DP7" s="47" t="s">
        <v>24</v>
      </c>
      <c r="DQ7" s="47">
        <v>2</v>
      </c>
      <c r="DR7" s="47" t="s">
        <v>24</v>
      </c>
      <c r="DS7" s="47" t="s">
        <v>24</v>
      </c>
      <c r="DT7" s="47" t="s">
        <v>24</v>
      </c>
      <c r="DU7" s="47" t="s">
        <v>24</v>
      </c>
      <c r="DV7" s="47" t="s">
        <v>24</v>
      </c>
      <c r="DW7" s="47" t="s">
        <v>24</v>
      </c>
      <c r="DX7" s="47" t="s">
        <v>24</v>
      </c>
      <c r="DY7" s="47" t="s">
        <v>24</v>
      </c>
      <c r="DZ7" s="47" t="s">
        <v>24</v>
      </c>
      <c r="EA7" s="47">
        <v>3</v>
      </c>
      <c r="EB7" s="47" t="s">
        <v>24</v>
      </c>
      <c r="EC7" s="2" t="s">
        <v>24</v>
      </c>
    </row>
    <row r="8" spans="1:133" ht="26.65" customHeight="1">
      <c r="A8" s="1">
        <v>0</v>
      </c>
      <c r="B8" s="47">
        <f t="shared" ref="B8:J8" si="0">(A8+1)</f>
        <v>1</v>
      </c>
      <c r="C8" s="47">
        <f t="shared" si="0"/>
        <v>2</v>
      </c>
      <c r="D8" s="47">
        <f t="shared" si="0"/>
        <v>3</v>
      </c>
      <c r="E8" s="47">
        <f t="shared" si="0"/>
        <v>4</v>
      </c>
      <c r="F8" s="47">
        <f t="shared" si="0"/>
        <v>5</v>
      </c>
      <c r="G8" s="47">
        <f t="shared" si="0"/>
        <v>6</v>
      </c>
      <c r="H8" s="47">
        <f t="shared" si="0"/>
        <v>7</v>
      </c>
      <c r="I8" s="47">
        <f t="shared" si="0"/>
        <v>8</v>
      </c>
      <c r="J8" s="47">
        <f t="shared" si="0"/>
        <v>9</v>
      </c>
      <c r="K8" s="47">
        <v>0</v>
      </c>
      <c r="L8" s="47">
        <f t="shared" ref="L8" si="1">(K8+1)</f>
        <v>1</v>
      </c>
      <c r="M8" s="47">
        <f t="shared" ref="M8" si="2">(L8+1)</f>
        <v>2</v>
      </c>
      <c r="N8" s="47">
        <f t="shared" ref="N8" si="3">(M8+1)</f>
        <v>3</v>
      </c>
      <c r="O8" s="47">
        <f t="shared" ref="O8" si="4">(N8+1)</f>
        <v>4</v>
      </c>
      <c r="P8" s="47">
        <f t="shared" ref="P8" si="5">(O8+1)</f>
        <v>5</v>
      </c>
      <c r="Q8" s="47">
        <f t="shared" ref="Q8" si="6">(P8+1)</f>
        <v>6</v>
      </c>
      <c r="R8" s="47">
        <f t="shared" ref="R8" si="7">(Q8+1)</f>
        <v>7</v>
      </c>
      <c r="S8" s="47">
        <f t="shared" ref="S8" si="8">(R8+1)</f>
        <v>8</v>
      </c>
      <c r="T8" s="47">
        <f t="shared" ref="T8" si="9">(S8+1)</f>
        <v>9</v>
      </c>
      <c r="U8" s="47">
        <v>0</v>
      </c>
      <c r="V8" s="47">
        <f t="shared" ref="V8" si="10">(U8+1)</f>
        <v>1</v>
      </c>
      <c r="W8" s="47">
        <f t="shared" ref="W8" si="11">(V8+1)</f>
        <v>2</v>
      </c>
      <c r="X8" s="47">
        <f t="shared" ref="X8" si="12">(W8+1)</f>
        <v>3</v>
      </c>
      <c r="Y8" s="47">
        <f t="shared" ref="Y8" si="13">(X8+1)</f>
        <v>4</v>
      </c>
      <c r="Z8" s="47">
        <f t="shared" ref="Z8" si="14">(Y8+1)</f>
        <v>5</v>
      </c>
      <c r="AA8" s="47">
        <f t="shared" ref="AA8" si="15">(Z8+1)</f>
        <v>6</v>
      </c>
      <c r="AB8" s="47">
        <f t="shared" ref="AB8" si="16">(AA8+1)</f>
        <v>7</v>
      </c>
      <c r="AC8" s="47">
        <f t="shared" ref="AC8" si="17">(AB8+1)</f>
        <v>8</v>
      </c>
      <c r="AD8" s="47">
        <f t="shared" ref="AD8" si="18">(AC8+1)</f>
        <v>9</v>
      </c>
      <c r="AE8" s="47">
        <v>0</v>
      </c>
      <c r="AF8" s="47">
        <f t="shared" ref="AF8" si="19">(AE8+1)</f>
        <v>1</v>
      </c>
      <c r="AG8" s="47">
        <f t="shared" ref="AG8" si="20">(AF8+1)</f>
        <v>2</v>
      </c>
      <c r="AH8" s="47">
        <f t="shared" ref="AH8" si="21">(AG8+1)</f>
        <v>3</v>
      </c>
      <c r="AI8" s="47">
        <f t="shared" ref="AI8" si="22">(AH8+1)</f>
        <v>4</v>
      </c>
      <c r="AJ8" s="47">
        <f t="shared" ref="AJ8" si="23">(AI8+1)</f>
        <v>5</v>
      </c>
      <c r="AK8" s="47">
        <f t="shared" ref="AK8" si="24">(AJ8+1)</f>
        <v>6</v>
      </c>
      <c r="AL8" s="47">
        <f t="shared" ref="AL8" si="25">(AK8+1)</f>
        <v>7</v>
      </c>
      <c r="AM8" s="47">
        <f t="shared" ref="AM8" si="26">(AL8+1)</f>
        <v>8</v>
      </c>
      <c r="AN8" s="47">
        <f t="shared" ref="AN8" si="27">(AM8+1)</f>
        <v>9</v>
      </c>
      <c r="AO8" s="47">
        <v>0</v>
      </c>
      <c r="AP8" s="47">
        <f t="shared" ref="AP8:AX8" si="28">(AO8+1)</f>
        <v>1</v>
      </c>
      <c r="AQ8" s="47">
        <f t="shared" si="28"/>
        <v>2</v>
      </c>
      <c r="AR8" s="47">
        <f t="shared" si="28"/>
        <v>3</v>
      </c>
      <c r="AS8" s="47">
        <f t="shared" si="28"/>
        <v>4</v>
      </c>
      <c r="AT8" s="47">
        <f t="shared" si="28"/>
        <v>5</v>
      </c>
      <c r="AU8" s="47">
        <f t="shared" si="28"/>
        <v>6</v>
      </c>
      <c r="AV8" s="47">
        <f t="shared" si="28"/>
        <v>7</v>
      </c>
      <c r="AW8" s="47">
        <f t="shared" si="28"/>
        <v>8</v>
      </c>
      <c r="AX8" s="47">
        <f t="shared" si="28"/>
        <v>9</v>
      </c>
      <c r="AY8" s="47">
        <v>0</v>
      </c>
      <c r="AZ8" s="47">
        <f t="shared" ref="AZ8:BH8" si="29">(AY8+1)</f>
        <v>1</v>
      </c>
      <c r="BA8" s="47">
        <f t="shared" si="29"/>
        <v>2</v>
      </c>
      <c r="BB8" s="47">
        <f t="shared" si="29"/>
        <v>3</v>
      </c>
      <c r="BC8" s="47">
        <f t="shared" si="29"/>
        <v>4</v>
      </c>
      <c r="BD8" s="47">
        <f t="shared" si="29"/>
        <v>5</v>
      </c>
      <c r="BE8" s="47">
        <f t="shared" si="29"/>
        <v>6</v>
      </c>
      <c r="BF8" s="47">
        <f t="shared" si="29"/>
        <v>7</v>
      </c>
      <c r="BG8" s="47">
        <f t="shared" si="29"/>
        <v>8</v>
      </c>
      <c r="BH8" s="47">
        <f t="shared" si="29"/>
        <v>9</v>
      </c>
      <c r="BI8" s="47">
        <v>0</v>
      </c>
      <c r="BJ8" s="47">
        <f t="shared" ref="BJ8" si="30">(BI8+1)</f>
        <v>1</v>
      </c>
      <c r="BK8" s="47">
        <f t="shared" ref="BK8" si="31">(BJ8+1)</f>
        <v>2</v>
      </c>
      <c r="BL8" s="47">
        <f t="shared" ref="BL8" si="32">(BK8+1)</f>
        <v>3</v>
      </c>
      <c r="BM8" s="47">
        <f t="shared" ref="BM8" si="33">(BL8+1)</f>
        <v>4</v>
      </c>
      <c r="BN8" s="47">
        <f t="shared" ref="BN8" si="34">(BM8+1)</f>
        <v>5</v>
      </c>
      <c r="BO8" s="47">
        <f t="shared" ref="BO8" si="35">(BN8+1)</f>
        <v>6</v>
      </c>
      <c r="BP8" s="47">
        <f t="shared" ref="BP8" si="36">(BO8+1)</f>
        <v>7</v>
      </c>
      <c r="BQ8" s="47">
        <f t="shared" ref="BQ8" si="37">(BP8+1)</f>
        <v>8</v>
      </c>
      <c r="BR8" s="47">
        <f t="shared" ref="BR8" si="38">(BQ8+1)</f>
        <v>9</v>
      </c>
      <c r="BS8" s="47">
        <v>0</v>
      </c>
      <c r="BT8" s="47">
        <f t="shared" ref="BT8:CB8" si="39">(BS8+1)</f>
        <v>1</v>
      </c>
      <c r="BU8" s="47">
        <f t="shared" si="39"/>
        <v>2</v>
      </c>
      <c r="BV8" s="47">
        <f t="shared" si="39"/>
        <v>3</v>
      </c>
      <c r="BW8" s="47">
        <f t="shared" si="39"/>
        <v>4</v>
      </c>
      <c r="BX8" s="47">
        <f t="shared" si="39"/>
        <v>5</v>
      </c>
      <c r="BY8" s="47">
        <f t="shared" si="39"/>
        <v>6</v>
      </c>
      <c r="BZ8" s="47">
        <f t="shared" si="39"/>
        <v>7</v>
      </c>
      <c r="CA8" s="47">
        <f t="shared" si="39"/>
        <v>8</v>
      </c>
      <c r="CB8" s="47">
        <f t="shared" si="39"/>
        <v>9</v>
      </c>
      <c r="CC8" s="47">
        <v>0</v>
      </c>
      <c r="CD8" s="47">
        <f t="shared" ref="CD8:CK8" si="40">(CC8+1)</f>
        <v>1</v>
      </c>
      <c r="CE8" s="47">
        <f t="shared" si="40"/>
        <v>2</v>
      </c>
      <c r="CF8" s="47">
        <f t="shared" si="40"/>
        <v>3</v>
      </c>
      <c r="CG8" s="47">
        <f t="shared" si="40"/>
        <v>4</v>
      </c>
      <c r="CH8" s="47">
        <f t="shared" si="40"/>
        <v>5</v>
      </c>
      <c r="CI8" s="47">
        <f t="shared" si="40"/>
        <v>6</v>
      </c>
      <c r="CJ8" s="47">
        <f t="shared" si="40"/>
        <v>7</v>
      </c>
      <c r="CK8" s="47">
        <f t="shared" si="40"/>
        <v>8</v>
      </c>
      <c r="CL8" s="47">
        <f>(CX8+1)</f>
        <v>2</v>
      </c>
      <c r="CM8" s="47">
        <v>0</v>
      </c>
      <c r="CN8" s="47">
        <f t="shared" ref="CN8:CV8" si="41">(CM8+1)</f>
        <v>1</v>
      </c>
      <c r="CO8" s="47">
        <f t="shared" si="41"/>
        <v>2</v>
      </c>
      <c r="CP8" s="47">
        <f t="shared" si="41"/>
        <v>3</v>
      </c>
      <c r="CQ8" s="47">
        <f t="shared" si="41"/>
        <v>4</v>
      </c>
      <c r="CR8" s="47">
        <f t="shared" si="41"/>
        <v>5</v>
      </c>
      <c r="CS8" s="47">
        <f t="shared" si="41"/>
        <v>6</v>
      </c>
      <c r="CT8" s="47">
        <f t="shared" si="41"/>
        <v>7</v>
      </c>
      <c r="CU8" s="47">
        <f t="shared" si="41"/>
        <v>8</v>
      </c>
      <c r="CV8" s="47">
        <f t="shared" si="41"/>
        <v>9</v>
      </c>
      <c r="CW8" s="47">
        <v>0</v>
      </c>
      <c r="CX8" s="47">
        <f t="shared" ref="CX8:DF8" si="42">(CW8+1)</f>
        <v>1</v>
      </c>
      <c r="CY8" s="47">
        <f t="shared" si="42"/>
        <v>2</v>
      </c>
      <c r="CZ8" s="47">
        <f t="shared" si="42"/>
        <v>3</v>
      </c>
      <c r="DA8" s="47">
        <f t="shared" si="42"/>
        <v>4</v>
      </c>
      <c r="DB8" s="47">
        <f t="shared" si="42"/>
        <v>5</v>
      </c>
      <c r="DC8" s="47">
        <f t="shared" si="42"/>
        <v>6</v>
      </c>
      <c r="DD8" s="47">
        <f t="shared" si="42"/>
        <v>7</v>
      </c>
      <c r="DE8" s="47">
        <f t="shared" si="42"/>
        <v>8</v>
      </c>
      <c r="DF8" s="47">
        <f t="shared" si="42"/>
        <v>9</v>
      </c>
      <c r="DG8" s="47">
        <v>0</v>
      </c>
      <c r="DH8" s="47">
        <f t="shared" ref="DH8:DP8" si="43">(DG8+1)</f>
        <v>1</v>
      </c>
      <c r="DI8" s="47">
        <f t="shared" si="43"/>
        <v>2</v>
      </c>
      <c r="DJ8" s="84">
        <f t="shared" si="43"/>
        <v>3</v>
      </c>
      <c r="DK8" s="84">
        <f t="shared" si="43"/>
        <v>4</v>
      </c>
      <c r="DL8" s="84">
        <f>(DX8+1)</f>
        <v>8</v>
      </c>
      <c r="DM8" s="84">
        <f t="shared" si="43"/>
        <v>9</v>
      </c>
      <c r="DN8" s="84">
        <f t="shared" si="43"/>
        <v>10</v>
      </c>
      <c r="DO8" s="84">
        <f t="shared" si="43"/>
        <v>11</v>
      </c>
      <c r="DP8" s="84">
        <f t="shared" si="43"/>
        <v>12</v>
      </c>
      <c r="DQ8" s="84">
        <v>0</v>
      </c>
      <c r="DR8" s="47">
        <f t="shared" ref="DR8:DZ8" si="44">(DQ8+1)</f>
        <v>1</v>
      </c>
      <c r="DS8" s="47">
        <f t="shared" si="44"/>
        <v>2</v>
      </c>
      <c r="DT8" s="47">
        <f t="shared" si="44"/>
        <v>3</v>
      </c>
      <c r="DU8" s="47">
        <f t="shared" si="44"/>
        <v>4</v>
      </c>
      <c r="DV8" s="47">
        <f t="shared" si="44"/>
        <v>5</v>
      </c>
      <c r="DW8" s="47">
        <f t="shared" si="44"/>
        <v>6</v>
      </c>
      <c r="DX8" s="47">
        <f t="shared" si="44"/>
        <v>7</v>
      </c>
      <c r="DY8" s="47">
        <f t="shared" si="44"/>
        <v>8</v>
      </c>
      <c r="DZ8" s="47">
        <f t="shared" si="44"/>
        <v>9</v>
      </c>
      <c r="EA8" s="47">
        <v>0</v>
      </c>
      <c r="EB8" s="47">
        <f>(EA8+1)</f>
        <v>1</v>
      </c>
      <c r="EC8" s="2">
        <f>(EB8+1)</f>
        <v>2</v>
      </c>
    </row>
    <row r="9" spans="1:133" ht="25.15" customHeight="1">
      <c r="A9" s="1">
        <f t="shared" ref="A9:A74" si="45">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2"/>
      <c r="DK9" s="92"/>
      <c r="DL9" s="92"/>
      <c r="DM9" s="98"/>
      <c r="DN9" s="98"/>
      <c r="DO9" s="92"/>
      <c r="DP9" s="92"/>
      <c r="DQ9" s="92"/>
      <c r="DR9" s="99"/>
      <c r="DS9" s="285"/>
      <c r="DT9" s="285"/>
      <c r="DU9" s="94"/>
      <c r="DV9" s="172"/>
      <c r="DW9" s="94"/>
      <c r="DX9" s="94"/>
      <c r="DY9" s="94"/>
      <c r="DZ9" s="93"/>
      <c r="EA9" s="93"/>
      <c r="EB9" s="67"/>
      <c r="EC9" s="68"/>
    </row>
    <row r="10" spans="1:133" ht="25.15" customHeight="1">
      <c r="A10" s="1">
        <f t="shared" si="45"/>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
        <f t="shared" si="45"/>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R11" s="101"/>
      <c r="CS11" s="101"/>
      <c r="CT11" s="101"/>
      <c r="CU11" s="101"/>
      <c r="CV11" s="101"/>
      <c r="CY11" s="251" t="s">
        <v>227</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B11" s="104"/>
      <c r="EC11" s="73"/>
    </row>
    <row r="12" spans="1:133" ht="25.15" customHeight="1">
      <c r="A12" s="1">
        <f t="shared" si="45"/>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Y12" s="251" t="s">
        <v>320</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
        <f t="shared" si="45"/>
        <v>5</v>
      </c>
      <c r="B13" s="100"/>
      <c r="C13" s="101"/>
      <c r="D13" s="101"/>
      <c r="E13" s="101"/>
      <c r="F13" s="259" t="s">
        <v>183</v>
      </c>
      <c r="G13" s="259"/>
      <c r="H13" s="259"/>
      <c r="I13" s="259"/>
      <c r="J13" s="259"/>
      <c r="K13" s="259"/>
      <c r="L13" s="259"/>
      <c r="M13" s="259"/>
      <c r="N13" s="259"/>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BA13" s="101"/>
      <c r="BB13" s="101"/>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
        <f t="shared" si="45"/>
        <v>6</v>
      </c>
      <c r="B14" s="100"/>
      <c r="C14" s="101"/>
      <c r="D14" s="92"/>
      <c r="E14" s="102"/>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2"/>
      <c r="BA14" s="101"/>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
        <f t="shared" si="45"/>
        <v>7</v>
      </c>
      <c r="B15" s="100"/>
      <c r="C15" s="92"/>
      <c r="D15" s="92"/>
      <c r="E15" s="92"/>
      <c r="F15" s="259" t="s">
        <v>226</v>
      </c>
      <c r="G15" s="259"/>
      <c r="H15" s="259"/>
      <c r="I15" s="259"/>
      <c r="J15" s="259"/>
      <c r="K15" s="259"/>
      <c r="L15" s="259"/>
      <c r="M15" s="259"/>
      <c r="N15" s="259"/>
      <c r="O15" s="259"/>
      <c r="P15" s="259"/>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101"/>
      <c r="AU15" s="101"/>
      <c r="AV15" s="101"/>
      <c r="AW15" s="131"/>
      <c r="AX15" s="101"/>
      <c r="AY15" s="101"/>
      <c r="AZ15" s="92"/>
      <c r="BA15" s="101"/>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
        <f t="shared" si="45"/>
        <v>8</v>
      </c>
      <c r="B16" s="100"/>
      <c r="C16" s="101"/>
      <c r="D16" s="101"/>
      <c r="E16" s="101"/>
      <c r="F16" s="259" t="s">
        <v>226</v>
      </c>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101"/>
      <c r="AU16" s="101"/>
      <c r="AV16" s="101"/>
      <c r="AW16" s="101"/>
      <c r="AX16" s="101"/>
      <c r="AY16" s="101"/>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
        <f t="shared" si="45"/>
        <v>9</v>
      </c>
      <c r="B17" s="100"/>
      <c r="C17" s="101"/>
      <c r="D17" s="101"/>
      <c r="E17" s="101"/>
      <c r="F17" s="259" t="s">
        <v>226</v>
      </c>
      <c r="G17" s="259"/>
      <c r="H17" s="259"/>
      <c r="I17" s="259"/>
      <c r="J17" s="259"/>
      <c r="K17" s="259"/>
      <c r="L17" s="259"/>
      <c r="M17" s="259"/>
      <c r="N17" s="259"/>
      <c r="O17" s="259"/>
      <c r="P17" s="259"/>
      <c r="Q17" s="259"/>
      <c r="R17" s="259"/>
      <c r="S17" s="259"/>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131"/>
      <c r="AU17" s="101"/>
      <c r="AV17" s="101"/>
      <c r="AW17" s="101"/>
      <c r="AX17" s="101"/>
      <c r="AY17" s="101"/>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
        <f t="shared" si="45"/>
        <v>10</v>
      </c>
      <c r="B18" s="100"/>
      <c r="C18" s="101"/>
      <c r="D18" s="101"/>
      <c r="E18" s="101"/>
      <c r="F18" s="259" t="s">
        <v>226</v>
      </c>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101"/>
      <c r="AU18" s="101"/>
      <c r="AV18" s="101"/>
      <c r="AW18" s="101"/>
      <c r="AX18" s="101"/>
      <c r="AY18" s="101"/>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Q18" s="266"/>
      <c r="CR18" s="266"/>
      <c r="CS18" s="266"/>
      <c r="CT18" s="266"/>
      <c r="CU18" s="266"/>
      <c r="CV18" s="266"/>
      <c r="CW18" s="266"/>
      <c r="CX18" s="266"/>
      <c r="CY18" s="251" t="s">
        <v>228</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
        <f t="shared" si="45"/>
        <v>11</v>
      </c>
      <c r="B19" s="100"/>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B19" s="104"/>
      <c r="EC19" s="73"/>
    </row>
    <row r="20" spans="1:137" ht="25.15" customHeight="1">
      <c r="A20" s="1">
        <f t="shared" si="45"/>
        <v>12</v>
      </c>
      <c r="B20" s="100"/>
      <c r="C20" s="101"/>
      <c r="D20" s="101"/>
      <c r="E20" s="101"/>
      <c r="F20" s="259" t="s">
        <v>226</v>
      </c>
      <c r="G20" s="259"/>
      <c r="H20" s="259"/>
      <c r="I20" s="259"/>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101"/>
      <c r="AU20" s="101"/>
      <c r="AV20" s="101"/>
      <c r="AW20" s="101"/>
      <c r="AX20" s="101"/>
      <c r="AY20" s="131"/>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B20" s="104"/>
      <c r="EC20" s="73"/>
    </row>
    <row r="21" spans="1:137" ht="25.15" customHeight="1">
      <c r="A21" s="1">
        <f t="shared" si="45"/>
        <v>13</v>
      </c>
      <c r="B21" s="100"/>
      <c r="C21" s="101"/>
      <c r="D21" s="101"/>
      <c r="E21" s="101"/>
      <c r="F21" s="259" t="s">
        <v>226</v>
      </c>
      <c r="G21" s="259"/>
      <c r="H21" s="259"/>
      <c r="I21" s="259"/>
      <c r="J21" s="259"/>
      <c r="K21" s="259"/>
      <c r="L21" s="259"/>
      <c r="M21" s="259"/>
      <c r="N21" s="259"/>
      <c r="O21" s="259"/>
      <c r="P21" s="259"/>
      <c r="Q21" s="259"/>
      <c r="R21" s="259"/>
      <c r="S21" s="259"/>
      <c r="T21" s="259"/>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101"/>
      <c r="AU21" s="101"/>
      <c r="AV21" s="244" t="s">
        <v>101</v>
      </c>
      <c r="AW21" s="244"/>
      <c r="AX21" s="244" t="s">
        <v>102</v>
      </c>
      <c r="AY21" s="244"/>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B21" s="104"/>
      <c r="EC21" s="73"/>
    </row>
    <row r="22" spans="1:137" ht="25.15" customHeight="1">
      <c r="A22" s="1">
        <f t="shared" si="45"/>
        <v>14</v>
      </c>
      <c r="B22" s="100"/>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31"/>
      <c r="AG22" s="131"/>
      <c r="AH22" s="131"/>
      <c r="AI22" s="131"/>
      <c r="AJ22" s="131"/>
      <c r="AK22" s="131"/>
      <c r="AL22" s="131"/>
      <c r="AM22" s="131"/>
      <c r="AN22" s="131"/>
      <c r="AO22" s="131"/>
      <c r="AP22" s="131"/>
      <c r="AQ22" s="131"/>
      <c r="AR22" s="131"/>
      <c r="AS22" s="131"/>
      <c r="AT22" s="101"/>
      <c r="AU22" s="101"/>
      <c r="AV22" s="111"/>
      <c r="AW22" s="111"/>
      <c r="AX22" s="111"/>
      <c r="AY22" s="111"/>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
        <f t="shared" si="45"/>
        <v>15</v>
      </c>
      <c r="B23" s="100"/>
      <c r="C23" s="101"/>
      <c r="D23" s="101"/>
      <c r="E23" s="101"/>
      <c r="F23" s="259" t="s">
        <v>184</v>
      </c>
      <c r="G23" s="259"/>
      <c r="H23" s="259"/>
      <c r="I23" s="259"/>
      <c r="J23" s="259"/>
      <c r="K23" s="259"/>
      <c r="L23" s="259"/>
      <c r="M23" s="259"/>
      <c r="N23" s="259"/>
      <c r="O23" s="259"/>
      <c r="P23" s="259"/>
      <c r="Q23" s="259"/>
      <c r="R23" s="259"/>
      <c r="S23" s="259"/>
      <c r="T23" s="259"/>
      <c r="U23" s="259"/>
      <c r="V23" s="101"/>
      <c r="W23" s="101"/>
      <c r="X23" s="101"/>
      <c r="Y23" s="101"/>
      <c r="Z23" s="101"/>
      <c r="AA23" s="101"/>
      <c r="AB23" s="101"/>
      <c r="AC23" s="101"/>
      <c r="AD23" s="101"/>
      <c r="AE23" s="101"/>
      <c r="AF23" s="131"/>
      <c r="AG23" s="131"/>
      <c r="AH23" s="131"/>
      <c r="AI23" s="131"/>
      <c r="AJ23" s="131"/>
      <c r="AK23" s="131"/>
      <c r="AL23" s="131"/>
      <c r="AM23" s="131"/>
      <c r="AN23" s="131"/>
      <c r="AO23" s="131"/>
      <c r="AP23" s="131"/>
      <c r="AQ23" s="131"/>
      <c r="AR23" s="131"/>
      <c r="AS23" s="131"/>
      <c r="AT23" s="131"/>
      <c r="AU23" s="131"/>
      <c r="AV23" s="131"/>
      <c r="AW23" s="131"/>
      <c r="AX23" s="101"/>
      <c r="AY23" s="101"/>
      <c r="AZ23" s="101"/>
      <c r="BA23" s="92"/>
      <c r="BB23" s="101"/>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
        <f t="shared" si="45"/>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Y24" s="105"/>
      <c r="CZ24" s="105"/>
      <c r="DA24" s="105"/>
      <c r="DB24" s="105"/>
      <c r="DC24" s="105"/>
      <c r="DD24" s="105"/>
      <c r="DE24" s="105"/>
      <c r="DF24" s="105"/>
      <c r="DG24" s="105"/>
      <c r="DH24" s="105"/>
      <c r="DI24" s="105"/>
      <c r="DJ24" s="105"/>
      <c r="DK24" s="105"/>
      <c r="DL24" s="105"/>
      <c r="DM24" s="105"/>
      <c r="DN24" s="105"/>
      <c r="DO24" s="105"/>
      <c r="DP24" s="105"/>
      <c r="DQ24" s="105"/>
      <c r="DR24" s="105"/>
      <c r="DS24" s="106"/>
      <c r="DT24" s="106"/>
      <c r="DU24" s="106"/>
      <c r="DV24" s="106"/>
      <c r="DW24" s="105"/>
      <c r="DX24" s="105"/>
      <c r="DY24" s="107"/>
      <c r="DZ24" s="107"/>
      <c r="EA24" s="92"/>
      <c r="EB24" s="71"/>
      <c r="EC24" s="73"/>
    </row>
    <row r="25" spans="1:137" ht="25.15" customHeight="1">
      <c r="A25" s="1">
        <f t="shared" si="45"/>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ht="25.15" customHeight="1">
      <c r="A26" s="1">
        <f t="shared" si="45"/>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ht="25.15" customHeight="1">
      <c r="A27" s="1">
        <f t="shared" si="45"/>
        <v>19</v>
      </c>
      <c r="B27" s="100"/>
      <c r="C27" s="101"/>
      <c r="D27" s="101"/>
      <c r="E27" s="287" t="s">
        <v>274</v>
      </c>
      <c r="F27" s="288"/>
      <c r="G27" s="288"/>
      <c r="H27" s="288"/>
      <c r="I27" s="288"/>
      <c r="J27" s="288"/>
      <c r="K27" s="288"/>
      <c r="L27" s="288"/>
      <c r="M27" s="288"/>
      <c r="N27" s="288"/>
      <c r="O27" s="288"/>
      <c r="P27" s="288"/>
      <c r="Q27" s="288"/>
      <c r="R27" s="288"/>
      <c r="S27" s="288"/>
      <c r="T27" s="288"/>
      <c r="U27" s="288"/>
      <c r="V27" s="289"/>
      <c r="W27" s="269" t="s">
        <v>275</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226"/>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226"/>
      <c r="EA27" s="92"/>
      <c r="EB27" s="71"/>
      <c r="EC27" s="73"/>
    </row>
    <row r="28" spans="1:137" ht="25.15" customHeight="1">
      <c r="A28" s="1">
        <f t="shared" si="45"/>
        <v>20</v>
      </c>
      <c r="B28" s="100"/>
      <c r="C28" s="101"/>
      <c r="D28" s="101"/>
      <c r="E28" s="290"/>
      <c r="F28" s="291"/>
      <c r="G28" s="291"/>
      <c r="H28" s="291"/>
      <c r="I28" s="291"/>
      <c r="J28" s="291"/>
      <c r="K28" s="291"/>
      <c r="L28" s="291"/>
      <c r="M28" s="291"/>
      <c r="N28" s="291"/>
      <c r="O28" s="291"/>
      <c r="P28" s="291"/>
      <c r="Q28" s="291"/>
      <c r="R28" s="291"/>
      <c r="S28" s="291"/>
      <c r="T28" s="291"/>
      <c r="U28" s="291"/>
      <c r="V28" s="292"/>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226"/>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226"/>
      <c r="EA28" s="92"/>
      <c r="EB28" s="71"/>
      <c r="EC28" s="73"/>
    </row>
    <row r="29" spans="1:137" ht="25.15" customHeight="1">
      <c r="A29" s="1">
        <f t="shared" si="45"/>
        <v>21</v>
      </c>
      <c r="B29" s="100"/>
      <c r="C29" s="101"/>
      <c r="D29" s="101"/>
      <c r="E29" s="290"/>
      <c r="F29" s="291"/>
      <c r="G29" s="291"/>
      <c r="H29" s="291"/>
      <c r="I29" s="291"/>
      <c r="J29" s="291"/>
      <c r="K29" s="291"/>
      <c r="L29" s="291"/>
      <c r="M29" s="291"/>
      <c r="N29" s="291"/>
      <c r="O29" s="291"/>
      <c r="P29" s="291"/>
      <c r="Q29" s="291"/>
      <c r="R29" s="291"/>
      <c r="S29" s="291"/>
      <c r="T29" s="291"/>
      <c r="U29" s="291"/>
      <c r="V29" s="292"/>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226"/>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226"/>
      <c r="EA29" s="92"/>
      <c r="EB29" s="71"/>
      <c r="EC29" s="73"/>
      <c r="EF29" s="101"/>
      <c r="EG29" s="101"/>
    </row>
    <row r="30" spans="1:137" ht="25.15" customHeight="1">
      <c r="A30" s="1">
        <f>A39+1</f>
        <v>31</v>
      </c>
      <c r="B30" s="100"/>
      <c r="C30" s="101"/>
      <c r="D30" s="101"/>
      <c r="E30" s="293"/>
      <c r="F30" s="294"/>
      <c r="G30" s="294"/>
      <c r="H30" s="294"/>
      <c r="I30" s="294"/>
      <c r="J30" s="294"/>
      <c r="K30" s="294"/>
      <c r="L30" s="294"/>
      <c r="M30" s="294"/>
      <c r="N30" s="294"/>
      <c r="O30" s="294"/>
      <c r="P30" s="294"/>
      <c r="Q30" s="294"/>
      <c r="R30" s="294"/>
      <c r="S30" s="294"/>
      <c r="T30" s="294"/>
      <c r="U30" s="294"/>
      <c r="V30" s="295"/>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62"/>
      <c r="BD30" s="162"/>
      <c r="BE30" s="162"/>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50"/>
      <c r="EA30" s="101"/>
      <c r="EB30" s="104"/>
      <c r="EC30" s="73"/>
      <c r="EF30" s="266"/>
      <c r="EG30" s="266"/>
    </row>
    <row r="31" spans="1:137" ht="25.15" customHeight="1">
      <c r="A31" s="1">
        <f>A29+1</f>
        <v>22</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c r="CZ31" s="226"/>
      <c r="DA31" s="226"/>
      <c r="DB31" s="226"/>
      <c r="DC31" s="226"/>
      <c r="DD31" s="226"/>
      <c r="DE31" s="226"/>
      <c r="DF31" s="226"/>
      <c r="DG31" s="226"/>
      <c r="DH31" s="226"/>
      <c r="DI31" s="226"/>
      <c r="DJ31" s="226"/>
      <c r="DK31" s="226"/>
      <c r="DL31" s="226"/>
      <c r="DM31" s="226"/>
      <c r="DN31" s="226"/>
      <c r="DO31" s="226"/>
      <c r="DP31" s="226"/>
      <c r="DQ31" s="226"/>
      <c r="DR31" s="226"/>
      <c r="DS31" s="226"/>
      <c r="DT31" s="226"/>
      <c r="DU31" s="226"/>
      <c r="DV31" s="226"/>
      <c r="DW31" s="226"/>
      <c r="DX31" s="226"/>
      <c r="DY31" s="226"/>
      <c r="DZ31" s="226"/>
      <c r="EA31" s="86"/>
      <c r="EB31" s="86"/>
      <c r="EC31" s="73"/>
      <c r="EF31" s="101"/>
      <c r="EG31" s="101"/>
    </row>
    <row r="32" spans="1:137" ht="25.15" customHeight="1">
      <c r="A32" s="1">
        <f t="shared" si="45"/>
        <v>23</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5"/>
      <c r="BS32" s="105"/>
      <c r="BT32" s="258"/>
      <c r="BU32" s="258"/>
      <c r="BV32" s="258"/>
      <c r="BW32" s="258"/>
      <c r="BX32" s="258"/>
      <c r="BY32" s="258"/>
      <c r="BZ32" s="258"/>
      <c r="CA32" s="258"/>
      <c r="CB32" s="258"/>
      <c r="CC32" s="258"/>
      <c r="CD32" s="258"/>
      <c r="CE32" s="258"/>
      <c r="CF32" s="258"/>
      <c r="CG32" s="258"/>
      <c r="CH32" s="258"/>
      <c r="CI32" s="258"/>
      <c r="CJ32" s="258"/>
      <c r="CK32" s="258"/>
      <c r="CL32" s="258"/>
      <c r="CM32" s="105"/>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92"/>
      <c r="EB32" s="104"/>
      <c r="EC32" s="73"/>
      <c r="EF32" s="266"/>
      <c r="EG32" s="266"/>
    </row>
    <row r="33" spans="1:139" ht="25.15" customHeight="1">
      <c r="A33" s="1">
        <f t="shared" si="45"/>
        <v>24</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82"/>
      <c r="BD33" s="182"/>
      <c r="BE33" s="182"/>
      <c r="BF33" s="182"/>
      <c r="BG33" s="182"/>
      <c r="BH33" s="182"/>
      <c r="BI33" s="182"/>
      <c r="BJ33" s="182"/>
      <c r="BK33" s="182"/>
      <c r="BL33" s="182"/>
      <c r="BM33" s="182"/>
      <c r="BN33" s="182"/>
      <c r="BO33" s="182"/>
      <c r="BP33" s="182"/>
      <c r="BQ33" s="151"/>
      <c r="BR33" s="151"/>
      <c r="BS33" s="151"/>
      <c r="BT33" s="220"/>
      <c r="BU33" s="220"/>
      <c r="BV33" s="220"/>
      <c r="BW33" s="220"/>
      <c r="BX33" s="220"/>
      <c r="BY33" s="220"/>
      <c r="BZ33" s="220"/>
      <c r="CA33" s="220"/>
      <c r="CB33" s="220"/>
      <c r="CC33" s="220"/>
      <c r="CD33" s="220"/>
      <c r="CE33" s="220"/>
      <c r="CF33" s="220"/>
      <c r="CG33" s="220"/>
      <c r="CH33" s="220"/>
      <c r="CI33" s="220"/>
      <c r="CJ33" s="220"/>
      <c r="CK33" s="220"/>
      <c r="CL33" s="220"/>
      <c r="CM33" s="151"/>
      <c r="CN33" s="221"/>
      <c r="CO33" s="221"/>
      <c r="CP33" s="221"/>
      <c r="CQ33" s="221"/>
      <c r="CR33" s="221"/>
      <c r="CS33" s="221"/>
      <c r="CT33" s="221"/>
      <c r="CU33" s="221"/>
      <c r="CV33" s="221"/>
      <c r="CW33" s="221"/>
      <c r="CX33" s="221"/>
      <c r="CY33" s="221"/>
      <c r="CZ33" s="221"/>
      <c r="DA33" s="221"/>
      <c r="DB33" s="221"/>
      <c r="DC33" s="221"/>
      <c r="DD33" s="221"/>
      <c r="DE33" s="221"/>
      <c r="DF33" s="221"/>
      <c r="DG33" s="221"/>
      <c r="DH33" s="221"/>
      <c r="DI33" s="221"/>
      <c r="DJ33" s="221"/>
      <c r="DK33" s="221"/>
      <c r="DL33" s="221"/>
      <c r="DM33" s="221"/>
      <c r="DN33" s="221"/>
      <c r="DO33" s="221"/>
      <c r="DP33" s="221"/>
      <c r="DQ33" s="221"/>
      <c r="DR33" s="221"/>
      <c r="DS33" s="221"/>
      <c r="DT33" s="221"/>
      <c r="DU33" s="221"/>
      <c r="DV33" s="221"/>
      <c r="DW33" s="221"/>
      <c r="DX33" s="221"/>
      <c r="DY33" s="221"/>
      <c r="DZ33" s="221"/>
      <c r="EA33" s="92"/>
      <c r="EB33" s="104"/>
      <c r="EC33" s="73"/>
      <c r="EF33" s="266"/>
      <c r="EG33" s="266"/>
    </row>
    <row r="34" spans="1:139" ht="25.15" customHeight="1">
      <c r="A34" s="1">
        <f t="shared" si="45"/>
        <v>25</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05" t="s">
        <v>288</v>
      </c>
      <c r="BD34" s="306"/>
      <c r="BE34" s="306"/>
      <c r="BF34" s="306"/>
      <c r="BG34" s="306"/>
      <c r="BH34" s="306"/>
      <c r="BI34" s="306"/>
      <c r="BJ34" s="306"/>
      <c r="BK34" s="306"/>
      <c r="BL34" s="306"/>
      <c r="BM34" s="306"/>
      <c r="BN34" s="306"/>
      <c r="BO34" s="306"/>
      <c r="BP34" s="307"/>
      <c r="BQ34" s="143"/>
      <c r="BR34" s="102"/>
      <c r="BS34" s="102"/>
      <c r="BT34" s="258" t="s">
        <v>233</v>
      </c>
      <c r="BU34" s="258"/>
      <c r="BV34" s="258"/>
      <c r="BW34" s="258"/>
      <c r="BX34" s="258"/>
      <c r="BY34" s="258"/>
      <c r="BZ34" s="258"/>
      <c r="CA34" s="258"/>
      <c r="CB34" s="258"/>
      <c r="CC34" s="258"/>
      <c r="CD34" s="258"/>
      <c r="CE34" s="258"/>
      <c r="CF34" s="258"/>
      <c r="CG34" s="258"/>
      <c r="CH34" s="258"/>
      <c r="CI34" s="258"/>
      <c r="CJ34" s="258"/>
      <c r="CK34" s="258"/>
      <c r="CL34" s="258"/>
      <c r="CM34" s="107"/>
      <c r="CN34" s="259" t="s">
        <v>234</v>
      </c>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c r="DM34" s="259"/>
      <c r="DN34" s="259"/>
      <c r="DO34" s="259"/>
      <c r="DP34" s="259"/>
      <c r="DQ34" s="259"/>
      <c r="DR34" s="259"/>
      <c r="DS34" s="259"/>
      <c r="DT34" s="259"/>
      <c r="DU34" s="259"/>
      <c r="DV34" s="259"/>
      <c r="DW34" s="259"/>
      <c r="DX34" s="259"/>
      <c r="DY34" s="259"/>
      <c r="DZ34" s="268"/>
      <c r="EA34" s="92"/>
      <c r="EB34" s="104"/>
      <c r="EC34" s="73"/>
      <c r="EH34" s="266"/>
      <c r="EI34" s="266"/>
    </row>
    <row r="35" spans="1:139" ht="25.15" customHeight="1">
      <c r="A35" s="1">
        <f t="shared" si="45"/>
        <v>26</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36"/>
      <c r="BR35" s="125"/>
      <c r="BS35" s="125"/>
      <c r="BT35" s="304" t="s">
        <v>289</v>
      </c>
      <c r="BU35" s="304"/>
      <c r="BV35" s="304"/>
      <c r="BW35" s="304"/>
      <c r="BX35" s="304"/>
      <c r="BY35" s="304"/>
      <c r="BZ35" s="304"/>
      <c r="CA35" s="304"/>
      <c r="CB35" s="304"/>
      <c r="CC35" s="304"/>
      <c r="CD35" s="304"/>
      <c r="CE35" s="304"/>
      <c r="CF35" s="304"/>
      <c r="CG35" s="304"/>
      <c r="CH35" s="304"/>
      <c r="CI35" s="304"/>
      <c r="CJ35" s="304"/>
      <c r="CK35" s="304"/>
      <c r="CL35" s="304"/>
      <c r="CM35" s="125"/>
      <c r="CN35" s="153" t="s">
        <v>226</v>
      </c>
      <c r="CO35" s="153"/>
      <c r="CP35" s="153"/>
      <c r="CQ35" s="153"/>
      <c r="CR35" s="153"/>
      <c r="CS35" s="153"/>
      <c r="CT35" s="153"/>
      <c r="CU35" s="153"/>
      <c r="CV35" s="153"/>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219"/>
      <c r="EA35" s="92"/>
      <c r="EB35" s="104"/>
      <c r="EC35" s="73"/>
      <c r="EH35" s="266"/>
      <c r="EI35" s="266"/>
    </row>
    <row r="36" spans="1:139" ht="25.15" customHeight="1">
      <c r="A36" s="1">
        <f t="shared" si="45"/>
        <v>27</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3"/>
      <c r="BR36" s="102"/>
      <c r="BS36" s="102"/>
      <c r="BT36" s="258" t="s">
        <v>233</v>
      </c>
      <c r="BU36" s="258"/>
      <c r="BV36" s="258"/>
      <c r="BW36" s="258"/>
      <c r="BX36" s="258"/>
      <c r="BY36" s="258"/>
      <c r="BZ36" s="258"/>
      <c r="CA36" s="258"/>
      <c r="CB36" s="258"/>
      <c r="CC36" s="258"/>
      <c r="CD36" s="258"/>
      <c r="CE36" s="258"/>
      <c r="CF36" s="258"/>
      <c r="CG36" s="258"/>
      <c r="CH36" s="258"/>
      <c r="CI36" s="258"/>
      <c r="CJ36" s="258"/>
      <c r="CK36" s="258"/>
      <c r="CL36" s="258"/>
      <c r="CM36" s="107"/>
      <c r="CN36" s="259" t="s">
        <v>234</v>
      </c>
      <c r="CO36" s="259"/>
      <c r="CP36" s="25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259"/>
      <c r="DN36" s="259"/>
      <c r="DO36" s="259"/>
      <c r="DP36" s="259"/>
      <c r="DQ36" s="259"/>
      <c r="DR36" s="259"/>
      <c r="DS36" s="259"/>
      <c r="DT36" s="259"/>
      <c r="DU36" s="259"/>
      <c r="DV36" s="259"/>
      <c r="DW36" s="259"/>
      <c r="DX36" s="259"/>
      <c r="DY36" s="259"/>
      <c r="DZ36" s="268"/>
      <c r="EA36" s="104"/>
      <c r="EB36" s="104"/>
      <c r="EC36" s="73"/>
      <c r="EH36" s="266"/>
      <c r="EI36" s="266"/>
    </row>
    <row r="37" spans="1:139" ht="25.15" customHeight="1">
      <c r="A37" s="1">
        <f t="shared" si="45"/>
        <v>28</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43"/>
      <c r="BR37" s="105"/>
      <c r="BS37" s="105"/>
      <c r="BT37" s="258" t="s">
        <v>289</v>
      </c>
      <c r="BU37" s="258"/>
      <c r="BV37" s="258"/>
      <c r="BW37" s="258"/>
      <c r="BX37" s="258"/>
      <c r="BY37" s="258"/>
      <c r="BZ37" s="258"/>
      <c r="CA37" s="258"/>
      <c r="CB37" s="258"/>
      <c r="CC37" s="258"/>
      <c r="CD37" s="258"/>
      <c r="CE37" s="258"/>
      <c r="CF37" s="258"/>
      <c r="CG37" s="258"/>
      <c r="CH37" s="258"/>
      <c r="CI37" s="258"/>
      <c r="CJ37" s="258"/>
      <c r="CK37" s="258"/>
      <c r="CL37" s="258"/>
      <c r="CM37" s="105"/>
      <c r="CN37" s="150" t="s">
        <v>226</v>
      </c>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215"/>
      <c r="EA37" s="92"/>
      <c r="EB37" s="104"/>
      <c r="EC37" s="73"/>
      <c r="EH37" s="266"/>
      <c r="EI37" s="266"/>
    </row>
    <row r="38" spans="1:139" ht="25.15" customHeight="1">
      <c r="A38" s="1">
        <f t="shared" si="45"/>
        <v>29</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284" t="s">
        <v>233</v>
      </c>
      <c r="BU38" s="284"/>
      <c r="BV38" s="284"/>
      <c r="BW38" s="284"/>
      <c r="BX38" s="284"/>
      <c r="BY38" s="284"/>
      <c r="BZ38" s="284"/>
      <c r="CA38" s="284"/>
      <c r="CB38" s="284"/>
      <c r="CC38" s="284"/>
      <c r="CD38" s="284"/>
      <c r="CE38" s="284"/>
      <c r="CF38" s="284"/>
      <c r="CG38" s="284"/>
      <c r="CH38" s="284"/>
      <c r="CI38" s="284"/>
      <c r="CJ38" s="284"/>
      <c r="CK38" s="284"/>
      <c r="CL38" s="284"/>
      <c r="CM38" s="113"/>
      <c r="CN38" s="246" t="s">
        <v>234</v>
      </c>
      <c r="CO38" s="246"/>
      <c r="CP38" s="246"/>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97"/>
      <c r="EA38" s="101"/>
      <c r="EB38" s="104"/>
      <c r="EC38" s="73"/>
      <c r="EF38" s="266"/>
      <c r="EG38" s="266"/>
    </row>
    <row r="39" spans="1:139" ht="25.15" customHeight="1">
      <c r="A39" s="1">
        <f t="shared" si="45"/>
        <v>30</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304" t="s">
        <v>289</v>
      </c>
      <c r="BU39" s="304"/>
      <c r="BV39" s="304"/>
      <c r="BW39" s="304"/>
      <c r="BX39" s="304"/>
      <c r="BY39" s="304"/>
      <c r="BZ39" s="304"/>
      <c r="CA39" s="304"/>
      <c r="CB39" s="304"/>
      <c r="CC39" s="304"/>
      <c r="CD39" s="304"/>
      <c r="CE39" s="304"/>
      <c r="CF39" s="304"/>
      <c r="CG39" s="304"/>
      <c r="CH39" s="304"/>
      <c r="CI39" s="304"/>
      <c r="CJ39" s="304"/>
      <c r="CK39" s="304"/>
      <c r="CL39" s="304"/>
      <c r="CM39" s="125"/>
      <c r="CN39" s="153" t="s">
        <v>226</v>
      </c>
      <c r="CO39" s="153"/>
      <c r="CP39" s="153"/>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219"/>
      <c r="EA39" s="92"/>
      <c r="EB39" s="71"/>
      <c r="EC39" s="73"/>
      <c r="EF39" s="266"/>
      <c r="EG39" s="266"/>
    </row>
    <row r="40" spans="1:139" ht="25.15" customHeight="1">
      <c r="A40" s="1">
        <f>A30+1</f>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45"/>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258"/>
      <c r="BS41" s="258"/>
      <c r="BT41" s="258"/>
      <c r="BU41" s="258"/>
      <c r="BV41" s="258"/>
      <c r="BW41" s="258"/>
      <c r="BX41" s="258"/>
      <c r="BY41" s="258"/>
      <c r="BZ41" s="258"/>
      <c r="CA41" s="258"/>
      <c r="CB41" s="258"/>
      <c r="CC41" s="258"/>
      <c r="CD41" s="258"/>
      <c r="CE41" s="258"/>
      <c r="CF41" s="258"/>
      <c r="CG41" s="258"/>
      <c r="CH41" s="258"/>
      <c r="CI41" s="258"/>
      <c r="CJ41" s="258"/>
      <c r="CK41" s="258"/>
      <c r="CL41" s="258"/>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45"/>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45"/>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45"/>
        <v>36</v>
      </c>
      <c r="B44" s="100"/>
      <c r="C44" s="153" t="s">
        <v>239</v>
      </c>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153"/>
      <c r="CG44" s="153"/>
      <c r="CH44" s="153"/>
      <c r="CI44" s="153"/>
      <c r="CJ44" s="153"/>
      <c r="CK44" s="153"/>
      <c r="CL44" s="153"/>
      <c r="CM44" s="153"/>
      <c r="CN44" s="153"/>
      <c r="CO44" s="153"/>
      <c r="CP44" s="153"/>
      <c r="CQ44" s="153"/>
      <c r="CR44" s="153"/>
      <c r="CS44" s="153"/>
      <c r="CT44" s="153"/>
      <c r="CU44" s="153"/>
      <c r="CV44" s="153"/>
      <c r="CW44" s="153"/>
      <c r="CX44" s="153"/>
      <c r="CY44" s="153"/>
      <c r="CZ44" s="153"/>
      <c r="DA44" s="153"/>
      <c r="DB44" s="153"/>
      <c r="DC44" s="153"/>
      <c r="DD44" s="153"/>
      <c r="DE44" s="153"/>
      <c r="DF44" s="153"/>
      <c r="DG44" s="153"/>
      <c r="DH44" s="153"/>
      <c r="DI44" s="153"/>
      <c r="DJ44" s="153"/>
      <c r="DK44" s="153"/>
      <c r="DL44" s="153"/>
      <c r="DM44" s="153"/>
      <c r="DN44" s="153"/>
      <c r="DO44" s="153"/>
      <c r="DP44" s="153"/>
      <c r="DQ44" s="153"/>
      <c r="DR44" s="153"/>
      <c r="DS44" s="153"/>
      <c r="DT44" s="153"/>
      <c r="DU44" s="153"/>
      <c r="DV44" s="153"/>
      <c r="DW44" s="153"/>
      <c r="DX44" s="153"/>
      <c r="DY44" s="153"/>
      <c r="DZ44" s="153"/>
      <c r="EA44" s="153"/>
      <c r="EB44" s="153"/>
      <c r="EC44" s="73"/>
    </row>
    <row r="45" spans="1:139" ht="25.15" customHeight="1">
      <c r="A45" s="1">
        <f t="shared" si="45"/>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t="s">
        <v>115</v>
      </c>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45"/>
        <v>38</v>
      </c>
      <c r="B46" s="100"/>
      <c r="C46" s="164"/>
      <c r="D46" s="164"/>
      <c r="E46" s="164"/>
      <c r="F46" s="164"/>
      <c r="G46" s="164"/>
      <c r="H46" s="164"/>
      <c r="I46" s="164"/>
      <c r="J46" s="164"/>
      <c r="K46" s="164"/>
      <c r="L46" s="164"/>
      <c r="M46" s="164"/>
      <c r="N46" s="164"/>
      <c r="O46" s="164"/>
      <c r="P46" s="164"/>
      <c r="Q46" s="170" t="s">
        <v>362</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45"/>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45"/>
        <v>40</v>
      </c>
      <c r="B48" s="100"/>
      <c r="C48" s="154" t="s">
        <v>237</v>
      </c>
      <c r="D48" s="154"/>
      <c r="E48" s="154"/>
      <c r="F48" s="154"/>
      <c r="G48" s="154"/>
      <c r="H48" s="154"/>
      <c r="I48" s="154"/>
      <c r="J48" s="154"/>
      <c r="K48" s="154"/>
      <c r="L48" s="154"/>
      <c r="M48" s="154"/>
      <c r="N48" s="154"/>
      <c r="O48" s="154"/>
      <c r="P48" s="154"/>
      <c r="Q48" s="284" t="s">
        <v>233</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46" t="s">
        <v>240</v>
      </c>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45"/>
        <v>41</v>
      </c>
      <c r="B49" s="100"/>
      <c r="C49" s="101"/>
      <c r="D49" s="101"/>
      <c r="E49" s="101"/>
      <c r="F49" s="101"/>
      <c r="G49" s="101"/>
      <c r="H49" s="101"/>
      <c r="I49" s="119"/>
      <c r="J49" s="119"/>
      <c r="K49" s="119"/>
      <c r="L49" s="119"/>
      <c r="M49" s="101"/>
      <c r="N49" s="101"/>
      <c r="O49" s="105"/>
      <c r="P49" s="105"/>
      <c r="Q49" s="258" t="s">
        <v>184</v>
      </c>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9" t="s">
        <v>240</v>
      </c>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45"/>
        <v>42</v>
      </c>
      <c r="B50" s="100"/>
      <c r="C50" s="150" t="s">
        <v>218</v>
      </c>
      <c r="D50" s="150"/>
      <c r="E50" s="150"/>
      <c r="F50" s="150"/>
      <c r="G50" s="150"/>
      <c r="H50" s="150"/>
      <c r="I50" s="150"/>
      <c r="J50" s="150"/>
      <c r="K50" s="150"/>
      <c r="L50" s="150"/>
      <c r="M50" s="150"/>
      <c r="N50" s="150"/>
      <c r="O50" s="150"/>
      <c r="P50" s="150"/>
      <c r="Q50" s="252" t="s">
        <v>156</v>
      </c>
      <c r="R50" s="251"/>
      <c r="S50" s="251"/>
      <c r="T50" s="251"/>
      <c r="U50" s="251"/>
      <c r="V50" s="251"/>
      <c r="W50" s="251"/>
      <c r="X50" s="251"/>
      <c r="Y50" s="251"/>
      <c r="Z50" s="251"/>
      <c r="AA50" s="251"/>
      <c r="AB50" s="251"/>
      <c r="AC50" s="251"/>
      <c r="AD50" s="251"/>
      <c r="AE50" s="251"/>
      <c r="AF50" s="251"/>
      <c r="AG50" s="251"/>
      <c r="AH50" s="251"/>
      <c r="AI50" s="251"/>
      <c r="AJ50" s="252" t="s">
        <v>156</v>
      </c>
      <c r="AK50" s="251"/>
      <c r="AL50" s="251"/>
      <c r="AM50" s="251"/>
      <c r="AN50" s="251"/>
      <c r="AO50" s="251"/>
      <c r="AP50" s="251"/>
      <c r="AQ50" s="251"/>
      <c r="AR50" s="251"/>
      <c r="AS50" s="251"/>
      <c r="AT50" s="251"/>
      <c r="AU50" s="251"/>
      <c r="AV50" s="251"/>
      <c r="AW50" s="251"/>
      <c r="AX50" s="251"/>
      <c r="AY50" s="251"/>
      <c r="AZ50" s="251"/>
      <c r="BA50" s="251"/>
      <c r="BB50" s="251"/>
      <c r="BC50" s="252" t="s">
        <v>156</v>
      </c>
      <c r="BD50" s="251"/>
      <c r="BE50" s="251"/>
      <c r="BF50" s="251"/>
      <c r="BG50" s="251"/>
      <c r="BH50" s="251"/>
      <c r="BI50" s="251"/>
      <c r="BJ50" s="251"/>
      <c r="BK50" s="251"/>
      <c r="BL50" s="251"/>
      <c r="BM50" s="251"/>
      <c r="BN50" s="251"/>
      <c r="BO50" s="251"/>
      <c r="BP50" s="251"/>
      <c r="BQ50" s="251"/>
      <c r="BR50" s="251"/>
      <c r="BS50" s="251"/>
      <c r="BT50" s="251"/>
      <c r="BU50" s="251"/>
      <c r="BV50" s="252" t="s">
        <v>156</v>
      </c>
      <c r="BW50" s="251"/>
      <c r="BX50" s="251"/>
      <c r="BY50" s="251"/>
      <c r="BZ50" s="251"/>
      <c r="CA50" s="251"/>
      <c r="CB50" s="251"/>
      <c r="CC50" s="251"/>
      <c r="CD50" s="251"/>
      <c r="CE50" s="251"/>
      <c r="CF50" s="251"/>
      <c r="CG50" s="251"/>
      <c r="CH50" s="251"/>
      <c r="CI50" s="251"/>
      <c r="CJ50" s="251"/>
      <c r="CK50" s="251"/>
      <c r="CL50" s="251"/>
      <c r="CM50" s="251"/>
      <c r="CN50" s="251"/>
      <c r="CO50" s="252" t="s">
        <v>156</v>
      </c>
      <c r="CP50" s="251"/>
      <c r="CQ50" s="251"/>
      <c r="CR50" s="251"/>
      <c r="CS50" s="251"/>
      <c r="CT50" s="251"/>
      <c r="CU50" s="251"/>
      <c r="CV50" s="251"/>
      <c r="CW50" s="251"/>
      <c r="CX50" s="251"/>
      <c r="CY50" s="251"/>
      <c r="CZ50" s="251"/>
      <c r="DA50" s="251"/>
      <c r="DB50" s="251"/>
      <c r="DC50" s="251"/>
      <c r="DD50" s="251"/>
      <c r="DE50" s="251"/>
      <c r="DF50" s="251"/>
      <c r="DG50" s="251"/>
      <c r="DH50" s="252" t="s">
        <v>156</v>
      </c>
      <c r="DI50" s="251"/>
      <c r="DJ50" s="251"/>
      <c r="DK50" s="251"/>
      <c r="DL50" s="251"/>
      <c r="DM50" s="251"/>
      <c r="DN50" s="251"/>
      <c r="DO50" s="251"/>
      <c r="DP50" s="251"/>
      <c r="DQ50" s="251"/>
      <c r="DR50" s="251"/>
      <c r="DS50" s="251"/>
      <c r="DT50" s="251"/>
      <c r="DU50" s="251"/>
      <c r="DV50" s="251"/>
      <c r="DW50" s="251"/>
      <c r="DX50" s="251"/>
      <c r="DY50" s="251"/>
      <c r="DZ50" s="251"/>
      <c r="EA50" s="107"/>
      <c r="EB50" s="104"/>
      <c r="EC50" s="73"/>
    </row>
    <row r="51" spans="1:133" ht="25.15" customHeight="1">
      <c r="A51" s="1">
        <f t="shared" si="45"/>
        <v>43</v>
      </c>
      <c r="B51" s="69"/>
      <c r="C51" s="150" t="s">
        <v>218</v>
      </c>
      <c r="D51" s="150"/>
      <c r="E51" s="150"/>
      <c r="F51" s="150"/>
      <c r="G51" s="150"/>
      <c r="H51" s="150"/>
      <c r="I51" s="150"/>
      <c r="J51" s="150"/>
      <c r="K51" s="150"/>
      <c r="L51" s="150"/>
      <c r="M51" s="150"/>
      <c r="N51" s="150"/>
      <c r="O51" s="150"/>
      <c r="P51" s="150"/>
      <c r="Q51" s="252" t="s">
        <v>156</v>
      </c>
      <c r="R51" s="251"/>
      <c r="S51" s="251"/>
      <c r="T51" s="251"/>
      <c r="U51" s="251"/>
      <c r="V51" s="251"/>
      <c r="W51" s="251"/>
      <c r="X51" s="251"/>
      <c r="Y51" s="251"/>
      <c r="Z51" s="251"/>
      <c r="AA51" s="251"/>
      <c r="AB51" s="251"/>
      <c r="AC51" s="251"/>
      <c r="AD51" s="251"/>
      <c r="AE51" s="251"/>
      <c r="AF51" s="251"/>
      <c r="AG51" s="251"/>
      <c r="AH51" s="251"/>
      <c r="AI51" s="251"/>
      <c r="AJ51" s="252" t="s">
        <v>156</v>
      </c>
      <c r="AK51" s="251"/>
      <c r="AL51" s="251"/>
      <c r="AM51" s="251"/>
      <c r="AN51" s="251"/>
      <c r="AO51" s="251"/>
      <c r="AP51" s="251"/>
      <c r="AQ51" s="251"/>
      <c r="AR51" s="251"/>
      <c r="AS51" s="251"/>
      <c r="AT51" s="251"/>
      <c r="AU51" s="251"/>
      <c r="AV51" s="251"/>
      <c r="AW51" s="251"/>
      <c r="AX51" s="251"/>
      <c r="AY51" s="251"/>
      <c r="AZ51" s="251"/>
      <c r="BA51" s="251"/>
      <c r="BB51" s="251"/>
      <c r="BC51" s="252" t="s">
        <v>156</v>
      </c>
      <c r="BD51" s="251"/>
      <c r="BE51" s="251"/>
      <c r="BF51" s="251"/>
      <c r="BG51" s="251"/>
      <c r="BH51" s="251"/>
      <c r="BI51" s="251"/>
      <c r="BJ51" s="251"/>
      <c r="BK51" s="251"/>
      <c r="BL51" s="251"/>
      <c r="BM51" s="251"/>
      <c r="BN51" s="251"/>
      <c r="BO51" s="251"/>
      <c r="BP51" s="251"/>
      <c r="BQ51" s="251"/>
      <c r="BR51" s="251"/>
      <c r="BS51" s="251"/>
      <c r="BT51" s="251"/>
      <c r="BU51" s="251"/>
      <c r="BV51" s="252" t="s">
        <v>156</v>
      </c>
      <c r="BW51" s="251"/>
      <c r="BX51" s="251"/>
      <c r="BY51" s="251"/>
      <c r="BZ51" s="251"/>
      <c r="CA51" s="251"/>
      <c r="CB51" s="251"/>
      <c r="CC51" s="251"/>
      <c r="CD51" s="251"/>
      <c r="CE51" s="251"/>
      <c r="CF51" s="251"/>
      <c r="CG51" s="251"/>
      <c r="CH51" s="251"/>
      <c r="CI51" s="251"/>
      <c r="CJ51" s="251"/>
      <c r="CK51" s="251"/>
      <c r="CL51" s="251"/>
      <c r="CM51" s="251"/>
      <c r="CN51" s="251"/>
      <c r="CO51" s="252" t="s">
        <v>156</v>
      </c>
      <c r="CP51" s="251"/>
      <c r="CQ51" s="251"/>
      <c r="CR51" s="251"/>
      <c r="CS51" s="251"/>
      <c r="CT51" s="251"/>
      <c r="CU51" s="251"/>
      <c r="CV51" s="251"/>
      <c r="CW51" s="251"/>
      <c r="CX51" s="251"/>
      <c r="CY51" s="251"/>
      <c r="CZ51" s="251"/>
      <c r="DA51" s="251"/>
      <c r="DB51" s="251"/>
      <c r="DC51" s="251"/>
      <c r="DD51" s="251"/>
      <c r="DE51" s="251"/>
      <c r="DF51" s="251"/>
      <c r="DG51" s="251"/>
      <c r="DH51" s="252" t="s">
        <v>156</v>
      </c>
      <c r="DI51" s="251"/>
      <c r="DJ51" s="251"/>
      <c r="DK51" s="251"/>
      <c r="DL51" s="251"/>
      <c r="DM51" s="251"/>
      <c r="DN51" s="251"/>
      <c r="DO51" s="251"/>
      <c r="DP51" s="251"/>
      <c r="DQ51" s="251"/>
      <c r="DR51" s="251"/>
      <c r="DS51" s="251"/>
      <c r="DT51" s="251"/>
      <c r="DU51" s="251"/>
      <c r="DV51" s="251"/>
      <c r="DW51" s="251"/>
      <c r="DX51" s="251"/>
      <c r="DY51" s="251"/>
      <c r="DZ51" s="251"/>
      <c r="EA51" s="104"/>
      <c r="EB51" s="104"/>
      <c r="EC51" s="73"/>
    </row>
    <row r="52" spans="1:133" ht="25.15" customHeight="1">
      <c r="A52" s="1">
        <f t="shared" si="45"/>
        <v>44</v>
      </c>
      <c r="B52" s="69"/>
      <c r="C52" s="259" t="s">
        <v>277</v>
      </c>
      <c r="D52" s="259"/>
      <c r="E52" s="259"/>
      <c r="F52" s="259"/>
      <c r="G52" s="259"/>
      <c r="H52" s="259"/>
      <c r="I52" s="259"/>
      <c r="J52" s="259"/>
      <c r="K52" s="259"/>
      <c r="L52" s="259"/>
      <c r="M52" s="259"/>
      <c r="N52" s="259"/>
      <c r="O52" s="259"/>
      <c r="P52" s="259"/>
      <c r="Q52" s="252" t="s">
        <v>156</v>
      </c>
      <c r="R52" s="251"/>
      <c r="S52" s="251"/>
      <c r="T52" s="251"/>
      <c r="U52" s="251"/>
      <c r="V52" s="251"/>
      <c r="W52" s="251"/>
      <c r="X52" s="251"/>
      <c r="Y52" s="251"/>
      <c r="Z52" s="251"/>
      <c r="AA52" s="251"/>
      <c r="AB52" s="251"/>
      <c r="AC52" s="251"/>
      <c r="AD52" s="251"/>
      <c r="AE52" s="251"/>
      <c r="AF52" s="251"/>
      <c r="AG52" s="251"/>
      <c r="AH52" s="251"/>
      <c r="AI52" s="251"/>
      <c r="AJ52" s="252" t="s">
        <v>156</v>
      </c>
      <c r="AK52" s="251"/>
      <c r="AL52" s="251"/>
      <c r="AM52" s="251"/>
      <c r="AN52" s="251"/>
      <c r="AO52" s="251"/>
      <c r="AP52" s="251"/>
      <c r="AQ52" s="251"/>
      <c r="AR52" s="251"/>
      <c r="AS52" s="251"/>
      <c r="AT52" s="251"/>
      <c r="AU52" s="251"/>
      <c r="AV52" s="251"/>
      <c r="AW52" s="251"/>
      <c r="AX52" s="251"/>
      <c r="AY52" s="251"/>
      <c r="AZ52" s="251"/>
      <c r="BA52" s="251"/>
      <c r="BB52" s="251"/>
      <c r="BC52" s="252" t="s">
        <v>156</v>
      </c>
      <c r="BD52" s="251"/>
      <c r="BE52" s="251"/>
      <c r="BF52" s="251"/>
      <c r="BG52" s="251"/>
      <c r="BH52" s="251"/>
      <c r="BI52" s="251"/>
      <c r="BJ52" s="251"/>
      <c r="BK52" s="251"/>
      <c r="BL52" s="251"/>
      <c r="BM52" s="251"/>
      <c r="BN52" s="251"/>
      <c r="BO52" s="251"/>
      <c r="BP52" s="251"/>
      <c r="BQ52" s="251"/>
      <c r="BR52" s="251"/>
      <c r="BS52" s="251"/>
      <c r="BT52" s="251"/>
      <c r="BU52" s="251"/>
      <c r="BV52" s="252" t="s">
        <v>156</v>
      </c>
      <c r="BW52" s="251"/>
      <c r="BX52" s="251"/>
      <c r="BY52" s="251"/>
      <c r="BZ52" s="251"/>
      <c r="CA52" s="251"/>
      <c r="CB52" s="251"/>
      <c r="CC52" s="251"/>
      <c r="CD52" s="251"/>
      <c r="CE52" s="251"/>
      <c r="CF52" s="251"/>
      <c r="CG52" s="251"/>
      <c r="CH52" s="251"/>
      <c r="CI52" s="251"/>
      <c r="CJ52" s="251"/>
      <c r="CK52" s="251"/>
      <c r="CL52" s="251"/>
      <c r="CM52" s="251"/>
      <c r="CN52" s="251"/>
      <c r="CO52" s="252" t="s">
        <v>156</v>
      </c>
      <c r="CP52" s="251"/>
      <c r="CQ52" s="251"/>
      <c r="CR52" s="251"/>
      <c r="CS52" s="251"/>
      <c r="CT52" s="251"/>
      <c r="CU52" s="251"/>
      <c r="CV52" s="251"/>
      <c r="CW52" s="251"/>
      <c r="CX52" s="251"/>
      <c r="CY52" s="251"/>
      <c r="CZ52" s="251"/>
      <c r="DA52" s="251"/>
      <c r="DB52" s="251"/>
      <c r="DC52" s="251"/>
      <c r="DD52" s="251"/>
      <c r="DE52" s="251"/>
      <c r="DF52" s="251"/>
      <c r="DG52" s="251"/>
      <c r="DH52" s="252" t="s">
        <v>156</v>
      </c>
      <c r="DI52" s="251"/>
      <c r="DJ52" s="251"/>
      <c r="DK52" s="251"/>
      <c r="DL52" s="251"/>
      <c r="DM52" s="251"/>
      <c r="DN52" s="251"/>
      <c r="DO52" s="251"/>
      <c r="DP52" s="251"/>
      <c r="DQ52" s="251"/>
      <c r="DR52" s="251"/>
      <c r="DS52" s="251"/>
      <c r="DT52" s="251"/>
      <c r="DU52" s="251"/>
      <c r="DV52" s="251"/>
      <c r="DW52" s="251"/>
      <c r="DX52" s="251"/>
      <c r="DY52" s="251"/>
      <c r="DZ52" s="251"/>
      <c r="EA52" s="104"/>
      <c r="EB52" s="104"/>
      <c r="EC52" s="73"/>
    </row>
    <row r="53" spans="1:133" ht="25.15" customHeight="1">
      <c r="A53" s="1">
        <f t="shared" si="45"/>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DY53" s="104"/>
      <c r="DZ53" s="104"/>
      <c r="EA53" s="104"/>
      <c r="EB53" s="104"/>
      <c r="EC53" s="73"/>
    </row>
    <row r="54" spans="1:133" ht="25.15" customHeight="1">
      <c r="A54" s="1">
        <f t="shared" si="45"/>
        <v>46</v>
      </c>
      <c r="B54" s="100"/>
      <c r="C54" s="150" t="s">
        <v>237</v>
      </c>
      <c r="D54" s="150"/>
      <c r="E54" s="150"/>
      <c r="F54" s="150"/>
      <c r="G54" s="150"/>
      <c r="H54" s="150"/>
      <c r="I54" s="150"/>
      <c r="J54" s="150"/>
      <c r="K54" s="150"/>
      <c r="L54" s="150"/>
      <c r="M54" s="150"/>
      <c r="N54" s="150"/>
      <c r="O54" s="150"/>
      <c r="P54" s="150"/>
      <c r="Q54" s="258" t="s">
        <v>233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9" t="s">
        <v>240</v>
      </c>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45"/>
        <v>47</v>
      </c>
      <c r="B55" s="100"/>
      <c r="C55" s="101"/>
      <c r="D55" s="101"/>
      <c r="E55" s="101"/>
      <c r="F55" s="101"/>
      <c r="G55" s="101"/>
      <c r="H55" s="101"/>
      <c r="I55" s="119"/>
      <c r="J55" s="119"/>
      <c r="K55" s="119"/>
      <c r="L55" s="119"/>
      <c r="M55" s="101"/>
      <c r="N55" s="101"/>
      <c r="O55" s="105"/>
      <c r="P55" s="105"/>
      <c r="Q55" s="258" t="s">
        <v>184</v>
      </c>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c r="AO55" s="258"/>
      <c r="AP55" s="258"/>
      <c r="AQ55" s="258"/>
      <c r="AR55" s="258"/>
      <c r="AS55" s="258"/>
      <c r="AT55" s="258"/>
      <c r="AU55" s="258"/>
      <c r="AV55" s="258"/>
      <c r="AW55" s="259" t="s">
        <v>240</v>
      </c>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45"/>
        <v>48</v>
      </c>
      <c r="B56" s="69"/>
      <c r="C56" s="150" t="s">
        <v>218</v>
      </c>
      <c r="D56" s="150"/>
      <c r="E56" s="150"/>
      <c r="F56" s="150"/>
      <c r="G56" s="150"/>
      <c r="H56" s="150"/>
      <c r="I56" s="150"/>
      <c r="J56" s="150"/>
      <c r="K56" s="150"/>
      <c r="L56" s="150"/>
      <c r="M56" s="150"/>
      <c r="N56" s="150"/>
      <c r="O56" s="150"/>
      <c r="P56" s="150"/>
      <c r="Q56" s="252" t="s">
        <v>156</v>
      </c>
      <c r="R56" s="251"/>
      <c r="S56" s="251"/>
      <c r="T56" s="251"/>
      <c r="U56" s="251"/>
      <c r="V56" s="251"/>
      <c r="W56" s="251"/>
      <c r="X56" s="251"/>
      <c r="Y56" s="251"/>
      <c r="Z56" s="251"/>
      <c r="AA56" s="251"/>
      <c r="AB56" s="251"/>
      <c r="AC56" s="251"/>
      <c r="AD56" s="251"/>
      <c r="AE56" s="251"/>
      <c r="AF56" s="251"/>
      <c r="AG56" s="251"/>
      <c r="AH56" s="251"/>
      <c r="AI56" s="251"/>
      <c r="AJ56" s="252" t="s">
        <v>156</v>
      </c>
      <c r="AK56" s="251"/>
      <c r="AL56" s="251"/>
      <c r="AM56" s="251"/>
      <c r="AN56" s="251"/>
      <c r="AO56" s="251"/>
      <c r="AP56" s="251"/>
      <c r="AQ56" s="251"/>
      <c r="AR56" s="251"/>
      <c r="AS56" s="251"/>
      <c r="AT56" s="251"/>
      <c r="AU56" s="251"/>
      <c r="AV56" s="251"/>
      <c r="AW56" s="251"/>
      <c r="AX56" s="251"/>
      <c r="AY56" s="251"/>
      <c r="AZ56" s="251"/>
      <c r="BA56" s="251"/>
      <c r="BB56" s="251"/>
      <c r="BC56" s="252" t="s">
        <v>156</v>
      </c>
      <c r="BD56" s="251"/>
      <c r="BE56" s="251"/>
      <c r="BF56" s="251"/>
      <c r="BG56" s="251"/>
      <c r="BH56" s="251"/>
      <c r="BI56" s="251"/>
      <c r="BJ56" s="251"/>
      <c r="BK56" s="251"/>
      <c r="BL56" s="251"/>
      <c r="BM56" s="251"/>
      <c r="BN56" s="251"/>
      <c r="BO56" s="251"/>
      <c r="BP56" s="251"/>
      <c r="BQ56" s="251"/>
      <c r="BR56" s="251"/>
      <c r="BS56" s="251"/>
      <c r="BT56" s="251"/>
      <c r="BU56" s="251"/>
      <c r="BV56" s="252" t="s">
        <v>156</v>
      </c>
      <c r="BW56" s="251"/>
      <c r="BX56" s="251"/>
      <c r="BY56" s="251"/>
      <c r="BZ56" s="251"/>
      <c r="CA56" s="251"/>
      <c r="CB56" s="251"/>
      <c r="CC56" s="251"/>
      <c r="CD56" s="251"/>
      <c r="CE56" s="251"/>
      <c r="CF56" s="251"/>
      <c r="CG56" s="251"/>
      <c r="CH56" s="251"/>
      <c r="CI56" s="251"/>
      <c r="CJ56" s="251"/>
      <c r="CK56" s="251"/>
      <c r="CL56" s="251"/>
      <c r="CM56" s="251"/>
      <c r="CN56" s="251"/>
      <c r="CO56" s="252" t="s">
        <v>156</v>
      </c>
      <c r="CP56" s="251"/>
      <c r="CQ56" s="251"/>
      <c r="CR56" s="251"/>
      <c r="CS56" s="251"/>
      <c r="CT56" s="251"/>
      <c r="CU56" s="251"/>
      <c r="CV56" s="251"/>
      <c r="CW56" s="251"/>
      <c r="CX56" s="251"/>
      <c r="CY56" s="251"/>
      <c r="CZ56" s="251"/>
      <c r="DA56" s="251"/>
      <c r="DB56" s="251"/>
      <c r="DC56" s="251"/>
      <c r="DD56" s="251"/>
      <c r="DE56" s="251"/>
      <c r="DF56" s="251"/>
      <c r="DG56" s="251"/>
      <c r="DH56" s="252" t="s">
        <v>156</v>
      </c>
      <c r="DI56" s="251"/>
      <c r="DJ56" s="251"/>
      <c r="DK56" s="251"/>
      <c r="DL56" s="251"/>
      <c r="DM56" s="251"/>
      <c r="DN56" s="251"/>
      <c r="DO56" s="251"/>
      <c r="DP56" s="251"/>
      <c r="DQ56" s="251"/>
      <c r="DR56" s="251"/>
      <c r="DS56" s="251"/>
      <c r="DT56" s="251"/>
      <c r="DU56" s="251"/>
      <c r="DV56" s="251"/>
      <c r="DW56" s="251"/>
      <c r="DX56" s="251"/>
      <c r="DY56" s="251"/>
      <c r="DZ56" s="251"/>
      <c r="EA56" s="107"/>
      <c r="EB56" s="104"/>
      <c r="EC56" s="73"/>
    </row>
    <row r="57" spans="1:133" ht="25.15" customHeight="1">
      <c r="A57" s="1">
        <f t="shared" si="45"/>
        <v>49</v>
      </c>
      <c r="B57" s="69"/>
      <c r="C57" s="150" t="s">
        <v>218</v>
      </c>
      <c r="D57" s="150"/>
      <c r="E57" s="150"/>
      <c r="F57" s="150"/>
      <c r="G57" s="150"/>
      <c r="H57" s="150"/>
      <c r="I57" s="150"/>
      <c r="J57" s="150"/>
      <c r="K57" s="150"/>
      <c r="L57" s="150"/>
      <c r="M57" s="150"/>
      <c r="N57" s="150"/>
      <c r="O57" s="150"/>
      <c r="P57" s="150"/>
      <c r="Q57" s="252" t="s">
        <v>156</v>
      </c>
      <c r="R57" s="251"/>
      <c r="S57" s="251"/>
      <c r="T57" s="251"/>
      <c r="U57" s="251"/>
      <c r="V57" s="251"/>
      <c r="W57" s="251"/>
      <c r="X57" s="251"/>
      <c r="Y57" s="251"/>
      <c r="Z57" s="251"/>
      <c r="AA57" s="251"/>
      <c r="AB57" s="251"/>
      <c r="AC57" s="251"/>
      <c r="AD57" s="251"/>
      <c r="AE57" s="251"/>
      <c r="AF57" s="251"/>
      <c r="AG57" s="251"/>
      <c r="AH57" s="251"/>
      <c r="AI57" s="251"/>
      <c r="AJ57" s="252" t="s">
        <v>156</v>
      </c>
      <c r="AK57" s="251"/>
      <c r="AL57" s="251"/>
      <c r="AM57" s="251"/>
      <c r="AN57" s="251"/>
      <c r="AO57" s="251"/>
      <c r="AP57" s="251"/>
      <c r="AQ57" s="251"/>
      <c r="AR57" s="251"/>
      <c r="AS57" s="251"/>
      <c r="AT57" s="251"/>
      <c r="AU57" s="251"/>
      <c r="AV57" s="251"/>
      <c r="AW57" s="251"/>
      <c r="AX57" s="251"/>
      <c r="AY57" s="251"/>
      <c r="AZ57" s="251"/>
      <c r="BA57" s="251"/>
      <c r="BB57" s="251"/>
      <c r="BC57" s="252" t="s">
        <v>156</v>
      </c>
      <c r="BD57" s="251"/>
      <c r="BE57" s="251"/>
      <c r="BF57" s="251"/>
      <c r="BG57" s="251"/>
      <c r="BH57" s="251"/>
      <c r="BI57" s="251"/>
      <c r="BJ57" s="251"/>
      <c r="BK57" s="251"/>
      <c r="BL57" s="251"/>
      <c r="BM57" s="251"/>
      <c r="BN57" s="251"/>
      <c r="BO57" s="251"/>
      <c r="BP57" s="251"/>
      <c r="BQ57" s="251"/>
      <c r="BR57" s="251"/>
      <c r="BS57" s="251"/>
      <c r="BT57" s="251"/>
      <c r="BU57" s="251"/>
      <c r="BV57" s="252" t="s">
        <v>156</v>
      </c>
      <c r="BW57" s="251"/>
      <c r="BX57" s="251"/>
      <c r="BY57" s="251"/>
      <c r="BZ57" s="251"/>
      <c r="CA57" s="251"/>
      <c r="CB57" s="251"/>
      <c r="CC57" s="251"/>
      <c r="CD57" s="251"/>
      <c r="CE57" s="251"/>
      <c r="CF57" s="251"/>
      <c r="CG57" s="251"/>
      <c r="CH57" s="251"/>
      <c r="CI57" s="251"/>
      <c r="CJ57" s="251"/>
      <c r="CK57" s="251"/>
      <c r="CL57" s="251"/>
      <c r="CM57" s="251"/>
      <c r="CN57" s="251"/>
      <c r="CO57" s="252" t="s">
        <v>156</v>
      </c>
      <c r="CP57" s="251"/>
      <c r="CQ57" s="251"/>
      <c r="CR57" s="251"/>
      <c r="CS57" s="251"/>
      <c r="CT57" s="251"/>
      <c r="CU57" s="251"/>
      <c r="CV57" s="251"/>
      <c r="CW57" s="251"/>
      <c r="CX57" s="251"/>
      <c r="CY57" s="251"/>
      <c r="CZ57" s="251"/>
      <c r="DA57" s="251"/>
      <c r="DB57" s="251"/>
      <c r="DC57" s="251"/>
      <c r="DD57" s="251"/>
      <c r="DE57" s="251"/>
      <c r="DF57" s="251"/>
      <c r="DG57" s="251"/>
      <c r="DH57" s="252" t="s">
        <v>156</v>
      </c>
      <c r="DI57" s="251"/>
      <c r="DJ57" s="251"/>
      <c r="DK57" s="251"/>
      <c r="DL57" s="251"/>
      <c r="DM57" s="251"/>
      <c r="DN57" s="251"/>
      <c r="DO57" s="251"/>
      <c r="DP57" s="251"/>
      <c r="DQ57" s="251"/>
      <c r="DR57" s="251"/>
      <c r="DS57" s="251"/>
      <c r="DT57" s="251"/>
      <c r="DU57" s="251"/>
      <c r="DV57" s="251"/>
      <c r="DW57" s="251"/>
      <c r="DX57" s="251"/>
      <c r="DY57" s="251"/>
      <c r="DZ57" s="251"/>
      <c r="EA57" s="104"/>
      <c r="EB57" s="104"/>
      <c r="EC57" s="73"/>
    </row>
    <row r="58" spans="1:133" ht="25.15" customHeight="1">
      <c r="A58" s="1">
        <f t="shared" si="45"/>
        <v>50</v>
      </c>
      <c r="B58" s="69"/>
      <c r="C58" s="259" t="s">
        <v>277</v>
      </c>
      <c r="D58" s="259"/>
      <c r="E58" s="259"/>
      <c r="F58" s="259"/>
      <c r="G58" s="259"/>
      <c r="H58" s="259"/>
      <c r="I58" s="259"/>
      <c r="J58" s="259"/>
      <c r="K58" s="259"/>
      <c r="L58" s="259"/>
      <c r="M58" s="259"/>
      <c r="N58" s="259"/>
      <c r="O58" s="259"/>
      <c r="P58" s="259"/>
      <c r="Q58" s="252" t="s">
        <v>156</v>
      </c>
      <c r="R58" s="251"/>
      <c r="S58" s="251"/>
      <c r="T58" s="251"/>
      <c r="U58" s="251"/>
      <c r="V58" s="251"/>
      <c r="W58" s="251"/>
      <c r="X58" s="251"/>
      <c r="Y58" s="251"/>
      <c r="Z58" s="251"/>
      <c r="AA58" s="251"/>
      <c r="AB58" s="251"/>
      <c r="AC58" s="251"/>
      <c r="AD58" s="251"/>
      <c r="AE58" s="251"/>
      <c r="AF58" s="251"/>
      <c r="AG58" s="251"/>
      <c r="AH58" s="251"/>
      <c r="AI58" s="251"/>
      <c r="AJ58" s="252" t="s">
        <v>156</v>
      </c>
      <c r="AK58" s="251"/>
      <c r="AL58" s="251"/>
      <c r="AM58" s="251"/>
      <c r="AN58" s="251"/>
      <c r="AO58" s="251"/>
      <c r="AP58" s="251"/>
      <c r="AQ58" s="251"/>
      <c r="AR58" s="251"/>
      <c r="AS58" s="251"/>
      <c r="AT58" s="251"/>
      <c r="AU58" s="251"/>
      <c r="AV58" s="251"/>
      <c r="AW58" s="251"/>
      <c r="AX58" s="251"/>
      <c r="AY58" s="251"/>
      <c r="AZ58" s="251"/>
      <c r="BA58" s="251"/>
      <c r="BB58" s="251"/>
      <c r="BC58" s="252" t="s">
        <v>156</v>
      </c>
      <c r="BD58" s="251"/>
      <c r="BE58" s="251"/>
      <c r="BF58" s="251"/>
      <c r="BG58" s="251"/>
      <c r="BH58" s="251"/>
      <c r="BI58" s="251"/>
      <c r="BJ58" s="251"/>
      <c r="BK58" s="251"/>
      <c r="BL58" s="251"/>
      <c r="BM58" s="251"/>
      <c r="BN58" s="251"/>
      <c r="BO58" s="251"/>
      <c r="BP58" s="251"/>
      <c r="BQ58" s="251"/>
      <c r="BR58" s="251"/>
      <c r="BS58" s="251"/>
      <c r="BT58" s="251"/>
      <c r="BU58" s="251"/>
      <c r="BV58" s="252" t="s">
        <v>156</v>
      </c>
      <c r="BW58" s="251"/>
      <c r="BX58" s="251"/>
      <c r="BY58" s="251"/>
      <c r="BZ58" s="251"/>
      <c r="CA58" s="251"/>
      <c r="CB58" s="251"/>
      <c r="CC58" s="251"/>
      <c r="CD58" s="251"/>
      <c r="CE58" s="251"/>
      <c r="CF58" s="251"/>
      <c r="CG58" s="251"/>
      <c r="CH58" s="251"/>
      <c r="CI58" s="251"/>
      <c r="CJ58" s="251"/>
      <c r="CK58" s="251"/>
      <c r="CL58" s="251"/>
      <c r="CM58" s="251"/>
      <c r="CN58" s="251"/>
      <c r="CO58" s="252" t="s">
        <v>156</v>
      </c>
      <c r="CP58" s="251"/>
      <c r="CQ58" s="251"/>
      <c r="CR58" s="251"/>
      <c r="CS58" s="251"/>
      <c r="CT58" s="251"/>
      <c r="CU58" s="251"/>
      <c r="CV58" s="251"/>
      <c r="CW58" s="251"/>
      <c r="CX58" s="251"/>
      <c r="CY58" s="251"/>
      <c r="CZ58" s="251"/>
      <c r="DA58" s="251"/>
      <c r="DB58" s="251"/>
      <c r="DC58" s="251"/>
      <c r="DD58" s="251"/>
      <c r="DE58" s="251"/>
      <c r="DF58" s="251"/>
      <c r="DG58" s="251"/>
      <c r="DH58" s="252" t="s">
        <v>156</v>
      </c>
      <c r="DI58" s="251"/>
      <c r="DJ58" s="251"/>
      <c r="DK58" s="251"/>
      <c r="DL58" s="251"/>
      <c r="DM58" s="251"/>
      <c r="DN58" s="251"/>
      <c r="DO58" s="251"/>
      <c r="DP58" s="251"/>
      <c r="DQ58" s="251"/>
      <c r="DR58" s="251"/>
      <c r="DS58" s="251"/>
      <c r="DT58" s="251"/>
      <c r="DU58" s="251"/>
      <c r="DV58" s="251"/>
      <c r="DW58" s="251"/>
      <c r="DX58" s="251"/>
      <c r="DY58" s="251"/>
      <c r="DZ58" s="251"/>
      <c r="EA58" s="104"/>
      <c r="EB58" s="104"/>
      <c r="EC58" s="73"/>
    </row>
    <row r="59" spans="1:133" ht="25.15" customHeight="1">
      <c r="A59" s="1">
        <f t="shared" si="45"/>
        <v>51</v>
      </c>
      <c r="B59" s="69"/>
      <c r="C59" s="246" t="s">
        <v>278</v>
      </c>
      <c r="D59" s="246"/>
      <c r="E59" s="246"/>
      <c r="F59" s="246"/>
      <c r="G59" s="246"/>
      <c r="H59" s="246"/>
      <c r="I59" s="246"/>
      <c r="J59" s="246"/>
      <c r="K59" s="246"/>
      <c r="L59" s="246"/>
      <c r="M59" s="246"/>
      <c r="N59" s="246"/>
      <c r="O59" s="246"/>
      <c r="P59" s="246"/>
      <c r="Q59" s="311" t="s">
        <v>156</v>
      </c>
      <c r="R59" s="245"/>
      <c r="S59" s="245"/>
      <c r="T59" s="245"/>
      <c r="U59" s="245"/>
      <c r="V59" s="245"/>
      <c r="W59" s="245"/>
      <c r="X59" s="245"/>
      <c r="Y59" s="245"/>
      <c r="Z59" s="245"/>
      <c r="AA59" s="245"/>
      <c r="AB59" s="245"/>
      <c r="AC59" s="245"/>
      <c r="AD59" s="245"/>
      <c r="AE59" s="245"/>
      <c r="AF59" s="245"/>
      <c r="AG59" s="245"/>
      <c r="AH59" s="245"/>
      <c r="AI59" s="245"/>
      <c r="AJ59" s="311" t="s">
        <v>156</v>
      </c>
      <c r="AK59" s="245"/>
      <c r="AL59" s="245"/>
      <c r="AM59" s="245"/>
      <c r="AN59" s="245"/>
      <c r="AO59" s="245"/>
      <c r="AP59" s="245"/>
      <c r="AQ59" s="245"/>
      <c r="AR59" s="245"/>
      <c r="AS59" s="245"/>
      <c r="AT59" s="245"/>
      <c r="AU59" s="245"/>
      <c r="AV59" s="245"/>
      <c r="AW59" s="245"/>
      <c r="AX59" s="245"/>
      <c r="AY59" s="245"/>
      <c r="AZ59" s="245"/>
      <c r="BA59" s="245"/>
      <c r="BB59" s="245"/>
      <c r="BC59" s="311" t="s">
        <v>156</v>
      </c>
      <c r="BD59" s="245"/>
      <c r="BE59" s="245"/>
      <c r="BF59" s="245"/>
      <c r="BG59" s="245"/>
      <c r="BH59" s="245"/>
      <c r="BI59" s="245"/>
      <c r="BJ59" s="245"/>
      <c r="BK59" s="245"/>
      <c r="BL59" s="245"/>
      <c r="BM59" s="245"/>
      <c r="BN59" s="245"/>
      <c r="BO59" s="245"/>
      <c r="BP59" s="245"/>
      <c r="BQ59" s="245"/>
      <c r="BR59" s="245"/>
      <c r="BS59" s="245"/>
      <c r="BT59" s="245"/>
      <c r="BU59" s="245"/>
      <c r="BV59" s="311" t="s">
        <v>156</v>
      </c>
      <c r="BW59" s="245"/>
      <c r="BX59" s="245"/>
      <c r="BY59" s="245"/>
      <c r="BZ59" s="245"/>
      <c r="CA59" s="245"/>
      <c r="CB59" s="245"/>
      <c r="CC59" s="245"/>
      <c r="CD59" s="245"/>
      <c r="CE59" s="245"/>
      <c r="CF59" s="245"/>
      <c r="CG59" s="245"/>
      <c r="CH59" s="245"/>
      <c r="CI59" s="245"/>
      <c r="CJ59" s="245"/>
      <c r="CK59" s="245"/>
      <c r="CL59" s="245"/>
      <c r="CM59" s="245"/>
      <c r="CN59" s="245"/>
      <c r="CO59" s="311" t="s">
        <v>156</v>
      </c>
      <c r="CP59" s="245"/>
      <c r="CQ59" s="245"/>
      <c r="CR59" s="245"/>
      <c r="CS59" s="245"/>
      <c r="CT59" s="245"/>
      <c r="CU59" s="245"/>
      <c r="CV59" s="245"/>
      <c r="CW59" s="245"/>
      <c r="CX59" s="245"/>
      <c r="CY59" s="245"/>
      <c r="CZ59" s="245"/>
      <c r="DA59" s="245"/>
      <c r="DB59" s="245"/>
      <c r="DC59" s="245"/>
      <c r="DD59" s="245"/>
      <c r="DE59" s="245"/>
      <c r="DF59" s="245"/>
      <c r="DG59" s="245"/>
      <c r="DH59" s="311" t="s">
        <v>156</v>
      </c>
      <c r="DI59" s="245"/>
      <c r="DJ59" s="245"/>
      <c r="DK59" s="245"/>
      <c r="DL59" s="245"/>
      <c r="DM59" s="245"/>
      <c r="DN59" s="245"/>
      <c r="DO59" s="245"/>
      <c r="DP59" s="245"/>
      <c r="DQ59" s="245"/>
      <c r="DR59" s="245"/>
      <c r="DS59" s="245"/>
      <c r="DT59" s="245"/>
      <c r="DU59" s="245"/>
      <c r="DV59" s="245"/>
      <c r="DW59" s="245"/>
      <c r="DX59" s="245"/>
      <c r="DY59" s="245"/>
      <c r="DZ59" s="245"/>
      <c r="EA59" s="122"/>
      <c r="EB59" s="122"/>
      <c r="EC59" s="73"/>
    </row>
    <row r="60" spans="1:133" ht="25.15" customHeight="1">
      <c r="A60" s="1">
        <f t="shared" si="45"/>
        <v>52</v>
      </c>
      <c r="B60" s="69"/>
      <c r="C60" s="150" t="s">
        <v>218</v>
      </c>
      <c r="D60" s="150"/>
      <c r="E60" s="150"/>
      <c r="F60" s="150"/>
      <c r="G60" s="150"/>
      <c r="H60" s="150"/>
      <c r="I60" s="150"/>
      <c r="J60" s="150"/>
      <c r="K60" s="150"/>
      <c r="L60" s="150"/>
      <c r="M60" s="150"/>
      <c r="N60" s="150"/>
      <c r="O60" s="150"/>
      <c r="P60" s="150"/>
      <c r="Q60" s="252" t="s">
        <v>156</v>
      </c>
      <c r="R60" s="251"/>
      <c r="S60" s="251"/>
      <c r="T60" s="251"/>
      <c r="U60" s="251"/>
      <c r="V60" s="251"/>
      <c r="W60" s="251"/>
      <c r="X60" s="251"/>
      <c r="Y60" s="251"/>
      <c r="Z60" s="251"/>
      <c r="AA60" s="251"/>
      <c r="AB60" s="251"/>
      <c r="AC60" s="251"/>
      <c r="AD60" s="251"/>
      <c r="AE60" s="251"/>
      <c r="AF60" s="251"/>
      <c r="AG60" s="251"/>
      <c r="AH60" s="251"/>
      <c r="AI60" s="251"/>
      <c r="AJ60" s="252" t="s">
        <v>156</v>
      </c>
      <c r="AK60" s="251"/>
      <c r="AL60" s="251"/>
      <c r="AM60" s="251"/>
      <c r="AN60" s="251"/>
      <c r="AO60" s="251"/>
      <c r="AP60" s="251"/>
      <c r="AQ60" s="251"/>
      <c r="AR60" s="251"/>
      <c r="AS60" s="251"/>
      <c r="AT60" s="251"/>
      <c r="AU60" s="251"/>
      <c r="AV60" s="251"/>
      <c r="AW60" s="251"/>
      <c r="AX60" s="251"/>
      <c r="AY60" s="251"/>
      <c r="AZ60" s="251"/>
      <c r="BA60" s="251"/>
      <c r="BB60" s="251"/>
      <c r="BC60" s="252" t="s">
        <v>156</v>
      </c>
      <c r="BD60" s="251"/>
      <c r="BE60" s="251"/>
      <c r="BF60" s="251"/>
      <c r="BG60" s="251"/>
      <c r="BH60" s="251"/>
      <c r="BI60" s="251"/>
      <c r="BJ60" s="251"/>
      <c r="BK60" s="251"/>
      <c r="BL60" s="251"/>
      <c r="BM60" s="251"/>
      <c r="BN60" s="251"/>
      <c r="BO60" s="251"/>
      <c r="BP60" s="251"/>
      <c r="BQ60" s="251"/>
      <c r="BR60" s="251"/>
      <c r="BS60" s="251"/>
      <c r="BT60" s="251"/>
      <c r="BU60" s="251"/>
      <c r="BV60" s="252" t="s">
        <v>156</v>
      </c>
      <c r="BW60" s="251"/>
      <c r="BX60" s="251"/>
      <c r="BY60" s="251"/>
      <c r="BZ60" s="251"/>
      <c r="CA60" s="251"/>
      <c r="CB60" s="251"/>
      <c r="CC60" s="251"/>
      <c r="CD60" s="251"/>
      <c r="CE60" s="251"/>
      <c r="CF60" s="251"/>
      <c r="CG60" s="251"/>
      <c r="CH60" s="251"/>
      <c r="CI60" s="251"/>
      <c r="CJ60" s="251"/>
      <c r="CK60" s="251"/>
      <c r="CL60" s="251"/>
      <c r="CM60" s="251"/>
      <c r="CN60" s="251"/>
      <c r="CO60" s="252" t="s">
        <v>156</v>
      </c>
      <c r="CP60" s="251"/>
      <c r="CQ60" s="251"/>
      <c r="CR60" s="251"/>
      <c r="CS60" s="251"/>
      <c r="CT60" s="251"/>
      <c r="CU60" s="251"/>
      <c r="CV60" s="251"/>
      <c r="CW60" s="251"/>
      <c r="CX60" s="251"/>
      <c r="CY60" s="251"/>
      <c r="CZ60" s="251"/>
      <c r="DA60" s="251"/>
      <c r="DB60" s="251"/>
      <c r="DC60" s="251"/>
      <c r="DD60" s="251"/>
      <c r="DE60" s="251"/>
      <c r="DF60" s="251"/>
      <c r="DG60" s="251"/>
      <c r="DH60" s="252" t="s">
        <v>156</v>
      </c>
      <c r="DI60" s="251"/>
      <c r="DJ60" s="251"/>
      <c r="DK60" s="251"/>
      <c r="DL60" s="251"/>
      <c r="DM60" s="251"/>
      <c r="DN60" s="251"/>
      <c r="DO60" s="251"/>
      <c r="DP60" s="251"/>
      <c r="DQ60" s="251"/>
      <c r="DR60" s="251"/>
      <c r="DS60" s="251"/>
      <c r="DT60" s="251"/>
      <c r="DU60" s="251"/>
      <c r="DV60" s="251"/>
      <c r="DW60" s="251"/>
      <c r="DX60" s="251"/>
      <c r="DY60" s="251"/>
      <c r="DZ60" s="251"/>
      <c r="EA60" s="104"/>
      <c r="EB60" s="104"/>
      <c r="EC60" s="73"/>
    </row>
    <row r="61" spans="1:133" ht="25.15" customHeight="1">
      <c r="A61" s="1">
        <f t="shared" si="45"/>
        <v>53</v>
      </c>
      <c r="B61" s="69"/>
      <c r="C61" s="150" t="s">
        <v>218</v>
      </c>
      <c r="D61" s="150"/>
      <c r="E61" s="150"/>
      <c r="F61" s="150"/>
      <c r="G61" s="150"/>
      <c r="H61" s="150"/>
      <c r="I61" s="150"/>
      <c r="J61" s="150"/>
      <c r="K61" s="150"/>
      <c r="L61" s="150"/>
      <c r="M61" s="150"/>
      <c r="N61" s="150"/>
      <c r="O61" s="150"/>
      <c r="P61" s="150"/>
      <c r="Q61" s="252" t="s">
        <v>156</v>
      </c>
      <c r="R61" s="251"/>
      <c r="S61" s="251"/>
      <c r="T61" s="251"/>
      <c r="U61" s="251"/>
      <c r="V61" s="251"/>
      <c r="W61" s="251"/>
      <c r="X61" s="251"/>
      <c r="Y61" s="251"/>
      <c r="Z61" s="251"/>
      <c r="AA61" s="251"/>
      <c r="AB61" s="251"/>
      <c r="AC61" s="251"/>
      <c r="AD61" s="251"/>
      <c r="AE61" s="251"/>
      <c r="AF61" s="251"/>
      <c r="AG61" s="251"/>
      <c r="AH61" s="251"/>
      <c r="AI61" s="251"/>
      <c r="AJ61" s="252" t="s">
        <v>156</v>
      </c>
      <c r="AK61" s="251"/>
      <c r="AL61" s="251"/>
      <c r="AM61" s="251"/>
      <c r="AN61" s="251"/>
      <c r="AO61" s="251"/>
      <c r="AP61" s="251"/>
      <c r="AQ61" s="251"/>
      <c r="AR61" s="251"/>
      <c r="AS61" s="251"/>
      <c r="AT61" s="251"/>
      <c r="AU61" s="251"/>
      <c r="AV61" s="251"/>
      <c r="AW61" s="251"/>
      <c r="AX61" s="251"/>
      <c r="AY61" s="251"/>
      <c r="AZ61" s="251"/>
      <c r="BA61" s="251"/>
      <c r="BB61" s="251"/>
      <c r="BC61" s="252" t="s">
        <v>156</v>
      </c>
      <c r="BD61" s="251"/>
      <c r="BE61" s="251"/>
      <c r="BF61" s="251"/>
      <c r="BG61" s="251"/>
      <c r="BH61" s="251"/>
      <c r="BI61" s="251"/>
      <c r="BJ61" s="251"/>
      <c r="BK61" s="251"/>
      <c r="BL61" s="251"/>
      <c r="BM61" s="251"/>
      <c r="BN61" s="251"/>
      <c r="BO61" s="251"/>
      <c r="BP61" s="251"/>
      <c r="BQ61" s="251"/>
      <c r="BR61" s="251"/>
      <c r="BS61" s="251"/>
      <c r="BT61" s="251"/>
      <c r="BU61" s="251"/>
      <c r="BV61" s="252" t="s">
        <v>156</v>
      </c>
      <c r="BW61" s="251"/>
      <c r="BX61" s="251"/>
      <c r="BY61" s="251"/>
      <c r="BZ61" s="251"/>
      <c r="CA61" s="251"/>
      <c r="CB61" s="251"/>
      <c r="CC61" s="251"/>
      <c r="CD61" s="251"/>
      <c r="CE61" s="251"/>
      <c r="CF61" s="251"/>
      <c r="CG61" s="251"/>
      <c r="CH61" s="251"/>
      <c r="CI61" s="251"/>
      <c r="CJ61" s="251"/>
      <c r="CK61" s="251"/>
      <c r="CL61" s="251"/>
      <c r="CM61" s="251"/>
      <c r="CN61" s="251"/>
      <c r="CO61" s="252" t="s">
        <v>156</v>
      </c>
      <c r="CP61" s="251"/>
      <c r="CQ61" s="251"/>
      <c r="CR61" s="251"/>
      <c r="CS61" s="251"/>
      <c r="CT61" s="251"/>
      <c r="CU61" s="251"/>
      <c r="CV61" s="251"/>
      <c r="CW61" s="251"/>
      <c r="CX61" s="251"/>
      <c r="CY61" s="251"/>
      <c r="CZ61" s="251"/>
      <c r="DA61" s="251"/>
      <c r="DB61" s="251"/>
      <c r="DC61" s="251"/>
      <c r="DD61" s="251"/>
      <c r="DE61" s="251"/>
      <c r="DF61" s="251"/>
      <c r="DG61" s="251"/>
      <c r="DH61" s="252" t="s">
        <v>156</v>
      </c>
      <c r="DI61" s="251"/>
      <c r="DJ61" s="251"/>
      <c r="DK61" s="251"/>
      <c r="DL61" s="251"/>
      <c r="DM61" s="251"/>
      <c r="DN61" s="251"/>
      <c r="DO61" s="251"/>
      <c r="DP61" s="251"/>
      <c r="DQ61" s="251"/>
      <c r="DR61" s="251"/>
      <c r="DS61" s="251"/>
      <c r="DT61" s="251"/>
      <c r="DU61" s="251"/>
      <c r="DV61" s="251"/>
      <c r="DW61" s="251"/>
      <c r="DX61" s="251"/>
      <c r="DY61" s="251"/>
      <c r="DZ61" s="251"/>
      <c r="EA61" s="104"/>
      <c r="EB61" s="104"/>
      <c r="EC61" s="73"/>
    </row>
    <row r="62" spans="1:133" ht="25.15" customHeight="1">
      <c r="A62" s="1">
        <f t="shared" si="45"/>
        <v>54</v>
      </c>
      <c r="B62" s="69"/>
      <c r="C62" s="71"/>
      <c r="D62" s="71"/>
      <c r="E62" s="71"/>
      <c r="F62" s="71"/>
      <c r="G62" s="70"/>
      <c r="H62" s="107"/>
      <c r="I62" s="107"/>
      <c r="J62" s="107"/>
      <c r="K62" s="107"/>
      <c r="L62" s="105"/>
      <c r="M62" s="107"/>
      <c r="N62" s="101"/>
      <c r="O62" s="86"/>
      <c r="P62" s="104"/>
      <c r="Q62" s="104"/>
      <c r="R62" s="104"/>
      <c r="S62" s="104"/>
      <c r="T62" s="105"/>
      <c r="U62" s="105"/>
      <c r="V62" s="105"/>
      <c r="W62" s="105"/>
      <c r="X62" s="105"/>
      <c r="Y62" s="105"/>
      <c r="Z62" s="105"/>
      <c r="AA62" s="105"/>
      <c r="AB62" s="105"/>
      <c r="AC62" s="105"/>
      <c r="AD62" s="105"/>
      <c r="AE62" s="105"/>
      <c r="AF62" s="105"/>
      <c r="AG62" s="105"/>
      <c r="AH62" s="105"/>
      <c r="AI62" s="105"/>
      <c r="AJ62" s="104"/>
      <c r="AK62" s="104"/>
      <c r="AL62" s="104"/>
      <c r="AM62" s="72"/>
      <c r="AN62" s="104"/>
      <c r="AO62" s="104"/>
      <c r="AP62" s="107"/>
      <c r="AQ62" s="107"/>
      <c r="AR62" s="107"/>
      <c r="AS62" s="107"/>
      <c r="AT62" s="107"/>
      <c r="AU62" s="107"/>
      <c r="AV62" s="107"/>
      <c r="AW62" s="107"/>
      <c r="AX62" s="107"/>
      <c r="AY62" s="107"/>
      <c r="AZ62" s="86"/>
      <c r="BA62" s="72"/>
      <c r="BB62" s="104"/>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M62" s="104"/>
      <c r="CN62" s="92"/>
      <c r="CO62" s="72"/>
      <c r="CP62" s="104"/>
      <c r="CQ62" s="104"/>
      <c r="CR62" s="107"/>
      <c r="CS62" s="107"/>
      <c r="CT62" s="107"/>
      <c r="CU62" s="107"/>
      <c r="CV62" s="107"/>
      <c r="CW62" s="107"/>
      <c r="CX62" s="107"/>
      <c r="CY62" s="107"/>
      <c r="CZ62" s="107"/>
      <c r="DA62" s="107"/>
      <c r="DB62" s="86"/>
      <c r="DC62" s="72"/>
      <c r="DD62" s="72"/>
      <c r="DE62" s="72"/>
      <c r="DF62" s="104"/>
      <c r="DG62" s="72"/>
      <c r="DH62" s="104"/>
      <c r="DI62" s="104"/>
      <c r="DJ62" s="107"/>
      <c r="DK62" s="107"/>
      <c r="DL62" s="107"/>
      <c r="DM62" s="107"/>
      <c r="DN62" s="107"/>
      <c r="DO62" s="107"/>
      <c r="DP62" s="107"/>
      <c r="DQ62" s="107"/>
      <c r="DR62" s="107"/>
      <c r="DS62" s="107"/>
      <c r="DT62" s="107"/>
      <c r="DU62" s="70"/>
      <c r="DV62" s="74"/>
      <c r="DW62" s="70"/>
      <c r="DX62" s="74"/>
      <c r="DY62" s="104"/>
      <c r="DZ62" s="104"/>
      <c r="EA62" s="104"/>
      <c r="EB62" s="104"/>
      <c r="EC62" s="73"/>
    </row>
    <row r="63" spans="1:133" ht="25.15" customHeight="1">
      <c r="A63" s="1">
        <f t="shared" si="45"/>
        <v>55</v>
      </c>
      <c r="B63" s="69"/>
      <c r="C63" s="153" t="s">
        <v>245</v>
      </c>
      <c r="D63" s="153"/>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73"/>
    </row>
    <row r="64" spans="1:133" s="179" customFormat="1" ht="25.15" customHeight="1">
      <c r="A64" s="175">
        <f t="shared" si="45"/>
        <v>56</v>
      </c>
      <c r="B64" s="176"/>
      <c r="C64" s="177" t="s">
        <v>244</v>
      </c>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180"/>
    </row>
    <row r="65" spans="1:133" ht="25.15" customHeight="1">
      <c r="A65" s="1">
        <f t="shared" si="45"/>
        <v>57</v>
      </c>
      <c r="B65" s="69"/>
      <c r="C65" s="222" t="s">
        <v>234</v>
      </c>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53" t="s">
        <v>156</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226</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3" t="s">
        <v>156</v>
      </c>
      <c r="DM65" s="253"/>
      <c r="DN65" s="253"/>
      <c r="DO65" s="253"/>
      <c r="DP65" s="253"/>
      <c r="DQ65" s="253"/>
      <c r="DR65" s="253"/>
      <c r="DS65" s="253"/>
      <c r="DT65" s="253"/>
      <c r="DU65" s="253"/>
      <c r="DV65" s="253"/>
      <c r="DW65" s="253"/>
      <c r="DX65" s="253"/>
      <c r="DY65" s="253"/>
      <c r="DZ65" s="253"/>
      <c r="EA65" s="253"/>
      <c r="EB65" s="253"/>
      <c r="EC65" s="73"/>
    </row>
    <row r="66" spans="1:133" ht="25.15" customHeight="1">
      <c r="A66" s="1">
        <f t="shared" si="45"/>
        <v>58</v>
      </c>
      <c r="B66" s="69"/>
      <c r="C66" s="223" t="s">
        <v>234</v>
      </c>
      <c r="D66" s="223"/>
      <c r="E66" s="223"/>
      <c r="F66" s="223"/>
      <c r="G66" s="223"/>
      <c r="H66" s="223"/>
      <c r="I66" s="223"/>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3"/>
      <c r="AS66" s="223"/>
      <c r="AT66" s="223"/>
      <c r="AU66" s="223"/>
      <c r="AV66" s="223"/>
      <c r="AW66" s="223"/>
      <c r="AX66" s="223"/>
      <c r="AY66" s="223"/>
      <c r="AZ66" s="223"/>
      <c r="BA66" s="223"/>
      <c r="BB66" s="247" t="s">
        <v>156</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226</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247" t="s">
        <v>156</v>
      </c>
      <c r="DM66" s="247"/>
      <c r="DN66" s="247"/>
      <c r="DO66" s="247"/>
      <c r="DP66" s="247"/>
      <c r="DQ66" s="247"/>
      <c r="DR66" s="247"/>
      <c r="DS66" s="247"/>
      <c r="DT66" s="247"/>
      <c r="DU66" s="247"/>
      <c r="DV66" s="247"/>
      <c r="DW66" s="247"/>
      <c r="DX66" s="247"/>
      <c r="DY66" s="247"/>
      <c r="DZ66" s="247"/>
      <c r="EA66" s="247"/>
      <c r="EB66" s="247"/>
      <c r="EC66" s="73"/>
    </row>
    <row r="67" spans="1:133" ht="25.15" customHeight="1">
      <c r="A67" s="1">
        <f t="shared" si="45"/>
        <v>59</v>
      </c>
      <c r="B67" s="69"/>
      <c r="C67" s="223" t="s">
        <v>234</v>
      </c>
      <c r="D67" s="223"/>
      <c r="E67" s="223"/>
      <c r="F67" s="223"/>
      <c r="G67" s="223"/>
      <c r="H67" s="223"/>
      <c r="I67" s="223"/>
      <c r="J67" s="223"/>
      <c r="K67" s="223"/>
      <c r="L67" s="223"/>
      <c r="M67" s="223"/>
      <c r="N67" s="223"/>
      <c r="O67" s="223"/>
      <c r="P67" s="223"/>
      <c r="Q67" s="223"/>
      <c r="R67" s="223"/>
      <c r="S67" s="223"/>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3"/>
      <c r="AW67" s="223"/>
      <c r="AX67" s="223"/>
      <c r="AY67" s="223"/>
      <c r="AZ67" s="223"/>
      <c r="BA67" s="223"/>
      <c r="BB67" s="247" t="s">
        <v>156</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226</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247" t="s">
        <v>156</v>
      </c>
      <c r="DM67" s="247"/>
      <c r="DN67" s="247"/>
      <c r="DO67" s="247"/>
      <c r="DP67" s="247"/>
      <c r="DQ67" s="247"/>
      <c r="DR67" s="247"/>
      <c r="DS67" s="247"/>
      <c r="DT67" s="247"/>
      <c r="DU67" s="247"/>
      <c r="DV67" s="247"/>
      <c r="DW67" s="247"/>
      <c r="DX67" s="247"/>
      <c r="DY67" s="247"/>
      <c r="DZ67" s="247"/>
      <c r="EA67" s="247"/>
      <c r="EB67" s="247"/>
      <c r="EC67" s="73"/>
    </row>
    <row r="68" spans="1:133" ht="25.15" customHeight="1">
      <c r="A68" s="1">
        <f t="shared" si="45"/>
        <v>60</v>
      </c>
      <c r="B68" s="69"/>
      <c r="C68" s="223" t="s">
        <v>234</v>
      </c>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47" t="s">
        <v>156</v>
      </c>
      <c r="BC68" s="247"/>
      <c r="BD68" s="247"/>
      <c r="BE68" s="247"/>
      <c r="BF68" s="247"/>
      <c r="BG68" s="247"/>
      <c r="BH68" s="247"/>
      <c r="BI68" s="247"/>
      <c r="BJ68" s="247"/>
      <c r="BK68" s="247"/>
      <c r="BL68" s="247"/>
      <c r="BM68" s="247"/>
      <c r="BN68" s="247"/>
      <c r="BO68" s="247"/>
      <c r="BP68" s="247"/>
      <c r="BQ68" s="247"/>
      <c r="BR68" s="247"/>
      <c r="BS68" s="107"/>
      <c r="BT68" s="107"/>
      <c r="BU68" s="107"/>
      <c r="BV68" s="92"/>
      <c r="BW68" s="248" t="s">
        <v>226</v>
      </c>
      <c r="BX68" s="248"/>
      <c r="BY68" s="248"/>
      <c r="BZ68" s="248"/>
      <c r="CA68" s="248"/>
      <c r="CB68" s="248"/>
      <c r="CC68" s="248"/>
      <c r="CD68" s="248"/>
      <c r="CE68" s="248"/>
      <c r="CF68" s="248"/>
      <c r="CG68" s="248"/>
      <c r="CH68" s="248"/>
      <c r="CI68" s="248"/>
      <c r="CJ68" s="248"/>
      <c r="CK68" s="248"/>
      <c r="CL68" s="248"/>
      <c r="CM68" s="248"/>
      <c r="CN68" s="248"/>
      <c r="CO68" s="248"/>
      <c r="CP68" s="248"/>
      <c r="CQ68" s="248"/>
      <c r="CR68" s="248"/>
      <c r="CS68" s="248"/>
      <c r="CT68" s="248"/>
      <c r="CU68" s="248"/>
      <c r="CV68" s="248"/>
      <c r="CW68" s="248"/>
      <c r="CX68" s="248"/>
      <c r="CY68" s="248"/>
      <c r="CZ68" s="248"/>
      <c r="DA68" s="248"/>
      <c r="DB68" s="248"/>
      <c r="DC68" s="248"/>
      <c r="DD68" s="248"/>
      <c r="DE68" s="248"/>
      <c r="DF68" s="248"/>
      <c r="DG68" s="248"/>
      <c r="DH68" s="248"/>
      <c r="DI68" s="248"/>
      <c r="DJ68" s="248"/>
      <c r="DK68" s="248"/>
      <c r="DL68" s="247" t="s">
        <v>156</v>
      </c>
      <c r="DM68" s="247"/>
      <c r="DN68" s="247"/>
      <c r="DO68" s="247"/>
      <c r="DP68" s="247"/>
      <c r="DQ68" s="247"/>
      <c r="DR68" s="247"/>
      <c r="DS68" s="247"/>
      <c r="DT68" s="247"/>
      <c r="DU68" s="247"/>
      <c r="DV68" s="247"/>
      <c r="DW68" s="247"/>
      <c r="DX68" s="247"/>
      <c r="DY68" s="247"/>
      <c r="DZ68" s="247"/>
      <c r="EA68" s="247"/>
      <c r="EB68" s="247"/>
      <c r="EC68" s="73"/>
    </row>
    <row r="69" spans="1:133" ht="25.15" customHeight="1">
      <c r="A69" s="1">
        <f t="shared" si="45"/>
        <v>61</v>
      </c>
      <c r="B69" s="69"/>
      <c r="C69" s="223" t="s">
        <v>234</v>
      </c>
      <c r="D69" s="223"/>
      <c r="E69" s="223"/>
      <c r="F69" s="223"/>
      <c r="G69" s="223"/>
      <c r="H69" s="223"/>
      <c r="I69" s="223"/>
      <c r="J69" s="223"/>
      <c r="K69" s="223"/>
      <c r="L69" s="223"/>
      <c r="M69" s="223"/>
      <c r="N69" s="223"/>
      <c r="O69" s="223"/>
      <c r="P69" s="223"/>
      <c r="Q69" s="223"/>
      <c r="R69" s="223"/>
      <c r="S69" s="223"/>
      <c r="T69" s="223"/>
      <c r="U69" s="223"/>
      <c r="V69" s="223"/>
      <c r="W69" s="223"/>
      <c r="X69" s="223"/>
      <c r="Y69" s="223"/>
      <c r="Z69" s="223"/>
      <c r="AA69" s="223"/>
      <c r="AB69" s="223"/>
      <c r="AC69" s="223"/>
      <c r="AD69" s="223"/>
      <c r="AE69" s="223"/>
      <c r="AF69" s="223"/>
      <c r="AG69" s="223"/>
      <c r="AH69" s="223"/>
      <c r="AI69" s="223"/>
      <c r="AJ69" s="223"/>
      <c r="AK69" s="223"/>
      <c r="AL69" s="223"/>
      <c r="AM69" s="223"/>
      <c r="AN69" s="223"/>
      <c r="AO69" s="223"/>
      <c r="AP69" s="223"/>
      <c r="AQ69" s="223"/>
      <c r="AR69" s="223"/>
      <c r="AS69" s="223"/>
      <c r="AT69" s="223"/>
      <c r="AU69" s="223"/>
      <c r="AV69" s="223"/>
      <c r="AW69" s="223"/>
      <c r="AX69" s="223"/>
      <c r="AY69" s="223"/>
      <c r="AZ69" s="223"/>
      <c r="BA69" s="223"/>
      <c r="BB69" s="247" t="s">
        <v>156</v>
      </c>
      <c r="BC69" s="247"/>
      <c r="BD69" s="247"/>
      <c r="BE69" s="247"/>
      <c r="BF69" s="247"/>
      <c r="BG69" s="247"/>
      <c r="BH69" s="247"/>
      <c r="BI69" s="247"/>
      <c r="BJ69" s="247"/>
      <c r="BK69" s="247"/>
      <c r="BL69" s="247"/>
      <c r="BM69" s="247"/>
      <c r="BN69" s="247"/>
      <c r="BO69" s="247"/>
      <c r="BP69" s="247"/>
      <c r="BQ69" s="247"/>
      <c r="BR69" s="247"/>
      <c r="BS69" s="107"/>
      <c r="BT69" s="107"/>
      <c r="BU69" s="107"/>
      <c r="BV69" s="92"/>
      <c r="BW69" s="248" t="s">
        <v>226</v>
      </c>
      <c r="BX69" s="248"/>
      <c r="BY69" s="248"/>
      <c r="BZ69" s="248"/>
      <c r="CA69" s="248"/>
      <c r="CB69" s="248"/>
      <c r="CC69" s="248"/>
      <c r="CD69" s="248"/>
      <c r="CE69" s="248"/>
      <c r="CF69" s="248"/>
      <c r="CG69" s="248"/>
      <c r="CH69" s="248"/>
      <c r="CI69" s="248"/>
      <c r="CJ69" s="248"/>
      <c r="CK69" s="248"/>
      <c r="CL69" s="248"/>
      <c r="CM69" s="248"/>
      <c r="CN69" s="248"/>
      <c r="CO69" s="248"/>
      <c r="CP69" s="248"/>
      <c r="CQ69" s="248"/>
      <c r="CR69" s="248"/>
      <c r="CS69" s="248"/>
      <c r="CT69" s="248"/>
      <c r="CU69" s="248"/>
      <c r="CV69" s="248"/>
      <c r="CW69" s="248"/>
      <c r="CX69" s="248"/>
      <c r="CY69" s="248"/>
      <c r="CZ69" s="248"/>
      <c r="DA69" s="248"/>
      <c r="DB69" s="248"/>
      <c r="DC69" s="248"/>
      <c r="DD69" s="248"/>
      <c r="DE69" s="248"/>
      <c r="DF69" s="248"/>
      <c r="DG69" s="248"/>
      <c r="DH69" s="248"/>
      <c r="DI69" s="248"/>
      <c r="DJ69" s="248"/>
      <c r="DK69" s="248"/>
      <c r="DL69" s="247" t="s">
        <v>156</v>
      </c>
      <c r="DM69" s="247"/>
      <c r="DN69" s="247"/>
      <c r="DO69" s="247"/>
      <c r="DP69" s="247"/>
      <c r="DQ69" s="247"/>
      <c r="DR69" s="247"/>
      <c r="DS69" s="247"/>
      <c r="DT69" s="247"/>
      <c r="DU69" s="247"/>
      <c r="DV69" s="247"/>
      <c r="DW69" s="247"/>
      <c r="DX69" s="247"/>
      <c r="DY69" s="247"/>
      <c r="DZ69" s="247"/>
      <c r="EA69" s="247"/>
      <c r="EB69" s="247"/>
      <c r="EC69" s="73"/>
    </row>
    <row r="70" spans="1:133" ht="25.15" customHeight="1">
      <c r="A70" s="1">
        <f t="shared" si="45"/>
        <v>62</v>
      </c>
      <c r="B70" s="69"/>
      <c r="C70" s="224" t="s">
        <v>234</v>
      </c>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24"/>
      <c r="AO70" s="224"/>
      <c r="AP70" s="224"/>
      <c r="AQ70" s="224"/>
      <c r="AR70" s="224"/>
      <c r="AS70" s="224"/>
      <c r="AT70" s="224"/>
      <c r="AU70" s="224"/>
      <c r="AV70" s="224"/>
      <c r="AW70" s="224"/>
      <c r="AX70" s="224"/>
      <c r="AY70" s="224"/>
      <c r="AZ70" s="224"/>
      <c r="BA70" s="224"/>
      <c r="BB70" s="249" t="s">
        <v>156</v>
      </c>
      <c r="BC70" s="249"/>
      <c r="BD70" s="249"/>
      <c r="BE70" s="249"/>
      <c r="BF70" s="249"/>
      <c r="BG70" s="249"/>
      <c r="BH70" s="249"/>
      <c r="BI70" s="249"/>
      <c r="BJ70" s="249"/>
      <c r="BK70" s="249"/>
      <c r="BL70" s="249"/>
      <c r="BM70" s="249"/>
      <c r="BN70" s="249"/>
      <c r="BO70" s="249"/>
      <c r="BP70" s="249"/>
      <c r="BQ70" s="249"/>
      <c r="BR70" s="249"/>
      <c r="BS70" s="107"/>
      <c r="BT70" s="107"/>
      <c r="BU70" s="107"/>
      <c r="BV70" s="92"/>
      <c r="BW70" s="250" t="s">
        <v>226</v>
      </c>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49" t="s">
        <v>156</v>
      </c>
      <c r="DM70" s="249"/>
      <c r="DN70" s="249"/>
      <c r="DO70" s="249"/>
      <c r="DP70" s="249"/>
      <c r="DQ70" s="249"/>
      <c r="DR70" s="249"/>
      <c r="DS70" s="249"/>
      <c r="DT70" s="249"/>
      <c r="DU70" s="249"/>
      <c r="DV70" s="249"/>
      <c r="DW70" s="249"/>
      <c r="DX70" s="249"/>
      <c r="DY70" s="249"/>
      <c r="DZ70" s="249"/>
      <c r="EA70" s="249"/>
      <c r="EB70" s="249"/>
      <c r="EC70" s="73"/>
    </row>
    <row r="71" spans="1:133" ht="25.15" customHeight="1">
      <c r="A71" s="1">
        <f t="shared" si="45"/>
        <v>63</v>
      </c>
      <c r="B71" s="69"/>
      <c r="C71" s="154" t="s">
        <v>248</v>
      </c>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54"/>
      <c r="BA71" s="154"/>
      <c r="BB71" s="245" t="s">
        <v>156</v>
      </c>
      <c r="BC71" s="245"/>
      <c r="BD71" s="245"/>
      <c r="BE71" s="245"/>
      <c r="BF71" s="245"/>
      <c r="BG71" s="245"/>
      <c r="BH71" s="245"/>
      <c r="BI71" s="245"/>
      <c r="BJ71" s="245"/>
      <c r="BK71" s="245"/>
      <c r="BL71" s="245"/>
      <c r="BM71" s="245"/>
      <c r="BN71" s="245"/>
      <c r="BO71" s="245"/>
      <c r="BP71" s="245"/>
      <c r="BQ71" s="245"/>
      <c r="BR71" s="245"/>
      <c r="BS71" s="107"/>
      <c r="BT71" s="107"/>
      <c r="BU71" s="107"/>
      <c r="BV71" s="101"/>
      <c r="BW71" s="246" t="s">
        <v>248</v>
      </c>
      <c r="BX71" s="246"/>
      <c r="BY71" s="246"/>
      <c r="BZ71" s="246"/>
      <c r="CA71" s="246"/>
      <c r="CB71" s="246"/>
      <c r="CC71" s="246"/>
      <c r="CD71" s="246"/>
      <c r="CE71" s="246"/>
      <c r="CF71" s="246"/>
      <c r="CG71" s="246"/>
      <c r="CH71" s="246"/>
      <c r="CI71" s="246"/>
      <c r="CJ71" s="246"/>
      <c r="CK71" s="246"/>
      <c r="CL71" s="246"/>
      <c r="CM71" s="246"/>
      <c r="CN71" s="246"/>
      <c r="CO71" s="246"/>
      <c r="CP71" s="246"/>
      <c r="CQ71" s="246"/>
      <c r="CR71" s="246"/>
      <c r="CS71" s="246"/>
      <c r="CT71" s="246"/>
      <c r="CU71" s="246"/>
      <c r="CV71" s="246"/>
      <c r="CW71" s="246"/>
      <c r="CX71" s="246"/>
      <c r="CY71" s="246"/>
      <c r="CZ71" s="246"/>
      <c r="DA71" s="246"/>
      <c r="DB71" s="246"/>
      <c r="DC71" s="246"/>
      <c r="DD71" s="246"/>
      <c r="DE71" s="246"/>
      <c r="DF71" s="246"/>
      <c r="DG71" s="246"/>
      <c r="DH71" s="246"/>
      <c r="DI71" s="246"/>
      <c r="DJ71" s="246"/>
      <c r="DK71" s="246"/>
      <c r="DL71" s="245" t="s">
        <v>156</v>
      </c>
      <c r="DM71" s="245"/>
      <c r="DN71" s="245"/>
      <c r="DO71" s="245"/>
      <c r="DP71" s="245"/>
      <c r="DQ71" s="245"/>
      <c r="DR71" s="245"/>
      <c r="DS71" s="245"/>
      <c r="DT71" s="245"/>
      <c r="DU71" s="245"/>
      <c r="DV71" s="245"/>
      <c r="DW71" s="245"/>
      <c r="DX71" s="245"/>
      <c r="DY71" s="245"/>
      <c r="DZ71" s="245"/>
      <c r="EA71" s="245"/>
      <c r="EB71" s="245"/>
      <c r="EC71" s="73"/>
    </row>
    <row r="72" spans="1:133" ht="25.15" customHeight="1">
      <c r="A72" s="1">
        <f t="shared" si="45"/>
        <v>64</v>
      </c>
      <c r="B72" s="69"/>
      <c r="C72" s="101"/>
      <c r="D72" s="86"/>
      <c r="E72" s="101"/>
      <c r="F72" s="101"/>
      <c r="G72" s="70"/>
      <c r="H72" s="107"/>
      <c r="I72" s="107"/>
      <c r="J72" s="107"/>
      <c r="K72" s="107"/>
      <c r="L72" s="105"/>
      <c r="M72" s="107"/>
      <c r="N72" s="101"/>
      <c r="O72" s="86"/>
      <c r="P72" s="104"/>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DY72" s="104"/>
      <c r="DZ72" s="104"/>
      <c r="EA72" s="104"/>
      <c r="EB72" s="104"/>
      <c r="EC72" s="73"/>
    </row>
    <row r="73" spans="1:133" ht="25.15" customHeight="1">
      <c r="A73" s="1">
        <f t="shared" si="45"/>
        <v>65</v>
      </c>
      <c r="B73" s="69"/>
      <c r="C73" s="157" t="s">
        <v>249</v>
      </c>
      <c r="D73" s="157"/>
      <c r="E73" s="157"/>
      <c r="F73" s="157"/>
      <c r="G73" s="128"/>
      <c r="H73" s="128"/>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279</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27">
        <f t="shared" si="45"/>
        <v>66</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
        <v>0</v>
      </c>
      <c r="B75" s="47" t="s">
        <v>24</v>
      </c>
      <c r="C75" s="47" t="s">
        <v>24</v>
      </c>
      <c r="D75" s="47" t="s">
        <v>24</v>
      </c>
      <c r="E75" s="47" t="s">
        <v>24</v>
      </c>
      <c r="F75" s="47" t="s">
        <v>24</v>
      </c>
      <c r="G75" s="47" t="s">
        <v>24</v>
      </c>
      <c r="H75" s="47" t="s">
        <v>24</v>
      </c>
      <c r="I75" s="47" t="s">
        <v>24</v>
      </c>
      <c r="J75" s="47" t="s">
        <v>24</v>
      </c>
      <c r="K75" s="47">
        <v>1</v>
      </c>
      <c r="L75" s="47" t="s">
        <v>24</v>
      </c>
      <c r="M75" s="47" t="s">
        <v>24</v>
      </c>
      <c r="N75" s="47" t="s">
        <v>24</v>
      </c>
      <c r="O75" s="47" t="s">
        <v>24</v>
      </c>
      <c r="P75" s="47" t="s">
        <v>24</v>
      </c>
      <c r="Q75" s="47" t="s">
        <v>24</v>
      </c>
      <c r="R75" s="47" t="s">
        <v>24</v>
      </c>
      <c r="S75" s="47" t="s">
        <v>24</v>
      </c>
      <c r="T75" s="47" t="s">
        <v>24</v>
      </c>
      <c r="U75" s="47">
        <v>2</v>
      </c>
      <c r="V75" s="47" t="s">
        <v>24</v>
      </c>
      <c r="W75" s="47" t="s">
        <v>24</v>
      </c>
      <c r="X75" s="47" t="s">
        <v>24</v>
      </c>
      <c r="Y75" s="47" t="s">
        <v>24</v>
      </c>
      <c r="Z75" s="47" t="s">
        <v>24</v>
      </c>
      <c r="AA75" s="47" t="s">
        <v>24</v>
      </c>
      <c r="AB75" s="47" t="s">
        <v>24</v>
      </c>
      <c r="AC75" s="47" t="s">
        <v>24</v>
      </c>
      <c r="AD75" s="47" t="s">
        <v>24</v>
      </c>
      <c r="AE75" s="47">
        <v>3</v>
      </c>
      <c r="AF75" s="47" t="s">
        <v>24</v>
      </c>
      <c r="AG75" s="47" t="s">
        <v>24</v>
      </c>
      <c r="AH75" s="47" t="s">
        <v>24</v>
      </c>
      <c r="AI75" s="47" t="s">
        <v>24</v>
      </c>
      <c r="AJ75" s="47" t="s">
        <v>24</v>
      </c>
      <c r="AK75" s="47" t="s">
        <v>24</v>
      </c>
      <c r="AL75" s="47" t="s">
        <v>24</v>
      </c>
      <c r="AM75" s="47" t="s">
        <v>24</v>
      </c>
      <c r="AN75" s="47" t="s">
        <v>24</v>
      </c>
      <c r="AO75" s="47">
        <v>4</v>
      </c>
      <c r="AP75" s="47" t="s">
        <v>24</v>
      </c>
      <c r="AQ75" s="47" t="s">
        <v>24</v>
      </c>
      <c r="AR75" s="47" t="s">
        <v>24</v>
      </c>
      <c r="AS75" s="47" t="s">
        <v>24</v>
      </c>
      <c r="AT75" s="47" t="s">
        <v>24</v>
      </c>
      <c r="AU75" s="47" t="s">
        <v>24</v>
      </c>
      <c r="AV75" s="47" t="s">
        <v>24</v>
      </c>
      <c r="AW75" s="47" t="s">
        <v>24</v>
      </c>
      <c r="AX75" s="47" t="s">
        <v>24</v>
      </c>
      <c r="AY75" s="47">
        <v>5</v>
      </c>
      <c r="AZ75" s="47" t="s">
        <v>24</v>
      </c>
      <c r="BA75" s="47" t="s">
        <v>24</v>
      </c>
      <c r="BB75" s="47" t="s">
        <v>24</v>
      </c>
      <c r="BC75" s="47" t="s">
        <v>24</v>
      </c>
      <c r="BD75" s="47" t="s">
        <v>24</v>
      </c>
      <c r="BE75" s="47" t="s">
        <v>24</v>
      </c>
      <c r="BF75" s="47" t="s">
        <v>24</v>
      </c>
      <c r="BG75" s="47" t="s">
        <v>24</v>
      </c>
      <c r="BH75" s="47" t="s">
        <v>24</v>
      </c>
      <c r="BI75" s="47">
        <v>6</v>
      </c>
      <c r="BJ75" s="47" t="s">
        <v>24</v>
      </c>
      <c r="BK75" s="47" t="s">
        <v>24</v>
      </c>
      <c r="BL75" s="47" t="s">
        <v>24</v>
      </c>
      <c r="BM75" s="47" t="s">
        <v>24</v>
      </c>
      <c r="BN75" s="47" t="s">
        <v>24</v>
      </c>
      <c r="BO75" s="47" t="s">
        <v>24</v>
      </c>
      <c r="BP75" s="47" t="s">
        <v>24</v>
      </c>
      <c r="BQ75" s="47" t="s">
        <v>24</v>
      </c>
      <c r="BR75" s="47" t="s">
        <v>24</v>
      </c>
      <c r="BS75" s="47">
        <v>7</v>
      </c>
      <c r="BT75" s="47" t="s">
        <v>24</v>
      </c>
      <c r="BU75" s="47" t="s">
        <v>24</v>
      </c>
      <c r="BV75" s="47" t="s">
        <v>24</v>
      </c>
      <c r="BW75" s="47" t="s">
        <v>24</v>
      </c>
      <c r="BX75" s="47" t="s">
        <v>24</v>
      </c>
      <c r="BY75" s="47" t="s">
        <v>24</v>
      </c>
      <c r="BZ75" s="47" t="s">
        <v>24</v>
      </c>
      <c r="CA75" s="47" t="s">
        <v>24</v>
      </c>
      <c r="CB75" s="47" t="s">
        <v>24</v>
      </c>
      <c r="CC75" s="47">
        <v>8</v>
      </c>
      <c r="CD75" s="47" t="s">
        <v>24</v>
      </c>
      <c r="CE75" s="47" t="s">
        <v>24</v>
      </c>
      <c r="CF75" s="47" t="s">
        <v>24</v>
      </c>
      <c r="CG75" s="47" t="s">
        <v>24</v>
      </c>
      <c r="CH75" s="47" t="s">
        <v>24</v>
      </c>
      <c r="CI75" s="47" t="s">
        <v>24</v>
      </c>
      <c r="CJ75" s="47" t="s">
        <v>24</v>
      </c>
      <c r="CK75" s="47" t="s">
        <v>24</v>
      </c>
      <c r="CL75" s="47" t="s">
        <v>24</v>
      </c>
      <c r="CM75" s="47">
        <v>9</v>
      </c>
      <c r="CN75" s="47" t="s">
        <v>24</v>
      </c>
      <c r="CO75" s="47" t="s">
        <v>24</v>
      </c>
      <c r="CP75" s="47" t="s">
        <v>24</v>
      </c>
      <c r="CQ75" s="47" t="s">
        <v>24</v>
      </c>
      <c r="CR75" s="47" t="s">
        <v>24</v>
      </c>
      <c r="CS75" s="47" t="s">
        <v>24</v>
      </c>
      <c r="CT75" s="47" t="s">
        <v>24</v>
      </c>
      <c r="CU75" s="47" t="s">
        <v>24</v>
      </c>
      <c r="CV75" s="47" t="s">
        <v>24</v>
      </c>
      <c r="CW75" s="47">
        <v>0</v>
      </c>
      <c r="CX75" s="47" t="s">
        <v>24</v>
      </c>
      <c r="CY75" s="47" t="s">
        <v>24</v>
      </c>
      <c r="CZ75" s="47" t="s">
        <v>24</v>
      </c>
      <c r="DA75" s="47" t="s">
        <v>24</v>
      </c>
      <c r="DB75" s="47" t="s">
        <v>24</v>
      </c>
      <c r="DC75" s="47" t="s">
        <v>24</v>
      </c>
      <c r="DD75" s="47" t="s">
        <v>24</v>
      </c>
      <c r="DE75" s="47" t="s">
        <v>24</v>
      </c>
      <c r="DF75" s="47" t="s">
        <v>24</v>
      </c>
      <c r="DG75" s="47">
        <v>1</v>
      </c>
      <c r="DH75" s="47" t="s">
        <v>24</v>
      </c>
      <c r="DI75" s="47" t="s">
        <v>24</v>
      </c>
      <c r="DJ75" s="47" t="s">
        <v>24</v>
      </c>
      <c r="DK75" s="47" t="s">
        <v>24</v>
      </c>
      <c r="DL75" s="47" t="s">
        <v>24</v>
      </c>
      <c r="DM75" s="47" t="s">
        <v>24</v>
      </c>
      <c r="DN75" s="47" t="s">
        <v>24</v>
      </c>
      <c r="DO75" s="47" t="s">
        <v>24</v>
      </c>
      <c r="DP75" s="47" t="s">
        <v>24</v>
      </c>
      <c r="DQ75" s="47">
        <v>2</v>
      </c>
      <c r="DR75" s="47" t="s">
        <v>24</v>
      </c>
      <c r="DS75" s="47" t="s">
        <v>24</v>
      </c>
      <c r="DT75" s="47" t="s">
        <v>24</v>
      </c>
      <c r="DU75" s="47" t="s">
        <v>24</v>
      </c>
      <c r="DV75" s="47" t="s">
        <v>24</v>
      </c>
      <c r="DW75" s="47" t="s">
        <v>24</v>
      </c>
      <c r="DX75" s="47" t="s">
        <v>24</v>
      </c>
      <c r="DY75" s="47" t="s">
        <v>24</v>
      </c>
      <c r="DZ75" s="47" t="s">
        <v>24</v>
      </c>
      <c r="EA75" s="47">
        <v>3</v>
      </c>
      <c r="EB75" s="47" t="s">
        <v>24</v>
      </c>
      <c r="EC75" s="2" t="s">
        <v>24</v>
      </c>
    </row>
    <row r="76" spans="1:133" ht="26.45" customHeight="1">
      <c r="A76" s="1">
        <v>0</v>
      </c>
      <c r="B76" s="47">
        <f t="shared" ref="B76:J76" si="46">(A76+1)</f>
        <v>1</v>
      </c>
      <c r="C76" s="47">
        <f t="shared" si="46"/>
        <v>2</v>
      </c>
      <c r="D76" s="47">
        <f t="shared" si="46"/>
        <v>3</v>
      </c>
      <c r="E76" s="47">
        <f>(D76+1)</f>
        <v>4</v>
      </c>
      <c r="F76" s="47">
        <f t="shared" si="46"/>
        <v>5</v>
      </c>
      <c r="G76" s="47">
        <f t="shared" si="46"/>
        <v>6</v>
      </c>
      <c r="H76" s="47">
        <f t="shared" si="46"/>
        <v>7</v>
      </c>
      <c r="I76" s="47">
        <f t="shared" si="46"/>
        <v>8</v>
      </c>
      <c r="J76" s="47">
        <f t="shared" si="46"/>
        <v>9</v>
      </c>
      <c r="K76" s="47">
        <v>0</v>
      </c>
      <c r="L76" s="47">
        <f>(X76+1)</f>
        <v>4</v>
      </c>
      <c r="M76" s="47">
        <f t="shared" ref="M76:T76" si="47">(L76+1)</f>
        <v>5</v>
      </c>
      <c r="N76" s="47">
        <f t="shared" si="47"/>
        <v>6</v>
      </c>
      <c r="O76" s="47">
        <f t="shared" si="47"/>
        <v>7</v>
      </c>
      <c r="P76" s="47">
        <f t="shared" si="47"/>
        <v>8</v>
      </c>
      <c r="Q76" s="47">
        <f t="shared" si="47"/>
        <v>9</v>
      </c>
      <c r="R76" s="47">
        <f t="shared" si="47"/>
        <v>10</v>
      </c>
      <c r="S76" s="47">
        <f t="shared" si="47"/>
        <v>11</v>
      </c>
      <c r="T76" s="47">
        <f t="shared" si="47"/>
        <v>12</v>
      </c>
      <c r="U76" s="47">
        <v>0</v>
      </c>
      <c r="V76" s="47">
        <f t="shared" ref="V76:AD76" si="48">(U76+1)</f>
        <v>1</v>
      </c>
      <c r="W76" s="47">
        <f t="shared" si="48"/>
        <v>2</v>
      </c>
      <c r="X76" s="47">
        <f t="shared" si="48"/>
        <v>3</v>
      </c>
      <c r="Y76" s="47">
        <f t="shared" si="48"/>
        <v>4</v>
      </c>
      <c r="Z76" s="47">
        <f t="shared" si="48"/>
        <v>5</v>
      </c>
      <c r="AA76" s="47">
        <f t="shared" si="48"/>
        <v>6</v>
      </c>
      <c r="AB76" s="47">
        <f t="shared" si="48"/>
        <v>7</v>
      </c>
      <c r="AC76" s="47">
        <f t="shared" si="48"/>
        <v>8</v>
      </c>
      <c r="AD76" s="47">
        <f t="shared" si="48"/>
        <v>9</v>
      </c>
      <c r="AE76" s="47">
        <v>0</v>
      </c>
      <c r="AF76" s="47">
        <f t="shared" ref="AF76:AK76" si="49">(AE76+1)</f>
        <v>1</v>
      </c>
      <c r="AG76" s="47">
        <f t="shared" si="49"/>
        <v>2</v>
      </c>
      <c r="AH76" s="47">
        <f t="shared" si="49"/>
        <v>3</v>
      </c>
      <c r="AI76" s="47">
        <f t="shared" si="49"/>
        <v>4</v>
      </c>
      <c r="AJ76" s="47">
        <f t="shared" si="49"/>
        <v>5</v>
      </c>
      <c r="AK76" s="47">
        <f t="shared" si="49"/>
        <v>6</v>
      </c>
      <c r="AL76" s="47">
        <f>(AX76+1)</f>
        <v>10</v>
      </c>
      <c r="AM76" s="47">
        <f t="shared" ref="AM76:AN76" si="50">(AL76+1)</f>
        <v>11</v>
      </c>
      <c r="AN76" s="47">
        <f t="shared" si="50"/>
        <v>12</v>
      </c>
      <c r="AO76" s="47">
        <v>0</v>
      </c>
      <c r="AP76" s="47">
        <f t="shared" ref="AP76:AX76" si="51">(AO76+1)</f>
        <v>1</v>
      </c>
      <c r="AQ76" s="47">
        <f t="shared" si="51"/>
        <v>2</v>
      </c>
      <c r="AR76" s="47">
        <f t="shared" si="51"/>
        <v>3</v>
      </c>
      <c r="AS76" s="47">
        <f t="shared" si="51"/>
        <v>4</v>
      </c>
      <c r="AT76" s="47">
        <f t="shared" si="51"/>
        <v>5</v>
      </c>
      <c r="AU76" s="47">
        <f t="shared" si="51"/>
        <v>6</v>
      </c>
      <c r="AV76" s="47">
        <f t="shared" si="51"/>
        <v>7</v>
      </c>
      <c r="AW76" s="47">
        <f t="shared" si="51"/>
        <v>8</v>
      </c>
      <c r="AX76" s="47">
        <f t="shared" si="51"/>
        <v>9</v>
      </c>
      <c r="AY76" s="47">
        <v>0</v>
      </c>
      <c r="AZ76" s="47">
        <f t="shared" ref="AZ76:BH76" si="52">(AY76+1)</f>
        <v>1</v>
      </c>
      <c r="BA76" s="47">
        <f>(AZ76+1)</f>
        <v>2</v>
      </c>
      <c r="BB76" s="47">
        <f t="shared" si="52"/>
        <v>3</v>
      </c>
      <c r="BC76" s="47">
        <f t="shared" si="52"/>
        <v>4</v>
      </c>
      <c r="BD76" s="47">
        <f t="shared" si="52"/>
        <v>5</v>
      </c>
      <c r="BE76" s="47">
        <f t="shared" si="52"/>
        <v>6</v>
      </c>
      <c r="BF76" s="47">
        <f t="shared" si="52"/>
        <v>7</v>
      </c>
      <c r="BG76" s="47">
        <f t="shared" si="52"/>
        <v>8</v>
      </c>
      <c r="BH76" s="47">
        <f t="shared" si="52"/>
        <v>9</v>
      </c>
      <c r="BI76" s="47">
        <v>0</v>
      </c>
      <c r="BJ76" s="47">
        <f t="shared" ref="BJ76:BK76" si="53">(BI76+1)</f>
        <v>1</v>
      </c>
      <c r="BK76" s="47">
        <f t="shared" si="53"/>
        <v>2</v>
      </c>
      <c r="BL76" s="47">
        <f>(BX76+1)</f>
        <v>6</v>
      </c>
      <c r="BM76" s="47">
        <f t="shared" ref="BM76:BR76" si="54">(BL76+1)</f>
        <v>7</v>
      </c>
      <c r="BN76" s="47">
        <f t="shared" si="54"/>
        <v>8</v>
      </c>
      <c r="BO76" s="47">
        <f t="shared" si="54"/>
        <v>9</v>
      </c>
      <c r="BP76" s="47">
        <f t="shared" si="54"/>
        <v>10</v>
      </c>
      <c r="BQ76" s="47">
        <f t="shared" si="54"/>
        <v>11</v>
      </c>
      <c r="BR76" s="47">
        <f t="shared" si="54"/>
        <v>12</v>
      </c>
      <c r="BS76" s="47">
        <v>0</v>
      </c>
      <c r="BT76" s="47">
        <f t="shared" ref="BT76:CB76" si="55">(BS76+1)</f>
        <v>1</v>
      </c>
      <c r="BU76" s="47">
        <f t="shared" si="55"/>
        <v>2</v>
      </c>
      <c r="BV76" s="47">
        <f t="shared" si="55"/>
        <v>3</v>
      </c>
      <c r="BW76" s="47">
        <f t="shared" si="55"/>
        <v>4</v>
      </c>
      <c r="BX76" s="47">
        <f t="shared" si="55"/>
        <v>5</v>
      </c>
      <c r="BY76" s="47">
        <f t="shared" si="55"/>
        <v>6</v>
      </c>
      <c r="BZ76" s="47">
        <f t="shared" si="55"/>
        <v>7</v>
      </c>
      <c r="CA76" s="47">
        <f t="shared" si="55"/>
        <v>8</v>
      </c>
      <c r="CB76" s="47">
        <f t="shared" si="55"/>
        <v>9</v>
      </c>
      <c r="CC76" s="47">
        <v>0</v>
      </c>
      <c r="CD76" s="47">
        <f t="shared" ref="CD76:CK76" si="56">(CC76+1)</f>
        <v>1</v>
      </c>
      <c r="CE76" s="47">
        <f t="shared" si="56"/>
        <v>2</v>
      </c>
      <c r="CF76" s="47">
        <f t="shared" si="56"/>
        <v>3</v>
      </c>
      <c r="CG76" s="47">
        <f t="shared" si="56"/>
        <v>4</v>
      </c>
      <c r="CH76" s="47">
        <f t="shared" si="56"/>
        <v>5</v>
      </c>
      <c r="CI76" s="47">
        <f t="shared" si="56"/>
        <v>6</v>
      </c>
      <c r="CJ76" s="47">
        <f t="shared" si="56"/>
        <v>7</v>
      </c>
      <c r="CK76" s="47">
        <f t="shared" si="56"/>
        <v>8</v>
      </c>
      <c r="CL76" s="47">
        <f>(CX76+1)</f>
        <v>2</v>
      </c>
      <c r="CM76" s="47">
        <v>0</v>
      </c>
      <c r="CN76" s="47">
        <f t="shared" ref="CN76:CV76" si="57">(CM76+1)</f>
        <v>1</v>
      </c>
      <c r="CO76" s="47">
        <f t="shared" si="57"/>
        <v>2</v>
      </c>
      <c r="CP76" s="47">
        <f t="shared" si="57"/>
        <v>3</v>
      </c>
      <c r="CQ76" s="47">
        <f t="shared" si="57"/>
        <v>4</v>
      </c>
      <c r="CR76" s="47">
        <f t="shared" si="57"/>
        <v>5</v>
      </c>
      <c r="CS76" s="47">
        <f t="shared" si="57"/>
        <v>6</v>
      </c>
      <c r="CT76" s="47">
        <f t="shared" si="57"/>
        <v>7</v>
      </c>
      <c r="CU76" s="47">
        <f t="shared" si="57"/>
        <v>8</v>
      </c>
      <c r="CV76" s="47">
        <f t="shared" si="57"/>
        <v>9</v>
      </c>
      <c r="CW76" s="47">
        <v>0</v>
      </c>
      <c r="CX76" s="47">
        <f t="shared" ref="CX76:DF76" si="58">(CW76+1)</f>
        <v>1</v>
      </c>
      <c r="CY76" s="47">
        <f t="shared" si="58"/>
        <v>2</v>
      </c>
      <c r="CZ76" s="47">
        <f t="shared" si="58"/>
        <v>3</v>
      </c>
      <c r="DA76" s="47">
        <f t="shared" si="58"/>
        <v>4</v>
      </c>
      <c r="DB76" s="47">
        <f t="shared" si="58"/>
        <v>5</v>
      </c>
      <c r="DC76" s="47">
        <f t="shared" si="58"/>
        <v>6</v>
      </c>
      <c r="DD76" s="47">
        <f t="shared" si="58"/>
        <v>7</v>
      </c>
      <c r="DE76" s="47">
        <f t="shared" si="58"/>
        <v>8</v>
      </c>
      <c r="DF76" s="47">
        <f t="shared" si="58"/>
        <v>9</v>
      </c>
      <c r="DG76" s="47">
        <v>0</v>
      </c>
      <c r="DH76" s="47">
        <f t="shared" ref="DH76:DK76" si="59">(DG76+1)</f>
        <v>1</v>
      </c>
      <c r="DI76" s="47">
        <f t="shared" si="59"/>
        <v>2</v>
      </c>
      <c r="DJ76" s="47">
        <f t="shared" si="59"/>
        <v>3</v>
      </c>
      <c r="DK76" s="47">
        <f t="shared" si="59"/>
        <v>4</v>
      </c>
      <c r="DL76" s="47">
        <f>(DX76+1)</f>
        <v>8</v>
      </c>
      <c r="DM76" s="47">
        <f t="shared" ref="DM76:DP76" si="60">(DL76+1)</f>
        <v>9</v>
      </c>
      <c r="DN76" s="47">
        <f t="shared" si="60"/>
        <v>10</v>
      </c>
      <c r="DO76" s="47">
        <f t="shared" si="60"/>
        <v>11</v>
      </c>
      <c r="DP76" s="47">
        <f t="shared" si="60"/>
        <v>12</v>
      </c>
      <c r="DQ76" s="47">
        <v>0</v>
      </c>
      <c r="DR76" s="47">
        <f t="shared" ref="DR76:DZ76" si="61">(DQ76+1)</f>
        <v>1</v>
      </c>
      <c r="DS76" s="47">
        <f t="shared" si="61"/>
        <v>2</v>
      </c>
      <c r="DT76" s="47">
        <f t="shared" si="61"/>
        <v>3</v>
      </c>
      <c r="DU76" s="47">
        <f t="shared" si="61"/>
        <v>4</v>
      </c>
      <c r="DV76" s="47">
        <f t="shared" si="61"/>
        <v>5</v>
      </c>
      <c r="DW76" s="47">
        <f t="shared" si="61"/>
        <v>6</v>
      </c>
      <c r="DX76" s="47">
        <f t="shared" si="61"/>
        <v>7</v>
      </c>
      <c r="DY76" s="47">
        <f t="shared" si="61"/>
        <v>8</v>
      </c>
      <c r="DZ76" s="47">
        <f t="shared" si="61"/>
        <v>9</v>
      </c>
      <c r="EA76" s="47">
        <v>0</v>
      </c>
      <c r="EB76" s="47">
        <f>(EA76+1)</f>
        <v>1</v>
      </c>
      <c r="EC76" s="2">
        <f>(EB76+1)</f>
        <v>2</v>
      </c>
    </row>
    <row r="77" spans="1:133" ht="25.15" customHeight="1">
      <c r="A77" s="1">
        <f t="shared" ref="A77:A140" si="62">A76+1</f>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7"/>
      <c r="DE77" s="97"/>
      <c r="DF77" s="97"/>
      <c r="DG77" s="97"/>
      <c r="DH77" s="97"/>
      <c r="DI77" s="67"/>
      <c r="DJ77" s="99"/>
      <c r="DK77" s="285"/>
      <c r="DL77" s="285"/>
      <c r="DM77" s="94"/>
      <c r="DN77" s="94"/>
      <c r="DO77" s="94"/>
      <c r="DP77" s="285"/>
      <c r="DQ77" s="285"/>
      <c r="DR77" s="94"/>
      <c r="DS77" s="94"/>
      <c r="DT77" s="94"/>
      <c r="DU77" s="94"/>
      <c r="DV77" s="94"/>
      <c r="DW77" s="94"/>
      <c r="DX77" s="94"/>
      <c r="DY77" s="94"/>
      <c r="DZ77" s="93"/>
      <c r="EA77" s="93"/>
      <c r="EB77" s="67"/>
      <c r="EC77" s="68"/>
    </row>
    <row r="78" spans="1:133" ht="25.15" customHeight="1">
      <c r="A78" s="1">
        <f t="shared" si="62"/>
        <v>2</v>
      </c>
      <c r="B78" s="100"/>
      <c r="C78" s="153" t="s">
        <v>239</v>
      </c>
      <c r="D78" s="153"/>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c r="BK78" s="153"/>
      <c r="BL78" s="153"/>
      <c r="BM78" s="153"/>
      <c r="BN78" s="153"/>
      <c r="BO78" s="153"/>
      <c r="BP78" s="153"/>
      <c r="BQ78" s="153"/>
      <c r="BR78" s="153"/>
      <c r="BS78" s="153"/>
      <c r="BT78" s="153"/>
      <c r="BU78" s="153"/>
      <c r="BV78" s="153"/>
      <c r="BW78" s="153"/>
      <c r="BX78" s="153"/>
      <c r="BY78" s="153"/>
      <c r="BZ78" s="153"/>
      <c r="CA78" s="153"/>
      <c r="CB78" s="153"/>
      <c r="CC78" s="153"/>
      <c r="CD78" s="153"/>
      <c r="CE78" s="153"/>
      <c r="CF78" s="153"/>
      <c r="CG78" s="153"/>
      <c r="CH78" s="153"/>
      <c r="CI78" s="153"/>
      <c r="CJ78" s="153"/>
      <c r="CK78" s="153"/>
      <c r="CL78" s="153"/>
      <c r="CM78" s="153"/>
      <c r="CN78" s="153"/>
      <c r="CO78" s="153"/>
      <c r="CP78" s="153"/>
      <c r="CQ78" s="153"/>
      <c r="CR78" s="153"/>
      <c r="CS78" s="153"/>
      <c r="CT78" s="153"/>
      <c r="CU78" s="153"/>
      <c r="CV78" s="153"/>
      <c r="CW78" s="153"/>
      <c r="CX78" s="153"/>
      <c r="CY78" s="153"/>
      <c r="CZ78" s="153"/>
      <c r="DA78" s="153"/>
      <c r="DB78" s="153"/>
      <c r="DC78" s="153"/>
      <c r="DD78" s="153"/>
      <c r="DE78" s="153"/>
      <c r="DF78" s="153"/>
      <c r="DG78" s="153"/>
      <c r="DH78" s="153"/>
      <c r="DI78" s="153"/>
      <c r="DJ78" s="153"/>
      <c r="DK78" s="153"/>
      <c r="DL78" s="153"/>
      <c r="DM78" s="153"/>
      <c r="DN78" s="153"/>
      <c r="DO78" s="153"/>
      <c r="DP78" s="153"/>
      <c r="DQ78" s="153"/>
      <c r="DR78" s="153"/>
      <c r="DS78" s="153"/>
      <c r="DT78" s="153"/>
      <c r="DU78" s="153"/>
      <c r="DV78" s="153"/>
      <c r="DW78" s="153"/>
      <c r="DX78" s="153"/>
      <c r="DY78" s="153"/>
      <c r="DZ78" s="153"/>
      <c r="EA78" s="153"/>
      <c r="EB78" s="153"/>
      <c r="EC78" s="73"/>
    </row>
    <row r="79" spans="1:133" ht="25.15" customHeight="1">
      <c r="A79" s="1">
        <f t="shared" si="62"/>
        <v>3</v>
      </c>
      <c r="B79" s="100"/>
      <c r="C79" s="168" t="s">
        <v>109</v>
      </c>
      <c r="D79" s="168"/>
      <c r="E79" s="168"/>
      <c r="F79" s="168"/>
      <c r="G79" s="168"/>
      <c r="H79" s="168"/>
      <c r="I79" s="168"/>
      <c r="J79" s="168"/>
      <c r="K79" s="168"/>
      <c r="L79" s="168"/>
      <c r="M79" s="168"/>
      <c r="N79" s="168"/>
      <c r="O79" s="168"/>
      <c r="P79" s="168"/>
      <c r="Q79" s="168" t="s">
        <v>110</v>
      </c>
      <c r="R79" s="165"/>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t="s">
        <v>115</v>
      </c>
      <c r="AX79" s="168"/>
      <c r="AY79" s="168"/>
      <c r="AZ79" s="168"/>
      <c r="BA79" s="168"/>
      <c r="BB79" s="168"/>
      <c r="BC79" s="168"/>
      <c r="BD79" s="168"/>
      <c r="BE79" s="168"/>
      <c r="BF79" s="168"/>
      <c r="BG79" s="168"/>
      <c r="BH79" s="168"/>
      <c r="BI79" s="168"/>
      <c r="BJ79" s="168"/>
      <c r="BK79" s="168"/>
      <c r="BL79" s="168"/>
      <c r="BM79" s="168"/>
      <c r="BN79" s="168"/>
      <c r="BO79" s="168"/>
      <c r="BP79" s="168"/>
      <c r="BQ79" s="168"/>
      <c r="BR79" s="168"/>
      <c r="BS79" s="168"/>
      <c r="BT79" s="168"/>
      <c r="BU79" s="168"/>
      <c r="BV79" s="168"/>
      <c r="BW79" s="168"/>
      <c r="BX79" s="168"/>
      <c r="BY79" s="168"/>
      <c r="BZ79" s="168"/>
      <c r="CA79" s="168"/>
      <c r="CB79" s="168"/>
      <c r="CC79" s="168"/>
      <c r="CD79" s="168"/>
      <c r="CE79" s="168"/>
      <c r="CF79" s="168"/>
      <c r="CG79" s="168"/>
      <c r="CH79" s="168"/>
      <c r="CI79" s="168"/>
      <c r="CJ79" s="168"/>
      <c r="CK79" s="168"/>
      <c r="CL79" s="168"/>
      <c r="CM79" s="168"/>
      <c r="CN79" s="168"/>
      <c r="CO79" s="168"/>
      <c r="CP79" s="168"/>
      <c r="CQ79" s="168"/>
      <c r="CR79" s="168"/>
      <c r="CS79" s="168"/>
      <c r="CT79" s="168"/>
      <c r="CU79" s="168"/>
      <c r="CV79" s="168"/>
      <c r="CW79" s="169"/>
      <c r="CX79" s="168"/>
      <c r="CY79" s="168"/>
      <c r="CZ79" s="168"/>
      <c r="DA79" s="168"/>
      <c r="DB79" s="168"/>
      <c r="DC79" s="168"/>
      <c r="DD79" s="168"/>
      <c r="DE79" s="168"/>
      <c r="DF79" s="168"/>
      <c r="DG79" s="168"/>
      <c r="DH79" s="168"/>
      <c r="DI79" s="168"/>
      <c r="DJ79" s="168"/>
      <c r="DK79" s="168"/>
      <c r="DL79" s="168"/>
      <c r="DM79" s="168"/>
      <c r="DN79" s="168"/>
      <c r="DO79" s="168"/>
      <c r="DP79" s="168"/>
      <c r="DQ79" s="168"/>
      <c r="DR79" s="168"/>
      <c r="DS79" s="168"/>
      <c r="DT79" s="168"/>
      <c r="DU79" s="168"/>
      <c r="DV79" s="168"/>
      <c r="DW79" s="168"/>
      <c r="DX79" s="168"/>
      <c r="DY79" s="168"/>
      <c r="DZ79" s="168"/>
      <c r="EA79" s="168"/>
      <c r="EB79" s="168"/>
      <c r="EC79" s="73"/>
    </row>
    <row r="80" spans="1:133" ht="25.15" customHeight="1">
      <c r="A80" s="1">
        <f t="shared" si="62"/>
        <v>4</v>
      </c>
      <c r="B80" s="100"/>
      <c r="C80" s="164"/>
      <c r="D80" s="164"/>
      <c r="E80" s="164"/>
      <c r="F80" s="164"/>
      <c r="G80" s="164"/>
      <c r="H80" s="164"/>
      <c r="I80" s="164"/>
      <c r="J80" s="164"/>
      <c r="K80" s="164"/>
      <c r="L80" s="164"/>
      <c r="M80" s="164"/>
      <c r="N80" s="164"/>
      <c r="O80" s="164"/>
      <c r="P80" s="164"/>
      <c r="Q80" s="170" t="s">
        <v>363</v>
      </c>
      <c r="R80" s="163"/>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9"/>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73"/>
    </row>
    <row r="81" spans="1:133" ht="25.15" customHeight="1">
      <c r="A81" s="1">
        <f t="shared" si="62"/>
        <v>5</v>
      </c>
      <c r="B81" s="100"/>
      <c r="C81" s="267" t="s">
        <v>235</v>
      </c>
      <c r="D81" s="267"/>
      <c r="E81" s="267"/>
      <c r="F81" s="267"/>
      <c r="G81" s="267"/>
      <c r="H81" s="267"/>
      <c r="I81" s="267"/>
      <c r="J81" s="267"/>
      <c r="K81" s="267"/>
      <c r="L81" s="267"/>
      <c r="M81" s="267"/>
      <c r="N81" s="267"/>
      <c r="O81" s="267"/>
      <c r="P81" s="267"/>
      <c r="Q81" s="264" t="s">
        <v>243</v>
      </c>
      <c r="R81" s="265"/>
      <c r="S81" s="265"/>
      <c r="T81" s="265"/>
      <c r="U81" s="265"/>
      <c r="V81" s="265"/>
      <c r="W81" s="265"/>
      <c r="X81" s="265"/>
      <c r="Y81" s="265"/>
      <c r="Z81" s="265"/>
      <c r="AA81" s="265"/>
      <c r="AB81" s="265"/>
      <c r="AC81" s="265"/>
      <c r="AD81" s="265"/>
      <c r="AE81" s="265"/>
      <c r="AF81" s="265"/>
      <c r="AG81" s="265"/>
      <c r="AH81" s="265"/>
      <c r="AI81" s="265"/>
      <c r="AJ81" s="263" t="s">
        <v>236</v>
      </c>
      <c r="AK81" s="263"/>
      <c r="AL81" s="263"/>
      <c r="AM81" s="263"/>
      <c r="AN81" s="263"/>
      <c r="AO81" s="263"/>
      <c r="AP81" s="263"/>
      <c r="AQ81" s="263"/>
      <c r="AR81" s="263"/>
      <c r="AS81" s="263"/>
      <c r="AT81" s="263"/>
      <c r="AU81" s="263"/>
      <c r="AV81" s="263"/>
      <c r="AW81" s="263"/>
      <c r="AX81" s="263"/>
      <c r="AY81" s="263"/>
      <c r="AZ81" s="263"/>
      <c r="BA81" s="263"/>
      <c r="BB81" s="263"/>
      <c r="BC81" s="264" t="s">
        <v>166</v>
      </c>
      <c r="BD81" s="265"/>
      <c r="BE81" s="265"/>
      <c r="BF81" s="265"/>
      <c r="BG81" s="265"/>
      <c r="BH81" s="265"/>
      <c r="BI81" s="265"/>
      <c r="BJ81" s="265"/>
      <c r="BK81" s="265"/>
      <c r="BL81" s="265"/>
      <c r="BM81" s="265"/>
      <c r="BN81" s="265"/>
      <c r="BO81" s="265"/>
      <c r="BP81" s="265"/>
      <c r="BQ81" s="265"/>
      <c r="BR81" s="265"/>
      <c r="BS81" s="265"/>
      <c r="BT81" s="265"/>
      <c r="BU81" s="265"/>
      <c r="BV81" s="263" t="s">
        <v>242</v>
      </c>
      <c r="BW81" s="263"/>
      <c r="BX81" s="263"/>
      <c r="BY81" s="263"/>
      <c r="BZ81" s="263"/>
      <c r="CA81" s="263"/>
      <c r="CB81" s="263"/>
      <c r="CC81" s="263"/>
      <c r="CD81" s="263"/>
      <c r="CE81" s="263"/>
      <c r="CF81" s="263"/>
      <c r="CG81" s="263"/>
      <c r="CH81" s="263"/>
      <c r="CI81" s="263"/>
      <c r="CJ81" s="263"/>
      <c r="CK81" s="263"/>
      <c r="CL81" s="263"/>
      <c r="CM81" s="263"/>
      <c r="CN81" s="263"/>
      <c r="CO81" s="264" t="s">
        <v>168</v>
      </c>
      <c r="CP81" s="265"/>
      <c r="CQ81" s="265"/>
      <c r="CR81" s="265"/>
      <c r="CS81" s="265"/>
      <c r="CT81" s="265"/>
      <c r="CU81" s="265"/>
      <c r="CV81" s="265"/>
      <c r="CW81" s="265"/>
      <c r="CX81" s="265"/>
      <c r="CY81" s="265"/>
      <c r="CZ81" s="265"/>
      <c r="DA81" s="265"/>
      <c r="DB81" s="265"/>
      <c r="DC81" s="265"/>
      <c r="DD81" s="265"/>
      <c r="DE81" s="265"/>
      <c r="DF81" s="265"/>
      <c r="DG81" s="265"/>
      <c r="DH81" s="264" t="s">
        <v>241</v>
      </c>
      <c r="DI81" s="265"/>
      <c r="DJ81" s="265"/>
      <c r="DK81" s="265"/>
      <c r="DL81" s="265"/>
      <c r="DM81" s="265"/>
      <c r="DN81" s="265"/>
      <c r="DO81" s="265"/>
      <c r="DP81" s="265"/>
      <c r="DQ81" s="265"/>
      <c r="DR81" s="265"/>
      <c r="DS81" s="265"/>
      <c r="DT81" s="265"/>
      <c r="DU81" s="265"/>
      <c r="DV81" s="265"/>
      <c r="DW81" s="265"/>
      <c r="DX81" s="265"/>
      <c r="DY81" s="265"/>
      <c r="DZ81" s="265"/>
      <c r="EA81" s="166"/>
      <c r="EB81" s="167"/>
      <c r="EC81" s="73"/>
    </row>
    <row r="82" spans="1:133" ht="25.15" customHeight="1">
      <c r="A82" s="1">
        <f t="shared" si="62"/>
        <v>6</v>
      </c>
      <c r="B82" s="100"/>
      <c r="C82" s="154" t="s">
        <v>237</v>
      </c>
      <c r="D82" s="154"/>
      <c r="E82" s="154"/>
      <c r="F82" s="154"/>
      <c r="G82" s="154"/>
      <c r="H82" s="154"/>
      <c r="I82" s="154"/>
      <c r="J82" s="154"/>
      <c r="K82" s="154"/>
      <c r="L82" s="154"/>
      <c r="M82" s="154"/>
      <c r="N82" s="154"/>
      <c r="O82" s="154"/>
      <c r="P82" s="154"/>
      <c r="Q82" s="284" t="s">
        <v>233</v>
      </c>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46" t="s">
        <v>240</v>
      </c>
      <c r="AX82" s="246"/>
      <c r="AY82" s="246"/>
      <c r="AZ82" s="246"/>
      <c r="BA82" s="246"/>
      <c r="BB82" s="246"/>
      <c r="BC82" s="246"/>
      <c r="BD82" s="246"/>
      <c r="BE82" s="246"/>
      <c r="BF82" s="246"/>
      <c r="BG82" s="246"/>
      <c r="BH82" s="246"/>
      <c r="BI82" s="246"/>
      <c r="BJ82" s="246"/>
      <c r="BK82" s="246"/>
      <c r="BL82" s="246"/>
      <c r="BM82" s="246"/>
      <c r="BN82" s="246"/>
      <c r="BO82" s="246"/>
      <c r="BP82" s="246"/>
      <c r="BQ82" s="246"/>
      <c r="BR82" s="246"/>
      <c r="BS82" s="246"/>
      <c r="BT82" s="246"/>
      <c r="BU82" s="246"/>
      <c r="BV82" s="246"/>
      <c r="BW82" s="246"/>
      <c r="BX82" s="246"/>
      <c r="BY82" s="246"/>
      <c r="BZ82" s="246"/>
      <c r="CA82" s="246"/>
      <c r="CB82" s="246"/>
      <c r="CC82" s="246"/>
      <c r="CD82" s="246"/>
      <c r="CE82" s="246"/>
      <c r="CF82" s="246"/>
      <c r="CG82" s="246"/>
      <c r="CH82" s="246"/>
      <c r="CI82" s="246"/>
      <c r="CJ82" s="246"/>
      <c r="CK82" s="246"/>
      <c r="CL82" s="246"/>
      <c r="CM82" s="246"/>
      <c r="CN82" s="246"/>
      <c r="CO82" s="246"/>
      <c r="CP82" s="246"/>
      <c r="CQ82" s="246"/>
      <c r="CR82" s="246"/>
      <c r="CS82" s="246"/>
      <c r="CT82" s="246"/>
      <c r="CU82" s="246"/>
      <c r="CV82" s="246"/>
      <c r="CW82" s="246"/>
      <c r="CX82" s="246"/>
      <c r="CY82" s="246"/>
      <c r="CZ82" s="246"/>
      <c r="DA82" s="246"/>
      <c r="DB82" s="246"/>
      <c r="DC82" s="246"/>
      <c r="DD82" s="246"/>
      <c r="DE82" s="246"/>
      <c r="DF82" s="246"/>
      <c r="DG82" s="246"/>
      <c r="DH82" s="246"/>
      <c r="DI82" s="246"/>
      <c r="DJ82" s="246"/>
      <c r="DK82" s="246"/>
      <c r="DL82" s="246"/>
      <c r="DM82" s="246"/>
      <c r="DN82" s="246"/>
      <c r="DO82" s="246"/>
      <c r="DP82" s="246"/>
      <c r="DQ82" s="246"/>
      <c r="DR82" s="246"/>
      <c r="DS82" s="246"/>
      <c r="DT82" s="246"/>
      <c r="DU82" s="246"/>
      <c r="DV82" s="246"/>
      <c r="DW82" s="246"/>
      <c r="DX82" s="246"/>
      <c r="DY82" s="246"/>
      <c r="DZ82" s="246"/>
      <c r="EA82" s="246"/>
      <c r="EB82" s="246"/>
      <c r="EC82" s="73"/>
    </row>
    <row r="83" spans="1:133" ht="25.15" customHeight="1">
      <c r="A83" s="1">
        <f t="shared" si="62"/>
        <v>7</v>
      </c>
      <c r="B83" s="100"/>
      <c r="C83" s="101"/>
      <c r="D83" s="101"/>
      <c r="E83" s="101"/>
      <c r="F83" s="101"/>
      <c r="G83" s="101"/>
      <c r="H83" s="101"/>
      <c r="I83" s="119"/>
      <c r="J83" s="119"/>
      <c r="K83" s="119"/>
      <c r="L83" s="119"/>
      <c r="M83" s="101"/>
      <c r="N83" s="101"/>
      <c r="O83" s="105"/>
      <c r="P83" s="105"/>
      <c r="Q83" s="258" t="s">
        <v>184</v>
      </c>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9" t="s">
        <v>240</v>
      </c>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ht="25.15" customHeight="1">
      <c r="A84" s="1">
        <f t="shared" si="62"/>
        <v>8</v>
      </c>
      <c r="B84" s="100"/>
      <c r="C84" s="150" t="s">
        <v>218</v>
      </c>
      <c r="D84" s="150"/>
      <c r="E84" s="150"/>
      <c r="F84" s="150"/>
      <c r="G84" s="150"/>
      <c r="H84" s="150"/>
      <c r="I84" s="150"/>
      <c r="J84" s="150"/>
      <c r="K84" s="150"/>
      <c r="L84" s="150"/>
      <c r="M84" s="150"/>
      <c r="N84" s="150"/>
      <c r="O84" s="150"/>
      <c r="P84" s="150"/>
      <c r="Q84" s="252" t="s">
        <v>156</v>
      </c>
      <c r="R84" s="251"/>
      <c r="S84" s="251"/>
      <c r="T84" s="251"/>
      <c r="U84" s="251"/>
      <c r="V84" s="251"/>
      <c r="W84" s="251"/>
      <c r="X84" s="251"/>
      <c r="Y84" s="251"/>
      <c r="Z84" s="251"/>
      <c r="AA84" s="251"/>
      <c r="AB84" s="251"/>
      <c r="AC84" s="251"/>
      <c r="AD84" s="251"/>
      <c r="AE84" s="251"/>
      <c r="AF84" s="251"/>
      <c r="AG84" s="251"/>
      <c r="AH84" s="251"/>
      <c r="AI84" s="251"/>
      <c r="AJ84" s="252" t="s">
        <v>156</v>
      </c>
      <c r="AK84" s="251"/>
      <c r="AL84" s="251"/>
      <c r="AM84" s="251"/>
      <c r="AN84" s="251"/>
      <c r="AO84" s="251"/>
      <c r="AP84" s="251"/>
      <c r="AQ84" s="251"/>
      <c r="AR84" s="251"/>
      <c r="AS84" s="251"/>
      <c r="AT84" s="251"/>
      <c r="AU84" s="251"/>
      <c r="AV84" s="251"/>
      <c r="AW84" s="251"/>
      <c r="AX84" s="251"/>
      <c r="AY84" s="251"/>
      <c r="AZ84" s="251"/>
      <c r="BA84" s="251"/>
      <c r="BB84" s="251"/>
      <c r="BC84" s="252" t="s">
        <v>156</v>
      </c>
      <c r="BD84" s="251"/>
      <c r="BE84" s="251"/>
      <c r="BF84" s="251"/>
      <c r="BG84" s="251"/>
      <c r="BH84" s="251"/>
      <c r="BI84" s="251"/>
      <c r="BJ84" s="251"/>
      <c r="BK84" s="251"/>
      <c r="BL84" s="251"/>
      <c r="BM84" s="251"/>
      <c r="BN84" s="251"/>
      <c r="BO84" s="251"/>
      <c r="BP84" s="251"/>
      <c r="BQ84" s="251"/>
      <c r="BR84" s="251"/>
      <c r="BS84" s="251"/>
      <c r="BT84" s="251"/>
      <c r="BU84" s="251"/>
      <c r="BV84" s="252" t="s">
        <v>156</v>
      </c>
      <c r="BW84" s="251"/>
      <c r="BX84" s="251"/>
      <c r="BY84" s="251"/>
      <c r="BZ84" s="251"/>
      <c r="CA84" s="251"/>
      <c r="CB84" s="251"/>
      <c r="CC84" s="251"/>
      <c r="CD84" s="251"/>
      <c r="CE84" s="251"/>
      <c r="CF84" s="251"/>
      <c r="CG84" s="251"/>
      <c r="CH84" s="251"/>
      <c r="CI84" s="251"/>
      <c r="CJ84" s="251"/>
      <c r="CK84" s="251"/>
      <c r="CL84" s="251"/>
      <c r="CM84" s="251"/>
      <c r="CN84" s="251"/>
      <c r="CO84" s="252" t="s">
        <v>156</v>
      </c>
      <c r="CP84" s="251"/>
      <c r="CQ84" s="251"/>
      <c r="CR84" s="251"/>
      <c r="CS84" s="251"/>
      <c r="CT84" s="251"/>
      <c r="CU84" s="251"/>
      <c r="CV84" s="251"/>
      <c r="CW84" s="251"/>
      <c r="CX84" s="251"/>
      <c r="CY84" s="251"/>
      <c r="CZ84" s="251"/>
      <c r="DA84" s="251"/>
      <c r="DB84" s="251"/>
      <c r="DC84" s="251"/>
      <c r="DD84" s="251"/>
      <c r="DE84" s="251"/>
      <c r="DF84" s="251"/>
      <c r="DG84" s="251"/>
      <c r="DH84" s="252" t="s">
        <v>156</v>
      </c>
      <c r="DI84" s="251"/>
      <c r="DJ84" s="251"/>
      <c r="DK84" s="251"/>
      <c r="DL84" s="251"/>
      <c r="DM84" s="251"/>
      <c r="DN84" s="251"/>
      <c r="DO84" s="251"/>
      <c r="DP84" s="251"/>
      <c r="DQ84" s="251"/>
      <c r="DR84" s="251"/>
      <c r="DS84" s="251"/>
      <c r="DT84" s="251"/>
      <c r="DU84" s="251"/>
      <c r="DV84" s="251"/>
      <c r="DW84" s="251"/>
      <c r="DX84" s="251"/>
      <c r="DY84" s="251"/>
      <c r="DZ84" s="251"/>
      <c r="EA84" s="107"/>
      <c r="EB84" s="104"/>
      <c r="EC84" s="73"/>
    </row>
    <row r="85" spans="1:133" ht="25.15" customHeight="1">
      <c r="A85" s="1">
        <f t="shared" si="62"/>
        <v>9</v>
      </c>
      <c r="B85" s="69"/>
      <c r="C85" s="150" t="s">
        <v>218</v>
      </c>
      <c r="D85" s="150"/>
      <c r="E85" s="150"/>
      <c r="F85" s="150"/>
      <c r="G85" s="150"/>
      <c r="H85" s="150"/>
      <c r="I85" s="150"/>
      <c r="J85" s="150"/>
      <c r="K85" s="150"/>
      <c r="L85" s="150"/>
      <c r="M85" s="150"/>
      <c r="N85" s="150"/>
      <c r="O85" s="150"/>
      <c r="P85" s="150"/>
      <c r="Q85" s="252" t="s">
        <v>156</v>
      </c>
      <c r="R85" s="251"/>
      <c r="S85" s="251"/>
      <c r="T85" s="251"/>
      <c r="U85" s="251"/>
      <c r="V85" s="251"/>
      <c r="W85" s="251"/>
      <c r="X85" s="251"/>
      <c r="Y85" s="251"/>
      <c r="Z85" s="251"/>
      <c r="AA85" s="251"/>
      <c r="AB85" s="251"/>
      <c r="AC85" s="251"/>
      <c r="AD85" s="251"/>
      <c r="AE85" s="251"/>
      <c r="AF85" s="251"/>
      <c r="AG85" s="251"/>
      <c r="AH85" s="251"/>
      <c r="AI85" s="251"/>
      <c r="AJ85" s="252" t="s">
        <v>156</v>
      </c>
      <c r="AK85" s="251"/>
      <c r="AL85" s="251"/>
      <c r="AM85" s="251"/>
      <c r="AN85" s="251"/>
      <c r="AO85" s="251"/>
      <c r="AP85" s="251"/>
      <c r="AQ85" s="251"/>
      <c r="AR85" s="251"/>
      <c r="AS85" s="251"/>
      <c r="AT85" s="251"/>
      <c r="AU85" s="251"/>
      <c r="AV85" s="251"/>
      <c r="AW85" s="251"/>
      <c r="AX85" s="251"/>
      <c r="AY85" s="251"/>
      <c r="AZ85" s="251"/>
      <c r="BA85" s="251"/>
      <c r="BB85" s="251"/>
      <c r="BC85" s="252" t="s">
        <v>156</v>
      </c>
      <c r="BD85" s="251"/>
      <c r="BE85" s="251"/>
      <c r="BF85" s="251"/>
      <c r="BG85" s="251"/>
      <c r="BH85" s="251"/>
      <c r="BI85" s="251"/>
      <c r="BJ85" s="251"/>
      <c r="BK85" s="251"/>
      <c r="BL85" s="251"/>
      <c r="BM85" s="251"/>
      <c r="BN85" s="251"/>
      <c r="BO85" s="251"/>
      <c r="BP85" s="251"/>
      <c r="BQ85" s="251"/>
      <c r="BR85" s="251"/>
      <c r="BS85" s="251"/>
      <c r="BT85" s="251"/>
      <c r="BU85" s="251"/>
      <c r="BV85" s="252" t="s">
        <v>156</v>
      </c>
      <c r="BW85" s="251"/>
      <c r="BX85" s="251"/>
      <c r="BY85" s="251"/>
      <c r="BZ85" s="251"/>
      <c r="CA85" s="251"/>
      <c r="CB85" s="251"/>
      <c r="CC85" s="251"/>
      <c r="CD85" s="251"/>
      <c r="CE85" s="251"/>
      <c r="CF85" s="251"/>
      <c r="CG85" s="251"/>
      <c r="CH85" s="251"/>
      <c r="CI85" s="251"/>
      <c r="CJ85" s="251"/>
      <c r="CK85" s="251"/>
      <c r="CL85" s="251"/>
      <c r="CM85" s="251"/>
      <c r="CN85" s="251"/>
      <c r="CO85" s="252" t="s">
        <v>156</v>
      </c>
      <c r="CP85" s="251"/>
      <c r="CQ85" s="251"/>
      <c r="CR85" s="251"/>
      <c r="CS85" s="251"/>
      <c r="CT85" s="251"/>
      <c r="CU85" s="251"/>
      <c r="CV85" s="251"/>
      <c r="CW85" s="251"/>
      <c r="CX85" s="251"/>
      <c r="CY85" s="251"/>
      <c r="CZ85" s="251"/>
      <c r="DA85" s="251"/>
      <c r="DB85" s="251"/>
      <c r="DC85" s="251"/>
      <c r="DD85" s="251"/>
      <c r="DE85" s="251"/>
      <c r="DF85" s="251"/>
      <c r="DG85" s="251"/>
      <c r="DH85" s="252" t="s">
        <v>156</v>
      </c>
      <c r="DI85" s="251"/>
      <c r="DJ85" s="251"/>
      <c r="DK85" s="251"/>
      <c r="DL85" s="251"/>
      <c r="DM85" s="251"/>
      <c r="DN85" s="251"/>
      <c r="DO85" s="251"/>
      <c r="DP85" s="251"/>
      <c r="DQ85" s="251"/>
      <c r="DR85" s="251"/>
      <c r="DS85" s="251"/>
      <c r="DT85" s="251"/>
      <c r="DU85" s="251"/>
      <c r="DV85" s="251"/>
      <c r="DW85" s="251"/>
      <c r="DX85" s="251"/>
      <c r="DY85" s="251"/>
      <c r="DZ85" s="251"/>
      <c r="EA85" s="104"/>
      <c r="EB85" s="104"/>
      <c r="EC85" s="73"/>
    </row>
    <row r="86" spans="1:133" ht="25.15" customHeight="1">
      <c r="A86" s="1">
        <f t="shared" si="62"/>
        <v>10</v>
      </c>
      <c r="B86" s="69"/>
      <c r="C86" s="259" t="s">
        <v>277</v>
      </c>
      <c r="D86" s="259"/>
      <c r="E86" s="259"/>
      <c r="F86" s="259"/>
      <c r="G86" s="259"/>
      <c r="H86" s="259"/>
      <c r="I86" s="259"/>
      <c r="J86" s="259"/>
      <c r="K86" s="259"/>
      <c r="L86" s="259"/>
      <c r="M86" s="259"/>
      <c r="N86" s="259"/>
      <c r="O86" s="259"/>
      <c r="P86" s="259"/>
      <c r="Q86" s="252" t="s">
        <v>156</v>
      </c>
      <c r="R86" s="251"/>
      <c r="S86" s="251"/>
      <c r="T86" s="251"/>
      <c r="U86" s="251"/>
      <c r="V86" s="251"/>
      <c r="W86" s="251"/>
      <c r="X86" s="251"/>
      <c r="Y86" s="251"/>
      <c r="Z86" s="251"/>
      <c r="AA86" s="251"/>
      <c r="AB86" s="251"/>
      <c r="AC86" s="251"/>
      <c r="AD86" s="251"/>
      <c r="AE86" s="251"/>
      <c r="AF86" s="251"/>
      <c r="AG86" s="251"/>
      <c r="AH86" s="251"/>
      <c r="AI86" s="251"/>
      <c r="AJ86" s="252" t="s">
        <v>156</v>
      </c>
      <c r="AK86" s="251"/>
      <c r="AL86" s="251"/>
      <c r="AM86" s="251"/>
      <c r="AN86" s="251"/>
      <c r="AO86" s="251"/>
      <c r="AP86" s="251"/>
      <c r="AQ86" s="251"/>
      <c r="AR86" s="251"/>
      <c r="AS86" s="251"/>
      <c r="AT86" s="251"/>
      <c r="AU86" s="251"/>
      <c r="AV86" s="251"/>
      <c r="AW86" s="251"/>
      <c r="AX86" s="251"/>
      <c r="AY86" s="251"/>
      <c r="AZ86" s="251"/>
      <c r="BA86" s="251"/>
      <c r="BB86" s="251"/>
      <c r="BC86" s="252" t="s">
        <v>156</v>
      </c>
      <c r="BD86" s="251"/>
      <c r="BE86" s="251"/>
      <c r="BF86" s="251"/>
      <c r="BG86" s="251"/>
      <c r="BH86" s="251"/>
      <c r="BI86" s="251"/>
      <c r="BJ86" s="251"/>
      <c r="BK86" s="251"/>
      <c r="BL86" s="251"/>
      <c r="BM86" s="251"/>
      <c r="BN86" s="251"/>
      <c r="BO86" s="251"/>
      <c r="BP86" s="251"/>
      <c r="BQ86" s="251"/>
      <c r="BR86" s="251"/>
      <c r="BS86" s="251"/>
      <c r="BT86" s="251"/>
      <c r="BU86" s="251"/>
      <c r="BV86" s="252" t="s">
        <v>156</v>
      </c>
      <c r="BW86" s="251"/>
      <c r="BX86" s="251"/>
      <c r="BY86" s="251"/>
      <c r="BZ86" s="251"/>
      <c r="CA86" s="251"/>
      <c r="CB86" s="251"/>
      <c r="CC86" s="251"/>
      <c r="CD86" s="251"/>
      <c r="CE86" s="251"/>
      <c r="CF86" s="251"/>
      <c r="CG86" s="251"/>
      <c r="CH86" s="251"/>
      <c r="CI86" s="251"/>
      <c r="CJ86" s="251"/>
      <c r="CK86" s="251"/>
      <c r="CL86" s="251"/>
      <c r="CM86" s="251"/>
      <c r="CN86" s="251"/>
      <c r="CO86" s="252" t="s">
        <v>156</v>
      </c>
      <c r="CP86" s="251"/>
      <c r="CQ86" s="251"/>
      <c r="CR86" s="251"/>
      <c r="CS86" s="251"/>
      <c r="CT86" s="251"/>
      <c r="CU86" s="251"/>
      <c r="CV86" s="251"/>
      <c r="CW86" s="251"/>
      <c r="CX86" s="251"/>
      <c r="CY86" s="251"/>
      <c r="CZ86" s="251"/>
      <c r="DA86" s="251"/>
      <c r="DB86" s="251"/>
      <c r="DC86" s="251"/>
      <c r="DD86" s="251"/>
      <c r="DE86" s="251"/>
      <c r="DF86" s="251"/>
      <c r="DG86" s="251"/>
      <c r="DH86" s="252" t="s">
        <v>156</v>
      </c>
      <c r="DI86" s="251"/>
      <c r="DJ86" s="251"/>
      <c r="DK86" s="251"/>
      <c r="DL86" s="251"/>
      <c r="DM86" s="251"/>
      <c r="DN86" s="251"/>
      <c r="DO86" s="251"/>
      <c r="DP86" s="251"/>
      <c r="DQ86" s="251"/>
      <c r="DR86" s="251"/>
      <c r="DS86" s="251"/>
      <c r="DT86" s="251"/>
      <c r="DU86" s="251"/>
      <c r="DV86" s="251"/>
      <c r="DW86" s="251"/>
      <c r="DX86" s="251"/>
      <c r="DY86" s="251"/>
      <c r="DZ86" s="251"/>
      <c r="EA86" s="104"/>
      <c r="EB86" s="104"/>
      <c r="EC86" s="73"/>
    </row>
    <row r="87" spans="1:133" ht="25.15" customHeight="1">
      <c r="A87" s="1">
        <f t="shared" si="62"/>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DY87" s="104"/>
      <c r="DZ87" s="104"/>
      <c r="EA87" s="104"/>
      <c r="EB87" s="104"/>
      <c r="EC87" s="73"/>
    </row>
    <row r="88" spans="1:133" ht="25.15" customHeight="1">
      <c r="A88" s="1">
        <f t="shared" si="62"/>
        <v>12</v>
      </c>
      <c r="B88" s="100"/>
      <c r="C88" s="150" t="s">
        <v>237</v>
      </c>
      <c r="D88" s="150"/>
      <c r="E88" s="150"/>
      <c r="F88" s="150"/>
      <c r="G88" s="150"/>
      <c r="H88" s="150"/>
      <c r="I88" s="150"/>
      <c r="J88" s="150"/>
      <c r="K88" s="150"/>
      <c r="L88" s="150"/>
      <c r="M88" s="150"/>
      <c r="N88" s="150"/>
      <c r="O88" s="150"/>
      <c r="P88" s="150"/>
      <c r="Q88" s="258" t="s">
        <v>233</v>
      </c>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9" t="s">
        <v>240</v>
      </c>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
        <f t="shared" si="62"/>
        <v>13</v>
      </c>
      <c r="B89" s="100"/>
      <c r="C89" s="101"/>
      <c r="D89" s="101"/>
      <c r="E89" s="101"/>
      <c r="F89" s="101"/>
      <c r="G89" s="101"/>
      <c r="H89" s="101"/>
      <c r="I89" s="119"/>
      <c r="J89" s="119"/>
      <c r="K89" s="119"/>
      <c r="L89" s="119"/>
      <c r="M89" s="101"/>
      <c r="N89" s="101"/>
      <c r="O89" s="105"/>
      <c r="P89" s="105"/>
      <c r="Q89" s="258" t="s">
        <v>184</v>
      </c>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9" t="s">
        <v>240</v>
      </c>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
        <f t="shared" si="62"/>
        <v>14</v>
      </c>
      <c r="B90" s="69"/>
      <c r="C90" s="150" t="s">
        <v>218</v>
      </c>
      <c r="D90" s="150"/>
      <c r="E90" s="150"/>
      <c r="F90" s="150"/>
      <c r="G90" s="150"/>
      <c r="H90" s="150"/>
      <c r="I90" s="150"/>
      <c r="J90" s="150"/>
      <c r="K90" s="150"/>
      <c r="L90" s="150"/>
      <c r="M90" s="150"/>
      <c r="N90" s="150"/>
      <c r="O90" s="150"/>
      <c r="P90" s="150"/>
      <c r="Q90" s="252" t="s">
        <v>156</v>
      </c>
      <c r="R90" s="251"/>
      <c r="S90" s="251"/>
      <c r="T90" s="251"/>
      <c r="U90" s="251"/>
      <c r="V90" s="251"/>
      <c r="W90" s="251"/>
      <c r="X90" s="251"/>
      <c r="Y90" s="251"/>
      <c r="Z90" s="251"/>
      <c r="AA90" s="251"/>
      <c r="AB90" s="251"/>
      <c r="AC90" s="251"/>
      <c r="AD90" s="251"/>
      <c r="AE90" s="251"/>
      <c r="AF90" s="251"/>
      <c r="AG90" s="251"/>
      <c r="AH90" s="251"/>
      <c r="AI90" s="251"/>
      <c r="AJ90" s="252" t="s">
        <v>156</v>
      </c>
      <c r="AK90" s="251"/>
      <c r="AL90" s="251"/>
      <c r="AM90" s="251"/>
      <c r="AN90" s="251"/>
      <c r="AO90" s="251"/>
      <c r="AP90" s="251"/>
      <c r="AQ90" s="251"/>
      <c r="AR90" s="251"/>
      <c r="AS90" s="251"/>
      <c r="AT90" s="251"/>
      <c r="AU90" s="251"/>
      <c r="AV90" s="251"/>
      <c r="AW90" s="251"/>
      <c r="AX90" s="251"/>
      <c r="AY90" s="251"/>
      <c r="AZ90" s="251"/>
      <c r="BA90" s="251"/>
      <c r="BB90" s="251"/>
      <c r="BC90" s="252" t="s">
        <v>156</v>
      </c>
      <c r="BD90" s="251"/>
      <c r="BE90" s="251"/>
      <c r="BF90" s="251"/>
      <c r="BG90" s="251"/>
      <c r="BH90" s="251"/>
      <c r="BI90" s="251"/>
      <c r="BJ90" s="251"/>
      <c r="BK90" s="251"/>
      <c r="BL90" s="251"/>
      <c r="BM90" s="251"/>
      <c r="BN90" s="251"/>
      <c r="BO90" s="251"/>
      <c r="BP90" s="251"/>
      <c r="BQ90" s="251"/>
      <c r="BR90" s="251"/>
      <c r="BS90" s="251"/>
      <c r="BT90" s="251"/>
      <c r="BU90" s="251"/>
      <c r="BV90" s="252" t="s">
        <v>156</v>
      </c>
      <c r="BW90" s="251"/>
      <c r="BX90" s="251"/>
      <c r="BY90" s="251"/>
      <c r="BZ90" s="251"/>
      <c r="CA90" s="251"/>
      <c r="CB90" s="251"/>
      <c r="CC90" s="251"/>
      <c r="CD90" s="251"/>
      <c r="CE90" s="251"/>
      <c r="CF90" s="251"/>
      <c r="CG90" s="251"/>
      <c r="CH90" s="251"/>
      <c r="CI90" s="251"/>
      <c r="CJ90" s="251"/>
      <c r="CK90" s="251"/>
      <c r="CL90" s="251"/>
      <c r="CM90" s="251"/>
      <c r="CN90" s="251"/>
      <c r="CO90" s="252" t="s">
        <v>156</v>
      </c>
      <c r="CP90" s="251"/>
      <c r="CQ90" s="251"/>
      <c r="CR90" s="251"/>
      <c r="CS90" s="251"/>
      <c r="CT90" s="251"/>
      <c r="CU90" s="251"/>
      <c r="CV90" s="251"/>
      <c r="CW90" s="251"/>
      <c r="CX90" s="251"/>
      <c r="CY90" s="251"/>
      <c r="CZ90" s="251"/>
      <c r="DA90" s="251"/>
      <c r="DB90" s="251"/>
      <c r="DC90" s="251"/>
      <c r="DD90" s="251"/>
      <c r="DE90" s="251"/>
      <c r="DF90" s="251"/>
      <c r="DG90" s="251"/>
      <c r="DH90" s="252" t="s">
        <v>156</v>
      </c>
      <c r="DI90" s="251"/>
      <c r="DJ90" s="251"/>
      <c r="DK90" s="251"/>
      <c r="DL90" s="251"/>
      <c r="DM90" s="251"/>
      <c r="DN90" s="251"/>
      <c r="DO90" s="251"/>
      <c r="DP90" s="251"/>
      <c r="DQ90" s="251"/>
      <c r="DR90" s="251"/>
      <c r="DS90" s="251"/>
      <c r="DT90" s="251"/>
      <c r="DU90" s="251"/>
      <c r="DV90" s="251"/>
      <c r="DW90" s="251"/>
      <c r="DX90" s="251"/>
      <c r="DY90" s="251"/>
      <c r="DZ90" s="251"/>
      <c r="EA90" s="107"/>
      <c r="EB90" s="104"/>
      <c r="EC90" s="73"/>
    </row>
    <row r="91" spans="1:133" ht="25.15" customHeight="1">
      <c r="A91" s="1">
        <f t="shared" si="62"/>
        <v>15</v>
      </c>
      <c r="B91" s="69"/>
      <c r="C91" s="150" t="s">
        <v>218</v>
      </c>
      <c r="D91" s="150"/>
      <c r="E91" s="150"/>
      <c r="F91" s="150"/>
      <c r="G91" s="150"/>
      <c r="H91" s="150"/>
      <c r="I91" s="150"/>
      <c r="J91" s="150"/>
      <c r="K91" s="150"/>
      <c r="L91" s="150"/>
      <c r="M91" s="150"/>
      <c r="N91" s="150"/>
      <c r="O91" s="150"/>
      <c r="P91" s="150"/>
      <c r="Q91" s="252" t="s">
        <v>156</v>
      </c>
      <c r="R91" s="251"/>
      <c r="S91" s="251"/>
      <c r="T91" s="251"/>
      <c r="U91" s="251"/>
      <c r="V91" s="251"/>
      <c r="W91" s="251"/>
      <c r="X91" s="251"/>
      <c r="Y91" s="251"/>
      <c r="Z91" s="251"/>
      <c r="AA91" s="251"/>
      <c r="AB91" s="251"/>
      <c r="AC91" s="251"/>
      <c r="AD91" s="251"/>
      <c r="AE91" s="251"/>
      <c r="AF91" s="251"/>
      <c r="AG91" s="251"/>
      <c r="AH91" s="251"/>
      <c r="AI91" s="251"/>
      <c r="AJ91" s="252" t="s">
        <v>156</v>
      </c>
      <c r="AK91" s="251"/>
      <c r="AL91" s="251"/>
      <c r="AM91" s="251"/>
      <c r="AN91" s="251"/>
      <c r="AO91" s="251"/>
      <c r="AP91" s="251"/>
      <c r="AQ91" s="251"/>
      <c r="AR91" s="251"/>
      <c r="AS91" s="251"/>
      <c r="AT91" s="251"/>
      <c r="AU91" s="251"/>
      <c r="AV91" s="251"/>
      <c r="AW91" s="251"/>
      <c r="AX91" s="251"/>
      <c r="AY91" s="251"/>
      <c r="AZ91" s="251"/>
      <c r="BA91" s="251"/>
      <c r="BB91" s="251"/>
      <c r="BC91" s="252" t="s">
        <v>156</v>
      </c>
      <c r="BD91" s="251"/>
      <c r="BE91" s="251"/>
      <c r="BF91" s="251"/>
      <c r="BG91" s="251"/>
      <c r="BH91" s="251"/>
      <c r="BI91" s="251"/>
      <c r="BJ91" s="251"/>
      <c r="BK91" s="251"/>
      <c r="BL91" s="251"/>
      <c r="BM91" s="251"/>
      <c r="BN91" s="251"/>
      <c r="BO91" s="251"/>
      <c r="BP91" s="251"/>
      <c r="BQ91" s="251"/>
      <c r="BR91" s="251"/>
      <c r="BS91" s="251"/>
      <c r="BT91" s="251"/>
      <c r="BU91" s="251"/>
      <c r="BV91" s="252" t="s">
        <v>156</v>
      </c>
      <c r="BW91" s="251"/>
      <c r="BX91" s="251"/>
      <c r="BY91" s="251"/>
      <c r="BZ91" s="251"/>
      <c r="CA91" s="251"/>
      <c r="CB91" s="251"/>
      <c r="CC91" s="251"/>
      <c r="CD91" s="251"/>
      <c r="CE91" s="251"/>
      <c r="CF91" s="251"/>
      <c r="CG91" s="251"/>
      <c r="CH91" s="251"/>
      <c r="CI91" s="251"/>
      <c r="CJ91" s="251"/>
      <c r="CK91" s="251"/>
      <c r="CL91" s="251"/>
      <c r="CM91" s="251"/>
      <c r="CN91" s="251"/>
      <c r="CO91" s="252" t="s">
        <v>156</v>
      </c>
      <c r="CP91" s="251"/>
      <c r="CQ91" s="251"/>
      <c r="CR91" s="251"/>
      <c r="CS91" s="251"/>
      <c r="CT91" s="251"/>
      <c r="CU91" s="251"/>
      <c r="CV91" s="251"/>
      <c r="CW91" s="251"/>
      <c r="CX91" s="251"/>
      <c r="CY91" s="251"/>
      <c r="CZ91" s="251"/>
      <c r="DA91" s="251"/>
      <c r="DB91" s="251"/>
      <c r="DC91" s="251"/>
      <c r="DD91" s="251"/>
      <c r="DE91" s="251"/>
      <c r="DF91" s="251"/>
      <c r="DG91" s="251"/>
      <c r="DH91" s="252" t="s">
        <v>156</v>
      </c>
      <c r="DI91" s="251"/>
      <c r="DJ91" s="251"/>
      <c r="DK91" s="251"/>
      <c r="DL91" s="251"/>
      <c r="DM91" s="251"/>
      <c r="DN91" s="251"/>
      <c r="DO91" s="251"/>
      <c r="DP91" s="251"/>
      <c r="DQ91" s="251"/>
      <c r="DR91" s="251"/>
      <c r="DS91" s="251"/>
      <c r="DT91" s="251"/>
      <c r="DU91" s="251"/>
      <c r="DV91" s="251"/>
      <c r="DW91" s="251"/>
      <c r="DX91" s="251"/>
      <c r="DY91" s="251"/>
      <c r="DZ91" s="251"/>
      <c r="EA91" s="104"/>
      <c r="EB91" s="104"/>
      <c r="EC91" s="73"/>
    </row>
    <row r="92" spans="1:133" ht="25.15" customHeight="1">
      <c r="A92" s="1">
        <f t="shared" si="62"/>
        <v>16</v>
      </c>
      <c r="B92" s="69"/>
      <c r="C92" s="259" t="s">
        <v>277</v>
      </c>
      <c r="D92" s="259"/>
      <c r="E92" s="259"/>
      <c r="F92" s="259"/>
      <c r="G92" s="259"/>
      <c r="H92" s="259"/>
      <c r="I92" s="259"/>
      <c r="J92" s="259"/>
      <c r="K92" s="259"/>
      <c r="L92" s="259"/>
      <c r="M92" s="259"/>
      <c r="N92" s="259"/>
      <c r="O92" s="259"/>
      <c r="P92" s="259"/>
      <c r="Q92" s="252" t="s">
        <v>156</v>
      </c>
      <c r="R92" s="251"/>
      <c r="S92" s="251"/>
      <c r="T92" s="251"/>
      <c r="U92" s="251"/>
      <c r="V92" s="251"/>
      <c r="W92" s="251"/>
      <c r="X92" s="251"/>
      <c r="Y92" s="251"/>
      <c r="Z92" s="251"/>
      <c r="AA92" s="251"/>
      <c r="AB92" s="251"/>
      <c r="AC92" s="251"/>
      <c r="AD92" s="251"/>
      <c r="AE92" s="251"/>
      <c r="AF92" s="251"/>
      <c r="AG92" s="251"/>
      <c r="AH92" s="251"/>
      <c r="AI92" s="251"/>
      <c r="AJ92" s="252" t="s">
        <v>156</v>
      </c>
      <c r="AK92" s="251"/>
      <c r="AL92" s="251"/>
      <c r="AM92" s="251"/>
      <c r="AN92" s="251"/>
      <c r="AO92" s="251"/>
      <c r="AP92" s="251"/>
      <c r="AQ92" s="251"/>
      <c r="AR92" s="251"/>
      <c r="AS92" s="251"/>
      <c r="AT92" s="251"/>
      <c r="AU92" s="251"/>
      <c r="AV92" s="251"/>
      <c r="AW92" s="251"/>
      <c r="AX92" s="251"/>
      <c r="AY92" s="251"/>
      <c r="AZ92" s="251"/>
      <c r="BA92" s="251"/>
      <c r="BB92" s="251"/>
      <c r="BC92" s="252" t="s">
        <v>156</v>
      </c>
      <c r="BD92" s="251"/>
      <c r="BE92" s="251"/>
      <c r="BF92" s="251"/>
      <c r="BG92" s="251"/>
      <c r="BH92" s="251"/>
      <c r="BI92" s="251"/>
      <c r="BJ92" s="251"/>
      <c r="BK92" s="251"/>
      <c r="BL92" s="251"/>
      <c r="BM92" s="251"/>
      <c r="BN92" s="251"/>
      <c r="BO92" s="251"/>
      <c r="BP92" s="251"/>
      <c r="BQ92" s="251"/>
      <c r="BR92" s="251"/>
      <c r="BS92" s="251"/>
      <c r="BT92" s="251"/>
      <c r="BU92" s="251"/>
      <c r="BV92" s="252" t="s">
        <v>156</v>
      </c>
      <c r="BW92" s="251"/>
      <c r="BX92" s="251"/>
      <c r="BY92" s="251"/>
      <c r="BZ92" s="251"/>
      <c r="CA92" s="251"/>
      <c r="CB92" s="251"/>
      <c r="CC92" s="251"/>
      <c r="CD92" s="251"/>
      <c r="CE92" s="251"/>
      <c r="CF92" s="251"/>
      <c r="CG92" s="251"/>
      <c r="CH92" s="251"/>
      <c r="CI92" s="251"/>
      <c r="CJ92" s="251"/>
      <c r="CK92" s="251"/>
      <c r="CL92" s="251"/>
      <c r="CM92" s="251"/>
      <c r="CN92" s="251"/>
      <c r="CO92" s="252" t="s">
        <v>156</v>
      </c>
      <c r="CP92" s="251"/>
      <c r="CQ92" s="251"/>
      <c r="CR92" s="251"/>
      <c r="CS92" s="251"/>
      <c r="CT92" s="251"/>
      <c r="CU92" s="251"/>
      <c r="CV92" s="251"/>
      <c r="CW92" s="251"/>
      <c r="CX92" s="251"/>
      <c r="CY92" s="251"/>
      <c r="CZ92" s="251"/>
      <c r="DA92" s="251"/>
      <c r="DB92" s="251"/>
      <c r="DC92" s="251"/>
      <c r="DD92" s="251"/>
      <c r="DE92" s="251"/>
      <c r="DF92" s="251"/>
      <c r="DG92" s="251"/>
      <c r="DH92" s="252" t="s">
        <v>156</v>
      </c>
      <c r="DI92" s="251"/>
      <c r="DJ92" s="251"/>
      <c r="DK92" s="251"/>
      <c r="DL92" s="251"/>
      <c r="DM92" s="251"/>
      <c r="DN92" s="251"/>
      <c r="DO92" s="251"/>
      <c r="DP92" s="251"/>
      <c r="DQ92" s="251"/>
      <c r="DR92" s="251"/>
      <c r="DS92" s="251"/>
      <c r="DT92" s="251"/>
      <c r="DU92" s="251"/>
      <c r="DV92" s="251"/>
      <c r="DW92" s="251"/>
      <c r="DX92" s="251"/>
      <c r="DY92" s="251"/>
      <c r="DZ92" s="251"/>
      <c r="EA92" s="104"/>
      <c r="EB92" s="104"/>
      <c r="EC92" s="73"/>
    </row>
    <row r="93" spans="1:133" ht="25.15" customHeight="1">
      <c r="A93" s="1">
        <f t="shared" si="62"/>
        <v>17</v>
      </c>
      <c r="B93" s="100"/>
      <c r="C93" s="101"/>
      <c r="D93" s="86"/>
      <c r="E93" s="101"/>
      <c r="F93" s="101"/>
      <c r="G93" s="92"/>
      <c r="H93" s="92"/>
      <c r="I93" s="107"/>
      <c r="J93" s="105"/>
      <c r="K93" s="107"/>
      <c r="L93" s="107"/>
      <c r="M93" s="101"/>
      <c r="N93" s="101"/>
      <c r="O93" s="107"/>
      <c r="P93" s="105"/>
      <c r="Q93" s="92"/>
      <c r="R93" s="107"/>
      <c r="S93" s="92"/>
      <c r="T93" s="92"/>
      <c r="U93" s="92"/>
      <c r="V93" s="107"/>
      <c r="W93" s="92"/>
      <c r="X93" s="92"/>
      <c r="Y93" s="92"/>
      <c r="Z93" s="107"/>
      <c r="AA93" s="92"/>
      <c r="AB93" s="92"/>
      <c r="AC93" s="92"/>
      <c r="AD93" s="107"/>
      <c r="AE93" s="92"/>
      <c r="AF93" s="92"/>
      <c r="AG93" s="107"/>
      <c r="AH93" s="101"/>
      <c r="AI93" s="105"/>
      <c r="AJ93" s="92"/>
      <c r="AK93" s="107"/>
      <c r="AL93" s="92"/>
      <c r="AM93" s="92"/>
      <c r="AN93" s="92"/>
      <c r="AO93" s="107"/>
      <c r="AP93" s="92"/>
      <c r="AQ93" s="92"/>
      <c r="AR93" s="92"/>
      <c r="AS93" s="107"/>
      <c r="AT93" s="92"/>
      <c r="AU93" s="92"/>
      <c r="AV93" s="92"/>
      <c r="AW93" s="107"/>
      <c r="AX93" s="92"/>
      <c r="AY93" s="92"/>
      <c r="AZ93" s="107"/>
      <c r="BA93" s="105"/>
      <c r="BB93" s="105"/>
      <c r="BC93" s="92"/>
      <c r="BD93" s="107"/>
      <c r="BE93" s="92"/>
      <c r="BF93" s="92"/>
      <c r="BG93" s="92"/>
      <c r="BH93" s="107"/>
      <c r="BI93" s="92"/>
      <c r="BJ93" s="92"/>
      <c r="BK93" s="92"/>
      <c r="BL93" s="107"/>
      <c r="BM93" s="92"/>
      <c r="BN93" s="92"/>
      <c r="BO93" s="92"/>
      <c r="BP93" s="107"/>
      <c r="BQ93" s="92"/>
      <c r="BR93" s="92"/>
      <c r="BS93" s="107"/>
      <c r="BT93" s="101"/>
      <c r="BU93" s="105"/>
      <c r="BV93" s="92"/>
      <c r="BW93" s="107"/>
      <c r="BX93" s="92"/>
      <c r="BY93" s="92"/>
      <c r="BZ93" s="92"/>
      <c r="CA93" s="107"/>
      <c r="CB93" s="92"/>
      <c r="CC93" s="92"/>
      <c r="CD93" s="92"/>
      <c r="CE93" s="107"/>
      <c r="CF93" s="92"/>
      <c r="CG93" s="92"/>
      <c r="CH93" s="92"/>
      <c r="CI93" s="107"/>
      <c r="CJ93" s="92"/>
      <c r="CK93" s="92"/>
      <c r="CL93" s="107"/>
      <c r="CM93" s="105"/>
      <c r="CN93" s="105"/>
      <c r="CO93" s="92"/>
      <c r="CP93" s="107"/>
      <c r="CQ93" s="92"/>
      <c r="CR93" s="92"/>
      <c r="CS93" s="92"/>
      <c r="CT93" s="107"/>
      <c r="CU93" s="92"/>
      <c r="CV93" s="92"/>
      <c r="CW93" s="92"/>
      <c r="CX93" s="107"/>
      <c r="CY93" s="92"/>
      <c r="CZ93" s="92"/>
      <c r="DA93" s="92"/>
      <c r="DB93" s="107"/>
      <c r="DC93" s="92"/>
      <c r="DD93" s="92"/>
      <c r="DE93" s="107"/>
      <c r="DF93" s="105"/>
      <c r="DG93" s="105"/>
      <c r="DH93" s="92"/>
      <c r="DI93" s="107"/>
      <c r="DJ93" s="92"/>
      <c r="DK93" s="92"/>
      <c r="DL93" s="92"/>
      <c r="DM93" s="107"/>
      <c r="DN93" s="92"/>
      <c r="DO93" s="92"/>
      <c r="DP93" s="92"/>
      <c r="DQ93" s="107"/>
      <c r="DR93" s="92"/>
      <c r="DS93" s="92"/>
      <c r="DT93" s="92"/>
      <c r="DU93" s="107"/>
      <c r="DV93" s="92"/>
      <c r="DW93" s="92"/>
      <c r="DX93" s="107"/>
      <c r="DY93" s="104"/>
      <c r="DZ93" s="104"/>
      <c r="EA93" s="104"/>
      <c r="EB93" s="104"/>
      <c r="EC93" s="73"/>
    </row>
    <row r="94" spans="1:133" ht="25.15" customHeight="1">
      <c r="A94" s="1">
        <f t="shared" si="62"/>
        <v>18</v>
      </c>
      <c r="B94" s="100"/>
      <c r="C94" s="150" t="s">
        <v>237</v>
      </c>
      <c r="D94" s="150"/>
      <c r="E94" s="150"/>
      <c r="F94" s="150"/>
      <c r="G94" s="150"/>
      <c r="H94" s="150"/>
      <c r="I94" s="150"/>
      <c r="J94" s="150"/>
      <c r="K94" s="150"/>
      <c r="L94" s="150"/>
      <c r="M94" s="150"/>
      <c r="N94" s="150"/>
      <c r="O94" s="150"/>
      <c r="P94" s="150"/>
      <c r="Q94" s="258" t="s">
        <v>233</v>
      </c>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9" t="s">
        <v>240</v>
      </c>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c r="DM94" s="259"/>
      <c r="DN94" s="259"/>
      <c r="DO94" s="259"/>
      <c r="DP94" s="259"/>
      <c r="DQ94" s="259"/>
      <c r="DR94" s="259"/>
      <c r="DS94" s="259"/>
      <c r="DT94" s="259"/>
      <c r="DU94" s="259"/>
      <c r="DV94" s="259"/>
      <c r="DW94" s="259"/>
      <c r="DX94" s="259"/>
      <c r="DY94" s="259"/>
      <c r="DZ94" s="259"/>
      <c r="EA94" s="259"/>
      <c r="EB94" s="259"/>
      <c r="EC94" s="73"/>
    </row>
    <row r="95" spans="1:133" ht="25.15" customHeight="1">
      <c r="A95" s="1">
        <f t="shared" si="62"/>
        <v>19</v>
      </c>
      <c r="B95" s="100"/>
      <c r="C95" s="101"/>
      <c r="D95" s="101"/>
      <c r="E95" s="101"/>
      <c r="F95" s="101"/>
      <c r="G95" s="101"/>
      <c r="H95" s="101"/>
      <c r="I95" s="119"/>
      <c r="J95" s="119"/>
      <c r="K95" s="119"/>
      <c r="L95" s="119"/>
      <c r="M95" s="101"/>
      <c r="N95" s="101"/>
      <c r="O95" s="105"/>
      <c r="P95" s="105"/>
      <c r="Q95" s="258" t="s">
        <v>184</v>
      </c>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9" t="s">
        <v>240</v>
      </c>
      <c r="AX95" s="259"/>
      <c r="AY95" s="259"/>
      <c r="AZ95" s="259"/>
      <c r="BA95" s="259"/>
      <c r="BB95" s="259"/>
      <c r="BC95" s="259"/>
      <c r="BD95" s="259"/>
      <c r="BE95" s="259"/>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c r="DM95" s="259"/>
      <c r="DN95" s="259"/>
      <c r="DO95" s="259"/>
      <c r="DP95" s="259"/>
      <c r="DQ95" s="259"/>
      <c r="DR95" s="259"/>
      <c r="DS95" s="259"/>
      <c r="DT95" s="259"/>
      <c r="DU95" s="259"/>
      <c r="DV95" s="259"/>
      <c r="DW95" s="259"/>
      <c r="DX95" s="259"/>
      <c r="DY95" s="259"/>
      <c r="DZ95" s="259"/>
      <c r="EA95" s="259"/>
      <c r="EB95" s="259"/>
      <c r="EC95" s="73"/>
    </row>
    <row r="96" spans="1:133" ht="25.15" customHeight="1">
      <c r="A96" s="1">
        <f t="shared" si="62"/>
        <v>20</v>
      </c>
      <c r="B96" s="69"/>
      <c r="C96" s="150" t="s">
        <v>218</v>
      </c>
      <c r="D96" s="150"/>
      <c r="E96" s="150"/>
      <c r="F96" s="150"/>
      <c r="G96" s="150"/>
      <c r="H96" s="150"/>
      <c r="I96" s="150"/>
      <c r="J96" s="150"/>
      <c r="K96" s="150"/>
      <c r="L96" s="150"/>
      <c r="M96" s="150"/>
      <c r="N96" s="150"/>
      <c r="O96" s="150"/>
      <c r="P96" s="150"/>
      <c r="Q96" s="252" t="s">
        <v>156</v>
      </c>
      <c r="R96" s="251"/>
      <c r="S96" s="251"/>
      <c r="T96" s="251"/>
      <c r="U96" s="251"/>
      <c r="V96" s="251"/>
      <c r="W96" s="251"/>
      <c r="X96" s="251"/>
      <c r="Y96" s="251"/>
      <c r="Z96" s="251"/>
      <c r="AA96" s="251"/>
      <c r="AB96" s="251"/>
      <c r="AC96" s="251"/>
      <c r="AD96" s="251"/>
      <c r="AE96" s="251"/>
      <c r="AF96" s="251"/>
      <c r="AG96" s="251"/>
      <c r="AH96" s="251"/>
      <c r="AI96" s="251"/>
      <c r="AJ96" s="252" t="s">
        <v>156</v>
      </c>
      <c r="AK96" s="251"/>
      <c r="AL96" s="251"/>
      <c r="AM96" s="251"/>
      <c r="AN96" s="251"/>
      <c r="AO96" s="251"/>
      <c r="AP96" s="251"/>
      <c r="AQ96" s="251"/>
      <c r="AR96" s="251"/>
      <c r="AS96" s="251"/>
      <c r="AT96" s="251"/>
      <c r="AU96" s="251"/>
      <c r="AV96" s="251"/>
      <c r="AW96" s="251"/>
      <c r="AX96" s="251"/>
      <c r="AY96" s="251"/>
      <c r="AZ96" s="251"/>
      <c r="BA96" s="251"/>
      <c r="BB96" s="251"/>
      <c r="BC96" s="252" t="s">
        <v>156</v>
      </c>
      <c r="BD96" s="251"/>
      <c r="BE96" s="251"/>
      <c r="BF96" s="251"/>
      <c r="BG96" s="251"/>
      <c r="BH96" s="251"/>
      <c r="BI96" s="251"/>
      <c r="BJ96" s="251"/>
      <c r="BK96" s="251"/>
      <c r="BL96" s="251"/>
      <c r="BM96" s="251"/>
      <c r="BN96" s="251"/>
      <c r="BO96" s="251"/>
      <c r="BP96" s="251"/>
      <c r="BQ96" s="251"/>
      <c r="BR96" s="251"/>
      <c r="BS96" s="251"/>
      <c r="BT96" s="251"/>
      <c r="BU96" s="251"/>
      <c r="BV96" s="252" t="s">
        <v>156</v>
      </c>
      <c r="BW96" s="251"/>
      <c r="BX96" s="251"/>
      <c r="BY96" s="251"/>
      <c r="BZ96" s="251"/>
      <c r="CA96" s="251"/>
      <c r="CB96" s="251"/>
      <c r="CC96" s="251"/>
      <c r="CD96" s="251"/>
      <c r="CE96" s="251"/>
      <c r="CF96" s="251"/>
      <c r="CG96" s="251"/>
      <c r="CH96" s="251"/>
      <c r="CI96" s="251"/>
      <c r="CJ96" s="251"/>
      <c r="CK96" s="251"/>
      <c r="CL96" s="251"/>
      <c r="CM96" s="251"/>
      <c r="CN96" s="251"/>
      <c r="CO96" s="252" t="s">
        <v>156</v>
      </c>
      <c r="CP96" s="251"/>
      <c r="CQ96" s="251"/>
      <c r="CR96" s="251"/>
      <c r="CS96" s="251"/>
      <c r="CT96" s="251"/>
      <c r="CU96" s="251"/>
      <c r="CV96" s="251"/>
      <c r="CW96" s="251"/>
      <c r="CX96" s="251"/>
      <c r="CY96" s="251"/>
      <c r="CZ96" s="251"/>
      <c r="DA96" s="251"/>
      <c r="DB96" s="251"/>
      <c r="DC96" s="251"/>
      <c r="DD96" s="251"/>
      <c r="DE96" s="251"/>
      <c r="DF96" s="251"/>
      <c r="DG96" s="251"/>
      <c r="DH96" s="252" t="s">
        <v>156</v>
      </c>
      <c r="DI96" s="251"/>
      <c r="DJ96" s="251"/>
      <c r="DK96" s="251"/>
      <c r="DL96" s="251"/>
      <c r="DM96" s="251"/>
      <c r="DN96" s="251"/>
      <c r="DO96" s="251"/>
      <c r="DP96" s="251"/>
      <c r="DQ96" s="251"/>
      <c r="DR96" s="251"/>
      <c r="DS96" s="251"/>
      <c r="DT96" s="251"/>
      <c r="DU96" s="251"/>
      <c r="DV96" s="251"/>
      <c r="DW96" s="251"/>
      <c r="DX96" s="251"/>
      <c r="DY96" s="251"/>
      <c r="DZ96" s="251"/>
      <c r="EA96" s="107"/>
      <c r="EB96" s="104"/>
      <c r="EC96" s="73"/>
    </row>
    <row r="97" spans="1:133" ht="25.15" customHeight="1">
      <c r="A97" s="1">
        <f t="shared" si="62"/>
        <v>21</v>
      </c>
      <c r="B97" s="69"/>
      <c r="C97" s="150" t="s">
        <v>218</v>
      </c>
      <c r="D97" s="150"/>
      <c r="E97" s="150"/>
      <c r="F97" s="150"/>
      <c r="G97" s="150"/>
      <c r="H97" s="150"/>
      <c r="I97" s="150"/>
      <c r="J97" s="150"/>
      <c r="K97" s="150"/>
      <c r="L97" s="150"/>
      <c r="M97" s="150"/>
      <c r="N97" s="150"/>
      <c r="O97" s="150"/>
      <c r="P97" s="150"/>
      <c r="Q97" s="252" t="s">
        <v>156</v>
      </c>
      <c r="R97" s="251"/>
      <c r="S97" s="251"/>
      <c r="T97" s="251"/>
      <c r="U97" s="251"/>
      <c r="V97" s="251"/>
      <c r="W97" s="251"/>
      <c r="X97" s="251"/>
      <c r="Y97" s="251"/>
      <c r="Z97" s="251"/>
      <c r="AA97" s="251"/>
      <c r="AB97" s="251"/>
      <c r="AC97" s="251"/>
      <c r="AD97" s="251"/>
      <c r="AE97" s="251"/>
      <c r="AF97" s="251"/>
      <c r="AG97" s="251"/>
      <c r="AH97" s="251"/>
      <c r="AI97" s="251"/>
      <c r="AJ97" s="252" t="s">
        <v>156</v>
      </c>
      <c r="AK97" s="251"/>
      <c r="AL97" s="251"/>
      <c r="AM97" s="251"/>
      <c r="AN97" s="251"/>
      <c r="AO97" s="251"/>
      <c r="AP97" s="251"/>
      <c r="AQ97" s="251"/>
      <c r="AR97" s="251"/>
      <c r="AS97" s="251"/>
      <c r="AT97" s="251"/>
      <c r="AU97" s="251"/>
      <c r="AV97" s="251"/>
      <c r="AW97" s="251"/>
      <c r="AX97" s="251"/>
      <c r="AY97" s="251"/>
      <c r="AZ97" s="251"/>
      <c r="BA97" s="251"/>
      <c r="BB97" s="251"/>
      <c r="BC97" s="252" t="s">
        <v>156</v>
      </c>
      <c r="BD97" s="251"/>
      <c r="BE97" s="251"/>
      <c r="BF97" s="251"/>
      <c r="BG97" s="251"/>
      <c r="BH97" s="251"/>
      <c r="BI97" s="251"/>
      <c r="BJ97" s="251"/>
      <c r="BK97" s="251"/>
      <c r="BL97" s="251"/>
      <c r="BM97" s="251"/>
      <c r="BN97" s="251"/>
      <c r="BO97" s="251"/>
      <c r="BP97" s="251"/>
      <c r="BQ97" s="251"/>
      <c r="BR97" s="251"/>
      <c r="BS97" s="251"/>
      <c r="BT97" s="251"/>
      <c r="BU97" s="251"/>
      <c r="BV97" s="252" t="s">
        <v>156</v>
      </c>
      <c r="BW97" s="251"/>
      <c r="BX97" s="251"/>
      <c r="BY97" s="251"/>
      <c r="BZ97" s="251"/>
      <c r="CA97" s="251"/>
      <c r="CB97" s="251"/>
      <c r="CC97" s="251"/>
      <c r="CD97" s="251"/>
      <c r="CE97" s="251"/>
      <c r="CF97" s="251"/>
      <c r="CG97" s="251"/>
      <c r="CH97" s="251"/>
      <c r="CI97" s="251"/>
      <c r="CJ97" s="251"/>
      <c r="CK97" s="251"/>
      <c r="CL97" s="251"/>
      <c r="CM97" s="251"/>
      <c r="CN97" s="251"/>
      <c r="CO97" s="252" t="s">
        <v>156</v>
      </c>
      <c r="CP97" s="251"/>
      <c r="CQ97" s="251"/>
      <c r="CR97" s="251"/>
      <c r="CS97" s="251"/>
      <c r="CT97" s="251"/>
      <c r="CU97" s="251"/>
      <c r="CV97" s="251"/>
      <c r="CW97" s="251"/>
      <c r="CX97" s="251"/>
      <c r="CY97" s="251"/>
      <c r="CZ97" s="251"/>
      <c r="DA97" s="251"/>
      <c r="DB97" s="251"/>
      <c r="DC97" s="251"/>
      <c r="DD97" s="251"/>
      <c r="DE97" s="251"/>
      <c r="DF97" s="251"/>
      <c r="DG97" s="251"/>
      <c r="DH97" s="252" t="s">
        <v>156</v>
      </c>
      <c r="DI97" s="251"/>
      <c r="DJ97" s="251"/>
      <c r="DK97" s="251"/>
      <c r="DL97" s="251"/>
      <c r="DM97" s="251"/>
      <c r="DN97" s="251"/>
      <c r="DO97" s="251"/>
      <c r="DP97" s="251"/>
      <c r="DQ97" s="251"/>
      <c r="DR97" s="251"/>
      <c r="DS97" s="251"/>
      <c r="DT97" s="251"/>
      <c r="DU97" s="251"/>
      <c r="DV97" s="251"/>
      <c r="DW97" s="251"/>
      <c r="DX97" s="251"/>
      <c r="DY97" s="251"/>
      <c r="DZ97" s="251"/>
      <c r="EA97" s="104"/>
      <c r="EB97" s="104"/>
      <c r="EC97" s="73"/>
    </row>
    <row r="98" spans="1:133" ht="25.15" customHeight="1">
      <c r="A98" s="1">
        <f t="shared" si="62"/>
        <v>22</v>
      </c>
      <c r="B98" s="69"/>
      <c r="C98" s="259" t="s">
        <v>277</v>
      </c>
      <c r="D98" s="259"/>
      <c r="E98" s="259"/>
      <c r="F98" s="259"/>
      <c r="G98" s="259"/>
      <c r="H98" s="259"/>
      <c r="I98" s="259"/>
      <c r="J98" s="259"/>
      <c r="K98" s="259"/>
      <c r="L98" s="259"/>
      <c r="M98" s="259"/>
      <c r="N98" s="259"/>
      <c r="O98" s="259"/>
      <c r="P98" s="259"/>
      <c r="Q98" s="252" t="s">
        <v>156</v>
      </c>
      <c r="R98" s="251"/>
      <c r="S98" s="251"/>
      <c r="T98" s="251"/>
      <c r="U98" s="251"/>
      <c r="V98" s="251"/>
      <c r="W98" s="251"/>
      <c r="X98" s="251"/>
      <c r="Y98" s="251"/>
      <c r="Z98" s="251"/>
      <c r="AA98" s="251"/>
      <c r="AB98" s="251"/>
      <c r="AC98" s="251"/>
      <c r="AD98" s="251"/>
      <c r="AE98" s="251"/>
      <c r="AF98" s="251"/>
      <c r="AG98" s="251"/>
      <c r="AH98" s="251"/>
      <c r="AI98" s="251"/>
      <c r="AJ98" s="252" t="s">
        <v>156</v>
      </c>
      <c r="AK98" s="251"/>
      <c r="AL98" s="251"/>
      <c r="AM98" s="251"/>
      <c r="AN98" s="251"/>
      <c r="AO98" s="251"/>
      <c r="AP98" s="251"/>
      <c r="AQ98" s="251"/>
      <c r="AR98" s="251"/>
      <c r="AS98" s="251"/>
      <c r="AT98" s="251"/>
      <c r="AU98" s="251"/>
      <c r="AV98" s="251"/>
      <c r="AW98" s="251"/>
      <c r="AX98" s="251"/>
      <c r="AY98" s="251"/>
      <c r="AZ98" s="251"/>
      <c r="BA98" s="251"/>
      <c r="BB98" s="251"/>
      <c r="BC98" s="252" t="s">
        <v>156</v>
      </c>
      <c r="BD98" s="251"/>
      <c r="BE98" s="251"/>
      <c r="BF98" s="251"/>
      <c r="BG98" s="251"/>
      <c r="BH98" s="251"/>
      <c r="BI98" s="251"/>
      <c r="BJ98" s="251"/>
      <c r="BK98" s="251"/>
      <c r="BL98" s="251"/>
      <c r="BM98" s="251"/>
      <c r="BN98" s="251"/>
      <c r="BO98" s="251"/>
      <c r="BP98" s="251"/>
      <c r="BQ98" s="251"/>
      <c r="BR98" s="251"/>
      <c r="BS98" s="251"/>
      <c r="BT98" s="251"/>
      <c r="BU98" s="251"/>
      <c r="BV98" s="252" t="s">
        <v>156</v>
      </c>
      <c r="BW98" s="251"/>
      <c r="BX98" s="251"/>
      <c r="BY98" s="251"/>
      <c r="BZ98" s="251"/>
      <c r="CA98" s="251"/>
      <c r="CB98" s="251"/>
      <c r="CC98" s="251"/>
      <c r="CD98" s="251"/>
      <c r="CE98" s="251"/>
      <c r="CF98" s="251"/>
      <c r="CG98" s="251"/>
      <c r="CH98" s="251"/>
      <c r="CI98" s="251"/>
      <c r="CJ98" s="251"/>
      <c r="CK98" s="251"/>
      <c r="CL98" s="251"/>
      <c r="CM98" s="251"/>
      <c r="CN98" s="251"/>
      <c r="CO98" s="252" t="s">
        <v>156</v>
      </c>
      <c r="CP98" s="251"/>
      <c r="CQ98" s="251"/>
      <c r="CR98" s="251"/>
      <c r="CS98" s="251"/>
      <c r="CT98" s="251"/>
      <c r="CU98" s="251"/>
      <c r="CV98" s="251"/>
      <c r="CW98" s="251"/>
      <c r="CX98" s="251"/>
      <c r="CY98" s="251"/>
      <c r="CZ98" s="251"/>
      <c r="DA98" s="251"/>
      <c r="DB98" s="251"/>
      <c r="DC98" s="251"/>
      <c r="DD98" s="251"/>
      <c r="DE98" s="251"/>
      <c r="DF98" s="251"/>
      <c r="DG98" s="251"/>
      <c r="DH98" s="252" t="s">
        <v>156</v>
      </c>
      <c r="DI98" s="251"/>
      <c r="DJ98" s="251"/>
      <c r="DK98" s="251"/>
      <c r="DL98" s="251"/>
      <c r="DM98" s="251"/>
      <c r="DN98" s="251"/>
      <c r="DO98" s="251"/>
      <c r="DP98" s="251"/>
      <c r="DQ98" s="251"/>
      <c r="DR98" s="251"/>
      <c r="DS98" s="251"/>
      <c r="DT98" s="251"/>
      <c r="DU98" s="251"/>
      <c r="DV98" s="251"/>
      <c r="DW98" s="251"/>
      <c r="DX98" s="251"/>
      <c r="DY98" s="251"/>
      <c r="DZ98" s="251"/>
      <c r="EA98" s="104"/>
      <c r="EB98" s="104"/>
      <c r="EC98" s="73"/>
    </row>
    <row r="99" spans="1:133" ht="25.15" customHeight="1">
      <c r="A99" s="1">
        <f t="shared" si="62"/>
        <v>23</v>
      </c>
      <c r="B99" s="69"/>
      <c r="C99" s="101"/>
      <c r="D99" s="86"/>
      <c r="E99" s="101"/>
      <c r="F99" s="101"/>
      <c r="G99" s="92"/>
      <c r="H99" s="92"/>
      <c r="I99" s="107"/>
      <c r="J99" s="105"/>
      <c r="K99" s="107"/>
      <c r="L99" s="107"/>
      <c r="M99" s="101"/>
      <c r="N99" s="101"/>
      <c r="O99" s="107"/>
      <c r="P99" s="105"/>
      <c r="Q99" s="92"/>
      <c r="R99" s="107"/>
      <c r="S99" s="92"/>
      <c r="T99" s="92"/>
      <c r="U99" s="92"/>
      <c r="V99" s="107"/>
      <c r="W99" s="92"/>
      <c r="X99" s="92"/>
      <c r="Y99" s="92"/>
      <c r="Z99" s="107"/>
      <c r="AA99" s="92"/>
      <c r="AB99" s="92"/>
      <c r="AC99" s="92"/>
      <c r="AD99" s="107"/>
      <c r="AE99" s="92"/>
      <c r="AF99" s="92"/>
      <c r="AG99" s="107"/>
      <c r="AH99" s="101"/>
      <c r="AI99" s="105"/>
      <c r="AJ99" s="92"/>
      <c r="AK99" s="107"/>
      <c r="AL99" s="92"/>
      <c r="AM99" s="92"/>
      <c r="AN99" s="92"/>
      <c r="AO99" s="107"/>
      <c r="AP99" s="92"/>
      <c r="AQ99" s="92"/>
      <c r="AR99" s="92"/>
      <c r="AS99" s="107"/>
      <c r="AT99" s="92"/>
      <c r="AU99" s="92"/>
      <c r="AV99" s="92"/>
      <c r="AW99" s="107"/>
      <c r="AX99" s="92"/>
      <c r="AY99" s="92"/>
      <c r="AZ99" s="107"/>
      <c r="BA99" s="105"/>
      <c r="BB99" s="105"/>
      <c r="BC99" s="92"/>
      <c r="BD99" s="107"/>
      <c r="BE99" s="92"/>
      <c r="BF99" s="92"/>
      <c r="BG99" s="92"/>
      <c r="BH99" s="107"/>
      <c r="BI99" s="92"/>
      <c r="BJ99" s="92"/>
      <c r="BK99" s="92"/>
      <c r="BL99" s="107"/>
      <c r="BM99" s="92"/>
      <c r="BN99" s="92"/>
      <c r="BO99" s="92"/>
      <c r="BP99" s="107"/>
      <c r="BQ99" s="92"/>
      <c r="BR99" s="92"/>
      <c r="BS99" s="107"/>
      <c r="BT99" s="101"/>
      <c r="BU99" s="105"/>
      <c r="BV99" s="92"/>
      <c r="BW99" s="107"/>
      <c r="BX99" s="92"/>
      <c r="BY99" s="92"/>
      <c r="BZ99" s="92"/>
      <c r="CA99" s="107"/>
      <c r="CB99" s="92"/>
      <c r="CC99" s="92"/>
      <c r="CD99" s="92"/>
      <c r="CE99" s="107"/>
      <c r="CF99" s="92"/>
      <c r="CG99" s="92"/>
      <c r="CH99" s="92"/>
      <c r="CI99" s="107"/>
      <c r="CJ99" s="92"/>
      <c r="CK99" s="92"/>
      <c r="CL99" s="107"/>
      <c r="CM99" s="105"/>
      <c r="CN99" s="105"/>
      <c r="CO99" s="92"/>
      <c r="CP99" s="107"/>
      <c r="CQ99" s="92"/>
      <c r="CR99" s="92"/>
      <c r="CS99" s="92"/>
      <c r="CT99" s="107"/>
      <c r="CU99" s="92"/>
      <c r="CV99" s="92"/>
      <c r="CW99" s="92"/>
      <c r="CX99" s="107"/>
      <c r="CY99" s="92"/>
      <c r="CZ99" s="92"/>
      <c r="DA99" s="92"/>
      <c r="DB99" s="107"/>
      <c r="DC99" s="92"/>
      <c r="DD99" s="92"/>
      <c r="DE99" s="107"/>
      <c r="DF99" s="105"/>
      <c r="DG99" s="105"/>
      <c r="DH99" s="92"/>
      <c r="DI99" s="107"/>
      <c r="DJ99" s="92"/>
      <c r="DK99" s="92"/>
      <c r="DL99" s="92"/>
      <c r="DM99" s="107"/>
      <c r="DN99" s="92"/>
      <c r="DO99" s="92"/>
      <c r="DP99" s="92"/>
      <c r="DQ99" s="107"/>
      <c r="DR99" s="92"/>
      <c r="DS99" s="92"/>
      <c r="DT99" s="92"/>
      <c r="DU99" s="107"/>
      <c r="DV99" s="92"/>
      <c r="DW99" s="92"/>
      <c r="DX99" s="107"/>
      <c r="DY99" s="104"/>
      <c r="DZ99" s="104"/>
      <c r="EA99" s="104"/>
      <c r="EB99" s="104"/>
      <c r="EC99" s="73"/>
    </row>
    <row r="100" spans="1:133" ht="25.15" customHeight="1">
      <c r="A100" s="1">
        <f t="shared" si="62"/>
        <v>24</v>
      </c>
      <c r="B100" s="100"/>
      <c r="C100" s="150" t="s">
        <v>237</v>
      </c>
      <c r="D100" s="150"/>
      <c r="E100" s="150"/>
      <c r="F100" s="150"/>
      <c r="G100" s="150"/>
      <c r="H100" s="150"/>
      <c r="I100" s="150"/>
      <c r="J100" s="150"/>
      <c r="K100" s="150"/>
      <c r="L100" s="150"/>
      <c r="M100" s="150"/>
      <c r="N100" s="150"/>
      <c r="O100" s="150"/>
      <c r="P100" s="150"/>
      <c r="Q100" s="258" t="s">
        <v>233</v>
      </c>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9" t="s">
        <v>240</v>
      </c>
      <c r="AX100" s="259"/>
      <c r="AY100" s="259"/>
      <c r="AZ100" s="259"/>
      <c r="BA100" s="259"/>
      <c r="BB100" s="259"/>
      <c r="BC100" s="259"/>
      <c r="BD100" s="259"/>
      <c r="BE100" s="259"/>
      <c r="BF100" s="259"/>
      <c r="BG100" s="259"/>
      <c r="BH100" s="259"/>
      <c r="BI100" s="259"/>
      <c r="BJ100" s="259"/>
      <c r="BK100" s="259"/>
      <c r="BL100" s="259"/>
      <c r="BM100" s="259"/>
      <c r="BN100" s="259"/>
      <c r="BO100" s="259"/>
      <c r="BP100" s="259"/>
      <c r="BQ100" s="259"/>
      <c r="BR100" s="259"/>
      <c r="BS100" s="259"/>
      <c r="BT100" s="259"/>
      <c r="BU100" s="259"/>
      <c r="BV100" s="259"/>
      <c r="BW100" s="259"/>
      <c r="BX100" s="259"/>
      <c r="BY100" s="259"/>
      <c r="BZ100" s="259"/>
      <c r="CA100" s="259"/>
      <c r="CB100" s="259"/>
      <c r="CC100" s="259"/>
      <c r="CD100" s="259"/>
      <c r="CE100" s="259"/>
      <c r="CF100" s="259"/>
      <c r="CG100" s="259"/>
      <c r="CH100" s="259"/>
      <c r="CI100" s="259"/>
      <c r="CJ100" s="259"/>
      <c r="CK100" s="259"/>
      <c r="CL100" s="259"/>
      <c r="CM100" s="259"/>
      <c r="CN100" s="259"/>
      <c r="CO100" s="259"/>
      <c r="CP100" s="259"/>
      <c r="CQ100" s="259"/>
      <c r="CR100" s="259"/>
      <c r="CS100" s="259"/>
      <c r="CT100" s="259"/>
      <c r="CU100" s="259"/>
      <c r="CV100" s="259"/>
      <c r="CW100" s="259"/>
      <c r="CX100" s="259"/>
      <c r="CY100" s="259"/>
      <c r="CZ100" s="259"/>
      <c r="DA100" s="259"/>
      <c r="DB100" s="259"/>
      <c r="DC100" s="259"/>
      <c r="DD100" s="259"/>
      <c r="DE100" s="259"/>
      <c r="DF100" s="259"/>
      <c r="DG100" s="259"/>
      <c r="DH100" s="259"/>
      <c r="DI100" s="259"/>
      <c r="DJ100" s="259"/>
      <c r="DK100" s="259"/>
      <c r="DL100" s="259"/>
      <c r="DM100" s="259"/>
      <c r="DN100" s="259"/>
      <c r="DO100" s="259"/>
      <c r="DP100" s="259"/>
      <c r="DQ100" s="259"/>
      <c r="DR100" s="259"/>
      <c r="DS100" s="259"/>
      <c r="DT100" s="259"/>
      <c r="DU100" s="259"/>
      <c r="DV100" s="259"/>
      <c r="DW100" s="259"/>
      <c r="DX100" s="259"/>
      <c r="DY100" s="259"/>
      <c r="DZ100" s="259"/>
      <c r="EA100" s="259"/>
      <c r="EB100" s="259"/>
      <c r="EC100" s="73"/>
    </row>
    <row r="101" spans="1:133" ht="25.15" customHeight="1">
      <c r="A101" s="1">
        <f t="shared" si="62"/>
        <v>25</v>
      </c>
      <c r="B101" s="100"/>
      <c r="C101" s="101"/>
      <c r="D101" s="101"/>
      <c r="E101" s="101"/>
      <c r="F101" s="101"/>
      <c r="G101" s="101"/>
      <c r="H101" s="101"/>
      <c r="I101" s="119"/>
      <c r="J101" s="119"/>
      <c r="K101" s="119"/>
      <c r="L101" s="119"/>
      <c r="M101" s="101"/>
      <c r="N101" s="101"/>
      <c r="O101" s="105"/>
      <c r="P101" s="105"/>
      <c r="Q101" s="258" t="s">
        <v>184</v>
      </c>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9" t="s">
        <v>240</v>
      </c>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259"/>
      <c r="BT101" s="259"/>
      <c r="BU101" s="259"/>
      <c r="BV101" s="259"/>
      <c r="BW101" s="259"/>
      <c r="BX101" s="259"/>
      <c r="BY101" s="259"/>
      <c r="BZ101" s="259"/>
      <c r="CA101" s="259"/>
      <c r="CB101" s="259"/>
      <c r="CC101" s="259"/>
      <c r="CD101" s="259"/>
      <c r="CE101" s="259"/>
      <c r="CF101" s="259"/>
      <c r="CG101" s="259"/>
      <c r="CH101" s="259"/>
      <c r="CI101" s="259"/>
      <c r="CJ101" s="259"/>
      <c r="CK101" s="259"/>
      <c r="CL101" s="259"/>
      <c r="CM101" s="259"/>
      <c r="CN101" s="259"/>
      <c r="CO101" s="259"/>
      <c r="CP101" s="259"/>
      <c r="CQ101" s="259"/>
      <c r="CR101" s="259"/>
      <c r="CS101" s="259"/>
      <c r="CT101" s="259"/>
      <c r="CU101" s="259"/>
      <c r="CV101" s="259"/>
      <c r="CW101" s="259"/>
      <c r="CX101" s="259"/>
      <c r="CY101" s="259"/>
      <c r="CZ101" s="259"/>
      <c r="DA101" s="259"/>
      <c r="DB101" s="259"/>
      <c r="DC101" s="259"/>
      <c r="DD101" s="259"/>
      <c r="DE101" s="259"/>
      <c r="DF101" s="259"/>
      <c r="DG101" s="259"/>
      <c r="DH101" s="259"/>
      <c r="DI101" s="259"/>
      <c r="DJ101" s="259"/>
      <c r="DK101" s="259"/>
      <c r="DL101" s="259"/>
      <c r="DM101" s="259"/>
      <c r="DN101" s="259"/>
      <c r="DO101" s="259"/>
      <c r="DP101" s="259"/>
      <c r="DQ101" s="259"/>
      <c r="DR101" s="259"/>
      <c r="DS101" s="259"/>
      <c r="DT101" s="259"/>
      <c r="DU101" s="259"/>
      <c r="DV101" s="259"/>
      <c r="DW101" s="259"/>
      <c r="DX101" s="259"/>
      <c r="DY101" s="259"/>
      <c r="DZ101" s="259"/>
      <c r="EA101" s="259"/>
      <c r="EB101" s="259"/>
      <c r="EC101" s="73"/>
    </row>
    <row r="102" spans="1:133" ht="25.15" customHeight="1">
      <c r="A102" s="1">
        <f t="shared" si="62"/>
        <v>26</v>
      </c>
      <c r="B102" s="69"/>
      <c r="C102" s="150" t="s">
        <v>218</v>
      </c>
      <c r="D102" s="150"/>
      <c r="E102" s="150"/>
      <c r="F102" s="150"/>
      <c r="G102" s="150"/>
      <c r="H102" s="150"/>
      <c r="I102" s="150"/>
      <c r="J102" s="150"/>
      <c r="K102" s="150"/>
      <c r="L102" s="150"/>
      <c r="M102" s="150"/>
      <c r="N102" s="150"/>
      <c r="O102" s="150"/>
      <c r="P102" s="150"/>
      <c r="Q102" s="252" t="s">
        <v>156</v>
      </c>
      <c r="R102" s="251"/>
      <c r="S102" s="251"/>
      <c r="T102" s="251"/>
      <c r="U102" s="251"/>
      <c r="V102" s="251"/>
      <c r="W102" s="251"/>
      <c r="X102" s="251"/>
      <c r="Y102" s="251"/>
      <c r="Z102" s="251"/>
      <c r="AA102" s="251"/>
      <c r="AB102" s="251"/>
      <c r="AC102" s="251"/>
      <c r="AD102" s="251"/>
      <c r="AE102" s="251"/>
      <c r="AF102" s="251"/>
      <c r="AG102" s="251"/>
      <c r="AH102" s="251"/>
      <c r="AI102" s="251"/>
      <c r="AJ102" s="252" t="s">
        <v>156</v>
      </c>
      <c r="AK102" s="251"/>
      <c r="AL102" s="251"/>
      <c r="AM102" s="251"/>
      <c r="AN102" s="251"/>
      <c r="AO102" s="251"/>
      <c r="AP102" s="251"/>
      <c r="AQ102" s="251"/>
      <c r="AR102" s="251"/>
      <c r="AS102" s="251"/>
      <c r="AT102" s="251"/>
      <c r="AU102" s="251"/>
      <c r="AV102" s="251"/>
      <c r="AW102" s="251"/>
      <c r="AX102" s="251"/>
      <c r="AY102" s="251"/>
      <c r="AZ102" s="251"/>
      <c r="BA102" s="251"/>
      <c r="BB102" s="251"/>
      <c r="BC102" s="252" t="s">
        <v>156</v>
      </c>
      <c r="BD102" s="251"/>
      <c r="BE102" s="251"/>
      <c r="BF102" s="251"/>
      <c r="BG102" s="251"/>
      <c r="BH102" s="251"/>
      <c r="BI102" s="251"/>
      <c r="BJ102" s="251"/>
      <c r="BK102" s="251"/>
      <c r="BL102" s="251"/>
      <c r="BM102" s="251"/>
      <c r="BN102" s="251"/>
      <c r="BO102" s="251"/>
      <c r="BP102" s="251"/>
      <c r="BQ102" s="251"/>
      <c r="BR102" s="251"/>
      <c r="BS102" s="251"/>
      <c r="BT102" s="251"/>
      <c r="BU102" s="251"/>
      <c r="BV102" s="252" t="s">
        <v>156</v>
      </c>
      <c r="BW102" s="251"/>
      <c r="BX102" s="251"/>
      <c r="BY102" s="251"/>
      <c r="BZ102" s="251"/>
      <c r="CA102" s="251"/>
      <c r="CB102" s="251"/>
      <c r="CC102" s="251"/>
      <c r="CD102" s="251"/>
      <c r="CE102" s="251"/>
      <c r="CF102" s="251"/>
      <c r="CG102" s="251"/>
      <c r="CH102" s="251"/>
      <c r="CI102" s="251"/>
      <c r="CJ102" s="251"/>
      <c r="CK102" s="251"/>
      <c r="CL102" s="251"/>
      <c r="CM102" s="251"/>
      <c r="CN102" s="251"/>
      <c r="CO102" s="252" t="s">
        <v>156</v>
      </c>
      <c r="CP102" s="251"/>
      <c r="CQ102" s="251"/>
      <c r="CR102" s="251"/>
      <c r="CS102" s="251"/>
      <c r="CT102" s="251"/>
      <c r="CU102" s="251"/>
      <c r="CV102" s="251"/>
      <c r="CW102" s="251"/>
      <c r="CX102" s="251"/>
      <c r="CY102" s="251"/>
      <c r="CZ102" s="251"/>
      <c r="DA102" s="251"/>
      <c r="DB102" s="251"/>
      <c r="DC102" s="251"/>
      <c r="DD102" s="251"/>
      <c r="DE102" s="251"/>
      <c r="DF102" s="251"/>
      <c r="DG102" s="251"/>
      <c r="DH102" s="252" t="s">
        <v>156</v>
      </c>
      <c r="DI102" s="251"/>
      <c r="DJ102" s="251"/>
      <c r="DK102" s="251"/>
      <c r="DL102" s="251"/>
      <c r="DM102" s="251"/>
      <c r="DN102" s="251"/>
      <c r="DO102" s="251"/>
      <c r="DP102" s="251"/>
      <c r="DQ102" s="251"/>
      <c r="DR102" s="251"/>
      <c r="DS102" s="251"/>
      <c r="DT102" s="251"/>
      <c r="DU102" s="251"/>
      <c r="DV102" s="251"/>
      <c r="DW102" s="251"/>
      <c r="DX102" s="251"/>
      <c r="DY102" s="251"/>
      <c r="DZ102" s="251"/>
      <c r="EA102" s="107"/>
      <c r="EB102" s="104"/>
      <c r="EC102" s="73"/>
    </row>
    <row r="103" spans="1:133" ht="25.15" customHeight="1">
      <c r="A103" s="1">
        <f t="shared" si="62"/>
        <v>27</v>
      </c>
      <c r="B103" s="69"/>
      <c r="C103" s="150" t="s">
        <v>218</v>
      </c>
      <c r="D103" s="150"/>
      <c r="E103" s="150"/>
      <c r="F103" s="150"/>
      <c r="G103" s="150"/>
      <c r="H103" s="150"/>
      <c r="I103" s="150"/>
      <c r="J103" s="150"/>
      <c r="K103" s="150"/>
      <c r="L103" s="150"/>
      <c r="M103" s="150"/>
      <c r="N103" s="150"/>
      <c r="O103" s="150"/>
      <c r="P103" s="150"/>
      <c r="Q103" s="252" t="s">
        <v>156</v>
      </c>
      <c r="R103" s="251"/>
      <c r="S103" s="251"/>
      <c r="T103" s="251"/>
      <c r="U103" s="251"/>
      <c r="V103" s="251"/>
      <c r="W103" s="251"/>
      <c r="X103" s="251"/>
      <c r="Y103" s="251"/>
      <c r="Z103" s="251"/>
      <c r="AA103" s="251"/>
      <c r="AB103" s="251"/>
      <c r="AC103" s="251"/>
      <c r="AD103" s="251"/>
      <c r="AE103" s="251"/>
      <c r="AF103" s="251"/>
      <c r="AG103" s="251"/>
      <c r="AH103" s="251"/>
      <c r="AI103" s="251"/>
      <c r="AJ103" s="252" t="s">
        <v>156</v>
      </c>
      <c r="AK103" s="251"/>
      <c r="AL103" s="251"/>
      <c r="AM103" s="251"/>
      <c r="AN103" s="251"/>
      <c r="AO103" s="251"/>
      <c r="AP103" s="251"/>
      <c r="AQ103" s="251"/>
      <c r="AR103" s="251"/>
      <c r="AS103" s="251"/>
      <c r="AT103" s="251"/>
      <c r="AU103" s="251"/>
      <c r="AV103" s="251"/>
      <c r="AW103" s="251"/>
      <c r="AX103" s="251"/>
      <c r="AY103" s="251"/>
      <c r="AZ103" s="251"/>
      <c r="BA103" s="251"/>
      <c r="BB103" s="251"/>
      <c r="BC103" s="252" t="s">
        <v>156</v>
      </c>
      <c r="BD103" s="251"/>
      <c r="BE103" s="251"/>
      <c r="BF103" s="251"/>
      <c r="BG103" s="251"/>
      <c r="BH103" s="251"/>
      <c r="BI103" s="251"/>
      <c r="BJ103" s="251"/>
      <c r="BK103" s="251"/>
      <c r="BL103" s="251"/>
      <c r="BM103" s="251"/>
      <c r="BN103" s="251"/>
      <c r="BO103" s="251"/>
      <c r="BP103" s="251"/>
      <c r="BQ103" s="251"/>
      <c r="BR103" s="251"/>
      <c r="BS103" s="251"/>
      <c r="BT103" s="251"/>
      <c r="BU103" s="251"/>
      <c r="BV103" s="252" t="s">
        <v>156</v>
      </c>
      <c r="BW103" s="251"/>
      <c r="BX103" s="251"/>
      <c r="BY103" s="251"/>
      <c r="BZ103" s="251"/>
      <c r="CA103" s="251"/>
      <c r="CB103" s="251"/>
      <c r="CC103" s="251"/>
      <c r="CD103" s="251"/>
      <c r="CE103" s="251"/>
      <c r="CF103" s="251"/>
      <c r="CG103" s="251"/>
      <c r="CH103" s="251"/>
      <c r="CI103" s="251"/>
      <c r="CJ103" s="251"/>
      <c r="CK103" s="251"/>
      <c r="CL103" s="251"/>
      <c r="CM103" s="251"/>
      <c r="CN103" s="251"/>
      <c r="CO103" s="252" t="s">
        <v>156</v>
      </c>
      <c r="CP103" s="251"/>
      <c r="CQ103" s="251"/>
      <c r="CR103" s="251"/>
      <c r="CS103" s="251"/>
      <c r="CT103" s="251"/>
      <c r="CU103" s="251"/>
      <c r="CV103" s="251"/>
      <c r="CW103" s="251"/>
      <c r="CX103" s="251"/>
      <c r="CY103" s="251"/>
      <c r="CZ103" s="251"/>
      <c r="DA103" s="251"/>
      <c r="DB103" s="251"/>
      <c r="DC103" s="251"/>
      <c r="DD103" s="251"/>
      <c r="DE103" s="251"/>
      <c r="DF103" s="251"/>
      <c r="DG103" s="251"/>
      <c r="DH103" s="252" t="s">
        <v>156</v>
      </c>
      <c r="DI103" s="251"/>
      <c r="DJ103" s="251"/>
      <c r="DK103" s="251"/>
      <c r="DL103" s="251"/>
      <c r="DM103" s="251"/>
      <c r="DN103" s="251"/>
      <c r="DO103" s="251"/>
      <c r="DP103" s="251"/>
      <c r="DQ103" s="251"/>
      <c r="DR103" s="251"/>
      <c r="DS103" s="251"/>
      <c r="DT103" s="251"/>
      <c r="DU103" s="251"/>
      <c r="DV103" s="251"/>
      <c r="DW103" s="251"/>
      <c r="DX103" s="251"/>
      <c r="DY103" s="251"/>
      <c r="DZ103" s="251"/>
      <c r="EA103" s="104"/>
      <c r="EB103" s="104"/>
      <c r="EC103" s="73"/>
    </row>
    <row r="104" spans="1:133" ht="25.15" customHeight="1">
      <c r="A104" s="1">
        <f t="shared" si="62"/>
        <v>28</v>
      </c>
      <c r="B104" s="69"/>
      <c r="C104" s="259" t="s">
        <v>277</v>
      </c>
      <c r="D104" s="259"/>
      <c r="E104" s="259"/>
      <c r="F104" s="259"/>
      <c r="G104" s="259"/>
      <c r="H104" s="259"/>
      <c r="I104" s="259"/>
      <c r="J104" s="259"/>
      <c r="K104" s="259"/>
      <c r="L104" s="259"/>
      <c r="M104" s="259"/>
      <c r="N104" s="259"/>
      <c r="O104" s="259"/>
      <c r="P104" s="259"/>
      <c r="Q104" s="252" t="s">
        <v>156</v>
      </c>
      <c r="R104" s="251"/>
      <c r="S104" s="251"/>
      <c r="T104" s="251"/>
      <c r="U104" s="251"/>
      <c r="V104" s="251"/>
      <c r="W104" s="251"/>
      <c r="X104" s="251"/>
      <c r="Y104" s="251"/>
      <c r="Z104" s="251"/>
      <c r="AA104" s="251"/>
      <c r="AB104" s="251"/>
      <c r="AC104" s="251"/>
      <c r="AD104" s="251"/>
      <c r="AE104" s="251"/>
      <c r="AF104" s="251"/>
      <c r="AG104" s="251"/>
      <c r="AH104" s="251"/>
      <c r="AI104" s="251"/>
      <c r="AJ104" s="252" t="s">
        <v>156</v>
      </c>
      <c r="AK104" s="251"/>
      <c r="AL104" s="251"/>
      <c r="AM104" s="251"/>
      <c r="AN104" s="251"/>
      <c r="AO104" s="251"/>
      <c r="AP104" s="251"/>
      <c r="AQ104" s="251"/>
      <c r="AR104" s="251"/>
      <c r="AS104" s="251"/>
      <c r="AT104" s="251"/>
      <c r="AU104" s="251"/>
      <c r="AV104" s="251"/>
      <c r="AW104" s="251"/>
      <c r="AX104" s="251"/>
      <c r="AY104" s="251"/>
      <c r="AZ104" s="251"/>
      <c r="BA104" s="251"/>
      <c r="BB104" s="251"/>
      <c r="BC104" s="252" t="s">
        <v>156</v>
      </c>
      <c r="BD104" s="251"/>
      <c r="BE104" s="251"/>
      <c r="BF104" s="251"/>
      <c r="BG104" s="251"/>
      <c r="BH104" s="251"/>
      <c r="BI104" s="251"/>
      <c r="BJ104" s="251"/>
      <c r="BK104" s="251"/>
      <c r="BL104" s="251"/>
      <c r="BM104" s="251"/>
      <c r="BN104" s="251"/>
      <c r="BO104" s="251"/>
      <c r="BP104" s="251"/>
      <c r="BQ104" s="251"/>
      <c r="BR104" s="251"/>
      <c r="BS104" s="251"/>
      <c r="BT104" s="251"/>
      <c r="BU104" s="251"/>
      <c r="BV104" s="252" t="s">
        <v>156</v>
      </c>
      <c r="BW104" s="251"/>
      <c r="BX104" s="251"/>
      <c r="BY104" s="251"/>
      <c r="BZ104" s="251"/>
      <c r="CA104" s="251"/>
      <c r="CB104" s="251"/>
      <c r="CC104" s="251"/>
      <c r="CD104" s="251"/>
      <c r="CE104" s="251"/>
      <c r="CF104" s="251"/>
      <c r="CG104" s="251"/>
      <c r="CH104" s="251"/>
      <c r="CI104" s="251"/>
      <c r="CJ104" s="251"/>
      <c r="CK104" s="251"/>
      <c r="CL104" s="251"/>
      <c r="CM104" s="251"/>
      <c r="CN104" s="251"/>
      <c r="CO104" s="252" t="s">
        <v>156</v>
      </c>
      <c r="CP104" s="251"/>
      <c r="CQ104" s="251"/>
      <c r="CR104" s="251"/>
      <c r="CS104" s="251"/>
      <c r="CT104" s="251"/>
      <c r="CU104" s="251"/>
      <c r="CV104" s="251"/>
      <c r="CW104" s="251"/>
      <c r="CX104" s="251"/>
      <c r="CY104" s="251"/>
      <c r="CZ104" s="251"/>
      <c r="DA104" s="251"/>
      <c r="DB104" s="251"/>
      <c r="DC104" s="251"/>
      <c r="DD104" s="251"/>
      <c r="DE104" s="251"/>
      <c r="DF104" s="251"/>
      <c r="DG104" s="251"/>
      <c r="DH104" s="252" t="s">
        <v>156</v>
      </c>
      <c r="DI104" s="251"/>
      <c r="DJ104" s="251"/>
      <c r="DK104" s="251"/>
      <c r="DL104" s="251"/>
      <c r="DM104" s="251"/>
      <c r="DN104" s="251"/>
      <c r="DO104" s="251"/>
      <c r="DP104" s="251"/>
      <c r="DQ104" s="251"/>
      <c r="DR104" s="251"/>
      <c r="DS104" s="251"/>
      <c r="DT104" s="251"/>
      <c r="DU104" s="251"/>
      <c r="DV104" s="251"/>
      <c r="DW104" s="251"/>
      <c r="DX104" s="251"/>
      <c r="DY104" s="251"/>
      <c r="DZ104" s="251"/>
      <c r="EA104" s="104"/>
      <c r="EB104" s="104"/>
      <c r="EC104" s="73"/>
    </row>
    <row r="105" spans="1:133" ht="25.15" customHeight="1">
      <c r="A105" s="1">
        <f t="shared" si="62"/>
        <v>29</v>
      </c>
      <c r="B105" s="100"/>
      <c r="C105" s="109"/>
      <c r="D105" s="156"/>
      <c r="E105" s="109"/>
      <c r="F105" s="109"/>
      <c r="G105" s="124"/>
      <c r="H105" s="124"/>
      <c r="I105" s="123"/>
      <c r="J105" s="125"/>
      <c r="K105" s="123"/>
      <c r="L105" s="123"/>
      <c r="M105" s="109"/>
      <c r="N105" s="109"/>
      <c r="O105" s="123"/>
      <c r="P105" s="125"/>
      <c r="Q105" s="124"/>
      <c r="R105" s="123"/>
      <c r="S105" s="124"/>
      <c r="T105" s="124"/>
      <c r="U105" s="124"/>
      <c r="V105" s="123"/>
      <c r="W105" s="124"/>
      <c r="X105" s="124"/>
      <c r="Y105" s="124"/>
      <c r="Z105" s="123"/>
      <c r="AA105" s="124"/>
      <c r="AB105" s="124"/>
      <c r="AC105" s="124"/>
      <c r="AD105" s="123"/>
      <c r="AE105" s="124"/>
      <c r="AF105" s="124"/>
      <c r="AG105" s="123"/>
      <c r="AH105" s="109"/>
      <c r="AI105" s="125"/>
      <c r="AJ105" s="124"/>
      <c r="AK105" s="123"/>
      <c r="AL105" s="124"/>
      <c r="AM105" s="124"/>
      <c r="AN105" s="124"/>
      <c r="AO105" s="123"/>
      <c r="AP105" s="124"/>
      <c r="AQ105" s="124"/>
      <c r="AR105" s="124"/>
      <c r="AS105" s="123"/>
      <c r="AT105" s="124"/>
      <c r="AU105" s="124"/>
      <c r="AV105" s="124"/>
      <c r="AW105" s="123"/>
      <c r="AX105" s="124"/>
      <c r="AY105" s="124"/>
      <c r="AZ105" s="123"/>
      <c r="BA105" s="125"/>
      <c r="BB105" s="125"/>
      <c r="BC105" s="124"/>
      <c r="BD105" s="123"/>
      <c r="BE105" s="124"/>
      <c r="BF105" s="124"/>
      <c r="BG105" s="124"/>
      <c r="BH105" s="123"/>
      <c r="BI105" s="124"/>
      <c r="BJ105" s="124"/>
      <c r="BK105" s="124"/>
      <c r="BL105" s="123"/>
      <c r="BM105" s="124"/>
      <c r="BN105" s="124"/>
      <c r="BO105" s="124"/>
      <c r="BP105" s="123"/>
      <c r="BQ105" s="124"/>
      <c r="BR105" s="124"/>
      <c r="BS105" s="123"/>
      <c r="BT105" s="109"/>
      <c r="BU105" s="125"/>
      <c r="BV105" s="124"/>
      <c r="BW105" s="123"/>
      <c r="BX105" s="124"/>
      <c r="BY105" s="124"/>
      <c r="BZ105" s="124"/>
      <c r="CA105" s="123"/>
      <c r="CB105" s="124"/>
      <c r="CC105" s="124"/>
      <c r="CD105" s="124"/>
      <c r="CE105" s="123"/>
      <c r="CF105" s="124"/>
      <c r="CG105" s="124"/>
      <c r="CH105" s="124"/>
      <c r="CI105" s="123"/>
      <c r="CJ105" s="124"/>
      <c r="CK105" s="124"/>
      <c r="CL105" s="123"/>
      <c r="CM105" s="125"/>
      <c r="CN105" s="125"/>
      <c r="CO105" s="124"/>
      <c r="CP105" s="123"/>
      <c r="CQ105" s="124"/>
      <c r="CR105" s="124"/>
      <c r="CS105" s="124"/>
      <c r="CT105" s="123"/>
      <c r="CU105" s="124"/>
      <c r="CV105" s="124"/>
      <c r="CW105" s="124"/>
      <c r="CX105" s="123"/>
      <c r="CY105" s="124"/>
      <c r="CZ105" s="124"/>
      <c r="DA105" s="124"/>
      <c r="DB105" s="123"/>
      <c r="DC105" s="124"/>
      <c r="DD105" s="124"/>
      <c r="DE105" s="123"/>
      <c r="DF105" s="125"/>
      <c r="DG105" s="125"/>
      <c r="DH105" s="124"/>
      <c r="DI105" s="123"/>
      <c r="DJ105" s="124"/>
      <c r="DK105" s="124"/>
      <c r="DL105" s="124"/>
      <c r="DM105" s="123"/>
      <c r="DN105" s="124"/>
      <c r="DO105" s="124"/>
      <c r="DP105" s="124"/>
      <c r="DQ105" s="123"/>
      <c r="DR105" s="124"/>
      <c r="DS105" s="124"/>
      <c r="DT105" s="124"/>
      <c r="DU105" s="123"/>
      <c r="DV105" s="124"/>
      <c r="DW105" s="124"/>
      <c r="DX105" s="123"/>
      <c r="DY105" s="126"/>
      <c r="DZ105" s="126"/>
      <c r="EA105" s="126"/>
      <c r="EB105" s="126"/>
      <c r="EC105" s="73"/>
    </row>
    <row r="106" spans="1:133" ht="25.15" customHeight="1">
      <c r="A106" s="1">
        <f t="shared" si="62"/>
        <v>30</v>
      </c>
      <c r="B106" s="69"/>
      <c r="C106" s="266" t="s">
        <v>105</v>
      </c>
      <c r="D106" s="296"/>
      <c r="E106" s="266" t="s">
        <v>104</v>
      </c>
      <c r="F106" s="266"/>
      <c r="G106" s="70"/>
      <c r="H106" s="107"/>
      <c r="I106" s="107"/>
      <c r="J106" s="107"/>
      <c r="K106" s="107"/>
      <c r="L106" s="105"/>
      <c r="M106" s="107"/>
      <c r="N106" s="101"/>
      <c r="O106" s="86"/>
      <c r="P106" s="104"/>
      <c r="Q106" s="252" t="s">
        <v>156</v>
      </c>
      <c r="R106" s="251"/>
      <c r="S106" s="251"/>
      <c r="T106" s="251"/>
      <c r="U106" s="251"/>
      <c r="V106" s="251"/>
      <c r="W106" s="251"/>
      <c r="X106" s="251"/>
      <c r="Y106" s="251"/>
      <c r="Z106" s="251"/>
      <c r="AA106" s="251"/>
      <c r="AB106" s="251"/>
      <c r="AC106" s="251"/>
      <c r="AD106" s="251"/>
      <c r="AE106" s="251"/>
      <c r="AF106" s="251"/>
      <c r="AG106" s="251"/>
      <c r="AH106" s="251"/>
      <c r="AI106" s="251"/>
      <c r="AJ106" s="155" t="s">
        <v>156</v>
      </c>
      <c r="AK106" s="152"/>
      <c r="AL106" s="152"/>
      <c r="AM106" s="152"/>
      <c r="AN106" s="152"/>
      <c r="AO106" s="152"/>
      <c r="AP106" s="152"/>
      <c r="AQ106" s="152"/>
      <c r="AR106" s="152"/>
      <c r="AS106" s="152"/>
      <c r="AT106" s="152"/>
      <c r="AU106" s="152"/>
      <c r="AV106" s="152"/>
      <c r="AW106" s="152"/>
      <c r="AX106" s="152"/>
      <c r="AY106" s="152"/>
      <c r="AZ106" s="152"/>
      <c r="BA106" s="152"/>
      <c r="BB106" s="152"/>
      <c r="BC106" s="252" t="s">
        <v>156</v>
      </c>
      <c r="BD106" s="251"/>
      <c r="BE106" s="251"/>
      <c r="BF106" s="251"/>
      <c r="BG106" s="251"/>
      <c r="BH106" s="251"/>
      <c r="BI106" s="251"/>
      <c r="BJ106" s="251"/>
      <c r="BK106" s="251"/>
      <c r="BL106" s="251"/>
      <c r="BM106" s="251"/>
      <c r="BN106" s="251"/>
      <c r="BO106" s="251"/>
      <c r="BP106" s="251"/>
      <c r="BQ106" s="251"/>
      <c r="BR106" s="251"/>
      <c r="BS106" s="251"/>
      <c r="BT106" s="251"/>
      <c r="BU106" s="251"/>
      <c r="BV106" s="252" t="s">
        <v>156</v>
      </c>
      <c r="BW106" s="251"/>
      <c r="BX106" s="251"/>
      <c r="BY106" s="251"/>
      <c r="BZ106" s="251"/>
      <c r="CA106" s="251"/>
      <c r="CB106" s="251"/>
      <c r="CC106" s="251"/>
      <c r="CD106" s="251"/>
      <c r="CE106" s="251"/>
      <c r="CF106" s="251"/>
      <c r="CG106" s="251"/>
      <c r="CH106" s="251"/>
      <c r="CI106" s="251"/>
      <c r="CJ106" s="251"/>
      <c r="CK106" s="251"/>
      <c r="CL106" s="251"/>
      <c r="CM106" s="251"/>
      <c r="CN106" s="251"/>
      <c r="CO106" s="252" t="s">
        <v>156</v>
      </c>
      <c r="CP106" s="251"/>
      <c r="CQ106" s="251"/>
      <c r="CR106" s="251"/>
      <c r="CS106" s="251"/>
      <c r="CT106" s="251"/>
      <c r="CU106" s="251"/>
      <c r="CV106" s="251"/>
      <c r="CW106" s="251"/>
      <c r="CX106" s="251"/>
      <c r="CY106" s="251"/>
      <c r="CZ106" s="251"/>
      <c r="DA106" s="251"/>
      <c r="DB106" s="251"/>
      <c r="DC106" s="251"/>
      <c r="DD106" s="251"/>
      <c r="DE106" s="251"/>
      <c r="DF106" s="251"/>
      <c r="DG106" s="251"/>
      <c r="DH106" s="252" t="s">
        <v>156</v>
      </c>
      <c r="DI106" s="251"/>
      <c r="DJ106" s="251"/>
      <c r="DK106" s="251"/>
      <c r="DL106" s="251"/>
      <c r="DM106" s="251"/>
      <c r="DN106" s="251"/>
      <c r="DO106" s="251"/>
      <c r="DP106" s="251"/>
      <c r="DQ106" s="251"/>
      <c r="DR106" s="251"/>
      <c r="DS106" s="251"/>
      <c r="DT106" s="251"/>
      <c r="DU106" s="251"/>
      <c r="DV106" s="251"/>
      <c r="DW106" s="251"/>
      <c r="DX106" s="251"/>
      <c r="DY106" s="251"/>
      <c r="DZ106" s="251"/>
      <c r="EA106" s="104"/>
      <c r="EB106" s="104"/>
      <c r="EC106" s="73"/>
    </row>
    <row r="107" spans="1:133" ht="25.15" customHeight="1">
      <c r="A107" s="1">
        <f t="shared" si="62"/>
        <v>31</v>
      </c>
      <c r="B107" s="69"/>
      <c r="C107" s="150" t="s">
        <v>218</v>
      </c>
      <c r="D107" s="150"/>
      <c r="E107" s="150"/>
      <c r="F107" s="150"/>
      <c r="G107" s="150"/>
      <c r="H107" s="150"/>
      <c r="I107" s="150"/>
      <c r="J107" s="150"/>
      <c r="K107" s="150"/>
      <c r="L107" s="150"/>
      <c r="M107" s="150"/>
      <c r="N107" s="150"/>
      <c r="O107" s="150"/>
      <c r="P107" s="150"/>
      <c r="Q107" s="252" t="s">
        <v>156</v>
      </c>
      <c r="R107" s="251"/>
      <c r="S107" s="251"/>
      <c r="T107" s="251"/>
      <c r="U107" s="251"/>
      <c r="V107" s="251"/>
      <c r="W107" s="251"/>
      <c r="X107" s="251"/>
      <c r="Y107" s="251"/>
      <c r="Z107" s="251"/>
      <c r="AA107" s="251"/>
      <c r="AB107" s="251"/>
      <c r="AC107" s="251"/>
      <c r="AD107" s="251"/>
      <c r="AE107" s="251"/>
      <c r="AF107" s="251"/>
      <c r="AG107" s="251"/>
      <c r="AH107" s="251"/>
      <c r="AI107" s="251"/>
      <c r="AJ107" s="155" t="s">
        <v>156</v>
      </c>
      <c r="AK107" s="152"/>
      <c r="AL107" s="152"/>
      <c r="AM107" s="152"/>
      <c r="AN107" s="152"/>
      <c r="AO107" s="152"/>
      <c r="AP107" s="152"/>
      <c r="AQ107" s="152"/>
      <c r="AR107" s="152"/>
      <c r="AS107" s="152"/>
      <c r="AT107" s="152"/>
      <c r="AU107" s="152"/>
      <c r="AV107" s="152"/>
      <c r="AW107" s="152"/>
      <c r="AX107" s="152"/>
      <c r="AY107" s="152"/>
      <c r="AZ107" s="152"/>
      <c r="BA107" s="152"/>
      <c r="BB107" s="152"/>
      <c r="BC107" s="252" t="s">
        <v>156</v>
      </c>
      <c r="BD107" s="251"/>
      <c r="BE107" s="251"/>
      <c r="BF107" s="251"/>
      <c r="BG107" s="251"/>
      <c r="BH107" s="251"/>
      <c r="BI107" s="251"/>
      <c r="BJ107" s="251"/>
      <c r="BK107" s="251"/>
      <c r="BL107" s="251"/>
      <c r="BM107" s="251"/>
      <c r="BN107" s="251"/>
      <c r="BO107" s="251"/>
      <c r="BP107" s="251"/>
      <c r="BQ107" s="251"/>
      <c r="BR107" s="251"/>
      <c r="BS107" s="251"/>
      <c r="BT107" s="251"/>
      <c r="BU107" s="251"/>
      <c r="BV107" s="252" t="s">
        <v>156</v>
      </c>
      <c r="BW107" s="251"/>
      <c r="BX107" s="251"/>
      <c r="BY107" s="251"/>
      <c r="BZ107" s="251"/>
      <c r="CA107" s="251"/>
      <c r="CB107" s="251"/>
      <c r="CC107" s="251"/>
      <c r="CD107" s="251"/>
      <c r="CE107" s="251"/>
      <c r="CF107" s="251"/>
      <c r="CG107" s="251"/>
      <c r="CH107" s="251"/>
      <c r="CI107" s="251"/>
      <c r="CJ107" s="251"/>
      <c r="CK107" s="251"/>
      <c r="CL107" s="251"/>
      <c r="CM107" s="251"/>
      <c r="CN107" s="251"/>
      <c r="CO107" s="252" t="s">
        <v>156</v>
      </c>
      <c r="CP107" s="251"/>
      <c r="CQ107" s="251"/>
      <c r="CR107" s="251"/>
      <c r="CS107" s="251"/>
      <c r="CT107" s="251"/>
      <c r="CU107" s="251"/>
      <c r="CV107" s="251"/>
      <c r="CW107" s="251"/>
      <c r="CX107" s="251"/>
      <c r="CY107" s="251"/>
      <c r="CZ107" s="251"/>
      <c r="DA107" s="251"/>
      <c r="DB107" s="251"/>
      <c r="DC107" s="251"/>
      <c r="DD107" s="251"/>
      <c r="DE107" s="251"/>
      <c r="DF107" s="251"/>
      <c r="DG107" s="251"/>
      <c r="DH107" s="252" t="s">
        <v>156</v>
      </c>
      <c r="DI107" s="251"/>
      <c r="DJ107" s="251"/>
      <c r="DK107" s="251"/>
      <c r="DL107" s="251"/>
      <c r="DM107" s="251"/>
      <c r="DN107" s="251"/>
      <c r="DO107" s="251"/>
      <c r="DP107" s="251"/>
      <c r="DQ107" s="251"/>
      <c r="DR107" s="251"/>
      <c r="DS107" s="251"/>
      <c r="DT107" s="251"/>
      <c r="DU107" s="251"/>
      <c r="DV107" s="251"/>
      <c r="DW107" s="251"/>
      <c r="DX107" s="251"/>
      <c r="DY107" s="251"/>
      <c r="DZ107" s="251"/>
      <c r="EA107" s="104"/>
      <c r="EB107" s="104"/>
      <c r="EC107" s="73"/>
    </row>
    <row r="108" spans="1:133" ht="25.15" customHeight="1">
      <c r="A108" s="1">
        <f t="shared" si="62"/>
        <v>32</v>
      </c>
      <c r="B108" s="69"/>
      <c r="C108" s="150" t="s">
        <v>218</v>
      </c>
      <c r="D108" s="150"/>
      <c r="E108" s="150"/>
      <c r="F108" s="150"/>
      <c r="G108" s="150"/>
      <c r="H108" s="150"/>
      <c r="I108" s="150"/>
      <c r="J108" s="150"/>
      <c r="K108" s="150"/>
      <c r="L108" s="150"/>
      <c r="M108" s="150"/>
      <c r="N108" s="150"/>
      <c r="O108" s="150"/>
      <c r="P108" s="150"/>
      <c r="Q108" s="252" t="s">
        <v>156</v>
      </c>
      <c r="R108" s="251"/>
      <c r="S108" s="251"/>
      <c r="T108" s="251"/>
      <c r="U108" s="251"/>
      <c r="V108" s="251"/>
      <c r="W108" s="251"/>
      <c r="X108" s="251"/>
      <c r="Y108" s="251"/>
      <c r="Z108" s="251"/>
      <c r="AA108" s="251"/>
      <c r="AB108" s="251"/>
      <c r="AC108" s="251"/>
      <c r="AD108" s="251"/>
      <c r="AE108" s="251"/>
      <c r="AF108" s="251"/>
      <c r="AG108" s="251"/>
      <c r="AH108" s="251"/>
      <c r="AI108" s="251"/>
      <c r="AJ108" s="155" t="s">
        <v>156</v>
      </c>
      <c r="AK108" s="152"/>
      <c r="AL108" s="152"/>
      <c r="AM108" s="152"/>
      <c r="AN108" s="152"/>
      <c r="AO108" s="152"/>
      <c r="AP108" s="152"/>
      <c r="AQ108" s="152"/>
      <c r="AR108" s="152"/>
      <c r="AS108" s="152"/>
      <c r="AT108" s="152"/>
      <c r="AU108" s="152"/>
      <c r="AV108" s="152"/>
      <c r="AW108" s="152"/>
      <c r="AX108" s="152"/>
      <c r="AY108" s="152"/>
      <c r="AZ108" s="152"/>
      <c r="BA108" s="152"/>
      <c r="BB108" s="152"/>
      <c r="BC108" s="252" t="s">
        <v>156</v>
      </c>
      <c r="BD108" s="251"/>
      <c r="BE108" s="251"/>
      <c r="BF108" s="251"/>
      <c r="BG108" s="251"/>
      <c r="BH108" s="251"/>
      <c r="BI108" s="251"/>
      <c r="BJ108" s="251"/>
      <c r="BK108" s="251"/>
      <c r="BL108" s="251"/>
      <c r="BM108" s="251"/>
      <c r="BN108" s="251"/>
      <c r="BO108" s="251"/>
      <c r="BP108" s="251"/>
      <c r="BQ108" s="251"/>
      <c r="BR108" s="251"/>
      <c r="BS108" s="251"/>
      <c r="BT108" s="251"/>
      <c r="BU108" s="251"/>
      <c r="BV108" s="252" t="s">
        <v>156</v>
      </c>
      <c r="BW108" s="251"/>
      <c r="BX108" s="251"/>
      <c r="BY108" s="251"/>
      <c r="BZ108" s="251"/>
      <c r="CA108" s="251"/>
      <c r="CB108" s="251"/>
      <c r="CC108" s="251"/>
      <c r="CD108" s="251"/>
      <c r="CE108" s="251"/>
      <c r="CF108" s="251"/>
      <c r="CG108" s="251"/>
      <c r="CH108" s="251"/>
      <c r="CI108" s="251"/>
      <c r="CJ108" s="251"/>
      <c r="CK108" s="251"/>
      <c r="CL108" s="251"/>
      <c r="CM108" s="251"/>
      <c r="CN108" s="251"/>
      <c r="CO108" s="252" t="s">
        <v>156</v>
      </c>
      <c r="CP108" s="251"/>
      <c r="CQ108" s="251"/>
      <c r="CR108" s="251"/>
      <c r="CS108" s="251"/>
      <c r="CT108" s="251"/>
      <c r="CU108" s="251"/>
      <c r="CV108" s="251"/>
      <c r="CW108" s="251"/>
      <c r="CX108" s="251"/>
      <c r="CY108" s="251"/>
      <c r="CZ108" s="251"/>
      <c r="DA108" s="251"/>
      <c r="DB108" s="251"/>
      <c r="DC108" s="251"/>
      <c r="DD108" s="251"/>
      <c r="DE108" s="251"/>
      <c r="DF108" s="251"/>
      <c r="DG108" s="251"/>
      <c r="DH108" s="252" t="s">
        <v>156</v>
      </c>
      <c r="DI108" s="251"/>
      <c r="DJ108" s="251"/>
      <c r="DK108" s="251"/>
      <c r="DL108" s="251"/>
      <c r="DM108" s="251"/>
      <c r="DN108" s="251"/>
      <c r="DO108" s="251"/>
      <c r="DP108" s="251"/>
      <c r="DQ108" s="251"/>
      <c r="DR108" s="251"/>
      <c r="DS108" s="251"/>
      <c r="DT108" s="251"/>
      <c r="DU108" s="251"/>
      <c r="DV108" s="251"/>
      <c r="DW108" s="251"/>
      <c r="DX108" s="251"/>
      <c r="DY108" s="251"/>
      <c r="DZ108" s="251"/>
      <c r="EA108" s="104"/>
      <c r="EB108" s="104"/>
      <c r="EC108" s="73"/>
    </row>
    <row r="109" spans="1:133" ht="25.15" customHeight="1">
      <c r="A109" s="1">
        <f t="shared" si="62"/>
        <v>33</v>
      </c>
      <c r="B109" s="100"/>
      <c r="C109" s="101"/>
      <c r="D109" s="101"/>
      <c r="E109" s="105"/>
      <c r="F109" s="105"/>
      <c r="G109" s="105"/>
      <c r="H109" s="105"/>
      <c r="I109" s="105"/>
      <c r="J109" s="105"/>
      <c r="K109" s="105"/>
      <c r="L109" s="105"/>
      <c r="M109" s="105"/>
      <c r="N109" s="105"/>
      <c r="O109" s="105"/>
      <c r="P109" s="105"/>
      <c r="Q109" s="105"/>
      <c r="R109" s="105"/>
      <c r="S109" s="105"/>
      <c r="T109" s="105"/>
      <c r="U109" s="105"/>
      <c r="V109" s="105"/>
      <c r="W109" s="105"/>
      <c r="X109" s="105"/>
      <c r="Y109" s="101"/>
      <c r="Z109" s="101"/>
      <c r="AA109" s="101"/>
      <c r="AB109" s="101"/>
      <c r="AC109" s="101"/>
      <c r="AD109" s="101"/>
      <c r="AE109" s="101"/>
      <c r="AF109" s="101"/>
      <c r="AG109" s="101"/>
      <c r="AH109" s="101"/>
      <c r="AI109" s="101"/>
      <c r="AJ109" s="101"/>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c r="DK109" s="101"/>
      <c r="DL109" s="101"/>
      <c r="DM109" s="101"/>
      <c r="DN109" s="101"/>
      <c r="DO109" s="101"/>
      <c r="DP109" s="101"/>
      <c r="DQ109" s="101"/>
      <c r="DR109" s="101"/>
      <c r="DS109" s="101"/>
      <c r="DT109" s="101"/>
      <c r="DU109" s="101"/>
      <c r="DV109" s="101"/>
      <c r="DW109" s="101"/>
      <c r="DX109" s="101"/>
      <c r="DY109" s="101"/>
      <c r="DZ109" s="101"/>
      <c r="EA109" s="92"/>
      <c r="EB109" s="71"/>
      <c r="EC109" s="73"/>
    </row>
    <row r="110" spans="1:133" ht="25.15" customHeight="1">
      <c r="A110" s="1">
        <f t="shared" si="62"/>
        <v>34</v>
      </c>
      <c r="B110" s="69"/>
      <c r="C110" s="153" t="s">
        <v>245</v>
      </c>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05"/>
      <c r="BT110" s="92"/>
      <c r="BU110" s="72"/>
      <c r="BV110" s="92"/>
      <c r="BW110" s="255" t="s">
        <v>246</v>
      </c>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c r="DM110" s="255"/>
      <c r="DN110" s="255"/>
      <c r="DO110" s="255"/>
      <c r="DP110" s="255"/>
      <c r="DQ110" s="255"/>
      <c r="DR110" s="255"/>
      <c r="DS110" s="255"/>
      <c r="DT110" s="255"/>
      <c r="DU110" s="255"/>
      <c r="DV110" s="255"/>
      <c r="DW110" s="255"/>
      <c r="DX110" s="255"/>
      <c r="DY110" s="255"/>
      <c r="DZ110" s="255"/>
      <c r="EA110" s="255"/>
      <c r="EB110" s="255"/>
      <c r="EC110" s="73"/>
    </row>
    <row r="111" spans="1:133" s="179" customFormat="1" ht="25.15" customHeight="1">
      <c r="A111" s="1">
        <f t="shared" si="62"/>
        <v>35</v>
      </c>
      <c r="B111" s="176"/>
      <c r="C111" s="177" t="s">
        <v>244</v>
      </c>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7"/>
      <c r="AQ111" s="177"/>
      <c r="AR111" s="177"/>
      <c r="AS111" s="177"/>
      <c r="AT111" s="177"/>
      <c r="AU111" s="177"/>
      <c r="AV111" s="177"/>
      <c r="AW111" s="177"/>
      <c r="AX111" s="177"/>
      <c r="AY111" s="177"/>
      <c r="AZ111" s="177"/>
      <c r="BA111" s="177"/>
      <c r="BB111" s="158"/>
      <c r="BC111" s="158"/>
      <c r="BD111" s="158"/>
      <c r="BE111" s="158"/>
      <c r="BF111" s="158"/>
      <c r="BG111" s="158"/>
      <c r="BH111" s="178"/>
      <c r="BI111" s="178"/>
      <c r="BJ111" s="178"/>
      <c r="BK111" s="178"/>
      <c r="BL111" s="171"/>
      <c r="BM111" s="158"/>
      <c r="BN111" s="158"/>
      <c r="BO111" s="260" t="s">
        <v>113</v>
      </c>
      <c r="BP111" s="260"/>
      <c r="BQ111" s="260" t="s">
        <v>103</v>
      </c>
      <c r="BR111" s="260"/>
      <c r="BV111" s="118"/>
      <c r="BW111" s="256" t="s">
        <v>114</v>
      </c>
      <c r="BX111" s="256"/>
      <c r="BY111" s="256"/>
      <c r="BZ111" s="256"/>
      <c r="CA111" s="256"/>
      <c r="CB111" s="256"/>
      <c r="CC111" s="256"/>
      <c r="CD111" s="256"/>
      <c r="CE111" s="256"/>
      <c r="CF111" s="256"/>
      <c r="CG111" s="256"/>
      <c r="CH111" s="256"/>
      <c r="CI111" s="256"/>
      <c r="CJ111" s="256"/>
      <c r="CK111" s="256"/>
      <c r="CL111" s="256"/>
      <c r="CM111" s="256"/>
      <c r="CN111" s="256"/>
      <c r="CO111" s="256"/>
      <c r="CP111" s="256"/>
      <c r="CQ111" s="256"/>
      <c r="CR111" s="256"/>
      <c r="CS111" s="256"/>
      <c r="CT111" s="256"/>
      <c r="CU111" s="256"/>
      <c r="CV111" s="256"/>
      <c r="CW111" s="256"/>
      <c r="CX111" s="256"/>
      <c r="CY111" s="256"/>
      <c r="CZ111" s="256"/>
      <c r="DA111" s="256"/>
      <c r="DB111" s="256"/>
      <c r="DC111" s="256"/>
      <c r="DD111" s="256"/>
      <c r="DE111" s="256"/>
      <c r="DF111" s="256"/>
      <c r="DG111" s="256"/>
      <c r="DH111" s="256"/>
      <c r="DI111" s="256"/>
      <c r="DJ111" s="256"/>
      <c r="DK111" s="256"/>
      <c r="DL111" s="257" t="s">
        <v>247</v>
      </c>
      <c r="DM111" s="257"/>
      <c r="DN111" s="257"/>
      <c r="DO111" s="257"/>
      <c r="DP111" s="257"/>
      <c r="DQ111" s="257"/>
      <c r="DR111" s="257"/>
      <c r="DS111" s="257"/>
      <c r="DT111" s="257"/>
      <c r="DU111" s="257"/>
      <c r="DV111" s="257"/>
      <c r="DW111" s="257"/>
      <c r="DX111" s="257"/>
      <c r="DY111" s="257"/>
      <c r="DZ111" s="257"/>
      <c r="EA111" s="257"/>
      <c r="EB111" s="257"/>
      <c r="EC111" s="180"/>
    </row>
    <row r="112" spans="1:133" ht="25.15" customHeight="1">
      <c r="A112" s="1">
        <f t="shared" si="62"/>
        <v>36</v>
      </c>
      <c r="B112" s="69"/>
      <c r="C112" s="222" t="s">
        <v>234</v>
      </c>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53" t="s">
        <v>156</v>
      </c>
      <c r="BC112" s="253"/>
      <c r="BD112" s="253"/>
      <c r="BE112" s="253"/>
      <c r="BF112" s="253"/>
      <c r="BG112" s="253"/>
      <c r="BH112" s="253"/>
      <c r="BI112" s="253"/>
      <c r="BJ112" s="253"/>
      <c r="BK112" s="253"/>
      <c r="BL112" s="253"/>
      <c r="BM112" s="253"/>
      <c r="BN112" s="253"/>
      <c r="BO112" s="253"/>
      <c r="BP112" s="253"/>
      <c r="BQ112" s="253"/>
      <c r="BR112" s="253"/>
      <c r="BS112" s="107"/>
      <c r="BT112" s="107"/>
      <c r="BU112" s="107"/>
      <c r="BV112" s="92"/>
      <c r="BW112" s="254" t="s">
        <v>226</v>
      </c>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3" t="s">
        <v>156</v>
      </c>
      <c r="DM112" s="253"/>
      <c r="DN112" s="253"/>
      <c r="DO112" s="253"/>
      <c r="DP112" s="253"/>
      <c r="DQ112" s="253"/>
      <c r="DR112" s="253"/>
      <c r="DS112" s="253"/>
      <c r="DT112" s="253"/>
      <c r="DU112" s="253"/>
      <c r="DV112" s="253"/>
      <c r="DW112" s="253"/>
      <c r="DX112" s="253"/>
      <c r="DY112" s="253"/>
      <c r="DZ112" s="253"/>
      <c r="EA112" s="253"/>
      <c r="EB112" s="253"/>
      <c r="EC112" s="73"/>
    </row>
    <row r="113" spans="1:133" ht="25.15" customHeight="1">
      <c r="A113" s="1">
        <f t="shared" si="62"/>
        <v>37</v>
      </c>
      <c r="B113" s="69"/>
      <c r="C113" s="223" t="s">
        <v>234</v>
      </c>
      <c r="D113" s="223"/>
      <c r="E113" s="223"/>
      <c r="F113" s="223"/>
      <c r="G113" s="223"/>
      <c r="H113" s="223"/>
      <c r="I113" s="223"/>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3"/>
      <c r="AS113" s="223"/>
      <c r="AT113" s="223"/>
      <c r="AU113" s="223"/>
      <c r="AV113" s="223"/>
      <c r="AW113" s="223"/>
      <c r="AX113" s="223"/>
      <c r="AY113" s="223"/>
      <c r="AZ113" s="223"/>
      <c r="BA113" s="223"/>
      <c r="BB113" s="247" t="s">
        <v>156</v>
      </c>
      <c r="BC113" s="247"/>
      <c r="BD113" s="247"/>
      <c r="BE113" s="247"/>
      <c r="BF113" s="247"/>
      <c r="BG113" s="247"/>
      <c r="BH113" s="247"/>
      <c r="BI113" s="247"/>
      <c r="BJ113" s="247"/>
      <c r="BK113" s="247"/>
      <c r="BL113" s="247"/>
      <c r="BM113" s="247"/>
      <c r="BN113" s="247"/>
      <c r="BO113" s="247"/>
      <c r="BP113" s="247"/>
      <c r="BQ113" s="247"/>
      <c r="BR113" s="247"/>
      <c r="BS113" s="107"/>
      <c r="BT113" s="107"/>
      <c r="BU113" s="107"/>
      <c r="BV113" s="92"/>
      <c r="BW113" s="248" t="s">
        <v>226</v>
      </c>
      <c r="BX113" s="248"/>
      <c r="BY113" s="248"/>
      <c r="BZ113" s="248"/>
      <c r="CA113" s="248"/>
      <c r="CB113" s="248"/>
      <c r="CC113" s="248"/>
      <c r="CD113" s="248"/>
      <c r="CE113" s="248"/>
      <c r="CF113" s="248"/>
      <c r="CG113" s="248"/>
      <c r="CH113" s="248"/>
      <c r="CI113" s="248"/>
      <c r="CJ113" s="248"/>
      <c r="CK113" s="248"/>
      <c r="CL113" s="248"/>
      <c r="CM113" s="248"/>
      <c r="CN113" s="248"/>
      <c r="CO113" s="248"/>
      <c r="CP113" s="248"/>
      <c r="CQ113" s="248"/>
      <c r="CR113" s="248"/>
      <c r="CS113" s="248"/>
      <c r="CT113" s="248"/>
      <c r="CU113" s="248"/>
      <c r="CV113" s="248"/>
      <c r="CW113" s="248"/>
      <c r="CX113" s="248"/>
      <c r="CY113" s="248"/>
      <c r="CZ113" s="248"/>
      <c r="DA113" s="248"/>
      <c r="DB113" s="248"/>
      <c r="DC113" s="248"/>
      <c r="DD113" s="248"/>
      <c r="DE113" s="248"/>
      <c r="DF113" s="248"/>
      <c r="DG113" s="248"/>
      <c r="DH113" s="248"/>
      <c r="DI113" s="248"/>
      <c r="DJ113" s="248"/>
      <c r="DK113" s="248"/>
      <c r="DL113" s="247" t="s">
        <v>156</v>
      </c>
      <c r="DM113" s="247"/>
      <c r="DN113" s="247"/>
      <c r="DO113" s="247"/>
      <c r="DP113" s="247"/>
      <c r="DQ113" s="247"/>
      <c r="DR113" s="247"/>
      <c r="DS113" s="247"/>
      <c r="DT113" s="247"/>
      <c r="DU113" s="247"/>
      <c r="DV113" s="247"/>
      <c r="DW113" s="247"/>
      <c r="DX113" s="247"/>
      <c r="DY113" s="247"/>
      <c r="DZ113" s="247"/>
      <c r="EA113" s="247"/>
      <c r="EB113" s="247"/>
      <c r="EC113" s="73"/>
    </row>
    <row r="114" spans="1:133" ht="25.15" customHeight="1">
      <c r="A114" s="1">
        <f t="shared" si="62"/>
        <v>38</v>
      </c>
      <c r="B114" s="69"/>
      <c r="C114" s="223" t="s">
        <v>234</v>
      </c>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3"/>
      <c r="AP114" s="223"/>
      <c r="AQ114" s="223"/>
      <c r="AR114" s="223"/>
      <c r="AS114" s="223"/>
      <c r="AT114" s="223"/>
      <c r="AU114" s="223"/>
      <c r="AV114" s="223"/>
      <c r="AW114" s="223"/>
      <c r="AX114" s="223"/>
      <c r="AY114" s="223"/>
      <c r="AZ114" s="223"/>
      <c r="BA114" s="223"/>
      <c r="BB114" s="247" t="s">
        <v>156</v>
      </c>
      <c r="BC114" s="247"/>
      <c r="BD114" s="247"/>
      <c r="BE114" s="247"/>
      <c r="BF114" s="247"/>
      <c r="BG114" s="247"/>
      <c r="BH114" s="247"/>
      <c r="BI114" s="247"/>
      <c r="BJ114" s="247"/>
      <c r="BK114" s="247"/>
      <c r="BL114" s="247"/>
      <c r="BM114" s="247"/>
      <c r="BN114" s="247"/>
      <c r="BO114" s="247"/>
      <c r="BP114" s="247"/>
      <c r="BQ114" s="247"/>
      <c r="BR114" s="247"/>
      <c r="BS114" s="107"/>
      <c r="BT114" s="107"/>
      <c r="BU114" s="107"/>
      <c r="BV114" s="92"/>
      <c r="BW114" s="248" t="s">
        <v>226</v>
      </c>
      <c r="BX114" s="248"/>
      <c r="BY114" s="248"/>
      <c r="BZ114" s="248"/>
      <c r="CA114" s="248"/>
      <c r="CB114" s="248"/>
      <c r="CC114" s="248"/>
      <c r="CD114" s="248"/>
      <c r="CE114" s="248"/>
      <c r="CF114" s="248"/>
      <c r="CG114" s="248"/>
      <c r="CH114" s="248"/>
      <c r="CI114" s="248"/>
      <c r="CJ114" s="248"/>
      <c r="CK114" s="248"/>
      <c r="CL114" s="248"/>
      <c r="CM114" s="248"/>
      <c r="CN114" s="248"/>
      <c r="CO114" s="248"/>
      <c r="CP114" s="248"/>
      <c r="CQ114" s="248"/>
      <c r="CR114" s="248"/>
      <c r="CS114" s="248"/>
      <c r="CT114" s="248"/>
      <c r="CU114" s="248"/>
      <c r="CV114" s="248"/>
      <c r="CW114" s="248"/>
      <c r="CX114" s="248"/>
      <c r="CY114" s="248"/>
      <c r="CZ114" s="248"/>
      <c r="DA114" s="248"/>
      <c r="DB114" s="248"/>
      <c r="DC114" s="248"/>
      <c r="DD114" s="248"/>
      <c r="DE114" s="248"/>
      <c r="DF114" s="248"/>
      <c r="DG114" s="248"/>
      <c r="DH114" s="248"/>
      <c r="DI114" s="248"/>
      <c r="DJ114" s="248"/>
      <c r="DK114" s="248"/>
      <c r="DL114" s="247" t="s">
        <v>156</v>
      </c>
      <c r="DM114" s="247"/>
      <c r="DN114" s="247"/>
      <c r="DO114" s="247"/>
      <c r="DP114" s="247"/>
      <c r="DQ114" s="247"/>
      <c r="DR114" s="247"/>
      <c r="DS114" s="247"/>
      <c r="DT114" s="247"/>
      <c r="DU114" s="247"/>
      <c r="DV114" s="247"/>
      <c r="DW114" s="247"/>
      <c r="DX114" s="247"/>
      <c r="DY114" s="247"/>
      <c r="DZ114" s="247"/>
      <c r="EA114" s="247"/>
      <c r="EB114" s="247"/>
      <c r="EC114" s="73"/>
    </row>
    <row r="115" spans="1:133" ht="25.15" customHeight="1">
      <c r="A115" s="1">
        <f t="shared" si="62"/>
        <v>39</v>
      </c>
      <c r="B115" s="69"/>
      <c r="C115" s="223" t="s">
        <v>234</v>
      </c>
      <c r="D115" s="223"/>
      <c r="E115" s="223"/>
      <c r="F115" s="223"/>
      <c r="G115" s="223"/>
      <c r="H115" s="223"/>
      <c r="I115" s="223"/>
      <c r="J115" s="223"/>
      <c r="K115" s="223"/>
      <c r="L115" s="223"/>
      <c r="M115" s="223"/>
      <c r="N115" s="223"/>
      <c r="O115" s="223"/>
      <c r="P115" s="223"/>
      <c r="Q115" s="223"/>
      <c r="R115" s="223"/>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c r="AZ115" s="223"/>
      <c r="BA115" s="223"/>
      <c r="BB115" s="247" t="s">
        <v>156</v>
      </c>
      <c r="BC115" s="247"/>
      <c r="BD115" s="247"/>
      <c r="BE115" s="247"/>
      <c r="BF115" s="247"/>
      <c r="BG115" s="247"/>
      <c r="BH115" s="247"/>
      <c r="BI115" s="247"/>
      <c r="BJ115" s="247"/>
      <c r="BK115" s="247"/>
      <c r="BL115" s="247"/>
      <c r="BM115" s="247"/>
      <c r="BN115" s="247"/>
      <c r="BO115" s="247"/>
      <c r="BP115" s="247"/>
      <c r="BQ115" s="247"/>
      <c r="BR115" s="247"/>
      <c r="BS115" s="107"/>
      <c r="BT115" s="107"/>
      <c r="BU115" s="107"/>
      <c r="BV115" s="92"/>
      <c r="BW115" s="248" t="s">
        <v>226</v>
      </c>
      <c r="BX115" s="248"/>
      <c r="BY115" s="248"/>
      <c r="BZ115" s="248"/>
      <c r="CA115" s="248"/>
      <c r="CB115" s="248"/>
      <c r="CC115" s="248"/>
      <c r="CD115" s="248"/>
      <c r="CE115" s="248"/>
      <c r="CF115" s="248"/>
      <c r="CG115" s="248"/>
      <c r="CH115" s="248"/>
      <c r="CI115" s="248"/>
      <c r="CJ115" s="248"/>
      <c r="CK115" s="248"/>
      <c r="CL115" s="248"/>
      <c r="CM115" s="248"/>
      <c r="CN115" s="248"/>
      <c r="CO115" s="248"/>
      <c r="CP115" s="248"/>
      <c r="CQ115" s="248"/>
      <c r="CR115" s="248"/>
      <c r="CS115" s="248"/>
      <c r="CT115" s="248"/>
      <c r="CU115" s="248"/>
      <c r="CV115" s="248"/>
      <c r="CW115" s="248"/>
      <c r="CX115" s="248"/>
      <c r="CY115" s="248"/>
      <c r="CZ115" s="248"/>
      <c r="DA115" s="248"/>
      <c r="DB115" s="248"/>
      <c r="DC115" s="248"/>
      <c r="DD115" s="248"/>
      <c r="DE115" s="248"/>
      <c r="DF115" s="248"/>
      <c r="DG115" s="248"/>
      <c r="DH115" s="248"/>
      <c r="DI115" s="248"/>
      <c r="DJ115" s="248"/>
      <c r="DK115" s="248"/>
      <c r="DL115" s="247" t="s">
        <v>156</v>
      </c>
      <c r="DM115" s="247"/>
      <c r="DN115" s="247"/>
      <c r="DO115" s="247"/>
      <c r="DP115" s="247"/>
      <c r="DQ115" s="247"/>
      <c r="DR115" s="247"/>
      <c r="DS115" s="247"/>
      <c r="DT115" s="247"/>
      <c r="DU115" s="247"/>
      <c r="DV115" s="247"/>
      <c r="DW115" s="247"/>
      <c r="DX115" s="247"/>
      <c r="DY115" s="247"/>
      <c r="DZ115" s="247"/>
      <c r="EA115" s="247"/>
      <c r="EB115" s="247"/>
      <c r="EC115" s="73"/>
    </row>
    <row r="116" spans="1:133" ht="25.15" customHeight="1">
      <c r="A116" s="1">
        <f t="shared" si="62"/>
        <v>40</v>
      </c>
      <c r="B116" s="69"/>
      <c r="C116" s="223" t="s">
        <v>234</v>
      </c>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47" t="s">
        <v>156</v>
      </c>
      <c r="BC116" s="247"/>
      <c r="BD116" s="247"/>
      <c r="BE116" s="247"/>
      <c r="BF116" s="247"/>
      <c r="BG116" s="247"/>
      <c r="BH116" s="247"/>
      <c r="BI116" s="247"/>
      <c r="BJ116" s="247"/>
      <c r="BK116" s="247"/>
      <c r="BL116" s="247"/>
      <c r="BM116" s="247"/>
      <c r="BN116" s="247"/>
      <c r="BO116" s="247"/>
      <c r="BP116" s="247"/>
      <c r="BQ116" s="247"/>
      <c r="BR116" s="247"/>
      <c r="BS116" s="107"/>
      <c r="BT116" s="107"/>
      <c r="BU116" s="107"/>
      <c r="BV116" s="92"/>
      <c r="BW116" s="248" t="s">
        <v>226</v>
      </c>
      <c r="BX116" s="248"/>
      <c r="BY116" s="248"/>
      <c r="BZ116" s="248"/>
      <c r="CA116" s="248"/>
      <c r="CB116" s="248"/>
      <c r="CC116" s="248"/>
      <c r="CD116" s="248"/>
      <c r="CE116" s="248"/>
      <c r="CF116" s="248"/>
      <c r="CG116" s="248"/>
      <c r="CH116" s="248"/>
      <c r="CI116" s="248"/>
      <c r="CJ116" s="248"/>
      <c r="CK116" s="248"/>
      <c r="CL116" s="248"/>
      <c r="CM116" s="248"/>
      <c r="CN116" s="248"/>
      <c r="CO116" s="248"/>
      <c r="CP116" s="248"/>
      <c r="CQ116" s="248"/>
      <c r="CR116" s="248"/>
      <c r="CS116" s="248"/>
      <c r="CT116" s="248"/>
      <c r="CU116" s="248"/>
      <c r="CV116" s="248"/>
      <c r="CW116" s="248"/>
      <c r="CX116" s="248"/>
      <c r="CY116" s="248"/>
      <c r="CZ116" s="248"/>
      <c r="DA116" s="248"/>
      <c r="DB116" s="248"/>
      <c r="DC116" s="248"/>
      <c r="DD116" s="248"/>
      <c r="DE116" s="248"/>
      <c r="DF116" s="248"/>
      <c r="DG116" s="248"/>
      <c r="DH116" s="248"/>
      <c r="DI116" s="248"/>
      <c r="DJ116" s="248"/>
      <c r="DK116" s="248"/>
      <c r="DL116" s="247" t="s">
        <v>156</v>
      </c>
      <c r="DM116" s="247"/>
      <c r="DN116" s="247"/>
      <c r="DO116" s="247"/>
      <c r="DP116" s="247"/>
      <c r="DQ116" s="247"/>
      <c r="DR116" s="247"/>
      <c r="DS116" s="247"/>
      <c r="DT116" s="247"/>
      <c r="DU116" s="247"/>
      <c r="DV116" s="247"/>
      <c r="DW116" s="247"/>
      <c r="DX116" s="247"/>
      <c r="DY116" s="247"/>
      <c r="DZ116" s="247"/>
      <c r="EA116" s="247"/>
      <c r="EB116" s="247"/>
      <c r="EC116" s="73"/>
    </row>
    <row r="117" spans="1:133" ht="25.15" customHeight="1">
      <c r="A117" s="1">
        <f t="shared" si="62"/>
        <v>41</v>
      </c>
      <c r="B117" s="69"/>
      <c r="C117" s="223" t="s">
        <v>234</v>
      </c>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c r="AZ117" s="223"/>
      <c r="BA117" s="223"/>
      <c r="BB117" s="247" t="s">
        <v>156</v>
      </c>
      <c r="BC117" s="247"/>
      <c r="BD117" s="247"/>
      <c r="BE117" s="247"/>
      <c r="BF117" s="247"/>
      <c r="BG117" s="247"/>
      <c r="BH117" s="247"/>
      <c r="BI117" s="247"/>
      <c r="BJ117" s="247"/>
      <c r="BK117" s="247"/>
      <c r="BL117" s="247"/>
      <c r="BM117" s="247"/>
      <c r="BN117" s="247"/>
      <c r="BO117" s="247"/>
      <c r="BP117" s="247"/>
      <c r="BQ117" s="247"/>
      <c r="BR117" s="247"/>
      <c r="BS117" s="107"/>
      <c r="BT117" s="107"/>
      <c r="BU117" s="107"/>
      <c r="BV117" s="92"/>
      <c r="BW117" s="248" t="s">
        <v>226</v>
      </c>
      <c r="BX117" s="248"/>
      <c r="BY117" s="248"/>
      <c r="BZ117" s="248"/>
      <c r="CA117" s="248"/>
      <c r="CB117" s="248"/>
      <c r="CC117" s="248"/>
      <c r="CD117" s="248"/>
      <c r="CE117" s="248"/>
      <c r="CF117" s="248"/>
      <c r="CG117" s="248"/>
      <c r="CH117" s="248"/>
      <c r="CI117" s="248"/>
      <c r="CJ117" s="248"/>
      <c r="CK117" s="248"/>
      <c r="CL117" s="248"/>
      <c r="CM117" s="248"/>
      <c r="CN117" s="248"/>
      <c r="CO117" s="248"/>
      <c r="CP117" s="248"/>
      <c r="CQ117" s="248"/>
      <c r="CR117" s="248"/>
      <c r="CS117" s="248"/>
      <c r="CT117" s="248"/>
      <c r="CU117" s="248"/>
      <c r="CV117" s="248"/>
      <c r="CW117" s="248"/>
      <c r="CX117" s="248"/>
      <c r="CY117" s="248"/>
      <c r="CZ117" s="248"/>
      <c r="DA117" s="248"/>
      <c r="DB117" s="248"/>
      <c r="DC117" s="248"/>
      <c r="DD117" s="248"/>
      <c r="DE117" s="248"/>
      <c r="DF117" s="248"/>
      <c r="DG117" s="248"/>
      <c r="DH117" s="248"/>
      <c r="DI117" s="248"/>
      <c r="DJ117" s="248"/>
      <c r="DK117" s="248"/>
      <c r="DL117" s="247" t="s">
        <v>156</v>
      </c>
      <c r="DM117" s="247"/>
      <c r="DN117" s="247"/>
      <c r="DO117" s="247"/>
      <c r="DP117" s="247"/>
      <c r="DQ117" s="247"/>
      <c r="DR117" s="247"/>
      <c r="DS117" s="247"/>
      <c r="DT117" s="247"/>
      <c r="DU117" s="247"/>
      <c r="DV117" s="247"/>
      <c r="DW117" s="247"/>
      <c r="DX117" s="247"/>
      <c r="DY117" s="247"/>
      <c r="DZ117" s="247"/>
      <c r="EA117" s="247"/>
      <c r="EB117" s="247"/>
      <c r="EC117" s="73"/>
    </row>
    <row r="118" spans="1:133" ht="25.15" customHeight="1">
      <c r="A118" s="1">
        <f t="shared" si="62"/>
        <v>42</v>
      </c>
      <c r="B118" s="69"/>
      <c r="C118" s="223" t="s">
        <v>234</v>
      </c>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47" t="s">
        <v>156</v>
      </c>
      <c r="BC118" s="247"/>
      <c r="BD118" s="247"/>
      <c r="BE118" s="247"/>
      <c r="BF118" s="247"/>
      <c r="BG118" s="247"/>
      <c r="BH118" s="247"/>
      <c r="BI118" s="247"/>
      <c r="BJ118" s="247"/>
      <c r="BK118" s="247"/>
      <c r="BL118" s="247"/>
      <c r="BM118" s="247"/>
      <c r="BN118" s="247"/>
      <c r="BO118" s="247"/>
      <c r="BP118" s="247"/>
      <c r="BQ118" s="247"/>
      <c r="BR118" s="247"/>
      <c r="BS118" s="107"/>
      <c r="BT118" s="107"/>
      <c r="BU118" s="107"/>
      <c r="BV118" s="92"/>
      <c r="BW118" s="248" t="s">
        <v>226</v>
      </c>
      <c r="BX118" s="248"/>
      <c r="BY118" s="248"/>
      <c r="BZ118" s="248"/>
      <c r="CA118" s="248"/>
      <c r="CB118" s="248"/>
      <c r="CC118" s="248"/>
      <c r="CD118" s="248"/>
      <c r="CE118" s="248"/>
      <c r="CF118" s="248"/>
      <c r="CG118" s="248"/>
      <c r="CH118" s="248"/>
      <c r="CI118" s="248"/>
      <c r="CJ118" s="248"/>
      <c r="CK118" s="248"/>
      <c r="CL118" s="248"/>
      <c r="CM118" s="248"/>
      <c r="CN118" s="248"/>
      <c r="CO118" s="248"/>
      <c r="CP118" s="248"/>
      <c r="CQ118" s="248"/>
      <c r="CR118" s="248"/>
      <c r="CS118" s="248"/>
      <c r="CT118" s="248"/>
      <c r="CU118" s="248"/>
      <c r="CV118" s="248"/>
      <c r="CW118" s="248"/>
      <c r="CX118" s="248"/>
      <c r="CY118" s="248"/>
      <c r="CZ118" s="248"/>
      <c r="DA118" s="248"/>
      <c r="DB118" s="248"/>
      <c r="DC118" s="248"/>
      <c r="DD118" s="248"/>
      <c r="DE118" s="248"/>
      <c r="DF118" s="248"/>
      <c r="DG118" s="248"/>
      <c r="DH118" s="248"/>
      <c r="DI118" s="248"/>
      <c r="DJ118" s="248"/>
      <c r="DK118" s="248"/>
      <c r="DL118" s="247" t="s">
        <v>156</v>
      </c>
      <c r="DM118" s="247"/>
      <c r="DN118" s="247"/>
      <c r="DO118" s="247"/>
      <c r="DP118" s="247"/>
      <c r="DQ118" s="247"/>
      <c r="DR118" s="247"/>
      <c r="DS118" s="247"/>
      <c r="DT118" s="247"/>
      <c r="DU118" s="247"/>
      <c r="DV118" s="247"/>
      <c r="DW118" s="247"/>
      <c r="DX118" s="247"/>
      <c r="DY118" s="247"/>
      <c r="DZ118" s="247"/>
      <c r="EA118" s="247"/>
      <c r="EB118" s="247"/>
      <c r="EC118" s="73"/>
    </row>
    <row r="119" spans="1:133" ht="25.15" customHeight="1">
      <c r="A119" s="1">
        <f t="shared" si="62"/>
        <v>43</v>
      </c>
      <c r="B119" s="69"/>
      <c r="C119" s="223" t="s">
        <v>234</v>
      </c>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47" t="s">
        <v>156</v>
      </c>
      <c r="BC119" s="247"/>
      <c r="BD119" s="247"/>
      <c r="BE119" s="247"/>
      <c r="BF119" s="247"/>
      <c r="BG119" s="247"/>
      <c r="BH119" s="247"/>
      <c r="BI119" s="247"/>
      <c r="BJ119" s="247"/>
      <c r="BK119" s="247"/>
      <c r="BL119" s="247"/>
      <c r="BM119" s="247"/>
      <c r="BN119" s="247"/>
      <c r="BO119" s="247"/>
      <c r="BP119" s="247"/>
      <c r="BQ119" s="247"/>
      <c r="BR119" s="247"/>
      <c r="BS119" s="107"/>
      <c r="BT119" s="107"/>
      <c r="BU119" s="107"/>
      <c r="BV119" s="92"/>
      <c r="BW119" s="248" t="s">
        <v>226</v>
      </c>
      <c r="BX119" s="248"/>
      <c r="BY119" s="248"/>
      <c r="BZ119" s="248"/>
      <c r="CA119" s="248"/>
      <c r="CB119" s="248"/>
      <c r="CC119" s="248"/>
      <c r="CD119" s="248"/>
      <c r="CE119" s="248"/>
      <c r="CF119" s="248"/>
      <c r="CG119" s="248"/>
      <c r="CH119" s="248"/>
      <c r="CI119" s="248"/>
      <c r="CJ119" s="248"/>
      <c r="CK119" s="248"/>
      <c r="CL119" s="248"/>
      <c r="CM119" s="248"/>
      <c r="CN119" s="248"/>
      <c r="CO119" s="248"/>
      <c r="CP119" s="248"/>
      <c r="CQ119" s="248"/>
      <c r="CR119" s="248"/>
      <c r="CS119" s="248"/>
      <c r="CT119" s="248"/>
      <c r="CU119" s="248"/>
      <c r="CV119" s="248"/>
      <c r="CW119" s="248"/>
      <c r="CX119" s="248"/>
      <c r="CY119" s="248"/>
      <c r="CZ119" s="248"/>
      <c r="DA119" s="248"/>
      <c r="DB119" s="248"/>
      <c r="DC119" s="248"/>
      <c r="DD119" s="248"/>
      <c r="DE119" s="248"/>
      <c r="DF119" s="248"/>
      <c r="DG119" s="248"/>
      <c r="DH119" s="248"/>
      <c r="DI119" s="248"/>
      <c r="DJ119" s="248"/>
      <c r="DK119" s="248"/>
      <c r="DL119" s="247" t="s">
        <v>156</v>
      </c>
      <c r="DM119" s="247"/>
      <c r="DN119" s="247"/>
      <c r="DO119" s="247"/>
      <c r="DP119" s="247"/>
      <c r="DQ119" s="247"/>
      <c r="DR119" s="247"/>
      <c r="DS119" s="247"/>
      <c r="DT119" s="247"/>
      <c r="DU119" s="247"/>
      <c r="DV119" s="247"/>
      <c r="DW119" s="247"/>
      <c r="DX119" s="247"/>
      <c r="DY119" s="247"/>
      <c r="DZ119" s="247"/>
      <c r="EA119" s="247"/>
      <c r="EB119" s="247"/>
      <c r="EC119" s="73"/>
    </row>
    <row r="120" spans="1:133" ht="25.15" customHeight="1">
      <c r="A120" s="1">
        <f t="shared" si="62"/>
        <v>44</v>
      </c>
      <c r="B120" s="69"/>
      <c r="C120" s="223" t="s">
        <v>234</v>
      </c>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c r="AZ120" s="223"/>
      <c r="BA120" s="223"/>
      <c r="BB120" s="247" t="s">
        <v>156</v>
      </c>
      <c r="BC120" s="247"/>
      <c r="BD120" s="247"/>
      <c r="BE120" s="247"/>
      <c r="BF120" s="247"/>
      <c r="BG120" s="247"/>
      <c r="BH120" s="247"/>
      <c r="BI120" s="247"/>
      <c r="BJ120" s="247"/>
      <c r="BK120" s="247"/>
      <c r="BL120" s="247"/>
      <c r="BM120" s="247"/>
      <c r="BN120" s="247"/>
      <c r="BO120" s="247"/>
      <c r="BP120" s="247"/>
      <c r="BQ120" s="247"/>
      <c r="BR120" s="247"/>
      <c r="BS120" s="107"/>
      <c r="BT120" s="107"/>
      <c r="BU120" s="107"/>
      <c r="BV120" s="92"/>
      <c r="BW120" s="248" t="s">
        <v>226</v>
      </c>
      <c r="BX120" s="248"/>
      <c r="BY120" s="248"/>
      <c r="BZ120" s="248"/>
      <c r="CA120" s="248"/>
      <c r="CB120" s="248"/>
      <c r="CC120" s="248"/>
      <c r="CD120" s="248"/>
      <c r="CE120" s="248"/>
      <c r="CF120" s="248"/>
      <c r="CG120" s="248"/>
      <c r="CH120" s="248"/>
      <c r="CI120" s="248"/>
      <c r="CJ120" s="248"/>
      <c r="CK120" s="248"/>
      <c r="CL120" s="248"/>
      <c r="CM120" s="248"/>
      <c r="CN120" s="248"/>
      <c r="CO120" s="248"/>
      <c r="CP120" s="248"/>
      <c r="CQ120" s="248"/>
      <c r="CR120" s="248"/>
      <c r="CS120" s="248"/>
      <c r="CT120" s="248"/>
      <c r="CU120" s="248"/>
      <c r="CV120" s="248"/>
      <c r="CW120" s="248"/>
      <c r="CX120" s="248"/>
      <c r="CY120" s="248"/>
      <c r="CZ120" s="248"/>
      <c r="DA120" s="248"/>
      <c r="DB120" s="248"/>
      <c r="DC120" s="248"/>
      <c r="DD120" s="248"/>
      <c r="DE120" s="248"/>
      <c r="DF120" s="248"/>
      <c r="DG120" s="248"/>
      <c r="DH120" s="248"/>
      <c r="DI120" s="248"/>
      <c r="DJ120" s="248"/>
      <c r="DK120" s="248"/>
      <c r="DL120" s="247" t="s">
        <v>156</v>
      </c>
      <c r="DM120" s="247"/>
      <c r="DN120" s="247"/>
      <c r="DO120" s="247"/>
      <c r="DP120" s="247"/>
      <c r="DQ120" s="247"/>
      <c r="DR120" s="247"/>
      <c r="DS120" s="247"/>
      <c r="DT120" s="247"/>
      <c r="DU120" s="247"/>
      <c r="DV120" s="247"/>
      <c r="DW120" s="247"/>
      <c r="DX120" s="247"/>
      <c r="DY120" s="247"/>
      <c r="DZ120" s="247"/>
      <c r="EA120" s="247"/>
      <c r="EB120" s="247"/>
      <c r="EC120" s="73"/>
    </row>
    <row r="121" spans="1:133" ht="25.15" customHeight="1">
      <c r="A121" s="1">
        <f t="shared" si="62"/>
        <v>45</v>
      </c>
      <c r="B121" s="69"/>
      <c r="C121" s="223" t="s">
        <v>234</v>
      </c>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c r="AZ121" s="223"/>
      <c r="BA121" s="223"/>
      <c r="BB121" s="247" t="s">
        <v>156</v>
      </c>
      <c r="BC121" s="247"/>
      <c r="BD121" s="247"/>
      <c r="BE121" s="247"/>
      <c r="BF121" s="247"/>
      <c r="BG121" s="247"/>
      <c r="BH121" s="247"/>
      <c r="BI121" s="247"/>
      <c r="BJ121" s="247"/>
      <c r="BK121" s="247"/>
      <c r="BL121" s="247"/>
      <c r="BM121" s="247"/>
      <c r="BN121" s="247"/>
      <c r="BO121" s="247"/>
      <c r="BP121" s="247"/>
      <c r="BQ121" s="247"/>
      <c r="BR121" s="247"/>
      <c r="BS121" s="107"/>
      <c r="BT121" s="107"/>
      <c r="BU121" s="107"/>
      <c r="BV121" s="92"/>
      <c r="BW121" s="248" t="s">
        <v>226</v>
      </c>
      <c r="BX121" s="248"/>
      <c r="BY121" s="248"/>
      <c r="BZ121" s="248"/>
      <c r="CA121" s="248"/>
      <c r="CB121" s="248"/>
      <c r="CC121" s="248"/>
      <c r="CD121" s="248"/>
      <c r="CE121" s="248"/>
      <c r="CF121" s="248"/>
      <c r="CG121" s="248"/>
      <c r="CH121" s="248"/>
      <c r="CI121" s="248"/>
      <c r="CJ121" s="248"/>
      <c r="CK121" s="248"/>
      <c r="CL121" s="248"/>
      <c r="CM121" s="248"/>
      <c r="CN121" s="248"/>
      <c r="CO121" s="248"/>
      <c r="CP121" s="248"/>
      <c r="CQ121" s="248"/>
      <c r="CR121" s="248"/>
      <c r="CS121" s="248"/>
      <c r="CT121" s="248"/>
      <c r="CU121" s="248"/>
      <c r="CV121" s="248"/>
      <c r="CW121" s="248"/>
      <c r="CX121" s="248"/>
      <c r="CY121" s="248"/>
      <c r="CZ121" s="248"/>
      <c r="DA121" s="248"/>
      <c r="DB121" s="248"/>
      <c r="DC121" s="248"/>
      <c r="DD121" s="248"/>
      <c r="DE121" s="248"/>
      <c r="DF121" s="248"/>
      <c r="DG121" s="248"/>
      <c r="DH121" s="248"/>
      <c r="DI121" s="248"/>
      <c r="DJ121" s="248"/>
      <c r="DK121" s="248"/>
      <c r="DL121" s="247" t="s">
        <v>156</v>
      </c>
      <c r="DM121" s="247"/>
      <c r="DN121" s="247"/>
      <c r="DO121" s="247"/>
      <c r="DP121" s="247"/>
      <c r="DQ121" s="247"/>
      <c r="DR121" s="247"/>
      <c r="DS121" s="247"/>
      <c r="DT121" s="247"/>
      <c r="DU121" s="247"/>
      <c r="DV121" s="247"/>
      <c r="DW121" s="247"/>
      <c r="DX121" s="247"/>
      <c r="DY121" s="247"/>
      <c r="DZ121" s="247"/>
      <c r="EA121" s="247"/>
      <c r="EB121" s="247"/>
      <c r="EC121" s="73"/>
    </row>
    <row r="122" spans="1:133" ht="25.15" customHeight="1">
      <c r="A122" s="1">
        <f t="shared" si="62"/>
        <v>46</v>
      </c>
      <c r="B122" s="69"/>
      <c r="C122" s="223" t="s">
        <v>234</v>
      </c>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47" t="s">
        <v>156</v>
      </c>
      <c r="BC122" s="247"/>
      <c r="BD122" s="247"/>
      <c r="BE122" s="247"/>
      <c r="BF122" s="247"/>
      <c r="BG122" s="247"/>
      <c r="BH122" s="247"/>
      <c r="BI122" s="247"/>
      <c r="BJ122" s="247"/>
      <c r="BK122" s="247"/>
      <c r="BL122" s="247"/>
      <c r="BM122" s="247"/>
      <c r="BN122" s="247"/>
      <c r="BO122" s="247"/>
      <c r="BP122" s="247"/>
      <c r="BQ122" s="247"/>
      <c r="BR122" s="247"/>
      <c r="BS122" s="107"/>
      <c r="BT122" s="107"/>
      <c r="BU122" s="107"/>
      <c r="BV122" s="92"/>
      <c r="BW122" s="248" t="s">
        <v>226</v>
      </c>
      <c r="BX122" s="248"/>
      <c r="BY122" s="248"/>
      <c r="BZ122" s="248"/>
      <c r="CA122" s="248"/>
      <c r="CB122" s="248"/>
      <c r="CC122" s="248"/>
      <c r="CD122" s="248"/>
      <c r="CE122" s="248"/>
      <c r="CF122" s="248"/>
      <c r="CG122" s="248"/>
      <c r="CH122" s="248"/>
      <c r="CI122" s="248"/>
      <c r="CJ122" s="248"/>
      <c r="CK122" s="248"/>
      <c r="CL122" s="248"/>
      <c r="CM122" s="248"/>
      <c r="CN122" s="248"/>
      <c r="CO122" s="248"/>
      <c r="CP122" s="248"/>
      <c r="CQ122" s="248"/>
      <c r="CR122" s="248"/>
      <c r="CS122" s="248"/>
      <c r="CT122" s="248"/>
      <c r="CU122" s="248"/>
      <c r="CV122" s="248"/>
      <c r="CW122" s="248"/>
      <c r="CX122" s="248"/>
      <c r="CY122" s="248"/>
      <c r="CZ122" s="248"/>
      <c r="DA122" s="248"/>
      <c r="DB122" s="248"/>
      <c r="DC122" s="248"/>
      <c r="DD122" s="248"/>
      <c r="DE122" s="248"/>
      <c r="DF122" s="248"/>
      <c r="DG122" s="248"/>
      <c r="DH122" s="248"/>
      <c r="DI122" s="248"/>
      <c r="DJ122" s="248"/>
      <c r="DK122" s="248"/>
      <c r="DL122" s="247" t="s">
        <v>156</v>
      </c>
      <c r="DM122" s="247"/>
      <c r="DN122" s="247"/>
      <c r="DO122" s="247"/>
      <c r="DP122" s="247"/>
      <c r="DQ122" s="247"/>
      <c r="DR122" s="247"/>
      <c r="DS122" s="247"/>
      <c r="DT122" s="247"/>
      <c r="DU122" s="247"/>
      <c r="DV122" s="247"/>
      <c r="DW122" s="247"/>
      <c r="DX122" s="247"/>
      <c r="DY122" s="247"/>
      <c r="DZ122" s="247"/>
      <c r="EA122" s="247"/>
      <c r="EB122" s="247"/>
      <c r="EC122" s="73"/>
    </row>
    <row r="123" spans="1:133" ht="25.15" customHeight="1">
      <c r="A123" s="1">
        <f t="shared" si="62"/>
        <v>47</v>
      </c>
      <c r="B123" s="69"/>
      <c r="C123" s="223" t="s">
        <v>234</v>
      </c>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c r="AZ123" s="223"/>
      <c r="BA123" s="223"/>
      <c r="BB123" s="247" t="s">
        <v>156</v>
      </c>
      <c r="BC123" s="247"/>
      <c r="BD123" s="247"/>
      <c r="BE123" s="247"/>
      <c r="BF123" s="247"/>
      <c r="BG123" s="247"/>
      <c r="BH123" s="247"/>
      <c r="BI123" s="247"/>
      <c r="BJ123" s="247"/>
      <c r="BK123" s="247"/>
      <c r="BL123" s="247"/>
      <c r="BM123" s="247"/>
      <c r="BN123" s="247"/>
      <c r="BO123" s="247"/>
      <c r="BP123" s="247"/>
      <c r="BQ123" s="247"/>
      <c r="BR123" s="247"/>
      <c r="BS123" s="107"/>
      <c r="BT123" s="107"/>
      <c r="BU123" s="107"/>
      <c r="BV123" s="92"/>
      <c r="BW123" s="248" t="s">
        <v>226</v>
      </c>
      <c r="BX123" s="248"/>
      <c r="BY123" s="248"/>
      <c r="BZ123" s="248"/>
      <c r="CA123" s="248"/>
      <c r="CB123" s="248"/>
      <c r="CC123" s="248"/>
      <c r="CD123" s="248"/>
      <c r="CE123" s="248"/>
      <c r="CF123" s="248"/>
      <c r="CG123" s="248"/>
      <c r="CH123" s="248"/>
      <c r="CI123" s="248"/>
      <c r="CJ123" s="248"/>
      <c r="CK123" s="248"/>
      <c r="CL123" s="248"/>
      <c r="CM123" s="248"/>
      <c r="CN123" s="248"/>
      <c r="CO123" s="248"/>
      <c r="CP123" s="248"/>
      <c r="CQ123" s="248"/>
      <c r="CR123" s="248"/>
      <c r="CS123" s="248"/>
      <c r="CT123" s="248"/>
      <c r="CU123" s="248"/>
      <c r="CV123" s="248"/>
      <c r="CW123" s="248"/>
      <c r="CX123" s="248"/>
      <c r="CY123" s="248"/>
      <c r="CZ123" s="248"/>
      <c r="DA123" s="248"/>
      <c r="DB123" s="248"/>
      <c r="DC123" s="248"/>
      <c r="DD123" s="248"/>
      <c r="DE123" s="248"/>
      <c r="DF123" s="248"/>
      <c r="DG123" s="248"/>
      <c r="DH123" s="248"/>
      <c r="DI123" s="248"/>
      <c r="DJ123" s="248"/>
      <c r="DK123" s="248"/>
      <c r="DL123" s="247" t="s">
        <v>156</v>
      </c>
      <c r="DM123" s="247"/>
      <c r="DN123" s="247"/>
      <c r="DO123" s="247"/>
      <c r="DP123" s="247"/>
      <c r="DQ123" s="247"/>
      <c r="DR123" s="247"/>
      <c r="DS123" s="247"/>
      <c r="DT123" s="247"/>
      <c r="DU123" s="247"/>
      <c r="DV123" s="247"/>
      <c r="DW123" s="247"/>
      <c r="DX123" s="247"/>
      <c r="DY123" s="247"/>
      <c r="DZ123" s="247"/>
      <c r="EA123" s="247"/>
      <c r="EB123" s="247"/>
      <c r="EC123" s="73"/>
    </row>
    <row r="124" spans="1:133" ht="25.15" customHeight="1">
      <c r="A124" s="1">
        <f t="shared" si="62"/>
        <v>48</v>
      </c>
      <c r="B124" s="69"/>
      <c r="C124" s="223" t="s">
        <v>234</v>
      </c>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c r="AZ124" s="223"/>
      <c r="BA124" s="223"/>
      <c r="BB124" s="247" t="s">
        <v>156</v>
      </c>
      <c r="BC124" s="247"/>
      <c r="BD124" s="247"/>
      <c r="BE124" s="247"/>
      <c r="BF124" s="247"/>
      <c r="BG124" s="247"/>
      <c r="BH124" s="247"/>
      <c r="BI124" s="247"/>
      <c r="BJ124" s="247"/>
      <c r="BK124" s="247"/>
      <c r="BL124" s="247"/>
      <c r="BM124" s="247"/>
      <c r="BN124" s="247"/>
      <c r="BO124" s="247"/>
      <c r="BP124" s="247"/>
      <c r="BQ124" s="247"/>
      <c r="BR124" s="247"/>
      <c r="BS124" s="107"/>
      <c r="BT124" s="107"/>
      <c r="BU124" s="107"/>
      <c r="BV124" s="92"/>
      <c r="BW124" s="248" t="s">
        <v>226</v>
      </c>
      <c r="BX124" s="248"/>
      <c r="BY124" s="248"/>
      <c r="BZ124" s="248"/>
      <c r="CA124" s="248"/>
      <c r="CB124" s="248"/>
      <c r="CC124" s="248"/>
      <c r="CD124" s="248"/>
      <c r="CE124" s="248"/>
      <c r="CF124" s="248"/>
      <c r="CG124" s="248"/>
      <c r="CH124" s="248"/>
      <c r="CI124" s="248"/>
      <c r="CJ124" s="248"/>
      <c r="CK124" s="248"/>
      <c r="CL124" s="248"/>
      <c r="CM124" s="248"/>
      <c r="CN124" s="248"/>
      <c r="CO124" s="248"/>
      <c r="CP124" s="248"/>
      <c r="CQ124" s="248"/>
      <c r="CR124" s="248"/>
      <c r="CS124" s="248"/>
      <c r="CT124" s="248"/>
      <c r="CU124" s="248"/>
      <c r="CV124" s="248"/>
      <c r="CW124" s="248"/>
      <c r="CX124" s="248"/>
      <c r="CY124" s="248"/>
      <c r="CZ124" s="248"/>
      <c r="DA124" s="248"/>
      <c r="DB124" s="248"/>
      <c r="DC124" s="248"/>
      <c r="DD124" s="248"/>
      <c r="DE124" s="248"/>
      <c r="DF124" s="248"/>
      <c r="DG124" s="248"/>
      <c r="DH124" s="248"/>
      <c r="DI124" s="248"/>
      <c r="DJ124" s="248"/>
      <c r="DK124" s="248"/>
      <c r="DL124" s="247" t="s">
        <v>156</v>
      </c>
      <c r="DM124" s="247"/>
      <c r="DN124" s="247"/>
      <c r="DO124" s="247"/>
      <c r="DP124" s="247"/>
      <c r="DQ124" s="247"/>
      <c r="DR124" s="247"/>
      <c r="DS124" s="247"/>
      <c r="DT124" s="247"/>
      <c r="DU124" s="247"/>
      <c r="DV124" s="247"/>
      <c r="DW124" s="247"/>
      <c r="DX124" s="247"/>
      <c r="DY124" s="247"/>
      <c r="DZ124" s="247"/>
      <c r="EA124" s="247"/>
      <c r="EB124" s="247"/>
      <c r="EC124" s="73"/>
    </row>
    <row r="125" spans="1:133" ht="25.15" customHeight="1">
      <c r="A125" s="1">
        <f t="shared" si="62"/>
        <v>49</v>
      </c>
      <c r="B125" s="69"/>
      <c r="C125" s="223" t="s">
        <v>234</v>
      </c>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c r="AZ125" s="223"/>
      <c r="BA125" s="223"/>
      <c r="BB125" s="247" t="s">
        <v>156</v>
      </c>
      <c r="BC125" s="247"/>
      <c r="BD125" s="247"/>
      <c r="BE125" s="247"/>
      <c r="BF125" s="247"/>
      <c r="BG125" s="247"/>
      <c r="BH125" s="247"/>
      <c r="BI125" s="247"/>
      <c r="BJ125" s="247"/>
      <c r="BK125" s="247"/>
      <c r="BL125" s="247"/>
      <c r="BM125" s="247"/>
      <c r="BN125" s="247"/>
      <c r="BO125" s="247"/>
      <c r="BP125" s="247"/>
      <c r="BQ125" s="247"/>
      <c r="BR125" s="247"/>
      <c r="BS125" s="107"/>
      <c r="BT125" s="107"/>
      <c r="BU125" s="107"/>
      <c r="BV125" s="92"/>
      <c r="BW125" s="248" t="s">
        <v>226</v>
      </c>
      <c r="BX125" s="248"/>
      <c r="BY125" s="248"/>
      <c r="BZ125" s="248"/>
      <c r="CA125" s="248"/>
      <c r="CB125" s="248"/>
      <c r="CC125" s="248"/>
      <c r="CD125" s="248"/>
      <c r="CE125" s="248"/>
      <c r="CF125" s="248"/>
      <c r="CG125" s="248"/>
      <c r="CH125" s="248"/>
      <c r="CI125" s="248"/>
      <c r="CJ125" s="248"/>
      <c r="CK125" s="248"/>
      <c r="CL125" s="248"/>
      <c r="CM125" s="248"/>
      <c r="CN125" s="248"/>
      <c r="CO125" s="248"/>
      <c r="CP125" s="248"/>
      <c r="CQ125" s="248"/>
      <c r="CR125" s="248"/>
      <c r="CS125" s="248"/>
      <c r="CT125" s="248"/>
      <c r="CU125" s="248"/>
      <c r="CV125" s="248"/>
      <c r="CW125" s="248"/>
      <c r="CX125" s="248"/>
      <c r="CY125" s="248"/>
      <c r="CZ125" s="248"/>
      <c r="DA125" s="248"/>
      <c r="DB125" s="248"/>
      <c r="DC125" s="248"/>
      <c r="DD125" s="248"/>
      <c r="DE125" s="248"/>
      <c r="DF125" s="248"/>
      <c r="DG125" s="248"/>
      <c r="DH125" s="248"/>
      <c r="DI125" s="248"/>
      <c r="DJ125" s="248"/>
      <c r="DK125" s="248"/>
      <c r="DL125" s="247" t="s">
        <v>156</v>
      </c>
      <c r="DM125" s="247"/>
      <c r="DN125" s="247"/>
      <c r="DO125" s="247"/>
      <c r="DP125" s="247"/>
      <c r="DQ125" s="247"/>
      <c r="DR125" s="247"/>
      <c r="DS125" s="247"/>
      <c r="DT125" s="247"/>
      <c r="DU125" s="247"/>
      <c r="DV125" s="247"/>
      <c r="DW125" s="247"/>
      <c r="DX125" s="247"/>
      <c r="DY125" s="247"/>
      <c r="DZ125" s="247"/>
      <c r="EA125" s="247"/>
      <c r="EB125" s="247"/>
      <c r="EC125" s="73"/>
    </row>
    <row r="126" spans="1:133" ht="25.15" customHeight="1">
      <c r="A126" s="1">
        <f t="shared" si="62"/>
        <v>50</v>
      </c>
      <c r="B126" s="69"/>
      <c r="C126" s="223" t="s">
        <v>234</v>
      </c>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c r="AZ126" s="223"/>
      <c r="BA126" s="223"/>
      <c r="BB126" s="247" t="s">
        <v>156</v>
      </c>
      <c r="BC126" s="247"/>
      <c r="BD126" s="247"/>
      <c r="BE126" s="247"/>
      <c r="BF126" s="247"/>
      <c r="BG126" s="247"/>
      <c r="BH126" s="247"/>
      <c r="BI126" s="247"/>
      <c r="BJ126" s="247"/>
      <c r="BK126" s="247"/>
      <c r="BL126" s="247"/>
      <c r="BM126" s="247"/>
      <c r="BN126" s="247"/>
      <c r="BO126" s="247"/>
      <c r="BP126" s="247"/>
      <c r="BQ126" s="247"/>
      <c r="BR126" s="247"/>
      <c r="BS126" s="107"/>
      <c r="BT126" s="107"/>
      <c r="BU126" s="107"/>
      <c r="BV126" s="92"/>
      <c r="BW126" s="248" t="s">
        <v>226</v>
      </c>
      <c r="BX126" s="248"/>
      <c r="BY126" s="248"/>
      <c r="BZ126" s="248"/>
      <c r="CA126" s="248"/>
      <c r="CB126" s="248"/>
      <c r="CC126" s="248"/>
      <c r="CD126" s="248"/>
      <c r="CE126" s="248"/>
      <c r="CF126" s="248"/>
      <c r="CG126" s="248"/>
      <c r="CH126" s="248"/>
      <c r="CI126" s="248"/>
      <c r="CJ126" s="248"/>
      <c r="CK126" s="248"/>
      <c r="CL126" s="248"/>
      <c r="CM126" s="248"/>
      <c r="CN126" s="248"/>
      <c r="CO126" s="248"/>
      <c r="CP126" s="248"/>
      <c r="CQ126" s="248"/>
      <c r="CR126" s="248"/>
      <c r="CS126" s="248"/>
      <c r="CT126" s="248"/>
      <c r="CU126" s="248"/>
      <c r="CV126" s="248"/>
      <c r="CW126" s="248"/>
      <c r="CX126" s="248"/>
      <c r="CY126" s="248"/>
      <c r="CZ126" s="248"/>
      <c r="DA126" s="248"/>
      <c r="DB126" s="248"/>
      <c r="DC126" s="248"/>
      <c r="DD126" s="248"/>
      <c r="DE126" s="248"/>
      <c r="DF126" s="248"/>
      <c r="DG126" s="248"/>
      <c r="DH126" s="248"/>
      <c r="DI126" s="248"/>
      <c r="DJ126" s="248"/>
      <c r="DK126" s="248"/>
      <c r="DL126" s="247" t="s">
        <v>156</v>
      </c>
      <c r="DM126" s="247"/>
      <c r="DN126" s="247"/>
      <c r="DO126" s="247"/>
      <c r="DP126" s="247"/>
      <c r="DQ126" s="247"/>
      <c r="DR126" s="247"/>
      <c r="DS126" s="247"/>
      <c r="DT126" s="247"/>
      <c r="DU126" s="247"/>
      <c r="DV126" s="247"/>
      <c r="DW126" s="247"/>
      <c r="DX126" s="247"/>
      <c r="DY126" s="247"/>
      <c r="DZ126" s="247"/>
      <c r="EA126" s="247"/>
      <c r="EB126" s="247"/>
      <c r="EC126" s="73"/>
    </row>
    <row r="127" spans="1:133" ht="25.15" customHeight="1">
      <c r="A127" s="1">
        <f t="shared" si="62"/>
        <v>51</v>
      </c>
      <c r="B127" s="69"/>
      <c r="C127" s="223" t="s">
        <v>234</v>
      </c>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c r="AZ127" s="223"/>
      <c r="BA127" s="223"/>
      <c r="BB127" s="247" t="s">
        <v>156</v>
      </c>
      <c r="BC127" s="247"/>
      <c r="BD127" s="247"/>
      <c r="BE127" s="247"/>
      <c r="BF127" s="247"/>
      <c r="BG127" s="247"/>
      <c r="BH127" s="247"/>
      <c r="BI127" s="247"/>
      <c r="BJ127" s="247"/>
      <c r="BK127" s="247"/>
      <c r="BL127" s="247"/>
      <c r="BM127" s="247"/>
      <c r="BN127" s="247"/>
      <c r="BO127" s="247"/>
      <c r="BP127" s="247"/>
      <c r="BQ127" s="247"/>
      <c r="BR127" s="247"/>
      <c r="BS127" s="107"/>
      <c r="BT127" s="107"/>
      <c r="BU127" s="107"/>
      <c r="BV127" s="92"/>
      <c r="BW127" s="248" t="s">
        <v>226</v>
      </c>
      <c r="BX127" s="248"/>
      <c r="BY127" s="248"/>
      <c r="BZ127" s="248"/>
      <c r="CA127" s="248"/>
      <c r="CB127" s="248"/>
      <c r="CC127" s="248"/>
      <c r="CD127" s="248"/>
      <c r="CE127" s="248"/>
      <c r="CF127" s="248"/>
      <c r="CG127" s="248"/>
      <c r="CH127" s="248"/>
      <c r="CI127" s="248"/>
      <c r="CJ127" s="248"/>
      <c r="CK127" s="248"/>
      <c r="CL127" s="248"/>
      <c r="CM127" s="248"/>
      <c r="CN127" s="248"/>
      <c r="CO127" s="248"/>
      <c r="CP127" s="248"/>
      <c r="CQ127" s="248"/>
      <c r="CR127" s="248"/>
      <c r="CS127" s="248"/>
      <c r="CT127" s="248"/>
      <c r="CU127" s="248"/>
      <c r="CV127" s="248"/>
      <c r="CW127" s="248"/>
      <c r="CX127" s="248"/>
      <c r="CY127" s="248"/>
      <c r="CZ127" s="248"/>
      <c r="DA127" s="248"/>
      <c r="DB127" s="248"/>
      <c r="DC127" s="248"/>
      <c r="DD127" s="248"/>
      <c r="DE127" s="248"/>
      <c r="DF127" s="248"/>
      <c r="DG127" s="248"/>
      <c r="DH127" s="248"/>
      <c r="DI127" s="248"/>
      <c r="DJ127" s="248"/>
      <c r="DK127" s="248"/>
      <c r="DL127" s="247" t="s">
        <v>156</v>
      </c>
      <c r="DM127" s="247"/>
      <c r="DN127" s="247"/>
      <c r="DO127" s="247"/>
      <c r="DP127" s="247"/>
      <c r="DQ127" s="247"/>
      <c r="DR127" s="247"/>
      <c r="DS127" s="247"/>
      <c r="DT127" s="247"/>
      <c r="DU127" s="247"/>
      <c r="DV127" s="247"/>
      <c r="DW127" s="247"/>
      <c r="DX127" s="247"/>
      <c r="DY127" s="247"/>
      <c r="DZ127" s="247"/>
      <c r="EA127" s="247"/>
      <c r="EB127" s="247"/>
      <c r="EC127" s="73"/>
    </row>
    <row r="128" spans="1:133" ht="25.15" customHeight="1">
      <c r="A128" s="1">
        <f t="shared" si="62"/>
        <v>52</v>
      </c>
      <c r="B128" s="69"/>
      <c r="C128" s="223" t="s">
        <v>234</v>
      </c>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c r="AZ128" s="223"/>
      <c r="BA128" s="223"/>
      <c r="BB128" s="247" t="s">
        <v>156</v>
      </c>
      <c r="BC128" s="247"/>
      <c r="BD128" s="247"/>
      <c r="BE128" s="247"/>
      <c r="BF128" s="247"/>
      <c r="BG128" s="247"/>
      <c r="BH128" s="247"/>
      <c r="BI128" s="247"/>
      <c r="BJ128" s="247"/>
      <c r="BK128" s="247"/>
      <c r="BL128" s="247"/>
      <c r="BM128" s="247"/>
      <c r="BN128" s="247"/>
      <c r="BO128" s="247"/>
      <c r="BP128" s="247"/>
      <c r="BQ128" s="247"/>
      <c r="BR128" s="247"/>
      <c r="BS128" s="107"/>
      <c r="BT128" s="107"/>
      <c r="BU128" s="107"/>
      <c r="BV128" s="92"/>
      <c r="BW128" s="248" t="s">
        <v>226</v>
      </c>
      <c r="BX128" s="248"/>
      <c r="BY128" s="248"/>
      <c r="BZ128" s="248"/>
      <c r="CA128" s="248"/>
      <c r="CB128" s="248"/>
      <c r="CC128" s="248"/>
      <c r="CD128" s="248"/>
      <c r="CE128" s="248"/>
      <c r="CF128" s="248"/>
      <c r="CG128" s="248"/>
      <c r="CH128" s="248"/>
      <c r="CI128" s="248"/>
      <c r="CJ128" s="248"/>
      <c r="CK128" s="248"/>
      <c r="CL128" s="248"/>
      <c r="CM128" s="248"/>
      <c r="CN128" s="248"/>
      <c r="CO128" s="248"/>
      <c r="CP128" s="248"/>
      <c r="CQ128" s="248"/>
      <c r="CR128" s="248"/>
      <c r="CS128" s="248"/>
      <c r="CT128" s="248"/>
      <c r="CU128" s="248"/>
      <c r="CV128" s="248"/>
      <c r="CW128" s="248"/>
      <c r="CX128" s="248"/>
      <c r="CY128" s="248"/>
      <c r="CZ128" s="248"/>
      <c r="DA128" s="248"/>
      <c r="DB128" s="248"/>
      <c r="DC128" s="248"/>
      <c r="DD128" s="248"/>
      <c r="DE128" s="248"/>
      <c r="DF128" s="248"/>
      <c r="DG128" s="248"/>
      <c r="DH128" s="248"/>
      <c r="DI128" s="248"/>
      <c r="DJ128" s="248"/>
      <c r="DK128" s="248"/>
      <c r="DL128" s="247" t="s">
        <v>156</v>
      </c>
      <c r="DM128" s="247"/>
      <c r="DN128" s="247"/>
      <c r="DO128" s="247"/>
      <c r="DP128" s="247"/>
      <c r="DQ128" s="247"/>
      <c r="DR128" s="247"/>
      <c r="DS128" s="247"/>
      <c r="DT128" s="247"/>
      <c r="DU128" s="247"/>
      <c r="DV128" s="247"/>
      <c r="DW128" s="247"/>
      <c r="DX128" s="247"/>
      <c r="DY128" s="247"/>
      <c r="DZ128" s="247"/>
      <c r="EA128" s="247"/>
      <c r="EB128" s="247"/>
      <c r="EC128" s="73"/>
    </row>
    <row r="129" spans="1:133" ht="25.15" customHeight="1">
      <c r="A129" s="1">
        <f t="shared" si="62"/>
        <v>53</v>
      </c>
      <c r="B129" s="69"/>
      <c r="C129" s="223" t="s">
        <v>234</v>
      </c>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c r="AZ129" s="223"/>
      <c r="BA129" s="223"/>
      <c r="BB129" s="247" t="s">
        <v>156</v>
      </c>
      <c r="BC129" s="247"/>
      <c r="BD129" s="247"/>
      <c r="BE129" s="247"/>
      <c r="BF129" s="247"/>
      <c r="BG129" s="247"/>
      <c r="BH129" s="247"/>
      <c r="BI129" s="247"/>
      <c r="BJ129" s="247"/>
      <c r="BK129" s="247"/>
      <c r="BL129" s="247"/>
      <c r="BM129" s="247"/>
      <c r="BN129" s="247"/>
      <c r="BO129" s="247"/>
      <c r="BP129" s="247"/>
      <c r="BQ129" s="247"/>
      <c r="BR129" s="247"/>
      <c r="BS129" s="107"/>
      <c r="BT129" s="107"/>
      <c r="BU129" s="107"/>
      <c r="BV129" s="92"/>
      <c r="BW129" s="248" t="s">
        <v>226</v>
      </c>
      <c r="BX129" s="248"/>
      <c r="BY129" s="248"/>
      <c r="BZ129" s="248"/>
      <c r="CA129" s="248"/>
      <c r="CB129" s="248"/>
      <c r="CC129" s="248"/>
      <c r="CD129" s="248"/>
      <c r="CE129" s="248"/>
      <c r="CF129" s="248"/>
      <c r="CG129" s="248"/>
      <c r="CH129" s="248"/>
      <c r="CI129" s="248"/>
      <c r="CJ129" s="248"/>
      <c r="CK129" s="248"/>
      <c r="CL129" s="248"/>
      <c r="CM129" s="248"/>
      <c r="CN129" s="248"/>
      <c r="CO129" s="248"/>
      <c r="CP129" s="248"/>
      <c r="CQ129" s="248"/>
      <c r="CR129" s="248"/>
      <c r="CS129" s="248"/>
      <c r="CT129" s="248"/>
      <c r="CU129" s="248"/>
      <c r="CV129" s="248"/>
      <c r="CW129" s="248"/>
      <c r="CX129" s="248"/>
      <c r="CY129" s="248"/>
      <c r="CZ129" s="248"/>
      <c r="DA129" s="248"/>
      <c r="DB129" s="248"/>
      <c r="DC129" s="248"/>
      <c r="DD129" s="248"/>
      <c r="DE129" s="248"/>
      <c r="DF129" s="248"/>
      <c r="DG129" s="248"/>
      <c r="DH129" s="248"/>
      <c r="DI129" s="248"/>
      <c r="DJ129" s="248"/>
      <c r="DK129" s="248"/>
      <c r="DL129" s="247" t="s">
        <v>156</v>
      </c>
      <c r="DM129" s="247"/>
      <c r="DN129" s="247"/>
      <c r="DO129" s="247"/>
      <c r="DP129" s="247"/>
      <c r="DQ129" s="247"/>
      <c r="DR129" s="247"/>
      <c r="DS129" s="247"/>
      <c r="DT129" s="247"/>
      <c r="DU129" s="247"/>
      <c r="DV129" s="247"/>
      <c r="DW129" s="247"/>
      <c r="DX129" s="247"/>
      <c r="DY129" s="247"/>
      <c r="DZ129" s="247"/>
      <c r="EA129" s="247"/>
      <c r="EB129" s="247"/>
      <c r="EC129" s="73"/>
    </row>
    <row r="130" spans="1:133" ht="25.15" customHeight="1">
      <c r="A130" s="1">
        <f t="shared" si="62"/>
        <v>54</v>
      </c>
      <c r="B130" s="69"/>
      <c r="C130" s="223" t="s">
        <v>234</v>
      </c>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c r="AZ130" s="223"/>
      <c r="BA130" s="223"/>
      <c r="BB130" s="247" t="s">
        <v>156</v>
      </c>
      <c r="BC130" s="247"/>
      <c r="BD130" s="247"/>
      <c r="BE130" s="247"/>
      <c r="BF130" s="247"/>
      <c r="BG130" s="247"/>
      <c r="BH130" s="247"/>
      <c r="BI130" s="247"/>
      <c r="BJ130" s="247"/>
      <c r="BK130" s="247"/>
      <c r="BL130" s="247"/>
      <c r="BM130" s="247"/>
      <c r="BN130" s="247"/>
      <c r="BO130" s="247"/>
      <c r="BP130" s="247"/>
      <c r="BQ130" s="247"/>
      <c r="BR130" s="247"/>
      <c r="BS130" s="107"/>
      <c r="BT130" s="107"/>
      <c r="BU130" s="107"/>
      <c r="BV130" s="92"/>
      <c r="BW130" s="248" t="s">
        <v>226</v>
      </c>
      <c r="BX130" s="248"/>
      <c r="BY130" s="248"/>
      <c r="BZ130" s="248"/>
      <c r="CA130" s="248"/>
      <c r="CB130" s="248"/>
      <c r="CC130" s="248"/>
      <c r="CD130" s="248"/>
      <c r="CE130" s="248"/>
      <c r="CF130" s="248"/>
      <c r="CG130" s="248"/>
      <c r="CH130" s="248"/>
      <c r="CI130" s="248"/>
      <c r="CJ130" s="248"/>
      <c r="CK130" s="248"/>
      <c r="CL130" s="248"/>
      <c r="CM130" s="248"/>
      <c r="CN130" s="248"/>
      <c r="CO130" s="248"/>
      <c r="CP130" s="248"/>
      <c r="CQ130" s="248"/>
      <c r="CR130" s="248"/>
      <c r="CS130" s="248"/>
      <c r="CT130" s="248"/>
      <c r="CU130" s="248"/>
      <c r="CV130" s="248"/>
      <c r="CW130" s="248"/>
      <c r="CX130" s="248"/>
      <c r="CY130" s="248"/>
      <c r="CZ130" s="248"/>
      <c r="DA130" s="248"/>
      <c r="DB130" s="248"/>
      <c r="DC130" s="248"/>
      <c r="DD130" s="248"/>
      <c r="DE130" s="248"/>
      <c r="DF130" s="248"/>
      <c r="DG130" s="248"/>
      <c r="DH130" s="248"/>
      <c r="DI130" s="248"/>
      <c r="DJ130" s="248"/>
      <c r="DK130" s="248"/>
      <c r="DL130" s="247" t="s">
        <v>156</v>
      </c>
      <c r="DM130" s="247"/>
      <c r="DN130" s="247"/>
      <c r="DO130" s="247"/>
      <c r="DP130" s="247"/>
      <c r="DQ130" s="247"/>
      <c r="DR130" s="247"/>
      <c r="DS130" s="247"/>
      <c r="DT130" s="247"/>
      <c r="DU130" s="247"/>
      <c r="DV130" s="247"/>
      <c r="DW130" s="247"/>
      <c r="DX130" s="247"/>
      <c r="DY130" s="247"/>
      <c r="DZ130" s="247"/>
      <c r="EA130" s="247"/>
      <c r="EB130" s="247"/>
      <c r="EC130" s="73"/>
    </row>
    <row r="131" spans="1:133" ht="25.15" customHeight="1">
      <c r="A131" s="1">
        <f t="shared" si="62"/>
        <v>55</v>
      </c>
      <c r="B131" s="69"/>
      <c r="C131" s="223" t="s">
        <v>234</v>
      </c>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c r="AZ131" s="223"/>
      <c r="BA131" s="223"/>
      <c r="BB131" s="247" t="s">
        <v>156</v>
      </c>
      <c r="BC131" s="247"/>
      <c r="BD131" s="247"/>
      <c r="BE131" s="247"/>
      <c r="BF131" s="247"/>
      <c r="BG131" s="247"/>
      <c r="BH131" s="247"/>
      <c r="BI131" s="247"/>
      <c r="BJ131" s="247"/>
      <c r="BK131" s="247"/>
      <c r="BL131" s="247"/>
      <c r="BM131" s="247"/>
      <c r="BN131" s="247"/>
      <c r="BO131" s="247"/>
      <c r="BP131" s="247"/>
      <c r="BQ131" s="247"/>
      <c r="BR131" s="247"/>
      <c r="BS131" s="107"/>
      <c r="BT131" s="107"/>
      <c r="BU131" s="107"/>
      <c r="BV131" s="92"/>
      <c r="BW131" s="248" t="s">
        <v>226</v>
      </c>
      <c r="BX131" s="248"/>
      <c r="BY131" s="248"/>
      <c r="BZ131" s="248"/>
      <c r="CA131" s="248"/>
      <c r="CB131" s="248"/>
      <c r="CC131" s="248"/>
      <c r="CD131" s="248"/>
      <c r="CE131" s="248"/>
      <c r="CF131" s="248"/>
      <c r="CG131" s="248"/>
      <c r="CH131" s="248"/>
      <c r="CI131" s="248"/>
      <c r="CJ131" s="248"/>
      <c r="CK131" s="248"/>
      <c r="CL131" s="248"/>
      <c r="CM131" s="248"/>
      <c r="CN131" s="248"/>
      <c r="CO131" s="248"/>
      <c r="CP131" s="248"/>
      <c r="CQ131" s="248"/>
      <c r="CR131" s="248"/>
      <c r="CS131" s="248"/>
      <c r="CT131" s="248"/>
      <c r="CU131" s="248"/>
      <c r="CV131" s="248"/>
      <c r="CW131" s="248"/>
      <c r="CX131" s="248"/>
      <c r="CY131" s="248"/>
      <c r="CZ131" s="248"/>
      <c r="DA131" s="248"/>
      <c r="DB131" s="248"/>
      <c r="DC131" s="248"/>
      <c r="DD131" s="248"/>
      <c r="DE131" s="248"/>
      <c r="DF131" s="248"/>
      <c r="DG131" s="248"/>
      <c r="DH131" s="248"/>
      <c r="DI131" s="248"/>
      <c r="DJ131" s="248"/>
      <c r="DK131" s="248"/>
      <c r="DL131" s="247" t="s">
        <v>156</v>
      </c>
      <c r="DM131" s="247"/>
      <c r="DN131" s="247"/>
      <c r="DO131" s="247"/>
      <c r="DP131" s="247"/>
      <c r="DQ131" s="247"/>
      <c r="DR131" s="247"/>
      <c r="DS131" s="247"/>
      <c r="DT131" s="247"/>
      <c r="DU131" s="247"/>
      <c r="DV131" s="247"/>
      <c r="DW131" s="247"/>
      <c r="DX131" s="247"/>
      <c r="DY131" s="247"/>
      <c r="DZ131" s="247"/>
      <c r="EA131" s="247"/>
      <c r="EB131" s="247"/>
      <c r="EC131" s="73"/>
    </row>
    <row r="132" spans="1:133" ht="25.15" customHeight="1">
      <c r="A132" s="1">
        <f t="shared" si="62"/>
        <v>56</v>
      </c>
      <c r="B132" s="69"/>
      <c r="C132" s="223" t="s">
        <v>234</v>
      </c>
      <c r="D132" s="223"/>
      <c r="E132" s="223"/>
      <c r="F132" s="223"/>
      <c r="G132" s="223"/>
      <c r="H132" s="223"/>
      <c r="I132" s="223"/>
      <c r="J132" s="223"/>
      <c r="K132" s="223"/>
      <c r="L132" s="223"/>
      <c r="M132" s="223"/>
      <c r="N132" s="223"/>
      <c r="O132" s="223"/>
      <c r="P132" s="223"/>
      <c r="Q132" s="223"/>
      <c r="R132" s="223"/>
      <c r="S132" s="223"/>
      <c r="T132" s="223"/>
      <c r="U132" s="223"/>
      <c r="V132" s="223"/>
      <c r="W132" s="223"/>
      <c r="X132" s="223"/>
      <c r="Y132" s="223"/>
      <c r="Z132" s="223"/>
      <c r="AA132" s="223"/>
      <c r="AB132" s="223"/>
      <c r="AC132" s="223"/>
      <c r="AD132" s="223"/>
      <c r="AE132" s="223"/>
      <c r="AF132" s="223"/>
      <c r="AG132" s="223"/>
      <c r="AH132" s="223"/>
      <c r="AI132" s="223"/>
      <c r="AJ132" s="223"/>
      <c r="AK132" s="223"/>
      <c r="AL132" s="223"/>
      <c r="AM132" s="223"/>
      <c r="AN132" s="223"/>
      <c r="AO132" s="223"/>
      <c r="AP132" s="223"/>
      <c r="AQ132" s="223"/>
      <c r="AR132" s="223"/>
      <c r="AS132" s="223"/>
      <c r="AT132" s="223"/>
      <c r="AU132" s="223"/>
      <c r="AV132" s="223"/>
      <c r="AW132" s="223"/>
      <c r="AX132" s="223"/>
      <c r="AY132" s="223"/>
      <c r="AZ132" s="223"/>
      <c r="BA132" s="223"/>
      <c r="BB132" s="247" t="s">
        <v>156</v>
      </c>
      <c r="BC132" s="247"/>
      <c r="BD132" s="247"/>
      <c r="BE132" s="247"/>
      <c r="BF132" s="247"/>
      <c r="BG132" s="247"/>
      <c r="BH132" s="247"/>
      <c r="BI132" s="247"/>
      <c r="BJ132" s="247"/>
      <c r="BK132" s="247"/>
      <c r="BL132" s="247"/>
      <c r="BM132" s="247"/>
      <c r="BN132" s="247"/>
      <c r="BO132" s="247"/>
      <c r="BP132" s="247"/>
      <c r="BQ132" s="247"/>
      <c r="BR132" s="247"/>
      <c r="BS132" s="107"/>
      <c r="BT132" s="107"/>
      <c r="BU132" s="107"/>
      <c r="BV132" s="92"/>
      <c r="BW132" s="248" t="s">
        <v>226</v>
      </c>
      <c r="BX132" s="248"/>
      <c r="BY132" s="248"/>
      <c r="BZ132" s="248"/>
      <c r="CA132" s="248"/>
      <c r="CB132" s="248"/>
      <c r="CC132" s="248"/>
      <c r="CD132" s="248"/>
      <c r="CE132" s="248"/>
      <c r="CF132" s="248"/>
      <c r="CG132" s="248"/>
      <c r="CH132" s="248"/>
      <c r="CI132" s="248"/>
      <c r="CJ132" s="248"/>
      <c r="CK132" s="248"/>
      <c r="CL132" s="248"/>
      <c r="CM132" s="248"/>
      <c r="CN132" s="248"/>
      <c r="CO132" s="248"/>
      <c r="CP132" s="248"/>
      <c r="CQ132" s="248"/>
      <c r="CR132" s="248"/>
      <c r="CS132" s="248"/>
      <c r="CT132" s="248"/>
      <c r="CU132" s="248"/>
      <c r="CV132" s="248"/>
      <c r="CW132" s="248"/>
      <c r="CX132" s="248"/>
      <c r="CY132" s="248"/>
      <c r="CZ132" s="248"/>
      <c r="DA132" s="248"/>
      <c r="DB132" s="248"/>
      <c r="DC132" s="248"/>
      <c r="DD132" s="248"/>
      <c r="DE132" s="248"/>
      <c r="DF132" s="248"/>
      <c r="DG132" s="248"/>
      <c r="DH132" s="248"/>
      <c r="DI132" s="248"/>
      <c r="DJ132" s="248"/>
      <c r="DK132" s="248"/>
      <c r="DL132" s="247" t="s">
        <v>156</v>
      </c>
      <c r="DM132" s="247"/>
      <c r="DN132" s="247"/>
      <c r="DO132" s="247"/>
      <c r="DP132" s="247"/>
      <c r="DQ132" s="247"/>
      <c r="DR132" s="247"/>
      <c r="DS132" s="247"/>
      <c r="DT132" s="247"/>
      <c r="DU132" s="247"/>
      <c r="DV132" s="247"/>
      <c r="DW132" s="247"/>
      <c r="DX132" s="247"/>
      <c r="DY132" s="247"/>
      <c r="DZ132" s="247"/>
      <c r="EA132" s="247"/>
      <c r="EB132" s="247"/>
      <c r="EC132" s="73"/>
    </row>
    <row r="133" spans="1:133" ht="25.15" customHeight="1">
      <c r="A133" s="1">
        <f t="shared" si="62"/>
        <v>57</v>
      </c>
      <c r="B133" s="69"/>
      <c r="C133" s="223" t="s">
        <v>234</v>
      </c>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c r="AW133" s="223"/>
      <c r="AX133" s="223"/>
      <c r="AY133" s="223"/>
      <c r="AZ133" s="223"/>
      <c r="BA133" s="223"/>
      <c r="BB133" s="247" t="s">
        <v>156</v>
      </c>
      <c r="BC133" s="247"/>
      <c r="BD133" s="247"/>
      <c r="BE133" s="247"/>
      <c r="BF133" s="247"/>
      <c r="BG133" s="247"/>
      <c r="BH133" s="247"/>
      <c r="BI133" s="247"/>
      <c r="BJ133" s="247"/>
      <c r="BK133" s="247"/>
      <c r="BL133" s="247"/>
      <c r="BM133" s="247"/>
      <c r="BN133" s="247"/>
      <c r="BO133" s="247"/>
      <c r="BP133" s="247"/>
      <c r="BQ133" s="247"/>
      <c r="BR133" s="247"/>
      <c r="BS133" s="107"/>
      <c r="BT133" s="107"/>
      <c r="BU133" s="107"/>
      <c r="BV133" s="92"/>
      <c r="BW133" s="248" t="s">
        <v>226</v>
      </c>
      <c r="BX133" s="248"/>
      <c r="BY133" s="248"/>
      <c r="BZ133" s="248"/>
      <c r="CA133" s="248"/>
      <c r="CB133" s="248"/>
      <c r="CC133" s="248"/>
      <c r="CD133" s="248"/>
      <c r="CE133" s="248"/>
      <c r="CF133" s="248"/>
      <c r="CG133" s="248"/>
      <c r="CH133" s="248"/>
      <c r="CI133" s="248"/>
      <c r="CJ133" s="248"/>
      <c r="CK133" s="248"/>
      <c r="CL133" s="248"/>
      <c r="CM133" s="248"/>
      <c r="CN133" s="248"/>
      <c r="CO133" s="248"/>
      <c r="CP133" s="248"/>
      <c r="CQ133" s="248"/>
      <c r="CR133" s="248"/>
      <c r="CS133" s="248"/>
      <c r="CT133" s="248"/>
      <c r="CU133" s="248"/>
      <c r="CV133" s="248"/>
      <c r="CW133" s="248"/>
      <c r="CX133" s="248"/>
      <c r="CY133" s="248"/>
      <c r="CZ133" s="248"/>
      <c r="DA133" s="248"/>
      <c r="DB133" s="248"/>
      <c r="DC133" s="248"/>
      <c r="DD133" s="248"/>
      <c r="DE133" s="248"/>
      <c r="DF133" s="248"/>
      <c r="DG133" s="248"/>
      <c r="DH133" s="248"/>
      <c r="DI133" s="248"/>
      <c r="DJ133" s="248"/>
      <c r="DK133" s="248"/>
      <c r="DL133" s="247" t="s">
        <v>156</v>
      </c>
      <c r="DM133" s="247"/>
      <c r="DN133" s="247"/>
      <c r="DO133" s="247"/>
      <c r="DP133" s="247"/>
      <c r="DQ133" s="247"/>
      <c r="DR133" s="247"/>
      <c r="DS133" s="247"/>
      <c r="DT133" s="247"/>
      <c r="DU133" s="247"/>
      <c r="DV133" s="247"/>
      <c r="DW133" s="247"/>
      <c r="DX133" s="247"/>
      <c r="DY133" s="247"/>
      <c r="DZ133" s="247"/>
      <c r="EA133" s="247"/>
      <c r="EB133" s="247"/>
      <c r="EC133" s="73"/>
    </row>
    <row r="134" spans="1:133" ht="25.15" customHeight="1">
      <c r="A134" s="1">
        <f t="shared" si="62"/>
        <v>58</v>
      </c>
      <c r="B134" s="69"/>
      <c r="C134" s="223" t="s">
        <v>234</v>
      </c>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3"/>
      <c r="AM134" s="223"/>
      <c r="AN134" s="223"/>
      <c r="AO134" s="223"/>
      <c r="AP134" s="223"/>
      <c r="AQ134" s="223"/>
      <c r="AR134" s="223"/>
      <c r="AS134" s="223"/>
      <c r="AT134" s="223"/>
      <c r="AU134" s="223"/>
      <c r="AV134" s="223"/>
      <c r="AW134" s="223"/>
      <c r="AX134" s="223"/>
      <c r="AY134" s="223"/>
      <c r="AZ134" s="223"/>
      <c r="BA134" s="223"/>
      <c r="BB134" s="247" t="s">
        <v>156</v>
      </c>
      <c r="BC134" s="247"/>
      <c r="BD134" s="247"/>
      <c r="BE134" s="247"/>
      <c r="BF134" s="247"/>
      <c r="BG134" s="247"/>
      <c r="BH134" s="247"/>
      <c r="BI134" s="247"/>
      <c r="BJ134" s="247"/>
      <c r="BK134" s="247"/>
      <c r="BL134" s="247"/>
      <c r="BM134" s="247"/>
      <c r="BN134" s="247"/>
      <c r="BO134" s="247"/>
      <c r="BP134" s="247"/>
      <c r="BQ134" s="247"/>
      <c r="BR134" s="247"/>
      <c r="BS134" s="107"/>
      <c r="BT134" s="107"/>
      <c r="BU134" s="107"/>
      <c r="BV134" s="92"/>
      <c r="BW134" s="248" t="s">
        <v>226</v>
      </c>
      <c r="BX134" s="248"/>
      <c r="BY134" s="248"/>
      <c r="BZ134" s="248"/>
      <c r="CA134" s="248"/>
      <c r="CB134" s="248"/>
      <c r="CC134" s="248"/>
      <c r="CD134" s="248"/>
      <c r="CE134" s="248"/>
      <c r="CF134" s="248"/>
      <c r="CG134" s="248"/>
      <c r="CH134" s="248"/>
      <c r="CI134" s="248"/>
      <c r="CJ134" s="248"/>
      <c r="CK134" s="248"/>
      <c r="CL134" s="248"/>
      <c r="CM134" s="248"/>
      <c r="CN134" s="248"/>
      <c r="CO134" s="248"/>
      <c r="CP134" s="248"/>
      <c r="CQ134" s="248"/>
      <c r="CR134" s="248"/>
      <c r="CS134" s="248"/>
      <c r="CT134" s="248"/>
      <c r="CU134" s="248"/>
      <c r="CV134" s="248"/>
      <c r="CW134" s="248"/>
      <c r="CX134" s="248"/>
      <c r="CY134" s="248"/>
      <c r="CZ134" s="248"/>
      <c r="DA134" s="248"/>
      <c r="DB134" s="248"/>
      <c r="DC134" s="248"/>
      <c r="DD134" s="248"/>
      <c r="DE134" s="248"/>
      <c r="DF134" s="248"/>
      <c r="DG134" s="248"/>
      <c r="DH134" s="248"/>
      <c r="DI134" s="248"/>
      <c r="DJ134" s="248"/>
      <c r="DK134" s="248"/>
      <c r="DL134" s="247" t="s">
        <v>156</v>
      </c>
      <c r="DM134" s="247"/>
      <c r="DN134" s="247"/>
      <c r="DO134" s="247"/>
      <c r="DP134" s="247"/>
      <c r="DQ134" s="247"/>
      <c r="DR134" s="247"/>
      <c r="DS134" s="247"/>
      <c r="DT134" s="247"/>
      <c r="DU134" s="247"/>
      <c r="DV134" s="247"/>
      <c r="DW134" s="247"/>
      <c r="DX134" s="247"/>
      <c r="DY134" s="247"/>
      <c r="DZ134" s="247"/>
      <c r="EA134" s="247"/>
      <c r="EB134" s="247"/>
      <c r="EC134" s="73"/>
    </row>
    <row r="135" spans="1:133" ht="25.15" customHeight="1">
      <c r="A135" s="1">
        <f t="shared" si="62"/>
        <v>59</v>
      </c>
      <c r="B135" s="69"/>
      <c r="C135" s="223" t="s">
        <v>234</v>
      </c>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c r="AA135" s="223"/>
      <c r="AB135" s="223"/>
      <c r="AC135" s="223"/>
      <c r="AD135" s="223"/>
      <c r="AE135" s="223"/>
      <c r="AF135" s="223"/>
      <c r="AG135" s="223"/>
      <c r="AH135" s="223"/>
      <c r="AI135" s="223"/>
      <c r="AJ135" s="223"/>
      <c r="AK135" s="223"/>
      <c r="AL135" s="223"/>
      <c r="AM135" s="223"/>
      <c r="AN135" s="223"/>
      <c r="AO135" s="223"/>
      <c r="AP135" s="223"/>
      <c r="AQ135" s="223"/>
      <c r="AR135" s="223"/>
      <c r="AS135" s="223"/>
      <c r="AT135" s="223"/>
      <c r="AU135" s="223"/>
      <c r="AV135" s="223"/>
      <c r="AW135" s="223"/>
      <c r="AX135" s="223"/>
      <c r="AY135" s="223"/>
      <c r="AZ135" s="223"/>
      <c r="BA135" s="223"/>
      <c r="BB135" s="247" t="s">
        <v>156</v>
      </c>
      <c r="BC135" s="247"/>
      <c r="BD135" s="247"/>
      <c r="BE135" s="247"/>
      <c r="BF135" s="247"/>
      <c r="BG135" s="247"/>
      <c r="BH135" s="247"/>
      <c r="BI135" s="247"/>
      <c r="BJ135" s="247"/>
      <c r="BK135" s="247"/>
      <c r="BL135" s="247"/>
      <c r="BM135" s="247"/>
      <c r="BN135" s="247"/>
      <c r="BO135" s="247"/>
      <c r="BP135" s="247"/>
      <c r="BQ135" s="247"/>
      <c r="BR135" s="247"/>
      <c r="BS135" s="107"/>
      <c r="BT135" s="107"/>
      <c r="BU135" s="107"/>
      <c r="BV135" s="92"/>
      <c r="BW135" s="248" t="s">
        <v>226</v>
      </c>
      <c r="BX135" s="248"/>
      <c r="BY135" s="248"/>
      <c r="BZ135" s="248"/>
      <c r="CA135" s="248"/>
      <c r="CB135" s="248"/>
      <c r="CC135" s="248"/>
      <c r="CD135" s="248"/>
      <c r="CE135" s="248"/>
      <c r="CF135" s="248"/>
      <c r="CG135" s="248"/>
      <c r="CH135" s="248"/>
      <c r="CI135" s="248"/>
      <c r="CJ135" s="248"/>
      <c r="CK135" s="248"/>
      <c r="CL135" s="248"/>
      <c r="CM135" s="248"/>
      <c r="CN135" s="248"/>
      <c r="CO135" s="248"/>
      <c r="CP135" s="248"/>
      <c r="CQ135" s="248"/>
      <c r="CR135" s="248"/>
      <c r="CS135" s="248"/>
      <c r="CT135" s="248"/>
      <c r="CU135" s="248"/>
      <c r="CV135" s="248"/>
      <c r="CW135" s="248"/>
      <c r="CX135" s="248"/>
      <c r="CY135" s="248"/>
      <c r="CZ135" s="248"/>
      <c r="DA135" s="248"/>
      <c r="DB135" s="248"/>
      <c r="DC135" s="248"/>
      <c r="DD135" s="248"/>
      <c r="DE135" s="248"/>
      <c r="DF135" s="248"/>
      <c r="DG135" s="248"/>
      <c r="DH135" s="248"/>
      <c r="DI135" s="248"/>
      <c r="DJ135" s="248"/>
      <c r="DK135" s="248"/>
      <c r="DL135" s="247" t="s">
        <v>156</v>
      </c>
      <c r="DM135" s="247"/>
      <c r="DN135" s="247"/>
      <c r="DO135" s="247"/>
      <c r="DP135" s="247"/>
      <c r="DQ135" s="247"/>
      <c r="DR135" s="247"/>
      <c r="DS135" s="247"/>
      <c r="DT135" s="247"/>
      <c r="DU135" s="247"/>
      <c r="DV135" s="247"/>
      <c r="DW135" s="247"/>
      <c r="DX135" s="247"/>
      <c r="DY135" s="247"/>
      <c r="DZ135" s="247"/>
      <c r="EA135" s="247"/>
      <c r="EB135" s="247"/>
      <c r="EC135" s="73"/>
    </row>
    <row r="136" spans="1:133" ht="25.15" customHeight="1">
      <c r="A136" s="1">
        <f t="shared" si="62"/>
        <v>60</v>
      </c>
      <c r="B136" s="69"/>
      <c r="C136" s="224" t="s">
        <v>234</v>
      </c>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c r="AR136" s="224"/>
      <c r="AS136" s="224"/>
      <c r="AT136" s="224"/>
      <c r="AU136" s="224"/>
      <c r="AV136" s="224"/>
      <c r="AW136" s="224"/>
      <c r="AX136" s="224"/>
      <c r="AY136" s="224"/>
      <c r="AZ136" s="224"/>
      <c r="BA136" s="224"/>
      <c r="BB136" s="249" t="s">
        <v>156</v>
      </c>
      <c r="BC136" s="249"/>
      <c r="BD136" s="249"/>
      <c r="BE136" s="249"/>
      <c r="BF136" s="249"/>
      <c r="BG136" s="249"/>
      <c r="BH136" s="249"/>
      <c r="BI136" s="249"/>
      <c r="BJ136" s="249"/>
      <c r="BK136" s="249"/>
      <c r="BL136" s="249"/>
      <c r="BM136" s="249"/>
      <c r="BN136" s="249"/>
      <c r="BO136" s="249"/>
      <c r="BP136" s="249"/>
      <c r="BQ136" s="249"/>
      <c r="BR136" s="249"/>
      <c r="BS136" s="107"/>
      <c r="BT136" s="107"/>
      <c r="BU136" s="107"/>
      <c r="BV136" s="92"/>
      <c r="BW136" s="250" t="s">
        <v>226</v>
      </c>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49" t="s">
        <v>156</v>
      </c>
      <c r="DM136" s="249"/>
      <c r="DN136" s="249"/>
      <c r="DO136" s="249"/>
      <c r="DP136" s="249"/>
      <c r="DQ136" s="249"/>
      <c r="DR136" s="249"/>
      <c r="DS136" s="249"/>
      <c r="DT136" s="249"/>
      <c r="DU136" s="249"/>
      <c r="DV136" s="249"/>
      <c r="DW136" s="249"/>
      <c r="DX136" s="249"/>
      <c r="DY136" s="249"/>
      <c r="DZ136" s="249"/>
      <c r="EA136" s="249"/>
      <c r="EB136" s="249"/>
      <c r="EC136" s="73"/>
    </row>
    <row r="137" spans="1:133" ht="25.15" customHeight="1">
      <c r="A137" s="1">
        <f t="shared" si="62"/>
        <v>61</v>
      </c>
      <c r="B137" s="69"/>
      <c r="C137" s="154" t="s">
        <v>248</v>
      </c>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c r="AY137" s="154"/>
      <c r="AZ137" s="154"/>
      <c r="BA137" s="154"/>
      <c r="BB137" s="245" t="s">
        <v>156</v>
      </c>
      <c r="BC137" s="245"/>
      <c r="BD137" s="245"/>
      <c r="BE137" s="245"/>
      <c r="BF137" s="245"/>
      <c r="BG137" s="245"/>
      <c r="BH137" s="245"/>
      <c r="BI137" s="245"/>
      <c r="BJ137" s="245"/>
      <c r="BK137" s="245"/>
      <c r="BL137" s="245"/>
      <c r="BM137" s="245"/>
      <c r="BN137" s="245"/>
      <c r="BO137" s="245"/>
      <c r="BP137" s="245"/>
      <c r="BQ137" s="245"/>
      <c r="BR137" s="245"/>
      <c r="BS137" s="107"/>
      <c r="BT137" s="107"/>
      <c r="BU137" s="107"/>
      <c r="BV137" s="101"/>
      <c r="BW137" s="246" t="s">
        <v>248</v>
      </c>
      <c r="BX137" s="246"/>
      <c r="BY137" s="246"/>
      <c r="BZ137" s="246"/>
      <c r="CA137" s="246"/>
      <c r="CB137" s="246"/>
      <c r="CC137" s="246"/>
      <c r="CD137" s="246"/>
      <c r="CE137" s="246"/>
      <c r="CF137" s="246"/>
      <c r="CG137" s="246"/>
      <c r="CH137" s="246"/>
      <c r="CI137" s="246"/>
      <c r="CJ137" s="246"/>
      <c r="CK137" s="246"/>
      <c r="CL137" s="246"/>
      <c r="CM137" s="246"/>
      <c r="CN137" s="246"/>
      <c r="CO137" s="246"/>
      <c r="CP137" s="246"/>
      <c r="CQ137" s="246"/>
      <c r="CR137" s="246"/>
      <c r="CS137" s="246"/>
      <c r="CT137" s="246"/>
      <c r="CU137" s="246"/>
      <c r="CV137" s="246"/>
      <c r="CW137" s="246"/>
      <c r="CX137" s="246"/>
      <c r="CY137" s="246"/>
      <c r="CZ137" s="246"/>
      <c r="DA137" s="246"/>
      <c r="DB137" s="246"/>
      <c r="DC137" s="246"/>
      <c r="DD137" s="246"/>
      <c r="DE137" s="246"/>
      <c r="DF137" s="246"/>
      <c r="DG137" s="246"/>
      <c r="DH137" s="246"/>
      <c r="DI137" s="246"/>
      <c r="DJ137" s="246"/>
      <c r="DK137" s="246"/>
      <c r="DL137" s="245" t="s">
        <v>156</v>
      </c>
      <c r="DM137" s="245"/>
      <c r="DN137" s="245"/>
      <c r="DO137" s="245"/>
      <c r="DP137" s="245"/>
      <c r="DQ137" s="245"/>
      <c r="DR137" s="245"/>
      <c r="DS137" s="245"/>
      <c r="DT137" s="245"/>
      <c r="DU137" s="245"/>
      <c r="DV137" s="245"/>
      <c r="DW137" s="245"/>
      <c r="DX137" s="245"/>
      <c r="DY137" s="245"/>
      <c r="DZ137" s="245"/>
      <c r="EA137" s="245"/>
      <c r="EB137" s="245"/>
      <c r="EC137" s="73"/>
    </row>
    <row r="138" spans="1:133" ht="25.15" customHeight="1">
      <c r="A138" s="1">
        <f t="shared" si="62"/>
        <v>62</v>
      </c>
      <c r="B138" s="100"/>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251"/>
      <c r="AV138" s="251"/>
      <c r="AW138" s="251"/>
      <c r="AX138" s="251"/>
      <c r="AY138" s="251"/>
      <c r="AZ138" s="251"/>
      <c r="BA138" s="251"/>
      <c r="BB138" s="251"/>
      <c r="BC138" s="251"/>
      <c r="BD138" s="251"/>
      <c r="BE138" s="251"/>
      <c r="BF138" s="251"/>
      <c r="BG138" s="251"/>
      <c r="BH138" s="251"/>
      <c r="BI138" s="251"/>
      <c r="BJ138" s="251"/>
      <c r="BK138" s="251"/>
      <c r="BL138" s="251"/>
      <c r="BM138" s="251"/>
      <c r="BN138" s="251"/>
      <c r="BO138" s="251"/>
      <c r="BP138" s="251"/>
      <c r="BQ138" s="251"/>
      <c r="BR138" s="251"/>
      <c r="BS138" s="251"/>
      <c r="BT138" s="251"/>
      <c r="BU138" s="251"/>
      <c r="BV138" s="251"/>
      <c r="BW138" s="251"/>
      <c r="BX138" s="251"/>
      <c r="BY138" s="251"/>
      <c r="BZ138" s="251"/>
      <c r="CA138" s="251"/>
      <c r="CB138" s="251"/>
      <c r="CC138" s="251"/>
      <c r="CD138" s="251"/>
      <c r="CE138" s="251"/>
      <c r="CF138" s="251"/>
      <c r="CG138" s="251"/>
      <c r="CH138" s="251"/>
      <c r="CI138" s="251"/>
      <c r="CJ138" s="251"/>
      <c r="CK138" s="251"/>
      <c r="CL138" s="251"/>
      <c r="CM138" s="251"/>
      <c r="CN138" s="251"/>
      <c r="CO138" s="251"/>
      <c r="CP138" s="251"/>
      <c r="CQ138" s="251"/>
      <c r="CR138" s="251"/>
      <c r="CS138" s="251"/>
      <c r="CT138" s="251"/>
      <c r="CU138" s="251"/>
      <c r="CV138" s="251"/>
      <c r="CW138" s="251"/>
      <c r="CX138" s="251"/>
      <c r="CY138" s="251"/>
      <c r="CZ138" s="251"/>
      <c r="DA138" s="251"/>
      <c r="DB138" s="251"/>
      <c r="DC138" s="251"/>
      <c r="DD138" s="251"/>
      <c r="DE138" s="251"/>
      <c r="DF138" s="251"/>
      <c r="DG138" s="251"/>
      <c r="DH138" s="251"/>
      <c r="DI138" s="251"/>
      <c r="DJ138" s="251"/>
      <c r="DK138" s="251"/>
      <c r="DL138" s="251"/>
      <c r="DM138" s="251"/>
      <c r="DN138" s="251"/>
      <c r="DO138" s="251"/>
      <c r="DP138" s="251"/>
      <c r="DQ138" s="251"/>
      <c r="DR138" s="251"/>
      <c r="DS138" s="251"/>
      <c r="DT138" s="251"/>
      <c r="DU138" s="251"/>
      <c r="DV138" s="251"/>
      <c r="DW138" s="251"/>
      <c r="DX138" s="251"/>
      <c r="DY138" s="251"/>
      <c r="DZ138" s="251"/>
      <c r="EA138" s="251"/>
      <c r="EB138" s="251"/>
      <c r="EC138" s="73"/>
    </row>
    <row r="139" spans="1:133" ht="25.15" customHeight="1">
      <c r="A139" s="1">
        <f t="shared" si="62"/>
        <v>63</v>
      </c>
      <c r="B139" s="100"/>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c r="DK139" s="101"/>
      <c r="DL139" s="101"/>
      <c r="DM139" s="101"/>
      <c r="DN139" s="101"/>
      <c r="DO139" s="101"/>
      <c r="DP139" s="101"/>
      <c r="DQ139" s="101"/>
      <c r="DR139" s="101"/>
      <c r="DS139" s="101"/>
      <c r="DT139" s="101"/>
      <c r="DU139" s="101"/>
      <c r="DV139" s="101"/>
      <c r="DW139" s="101"/>
      <c r="DX139" s="101"/>
      <c r="DY139" s="101"/>
      <c r="DZ139" s="101"/>
      <c r="EA139" s="92"/>
      <c r="EB139" s="71"/>
      <c r="EC139" s="73"/>
    </row>
    <row r="140" spans="1:133" ht="25.15" customHeight="1">
      <c r="A140" s="1">
        <f t="shared" si="62"/>
        <v>64</v>
      </c>
      <c r="B140" s="69"/>
      <c r="C140" s="101"/>
      <c r="D140" s="86"/>
      <c r="E140" s="101"/>
      <c r="F140" s="101"/>
      <c r="G140" s="70"/>
      <c r="H140" s="107"/>
      <c r="I140" s="107"/>
      <c r="J140" s="107"/>
      <c r="K140" s="107"/>
      <c r="L140" s="105"/>
      <c r="M140" s="107"/>
      <c r="N140" s="101"/>
      <c r="O140" s="86"/>
      <c r="P140" s="104"/>
      <c r="Q140" s="92"/>
      <c r="R140" s="107"/>
      <c r="S140" s="92"/>
      <c r="T140" s="92"/>
      <c r="U140" s="92"/>
      <c r="V140" s="107"/>
      <c r="W140" s="92"/>
      <c r="X140" s="92"/>
      <c r="Y140" s="92"/>
      <c r="Z140" s="107"/>
      <c r="AA140" s="92"/>
      <c r="AB140" s="92"/>
      <c r="AC140" s="92"/>
      <c r="AD140" s="107"/>
      <c r="AE140" s="92"/>
      <c r="AF140" s="92"/>
      <c r="AG140" s="107"/>
      <c r="AH140" s="101"/>
      <c r="AI140" s="105"/>
      <c r="AJ140" s="92"/>
      <c r="AK140" s="107"/>
      <c r="AL140" s="92"/>
      <c r="AM140" s="92"/>
      <c r="AN140" s="92"/>
      <c r="AO140" s="107"/>
      <c r="AP140" s="92"/>
      <c r="AQ140" s="92"/>
      <c r="AR140" s="92"/>
      <c r="AS140" s="107"/>
      <c r="AT140" s="92"/>
      <c r="AU140" s="92"/>
      <c r="AV140" s="92"/>
      <c r="AW140" s="107"/>
      <c r="AX140" s="92"/>
      <c r="AY140" s="92"/>
      <c r="AZ140" s="107"/>
      <c r="BA140" s="105"/>
      <c r="BB140" s="105"/>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DY140" s="104"/>
      <c r="DZ140" s="104"/>
      <c r="EA140" s="104"/>
      <c r="EB140" s="104"/>
      <c r="EC140" s="73"/>
    </row>
    <row r="141" spans="1:133" ht="25.15" customHeight="1">
      <c r="A141" s="1">
        <f t="shared" ref="A141" si="63">A140+1</f>
        <v>65</v>
      </c>
      <c r="B141" s="69"/>
      <c r="C141" s="157" t="s">
        <v>249</v>
      </c>
      <c r="D141" s="157"/>
      <c r="E141" s="157"/>
      <c r="F141" s="157"/>
      <c r="G141" s="128"/>
      <c r="H141" s="128"/>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279</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27">
        <f t="shared" ref="A142" si="64">A141+1</f>
        <v>66</v>
      </c>
      <c r="B142" s="138"/>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c r="BA142" s="129"/>
      <c r="BB142" s="129"/>
      <c r="BC142" s="129"/>
      <c r="BD142" s="129"/>
      <c r="BE142" s="129"/>
      <c r="BF142" s="139"/>
      <c r="BG142" s="129"/>
      <c r="BH142" s="129"/>
      <c r="BI142" s="129"/>
      <c r="BJ142" s="129"/>
      <c r="BK142" s="129"/>
      <c r="BL142" s="129"/>
      <c r="BM142" s="129"/>
      <c r="BN142" s="129"/>
      <c r="BO142" s="129"/>
      <c r="BP142" s="129"/>
      <c r="BQ142" s="129"/>
      <c r="BR142" s="129"/>
      <c r="BS142" s="139"/>
      <c r="BT142" s="139"/>
      <c r="BU142" s="139"/>
      <c r="BV142" s="139"/>
      <c r="BW142" s="129"/>
      <c r="BX142" s="129"/>
      <c r="BY142" s="139"/>
      <c r="BZ142" s="129"/>
      <c r="CA142" s="129"/>
      <c r="CB142" s="139"/>
      <c r="CC142" s="129"/>
      <c r="CD142" s="129"/>
      <c r="CE142" s="129"/>
      <c r="CF142" s="129"/>
      <c r="CG142" s="129"/>
      <c r="CH142" s="129"/>
      <c r="CI142" s="129"/>
      <c r="CJ142" s="129"/>
      <c r="CK142" s="129"/>
      <c r="CL142" s="129"/>
      <c r="CM142" s="129"/>
      <c r="CN142" s="129"/>
      <c r="CO142" s="129"/>
      <c r="CP142" s="129"/>
      <c r="CQ142" s="129"/>
      <c r="CR142" s="129"/>
      <c r="CS142" s="129"/>
      <c r="CT142" s="129"/>
      <c r="CU142" s="129"/>
      <c r="CV142" s="129"/>
      <c r="CW142" s="129"/>
      <c r="CX142" s="129"/>
      <c r="CY142" s="129"/>
      <c r="CZ142" s="129"/>
      <c r="DA142" s="129"/>
      <c r="DB142" s="129"/>
      <c r="DC142" s="129"/>
      <c r="DD142" s="129"/>
      <c r="DE142" s="129"/>
      <c r="DF142" s="129"/>
      <c r="DG142" s="129"/>
      <c r="DH142" s="129"/>
      <c r="DI142" s="129"/>
      <c r="DJ142" s="129"/>
      <c r="DK142" s="129"/>
      <c r="DL142" s="129"/>
      <c r="DM142" s="129"/>
      <c r="DN142" s="129"/>
      <c r="DO142" s="129"/>
      <c r="DP142" s="129"/>
      <c r="DQ142" s="129"/>
      <c r="DR142" s="129"/>
      <c r="DS142" s="129"/>
      <c r="DT142" s="129"/>
      <c r="DU142" s="129"/>
      <c r="DV142" s="129"/>
      <c r="DW142" s="129"/>
      <c r="DX142" s="129"/>
      <c r="DY142" s="129"/>
      <c r="DZ142" s="129"/>
      <c r="EA142" s="129"/>
      <c r="EB142" s="129"/>
      <c r="EC142" s="140"/>
    </row>
  </sheetData>
  <mergeCells count="387">
    <mergeCell ref="CO58:DG58"/>
    <mergeCell ref="Q82:AV82"/>
    <mergeCell ref="AW82:EB82"/>
    <mergeCell ref="Q83:AV83"/>
    <mergeCell ref="AW83:EB83"/>
    <mergeCell ref="AJ81:BB81"/>
    <mergeCell ref="DK77:DL77"/>
    <mergeCell ref="DP77:DQ77"/>
    <mergeCell ref="Q59:AI59"/>
    <mergeCell ref="AJ59:BB59"/>
    <mergeCell ref="BC59:BU59"/>
    <mergeCell ref="BV59:CN59"/>
    <mergeCell ref="CO59:DG59"/>
    <mergeCell ref="DH61:DZ61"/>
    <mergeCell ref="BW64:DK64"/>
    <mergeCell ref="DL64:EB64"/>
    <mergeCell ref="DH60:DZ60"/>
    <mergeCell ref="Q61:AI61"/>
    <mergeCell ref="BW63:EB63"/>
    <mergeCell ref="Q60:AI60"/>
    <mergeCell ref="AJ60:BB60"/>
    <mergeCell ref="BC60:BU60"/>
    <mergeCell ref="BV60:CN60"/>
    <mergeCell ref="CO51:DG51"/>
    <mergeCell ref="BC52:BU52"/>
    <mergeCell ref="CO61:DG61"/>
    <mergeCell ref="CO60:DG60"/>
    <mergeCell ref="DH58:DZ58"/>
    <mergeCell ref="DH59:DZ59"/>
    <mergeCell ref="AW54:EB54"/>
    <mergeCell ref="Q88:AV88"/>
    <mergeCell ref="AW88:EB88"/>
    <mergeCell ref="BB70:BR70"/>
    <mergeCell ref="BB71:BR71"/>
    <mergeCell ref="BW65:DK65"/>
    <mergeCell ref="BW66:DK66"/>
    <mergeCell ref="BW67:DK67"/>
    <mergeCell ref="BW68:DK68"/>
    <mergeCell ref="BB65:BR65"/>
    <mergeCell ref="BB66:BR66"/>
    <mergeCell ref="BB67:BR67"/>
    <mergeCell ref="BB68:BR68"/>
    <mergeCell ref="BB69:BR69"/>
    <mergeCell ref="DL67:EB67"/>
    <mergeCell ref="DL68:EB68"/>
    <mergeCell ref="DL69:EB69"/>
    <mergeCell ref="DL70:EB70"/>
    <mergeCell ref="BT32:CL32"/>
    <mergeCell ref="BT37:CL37"/>
    <mergeCell ref="C42:EB42"/>
    <mergeCell ref="AJ47:BB47"/>
    <mergeCell ref="Q47:AI47"/>
    <mergeCell ref="E32:V33"/>
    <mergeCell ref="E34:V35"/>
    <mergeCell ref="E36:V37"/>
    <mergeCell ref="E38:V39"/>
    <mergeCell ref="W38:AZ39"/>
    <mergeCell ref="BT34:CL34"/>
    <mergeCell ref="BT35:CL35"/>
    <mergeCell ref="BT38:CL38"/>
    <mergeCell ref="BT39:CL39"/>
    <mergeCell ref="BT36:CL36"/>
    <mergeCell ref="CN36:DZ36"/>
    <mergeCell ref="BC34:BP39"/>
    <mergeCell ref="W36:AZ37"/>
    <mergeCell ref="BV98:CN98"/>
    <mergeCell ref="DH97:DZ97"/>
    <mergeCell ref="CO98:DG98"/>
    <mergeCell ref="BB116:BR116"/>
    <mergeCell ref="BW116:DK116"/>
    <mergeCell ref="DL116:EB116"/>
    <mergeCell ref="BC107:BU107"/>
    <mergeCell ref="Q49:AV49"/>
    <mergeCell ref="CN38:DZ38"/>
    <mergeCell ref="DH47:DZ47"/>
    <mergeCell ref="CO47:DG47"/>
    <mergeCell ref="BV47:CN47"/>
    <mergeCell ref="BC47:BU47"/>
    <mergeCell ref="Q54:AV54"/>
    <mergeCell ref="Q56:AI56"/>
    <mergeCell ref="AJ56:BB56"/>
    <mergeCell ref="BC56:BU56"/>
    <mergeCell ref="BV56:CN56"/>
    <mergeCell ref="CO56:DG56"/>
    <mergeCell ref="DH56:DZ56"/>
    <mergeCell ref="DH57:DZ57"/>
    <mergeCell ref="DH51:DZ51"/>
    <mergeCell ref="DH52:DZ52"/>
    <mergeCell ref="BC51:BU51"/>
    <mergeCell ref="C58:P58"/>
    <mergeCell ref="C59:P59"/>
    <mergeCell ref="C106:D106"/>
    <mergeCell ref="Q89:AV89"/>
    <mergeCell ref="AW89:EB89"/>
    <mergeCell ref="Q97:AI97"/>
    <mergeCell ref="BW117:DK117"/>
    <mergeCell ref="C98:P98"/>
    <mergeCell ref="Q100:AV100"/>
    <mergeCell ref="AW100:EB100"/>
    <mergeCell ref="Q101:AV101"/>
    <mergeCell ref="AW101:EB101"/>
    <mergeCell ref="C104:P104"/>
    <mergeCell ref="BO111:BP111"/>
    <mergeCell ref="BQ111:BR111"/>
    <mergeCell ref="Q102:AI102"/>
    <mergeCell ref="AJ102:BB102"/>
    <mergeCell ref="BC102:BU102"/>
    <mergeCell ref="BV102:CN102"/>
    <mergeCell ref="CO102:DG102"/>
    <mergeCell ref="DH102:DZ102"/>
    <mergeCell ref="Q98:AI98"/>
    <mergeCell ref="AJ98:BB98"/>
    <mergeCell ref="BC98:BU98"/>
    <mergeCell ref="C92:P92"/>
    <mergeCell ref="E106:F106"/>
    <mergeCell ref="BC77:BD77"/>
    <mergeCell ref="BE77:BF77"/>
    <mergeCell ref="BG77:BH77"/>
    <mergeCell ref="BI77:BJ77"/>
    <mergeCell ref="BK77:BL77"/>
    <mergeCell ref="BM77:BN77"/>
    <mergeCell ref="BO77:BP77"/>
    <mergeCell ref="Q81:AI81"/>
    <mergeCell ref="AJ97:BB97"/>
    <mergeCell ref="BC97:BU97"/>
    <mergeCell ref="BC91:BU91"/>
    <mergeCell ref="C81:P81"/>
    <mergeCell ref="Q84:AI84"/>
    <mergeCell ref="AJ84:BB84"/>
    <mergeCell ref="BC84:BU84"/>
    <mergeCell ref="Q85:AI85"/>
    <mergeCell ref="AJ85:BB85"/>
    <mergeCell ref="BC85:BU85"/>
    <mergeCell ref="Q90:AI90"/>
    <mergeCell ref="AJ90:BB90"/>
    <mergeCell ref="BC90:BU90"/>
    <mergeCell ref="C86:P86"/>
    <mergeCell ref="BF27:DY30"/>
    <mergeCell ref="Q48:AV48"/>
    <mergeCell ref="AW48:EB48"/>
    <mergeCell ref="AW49:EB49"/>
    <mergeCell ref="DS9:DT9"/>
    <mergeCell ref="CA9:CB9"/>
    <mergeCell ref="CY11:DU11"/>
    <mergeCell ref="CY12:DU12"/>
    <mergeCell ref="CY18:DU18"/>
    <mergeCell ref="CU14:DU16"/>
    <mergeCell ref="BS9:BT9"/>
    <mergeCell ref="BE9:BF9"/>
    <mergeCell ref="E27:V30"/>
    <mergeCell ref="F13:N13"/>
    <mergeCell ref="F15:AS15"/>
    <mergeCell ref="F16:AS16"/>
    <mergeCell ref="F17:AS17"/>
    <mergeCell ref="F18:AS18"/>
    <mergeCell ref="F20:AS20"/>
    <mergeCell ref="F21:AS21"/>
    <mergeCell ref="F23:U23"/>
    <mergeCell ref="E26:AZ26"/>
    <mergeCell ref="AV21:AW21"/>
    <mergeCell ref="AX21:AY21"/>
    <mergeCell ref="BF14:CF16"/>
    <mergeCell ref="BF21:DZ21"/>
    <mergeCell ref="CQ18:CR18"/>
    <mergeCell ref="CS18:CT18"/>
    <mergeCell ref="CU18:CV18"/>
    <mergeCell ref="CW18:CX18"/>
    <mergeCell ref="BX25:BY25"/>
    <mergeCell ref="BZ25:CA25"/>
    <mergeCell ref="CB25:CC25"/>
    <mergeCell ref="CD25:CE25"/>
    <mergeCell ref="CF25:CG25"/>
    <mergeCell ref="CH25:CI25"/>
    <mergeCell ref="BF22:DZ22"/>
    <mergeCell ref="BF23:DZ23"/>
    <mergeCell ref="BV97:CN97"/>
    <mergeCell ref="CO97:DG97"/>
    <mergeCell ref="W27:AZ30"/>
    <mergeCell ref="BG9:BH9"/>
    <mergeCell ref="BI9:BJ9"/>
    <mergeCell ref="BK9:BL9"/>
    <mergeCell ref="BM9:BN9"/>
    <mergeCell ref="BO9:BP9"/>
    <mergeCell ref="BC9:BD9"/>
    <mergeCell ref="BQ9:BR9"/>
    <mergeCell ref="BC86:BU86"/>
    <mergeCell ref="Q86:AI86"/>
    <mergeCell ref="AJ86:BB86"/>
    <mergeCell ref="BA26:BB26"/>
    <mergeCell ref="BR41:CL41"/>
    <mergeCell ref="W32:AZ33"/>
    <mergeCell ref="W34:AZ35"/>
    <mergeCell ref="CO90:DG90"/>
    <mergeCell ref="Q96:AI96"/>
    <mergeCell ref="AJ96:BB96"/>
    <mergeCell ref="BC96:BU96"/>
    <mergeCell ref="BV96:CN96"/>
    <mergeCell ref="Q91:AI91"/>
    <mergeCell ref="AJ91:BB91"/>
    <mergeCell ref="DH91:DZ91"/>
    <mergeCell ref="Q92:AI92"/>
    <mergeCell ref="AJ92:BB92"/>
    <mergeCell ref="BC92:BU92"/>
    <mergeCell ref="CO96:DG96"/>
    <mergeCell ref="DH96:DZ96"/>
    <mergeCell ref="Q94:AV94"/>
    <mergeCell ref="AW94:EB94"/>
    <mergeCell ref="Q95:AV95"/>
    <mergeCell ref="AW95:EB95"/>
    <mergeCell ref="EF40:EG40"/>
    <mergeCell ref="EF30:EG30"/>
    <mergeCell ref="EF39:EG39"/>
    <mergeCell ref="EF38:EG38"/>
    <mergeCell ref="EF32:EG32"/>
    <mergeCell ref="EF33:EG33"/>
    <mergeCell ref="BV92:CN92"/>
    <mergeCell ref="CO92:DG92"/>
    <mergeCell ref="DH92:DZ92"/>
    <mergeCell ref="BV84:CN84"/>
    <mergeCell ref="CO84:DG84"/>
    <mergeCell ref="DH84:DZ84"/>
    <mergeCell ref="BV85:CN85"/>
    <mergeCell ref="CO85:DG85"/>
    <mergeCell ref="DH85:DZ85"/>
    <mergeCell ref="BV90:CN90"/>
    <mergeCell ref="BV61:CN61"/>
    <mergeCell ref="DH90:DZ90"/>
    <mergeCell ref="BV86:CN86"/>
    <mergeCell ref="CO86:DG86"/>
    <mergeCell ref="DH86:DZ86"/>
    <mergeCell ref="BV51:CN51"/>
    <mergeCell ref="BV91:CN91"/>
    <mergeCell ref="CO91:DG91"/>
    <mergeCell ref="EH34:EI34"/>
    <mergeCell ref="EH35:EI35"/>
    <mergeCell ref="EH36:EI36"/>
    <mergeCell ref="EH37:EI37"/>
    <mergeCell ref="BC81:BU81"/>
    <mergeCell ref="BV52:CN52"/>
    <mergeCell ref="CO52:DG52"/>
    <mergeCell ref="C47:P47"/>
    <mergeCell ref="C52:P52"/>
    <mergeCell ref="Q50:AI50"/>
    <mergeCell ref="AJ50:BB50"/>
    <mergeCell ref="Q51:AI51"/>
    <mergeCell ref="AJ51:BB51"/>
    <mergeCell ref="Q52:AI52"/>
    <mergeCell ref="AJ52:BB52"/>
    <mergeCell ref="AJ61:BB61"/>
    <mergeCell ref="BC61:BU61"/>
    <mergeCell ref="CN34:DZ34"/>
    <mergeCell ref="BL73:BR73"/>
    <mergeCell ref="DH81:DZ81"/>
    <mergeCell ref="BC50:BU50"/>
    <mergeCell ref="BV50:CN50"/>
    <mergeCell ref="CO50:DG50"/>
    <mergeCell ref="DH50:DZ50"/>
    <mergeCell ref="Q55:AV55"/>
    <mergeCell ref="AW55:EB55"/>
    <mergeCell ref="BO64:BP64"/>
    <mergeCell ref="BQ64:BR64"/>
    <mergeCell ref="BQ77:BR77"/>
    <mergeCell ref="BS77:BT77"/>
    <mergeCell ref="CA77:CB77"/>
    <mergeCell ref="BV81:CN81"/>
    <mergeCell ref="CO81:DG81"/>
    <mergeCell ref="DL71:EB71"/>
    <mergeCell ref="BW71:DK71"/>
    <mergeCell ref="BW69:DK69"/>
    <mergeCell ref="BW70:DK70"/>
    <mergeCell ref="DL65:EB65"/>
    <mergeCell ref="DL66:EB66"/>
    <mergeCell ref="Q57:AI57"/>
    <mergeCell ref="AJ57:BB57"/>
    <mergeCell ref="BC57:BU57"/>
    <mergeCell ref="BV57:CN57"/>
    <mergeCell ref="CO57:DG57"/>
    <mergeCell ref="Q58:AI58"/>
    <mergeCell ref="AJ58:BB58"/>
    <mergeCell ref="BC58:BU58"/>
    <mergeCell ref="BV58:CN58"/>
    <mergeCell ref="DH98:DZ98"/>
    <mergeCell ref="BW110:EB110"/>
    <mergeCell ref="BW111:DK111"/>
    <mergeCell ref="DL111:EB111"/>
    <mergeCell ref="Q103:AI103"/>
    <mergeCell ref="AJ103:BB103"/>
    <mergeCell ref="BC103:BU103"/>
    <mergeCell ref="BV103:CN103"/>
    <mergeCell ref="CO103:DG103"/>
    <mergeCell ref="DH103:DZ103"/>
    <mergeCell ref="Q104:AI104"/>
    <mergeCell ref="AJ104:BB104"/>
    <mergeCell ref="BC104:BU104"/>
    <mergeCell ref="BV104:CN104"/>
    <mergeCell ref="CO104:DG104"/>
    <mergeCell ref="DH104:DZ104"/>
    <mergeCell ref="Q106:AI106"/>
    <mergeCell ref="BC106:BU106"/>
    <mergeCell ref="BV106:CN106"/>
    <mergeCell ref="CO106:DG106"/>
    <mergeCell ref="DH106:DZ106"/>
    <mergeCell ref="Q107:AI107"/>
    <mergeCell ref="BV107:CN107"/>
    <mergeCell ref="CO107:DG107"/>
    <mergeCell ref="DH107:DZ107"/>
    <mergeCell ref="Q108:AI108"/>
    <mergeCell ref="BC108:BU108"/>
    <mergeCell ref="BV108:CN108"/>
    <mergeCell ref="CO108:DG108"/>
    <mergeCell ref="DH108:DZ108"/>
    <mergeCell ref="BB112:BR112"/>
    <mergeCell ref="BW112:DK112"/>
    <mergeCell ref="DL112:EB112"/>
    <mergeCell ref="BB113:BR113"/>
    <mergeCell ref="BW113:DK113"/>
    <mergeCell ref="DL113:EB113"/>
    <mergeCell ref="BB114:BR114"/>
    <mergeCell ref="BW114:DK114"/>
    <mergeCell ref="DL114:EB114"/>
    <mergeCell ref="BB115:BR115"/>
    <mergeCell ref="BW115:DK115"/>
    <mergeCell ref="DL115:EB115"/>
    <mergeCell ref="BB121:BR121"/>
    <mergeCell ref="BW121:DK121"/>
    <mergeCell ref="BB122:BR122"/>
    <mergeCell ref="BW122:DK122"/>
    <mergeCell ref="DL122:EB122"/>
    <mergeCell ref="BB123:BR123"/>
    <mergeCell ref="BW123:DK123"/>
    <mergeCell ref="DL123:EB123"/>
    <mergeCell ref="BB124:BR124"/>
    <mergeCell ref="BW124:DK124"/>
    <mergeCell ref="DL121:EB121"/>
    <mergeCell ref="DL124:EB124"/>
    <mergeCell ref="DL117:EB117"/>
    <mergeCell ref="BB118:BR118"/>
    <mergeCell ref="BW118:DK118"/>
    <mergeCell ref="DL118:EB118"/>
    <mergeCell ref="BB119:BR119"/>
    <mergeCell ref="BW119:DK119"/>
    <mergeCell ref="DL119:EB119"/>
    <mergeCell ref="BB120:BR120"/>
    <mergeCell ref="BW120:DK120"/>
    <mergeCell ref="DL120:EB120"/>
    <mergeCell ref="BB117:BR117"/>
    <mergeCell ref="BB131:BR131"/>
    <mergeCell ref="BW131:DK131"/>
    <mergeCell ref="DL131:EB131"/>
    <mergeCell ref="BB132:BR132"/>
    <mergeCell ref="BB125:BR125"/>
    <mergeCell ref="BW125:DK125"/>
    <mergeCell ref="DL125:EB125"/>
    <mergeCell ref="BB126:BR126"/>
    <mergeCell ref="BW126:DK126"/>
    <mergeCell ref="DL126:EB126"/>
    <mergeCell ref="BB128:BR128"/>
    <mergeCell ref="BW128:DK128"/>
    <mergeCell ref="DL128:EB128"/>
    <mergeCell ref="BB129:BR129"/>
    <mergeCell ref="BW129:DK129"/>
    <mergeCell ref="DL129:EB129"/>
    <mergeCell ref="BB130:BR130"/>
    <mergeCell ref="BW130:DK130"/>
    <mergeCell ref="DL130:EB130"/>
    <mergeCell ref="BB127:BR127"/>
    <mergeCell ref="BW127:DK127"/>
    <mergeCell ref="DL127:EB127"/>
    <mergeCell ref="BL141:BR141"/>
    <mergeCell ref="BB137:BR137"/>
    <mergeCell ref="BW137:DK137"/>
    <mergeCell ref="DL137:EB137"/>
    <mergeCell ref="DL132:EB132"/>
    <mergeCell ref="BB133:BR133"/>
    <mergeCell ref="BW133:DK133"/>
    <mergeCell ref="DL133:EB133"/>
    <mergeCell ref="BB134:BR134"/>
    <mergeCell ref="BW134:DK134"/>
    <mergeCell ref="DL134:EB134"/>
    <mergeCell ref="BB135:BR135"/>
    <mergeCell ref="BW135:DK135"/>
    <mergeCell ref="DL135:EB135"/>
    <mergeCell ref="BW132:DK132"/>
    <mergeCell ref="BB136:BR136"/>
    <mergeCell ref="BW136:DK136"/>
    <mergeCell ref="DL136:EB136"/>
    <mergeCell ref="C138:EB138"/>
  </mergeCells>
  <phoneticPr fontId="7"/>
  <pageMargins left="0.39370078740157483" right="0.39370078740157483" top="0.39370078740157483" bottom="0.25" header="0.59055118110236227" footer="0.11811023622047245"/>
  <pageSetup paperSize="9" scale="31" fitToHeight="0" orientation="landscape" useFirstPageNumber="1" r:id="rId1"/>
  <headerFooter alignWithMargins="0">
    <oddHeader xml:space="preserve">&amp;R&amp;16&amp;P    </oddHeader>
    <oddFooter xml:space="preserve">&amp;C&amp;24 4-3-5-&amp;P </oddFooter>
  </headerFooter>
  <rowBreaks count="1" manualBreakCount="1">
    <brk id="74" max="132" man="1"/>
  </rowBreaks>
  <colBreaks count="1" manualBreakCount="1">
    <brk id="14" max="1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codeName="Sheet3">
    <pageSetUpPr fitToPage="1"/>
  </sheetPr>
  <dimension ref="A1:EI74"/>
  <sheetViews>
    <sheetView view="pageBreakPreview" zoomScale="40" zoomScaleNormal="100" zoomScaleSheetLayoutView="40" workbookViewId="0"/>
  </sheetViews>
  <sheetFormatPr defaultColWidth="3.375" defaultRowHeight="25.15" customHeight="1"/>
  <cols>
    <col min="1" max="16384" width="3.375" style="104"/>
  </cols>
  <sheetData>
    <row r="1" spans="1:133" ht="25.15" customHeight="1">
      <c r="A1" s="187" t="s">
        <v>14</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9"/>
      <c r="DA1" s="189"/>
      <c r="DB1" s="189"/>
      <c r="DC1" s="189"/>
      <c r="DD1" s="189"/>
      <c r="DE1" s="189"/>
      <c r="DF1" s="189"/>
      <c r="DG1" s="189"/>
      <c r="DH1" s="189"/>
      <c r="DI1" s="189"/>
      <c r="DJ1" s="189"/>
      <c r="DK1" s="189"/>
      <c r="DL1" s="189"/>
      <c r="DM1" s="189"/>
      <c r="DN1" s="189"/>
      <c r="DO1" s="189"/>
      <c r="DP1" s="189"/>
      <c r="DQ1" s="189"/>
      <c r="DR1" s="189"/>
      <c r="DS1" s="189"/>
      <c r="DT1" s="189"/>
      <c r="DU1" s="189"/>
      <c r="DV1" s="189"/>
      <c r="DW1" s="189"/>
      <c r="DX1" s="189"/>
      <c r="DY1" s="189"/>
      <c r="DZ1" s="189"/>
      <c r="EA1" s="189"/>
      <c r="EB1" s="189"/>
      <c r="EC1" s="190"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19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192"/>
    </row>
    <row r="6" spans="1:133" ht="25.15" customHeight="1">
      <c r="A6" s="193"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194"/>
    </row>
    <row r="7" spans="1:133" ht="25.15" customHeight="1">
      <c r="A7" s="195">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96" t="s">
        <v>24</v>
      </c>
    </row>
    <row r="8" spans="1:133" ht="25.15" customHeight="1">
      <c r="A8" s="195">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96">
        <f>(EB8+1)</f>
        <v>2</v>
      </c>
    </row>
    <row r="9" spans="1:133" ht="25.15" customHeight="1">
      <c r="A9" s="195">
        <f t="shared" ref="A9:A74"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197"/>
    </row>
    <row r="10" spans="1:133" ht="25.15" customHeight="1">
      <c r="A10" s="195">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198"/>
    </row>
    <row r="11" spans="1:133" ht="25.15" customHeight="1">
      <c r="A11" s="195">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198"/>
    </row>
    <row r="12" spans="1:133" ht="25.15" customHeight="1">
      <c r="A12" s="195">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198"/>
    </row>
    <row r="13" spans="1:133" ht="25.15" customHeight="1">
      <c r="A13" s="195">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198"/>
    </row>
    <row r="14" spans="1:133" ht="25.15" customHeight="1">
      <c r="A14" s="195">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198"/>
    </row>
    <row r="15" spans="1:133" ht="25.15" customHeight="1">
      <c r="A15" s="195">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198"/>
    </row>
    <row r="16" spans="1:133" ht="25.15" customHeight="1">
      <c r="A16" s="195">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198"/>
    </row>
    <row r="17" spans="1:137" ht="25.15" customHeight="1">
      <c r="A17" s="195">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198"/>
    </row>
    <row r="18" spans="1:137" ht="25.15" customHeight="1">
      <c r="A18" s="195">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198"/>
    </row>
    <row r="19" spans="1:137" ht="25.15" customHeight="1">
      <c r="A19" s="195">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198"/>
    </row>
    <row r="20" spans="1:137" ht="25.15" customHeight="1">
      <c r="A20" s="195">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198"/>
    </row>
    <row r="21" spans="1:137" ht="25.15" customHeight="1">
      <c r="A21" s="195">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198"/>
    </row>
    <row r="22" spans="1:137" ht="25.15" customHeight="1">
      <c r="A22" s="195">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198"/>
    </row>
    <row r="23" spans="1:137" ht="25.15" customHeight="1">
      <c r="A23" s="195">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198"/>
    </row>
    <row r="24" spans="1:137" ht="25.15" customHeight="1">
      <c r="A24" s="195">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198"/>
    </row>
    <row r="25" spans="1:137" s="47" customFormat="1" ht="25.15" customHeight="1">
      <c r="A25" s="20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198"/>
    </row>
    <row r="26" spans="1:137" s="47" customFormat="1" ht="25.15" customHeight="1">
      <c r="A26" s="20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198"/>
    </row>
    <row r="27" spans="1:137" s="47" customFormat="1" ht="25.15" customHeight="1">
      <c r="A27" s="20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290</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198"/>
    </row>
    <row r="28" spans="1:137" s="47" customFormat="1" ht="25.15" customHeight="1">
      <c r="A28" s="20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198"/>
    </row>
    <row r="29" spans="1:137" s="47" customFormat="1" ht="25.15" customHeight="1">
      <c r="A29" s="20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198"/>
      <c r="EF29" s="101"/>
      <c r="EG29" s="101"/>
    </row>
    <row r="30" spans="1:137" s="47" customFormat="1" ht="25.15" customHeight="1">
      <c r="A30" s="201">
        <f>A40+1</f>
        <v>32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198"/>
      <c r="EF30" s="266"/>
      <c r="EG30" s="266"/>
    </row>
    <row r="31" spans="1:137" s="47" customFormat="1" ht="25.15" customHeight="1">
      <c r="A31" s="201">
        <f>A29+1</f>
        <v>22</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198"/>
      <c r="EF31" s="101"/>
      <c r="EG31" s="101"/>
    </row>
    <row r="32" spans="1:137" s="47" customFormat="1" ht="25.15" customHeight="1">
      <c r="A32" s="201">
        <f t="shared" si="13"/>
        <v>23</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198"/>
      <c r="EF32" s="266"/>
      <c r="EG32" s="266"/>
    </row>
    <row r="33" spans="1:139" s="47" customFormat="1" ht="25.15" customHeight="1">
      <c r="A33" s="201">
        <f t="shared" si="13"/>
        <v>24</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198"/>
      <c r="EF33" s="266"/>
      <c r="EG33" s="266"/>
    </row>
    <row r="34" spans="1:139" s="47" customFormat="1" ht="25.15" customHeight="1">
      <c r="A34" s="201">
        <f t="shared" si="13"/>
        <v>25</v>
      </c>
      <c r="B34" s="102"/>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198"/>
      <c r="EH34" s="266"/>
      <c r="EI34" s="266"/>
    </row>
    <row r="35" spans="1:139" s="47" customFormat="1" ht="25.15" customHeight="1">
      <c r="A35" s="201">
        <f t="shared" si="13"/>
        <v>26</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198"/>
      <c r="EH35" s="266"/>
      <c r="EI35" s="266"/>
    </row>
    <row r="36" spans="1:139" s="47" customFormat="1" ht="25.15" customHeight="1">
      <c r="A36" s="201">
        <f t="shared" si="13"/>
        <v>27</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198"/>
      <c r="EH36" s="266"/>
      <c r="EI36" s="266"/>
    </row>
    <row r="37" spans="1:139" s="47" customFormat="1" ht="25.15" customHeight="1">
      <c r="A37" s="201">
        <f t="shared" si="13"/>
        <v>28</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198"/>
      <c r="EH37" s="266"/>
      <c r="EI37" s="266"/>
    </row>
    <row r="38" spans="1:139" s="47" customFormat="1" ht="25.15" customHeight="1">
      <c r="A38" s="201">
        <f t="shared" si="13"/>
        <v>29</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198"/>
      <c r="EF38" s="266"/>
      <c r="EG38" s="266"/>
    </row>
    <row r="39" spans="1:139" s="47" customFormat="1" ht="25.15" customHeight="1">
      <c r="A39" s="201">
        <f t="shared" si="13"/>
        <v>30</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198"/>
      <c r="EF39" s="266"/>
      <c r="EG39" s="266"/>
    </row>
    <row r="40" spans="1:139" s="47" customFormat="1" ht="25.15" customHeight="1">
      <c r="A40" s="201">
        <f t="shared" si="13"/>
        <v>31</v>
      </c>
      <c r="B40" s="100"/>
      <c r="C40" s="101"/>
      <c r="D40" s="101"/>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59"/>
      <c r="BB40" s="159"/>
      <c r="BC40" s="162"/>
      <c r="BD40" s="162"/>
      <c r="BE40" s="162"/>
      <c r="BF40" s="162"/>
      <c r="BG40" s="162"/>
      <c r="BH40" s="162"/>
      <c r="BI40" s="162"/>
      <c r="BJ40" s="162"/>
      <c r="BK40" s="162"/>
      <c r="BL40" s="162"/>
      <c r="BM40" s="162"/>
      <c r="BN40" s="162"/>
      <c r="BO40" s="162"/>
      <c r="BP40" s="162"/>
      <c r="BQ40" s="161"/>
      <c r="BR40" s="183"/>
      <c r="BS40" s="183"/>
      <c r="BT40" s="183"/>
      <c r="BU40" s="183"/>
      <c r="BV40" s="183"/>
      <c r="BW40" s="183"/>
      <c r="BX40" s="183"/>
      <c r="BY40" s="183"/>
      <c r="BZ40" s="183"/>
      <c r="CA40" s="183"/>
      <c r="CB40" s="183"/>
      <c r="CC40" s="183"/>
      <c r="CD40" s="183"/>
      <c r="CE40" s="183"/>
      <c r="CF40" s="183"/>
      <c r="CG40" s="183"/>
      <c r="CH40" s="183"/>
      <c r="CI40" s="183"/>
      <c r="CJ40" s="183"/>
      <c r="CK40" s="183"/>
      <c r="CL40" s="183"/>
      <c r="CM40" s="161"/>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01"/>
      <c r="EB40" s="104"/>
      <c r="EC40" s="198"/>
      <c r="EF40" s="266"/>
      <c r="EG40" s="266"/>
    </row>
    <row r="41" spans="1:139" ht="25.15" customHeight="1">
      <c r="A41" s="202">
        <f>A30+1</f>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198"/>
    </row>
    <row r="42" spans="1:139" ht="25.15" customHeight="1">
      <c r="A42" s="195">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198"/>
    </row>
    <row r="43" spans="1:139" ht="25.15" customHeight="1">
      <c r="A43" s="195">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198"/>
    </row>
    <row r="44" spans="1:139" ht="25.15" customHeight="1">
      <c r="A44" s="195">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198"/>
    </row>
    <row r="45" spans="1:139" ht="25.15" customHeight="1">
      <c r="A45" s="195">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98"/>
    </row>
    <row r="46" spans="1:139" ht="25.15" customHeight="1">
      <c r="A46" s="195">
        <f t="shared" si="13"/>
        <v>38</v>
      </c>
      <c r="B46" s="100"/>
      <c r="C46" s="164"/>
      <c r="D46" s="164"/>
      <c r="E46" s="164"/>
      <c r="F46" s="164"/>
      <c r="G46" s="164"/>
      <c r="H46" s="164"/>
      <c r="I46" s="164"/>
      <c r="J46" s="164"/>
      <c r="K46" s="164"/>
      <c r="L46" s="164"/>
      <c r="M46" s="164"/>
      <c r="N46" s="164"/>
      <c r="O46" s="164"/>
      <c r="P46" s="164"/>
      <c r="Q46" s="170" t="s">
        <v>362</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198"/>
    </row>
    <row r="47" spans="1:139" ht="25.15" customHeight="1">
      <c r="A47" s="195">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198"/>
    </row>
    <row r="48" spans="1:139" ht="25.15" customHeight="1">
      <c r="A48" s="195">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198"/>
    </row>
    <row r="49" spans="1:133" ht="25.15" customHeight="1">
      <c r="A49" s="195">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198"/>
    </row>
    <row r="50" spans="1:133" ht="25.15" customHeight="1">
      <c r="A50" s="195">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198"/>
    </row>
    <row r="51" spans="1:133" ht="25.15" customHeight="1">
      <c r="A51" s="195">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198"/>
    </row>
    <row r="52" spans="1:133" ht="25.15" customHeight="1">
      <c r="A52" s="195">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198"/>
    </row>
    <row r="53" spans="1:133" ht="25.15" customHeight="1">
      <c r="A53" s="195">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198"/>
    </row>
    <row r="54" spans="1:133" ht="25.15" customHeight="1">
      <c r="A54" s="195">
        <f t="shared" si="13"/>
        <v>46</v>
      </c>
      <c r="B54" s="100"/>
      <c r="C54" s="259" t="s">
        <v>258</v>
      </c>
      <c r="D54" s="259"/>
      <c r="E54" s="259"/>
      <c r="F54" s="259"/>
      <c r="G54" s="259"/>
      <c r="H54" s="259"/>
      <c r="I54" s="259"/>
      <c r="J54" s="259"/>
      <c r="K54" s="259"/>
      <c r="L54" s="259"/>
      <c r="M54" s="259"/>
      <c r="N54" s="259"/>
      <c r="O54" s="259"/>
      <c r="P54" s="259"/>
      <c r="Q54" s="258" t="s">
        <v>263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261</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198"/>
    </row>
    <row r="55" spans="1:133" ht="25.15" customHeight="1">
      <c r="A55" s="195">
        <f t="shared" si="13"/>
        <v>47</v>
      </c>
      <c r="B55" s="100"/>
      <c r="C55" s="101"/>
      <c r="D55" s="101"/>
      <c r="E55" s="101"/>
      <c r="F55" s="101"/>
      <c r="G55" s="101"/>
      <c r="H55" s="101"/>
      <c r="I55" s="119"/>
      <c r="J55" s="119"/>
      <c r="K55" s="119"/>
      <c r="L55" s="119"/>
      <c r="M55" s="101"/>
      <c r="N55" s="101"/>
      <c r="O55" s="105"/>
      <c r="P55" s="105"/>
      <c r="Q55" s="259" t="s">
        <v>265</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198"/>
    </row>
    <row r="56" spans="1:133" ht="25.15" customHeight="1">
      <c r="A56" s="195">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198"/>
    </row>
    <row r="57" spans="1:133" ht="25.15" customHeight="1">
      <c r="A57" s="195">
        <f t="shared" si="13"/>
        <v>49</v>
      </c>
      <c r="B57" s="69"/>
      <c r="C57" s="315" t="s">
        <v>260</v>
      </c>
      <c r="D57" s="259"/>
      <c r="E57" s="259"/>
      <c r="F57" s="259"/>
      <c r="G57" s="259"/>
      <c r="H57" s="259"/>
      <c r="I57" s="259"/>
      <c r="J57" s="259"/>
      <c r="K57" s="259"/>
      <c r="L57" s="259"/>
      <c r="M57" s="259"/>
      <c r="N57" s="259"/>
      <c r="O57" s="259"/>
      <c r="P57" s="259"/>
      <c r="Q57" s="316">
        <v>4200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1"/>
      <c r="BE57" s="251"/>
      <c r="BF57" s="251"/>
      <c r="BG57" s="251"/>
      <c r="BH57" s="251"/>
      <c r="BI57" s="251"/>
      <c r="BJ57" s="251"/>
      <c r="BK57" s="251"/>
      <c r="BL57" s="251"/>
      <c r="BM57" s="251"/>
      <c r="BN57" s="251"/>
      <c r="BO57" s="251"/>
      <c r="BP57" s="251"/>
      <c r="BQ57" s="251"/>
      <c r="BR57" s="251"/>
      <c r="BS57" s="251"/>
      <c r="BT57" s="251"/>
      <c r="BU57" s="251"/>
      <c r="BV57" s="316">
        <v>4200</v>
      </c>
      <c r="BW57" s="251"/>
      <c r="BX57" s="251"/>
      <c r="BY57" s="251"/>
      <c r="BZ57" s="251"/>
      <c r="CA57" s="251"/>
      <c r="CB57" s="251"/>
      <c r="CC57" s="251"/>
      <c r="CD57" s="251"/>
      <c r="CE57" s="251"/>
      <c r="CF57" s="251"/>
      <c r="CG57" s="251"/>
      <c r="CH57" s="251"/>
      <c r="CI57" s="251"/>
      <c r="CJ57" s="251"/>
      <c r="CK57" s="251"/>
      <c r="CL57" s="251"/>
      <c r="CM57" s="251"/>
      <c r="CN57" s="251"/>
      <c r="CO57" s="252">
        <v>420</v>
      </c>
      <c r="CP57" s="251"/>
      <c r="CQ57" s="251"/>
      <c r="CR57" s="251"/>
      <c r="CS57" s="251"/>
      <c r="CT57" s="251"/>
      <c r="CU57" s="251"/>
      <c r="CV57" s="251"/>
      <c r="CW57" s="251"/>
      <c r="CX57" s="251"/>
      <c r="CY57" s="251"/>
      <c r="CZ57" s="251"/>
      <c r="DA57" s="251"/>
      <c r="DB57" s="251"/>
      <c r="DC57" s="251"/>
      <c r="DD57" s="251"/>
      <c r="DE57" s="251"/>
      <c r="DF57" s="251"/>
      <c r="DG57" s="251"/>
      <c r="DH57" s="316">
        <v>5620</v>
      </c>
      <c r="DI57" s="251"/>
      <c r="DJ57" s="251"/>
      <c r="DK57" s="251"/>
      <c r="DL57" s="251"/>
      <c r="DM57" s="251"/>
      <c r="DN57" s="251"/>
      <c r="DO57" s="251"/>
      <c r="DP57" s="251"/>
      <c r="DQ57" s="251"/>
      <c r="DR57" s="251"/>
      <c r="DS57" s="251"/>
      <c r="DT57" s="251"/>
      <c r="DU57" s="251"/>
      <c r="DV57" s="251"/>
      <c r="DW57" s="251"/>
      <c r="DX57" s="251"/>
      <c r="DY57" s="251"/>
      <c r="DZ57" s="251"/>
      <c r="EC57" s="198"/>
    </row>
    <row r="58" spans="1:133" ht="25.15" customHeight="1">
      <c r="A58" s="195">
        <f t="shared" si="13"/>
        <v>50</v>
      </c>
      <c r="B58" s="69"/>
      <c r="C58" s="279" t="s">
        <v>112</v>
      </c>
      <c r="D58" s="319"/>
      <c r="E58" s="279" t="s">
        <v>104</v>
      </c>
      <c r="F58" s="279"/>
      <c r="G58" s="124"/>
      <c r="H58" s="124"/>
      <c r="I58" s="123"/>
      <c r="J58" s="125"/>
      <c r="K58" s="123"/>
      <c r="L58" s="123"/>
      <c r="M58" s="109"/>
      <c r="N58" s="109"/>
      <c r="O58" s="123"/>
      <c r="P58" s="125"/>
      <c r="Q58" s="317">
        <v>5520</v>
      </c>
      <c r="R58" s="298"/>
      <c r="S58" s="298"/>
      <c r="T58" s="298"/>
      <c r="U58" s="298"/>
      <c r="V58" s="298"/>
      <c r="W58" s="298"/>
      <c r="X58" s="298"/>
      <c r="Y58" s="298"/>
      <c r="Z58" s="298"/>
      <c r="AA58" s="298"/>
      <c r="AB58" s="298"/>
      <c r="AC58" s="298"/>
      <c r="AD58" s="298"/>
      <c r="AE58" s="298"/>
      <c r="AF58" s="298"/>
      <c r="AG58" s="298"/>
      <c r="AH58" s="298"/>
      <c r="AI58" s="298"/>
      <c r="AJ58" s="318">
        <v>0</v>
      </c>
      <c r="AK58" s="298"/>
      <c r="AL58" s="298"/>
      <c r="AM58" s="298"/>
      <c r="AN58" s="298"/>
      <c r="AO58" s="298"/>
      <c r="AP58" s="298"/>
      <c r="AQ58" s="298"/>
      <c r="AR58" s="298"/>
      <c r="AS58" s="298"/>
      <c r="AT58" s="298"/>
      <c r="AU58" s="298"/>
      <c r="AV58" s="298"/>
      <c r="AW58" s="298"/>
      <c r="AX58" s="298"/>
      <c r="AY58" s="298"/>
      <c r="AZ58" s="298"/>
      <c r="BA58" s="298"/>
      <c r="BB58" s="298"/>
      <c r="BC58" s="318">
        <v>0</v>
      </c>
      <c r="BD58" s="298"/>
      <c r="BE58" s="298"/>
      <c r="BF58" s="298"/>
      <c r="BG58" s="298"/>
      <c r="BH58" s="298"/>
      <c r="BI58" s="298"/>
      <c r="BJ58" s="298"/>
      <c r="BK58" s="298"/>
      <c r="BL58" s="298"/>
      <c r="BM58" s="298"/>
      <c r="BN58" s="298"/>
      <c r="BO58" s="298"/>
      <c r="BP58" s="298"/>
      <c r="BQ58" s="298"/>
      <c r="BR58" s="298"/>
      <c r="BS58" s="298"/>
      <c r="BT58" s="298"/>
      <c r="BU58" s="298"/>
      <c r="BV58" s="317">
        <f>SUM(BV56,BV57)</f>
        <v>5520</v>
      </c>
      <c r="BW58" s="298"/>
      <c r="BX58" s="298"/>
      <c r="BY58" s="298"/>
      <c r="BZ58" s="298"/>
      <c r="CA58" s="298"/>
      <c r="CB58" s="298"/>
      <c r="CC58" s="298"/>
      <c r="CD58" s="298"/>
      <c r="CE58" s="298"/>
      <c r="CF58" s="298"/>
      <c r="CG58" s="298"/>
      <c r="CH58" s="298"/>
      <c r="CI58" s="298"/>
      <c r="CJ58" s="298"/>
      <c r="CK58" s="298"/>
      <c r="CL58" s="298"/>
      <c r="CM58" s="298"/>
      <c r="CN58" s="298"/>
      <c r="CO58" s="317">
        <f>SUM(CO56,CO57)</f>
        <v>525</v>
      </c>
      <c r="CP58" s="298"/>
      <c r="CQ58" s="298"/>
      <c r="CR58" s="298"/>
      <c r="CS58" s="298"/>
      <c r="CT58" s="298"/>
      <c r="CU58" s="298"/>
      <c r="CV58" s="298"/>
      <c r="CW58" s="298"/>
      <c r="CX58" s="298"/>
      <c r="CY58" s="298"/>
      <c r="CZ58" s="298"/>
      <c r="DA58" s="298"/>
      <c r="DB58" s="298"/>
      <c r="DC58" s="298"/>
      <c r="DD58" s="298"/>
      <c r="DE58" s="298"/>
      <c r="DF58" s="298"/>
      <c r="DG58" s="298"/>
      <c r="DH58" s="317">
        <f>SUM(DH56,DH57)</f>
        <v>7045</v>
      </c>
      <c r="DI58" s="298"/>
      <c r="DJ58" s="298"/>
      <c r="DK58" s="298"/>
      <c r="DL58" s="298"/>
      <c r="DM58" s="298"/>
      <c r="DN58" s="298"/>
      <c r="DO58" s="298"/>
      <c r="DP58" s="298"/>
      <c r="DQ58" s="298"/>
      <c r="DR58" s="298"/>
      <c r="DS58" s="298"/>
      <c r="DT58" s="298"/>
      <c r="DU58" s="298"/>
      <c r="DV58" s="298"/>
      <c r="DW58" s="298"/>
      <c r="DX58" s="298"/>
      <c r="DY58" s="298"/>
      <c r="DZ58" s="298"/>
      <c r="EA58" s="126"/>
      <c r="EB58" s="126"/>
      <c r="EC58" s="198"/>
    </row>
    <row r="59" spans="1:133" ht="25.15" customHeight="1">
      <c r="A59" s="195">
        <f t="shared" si="13"/>
        <v>51</v>
      </c>
      <c r="B59" s="69"/>
      <c r="C59" s="266" t="s">
        <v>105</v>
      </c>
      <c r="D59" s="296"/>
      <c r="E59" s="266" t="s">
        <v>104</v>
      </c>
      <c r="F59" s="266"/>
      <c r="G59" s="70"/>
      <c r="H59" s="107"/>
      <c r="I59" s="107"/>
      <c r="J59" s="107"/>
      <c r="K59" s="107"/>
      <c r="L59" s="105"/>
      <c r="M59" s="107"/>
      <c r="N59" s="101"/>
      <c r="O59" s="86"/>
      <c r="Q59" s="316">
        <f>SUM(Q52,Q58)</f>
        <v>17020</v>
      </c>
      <c r="R59" s="251"/>
      <c r="S59" s="251"/>
      <c r="T59" s="251"/>
      <c r="U59" s="251"/>
      <c r="V59" s="251"/>
      <c r="W59" s="251"/>
      <c r="X59" s="251"/>
      <c r="Y59" s="251"/>
      <c r="Z59" s="251"/>
      <c r="AA59" s="251"/>
      <c r="AB59" s="251"/>
      <c r="AC59" s="251"/>
      <c r="AD59" s="251"/>
      <c r="AE59" s="251"/>
      <c r="AF59" s="251"/>
      <c r="AG59" s="251"/>
      <c r="AH59" s="251"/>
      <c r="AI59" s="251"/>
      <c r="AJ59" s="252">
        <v>0</v>
      </c>
      <c r="AK59" s="251"/>
      <c r="AL59" s="251"/>
      <c r="AM59" s="251"/>
      <c r="AN59" s="251"/>
      <c r="AO59" s="251"/>
      <c r="AP59" s="251"/>
      <c r="AQ59" s="251"/>
      <c r="AR59" s="251"/>
      <c r="AS59" s="251"/>
      <c r="AT59" s="251"/>
      <c r="AU59" s="251"/>
      <c r="AV59" s="251"/>
      <c r="AW59" s="251"/>
      <c r="AX59" s="251"/>
      <c r="AY59" s="251"/>
      <c r="AZ59" s="251"/>
      <c r="BA59" s="251"/>
      <c r="BB59" s="251"/>
      <c r="BC59" s="252">
        <v>0</v>
      </c>
      <c r="BD59" s="251"/>
      <c r="BE59" s="251"/>
      <c r="BF59" s="251"/>
      <c r="BG59" s="251"/>
      <c r="BH59" s="251"/>
      <c r="BI59" s="251"/>
      <c r="BJ59" s="251"/>
      <c r="BK59" s="251"/>
      <c r="BL59" s="251"/>
      <c r="BM59" s="251"/>
      <c r="BN59" s="251"/>
      <c r="BO59" s="251"/>
      <c r="BP59" s="251"/>
      <c r="BQ59" s="251"/>
      <c r="BR59" s="251"/>
      <c r="BS59" s="251"/>
      <c r="BT59" s="251"/>
      <c r="BU59" s="251"/>
      <c r="BV59" s="316">
        <f>SUM(BV52,BV58)</f>
        <v>17050</v>
      </c>
      <c r="BW59" s="251"/>
      <c r="BX59" s="251"/>
      <c r="BY59" s="251"/>
      <c r="BZ59" s="251"/>
      <c r="CA59" s="251"/>
      <c r="CB59" s="251"/>
      <c r="CC59" s="251"/>
      <c r="CD59" s="251"/>
      <c r="CE59" s="251"/>
      <c r="CF59" s="251"/>
      <c r="CG59" s="251"/>
      <c r="CH59" s="251"/>
      <c r="CI59" s="251"/>
      <c r="CJ59" s="251"/>
      <c r="CK59" s="251"/>
      <c r="CL59" s="251"/>
      <c r="CM59" s="251"/>
      <c r="CN59" s="251"/>
      <c r="CO59" s="316">
        <f>SUM(CO52,CO58)</f>
        <v>1573</v>
      </c>
      <c r="CP59" s="251"/>
      <c r="CQ59" s="251"/>
      <c r="CR59" s="251"/>
      <c r="CS59" s="251"/>
      <c r="CT59" s="251"/>
      <c r="CU59" s="251"/>
      <c r="CV59" s="251"/>
      <c r="CW59" s="251"/>
      <c r="CX59" s="251"/>
      <c r="CY59" s="251"/>
      <c r="CZ59" s="251"/>
      <c r="DA59" s="251"/>
      <c r="DB59" s="251"/>
      <c r="DC59" s="251"/>
      <c r="DD59" s="251"/>
      <c r="DE59" s="251"/>
      <c r="DF59" s="251"/>
      <c r="DG59" s="251"/>
      <c r="DH59" s="316">
        <f>SUM(DH52,DH58)</f>
        <v>20623</v>
      </c>
      <c r="DI59" s="251"/>
      <c r="DJ59" s="251"/>
      <c r="DK59" s="251"/>
      <c r="DL59" s="251"/>
      <c r="DM59" s="251"/>
      <c r="DN59" s="251"/>
      <c r="DO59" s="251"/>
      <c r="DP59" s="251"/>
      <c r="DQ59" s="251"/>
      <c r="DR59" s="251"/>
      <c r="DS59" s="251"/>
      <c r="DT59" s="251"/>
      <c r="DU59" s="251"/>
      <c r="DV59" s="251"/>
      <c r="DW59" s="251"/>
      <c r="DX59" s="251"/>
      <c r="DY59" s="251"/>
      <c r="DZ59" s="251"/>
      <c r="EC59" s="198"/>
    </row>
    <row r="60" spans="1:133" ht="25.15" customHeight="1">
      <c r="A60" s="195">
        <f t="shared" si="13"/>
        <v>52</v>
      </c>
      <c r="B60" s="69"/>
      <c r="C60" s="259" t="s">
        <v>259</v>
      </c>
      <c r="D60" s="259"/>
      <c r="E60" s="259"/>
      <c r="F60" s="259"/>
      <c r="G60" s="259"/>
      <c r="H60" s="259"/>
      <c r="I60" s="259"/>
      <c r="J60" s="259"/>
      <c r="K60" s="259"/>
      <c r="L60" s="259"/>
      <c r="M60" s="259"/>
      <c r="N60" s="259"/>
      <c r="O60" s="259"/>
      <c r="P60" s="259"/>
      <c r="Q60" s="316">
        <f>SUM(Q50,Q56)</f>
        <v>6550</v>
      </c>
      <c r="R60" s="251"/>
      <c r="S60" s="251"/>
      <c r="T60" s="251"/>
      <c r="U60" s="251"/>
      <c r="V60" s="251"/>
      <c r="W60" s="251"/>
      <c r="X60" s="251"/>
      <c r="Y60" s="251"/>
      <c r="Z60" s="251"/>
      <c r="AA60" s="251"/>
      <c r="AB60" s="251"/>
      <c r="AC60" s="251"/>
      <c r="AD60" s="251"/>
      <c r="AE60" s="251"/>
      <c r="AF60" s="251"/>
      <c r="AG60" s="251"/>
      <c r="AH60" s="251"/>
      <c r="AI60" s="251"/>
      <c r="AJ60" s="252"/>
      <c r="AK60" s="251"/>
      <c r="AL60" s="251"/>
      <c r="AM60" s="251"/>
      <c r="AN60" s="251"/>
      <c r="AO60" s="251"/>
      <c r="AP60" s="251"/>
      <c r="AQ60" s="251"/>
      <c r="AR60" s="251"/>
      <c r="AS60" s="251"/>
      <c r="AT60" s="251"/>
      <c r="AU60" s="251"/>
      <c r="AV60" s="251"/>
      <c r="AW60" s="251"/>
      <c r="AX60" s="251"/>
      <c r="AY60" s="251"/>
      <c r="AZ60" s="251"/>
      <c r="BA60" s="251"/>
      <c r="BB60" s="251"/>
      <c r="BC60" s="252"/>
      <c r="BD60" s="251"/>
      <c r="BE60" s="251"/>
      <c r="BF60" s="251"/>
      <c r="BG60" s="251"/>
      <c r="BH60" s="251"/>
      <c r="BI60" s="251"/>
      <c r="BJ60" s="251"/>
      <c r="BK60" s="251"/>
      <c r="BL60" s="251"/>
      <c r="BM60" s="251"/>
      <c r="BN60" s="251"/>
      <c r="BO60" s="251"/>
      <c r="BP60" s="251"/>
      <c r="BQ60" s="251"/>
      <c r="BR60" s="251"/>
      <c r="BS60" s="251"/>
      <c r="BT60" s="251"/>
      <c r="BU60" s="251"/>
      <c r="BV60" s="316">
        <f>SUM(BV50,BV56)</f>
        <v>6550</v>
      </c>
      <c r="BW60" s="251"/>
      <c r="BX60" s="251"/>
      <c r="BY60" s="251"/>
      <c r="BZ60" s="251"/>
      <c r="CA60" s="251"/>
      <c r="CB60" s="251"/>
      <c r="CC60" s="251"/>
      <c r="CD60" s="251"/>
      <c r="CE60" s="251"/>
      <c r="CF60" s="251"/>
      <c r="CG60" s="251"/>
      <c r="CH60" s="251"/>
      <c r="CI60" s="251"/>
      <c r="CJ60" s="251"/>
      <c r="CK60" s="251"/>
      <c r="CL60" s="251"/>
      <c r="CM60" s="251"/>
      <c r="CN60" s="251"/>
      <c r="CO60" s="316">
        <f>SUM(CO50,CO56)</f>
        <v>523</v>
      </c>
      <c r="CP60" s="251"/>
      <c r="CQ60" s="251"/>
      <c r="CR60" s="251"/>
      <c r="CS60" s="251"/>
      <c r="CT60" s="251"/>
      <c r="CU60" s="251"/>
      <c r="CV60" s="251"/>
      <c r="CW60" s="251"/>
      <c r="CX60" s="251"/>
      <c r="CY60" s="251"/>
      <c r="CZ60" s="251"/>
      <c r="DA60" s="251"/>
      <c r="DB60" s="251"/>
      <c r="DC60" s="251"/>
      <c r="DD60" s="251"/>
      <c r="DE60" s="251"/>
      <c r="DF60" s="251"/>
      <c r="DG60" s="251"/>
      <c r="DH60" s="316">
        <f>SUM(DH50,DH56)</f>
        <v>8073</v>
      </c>
      <c r="DI60" s="251"/>
      <c r="DJ60" s="251"/>
      <c r="DK60" s="251"/>
      <c r="DL60" s="251"/>
      <c r="DM60" s="251"/>
      <c r="DN60" s="251"/>
      <c r="DO60" s="251"/>
      <c r="DP60" s="251"/>
      <c r="DQ60" s="251"/>
      <c r="DR60" s="251"/>
      <c r="DS60" s="251"/>
      <c r="DT60" s="251"/>
      <c r="DU60" s="251"/>
      <c r="DV60" s="251"/>
      <c r="DW60" s="251"/>
      <c r="DX60" s="251"/>
      <c r="DY60" s="251"/>
      <c r="DZ60" s="251"/>
      <c r="EC60" s="198"/>
    </row>
    <row r="61" spans="1:133" ht="25.15" customHeight="1">
      <c r="A61" s="195">
        <f t="shared" si="13"/>
        <v>53</v>
      </c>
      <c r="B61" s="69"/>
      <c r="C61" s="315" t="s">
        <v>260</v>
      </c>
      <c r="D61" s="259"/>
      <c r="E61" s="259"/>
      <c r="F61" s="259"/>
      <c r="G61" s="259"/>
      <c r="H61" s="259"/>
      <c r="I61" s="259"/>
      <c r="J61" s="259"/>
      <c r="K61" s="259"/>
      <c r="L61" s="259"/>
      <c r="M61" s="259"/>
      <c r="N61" s="259"/>
      <c r="O61" s="259"/>
      <c r="P61" s="259"/>
      <c r="Q61" s="316">
        <f>SUM(Q51,Q57)</f>
        <v>10500</v>
      </c>
      <c r="R61" s="251"/>
      <c r="S61" s="251"/>
      <c r="T61" s="251"/>
      <c r="U61" s="251"/>
      <c r="V61" s="251"/>
      <c r="W61" s="251"/>
      <c r="X61" s="251"/>
      <c r="Y61" s="251"/>
      <c r="Z61" s="251"/>
      <c r="AA61" s="251"/>
      <c r="AB61" s="251"/>
      <c r="AC61" s="251"/>
      <c r="AD61" s="251"/>
      <c r="AE61" s="251"/>
      <c r="AF61" s="251"/>
      <c r="AG61" s="251"/>
      <c r="AH61" s="251"/>
      <c r="AI61" s="251"/>
      <c r="AJ61" s="252"/>
      <c r="AK61" s="251"/>
      <c r="AL61" s="251"/>
      <c r="AM61" s="251"/>
      <c r="AN61" s="251"/>
      <c r="AO61" s="251"/>
      <c r="AP61" s="251"/>
      <c r="AQ61" s="251"/>
      <c r="AR61" s="251"/>
      <c r="AS61" s="251"/>
      <c r="AT61" s="251"/>
      <c r="AU61" s="251"/>
      <c r="AV61" s="251"/>
      <c r="AW61" s="251"/>
      <c r="AX61" s="251"/>
      <c r="AY61" s="251"/>
      <c r="AZ61" s="251"/>
      <c r="BA61" s="251"/>
      <c r="BB61" s="251"/>
      <c r="BC61" s="252"/>
      <c r="BD61" s="251"/>
      <c r="BE61" s="251"/>
      <c r="BF61" s="251"/>
      <c r="BG61" s="251"/>
      <c r="BH61" s="251"/>
      <c r="BI61" s="251"/>
      <c r="BJ61" s="251"/>
      <c r="BK61" s="251"/>
      <c r="BL61" s="251"/>
      <c r="BM61" s="251"/>
      <c r="BN61" s="251"/>
      <c r="BO61" s="251"/>
      <c r="BP61" s="251"/>
      <c r="BQ61" s="251"/>
      <c r="BR61" s="251"/>
      <c r="BS61" s="251"/>
      <c r="BT61" s="251"/>
      <c r="BU61" s="251"/>
      <c r="BV61" s="316">
        <f>SUM(BV51,BV57)</f>
        <v>10500</v>
      </c>
      <c r="BW61" s="251"/>
      <c r="BX61" s="251"/>
      <c r="BY61" s="251"/>
      <c r="BZ61" s="251"/>
      <c r="CA61" s="251"/>
      <c r="CB61" s="251"/>
      <c r="CC61" s="251"/>
      <c r="CD61" s="251"/>
      <c r="CE61" s="251"/>
      <c r="CF61" s="251"/>
      <c r="CG61" s="251"/>
      <c r="CH61" s="251"/>
      <c r="CI61" s="251"/>
      <c r="CJ61" s="251"/>
      <c r="CK61" s="251"/>
      <c r="CL61" s="251"/>
      <c r="CM61" s="251"/>
      <c r="CN61" s="251"/>
      <c r="CO61" s="316">
        <f>SUM(CO51,CO57)</f>
        <v>1050</v>
      </c>
      <c r="CP61" s="251"/>
      <c r="CQ61" s="251"/>
      <c r="CR61" s="251"/>
      <c r="CS61" s="251"/>
      <c r="CT61" s="251"/>
      <c r="CU61" s="251"/>
      <c r="CV61" s="251"/>
      <c r="CW61" s="251"/>
      <c r="CX61" s="251"/>
      <c r="CY61" s="251"/>
      <c r="CZ61" s="251"/>
      <c r="DA61" s="251"/>
      <c r="DB61" s="251"/>
      <c r="DC61" s="251"/>
      <c r="DD61" s="251"/>
      <c r="DE61" s="251"/>
      <c r="DF61" s="251"/>
      <c r="DG61" s="251"/>
      <c r="DH61" s="316">
        <f>SUM(DH51,DH57)</f>
        <v>12550</v>
      </c>
      <c r="DI61" s="251"/>
      <c r="DJ61" s="251"/>
      <c r="DK61" s="251"/>
      <c r="DL61" s="251"/>
      <c r="DM61" s="251"/>
      <c r="DN61" s="251"/>
      <c r="DO61" s="251"/>
      <c r="DP61" s="251"/>
      <c r="DQ61" s="251"/>
      <c r="DR61" s="251"/>
      <c r="DS61" s="251"/>
      <c r="DT61" s="251"/>
      <c r="DU61" s="251"/>
      <c r="DV61" s="251"/>
      <c r="DW61" s="251"/>
      <c r="DX61" s="251"/>
      <c r="DY61" s="251"/>
      <c r="DZ61" s="251"/>
      <c r="EC61" s="198"/>
    </row>
    <row r="62" spans="1:133" ht="25.15" customHeight="1">
      <c r="A62" s="195">
        <f t="shared" si="13"/>
        <v>54</v>
      </c>
      <c r="B62" s="69"/>
      <c r="C62" s="71"/>
      <c r="D62" s="71"/>
      <c r="E62" s="71"/>
      <c r="F62" s="71"/>
      <c r="G62" s="70"/>
      <c r="H62" s="107"/>
      <c r="I62" s="107"/>
      <c r="J62" s="107"/>
      <c r="K62" s="107"/>
      <c r="L62" s="105"/>
      <c r="M62" s="107"/>
      <c r="N62" s="101"/>
      <c r="O62" s="86"/>
      <c r="T62" s="105"/>
      <c r="U62" s="105"/>
      <c r="V62" s="105"/>
      <c r="W62" s="105"/>
      <c r="X62" s="105"/>
      <c r="Y62" s="105"/>
      <c r="Z62" s="105"/>
      <c r="AA62" s="105"/>
      <c r="AB62" s="105"/>
      <c r="AC62" s="105"/>
      <c r="AD62" s="105"/>
      <c r="AE62" s="105"/>
      <c r="AF62" s="105"/>
      <c r="AG62" s="105"/>
      <c r="AH62" s="105"/>
      <c r="AI62" s="105"/>
      <c r="AM62" s="72"/>
      <c r="AP62" s="107"/>
      <c r="AQ62" s="107"/>
      <c r="AR62" s="107"/>
      <c r="AS62" s="107"/>
      <c r="AT62" s="107"/>
      <c r="AU62" s="107"/>
      <c r="AV62" s="107"/>
      <c r="AW62" s="107"/>
      <c r="AX62" s="107"/>
      <c r="AY62" s="107"/>
      <c r="AZ62" s="86"/>
      <c r="BA62" s="72"/>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N62" s="92"/>
      <c r="CO62" s="72"/>
      <c r="CR62" s="107"/>
      <c r="CS62" s="107"/>
      <c r="CT62" s="107"/>
      <c r="CU62" s="107"/>
      <c r="CV62" s="107"/>
      <c r="CW62" s="107"/>
      <c r="CX62" s="107"/>
      <c r="CY62" s="107"/>
      <c r="CZ62" s="107"/>
      <c r="DA62" s="107"/>
      <c r="DB62" s="86"/>
      <c r="DC62" s="72"/>
      <c r="DD62" s="72"/>
      <c r="DE62" s="72"/>
      <c r="DG62" s="72"/>
      <c r="DJ62" s="107"/>
      <c r="DK62" s="107"/>
      <c r="DL62" s="107"/>
      <c r="DM62" s="107"/>
      <c r="DN62" s="107"/>
      <c r="DO62" s="107"/>
      <c r="DP62" s="107"/>
      <c r="DQ62" s="107"/>
      <c r="DR62" s="107"/>
      <c r="DS62" s="107"/>
      <c r="DT62" s="107"/>
      <c r="DU62" s="70"/>
      <c r="DV62" s="74"/>
      <c r="DW62" s="70"/>
      <c r="DX62" s="74"/>
      <c r="EC62" s="198"/>
    </row>
    <row r="63" spans="1:133" s="47" customFormat="1" ht="25.15" customHeight="1">
      <c r="A63" s="201">
        <f t="shared" si="13"/>
        <v>55</v>
      </c>
      <c r="B63" s="69"/>
      <c r="C63" s="255" t="s">
        <v>245</v>
      </c>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198"/>
    </row>
    <row r="64" spans="1:133" s="179" customFormat="1" ht="25.15" customHeight="1">
      <c r="A64" s="201">
        <f t="shared" si="13"/>
        <v>56</v>
      </c>
      <c r="B64" s="176"/>
      <c r="C64" s="323" t="s">
        <v>244</v>
      </c>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203"/>
    </row>
    <row r="65" spans="1:133" s="47" customFormat="1" ht="25.15" customHeight="1">
      <c r="A65" s="201">
        <f t="shared" si="13"/>
        <v>57</v>
      </c>
      <c r="B65" s="69"/>
      <c r="C65" s="254" t="s">
        <v>266</v>
      </c>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324">
        <f>DH50</f>
        <v>6648</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269</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324">
        <f>SUM(DH57)</f>
        <v>5620</v>
      </c>
      <c r="DM65" s="324"/>
      <c r="DN65" s="324"/>
      <c r="DO65" s="324"/>
      <c r="DP65" s="324"/>
      <c r="DQ65" s="324"/>
      <c r="DR65" s="324"/>
      <c r="DS65" s="324"/>
      <c r="DT65" s="324"/>
      <c r="DU65" s="324"/>
      <c r="DV65" s="324"/>
      <c r="DW65" s="324"/>
      <c r="DX65" s="324"/>
      <c r="DY65" s="324"/>
      <c r="DZ65" s="324"/>
      <c r="EA65" s="324"/>
      <c r="EB65" s="324"/>
      <c r="EC65" s="198"/>
    </row>
    <row r="66" spans="1:133" s="47" customFormat="1" ht="25.15" customHeight="1">
      <c r="A66" s="201">
        <f t="shared" si="13"/>
        <v>58</v>
      </c>
      <c r="B66" s="69"/>
      <c r="C66" s="248" t="s">
        <v>267</v>
      </c>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325">
        <f>DH51+DH56</f>
        <v>8355</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270</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325">
        <f>DH50</f>
        <v>6648</v>
      </c>
      <c r="DM66" s="247"/>
      <c r="DN66" s="247"/>
      <c r="DO66" s="247"/>
      <c r="DP66" s="247"/>
      <c r="DQ66" s="247"/>
      <c r="DR66" s="247"/>
      <c r="DS66" s="247"/>
      <c r="DT66" s="247"/>
      <c r="DU66" s="247"/>
      <c r="DV66" s="247"/>
      <c r="DW66" s="247"/>
      <c r="DX66" s="247"/>
      <c r="DY66" s="247"/>
      <c r="DZ66" s="247"/>
      <c r="EA66" s="247"/>
      <c r="EB66" s="247"/>
      <c r="EC66" s="198"/>
    </row>
    <row r="67" spans="1:133" s="47" customFormat="1" ht="25.15" customHeight="1">
      <c r="A67" s="201">
        <f t="shared" si="13"/>
        <v>59</v>
      </c>
      <c r="B67" s="69"/>
      <c r="C67" s="248" t="s">
        <v>268</v>
      </c>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325">
        <f>SUM(DH57)</f>
        <v>5620</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271</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325">
        <f>DH51+DH56</f>
        <v>8355</v>
      </c>
      <c r="DM67" s="247"/>
      <c r="DN67" s="247"/>
      <c r="DO67" s="247"/>
      <c r="DP67" s="247"/>
      <c r="DQ67" s="247"/>
      <c r="DR67" s="247"/>
      <c r="DS67" s="247"/>
      <c r="DT67" s="247"/>
      <c r="DU67" s="247"/>
      <c r="DV67" s="247"/>
      <c r="DW67" s="247"/>
      <c r="DX67" s="247"/>
      <c r="DY67" s="247"/>
      <c r="DZ67" s="247"/>
      <c r="EA67" s="247"/>
      <c r="EB67" s="247"/>
      <c r="EC67" s="198"/>
    </row>
    <row r="68" spans="1:133" s="47" customFormat="1" ht="25.15" customHeight="1">
      <c r="A68" s="201">
        <f t="shared" si="13"/>
        <v>60</v>
      </c>
      <c r="B68" s="69"/>
      <c r="C68" s="246" t="s">
        <v>248</v>
      </c>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46"/>
      <c r="AG68" s="246"/>
      <c r="AH68" s="246"/>
      <c r="AI68" s="246"/>
      <c r="AJ68" s="246"/>
      <c r="AK68" s="246"/>
      <c r="AL68" s="246"/>
      <c r="AM68" s="246"/>
      <c r="AN68" s="246"/>
      <c r="AO68" s="246"/>
      <c r="AP68" s="246"/>
      <c r="AQ68" s="246"/>
      <c r="AR68" s="246"/>
      <c r="AS68" s="246"/>
      <c r="AT68" s="246"/>
      <c r="AU68" s="246"/>
      <c r="AV68" s="246"/>
      <c r="AW68" s="246"/>
      <c r="AX68" s="246"/>
      <c r="AY68" s="246"/>
      <c r="AZ68" s="246"/>
      <c r="BA68" s="246"/>
      <c r="BB68" s="322">
        <f>SUM(BB62:BR67)</f>
        <v>20623</v>
      </c>
      <c r="BC68" s="245"/>
      <c r="BD68" s="245"/>
      <c r="BE68" s="245"/>
      <c r="BF68" s="245"/>
      <c r="BG68" s="245"/>
      <c r="BH68" s="245"/>
      <c r="BI68" s="245"/>
      <c r="BJ68" s="245"/>
      <c r="BK68" s="245"/>
      <c r="BL68" s="245"/>
      <c r="BM68" s="245"/>
      <c r="BN68" s="245"/>
      <c r="BO68" s="245"/>
      <c r="BP68" s="245"/>
      <c r="BQ68" s="245"/>
      <c r="BR68" s="245"/>
      <c r="BS68" s="107"/>
      <c r="BT68" s="107"/>
      <c r="BU68" s="107"/>
      <c r="BV68" s="101"/>
      <c r="BW68" s="246" t="s">
        <v>248</v>
      </c>
      <c r="BX68" s="246"/>
      <c r="BY68" s="246"/>
      <c r="BZ68" s="246"/>
      <c r="CA68" s="246"/>
      <c r="CB68" s="246"/>
      <c r="CC68" s="246"/>
      <c r="CD68" s="246"/>
      <c r="CE68" s="246"/>
      <c r="CF68" s="246"/>
      <c r="CG68" s="246"/>
      <c r="CH68" s="246"/>
      <c r="CI68" s="246"/>
      <c r="CJ68" s="246"/>
      <c r="CK68" s="246"/>
      <c r="CL68" s="246"/>
      <c r="CM68" s="246"/>
      <c r="CN68" s="246"/>
      <c r="CO68" s="246"/>
      <c r="CP68" s="246"/>
      <c r="CQ68" s="246"/>
      <c r="CR68" s="246"/>
      <c r="CS68" s="246"/>
      <c r="CT68" s="246"/>
      <c r="CU68" s="246"/>
      <c r="CV68" s="246"/>
      <c r="CW68" s="246"/>
      <c r="CX68" s="246"/>
      <c r="CY68" s="246"/>
      <c r="CZ68" s="246"/>
      <c r="DA68" s="246"/>
      <c r="DB68" s="246"/>
      <c r="DC68" s="246"/>
      <c r="DD68" s="246"/>
      <c r="DE68" s="246"/>
      <c r="DF68" s="246"/>
      <c r="DG68" s="246"/>
      <c r="DH68" s="246"/>
      <c r="DI68" s="246"/>
      <c r="DJ68" s="246"/>
      <c r="DK68" s="246"/>
      <c r="DL68" s="322">
        <f>SUM(DL62:EB67)</f>
        <v>20623</v>
      </c>
      <c r="DM68" s="245"/>
      <c r="DN68" s="245"/>
      <c r="DO68" s="245"/>
      <c r="DP68" s="245"/>
      <c r="DQ68" s="245"/>
      <c r="DR68" s="245"/>
      <c r="DS68" s="245"/>
      <c r="DT68" s="245"/>
      <c r="DU68" s="245"/>
      <c r="DV68" s="245"/>
      <c r="DW68" s="245"/>
      <c r="DX68" s="245"/>
      <c r="DY68" s="245"/>
      <c r="DZ68" s="245"/>
      <c r="EA68" s="245"/>
      <c r="EB68" s="245"/>
      <c r="EC68" s="198"/>
    </row>
    <row r="69" spans="1:133" s="47" customFormat="1" ht="25.15" customHeight="1">
      <c r="A69" s="201">
        <f t="shared" si="13"/>
        <v>61</v>
      </c>
      <c r="B69" s="6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314"/>
      <c r="BC69" s="251"/>
      <c r="BD69" s="251"/>
      <c r="BE69" s="251"/>
      <c r="BF69" s="251"/>
      <c r="BG69" s="251"/>
      <c r="BH69" s="251"/>
      <c r="BI69" s="251"/>
      <c r="BJ69" s="251"/>
      <c r="BK69" s="251"/>
      <c r="BL69" s="251"/>
      <c r="BM69" s="251"/>
      <c r="BN69" s="251"/>
      <c r="BO69" s="251"/>
      <c r="BP69" s="251"/>
      <c r="BQ69" s="251"/>
      <c r="BR69" s="251"/>
      <c r="BS69" s="107"/>
      <c r="BT69" s="107"/>
      <c r="BU69" s="107"/>
      <c r="BV69" s="101"/>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314"/>
      <c r="DM69" s="251"/>
      <c r="DN69" s="251"/>
      <c r="DO69" s="251"/>
      <c r="DP69" s="251"/>
      <c r="DQ69" s="251"/>
      <c r="DR69" s="251"/>
      <c r="DS69" s="251"/>
      <c r="DT69" s="251"/>
      <c r="DU69" s="251"/>
      <c r="DV69" s="251"/>
      <c r="DW69" s="251"/>
      <c r="DX69" s="251"/>
      <c r="DY69" s="251"/>
      <c r="DZ69" s="251"/>
      <c r="EA69" s="251"/>
      <c r="EB69" s="251"/>
      <c r="EC69" s="198"/>
    </row>
    <row r="70" spans="1:133" s="47" customFormat="1" ht="25.15" customHeight="1">
      <c r="A70" s="201">
        <f t="shared" si="13"/>
        <v>62</v>
      </c>
      <c r="B70" s="6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c r="AA70" s="259"/>
      <c r="AB70" s="259"/>
      <c r="AC70" s="259"/>
      <c r="AD70" s="259"/>
      <c r="AE70" s="259"/>
      <c r="AF70" s="259"/>
      <c r="AG70" s="259"/>
      <c r="AH70" s="259"/>
      <c r="AI70" s="259"/>
      <c r="AJ70" s="259"/>
      <c r="AK70" s="259"/>
      <c r="AL70" s="259"/>
      <c r="AM70" s="259"/>
      <c r="AN70" s="259"/>
      <c r="AO70" s="259"/>
      <c r="AP70" s="259"/>
      <c r="AQ70" s="259"/>
      <c r="AR70" s="259"/>
      <c r="AS70" s="259"/>
      <c r="AT70" s="259"/>
      <c r="AU70" s="259"/>
      <c r="AV70" s="259"/>
      <c r="AW70" s="259"/>
      <c r="AX70" s="259"/>
      <c r="AY70" s="259"/>
      <c r="AZ70" s="259"/>
      <c r="BA70" s="259"/>
      <c r="BB70" s="251"/>
      <c r="BC70" s="251"/>
      <c r="BD70" s="251"/>
      <c r="BE70" s="251"/>
      <c r="BF70" s="251"/>
      <c r="BG70" s="251"/>
      <c r="BH70" s="251"/>
      <c r="BI70" s="251"/>
      <c r="BJ70" s="251"/>
      <c r="BK70" s="251"/>
      <c r="BL70" s="251"/>
      <c r="BM70" s="251"/>
      <c r="BN70" s="251"/>
      <c r="BO70" s="251"/>
      <c r="BP70" s="251"/>
      <c r="BQ70" s="251"/>
      <c r="BR70" s="251"/>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198"/>
    </row>
    <row r="71" spans="1:133" s="47" customFormat="1" ht="25.15" customHeight="1">
      <c r="A71" s="201">
        <f t="shared" si="13"/>
        <v>63</v>
      </c>
      <c r="B71" s="6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c r="BC71" s="251"/>
      <c r="BD71" s="251"/>
      <c r="BE71" s="251"/>
      <c r="BF71" s="251"/>
      <c r="BG71" s="251"/>
      <c r="BH71" s="251"/>
      <c r="BI71" s="251"/>
      <c r="BJ71" s="251"/>
      <c r="BK71" s="251"/>
      <c r="BL71" s="251"/>
      <c r="BM71" s="251"/>
      <c r="BN71" s="251"/>
      <c r="BO71" s="251"/>
      <c r="BP71" s="251"/>
      <c r="BQ71" s="251"/>
      <c r="BR71" s="251"/>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198"/>
    </row>
    <row r="72" spans="1:133" ht="25.15" customHeight="1">
      <c r="A72" s="195" t="e">
        <f>#REF!+1</f>
        <v>#REF!</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198"/>
    </row>
    <row r="73" spans="1:133" s="47" customFormat="1" ht="25.15" customHeight="1">
      <c r="A73" s="201" t="e">
        <f t="shared" ref="A73" si="14">A72+1</f>
        <v>#REF!</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291</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198"/>
    </row>
    <row r="74" spans="1:133" ht="25.15" customHeight="1">
      <c r="A74" s="204" t="e">
        <f t="shared" si="13"/>
        <v>#REF!</v>
      </c>
      <c r="B74" s="205"/>
      <c r="C74" s="206"/>
      <c r="D74" s="206"/>
      <c r="E74" s="206"/>
      <c r="F74" s="206"/>
      <c r="G74" s="206"/>
      <c r="H74" s="206"/>
      <c r="I74" s="207"/>
      <c r="J74" s="207"/>
      <c r="K74" s="207"/>
      <c r="L74" s="207"/>
      <c r="M74" s="208"/>
      <c r="N74" s="208"/>
      <c r="O74" s="208"/>
      <c r="P74" s="208"/>
      <c r="Q74" s="207"/>
      <c r="R74" s="207"/>
      <c r="S74" s="126"/>
      <c r="T74" s="126"/>
      <c r="U74" s="209"/>
      <c r="V74" s="207"/>
      <c r="W74" s="209"/>
      <c r="X74" s="207"/>
      <c r="Y74" s="209"/>
      <c r="Z74" s="207"/>
      <c r="AA74" s="209"/>
      <c r="AB74" s="207"/>
      <c r="AC74" s="126"/>
      <c r="AD74" s="126"/>
      <c r="AE74" s="126"/>
      <c r="AF74" s="126"/>
      <c r="AG74" s="126"/>
      <c r="AH74" s="126"/>
      <c r="AI74" s="126"/>
      <c r="AJ74" s="126"/>
      <c r="AK74" s="126"/>
      <c r="AL74" s="126"/>
      <c r="AM74" s="126"/>
      <c r="AN74" s="126"/>
      <c r="AO74" s="208"/>
      <c r="AP74" s="208"/>
      <c r="AQ74" s="208"/>
      <c r="AR74" s="208"/>
      <c r="AS74" s="208"/>
      <c r="AT74" s="208"/>
      <c r="AU74" s="208"/>
      <c r="AV74" s="156"/>
      <c r="AW74" s="210"/>
      <c r="AX74" s="210"/>
      <c r="AY74" s="208"/>
      <c r="AZ74" s="208"/>
      <c r="BA74" s="208"/>
      <c r="BB74" s="208"/>
      <c r="BC74" s="208"/>
      <c r="BD74" s="208"/>
      <c r="BE74" s="208"/>
      <c r="BF74" s="208"/>
      <c r="BG74" s="208"/>
      <c r="BH74" s="208"/>
      <c r="BI74" s="208"/>
      <c r="BJ74" s="208"/>
      <c r="BK74" s="126"/>
      <c r="BL74" s="126"/>
      <c r="BM74" s="126"/>
      <c r="BN74" s="126"/>
      <c r="BO74" s="126"/>
      <c r="BP74" s="126"/>
      <c r="BQ74" s="126"/>
      <c r="BR74" s="126"/>
      <c r="BS74" s="210"/>
      <c r="BT74" s="208"/>
      <c r="BU74" s="207"/>
      <c r="BV74" s="207"/>
      <c r="BW74" s="207"/>
      <c r="BX74" s="207"/>
      <c r="BY74" s="207"/>
      <c r="BZ74" s="207"/>
      <c r="CA74" s="207"/>
      <c r="CB74" s="207"/>
      <c r="CC74" s="208"/>
      <c r="CD74" s="208"/>
      <c r="CE74" s="126"/>
      <c r="CF74" s="126"/>
      <c r="CG74" s="207"/>
      <c r="CH74" s="207"/>
      <c r="CI74" s="126"/>
      <c r="CJ74" s="126"/>
      <c r="CK74" s="209"/>
      <c r="CL74" s="207"/>
      <c r="CM74" s="209"/>
      <c r="CN74" s="207"/>
      <c r="CO74" s="209"/>
      <c r="CP74" s="207"/>
      <c r="CQ74" s="209"/>
      <c r="CR74" s="207"/>
      <c r="CS74" s="126"/>
      <c r="CT74" s="126"/>
      <c r="CU74" s="126"/>
      <c r="CV74" s="126"/>
      <c r="CW74" s="126"/>
      <c r="CX74" s="126"/>
      <c r="CY74" s="126"/>
      <c r="CZ74" s="126"/>
      <c r="DA74" s="126"/>
      <c r="DB74" s="126"/>
      <c r="DC74" s="126"/>
      <c r="DD74" s="126"/>
      <c r="DE74" s="126"/>
      <c r="DF74" s="126"/>
      <c r="DG74" s="126"/>
      <c r="DH74" s="126"/>
      <c r="DI74" s="126"/>
      <c r="DJ74" s="126"/>
      <c r="DK74" s="126"/>
      <c r="DL74" s="126"/>
      <c r="DM74" s="126"/>
      <c r="DN74" s="126"/>
      <c r="DO74" s="126"/>
      <c r="DP74" s="126"/>
      <c r="DQ74" s="126"/>
      <c r="DR74" s="126"/>
      <c r="DS74" s="126"/>
      <c r="DT74" s="126"/>
      <c r="DU74" s="126"/>
      <c r="DV74" s="126"/>
      <c r="DW74" s="126"/>
      <c r="DX74" s="126"/>
      <c r="DY74" s="126"/>
      <c r="DZ74" s="126"/>
      <c r="EA74" s="126"/>
      <c r="EB74" s="126"/>
      <c r="EC74" s="174"/>
    </row>
  </sheetData>
  <mergeCells count="196">
    <mergeCell ref="EF40:EG40"/>
    <mergeCell ref="EF30:EG30"/>
    <mergeCell ref="BF21:DZ21"/>
    <mergeCell ref="BF22:DZ22"/>
    <mergeCell ref="BF23:DZ23"/>
    <mergeCell ref="E32:V33"/>
    <mergeCell ref="W32:AZ33"/>
    <mergeCell ref="EF32:EG32"/>
    <mergeCell ref="EF33:EG33"/>
    <mergeCell ref="E34:V35"/>
    <mergeCell ref="W34:AZ35"/>
    <mergeCell ref="CD25:CE25"/>
    <mergeCell ref="CF25:CG25"/>
    <mergeCell ref="CH25:CI25"/>
    <mergeCell ref="CP32:EB32"/>
    <mergeCell ref="BT35:CN35"/>
    <mergeCell ref="E38:V39"/>
    <mergeCell ref="W38:AZ39"/>
    <mergeCell ref="EF38:EG38"/>
    <mergeCell ref="EF39:EG39"/>
    <mergeCell ref="EH34:EI34"/>
    <mergeCell ref="EH35:EI35"/>
    <mergeCell ref="E36:V37"/>
    <mergeCell ref="W36:AZ37"/>
    <mergeCell ref="EH36:EI36"/>
    <mergeCell ref="EH37:EI37"/>
    <mergeCell ref="DS9:DT9"/>
    <mergeCell ref="CY11:DU11"/>
    <mergeCell ref="CY12:DU12"/>
    <mergeCell ref="BA26:BB26"/>
    <mergeCell ref="E26:AZ26"/>
    <mergeCell ref="CU18:CV18"/>
    <mergeCell ref="CW18:CX18"/>
    <mergeCell ref="BC9:BD9"/>
    <mergeCell ref="BE9:BF9"/>
    <mergeCell ref="F16:AS16"/>
    <mergeCell ref="F17:AS17"/>
    <mergeCell ref="E27:V30"/>
    <mergeCell ref="W27:AZ30"/>
    <mergeCell ref="BF27:DY30"/>
    <mergeCell ref="F13:N13"/>
    <mergeCell ref="F15:AS15"/>
    <mergeCell ref="BG9:BH9"/>
    <mergeCell ref="BI9:BJ9"/>
    <mergeCell ref="BK9:BL9"/>
    <mergeCell ref="BM9:BN9"/>
    <mergeCell ref="CA9:CB9"/>
    <mergeCell ref="BO9:BP9"/>
    <mergeCell ref="BQ9:BR9"/>
    <mergeCell ref="BS9:BT9"/>
    <mergeCell ref="BX25:BY25"/>
    <mergeCell ref="BZ25:CA25"/>
    <mergeCell ref="CB25:CC25"/>
    <mergeCell ref="CQ18:CR18"/>
    <mergeCell ref="CS18:CT18"/>
    <mergeCell ref="BF14:CF16"/>
    <mergeCell ref="CU14:DU16"/>
    <mergeCell ref="CY18:DU18"/>
    <mergeCell ref="BT36:CM36"/>
    <mergeCell ref="CP36:EB36"/>
    <mergeCell ref="BT37:CN37"/>
    <mergeCell ref="BT33:CM33"/>
    <mergeCell ref="CP33:EB33"/>
    <mergeCell ref="BC34:BP39"/>
    <mergeCell ref="BV47:CN47"/>
    <mergeCell ref="CO47:DG47"/>
    <mergeCell ref="BT32:CN32"/>
    <mergeCell ref="DH47:DZ47"/>
    <mergeCell ref="C50:P50"/>
    <mergeCell ref="Q50:AI50"/>
    <mergeCell ref="AJ50:BB50"/>
    <mergeCell ref="BC50:BU50"/>
    <mergeCell ref="BV50:CN50"/>
    <mergeCell ref="CO50:DG50"/>
    <mergeCell ref="DH50:DZ50"/>
    <mergeCell ref="Q48:AT48"/>
    <mergeCell ref="Q49:AT49"/>
    <mergeCell ref="AU48:EB48"/>
    <mergeCell ref="AU49:EB49"/>
    <mergeCell ref="C48:P48"/>
    <mergeCell ref="C47:P47"/>
    <mergeCell ref="Q47:AI47"/>
    <mergeCell ref="AJ47:BB47"/>
    <mergeCell ref="BC47:BU47"/>
    <mergeCell ref="BT38:CM38"/>
    <mergeCell ref="C42:EB42"/>
    <mergeCell ref="C44:EB44"/>
    <mergeCell ref="AU54:EB54"/>
    <mergeCell ref="Q54:AT54"/>
    <mergeCell ref="Q55:AT55"/>
    <mergeCell ref="AU55:EB55"/>
    <mergeCell ref="C54:P54"/>
    <mergeCell ref="C51:P51"/>
    <mergeCell ref="Q51:AI51"/>
    <mergeCell ref="AJ51:BB51"/>
    <mergeCell ref="BC51:BU51"/>
    <mergeCell ref="BV51:CN51"/>
    <mergeCell ref="CO51:DG51"/>
    <mergeCell ref="DH51:DZ51"/>
    <mergeCell ref="C52:P52"/>
    <mergeCell ref="Q52:AI52"/>
    <mergeCell ref="AJ52:BB52"/>
    <mergeCell ref="BC52:BU52"/>
    <mergeCell ref="BV52:CN52"/>
    <mergeCell ref="CO52:DG52"/>
    <mergeCell ref="DH52:DZ52"/>
    <mergeCell ref="E58:F58"/>
    <mergeCell ref="DH59:DZ59"/>
    <mergeCell ref="C60:P60"/>
    <mergeCell ref="C56:P56"/>
    <mergeCell ref="Q56:AI56"/>
    <mergeCell ref="AJ56:BB56"/>
    <mergeCell ref="BC56:BU56"/>
    <mergeCell ref="BV56:CN56"/>
    <mergeCell ref="CO56:DG56"/>
    <mergeCell ref="DH56:DZ56"/>
    <mergeCell ref="DL68:EB68"/>
    <mergeCell ref="BO64:BP64"/>
    <mergeCell ref="BQ64:BR64"/>
    <mergeCell ref="C63:BR63"/>
    <mergeCell ref="BW63:EB63"/>
    <mergeCell ref="C64:BA64"/>
    <mergeCell ref="BW64:DK64"/>
    <mergeCell ref="DL64:EB64"/>
    <mergeCell ref="C65:BA65"/>
    <mergeCell ref="BB65:BR65"/>
    <mergeCell ref="BW65:DK65"/>
    <mergeCell ref="DL65:EB65"/>
    <mergeCell ref="C66:BA66"/>
    <mergeCell ref="BB66:BR66"/>
    <mergeCell ref="BW66:DK66"/>
    <mergeCell ref="DL66:EB66"/>
    <mergeCell ref="C67:BA67"/>
    <mergeCell ref="BB67:BR67"/>
    <mergeCell ref="BW67:DK67"/>
    <mergeCell ref="DL67:EB67"/>
    <mergeCell ref="C68:BA68"/>
    <mergeCell ref="BB68:BR68"/>
    <mergeCell ref="C70:BA70"/>
    <mergeCell ref="BB70:BR70"/>
    <mergeCell ref="BW70:DK70"/>
    <mergeCell ref="DL70:EB70"/>
    <mergeCell ref="C71:BA71"/>
    <mergeCell ref="BB71:BR71"/>
    <mergeCell ref="BW71:DK71"/>
    <mergeCell ref="DL71:EB71"/>
    <mergeCell ref="C73:H73"/>
    <mergeCell ref="BL73:BR73"/>
    <mergeCell ref="DL69:EB69"/>
    <mergeCell ref="BT34:CM34"/>
    <mergeCell ref="CP34:EB34"/>
    <mergeCell ref="CP38:EB38"/>
    <mergeCell ref="C61:P61"/>
    <mergeCell ref="Q61:AI61"/>
    <mergeCell ref="AJ61:BB61"/>
    <mergeCell ref="BC61:BU61"/>
    <mergeCell ref="BV61:CN61"/>
    <mergeCell ref="CO61:DG61"/>
    <mergeCell ref="DH61:DZ61"/>
    <mergeCell ref="C59:D59"/>
    <mergeCell ref="E59:F59"/>
    <mergeCell ref="Q59:AI59"/>
    <mergeCell ref="AJ59:BB59"/>
    <mergeCell ref="BC59:BU59"/>
    <mergeCell ref="BV59:CN59"/>
    <mergeCell ref="CO59:DG59"/>
    <mergeCell ref="Q60:AI60"/>
    <mergeCell ref="AJ60:BB60"/>
    <mergeCell ref="BC60:BU60"/>
    <mergeCell ref="BV60:CN60"/>
    <mergeCell ref="CO60:DG60"/>
    <mergeCell ref="DH60:DZ60"/>
    <mergeCell ref="F18:AS18"/>
    <mergeCell ref="F20:AS20"/>
    <mergeCell ref="F21:AS21"/>
    <mergeCell ref="AV21:AW21"/>
    <mergeCell ref="AX21:AY21"/>
    <mergeCell ref="F23:U23"/>
    <mergeCell ref="C69:BA69"/>
    <mergeCell ref="BB69:BR69"/>
    <mergeCell ref="BW69:DK69"/>
    <mergeCell ref="BW68:DK68"/>
    <mergeCell ref="C57:P57"/>
    <mergeCell ref="Q57:AI57"/>
    <mergeCell ref="AJ57:BB57"/>
    <mergeCell ref="BC57:BU57"/>
    <mergeCell ref="BV57:CN57"/>
    <mergeCell ref="CO57:DG57"/>
    <mergeCell ref="DH57:DZ57"/>
    <mergeCell ref="Q58:AI58"/>
    <mergeCell ref="AJ58:BB58"/>
    <mergeCell ref="BC58:BU58"/>
    <mergeCell ref="BV58:CN58"/>
    <mergeCell ref="CO58:DG58"/>
    <mergeCell ref="DH58:DZ58"/>
    <mergeCell ref="C58:D58"/>
  </mergeCells>
  <phoneticPr fontId="4"/>
  <pageMargins left="0.39370078740157483" right="0.39370078740157483" top="0.19685039370078741" bottom="7.874015748031496E-2" header="0.59055118110236227" footer="0.11811023622047245"/>
  <pageSetup paperSize="9" scale="31" fitToHeight="0" orientation="landscape" useFirstPageNumber="1" r:id="rId1"/>
  <headerFooter alignWithMargins="0">
    <oddHeader xml:space="preserve">&amp;R&amp;16&amp;P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A163-39F6-42FC-A284-3D1FAA7B9E68}">
  <sheetPr>
    <pageSetUpPr fitToPage="1"/>
  </sheetPr>
  <dimension ref="A1:EI153"/>
  <sheetViews>
    <sheetView view="pageBreakPreview" zoomScale="55" zoomScaleNormal="100" zoomScaleSheetLayoutView="55" workbookViewId="0"/>
  </sheetViews>
  <sheetFormatPr defaultColWidth="3.375" defaultRowHeight="25.15" customHeight="1"/>
  <cols>
    <col min="1" max="16384" width="3.37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3"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295</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customHeight="1">
      <c r="A51" s="1">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73"/>
    </row>
    <row r="52" spans="1:133" ht="25.15" customHeight="1">
      <c r="A52" s="1">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73"/>
    </row>
    <row r="54" spans="1:133" ht="25.15" customHeight="1">
      <c r="A54" s="1">
        <f t="shared" si="13"/>
        <v>46</v>
      </c>
      <c r="B54" s="100"/>
      <c r="C54" s="259" t="s">
        <v>292</v>
      </c>
      <c r="D54" s="259"/>
      <c r="E54" s="259"/>
      <c r="F54" s="259"/>
      <c r="G54" s="259"/>
      <c r="H54" s="259"/>
      <c r="I54" s="259"/>
      <c r="J54" s="259"/>
      <c r="K54" s="259"/>
      <c r="L54" s="259"/>
      <c r="M54" s="259"/>
      <c r="N54" s="259"/>
      <c r="O54" s="259"/>
      <c r="P54" s="259"/>
      <c r="Q54" s="258" t="s">
        <v>293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298</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13"/>
        <v>47</v>
      </c>
      <c r="B55" s="100"/>
      <c r="C55" s="101"/>
      <c r="D55" s="101"/>
      <c r="E55" s="101"/>
      <c r="F55" s="101"/>
      <c r="G55" s="101"/>
      <c r="H55" s="101"/>
      <c r="I55" s="119"/>
      <c r="J55" s="119"/>
      <c r="K55" s="119"/>
      <c r="L55" s="119"/>
      <c r="M55" s="101"/>
      <c r="N55" s="101"/>
      <c r="O55" s="105"/>
      <c r="P55" s="105"/>
      <c r="Q55" s="259" t="s">
        <v>299</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73"/>
    </row>
    <row r="57" spans="1:133" ht="25.15" customHeight="1">
      <c r="A57" s="1">
        <f t="shared" si="13"/>
        <v>49</v>
      </c>
      <c r="B57" s="69"/>
      <c r="C57" s="315" t="s">
        <v>260</v>
      </c>
      <c r="D57" s="315"/>
      <c r="E57" s="315"/>
      <c r="F57" s="315"/>
      <c r="G57" s="315"/>
      <c r="H57" s="315"/>
      <c r="I57" s="315"/>
      <c r="J57" s="315"/>
      <c r="K57" s="315"/>
      <c r="L57" s="315"/>
      <c r="M57" s="315"/>
      <c r="N57" s="315"/>
      <c r="O57" s="315"/>
      <c r="P57" s="315"/>
      <c r="Q57" s="316">
        <v>4200</v>
      </c>
      <c r="R57" s="316"/>
      <c r="S57" s="316"/>
      <c r="T57" s="316"/>
      <c r="U57" s="316"/>
      <c r="V57" s="316"/>
      <c r="W57" s="316"/>
      <c r="X57" s="316"/>
      <c r="Y57" s="316"/>
      <c r="Z57" s="316"/>
      <c r="AA57" s="316"/>
      <c r="AB57" s="316"/>
      <c r="AC57" s="316"/>
      <c r="AD57" s="316"/>
      <c r="AE57" s="316"/>
      <c r="AF57" s="316"/>
      <c r="AG57" s="316"/>
      <c r="AH57" s="316"/>
      <c r="AI57" s="316"/>
      <c r="AJ57" s="252">
        <v>0</v>
      </c>
      <c r="AK57" s="252"/>
      <c r="AL57" s="252"/>
      <c r="AM57" s="252"/>
      <c r="AN57" s="252"/>
      <c r="AO57" s="252"/>
      <c r="AP57" s="252"/>
      <c r="AQ57" s="252"/>
      <c r="AR57" s="252"/>
      <c r="AS57" s="252"/>
      <c r="AT57" s="252"/>
      <c r="AU57" s="252"/>
      <c r="AV57" s="252"/>
      <c r="AW57" s="252"/>
      <c r="AX57" s="252"/>
      <c r="AY57" s="252"/>
      <c r="AZ57" s="252"/>
      <c r="BA57" s="252"/>
      <c r="BB57" s="252"/>
      <c r="BC57" s="252">
        <v>0</v>
      </c>
      <c r="BD57" s="252"/>
      <c r="BE57" s="252"/>
      <c r="BF57" s="252"/>
      <c r="BG57" s="252"/>
      <c r="BH57" s="252"/>
      <c r="BI57" s="252"/>
      <c r="BJ57" s="252"/>
      <c r="BK57" s="252"/>
      <c r="BL57" s="252"/>
      <c r="BM57" s="252"/>
      <c r="BN57" s="252"/>
      <c r="BO57" s="252"/>
      <c r="BP57" s="252"/>
      <c r="BQ57" s="252"/>
      <c r="BR57" s="252"/>
      <c r="BS57" s="252"/>
      <c r="BT57" s="252"/>
      <c r="BU57" s="252"/>
      <c r="BV57" s="316">
        <v>4200</v>
      </c>
      <c r="BW57" s="316"/>
      <c r="BX57" s="316"/>
      <c r="BY57" s="316"/>
      <c r="BZ57" s="316"/>
      <c r="CA57" s="316"/>
      <c r="CB57" s="316"/>
      <c r="CC57" s="316"/>
      <c r="CD57" s="316"/>
      <c r="CE57" s="316"/>
      <c r="CF57" s="316"/>
      <c r="CG57" s="316"/>
      <c r="CH57" s="316"/>
      <c r="CI57" s="316"/>
      <c r="CJ57" s="316"/>
      <c r="CK57" s="316"/>
      <c r="CL57" s="316"/>
      <c r="CM57" s="316"/>
      <c r="CN57" s="316"/>
      <c r="CO57" s="252">
        <v>420</v>
      </c>
      <c r="CP57" s="252"/>
      <c r="CQ57" s="252"/>
      <c r="CR57" s="252"/>
      <c r="CS57" s="252"/>
      <c r="CT57" s="252"/>
      <c r="CU57" s="252"/>
      <c r="CV57" s="252"/>
      <c r="CW57" s="252"/>
      <c r="CX57" s="252"/>
      <c r="CY57" s="252"/>
      <c r="CZ57" s="252"/>
      <c r="DA57" s="252"/>
      <c r="DB57" s="252"/>
      <c r="DC57" s="252"/>
      <c r="DD57" s="252"/>
      <c r="DE57" s="252"/>
      <c r="DF57" s="252"/>
      <c r="DG57" s="252"/>
      <c r="DH57" s="316">
        <v>5620</v>
      </c>
      <c r="DI57" s="316"/>
      <c r="DJ57" s="316"/>
      <c r="DK57" s="316"/>
      <c r="DL57" s="316"/>
      <c r="DM57" s="316"/>
      <c r="DN57" s="316"/>
      <c r="DO57" s="316"/>
      <c r="DP57" s="316"/>
      <c r="DQ57" s="316"/>
      <c r="DR57" s="316"/>
      <c r="DS57" s="316"/>
      <c r="DT57" s="316"/>
      <c r="DU57" s="316"/>
      <c r="DV57" s="316"/>
      <c r="DW57" s="316"/>
      <c r="DX57" s="316"/>
      <c r="DY57" s="316"/>
      <c r="DZ57" s="316"/>
      <c r="EC57" s="73"/>
    </row>
    <row r="58" spans="1:133" ht="25.15" customHeight="1">
      <c r="A58" s="1">
        <f t="shared" si="13"/>
        <v>50</v>
      </c>
      <c r="B58" s="69"/>
      <c r="C58" s="266" t="s">
        <v>112</v>
      </c>
      <c r="D58" s="266"/>
      <c r="E58" s="266" t="s">
        <v>104</v>
      </c>
      <c r="F58" s="266"/>
      <c r="G58" s="92"/>
      <c r="H58" s="92"/>
      <c r="I58" s="107"/>
      <c r="J58" s="105"/>
      <c r="K58" s="107"/>
      <c r="L58" s="107"/>
      <c r="M58" s="101"/>
      <c r="N58" s="101"/>
      <c r="O58" s="107"/>
      <c r="P58" s="105"/>
      <c r="Q58" s="316">
        <f>SUM(Q56,Q57)</f>
        <v>5520</v>
      </c>
      <c r="R58" s="316"/>
      <c r="S58" s="316"/>
      <c r="T58" s="316"/>
      <c r="U58" s="316"/>
      <c r="V58" s="316"/>
      <c r="W58" s="316"/>
      <c r="X58" s="316"/>
      <c r="Y58" s="316"/>
      <c r="Z58" s="316"/>
      <c r="AA58" s="316"/>
      <c r="AB58" s="316"/>
      <c r="AC58" s="316"/>
      <c r="AD58" s="316"/>
      <c r="AE58" s="316"/>
      <c r="AF58" s="316"/>
      <c r="AG58" s="316"/>
      <c r="AH58" s="316"/>
      <c r="AI58" s="316"/>
      <c r="AJ58" s="252">
        <v>0</v>
      </c>
      <c r="AK58" s="252"/>
      <c r="AL58" s="252"/>
      <c r="AM58" s="252"/>
      <c r="AN58" s="252"/>
      <c r="AO58" s="252"/>
      <c r="AP58" s="252"/>
      <c r="AQ58" s="252"/>
      <c r="AR58" s="252"/>
      <c r="AS58" s="252"/>
      <c r="AT58" s="252"/>
      <c r="AU58" s="252"/>
      <c r="AV58" s="252"/>
      <c r="AW58" s="252"/>
      <c r="AX58" s="252"/>
      <c r="AY58" s="252"/>
      <c r="AZ58" s="252"/>
      <c r="BA58" s="252"/>
      <c r="BB58" s="252"/>
      <c r="BC58" s="252">
        <v>0</v>
      </c>
      <c r="BD58" s="252"/>
      <c r="BE58" s="252"/>
      <c r="BF58" s="252"/>
      <c r="BG58" s="252"/>
      <c r="BH58" s="252"/>
      <c r="BI58" s="252"/>
      <c r="BJ58" s="252"/>
      <c r="BK58" s="252"/>
      <c r="BL58" s="252"/>
      <c r="BM58" s="252"/>
      <c r="BN58" s="252"/>
      <c r="BO58" s="252"/>
      <c r="BP58" s="252"/>
      <c r="BQ58" s="252"/>
      <c r="BR58" s="252"/>
      <c r="BS58" s="252"/>
      <c r="BT58" s="252"/>
      <c r="BU58" s="252"/>
      <c r="BV58" s="316">
        <f>SUM(BV56,BV57)</f>
        <v>5520</v>
      </c>
      <c r="BW58" s="316"/>
      <c r="BX58" s="316"/>
      <c r="BY58" s="316"/>
      <c r="BZ58" s="316"/>
      <c r="CA58" s="316"/>
      <c r="CB58" s="316"/>
      <c r="CC58" s="316"/>
      <c r="CD58" s="316"/>
      <c r="CE58" s="316"/>
      <c r="CF58" s="316"/>
      <c r="CG58" s="316"/>
      <c r="CH58" s="316"/>
      <c r="CI58" s="316"/>
      <c r="CJ58" s="316"/>
      <c r="CK58" s="316"/>
      <c r="CL58" s="316"/>
      <c r="CM58" s="316"/>
      <c r="CN58" s="316"/>
      <c r="CO58" s="316">
        <f>SUM(CO56,CO57)</f>
        <v>525</v>
      </c>
      <c r="CP58" s="316"/>
      <c r="CQ58" s="316"/>
      <c r="CR58" s="316"/>
      <c r="CS58" s="316"/>
      <c r="CT58" s="316"/>
      <c r="CU58" s="316"/>
      <c r="CV58" s="316"/>
      <c r="CW58" s="316"/>
      <c r="CX58" s="316"/>
      <c r="CY58" s="316"/>
      <c r="CZ58" s="316"/>
      <c r="DA58" s="316"/>
      <c r="DB58" s="316"/>
      <c r="DC58" s="316"/>
      <c r="DD58" s="316"/>
      <c r="DE58" s="316"/>
      <c r="DF58" s="316"/>
      <c r="DG58" s="316"/>
      <c r="DH58" s="316">
        <f>SUM(DH56,DH57)</f>
        <v>7045</v>
      </c>
      <c r="DI58" s="316"/>
      <c r="DJ58" s="316"/>
      <c r="DK58" s="316"/>
      <c r="DL58" s="316"/>
      <c r="DM58" s="316"/>
      <c r="DN58" s="316"/>
      <c r="DO58" s="316"/>
      <c r="DP58" s="316"/>
      <c r="DQ58" s="316"/>
      <c r="DR58" s="316"/>
      <c r="DS58" s="316"/>
      <c r="DT58" s="316"/>
      <c r="DU58" s="316"/>
      <c r="DV58" s="316"/>
      <c r="DW58" s="316"/>
      <c r="DX58" s="316"/>
      <c r="DY58" s="316"/>
      <c r="DZ58" s="316"/>
      <c r="EC58" s="73"/>
    </row>
    <row r="59" spans="1:133" ht="25.15" customHeight="1">
      <c r="A59" s="1">
        <f t="shared" si="13"/>
        <v>51</v>
      </c>
      <c r="B59" s="69"/>
      <c r="C59" s="266"/>
      <c r="D59" s="296"/>
      <c r="E59" s="266"/>
      <c r="F59" s="266"/>
      <c r="G59" s="70"/>
      <c r="H59" s="107"/>
      <c r="I59" s="107"/>
      <c r="J59" s="107"/>
      <c r="K59" s="107"/>
      <c r="L59" s="105"/>
      <c r="M59" s="107"/>
      <c r="N59" s="101"/>
      <c r="O59" s="86"/>
      <c r="Q59" s="316"/>
      <c r="R59" s="251"/>
      <c r="S59" s="251"/>
      <c r="T59" s="251"/>
      <c r="U59" s="251"/>
      <c r="V59" s="251"/>
      <c r="W59" s="251"/>
      <c r="X59" s="251"/>
      <c r="Y59" s="251"/>
      <c r="Z59" s="251"/>
      <c r="AA59" s="251"/>
      <c r="AB59" s="251"/>
      <c r="AC59" s="251"/>
      <c r="AD59" s="251"/>
      <c r="AE59" s="251"/>
      <c r="AF59" s="251"/>
      <c r="AG59" s="251"/>
      <c r="AH59" s="251"/>
      <c r="AI59" s="251"/>
      <c r="AJ59" s="252"/>
      <c r="AK59" s="251"/>
      <c r="AL59" s="251"/>
      <c r="AM59" s="251"/>
      <c r="AN59" s="251"/>
      <c r="AO59" s="251"/>
      <c r="AP59" s="251"/>
      <c r="AQ59" s="251"/>
      <c r="AR59" s="251"/>
      <c r="AS59" s="251"/>
      <c r="AT59" s="251"/>
      <c r="AU59" s="251"/>
      <c r="AV59" s="251"/>
      <c r="AW59" s="251"/>
      <c r="AX59" s="251"/>
      <c r="AY59" s="251"/>
      <c r="AZ59" s="251"/>
      <c r="BA59" s="251"/>
      <c r="BB59" s="251"/>
      <c r="BC59" s="252"/>
      <c r="BD59" s="251"/>
      <c r="BE59" s="251"/>
      <c r="BF59" s="251"/>
      <c r="BG59" s="251"/>
      <c r="BH59" s="251"/>
      <c r="BI59" s="251"/>
      <c r="BJ59" s="251"/>
      <c r="BK59" s="251"/>
      <c r="BL59" s="251"/>
      <c r="BM59" s="251"/>
      <c r="BN59" s="251"/>
      <c r="BO59" s="251"/>
      <c r="BP59" s="251"/>
      <c r="BQ59" s="251"/>
      <c r="BR59" s="251"/>
      <c r="BS59" s="251"/>
      <c r="BT59" s="251"/>
      <c r="BU59" s="251"/>
      <c r="BV59" s="316"/>
      <c r="BW59" s="251"/>
      <c r="BX59" s="251"/>
      <c r="BY59" s="251"/>
      <c r="BZ59" s="251"/>
      <c r="CA59" s="251"/>
      <c r="CB59" s="251"/>
      <c r="CC59" s="251"/>
      <c r="CD59" s="251"/>
      <c r="CE59" s="251"/>
      <c r="CF59" s="251"/>
      <c r="CG59" s="251"/>
      <c r="CH59" s="251"/>
      <c r="CI59" s="251"/>
      <c r="CJ59" s="251"/>
      <c r="CK59" s="251"/>
      <c r="CL59" s="251"/>
      <c r="CM59" s="251"/>
      <c r="CN59" s="251"/>
      <c r="CO59" s="316"/>
      <c r="CP59" s="251"/>
      <c r="CQ59" s="251"/>
      <c r="CR59" s="251"/>
      <c r="CS59" s="251"/>
      <c r="CT59" s="251"/>
      <c r="CU59" s="251"/>
      <c r="CV59" s="251"/>
      <c r="CW59" s="251"/>
      <c r="CX59" s="251"/>
      <c r="CY59" s="251"/>
      <c r="CZ59" s="251"/>
      <c r="DA59" s="251"/>
      <c r="DB59" s="251"/>
      <c r="DC59" s="251"/>
      <c r="DD59" s="251"/>
      <c r="DE59" s="251"/>
      <c r="DF59" s="251"/>
      <c r="DG59" s="251"/>
      <c r="DH59" s="316"/>
      <c r="DI59" s="251"/>
      <c r="DJ59" s="251"/>
      <c r="DK59" s="251"/>
      <c r="DL59" s="251"/>
      <c r="DM59" s="251"/>
      <c r="DN59" s="251"/>
      <c r="DO59" s="251"/>
      <c r="DP59" s="251"/>
      <c r="DQ59" s="251"/>
      <c r="DR59" s="251"/>
      <c r="DS59" s="251"/>
      <c r="DT59" s="251"/>
      <c r="DU59" s="251"/>
      <c r="DV59" s="251"/>
      <c r="DW59" s="251"/>
      <c r="DX59" s="251"/>
      <c r="DY59" s="251"/>
      <c r="DZ59" s="251"/>
      <c r="EC59" s="73"/>
    </row>
    <row r="60" spans="1:133" ht="25.15" customHeight="1">
      <c r="A60" s="1">
        <f t="shared" si="13"/>
        <v>52</v>
      </c>
      <c r="B60" s="69"/>
      <c r="C60" s="259" t="s">
        <v>292</v>
      </c>
      <c r="D60" s="259"/>
      <c r="E60" s="259"/>
      <c r="F60" s="259"/>
      <c r="G60" s="259"/>
      <c r="H60" s="259"/>
      <c r="I60" s="259"/>
      <c r="J60" s="259"/>
      <c r="K60" s="259"/>
      <c r="L60" s="259"/>
      <c r="M60" s="259"/>
      <c r="N60" s="259"/>
      <c r="O60" s="259"/>
      <c r="P60" s="259"/>
      <c r="Q60" s="258" t="s">
        <v>293</v>
      </c>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c r="AO60" s="258"/>
      <c r="AP60" s="258"/>
      <c r="AQ60" s="258"/>
      <c r="AR60" s="258"/>
      <c r="AS60" s="258"/>
      <c r="AT60" s="258"/>
      <c r="AU60" s="259" t="s">
        <v>298</v>
      </c>
      <c r="AV60" s="259"/>
      <c r="AW60" s="259"/>
      <c r="AX60" s="259"/>
      <c r="AY60" s="259"/>
      <c r="AZ60" s="259"/>
      <c r="BA60" s="259"/>
      <c r="BB60" s="259"/>
      <c r="BC60" s="259"/>
      <c r="BD60" s="259"/>
      <c r="BE60" s="259"/>
      <c r="BF60" s="259"/>
      <c r="BG60" s="259"/>
      <c r="BH60" s="259"/>
      <c r="BI60" s="259"/>
      <c r="BJ60" s="259"/>
      <c r="BK60" s="259"/>
      <c r="BL60" s="259"/>
      <c r="BM60" s="259"/>
      <c r="BN60" s="259"/>
      <c r="BO60" s="259"/>
      <c r="BP60" s="259"/>
      <c r="BQ60" s="259"/>
      <c r="BR60" s="259"/>
      <c r="BS60" s="259"/>
      <c r="BT60" s="259"/>
      <c r="BU60" s="259"/>
      <c r="BV60" s="259"/>
      <c r="BW60" s="259"/>
      <c r="BX60" s="259"/>
      <c r="BY60" s="259"/>
      <c r="BZ60" s="259"/>
      <c r="CA60" s="259"/>
      <c r="CB60" s="259"/>
      <c r="CC60" s="259"/>
      <c r="CD60" s="259"/>
      <c r="CE60" s="259"/>
      <c r="CF60" s="259"/>
      <c r="CG60" s="259"/>
      <c r="CH60" s="259"/>
      <c r="CI60" s="259"/>
      <c r="CJ60" s="259"/>
      <c r="CK60" s="259"/>
      <c r="CL60" s="259"/>
      <c r="CM60" s="259"/>
      <c r="CN60" s="259"/>
      <c r="CO60" s="259"/>
      <c r="CP60" s="259"/>
      <c r="CQ60" s="259"/>
      <c r="CR60" s="259"/>
      <c r="CS60" s="259"/>
      <c r="CT60" s="259"/>
      <c r="CU60" s="259"/>
      <c r="CV60" s="259"/>
      <c r="CW60" s="259"/>
      <c r="CX60" s="259"/>
      <c r="CY60" s="259"/>
      <c r="CZ60" s="259"/>
      <c r="DA60" s="259"/>
      <c r="DB60" s="259"/>
      <c r="DC60" s="259"/>
      <c r="DD60" s="259"/>
      <c r="DE60" s="259"/>
      <c r="DF60" s="259"/>
      <c r="DG60" s="259"/>
      <c r="DH60" s="259"/>
      <c r="DI60" s="259"/>
      <c r="DJ60" s="259"/>
      <c r="DK60" s="259"/>
      <c r="DL60" s="259"/>
      <c r="DM60" s="259"/>
      <c r="DN60" s="259"/>
      <c r="DO60" s="259"/>
      <c r="DP60" s="259"/>
      <c r="DQ60" s="259"/>
      <c r="DR60" s="259"/>
      <c r="DS60" s="259"/>
      <c r="DT60" s="259"/>
      <c r="DU60" s="259"/>
      <c r="DV60" s="259"/>
      <c r="DW60" s="259"/>
      <c r="DX60" s="259"/>
      <c r="DY60" s="259"/>
      <c r="DZ60" s="259"/>
      <c r="EA60" s="259"/>
      <c r="EB60" s="259"/>
      <c r="EC60" s="73"/>
    </row>
    <row r="61" spans="1:133" ht="25.15" customHeight="1">
      <c r="A61" s="1">
        <f t="shared" si="13"/>
        <v>53</v>
      </c>
      <c r="B61" s="69"/>
      <c r="C61" s="101"/>
      <c r="D61" s="101"/>
      <c r="E61" s="101"/>
      <c r="F61" s="101"/>
      <c r="G61" s="101"/>
      <c r="H61" s="101"/>
      <c r="I61" s="119"/>
      <c r="J61" s="119"/>
      <c r="K61" s="119"/>
      <c r="L61" s="119"/>
      <c r="M61" s="101"/>
      <c r="N61" s="101"/>
      <c r="O61" s="105"/>
      <c r="P61" s="105"/>
      <c r="Q61" s="259" t="s">
        <v>299</v>
      </c>
      <c r="R61" s="259"/>
      <c r="S61" s="259"/>
      <c r="T61" s="259"/>
      <c r="U61" s="259"/>
      <c r="V61" s="259"/>
      <c r="W61" s="259"/>
      <c r="X61" s="259"/>
      <c r="Y61" s="259"/>
      <c r="Z61" s="259"/>
      <c r="AA61" s="259"/>
      <c r="AB61" s="259"/>
      <c r="AC61" s="259"/>
      <c r="AD61" s="259"/>
      <c r="AE61" s="259"/>
      <c r="AF61" s="259"/>
      <c r="AG61" s="259"/>
      <c r="AH61" s="259"/>
      <c r="AI61" s="259"/>
      <c r="AJ61" s="259"/>
      <c r="AK61" s="259"/>
      <c r="AL61" s="259"/>
      <c r="AM61" s="259"/>
      <c r="AN61" s="259"/>
      <c r="AO61" s="259"/>
      <c r="AP61" s="259"/>
      <c r="AQ61" s="259"/>
      <c r="AR61" s="259"/>
      <c r="AS61" s="259"/>
      <c r="AT61" s="259"/>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73"/>
    </row>
    <row r="62" spans="1:133" ht="25.15" customHeight="1">
      <c r="A62" s="1">
        <f t="shared" si="13"/>
        <v>54</v>
      </c>
      <c r="B62" s="100"/>
      <c r="C62" s="259" t="s">
        <v>259</v>
      </c>
      <c r="D62" s="259"/>
      <c r="E62" s="259"/>
      <c r="F62" s="259"/>
      <c r="G62" s="259"/>
      <c r="H62" s="259"/>
      <c r="I62" s="259"/>
      <c r="J62" s="259"/>
      <c r="K62" s="259"/>
      <c r="L62" s="259"/>
      <c r="M62" s="259"/>
      <c r="N62" s="259"/>
      <c r="O62" s="259"/>
      <c r="P62" s="259"/>
      <c r="Q62" s="316">
        <v>5230</v>
      </c>
      <c r="R62" s="251"/>
      <c r="S62" s="251"/>
      <c r="T62" s="251"/>
      <c r="U62" s="251"/>
      <c r="V62" s="251"/>
      <c r="W62" s="251"/>
      <c r="X62" s="251"/>
      <c r="Y62" s="251"/>
      <c r="Z62" s="251"/>
      <c r="AA62" s="251"/>
      <c r="AB62" s="251"/>
      <c r="AC62" s="251"/>
      <c r="AD62" s="251"/>
      <c r="AE62" s="251"/>
      <c r="AF62" s="251"/>
      <c r="AG62" s="251"/>
      <c r="AH62" s="251"/>
      <c r="AI62" s="251"/>
      <c r="AJ62" s="252">
        <v>0</v>
      </c>
      <c r="AK62" s="251"/>
      <c r="AL62" s="251"/>
      <c r="AM62" s="251"/>
      <c r="AN62" s="251"/>
      <c r="AO62" s="251"/>
      <c r="AP62" s="251"/>
      <c r="AQ62" s="251"/>
      <c r="AR62" s="251"/>
      <c r="AS62" s="251"/>
      <c r="AT62" s="251"/>
      <c r="AU62" s="251"/>
      <c r="AV62" s="251"/>
      <c r="AW62" s="251"/>
      <c r="AX62" s="251"/>
      <c r="AY62" s="251"/>
      <c r="AZ62" s="251"/>
      <c r="BA62" s="251"/>
      <c r="BB62" s="251"/>
      <c r="BC62" s="252">
        <v>0</v>
      </c>
      <c r="BD62" s="251"/>
      <c r="BE62" s="251"/>
      <c r="BF62" s="251"/>
      <c r="BG62" s="251"/>
      <c r="BH62" s="251"/>
      <c r="BI62" s="251"/>
      <c r="BJ62" s="251"/>
      <c r="BK62" s="251"/>
      <c r="BL62" s="251"/>
      <c r="BM62" s="251"/>
      <c r="BN62" s="251"/>
      <c r="BO62" s="251"/>
      <c r="BP62" s="251"/>
      <c r="BQ62" s="251"/>
      <c r="BR62" s="251"/>
      <c r="BS62" s="251"/>
      <c r="BT62" s="251"/>
      <c r="BU62" s="251"/>
      <c r="BV62" s="316">
        <v>5230</v>
      </c>
      <c r="BW62" s="251"/>
      <c r="BX62" s="251"/>
      <c r="BY62" s="251"/>
      <c r="BZ62" s="251"/>
      <c r="CA62" s="251"/>
      <c r="CB62" s="251"/>
      <c r="CC62" s="251"/>
      <c r="CD62" s="251"/>
      <c r="CE62" s="251"/>
      <c r="CF62" s="251"/>
      <c r="CG62" s="251"/>
      <c r="CH62" s="251"/>
      <c r="CI62" s="251"/>
      <c r="CJ62" s="251"/>
      <c r="CK62" s="251"/>
      <c r="CL62" s="251"/>
      <c r="CM62" s="251"/>
      <c r="CN62" s="251"/>
      <c r="CO62" s="252">
        <v>418</v>
      </c>
      <c r="CP62" s="251"/>
      <c r="CQ62" s="251"/>
      <c r="CR62" s="251"/>
      <c r="CS62" s="251"/>
      <c r="CT62" s="251"/>
      <c r="CU62" s="251"/>
      <c r="CV62" s="251"/>
      <c r="CW62" s="251"/>
      <c r="CX62" s="251"/>
      <c r="CY62" s="251"/>
      <c r="CZ62" s="251"/>
      <c r="DA62" s="251"/>
      <c r="DB62" s="251"/>
      <c r="DC62" s="251"/>
      <c r="DD62" s="251"/>
      <c r="DE62" s="251"/>
      <c r="DF62" s="251"/>
      <c r="DG62" s="251"/>
      <c r="DH62" s="316">
        <v>6648</v>
      </c>
      <c r="DI62" s="251"/>
      <c r="DJ62" s="251"/>
      <c r="DK62" s="251"/>
      <c r="DL62" s="251"/>
      <c r="DM62" s="251"/>
      <c r="DN62" s="251"/>
      <c r="DO62" s="251"/>
      <c r="DP62" s="251"/>
      <c r="DQ62" s="251"/>
      <c r="DR62" s="251"/>
      <c r="DS62" s="251"/>
      <c r="DT62" s="251"/>
      <c r="DU62" s="251"/>
      <c r="DV62" s="251"/>
      <c r="DW62" s="251"/>
      <c r="DX62" s="251"/>
      <c r="DY62" s="251"/>
      <c r="DZ62" s="251"/>
      <c r="EA62" s="107"/>
      <c r="EC62" s="73"/>
    </row>
    <row r="63" spans="1:133" s="47" customFormat="1" ht="25.15" customHeight="1">
      <c r="A63" s="1">
        <f t="shared" si="13"/>
        <v>55</v>
      </c>
      <c r="B63" s="100"/>
      <c r="C63" s="315" t="s">
        <v>260</v>
      </c>
      <c r="D63" s="315"/>
      <c r="E63" s="315"/>
      <c r="F63" s="315"/>
      <c r="G63" s="315"/>
      <c r="H63" s="315"/>
      <c r="I63" s="315"/>
      <c r="J63" s="315"/>
      <c r="K63" s="315"/>
      <c r="L63" s="315"/>
      <c r="M63" s="315"/>
      <c r="N63" s="315"/>
      <c r="O63" s="315"/>
      <c r="P63" s="315"/>
      <c r="Q63" s="316">
        <v>4200</v>
      </c>
      <c r="R63" s="316"/>
      <c r="S63" s="316"/>
      <c r="T63" s="316"/>
      <c r="U63" s="316"/>
      <c r="V63" s="316"/>
      <c r="W63" s="316"/>
      <c r="X63" s="316"/>
      <c r="Y63" s="316"/>
      <c r="Z63" s="316"/>
      <c r="AA63" s="316"/>
      <c r="AB63" s="316"/>
      <c r="AC63" s="316"/>
      <c r="AD63" s="316"/>
      <c r="AE63" s="316"/>
      <c r="AF63" s="316"/>
      <c r="AG63" s="316"/>
      <c r="AH63" s="316"/>
      <c r="AI63" s="316"/>
      <c r="AJ63" s="252">
        <v>0</v>
      </c>
      <c r="AK63" s="252"/>
      <c r="AL63" s="252"/>
      <c r="AM63" s="252"/>
      <c r="AN63" s="252"/>
      <c r="AO63" s="252"/>
      <c r="AP63" s="252"/>
      <c r="AQ63" s="252"/>
      <c r="AR63" s="252"/>
      <c r="AS63" s="252"/>
      <c r="AT63" s="252"/>
      <c r="AU63" s="252"/>
      <c r="AV63" s="252"/>
      <c r="AW63" s="252"/>
      <c r="AX63" s="252"/>
      <c r="AY63" s="252"/>
      <c r="AZ63" s="252"/>
      <c r="BA63" s="252"/>
      <c r="BB63" s="252"/>
      <c r="BC63" s="252">
        <v>0</v>
      </c>
      <c r="BD63" s="252"/>
      <c r="BE63" s="252"/>
      <c r="BF63" s="252"/>
      <c r="BG63" s="252"/>
      <c r="BH63" s="252"/>
      <c r="BI63" s="252"/>
      <c r="BJ63" s="252"/>
      <c r="BK63" s="252"/>
      <c r="BL63" s="252"/>
      <c r="BM63" s="252"/>
      <c r="BN63" s="252"/>
      <c r="BO63" s="252"/>
      <c r="BP63" s="252"/>
      <c r="BQ63" s="252"/>
      <c r="BR63" s="252"/>
      <c r="BS63" s="252"/>
      <c r="BT63" s="252"/>
      <c r="BU63" s="252"/>
      <c r="BV63" s="316">
        <v>4200</v>
      </c>
      <c r="BW63" s="316"/>
      <c r="BX63" s="316"/>
      <c r="BY63" s="316"/>
      <c r="BZ63" s="316"/>
      <c r="CA63" s="316"/>
      <c r="CB63" s="316"/>
      <c r="CC63" s="316"/>
      <c r="CD63" s="316"/>
      <c r="CE63" s="316"/>
      <c r="CF63" s="316"/>
      <c r="CG63" s="316"/>
      <c r="CH63" s="316"/>
      <c r="CI63" s="316"/>
      <c r="CJ63" s="316"/>
      <c r="CK63" s="316"/>
      <c r="CL63" s="316"/>
      <c r="CM63" s="316"/>
      <c r="CN63" s="316"/>
      <c r="CO63" s="252">
        <v>420</v>
      </c>
      <c r="CP63" s="252"/>
      <c r="CQ63" s="252"/>
      <c r="CR63" s="252"/>
      <c r="CS63" s="252"/>
      <c r="CT63" s="252"/>
      <c r="CU63" s="252"/>
      <c r="CV63" s="252"/>
      <c r="CW63" s="252"/>
      <c r="CX63" s="252"/>
      <c r="CY63" s="252"/>
      <c r="CZ63" s="252"/>
      <c r="DA63" s="252"/>
      <c r="DB63" s="252"/>
      <c r="DC63" s="252"/>
      <c r="DD63" s="252"/>
      <c r="DE63" s="252"/>
      <c r="DF63" s="252"/>
      <c r="DG63" s="252"/>
      <c r="DH63" s="316">
        <v>5620</v>
      </c>
      <c r="DI63" s="316"/>
      <c r="DJ63" s="316"/>
      <c r="DK63" s="316"/>
      <c r="DL63" s="316"/>
      <c r="DM63" s="316"/>
      <c r="DN63" s="316"/>
      <c r="DO63" s="316"/>
      <c r="DP63" s="316"/>
      <c r="DQ63" s="316"/>
      <c r="DR63" s="316"/>
      <c r="DS63" s="316"/>
      <c r="DT63" s="316"/>
      <c r="DU63" s="316"/>
      <c r="DV63" s="316"/>
      <c r="DW63" s="316"/>
      <c r="DX63" s="316"/>
      <c r="DY63" s="316"/>
      <c r="DZ63" s="316"/>
      <c r="EA63" s="104"/>
      <c r="EB63" s="104"/>
      <c r="EC63" s="73"/>
    </row>
    <row r="64" spans="1:133" s="179" customFormat="1" ht="25.15" customHeight="1">
      <c r="A64" s="1">
        <f t="shared" si="13"/>
        <v>56</v>
      </c>
      <c r="B64" s="69"/>
      <c r="C64" s="266" t="s">
        <v>112</v>
      </c>
      <c r="D64" s="266"/>
      <c r="E64" s="266" t="s">
        <v>104</v>
      </c>
      <c r="F64" s="266"/>
      <c r="G64" s="92"/>
      <c r="H64" s="92"/>
      <c r="I64" s="107"/>
      <c r="J64" s="105"/>
      <c r="K64" s="107"/>
      <c r="L64" s="107"/>
      <c r="M64" s="101"/>
      <c r="N64" s="101"/>
      <c r="O64" s="107"/>
      <c r="P64" s="105"/>
      <c r="Q64" s="316">
        <f>SUM(Q62,Q63)</f>
        <v>9430</v>
      </c>
      <c r="R64" s="316"/>
      <c r="S64" s="316"/>
      <c r="T64" s="316"/>
      <c r="U64" s="316"/>
      <c r="V64" s="316"/>
      <c r="W64" s="316"/>
      <c r="X64" s="316"/>
      <c r="Y64" s="316"/>
      <c r="Z64" s="316"/>
      <c r="AA64" s="316"/>
      <c r="AB64" s="316"/>
      <c r="AC64" s="316"/>
      <c r="AD64" s="316"/>
      <c r="AE64" s="316"/>
      <c r="AF64" s="316"/>
      <c r="AG64" s="316"/>
      <c r="AH64" s="316"/>
      <c r="AI64" s="316"/>
      <c r="AJ64" s="252">
        <v>0</v>
      </c>
      <c r="AK64" s="252"/>
      <c r="AL64" s="252"/>
      <c r="AM64" s="252"/>
      <c r="AN64" s="252"/>
      <c r="AO64" s="252"/>
      <c r="AP64" s="252"/>
      <c r="AQ64" s="252"/>
      <c r="AR64" s="252"/>
      <c r="AS64" s="252"/>
      <c r="AT64" s="252"/>
      <c r="AU64" s="252"/>
      <c r="AV64" s="252"/>
      <c r="AW64" s="252"/>
      <c r="AX64" s="252"/>
      <c r="AY64" s="252"/>
      <c r="AZ64" s="252"/>
      <c r="BA64" s="252"/>
      <c r="BB64" s="252"/>
      <c r="BC64" s="252">
        <v>0</v>
      </c>
      <c r="BD64" s="252"/>
      <c r="BE64" s="252"/>
      <c r="BF64" s="252"/>
      <c r="BG64" s="252"/>
      <c r="BH64" s="252"/>
      <c r="BI64" s="252"/>
      <c r="BJ64" s="252"/>
      <c r="BK64" s="252"/>
      <c r="BL64" s="252"/>
      <c r="BM64" s="252"/>
      <c r="BN64" s="252"/>
      <c r="BO64" s="252"/>
      <c r="BP64" s="252"/>
      <c r="BQ64" s="252"/>
      <c r="BR64" s="252"/>
      <c r="BS64" s="252"/>
      <c r="BT64" s="252"/>
      <c r="BU64" s="252"/>
      <c r="BV64" s="316">
        <f>SUM(BV62,BV63)</f>
        <v>9430</v>
      </c>
      <c r="BW64" s="316"/>
      <c r="BX64" s="316"/>
      <c r="BY64" s="316"/>
      <c r="BZ64" s="316"/>
      <c r="CA64" s="316"/>
      <c r="CB64" s="316"/>
      <c r="CC64" s="316"/>
      <c r="CD64" s="316"/>
      <c r="CE64" s="316"/>
      <c r="CF64" s="316"/>
      <c r="CG64" s="316"/>
      <c r="CH64" s="316"/>
      <c r="CI64" s="316"/>
      <c r="CJ64" s="316"/>
      <c r="CK64" s="316"/>
      <c r="CL64" s="316"/>
      <c r="CM64" s="316"/>
      <c r="CN64" s="316"/>
      <c r="CO64" s="316">
        <f>SUM(CO62,CO63)</f>
        <v>838</v>
      </c>
      <c r="CP64" s="316"/>
      <c r="CQ64" s="316"/>
      <c r="CR64" s="316"/>
      <c r="CS64" s="316"/>
      <c r="CT64" s="316"/>
      <c r="CU64" s="316"/>
      <c r="CV64" s="316"/>
      <c r="CW64" s="316"/>
      <c r="CX64" s="316"/>
      <c r="CY64" s="316"/>
      <c r="CZ64" s="316"/>
      <c r="DA64" s="316"/>
      <c r="DB64" s="316"/>
      <c r="DC64" s="316"/>
      <c r="DD64" s="316"/>
      <c r="DE64" s="316"/>
      <c r="DF64" s="316"/>
      <c r="DG64" s="316"/>
      <c r="DH64" s="316">
        <f>SUM(DH62,DH63)</f>
        <v>12268</v>
      </c>
      <c r="DI64" s="316"/>
      <c r="DJ64" s="316"/>
      <c r="DK64" s="316"/>
      <c r="DL64" s="316"/>
      <c r="DM64" s="316"/>
      <c r="DN64" s="316"/>
      <c r="DO64" s="316"/>
      <c r="DP64" s="316"/>
      <c r="DQ64" s="316"/>
      <c r="DR64" s="316"/>
      <c r="DS64" s="316"/>
      <c r="DT64" s="316"/>
      <c r="DU64" s="316"/>
      <c r="DV64" s="316"/>
      <c r="DW64" s="316"/>
      <c r="DX64" s="316"/>
      <c r="DY64" s="316"/>
      <c r="DZ64" s="316"/>
      <c r="EA64" s="104"/>
      <c r="EB64" s="104"/>
      <c r="EC64" s="180"/>
    </row>
    <row r="65" spans="1:133" s="47" customFormat="1" ht="25.15" customHeight="1">
      <c r="A65" s="1">
        <f t="shared" si="13"/>
        <v>57</v>
      </c>
      <c r="B65" s="69"/>
      <c r="C65" s="315"/>
      <c r="D65" s="315"/>
      <c r="E65" s="315"/>
      <c r="F65" s="315"/>
      <c r="G65" s="315"/>
      <c r="H65" s="315"/>
      <c r="I65" s="315"/>
      <c r="J65" s="315"/>
      <c r="K65" s="315"/>
      <c r="L65" s="315"/>
      <c r="M65" s="315"/>
      <c r="N65" s="315"/>
      <c r="O65" s="315"/>
      <c r="P65" s="315"/>
      <c r="Q65" s="316"/>
      <c r="R65" s="316"/>
      <c r="S65" s="316"/>
      <c r="T65" s="316"/>
      <c r="U65" s="316"/>
      <c r="V65" s="316"/>
      <c r="W65" s="316"/>
      <c r="X65" s="316"/>
      <c r="Y65" s="316"/>
      <c r="Z65" s="316"/>
      <c r="AA65" s="316"/>
      <c r="AB65" s="316"/>
      <c r="AC65" s="316"/>
      <c r="AD65" s="316"/>
      <c r="AE65" s="316"/>
      <c r="AF65" s="316"/>
      <c r="AG65" s="316"/>
      <c r="AH65" s="316"/>
      <c r="AI65" s="316"/>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2"/>
      <c r="BI65" s="252"/>
      <c r="BJ65" s="252"/>
      <c r="BK65" s="252"/>
      <c r="BL65" s="252"/>
      <c r="BM65" s="252"/>
      <c r="BN65" s="252"/>
      <c r="BO65" s="252"/>
      <c r="BP65" s="252"/>
      <c r="BQ65" s="252"/>
      <c r="BR65" s="252"/>
      <c r="BS65" s="252"/>
      <c r="BT65" s="252"/>
      <c r="BU65" s="252"/>
      <c r="BV65" s="316"/>
      <c r="BW65" s="316"/>
      <c r="BX65" s="316"/>
      <c r="BY65" s="316"/>
      <c r="BZ65" s="316"/>
      <c r="CA65" s="316"/>
      <c r="CB65" s="316"/>
      <c r="CC65" s="316"/>
      <c r="CD65" s="316"/>
      <c r="CE65" s="316"/>
      <c r="CF65" s="316"/>
      <c r="CG65" s="316"/>
      <c r="CH65" s="316"/>
      <c r="CI65" s="316"/>
      <c r="CJ65" s="316"/>
      <c r="CK65" s="316"/>
      <c r="CL65" s="316"/>
      <c r="CM65" s="316"/>
      <c r="CN65" s="316"/>
      <c r="CO65" s="252"/>
      <c r="CP65" s="252"/>
      <c r="CQ65" s="252"/>
      <c r="CR65" s="252"/>
      <c r="CS65" s="252"/>
      <c r="CT65" s="252"/>
      <c r="CU65" s="252"/>
      <c r="CV65" s="252"/>
      <c r="CW65" s="252"/>
      <c r="CX65" s="252"/>
      <c r="CY65" s="252"/>
      <c r="CZ65" s="252"/>
      <c r="DA65" s="252"/>
      <c r="DB65" s="252"/>
      <c r="DC65" s="252"/>
      <c r="DD65" s="252"/>
      <c r="DE65" s="252"/>
      <c r="DF65" s="252"/>
      <c r="DG65" s="252"/>
      <c r="DH65" s="316"/>
      <c r="DI65" s="316"/>
      <c r="DJ65" s="316"/>
      <c r="DK65" s="316"/>
      <c r="DL65" s="316"/>
      <c r="DM65" s="316"/>
      <c r="DN65" s="316"/>
      <c r="DO65" s="316"/>
      <c r="DP65" s="316"/>
      <c r="DQ65" s="316"/>
      <c r="DR65" s="316"/>
      <c r="DS65" s="316"/>
      <c r="DT65" s="316"/>
      <c r="DU65" s="316"/>
      <c r="DV65" s="316"/>
      <c r="DW65" s="316"/>
      <c r="DX65" s="316"/>
      <c r="DY65" s="316"/>
      <c r="DZ65" s="316"/>
      <c r="EA65" s="104"/>
      <c r="EB65" s="104"/>
      <c r="EC65" s="73"/>
    </row>
    <row r="66" spans="1:133" s="47" customFormat="1" ht="25.15" customHeight="1">
      <c r="A66" s="1">
        <f t="shared" si="13"/>
        <v>58</v>
      </c>
      <c r="B66" s="69"/>
      <c r="C66" s="259" t="s">
        <v>292</v>
      </c>
      <c r="D66" s="259"/>
      <c r="E66" s="259"/>
      <c r="F66" s="259"/>
      <c r="G66" s="259"/>
      <c r="H66" s="259"/>
      <c r="I66" s="259"/>
      <c r="J66" s="259"/>
      <c r="K66" s="259"/>
      <c r="L66" s="259"/>
      <c r="M66" s="259"/>
      <c r="N66" s="259"/>
      <c r="O66" s="259"/>
      <c r="P66" s="259"/>
      <c r="Q66" s="258" t="s">
        <v>293</v>
      </c>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c r="AO66" s="258"/>
      <c r="AP66" s="258"/>
      <c r="AQ66" s="258"/>
      <c r="AR66" s="258"/>
      <c r="AS66" s="258"/>
      <c r="AT66" s="258"/>
      <c r="AU66" s="259" t="s">
        <v>298</v>
      </c>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259"/>
      <c r="DI66" s="259"/>
      <c r="DJ66" s="259"/>
      <c r="DK66" s="259"/>
      <c r="DL66" s="259"/>
      <c r="DM66" s="259"/>
      <c r="DN66" s="259"/>
      <c r="DO66" s="259"/>
      <c r="DP66" s="259"/>
      <c r="DQ66" s="259"/>
      <c r="DR66" s="259"/>
      <c r="DS66" s="259"/>
      <c r="DT66" s="259"/>
      <c r="DU66" s="259"/>
      <c r="DV66" s="259"/>
      <c r="DW66" s="259"/>
      <c r="DX66" s="259"/>
      <c r="DY66" s="259"/>
      <c r="DZ66" s="259"/>
      <c r="EA66" s="259"/>
      <c r="EB66" s="259"/>
      <c r="EC66" s="73"/>
    </row>
    <row r="67" spans="1:133" s="47" customFormat="1" ht="25.15" customHeight="1">
      <c r="A67" s="1">
        <f t="shared" si="13"/>
        <v>59</v>
      </c>
      <c r="B67" s="69"/>
      <c r="C67" s="101"/>
      <c r="D67" s="101"/>
      <c r="E67" s="101"/>
      <c r="F67" s="101"/>
      <c r="G67" s="101"/>
      <c r="H67" s="101"/>
      <c r="I67" s="119"/>
      <c r="J67" s="119"/>
      <c r="K67" s="119"/>
      <c r="L67" s="119"/>
      <c r="M67" s="101"/>
      <c r="N67" s="101"/>
      <c r="O67" s="105"/>
      <c r="P67" s="105"/>
      <c r="Q67" s="259" t="s">
        <v>299</v>
      </c>
      <c r="R67" s="259"/>
      <c r="S67" s="259"/>
      <c r="T67" s="259"/>
      <c r="U67" s="259"/>
      <c r="V67" s="259"/>
      <c r="W67" s="259"/>
      <c r="X67" s="259"/>
      <c r="Y67" s="259"/>
      <c r="Z67" s="259"/>
      <c r="AA67" s="259"/>
      <c r="AB67" s="259"/>
      <c r="AC67" s="259"/>
      <c r="AD67" s="259"/>
      <c r="AE67" s="259"/>
      <c r="AF67" s="259"/>
      <c r="AG67" s="259"/>
      <c r="AH67" s="259"/>
      <c r="AI67" s="259"/>
      <c r="AJ67" s="259"/>
      <c r="AK67" s="259"/>
      <c r="AL67" s="259"/>
      <c r="AM67" s="259"/>
      <c r="AN67" s="259"/>
      <c r="AO67" s="259"/>
      <c r="AP67" s="259"/>
      <c r="AQ67" s="259"/>
      <c r="AR67" s="259"/>
      <c r="AS67" s="259"/>
      <c r="AT67" s="259"/>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04"/>
      <c r="EB67" s="104"/>
      <c r="EC67" s="73"/>
    </row>
    <row r="68" spans="1:133" s="47" customFormat="1" ht="25.15" customHeight="1">
      <c r="A68" s="1">
        <f t="shared" si="13"/>
        <v>60</v>
      </c>
      <c r="B68" s="69"/>
      <c r="C68" s="259" t="s">
        <v>259</v>
      </c>
      <c r="D68" s="259"/>
      <c r="E68" s="259"/>
      <c r="F68" s="259"/>
      <c r="G68" s="259"/>
      <c r="H68" s="259"/>
      <c r="I68" s="259"/>
      <c r="J68" s="259"/>
      <c r="K68" s="259"/>
      <c r="L68" s="259"/>
      <c r="M68" s="259"/>
      <c r="N68" s="259"/>
      <c r="O68" s="259"/>
      <c r="P68" s="259"/>
      <c r="Q68" s="316">
        <v>5230</v>
      </c>
      <c r="R68" s="251"/>
      <c r="S68" s="251"/>
      <c r="T68" s="251"/>
      <c r="U68" s="251"/>
      <c r="V68" s="251"/>
      <c r="W68" s="251"/>
      <c r="X68" s="251"/>
      <c r="Y68" s="251"/>
      <c r="Z68" s="251"/>
      <c r="AA68" s="251"/>
      <c r="AB68" s="251"/>
      <c r="AC68" s="251"/>
      <c r="AD68" s="251"/>
      <c r="AE68" s="251"/>
      <c r="AF68" s="251"/>
      <c r="AG68" s="251"/>
      <c r="AH68" s="251"/>
      <c r="AI68" s="251"/>
      <c r="AJ68" s="252">
        <v>0</v>
      </c>
      <c r="AK68" s="251"/>
      <c r="AL68" s="251"/>
      <c r="AM68" s="251"/>
      <c r="AN68" s="251"/>
      <c r="AO68" s="251"/>
      <c r="AP68" s="251"/>
      <c r="AQ68" s="251"/>
      <c r="AR68" s="251"/>
      <c r="AS68" s="251"/>
      <c r="AT68" s="251"/>
      <c r="AU68" s="251"/>
      <c r="AV68" s="251"/>
      <c r="AW68" s="251"/>
      <c r="AX68" s="251"/>
      <c r="AY68" s="251"/>
      <c r="AZ68" s="251"/>
      <c r="BA68" s="251"/>
      <c r="BB68" s="251"/>
      <c r="BC68" s="252">
        <v>0</v>
      </c>
      <c r="BD68" s="251"/>
      <c r="BE68" s="251"/>
      <c r="BF68" s="251"/>
      <c r="BG68" s="251"/>
      <c r="BH68" s="251"/>
      <c r="BI68" s="251"/>
      <c r="BJ68" s="251"/>
      <c r="BK68" s="251"/>
      <c r="BL68" s="251"/>
      <c r="BM68" s="251"/>
      <c r="BN68" s="251"/>
      <c r="BO68" s="251"/>
      <c r="BP68" s="251"/>
      <c r="BQ68" s="251"/>
      <c r="BR68" s="251"/>
      <c r="BS68" s="251"/>
      <c r="BT68" s="251"/>
      <c r="BU68" s="251"/>
      <c r="BV68" s="316">
        <v>5230</v>
      </c>
      <c r="BW68" s="251"/>
      <c r="BX68" s="251"/>
      <c r="BY68" s="251"/>
      <c r="BZ68" s="251"/>
      <c r="CA68" s="251"/>
      <c r="CB68" s="251"/>
      <c r="CC68" s="251"/>
      <c r="CD68" s="251"/>
      <c r="CE68" s="251"/>
      <c r="CF68" s="251"/>
      <c r="CG68" s="251"/>
      <c r="CH68" s="251"/>
      <c r="CI68" s="251"/>
      <c r="CJ68" s="251"/>
      <c r="CK68" s="251"/>
      <c r="CL68" s="251"/>
      <c r="CM68" s="251"/>
      <c r="CN68" s="251"/>
      <c r="CO68" s="252">
        <v>418</v>
      </c>
      <c r="CP68" s="251"/>
      <c r="CQ68" s="251"/>
      <c r="CR68" s="251"/>
      <c r="CS68" s="251"/>
      <c r="CT68" s="251"/>
      <c r="CU68" s="251"/>
      <c r="CV68" s="251"/>
      <c r="CW68" s="251"/>
      <c r="CX68" s="251"/>
      <c r="CY68" s="251"/>
      <c r="CZ68" s="251"/>
      <c r="DA68" s="251"/>
      <c r="DB68" s="251"/>
      <c r="DC68" s="251"/>
      <c r="DD68" s="251"/>
      <c r="DE68" s="251"/>
      <c r="DF68" s="251"/>
      <c r="DG68" s="251"/>
      <c r="DH68" s="316">
        <v>6648</v>
      </c>
      <c r="DI68" s="251"/>
      <c r="DJ68" s="251"/>
      <c r="DK68" s="251"/>
      <c r="DL68" s="251"/>
      <c r="DM68" s="251"/>
      <c r="DN68" s="251"/>
      <c r="DO68" s="251"/>
      <c r="DP68" s="251"/>
      <c r="DQ68" s="251"/>
      <c r="DR68" s="251"/>
      <c r="DS68" s="251"/>
      <c r="DT68" s="251"/>
      <c r="DU68" s="251"/>
      <c r="DV68" s="251"/>
      <c r="DW68" s="251"/>
      <c r="DX68" s="251"/>
      <c r="DY68" s="251"/>
      <c r="DZ68" s="251"/>
      <c r="EA68" s="104"/>
      <c r="EB68" s="104"/>
      <c r="EC68" s="73"/>
    </row>
    <row r="69" spans="1:133" s="47" customFormat="1" ht="25.15" customHeight="1">
      <c r="A69" s="1">
        <f t="shared" si="13"/>
        <v>61</v>
      </c>
      <c r="B69" s="69"/>
      <c r="C69" s="315" t="s">
        <v>260</v>
      </c>
      <c r="D69" s="315"/>
      <c r="E69" s="315"/>
      <c r="F69" s="315"/>
      <c r="G69" s="315"/>
      <c r="H69" s="315"/>
      <c r="I69" s="315"/>
      <c r="J69" s="315"/>
      <c r="K69" s="315"/>
      <c r="L69" s="315"/>
      <c r="M69" s="315"/>
      <c r="N69" s="315"/>
      <c r="O69" s="315"/>
      <c r="P69" s="315"/>
      <c r="Q69" s="316">
        <v>4200</v>
      </c>
      <c r="R69" s="316"/>
      <c r="S69" s="316"/>
      <c r="T69" s="316"/>
      <c r="U69" s="316"/>
      <c r="V69" s="316"/>
      <c r="W69" s="316"/>
      <c r="X69" s="316"/>
      <c r="Y69" s="316"/>
      <c r="Z69" s="316"/>
      <c r="AA69" s="316"/>
      <c r="AB69" s="316"/>
      <c r="AC69" s="316"/>
      <c r="AD69" s="316"/>
      <c r="AE69" s="316"/>
      <c r="AF69" s="316"/>
      <c r="AG69" s="316"/>
      <c r="AH69" s="316"/>
      <c r="AI69" s="316"/>
      <c r="AJ69" s="252">
        <v>0</v>
      </c>
      <c r="AK69" s="252"/>
      <c r="AL69" s="252"/>
      <c r="AM69" s="252"/>
      <c r="AN69" s="252"/>
      <c r="AO69" s="252"/>
      <c r="AP69" s="252"/>
      <c r="AQ69" s="252"/>
      <c r="AR69" s="252"/>
      <c r="AS69" s="252"/>
      <c r="AT69" s="252"/>
      <c r="AU69" s="252"/>
      <c r="AV69" s="252"/>
      <c r="AW69" s="252"/>
      <c r="AX69" s="252"/>
      <c r="AY69" s="252"/>
      <c r="AZ69" s="252"/>
      <c r="BA69" s="252"/>
      <c r="BB69" s="252"/>
      <c r="BC69" s="252">
        <v>0</v>
      </c>
      <c r="BD69" s="252"/>
      <c r="BE69" s="252"/>
      <c r="BF69" s="252"/>
      <c r="BG69" s="252"/>
      <c r="BH69" s="252"/>
      <c r="BI69" s="252"/>
      <c r="BJ69" s="252"/>
      <c r="BK69" s="252"/>
      <c r="BL69" s="252"/>
      <c r="BM69" s="252"/>
      <c r="BN69" s="252"/>
      <c r="BO69" s="252"/>
      <c r="BP69" s="252"/>
      <c r="BQ69" s="252"/>
      <c r="BR69" s="252"/>
      <c r="BS69" s="252"/>
      <c r="BT69" s="252"/>
      <c r="BU69" s="252"/>
      <c r="BV69" s="316">
        <v>4200</v>
      </c>
      <c r="BW69" s="316"/>
      <c r="BX69" s="316"/>
      <c r="BY69" s="316"/>
      <c r="BZ69" s="316"/>
      <c r="CA69" s="316"/>
      <c r="CB69" s="316"/>
      <c r="CC69" s="316"/>
      <c r="CD69" s="316"/>
      <c r="CE69" s="316"/>
      <c r="CF69" s="316"/>
      <c r="CG69" s="316"/>
      <c r="CH69" s="316"/>
      <c r="CI69" s="316"/>
      <c r="CJ69" s="316"/>
      <c r="CK69" s="316"/>
      <c r="CL69" s="316"/>
      <c r="CM69" s="316"/>
      <c r="CN69" s="316"/>
      <c r="CO69" s="252">
        <v>420</v>
      </c>
      <c r="CP69" s="252"/>
      <c r="CQ69" s="252"/>
      <c r="CR69" s="252"/>
      <c r="CS69" s="252"/>
      <c r="CT69" s="252"/>
      <c r="CU69" s="252"/>
      <c r="CV69" s="252"/>
      <c r="CW69" s="252"/>
      <c r="CX69" s="252"/>
      <c r="CY69" s="252"/>
      <c r="CZ69" s="252"/>
      <c r="DA69" s="252"/>
      <c r="DB69" s="252"/>
      <c r="DC69" s="252"/>
      <c r="DD69" s="252"/>
      <c r="DE69" s="252"/>
      <c r="DF69" s="252"/>
      <c r="DG69" s="252"/>
      <c r="DH69" s="316">
        <v>5620</v>
      </c>
      <c r="DI69" s="316"/>
      <c r="DJ69" s="316"/>
      <c r="DK69" s="316"/>
      <c r="DL69" s="316"/>
      <c r="DM69" s="316"/>
      <c r="DN69" s="316"/>
      <c r="DO69" s="316"/>
      <c r="DP69" s="316"/>
      <c r="DQ69" s="316"/>
      <c r="DR69" s="316"/>
      <c r="DS69" s="316"/>
      <c r="DT69" s="316"/>
      <c r="DU69" s="316"/>
      <c r="DV69" s="316"/>
      <c r="DW69" s="316"/>
      <c r="DX69" s="316"/>
      <c r="DY69" s="316"/>
      <c r="DZ69" s="316"/>
      <c r="EA69" s="104"/>
      <c r="EB69" s="104"/>
      <c r="EC69" s="73"/>
    </row>
    <row r="70" spans="1:133" s="47" customFormat="1" ht="25.15" customHeight="1">
      <c r="A70" s="1">
        <f t="shared" si="13"/>
        <v>62</v>
      </c>
      <c r="B70" s="69"/>
      <c r="C70" s="266" t="s">
        <v>112</v>
      </c>
      <c r="D70" s="266"/>
      <c r="E70" s="266" t="s">
        <v>104</v>
      </c>
      <c r="F70" s="266"/>
      <c r="G70" s="92"/>
      <c r="H70" s="92"/>
      <c r="I70" s="107"/>
      <c r="J70" s="105"/>
      <c r="K70" s="107"/>
      <c r="L70" s="107"/>
      <c r="M70" s="101"/>
      <c r="N70" s="101"/>
      <c r="O70" s="107"/>
      <c r="P70" s="105"/>
      <c r="Q70" s="316">
        <f>SUM(Q68,Q69)</f>
        <v>9430</v>
      </c>
      <c r="R70" s="316"/>
      <c r="S70" s="316"/>
      <c r="T70" s="316"/>
      <c r="U70" s="316"/>
      <c r="V70" s="316"/>
      <c r="W70" s="316"/>
      <c r="X70" s="316"/>
      <c r="Y70" s="316"/>
      <c r="Z70" s="316"/>
      <c r="AA70" s="316"/>
      <c r="AB70" s="316"/>
      <c r="AC70" s="316"/>
      <c r="AD70" s="316"/>
      <c r="AE70" s="316"/>
      <c r="AF70" s="316"/>
      <c r="AG70" s="316"/>
      <c r="AH70" s="316"/>
      <c r="AI70" s="316"/>
      <c r="AJ70" s="252">
        <v>0</v>
      </c>
      <c r="AK70" s="252"/>
      <c r="AL70" s="252"/>
      <c r="AM70" s="252"/>
      <c r="AN70" s="252"/>
      <c r="AO70" s="252"/>
      <c r="AP70" s="252"/>
      <c r="AQ70" s="252"/>
      <c r="AR70" s="252"/>
      <c r="AS70" s="252"/>
      <c r="AT70" s="252"/>
      <c r="AU70" s="252"/>
      <c r="AV70" s="252"/>
      <c r="AW70" s="252"/>
      <c r="AX70" s="252"/>
      <c r="AY70" s="252"/>
      <c r="AZ70" s="252"/>
      <c r="BA70" s="252"/>
      <c r="BB70" s="252"/>
      <c r="BC70" s="252">
        <v>0</v>
      </c>
      <c r="BD70" s="252"/>
      <c r="BE70" s="252"/>
      <c r="BF70" s="252"/>
      <c r="BG70" s="252"/>
      <c r="BH70" s="252"/>
      <c r="BI70" s="252"/>
      <c r="BJ70" s="252"/>
      <c r="BK70" s="252"/>
      <c r="BL70" s="252"/>
      <c r="BM70" s="252"/>
      <c r="BN70" s="252"/>
      <c r="BO70" s="252"/>
      <c r="BP70" s="252"/>
      <c r="BQ70" s="252"/>
      <c r="BR70" s="252"/>
      <c r="BS70" s="252"/>
      <c r="BT70" s="252"/>
      <c r="BU70" s="252"/>
      <c r="BV70" s="316">
        <f>SUM(BV68,BV69)</f>
        <v>9430</v>
      </c>
      <c r="BW70" s="316"/>
      <c r="BX70" s="316"/>
      <c r="BY70" s="316"/>
      <c r="BZ70" s="316"/>
      <c r="CA70" s="316"/>
      <c r="CB70" s="316"/>
      <c r="CC70" s="316"/>
      <c r="CD70" s="316"/>
      <c r="CE70" s="316"/>
      <c r="CF70" s="316"/>
      <c r="CG70" s="316"/>
      <c r="CH70" s="316"/>
      <c r="CI70" s="316"/>
      <c r="CJ70" s="316"/>
      <c r="CK70" s="316"/>
      <c r="CL70" s="316"/>
      <c r="CM70" s="316"/>
      <c r="CN70" s="316"/>
      <c r="CO70" s="316">
        <f>SUM(CO68,CO69)</f>
        <v>838</v>
      </c>
      <c r="CP70" s="316"/>
      <c r="CQ70" s="316"/>
      <c r="CR70" s="316"/>
      <c r="CS70" s="316"/>
      <c r="CT70" s="316"/>
      <c r="CU70" s="316"/>
      <c r="CV70" s="316"/>
      <c r="CW70" s="316"/>
      <c r="CX70" s="316"/>
      <c r="CY70" s="316"/>
      <c r="CZ70" s="316"/>
      <c r="DA70" s="316"/>
      <c r="DB70" s="316"/>
      <c r="DC70" s="316"/>
      <c r="DD70" s="316"/>
      <c r="DE70" s="316"/>
      <c r="DF70" s="316"/>
      <c r="DG70" s="316"/>
      <c r="DH70" s="316">
        <f>SUM(DH68,DH69)</f>
        <v>12268</v>
      </c>
      <c r="DI70" s="316"/>
      <c r="DJ70" s="316"/>
      <c r="DK70" s="316"/>
      <c r="DL70" s="316"/>
      <c r="DM70" s="316"/>
      <c r="DN70" s="316"/>
      <c r="DO70" s="316"/>
      <c r="DP70" s="316"/>
      <c r="DQ70" s="316"/>
      <c r="DR70" s="316"/>
      <c r="DS70" s="316"/>
      <c r="DT70" s="316"/>
      <c r="DU70" s="316"/>
      <c r="DV70" s="316"/>
      <c r="DW70" s="316"/>
      <c r="DX70" s="316"/>
      <c r="DY70" s="316"/>
      <c r="DZ70" s="316"/>
      <c r="EA70" s="104"/>
      <c r="EB70" s="104"/>
      <c r="EC70" s="73"/>
    </row>
    <row r="71" spans="1:133" s="47" customFormat="1" ht="25.15" customHeight="1">
      <c r="A71" s="1">
        <f t="shared" si="13"/>
        <v>63</v>
      </c>
      <c r="B71" s="6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c r="BC71" s="251"/>
      <c r="BD71" s="251"/>
      <c r="BE71" s="251"/>
      <c r="BF71" s="251"/>
      <c r="BG71" s="251"/>
      <c r="BH71" s="251"/>
      <c r="BI71" s="251"/>
      <c r="BJ71" s="251"/>
      <c r="BK71" s="251"/>
      <c r="BL71" s="251"/>
      <c r="BM71" s="251"/>
      <c r="BN71" s="251"/>
      <c r="BO71" s="251"/>
      <c r="BP71" s="251"/>
      <c r="BQ71" s="251"/>
      <c r="BR71" s="251"/>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73"/>
    </row>
    <row r="72" spans="1:133" ht="25.15" customHeight="1">
      <c r="A72" s="1">
        <f t="shared" si="13"/>
        <v>64</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105"/>
      <c r="BC72" s="92"/>
      <c r="BD72" s="107"/>
      <c r="BE72" s="92"/>
      <c r="BF72" s="92"/>
      <c r="BG72" s="92"/>
      <c r="BH72" s="107"/>
      <c r="BI72" s="92"/>
      <c r="BJ72" s="92"/>
      <c r="BK72" s="92"/>
      <c r="BL72" s="107"/>
      <c r="BM72" s="92"/>
      <c r="BN72" s="92"/>
      <c r="BO72" s="92"/>
      <c r="BP72" s="107"/>
      <c r="BQ72" s="92"/>
      <c r="BR72" s="92"/>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73"/>
    </row>
    <row r="73" spans="1:133" s="47" customFormat="1" ht="25.15" customHeight="1">
      <c r="A73" s="1">
        <f t="shared" si="13"/>
        <v>65</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297</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33">
        <f t="shared" ref="A74:A136" si="14">A73+1</f>
        <v>66</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L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33">
        <v>0</v>
      </c>
      <c r="B75" s="104" t="s">
        <v>24</v>
      </c>
      <c r="C75" s="104" t="s">
        <v>24</v>
      </c>
      <c r="D75" s="104" t="s">
        <v>24</v>
      </c>
      <c r="E75" s="104" t="s">
        <v>24</v>
      </c>
      <c r="F75" s="104" t="s">
        <v>24</v>
      </c>
      <c r="G75" s="104" t="s">
        <v>24</v>
      </c>
      <c r="H75" s="104" t="s">
        <v>24</v>
      </c>
      <c r="I75" s="104" t="s">
        <v>24</v>
      </c>
      <c r="J75" s="104" t="s">
        <v>24</v>
      </c>
      <c r="K75" s="104">
        <v>1</v>
      </c>
      <c r="L75" s="104" t="s">
        <v>24</v>
      </c>
      <c r="M75" s="104" t="s">
        <v>24</v>
      </c>
      <c r="N75" s="104" t="s">
        <v>24</v>
      </c>
      <c r="O75" s="104" t="s">
        <v>24</v>
      </c>
      <c r="P75" s="104" t="s">
        <v>24</v>
      </c>
      <c r="Q75" s="104" t="s">
        <v>24</v>
      </c>
      <c r="R75" s="104" t="s">
        <v>24</v>
      </c>
      <c r="S75" s="104" t="s">
        <v>24</v>
      </c>
      <c r="T75" s="104" t="s">
        <v>24</v>
      </c>
      <c r="U75" s="104">
        <v>2</v>
      </c>
      <c r="V75" s="104" t="s">
        <v>24</v>
      </c>
      <c r="W75" s="104" t="s">
        <v>24</v>
      </c>
      <c r="X75" s="104" t="s">
        <v>24</v>
      </c>
      <c r="Y75" s="104" t="s">
        <v>24</v>
      </c>
      <c r="Z75" s="104" t="s">
        <v>24</v>
      </c>
      <c r="AA75" s="104" t="s">
        <v>24</v>
      </c>
      <c r="AB75" s="104" t="s">
        <v>24</v>
      </c>
      <c r="AC75" s="104" t="s">
        <v>24</v>
      </c>
      <c r="AD75" s="104" t="s">
        <v>24</v>
      </c>
      <c r="AE75" s="104">
        <v>3</v>
      </c>
      <c r="AF75" s="104" t="s">
        <v>24</v>
      </c>
      <c r="AG75" s="104" t="s">
        <v>24</v>
      </c>
      <c r="AH75" s="104" t="s">
        <v>24</v>
      </c>
      <c r="AI75" s="104" t="s">
        <v>24</v>
      </c>
      <c r="AJ75" s="104" t="s">
        <v>24</v>
      </c>
      <c r="AK75" s="104" t="s">
        <v>24</v>
      </c>
      <c r="AL75" s="104" t="s">
        <v>24</v>
      </c>
      <c r="AM75" s="104" t="s">
        <v>24</v>
      </c>
      <c r="AN75" s="104" t="s">
        <v>24</v>
      </c>
      <c r="AO75" s="104">
        <v>4</v>
      </c>
      <c r="AP75" s="104" t="s">
        <v>24</v>
      </c>
      <c r="AQ75" s="104" t="s">
        <v>24</v>
      </c>
      <c r="AR75" s="104" t="s">
        <v>24</v>
      </c>
      <c r="AS75" s="104" t="s">
        <v>24</v>
      </c>
      <c r="AT75" s="104" t="s">
        <v>24</v>
      </c>
      <c r="AU75" s="104" t="s">
        <v>24</v>
      </c>
      <c r="AV75" s="104" t="s">
        <v>24</v>
      </c>
      <c r="AW75" s="104" t="s">
        <v>24</v>
      </c>
      <c r="AX75" s="104" t="s">
        <v>24</v>
      </c>
      <c r="AY75" s="104">
        <v>5</v>
      </c>
      <c r="AZ75" s="104" t="s">
        <v>24</v>
      </c>
      <c r="BA75" s="104" t="s">
        <v>24</v>
      </c>
      <c r="BB75" s="104" t="s">
        <v>24</v>
      </c>
      <c r="BC75" s="104" t="s">
        <v>24</v>
      </c>
      <c r="BD75" s="104" t="s">
        <v>24</v>
      </c>
      <c r="BE75" s="104" t="s">
        <v>24</v>
      </c>
      <c r="BF75" s="104" t="s">
        <v>24</v>
      </c>
      <c r="BG75" s="104" t="s">
        <v>24</v>
      </c>
      <c r="BH75" s="104" t="s">
        <v>24</v>
      </c>
      <c r="BI75" s="104">
        <v>6</v>
      </c>
      <c r="BJ75" s="104" t="s">
        <v>24</v>
      </c>
      <c r="BK75" s="104" t="s">
        <v>24</v>
      </c>
      <c r="BL75" s="104" t="s">
        <v>24</v>
      </c>
      <c r="BM75" s="104" t="s">
        <v>24</v>
      </c>
      <c r="BN75" s="104" t="s">
        <v>24</v>
      </c>
      <c r="BO75" s="104" t="s">
        <v>24</v>
      </c>
      <c r="BP75" s="104" t="s">
        <v>24</v>
      </c>
      <c r="BQ75" s="104" t="s">
        <v>24</v>
      </c>
      <c r="BR75" s="104" t="s">
        <v>24</v>
      </c>
      <c r="BS75" s="104">
        <v>7</v>
      </c>
      <c r="BT75" s="104" t="s">
        <v>24</v>
      </c>
      <c r="BU75" s="104" t="s">
        <v>24</v>
      </c>
      <c r="BV75" s="104" t="s">
        <v>24</v>
      </c>
      <c r="BW75" s="104" t="s">
        <v>24</v>
      </c>
      <c r="BX75" s="104" t="s">
        <v>24</v>
      </c>
      <c r="BY75" s="104" t="s">
        <v>24</v>
      </c>
      <c r="BZ75" s="104" t="s">
        <v>24</v>
      </c>
      <c r="CA75" s="104" t="s">
        <v>24</v>
      </c>
      <c r="CB75" s="104" t="s">
        <v>24</v>
      </c>
      <c r="CC75" s="104">
        <v>8</v>
      </c>
      <c r="CD75" s="104" t="s">
        <v>24</v>
      </c>
      <c r="CE75" s="104" t="s">
        <v>24</v>
      </c>
      <c r="CF75" s="104" t="s">
        <v>24</v>
      </c>
      <c r="CG75" s="104" t="s">
        <v>24</v>
      </c>
      <c r="CH75" s="104" t="s">
        <v>24</v>
      </c>
      <c r="CI75" s="104" t="s">
        <v>24</v>
      </c>
      <c r="CJ75" s="104" t="s">
        <v>24</v>
      </c>
      <c r="CK75" s="104" t="s">
        <v>24</v>
      </c>
      <c r="CL75" s="104" t="s">
        <v>24</v>
      </c>
      <c r="CM75" s="104">
        <v>9</v>
      </c>
      <c r="CN75" s="104" t="s">
        <v>24</v>
      </c>
      <c r="CO75" s="104" t="s">
        <v>24</v>
      </c>
      <c r="CP75" s="104" t="s">
        <v>24</v>
      </c>
      <c r="CQ75" s="104" t="s">
        <v>24</v>
      </c>
      <c r="CR75" s="104" t="s">
        <v>24</v>
      </c>
      <c r="CS75" s="104" t="s">
        <v>24</v>
      </c>
      <c r="CT75" s="104" t="s">
        <v>24</v>
      </c>
      <c r="CU75" s="104" t="s">
        <v>24</v>
      </c>
      <c r="CV75" s="104" t="s">
        <v>24</v>
      </c>
      <c r="CW75" s="104">
        <v>0</v>
      </c>
      <c r="CX75" s="104" t="s">
        <v>24</v>
      </c>
      <c r="CY75" s="104" t="s">
        <v>24</v>
      </c>
      <c r="CZ75" s="104" t="s">
        <v>24</v>
      </c>
      <c r="DA75" s="104" t="s">
        <v>24</v>
      </c>
      <c r="DB75" s="104" t="s">
        <v>24</v>
      </c>
      <c r="DC75" s="104" t="s">
        <v>24</v>
      </c>
      <c r="DD75" s="104" t="s">
        <v>24</v>
      </c>
      <c r="DE75" s="104" t="s">
        <v>24</v>
      </c>
      <c r="DF75" s="104" t="s">
        <v>24</v>
      </c>
      <c r="DG75" s="104">
        <v>1</v>
      </c>
      <c r="DH75" s="104" t="s">
        <v>24</v>
      </c>
      <c r="DI75" s="104" t="s">
        <v>24</v>
      </c>
      <c r="DJ75" s="104" t="s">
        <v>24</v>
      </c>
      <c r="DK75" s="104" t="s">
        <v>24</v>
      </c>
      <c r="DL75" s="104" t="s">
        <v>24</v>
      </c>
      <c r="DM75" s="104" t="s">
        <v>24</v>
      </c>
      <c r="DN75" s="104" t="s">
        <v>24</v>
      </c>
      <c r="DO75" s="104" t="s">
        <v>24</v>
      </c>
      <c r="DP75" s="104" t="s">
        <v>24</v>
      </c>
      <c r="DQ75" s="104">
        <v>2</v>
      </c>
      <c r="DR75" s="104" t="s">
        <v>24</v>
      </c>
      <c r="DS75" s="104" t="s">
        <v>24</v>
      </c>
      <c r="DT75" s="104" t="s">
        <v>24</v>
      </c>
      <c r="DU75" s="104" t="s">
        <v>24</v>
      </c>
      <c r="DV75" s="104" t="s">
        <v>24</v>
      </c>
      <c r="DW75" s="104" t="s">
        <v>24</v>
      </c>
      <c r="DX75" s="104" t="s">
        <v>24</v>
      </c>
      <c r="DY75" s="104" t="s">
        <v>24</v>
      </c>
      <c r="DZ75" s="104" t="s">
        <v>24</v>
      </c>
      <c r="EA75" s="104">
        <v>3</v>
      </c>
      <c r="EB75" s="104" t="s">
        <v>24</v>
      </c>
      <c r="EC75" s="134" t="s">
        <v>24</v>
      </c>
    </row>
    <row r="76" spans="1:133" ht="25.15" customHeight="1">
      <c r="A76" s="133">
        <v>0</v>
      </c>
      <c r="B76" s="104">
        <f t="shared" ref="B76:J76" si="15">(A76+1)</f>
        <v>1</v>
      </c>
      <c r="C76" s="104">
        <f t="shared" si="15"/>
        <v>2</v>
      </c>
      <c r="D76" s="104">
        <f t="shared" si="15"/>
        <v>3</v>
      </c>
      <c r="E76" s="104">
        <f t="shared" si="15"/>
        <v>4</v>
      </c>
      <c r="F76" s="104">
        <f t="shared" si="15"/>
        <v>5</v>
      </c>
      <c r="G76" s="104">
        <f t="shared" si="15"/>
        <v>6</v>
      </c>
      <c r="H76" s="104">
        <f t="shared" si="15"/>
        <v>7</v>
      </c>
      <c r="I76" s="104">
        <f t="shared" si="15"/>
        <v>8</v>
      </c>
      <c r="J76" s="104">
        <f t="shared" si="15"/>
        <v>9</v>
      </c>
      <c r="K76" s="104">
        <v>0</v>
      </c>
      <c r="L76" s="104">
        <f t="shared" ref="L76:T76" si="16">(K76+1)</f>
        <v>1</v>
      </c>
      <c r="M76" s="104">
        <f t="shared" si="16"/>
        <v>2</v>
      </c>
      <c r="N76" s="104">
        <f t="shared" si="16"/>
        <v>3</v>
      </c>
      <c r="O76" s="104">
        <f t="shared" si="16"/>
        <v>4</v>
      </c>
      <c r="P76" s="104">
        <f t="shared" si="16"/>
        <v>5</v>
      </c>
      <c r="Q76" s="104">
        <f t="shared" si="16"/>
        <v>6</v>
      </c>
      <c r="R76" s="104">
        <f t="shared" si="16"/>
        <v>7</v>
      </c>
      <c r="S76" s="104">
        <f t="shared" si="16"/>
        <v>8</v>
      </c>
      <c r="T76" s="104">
        <f t="shared" si="16"/>
        <v>9</v>
      </c>
      <c r="U76" s="104">
        <v>0</v>
      </c>
      <c r="V76" s="104">
        <f t="shared" ref="V76:AD76" si="17">(U76+1)</f>
        <v>1</v>
      </c>
      <c r="W76" s="104">
        <f t="shared" si="17"/>
        <v>2</v>
      </c>
      <c r="X76" s="104">
        <f t="shared" si="17"/>
        <v>3</v>
      </c>
      <c r="Y76" s="104">
        <f t="shared" si="17"/>
        <v>4</v>
      </c>
      <c r="Z76" s="104">
        <f t="shared" si="17"/>
        <v>5</v>
      </c>
      <c r="AA76" s="104">
        <f t="shared" si="17"/>
        <v>6</v>
      </c>
      <c r="AB76" s="104">
        <f t="shared" si="17"/>
        <v>7</v>
      </c>
      <c r="AC76" s="104">
        <f t="shared" si="17"/>
        <v>8</v>
      </c>
      <c r="AD76" s="104">
        <f t="shared" si="17"/>
        <v>9</v>
      </c>
      <c r="AE76" s="104">
        <v>0</v>
      </c>
      <c r="AF76" s="104">
        <f t="shared" ref="AF76:AN76" si="18">(AE76+1)</f>
        <v>1</v>
      </c>
      <c r="AG76" s="104">
        <f t="shared" si="18"/>
        <v>2</v>
      </c>
      <c r="AH76" s="104">
        <f t="shared" si="18"/>
        <v>3</v>
      </c>
      <c r="AI76" s="104">
        <f t="shared" si="18"/>
        <v>4</v>
      </c>
      <c r="AJ76" s="104">
        <f t="shared" si="18"/>
        <v>5</v>
      </c>
      <c r="AK76" s="104">
        <f t="shared" si="18"/>
        <v>6</v>
      </c>
      <c r="AL76" s="104">
        <f t="shared" si="18"/>
        <v>7</v>
      </c>
      <c r="AM76" s="104">
        <f t="shared" si="18"/>
        <v>8</v>
      </c>
      <c r="AN76" s="104">
        <f t="shared" si="18"/>
        <v>9</v>
      </c>
      <c r="AO76" s="104">
        <v>0</v>
      </c>
      <c r="AP76" s="104">
        <f t="shared" ref="AP76:AX76" si="19">(AO76+1)</f>
        <v>1</v>
      </c>
      <c r="AQ76" s="104">
        <f t="shared" si="19"/>
        <v>2</v>
      </c>
      <c r="AR76" s="104">
        <f t="shared" si="19"/>
        <v>3</v>
      </c>
      <c r="AS76" s="104">
        <f t="shared" si="19"/>
        <v>4</v>
      </c>
      <c r="AT76" s="104">
        <f t="shared" si="19"/>
        <v>5</v>
      </c>
      <c r="AU76" s="104">
        <f t="shared" si="19"/>
        <v>6</v>
      </c>
      <c r="AV76" s="104">
        <f t="shared" si="19"/>
        <v>7</v>
      </c>
      <c r="AW76" s="104">
        <f t="shared" si="19"/>
        <v>8</v>
      </c>
      <c r="AX76" s="104">
        <f t="shared" si="19"/>
        <v>9</v>
      </c>
      <c r="AY76" s="104">
        <v>0</v>
      </c>
      <c r="AZ76" s="104">
        <f t="shared" ref="AZ76:BH76" si="20">(AY76+1)</f>
        <v>1</v>
      </c>
      <c r="BA76" s="104">
        <f t="shared" si="20"/>
        <v>2</v>
      </c>
      <c r="BB76" s="104">
        <f t="shared" si="20"/>
        <v>3</v>
      </c>
      <c r="BC76" s="104">
        <f t="shared" si="20"/>
        <v>4</v>
      </c>
      <c r="BD76" s="104">
        <f t="shared" si="20"/>
        <v>5</v>
      </c>
      <c r="BE76" s="104">
        <f t="shared" si="20"/>
        <v>6</v>
      </c>
      <c r="BF76" s="104">
        <f t="shared" si="20"/>
        <v>7</v>
      </c>
      <c r="BG76" s="104">
        <f t="shared" si="20"/>
        <v>8</v>
      </c>
      <c r="BH76" s="104">
        <f t="shared" si="20"/>
        <v>9</v>
      </c>
      <c r="BI76" s="104">
        <v>0</v>
      </c>
      <c r="BJ76" s="104">
        <f t="shared" ref="BJ76:BR76" si="21">(BI76+1)</f>
        <v>1</v>
      </c>
      <c r="BK76" s="104">
        <f t="shared" si="21"/>
        <v>2</v>
      </c>
      <c r="BL76" s="104">
        <f t="shared" si="21"/>
        <v>3</v>
      </c>
      <c r="BM76" s="104">
        <f t="shared" si="21"/>
        <v>4</v>
      </c>
      <c r="BN76" s="104">
        <f t="shared" si="21"/>
        <v>5</v>
      </c>
      <c r="BO76" s="104">
        <f t="shared" si="21"/>
        <v>6</v>
      </c>
      <c r="BP76" s="104">
        <f t="shared" si="21"/>
        <v>7</v>
      </c>
      <c r="BQ76" s="104">
        <f t="shared" si="21"/>
        <v>8</v>
      </c>
      <c r="BR76" s="104">
        <f t="shared" si="21"/>
        <v>9</v>
      </c>
      <c r="BS76" s="104">
        <v>0</v>
      </c>
      <c r="BT76" s="104">
        <f t="shared" ref="BT76:CB76" si="22">(BS76+1)</f>
        <v>1</v>
      </c>
      <c r="BU76" s="104">
        <f t="shared" si="22"/>
        <v>2</v>
      </c>
      <c r="BV76" s="104">
        <f t="shared" si="22"/>
        <v>3</v>
      </c>
      <c r="BW76" s="104">
        <f t="shared" si="22"/>
        <v>4</v>
      </c>
      <c r="BX76" s="104">
        <f t="shared" si="22"/>
        <v>5</v>
      </c>
      <c r="BY76" s="104">
        <f t="shared" si="22"/>
        <v>6</v>
      </c>
      <c r="BZ76" s="104">
        <f t="shared" si="22"/>
        <v>7</v>
      </c>
      <c r="CA76" s="104">
        <f t="shared" si="22"/>
        <v>8</v>
      </c>
      <c r="CB76" s="104">
        <f t="shared" si="22"/>
        <v>9</v>
      </c>
      <c r="CC76" s="104">
        <v>0</v>
      </c>
      <c r="CD76" s="104">
        <f t="shared" ref="CD76:CL76" si="23">(CC76+1)</f>
        <v>1</v>
      </c>
      <c r="CE76" s="104">
        <f t="shared" si="23"/>
        <v>2</v>
      </c>
      <c r="CF76" s="104">
        <f t="shared" si="23"/>
        <v>3</v>
      </c>
      <c r="CG76" s="104">
        <f t="shared" si="23"/>
        <v>4</v>
      </c>
      <c r="CH76" s="104">
        <f t="shared" si="23"/>
        <v>5</v>
      </c>
      <c r="CI76" s="104">
        <f t="shared" si="23"/>
        <v>6</v>
      </c>
      <c r="CJ76" s="104">
        <f t="shared" si="23"/>
        <v>7</v>
      </c>
      <c r="CK76" s="104">
        <f t="shared" si="23"/>
        <v>8</v>
      </c>
      <c r="CL76" s="104">
        <f t="shared" si="23"/>
        <v>9</v>
      </c>
      <c r="CM76" s="104">
        <v>0</v>
      </c>
      <c r="CN76" s="104">
        <f t="shared" ref="CN76:CV76" si="24">(CM76+1)</f>
        <v>1</v>
      </c>
      <c r="CO76" s="104">
        <f t="shared" si="24"/>
        <v>2</v>
      </c>
      <c r="CP76" s="104">
        <f t="shared" si="24"/>
        <v>3</v>
      </c>
      <c r="CQ76" s="104">
        <f t="shared" si="24"/>
        <v>4</v>
      </c>
      <c r="CR76" s="104">
        <f t="shared" si="24"/>
        <v>5</v>
      </c>
      <c r="CS76" s="104">
        <f t="shared" si="24"/>
        <v>6</v>
      </c>
      <c r="CT76" s="104">
        <f t="shared" si="24"/>
        <v>7</v>
      </c>
      <c r="CU76" s="104">
        <f t="shared" si="24"/>
        <v>8</v>
      </c>
      <c r="CV76" s="104">
        <f t="shared" si="24"/>
        <v>9</v>
      </c>
      <c r="CW76" s="104">
        <v>0</v>
      </c>
      <c r="CX76" s="104">
        <f t="shared" ref="CX76:DF76" si="25">(CW76+1)</f>
        <v>1</v>
      </c>
      <c r="CY76" s="104">
        <f t="shared" si="25"/>
        <v>2</v>
      </c>
      <c r="CZ76" s="104">
        <f t="shared" si="25"/>
        <v>3</v>
      </c>
      <c r="DA76" s="104">
        <f t="shared" si="25"/>
        <v>4</v>
      </c>
      <c r="DB76" s="104">
        <f t="shared" si="25"/>
        <v>5</v>
      </c>
      <c r="DC76" s="104">
        <f t="shared" si="25"/>
        <v>6</v>
      </c>
      <c r="DD76" s="104">
        <f t="shared" si="25"/>
        <v>7</v>
      </c>
      <c r="DE76" s="104">
        <f t="shared" si="25"/>
        <v>8</v>
      </c>
      <c r="DF76" s="104">
        <f t="shared" si="25"/>
        <v>9</v>
      </c>
      <c r="DG76" s="104">
        <v>0</v>
      </c>
      <c r="DH76" s="104">
        <f t="shared" ref="DH76:DP76" si="26">(DG76+1)</f>
        <v>1</v>
      </c>
      <c r="DI76" s="104">
        <f t="shared" si="26"/>
        <v>2</v>
      </c>
      <c r="DJ76" s="104">
        <f t="shared" si="26"/>
        <v>3</v>
      </c>
      <c r="DK76" s="135">
        <f t="shared" si="26"/>
        <v>4</v>
      </c>
      <c r="DL76" s="135">
        <f t="shared" si="26"/>
        <v>5</v>
      </c>
      <c r="DM76" s="135">
        <f t="shared" si="26"/>
        <v>6</v>
      </c>
      <c r="DN76" s="135">
        <f t="shared" si="26"/>
        <v>7</v>
      </c>
      <c r="DO76" s="135">
        <f t="shared" si="26"/>
        <v>8</v>
      </c>
      <c r="DP76" s="135">
        <f t="shared" si="26"/>
        <v>9</v>
      </c>
      <c r="DQ76" s="135">
        <v>0</v>
      </c>
      <c r="DR76" s="135">
        <f t="shared" ref="DR76:DZ76" si="27">(DQ76+1)</f>
        <v>1</v>
      </c>
      <c r="DS76" s="135">
        <f t="shared" si="27"/>
        <v>2</v>
      </c>
      <c r="DT76" s="135">
        <f t="shared" si="27"/>
        <v>3</v>
      </c>
      <c r="DU76" s="135">
        <f t="shared" si="27"/>
        <v>4</v>
      </c>
      <c r="DV76" s="104">
        <f t="shared" si="27"/>
        <v>5</v>
      </c>
      <c r="DW76" s="104">
        <f t="shared" si="27"/>
        <v>6</v>
      </c>
      <c r="DX76" s="104">
        <f t="shared" si="27"/>
        <v>7</v>
      </c>
      <c r="DY76" s="104">
        <f t="shared" si="27"/>
        <v>8</v>
      </c>
      <c r="DZ76" s="104">
        <f t="shared" si="27"/>
        <v>9</v>
      </c>
      <c r="EA76" s="104">
        <v>0</v>
      </c>
      <c r="EB76" s="104">
        <f>(EA76+1)</f>
        <v>1</v>
      </c>
      <c r="EC76" s="134">
        <f>(EB76+1)</f>
        <v>2</v>
      </c>
    </row>
    <row r="77" spans="1:133" ht="25.15" customHeight="1">
      <c r="A77" s="133">
        <f t="shared" si="14"/>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5"/>
      <c r="DE77" s="95"/>
      <c r="DF77" s="95"/>
      <c r="DG77" s="95"/>
      <c r="DH77" s="95"/>
      <c r="DI77" s="95"/>
      <c r="DJ77" s="93"/>
      <c r="DK77" s="92"/>
      <c r="DL77" s="92"/>
      <c r="DM77" s="98"/>
      <c r="DN77" s="98"/>
      <c r="DO77" s="92"/>
      <c r="DP77" s="92"/>
      <c r="DQ77" s="92"/>
      <c r="DR77" s="99"/>
      <c r="DS77" s="285"/>
      <c r="DT77" s="285"/>
      <c r="DU77" s="101"/>
      <c r="DV77" s="94"/>
      <c r="DW77" s="94"/>
      <c r="DX77" s="94"/>
      <c r="DY77" s="94"/>
      <c r="DZ77" s="93"/>
      <c r="EA77" s="93"/>
      <c r="EB77" s="67"/>
      <c r="EC77" s="68"/>
    </row>
    <row r="78" spans="1:133" ht="25.15" customHeight="1">
      <c r="A78" s="133">
        <f t="shared" si="14"/>
        <v>2</v>
      </c>
      <c r="B78" s="100"/>
      <c r="C78" s="255" t="s">
        <v>239</v>
      </c>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c r="DM78" s="255"/>
      <c r="DN78" s="255"/>
      <c r="DO78" s="255"/>
      <c r="DP78" s="255"/>
      <c r="DQ78" s="255"/>
      <c r="DR78" s="255"/>
      <c r="DS78" s="255"/>
      <c r="DT78" s="255"/>
      <c r="DU78" s="255"/>
      <c r="DV78" s="255"/>
      <c r="DW78" s="255"/>
      <c r="DX78" s="255"/>
      <c r="DY78" s="255"/>
      <c r="DZ78" s="255"/>
      <c r="EA78" s="255"/>
      <c r="EB78" s="255"/>
      <c r="EC78" s="73"/>
    </row>
    <row r="79" spans="1:133" ht="25.15" customHeight="1">
      <c r="A79" s="133">
        <f t="shared" si="14"/>
        <v>3</v>
      </c>
      <c r="B79" s="100"/>
      <c r="C79" s="168" t="s">
        <v>109</v>
      </c>
      <c r="D79" s="168"/>
      <c r="E79" s="168"/>
      <c r="F79" s="168"/>
      <c r="G79" s="168"/>
      <c r="H79" s="168"/>
      <c r="I79" s="168"/>
      <c r="J79" s="168"/>
      <c r="K79" s="168"/>
      <c r="L79" s="168"/>
      <c r="M79" s="168"/>
      <c r="N79" s="168"/>
      <c r="O79" s="168"/>
      <c r="P79" s="168"/>
      <c r="Q79" s="168" t="s">
        <v>110</v>
      </c>
      <c r="R79" s="211"/>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t="s">
        <v>115</v>
      </c>
      <c r="AV79" s="168"/>
      <c r="AW79" s="168"/>
      <c r="AX79" s="168"/>
      <c r="AY79" s="168"/>
      <c r="AZ79" s="168"/>
      <c r="BA79" s="168"/>
      <c r="BB79" s="168"/>
      <c r="BC79" s="168"/>
      <c r="BD79" s="168"/>
      <c r="BE79" s="168"/>
      <c r="BF79" s="168"/>
      <c r="BG79" s="168"/>
      <c r="BH79" s="168"/>
      <c r="BI79" s="168"/>
      <c r="BJ79" s="168"/>
      <c r="BK79" s="168"/>
      <c r="BL79" s="168"/>
      <c r="BM79" s="168"/>
      <c r="BN79" s="168"/>
      <c r="BO79" s="168"/>
      <c r="BP79" s="168"/>
      <c r="BQ79" s="168"/>
      <c r="BR79" s="168"/>
      <c r="BS79" s="168"/>
      <c r="BT79" s="168"/>
      <c r="BU79" s="168"/>
      <c r="BV79" s="168"/>
      <c r="BW79" s="168"/>
      <c r="BX79" s="168"/>
      <c r="BY79" s="168"/>
      <c r="BZ79" s="168"/>
      <c r="CA79" s="168"/>
      <c r="CB79" s="168"/>
      <c r="CC79" s="168"/>
      <c r="CD79" s="168"/>
      <c r="CE79" s="168"/>
      <c r="CF79" s="168"/>
      <c r="CG79" s="168"/>
      <c r="CH79" s="168"/>
      <c r="CI79" s="168"/>
      <c r="CJ79" s="168"/>
      <c r="CK79" s="168"/>
      <c r="CL79" s="168"/>
      <c r="CM79" s="168"/>
      <c r="CN79" s="168"/>
      <c r="CO79" s="168"/>
      <c r="CP79" s="168"/>
      <c r="CQ79" s="168"/>
      <c r="CR79" s="168"/>
      <c r="CS79" s="168"/>
      <c r="CT79" s="168"/>
      <c r="CU79" s="168"/>
      <c r="CV79" s="168"/>
      <c r="CW79" s="212"/>
      <c r="CX79" s="168"/>
      <c r="CY79" s="168"/>
      <c r="CZ79" s="168"/>
      <c r="DA79" s="168"/>
      <c r="DB79" s="168"/>
      <c r="DC79" s="168"/>
      <c r="DD79" s="168"/>
      <c r="DE79" s="168"/>
      <c r="DF79" s="168"/>
      <c r="DG79" s="168"/>
      <c r="DH79" s="168"/>
      <c r="DI79" s="168"/>
      <c r="DJ79" s="168"/>
      <c r="DK79" s="168"/>
      <c r="DL79" s="168"/>
      <c r="DM79" s="168"/>
      <c r="DN79" s="168"/>
      <c r="DO79" s="168"/>
      <c r="DP79" s="168"/>
      <c r="DQ79" s="168"/>
      <c r="DR79" s="168"/>
      <c r="DS79" s="168"/>
      <c r="DT79" s="168"/>
      <c r="DU79" s="168"/>
      <c r="DV79" s="168"/>
      <c r="DW79" s="168"/>
      <c r="DX79" s="168"/>
      <c r="DY79" s="168"/>
      <c r="DZ79" s="168"/>
      <c r="EA79" s="168"/>
      <c r="EB79" s="168"/>
      <c r="EC79" s="73"/>
    </row>
    <row r="80" spans="1:133" ht="25.15" customHeight="1">
      <c r="A80" s="133">
        <f t="shared" si="14"/>
        <v>4</v>
      </c>
      <c r="B80" s="100"/>
      <c r="C80" s="164"/>
      <c r="D80" s="164"/>
      <c r="E80" s="164"/>
      <c r="F80" s="164"/>
      <c r="G80" s="164"/>
      <c r="H80" s="164"/>
      <c r="I80" s="164"/>
      <c r="J80" s="164"/>
      <c r="K80" s="164"/>
      <c r="L80" s="164"/>
      <c r="M80" s="164"/>
      <c r="N80" s="164"/>
      <c r="O80" s="164"/>
      <c r="P80" s="164"/>
      <c r="Q80" s="170" t="s">
        <v>363</v>
      </c>
      <c r="R80" s="163"/>
      <c r="S80" s="164"/>
      <c r="T80" s="164"/>
      <c r="U80" s="164"/>
      <c r="V80" s="164"/>
      <c r="W80" s="164"/>
      <c r="X80" s="164"/>
      <c r="Y80" s="164"/>
      <c r="Z80" s="164"/>
      <c r="AA80" s="164"/>
      <c r="AB80" s="164"/>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c r="CA80" s="164"/>
      <c r="CB80" s="164"/>
      <c r="CC80" s="164"/>
      <c r="CD80" s="164"/>
      <c r="CE80" s="164"/>
      <c r="CF80" s="164"/>
      <c r="CG80" s="164"/>
      <c r="CH80" s="164"/>
      <c r="CI80" s="164"/>
      <c r="CJ80" s="164"/>
      <c r="CK80" s="164"/>
      <c r="CL80" s="164"/>
      <c r="CM80" s="164"/>
      <c r="CN80" s="164"/>
      <c r="CO80" s="164"/>
      <c r="CP80" s="164"/>
      <c r="CQ80" s="164"/>
      <c r="CR80" s="164"/>
      <c r="CS80" s="164"/>
      <c r="CT80" s="164"/>
      <c r="CU80" s="164"/>
      <c r="CV80" s="164"/>
      <c r="CW80" s="169"/>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73"/>
    </row>
    <row r="81" spans="1:133" ht="25.15" customHeight="1">
      <c r="A81" s="133">
        <f t="shared" si="14"/>
        <v>5</v>
      </c>
      <c r="B81" s="100"/>
      <c r="C81" s="267" t="s">
        <v>235</v>
      </c>
      <c r="D81" s="267"/>
      <c r="E81" s="267"/>
      <c r="F81" s="267"/>
      <c r="G81" s="267"/>
      <c r="H81" s="267"/>
      <c r="I81" s="267"/>
      <c r="J81" s="267"/>
      <c r="K81" s="267"/>
      <c r="L81" s="267"/>
      <c r="M81" s="267"/>
      <c r="N81" s="267"/>
      <c r="O81" s="267"/>
      <c r="P81" s="267"/>
      <c r="Q81" s="334" t="s">
        <v>243</v>
      </c>
      <c r="R81" s="263"/>
      <c r="S81" s="263"/>
      <c r="T81" s="263"/>
      <c r="U81" s="263"/>
      <c r="V81" s="263"/>
      <c r="W81" s="263"/>
      <c r="X81" s="263"/>
      <c r="Y81" s="263"/>
      <c r="Z81" s="263"/>
      <c r="AA81" s="263"/>
      <c r="AB81" s="263"/>
      <c r="AC81" s="263"/>
      <c r="AD81" s="263"/>
      <c r="AE81" s="263"/>
      <c r="AF81" s="263"/>
      <c r="AG81" s="263"/>
      <c r="AH81" s="263"/>
      <c r="AI81" s="263"/>
      <c r="AJ81" s="263" t="s">
        <v>236</v>
      </c>
      <c r="AK81" s="263"/>
      <c r="AL81" s="263"/>
      <c r="AM81" s="263"/>
      <c r="AN81" s="263"/>
      <c r="AO81" s="263"/>
      <c r="AP81" s="263"/>
      <c r="AQ81" s="263"/>
      <c r="AR81" s="263"/>
      <c r="AS81" s="263"/>
      <c r="AT81" s="263"/>
      <c r="AU81" s="263"/>
      <c r="AV81" s="263"/>
      <c r="AW81" s="263"/>
      <c r="AX81" s="263"/>
      <c r="AY81" s="263"/>
      <c r="AZ81" s="263"/>
      <c r="BA81" s="263"/>
      <c r="BB81" s="263"/>
      <c r="BC81" s="334" t="s">
        <v>166</v>
      </c>
      <c r="BD81" s="263"/>
      <c r="BE81" s="263"/>
      <c r="BF81" s="263"/>
      <c r="BG81" s="263"/>
      <c r="BH81" s="263"/>
      <c r="BI81" s="263"/>
      <c r="BJ81" s="263"/>
      <c r="BK81" s="263"/>
      <c r="BL81" s="263"/>
      <c r="BM81" s="263"/>
      <c r="BN81" s="263"/>
      <c r="BO81" s="263"/>
      <c r="BP81" s="263"/>
      <c r="BQ81" s="263"/>
      <c r="BR81" s="263"/>
      <c r="BS81" s="263"/>
      <c r="BT81" s="263"/>
      <c r="BU81" s="263"/>
      <c r="BV81" s="263" t="s">
        <v>242</v>
      </c>
      <c r="BW81" s="263"/>
      <c r="BX81" s="263"/>
      <c r="BY81" s="263"/>
      <c r="BZ81" s="263"/>
      <c r="CA81" s="263"/>
      <c r="CB81" s="263"/>
      <c r="CC81" s="263"/>
      <c r="CD81" s="263"/>
      <c r="CE81" s="263"/>
      <c r="CF81" s="263"/>
      <c r="CG81" s="263"/>
      <c r="CH81" s="263"/>
      <c r="CI81" s="263"/>
      <c r="CJ81" s="263"/>
      <c r="CK81" s="263"/>
      <c r="CL81" s="263"/>
      <c r="CM81" s="263"/>
      <c r="CN81" s="263"/>
      <c r="CO81" s="334" t="s">
        <v>168</v>
      </c>
      <c r="CP81" s="263"/>
      <c r="CQ81" s="263"/>
      <c r="CR81" s="263"/>
      <c r="CS81" s="263"/>
      <c r="CT81" s="263"/>
      <c r="CU81" s="263"/>
      <c r="CV81" s="263"/>
      <c r="CW81" s="263"/>
      <c r="CX81" s="263"/>
      <c r="CY81" s="263"/>
      <c r="CZ81" s="263"/>
      <c r="DA81" s="263"/>
      <c r="DB81" s="263"/>
      <c r="DC81" s="263"/>
      <c r="DD81" s="263"/>
      <c r="DE81" s="263"/>
      <c r="DF81" s="263"/>
      <c r="DG81" s="263"/>
      <c r="DH81" s="334" t="s">
        <v>241</v>
      </c>
      <c r="DI81" s="263"/>
      <c r="DJ81" s="263"/>
      <c r="DK81" s="263"/>
      <c r="DL81" s="263"/>
      <c r="DM81" s="263"/>
      <c r="DN81" s="263"/>
      <c r="DO81" s="263"/>
      <c r="DP81" s="263"/>
      <c r="DQ81" s="263"/>
      <c r="DR81" s="263"/>
      <c r="DS81" s="263"/>
      <c r="DT81" s="263"/>
      <c r="DU81" s="263"/>
      <c r="DV81" s="263"/>
      <c r="DW81" s="263"/>
      <c r="DX81" s="263"/>
      <c r="DY81" s="263"/>
      <c r="DZ81" s="263"/>
      <c r="EA81" s="213"/>
      <c r="EB81" s="214"/>
      <c r="EC81" s="73"/>
    </row>
    <row r="82" spans="1:133" ht="25.15" customHeight="1">
      <c r="A82" s="133">
        <f t="shared" si="14"/>
        <v>6</v>
      </c>
      <c r="B82" s="100"/>
      <c r="C82" s="259" t="s">
        <v>292</v>
      </c>
      <c r="D82" s="259"/>
      <c r="E82" s="259"/>
      <c r="F82" s="259"/>
      <c r="G82" s="259"/>
      <c r="H82" s="259"/>
      <c r="I82" s="259"/>
      <c r="J82" s="259"/>
      <c r="K82" s="259"/>
      <c r="L82" s="259"/>
      <c r="M82" s="259"/>
      <c r="N82" s="259"/>
      <c r="O82" s="259"/>
      <c r="P82" s="259"/>
      <c r="Q82" s="258" t="s">
        <v>293</v>
      </c>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9" t="s">
        <v>298</v>
      </c>
      <c r="AV82" s="259"/>
      <c r="AW82" s="259"/>
      <c r="AX82" s="259"/>
      <c r="AY82" s="259"/>
      <c r="AZ82" s="259"/>
      <c r="BA82" s="259"/>
      <c r="BB82" s="259"/>
      <c r="BC82" s="259"/>
      <c r="BD82" s="259"/>
      <c r="BE82" s="259"/>
      <c r="BF82" s="259"/>
      <c r="BG82" s="259"/>
      <c r="BH82" s="259"/>
      <c r="BI82" s="259"/>
      <c r="BJ82" s="259"/>
      <c r="BK82" s="259"/>
      <c r="BL82" s="259"/>
      <c r="BM82" s="259"/>
      <c r="BN82" s="259"/>
      <c r="BO82" s="259"/>
      <c r="BP82" s="259"/>
      <c r="BQ82" s="259"/>
      <c r="BR82" s="259"/>
      <c r="BS82" s="259"/>
      <c r="BT82" s="259"/>
      <c r="BU82" s="259"/>
      <c r="BV82" s="259"/>
      <c r="BW82" s="259"/>
      <c r="BX82" s="259"/>
      <c r="BY82" s="259"/>
      <c r="BZ82" s="259"/>
      <c r="CA82" s="259"/>
      <c r="CB82" s="259"/>
      <c r="CC82" s="259"/>
      <c r="CD82" s="259"/>
      <c r="CE82" s="259"/>
      <c r="CF82" s="259"/>
      <c r="CG82" s="259"/>
      <c r="CH82" s="259"/>
      <c r="CI82" s="259"/>
      <c r="CJ82" s="259"/>
      <c r="CK82" s="259"/>
      <c r="CL82" s="259"/>
      <c r="CM82" s="259"/>
      <c r="CN82" s="259"/>
      <c r="CO82" s="259"/>
      <c r="CP82" s="259"/>
      <c r="CQ82" s="259"/>
      <c r="CR82" s="259"/>
      <c r="CS82" s="259"/>
      <c r="CT82" s="259"/>
      <c r="CU82" s="259"/>
      <c r="CV82" s="259"/>
      <c r="CW82" s="259"/>
      <c r="CX82" s="259"/>
      <c r="CY82" s="259"/>
      <c r="CZ82" s="259"/>
      <c r="DA82" s="259"/>
      <c r="DB82" s="259"/>
      <c r="DC82" s="259"/>
      <c r="DD82" s="259"/>
      <c r="DE82" s="259"/>
      <c r="DF82" s="259"/>
      <c r="DG82" s="259"/>
      <c r="DH82" s="259"/>
      <c r="DI82" s="259"/>
      <c r="DJ82" s="259"/>
      <c r="DK82" s="259"/>
      <c r="DL82" s="259"/>
      <c r="DM82" s="259"/>
      <c r="DN82" s="259"/>
      <c r="DO82" s="259"/>
      <c r="DP82" s="259"/>
      <c r="DQ82" s="259"/>
      <c r="DR82" s="259"/>
      <c r="DS82" s="259"/>
      <c r="DT82" s="259"/>
      <c r="DU82" s="259"/>
      <c r="DV82" s="259"/>
      <c r="DW82" s="259"/>
      <c r="DX82" s="259"/>
      <c r="DY82" s="259"/>
      <c r="DZ82" s="259"/>
      <c r="EA82" s="259"/>
      <c r="EB82" s="259"/>
      <c r="EC82" s="73"/>
    </row>
    <row r="83" spans="1:133" ht="25.15" customHeight="1">
      <c r="A83" s="133">
        <f t="shared" si="14"/>
        <v>7</v>
      </c>
      <c r="B83" s="100"/>
      <c r="C83" s="101"/>
      <c r="D83" s="101"/>
      <c r="E83" s="101"/>
      <c r="F83" s="101"/>
      <c r="G83" s="101"/>
      <c r="H83" s="101"/>
      <c r="I83" s="119"/>
      <c r="J83" s="119"/>
      <c r="K83" s="119"/>
      <c r="L83" s="119"/>
      <c r="M83" s="101"/>
      <c r="N83" s="101"/>
      <c r="O83" s="105"/>
      <c r="P83" s="105"/>
      <c r="Q83" s="259" t="s">
        <v>299</v>
      </c>
      <c r="R83" s="259"/>
      <c r="S83" s="259"/>
      <c r="T83" s="259"/>
      <c r="U83" s="259"/>
      <c r="V83" s="259"/>
      <c r="W83" s="259"/>
      <c r="X83" s="259"/>
      <c r="Y83" s="259"/>
      <c r="Z83" s="259"/>
      <c r="AA83" s="259"/>
      <c r="AB83" s="259"/>
      <c r="AC83" s="259"/>
      <c r="AD83" s="259"/>
      <c r="AE83" s="259"/>
      <c r="AF83" s="259"/>
      <c r="AG83" s="259"/>
      <c r="AH83" s="259"/>
      <c r="AI83" s="259"/>
      <c r="AJ83" s="259"/>
      <c r="AK83" s="259"/>
      <c r="AL83" s="259"/>
      <c r="AM83" s="259"/>
      <c r="AN83" s="259"/>
      <c r="AO83" s="259"/>
      <c r="AP83" s="259"/>
      <c r="AQ83" s="259"/>
      <c r="AR83" s="259"/>
      <c r="AS83" s="259"/>
      <c r="AT83" s="259"/>
      <c r="AU83" s="259"/>
      <c r="AV83" s="259"/>
      <c r="AW83" s="259"/>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ht="25.15" customHeight="1">
      <c r="A84" s="133">
        <f t="shared" si="14"/>
        <v>8</v>
      </c>
      <c r="B84" s="100"/>
      <c r="C84" s="259" t="s">
        <v>259</v>
      </c>
      <c r="D84" s="259"/>
      <c r="E84" s="259"/>
      <c r="F84" s="259"/>
      <c r="G84" s="259"/>
      <c r="H84" s="259"/>
      <c r="I84" s="259"/>
      <c r="J84" s="259"/>
      <c r="K84" s="259"/>
      <c r="L84" s="259"/>
      <c r="M84" s="259"/>
      <c r="N84" s="259"/>
      <c r="O84" s="259"/>
      <c r="P84" s="259"/>
      <c r="Q84" s="316">
        <v>5230</v>
      </c>
      <c r="R84" s="251"/>
      <c r="S84" s="251"/>
      <c r="T84" s="251"/>
      <c r="U84" s="251"/>
      <c r="V84" s="251"/>
      <c r="W84" s="251"/>
      <c r="X84" s="251"/>
      <c r="Y84" s="251"/>
      <c r="Z84" s="251"/>
      <c r="AA84" s="251"/>
      <c r="AB84" s="251"/>
      <c r="AC84" s="251"/>
      <c r="AD84" s="251"/>
      <c r="AE84" s="251"/>
      <c r="AF84" s="251"/>
      <c r="AG84" s="251"/>
      <c r="AH84" s="251"/>
      <c r="AI84" s="251"/>
      <c r="AJ84" s="252">
        <v>0</v>
      </c>
      <c r="AK84" s="251"/>
      <c r="AL84" s="251"/>
      <c r="AM84" s="251"/>
      <c r="AN84" s="251"/>
      <c r="AO84" s="251"/>
      <c r="AP84" s="251"/>
      <c r="AQ84" s="251"/>
      <c r="AR84" s="251"/>
      <c r="AS84" s="251"/>
      <c r="AT84" s="251"/>
      <c r="AU84" s="251"/>
      <c r="AV84" s="251"/>
      <c r="AW84" s="251"/>
      <c r="AX84" s="251"/>
      <c r="AY84" s="251"/>
      <c r="AZ84" s="251"/>
      <c r="BA84" s="251"/>
      <c r="BB84" s="251"/>
      <c r="BC84" s="252">
        <v>0</v>
      </c>
      <c r="BD84" s="251"/>
      <c r="BE84" s="251"/>
      <c r="BF84" s="251"/>
      <c r="BG84" s="251"/>
      <c r="BH84" s="251"/>
      <c r="BI84" s="251"/>
      <c r="BJ84" s="251"/>
      <c r="BK84" s="251"/>
      <c r="BL84" s="251"/>
      <c r="BM84" s="251"/>
      <c r="BN84" s="251"/>
      <c r="BO84" s="251"/>
      <c r="BP84" s="251"/>
      <c r="BQ84" s="251"/>
      <c r="BR84" s="251"/>
      <c r="BS84" s="251"/>
      <c r="BT84" s="251"/>
      <c r="BU84" s="251"/>
      <c r="BV84" s="316">
        <v>5230</v>
      </c>
      <c r="BW84" s="251"/>
      <c r="BX84" s="251"/>
      <c r="BY84" s="251"/>
      <c r="BZ84" s="251"/>
      <c r="CA84" s="251"/>
      <c r="CB84" s="251"/>
      <c r="CC84" s="251"/>
      <c r="CD84" s="251"/>
      <c r="CE84" s="251"/>
      <c r="CF84" s="251"/>
      <c r="CG84" s="251"/>
      <c r="CH84" s="251"/>
      <c r="CI84" s="251"/>
      <c r="CJ84" s="251"/>
      <c r="CK84" s="251"/>
      <c r="CL84" s="251"/>
      <c r="CM84" s="251"/>
      <c r="CN84" s="251"/>
      <c r="CO84" s="252">
        <v>418</v>
      </c>
      <c r="CP84" s="251"/>
      <c r="CQ84" s="251"/>
      <c r="CR84" s="251"/>
      <c r="CS84" s="251"/>
      <c r="CT84" s="251"/>
      <c r="CU84" s="251"/>
      <c r="CV84" s="251"/>
      <c r="CW84" s="251"/>
      <c r="CX84" s="251"/>
      <c r="CY84" s="251"/>
      <c r="CZ84" s="251"/>
      <c r="DA84" s="251"/>
      <c r="DB84" s="251"/>
      <c r="DC84" s="251"/>
      <c r="DD84" s="251"/>
      <c r="DE84" s="251"/>
      <c r="DF84" s="251"/>
      <c r="DG84" s="251"/>
      <c r="DH84" s="316">
        <v>6648</v>
      </c>
      <c r="DI84" s="251"/>
      <c r="DJ84" s="251"/>
      <c r="DK84" s="251"/>
      <c r="DL84" s="251"/>
      <c r="DM84" s="251"/>
      <c r="DN84" s="251"/>
      <c r="DO84" s="251"/>
      <c r="DP84" s="251"/>
      <c r="DQ84" s="251"/>
      <c r="DR84" s="251"/>
      <c r="DS84" s="251"/>
      <c r="DT84" s="251"/>
      <c r="DU84" s="251"/>
      <c r="DV84" s="251"/>
      <c r="DW84" s="251"/>
      <c r="DX84" s="251"/>
      <c r="DY84" s="251"/>
      <c r="DZ84" s="251"/>
      <c r="EA84" s="107"/>
      <c r="EC84" s="73"/>
    </row>
    <row r="85" spans="1:133" ht="25.15" customHeight="1">
      <c r="A85" s="133">
        <f t="shared" si="14"/>
        <v>9</v>
      </c>
      <c r="B85" s="100"/>
      <c r="C85" s="315" t="s">
        <v>260</v>
      </c>
      <c r="D85" s="259"/>
      <c r="E85" s="259"/>
      <c r="F85" s="259"/>
      <c r="G85" s="259"/>
      <c r="H85" s="259"/>
      <c r="I85" s="259"/>
      <c r="J85" s="259"/>
      <c r="K85" s="259"/>
      <c r="L85" s="259"/>
      <c r="M85" s="259"/>
      <c r="N85" s="259"/>
      <c r="O85" s="259"/>
      <c r="P85" s="259"/>
      <c r="Q85" s="316">
        <v>6300</v>
      </c>
      <c r="R85" s="251"/>
      <c r="S85" s="251"/>
      <c r="T85" s="251"/>
      <c r="U85" s="251"/>
      <c r="V85" s="251"/>
      <c r="W85" s="251"/>
      <c r="X85" s="251"/>
      <c r="Y85" s="251"/>
      <c r="Z85" s="251"/>
      <c r="AA85" s="251"/>
      <c r="AB85" s="251"/>
      <c r="AC85" s="251"/>
      <c r="AD85" s="251"/>
      <c r="AE85" s="251"/>
      <c r="AF85" s="251"/>
      <c r="AG85" s="251"/>
      <c r="AH85" s="251"/>
      <c r="AI85" s="251"/>
      <c r="AJ85" s="252">
        <v>0</v>
      </c>
      <c r="AK85" s="251"/>
      <c r="AL85" s="251"/>
      <c r="AM85" s="251"/>
      <c r="AN85" s="251"/>
      <c r="AO85" s="251"/>
      <c r="AP85" s="251"/>
      <c r="AQ85" s="251"/>
      <c r="AR85" s="251"/>
      <c r="AS85" s="251"/>
      <c r="AT85" s="251"/>
      <c r="AU85" s="251"/>
      <c r="AV85" s="251"/>
      <c r="AW85" s="251"/>
      <c r="AX85" s="251"/>
      <c r="AY85" s="251"/>
      <c r="AZ85" s="251"/>
      <c r="BA85" s="251"/>
      <c r="BB85" s="251"/>
      <c r="BC85" s="252">
        <v>0</v>
      </c>
      <c r="BD85" s="251"/>
      <c r="BE85" s="251"/>
      <c r="BF85" s="251"/>
      <c r="BG85" s="251"/>
      <c r="BH85" s="251"/>
      <c r="BI85" s="251"/>
      <c r="BJ85" s="251"/>
      <c r="BK85" s="251"/>
      <c r="BL85" s="251"/>
      <c r="BM85" s="251"/>
      <c r="BN85" s="251"/>
      <c r="BO85" s="251"/>
      <c r="BP85" s="251"/>
      <c r="BQ85" s="251"/>
      <c r="BR85" s="251"/>
      <c r="BS85" s="251"/>
      <c r="BT85" s="251"/>
      <c r="BU85" s="251"/>
      <c r="BV85" s="316">
        <v>6300</v>
      </c>
      <c r="BW85" s="251"/>
      <c r="BX85" s="251"/>
      <c r="BY85" s="251"/>
      <c r="BZ85" s="251"/>
      <c r="CA85" s="251"/>
      <c r="CB85" s="251"/>
      <c r="CC85" s="251"/>
      <c r="CD85" s="251"/>
      <c r="CE85" s="251"/>
      <c r="CF85" s="251"/>
      <c r="CG85" s="251"/>
      <c r="CH85" s="251"/>
      <c r="CI85" s="251"/>
      <c r="CJ85" s="251"/>
      <c r="CK85" s="251"/>
      <c r="CL85" s="251"/>
      <c r="CM85" s="251"/>
      <c r="CN85" s="251"/>
      <c r="CO85" s="252">
        <v>630</v>
      </c>
      <c r="CP85" s="251"/>
      <c r="CQ85" s="251"/>
      <c r="CR85" s="251"/>
      <c r="CS85" s="251"/>
      <c r="CT85" s="251"/>
      <c r="CU85" s="251"/>
      <c r="CV85" s="251"/>
      <c r="CW85" s="251"/>
      <c r="CX85" s="251"/>
      <c r="CY85" s="251"/>
      <c r="CZ85" s="251"/>
      <c r="DA85" s="251"/>
      <c r="DB85" s="251"/>
      <c r="DC85" s="251"/>
      <c r="DD85" s="251"/>
      <c r="DE85" s="251"/>
      <c r="DF85" s="251"/>
      <c r="DG85" s="251"/>
      <c r="DH85" s="316">
        <v>6930</v>
      </c>
      <c r="DI85" s="251"/>
      <c r="DJ85" s="251"/>
      <c r="DK85" s="251"/>
      <c r="DL85" s="251"/>
      <c r="DM85" s="251"/>
      <c r="DN85" s="251"/>
      <c r="DO85" s="251"/>
      <c r="DP85" s="251"/>
      <c r="DQ85" s="251"/>
      <c r="DR85" s="251"/>
      <c r="DS85" s="251"/>
      <c r="DT85" s="251"/>
      <c r="DU85" s="251"/>
      <c r="DV85" s="251"/>
      <c r="DW85" s="251"/>
      <c r="DX85" s="251"/>
      <c r="DY85" s="251"/>
      <c r="DZ85" s="251"/>
      <c r="EC85" s="73"/>
    </row>
    <row r="86" spans="1:133" ht="25.15" customHeight="1">
      <c r="A86" s="133">
        <f t="shared" si="14"/>
        <v>10</v>
      </c>
      <c r="B86" s="100"/>
      <c r="C86" s="259" t="s">
        <v>277</v>
      </c>
      <c r="D86" s="259"/>
      <c r="E86" s="259"/>
      <c r="F86" s="259"/>
      <c r="G86" s="259"/>
      <c r="H86" s="259"/>
      <c r="I86" s="259"/>
      <c r="J86" s="259"/>
      <c r="K86" s="259"/>
      <c r="L86" s="259"/>
      <c r="M86" s="259"/>
      <c r="N86" s="259"/>
      <c r="O86" s="259"/>
      <c r="P86" s="259"/>
      <c r="Q86" s="316">
        <f>SUM(Q84,Q85)</f>
        <v>11530</v>
      </c>
      <c r="R86" s="316"/>
      <c r="S86" s="316"/>
      <c r="T86" s="316"/>
      <c r="U86" s="316"/>
      <c r="V86" s="316"/>
      <c r="W86" s="316"/>
      <c r="X86" s="316"/>
      <c r="Y86" s="316"/>
      <c r="Z86" s="316"/>
      <c r="AA86" s="316"/>
      <c r="AB86" s="316"/>
      <c r="AC86" s="316"/>
      <c r="AD86" s="316"/>
      <c r="AE86" s="316"/>
      <c r="AF86" s="316"/>
      <c r="AG86" s="316"/>
      <c r="AH86" s="316"/>
      <c r="AI86" s="316"/>
      <c r="AJ86" s="252">
        <v>0</v>
      </c>
      <c r="AK86" s="251"/>
      <c r="AL86" s="251"/>
      <c r="AM86" s="251"/>
      <c r="AN86" s="251"/>
      <c r="AO86" s="251"/>
      <c r="AP86" s="251"/>
      <c r="AQ86" s="251"/>
      <c r="AR86" s="251"/>
      <c r="AS86" s="251"/>
      <c r="AT86" s="251"/>
      <c r="AU86" s="251"/>
      <c r="AV86" s="251"/>
      <c r="AW86" s="251"/>
      <c r="AX86" s="251"/>
      <c r="AY86" s="251"/>
      <c r="AZ86" s="251"/>
      <c r="BA86" s="251"/>
      <c r="BB86" s="251"/>
      <c r="BC86" s="252">
        <v>0</v>
      </c>
      <c r="BD86" s="251"/>
      <c r="BE86" s="251"/>
      <c r="BF86" s="251"/>
      <c r="BG86" s="251"/>
      <c r="BH86" s="251"/>
      <c r="BI86" s="251"/>
      <c r="BJ86" s="251"/>
      <c r="BK86" s="251"/>
      <c r="BL86" s="251"/>
      <c r="BM86" s="251"/>
      <c r="BN86" s="251"/>
      <c r="BO86" s="251"/>
      <c r="BP86" s="251"/>
      <c r="BQ86" s="251"/>
      <c r="BR86" s="251"/>
      <c r="BS86" s="251"/>
      <c r="BT86" s="251"/>
      <c r="BU86" s="251"/>
      <c r="BV86" s="316">
        <v>11500</v>
      </c>
      <c r="BW86" s="251"/>
      <c r="BX86" s="251"/>
      <c r="BY86" s="251"/>
      <c r="BZ86" s="251"/>
      <c r="CA86" s="251"/>
      <c r="CB86" s="251"/>
      <c r="CC86" s="251"/>
      <c r="CD86" s="251"/>
      <c r="CE86" s="251"/>
      <c r="CF86" s="251"/>
      <c r="CG86" s="251"/>
      <c r="CH86" s="251"/>
      <c r="CI86" s="251"/>
      <c r="CJ86" s="251"/>
      <c r="CK86" s="251"/>
      <c r="CL86" s="251"/>
      <c r="CM86" s="251"/>
      <c r="CN86" s="251"/>
      <c r="CO86" s="316">
        <v>1048</v>
      </c>
      <c r="CP86" s="251"/>
      <c r="CQ86" s="251"/>
      <c r="CR86" s="251"/>
      <c r="CS86" s="251"/>
      <c r="CT86" s="251"/>
      <c r="CU86" s="251"/>
      <c r="CV86" s="251"/>
      <c r="CW86" s="251"/>
      <c r="CX86" s="251"/>
      <c r="CY86" s="251"/>
      <c r="CZ86" s="251"/>
      <c r="DA86" s="251"/>
      <c r="DB86" s="251"/>
      <c r="DC86" s="251"/>
      <c r="DD86" s="251"/>
      <c r="DE86" s="251"/>
      <c r="DF86" s="251"/>
      <c r="DG86" s="251"/>
      <c r="DH86" s="316">
        <v>12578</v>
      </c>
      <c r="DI86" s="251"/>
      <c r="DJ86" s="251"/>
      <c r="DK86" s="251"/>
      <c r="DL86" s="251"/>
      <c r="DM86" s="251"/>
      <c r="DN86" s="251"/>
      <c r="DO86" s="251"/>
      <c r="DP86" s="251"/>
      <c r="DQ86" s="251"/>
      <c r="DR86" s="251"/>
      <c r="DS86" s="251"/>
      <c r="DT86" s="251"/>
      <c r="DU86" s="251"/>
      <c r="DV86" s="251"/>
      <c r="DW86" s="251"/>
      <c r="DX86" s="251"/>
      <c r="DY86" s="251"/>
      <c r="DZ86" s="251"/>
      <c r="EC86" s="73"/>
    </row>
    <row r="87" spans="1:133" ht="25.15" customHeight="1">
      <c r="A87" s="133">
        <f t="shared" si="14"/>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EC87" s="73"/>
    </row>
    <row r="88" spans="1:133" ht="25.15" customHeight="1">
      <c r="A88" s="133">
        <f t="shared" si="14"/>
        <v>12</v>
      </c>
      <c r="B88" s="100"/>
      <c r="C88" s="259" t="s">
        <v>292</v>
      </c>
      <c r="D88" s="259"/>
      <c r="E88" s="259"/>
      <c r="F88" s="259"/>
      <c r="G88" s="259"/>
      <c r="H88" s="259"/>
      <c r="I88" s="259"/>
      <c r="J88" s="259"/>
      <c r="K88" s="259"/>
      <c r="L88" s="259"/>
      <c r="M88" s="259"/>
      <c r="N88" s="259"/>
      <c r="O88" s="259"/>
      <c r="P88" s="259"/>
      <c r="Q88" s="258" t="s">
        <v>293</v>
      </c>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9" t="s">
        <v>298</v>
      </c>
      <c r="AV88" s="259"/>
      <c r="AW88" s="259"/>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33">
        <f t="shared" si="14"/>
        <v>13</v>
      </c>
      <c r="B89" s="100"/>
      <c r="C89" s="101"/>
      <c r="D89" s="101"/>
      <c r="E89" s="101"/>
      <c r="F89" s="101"/>
      <c r="G89" s="101"/>
      <c r="H89" s="101"/>
      <c r="I89" s="119"/>
      <c r="J89" s="119"/>
      <c r="K89" s="119"/>
      <c r="L89" s="119"/>
      <c r="M89" s="101"/>
      <c r="N89" s="101"/>
      <c r="O89" s="105"/>
      <c r="P89" s="105"/>
      <c r="Q89" s="259" t="s">
        <v>299</v>
      </c>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c r="AT89" s="259"/>
      <c r="AU89" s="259"/>
      <c r="AV89" s="259"/>
      <c r="AW89" s="259"/>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33">
        <f t="shared" si="14"/>
        <v>14</v>
      </c>
      <c r="B90" s="69"/>
      <c r="C90" s="259" t="s">
        <v>259</v>
      </c>
      <c r="D90" s="259"/>
      <c r="E90" s="259"/>
      <c r="F90" s="259"/>
      <c r="G90" s="259"/>
      <c r="H90" s="259"/>
      <c r="I90" s="259"/>
      <c r="J90" s="259"/>
      <c r="K90" s="259"/>
      <c r="L90" s="259"/>
      <c r="M90" s="259"/>
      <c r="N90" s="259"/>
      <c r="O90" s="259"/>
      <c r="P90" s="259"/>
      <c r="Q90" s="316">
        <v>5230</v>
      </c>
      <c r="R90" s="251"/>
      <c r="S90" s="251"/>
      <c r="T90" s="251"/>
      <c r="U90" s="251"/>
      <c r="V90" s="251"/>
      <c r="W90" s="251"/>
      <c r="X90" s="251"/>
      <c r="Y90" s="251"/>
      <c r="Z90" s="251"/>
      <c r="AA90" s="251"/>
      <c r="AB90" s="251"/>
      <c r="AC90" s="251"/>
      <c r="AD90" s="251"/>
      <c r="AE90" s="251"/>
      <c r="AF90" s="251"/>
      <c r="AG90" s="251"/>
      <c r="AH90" s="251"/>
      <c r="AI90" s="251"/>
      <c r="AJ90" s="252">
        <v>0</v>
      </c>
      <c r="AK90" s="251"/>
      <c r="AL90" s="251"/>
      <c r="AM90" s="251"/>
      <c r="AN90" s="251"/>
      <c r="AO90" s="251"/>
      <c r="AP90" s="251"/>
      <c r="AQ90" s="251"/>
      <c r="AR90" s="251"/>
      <c r="AS90" s="251"/>
      <c r="AT90" s="251"/>
      <c r="AU90" s="251"/>
      <c r="AV90" s="251"/>
      <c r="AW90" s="251"/>
      <c r="AX90" s="251"/>
      <c r="AY90" s="251"/>
      <c r="AZ90" s="251"/>
      <c r="BA90" s="251"/>
      <c r="BB90" s="251"/>
      <c r="BC90" s="252">
        <v>0</v>
      </c>
      <c r="BD90" s="251"/>
      <c r="BE90" s="251"/>
      <c r="BF90" s="251"/>
      <c r="BG90" s="251"/>
      <c r="BH90" s="251"/>
      <c r="BI90" s="251"/>
      <c r="BJ90" s="251"/>
      <c r="BK90" s="251"/>
      <c r="BL90" s="251"/>
      <c r="BM90" s="251"/>
      <c r="BN90" s="251"/>
      <c r="BO90" s="251"/>
      <c r="BP90" s="251"/>
      <c r="BQ90" s="251"/>
      <c r="BR90" s="251"/>
      <c r="BS90" s="251"/>
      <c r="BT90" s="251"/>
      <c r="BU90" s="251"/>
      <c r="BV90" s="316">
        <v>5230</v>
      </c>
      <c r="BW90" s="251"/>
      <c r="BX90" s="251"/>
      <c r="BY90" s="251"/>
      <c r="BZ90" s="251"/>
      <c r="CA90" s="251"/>
      <c r="CB90" s="251"/>
      <c r="CC90" s="251"/>
      <c r="CD90" s="251"/>
      <c r="CE90" s="251"/>
      <c r="CF90" s="251"/>
      <c r="CG90" s="251"/>
      <c r="CH90" s="251"/>
      <c r="CI90" s="251"/>
      <c r="CJ90" s="251"/>
      <c r="CK90" s="251"/>
      <c r="CL90" s="251"/>
      <c r="CM90" s="251"/>
      <c r="CN90" s="251"/>
      <c r="CO90" s="252">
        <v>418</v>
      </c>
      <c r="CP90" s="251"/>
      <c r="CQ90" s="251"/>
      <c r="CR90" s="251"/>
      <c r="CS90" s="251"/>
      <c r="CT90" s="251"/>
      <c r="CU90" s="251"/>
      <c r="CV90" s="251"/>
      <c r="CW90" s="251"/>
      <c r="CX90" s="251"/>
      <c r="CY90" s="251"/>
      <c r="CZ90" s="251"/>
      <c r="DA90" s="251"/>
      <c r="DB90" s="251"/>
      <c r="DC90" s="251"/>
      <c r="DD90" s="251"/>
      <c r="DE90" s="251"/>
      <c r="DF90" s="251"/>
      <c r="DG90" s="251"/>
      <c r="DH90" s="316">
        <v>6648</v>
      </c>
      <c r="DI90" s="251"/>
      <c r="DJ90" s="251"/>
      <c r="DK90" s="251"/>
      <c r="DL90" s="251"/>
      <c r="DM90" s="251"/>
      <c r="DN90" s="251"/>
      <c r="DO90" s="251"/>
      <c r="DP90" s="251"/>
      <c r="DQ90" s="251"/>
      <c r="DR90" s="251"/>
      <c r="DS90" s="251"/>
      <c r="DT90" s="251"/>
      <c r="DU90" s="251"/>
      <c r="DV90" s="251"/>
      <c r="DW90" s="251"/>
      <c r="DX90" s="251"/>
      <c r="DY90" s="251"/>
      <c r="DZ90" s="251"/>
      <c r="EA90" s="107"/>
      <c r="EC90" s="73"/>
    </row>
    <row r="91" spans="1:133" ht="25.15" customHeight="1">
      <c r="A91" s="133">
        <f t="shared" si="14"/>
        <v>15</v>
      </c>
      <c r="B91" s="69"/>
      <c r="C91" s="315" t="s">
        <v>260</v>
      </c>
      <c r="D91" s="259"/>
      <c r="E91" s="259"/>
      <c r="F91" s="259"/>
      <c r="G91" s="259"/>
      <c r="H91" s="259"/>
      <c r="I91" s="259"/>
      <c r="J91" s="259"/>
      <c r="K91" s="259"/>
      <c r="L91" s="259"/>
      <c r="M91" s="259"/>
      <c r="N91" s="259"/>
      <c r="O91" s="259"/>
      <c r="P91" s="259"/>
      <c r="Q91" s="316">
        <v>6300</v>
      </c>
      <c r="R91" s="251"/>
      <c r="S91" s="251"/>
      <c r="T91" s="251"/>
      <c r="U91" s="251"/>
      <c r="V91" s="251"/>
      <c r="W91" s="251"/>
      <c r="X91" s="251"/>
      <c r="Y91" s="251"/>
      <c r="Z91" s="251"/>
      <c r="AA91" s="251"/>
      <c r="AB91" s="251"/>
      <c r="AC91" s="251"/>
      <c r="AD91" s="251"/>
      <c r="AE91" s="251"/>
      <c r="AF91" s="251"/>
      <c r="AG91" s="251"/>
      <c r="AH91" s="251"/>
      <c r="AI91" s="251"/>
      <c r="AJ91" s="252">
        <v>0</v>
      </c>
      <c r="AK91" s="251"/>
      <c r="AL91" s="251"/>
      <c r="AM91" s="251"/>
      <c r="AN91" s="251"/>
      <c r="AO91" s="251"/>
      <c r="AP91" s="251"/>
      <c r="AQ91" s="251"/>
      <c r="AR91" s="251"/>
      <c r="AS91" s="251"/>
      <c r="AT91" s="251"/>
      <c r="AU91" s="251"/>
      <c r="AV91" s="251"/>
      <c r="AW91" s="251"/>
      <c r="AX91" s="251"/>
      <c r="AY91" s="251"/>
      <c r="AZ91" s="251"/>
      <c r="BA91" s="251"/>
      <c r="BB91" s="251"/>
      <c r="BC91" s="252">
        <v>0</v>
      </c>
      <c r="BD91" s="251"/>
      <c r="BE91" s="251"/>
      <c r="BF91" s="251"/>
      <c r="BG91" s="251"/>
      <c r="BH91" s="251"/>
      <c r="BI91" s="251"/>
      <c r="BJ91" s="251"/>
      <c r="BK91" s="251"/>
      <c r="BL91" s="251"/>
      <c r="BM91" s="251"/>
      <c r="BN91" s="251"/>
      <c r="BO91" s="251"/>
      <c r="BP91" s="251"/>
      <c r="BQ91" s="251"/>
      <c r="BR91" s="251"/>
      <c r="BS91" s="251"/>
      <c r="BT91" s="251"/>
      <c r="BU91" s="251"/>
      <c r="BV91" s="316">
        <v>6300</v>
      </c>
      <c r="BW91" s="251"/>
      <c r="BX91" s="251"/>
      <c r="BY91" s="251"/>
      <c r="BZ91" s="251"/>
      <c r="CA91" s="251"/>
      <c r="CB91" s="251"/>
      <c r="CC91" s="251"/>
      <c r="CD91" s="251"/>
      <c r="CE91" s="251"/>
      <c r="CF91" s="251"/>
      <c r="CG91" s="251"/>
      <c r="CH91" s="251"/>
      <c r="CI91" s="251"/>
      <c r="CJ91" s="251"/>
      <c r="CK91" s="251"/>
      <c r="CL91" s="251"/>
      <c r="CM91" s="251"/>
      <c r="CN91" s="251"/>
      <c r="CO91" s="252">
        <v>630</v>
      </c>
      <c r="CP91" s="251"/>
      <c r="CQ91" s="251"/>
      <c r="CR91" s="251"/>
      <c r="CS91" s="251"/>
      <c r="CT91" s="251"/>
      <c r="CU91" s="251"/>
      <c r="CV91" s="251"/>
      <c r="CW91" s="251"/>
      <c r="CX91" s="251"/>
      <c r="CY91" s="251"/>
      <c r="CZ91" s="251"/>
      <c r="DA91" s="251"/>
      <c r="DB91" s="251"/>
      <c r="DC91" s="251"/>
      <c r="DD91" s="251"/>
      <c r="DE91" s="251"/>
      <c r="DF91" s="251"/>
      <c r="DG91" s="251"/>
      <c r="DH91" s="316">
        <v>6930</v>
      </c>
      <c r="DI91" s="251"/>
      <c r="DJ91" s="251"/>
      <c r="DK91" s="251"/>
      <c r="DL91" s="251"/>
      <c r="DM91" s="251"/>
      <c r="DN91" s="251"/>
      <c r="DO91" s="251"/>
      <c r="DP91" s="251"/>
      <c r="DQ91" s="251"/>
      <c r="DR91" s="251"/>
      <c r="DS91" s="251"/>
      <c r="DT91" s="251"/>
      <c r="DU91" s="251"/>
      <c r="DV91" s="251"/>
      <c r="DW91" s="251"/>
      <c r="DX91" s="251"/>
      <c r="DY91" s="251"/>
      <c r="DZ91" s="251"/>
      <c r="EC91" s="73"/>
    </row>
    <row r="92" spans="1:133" ht="25.15" customHeight="1">
      <c r="A92" s="133">
        <f t="shared" si="14"/>
        <v>16</v>
      </c>
      <c r="B92" s="69"/>
      <c r="C92" s="259" t="s">
        <v>277</v>
      </c>
      <c r="D92" s="259"/>
      <c r="E92" s="259"/>
      <c r="F92" s="259"/>
      <c r="G92" s="259"/>
      <c r="H92" s="259"/>
      <c r="I92" s="259"/>
      <c r="J92" s="259"/>
      <c r="K92" s="259"/>
      <c r="L92" s="259"/>
      <c r="M92" s="259"/>
      <c r="N92" s="259"/>
      <c r="O92" s="259"/>
      <c r="P92" s="259"/>
      <c r="Q92" s="316">
        <f>SUM(Q90,Q91)</f>
        <v>11530</v>
      </c>
      <c r="R92" s="316"/>
      <c r="S92" s="316"/>
      <c r="T92" s="316"/>
      <c r="U92" s="316"/>
      <c r="V92" s="316"/>
      <c r="W92" s="316"/>
      <c r="X92" s="316"/>
      <c r="Y92" s="316"/>
      <c r="Z92" s="316"/>
      <c r="AA92" s="316"/>
      <c r="AB92" s="316"/>
      <c r="AC92" s="316"/>
      <c r="AD92" s="316"/>
      <c r="AE92" s="316"/>
      <c r="AF92" s="316"/>
      <c r="AG92" s="316"/>
      <c r="AH92" s="316"/>
      <c r="AI92" s="316"/>
      <c r="AJ92" s="252">
        <v>0</v>
      </c>
      <c r="AK92" s="251"/>
      <c r="AL92" s="251"/>
      <c r="AM92" s="251"/>
      <c r="AN92" s="251"/>
      <c r="AO92" s="251"/>
      <c r="AP92" s="251"/>
      <c r="AQ92" s="251"/>
      <c r="AR92" s="251"/>
      <c r="AS92" s="251"/>
      <c r="AT92" s="251"/>
      <c r="AU92" s="251"/>
      <c r="AV92" s="251"/>
      <c r="AW92" s="251"/>
      <c r="AX92" s="251"/>
      <c r="AY92" s="251"/>
      <c r="AZ92" s="251"/>
      <c r="BA92" s="251"/>
      <c r="BB92" s="251"/>
      <c r="BC92" s="252">
        <v>0</v>
      </c>
      <c r="BD92" s="251"/>
      <c r="BE92" s="251"/>
      <c r="BF92" s="251"/>
      <c r="BG92" s="251"/>
      <c r="BH92" s="251"/>
      <c r="BI92" s="251"/>
      <c r="BJ92" s="251"/>
      <c r="BK92" s="251"/>
      <c r="BL92" s="251"/>
      <c r="BM92" s="251"/>
      <c r="BN92" s="251"/>
      <c r="BO92" s="251"/>
      <c r="BP92" s="251"/>
      <c r="BQ92" s="251"/>
      <c r="BR92" s="251"/>
      <c r="BS92" s="251"/>
      <c r="BT92" s="251"/>
      <c r="BU92" s="251"/>
      <c r="BV92" s="316">
        <v>11500</v>
      </c>
      <c r="BW92" s="251"/>
      <c r="BX92" s="251"/>
      <c r="BY92" s="251"/>
      <c r="BZ92" s="251"/>
      <c r="CA92" s="251"/>
      <c r="CB92" s="251"/>
      <c r="CC92" s="251"/>
      <c r="CD92" s="251"/>
      <c r="CE92" s="251"/>
      <c r="CF92" s="251"/>
      <c r="CG92" s="251"/>
      <c r="CH92" s="251"/>
      <c r="CI92" s="251"/>
      <c r="CJ92" s="251"/>
      <c r="CK92" s="251"/>
      <c r="CL92" s="251"/>
      <c r="CM92" s="251"/>
      <c r="CN92" s="251"/>
      <c r="CO92" s="316">
        <v>1048</v>
      </c>
      <c r="CP92" s="251"/>
      <c r="CQ92" s="251"/>
      <c r="CR92" s="251"/>
      <c r="CS92" s="251"/>
      <c r="CT92" s="251"/>
      <c r="CU92" s="251"/>
      <c r="CV92" s="251"/>
      <c r="CW92" s="251"/>
      <c r="CX92" s="251"/>
      <c r="CY92" s="251"/>
      <c r="CZ92" s="251"/>
      <c r="DA92" s="251"/>
      <c r="DB92" s="251"/>
      <c r="DC92" s="251"/>
      <c r="DD92" s="251"/>
      <c r="DE92" s="251"/>
      <c r="DF92" s="251"/>
      <c r="DG92" s="251"/>
      <c r="DH92" s="316">
        <v>12578</v>
      </c>
      <c r="DI92" s="251"/>
      <c r="DJ92" s="251"/>
      <c r="DK92" s="251"/>
      <c r="DL92" s="251"/>
      <c r="DM92" s="251"/>
      <c r="DN92" s="251"/>
      <c r="DO92" s="251"/>
      <c r="DP92" s="251"/>
      <c r="DQ92" s="251"/>
      <c r="DR92" s="251"/>
      <c r="DS92" s="251"/>
      <c r="DT92" s="251"/>
      <c r="DU92" s="251"/>
      <c r="DV92" s="251"/>
      <c r="DW92" s="251"/>
      <c r="DX92" s="251"/>
      <c r="DY92" s="251"/>
      <c r="DZ92" s="251"/>
      <c r="EC92" s="73"/>
    </row>
    <row r="93" spans="1:133" ht="25.15" customHeight="1">
      <c r="A93" s="133">
        <f t="shared" si="14"/>
        <v>17</v>
      </c>
      <c r="B93" s="100"/>
      <c r="C93" s="276" t="s">
        <v>105</v>
      </c>
      <c r="D93" s="335"/>
      <c r="E93" s="276" t="s">
        <v>104</v>
      </c>
      <c r="F93" s="276"/>
      <c r="G93" s="121"/>
      <c r="H93" s="113"/>
      <c r="I93" s="113"/>
      <c r="J93" s="113"/>
      <c r="K93" s="113"/>
      <c r="L93" s="115"/>
      <c r="M93" s="113"/>
      <c r="N93" s="103"/>
      <c r="O93" s="184"/>
      <c r="P93" s="122"/>
      <c r="Q93" s="338">
        <f>SUM(Q52,Q58,Q64,Q70,Q86,Q92)</f>
        <v>58940</v>
      </c>
      <c r="R93" s="245"/>
      <c r="S93" s="245"/>
      <c r="T93" s="245"/>
      <c r="U93" s="245"/>
      <c r="V93" s="245"/>
      <c r="W93" s="245"/>
      <c r="X93" s="245"/>
      <c r="Y93" s="245"/>
      <c r="Z93" s="245"/>
      <c r="AA93" s="245"/>
      <c r="AB93" s="245"/>
      <c r="AC93" s="245"/>
      <c r="AD93" s="245"/>
      <c r="AE93" s="245"/>
      <c r="AF93" s="245"/>
      <c r="AG93" s="245"/>
      <c r="AH93" s="245"/>
      <c r="AI93" s="245"/>
      <c r="AJ93" s="311">
        <v>0</v>
      </c>
      <c r="AK93" s="245"/>
      <c r="AL93" s="245"/>
      <c r="AM93" s="245"/>
      <c r="AN93" s="245"/>
      <c r="AO93" s="245"/>
      <c r="AP93" s="245"/>
      <c r="AQ93" s="245"/>
      <c r="AR93" s="245"/>
      <c r="AS93" s="245"/>
      <c r="AT93" s="245"/>
      <c r="AU93" s="245"/>
      <c r="AV93" s="245"/>
      <c r="AW93" s="245"/>
      <c r="AX93" s="245"/>
      <c r="AY93" s="245"/>
      <c r="AZ93" s="245"/>
      <c r="BA93" s="245"/>
      <c r="BB93" s="245"/>
      <c r="BC93" s="311">
        <v>0</v>
      </c>
      <c r="BD93" s="245"/>
      <c r="BE93" s="245"/>
      <c r="BF93" s="245"/>
      <c r="BG93" s="245"/>
      <c r="BH93" s="245"/>
      <c r="BI93" s="245"/>
      <c r="BJ93" s="245"/>
      <c r="BK93" s="245"/>
      <c r="BL93" s="245"/>
      <c r="BM93" s="245"/>
      <c r="BN93" s="245"/>
      <c r="BO93" s="245"/>
      <c r="BP93" s="245"/>
      <c r="BQ93" s="245"/>
      <c r="BR93" s="245"/>
      <c r="BS93" s="245"/>
      <c r="BT93" s="245"/>
      <c r="BU93" s="245"/>
      <c r="BV93" s="338">
        <f>SUM(BV52,BV58,BV64,BV70,BV86,BV92)</f>
        <v>58910</v>
      </c>
      <c r="BW93" s="245"/>
      <c r="BX93" s="245"/>
      <c r="BY93" s="245"/>
      <c r="BZ93" s="245"/>
      <c r="CA93" s="245"/>
      <c r="CB93" s="245"/>
      <c r="CC93" s="245"/>
      <c r="CD93" s="245"/>
      <c r="CE93" s="245"/>
      <c r="CF93" s="245"/>
      <c r="CG93" s="245"/>
      <c r="CH93" s="245"/>
      <c r="CI93" s="245"/>
      <c r="CJ93" s="245"/>
      <c r="CK93" s="245"/>
      <c r="CL93" s="245"/>
      <c r="CM93" s="245"/>
      <c r="CN93" s="245"/>
      <c r="CO93" s="338">
        <f>SUM(CO52,CO58,CO64,CO70,CO86,CO92)</f>
        <v>5345</v>
      </c>
      <c r="CP93" s="245"/>
      <c r="CQ93" s="245"/>
      <c r="CR93" s="245"/>
      <c r="CS93" s="245"/>
      <c r="CT93" s="245"/>
      <c r="CU93" s="245"/>
      <c r="CV93" s="245"/>
      <c r="CW93" s="245"/>
      <c r="CX93" s="245"/>
      <c r="CY93" s="245"/>
      <c r="CZ93" s="245"/>
      <c r="DA93" s="245"/>
      <c r="DB93" s="245"/>
      <c r="DC93" s="245"/>
      <c r="DD93" s="245"/>
      <c r="DE93" s="245"/>
      <c r="DF93" s="245"/>
      <c r="DG93" s="245"/>
      <c r="DH93" s="338">
        <f>SUM(DH52,DH58,DH64,DH70,DH86,DH92)</f>
        <v>70315</v>
      </c>
      <c r="DI93" s="245"/>
      <c r="DJ93" s="245"/>
      <c r="DK93" s="245"/>
      <c r="DL93" s="245"/>
      <c r="DM93" s="245"/>
      <c r="DN93" s="245"/>
      <c r="DO93" s="245"/>
      <c r="DP93" s="245"/>
      <c r="DQ93" s="245"/>
      <c r="DR93" s="245"/>
      <c r="DS93" s="245"/>
      <c r="DT93" s="245"/>
      <c r="DU93" s="245"/>
      <c r="DV93" s="245"/>
      <c r="DW93" s="245"/>
      <c r="DX93" s="245"/>
      <c r="DY93" s="245"/>
      <c r="DZ93" s="245"/>
      <c r="EA93" s="122"/>
      <c r="EB93" s="122"/>
      <c r="EC93" s="73"/>
    </row>
    <row r="94" spans="1:133" ht="25.15" customHeight="1">
      <c r="A94" s="133">
        <f t="shared" si="14"/>
        <v>18</v>
      </c>
      <c r="B94" s="100"/>
      <c r="C94" s="259" t="s">
        <v>259</v>
      </c>
      <c r="D94" s="259"/>
      <c r="E94" s="259"/>
      <c r="F94" s="259"/>
      <c r="G94" s="259"/>
      <c r="H94" s="259"/>
      <c r="I94" s="259"/>
      <c r="J94" s="259"/>
      <c r="K94" s="259"/>
      <c r="L94" s="259"/>
      <c r="M94" s="259"/>
      <c r="N94" s="259"/>
      <c r="O94" s="259"/>
      <c r="P94" s="259"/>
      <c r="Q94" s="316">
        <f>SUM(Q50,Q56,Q62,Q68,Q84,Q90)</f>
        <v>27470</v>
      </c>
      <c r="R94" s="251"/>
      <c r="S94" s="251"/>
      <c r="T94" s="251"/>
      <c r="U94" s="251"/>
      <c r="V94" s="251"/>
      <c r="W94" s="251"/>
      <c r="X94" s="251"/>
      <c r="Y94" s="251"/>
      <c r="Z94" s="251"/>
      <c r="AA94" s="251"/>
      <c r="AB94" s="251"/>
      <c r="AC94" s="251"/>
      <c r="AD94" s="251"/>
      <c r="AE94" s="251"/>
      <c r="AF94" s="251"/>
      <c r="AG94" s="251"/>
      <c r="AH94" s="251"/>
      <c r="AI94" s="251"/>
      <c r="AJ94" s="252"/>
      <c r="AK94" s="251"/>
      <c r="AL94" s="251"/>
      <c r="AM94" s="251"/>
      <c r="AN94" s="251"/>
      <c r="AO94" s="251"/>
      <c r="AP94" s="251"/>
      <c r="AQ94" s="251"/>
      <c r="AR94" s="251"/>
      <c r="AS94" s="251"/>
      <c r="AT94" s="251"/>
      <c r="AU94" s="251"/>
      <c r="AV94" s="251"/>
      <c r="AW94" s="251"/>
      <c r="AX94" s="251"/>
      <c r="AY94" s="251"/>
      <c r="AZ94" s="251"/>
      <c r="BA94" s="251"/>
      <c r="BB94" s="251"/>
      <c r="BC94" s="252"/>
      <c r="BD94" s="251"/>
      <c r="BE94" s="251"/>
      <c r="BF94" s="251"/>
      <c r="BG94" s="251"/>
      <c r="BH94" s="251"/>
      <c r="BI94" s="251"/>
      <c r="BJ94" s="251"/>
      <c r="BK94" s="251"/>
      <c r="BL94" s="251"/>
      <c r="BM94" s="251"/>
      <c r="BN94" s="251"/>
      <c r="BO94" s="251"/>
      <c r="BP94" s="251"/>
      <c r="BQ94" s="251"/>
      <c r="BR94" s="251"/>
      <c r="BS94" s="251"/>
      <c r="BT94" s="251"/>
      <c r="BU94" s="251"/>
      <c r="BV94" s="316">
        <f>SUM(BV50,BV56,BV62,BV68,BV84,BV90)</f>
        <v>27470</v>
      </c>
      <c r="BW94" s="251"/>
      <c r="BX94" s="251"/>
      <c r="BY94" s="251"/>
      <c r="BZ94" s="251"/>
      <c r="CA94" s="251"/>
      <c r="CB94" s="251"/>
      <c r="CC94" s="251"/>
      <c r="CD94" s="251"/>
      <c r="CE94" s="251"/>
      <c r="CF94" s="251"/>
      <c r="CG94" s="251"/>
      <c r="CH94" s="251"/>
      <c r="CI94" s="251"/>
      <c r="CJ94" s="251"/>
      <c r="CK94" s="251"/>
      <c r="CL94" s="251"/>
      <c r="CM94" s="251"/>
      <c r="CN94" s="251"/>
      <c r="CO94" s="316">
        <f>SUM(CO50,CO56,CO62,CO68,CO84,CO90)</f>
        <v>2195</v>
      </c>
      <c r="CP94" s="251"/>
      <c r="CQ94" s="251"/>
      <c r="CR94" s="251"/>
      <c r="CS94" s="251"/>
      <c r="CT94" s="251"/>
      <c r="CU94" s="251"/>
      <c r="CV94" s="251"/>
      <c r="CW94" s="251"/>
      <c r="CX94" s="251"/>
      <c r="CY94" s="251"/>
      <c r="CZ94" s="251"/>
      <c r="DA94" s="251"/>
      <c r="DB94" s="251"/>
      <c r="DC94" s="251"/>
      <c r="DD94" s="251"/>
      <c r="DE94" s="251"/>
      <c r="DF94" s="251"/>
      <c r="DG94" s="251"/>
      <c r="DH94" s="316">
        <f>SUM(DH50,DH56,DH62,DH68,DH84,DH90)</f>
        <v>34665</v>
      </c>
      <c r="DI94" s="251"/>
      <c r="DJ94" s="251"/>
      <c r="DK94" s="251"/>
      <c r="DL94" s="251"/>
      <c r="DM94" s="251"/>
      <c r="DN94" s="251"/>
      <c r="DO94" s="251"/>
      <c r="DP94" s="251"/>
      <c r="DQ94" s="251"/>
      <c r="DR94" s="251"/>
      <c r="DS94" s="251"/>
      <c r="DT94" s="251"/>
      <c r="DU94" s="251"/>
      <c r="DV94" s="251"/>
      <c r="DW94" s="251"/>
      <c r="DX94" s="251"/>
      <c r="DY94" s="251"/>
      <c r="DZ94" s="251"/>
      <c r="EC94" s="73"/>
    </row>
    <row r="95" spans="1:133" ht="25.15" customHeight="1">
      <c r="A95" s="133">
        <f t="shared" si="14"/>
        <v>19</v>
      </c>
      <c r="B95" s="69"/>
      <c r="C95" s="315" t="s">
        <v>260</v>
      </c>
      <c r="D95" s="259"/>
      <c r="E95" s="259"/>
      <c r="F95" s="259"/>
      <c r="G95" s="259"/>
      <c r="H95" s="259"/>
      <c r="I95" s="259"/>
      <c r="J95" s="259"/>
      <c r="K95" s="259"/>
      <c r="L95" s="259"/>
      <c r="M95" s="259"/>
      <c r="N95" s="259"/>
      <c r="O95" s="259"/>
      <c r="P95" s="259"/>
      <c r="Q95" s="316">
        <f>SUM(Q51,Q57,Q63,Q69,Q85,Q91)</f>
        <v>31500</v>
      </c>
      <c r="R95" s="251"/>
      <c r="S95" s="251"/>
      <c r="T95" s="251"/>
      <c r="U95" s="251"/>
      <c r="V95" s="251"/>
      <c r="W95" s="251"/>
      <c r="X95" s="251"/>
      <c r="Y95" s="251"/>
      <c r="Z95" s="251"/>
      <c r="AA95" s="251"/>
      <c r="AB95" s="251"/>
      <c r="AC95" s="251"/>
      <c r="AD95" s="251"/>
      <c r="AE95" s="251"/>
      <c r="AF95" s="251"/>
      <c r="AG95" s="251"/>
      <c r="AH95" s="251"/>
      <c r="AI95" s="251"/>
      <c r="AJ95" s="252"/>
      <c r="AK95" s="251"/>
      <c r="AL95" s="251"/>
      <c r="AM95" s="251"/>
      <c r="AN95" s="251"/>
      <c r="AO95" s="251"/>
      <c r="AP95" s="251"/>
      <c r="AQ95" s="251"/>
      <c r="AR95" s="251"/>
      <c r="AS95" s="251"/>
      <c r="AT95" s="251"/>
      <c r="AU95" s="251"/>
      <c r="AV95" s="251"/>
      <c r="AW95" s="251"/>
      <c r="AX95" s="251"/>
      <c r="AY95" s="251"/>
      <c r="AZ95" s="251"/>
      <c r="BA95" s="251"/>
      <c r="BB95" s="251"/>
      <c r="BC95" s="252"/>
      <c r="BD95" s="251"/>
      <c r="BE95" s="251"/>
      <c r="BF95" s="251"/>
      <c r="BG95" s="251"/>
      <c r="BH95" s="251"/>
      <c r="BI95" s="251"/>
      <c r="BJ95" s="251"/>
      <c r="BK95" s="251"/>
      <c r="BL95" s="251"/>
      <c r="BM95" s="251"/>
      <c r="BN95" s="251"/>
      <c r="BO95" s="251"/>
      <c r="BP95" s="251"/>
      <c r="BQ95" s="251"/>
      <c r="BR95" s="251"/>
      <c r="BS95" s="251"/>
      <c r="BT95" s="251"/>
      <c r="BU95" s="251"/>
      <c r="BV95" s="316">
        <f>SUM(BV51,BV57,BV63,BV69,BV85,BV91)</f>
        <v>31500</v>
      </c>
      <c r="BW95" s="251"/>
      <c r="BX95" s="251"/>
      <c r="BY95" s="251"/>
      <c r="BZ95" s="251"/>
      <c r="CA95" s="251"/>
      <c r="CB95" s="251"/>
      <c r="CC95" s="251"/>
      <c r="CD95" s="251"/>
      <c r="CE95" s="251"/>
      <c r="CF95" s="251"/>
      <c r="CG95" s="251"/>
      <c r="CH95" s="251"/>
      <c r="CI95" s="251"/>
      <c r="CJ95" s="251"/>
      <c r="CK95" s="251"/>
      <c r="CL95" s="251"/>
      <c r="CM95" s="251"/>
      <c r="CN95" s="251"/>
      <c r="CO95" s="316">
        <f>SUM(CO51,CO57,CO63,CO69,CO85,CO91)</f>
        <v>3150</v>
      </c>
      <c r="CP95" s="251"/>
      <c r="CQ95" s="251"/>
      <c r="CR95" s="251"/>
      <c r="CS95" s="251"/>
      <c r="CT95" s="251"/>
      <c r="CU95" s="251"/>
      <c r="CV95" s="251"/>
      <c r="CW95" s="251"/>
      <c r="CX95" s="251"/>
      <c r="CY95" s="251"/>
      <c r="CZ95" s="251"/>
      <c r="DA95" s="251"/>
      <c r="DB95" s="251"/>
      <c r="DC95" s="251"/>
      <c r="DD95" s="251"/>
      <c r="DE95" s="251"/>
      <c r="DF95" s="251"/>
      <c r="DG95" s="251"/>
      <c r="DH95" s="316">
        <f>SUM(DH51,DH57,DH63,DH69,DH85,DH91)</f>
        <v>37650</v>
      </c>
      <c r="DI95" s="251"/>
      <c r="DJ95" s="251"/>
      <c r="DK95" s="251"/>
      <c r="DL95" s="251"/>
      <c r="DM95" s="251"/>
      <c r="DN95" s="251"/>
      <c r="DO95" s="251"/>
      <c r="DP95" s="251"/>
      <c r="DQ95" s="251"/>
      <c r="DR95" s="251"/>
      <c r="DS95" s="251"/>
      <c r="DT95" s="251"/>
      <c r="DU95" s="251"/>
      <c r="DV95" s="251"/>
      <c r="DW95" s="251"/>
      <c r="DX95" s="251"/>
      <c r="DY95" s="251"/>
      <c r="DZ95" s="251"/>
      <c r="EC95" s="73"/>
    </row>
    <row r="96" spans="1:133" ht="25.15" customHeight="1">
      <c r="A96" s="133">
        <f t="shared" si="14"/>
        <v>20</v>
      </c>
      <c r="B96" s="69"/>
      <c r="C96" s="315"/>
      <c r="D96" s="259"/>
      <c r="E96" s="259"/>
      <c r="F96" s="259"/>
      <c r="G96" s="259"/>
      <c r="H96" s="259"/>
      <c r="I96" s="259"/>
      <c r="J96" s="259"/>
      <c r="K96" s="259"/>
      <c r="L96" s="259"/>
      <c r="M96" s="259"/>
      <c r="N96" s="259"/>
      <c r="O96" s="259"/>
      <c r="P96" s="259"/>
      <c r="Q96" s="316"/>
      <c r="R96" s="251"/>
      <c r="S96" s="251"/>
      <c r="T96" s="251"/>
      <c r="U96" s="251"/>
      <c r="V96" s="251"/>
      <c r="W96" s="251"/>
      <c r="X96" s="251"/>
      <c r="Y96" s="251"/>
      <c r="Z96" s="251"/>
      <c r="AA96" s="251"/>
      <c r="AB96" s="251"/>
      <c r="AC96" s="251"/>
      <c r="AD96" s="251"/>
      <c r="AE96" s="251"/>
      <c r="AF96" s="251"/>
      <c r="AG96" s="251"/>
      <c r="AH96" s="251"/>
      <c r="AI96" s="251"/>
      <c r="AJ96" s="252"/>
      <c r="AK96" s="251"/>
      <c r="AL96" s="251"/>
      <c r="AM96" s="251"/>
      <c r="AN96" s="251"/>
      <c r="AO96" s="251"/>
      <c r="AP96" s="251"/>
      <c r="AQ96" s="251"/>
      <c r="AR96" s="251"/>
      <c r="AS96" s="251"/>
      <c r="AT96" s="251"/>
      <c r="AU96" s="251"/>
      <c r="AV96" s="251"/>
      <c r="AW96" s="251"/>
      <c r="AX96" s="251"/>
      <c r="AY96" s="251"/>
      <c r="AZ96" s="251"/>
      <c r="BA96" s="251"/>
      <c r="BB96" s="251"/>
      <c r="BC96" s="252"/>
      <c r="BD96" s="251"/>
      <c r="BE96" s="251"/>
      <c r="BF96" s="251"/>
      <c r="BG96" s="251"/>
      <c r="BH96" s="251"/>
      <c r="BI96" s="251"/>
      <c r="BJ96" s="251"/>
      <c r="BK96" s="251"/>
      <c r="BL96" s="251"/>
      <c r="BM96" s="251"/>
      <c r="BN96" s="251"/>
      <c r="BO96" s="251"/>
      <c r="BP96" s="251"/>
      <c r="BQ96" s="251"/>
      <c r="BR96" s="251"/>
      <c r="BS96" s="251"/>
      <c r="BT96" s="251"/>
      <c r="BU96" s="251"/>
      <c r="BV96" s="316"/>
      <c r="BW96" s="251"/>
      <c r="BX96" s="251"/>
      <c r="BY96" s="251"/>
      <c r="BZ96" s="251"/>
      <c r="CA96" s="251"/>
      <c r="CB96" s="251"/>
      <c r="CC96" s="251"/>
      <c r="CD96" s="251"/>
      <c r="CE96" s="251"/>
      <c r="CF96" s="251"/>
      <c r="CG96" s="251"/>
      <c r="CH96" s="251"/>
      <c r="CI96" s="251"/>
      <c r="CJ96" s="251"/>
      <c r="CK96" s="251"/>
      <c r="CL96" s="251"/>
      <c r="CM96" s="251"/>
      <c r="CN96" s="251"/>
      <c r="CO96" s="252"/>
      <c r="CP96" s="251"/>
      <c r="CQ96" s="251"/>
      <c r="CR96" s="251"/>
      <c r="CS96" s="251"/>
      <c r="CT96" s="251"/>
      <c r="CU96" s="251"/>
      <c r="CV96" s="251"/>
      <c r="CW96" s="251"/>
      <c r="CX96" s="251"/>
      <c r="CY96" s="251"/>
      <c r="CZ96" s="251"/>
      <c r="DA96" s="251"/>
      <c r="DB96" s="251"/>
      <c r="DC96" s="251"/>
      <c r="DD96" s="251"/>
      <c r="DE96" s="251"/>
      <c r="DF96" s="251"/>
      <c r="DG96" s="251"/>
      <c r="DH96" s="316"/>
      <c r="DI96" s="251"/>
      <c r="DJ96" s="251"/>
      <c r="DK96" s="251"/>
      <c r="DL96" s="251"/>
      <c r="DM96" s="251"/>
      <c r="DN96" s="251"/>
      <c r="DO96" s="251"/>
      <c r="DP96" s="251"/>
      <c r="DQ96" s="251"/>
      <c r="DR96" s="251"/>
      <c r="DS96" s="251"/>
      <c r="DT96" s="251"/>
      <c r="DU96" s="251"/>
      <c r="DV96" s="251"/>
      <c r="DW96" s="251"/>
      <c r="DX96" s="251"/>
      <c r="DY96" s="251"/>
      <c r="DZ96" s="251"/>
      <c r="EC96" s="73"/>
    </row>
    <row r="97" spans="1:133" ht="25.15" customHeight="1">
      <c r="A97" s="133">
        <f t="shared" si="14"/>
        <v>21</v>
      </c>
      <c r="B97" s="69"/>
      <c r="C97" s="266"/>
      <c r="D97" s="296"/>
      <c r="E97" s="266"/>
      <c r="F97" s="266"/>
      <c r="G97" s="92"/>
      <c r="H97" s="92"/>
      <c r="I97" s="107"/>
      <c r="J97" s="105"/>
      <c r="K97" s="107"/>
      <c r="L97" s="107"/>
      <c r="M97" s="101"/>
      <c r="N97" s="101"/>
      <c r="O97" s="107"/>
      <c r="P97" s="105"/>
      <c r="Q97" s="316"/>
      <c r="R97" s="251"/>
      <c r="S97" s="251"/>
      <c r="T97" s="251"/>
      <c r="U97" s="251"/>
      <c r="V97" s="251"/>
      <c r="W97" s="251"/>
      <c r="X97" s="251"/>
      <c r="Y97" s="251"/>
      <c r="Z97" s="251"/>
      <c r="AA97" s="251"/>
      <c r="AB97" s="251"/>
      <c r="AC97" s="251"/>
      <c r="AD97" s="251"/>
      <c r="AE97" s="251"/>
      <c r="AF97" s="251"/>
      <c r="AG97" s="251"/>
      <c r="AH97" s="251"/>
      <c r="AI97" s="251"/>
      <c r="AJ97" s="252"/>
      <c r="AK97" s="251"/>
      <c r="AL97" s="251"/>
      <c r="AM97" s="251"/>
      <c r="AN97" s="251"/>
      <c r="AO97" s="251"/>
      <c r="AP97" s="251"/>
      <c r="AQ97" s="251"/>
      <c r="AR97" s="251"/>
      <c r="AS97" s="251"/>
      <c r="AT97" s="251"/>
      <c r="AU97" s="251"/>
      <c r="AV97" s="251"/>
      <c r="AW97" s="251"/>
      <c r="AX97" s="251"/>
      <c r="AY97" s="251"/>
      <c r="AZ97" s="251"/>
      <c r="BA97" s="251"/>
      <c r="BB97" s="251"/>
      <c r="BC97" s="252"/>
      <c r="BD97" s="251"/>
      <c r="BE97" s="251"/>
      <c r="BF97" s="251"/>
      <c r="BG97" s="251"/>
      <c r="BH97" s="251"/>
      <c r="BI97" s="251"/>
      <c r="BJ97" s="251"/>
      <c r="BK97" s="251"/>
      <c r="BL97" s="251"/>
      <c r="BM97" s="251"/>
      <c r="BN97" s="251"/>
      <c r="BO97" s="251"/>
      <c r="BP97" s="251"/>
      <c r="BQ97" s="251"/>
      <c r="BR97" s="251"/>
      <c r="BS97" s="251"/>
      <c r="BT97" s="251"/>
      <c r="BU97" s="251"/>
      <c r="BV97" s="316"/>
      <c r="BW97" s="251"/>
      <c r="BX97" s="251"/>
      <c r="BY97" s="251"/>
      <c r="BZ97" s="251"/>
      <c r="CA97" s="251"/>
      <c r="CB97" s="251"/>
      <c r="CC97" s="251"/>
      <c r="CD97" s="251"/>
      <c r="CE97" s="251"/>
      <c r="CF97" s="251"/>
      <c r="CG97" s="251"/>
      <c r="CH97" s="251"/>
      <c r="CI97" s="251"/>
      <c r="CJ97" s="251"/>
      <c r="CK97" s="251"/>
      <c r="CL97" s="251"/>
      <c r="CM97" s="251"/>
      <c r="CN97" s="251"/>
      <c r="CO97" s="252"/>
      <c r="CP97" s="251"/>
      <c r="CQ97" s="251"/>
      <c r="CR97" s="251"/>
      <c r="CS97" s="251"/>
      <c r="CT97" s="251"/>
      <c r="CU97" s="251"/>
      <c r="CV97" s="251"/>
      <c r="CW97" s="251"/>
      <c r="CX97" s="251"/>
      <c r="CY97" s="251"/>
      <c r="CZ97" s="251"/>
      <c r="DA97" s="251"/>
      <c r="DB97" s="251"/>
      <c r="DC97" s="251"/>
      <c r="DD97" s="251"/>
      <c r="DE97" s="251"/>
      <c r="DF97" s="251"/>
      <c r="DG97" s="251"/>
      <c r="DH97" s="316"/>
      <c r="DI97" s="251"/>
      <c r="DJ97" s="251"/>
      <c r="DK97" s="251"/>
      <c r="DL97" s="251"/>
      <c r="DM97" s="251"/>
      <c r="DN97" s="251"/>
      <c r="DO97" s="251"/>
      <c r="DP97" s="251"/>
      <c r="DQ97" s="251"/>
      <c r="DR97" s="251"/>
      <c r="DS97" s="251"/>
      <c r="DT97" s="251"/>
      <c r="DU97" s="251"/>
      <c r="DV97" s="251"/>
      <c r="DW97" s="251"/>
      <c r="DX97" s="251"/>
      <c r="DY97" s="251"/>
      <c r="DZ97" s="251"/>
      <c r="EC97" s="73"/>
    </row>
    <row r="98" spans="1:133" ht="24.6" customHeight="1">
      <c r="A98" s="133">
        <f t="shared" si="14"/>
        <v>22</v>
      </c>
      <c r="B98" s="100"/>
      <c r="C98" s="101"/>
      <c r="D98" s="101"/>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11"/>
      <c r="AJ98" s="111"/>
      <c r="AK98" s="111"/>
      <c r="AL98" s="111"/>
      <c r="AM98" s="111"/>
      <c r="AN98" s="111"/>
      <c r="AO98" s="111"/>
      <c r="AP98" s="111"/>
      <c r="AQ98" s="111"/>
      <c r="AR98" s="111"/>
      <c r="AS98" s="111"/>
      <c r="AT98" s="111"/>
      <c r="AU98" s="111"/>
      <c r="AV98" s="111"/>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1"/>
      <c r="BW98" s="102"/>
      <c r="BX98" s="105"/>
      <c r="BY98" s="105"/>
      <c r="BZ98" s="105"/>
      <c r="CA98" s="105"/>
      <c r="CB98" s="105"/>
      <c r="CC98" s="105"/>
      <c r="CD98" s="105"/>
      <c r="CE98" s="105"/>
      <c r="CF98" s="105"/>
      <c r="CG98" s="105"/>
      <c r="CH98" s="105"/>
      <c r="CI98" s="105"/>
      <c r="CJ98" s="105"/>
      <c r="CK98" s="105"/>
      <c r="CL98" s="105"/>
      <c r="CM98" s="105"/>
      <c r="CN98" s="105"/>
      <c r="CO98" s="105"/>
      <c r="CP98" s="105"/>
      <c r="CQ98" s="105"/>
      <c r="CR98" s="105"/>
      <c r="CS98" s="105"/>
      <c r="CT98" s="105"/>
      <c r="CU98" s="105"/>
      <c r="CV98" s="105"/>
      <c r="CW98" s="105"/>
      <c r="CX98" s="105"/>
      <c r="CY98" s="105"/>
      <c r="CZ98" s="105"/>
      <c r="DA98" s="105"/>
      <c r="DB98" s="105"/>
      <c r="DC98" s="105"/>
      <c r="DD98" s="105"/>
      <c r="DE98" s="105"/>
      <c r="DF98" s="105"/>
      <c r="DG98" s="106"/>
      <c r="DH98" s="106"/>
      <c r="DI98" s="105"/>
      <c r="DJ98" s="105"/>
      <c r="DK98" s="105"/>
      <c r="DL98" s="105"/>
      <c r="DM98" s="92"/>
      <c r="DN98" s="92"/>
      <c r="DO98" s="92"/>
      <c r="DP98" s="92"/>
      <c r="DQ98" s="92"/>
      <c r="DR98" s="110"/>
      <c r="DS98" s="110"/>
      <c r="DT98" s="92"/>
      <c r="DU98" s="92"/>
      <c r="DV98" s="92"/>
      <c r="DW98" s="92"/>
      <c r="DX98" s="92"/>
      <c r="DY98" s="107"/>
      <c r="DZ98" s="107"/>
      <c r="EA98" s="92"/>
      <c r="EB98" s="71"/>
      <c r="EC98" s="73"/>
    </row>
    <row r="99" spans="1:133" s="47" customFormat="1" ht="25.15" customHeight="1">
      <c r="A99" s="133">
        <f t="shared" si="14"/>
        <v>23</v>
      </c>
      <c r="B99" s="69"/>
      <c r="C99" s="255" t="s">
        <v>245</v>
      </c>
      <c r="D99" s="255"/>
      <c r="E99" s="255"/>
      <c r="F99" s="255"/>
      <c r="G99" s="255"/>
      <c r="H99" s="255"/>
      <c r="I99" s="255"/>
      <c r="J99" s="255"/>
      <c r="K99" s="255"/>
      <c r="L99" s="255"/>
      <c r="M99" s="255"/>
      <c r="N99" s="255"/>
      <c r="O99" s="255"/>
      <c r="P99" s="255"/>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105"/>
      <c r="BT99" s="92"/>
      <c r="BU99" s="72"/>
      <c r="BV99" s="92"/>
      <c r="BW99" s="255" t="s">
        <v>246</v>
      </c>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c r="DM99" s="255"/>
      <c r="DN99" s="255"/>
      <c r="DO99" s="255"/>
      <c r="DP99" s="255"/>
      <c r="DQ99" s="255"/>
      <c r="DR99" s="255"/>
      <c r="DS99" s="255"/>
      <c r="DT99" s="255"/>
      <c r="DU99" s="255"/>
      <c r="DV99" s="255"/>
      <c r="DW99" s="255"/>
      <c r="DX99" s="255"/>
      <c r="DY99" s="255"/>
      <c r="DZ99" s="255"/>
      <c r="EA99" s="255"/>
      <c r="EB99" s="255"/>
      <c r="EC99" s="73"/>
    </row>
    <row r="100" spans="1:133" s="179" customFormat="1" ht="25.15" customHeight="1">
      <c r="A100" s="133">
        <f t="shared" si="14"/>
        <v>24</v>
      </c>
      <c r="B100" s="176"/>
      <c r="C100" s="323" t="s">
        <v>244</v>
      </c>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23"/>
      <c r="AH100" s="323"/>
      <c r="AI100" s="323"/>
      <c r="AJ100" s="323"/>
      <c r="AK100" s="323"/>
      <c r="AL100" s="323"/>
      <c r="AM100" s="323"/>
      <c r="AN100" s="323"/>
      <c r="AO100" s="323"/>
      <c r="AP100" s="323"/>
      <c r="AQ100" s="323"/>
      <c r="AR100" s="323"/>
      <c r="AS100" s="323"/>
      <c r="AT100" s="323"/>
      <c r="AU100" s="323"/>
      <c r="AV100" s="323"/>
      <c r="AW100" s="323"/>
      <c r="AX100" s="323"/>
      <c r="AY100" s="323"/>
      <c r="AZ100" s="323"/>
      <c r="BA100" s="323"/>
      <c r="BB100" s="158"/>
      <c r="BC100" s="158"/>
      <c r="BD100" s="158"/>
      <c r="BE100" s="158"/>
      <c r="BF100" s="158"/>
      <c r="BG100" s="158"/>
      <c r="BH100" s="178"/>
      <c r="BI100" s="178"/>
      <c r="BJ100" s="178"/>
      <c r="BK100" s="178"/>
      <c r="BL100" s="171"/>
      <c r="BM100" s="158"/>
      <c r="BN100" s="158"/>
      <c r="BO100" s="260" t="s">
        <v>113</v>
      </c>
      <c r="BP100" s="260"/>
      <c r="BQ100" s="260" t="s">
        <v>103</v>
      </c>
      <c r="BR100" s="260"/>
      <c r="BV100" s="118"/>
      <c r="BW100" s="256" t="s">
        <v>114</v>
      </c>
      <c r="BX100" s="256"/>
      <c r="BY100" s="256"/>
      <c r="BZ100" s="256"/>
      <c r="CA100" s="256"/>
      <c r="CB100" s="256"/>
      <c r="CC100" s="256"/>
      <c r="CD100" s="256"/>
      <c r="CE100" s="256"/>
      <c r="CF100" s="256"/>
      <c r="CG100" s="256"/>
      <c r="CH100" s="256"/>
      <c r="CI100" s="256"/>
      <c r="CJ100" s="256"/>
      <c r="CK100" s="256"/>
      <c r="CL100" s="256"/>
      <c r="CM100" s="256"/>
      <c r="CN100" s="256"/>
      <c r="CO100" s="256"/>
      <c r="CP100" s="256"/>
      <c r="CQ100" s="256"/>
      <c r="CR100" s="256"/>
      <c r="CS100" s="256"/>
      <c r="CT100" s="256"/>
      <c r="CU100" s="256"/>
      <c r="CV100" s="256"/>
      <c r="CW100" s="256"/>
      <c r="CX100" s="256"/>
      <c r="CY100" s="256"/>
      <c r="CZ100" s="256"/>
      <c r="DA100" s="256"/>
      <c r="DB100" s="256"/>
      <c r="DC100" s="256"/>
      <c r="DD100" s="256"/>
      <c r="DE100" s="256"/>
      <c r="DF100" s="256"/>
      <c r="DG100" s="256"/>
      <c r="DH100" s="256"/>
      <c r="DI100" s="256"/>
      <c r="DJ100" s="256"/>
      <c r="DK100" s="256"/>
      <c r="DL100" s="257" t="s">
        <v>247</v>
      </c>
      <c r="DM100" s="257"/>
      <c r="DN100" s="257"/>
      <c r="DO100" s="257"/>
      <c r="DP100" s="257"/>
      <c r="DQ100" s="257"/>
      <c r="DR100" s="257"/>
      <c r="DS100" s="257"/>
      <c r="DT100" s="257"/>
      <c r="DU100" s="257"/>
      <c r="DV100" s="257"/>
      <c r="DW100" s="257"/>
      <c r="DX100" s="257"/>
      <c r="DY100" s="257"/>
      <c r="DZ100" s="257"/>
      <c r="EA100" s="257"/>
      <c r="EB100" s="257"/>
      <c r="EC100" s="180"/>
    </row>
    <row r="101" spans="1:133" s="47" customFormat="1" ht="25.15" customHeight="1">
      <c r="A101" s="133">
        <f t="shared" si="14"/>
        <v>25</v>
      </c>
      <c r="B101" s="69"/>
      <c r="C101" s="254" t="s">
        <v>266</v>
      </c>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324">
        <f>SUM(DH52,DH58)</f>
        <v>20623</v>
      </c>
      <c r="BC101" s="253"/>
      <c r="BD101" s="253"/>
      <c r="BE101" s="253"/>
      <c r="BF101" s="253"/>
      <c r="BG101" s="253"/>
      <c r="BH101" s="253"/>
      <c r="BI101" s="253"/>
      <c r="BJ101" s="253"/>
      <c r="BK101" s="253"/>
      <c r="BL101" s="253"/>
      <c r="BM101" s="253"/>
      <c r="BN101" s="253"/>
      <c r="BO101" s="253"/>
      <c r="BP101" s="253"/>
      <c r="BQ101" s="253"/>
      <c r="BR101" s="253"/>
      <c r="BS101" s="107"/>
      <c r="BT101" s="107"/>
      <c r="BU101" s="107"/>
      <c r="BV101" s="92"/>
      <c r="BW101" s="254" t="s">
        <v>269</v>
      </c>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324">
        <f>SUM(DH52)</f>
        <v>13578</v>
      </c>
      <c r="DM101" s="324"/>
      <c r="DN101" s="324"/>
      <c r="DO101" s="324"/>
      <c r="DP101" s="324"/>
      <c r="DQ101" s="324"/>
      <c r="DR101" s="324"/>
      <c r="DS101" s="324"/>
      <c r="DT101" s="324"/>
      <c r="DU101" s="324"/>
      <c r="DV101" s="324"/>
      <c r="DW101" s="324"/>
      <c r="DX101" s="324"/>
      <c r="DY101" s="324"/>
      <c r="DZ101" s="324"/>
      <c r="EA101" s="324"/>
      <c r="EB101" s="324"/>
      <c r="EC101" s="73"/>
    </row>
    <row r="102" spans="1:133" s="47" customFormat="1" ht="25.15" customHeight="1">
      <c r="A102" s="133">
        <f t="shared" si="14"/>
        <v>26</v>
      </c>
      <c r="B102" s="69"/>
      <c r="C102" s="248" t="s">
        <v>267</v>
      </c>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325">
        <f>SUM(DH64,DH70)</f>
        <v>24536</v>
      </c>
      <c r="BC102" s="247"/>
      <c r="BD102" s="247"/>
      <c r="BE102" s="247"/>
      <c r="BF102" s="247"/>
      <c r="BG102" s="247"/>
      <c r="BH102" s="247"/>
      <c r="BI102" s="247"/>
      <c r="BJ102" s="247"/>
      <c r="BK102" s="247"/>
      <c r="BL102" s="247"/>
      <c r="BM102" s="247"/>
      <c r="BN102" s="247"/>
      <c r="BO102" s="247"/>
      <c r="BP102" s="247"/>
      <c r="BQ102" s="247"/>
      <c r="BR102" s="247"/>
      <c r="BS102" s="107"/>
      <c r="BT102" s="107"/>
      <c r="BU102" s="107"/>
      <c r="BV102" s="92"/>
      <c r="BW102" s="248" t="s">
        <v>270</v>
      </c>
      <c r="BX102" s="248"/>
      <c r="BY102" s="248"/>
      <c r="BZ102" s="248"/>
      <c r="CA102" s="248"/>
      <c r="CB102" s="248"/>
      <c r="CC102" s="248"/>
      <c r="CD102" s="248"/>
      <c r="CE102" s="248"/>
      <c r="CF102" s="248"/>
      <c r="CG102" s="248"/>
      <c r="CH102" s="248"/>
      <c r="CI102" s="248"/>
      <c r="CJ102" s="248"/>
      <c r="CK102" s="248"/>
      <c r="CL102" s="248"/>
      <c r="CM102" s="248"/>
      <c r="CN102" s="248"/>
      <c r="CO102" s="248"/>
      <c r="CP102" s="248"/>
      <c r="CQ102" s="248"/>
      <c r="CR102" s="248"/>
      <c r="CS102" s="248"/>
      <c r="CT102" s="248"/>
      <c r="CU102" s="248"/>
      <c r="CV102" s="248"/>
      <c r="CW102" s="248"/>
      <c r="CX102" s="248"/>
      <c r="CY102" s="248"/>
      <c r="CZ102" s="248"/>
      <c r="DA102" s="248"/>
      <c r="DB102" s="248"/>
      <c r="DC102" s="248"/>
      <c r="DD102" s="248"/>
      <c r="DE102" s="248"/>
      <c r="DF102" s="248"/>
      <c r="DG102" s="248"/>
      <c r="DH102" s="248"/>
      <c r="DI102" s="248"/>
      <c r="DJ102" s="248"/>
      <c r="DK102" s="248"/>
      <c r="DL102" s="325">
        <f>SUM(DH58)</f>
        <v>7045</v>
      </c>
      <c r="DM102" s="247"/>
      <c r="DN102" s="247"/>
      <c r="DO102" s="247"/>
      <c r="DP102" s="247"/>
      <c r="DQ102" s="247"/>
      <c r="DR102" s="247"/>
      <c r="DS102" s="247"/>
      <c r="DT102" s="247"/>
      <c r="DU102" s="247"/>
      <c r="DV102" s="247"/>
      <c r="DW102" s="247"/>
      <c r="DX102" s="247"/>
      <c r="DY102" s="247"/>
      <c r="DZ102" s="247"/>
      <c r="EA102" s="247"/>
      <c r="EB102" s="247"/>
      <c r="EC102" s="73"/>
    </row>
    <row r="103" spans="1:133" s="47" customFormat="1" ht="25.15" customHeight="1">
      <c r="A103" s="133">
        <f t="shared" si="14"/>
        <v>27</v>
      </c>
      <c r="B103" s="69"/>
      <c r="C103" s="250" t="s">
        <v>268</v>
      </c>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337">
        <f>SUM(DH86,DH92)</f>
        <v>25156</v>
      </c>
      <c r="BC103" s="249"/>
      <c r="BD103" s="249"/>
      <c r="BE103" s="249"/>
      <c r="BF103" s="249"/>
      <c r="BG103" s="249"/>
      <c r="BH103" s="249"/>
      <c r="BI103" s="249"/>
      <c r="BJ103" s="249"/>
      <c r="BK103" s="249"/>
      <c r="BL103" s="249"/>
      <c r="BM103" s="249"/>
      <c r="BN103" s="249"/>
      <c r="BO103" s="249"/>
      <c r="BP103" s="249"/>
      <c r="BQ103" s="249"/>
      <c r="BR103" s="249"/>
      <c r="BS103" s="107"/>
      <c r="BT103" s="107"/>
      <c r="BU103" s="107"/>
      <c r="BV103" s="92"/>
      <c r="BW103" s="250" t="s">
        <v>271</v>
      </c>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337">
        <f>SUM(DH92,DH86,DH70,DH64)</f>
        <v>49692</v>
      </c>
      <c r="DM103" s="249"/>
      <c r="DN103" s="249"/>
      <c r="DO103" s="249"/>
      <c r="DP103" s="249"/>
      <c r="DQ103" s="249"/>
      <c r="DR103" s="249"/>
      <c r="DS103" s="249"/>
      <c r="DT103" s="249"/>
      <c r="DU103" s="249"/>
      <c r="DV103" s="249"/>
      <c r="DW103" s="249"/>
      <c r="DX103" s="249"/>
      <c r="DY103" s="249"/>
      <c r="DZ103" s="249"/>
      <c r="EA103" s="249"/>
      <c r="EB103" s="249"/>
      <c r="EC103" s="73"/>
    </row>
    <row r="104" spans="1:133" s="47" customFormat="1" ht="25.15" customHeight="1">
      <c r="A104" s="133">
        <f t="shared" si="14"/>
        <v>28</v>
      </c>
      <c r="B104" s="69"/>
      <c r="C104" s="246" t="s">
        <v>248</v>
      </c>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c r="AA104" s="246"/>
      <c r="AB104" s="246"/>
      <c r="AC104" s="246"/>
      <c r="AD104" s="246"/>
      <c r="AE104" s="246"/>
      <c r="AF104" s="246"/>
      <c r="AG104" s="246"/>
      <c r="AH104" s="246"/>
      <c r="AI104" s="246"/>
      <c r="AJ104" s="246"/>
      <c r="AK104" s="246"/>
      <c r="AL104" s="246"/>
      <c r="AM104" s="246"/>
      <c r="AN104" s="246"/>
      <c r="AO104" s="246"/>
      <c r="AP104" s="246"/>
      <c r="AQ104" s="246"/>
      <c r="AR104" s="246"/>
      <c r="AS104" s="246"/>
      <c r="AT104" s="246"/>
      <c r="AU104" s="246"/>
      <c r="AV104" s="246"/>
      <c r="AW104" s="246"/>
      <c r="AX104" s="246"/>
      <c r="AY104" s="246"/>
      <c r="AZ104" s="246"/>
      <c r="BA104" s="246"/>
      <c r="BB104" s="322">
        <f>SUM(BB98:BR103)</f>
        <v>70315</v>
      </c>
      <c r="BC104" s="245"/>
      <c r="BD104" s="245"/>
      <c r="BE104" s="245"/>
      <c r="BF104" s="245"/>
      <c r="BG104" s="245"/>
      <c r="BH104" s="245"/>
      <c r="BI104" s="245"/>
      <c r="BJ104" s="245"/>
      <c r="BK104" s="245"/>
      <c r="BL104" s="245"/>
      <c r="BM104" s="245"/>
      <c r="BN104" s="245"/>
      <c r="BO104" s="245"/>
      <c r="BP104" s="245"/>
      <c r="BQ104" s="245"/>
      <c r="BR104" s="245"/>
      <c r="BS104" s="107"/>
      <c r="BT104" s="107"/>
      <c r="BU104" s="107"/>
      <c r="BV104" s="101"/>
      <c r="BW104" s="246" t="s">
        <v>248</v>
      </c>
      <c r="BX104" s="246"/>
      <c r="BY104" s="246"/>
      <c r="BZ104" s="246"/>
      <c r="CA104" s="246"/>
      <c r="CB104" s="246"/>
      <c r="CC104" s="246"/>
      <c r="CD104" s="246"/>
      <c r="CE104" s="246"/>
      <c r="CF104" s="246"/>
      <c r="CG104" s="246"/>
      <c r="CH104" s="246"/>
      <c r="CI104" s="246"/>
      <c r="CJ104" s="246"/>
      <c r="CK104" s="246"/>
      <c r="CL104" s="246"/>
      <c r="CM104" s="246"/>
      <c r="CN104" s="246"/>
      <c r="CO104" s="246"/>
      <c r="CP104" s="246"/>
      <c r="CQ104" s="246"/>
      <c r="CR104" s="246"/>
      <c r="CS104" s="246"/>
      <c r="CT104" s="246"/>
      <c r="CU104" s="246"/>
      <c r="CV104" s="246"/>
      <c r="CW104" s="246"/>
      <c r="CX104" s="246"/>
      <c r="CY104" s="246"/>
      <c r="CZ104" s="246"/>
      <c r="DA104" s="246"/>
      <c r="DB104" s="246"/>
      <c r="DC104" s="246"/>
      <c r="DD104" s="246"/>
      <c r="DE104" s="246"/>
      <c r="DF104" s="246"/>
      <c r="DG104" s="246"/>
      <c r="DH104" s="246"/>
      <c r="DI104" s="246"/>
      <c r="DJ104" s="246"/>
      <c r="DK104" s="246"/>
      <c r="DL104" s="322">
        <f>SUM(DL98:EB103)</f>
        <v>70315</v>
      </c>
      <c r="DM104" s="245"/>
      <c r="DN104" s="245"/>
      <c r="DO104" s="245"/>
      <c r="DP104" s="245"/>
      <c r="DQ104" s="245"/>
      <c r="DR104" s="245"/>
      <c r="DS104" s="245"/>
      <c r="DT104" s="245"/>
      <c r="DU104" s="245"/>
      <c r="DV104" s="245"/>
      <c r="DW104" s="245"/>
      <c r="DX104" s="245"/>
      <c r="DY104" s="245"/>
      <c r="DZ104" s="245"/>
      <c r="EA104" s="245"/>
      <c r="EB104" s="245"/>
      <c r="EC104" s="73"/>
    </row>
    <row r="105" spans="1:133" s="47" customFormat="1" ht="25.15" customHeight="1">
      <c r="A105" s="133">
        <f t="shared" si="14"/>
        <v>29</v>
      </c>
      <c r="B105" s="6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59"/>
      <c r="AQ105" s="259"/>
      <c r="AR105" s="259"/>
      <c r="AS105" s="259"/>
      <c r="AT105" s="259"/>
      <c r="AU105" s="259"/>
      <c r="AV105" s="259"/>
      <c r="AW105" s="259"/>
      <c r="AX105" s="259"/>
      <c r="AY105" s="259"/>
      <c r="AZ105" s="259"/>
      <c r="BA105" s="259"/>
      <c r="BB105" s="314"/>
      <c r="BC105" s="251"/>
      <c r="BD105" s="251"/>
      <c r="BE105" s="251"/>
      <c r="BF105" s="251"/>
      <c r="BG105" s="251"/>
      <c r="BH105" s="251"/>
      <c r="BI105" s="251"/>
      <c r="BJ105" s="251"/>
      <c r="BK105" s="251"/>
      <c r="BL105" s="251"/>
      <c r="BM105" s="251"/>
      <c r="BN105" s="251"/>
      <c r="BO105" s="251"/>
      <c r="BP105" s="251"/>
      <c r="BQ105" s="251"/>
      <c r="BR105" s="251"/>
      <c r="BS105" s="107"/>
      <c r="BT105" s="107"/>
      <c r="BU105" s="107"/>
      <c r="BV105" s="101"/>
      <c r="BW105" s="259"/>
      <c r="BX105" s="259"/>
      <c r="BY105" s="259"/>
      <c r="BZ105" s="259"/>
      <c r="CA105" s="259"/>
      <c r="CB105" s="259"/>
      <c r="CC105" s="259"/>
      <c r="CD105" s="259"/>
      <c r="CE105" s="259"/>
      <c r="CF105" s="259"/>
      <c r="CG105" s="259"/>
      <c r="CH105" s="259"/>
      <c r="CI105" s="259"/>
      <c r="CJ105" s="259"/>
      <c r="CK105" s="259"/>
      <c r="CL105" s="259"/>
      <c r="CM105" s="259"/>
      <c r="CN105" s="259"/>
      <c r="CO105" s="259"/>
      <c r="CP105" s="259"/>
      <c r="CQ105" s="259"/>
      <c r="CR105" s="259"/>
      <c r="CS105" s="259"/>
      <c r="CT105" s="259"/>
      <c r="CU105" s="259"/>
      <c r="CV105" s="259"/>
      <c r="CW105" s="259"/>
      <c r="CX105" s="259"/>
      <c r="CY105" s="259"/>
      <c r="CZ105" s="259"/>
      <c r="DA105" s="259"/>
      <c r="DB105" s="259"/>
      <c r="DC105" s="259"/>
      <c r="DD105" s="259"/>
      <c r="DE105" s="259"/>
      <c r="DF105" s="259"/>
      <c r="DG105" s="259"/>
      <c r="DH105" s="259"/>
      <c r="DI105" s="259"/>
      <c r="DJ105" s="259"/>
      <c r="DK105" s="259"/>
      <c r="DL105" s="314"/>
      <c r="DM105" s="251"/>
      <c r="DN105" s="251"/>
      <c r="DO105" s="251"/>
      <c r="DP105" s="251"/>
      <c r="DQ105" s="251"/>
      <c r="DR105" s="251"/>
      <c r="DS105" s="251"/>
      <c r="DT105" s="251"/>
      <c r="DU105" s="251"/>
      <c r="DV105" s="251"/>
      <c r="DW105" s="251"/>
      <c r="DX105" s="251"/>
      <c r="DY105" s="251"/>
      <c r="DZ105" s="251"/>
      <c r="EA105" s="251"/>
      <c r="EB105" s="251"/>
      <c r="EC105" s="73"/>
    </row>
    <row r="106" spans="1:133" s="47" customFormat="1" ht="25.15" customHeight="1">
      <c r="A106" s="133">
        <f t="shared" si="14"/>
        <v>30</v>
      </c>
      <c r="B106" s="6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c r="AO106" s="259"/>
      <c r="AP106" s="259"/>
      <c r="AQ106" s="259"/>
      <c r="AR106" s="259"/>
      <c r="AS106" s="259"/>
      <c r="AT106" s="259"/>
      <c r="AU106" s="259"/>
      <c r="AV106" s="259"/>
      <c r="AW106" s="259"/>
      <c r="AX106" s="259"/>
      <c r="AY106" s="259"/>
      <c r="AZ106" s="259"/>
      <c r="BA106" s="259"/>
      <c r="BB106" s="251"/>
      <c r="BC106" s="251"/>
      <c r="BD106" s="251"/>
      <c r="BE106" s="251"/>
      <c r="BF106" s="251"/>
      <c r="BG106" s="251"/>
      <c r="BH106" s="251"/>
      <c r="BI106" s="251"/>
      <c r="BJ106" s="251"/>
      <c r="BK106" s="251"/>
      <c r="BL106" s="251"/>
      <c r="BM106" s="251"/>
      <c r="BN106" s="251"/>
      <c r="BO106" s="251"/>
      <c r="BP106" s="251"/>
      <c r="BQ106" s="251"/>
      <c r="BR106" s="251"/>
      <c r="BS106" s="107"/>
      <c r="BT106" s="107"/>
      <c r="BU106" s="107"/>
      <c r="BV106" s="92"/>
      <c r="BW106" s="259"/>
      <c r="BX106" s="259"/>
      <c r="BY106" s="259"/>
      <c r="BZ106" s="259"/>
      <c r="CA106" s="259"/>
      <c r="CB106" s="259"/>
      <c r="CC106" s="259"/>
      <c r="CD106" s="259"/>
      <c r="CE106" s="259"/>
      <c r="CF106" s="259"/>
      <c r="CG106" s="259"/>
      <c r="CH106" s="259"/>
      <c r="CI106" s="259"/>
      <c r="CJ106" s="259"/>
      <c r="CK106" s="259"/>
      <c r="CL106" s="259"/>
      <c r="CM106" s="259"/>
      <c r="CN106" s="259"/>
      <c r="CO106" s="259"/>
      <c r="CP106" s="259"/>
      <c r="CQ106" s="259"/>
      <c r="CR106" s="259"/>
      <c r="CS106" s="259"/>
      <c r="CT106" s="259"/>
      <c r="CU106" s="259"/>
      <c r="CV106" s="259"/>
      <c r="CW106" s="259"/>
      <c r="CX106" s="259"/>
      <c r="CY106" s="259"/>
      <c r="CZ106" s="259"/>
      <c r="DA106" s="259"/>
      <c r="DB106" s="259"/>
      <c r="DC106" s="259"/>
      <c r="DD106" s="259"/>
      <c r="DE106" s="259"/>
      <c r="DF106" s="259"/>
      <c r="DG106" s="259"/>
      <c r="DH106" s="259"/>
      <c r="DI106" s="259"/>
      <c r="DJ106" s="259"/>
      <c r="DK106" s="259"/>
      <c r="DL106" s="251"/>
      <c r="DM106" s="251"/>
      <c r="DN106" s="251"/>
      <c r="DO106" s="251"/>
      <c r="DP106" s="251"/>
      <c r="DQ106" s="251"/>
      <c r="DR106" s="251"/>
      <c r="DS106" s="251"/>
      <c r="DT106" s="251"/>
      <c r="DU106" s="251"/>
      <c r="DV106" s="251"/>
      <c r="DW106" s="251"/>
      <c r="DX106" s="251"/>
      <c r="DY106" s="251"/>
      <c r="DZ106" s="251"/>
      <c r="EA106" s="251"/>
      <c r="EB106" s="251"/>
      <c r="EC106" s="73"/>
    </row>
    <row r="107" spans="1:133" s="47" customFormat="1" ht="25.15" customHeight="1">
      <c r="A107" s="133">
        <f t="shared" si="14"/>
        <v>31</v>
      </c>
      <c r="B107" s="6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314"/>
      <c r="BC107" s="251"/>
      <c r="BD107" s="251"/>
      <c r="BE107" s="251"/>
      <c r="BF107" s="251"/>
      <c r="BG107" s="251"/>
      <c r="BH107" s="251"/>
      <c r="BI107" s="251"/>
      <c r="BJ107" s="251"/>
      <c r="BK107" s="251"/>
      <c r="BL107" s="251"/>
      <c r="BM107" s="251"/>
      <c r="BN107" s="251"/>
      <c r="BO107" s="251"/>
      <c r="BP107" s="251"/>
      <c r="BQ107" s="251"/>
      <c r="BR107" s="251"/>
      <c r="BS107" s="107"/>
      <c r="BT107" s="107"/>
      <c r="BU107" s="107"/>
      <c r="BV107" s="101"/>
      <c r="BW107" s="259"/>
      <c r="BX107" s="259"/>
      <c r="BY107" s="259"/>
      <c r="BZ107" s="259"/>
      <c r="CA107" s="259"/>
      <c r="CB107" s="259"/>
      <c r="CC107" s="259"/>
      <c r="CD107" s="259"/>
      <c r="CE107" s="259"/>
      <c r="CF107" s="259"/>
      <c r="CG107" s="259"/>
      <c r="CH107" s="259"/>
      <c r="CI107" s="259"/>
      <c r="CJ107" s="259"/>
      <c r="CK107" s="259"/>
      <c r="CL107" s="259"/>
      <c r="CM107" s="259"/>
      <c r="CN107" s="259"/>
      <c r="CO107" s="259"/>
      <c r="CP107" s="259"/>
      <c r="CQ107" s="259"/>
      <c r="CR107" s="259"/>
      <c r="CS107" s="259"/>
      <c r="CT107" s="259"/>
      <c r="CU107" s="259"/>
      <c r="CV107" s="259"/>
      <c r="CW107" s="259"/>
      <c r="CX107" s="259"/>
      <c r="CY107" s="259"/>
      <c r="CZ107" s="259"/>
      <c r="DA107" s="259"/>
      <c r="DB107" s="259"/>
      <c r="DC107" s="259"/>
      <c r="DD107" s="259"/>
      <c r="DE107" s="259"/>
      <c r="DF107" s="259"/>
      <c r="DG107" s="259"/>
      <c r="DH107" s="259"/>
      <c r="DI107" s="259"/>
      <c r="DJ107" s="259"/>
      <c r="DK107" s="259"/>
      <c r="DL107" s="314"/>
      <c r="DM107" s="251"/>
      <c r="DN107" s="251"/>
      <c r="DO107" s="251"/>
      <c r="DP107" s="251"/>
      <c r="DQ107" s="251"/>
      <c r="DR107" s="251"/>
      <c r="DS107" s="251"/>
      <c r="DT107" s="251"/>
      <c r="DU107" s="251"/>
      <c r="DV107" s="251"/>
      <c r="DW107" s="251"/>
      <c r="DX107" s="251"/>
      <c r="DY107" s="251"/>
      <c r="DZ107" s="251"/>
      <c r="EA107" s="251"/>
      <c r="EB107" s="251"/>
      <c r="EC107" s="73"/>
    </row>
    <row r="108" spans="1:133" ht="25.15" customHeight="1">
      <c r="A108" s="133">
        <f t="shared" si="14"/>
        <v>32</v>
      </c>
      <c r="B108" s="142"/>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251"/>
      <c r="BC108" s="251"/>
      <c r="BD108" s="251"/>
      <c r="BE108" s="251"/>
      <c r="BF108" s="251"/>
      <c r="BG108" s="251"/>
      <c r="BH108" s="251"/>
      <c r="BI108" s="251"/>
      <c r="BJ108" s="251"/>
      <c r="BK108" s="251"/>
      <c r="BL108" s="251"/>
      <c r="BM108" s="251"/>
      <c r="BN108" s="251"/>
      <c r="BO108" s="251"/>
      <c r="BP108" s="251"/>
      <c r="BQ108" s="251"/>
      <c r="BR108" s="251"/>
      <c r="BS108" s="107"/>
      <c r="BT108" s="101"/>
      <c r="BU108" s="105"/>
      <c r="BV108" s="107"/>
      <c r="BW108" s="107"/>
      <c r="BX108" s="107"/>
      <c r="BY108" s="107"/>
      <c r="BZ108" s="107"/>
      <c r="CA108" s="107"/>
      <c r="CB108" s="107"/>
      <c r="CC108" s="107"/>
      <c r="CD108" s="107"/>
      <c r="CE108" s="107"/>
      <c r="CF108" s="107"/>
      <c r="CG108" s="107"/>
      <c r="CH108" s="107"/>
      <c r="CI108" s="107"/>
      <c r="CJ108" s="107"/>
      <c r="CK108" s="107"/>
      <c r="CL108" s="107"/>
      <c r="CM108" s="105"/>
      <c r="CN108" s="105"/>
      <c r="CO108" s="107"/>
      <c r="CP108" s="107"/>
      <c r="CQ108" s="107"/>
      <c r="CR108" s="107"/>
      <c r="CS108" s="107"/>
      <c r="CT108" s="107"/>
      <c r="CU108" s="107"/>
      <c r="CV108" s="107"/>
      <c r="CW108" s="107"/>
      <c r="CX108" s="107"/>
      <c r="CY108" s="107"/>
      <c r="CZ108" s="107"/>
      <c r="DA108" s="107"/>
      <c r="DB108" s="107"/>
      <c r="DC108" s="107"/>
      <c r="DD108" s="107"/>
      <c r="DE108" s="107"/>
      <c r="DF108" s="105"/>
      <c r="DG108" s="105"/>
      <c r="DH108" s="107"/>
      <c r="DI108" s="107"/>
      <c r="DJ108" s="107"/>
      <c r="DK108" s="107"/>
      <c r="DL108" s="107"/>
      <c r="DM108" s="107"/>
      <c r="DN108" s="107"/>
      <c r="DO108" s="107"/>
      <c r="DP108" s="107"/>
      <c r="DQ108" s="107"/>
      <c r="DR108" s="107"/>
      <c r="DS108" s="107"/>
      <c r="DT108" s="107"/>
      <c r="DU108" s="107"/>
      <c r="DV108" s="107"/>
      <c r="DW108" s="107"/>
      <c r="DX108" s="107"/>
      <c r="DY108" s="101"/>
      <c r="DZ108" s="101"/>
      <c r="EC108" s="73"/>
    </row>
    <row r="109" spans="1:133" ht="25.15" customHeight="1">
      <c r="A109" s="133">
        <f t="shared" si="14"/>
        <v>33</v>
      </c>
      <c r="B109" s="10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251"/>
      <c r="BC109" s="251"/>
      <c r="BD109" s="251"/>
      <c r="BE109" s="251"/>
      <c r="BF109" s="251"/>
      <c r="BG109" s="251"/>
      <c r="BH109" s="251"/>
      <c r="BI109" s="251"/>
      <c r="BJ109" s="251"/>
      <c r="BK109" s="251"/>
      <c r="BL109" s="251"/>
      <c r="BM109" s="251"/>
      <c r="BN109" s="251"/>
      <c r="BO109" s="251"/>
      <c r="BP109" s="251"/>
      <c r="BQ109" s="251"/>
      <c r="BR109" s="25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5"/>
      <c r="CX109" s="105"/>
      <c r="CY109" s="105"/>
      <c r="CZ109" s="105"/>
      <c r="DA109" s="101"/>
      <c r="DB109" s="101"/>
      <c r="DC109" s="101"/>
      <c r="DD109" s="101"/>
      <c r="DE109" s="101"/>
      <c r="DF109" s="101"/>
      <c r="DG109" s="101"/>
      <c r="DH109" s="101"/>
      <c r="DI109" s="101"/>
      <c r="DJ109" s="101"/>
      <c r="DK109" s="101"/>
      <c r="DL109" s="101"/>
      <c r="DM109" s="101"/>
      <c r="DN109" s="101"/>
      <c r="DO109" s="101"/>
      <c r="DP109" s="101"/>
      <c r="DQ109" s="101"/>
      <c r="DR109" s="101"/>
      <c r="DS109" s="101"/>
      <c r="DT109" s="101"/>
      <c r="DU109" s="101"/>
      <c r="DV109" s="101"/>
      <c r="DW109" s="101"/>
      <c r="DX109" s="101"/>
      <c r="DY109" s="101"/>
      <c r="DZ109" s="101"/>
      <c r="EA109" s="92"/>
      <c r="EB109" s="71"/>
      <c r="EC109" s="73"/>
    </row>
    <row r="110" spans="1:133" s="47" customFormat="1" ht="25.15" customHeight="1">
      <c r="A110" s="133">
        <f t="shared" si="14"/>
        <v>34</v>
      </c>
      <c r="B110" s="69"/>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251"/>
      <c r="BC110" s="251"/>
      <c r="BD110" s="251"/>
      <c r="BE110" s="251"/>
      <c r="BF110" s="251"/>
      <c r="BG110" s="251"/>
      <c r="BH110" s="251"/>
      <c r="BI110" s="251"/>
      <c r="BJ110" s="251"/>
      <c r="BK110" s="251"/>
      <c r="BL110" s="251"/>
      <c r="BM110" s="251"/>
      <c r="BN110" s="251"/>
      <c r="BO110" s="251"/>
      <c r="BP110" s="251"/>
      <c r="BQ110" s="251"/>
      <c r="BR110" s="251"/>
      <c r="BS110" s="105"/>
      <c r="BT110" s="92"/>
      <c r="BU110" s="72"/>
      <c r="BV110" s="92"/>
      <c r="BW110" s="259"/>
      <c r="BX110" s="259"/>
      <c r="BY110" s="259"/>
      <c r="BZ110" s="259"/>
      <c r="CA110" s="259"/>
      <c r="CB110" s="259"/>
      <c r="CC110" s="259"/>
      <c r="CD110" s="259"/>
      <c r="CE110" s="259"/>
      <c r="CF110" s="259"/>
      <c r="CG110" s="259"/>
      <c r="CH110" s="259"/>
      <c r="CI110" s="259"/>
      <c r="CJ110" s="259"/>
      <c r="CK110" s="259"/>
      <c r="CL110" s="259"/>
      <c r="CM110" s="259"/>
      <c r="CN110" s="259"/>
      <c r="CO110" s="259"/>
      <c r="CP110" s="259"/>
      <c r="CQ110" s="259"/>
      <c r="CR110" s="259"/>
      <c r="CS110" s="259"/>
      <c r="CT110" s="259"/>
      <c r="CU110" s="259"/>
      <c r="CV110" s="259"/>
      <c r="CW110" s="259"/>
      <c r="CX110" s="259"/>
      <c r="CY110" s="259"/>
      <c r="CZ110" s="259"/>
      <c r="DA110" s="259"/>
      <c r="DB110" s="259"/>
      <c r="DC110" s="259"/>
      <c r="DD110" s="259"/>
      <c r="DE110" s="259"/>
      <c r="DF110" s="259"/>
      <c r="DG110" s="259"/>
      <c r="DH110" s="259"/>
      <c r="DI110" s="259"/>
      <c r="DJ110" s="259"/>
      <c r="DK110" s="259"/>
      <c r="DL110" s="259"/>
      <c r="DM110" s="259"/>
      <c r="DN110" s="259"/>
      <c r="DO110" s="259"/>
      <c r="DP110" s="259"/>
      <c r="DQ110" s="259"/>
      <c r="DR110" s="259"/>
      <c r="DS110" s="259"/>
      <c r="DT110" s="259"/>
      <c r="DU110" s="259"/>
      <c r="DV110" s="259"/>
      <c r="DW110" s="259"/>
      <c r="DX110" s="259"/>
      <c r="DY110" s="259"/>
      <c r="DZ110" s="259"/>
      <c r="EA110" s="259"/>
      <c r="EB110" s="259"/>
      <c r="EC110" s="73"/>
    </row>
    <row r="111" spans="1:133" s="179" customFormat="1" ht="25.15" customHeight="1">
      <c r="A111" s="133">
        <f t="shared" si="14"/>
        <v>35</v>
      </c>
      <c r="B111" s="176"/>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251"/>
      <c r="BC111" s="251"/>
      <c r="BD111" s="251"/>
      <c r="BE111" s="251"/>
      <c r="BF111" s="251"/>
      <c r="BG111" s="251"/>
      <c r="BH111" s="251"/>
      <c r="BI111" s="251"/>
      <c r="BJ111" s="251"/>
      <c r="BK111" s="251"/>
      <c r="BL111" s="251"/>
      <c r="BM111" s="251"/>
      <c r="BN111" s="251"/>
      <c r="BO111" s="251"/>
      <c r="BP111" s="251"/>
      <c r="BQ111" s="251"/>
      <c r="BR111" s="251"/>
      <c r="BS111" s="47"/>
      <c r="BT111" s="47"/>
      <c r="BU111" s="47"/>
      <c r="BV111" s="101"/>
      <c r="BW111" s="259"/>
      <c r="BX111" s="259"/>
      <c r="BY111" s="259"/>
      <c r="BZ111" s="259"/>
      <c r="CA111" s="259"/>
      <c r="CB111" s="259"/>
      <c r="CC111" s="259"/>
      <c r="CD111" s="259"/>
      <c r="CE111" s="259"/>
      <c r="CF111" s="259"/>
      <c r="CG111" s="259"/>
      <c r="CH111" s="259"/>
      <c r="CI111" s="259"/>
      <c r="CJ111" s="259"/>
      <c r="CK111" s="259"/>
      <c r="CL111" s="259"/>
      <c r="CM111" s="259"/>
      <c r="CN111" s="259"/>
      <c r="CO111" s="259"/>
      <c r="CP111" s="259"/>
      <c r="CQ111" s="259"/>
      <c r="CR111" s="259"/>
      <c r="CS111" s="259"/>
      <c r="CT111" s="259"/>
      <c r="CU111" s="259"/>
      <c r="CV111" s="259"/>
      <c r="CW111" s="259"/>
      <c r="CX111" s="259"/>
      <c r="CY111" s="259"/>
      <c r="CZ111" s="259"/>
      <c r="DA111" s="259"/>
      <c r="DB111" s="259"/>
      <c r="DC111" s="259"/>
      <c r="DD111" s="259"/>
      <c r="DE111" s="259"/>
      <c r="DF111" s="259"/>
      <c r="DG111" s="259"/>
      <c r="DH111" s="259"/>
      <c r="DI111" s="259"/>
      <c r="DJ111" s="259"/>
      <c r="DK111" s="259"/>
      <c r="DL111" s="251"/>
      <c r="DM111" s="251"/>
      <c r="DN111" s="251"/>
      <c r="DO111" s="251"/>
      <c r="DP111" s="251"/>
      <c r="DQ111" s="251"/>
      <c r="DR111" s="251"/>
      <c r="DS111" s="251"/>
      <c r="DT111" s="251"/>
      <c r="DU111" s="251"/>
      <c r="DV111" s="251"/>
      <c r="DW111" s="251"/>
      <c r="DX111" s="251"/>
      <c r="DY111" s="251"/>
      <c r="DZ111" s="251"/>
      <c r="EA111" s="251"/>
      <c r="EB111" s="251"/>
      <c r="EC111" s="180"/>
    </row>
    <row r="112" spans="1:133" s="47" customFormat="1" ht="25.15" customHeight="1">
      <c r="A112" s="133">
        <f t="shared" si="14"/>
        <v>36</v>
      </c>
      <c r="B112" s="10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251"/>
      <c r="BC112" s="251"/>
      <c r="BD112" s="251"/>
      <c r="BE112" s="251"/>
      <c r="BF112" s="251"/>
      <c r="BG112" s="251"/>
      <c r="BH112" s="251"/>
      <c r="BI112" s="251"/>
      <c r="BJ112" s="251"/>
      <c r="BK112" s="251"/>
      <c r="BL112" s="251"/>
      <c r="BM112" s="251"/>
      <c r="BN112" s="251"/>
      <c r="BO112" s="251"/>
      <c r="BP112" s="251"/>
      <c r="BQ112" s="251"/>
      <c r="BR112" s="251"/>
      <c r="BS112" s="107"/>
      <c r="BT112" s="107"/>
      <c r="BU112" s="107"/>
      <c r="BV112" s="92"/>
      <c r="BW112" s="266"/>
      <c r="BX112" s="266"/>
      <c r="BY112" s="266"/>
      <c r="BZ112" s="266"/>
      <c r="CA112" s="266"/>
      <c r="CB112" s="266"/>
      <c r="CC112" s="266"/>
      <c r="CD112" s="266"/>
      <c r="CE112" s="336"/>
      <c r="CF112" s="336"/>
      <c r="CG112" s="336"/>
      <c r="CH112" s="33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L112" s="92"/>
      <c r="DM112" s="107"/>
      <c r="DN112" s="92"/>
      <c r="DO112" s="92"/>
      <c r="DP112" s="92"/>
      <c r="DQ112" s="107"/>
      <c r="DR112" s="92"/>
      <c r="DS112" s="92"/>
      <c r="DT112" s="92"/>
      <c r="DU112" s="107"/>
      <c r="DV112" s="92"/>
      <c r="DW112" s="92"/>
      <c r="DX112" s="92"/>
      <c r="DY112" s="107"/>
      <c r="DZ112" s="92"/>
      <c r="EA112" s="92"/>
      <c r="EB112" s="107"/>
      <c r="EC112" s="73"/>
    </row>
    <row r="113" spans="1:133" s="47" customFormat="1" ht="24.6" customHeight="1">
      <c r="A113" s="133">
        <f t="shared" si="14"/>
        <v>37</v>
      </c>
      <c r="B113" s="10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251"/>
      <c r="BC113" s="251"/>
      <c r="BD113" s="251"/>
      <c r="BE113" s="251"/>
      <c r="BF113" s="251"/>
      <c r="BG113" s="251"/>
      <c r="BH113" s="251"/>
      <c r="BI113" s="251"/>
      <c r="BJ113" s="251"/>
      <c r="BK113" s="251"/>
      <c r="BL113" s="251"/>
      <c r="BM113" s="251"/>
      <c r="BN113" s="251"/>
      <c r="BO113" s="251"/>
      <c r="BP113" s="251"/>
      <c r="BQ113" s="251"/>
      <c r="BR113" s="251"/>
      <c r="BS113" s="107"/>
      <c r="BT113" s="107"/>
      <c r="BU113" s="107"/>
      <c r="BV113" s="92"/>
      <c r="BW113" s="266"/>
      <c r="BX113" s="266"/>
      <c r="BY113" s="266"/>
      <c r="BZ113" s="266"/>
      <c r="CA113" s="266"/>
      <c r="CB113" s="266"/>
      <c r="CC113" s="266"/>
      <c r="CD113" s="266"/>
      <c r="CE113" s="336"/>
      <c r="CF113" s="336"/>
      <c r="CG113" s="336"/>
      <c r="CH113" s="33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L113" s="92"/>
      <c r="DM113" s="107"/>
      <c r="DN113" s="92"/>
      <c r="DO113" s="92"/>
      <c r="DP113" s="92"/>
      <c r="DQ113" s="107"/>
      <c r="DR113" s="92"/>
      <c r="DS113" s="92"/>
      <c r="DT113" s="92"/>
      <c r="DU113" s="107"/>
      <c r="DV113" s="92"/>
      <c r="DW113" s="92"/>
      <c r="DX113" s="92"/>
      <c r="DY113" s="107"/>
      <c r="DZ113" s="92"/>
      <c r="EA113" s="92"/>
      <c r="EB113" s="107"/>
      <c r="EC113" s="73"/>
    </row>
    <row r="114" spans="1:133" s="47" customFormat="1" ht="25.15" customHeight="1">
      <c r="A114" s="133">
        <f t="shared" si="14"/>
        <v>38</v>
      </c>
      <c r="B114" s="10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251"/>
      <c r="BC114" s="251"/>
      <c r="BD114" s="251"/>
      <c r="BE114" s="251"/>
      <c r="BF114" s="251"/>
      <c r="BG114" s="251"/>
      <c r="BH114" s="251"/>
      <c r="BI114" s="251"/>
      <c r="BJ114" s="251"/>
      <c r="BK114" s="251"/>
      <c r="BL114" s="251"/>
      <c r="BM114" s="251"/>
      <c r="BN114" s="251"/>
      <c r="BO114" s="251"/>
      <c r="BP114" s="251"/>
      <c r="BQ114" s="251"/>
      <c r="BR114" s="251"/>
      <c r="BS114" s="107"/>
      <c r="BT114" s="107"/>
      <c r="BU114" s="107"/>
      <c r="BV114" s="92"/>
      <c r="BW114" s="266"/>
      <c r="BX114" s="266"/>
      <c r="BY114" s="266"/>
      <c r="BZ114" s="266"/>
      <c r="CA114" s="266"/>
      <c r="CB114" s="266"/>
      <c r="CC114" s="266"/>
      <c r="CD114" s="266"/>
      <c r="CE114" s="336"/>
      <c r="CF114" s="336"/>
      <c r="CG114" s="336"/>
      <c r="CH114" s="33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L114" s="92"/>
      <c r="DM114" s="107"/>
      <c r="DN114" s="92"/>
      <c r="DO114" s="92"/>
      <c r="DP114" s="92"/>
      <c r="DQ114" s="107"/>
      <c r="DR114" s="92"/>
      <c r="DS114" s="92"/>
      <c r="DT114" s="92"/>
      <c r="DU114" s="107"/>
      <c r="DV114" s="92"/>
      <c r="DW114" s="92"/>
      <c r="DX114" s="92"/>
      <c r="DY114" s="107"/>
      <c r="DZ114" s="92"/>
      <c r="EA114" s="92"/>
      <c r="EB114" s="107"/>
      <c r="EC114" s="73"/>
    </row>
    <row r="115" spans="1:133" s="47" customFormat="1" ht="25.15" customHeight="1">
      <c r="A115" s="133">
        <f t="shared" si="14"/>
        <v>39</v>
      </c>
      <c r="B115" s="10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251"/>
      <c r="BC115" s="251"/>
      <c r="BD115" s="251"/>
      <c r="BE115" s="251"/>
      <c r="BF115" s="251"/>
      <c r="BG115" s="251"/>
      <c r="BH115" s="251"/>
      <c r="BI115" s="251"/>
      <c r="BJ115" s="251"/>
      <c r="BK115" s="251"/>
      <c r="BL115" s="251"/>
      <c r="BM115" s="251"/>
      <c r="BN115" s="251"/>
      <c r="BO115" s="251"/>
      <c r="BP115" s="251"/>
      <c r="BQ115" s="251"/>
      <c r="BR115" s="251"/>
      <c r="BS115" s="107"/>
      <c r="BT115" s="107"/>
      <c r="BU115" s="107"/>
      <c r="BV115" s="92"/>
      <c r="BW115" s="266"/>
      <c r="BX115" s="266"/>
      <c r="BY115" s="266"/>
      <c r="BZ115" s="266"/>
      <c r="CA115" s="266"/>
      <c r="CB115" s="266"/>
      <c r="CC115" s="266"/>
      <c r="CD115" s="266"/>
      <c r="CE115" s="336"/>
      <c r="CF115" s="336"/>
      <c r="CG115" s="336"/>
      <c r="CH115" s="33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L115" s="92"/>
      <c r="DM115" s="107"/>
      <c r="DN115" s="92"/>
      <c r="DO115" s="92"/>
      <c r="DP115" s="92"/>
      <c r="DQ115" s="107"/>
      <c r="DR115" s="92"/>
      <c r="DS115" s="92"/>
      <c r="DT115" s="92"/>
      <c r="DU115" s="107"/>
      <c r="DV115" s="92"/>
      <c r="DW115" s="92"/>
      <c r="DX115" s="92"/>
      <c r="DY115" s="107"/>
      <c r="DZ115" s="92"/>
      <c r="EA115" s="92"/>
      <c r="EB115" s="107"/>
      <c r="EC115" s="73"/>
    </row>
    <row r="116" spans="1:133" s="47" customFormat="1" ht="25.15" customHeight="1">
      <c r="A116" s="133">
        <f t="shared" si="14"/>
        <v>40</v>
      </c>
      <c r="B116" s="10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251"/>
      <c r="BC116" s="251"/>
      <c r="BD116" s="251"/>
      <c r="BE116" s="251"/>
      <c r="BF116" s="251"/>
      <c r="BG116" s="251"/>
      <c r="BH116" s="251"/>
      <c r="BI116" s="251"/>
      <c r="BJ116" s="251"/>
      <c r="BK116" s="251"/>
      <c r="BL116" s="251"/>
      <c r="BM116" s="251"/>
      <c r="BN116" s="251"/>
      <c r="BO116" s="251"/>
      <c r="BP116" s="251"/>
      <c r="BQ116" s="251"/>
      <c r="BR116" s="251"/>
      <c r="BS116" s="107"/>
      <c r="BT116" s="107"/>
      <c r="BU116" s="107"/>
      <c r="BV116" s="92"/>
      <c r="BW116" s="266"/>
      <c r="BX116" s="266"/>
      <c r="BY116" s="266"/>
      <c r="BZ116" s="266"/>
      <c r="CA116" s="266"/>
      <c r="CB116" s="266"/>
      <c r="CC116" s="266"/>
      <c r="CD116" s="266"/>
      <c r="CE116" s="336"/>
      <c r="CF116" s="336"/>
      <c r="CG116" s="336"/>
      <c r="CH116" s="33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L116" s="92"/>
      <c r="DM116" s="107"/>
      <c r="DN116" s="92"/>
      <c r="DO116" s="92"/>
      <c r="DP116" s="92"/>
      <c r="DQ116" s="107"/>
      <c r="DR116" s="92"/>
      <c r="DS116" s="92"/>
      <c r="DT116" s="92"/>
      <c r="DU116" s="107"/>
      <c r="DV116" s="92"/>
      <c r="DW116" s="92"/>
      <c r="DX116" s="92"/>
      <c r="DY116" s="107"/>
      <c r="DZ116" s="92"/>
      <c r="EA116" s="92"/>
      <c r="EB116" s="107"/>
      <c r="EC116" s="73"/>
    </row>
    <row r="117" spans="1:133" s="47" customFormat="1" ht="25.15" customHeight="1">
      <c r="A117" s="133">
        <f t="shared" si="14"/>
        <v>41</v>
      </c>
      <c r="B117" s="69"/>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251"/>
      <c r="BC117" s="251"/>
      <c r="BD117" s="251"/>
      <c r="BE117" s="251"/>
      <c r="BF117" s="251"/>
      <c r="BG117" s="251"/>
      <c r="BH117" s="251"/>
      <c r="BI117" s="251"/>
      <c r="BJ117" s="251"/>
      <c r="BK117" s="251"/>
      <c r="BL117" s="251"/>
      <c r="BM117" s="251"/>
      <c r="BN117" s="251"/>
      <c r="BO117" s="251"/>
      <c r="BP117" s="251"/>
      <c r="BQ117" s="251"/>
      <c r="BR117" s="251"/>
      <c r="BS117" s="107"/>
      <c r="BT117" s="107"/>
      <c r="BU117" s="107"/>
      <c r="BV117" s="92"/>
      <c r="BW117" s="266"/>
      <c r="BX117" s="266"/>
      <c r="BY117" s="266"/>
      <c r="BZ117" s="266"/>
      <c r="CA117" s="266"/>
      <c r="CB117" s="266"/>
      <c r="CC117" s="266"/>
      <c r="CD117" s="266"/>
      <c r="CE117" s="336"/>
      <c r="CF117" s="336"/>
      <c r="CG117" s="336"/>
      <c r="CH117" s="33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L117" s="92"/>
      <c r="DM117" s="107"/>
      <c r="DN117" s="92"/>
      <c r="DO117" s="92"/>
      <c r="DP117" s="92"/>
      <c r="DQ117" s="107"/>
      <c r="DR117" s="92"/>
      <c r="DS117" s="92"/>
      <c r="DT117" s="92"/>
      <c r="DU117" s="107"/>
      <c r="DV117" s="92"/>
      <c r="DW117" s="92"/>
      <c r="DX117" s="92"/>
      <c r="DY117" s="107"/>
      <c r="DZ117" s="92"/>
      <c r="EA117" s="92"/>
      <c r="EB117" s="107"/>
      <c r="EC117" s="73"/>
    </row>
    <row r="118" spans="1:133" s="47" customFormat="1" ht="25.15" customHeight="1">
      <c r="A118" s="133">
        <f t="shared" si="14"/>
        <v>42</v>
      </c>
      <c r="B118" s="69"/>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251"/>
      <c r="BC118" s="251"/>
      <c r="BD118" s="251"/>
      <c r="BE118" s="251"/>
      <c r="BF118" s="251"/>
      <c r="BG118" s="251"/>
      <c r="BH118" s="251"/>
      <c r="BI118" s="251"/>
      <c r="BJ118" s="251"/>
      <c r="BK118" s="251"/>
      <c r="BL118" s="251"/>
      <c r="BM118" s="251"/>
      <c r="BN118" s="251"/>
      <c r="BO118" s="251"/>
      <c r="BP118" s="251"/>
      <c r="BQ118" s="251"/>
      <c r="BR118" s="251"/>
      <c r="BS118" s="107"/>
      <c r="BT118" s="107"/>
      <c r="BU118" s="107"/>
      <c r="BV118" s="92"/>
      <c r="BW118" s="266"/>
      <c r="BX118" s="266"/>
      <c r="BY118" s="266"/>
      <c r="BZ118" s="266"/>
      <c r="CA118" s="266"/>
      <c r="CB118" s="266"/>
      <c r="CC118" s="266"/>
      <c r="CD118" s="266"/>
      <c r="CE118" s="336"/>
      <c r="CF118" s="336"/>
      <c r="CG118" s="336"/>
      <c r="CH118" s="33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L118" s="92"/>
      <c r="DM118" s="107"/>
      <c r="DN118" s="92"/>
      <c r="DO118" s="92"/>
      <c r="DP118" s="92"/>
      <c r="DQ118" s="107"/>
      <c r="DR118" s="92"/>
      <c r="DS118" s="92"/>
      <c r="DT118" s="92"/>
      <c r="DU118" s="107"/>
      <c r="DV118" s="92"/>
      <c r="DW118" s="92"/>
      <c r="DX118" s="92"/>
      <c r="DY118" s="107"/>
      <c r="DZ118" s="92"/>
      <c r="EA118" s="92"/>
      <c r="EB118" s="107"/>
      <c r="EC118" s="73"/>
    </row>
    <row r="119" spans="1:133" s="47" customFormat="1" ht="25.15" customHeight="1">
      <c r="A119" s="133">
        <f t="shared" si="14"/>
        <v>43</v>
      </c>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251"/>
      <c r="BC119" s="251"/>
      <c r="BD119" s="251"/>
      <c r="BE119" s="251"/>
      <c r="BF119" s="251"/>
      <c r="BG119" s="251"/>
      <c r="BH119" s="251"/>
      <c r="BI119" s="251"/>
      <c r="BJ119" s="251"/>
      <c r="BK119" s="251"/>
      <c r="BL119" s="251"/>
      <c r="BM119" s="251"/>
      <c r="BN119" s="251"/>
      <c r="BO119" s="251"/>
      <c r="BP119" s="251"/>
      <c r="BQ119" s="251"/>
      <c r="BR119" s="251"/>
      <c r="BS119" s="107"/>
      <c r="BT119" s="92"/>
      <c r="BU119" s="72"/>
      <c r="BV119" s="92"/>
      <c r="BW119" s="266"/>
      <c r="BX119" s="266"/>
      <c r="BY119" s="266"/>
      <c r="BZ119" s="266"/>
      <c r="CA119" s="266"/>
      <c r="CB119" s="266"/>
      <c r="CC119" s="266"/>
      <c r="CD119" s="266"/>
      <c r="CE119" s="336"/>
      <c r="CF119" s="336"/>
      <c r="CG119" s="336"/>
      <c r="CH119" s="33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92"/>
      <c r="DL119" s="92"/>
      <c r="DM119" s="107"/>
      <c r="DN119" s="92"/>
      <c r="DO119" s="92"/>
      <c r="DP119" s="92"/>
      <c r="DQ119" s="107"/>
      <c r="DR119" s="92"/>
      <c r="DS119" s="92"/>
      <c r="DT119" s="92"/>
      <c r="DU119" s="107"/>
      <c r="DV119" s="92"/>
      <c r="DW119" s="92"/>
      <c r="DX119" s="92"/>
      <c r="DY119" s="107"/>
      <c r="DZ119" s="92"/>
      <c r="EA119" s="92"/>
      <c r="EB119" s="107"/>
      <c r="EC119" s="73"/>
    </row>
    <row r="120" spans="1:133" s="47" customFormat="1" ht="25.15" customHeight="1">
      <c r="A120" s="133">
        <f t="shared" si="14"/>
        <v>44</v>
      </c>
      <c r="B120" s="6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c r="AA120" s="259"/>
      <c r="AB120" s="259"/>
      <c r="AC120" s="259"/>
      <c r="AD120" s="259"/>
      <c r="AE120" s="259"/>
      <c r="AF120" s="259"/>
      <c r="AG120" s="259"/>
      <c r="AH120" s="259"/>
      <c r="AI120" s="259"/>
      <c r="AJ120" s="259"/>
      <c r="AK120" s="259"/>
      <c r="AL120" s="259"/>
      <c r="AM120" s="259"/>
      <c r="AN120" s="259"/>
      <c r="AO120" s="259"/>
      <c r="AP120" s="259"/>
      <c r="AQ120" s="259"/>
      <c r="AR120" s="259"/>
      <c r="AS120" s="259"/>
      <c r="AT120" s="259"/>
      <c r="AU120" s="259"/>
      <c r="AV120" s="259"/>
      <c r="AW120" s="259"/>
      <c r="AX120" s="259"/>
      <c r="AY120" s="259"/>
      <c r="AZ120" s="259"/>
      <c r="BA120" s="259"/>
      <c r="BB120" s="251"/>
      <c r="BC120" s="251"/>
      <c r="BD120" s="251"/>
      <c r="BE120" s="251"/>
      <c r="BF120" s="251"/>
      <c r="BG120" s="251"/>
      <c r="BH120" s="251"/>
      <c r="BI120" s="251"/>
      <c r="BJ120" s="251"/>
      <c r="BK120" s="251"/>
      <c r="BL120" s="251"/>
      <c r="BM120" s="251"/>
      <c r="BN120" s="251"/>
      <c r="BO120" s="251"/>
      <c r="BP120" s="251"/>
      <c r="BQ120" s="251"/>
      <c r="BR120" s="251"/>
      <c r="BS120" s="107"/>
      <c r="BT120" s="92"/>
      <c r="BU120" s="72"/>
      <c r="BV120" s="92"/>
      <c r="BW120" s="266"/>
      <c r="BX120" s="266"/>
      <c r="BY120" s="266"/>
      <c r="BZ120" s="266"/>
      <c r="CA120" s="266"/>
      <c r="CB120" s="266"/>
      <c r="CC120" s="266"/>
      <c r="CD120" s="266"/>
      <c r="CE120" s="336"/>
      <c r="CF120" s="336"/>
      <c r="CG120" s="336"/>
      <c r="CH120" s="33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92"/>
      <c r="DL120" s="92"/>
      <c r="DM120" s="107"/>
      <c r="DN120" s="92"/>
      <c r="DO120" s="92"/>
      <c r="DP120" s="92"/>
      <c r="DQ120" s="107"/>
      <c r="DR120" s="92"/>
      <c r="DS120" s="92"/>
      <c r="DT120" s="92"/>
      <c r="DU120" s="107"/>
      <c r="DV120" s="92"/>
      <c r="DW120" s="92"/>
      <c r="DX120" s="92"/>
      <c r="DY120" s="107"/>
      <c r="DZ120" s="92"/>
      <c r="EA120" s="92"/>
      <c r="EB120" s="107"/>
      <c r="EC120" s="73"/>
    </row>
    <row r="121" spans="1:133" s="47" customFormat="1" ht="25.15" customHeight="1">
      <c r="A121" s="133">
        <f t="shared" si="14"/>
        <v>45</v>
      </c>
      <c r="B121" s="6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c r="AA121" s="259"/>
      <c r="AB121" s="259"/>
      <c r="AC121" s="259"/>
      <c r="AD121" s="259"/>
      <c r="AE121" s="259"/>
      <c r="AF121" s="259"/>
      <c r="AG121" s="259"/>
      <c r="AH121" s="259"/>
      <c r="AI121" s="259"/>
      <c r="AJ121" s="259"/>
      <c r="AK121" s="259"/>
      <c r="AL121" s="259"/>
      <c r="AM121" s="259"/>
      <c r="AN121" s="259"/>
      <c r="AO121" s="259"/>
      <c r="AP121" s="259"/>
      <c r="AQ121" s="259"/>
      <c r="AR121" s="259"/>
      <c r="AS121" s="259"/>
      <c r="AT121" s="259"/>
      <c r="AU121" s="259"/>
      <c r="AV121" s="259"/>
      <c r="AW121" s="259"/>
      <c r="AX121" s="259"/>
      <c r="AY121" s="259"/>
      <c r="AZ121" s="259"/>
      <c r="BA121" s="259"/>
      <c r="BB121" s="251"/>
      <c r="BC121" s="251"/>
      <c r="BD121" s="251"/>
      <c r="BE121" s="251"/>
      <c r="BF121" s="251"/>
      <c r="BG121" s="251"/>
      <c r="BH121" s="251"/>
      <c r="BI121" s="251"/>
      <c r="BJ121" s="251"/>
      <c r="BK121" s="251"/>
      <c r="BL121" s="251"/>
      <c r="BM121" s="251"/>
      <c r="BN121" s="251"/>
      <c r="BO121" s="251"/>
      <c r="BP121" s="251"/>
      <c r="BQ121" s="251"/>
      <c r="BR121" s="251"/>
      <c r="BS121" s="107"/>
      <c r="BT121" s="92"/>
      <c r="BU121" s="72"/>
      <c r="BV121" s="92"/>
      <c r="BW121" s="266"/>
      <c r="BX121" s="266"/>
      <c r="BY121" s="266"/>
      <c r="BZ121" s="266"/>
      <c r="CA121" s="266"/>
      <c r="CB121" s="266"/>
      <c r="CC121" s="266"/>
      <c r="CD121" s="266"/>
      <c r="CE121" s="336"/>
      <c r="CF121" s="336"/>
      <c r="CG121" s="336"/>
      <c r="CH121" s="33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92"/>
      <c r="DL121" s="92"/>
      <c r="DM121" s="107"/>
      <c r="DN121" s="92"/>
      <c r="DO121" s="92"/>
      <c r="DP121" s="92"/>
      <c r="DQ121" s="107"/>
      <c r="DR121" s="92"/>
      <c r="DS121" s="92"/>
      <c r="DT121" s="92"/>
      <c r="DU121" s="107"/>
      <c r="DV121" s="92"/>
      <c r="DW121" s="92"/>
      <c r="DX121" s="92"/>
      <c r="DY121" s="107"/>
      <c r="DZ121" s="92"/>
      <c r="EA121" s="92"/>
      <c r="EB121" s="107"/>
      <c r="EC121" s="73"/>
    </row>
    <row r="122" spans="1:133" s="47" customFormat="1" ht="25.15" customHeight="1">
      <c r="A122" s="133">
        <f t="shared" si="14"/>
        <v>46</v>
      </c>
      <c r="B122" s="69"/>
      <c r="C122" s="92"/>
      <c r="D122" s="107"/>
      <c r="E122" s="107"/>
      <c r="F122" s="105"/>
      <c r="G122" s="107"/>
      <c r="H122" s="107"/>
      <c r="I122" s="101"/>
      <c r="J122" s="101"/>
      <c r="K122" s="101"/>
      <c r="L122" s="101"/>
      <c r="M122" s="101"/>
      <c r="N122" s="101"/>
      <c r="O122" s="101"/>
      <c r="P122" s="101"/>
      <c r="Q122" s="107"/>
      <c r="R122" s="107"/>
      <c r="S122" s="107"/>
      <c r="T122" s="107"/>
      <c r="U122" s="107"/>
      <c r="V122" s="107"/>
      <c r="W122" s="107"/>
      <c r="X122" s="107"/>
      <c r="Y122" s="107"/>
      <c r="Z122" s="107"/>
      <c r="AA122" s="107"/>
      <c r="AB122" s="107"/>
      <c r="AC122" s="107"/>
      <c r="AD122" s="107"/>
      <c r="AE122" s="107"/>
      <c r="AF122" s="107"/>
      <c r="AG122" s="107"/>
      <c r="AH122" s="101"/>
      <c r="AI122" s="105"/>
      <c r="AJ122" s="107"/>
      <c r="AK122" s="107"/>
      <c r="AL122" s="107"/>
      <c r="AM122" s="107"/>
      <c r="AN122" s="107"/>
      <c r="AO122" s="107"/>
      <c r="AP122" s="107"/>
      <c r="AQ122" s="107"/>
      <c r="AR122" s="107"/>
      <c r="AS122" s="107"/>
      <c r="AT122" s="107"/>
      <c r="AU122" s="107"/>
      <c r="AV122" s="107"/>
      <c r="AW122" s="107"/>
      <c r="AX122" s="107"/>
      <c r="AY122" s="107"/>
      <c r="AZ122" s="107"/>
      <c r="BA122" s="105"/>
      <c r="BB122" s="105"/>
      <c r="BC122" s="107"/>
      <c r="BD122" s="107"/>
      <c r="BE122" s="107"/>
      <c r="BF122" s="107"/>
      <c r="BG122" s="107"/>
      <c r="BH122" s="107"/>
      <c r="BI122" s="107"/>
      <c r="BJ122" s="107"/>
      <c r="BK122" s="107"/>
      <c r="BL122" s="107"/>
      <c r="BM122" s="107"/>
      <c r="BN122" s="107"/>
      <c r="BO122" s="107"/>
      <c r="BP122" s="107"/>
      <c r="BQ122" s="107"/>
      <c r="BR122" s="107"/>
      <c r="BS122" s="107"/>
      <c r="BT122" s="92"/>
      <c r="BU122" s="72"/>
      <c r="BV122" s="92"/>
      <c r="BW122" s="266"/>
      <c r="BX122" s="266"/>
      <c r="BY122" s="266"/>
      <c r="BZ122" s="266"/>
      <c r="CA122" s="266"/>
      <c r="CB122" s="266"/>
      <c r="CC122" s="266"/>
      <c r="CD122" s="266"/>
      <c r="CE122" s="336"/>
      <c r="CF122" s="336"/>
      <c r="CG122" s="336"/>
      <c r="CH122" s="33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92"/>
      <c r="DL122" s="92"/>
      <c r="DM122" s="107"/>
      <c r="DN122" s="92"/>
      <c r="DO122" s="92"/>
      <c r="DP122" s="92"/>
      <c r="DQ122" s="107"/>
      <c r="DR122" s="92"/>
      <c r="DS122" s="92"/>
      <c r="DT122" s="92"/>
      <c r="DU122" s="107"/>
      <c r="DV122" s="92"/>
      <c r="DW122" s="92"/>
      <c r="DX122" s="92"/>
      <c r="DY122" s="107"/>
      <c r="DZ122" s="92"/>
      <c r="EA122" s="92"/>
      <c r="EB122" s="107"/>
      <c r="EC122" s="73"/>
    </row>
    <row r="123" spans="1:133" s="47" customFormat="1" ht="25.15" customHeight="1">
      <c r="A123" s="133">
        <f t="shared" si="14"/>
        <v>47</v>
      </c>
      <c r="B123" s="69"/>
      <c r="C123" s="105"/>
      <c r="D123" s="105"/>
      <c r="E123" s="105"/>
      <c r="F123" s="105"/>
      <c r="G123" s="105"/>
      <c r="H123" s="105"/>
      <c r="I123" s="101"/>
      <c r="J123" s="101"/>
      <c r="K123" s="101"/>
      <c r="L123" s="101"/>
      <c r="M123" s="101"/>
      <c r="N123" s="101"/>
      <c r="O123" s="101"/>
      <c r="P123" s="101"/>
      <c r="Q123" s="105"/>
      <c r="R123" s="105"/>
      <c r="S123" s="105"/>
      <c r="T123" s="105"/>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4"/>
      <c r="BG123" s="104"/>
      <c r="BH123" s="104"/>
      <c r="BI123" s="104"/>
      <c r="BJ123" s="101"/>
      <c r="BK123" s="101"/>
      <c r="BL123" s="101"/>
      <c r="BM123" s="101"/>
      <c r="BN123" s="101"/>
      <c r="BO123" s="101"/>
      <c r="BP123" s="101"/>
      <c r="BQ123" s="101"/>
      <c r="BR123" s="101"/>
      <c r="BS123" s="107"/>
      <c r="BT123" s="92"/>
      <c r="BU123" s="72"/>
      <c r="BV123" s="92"/>
      <c r="BW123" s="266"/>
      <c r="BX123" s="266"/>
      <c r="BY123" s="266"/>
      <c r="BZ123" s="266"/>
      <c r="CA123" s="266"/>
      <c r="CB123" s="266"/>
      <c r="CC123" s="266"/>
      <c r="CD123" s="266"/>
      <c r="CE123" s="336"/>
      <c r="CF123" s="336"/>
      <c r="CG123" s="336"/>
      <c r="CH123" s="33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92"/>
      <c r="DL123" s="92"/>
      <c r="DM123" s="107"/>
      <c r="DN123" s="92"/>
      <c r="DO123" s="92"/>
      <c r="DP123" s="92"/>
      <c r="DQ123" s="107"/>
      <c r="DR123" s="92"/>
      <c r="DS123" s="92"/>
      <c r="DT123" s="92"/>
      <c r="DU123" s="107"/>
      <c r="DV123" s="92"/>
      <c r="DW123" s="92"/>
      <c r="DX123" s="92"/>
      <c r="DY123" s="107"/>
      <c r="DZ123" s="92"/>
      <c r="EA123" s="92"/>
      <c r="EB123" s="107"/>
      <c r="EC123" s="73"/>
    </row>
    <row r="124" spans="1:133" ht="25.15" customHeight="1">
      <c r="A124" s="133">
        <f t="shared" si="14"/>
        <v>48</v>
      </c>
      <c r="B124" s="100"/>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251"/>
      <c r="AV124" s="251"/>
      <c r="AW124" s="251"/>
      <c r="AX124" s="251"/>
      <c r="AY124" s="251"/>
      <c r="AZ124" s="251"/>
      <c r="BA124" s="251"/>
      <c r="BB124" s="251"/>
      <c r="BC124" s="251"/>
      <c r="BD124" s="251"/>
      <c r="BE124" s="251"/>
      <c r="BF124" s="251"/>
      <c r="BG124" s="251"/>
      <c r="BH124" s="251"/>
      <c r="BI124" s="251"/>
      <c r="BJ124" s="251"/>
      <c r="BK124" s="251"/>
      <c r="BL124" s="251"/>
      <c r="BM124" s="251"/>
      <c r="BN124" s="251"/>
      <c r="BO124" s="251"/>
      <c r="BP124" s="251"/>
      <c r="BQ124" s="251"/>
      <c r="BR124" s="251"/>
      <c r="BS124" s="251"/>
      <c r="BT124" s="251"/>
      <c r="BU124" s="251"/>
      <c r="BV124" s="251"/>
      <c r="BW124" s="251"/>
      <c r="BX124" s="251"/>
      <c r="BY124" s="251"/>
      <c r="BZ124" s="251"/>
      <c r="CA124" s="251"/>
      <c r="CB124" s="251"/>
      <c r="CC124" s="251"/>
      <c r="CD124" s="251"/>
      <c r="CE124" s="251"/>
      <c r="CF124" s="251"/>
      <c r="CG124" s="251"/>
      <c r="CH124" s="251"/>
      <c r="CI124" s="251"/>
      <c r="CJ124" s="251"/>
      <c r="CK124" s="251"/>
      <c r="CL124" s="251"/>
      <c r="CM124" s="251"/>
      <c r="CN124" s="251"/>
      <c r="CO124" s="251"/>
      <c r="CP124" s="251"/>
      <c r="CQ124" s="251"/>
      <c r="CR124" s="251"/>
      <c r="CS124" s="251"/>
      <c r="CT124" s="251"/>
      <c r="CU124" s="251"/>
      <c r="CV124" s="251"/>
      <c r="CW124" s="251"/>
      <c r="CX124" s="251"/>
      <c r="CY124" s="251"/>
      <c r="CZ124" s="251"/>
      <c r="DA124" s="251"/>
      <c r="DB124" s="251"/>
      <c r="DC124" s="251"/>
      <c r="DD124" s="251"/>
      <c r="DE124" s="251"/>
      <c r="DF124" s="251"/>
      <c r="DG124" s="251"/>
      <c r="DH124" s="251"/>
      <c r="DI124" s="251"/>
      <c r="DJ124" s="251"/>
      <c r="DK124" s="251"/>
      <c r="DL124" s="251"/>
      <c r="DM124" s="251"/>
      <c r="DN124" s="251"/>
      <c r="DO124" s="251"/>
      <c r="DP124" s="251"/>
      <c r="DQ124" s="251"/>
      <c r="DR124" s="251"/>
      <c r="DS124" s="251"/>
      <c r="DT124" s="251"/>
      <c r="DU124" s="251"/>
      <c r="DV124" s="251"/>
      <c r="DW124" s="251"/>
      <c r="DX124" s="251"/>
      <c r="DY124" s="251"/>
      <c r="DZ124" s="251"/>
      <c r="EA124" s="251"/>
      <c r="EB124" s="251"/>
      <c r="EC124" s="73"/>
    </row>
    <row r="125" spans="1:133" ht="25.15" customHeight="1">
      <c r="A125" s="133">
        <f t="shared" si="14"/>
        <v>49</v>
      </c>
      <c r="B125" s="100"/>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47"/>
      <c r="BG125" s="47"/>
      <c r="BH125" s="47"/>
      <c r="BI125" s="47"/>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c r="DK125" s="101"/>
      <c r="DL125" s="101"/>
      <c r="DM125" s="101"/>
      <c r="DN125" s="101"/>
      <c r="DO125" s="101"/>
      <c r="DP125" s="101"/>
      <c r="DQ125" s="101"/>
      <c r="DR125" s="101"/>
      <c r="DS125" s="101"/>
      <c r="DT125" s="101"/>
      <c r="DU125" s="101"/>
      <c r="DV125" s="101"/>
      <c r="DW125" s="101"/>
      <c r="DX125" s="101"/>
      <c r="DY125" s="101"/>
      <c r="DZ125" s="101"/>
      <c r="EA125" s="92"/>
      <c r="EB125" s="71"/>
      <c r="EC125" s="73"/>
    </row>
    <row r="126" spans="1:133" s="47" customFormat="1" ht="25.15" customHeight="1">
      <c r="A126" s="133">
        <f t="shared" si="14"/>
        <v>50</v>
      </c>
      <c r="B126" s="6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c r="AP126" s="259"/>
      <c r="AQ126" s="259"/>
      <c r="AR126" s="259"/>
      <c r="AS126" s="259"/>
      <c r="AT126" s="259"/>
      <c r="AU126" s="259"/>
      <c r="AV126" s="259"/>
      <c r="AW126" s="259"/>
      <c r="AX126" s="259"/>
      <c r="AY126" s="259"/>
      <c r="AZ126" s="259"/>
      <c r="BA126" s="259"/>
      <c r="BB126" s="259"/>
      <c r="BC126" s="259"/>
      <c r="BD126" s="259"/>
      <c r="BE126" s="259"/>
      <c r="BF126" s="259"/>
      <c r="BG126" s="259"/>
      <c r="BH126" s="259"/>
      <c r="BI126" s="259"/>
      <c r="BJ126" s="259"/>
      <c r="BK126" s="259"/>
      <c r="BL126" s="259"/>
      <c r="BM126" s="259"/>
      <c r="BN126" s="259"/>
      <c r="BO126" s="259"/>
      <c r="BP126" s="259"/>
      <c r="BQ126" s="259"/>
      <c r="BR126" s="259"/>
      <c r="BS126" s="107"/>
      <c r="BT126" s="92"/>
      <c r="BU126" s="72"/>
      <c r="BV126" s="92"/>
      <c r="BW126" s="266"/>
      <c r="BX126" s="266"/>
      <c r="BY126" s="266"/>
      <c r="BZ126" s="266"/>
      <c r="CA126" s="266"/>
      <c r="CB126" s="266"/>
      <c r="CC126" s="266"/>
      <c r="CD126" s="266"/>
      <c r="CE126" s="336"/>
      <c r="CF126" s="336"/>
      <c r="CG126" s="336"/>
      <c r="CH126" s="33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92"/>
      <c r="DL126" s="92"/>
      <c r="DM126" s="107"/>
      <c r="DN126" s="92"/>
      <c r="DO126" s="92"/>
      <c r="DP126" s="92"/>
      <c r="DQ126" s="107"/>
      <c r="DR126" s="92"/>
      <c r="DS126" s="92"/>
      <c r="DT126" s="92"/>
      <c r="DU126" s="107"/>
      <c r="DV126" s="92"/>
      <c r="DW126" s="92"/>
      <c r="DX126" s="92"/>
      <c r="DY126" s="107"/>
      <c r="DZ126" s="92"/>
      <c r="EA126" s="92"/>
      <c r="EB126" s="107"/>
      <c r="EC126" s="73"/>
    </row>
    <row r="127" spans="1:133" s="47" customFormat="1" ht="25.15" customHeight="1">
      <c r="A127" s="133">
        <f t="shared" si="14"/>
        <v>51</v>
      </c>
      <c r="B127" s="6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101"/>
      <c r="BC127" s="101"/>
      <c r="BD127" s="101"/>
      <c r="BE127" s="101"/>
      <c r="BF127" s="101"/>
      <c r="BG127" s="101"/>
      <c r="BL127" s="101"/>
      <c r="BM127" s="101"/>
      <c r="BN127" s="101"/>
      <c r="BO127" s="266"/>
      <c r="BP127" s="266"/>
      <c r="BQ127" s="266"/>
      <c r="BR127" s="266"/>
      <c r="BS127" s="107"/>
      <c r="BT127" s="92"/>
      <c r="BU127" s="72"/>
      <c r="BV127" s="92"/>
      <c r="BW127" s="266"/>
      <c r="BX127" s="266"/>
      <c r="BY127" s="266"/>
      <c r="BZ127" s="266"/>
      <c r="CA127" s="266"/>
      <c r="CB127" s="266"/>
      <c r="CC127" s="266"/>
      <c r="CD127" s="266"/>
      <c r="CE127" s="336"/>
      <c r="CF127" s="336"/>
      <c r="CG127" s="336"/>
      <c r="CH127" s="33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92"/>
      <c r="DL127" s="92"/>
      <c r="DM127" s="107"/>
      <c r="DN127" s="92"/>
      <c r="DO127" s="92"/>
      <c r="DP127" s="92"/>
      <c r="DQ127" s="107"/>
      <c r="DR127" s="92"/>
      <c r="DS127" s="92"/>
      <c r="DT127" s="92"/>
      <c r="DU127" s="107"/>
      <c r="DV127" s="92"/>
      <c r="DW127" s="92"/>
      <c r="DX127" s="92"/>
      <c r="DY127" s="107"/>
      <c r="DZ127" s="92"/>
      <c r="EA127" s="92"/>
      <c r="EB127" s="107"/>
      <c r="EC127" s="73"/>
    </row>
    <row r="128" spans="1:133" s="47" customFormat="1" ht="25.15" customHeight="1">
      <c r="A128" s="133">
        <f t="shared" si="14"/>
        <v>52</v>
      </c>
      <c r="B128" s="69"/>
      <c r="C128" s="266"/>
      <c r="D128" s="266"/>
      <c r="E128" s="266"/>
      <c r="F128" s="266"/>
      <c r="G128" s="266"/>
      <c r="H128" s="266"/>
      <c r="I128" s="336"/>
      <c r="J128" s="336"/>
      <c r="K128" s="336"/>
      <c r="L128" s="33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107"/>
      <c r="BB128" s="92"/>
      <c r="BC128" s="92"/>
      <c r="BD128" s="107"/>
      <c r="BE128" s="92"/>
      <c r="BF128" s="92"/>
      <c r="BG128" s="92"/>
      <c r="BH128" s="107"/>
      <c r="BI128" s="92"/>
      <c r="BJ128" s="92"/>
      <c r="BK128" s="92"/>
      <c r="BL128" s="107"/>
      <c r="BM128" s="92"/>
      <c r="BN128" s="92"/>
      <c r="BO128" s="92"/>
      <c r="BP128" s="107"/>
      <c r="BQ128" s="92"/>
      <c r="BR128" s="92"/>
      <c r="BS128" s="107"/>
      <c r="BT128" s="92"/>
      <c r="BU128" s="72"/>
      <c r="BV128" s="92"/>
      <c r="BW128" s="266"/>
      <c r="BX128" s="266"/>
      <c r="BY128" s="266"/>
      <c r="BZ128" s="266"/>
      <c r="CA128" s="266"/>
      <c r="CB128" s="266"/>
      <c r="CC128" s="266"/>
      <c r="CD128" s="266"/>
      <c r="CE128" s="336"/>
      <c r="CF128" s="336"/>
      <c r="CG128" s="336"/>
      <c r="CH128" s="33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92"/>
      <c r="DL128" s="92"/>
      <c r="DM128" s="107"/>
      <c r="DN128" s="92"/>
      <c r="DO128" s="92"/>
      <c r="DP128" s="92"/>
      <c r="DQ128" s="107"/>
      <c r="DR128" s="92"/>
      <c r="DS128" s="92"/>
      <c r="DT128" s="92"/>
      <c r="DU128" s="107"/>
      <c r="DV128" s="92"/>
      <c r="DW128" s="92"/>
      <c r="DX128" s="92"/>
      <c r="DY128" s="107"/>
      <c r="DZ128" s="92"/>
      <c r="EA128" s="92"/>
      <c r="EB128" s="107"/>
      <c r="EC128" s="73"/>
    </row>
    <row r="129" spans="1:133" s="47" customFormat="1" ht="25.15" customHeight="1">
      <c r="A129" s="133">
        <f t="shared" si="14"/>
        <v>53</v>
      </c>
      <c r="B129" s="69"/>
      <c r="C129" s="266"/>
      <c r="D129" s="266"/>
      <c r="E129" s="266"/>
      <c r="F129" s="266"/>
      <c r="G129" s="266"/>
      <c r="H129" s="266"/>
      <c r="I129" s="336"/>
      <c r="J129" s="336"/>
      <c r="K129" s="336"/>
      <c r="L129" s="33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107"/>
      <c r="BB129" s="92"/>
      <c r="BC129" s="92"/>
      <c r="BD129" s="107"/>
      <c r="BE129" s="92"/>
      <c r="BF129" s="92"/>
      <c r="BG129" s="92"/>
      <c r="BH129" s="107"/>
      <c r="BI129" s="92"/>
      <c r="BJ129" s="92"/>
      <c r="BK129" s="92"/>
      <c r="BL129" s="107"/>
      <c r="BM129" s="92"/>
      <c r="BN129" s="92"/>
      <c r="BO129" s="92"/>
      <c r="BP129" s="107"/>
      <c r="BQ129" s="92"/>
      <c r="BR129" s="92"/>
      <c r="BS129" s="107"/>
      <c r="BT129" s="92"/>
      <c r="BU129" s="72"/>
      <c r="BV129" s="92"/>
      <c r="BW129" s="266"/>
      <c r="BX129" s="266"/>
      <c r="BY129" s="266"/>
      <c r="BZ129" s="266"/>
      <c r="CA129" s="266"/>
      <c r="CB129" s="266"/>
      <c r="CC129" s="266"/>
      <c r="CD129" s="266"/>
      <c r="CE129" s="336"/>
      <c r="CF129" s="336"/>
      <c r="CG129" s="336"/>
      <c r="CH129" s="33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92"/>
      <c r="DL129" s="92"/>
      <c r="DM129" s="107"/>
      <c r="DN129" s="92"/>
      <c r="DO129" s="92"/>
      <c r="DP129" s="92"/>
      <c r="DQ129" s="107"/>
      <c r="DR129" s="92"/>
      <c r="DS129" s="92"/>
      <c r="DT129" s="92"/>
      <c r="DU129" s="107"/>
      <c r="DV129" s="92"/>
      <c r="DW129" s="92"/>
      <c r="DX129" s="92"/>
      <c r="DY129" s="107"/>
      <c r="DZ129" s="92"/>
      <c r="EA129" s="92"/>
      <c r="EB129" s="107"/>
      <c r="EC129" s="73"/>
    </row>
    <row r="130" spans="1:133" s="47" customFormat="1" ht="25.15" customHeight="1">
      <c r="A130" s="133">
        <f t="shared" si="14"/>
        <v>54</v>
      </c>
      <c r="B130" s="69"/>
      <c r="C130" s="266"/>
      <c r="D130" s="266"/>
      <c r="E130" s="266"/>
      <c r="F130" s="266"/>
      <c r="G130" s="266"/>
      <c r="H130" s="266"/>
      <c r="I130" s="336"/>
      <c r="J130" s="336"/>
      <c r="K130" s="336"/>
      <c r="L130" s="33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107"/>
      <c r="BB130" s="92"/>
      <c r="BC130" s="92"/>
      <c r="BD130" s="107"/>
      <c r="BE130" s="92"/>
      <c r="BF130" s="92"/>
      <c r="BG130" s="92"/>
      <c r="BH130" s="107"/>
      <c r="BI130" s="92"/>
      <c r="BJ130" s="92"/>
      <c r="BK130" s="92"/>
      <c r="BL130" s="107"/>
      <c r="BM130" s="92"/>
      <c r="BN130" s="92"/>
      <c r="BO130" s="92"/>
      <c r="BP130" s="107"/>
      <c r="BQ130" s="92"/>
      <c r="BR130" s="92"/>
      <c r="BS130" s="107"/>
      <c r="BT130" s="92"/>
      <c r="BU130" s="72"/>
      <c r="BV130" s="92"/>
      <c r="BW130" s="266"/>
      <c r="BX130" s="266"/>
      <c r="BY130" s="266"/>
      <c r="BZ130" s="266"/>
      <c r="CA130" s="266"/>
      <c r="CB130" s="266"/>
      <c r="CC130" s="266"/>
      <c r="CD130" s="266"/>
      <c r="CE130" s="336"/>
      <c r="CF130" s="336"/>
      <c r="CG130" s="336"/>
      <c r="CH130" s="33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92"/>
      <c r="DL130" s="92"/>
      <c r="DM130" s="107"/>
      <c r="DN130" s="92"/>
      <c r="DO130" s="92"/>
      <c r="DP130" s="92"/>
      <c r="DQ130" s="107"/>
      <c r="DR130" s="92"/>
      <c r="DS130" s="92"/>
      <c r="DT130" s="92"/>
      <c r="DU130" s="107"/>
      <c r="DV130" s="92"/>
      <c r="DW130" s="92"/>
      <c r="DX130" s="92"/>
      <c r="DY130" s="107"/>
      <c r="DZ130" s="92"/>
      <c r="EA130" s="92"/>
      <c r="EB130" s="107"/>
      <c r="EC130" s="73"/>
    </row>
    <row r="131" spans="1:133" s="47" customFormat="1" ht="25.15" customHeight="1">
      <c r="A131" s="133">
        <f t="shared" si="14"/>
        <v>55</v>
      </c>
      <c r="B131" s="69"/>
      <c r="C131" s="266"/>
      <c r="D131" s="266"/>
      <c r="E131" s="266"/>
      <c r="F131" s="266"/>
      <c r="G131" s="266"/>
      <c r="H131" s="266"/>
      <c r="I131" s="336"/>
      <c r="J131" s="336"/>
      <c r="K131" s="336"/>
      <c r="L131" s="33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107"/>
      <c r="BB131" s="92"/>
      <c r="BC131" s="92"/>
      <c r="BD131" s="107"/>
      <c r="BE131" s="92"/>
      <c r="BF131" s="92"/>
      <c r="BG131" s="92"/>
      <c r="BH131" s="107"/>
      <c r="BI131" s="92"/>
      <c r="BJ131" s="92"/>
      <c r="BK131" s="92"/>
      <c r="BL131" s="107"/>
      <c r="BM131" s="92"/>
      <c r="BN131" s="92"/>
      <c r="BO131" s="92"/>
      <c r="BP131" s="107"/>
      <c r="BQ131" s="92"/>
      <c r="BR131" s="92"/>
      <c r="BS131" s="107"/>
      <c r="BT131" s="92"/>
      <c r="BU131" s="72"/>
      <c r="BV131" s="92"/>
      <c r="BW131" s="266"/>
      <c r="BX131" s="266"/>
      <c r="BY131" s="266"/>
      <c r="BZ131" s="266"/>
      <c r="CA131" s="266"/>
      <c r="CB131" s="266"/>
      <c r="CC131" s="266"/>
      <c r="CD131" s="266"/>
      <c r="CE131" s="336"/>
      <c r="CF131" s="336"/>
      <c r="CG131" s="336"/>
      <c r="CH131" s="33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92"/>
      <c r="DL131" s="92"/>
      <c r="DM131" s="107"/>
      <c r="DN131" s="92"/>
      <c r="DO131" s="92"/>
      <c r="DP131" s="92"/>
      <c r="DQ131" s="107"/>
      <c r="DR131" s="92"/>
      <c r="DS131" s="92"/>
      <c r="DT131" s="92"/>
      <c r="DU131" s="107"/>
      <c r="DV131" s="92"/>
      <c r="DW131" s="92"/>
      <c r="DX131" s="92"/>
      <c r="DY131" s="107"/>
      <c r="DZ131" s="92"/>
      <c r="EA131" s="92"/>
      <c r="EB131" s="107"/>
      <c r="EC131" s="73"/>
    </row>
    <row r="132" spans="1:133" s="47" customFormat="1" ht="25.15" customHeight="1">
      <c r="A132" s="133">
        <f t="shared" si="14"/>
        <v>56</v>
      </c>
      <c r="B132" s="69"/>
      <c r="C132" s="266"/>
      <c r="D132" s="266"/>
      <c r="E132" s="266"/>
      <c r="F132" s="266"/>
      <c r="G132" s="266"/>
      <c r="H132" s="266"/>
      <c r="I132" s="336"/>
      <c r="J132" s="336"/>
      <c r="K132" s="336"/>
      <c r="L132" s="33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107"/>
      <c r="BB132" s="92"/>
      <c r="BC132" s="92"/>
      <c r="BD132" s="107"/>
      <c r="BE132" s="92"/>
      <c r="BF132" s="92"/>
      <c r="BG132" s="92"/>
      <c r="BH132" s="107"/>
      <c r="BI132" s="92"/>
      <c r="BJ132" s="92"/>
      <c r="BK132" s="92"/>
      <c r="BL132" s="107"/>
      <c r="BM132" s="92"/>
      <c r="BN132" s="92"/>
      <c r="BO132" s="92"/>
      <c r="BP132" s="107"/>
      <c r="BQ132" s="92"/>
      <c r="BR132" s="92"/>
      <c r="BS132" s="107"/>
      <c r="BT132" s="92"/>
      <c r="BU132" s="72"/>
      <c r="BV132" s="92"/>
      <c r="BW132" s="266"/>
      <c r="BX132" s="266"/>
      <c r="BY132" s="266"/>
      <c r="BZ132" s="266"/>
      <c r="CA132" s="266"/>
      <c r="CB132" s="266"/>
      <c r="CC132" s="266"/>
      <c r="CD132" s="266"/>
      <c r="CE132" s="336"/>
      <c r="CF132" s="336"/>
      <c r="CG132" s="336"/>
      <c r="CH132" s="33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92"/>
      <c r="DL132" s="92"/>
      <c r="DM132" s="107"/>
      <c r="DN132" s="92"/>
      <c r="DO132" s="92"/>
      <c r="DP132" s="92"/>
      <c r="DQ132" s="107"/>
      <c r="DR132" s="92"/>
      <c r="DS132" s="92"/>
      <c r="DT132" s="92"/>
      <c r="DU132" s="107"/>
      <c r="DV132" s="92"/>
      <c r="DW132" s="92"/>
      <c r="DX132" s="92"/>
      <c r="DY132" s="107"/>
      <c r="DZ132" s="92"/>
      <c r="EA132" s="92"/>
      <c r="EB132" s="107"/>
      <c r="EC132" s="73"/>
    </row>
    <row r="133" spans="1:133" s="47" customFormat="1" ht="25.15" customHeight="1">
      <c r="A133" s="133">
        <f t="shared" si="14"/>
        <v>57</v>
      </c>
      <c r="B133" s="69"/>
      <c r="C133" s="266"/>
      <c r="D133" s="266"/>
      <c r="E133" s="266"/>
      <c r="F133" s="266"/>
      <c r="G133" s="266"/>
      <c r="H133" s="266"/>
      <c r="I133" s="336"/>
      <c r="J133" s="336"/>
      <c r="K133" s="336"/>
      <c r="L133" s="33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107"/>
      <c r="BB133" s="92"/>
      <c r="BC133" s="92"/>
      <c r="BD133" s="107"/>
      <c r="BE133" s="92"/>
      <c r="BF133" s="92"/>
      <c r="BG133" s="92"/>
      <c r="BH133" s="107"/>
      <c r="BI133" s="92"/>
      <c r="BJ133" s="92"/>
      <c r="BK133" s="92"/>
      <c r="BL133" s="107"/>
      <c r="BM133" s="92"/>
      <c r="BN133" s="92"/>
      <c r="BO133" s="92"/>
      <c r="BP133" s="107"/>
      <c r="BQ133" s="92"/>
      <c r="BR133" s="92"/>
      <c r="BS133" s="107"/>
      <c r="BT133" s="92"/>
      <c r="BU133" s="72"/>
      <c r="BV133" s="92"/>
      <c r="BW133" s="266"/>
      <c r="BX133" s="266"/>
      <c r="BY133" s="266"/>
      <c r="BZ133" s="266"/>
      <c r="CA133" s="266"/>
      <c r="CB133" s="266"/>
      <c r="CC133" s="266"/>
      <c r="CD133" s="266"/>
      <c r="CE133" s="336"/>
      <c r="CF133" s="336"/>
      <c r="CG133" s="336"/>
      <c r="CH133" s="33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92"/>
      <c r="DL133" s="92"/>
      <c r="DM133" s="107"/>
      <c r="DN133" s="92"/>
      <c r="DO133" s="92"/>
      <c r="DP133" s="92"/>
      <c r="DQ133" s="107"/>
      <c r="DR133" s="92"/>
      <c r="DS133" s="92"/>
      <c r="DT133" s="92"/>
      <c r="DU133" s="107"/>
      <c r="DV133" s="92"/>
      <c r="DW133" s="92"/>
      <c r="DX133" s="92"/>
      <c r="DY133" s="107"/>
      <c r="DZ133" s="92"/>
      <c r="EA133" s="92"/>
      <c r="EB133" s="107"/>
      <c r="EC133" s="73"/>
    </row>
    <row r="134" spans="1:133" s="47" customFormat="1" ht="25.15" customHeight="1">
      <c r="A134" s="133">
        <f t="shared" si="14"/>
        <v>58</v>
      </c>
      <c r="B134" s="69"/>
      <c r="C134" s="266"/>
      <c r="D134" s="266"/>
      <c r="E134" s="266"/>
      <c r="F134" s="266"/>
      <c r="G134" s="266"/>
      <c r="H134" s="266"/>
      <c r="I134" s="336"/>
      <c r="J134" s="336"/>
      <c r="K134" s="336"/>
      <c r="L134" s="33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107"/>
      <c r="BB134" s="92"/>
      <c r="BC134" s="92"/>
      <c r="BD134" s="107"/>
      <c r="BE134" s="92"/>
      <c r="BF134" s="92"/>
      <c r="BG134" s="92"/>
      <c r="BH134" s="107"/>
      <c r="BI134" s="92"/>
      <c r="BJ134" s="92"/>
      <c r="BK134" s="92"/>
      <c r="BL134" s="107"/>
      <c r="BM134" s="92"/>
      <c r="BN134" s="92"/>
      <c r="BO134" s="92"/>
      <c r="BP134" s="107"/>
      <c r="BQ134" s="92"/>
      <c r="BR134" s="92"/>
      <c r="BS134" s="107"/>
      <c r="BT134" s="92"/>
      <c r="BU134" s="72"/>
      <c r="BV134" s="92"/>
      <c r="BW134" s="266"/>
      <c r="BX134" s="266"/>
      <c r="BY134" s="266"/>
      <c r="BZ134" s="266"/>
      <c r="CA134" s="266"/>
      <c r="CB134" s="266"/>
      <c r="CC134" s="266"/>
      <c r="CD134" s="266"/>
      <c r="CE134" s="336"/>
      <c r="CF134" s="336"/>
      <c r="CG134" s="336"/>
      <c r="CH134" s="33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92"/>
      <c r="DL134" s="92"/>
      <c r="DM134" s="107"/>
      <c r="DN134" s="92"/>
      <c r="DO134" s="92"/>
      <c r="DP134" s="92"/>
      <c r="DQ134" s="107"/>
      <c r="DR134" s="92"/>
      <c r="DS134" s="92"/>
      <c r="DT134" s="92"/>
      <c r="DU134" s="107"/>
      <c r="DV134" s="92"/>
      <c r="DW134" s="92"/>
      <c r="DX134" s="92"/>
      <c r="DY134" s="107"/>
      <c r="DZ134" s="92"/>
      <c r="EA134" s="92"/>
      <c r="EB134" s="107"/>
      <c r="EC134" s="73"/>
    </row>
    <row r="135" spans="1:133" s="47" customFormat="1" ht="25.15" customHeight="1">
      <c r="A135" s="133">
        <f t="shared" si="14"/>
        <v>59</v>
      </c>
      <c r="B135" s="69"/>
      <c r="C135" s="266"/>
      <c r="D135" s="266"/>
      <c r="E135" s="266"/>
      <c r="F135" s="266"/>
      <c r="G135" s="266"/>
      <c r="H135" s="266"/>
      <c r="I135" s="336"/>
      <c r="J135" s="336"/>
      <c r="K135" s="336"/>
      <c r="L135" s="33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107"/>
      <c r="BB135" s="92"/>
      <c r="BC135" s="92"/>
      <c r="BD135" s="107"/>
      <c r="BE135" s="92"/>
      <c r="BF135" s="92"/>
      <c r="BG135" s="92"/>
      <c r="BH135" s="107"/>
      <c r="BI135" s="92"/>
      <c r="BJ135" s="92"/>
      <c r="BK135" s="92"/>
      <c r="BL135" s="107"/>
      <c r="BM135" s="92"/>
      <c r="BN135" s="92"/>
      <c r="BO135" s="92"/>
      <c r="BP135" s="107"/>
      <c r="BQ135" s="92"/>
      <c r="BR135" s="92"/>
      <c r="BS135" s="107"/>
      <c r="BT135" s="92"/>
      <c r="BU135" s="72"/>
      <c r="BV135" s="92"/>
      <c r="BW135" s="266"/>
      <c r="BX135" s="266"/>
      <c r="BY135" s="266"/>
      <c r="BZ135" s="266"/>
      <c r="CA135" s="266"/>
      <c r="CB135" s="266"/>
      <c r="CC135" s="266"/>
      <c r="CD135" s="266"/>
      <c r="CE135" s="336"/>
      <c r="CF135" s="336"/>
      <c r="CG135" s="336"/>
      <c r="CH135" s="33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92"/>
      <c r="DL135" s="92"/>
      <c r="DM135" s="107"/>
      <c r="DN135" s="92"/>
      <c r="DO135" s="92"/>
      <c r="DP135" s="92"/>
      <c r="DQ135" s="107"/>
      <c r="DR135" s="92"/>
      <c r="DS135" s="92"/>
      <c r="DT135" s="92"/>
      <c r="DU135" s="107"/>
      <c r="DV135" s="92"/>
      <c r="DW135" s="92"/>
      <c r="DX135" s="92"/>
      <c r="DY135" s="107"/>
      <c r="DZ135" s="92"/>
      <c r="EA135" s="92"/>
      <c r="EB135" s="107"/>
      <c r="EC135" s="73"/>
    </row>
    <row r="136" spans="1:133" s="47" customFormat="1" ht="25.15" customHeight="1">
      <c r="A136" s="133">
        <f t="shared" si="14"/>
        <v>60</v>
      </c>
      <c r="B136" s="69"/>
      <c r="C136" s="266"/>
      <c r="D136" s="266"/>
      <c r="E136" s="266"/>
      <c r="F136" s="266"/>
      <c r="G136" s="266"/>
      <c r="H136" s="266"/>
      <c r="I136" s="336"/>
      <c r="J136" s="336"/>
      <c r="K136" s="336"/>
      <c r="L136" s="33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107"/>
      <c r="BB136" s="92"/>
      <c r="BC136" s="92"/>
      <c r="BD136" s="107"/>
      <c r="BE136" s="92"/>
      <c r="BF136" s="92"/>
      <c r="BG136" s="92"/>
      <c r="BH136" s="107"/>
      <c r="BI136" s="92"/>
      <c r="BJ136" s="92"/>
      <c r="BK136" s="92"/>
      <c r="BL136" s="107"/>
      <c r="BM136" s="92"/>
      <c r="BN136" s="92"/>
      <c r="BO136" s="92"/>
      <c r="BP136" s="107"/>
      <c r="BQ136" s="92"/>
      <c r="BR136" s="92"/>
      <c r="BS136" s="107"/>
      <c r="BT136" s="92"/>
      <c r="BU136" s="72"/>
      <c r="BV136" s="92"/>
      <c r="BW136" s="266"/>
      <c r="BX136" s="266"/>
      <c r="BY136" s="266"/>
      <c r="BZ136" s="266"/>
      <c r="CA136" s="266"/>
      <c r="CB136" s="266"/>
      <c r="CC136" s="266"/>
      <c r="CD136" s="266"/>
      <c r="CE136" s="336"/>
      <c r="CF136" s="336"/>
      <c r="CG136" s="336"/>
      <c r="CH136" s="33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92"/>
      <c r="DL136" s="92"/>
      <c r="DM136" s="107"/>
      <c r="DN136" s="92"/>
      <c r="DO136" s="92"/>
      <c r="DP136" s="92"/>
      <c r="DQ136" s="107"/>
      <c r="DR136" s="92"/>
      <c r="DS136" s="92"/>
      <c r="DT136" s="92"/>
      <c r="DU136" s="107"/>
      <c r="DV136" s="92"/>
      <c r="DW136" s="92"/>
      <c r="DX136" s="92"/>
      <c r="DY136" s="107"/>
      <c r="DZ136" s="92"/>
      <c r="EA136" s="92"/>
      <c r="EB136" s="107"/>
      <c r="EC136" s="73"/>
    </row>
    <row r="137" spans="1:133" s="47" customFormat="1" ht="25.15" customHeight="1">
      <c r="A137" s="133">
        <f t="shared" ref="A137:A141" si="28">A136+1</f>
        <v>61</v>
      </c>
      <c r="B137" s="69"/>
      <c r="C137" s="266"/>
      <c r="D137" s="266"/>
      <c r="E137" s="266"/>
      <c r="F137" s="266"/>
      <c r="G137" s="266"/>
      <c r="H137" s="266"/>
      <c r="I137" s="336"/>
      <c r="J137" s="336"/>
      <c r="K137" s="336"/>
      <c r="L137" s="33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107"/>
      <c r="BB137" s="92"/>
      <c r="BC137" s="92"/>
      <c r="BD137" s="107"/>
      <c r="BE137" s="92"/>
      <c r="BF137" s="92"/>
      <c r="BG137" s="92"/>
      <c r="BH137" s="107"/>
      <c r="BI137" s="92"/>
      <c r="BJ137" s="92"/>
      <c r="BK137" s="92"/>
      <c r="BL137" s="107"/>
      <c r="BM137" s="92"/>
      <c r="BN137" s="92"/>
      <c r="BO137" s="92"/>
      <c r="BP137" s="107"/>
      <c r="BQ137" s="92"/>
      <c r="BR137" s="92"/>
      <c r="BS137" s="107"/>
      <c r="BT137" s="92"/>
      <c r="BU137" s="72"/>
      <c r="BV137" s="92"/>
      <c r="BW137" s="266"/>
      <c r="BX137" s="266"/>
      <c r="BY137" s="266"/>
      <c r="BZ137" s="266"/>
      <c r="CA137" s="266"/>
      <c r="CB137" s="266"/>
      <c r="CC137" s="266"/>
      <c r="CD137" s="266"/>
      <c r="CE137" s="336"/>
      <c r="CF137" s="336"/>
      <c r="CG137" s="336"/>
      <c r="CH137" s="33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92"/>
      <c r="DL137" s="92"/>
      <c r="DM137" s="107"/>
      <c r="DN137" s="92"/>
      <c r="DO137" s="92"/>
      <c r="DP137" s="92"/>
      <c r="DQ137" s="107"/>
      <c r="DR137" s="92"/>
      <c r="DS137" s="92"/>
      <c r="DT137" s="92"/>
      <c r="DU137" s="107"/>
      <c r="DV137" s="92"/>
      <c r="DW137" s="92"/>
      <c r="DX137" s="92"/>
      <c r="DY137" s="107"/>
      <c r="DZ137" s="92"/>
      <c r="EA137" s="92"/>
      <c r="EB137" s="107"/>
      <c r="EC137" s="73"/>
    </row>
    <row r="138" spans="1:133" s="47" customFormat="1" ht="25.15" customHeight="1">
      <c r="A138" s="133">
        <f t="shared" si="28"/>
        <v>62</v>
      </c>
      <c r="B138" s="69"/>
      <c r="C138" s="266"/>
      <c r="D138" s="266"/>
      <c r="E138" s="266"/>
      <c r="F138" s="266"/>
      <c r="G138" s="266"/>
      <c r="H138" s="266"/>
      <c r="I138" s="336"/>
      <c r="J138" s="336"/>
      <c r="K138" s="336"/>
      <c r="L138" s="33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107"/>
      <c r="BB138" s="92"/>
      <c r="BC138" s="92"/>
      <c r="BD138" s="107"/>
      <c r="BE138" s="92"/>
      <c r="BF138" s="92"/>
      <c r="BG138" s="92"/>
      <c r="BH138" s="107"/>
      <c r="BI138" s="92"/>
      <c r="BJ138" s="92"/>
      <c r="BK138" s="92"/>
      <c r="BL138" s="107"/>
      <c r="BM138" s="92"/>
      <c r="BN138" s="92"/>
      <c r="BO138" s="92"/>
      <c r="BP138" s="107"/>
      <c r="BQ138" s="92"/>
      <c r="BR138" s="92"/>
      <c r="BS138" s="107"/>
      <c r="BT138" s="92"/>
      <c r="BU138" s="72"/>
      <c r="BV138" s="92"/>
      <c r="BW138" s="266"/>
      <c r="BX138" s="266"/>
      <c r="BY138" s="266"/>
      <c r="BZ138" s="266"/>
      <c r="CA138" s="266"/>
      <c r="CB138" s="266"/>
      <c r="CC138" s="266"/>
      <c r="CD138" s="266"/>
      <c r="CE138" s="336"/>
      <c r="CF138" s="336"/>
      <c r="CG138" s="336"/>
      <c r="CH138" s="33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92"/>
      <c r="DL138" s="92"/>
      <c r="DM138" s="107"/>
      <c r="DN138" s="92"/>
      <c r="DO138" s="92"/>
      <c r="DP138" s="92"/>
      <c r="DQ138" s="107"/>
      <c r="DR138" s="92"/>
      <c r="DS138" s="92"/>
      <c r="DT138" s="92"/>
      <c r="DU138" s="107"/>
      <c r="DV138" s="92"/>
      <c r="DW138" s="92"/>
      <c r="DX138" s="92"/>
      <c r="DY138" s="107"/>
      <c r="DZ138" s="92"/>
      <c r="EA138" s="92"/>
      <c r="EB138" s="107"/>
      <c r="EC138" s="73"/>
    </row>
    <row r="139" spans="1:133" s="47" customFormat="1" ht="25.15" customHeight="1">
      <c r="A139" s="133">
        <f t="shared" si="28"/>
        <v>63</v>
      </c>
      <c r="B139" s="69"/>
      <c r="C139" s="266"/>
      <c r="D139" s="266"/>
      <c r="E139" s="266"/>
      <c r="F139" s="266"/>
      <c r="G139" s="266"/>
      <c r="H139" s="266"/>
      <c r="I139" s="336"/>
      <c r="J139" s="336"/>
      <c r="K139" s="336"/>
      <c r="L139" s="33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107"/>
      <c r="BB139" s="92"/>
      <c r="BC139" s="92"/>
      <c r="BD139" s="107"/>
      <c r="BE139" s="92"/>
      <c r="BF139" s="92"/>
      <c r="BG139" s="92"/>
      <c r="BH139" s="107"/>
      <c r="BI139" s="92"/>
      <c r="BJ139" s="92"/>
      <c r="BK139" s="92"/>
      <c r="BL139" s="107"/>
      <c r="BM139" s="92"/>
      <c r="BN139" s="92"/>
      <c r="BO139" s="92"/>
      <c r="BP139" s="107"/>
      <c r="BQ139" s="92"/>
      <c r="BR139" s="92"/>
      <c r="BS139" s="107"/>
      <c r="BT139" s="107"/>
      <c r="BU139" s="107"/>
      <c r="BV139" s="101"/>
      <c r="BW139" s="259"/>
      <c r="BX139" s="259"/>
      <c r="BY139" s="259"/>
      <c r="BZ139" s="259"/>
      <c r="CA139" s="259"/>
      <c r="CB139" s="259"/>
      <c r="CC139" s="259"/>
      <c r="CD139" s="259"/>
      <c r="CE139" s="259"/>
      <c r="CF139" s="259"/>
      <c r="CG139" s="259"/>
      <c r="CH139" s="259"/>
      <c r="CI139" s="259"/>
      <c r="CJ139" s="259"/>
      <c r="CK139" s="259"/>
      <c r="CL139" s="259"/>
      <c r="CM139" s="259"/>
      <c r="CN139" s="259"/>
      <c r="CO139" s="259"/>
      <c r="CP139" s="259"/>
      <c r="CQ139" s="259"/>
      <c r="CR139" s="259"/>
      <c r="CS139" s="259"/>
      <c r="CT139" s="259"/>
      <c r="CU139" s="259"/>
      <c r="CV139" s="259"/>
      <c r="CW139" s="259"/>
      <c r="CX139" s="259"/>
      <c r="CY139" s="259"/>
      <c r="CZ139" s="259"/>
      <c r="DA139" s="259"/>
      <c r="DB139" s="259"/>
      <c r="DC139" s="259"/>
      <c r="DD139" s="259"/>
      <c r="DE139" s="259"/>
      <c r="DF139" s="259"/>
      <c r="DG139" s="259"/>
      <c r="DH139" s="259"/>
      <c r="DI139" s="259"/>
      <c r="DJ139" s="259"/>
      <c r="DK139" s="259"/>
      <c r="DL139" s="314"/>
      <c r="DM139" s="251"/>
      <c r="DN139" s="251"/>
      <c r="DO139" s="251"/>
      <c r="DP139" s="251"/>
      <c r="DQ139" s="251"/>
      <c r="DR139" s="251"/>
      <c r="DS139" s="251"/>
      <c r="DT139" s="251"/>
      <c r="DU139" s="251"/>
      <c r="DV139" s="251"/>
      <c r="DW139" s="251"/>
      <c r="DX139" s="251"/>
      <c r="DY139" s="251"/>
      <c r="DZ139" s="251"/>
      <c r="EA139" s="251"/>
      <c r="EB139" s="251"/>
      <c r="EC139" s="73"/>
    </row>
    <row r="140" spans="1:133" ht="25.15" customHeight="1">
      <c r="A140" s="133">
        <f t="shared" si="28"/>
        <v>64</v>
      </c>
      <c r="B140" s="69"/>
      <c r="C140" s="266"/>
      <c r="D140" s="266"/>
      <c r="E140" s="266"/>
      <c r="F140" s="266"/>
      <c r="G140" s="266"/>
      <c r="H140" s="266"/>
      <c r="I140" s="336"/>
      <c r="J140" s="336"/>
      <c r="K140" s="336"/>
      <c r="L140" s="33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107"/>
      <c r="BB140" s="92"/>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EC140" s="134"/>
    </row>
    <row r="141" spans="1:133" s="47" customFormat="1" ht="25.15" customHeight="1">
      <c r="A141" s="133">
        <f t="shared" si="28"/>
        <v>65</v>
      </c>
      <c r="B141" s="69"/>
      <c r="C141" s="321" t="s">
        <v>272</v>
      </c>
      <c r="D141" s="321"/>
      <c r="E141" s="321"/>
      <c r="F141" s="321"/>
      <c r="G141" s="321"/>
      <c r="H141" s="321"/>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296</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
        <f t="shared" ref="A142" si="29">A141+1</f>
        <v>66</v>
      </c>
      <c r="B142" s="141"/>
      <c r="C142" s="266"/>
      <c r="D142" s="266"/>
      <c r="E142" s="266"/>
      <c r="F142" s="266"/>
      <c r="G142" s="266"/>
      <c r="H142" s="266"/>
      <c r="I142" s="336"/>
      <c r="J142" s="336"/>
      <c r="K142" s="336"/>
      <c r="L142" s="33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107"/>
      <c r="BB142" s="92"/>
      <c r="BC142" s="92"/>
      <c r="BD142" s="107"/>
      <c r="BE142" s="92"/>
      <c r="BF142" s="92"/>
      <c r="BG142" s="92"/>
      <c r="BH142" s="107"/>
      <c r="BI142" s="92"/>
      <c r="BJ142" s="92"/>
      <c r="BK142" s="92"/>
      <c r="BL142" s="107"/>
      <c r="BM142" s="92"/>
      <c r="BN142" s="92"/>
      <c r="BO142" s="92"/>
      <c r="BP142" s="107"/>
      <c r="BQ142" s="92"/>
      <c r="BR142" s="9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c r="CM142" s="112"/>
      <c r="CN142" s="112"/>
      <c r="CO142" s="112"/>
      <c r="CP142" s="112"/>
      <c r="CQ142" s="112"/>
      <c r="CR142" s="112"/>
      <c r="CS142" s="112"/>
      <c r="CT142" s="112"/>
      <c r="CU142" s="112"/>
      <c r="CV142" s="112"/>
      <c r="CW142" s="112"/>
      <c r="CX142" s="112"/>
      <c r="CY142" s="112"/>
      <c r="CZ142" s="112"/>
      <c r="DA142" s="112"/>
      <c r="DB142" s="112"/>
      <c r="DC142" s="112"/>
      <c r="DD142" s="112"/>
      <c r="DE142" s="112"/>
      <c r="DF142" s="112"/>
      <c r="DG142" s="112"/>
      <c r="DH142" s="112"/>
      <c r="DI142" s="112"/>
      <c r="DJ142" s="112"/>
      <c r="DK142" s="112"/>
      <c r="DL142" s="112"/>
      <c r="DM142" s="112"/>
      <c r="DN142" s="112"/>
      <c r="DO142" s="112"/>
      <c r="DP142" s="112"/>
      <c r="DQ142" s="112"/>
      <c r="DR142" s="112"/>
      <c r="DS142" s="112"/>
      <c r="DT142" s="112"/>
      <c r="DU142" s="112"/>
      <c r="DV142" s="112"/>
      <c r="DW142" s="112"/>
      <c r="DX142" s="112"/>
      <c r="DY142" s="112"/>
      <c r="DZ142" s="112"/>
      <c r="EA142" s="112"/>
      <c r="EB142" s="112"/>
      <c r="EC142" s="137"/>
    </row>
    <row r="143" spans="1:133" ht="25.15" customHeight="1">
      <c r="C143" s="266"/>
      <c r="D143" s="266"/>
      <c r="E143" s="266"/>
      <c r="F143" s="266"/>
      <c r="G143" s="266"/>
      <c r="H143" s="266"/>
      <c r="I143" s="336"/>
      <c r="J143" s="336"/>
      <c r="K143" s="336"/>
      <c r="L143" s="33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107"/>
      <c r="BB143" s="92"/>
      <c r="BC143" s="92"/>
      <c r="BD143" s="107"/>
      <c r="BE143" s="92"/>
      <c r="BF143" s="92"/>
      <c r="BG143" s="92"/>
      <c r="BH143" s="107"/>
      <c r="BI143" s="92"/>
      <c r="BJ143" s="92"/>
      <c r="BK143" s="92"/>
      <c r="BL143" s="107"/>
      <c r="BM143" s="92"/>
      <c r="BN143" s="92"/>
      <c r="BO143" s="92"/>
      <c r="BP143" s="107"/>
      <c r="BQ143" s="92"/>
      <c r="BR143" s="92"/>
    </row>
    <row r="144" spans="1:133" ht="25.15" customHeight="1">
      <c r="C144" s="266"/>
      <c r="D144" s="266"/>
      <c r="E144" s="266"/>
      <c r="F144" s="266"/>
      <c r="G144" s="266"/>
      <c r="H144" s="266"/>
      <c r="I144" s="336"/>
      <c r="J144" s="336"/>
      <c r="K144" s="336"/>
      <c r="L144" s="33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107"/>
      <c r="BB144" s="92"/>
      <c r="BC144" s="92"/>
      <c r="BD144" s="107"/>
      <c r="BE144" s="92"/>
      <c r="BF144" s="92"/>
      <c r="BG144" s="92"/>
      <c r="BH144" s="107"/>
      <c r="BI144" s="92"/>
      <c r="BJ144" s="92"/>
      <c r="BK144" s="92"/>
      <c r="BL144" s="107"/>
      <c r="BM144" s="92"/>
      <c r="BN144" s="92"/>
      <c r="BO144" s="92"/>
      <c r="BP144" s="107"/>
      <c r="BQ144" s="92"/>
      <c r="BR144" s="92"/>
    </row>
    <row r="145" spans="3:70" ht="25.15" customHeight="1">
      <c r="C145" s="266"/>
      <c r="D145" s="266"/>
      <c r="E145" s="266"/>
      <c r="F145" s="266"/>
      <c r="G145" s="266"/>
      <c r="H145" s="266"/>
      <c r="I145" s="336"/>
      <c r="J145" s="336"/>
      <c r="K145" s="336"/>
      <c r="L145" s="33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107"/>
      <c r="BB145" s="92"/>
      <c r="BC145" s="92"/>
      <c r="BD145" s="107"/>
      <c r="BE145" s="92"/>
      <c r="BF145" s="92"/>
      <c r="BG145" s="92"/>
      <c r="BH145" s="107"/>
      <c r="BI145" s="92"/>
      <c r="BJ145" s="92"/>
      <c r="BK145" s="92"/>
      <c r="BL145" s="107"/>
      <c r="BM145" s="92"/>
      <c r="BN145" s="92"/>
      <c r="BO145" s="92"/>
      <c r="BP145" s="107"/>
      <c r="BQ145" s="92"/>
      <c r="BR145" s="92"/>
    </row>
    <row r="146" spans="3:70" ht="25.15" customHeight="1">
      <c r="C146" s="266"/>
      <c r="D146" s="266"/>
      <c r="E146" s="266"/>
      <c r="F146" s="266"/>
      <c r="G146" s="266"/>
      <c r="H146" s="266"/>
      <c r="I146" s="336"/>
      <c r="J146" s="336"/>
      <c r="K146" s="336"/>
      <c r="L146" s="33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107"/>
      <c r="BB146" s="92"/>
      <c r="BC146" s="92"/>
      <c r="BD146" s="107"/>
      <c r="BE146" s="92"/>
      <c r="BF146" s="92"/>
      <c r="BG146" s="92"/>
      <c r="BH146" s="107"/>
      <c r="BI146" s="92"/>
      <c r="BJ146" s="92"/>
      <c r="BK146" s="92"/>
      <c r="BL146" s="107"/>
      <c r="BM146" s="92"/>
      <c r="BN146" s="92"/>
      <c r="BO146" s="92"/>
      <c r="BP146" s="107"/>
      <c r="BQ146" s="92"/>
      <c r="BR146" s="92"/>
    </row>
    <row r="147" spans="3:70" ht="25.15" customHeight="1">
      <c r="C147" s="266"/>
      <c r="D147" s="266"/>
      <c r="E147" s="266"/>
      <c r="F147" s="266"/>
      <c r="G147" s="266"/>
      <c r="H147" s="266"/>
      <c r="I147" s="336"/>
      <c r="J147" s="336"/>
      <c r="K147" s="336"/>
      <c r="L147" s="33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107"/>
      <c r="BB147" s="92"/>
      <c r="BC147" s="92"/>
      <c r="BD147" s="107"/>
      <c r="BE147" s="92"/>
      <c r="BF147" s="92"/>
      <c r="BG147" s="92"/>
      <c r="BH147" s="107"/>
      <c r="BI147" s="92"/>
      <c r="BJ147" s="92"/>
      <c r="BK147" s="92"/>
      <c r="BL147" s="107"/>
      <c r="BM147" s="92"/>
      <c r="BN147" s="92"/>
      <c r="BO147" s="92"/>
      <c r="BP147" s="107"/>
      <c r="BQ147" s="92"/>
      <c r="BR147" s="92"/>
    </row>
    <row r="148" spans="3:70" ht="25.15" customHeight="1">
      <c r="C148" s="266"/>
      <c r="D148" s="266"/>
      <c r="E148" s="266"/>
      <c r="F148" s="266"/>
      <c r="G148" s="266"/>
      <c r="H148" s="266"/>
      <c r="I148" s="336"/>
      <c r="J148" s="336"/>
      <c r="K148" s="336"/>
      <c r="L148" s="33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107"/>
      <c r="BB148" s="92"/>
      <c r="BC148" s="92"/>
      <c r="BD148" s="107"/>
      <c r="BE148" s="92"/>
      <c r="BF148" s="92"/>
      <c r="BG148" s="92"/>
      <c r="BH148" s="107"/>
      <c r="BI148" s="92"/>
      <c r="BJ148" s="92"/>
      <c r="BK148" s="92"/>
      <c r="BL148" s="107"/>
      <c r="BM148" s="92"/>
      <c r="BN148" s="92"/>
      <c r="BO148" s="92"/>
      <c r="BP148" s="107"/>
      <c r="BQ148" s="92"/>
      <c r="BR148" s="92"/>
    </row>
    <row r="149" spans="3:70" ht="25.15" customHeight="1">
      <c r="C149" s="266"/>
      <c r="D149" s="266"/>
      <c r="E149" s="266"/>
      <c r="F149" s="266"/>
      <c r="G149" s="266"/>
      <c r="H149" s="266"/>
      <c r="I149" s="336"/>
      <c r="J149" s="336"/>
      <c r="K149" s="336"/>
      <c r="L149" s="336"/>
      <c r="M149" s="26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107"/>
      <c r="BB149" s="92"/>
      <c r="BC149" s="92"/>
      <c r="BD149" s="107"/>
      <c r="BE149" s="92"/>
      <c r="BF149" s="92"/>
      <c r="BG149" s="92"/>
      <c r="BH149" s="107"/>
      <c r="BI149" s="92"/>
      <c r="BJ149" s="92"/>
      <c r="BK149" s="92"/>
      <c r="BL149" s="107"/>
      <c r="BM149" s="92"/>
      <c r="BN149" s="92"/>
      <c r="BO149" s="92"/>
      <c r="BP149" s="107"/>
      <c r="BQ149" s="92"/>
      <c r="BR149" s="92"/>
    </row>
    <row r="150" spans="3:70" ht="25.15" customHeight="1">
      <c r="C150" s="266"/>
      <c r="D150" s="266"/>
      <c r="E150" s="266"/>
      <c r="F150" s="266"/>
      <c r="G150" s="266"/>
      <c r="H150" s="266"/>
      <c r="I150" s="336"/>
      <c r="J150" s="336"/>
      <c r="K150" s="336"/>
      <c r="L150" s="33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107"/>
      <c r="BB150" s="92"/>
      <c r="BC150" s="92"/>
      <c r="BD150" s="107"/>
      <c r="BE150" s="92"/>
      <c r="BF150" s="92"/>
      <c r="BG150" s="92"/>
      <c r="BH150" s="107"/>
      <c r="BI150" s="92"/>
      <c r="BJ150" s="92"/>
      <c r="BK150" s="92"/>
      <c r="BL150" s="107"/>
      <c r="BM150" s="92"/>
      <c r="BN150" s="92"/>
      <c r="BO150" s="92"/>
      <c r="BP150" s="107"/>
      <c r="BQ150" s="92"/>
      <c r="BR150" s="92"/>
    </row>
    <row r="151" spans="3:70" ht="25.15" customHeight="1">
      <c r="C151" s="266"/>
      <c r="D151" s="266"/>
      <c r="E151" s="266"/>
      <c r="F151" s="266"/>
      <c r="G151" s="266"/>
      <c r="H151" s="266"/>
      <c r="I151" s="336"/>
      <c r="J151" s="336"/>
      <c r="K151" s="336"/>
      <c r="L151" s="33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107"/>
      <c r="BB151" s="92"/>
      <c r="BC151" s="92"/>
      <c r="BD151" s="107"/>
      <c r="BE151" s="92"/>
      <c r="BF151" s="92"/>
      <c r="BG151" s="92"/>
      <c r="BH151" s="107"/>
      <c r="BI151" s="92"/>
      <c r="BJ151" s="92"/>
      <c r="BK151" s="92"/>
      <c r="BL151" s="107"/>
      <c r="BM151" s="92"/>
      <c r="BN151" s="92"/>
      <c r="BO151" s="92"/>
      <c r="BP151" s="107"/>
      <c r="BQ151" s="92"/>
      <c r="BR151" s="92"/>
    </row>
    <row r="152" spans="3:70" ht="25.15" customHeight="1">
      <c r="C152" s="266"/>
      <c r="D152" s="266"/>
      <c r="E152" s="266"/>
      <c r="F152" s="266"/>
      <c r="G152" s="266"/>
      <c r="H152" s="266"/>
      <c r="I152" s="336"/>
      <c r="J152" s="336"/>
      <c r="K152" s="336"/>
      <c r="L152" s="33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107"/>
      <c r="BB152" s="92"/>
      <c r="BC152" s="92"/>
      <c r="BD152" s="107"/>
      <c r="BE152" s="92"/>
      <c r="BF152" s="92"/>
      <c r="BG152" s="92"/>
      <c r="BH152" s="107"/>
      <c r="BI152" s="92"/>
      <c r="BJ152" s="92"/>
      <c r="BK152" s="92"/>
      <c r="BL152" s="107"/>
      <c r="BM152" s="92"/>
      <c r="BN152" s="92"/>
      <c r="BO152" s="92"/>
      <c r="BP152" s="107"/>
      <c r="BQ152" s="92"/>
      <c r="BR152" s="92"/>
    </row>
    <row r="153" spans="3:70" ht="25.15" customHeight="1">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c r="AP153" s="259"/>
      <c r="AQ153" s="259"/>
      <c r="AR153" s="259"/>
      <c r="AS153" s="259"/>
      <c r="AT153" s="259"/>
      <c r="AU153" s="259"/>
      <c r="AV153" s="259"/>
      <c r="AW153" s="259"/>
      <c r="AX153" s="259"/>
      <c r="AY153" s="259"/>
      <c r="AZ153" s="259"/>
      <c r="BA153" s="259"/>
      <c r="BB153" s="314"/>
      <c r="BC153" s="251"/>
      <c r="BD153" s="251"/>
      <c r="BE153" s="251"/>
      <c r="BF153" s="251"/>
      <c r="BG153" s="251"/>
      <c r="BH153" s="251"/>
      <c r="BI153" s="251"/>
      <c r="BJ153" s="251"/>
      <c r="BK153" s="251"/>
      <c r="BL153" s="251"/>
      <c r="BM153" s="251"/>
      <c r="BN153" s="251"/>
      <c r="BO153" s="251"/>
      <c r="BP153" s="251"/>
      <c r="BQ153" s="251"/>
      <c r="BR153" s="251"/>
    </row>
  </sheetData>
  <mergeCells count="1485">
    <mergeCell ref="C70:D70"/>
    <mergeCell ref="E70:F70"/>
    <mergeCell ref="BV68:CN68"/>
    <mergeCell ref="BC68:BU68"/>
    <mergeCell ref="AJ68:BB68"/>
    <mergeCell ref="Q68:AI68"/>
    <mergeCell ref="C68:P68"/>
    <mergeCell ref="C69:P69"/>
    <mergeCell ref="CO70:DG70"/>
    <mergeCell ref="DH68:DZ68"/>
    <mergeCell ref="CO68:DG68"/>
    <mergeCell ref="DH65:DZ65"/>
    <mergeCell ref="DH94:DZ94"/>
    <mergeCell ref="C66:P66"/>
    <mergeCell ref="C141:H141"/>
    <mergeCell ref="BL141:BR141"/>
    <mergeCell ref="AU60:EB60"/>
    <mergeCell ref="Q61:AT61"/>
    <mergeCell ref="Q67:AT67"/>
    <mergeCell ref="C94:P94"/>
    <mergeCell ref="Q94:AI94"/>
    <mergeCell ref="AJ94:BB94"/>
    <mergeCell ref="BC94:BU94"/>
    <mergeCell ref="BV94:CN94"/>
    <mergeCell ref="CO94:DG94"/>
    <mergeCell ref="Q93:AI93"/>
    <mergeCell ref="AJ93:BB93"/>
    <mergeCell ref="BC93:BU93"/>
    <mergeCell ref="BV93:CN93"/>
    <mergeCell ref="CO93:DG93"/>
    <mergeCell ref="DH93:DZ93"/>
    <mergeCell ref="DH70:DZ70"/>
    <mergeCell ref="Q62:AI62"/>
    <mergeCell ref="AJ62:BB62"/>
    <mergeCell ref="AU66:EB66"/>
    <mergeCell ref="Q66:AT66"/>
    <mergeCell ref="C63:P63"/>
    <mergeCell ref="Q63:AI63"/>
    <mergeCell ref="BC64:BU64"/>
    <mergeCell ref="AJ64:BB64"/>
    <mergeCell ref="Q64:AI64"/>
    <mergeCell ref="AJ63:BB63"/>
    <mergeCell ref="BC63:BU63"/>
    <mergeCell ref="BV63:CN63"/>
    <mergeCell ref="CO63:DG63"/>
    <mergeCell ref="CO65:DG65"/>
    <mergeCell ref="BV65:CN65"/>
    <mergeCell ref="BC65:BU65"/>
    <mergeCell ref="AJ65:BB65"/>
    <mergeCell ref="Q65:AI65"/>
    <mergeCell ref="C65:P65"/>
    <mergeCell ref="DH63:DZ63"/>
    <mergeCell ref="C64:D64"/>
    <mergeCell ref="E64:F64"/>
    <mergeCell ref="DH64:DZ64"/>
    <mergeCell ref="CO64:DG64"/>
    <mergeCell ref="BV64:CN64"/>
    <mergeCell ref="C62:P62"/>
    <mergeCell ref="BC62:BU62"/>
    <mergeCell ref="BV62:CN62"/>
    <mergeCell ref="CO62:DG62"/>
    <mergeCell ref="DH62:DZ62"/>
    <mergeCell ref="DH69:DZ69"/>
    <mergeCell ref="CO69:DG69"/>
    <mergeCell ref="BV69:CN69"/>
    <mergeCell ref="BC69:BU69"/>
    <mergeCell ref="AJ69:BB69"/>
    <mergeCell ref="Q69:AI69"/>
    <mergeCell ref="C99:BR99"/>
    <mergeCell ref="BW99:EB99"/>
    <mergeCell ref="C101:BA101"/>
    <mergeCell ref="C102:BA102"/>
    <mergeCell ref="C103:BA103"/>
    <mergeCell ref="C104:BA104"/>
    <mergeCell ref="C105:BA105"/>
    <mergeCell ref="C106:BA106"/>
    <mergeCell ref="BB105:BR105"/>
    <mergeCell ref="BW105:DK105"/>
    <mergeCell ref="DL105:EB105"/>
    <mergeCell ref="BB106:BR106"/>
    <mergeCell ref="BW106:DK106"/>
    <mergeCell ref="DL106:EB106"/>
    <mergeCell ref="BB103:BR103"/>
    <mergeCell ref="BW103:DK103"/>
    <mergeCell ref="DL103:EB103"/>
    <mergeCell ref="BB101:BR101"/>
    <mergeCell ref="BW101:DK101"/>
    <mergeCell ref="DL101:EB101"/>
    <mergeCell ref="BB102:BR102"/>
    <mergeCell ref="BW102:DK102"/>
    <mergeCell ref="Q70:AI70"/>
    <mergeCell ref="AJ70:BB70"/>
    <mergeCell ref="BC70:BU70"/>
    <mergeCell ref="BV70:CN70"/>
    <mergeCell ref="AY152:AZ152"/>
    <mergeCell ref="C153:BA153"/>
    <mergeCell ref="BB153:BR153"/>
    <mergeCell ref="AG152:AH152"/>
    <mergeCell ref="AI152:AJ152"/>
    <mergeCell ref="AK152:AL152"/>
    <mergeCell ref="AM152:AN152"/>
    <mergeCell ref="AO152:AP152"/>
    <mergeCell ref="AQ152:AR152"/>
    <mergeCell ref="U152:V152"/>
    <mergeCell ref="W152:X152"/>
    <mergeCell ref="Y152:Z152"/>
    <mergeCell ref="AA152:AB152"/>
    <mergeCell ref="AC152:AD152"/>
    <mergeCell ref="AE152:AF152"/>
    <mergeCell ref="C107:BA107"/>
    <mergeCell ref="DL104:EB104"/>
    <mergeCell ref="BW104:DK104"/>
    <mergeCell ref="BB104:BR104"/>
    <mergeCell ref="C152:D152"/>
    <mergeCell ref="E152:F152"/>
    <mergeCell ref="G152:H152"/>
    <mergeCell ref="I152:J152"/>
    <mergeCell ref="K152:L152"/>
    <mergeCell ref="M152:N152"/>
    <mergeCell ref="O152:P152"/>
    <mergeCell ref="Q152:R152"/>
    <mergeCell ref="S152:T152"/>
    <mergeCell ref="AM151:AN151"/>
    <mergeCell ref="AO151:AP151"/>
    <mergeCell ref="AQ151:AR151"/>
    <mergeCell ref="AS151:AT151"/>
    <mergeCell ref="AU151:AV151"/>
    <mergeCell ref="AW151:AX151"/>
    <mergeCell ref="AA151:AB151"/>
    <mergeCell ref="AC151:AD151"/>
    <mergeCell ref="AE151:AF151"/>
    <mergeCell ref="AG151:AH151"/>
    <mergeCell ref="AI151:AJ151"/>
    <mergeCell ref="AK151:AL151"/>
    <mergeCell ref="O151:P151"/>
    <mergeCell ref="Q151:R151"/>
    <mergeCell ref="S151:T151"/>
    <mergeCell ref="U151:V151"/>
    <mergeCell ref="W151:X151"/>
    <mergeCell ref="Y151:Z151"/>
    <mergeCell ref="AS152:AT152"/>
    <mergeCell ref="AU152:AV152"/>
    <mergeCell ref="AW152:AX152"/>
    <mergeCell ref="AY150:AZ150"/>
    <mergeCell ref="C151:D151"/>
    <mergeCell ref="E151:F151"/>
    <mergeCell ref="G151:H151"/>
    <mergeCell ref="I151:J151"/>
    <mergeCell ref="K151:L151"/>
    <mergeCell ref="M151:N151"/>
    <mergeCell ref="AG150:AH150"/>
    <mergeCell ref="AI150:AJ150"/>
    <mergeCell ref="AK150:AL150"/>
    <mergeCell ref="AM150:AN150"/>
    <mergeCell ref="AO150:AP150"/>
    <mergeCell ref="AQ150:AR150"/>
    <mergeCell ref="U150:V150"/>
    <mergeCell ref="W150:X150"/>
    <mergeCell ref="Y150:Z150"/>
    <mergeCell ref="AA150:AB150"/>
    <mergeCell ref="AC150:AD150"/>
    <mergeCell ref="AE150:AF150"/>
    <mergeCell ref="AY151:AZ151"/>
    <mergeCell ref="C150:D150"/>
    <mergeCell ref="E150:F150"/>
    <mergeCell ref="G150:H150"/>
    <mergeCell ref="I150:J150"/>
    <mergeCell ref="K150:L150"/>
    <mergeCell ref="M150:N150"/>
    <mergeCell ref="O150:P150"/>
    <mergeCell ref="Q150:R150"/>
    <mergeCell ref="S150:T150"/>
    <mergeCell ref="AS150:AT150"/>
    <mergeCell ref="AU150:AV150"/>
    <mergeCell ref="AW150:AX150"/>
    <mergeCell ref="AM149:AN149"/>
    <mergeCell ref="AO149:AP149"/>
    <mergeCell ref="AQ149:AR149"/>
    <mergeCell ref="AS149:AT149"/>
    <mergeCell ref="AU149:AV149"/>
    <mergeCell ref="AW149:AX149"/>
    <mergeCell ref="AA149:AB149"/>
    <mergeCell ref="AC149:AD149"/>
    <mergeCell ref="AE149:AF149"/>
    <mergeCell ref="AG149:AH149"/>
    <mergeCell ref="AI149:AJ149"/>
    <mergeCell ref="AK149:AL149"/>
    <mergeCell ref="O149:P149"/>
    <mergeCell ref="Q149:R149"/>
    <mergeCell ref="S149:T149"/>
    <mergeCell ref="U149:V149"/>
    <mergeCell ref="W149:X149"/>
    <mergeCell ref="Y149:Z149"/>
    <mergeCell ref="AY148:AZ148"/>
    <mergeCell ref="C149:D149"/>
    <mergeCell ref="E149:F149"/>
    <mergeCell ref="G149:H149"/>
    <mergeCell ref="I149:J149"/>
    <mergeCell ref="K149:L149"/>
    <mergeCell ref="M149:N149"/>
    <mergeCell ref="AG148:AH148"/>
    <mergeCell ref="AI148:AJ148"/>
    <mergeCell ref="AK148:AL148"/>
    <mergeCell ref="AM148:AN148"/>
    <mergeCell ref="AO148:AP148"/>
    <mergeCell ref="AQ148:AR148"/>
    <mergeCell ref="U148:V148"/>
    <mergeCell ref="W148:X148"/>
    <mergeCell ref="Y148:Z148"/>
    <mergeCell ref="AA148:AB148"/>
    <mergeCell ref="AC148:AD148"/>
    <mergeCell ref="AE148:AF148"/>
    <mergeCell ref="AY149:AZ149"/>
    <mergeCell ref="C148:D148"/>
    <mergeCell ref="E148:F148"/>
    <mergeCell ref="G148:H148"/>
    <mergeCell ref="I148:J148"/>
    <mergeCell ref="K148:L148"/>
    <mergeCell ref="M148:N148"/>
    <mergeCell ref="O148:P148"/>
    <mergeCell ref="Q148:R148"/>
    <mergeCell ref="S148:T148"/>
    <mergeCell ref="AS148:AT148"/>
    <mergeCell ref="AU148:AV148"/>
    <mergeCell ref="AW148:AX148"/>
    <mergeCell ref="AY147:AZ147"/>
    <mergeCell ref="C146:D146"/>
    <mergeCell ref="E146:F146"/>
    <mergeCell ref="G146:H146"/>
    <mergeCell ref="I146:J146"/>
    <mergeCell ref="K146:L146"/>
    <mergeCell ref="M146:N146"/>
    <mergeCell ref="O146:P146"/>
    <mergeCell ref="Q146:R146"/>
    <mergeCell ref="S146:T146"/>
    <mergeCell ref="AS146:AT146"/>
    <mergeCell ref="AU146:AV146"/>
    <mergeCell ref="AW146:AX146"/>
    <mergeCell ref="AM147:AN147"/>
    <mergeCell ref="AO147:AP147"/>
    <mergeCell ref="AQ147:AR147"/>
    <mergeCell ref="AS147:AT147"/>
    <mergeCell ref="AU147:AV147"/>
    <mergeCell ref="AW147:AX147"/>
    <mergeCell ref="AA147:AB147"/>
    <mergeCell ref="AC147:AD147"/>
    <mergeCell ref="AE147:AF147"/>
    <mergeCell ref="AG147:AH147"/>
    <mergeCell ref="AI147:AJ147"/>
    <mergeCell ref="AK147:AL147"/>
    <mergeCell ref="O147:P147"/>
    <mergeCell ref="Q147:R147"/>
    <mergeCell ref="S147:T147"/>
    <mergeCell ref="U147:V147"/>
    <mergeCell ref="W147:X147"/>
    <mergeCell ref="Y147:Z147"/>
    <mergeCell ref="C147:D147"/>
    <mergeCell ref="E147:F147"/>
    <mergeCell ref="G147:H147"/>
    <mergeCell ref="I147:J147"/>
    <mergeCell ref="K147:L147"/>
    <mergeCell ref="M147:N147"/>
    <mergeCell ref="AG146:AH146"/>
    <mergeCell ref="AI146:AJ146"/>
    <mergeCell ref="AK146:AL146"/>
    <mergeCell ref="AM146:AN146"/>
    <mergeCell ref="AO146:AP146"/>
    <mergeCell ref="AQ146:AR146"/>
    <mergeCell ref="U146:V146"/>
    <mergeCell ref="W146:X146"/>
    <mergeCell ref="Y146:Z146"/>
    <mergeCell ref="AA146:AB146"/>
    <mergeCell ref="AC146:AD146"/>
    <mergeCell ref="AE146:AF146"/>
    <mergeCell ref="AQ145:AR145"/>
    <mergeCell ref="AS145:AT145"/>
    <mergeCell ref="AU145:AV145"/>
    <mergeCell ref="AW145:AX145"/>
    <mergeCell ref="AA145:AB145"/>
    <mergeCell ref="AC145:AD145"/>
    <mergeCell ref="AE145:AF145"/>
    <mergeCell ref="AG145:AH145"/>
    <mergeCell ref="AI145:AJ145"/>
    <mergeCell ref="AK145:AL145"/>
    <mergeCell ref="O145:P145"/>
    <mergeCell ref="Q145:R145"/>
    <mergeCell ref="S145:T145"/>
    <mergeCell ref="U145:V145"/>
    <mergeCell ref="W145:X145"/>
    <mergeCell ref="Y145:Z145"/>
    <mergeCell ref="AY146:AZ146"/>
    <mergeCell ref="AK143:AL143"/>
    <mergeCell ref="O143:P143"/>
    <mergeCell ref="Q143:R143"/>
    <mergeCell ref="S143:T143"/>
    <mergeCell ref="U143:V143"/>
    <mergeCell ref="W143:X143"/>
    <mergeCell ref="Y143:Z143"/>
    <mergeCell ref="AS144:AT144"/>
    <mergeCell ref="AU144:AV144"/>
    <mergeCell ref="AW144:AX144"/>
    <mergeCell ref="AY144:AZ144"/>
    <mergeCell ref="C145:D145"/>
    <mergeCell ref="E145:F145"/>
    <mergeCell ref="G145:H145"/>
    <mergeCell ref="I145:J145"/>
    <mergeCell ref="K145:L145"/>
    <mergeCell ref="M145:N145"/>
    <mergeCell ref="AG144:AH144"/>
    <mergeCell ref="AI144:AJ144"/>
    <mergeCell ref="AK144:AL144"/>
    <mergeCell ref="AM144:AN144"/>
    <mergeCell ref="AO144:AP144"/>
    <mergeCell ref="AQ144:AR144"/>
    <mergeCell ref="U144:V144"/>
    <mergeCell ref="W144:X144"/>
    <mergeCell ref="Y144:Z144"/>
    <mergeCell ref="AA144:AB144"/>
    <mergeCell ref="AC144:AD144"/>
    <mergeCell ref="AE144:AF144"/>
    <mergeCell ref="AY145:AZ145"/>
    <mergeCell ref="AM145:AN145"/>
    <mergeCell ref="AO145:AP145"/>
    <mergeCell ref="AC142:AD142"/>
    <mergeCell ref="AE142:AF142"/>
    <mergeCell ref="C142:D142"/>
    <mergeCell ref="E142:F142"/>
    <mergeCell ref="G142:H142"/>
    <mergeCell ref="I142:J142"/>
    <mergeCell ref="K142:L142"/>
    <mergeCell ref="M142:N142"/>
    <mergeCell ref="O142:P142"/>
    <mergeCell ref="Q142:R142"/>
    <mergeCell ref="S142:T142"/>
    <mergeCell ref="AY143:AZ143"/>
    <mergeCell ref="C144:D144"/>
    <mergeCell ref="E144:F144"/>
    <mergeCell ref="G144:H144"/>
    <mergeCell ref="I144:J144"/>
    <mergeCell ref="K144:L144"/>
    <mergeCell ref="M144:N144"/>
    <mergeCell ref="O144:P144"/>
    <mergeCell ref="Q144:R144"/>
    <mergeCell ref="S144:T144"/>
    <mergeCell ref="AM143:AN143"/>
    <mergeCell ref="AO143:AP143"/>
    <mergeCell ref="AQ143:AR143"/>
    <mergeCell ref="AS143:AT143"/>
    <mergeCell ref="AU143:AV143"/>
    <mergeCell ref="AW143:AX143"/>
    <mergeCell ref="AA143:AB143"/>
    <mergeCell ref="AC143:AD143"/>
    <mergeCell ref="AE143:AF143"/>
    <mergeCell ref="AG143:AH143"/>
    <mergeCell ref="AI143:AJ143"/>
    <mergeCell ref="AI140:AJ140"/>
    <mergeCell ref="AK140:AL140"/>
    <mergeCell ref="AM140:AN140"/>
    <mergeCell ref="AO140:AP140"/>
    <mergeCell ref="AQ140:AR140"/>
    <mergeCell ref="U140:V140"/>
    <mergeCell ref="W140:X140"/>
    <mergeCell ref="Y140:Z140"/>
    <mergeCell ref="AA140:AB140"/>
    <mergeCell ref="AC140:AD140"/>
    <mergeCell ref="AE140:AF140"/>
    <mergeCell ref="DL139:EB139"/>
    <mergeCell ref="AS142:AT142"/>
    <mergeCell ref="AU142:AV142"/>
    <mergeCell ref="AW142:AX142"/>
    <mergeCell ref="AY142:AZ142"/>
    <mergeCell ref="C143:D143"/>
    <mergeCell ref="E143:F143"/>
    <mergeCell ref="G143:H143"/>
    <mergeCell ref="I143:J143"/>
    <mergeCell ref="K143:L143"/>
    <mergeCell ref="M143:N143"/>
    <mergeCell ref="AG142:AH142"/>
    <mergeCell ref="AI142:AJ142"/>
    <mergeCell ref="AK142:AL142"/>
    <mergeCell ref="AM142:AN142"/>
    <mergeCell ref="AO142:AP142"/>
    <mergeCell ref="AQ142:AR142"/>
    <mergeCell ref="U142:V142"/>
    <mergeCell ref="W142:X142"/>
    <mergeCell ref="Y142:Z142"/>
    <mergeCell ref="AA142:AB142"/>
    <mergeCell ref="C140:D140"/>
    <mergeCell ref="E140:F140"/>
    <mergeCell ref="G140:H140"/>
    <mergeCell ref="I140:J140"/>
    <mergeCell ref="K140:L140"/>
    <mergeCell ref="M140:N140"/>
    <mergeCell ref="O140:P140"/>
    <mergeCell ref="Q140:R140"/>
    <mergeCell ref="S140:T140"/>
    <mergeCell ref="AQ139:AR139"/>
    <mergeCell ref="AS139:AT139"/>
    <mergeCell ref="AU139:AV139"/>
    <mergeCell ref="AW139:AX139"/>
    <mergeCell ref="AY139:AZ139"/>
    <mergeCell ref="BW139:DK139"/>
    <mergeCell ref="AE139:AF139"/>
    <mergeCell ref="AG139:AH139"/>
    <mergeCell ref="AI139:AJ139"/>
    <mergeCell ref="AK139:AL139"/>
    <mergeCell ref="AM139:AN139"/>
    <mergeCell ref="AO139:AP139"/>
    <mergeCell ref="S139:T139"/>
    <mergeCell ref="U139:V139"/>
    <mergeCell ref="W139:X139"/>
    <mergeCell ref="Y139:Z139"/>
    <mergeCell ref="AA139:AB139"/>
    <mergeCell ref="AC139:AD139"/>
    <mergeCell ref="AS140:AT140"/>
    <mergeCell ref="AU140:AV140"/>
    <mergeCell ref="AW140:AX140"/>
    <mergeCell ref="AY140:AZ140"/>
    <mergeCell ref="AG140:AH140"/>
    <mergeCell ref="C139:D139"/>
    <mergeCell ref="E139:F139"/>
    <mergeCell ref="G139:H139"/>
    <mergeCell ref="I139:J139"/>
    <mergeCell ref="K139:L139"/>
    <mergeCell ref="M139:N139"/>
    <mergeCell ref="O139:P139"/>
    <mergeCell ref="Q139:R139"/>
    <mergeCell ref="CU138:CV138"/>
    <mergeCell ref="CW138:CX138"/>
    <mergeCell ref="CY138:CZ138"/>
    <mergeCell ref="DA138:DB138"/>
    <mergeCell ref="DC138:DD138"/>
    <mergeCell ref="DE138:DF138"/>
    <mergeCell ref="CI138:CJ138"/>
    <mergeCell ref="CK138:CL138"/>
    <mergeCell ref="CM138:CN138"/>
    <mergeCell ref="CO138:CP138"/>
    <mergeCell ref="CQ138:CR138"/>
    <mergeCell ref="CS138:CT138"/>
    <mergeCell ref="BW138:BX138"/>
    <mergeCell ref="BY138:BZ138"/>
    <mergeCell ref="CA138:CB138"/>
    <mergeCell ref="CC138:CD138"/>
    <mergeCell ref="CE138:CF138"/>
    <mergeCell ref="CG138:CH138"/>
    <mergeCell ref="AO138:AP138"/>
    <mergeCell ref="AQ138:AR138"/>
    <mergeCell ref="AS138:AT138"/>
    <mergeCell ref="AU138:AV138"/>
    <mergeCell ref="AW138:AX138"/>
    <mergeCell ref="AY138:AZ138"/>
    <mergeCell ref="AC138:AD138"/>
    <mergeCell ref="AE138:AF138"/>
    <mergeCell ref="AG138:AH138"/>
    <mergeCell ref="AI138:AJ138"/>
    <mergeCell ref="AK138:AL138"/>
    <mergeCell ref="AM138:AN138"/>
    <mergeCell ref="Q138:R138"/>
    <mergeCell ref="S138:T138"/>
    <mergeCell ref="U138:V138"/>
    <mergeCell ref="W138:X138"/>
    <mergeCell ref="Y138:Z138"/>
    <mergeCell ref="AA138:AB138"/>
    <mergeCell ref="DE137:DF137"/>
    <mergeCell ref="DG137:DH137"/>
    <mergeCell ref="DI137:DJ137"/>
    <mergeCell ref="AC137:AD137"/>
    <mergeCell ref="AE137:AF137"/>
    <mergeCell ref="AG137:AH137"/>
    <mergeCell ref="AI137:AJ137"/>
    <mergeCell ref="AK137:AL137"/>
    <mergeCell ref="DG138:DH138"/>
    <mergeCell ref="DI138:DJ138"/>
    <mergeCell ref="C138:D138"/>
    <mergeCell ref="E138:F138"/>
    <mergeCell ref="G138:H138"/>
    <mergeCell ref="I138:J138"/>
    <mergeCell ref="K138:L138"/>
    <mergeCell ref="M138:N138"/>
    <mergeCell ref="O138:P138"/>
    <mergeCell ref="CS137:CT137"/>
    <mergeCell ref="CU137:CV137"/>
    <mergeCell ref="CW137:CX137"/>
    <mergeCell ref="CY137:CZ137"/>
    <mergeCell ref="DA137:DB137"/>
    <mergeCell ref="DC137:DD137"/>
    <mergeCell ref="CG137:CH137"/>
    <mergeCell ref="CI137:CJ137"/>
    <mergeCell ref="CK137:CL137"/>
    <mergeCell ref="CM137:CN137"/>
    <mergeCell ref="CO137:CP137"/>
    <mergeCell ref="CQ137:CR137"/>
    <mergeCell ref="AY137:AZ137"/>
    <mergeCell ref="BW137:BX137"/>
    <mergeCell ref="BY137:BZ137"/>
    <mergeCell ref="CA137:CB137"/>
    <mergeCell ref="CC137:CD137"/>
    <mergeCell ref="CE137:CF137"/>
    <mergeCell ref="AM137:AN137"/>
    <mergeCell ref="AO137:AP137"/>
    <mergeCell ref="AQ137:AR137"/>
    <mergeCell ref="AS137:AT137"/>
    <mergeCell ref="AU137:AV137"/>
    <mergeCell ref="AW137:AX137"/>
    <mergeCell ref="AA137:AB137"/>
    <mergeCell ref="O137:P137"/>
    <mergeCell ref="Q137:R137"/>
    <mergeCell ref="S137:T137"/>
    <mergeCell ref="U137:V137"/>
    <mergeCell ref="W137:X137"/>
    <mergeCell ref="Y137:Z137"/>
    <mergeCell ref="C137:D137"/>
    <mergeCell ref="E137:F137"/>
    <mergeCell ref="G137:H137"/>
    <mergeCell ref="I137:J137"/>
    <mergeCell ref="K137:L137"/>
    <mergeCell ref="M137:N137"/>
    <mergeCell ref="CY136:CZ136"/>
    <mergeCell ref="DA136:DB136"/>
    <mergeCell ref="DC136:DD136"/>
    <mergeCell ref="DE136:DF136"/>
    <mergeCell ref="DG136:DH136"/>
    <mergeCell ref="AG136:AH136"/>
    <mergeCell ref="AI136:AJ136"/>
    <mergeCell ref="AK136:AL136"/>
    <mergeCell ref="AM136:AN136"/>
    <mergeCell ref="AO136:AP136"/>
    <mergeCell ref="AQ136:AR136"/>
    <mergeCell ref="U136:V136"/>
    <mergeCell ref="W136:X136"/>
    <mergeCell ref="Y136:Z136"/>
    <mergeCell ref="AA136:AB136"/>
    <mergeCell ref="AC136:AD136"/>
    <mergeCell ref="AE136:AF136"/>
    <mergeCell ref="DI136:DJ136"/>
    <mergeCell ref="CM136:CN136"/>
    <mergeCell ref="CO136:CP136"/>
    <mergeCell ref="CQ136:CR136"/>
    <mergeCell ref="CS136:CT136"/>
    <mergeCell ref="CU136:CV136"/>
    <mergeCell ref="CW136:CX136"/>
    <mergeCell ref="CA136:CB136"/>
    <mergeCell ref="CC136:CD136"/>
    <mergeCell ref="CE136:CF136"/>
    <mergeCell ref="CG136:CH136"/>
    <mergeCell ref="CI136:CJ136"/>
    <mergeCell ref="CK136:CL136"/>
    <mergeCell ref="AS136:AT136"/>
    <mergeCell ref="AU136:AV136"/>
    <mergeCell ref="AW136:AX136"/>
    <mergeCell ref="AY136:AZ136"/>
    <mergeCell ref="BW136:BX136"/>
    <mergeCell ref="BY136:BZ136"/>
    <mergeCell ref="DI135:DJ135"/>
    <mergeCell ref="C136:D136"/>
    <mergeCell ref="E136:F136"/>
    <mergeCell ref="G136:H136"/>
    <mergeCell ref="I136:J136"/>
    <mergeCell ref="K136:L136"/>
    <mergeCell ref="M136:N136"/>
    <mergeCell ref="O136:P136"/>
    <mergeCell ref="Q136:R136"/>
    <mergeCell ref="S136:T136"/>
    <mergeCell ref="CW135:CX135"/>
    <mergeCell ref="CY135:CZ135"/>
    <mergeCell ref="DA135:DB135"/>
    <mergeCell ref="DC135:DD135"/>
    <mergeCell ref="DE135:DF135"/>
    <mergeCell ref="DG135:DH135"/>
    <mergeCell ref="CK135:CL135"/>
    <mergeCell ref="CM135:CN135"/>
    <mergeCell ref="CO135:CP135"/>
    <mergeCell ref="CQ135:CR135"/>
    <mergeCell ref="CS135:CT135"/>
    <mergeCell ref="CU135:CV135"/>
    <mergeCell ref="BY135:BZ135"/>
    <mergeCell ref="CA135:CB135"/>
    <mergeCell ref="CC135:CD135"/>
    <mergeCell ref="CE135:CF135"/>
    <mergeCell ref="CG135:CH135"/>
    <mergeCell ref="CI135:CJ135"/>
    <mergeCell ref="AQ135:AR135"/>
    <mergeCell ref="AS135:AT135"/>
    <mergeCell ref="AU135:AV135"/>
    <mergeCell ref="AW135:AX135"/>
    <mergeCell ref="AY135:AZ135"/>
    <mergeCell ref="BW135:BX135"/>
    <mergeCell ref="AE135:AF135"/>
    <mergeCell ref="AG135:AH135"/>
    <mergeCell ref="AI135:AJ135"/>
    <mergeCell ref="AK135:AL135"/>
    <mergeCell ref="AM135:AN135"/>
    <mergeCell ref="AO135:AP135"/>
    <mergeCell ref="S135:T135"/>
    <mergeCell ref="U135:V135"/>
    <mergeCell ref="W135:X135"/>
    <mergeCell ref="Y135:Z135"/>
    <mergeCell ref="AA135:AB135"/>
    <mergeCell ref="AC135:AD135"/>
    <mergeCell ref="DG134:DH134"/>
    <mergeCell ref="DI134:DJ134"/>
    <mergeCell ref="C135:D135"/>
    <mergeCell ref="E135:F135"/>
    <mergeCell ref="G135:H135"/>
    <mergeCell ref="I135:J135"/>
    <mergeCell ref="K135:L135"/>
    <mergeCell ref="M135:N135"/>
    <mergeCell ref="O135:P135"/>
    <mergeCell ref="Q135:R135"/>
    <mergeCell ref="CU134:CV134"/>
    <mergeCell ref="CW134:CX134"/>
    <mergeCell ref="CY134:CZ134"/>
    <mergeCell ref="DA134:DB134"/>
    <mergeCell ref="DC134:DD134"/>
    <mergeCell ref="DE134:DF134"/>
    <mergeCell ref="CI134:CJ134"/>
    <mergeCell ref="CK134:CL134"/>
    <mergeCell ref="CM134:CN134"/>
    <mergeCell ref="CO134:CP134"/>
    <mergeCell ref="CQ134:CR134"/>
    <mergeCell ref="CS134:CT134"/>
    <mergeCell ref="BW134:BX134"/>
    <mergeCell ref="BY134:BZ134"/>
    <mergeCell ref="CA134:CB134"/>
    <mergeCell ref="CC134:CD134"/>
    <mergeCell ref="CE134:CF134"/>
    <mergeCell ref="CG134:CH134"/>
    <mergeCell ref="AO134:AP134"/>
    <mergeCell ref="AQ134:AR134"/>
    <mergeCell ref="AS134:AT134"/>
    <mergeCell ref="AU134:AV134"/>
    <mergeCell ref="AW134:AX134"/>
    <mergeCell ref="AY134:AZ134"/>
    <mergeCell ref="AC134:AD134"/>
    <mergeCell ref="AE134:AF134"/>
    <mergeCell ref="AG134:AH134"/>
    <mergeCell ref="AI134:AJ134"/>
    <mergeCell ref="AK134:AL134"/>
    <mergeCell ref="AM134:AN134"/>
    <mergeCell ref="Q134:R134"/>
    <mergeCell ref="S134:T134"/>
    <mergeCell ref="U134:V134"/>
    <mergeCell ref="W134:X134"/>
    <mergeCell ref="Y134:Z134"/>
    <mergeCell ref="AA134:AB134"/>
    <mergeCell ref="DE133:DF133"/>
    <mergeCell ref="DG133:DH133"/>
    <mergeCell ref="DI133:DJ133"/>
    <mergeCell ref="C134:D134"/>
    <mergeCell ref="E134:F134"/>
    <mergeCell ref="G134:H134"/>
    <mergeCell ref="I134:J134"/>
    <mergeCell ref="K134:L134"/>
    <mergeCell ref="M134:N134"/>
    <mergeCell ref="O134:P134"/>
    <mergeCell ref="CS133:CT133"/>
    <mergeCell ref="CU133:CV133"/>
    <mergeCell ref="CW133:CX133"/>
    <mergeCell ref="CY133:CZ133"/>
    <mergeCell ref="DA133:DB133"/>
    <mergeCell ref="DC133:DD133"/>
    <mergeCell ref="CG133:CH133"/>
    <mergeCell ref="CI133:CJ133"/>
    <mergeCell ref="CK133:CL133"/>
    <mergeCell ref="CM133:CN133"/>
    <mergeCell ref="CO133:CP133"/>
    <mergeCell ref="CQ133:CR133"/>
    <mergeCell ref="AY133:AZ133"/>
    <mergeCell ref="BW133:BX133"/>
    <mergeCell ref="BY133:BZ133"/>
    <mergeCell ref="CA133:CB133"/>
    <mergeCell ref="CC133:CD133"/>
    <mergeCell ref="CE133:CF133"/>
    <mergeCell ref="AM133:AN133"/>
    <mergeCell ref="AO133:AP133"/>
    <mergeCell ref="AQ133:AR133"/>
    <mergeCell ref="AS133:AT133"/>
    <mergeCell ref="AU133:AV133"/>
    <mergeCell ref="AW133:AX133"/>
    <mergeCell ref="AA133:AB133"/>
    <mergeCell ref="AC133:AD133"/>
    <mergeCell ref="AE133:AF133"/>
    <mergeCell ref="AG133:AH133"/>
    <mergeCell ref="AI133:AJ133"/>
    <mergeCell ref="AK133:AL133"/>
    <mergeCell ref="O133:P133"/>
    <mergeCell ref="Q133:R133"/>
    <mergeCell ref="S133:T133"/>
    <mergeCell ref="U133:V133"/>
    <mergeCell ref="W133:X133"/>
    <mergeCell ref="Y133:Z133"/>
    <mergeCell ref="C133:D133"/>
    <mergeCell ref="E133:F133"/>
    <mergeCell ref="G133:H133"/>
    <mergeCell ref="I133:J133"/>
    <mergeCell ref="K133:L133"/>
    <mergeCell ref="M133:N133"/>
    <mergeCell ref="CY132:CZ132"/>
    <mergeCell ref="DA132:DB132"/>
    <mergeCell ref="DC132:DD132"/>
    <mergeCell ref="DE132:DF132"/>
    <mergeCell ref="DG132:DH132"/>
    <mergeCell ref="DI132:DJ132"/>
    <mergeCell ref="CM132:CN132"/>
    <mergeCell ref="CO132:CP132"/>
    <mergeCell ref="CQ132:CR132"/>
    <mergeCell ref="CS132:CT132"/>
    <mergeCell ref="CU132:CV132"/>
    <mergeCell ref="CW132:CX132"/>
    <mergeCell ref="CA132:CB132"/>
    <mergeCell ref="CC132:CD132"/>
    <mergeCell ref="CE132:CF132"/>
    <mergeCell ref="CG132:CH132"/>
    <mergeCell ref="CI132:CJ132"/>
    <mergeCell ref="CK132:CL132"/>
    <mergeCell ref="AS132:AT132"/>
    <mergeCell ref="AU132:AV132"/>
    <mergeCell ref="AW132:AX132"/>
    <mergeCell ref="AY132:AZ132"/>
    <mergeCell ref="BW132:BX132"/>
    <mergeCell ref="BY132:BZ132"/>
    <mergeCell ref="AG132:AH132"/>
    <mergeCell ref="AI132:AJ132"/>
    <mergeCell ref="AK132:AL132"/>
    <mergeCell ref="AM132:AN132"/>
    <mergeCell ref="AO132:AP132"/>
    <mergeCell ref="AQ132:AR132"/>
    <mergeCell ref="U132:V132"/>
    <mergeCell ref="W132:X132"/>
    <mergeCell ref="Y132:Z132"/>
    <mergeCell ref="AA132:AB132"/>
    <mergeCell ref="AC132:AD132"/>
    <mergeCell ref="AE132:AF132"/>
    <mergeCell ref="DI131:DJ131"/>
    <mergeCell ref="C132:D132"/>
    <mergeCell ref="E132:F132"/>
    <mergeCell ref="G132:H132"/>
    <mergeCell ref="I132:J132"/>
    <mergeCell ref="K132:L132"/>
    <mergeCell ref="M132:N132"/>
    <mergeCell ref="O132:P132"/>
    <mergeCell ref="Q132:R132"/>
    <mergeCell ref="S132:T132"/>
    <mergeCell ref="CW131:CX131"/>
    <mergeCell ref="CY131:CZ131"/>
    <mergeCell ref="DA131:DB131"/>
    <mergeCell ref="DC131:DD131"/>
    <mergeCell ref="DE131:DF131"/>
    <mergeCell ref="DG131:DH131"/>
    <mergeCell ref="CK131:CL131"/>
    <mergeCell ref="CM131:CN131"/>
    <mergeCell ref="CO131:CP131"/>
    <mergeCell ref="CQ131:CR131"/>
    <mergeCell ref="CS131:CT131"/>
    <mergeCell ref="CU131:CV131"/>
    <mergeCell ref="BY131:BZ131"/>
    <mergeCell ref="CA131:CB131"/>
    <mergeCell ref="CC131:CD131"/>
    <mergeCell ref="CE131:CF131"/>
    <mergeCell ref="CG131:CH131"/>
    <mergeCell ref="CI131:CJ131"/>
    <mergeCell ref="AQ131:AR131"/>
    <mergeCell ref="AS131:AT131"/>
    <mergeCell ref="AU131:AV131"/>
    <mergeCell ref="AW131:AX131"/>
    <mergeCell ref="AY131:AZ131"/>
    <mergeCell ref="BW131:BX131"/>
    <mergeCell ref="AE131:AF131"/>
    <mergeCell ref="AG131:AH131"/>
    <mergeCell ref="AI131:AJ131"/>
    <mergeCell ref="AK131:AL131"/>
    <mergeCell ref="AM131:AN131"/>
    <mergeCell ref="AO131:AP131"/>
    <mergeCell ref="S131:T131"/>
    <mergeCell ref="U131:V131"/>
    <mergeCell ref="W131:X131"/>
    <mergeCell ref="Y131:Z131"/>
    <mergeCell ref="AA131:AB131"/>
    <mergeCell ref="AC131:AD131"/>
    <mergeCell ref="DG130:DH130"/>
    <mergeCell ref="DI130:DJ130"/>
    <mergeCell ref="C131:D131"/>
    <mergeCell ref="E131:F131"/>
    <mergeCell ref="G131:H131"/>
    <mergeCell ref="I131:J131"/>
    <mergeCell ref="K131:L131"/>
    <mergeCell ref="M131:N131"/>
    <mergeCell ref="O131:P131"/>
    <mergeCell ref="Q131:R131"/>
    <mergeCell ref="CU130:CV130"/>
    <mergeCell ref="CW130:CX130"/>
    <mergeCell ref="CY130:CZ130"/>
    <mergeCell ref="DA130:DB130"/>
    <mergeCell ref="DC130:DD130"/>
    <mergeCell ref="DE130:DF130"/>
    <mergeCell ref="CI130:CJ130"/>
    <mergeCell ref="CK130:CL130"/>
    <mergeCell ref="CM130:CN130"/>
    <mergeCell ref="CO130:CP130"/>
    <mergeCell ref="CQ130:CR130"/>
    <mergeCell ref="CS130:CT130"/>
    <mergeCell ref="BW130:BX130"/>
    <mergeCell ref="BY130:BZ130"/>
    <mergeCell ref="CA130:CB130"/>
    <mergeCell ref="CC130:CD130"/>
    <mergeCell ref="AO130:AP130"/>
    <mergeCell ref="AQ130:AR130"/>
    <mergeCell ref="AS130:AT130"/>
    <mergeCell ref="AU130:AV130"/>
    <mergeCell ref="AW130:AX130"/>
    <mergeCell ref="AY130:AZ130"/>
    <mergeCell ref="AC130:AD130"/>
    <mergeCell ref="AE130:AF130"/>
    <mergeCell ref="AG130:AH130"/>
    <mergeCell ref="AI130:AJ130"/>
    <mergeCell ref="AK130:AL130"/>
    <mergeCell ref="AM130:AN130"/>
    <mergeCell ref="Q130:R130"/>
    <mergeCell ref="S130:T130"/>
    <mergeCell ref="U130:V130"/>
    <mergeCell ref="W130:X130"/>
    <mergeCell ref="Y130:Z130"/>
    <mergeCell ref="AA130:AB130"/>
    <mergeCell ref="DI129:DJ129"/>
    <mergeCell ref="C130:D130"/>
    <mergeCell ref="E130:F130"/>
    <mergeCell ref="G130:H130"/>
    <mergeCell ref="I130:J130"/>
    <mergeCell ref="K130:L130"/>
    <mergeCell ref="M130:N130"/>
    <mergeCell ref="O130:P130"/>
    <mergeCell ref="CS129:CT129"/>
    <mergeCell ref="CU129:CV129"/>
    <mergeCell ref="CW129:CX129"/>
    <mergeCell ref="CY129:CZ129"/>
    <mergeCell ref="DA129:DB129"/>
    <mergeCell ref="DC129:DD129"/>
    <mergeCell ref="CG129:CH129"/>
    <mergeCell ref="CI129:CJ129"/>
    <mergeCell ref="CK129:CL129"/>
    <mergeCell ref="CM129:CN129"/>
    <mergeCell ref="CO129:CP129"/>
    <mergeCell ref="CQ129:CR129"/>
    <mergeCell ref="AY129:AZ129"/>
    <mergeCell ref="BW129:BX129"/>
    <mergeCell ref="BY129:BZ129"/>
    <mergeCell ref="CA129:CB129"/>
    <mergeCell ref="CC129:CD129"/>
    <mergeCell ref="CE129:CF129"/>
    <mergeCell ref="AM129:AN129"/>
    <mergeCell ref="AO129:AP129"/>
    <mergeCell ref="AQ129:AR129"/>
    <mergeCell ref="AS129:AT129"/>
    <mergeCell ref="CE130:CF130"/>
    <mergeCell ref="CG130:CH130"/>
    <mergeCell ref="AW129:AX129"/>
    <mergeCell ref="AA129:AB129"/>
    <mergeCell ref="AC129:AD129"/>
    <mergeCell ref="AE129:AF129"/>
    <mergeCell ref="AG129:AH129"/>
    <mergeCell ref="AI129:AJ129"/>
    <mergeCell ref="AK129:AL129"/>
    <mergeCell ref="O129:P129"/>
    <mergeCell ref="Q129:R129"/>
    <mergeCell ref="S129:T129"/>
    <mergeCell ref="U129:V129"/>
    <mergeCell ref="W129:X129"/>
    <mergeCell ref="Y129:Z129"/>
    <mergeCell ref="DC128:DD128"/>
    <mergeCell ref="DE128:DF128"/>
    <mergeCell ref="DG128:DH128"/>
    <mergeCell ref="AA128:AB128"/>
    <mergeCell ref="AC128:AD128"/>
    <mergeCell ref="AE128:AF128"/>
    <mergeCell ref="AG128:AH128"/>
    <mergeCell ref="AI128:AJ128"/>
    <mergeCell ref="DE129:DF129"/>
    <mergeCell ref="DG129:DH129"/>
    <mergeCell ref="C129:D129"/>
    <mergeCell ref="E129:F129"/>
    <mergeCell ref="G129:H129"/>
    <mergeCell ref="I129:J129"/>
    <mergeCell ref="K129:L129"/>
    <mergeCell ref="M129:N129"/>
    <mergeCell ref="CQ128:CR128"/>
    <mergeCell ref="CS128:CT128"/>
    <mergeCell ref="CU128:CV128"/>
    <mergeCell ref="CW128:CX128"/>
    <mergeCell ref="CY128:CZ128"/>
    <mergeCell ref="DA128:DB128"/>
    <mergeCell ref="CE128:CF128"/>
    <mergeCell ref="CG128:CH128"/>
    <mergeCell ref="CI128:CJ128"/>
    <mergeCell ref="CK128:CL128"/>
    <mergeCell ref="CM128:CN128"/>
    <mergeCell ref="CO128:CP128"/>
    <mergeCell ref="AW128:AX128"/>
    <mergeCell ref="AY128:AZ128"/>
    <mergeCell ref="BW128:BX128"/>
    <mergeCell ref="BY128:BZ128"/>
    <mergeCell ref="CA128:CB128"/>
    <mergeCell ref="CC128:CD128"/>
    <mergeCell ref="AK128:AL128"/>
    <mergeCell ref="AM128:AN128"/>
    <mergeCell ref="AO128:AP128"/>
    <mergeCell ref="AQ128:AR128"/>
    <mergeCell ref="AS128:AT128"/>
    <mergeCell ref="AU128:AV128"/>
    <mergeCell ref="Y128:Z128"/>
    <mergeCell ref="AU129:AV129"/>
    <mergeCell ref="M128:N128"/>
    <mergeCell ref="O128:P128"/>
    <mergeCell ref="Q128:R128"/>
    <mergeCell ref="S128:T128"/>
    <mergeCell ref="U128:V128"/>
    <mergeCell ref="W128:X128"/>
    <mergeCell ref="DA127:DB127"/>
    <mergeCell ref="DC127:DD127"/>
    <mergeCell ref="DE127:DF127"/>
    <mergeCell ref="DG127:DH127"/>
    <mergeCell ref="DI127:DJ127"/>
    <mergeCell ref="C128:D128"/>
    <mergeCell ref="E128:F128"/>
    <mergeCell ref="G128:H128"/>
    <mergeCell ref="I128:J128"/>
    <mergeCell ref="K128:L128"/>
    <mergeCell ref="CO127:CP127"/>
    <mergeCell ref="CQ127:CR127"/>
    <mergeCell ref="CS127:CT127"/>
    <mergeCell ref="CU127:CV127"/>
    <mergeCell ref="CW127:CX127"/>
    <mergeCell ref="CY127:CZ127"/>
    <mergeCell ref="CC127:CD127"/>
    <mergeCell ref="CE127:CF127"/>
    <mergeCell ref="CG127:CH127"/>
    <mergeCell ref="CI127:CJ127"/>
    <mergeCell ref="CK127:CL127"/>
    <mergeCell ref="CM127:CN127"/>
    <mergeCell ref="DI128:DJ128"/>
    <mergeCell ref="DC126:DD126"/>
    <mergeCell ref="DE126:DF126"/>
    <mergeCell ref="DG126:DH126"/>
    <mergeCell ref="DI126:DJ126"/>
    <mergeCell ref="C127:BA127"/>
    <mergeCell ref="BO127:BP127"/>
    <mergeCell ref="BQ127:BR127"/>
    <mergeCell ref="BW127:BX127"/>
    <mergeCell ref="BY127:BZ127"/>
    <mergeCell ref="CA127:CB127"/>
    <mergeCell ref="CQ126:CR126"/>
    <mergeCell ref="CS126:CT126"/>
    <mergeCell ref="CU126:CV126"/>
    <mergeCell ref="CW126:CX126"/>
    <mergeCell ref="CY126:CZ126"/>
    <mergeCell ref="DA126:DB126"/>
    <mergeCell ref="CE126:CF126"/>
    <mergeCell ref="CG126:CH126"/>
    <mergeCell ref="CI126:CJ126"/>
    <mergeCell ref="CK126:CL126"/>
    <mergeCell ref="CM126:CN126"/>
    <mergeCell ref="CO126:CP126"/>
    <mergeCell ref="DA123:DB123"/>
    <mergeCell ref="DC123:DD123"/>
    <mergeCell ref="DE123:DF123"/>
    <mergeCell ref="DG123:DH123"/>
    <mergeCell ref="DI123:DJ123"/>
    <mergeCell ref="C126:BR126"/>
    <mergeCell ref="BW126:BX126"/>
    <mergeCell ref="BY126:BZ126"/>
    <mergeCell ref="CA126:CB126"/>
    <mergeCell ref="CC126:CD126"/>
    <mergeCell ref="CO123:CP123"/>
    <mergeCell ref="CQ123:CR123"/>
    <mergeCell ref="CS123:CT123"/>
    <mergeCell ref="CU123:CV123"/>
    <mergeCell ref="CW123:CX123"/>
    <mergeCell ref="CY123:CZ123"/>
    <mergeCell ref="DI122:DJ122"/>
    <mergeCell ref="BW123:BX123"/>
    <mergeCell ref="BY123:BZ123"/>
    <mergeCell ref="CA123:CB123"/>
    <mergeCell ref="CC123:CD123"/>
    <mergeCell ref="CE123:CF123"/>
    <mergeCell ref="CG123:CH123"/>
    <mergeCell ref="CI123:CJ123"/>
    <mergeCell ref="CK123:CL123"/>
    <mergeCell ref="CM123:CN123"/>
    <mergeCell ref="CW122:CX122"/>
    <mergeCell ref="CY122:CZ122"/>
    <mergeCell ref="DA122:DB122"/>
    <mergeCell ref="DC122:DD122"/>
    <mergeCell ref="DE122:DF122"/>
    <mergeCell ref="DG122:DH122"/>
    <mergeCell ref="CK122:CL122"/>
    <mergeCell ref="CM122:CN122"/>
    <mergeCell ref="CO122:CP122"/>
    <mergeCell ref="CQ122:CR122"/>
    <mergeCell ref="CS122:CT122"/>
    <mergeCell ref="CU122:CV122"/>
    <mergeCell ref="DE121:DF121"/>
    <mergeCell ref="DG121:DH121"/>
    <mergeCell ref="DI121:DJ121"/>
    <mergeCell ref="BW122:BX122"/>
    <mergeCell ref="BY122:BZ122"/>
    <mergeCell ref="CA122:CB122"/>
    <mergeCell ref="CC122:CD122"/>
    <mergeCell ref="CE122:CF122"/>
    <mergeCell ref="CG122:CH122"/>
    <mergeCell ref="CI122:CJ122"/>
    <mergeCell ref="CS121:CT121"/>
    <mergeCell ref="CU121:CV121"/>
    <mergeCell ref="CW121:CX121"/>
    <mergeCell ref="CY121:CZ121"/>
    <mergeCell ref="DA121:DB121"/>
    <mergeCell ref="DC121:DD121"/>
    <mergeCell ref="CG121:CH121"/>
    <mergeCell ref="CI121:CJ121"/>
    <mergeCell ref="CK121:CL121"/>
    <mergeCell ref="CM121:CN121"/>
    <mergeCell ref="CO121:CP121"/>
    <mergeCell ref="CQ121:CR121"/>
    <mergeCell ref="C121:BA121"/>
    <mergeCell ref="BB121:BR121"/>
    <mergeCell ref="BW121:BX121"/>
    <mergeCell ref="BY121:BZ121"/>
    <mergeCell ref="CA121:CB121"/>
    <mergeCell ref="CC121:CD121"/>
    <mergeCell ref="CE121:CF121"/>
    <mergeCell ref="CS120:CT120"/>
    <mergeCell ref="CU120:CV120"/>
    <mergeCell ref="CW120:CX120"/>
    <mergeCell ref="CY120:CZ120"/>
    <mergeCell ref="DA120:DB120"/>
    <mergeCell ref="DC120:DD120"/>
    <mergeCell ref="CG120:CH120"/>
    <mergeCell ref="CI120:CJ120"/>
    <mergeCell ref="CK120:CL120"/>
    <mergeCell ref="CM120:CN120"/>
    <mergeCell ref="CO120:CP120"/>
    <mergeCell ref="CQ120:CR120"/>
    <mergeCell ref="DE119:DF119"/>
    <mergeCell ref="DG119:DH119"/>
    <mergeCell ref="DI119:DJ119"/>
    <mergeCell ref="C120:BA120"/>
    <mergeCell ref="BB120:BR120"/>
    <mergeCell ref="BW120:BX120"/>
    <mergeCell ref="BY120:BZ120"/>
    <mergeCell ref="CA120:CB120"/>
    <mergeCell ref="CC120:CD120"/>
    <mergeCell ref="CE120:CF120"/>
    <mergeCell ref="CS119:CT119"/>
    <mergeCell ref="CU119:CV119"/>
    <mergeCell ref="CW119:CX119"/>
    <mergeCell ref="CY119:CZ119"/>
    <mergeCell ref="DA119:DB119"/>
    <mergeCell ref="DC119:DD119"/>
    <mergeCell ref="CG119:CH119"/>
    <mergeCell ref="CI119:CJ119"/>
    <mergeCell ref="CK119:CL119"/>
    <mergeCell ref="CM119:CN119"/>
    <mergeCell ref="CO119:CP119"/>
    <mergeCell ref="CQ119:CR119"/>
    <mergeCell ref="BB119:BR119"/>
    <mergeCell ref="BW119:BX119"/>
    <mergeCell ref="BY119:BZ119"/>
    <mergeCell ref="CA119:CB119"/>
    <mergeCell ref="CC119:CD119"/>
    <mergeCell ref="CE119:CF119"/>
    <mergeCell ref="DE120:DF120"/>
    <mergeCell ref="DG120:DH120"/>
    <mergeCell ref="DI120:DJ120"/>
    <mergeCell ref="CY118:CZ118"/>
    <mergeCell ref="DA118:DB118"/>
    <mergeCell ref="DC118:DD118"/>
    <mergeCell ref="DE118:DF118"/>
    <mergeCell ref="DG118:DH118"/>
    <mergeCell ref="DI118:DJ118"/>
    <mergeCell ref="CM118:CN118"/>
    <mergeCell ref="CO118:CP118"/>
    <mergeCell ref="CQ118:CR118"/>
    <mergeCell ref="CS118:CT118"/>
    <mergeCell ref="CU118:CV118"/>
    <mergeCell ref="CW118:CX118"/>
    <mergeCell ref="DI117:DJ117"/>
    <mergeCell ref="BB118:BR118"/>
    <mergeCell ref="BW118:BX118"/>
    <mergeCell ref="BY118:BZ118"/>
    <mergeCell ref="CA118:CB118"/>
    <mergeCell ref="CC118:CD118"/>
    <mergeCell ref="CE118:CF118"/>
    <mergeCell ref="CG118:CH118"/>
    <mergeCell ref="CI118:CJ118"/>
    <mergeCell ref="CK118:CL118"/>
    <mergeCell ref="CW117:CX117"/>
    <mergeCell ref="CY117:CZ117"/>
    <mergeCell ref="DA117:DB117"/>
    <mergeCell ref="DC117:DD117"/>
    <mergeCell ref="DE117:DF117"/>
    <mergeCell ref="DG117:DH117"/>
    <mergeCell ref="CK117:CL117"/>
    <mergeCell ref="CM117:CN117"/>
    <mergeCell ref="CO117:CP117"/>
    <mergeCell ref="CQ117:CR117"/>
    <mergeCell ref="CS117:CT117"/>
    <mergeCell ref="CU117:CV117"/>
    <mergeCell ref="DG116:DH116"/>
    <mergeCell ref="DI116:DJ116"/>
    <mergeCell ref="BB117:BR117"/>
    <mergeCell ref="BW117:BX117"/>
    <mergeCell ref="BY117:BZ117"/>
    <mergeCell ref="CA117:CB117"/>
    <mergeCell ref="CC117:CD117"/>
    <mergeCell ref="CE117:CF117"/>
    <mergeCell ref="CG117:CH117"/>
    <mergeCell ref="CI117:CJ117"/>
    <mergeCell ref="CU116:CV116"/>
    <mergeCell ref="CW116:CX116"/>
    <mergeCell ref="CY116:CZ116"/>
    <mergeCell ref="DA116:DB116"/>
    <mergeCell ref="DC116:DD116"/>
    <mergeCell ref="DE116:DF116"/>
    <mergeCell ref="CI116:CJ116"/>
    <mergeCell ref="CK116:CL116"/>
    <mergeCell ref="CM116:CN116"/>
    <mergeCell ref="CO116:CP116"/>
    <mergeCell ref="CQ116:CR116"/>
    <mergeCell ref="CS116:CT116"/>
    <mergeCell ref="DE115:DF115"/>
    <mergeCell ref="DG115:DH115"/>
    <mergeCell ref="DI115:DJ115"/>
    <mergeCell ref="BB116:BR116"/>
    <mergeCell ref="BW116:BX116"/>
    <mergeCell ref="BY116:BZ116"/>
    <mergeCell ref="CA116:CB116"/>
    <mergeCell ref="CC116:CD116"/>
    <mergeCell ref="CE116:CF116"/>
    <mergeCell ref="CG116:CH116"/>
    <mergeCell ref="CS115:CT115"/>
    <mergeCell ref="CU115:CV115"/>
    <mergeCell ref="CW115:CX115"/>
    <mergeCell ref="CY115:CZ115"/>
    <mergeCell ref="DA115:DB115"/>
    <mergeCell ref="DC115:DD115"/>
    <mergeCell ref="CG115:CH115"/>
    <mergeCell ref="CI115:CJ115"/>
    <mergeCell ref="CK115:CL115"/>
    <mergeCell ref="CM115:CN115"/>
    <mergeCell ref="CO115:CP115"/>
    <mergeCell ref="CQ115:CR115"/>
    <mergeCell ref="BB115:BR115"/>
    <mergeCell ref="BW115:BX115"/>
    <mergeCell ref="BY115:BZ115"/>
    <mergeCell ref="CA115:CB115"/>
    <mergeCell ref="CC115:CD115"/>
    <mergeCell ref="CE115:CF115"/>
    <mergeCell ref="CY114:CZ114"/>
    <mergeCell ref="DA114:DB114"/>
    <mergeCell ref="DC114:DD114"/>
    <mergeCell ref="DE114:DF114"/>
    <mergeCell ref="DG114:DH114"/>
    <mergeCell ref="DI114:DJ114"/>
    <mergeCell ref="CM114:CN114"/>
    <mergeCell ref="CO114:CP114"/>
    <mergeCell ref="CQ114:CR114"/>
    <mergeCell ref="CS114:CT114"/>
    <mergeCell ref="CU114:CV114"/>
    <mergeCell ref="CW114:CX114"/>
    <mergeCell ref="DI113:DJ113"/>
    <mergeCell ref="BB114:BR114"/>
    <mergeCell ref="BW114:BX114"/>
    <mergeCell ref="BY114:BZ114"/>
    <mergeCell ref="CA114:CB114"/>
    <mergeCell ref="CC114:CD114"/>
    <mergeCell ref="CE114:CF114"/>
    <mergeCell ref="CG114:CH114"/>
    <mergeCell ref="CI114:CJ114"/>
    <mergeCell ref="CK114:CL114"/>
    <mergeCell ref="CW113:CX113"/>
    <mergeCell ref="CY113:CZ113"/>
    <mergeCell ref="DA113:DB113"/>
    <mergeCell ref="DC113:DD113"/>
    <mergeCell ref="DE113:DF113"/>
    <mergeCell ref="DG113:DH113"/>
    <mergeCell ref="CK113:CL113"/>
    <mergeCell ref="CM113:CN113"/>
    <mergeCell ref="CO113:CP113"/>
    <mergeCell ref="CQ113:CR113"/>
    <mergeCell ref="CS113:CT113"/>
    <mergeCell ref="CU113:CV113"/>
    <mergeCell ref="DG112:DH112"/>
    <mergeCell ref="DI112:DJ112"/>
    <mergeCell ref="BB113:BR113"/>
    <mergeCell ref="BW113:BX113"/>
    <mergeCell ref="BY113:BZ113"/>
    <mergeCell ref="CA113:CB113"/>
    <mergeCell ref="CC113:CD113"/>
    <mergeCell ref="CE113:CF113"/>
    <mergeCell ref="CG113:CH113"/>
    <mergeCell ref="CI113:CJ113"/>
    <mergeCell ref="CU112:CV112"/>
    <mergeCell ref="CW112:CX112"/>
    <mergeCell ref="CY112:CZ112"/>
    <mergeCell ref="DA112:DB112"/>
    <mergeCell ref="DC112:DD112"/>
    <mergeCell ref="DE112:DF112"/>
    <mergeCell ref="CI112:CJ112"/>
    <mergeCell ref="CK112:CL112"/>
    <mergeCell ref="CM112:CN112"/>
    <mergeCell ref="CO112:CP112"/>
    <mergeCell ref="CQ112:CR112"/>
    <mergeCell ref="CS112:CT112"/>
    <mergeCell ref="BB111:BR111"/>
    <mergeCell ref="BW111:DK111"/>
    <mergeCell ref="DL111:EB111"/>
    <mergeCell ref="BB112:BR112"/>
    <mergeCell ref="BW112:BX112"/>
    <mergeCell ref="BY112:BZ112"/>
    <mergeCell ref="CA112:CB112"/>
    <mergeCell ref="CC112:CD112"/>
    <mergeCell ref="CE112:CF112"/>
    <mergeCell ref="CG112:CH112"/>
    <mergeCell ref="BB107:BR107"/>
    <mergeCell ref="BW107:DK107"/>
    <mergeCell ref="DL107:EB107"/>
    <mergeCell ref="BB108:BR108"/>
    <mergeCell ref="BB109:BR109"/>
    <mergeCell ref="BB110:BR110"/>
    <mergeCell ref="BW110:EB110"/>
    <mergeCell ref="DL102:EB102"/>
    <mergeCell ref="CO97:DG97"/>
    <mergeCell ref="DH97:DZ97"/>
    <mergeCell ref="C100:BA100"/>
    <mergeCell ref="BO100:BP100"/>
    <mergeCell ref="BQ100:BR100"/>
    <mergeCell ref="BW100:DK100"/>
    <mergeCell ref="DL100:EB100"/>
    <mergeCell ref="C97:D97"/>
    <mergeCell ref="E97:F97"/>
    <mergeCell ref="Q97:AI97"/>
    <mergeCell ref="AJ97:BB97"/>
    <mergeCell ref="BC97:BU97"/>
    <mergeCell ref="BV97:CN97"/>
    <mergeCell ref="DH95:DZ95"/>
    <mergeCell ref="C96:P96"/>
    <mergeCell ref="Q96:AI96"/>
    <mergeCell ref="AJ96:BB96"/>
    <mergeCell ref="BC96:BU96"/>
    <mergeCell ref="BV96:CN96"/>
    <mergeCell ref="CO96:DG96"/>
    <mergeCell ref="DH96:DZ96"/>
    <mergeCell ref="C95:P95"/>
    <mergeCell ref="Q95:AI95"/>
    <mergeCell ref="AJ95:BB95"/>
    <mergeCell ref="BC95:BU95"/>
    <mergeCell ref="BV95:CN95"/>
    <mergeCell ref="CO95:DG95"/>
    <mergeCell ref="CO92:DG92"/>
    <mergeCell ref="DH92:DZ92"/>
    <mergeCell ref="C92:P92"/>
    <mergeCell ref="C93:D93"/>
    <mergeCell ref="E93:F93"/>
    <mergeCell ref="Q92:AI92"/>
    <mergeCell ref="AJ92:BB92"/>
    <mergeCell ref="BC92:BU92"/>
    <mergeCell ref="BV92:CN92"/>
    <mergeCell ref="DH90:DZ90"/>
    <mergeCell ref="C91:P91"/>
    <mergeCell ref="Q91:AI91"/>
    <mergeCell ref="AJ91:BB91"/>
    <mergeCell ref="BC91:BU91"/>
    <mergeCell ref="BV91:CN91"/>
    <mergeCell ref="CO91:DG91"/>
    <mergeCell ref="DH91:DZ91"/>
    <mergeCell ref="C90:P90"/>
    <mergeCell ref="Q90:AI90"/>
    <mergeCell ref="AJ90:BB90"/>
    <mergeCell ref="BC90:BU90"/>
    <mergeCell ref="BV90:CN90"/>
    <mergeCell ref="CO90:DG90"/>
    <mergeCell ref="BC81:BU81"/>
    <mergeCell ref="BV81:CN81"/>
    <mergeCell ref="CO81:DG81"/>
    <mergeCell ref="DH81:DZ81"/>
    <mergeCell ref="DH86:DZ86"/>
    <mergeCell ref="C88:P88"/>
    <mergeCell ref="Q88:AT88"/>
    <mergeCell ref="AU88:EB88"/>
    <mergeCell ref="Q89:AT89"/>
    <mergeCell ref="AU89:EB89"/>
    <mergeCell ref="C86:P86"/>
    <mergeCell ref="Q86:AI86"/>
    <mergeCell ref="AJ86:BB86"/>
    <mergeCell ref="BC86:BU86"/>
    <mergeCell ref="BV86:CN86"/>
    <mergeCell ref="CO86:DG86"/>
    <mergeCell ref="CO84:DG84"/>
    <mergeCell ref="DH84:DZ84"/>
    <mergeCell ref="C85:P85"/>
    <mergeCell ref="Q85:AI85"/>
    <mergeCell ref="AJ85:BB85"/>
    <mergeCell ref="BC85:BU85"/>
    <mergeCell ref="BV85:CN85"/>
    <mergeCell ref="CO85:DG85"/>
    <mergeCell ref="DH85:DZ85"/>
    <mergeCell ref="BO77:BP77"/>
    <mergeCell ref="BQ77:BR77"/>
    <mergeCell ref="BS77:BT77"/>
    <mergeCell ref="CA77:CB77"/>
    <mergeCell ref="DS77:DT77"/>
    <mergeCell ref="C124:EB124"/>
    <mergeCell ref="BC77:BD77"/>
    <mergeCell ref="BE77:BF77"/>
    <mergeCell ref="BG77:BH77"/>
    <mergeCell ref="BI77:BJ77"/>
    <mergeCell ref="BK77:BL77"/>
    <mergeCell ref="BM77:BN77"/>
    <mergeCell ref="C71:BA71"/>
    <mergeCell ref="BB71:BR71"/>
    <mergeCell ref="BW71:DK71"/>
    <mergeCell ref="DL71:EB71"/>
    <mergeCell ref="C73:H73"/>
    <mergeCell ref="BL73:BR73"/>
    <mergeCell ref="C82:P82"/>
    <mergeCell ref="Q82:AT82"/>
    <mergeCell ref="AU82:EB82"/>
    <mergeCell ref="Q83:AT83"/>
    <mergeCell ref="AU83:EB83"/>
    <mergeCell ref="C84:P84"/>
    <mergeCell ref="Q84:AI84"/>
    <mergeCell ref="AJ84:BB84"/>
    <mergeCell ref="BC84:BU84"/>
    <mergeCell ref="BV84:CN84"/>
    <mergeCell ref="C78:EB78"/>
    <mergeCell ref="C81:P81"/>
    <mergeCell ref="Q81:AI81"/>
    <mergeCell ref="AJ81:BB81"/>
    <mergeCell ref="C60:P60"/>
    <mergeCell ref="CO58:DG58"/>
    <mergeCell ref="DH58:DZ58"/>
    <mergeCell ref="C59:D59"/>
    <mergeCell ref="E59:F59"/>
    <mergeCell ref="Q59:AI59"/>
    <mergeCell ref="AJ59:BB59"/>
    <mergeCell ref="BC59:BU59"/>
    <mergeCell ref="BV59:CN59"/>
    <mergeCell ref="CO59:DG59"/>
    <mergeCell ref="DH59:DZ59"/>
    <mergeCell ref="C58:D58"/>
    <mergeCell ref="E58:F58"/>
    <mergeCell ref="Q58:AI58"/>
    <mergeCell ref="AJ58:BB58"/>
    <mergeCell ref="BC58:BU58"/>
    <mergeCell ref="BV58:CN58"/>
    <mergeCell ref="Q60:AT60"/>
    <mergeCell ref="AU49:EB49"/>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EF39:EG39"/>
    <mergeCell ref="EF40:EG40"/>
    <mergeCell ref="C42:EB42"/>
    <mergeCell ref="C44:EB44"/>
    <mergeCell ref="C47:P47"/>
    <mergeCell ref="Q47:AI47"/>
    <mergeCell ref="AJ47:BB47"/>
    <mergeCell ref="BC47:BU47"/>
    <mergeCell ref="BV47:CN47"/>
    <mergeCell ref="CO47:DG47"/>
    <mergeCell ref="BT37:CN37"/>
    <mergeCell ref="EF37:EG37"/>
    <mergeCell ref="EF38:EG38"/>
    <mergeCell ref="DH50:DZ50"/>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EF29:EG29"/>
    <mergeCell ref="BF22:DZ22"/>
    <mergeCell ref="BF23:DZ23"/>
    <mergeCell ref="BX25:BY25"/>
    <mergeCell ref="BZ25:CA25"/>
    <mergeCell ref="CB25:CC25"/>
    <mergeCell ref="CD25:CE25"/>
    <mergeCell ref="CF25:CG25"/>
    <mergeCell ref="CH25:CI25"/>
    <mergeCell ref="CY18:DU18"/>
    <mergeCell ref="AX21:AY21"/>
    <mergeCell ref="BF21:DZ21"/>
    <mergeCell ref="E27:V30"/>
    <mergeCell ref="W27:AZ30"/>
    <mergeCell ref="BF27:DY30"/>
    <mergeCell ref="EH35:EI35"/>
    <mergeCell ref="BT36:CM36"/>
    <mergeCell ref="CP36:EB36"/>
    <mergeCell ref="EH36:EI36"/>
    <mergeCell ref="BT33:CM33"/>
    <mergeCell ref="CP33:EB33"/>
    <mergeCell ref="EH33:EI33"/>
    <mergeCell ref="EH34:EI34"/>
    <mergeCell ref="EF30:EG30"/>
    <mergeCell ref="EF31:EG31"/>
    <mergeCell ref="EF32:EG32"/>
    <mergeCell ref="E32:V33"/>
    <mergeCell ref="W32:AZ33"/>
    <mergeCell ref="BT32:CN32"/>
    <mergeCell ref="CP32:EB32"/>
    <mergeCell ref="E34:V35"/>
    <mergeCell ref="W34:AZ35"/>
    <mergeCell ref="CY12:DU12"/>
    <mergeCell ref="BF14:CF16"/>
    <mergeCell ref="CU14:DU16"/>
    <mergeCell ref="BO9:BP9"/>
    <mergeCell ref="BQ9:BR9"/>
    <mergeCell ref="BS9:BT9"/>
    <mergeCell ref="CA9:CB9"/>
    <mergeCell ref="DS9:DT9"/>
    <mergeCell ref="CY11:DU11"/>
    <mergeCell ref="BC9:BD9"/>
    <mergeCell ref="BE9:BF9"/>
    <mergeCell ref="BG9:BH9"/>
    <mergeCell ref="BI9:BJ9"/>
    <mergeCell ref="BK9:BL9"/>
    <mergeCell ref="BM9:BN9"/>
    <mergeCell ref="E26:AZ26"/>
    <mergeCell ref="BA26:BB26"/>
    <mergeCell ref="BT34:CM34"/>
    <mergeCell ref="CP34:EB34"/>
    <mergeCell ref="BT35:CN35"/>
    <mergeCell ref="E36:V37"/>
    <mergeCell ref="W36:AZ37"/>
    <mergeCell ref="E38:V39"/>
    <mergeCell ref="W38:AZ39"/>
    <mergeCell ref="BT38:CM38"/>
    <mergeCell ref="CP38:EB38"/>
    <mergeCell ref="F13:N13"/>
    <mergeCell ref="F15:AS15"/>
    <mergeCell ref="F16:AS16"/>
    <mergeCell ref="F17:AS17"/>
    <mergeCell ref="F18:AS18"/>
    <mergeCell ref="F20:AS20"/>
    <mergeCell ref="F21:AS21"/>
    <mergeCell ref="AV21:AW21"/>
    <mergeCell ref="F23:U23"/>
    <mergeCell ref="CQ18:CR18"/>
    <mergeCell ref="CS18:CT18"/>
    <mergeCell ref="CU18:CV18"/>
    <mergeCell ref="CW18:CX18"/>
    <mergeCell ref="BC34:BP39"/>
  </mergeCells>
  <phoneticPr fontId="7"/>
  <pageMargins left="0.39370078740157483" right="0.39370078740157483" top="0.19685039370078741" bottom="7.874015748031496E-2" header="0.59055118110236227" footer="0.11811023622047245"/>
  <pageSetup paperSize="9" scale="31" fitToHeight="0" orientation="landscape" useFirstPageNumber="1" r:id="rId1"/>
  <headerFooter alignWithMargins="0"/>
  <rowBreaks count="1" manualBreakCount="1">
    <brk id="74" max="13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977C-10EA-4CC8-A76C-7570CFE07F34}">
  <sheetPr>
    <pageSetUpPr fitToPage="1"/>
  </sheetPr>
  <dimension ref="A1:EI152"/>
  <sheetViews>
    <sheetView view="pageBreakPreview" zoomScaleNormal="100" zoomScaleSheetLayoutView="100" workbookViewId="0"/>
  </sheetViews>
  <sheetFormatPr defaultColWidth="3.375" defaultRowHeight="25.15" customHeight="1"/>
  <cols>
    <col min="1" max="53" width="3.375" style="104"/>
    <col min="54" max="54" width="14" style="104" bestFit="1" customWidth="1"/>
    <col min="55" max="16384" width="3.37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1"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290</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1">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264" t="s">
        <v>166</v>
      </c>
      <c r="BD47" s="265"/>
      <c r="BE47" s="265"/>
      <c r="BF47" s="265"/>
      <c r="BG47" s="265"/>
      <c r="BH47" s="265"/>
      <c r="BI47" s="265"/>
      <c r="BJ47" s="265"/>
      <c r="BK47" s="265"/>
      <c r="BL47" s="265"/>
      <c r="BM47" s="265"/>
      <c r="BN47" s="265"/>
      <c r="BO47" s="265"/>
      <c r="BP47" s="265"/>
      <c r="BQ47" s="265"/>
      <c r="BR47" s="265"/>
      <c r="BS47" s="265"/>
      <c r="BT47" s="265"/>
      <c r="BU47" s="265"/>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
        <f t="shared" si="13"/>
        <v>40</v>
      </c>
      <c r="B48" s="100"/>
      <c r="C48" s="246" t="s">
        <v>258</v>
      </c>
      <c r="D48" s="246"/>
      <c r="E48" s="246"/>
      <c r="F48" s="246"/>
      <c r="G48" s="246"/>
      <c r="H48" s="246"/>
      <c r="I48" s="246"/>
      <c r="J48" s="246"/>
      <c r="K48" s="246"/>
      <c r="L48" s="246"/>
      <c r="M48" s="246"/>
      <c r="N48" s="246"/>
      <c r="O48" s="246"/>
      <c r="P48" s="246"/>
      <c r="Q48" s="284" t="s">
        <v>262</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261</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
        <f t="shared" si="13"/>
        <v>41</v>
      </c>
      <c r="B49" s="100"/>
      <c r="C49" s="101"/>
      <c r="D49" s="101"/>
      <c r="E49" s="101"/>
      <c r="F49" s="101"/>
      <c r="G49" s="101"/>
      <c r="H49" s="101"/>
      <c r="I49" s="119"/>
      <c r="J49" s="119"/>
      <c r="K49" s="119"/>
      <c r="L49" s="119"/>
      <c r="M49" s="101"/>
      <c r="N49" s="101"/>
      <c r="O49" s="105"/>
      <c r="P49" s="105"/>
      <c r="Q49" s="259" t="s">
        <v>264</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
        <f t="shared" si="13"/>
        <v>42</v>
      </c>
      <c r="B50" s="100"/>
      <c r="C50" s="259" t="s">
        <v>259</v>
      </c>
      <c r="D50" s="259"/>
      <c r="E50" s="259"/>
      <c r="F50" s="259"/>
      <c r="G50" s="259"/>
      <c r="H50" s="259"/>
      <c r="I50" s="259"/>
      <c r="J50" s="259"/>
      <c r="K50" s="259"/>
      <c r="L50" s="259"/>
      <c r="M50" s="259"/>
      <c r="N50" s="259"/>
      <c r="O50" s="259"/>
      <c r="P50" s="259"/>
      <c r="Q50" s="316">
        <v>5230</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1"/>
      <c r="BE50" s="251"/>
      <c r="BF50" s="251"/>
      <c r="BG50" s="251"/>
      <c r="BH50" s="251"/>
      <c r="BI50" s="251"/>
      <c r="BJ50" s="251"/>
      <c r="BK50" s="251"/>
      <c r="BL50" s="251"/>
      <c r="BM50" s="251"/>
      <c r="BN50" s="251"/>
      <c r="BO50" s="251"/>
      <c r="BP50" s="251"/>
      <c r="BQ50" s="251"/>
      <c r="BR50" s="251"/>
      <c r="BS50" s="251"/>
      <c r="BT50" s="251"/>
      <c r="BU50" s="251"/>
      <c r="BV50" s="316">
        <v>5230</v>
      </c>
      <c r="BW50" s="251"/>
      <c r="BX50" s="251"/>
      <c r="BY50" s="251"/>
      <c r="BZ50" s="251"/>
      <c r="CA50" s="251"/>
      <c r="CB50" s="251"/>
      <c r="CC50" s="251"/>
      <c r="CD50" s="251"/>
      <c r="CE50" s="251"/>
      <c r="CF50" s="251"/>
      <c r="CG50" s="251"/>
      <c r="CH50" s="251"/>
      <c r="CI50" s="251"/>
      <c r="CJ50" s="251"/>
      <c r="CK50" s="251"/>
      <c r="CL50" s="251"/>
      <c r="CM50" s="251"/>
      <c r="CN50" s="251"/>
      <c r="CO50" s="252">
        <v>418</v>
      </c>
      <c r="CP50" s="251"/>
      <c r="CQ50" s="251"/>
      <c r="CR50" s="251"/>
      <c r="CS50" s="251"/>
      <c r="CT50" s="251"/>
      <c r="CU50" s="251"/>
      <c r="CV50" s="251"/>
      <c r="CW50" s="251"/>
      <c r="CX50" s="251"/>
      <c r="CY50" s="251"/>
      <c r="CZ50" s="251"/>
      <c r="DA50" s="251"/>
      <c r="DB50" s="251"/>
      <c r="DC50" s="251"/>
      <c r="DD50" s="251"/>
      <c r="DE50" s="251"/>
      <c r="DF50" s="251"/>
      <c r="DG50" s="251"/>
      <c r="DH50" s="316">
        <v>6648</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customHeight="1">
      <c r="A51" s="1">
        <f t="shared" si="13"/>
        <v>43</v>
      </c>
      <c r="B51" s="69"/>
      <c r="C51" s="315" t="s">
        <v>260</v>
      </c>
      <c r="D51" s="259"/>
      <c r="E51" s="259"/>
      <c r="F51" s="259"/>
      <c r="G51" s="259"/>
      <c r="H51" s="259"/>
      <c r="I51" s="259"/>
      <c r="J51" s="259"/>
      <c r="K51" s="259"/>
      <c r="L51" s="259"/>
      <c r="M51" s="259"/>
      <c r="N51" s="259"/>
      <c r="O51" s="259"/>
      <c r="P51" s="259"/>
      <c r="Q51" s="316">
        <v>6300</v>
      </c>
      <c r="R51" s="251"/>
      <c r="S51" s="251"/>
      <c r="T51" s="251"/>
      <c r="U51" s="251"/>
      <c r="V51" s="251"/>
      <c r="W51" s="251"/>
      <c r="X51" s="251"/>
      <c r="Y51" s="251"/>
      <c r="Z51" s="251"/>
      <c r="AA51" s="251"/>
      <c r="AB51" s="251"/>
      <c r="AC51" s="251"/>
      <c r="AD51" s="251"/>
      <c r="AE51" s="251"/>
      <c r="AF51" s="251"/>
      <c r="AG51" s="251"/>
      <c r="AH51" s="251"/>
      <c r="AI51" s="251"/>
      <c r="AJ51" s="252">
        <v>0</v>
      </c>
      <c r="AK51" s="251"/>
      <c r="AL51" s="251"/>
      <c r="AM51" s="251"/>
      <c r="AN51" s="251"/>
      <c r="AO51" s="251"/>
      <c r="AP51" s="251"/>
      <c r="AQ51" s="251"/>
      <c r="AR51" s="251"/>
      <c r="AS51" s="251"/>
      <c r="AT51" s="251"/>
      <c r="AU51" s="251"/>
      <c r="AV51" s="251"/>
      <c r="AW51" s="251"/>
      <c r="AX51" s="251"/>
      <c r="AY51" s="251"/>
      <c r="AZ51" s="251"/>
      <c r="BA51" s="251"/>
      <c r="BB51" s="251"/>
      <c r="BC51" s="252">
        <v>0</v>
      </c>
      <c r="BD51" s="251"/>
      <c r="BE51" s="251"/>
      <c r="BF51" s="251"/>
      <c r="BG51" s="251"/>
      <c r="BH51" s="251"/>
      <c r="BI51" s="251"/>
      <c r="BJ51" s="251"/>
      <c r="BK51" s="251"/>
      <c r="BL51" s="251"/>
      <c r="BM51" s="251"/>
      <c r="BN51" s="251"/>
      <c r="BO51" s="251"/>
      <c r="BP51" s="251"/>
      <c r="BQ51" s="251"/>
      <c r="BR51" s="251"/>
      <c r="BS51" s="251"/>
      <c r="BT51" s="251"/>
      <c r="BU51" s="251"/>
      <c r="BV51" s="316">
        <v>6300</v>
      </c>
      <c r="BW51" s="251"/>
      <c r="BX51" s="251"/>
      <c r="BY51" s="251"/>
      <c r="BZ51" s="251"/>
      <c r="CA51" s="251"/>
      <c r="CB51" s="251"/>
      <c r="CC51" s="251"/>
      <c r="CD51" s="251"/>
      <c r="CE51" s="251"/>
      <c r="CF51" s="251"/>
      <c r="CG51" s="251"/>
      <c r="CH51" s="251"/>
      <c r="CI51" s="251"/>
      <c r="CJ51" s="251"/>
      <c r="CK51" s="251"/>
      <c r="CL51" s="251"/>
      <c r="CM51" s="251"/>
      <c r="CN51" s="251"/>
      <c r="CO51" s="252">
        <v>630</v>
      </c>
      <c r="CP51" s="251"/>
      <c r="CQ51" s="251"/>
      <c r="CR51" s="251"/>
      <c r="CS51" s="251"/>
      <c r="CT51" s="251"/>
      <c r="CU51" s="251"/>
      <c r="CV51" s="251"/>
      <c r="CW51" s="251"/>
      <c r="CX51" s="251"/>
      <c r="CY51" s="251"/>
      <c r="CZ51" s="251"/>
      <c r="DA51" s="251"/>
      <c r="DB51" s="251"/>
      <c r="DC51" s="251"/>
      <c r="DD51" s="251"/>
      <c r="DE51" s="251"/>
      <c r="DF51" s="251"/>
      <c r="DG51" s="251"/>
      <c r="DH51" s="316">
        <v>6930</v>
      </c>
      <c r="DI51" s="251"/>
      <c r="DJ51" s="251"/>
      <c r="DK51" s="251"/>
      <c r="DL51" s="251"/>
      <c r="DM51" s="251"/>
      <c r="DN51" s="251"/>
      <c r="DO51" s="251"/>
      <c r="DP51" s="251"/>
      <c r="DQ51" s="251"/>
      <c r="DR51" s="251"/>
      <c r="DS51" s="251"/>
      <c r="DT51" s="251"/>
      <c r="DU51" s="251"/>
      <c r="DV51" s="251"/>
      <c r="DW51" s="251"/>
      <c r="DX51" s="251"/>
      <c r="DY51" s="251"/>
      <c r="DZ51" s="251"/>
      <c r="EC51" s="73"/>
    </row>
    <row r="52" spans="1:133" ht="25.15" customHeight="1">
      <c r="A52" s="1">
        <f t="shared" si="13"/>
        <v>44</v>
      </c>
      <c r="B52" s="69"/>
      <c r="C52" s="259" t="s">
        <v>238</v>
      </c>
      <c r="D52" s="259"/>
      <c r="E52" s="259"/>
      <c r="F52" s="259"/>
      <c r="G52" s="259"/>
      <c r="H52" s="259"/>
      <c r="I52" s="259"/>
      <c r="J52" s="259"/>
      <c r="K52" s="259"/>
      <c r="L52" s="259"/>
      <c r="M52" s="259"/>
      <c r="N52" s="259"/>
      <c r="O52" s="259"/>
      <c r="P52" s="259"/>
      <c r="Q52" s="316">
        <v>11500</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1"/>
      <c r="BE52" s="251"/>
      <c r="BF52" s="251"/>
      <c r="BG52" s="251"/>
      <c r="BH52" s="251"/>
      <c r="BI52" s="251"/>
      <c r="BJ52" s="251"/>
      <c r="BK52" s="251"/>
      <c r="BL52" s="251"/>
      <c r="BM52" s="251"/>
      <c r="BN52" s="251"/>
      <c r="BO52" s="251"/>
      <c r="BP52" s="251"/>
      <c r="BQ52" s="251"/>
      <c r="BR52" s="251"/>
      <c r="BS52" s="251"/>
      <c r="BT52" s="251"/>
      <c r="BU52" s="251"/>
      <c r="BV52" s="316">
        <f>SUM(BV50,BV51)</f>
        <v>11530</v>
      </c>
      <c r="BW52" s="251"/>
      <c r="BX52" s="251"/>
      <c r="BY52" s="251"/>
      <c r="BZ52" s="251"/>
      <c r="CA52" s="251"/>
      <c r="CB52" s="251"/>
      <c r="CC52" s="251"/>
      <c r="CD52" s="251"/>
      <c r="CE52" s="251"/>
      <c r="CF52" s="251"/>
      <c r="CG52" s="251"/>
      <c r="CH52" s="251"/>
      <c r="CI52" s="251"/>
      <c r="CJ52" s="251"/>
      <c r="CK52" s="251"/>
      <c r="CL52" s="251"/>
      <c r="CM52" s="251"/>
      <c r="CN52" s="251"/>
      <c r="CO52" s="316">
        <f>SUM(CO50,CO51)</f>
        <v>1048</v>
      </c>
      <c r="CP52" s="251"/>
      <c r="CQ52" s="251"/>
      <c r="CR52" s="251"/>
      <c r="CS52" s="251"/>
      <c r="CT52" s="251"/>
      <c r="CU52" s="251"/>
      <c r="CV52" s="251"/>
      <c r="CW52" s="251"/>
      <c r="CX52" s="251"/>
      <c r="CY52" s="251"/>
      <c r="CZ52" s="251"/>
      <c r="DA52" s="251"/>
      <c r="DB52" s="251"/>
      <c r="DC52" s="251"/>
      <c r="DD52" s="251"/>
      <c r="DE52" s="251"/>
      <c r="DF52" s="251"/>
      <c r="DG52" s="251"/>
      <c r="DH52" s="316">
        <f>SUM(DH50,DH51)</f>
        <v>13578</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
        <f t="shared" si="13"/>
        <v>45</v>
      </c>
      <c r="B53" s="69"/>
      <c r="C53" s="101"/>
      <c r="D53" s="86"/>
      <c r="E53" s="101"/>
      <c r="F53" s="101"/>
      <c r="G53" s="92"/>
      <c r="H53" s="92"/>
      <c r="I53" s="107"/>
      <c r="J53" s="105"/>
      <c r="K53" s="107"/>
      <c r="L53" s="107"/>
      <c r="M53" s="101"/>
      <c r="N53" s="101"/>
      <c r="O53" s="107"/>
      <c r="P53" s="105"/>
      <c r="Q53" s="92"/>
      <c r="R53" s="107"/>
      <c r="S53" s="92"/>
      <c r="T53" s="92"/>
      <c r="U53" s="92"/>
      <c r="V53" s="107"/>
      <c r="W53" s="92"/>
      <c r="X53" s="92"/>
      <c r="Y53" s="92"/>
      <c r="Z53" s="107"/>
      <c r="AA53" s="92"/>
      <c r="AB53" s="92"/>
      <c r="AC53" s="92"/>
      <c r="AD53" s="107"/>
      <c r="AE53" s="92"/>
      <c r="AF53" s="92"/>
      <c r="AG53" s="107"/>
      <c r="AH53" s="101"/>
      <c r="AI53" s="105"/>
      <c r="AJ53" s="92"/>
      <c r="AK53" s="107"/>
      <c r="AL53" s="92"/>
      <c r="AM53" s="92"/>
      <c r="AN53" s="92"/>
      <c r="AO53" s="107"/>
      <c r="AP53" s="92"/>
      <c r="AQ53" s="92"/>
      <c r="AR53" s="92"/>
      <c r="AS53" s="107"/>
      <c r="AT53" s="92"/>
      <c r="AU53" s="92"/>
      <c r="AV53" s="92"/>
      <c r="AW53" s="107"/>
      <c r="AX53" s="92"/>
      <c r="AY53" s="92"/>
      <c r="AZ53" s="107"/>
      <c r="BA53" s="105"/>
      <c r="BB53" s="105"/>
      <c r="BC53" s="92"/>
      <c r="BD53" s="107"/>
      <c r="BE53" s="92"/>
      <c r="BF53" s="92"/>
      <c r="BG53" s="92"/>
      <c r="BH53" s="107"/>
      <c r="BI53" s="92"/>
      <c r="BJ53" s="92"/>
      <c r="BK53" s="92"/>
      <c r="BL53" s="107"/>
      <c r="BM53" s="92"/>
      <c r="BN53" s="92"/>
      <c r="BO53" s="92"/>
      <c r="BP53" s="107"/>
      <c r="BQ53" s="92"/>
      <c r="BR53" s="92"/>
      <c r="BS53" s="107"/>
      <c r="BT53" s="101"/>
      <c r="BU53" s="105"/>
      <c r="BV53" s="92"/>
      <c r="BW53" s="107"/>
      <c r="BX53" s="92"/>
      <c r="BY53" s="92"/>
      <c r="BZ53" s="92"/>
      <c r="CA53" s="107"/>
      <c r="CB53" s="92"/>
      <c r="CC53" s="92"/>
      <c r="CD53" s="92"/>
      <c r="CE53" s="107"/>
      <c r="CF53" s="92"/>
      <c r="CG53" s="92"/>
      <c r="CH53" s="92"/>
      <c r="CI53" s="107"/>
      <c r="CJ53" s="92"/>
      <c r="CK53" s="92"/>
      <c r="CL53" s="107"/>
      <c r="CM53" s="105"/>
      <c r="CN53" s="105"/>
      <c r="CO53" s="92"/>
      <c r="CP53" s="107"/>
      <c r="CQ53" s="92"/>
      <c r="CR53" s="92"/>
      <c r="CS53" s="92"/>
      <c r="CT53" s="107"/>
      <c r="CU53" s="92"/>
      <c r="CV53" s="92"/>
      <c r="CW53" s="92"/>
      <c r="CX53" s="107"/>
      <c r="CY53" s="92"/>
      <c r="CZ53" s="92"/>
      <c r="DA53" s="92"/>
      <c r="DB53" s="107"/>
      <c r="DC53" s="92"/>
      <c r="DD53" s="92"/>
      <c r="DE53" s="107"/>
      <c r="DF53" s="105"/>
      <c r="DG53" s="105"/>
      <c r="DH53" s="92"/>
      <c r="DI53" s="107"/>
      <c r="DJ53" s="92"/>
      <c r="DK53" s="92"/>
      <c r="DL53" s="92"/>
      <c r="DM53" s="107"/>
      <c r="DN53" s="92"/>
      <c r="DO53" s="92"/>
      <c r="DP53" s="92"/>
      <c r="DQ53" s="107"/>
      <c r="DR53" s="92"/>
      <c r="DS53" s="92"/>
      <c r="DT53" s="92"/>
      <c r="DU53" s="107"/>
      <c r="DV53" s="92"/>
      <c r="DW53" s="92"/>
      <c r="DX53" s="107"/>
      <c r="EC53" s="73"/>
    </row>
    <row r="54" spans="1:133" ht="25.15" customHeight="1">
      <c r="A54" s="1">
        <f t="shared" si="13"/>
        <v>46</v>
      </c>
      <c r="B54" s="100"/>
      <c r="C54" s="259" t="s">
        <v>258</v>
      </c>
      <c r="D54" s="259"/>
      <c r="E54" s="259"/>
      <c r="F54" s="259"/>
      <c r="G54" s="259"/>
      <c r="H54" s="259"/>
      <c r="I54" s="259"/>
      <c r="J54" s="259"/>
      <c r="K54" s="259"/>
      <c r="L54" s="259"/>
      <c r="M54" s="259"/>
      <c r="N54" s="259"/>
      <c r="O54" s="259"/>
      <c r="P54" s="259"/>
      <c r="Q54" s="258" t="s">
        <v>263</v>
      </c>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9" t="s">
        <v>261</v>
      </c>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73"/>
    </row>
    <row r="55" spans="1:133" ht="25.15" customHeight="1">
      <c r="A55" s="1">
        <f t="shared" si="13"/>
        <v>47</v>
      </c>
      <c r="B55" s="100"/>
      <c r="C55" s="101"/>
      <c r="D55" s="101"/>
      <c r="E55" s="101"/>
      <c r="F55" s="101"/>
      <c r="G55" s="101"/>
      <c r="H55" s="101"/>
      <c r="I55" s="119"/>
      <c r="J55" s="119"/>
      <c r="K55" s="119"/>
      <c r="L55" s="119"/>
      <c r="M55" s="101"/>
      <c r="N55" s="101"/>
      <c r="O55" s="105"/>
      <c r="P55" s="105"/>
      <c r="Q55" s="259" t="s">
        <v>265</v>
      </c>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t="s">
        <v>265</v>
      </c>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73"/>
    </row>
    <row r="56" spans="1:133" ht="25.15" customHeight="1">
      <c r="A56" s="1">
        <f t="shared" si="13"/>
        <v>48</v>
      </c>
      <c r="B56" s="69"/>
      <c r="C56" s="259" t="s">
        <v>259</v>
      </c>
      <c r="D56" s="259"/>
      <c r="E56" s="259"/>
      <c r="F56" s="259"/>
      <c r="G56" s="259"/>
      <c r="H56" s="259"/>
      <c r="I56" s="259"/>
      <c r="J56" s="259"/>
      <c r="K56" s="259"/>
      <c r="L56" s="259"/>
      <c r="M56" s="259"/>
      <c r="N56" s="259"/>
      <c r="O56" s="259"/>
      <c r="P56" s="259"/>
      <c r="Q56" s="316">
        <v>1320</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1"/>
      <c r="BE56" s="251"/>
      <c r="BF56" s="251"/>
      <c r="BG56" s="251"/>
      <c r="BH56" s="251"/>
      <c r="BI56" s="251"/>
      <c r="BJ56" s="251"/>
      <c r="BK56" s="251"/>
      <c r="BL56" s="251"/>
      <c r="BM56" s="251"/>
      <c r="BN56" s="251"/>
      <c r="BO56" s="251"/>
      <c r="BP56" s="251"/>
      <c r="BQ56" s="251"/>
      <c r="BR56" s="251"/>
      <c r="BS56" s="251"/>
      <c r="BT56" s="251"/>
      <c r="BU56" s="251"/>
      <c r="BV56" s="316">
        <v>1320</v>
      </c>
      <c r="BW56" s="251"/>
      <c r="BX56" s="251"/>
      <c r="BY56" s="251"/>
      <c r="BZ56" s="251"/>
      <c r="CA56" s="251"/>
      <c r="CB56" s="251"/>
      <c r="CC56" s="251"/>
      <c r="CD56" s="251"/>
      <c r="CE56" s="251"/>
      <c r="CF56" s="251"/>
      <c r="CG56" s="251"/>
      <c r="CH56" s="251"/>
      <c r="CI56" s="251"/>
      <c r="CJ56" s="251"/>
      <c r="CK56" s="251"/>
      <c r="CL56" s="251"/>
      <c r="CM56" s="251"/>
      <c r="CN56" s="251"/>
      <c r="CO56" s="252">
        <v>105</v>
      </c>
      <c r="CP56" s="251"/>
      <c r="CQ56" s="251"/>
      <c r="CR56" s="251"/>
      <c r="CS56" s="251"/>
      <c r="CT56" s="251"/>
      <c r="CU56" s="251"/>
      <c r="CV56" s="251"/>
      <c r="CW56" s="251"/>
      <c r="CX56" s="251"/>
      <c r="CY56" s="251"/>
      <c r="CZ56" s="251"/>
      <c r="DA56" s="251"/>
      <c r="DB56" s="251"/>
      <c r="DC56" s="251"/>
      <c r="DD56" s="251"/>
      <c r="DE56" s="251"/>
      <c r="DF56" s="251"/>
      <c r="DG56" s="251"/>
      <c r="DH56" s="316">
        <v>1425</v>
      </c>
      <c r="DI56" s="251"/>
      <c r="DJ56" s="251"/>
      <c r="DK56" s="251"/>
      <c r="DL56" s="251"/>
      <c r="DM56" s="251"/>
      <c r="DN56" s="251"/>
      <c r="DO56" s="251"/>
      <c r="DP56" s="251"/>
      <c r="DQ56" s="251"/>
      <c r="DR56" s="251"/>
      <c r="DS56" s="251"/>
      <c r="DT56" s="251"/>
      <c r="DU56" s="251"/>
      <c r="DV56" s="251"/>
      <c r="DW56" s="251"/>
      <c r="DX56" s="251"/>
      <c r="DY56" s="251"/>
      <c r="DZ56" s="251"/>
      <c r="EA56" s="107"/>
      <c r="EC56" s="73"/>
    </row>
    <row r="57" spans="1:133" ht="25.15" customHeight="1">
      <c r="A57" s="1">
        <f t="shared" si="13"/>
        <v>49</v>
      </c>
      <c r="B57" s="69"/>
      <c r="C57" s="315" t="s">
        <v>260</v>
      </c>
      <c r="D57" s="259"/>
      <c r="E57" s="259"/>
      <c r="F57" s="259"/>
      <c r="G57" s="259"/>
      <c r="H57" s="259"/>
      <c r="I57" s="259"/>
      <c r="J57" s="259"/>
      <c r="K57" s="259"/>
      <c r="L57" s="259"/>
      <c r="M57" s="259"/>
      <c r="N57" s="259"/>
      <c r="O57" s="259"/>
      <c r="P57" s="259"/>
      <c r="Q57" s="316">
        <v>4200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1"/>
      <c r="BE57" s="251"/>
      <c r="BF57" s="251"/>
      <c r="BG57" s="251"/>
      <c r="BH57" s="251"/>
      <c r="BI57" s="251"/>
      <c r="BJ57" s="251"/>
      <c r="BK57" s="251"/>
      <c r="BL57" s="251"/>
      <c r="BM57" s="251"/>
      <c r="BN57" s="251"/>
      <c r="BO57" s="251"/>
      <c r="BP57" s="251"/>
      <c r="BQ57" s="251"/>
      <c r="BR57" s="251"/>
      <c r="BS57" s="251"/>
      <c r="BT57" s="251"/>
      <c r="BU57" s="251"/>
      <c r="BV57" s="316">
        <v>4200</v>
      </c>
      <c r="BW57" s="251"/>
      <c r="BX57" s="251"/>
      <c r="BY57" s="251"/>
      <c r="BZ57" s="251"/>
      <c r="CA57" s="251"/>
      <c r="CB57" s="251"/>
      <c r="CC57" s="251"/>
      <c r="CD57" s="251"/>
      <c r="CE57" s="251"/>
      <c r="CF57" s="251"/>
      <c r="CG57" s="251"/>
      <c r="CH57" s="251"/>
      <c r="CI57" s="251"/>
      <c r="CJ57" s="251"/>
      <c r="CK57" s="251"/>
      <c r="CL57" s="251"/>
      <c r="CM57" s="251"/>
      <c r="CN57" s="251"/>
      <c r="CO57" s="252">
        <v>420</v>
      </c>
      <c r="CP57" s="251"/>
      <c r="CQ57" s="251"/>
      <c r="CR57" s="251"/>
      <c r="CS57" s="251"/>
      <c r="CT57" s="251"/>
      <c r="CU57" s="251"/>
      <c r="CV57" s="251"/>
      <c r="CW57" s="251"/>
      <c r="CX57" s="251"/>
      <c r="CY57" s="251"/>
      <c r="CZ57" s="251"/>
      <c r="DA57" s="251"/>
      <c r="DB57" s="251"/>
      <c r="DC57" s="251"/>
      <c r="DD57" s="251"/>
      <c r="DE57" s="251"/>
      <c r="DF57" s="251"/>
      <c r="DG57" s="251"/>
      <c r="DH57" s="316">
        <v>5620</v>
      </c>
      <c r="DI57" s="251"/>
      <c r="DJ57" s="251"/>
      <c r="DK57" s="251"/>
      <c r="DL57" s="251"/>
      <c r="DM57" s="251"/>
      <c r="DN57" s="251"/>
      <c r="DO57" s="251"/>
      <c r="DP57" s="251"/>
      <c r="DQ57" s="251"/>
      <c r="DR57" s="251"/>
      <c r="DS57" s="251"/>
      <c r="DT57" s="251"/>
      <c r="DU57" s="251"/>
      <c r="DV57" s="251"/>
      <c r="DW57" s="251"/>
      <c r="DX57" s="251"/>
      <c r="DY57" s="251"/>
      <c r="DZ57" s="251"/>
      <c r="EC57" s="73"/>
    </row>
    <row r="58" spans="1:133" ht="25.15" customHeight="1">
      <c r="A58" s="1">
        <f t="shared" si="13"/>
        <v>50</v>
      </c>
      <c r="B58" s="69"/>
      <c r="C58" s="279" t="s">
        <v>112</v>
      </c>
      <c r="D58" s="319"/>
      <c r="E58" s="279" t="s">
        <v>104</v>
      </c>
      <c r="F58" s="279"/>
      <c r="G58" s="124"/>
      <c r="H58" s="124"/>
      <c r="I58" s="123"/>
      <c r="J58" s="125"/>
      <c r="K58" s="123"/>
      <c r="L58" s="123"/>
      <c r="M58" s="109"/>
      <c r="N58" s="109"/>
      <c r="O58" s="123"/>
      <c r="P58" s="125"/>
      <c r="Q58" s="317">
        <v>5520</v>
      </c>
      <c r="R58" s="298"/>
      <c r="S58" s="298"/>
      <c r="T58" s="298"/>
      <c r="U58" s="298"/>
      <c r="V58" s="298"/>
      <c r="W58" s="298"/>
      <c r="X58" s="298"/>
      <c r="Y58" s="298"/>
      <c r="Z58" s="298"/>
      <c r="AA58" s="298"/>
      <c r="AB58" s="298"/>
      <c r="AC58" s="298"/>
      <c r="AD58" s="298"/>
      <c r="AE58" s="298"/>
      <c r="AF58" s="298"/>
      <c r="AG58" s="298"/>
      <c r="AH58" s="298"/>
      <c r="AI58" s="298"/>
      <c r="AJ58" s="318">
        <v>0</v>
      </c>
      <c r="AK58" s="298"/>
      <c r="AL58" s="298"/>
      <c r="AM58" s="298"/>
      <c r="AN58" s="298"/>
      <c r="AO58" s="298"/>
      <c r="AP58" s="298"/>
      <c r="AQ58" s="298"/>
      <c r="AR58" s="298"/>
      <c r="AS58" s="298"/>
      <c r="AT58" s="298"/>
      <c r="AU58" s="298"/>
      <c r="AV58" s="298"/>
      <c r="AW58" s="298"/>
      <c r="AX58" s="298"/>
      <c r="AY58" s="298"/>
      <c r="AZ58" s="298"/>
      <c r="BA58" s="298"/>
      <c r="BB58" s="298"/>
      <c r="BC58" s="318">
        <v>0</v>
      </c>
      <c r="BD58" s="298"/>
      <c r="BE58" s="298"/>
      <c r="BF58" s="298"/>
      <c r="BG58" s="298"/>
      <c r="BH58" s="298"/>
      <c r="BI58" s="298"/>
      <c r="BJ58" s="298"/>
      <c r="BK58" s="298"/>
      <c r="BL58" s="298"/>
      <c r="BM58" s="298"/>
      <c r="BN58" s="298"/>
      <c r="BO58" s="298"/>
      <c r="BP58" s="298"/>
      <c r="BQ58" s="298"/>
      <c r="BR58" s="298"/>
      <c r="BS58" s="298"/>
      <c r="BT58" s="298"/>
      <c r="BU58" s="298"/>
      <c r="BV58" s="317">
        <f>SUM(BV56,BV57)</f>
        <v>5520</v>
      </c>
      <c r="BW58" s="298"/>
      <c r="BX58" s="298"/>
      <c r="BY58" s="298"/>
      <c r="BZ58" s="298"/>
      <c r="CA58" s="298"/>
      <c r="CB58" s="298"/>
      <c r="CC58" s="298"/>
      <c r="CD58" s="298"/>
      <c r="CE58" s="298"/>
      <c r="CF58" s="298"/>
      <c r="CG58" s="298"/>
      <c r="CH58" s="298"/>
      <c r="CI58" s="298"/>
      <c r="CJ58" s="298"/>
      <c r="CK58" s="298"/>
      <c r="CL58" s="298"/>
      <c r="CM58" s="298"/>
      <c r="CN58" s="298"/>
      <c r="CO58" s="317">
        <f>SUM(CO56,CO57)</f>
        <v>525</v>
      </c>
      <c r="CP58" s="298"/>
      <c r="CQ58" s="298"/>
      <c r="CR58" s="298"/>
      <c r="CS58" s="298"/>
      <c r="CT58" s="298"/>
      <c r="CU58" s="298"/>
      <c r="CV58" s="298"/>
      <c r="CW58" s="298"/>
      <c r="CX58" s="298"/>
      <c r="CY58" s="298"/>
      <c r="CZ58" s="298"/>
      <c r="DA58" s="298"/>
      <c r="DB58" s="298"/>
      <c r="DC58" s="298"/>
      <c r="DD58" s="298"/>
      <c r="DE58" s="298"/>
      <c r="DF58" s="298"/>
      <c r="DG58" s="298"/>
      <c r="DH58" s="317">
        <f>SUM(DH56,DH57)</f>
        <v>7045</v>
      </c>
      <c r="DI58" s="298"/>
      <c r="DJ58" s="298"/>
      <c r="DK58" s="298"/>
      <c r="DL58" s="298"/>
      <c r="DM58" s="298"/>
      <c r="DN58" s="298"/>
      <c r="DO58" s="298"/>
      <c r="DP58" s="298"/>
      <c r="DQ58" s="298"/>
      <c r="DR58" s="298"/>
      <c r="DS58" s="298"/>
      <c r="DT58" s="298"/>
      <c r="DU58" s="298"/>
      <c r="DV58" s="298"/>
      <c r="DW58" s="298"/>
      <c r="DX58" s="298"/>
      <c r="DY58" s="298"/>
      <c r="DZ58" s="298"/>
      <c r="EA58" s="126"/>
      <c r="EB58" s="126"/>
      <c r="EC58" s="73"/>
    </row>
    <row r="59" spans="1:133" ht="25.15" customHeight="1">
      <c r="A59" s="1">
        <f t="shared" si="13"/>
        <v>51</v>
      </c>
      <c r="B59" s="69"/>
      <c r="C59" s="266" t="s">
        <v>105</v>
      </c>
      <c r="D59" s="296"/>
      <c r="E59" s="266" t="s">
        <v>104</v>
      </c>
      <c r="F59" s="266"/>
      <c r="G59" s="70"/>
      <c r="H59" s="107"/>
      <c r="I59" s="107"/>
      <c r="J59" s="107"/>
      <c r="K59" s="107"/>
      <c r="L59" s="105"/>
      <c r="M59" s="107"/>
      <c r="N59" s="101"/>
      <c r="O59" s="86"/>
      <c r="Q59" s="316">
        <f>SUM(Q52,Q58)</f>
        <v>17020</v>
      </c>
      <c r="R59" s="251"/>
      <c r="S59" s="251"/>
      <c r="T59" s="251"/>
      <c r="U59" s="251"/>
      <c r="V59" s="251"/>
      <c r="W59" s="251"/>
      <c r="X59" s="251"/>
      <c r="Y59" s="251"/>
      <c r="Z59" s="251"/>
      <c r="AA59" s="251"/>
      <c r="AB59" s="251"/>
      <c r="AC59" s="251"/>
      <c r="AD59" s="251"/>
      <c r="AE59" s="251"/>
      <c r="AF59" s="251"/>
      <c r="AG59" s="251"/>
      <c r="AH59" s="251"/>
      <c r="AI59" s="251"/>
      <c r="AJ59" s="252">
        <v>0</v>
      </c>
      <c r="AK59" s="251"/>
      <c r="AL59" s="251"/>
      <c r="AM59" s="251"/>
      <c r="AN59" s="251"/>
      <c r="AO59" s="251"/>
      <c r="AP59" s="251"/>
      <c r="AQ59" s="251"/>
      <c r="AR59" s="251"/>
      <c r="AS59" s="251"/>
      <c r="AT59" s="251"/>
      <c r="AU59" s="251"/>
      <c r="AV59" s="251"/>
      <c r="AW59" s="251"/>
      <c r="AX59" s="251"/>
      <c r="AY59" s="251"/>
      <c r="AZ59" s="251"/>
      <c r="BA59" s="251"/>
      <c r="BB59" s="251"/>
      <c r="BC59" s="252">
        <v>0</v>
      </c>
      <c r="BD59" s="251"/>
      <c r="BE59" s="251"/>
      <c r="BF59" s="251"/>
      <c r="BG59" s="251"/>
      <c r="BH59" s="251"/>
      <c r="BI59" s="251"/>
      <c r="BJ59" s="251"/>
      <c r="BK59" s="251"/>
      <c r="BL59" s="251"/>
      <c r="BM59" s="251"/>
      <c r="BN59" s="251"/>
      <c r="BO59" s="251"/>
      <c r="BP59" s="251"/>
      <c r="BQ59" s="251"/>
      <c r="BR59" s="251"/>
      <c r="BS59" s="251"/>
      <c r="BT59" s="251"/>
      <c r="BU59" s="251"/>
      <c r="BV59" s="316">
        <f>SUM(BV52,BV58)</f>
        <v>17050</v>
      </c>
      <c r="BW59" s="251"/>
      <c r="BX59" s="251"/>
      <c r="BY59" s="251"/>
      <c r="BZ59" s="251"/>
      <c r="CA59" s="251"/>
      <c r="CB59" s="251"/>
      <c r="CC59" s="251"/>
      <c r="CD59" s="251"/>
      <c r="CE59" s="251"/>
      <c r="CF59" s="251"/>
      <c r="CG59" s="251"/>
      <c r="CH59" s="251"/>
      <c r="CI59" s="251"/>
      <c r="CJ59" s="251"/>
      <c r="CK59" s="251"/>
      <c r="CL59" s="251"/>
      <c r="CM59" s="251"/>
      <c r="CN59" s="251"/>
      <c r="CO59" s="316">
        <f>SUM(CO52,CO58)</f>
        <v>1573</v>
      </c>
      <c r="CP59" s="251"/>
      <c r="CQ59" s="251"/>
      <c r="CR59" s="251"/>
      <c r="CS59" s="251"/>
      <c r="CT59" s="251"/>
      <c r="CU59" s="251"/>
      <c r="CV59" s="251"/>
      <c r="CW59" s="251"/>
      <c r="CX59" s="251"/>
      <c r="CY59" s="251"/>
      <c r="CZ59" s="251"/>
      <c r="DA59" s="251"/>
      <c r="DB59" s="251"/>
      <c r="DC59" s="251"/>
      <c r="DD59" s="251"/>
      <c r="DE59" s="251"/>
      <c r="DF59" s="251"/>
      <c r="DG59" s="251"/>
      <c r="DH59" s="316">
        <f>SUM(DH52,DH58)</f>
        <v>20623</v>
      </c>
      <c r="DI59" s="251"/>
      <c r="DJ59" s="251"/>
      <c r="DK59" s="251"/>
      <c r="DL59" s="251"/>
      <c r="DM59" s="251"/>
      <c r="DN59" s="251"/>
      <c r="DO59" s="251"/>
      <c r="DP59" s="251"/>
      <c r="DQ59" s="251"/>
      <c r="DR59" s="251"/>
      <c r="DS59" s="251"/>
      <c r="DT59" s="251"/>
      <c r="DU59" s="251"/>
      <c r="DV59" s="251"/>
      <c r="DW59" s="251"/>
      <c r="DX59" s="251"/>
      <c r="DY59" s="251"/>
      <c r="DZ59" s="251"/>
      <c r="EC59" s="73"/>
    </row>
    <row r="60" spans="1:133" ht="25.15" customHeight="1">
      <c r="A60" s="1">
        <f t="shared" si="13"/>
        <v>52</v>
      </c>
      <c r="B60" s="69"/>
      <c r="C60" s="259" t="s">
        <v>259</v>
      </c>
      <c r="D60" s="259"/>
      <c r="E60" s="259"/>
      <c r="F60" s="259"/>
      <c r="G60" s="259"/>
      <c r="H60" s="259"/>
      <c r="I60" s="259"/>
      <c r="J60" s="259"/>
      <c r="K60" s="259"/>
      <c r="L60" s="259"/>
      <c r="M60" s="259"/>
      <c r="N60" s="259"/>
      <c r="O60" s="259"/>
      <c r="P60" s="259"/>
      <c r="Q60" s="316">
        <f>SUM(Q50,Q56)</f>
        <v>6550</v>
      </c>
      <c r="R60" s="251"/>
      <c r="S60" s="251"/>
      <c r="T60" s="251"/>
      <c r="U60" s="251"/>
      <c r="V60" s="251"/>
      <c r="W60" s="251"/>
      <c r="X60" s="251"/>
      <c r="Y60" s="251"/>
      <c r="Z60" s="251"/>
      <c r="AA60" s="251"/>
      <c r="AB60" s="251"/>
      <c r="AC60" s="251"/>
      <c r="AD60" s="251"/>
      <c r="AE60" s="251"/>
      <c r="AF60" s="251"/>
      <c r="AG60" s="251"/>
      <c r="AH60" s="251"/>
      <c r="AI60" s="251"/>
      <c r="AJ60" s="252"/>
      <c r="AK60" s="251"/>
      <c r="AL60" s="251"/>
      <c r="AM60" s="251"/>
      <c r="AN60" s="251"/>
      <c r="AO60" s="251"/>
      <c r="AP60" s="251"/>
      <c r="AQ60" s="251"/>
      <c r="AR60" s="251"/>
      <c r="AS60" s="251"/>
      <c r="AT60" s="251"/>
      <c r="AU60" s="251"/>
      <c r="AV60" s="251"/>
      <c r="AW60" s="251"/>
      <c r="AX60" s="251"/>
      <c r="AY60" s="251"/>
      <c r="AZ60" s="251"/>
      <c r="BA60" s="251"/>
      <c r="BB60" s="251"/>
      <c r="BC60" s="252"/>
      <c r="BD60" s="251"/>
      <c r="BE60" s="251"/>
      <c r="BF60" s="251"/>
      <c r="BG60" s="251"/>
      <c r="BH60" s="251"/>
      <c r="BI60" s="251"/>
      <c r="BJ60" s="251"/>
      <c r="BK60" s="251"/>
      <c r="BL60" s="251"/>
      <c r="BM60" s="251"/>
      <c r="BN60" s="251"/>
      <c r="BO60" s="251"/>
      <c r="BP60" s="251"/>
      <c r="BQ60" s="251"/>
      <c r="BR60" s="251"/>
      <c r="BS60" s="251"/>
      <c r="BT60" s="251"/>
      <c r="BU60" s="251"/>
      <c r="BV60" s="316">
        <f>SUM(BV50,BV56)</f>
        <v>6550</v>
      </c>
      <c r="BW60" s="251"/>
      <c r="BX60" s="251"/>
      <c r="BY60" s="251"/>
      <c r="BZ60" s="251"/>
      <c r="CA60" s="251"/>
      <c r="CB60" s="251"/>
      <c r="CC60" s="251"/>
      <c r="CD60" s="251"/>
      <c r="CE60" s="251"/>
      <c r="CF60" s="251"/>
      <c r="CG60" s="251"/>
      <c r="CH60" s="251"/>
      <c r="CI60" s="251"/>
      <c r="CJ60" s="251"/>
      <c r="CK60" s="251"/>
      <c r="CL60" s="251"/>
      <c r="CM60" s="251"/>
      <c r="CN60" s="251"/>
      <c r="CO60" s="316">
        <f>SUM(CO50,CO56)</f>
        <v>523</v>
      </c>
      <c r="CP60" s="251"/>
      <c r="CQ60" s="251"/>
      <c r="CR60" s="251"/>
      <c r="CS60" s="251"/>
      <c r="CT60" s="251"/>
      <c r="CU60" s="251"/>
      <c r="CV60" s="251"/>
      <c r="CW60" s="251"/>
      <c r="CX60" s="251"/>
      <c r="CY60" s="251"/>
      <c r="CZ60" s="251"/>
      <c r="DA60" s="251"/>
      <c r="DB60" s="251"/>
      <c r="DC60" s="251"/>
      <c r="DD60" s="251"/>
      <c r="DE60" s="251"/>
      <c r="DF60" s="251"/>
      <c r="DG60" s="251"/>
      <c r="DH60" s="316">
        <f>SUM(DH50,DH56)</f>
        <v>8073</v>
      </c>
      <c r="DI60" s="251"/>
      <c r="DJ60" s="251"/>
      <c r="DK60" s="251"/>
      <c r="DL60" s="251"/>
      <c r="DM60" s="251"/>
      <c r="DN60" s="251"/>
      <c r="DO60" s="251"/>
      <c r="DP60" s="251"/>
      <c r="DQ60" s="251"/>
      <c r="DR60" s="251"/>
      <c r="DS60" s="251"/>
      <c r="DT60" s="251"/>
      <c r="DU60" s="251"/>
      <c r="DV60" s="251"/>
      <c r="DW60" s="251"/>
      <c r="DX60" s="251"/>
      <c r="DY60" s="251"/>
      <c r="DZ60" s="251"/>
      <c r="EC60" s="73"/>
    </row>
    <row r="61" spans="1:133" ht="25.15" customHeight="1">
      <c r="A61" s="1">
        <f t="shared" si="13"/>
        <v>53</v>
      </c>
      <c r="B61" s="69"/>
      <c r="C61" s="315" t="s">
        <v>260</v>
      </c>
      <c r="D61" s="259"/>
      <c r="E61" s="259"/>
      <c r="F61" s="259"/>
      <c r="G61" s="259"/>
      <c r="H61" s="259"/>
      <c r="I61" s="259"/>
      <c r="J61" s="259"/>
      <c r="K61" s="259"/>
      <c r="L61" s="259"/>
      <c r="M61" s="259"/>
      <c r="N61" s="259"/>
      <c r="O61" s="259"/>
      <c r="P61" s="259"/>
      <c r="Q61" s="316">
        <f>SUM(Q51,Q57)</f>
        <v>10500</v>
      </c>
      <c r="R61" s="251"/>
      <c r="S61" s="251"/>
      <c r="T61" s="251"/>
      <c r="U61" s="251"/>
      <c r="V61" s="251"/>
      <c r="W61" s="251"/>
      <c r="X61" s="251"/>
      <c r="Y61" s="251"/>
      <c r="Z61" s="251"/>
      <c r="AA61" s="251"/>
      <c r="AB61" s="251"/>
      <c r="AC61" s="251"/>
      <c r="AD61" s="251"/>
      <c r="AE61" s="251"/>
      <c r="AF61" s="251"/>
      <c r="AG61" s="251"/>
      <c r="AH61" s="251"/>
      <c r="AI61" s="251"/>
      <c r="AJ61" s="252"/>
      <c r="AK61" s="251"/>
      <c r="AL61" s="251"/>
      <c r="AM61" s="251"/>
      <c r="AN61" s="251"/>
      <c r="AO61" s="251"/>
      <c r="AP61" s="251"/>
      <c r="AQ61" s="251"/>
      <c r="AR61" s="251"/>
      <c r="AS61" s="251"/>
      <c r="AT61" s="251"/>
      <c r="AU61" s="251"/>
      <c r="AV61" s="251"/>
      <c r="AW61" s="251"/>
      <c r="AX61" s="251"/>
      <c r="AY61" s="251"/>
      <c r="AZ61" s="251"/>
      <c r="BA61" s="251"/>
      <c r="BB61" s="251"/>
      <c r="BC61" s="252"/>
      <c r="BD61" s="251"/>
      <c r="BE61" s="251"/>
      <c r="BF61" s="251"/>
      <c r="BG61" s="251"/>
      <c r="BH61" s="251"/>
      <c r="BI61" s="251"/>
      <c r="BJ61" s="251"/>
      <c r="BK61" s="251"/>
      <c r="BL61" s="251"/>
      <c r="BM61" s="251"/>
      <c r="BN61" s="251"/>
      <c r="BO61" s="251"/>
      <c r="BP61" s="251"/>
      <c r="BQ61" s="251"/>
      <c r="BR61" s="251"/>
      <c r="BS61" s="251"/>
      <c r="BT61" s="251"/>
      <c r="BU61" s="251"/>
      <c r="BV61" s="316">
        <f>SUM(BV51,BV57)</f>
        <v>10500</v>
      </c>
      <c r="BW61" s="251"/>
      <c r="BX61" s="251"/>
      <c r="BY61" s="251"/>
      <c r="BZ61" s="251"/>
      <c r="CA61" s="251"/>
      <c r="CB61" s="251"/>
      <c r="CC61" s="251"/>
      <c r="CD61" s="251"/>
      <c r="CE61" s="251"/>
      <c r="CF61" s="251"/>
      <c r="CG61" s="251"/>
      <c r="CH61" s="251"/>
      <c r="CI61" s="251"/>
      <c r="CJ61" s="251"/>
      <c r="CK61" s="251"/>
      <c r="CL61" s="251"/>
      <c r="CM61" s="251"/>
      <c r="CN61" s="251"/>
      <c r="CO61" s="316">
        <f>SUM(CO51,CO57)</f>
        <v>1050</v>
      </c>
      <c r="CP61" s="251"/>
      <c r="CQ61" s="251"/>
      <c r="CR61" s="251"/>
      <c r="CS61" s="251"/>
      <c r="CT61" s="251"/>
      <c r="CU61" s="251"/>
      <c r="CV61" s="251"/>
      <c r="CW61" s="251"/>
      <c r="CX61" s="251"/>
      <c r="CY61" s="251"/>
      <c r="CZ61" s="251"/>
      <c r="DA61" s="251"/>
      <c r="DB61" s="251"/>
      <c r="DC61" s="251"/>
      <c r="DD61" s="251"/>
      <c r="DE61" s="251"/>
      <c r="DF61" s="251"/>
      <c r="DG61" s="251"/>
      <c r="DH61" s="316">
        <f>SUM(DH51,DH57)</f>
        <v>12550</v>
      </c>
      <c r="DI61" s="251"/>
      <c r="DJ61" s="251"/>
      <c r="DK61" s="251"/>
      <c r="DL61" s="251"/>
      <c r="DM61" s="251"/>
      <c r="DN61" s="251"/>
      <c r="DO61" s="251"/>
      <c r="DP61" s="251"/>
      <c r="DQ61" s="251"/>
      <c r="DR61" s="251"/>
      <c r="DS61" s="251"/>
      <c r="DT61" s="251"/>
      <c r="DU61" s="251"/>
      <c r="DV61" s="251"/>
      <c r="DW61" s="251"/>
      <c r="DX61" s="251"/>
      <c r="DY61" s="251"/>
      <c r="DZ61" s="251"/>
      <c r="EC61" s="73"/>
    </row>
    <row r="62" spans="1:133" ht="25.15" customHeight="1">
      <c r="A62" s="1">
        <f t="shared" si="13"/>
        <v>54</v>
      </c>
      <c r="B62" s="69"/>
      <c r="C62" s="71"/>
      <c r="D62" s="71"/>
      <c r="E62" s="71"/>
      <c r="F62" s="71"/>
      <c r="G62" s="70"/>
      <c r="H62" s="107"/>
      <c r="I62" s="107"/>
      <c r="J62" s="107"/>
      <c r="K62" s="107"/>
      <c r="L62" s="105"/>
      <c r="M62" s="107"/>
      <c r="N62" s="101"/>
      <c r="O62" s="86"/>
      <c r="T62" s="105"/>
      <c r="U62" s="105"/>
      <c r="V62" s="105"/>
      <c r="W62" s="105"/>
      <c r="X62" s="105"/>
      <c r="Y62" s="105"/>
      <c r="Z62" s="105"/>
      <c r="AA62" s="105"/>
      <c r="AB62" s="105"/>
      <c r="AC62" s="105"/>
      <c r="AD62" s="105"/>
      <c r="AE62" s="105"/>
      <c r="AF62" s="105"/>
      <c r="AG62" s="105"/>
      <c r="AH62" s="105"/>
      <c r="AI62" s="105"/>
      <c r="AM62" s="72"/>
      <c r="AP62" s="107"/>
      <c r="AQ62" s="107"/>
      <c r="AR62" s="107"/>
      <c r="AS62" s="107"/>
      <c r="AT62" s="107"/>
      <c r="AU62" s="107"/>
      <c r="AV62" s="107"/>
      <c r="AW62" s="107"/>
      <c r="AX62" s="107"/>
      <c r="AY62" s="107"/>
      <c r="AZ62" s="86"/>
      <c r="BA62" s="72"/>
      <c r="BC62" s="105"/>
      <c r="BD62" s="105"/>
      <c r="BE62" s="105"/>
      <c r="BF62" s="105"/>
      <c r="BG62" s="105"/>
      <c r="BH62" s="105"/>
      <c r="BI62" s="105"/>
      <c r="BJ62" s="105"/>
      <c r="BK62" s="105"/>
      <c r="BL62" s="105"/>
      <c r="BM62" s="105"/>
      <c r="BN62" s="105"/>
      <c r="BO62" s="105"/>
      <c r="BP62" s="105"/>
      <c r="BQ62" s="105"/>
      <c r="BR62" s="105"/>
      <c r="BS62" s="105"/>
      <c r="BT62" s="92"/>
      <c r="BU62" s="72"/>
      <c r="BV62" s="92"/>
      <c r="BW62" s="107"/>
      <c r="BX62" s="92"/>
      <c r="BY62" s="92"/>
      <c r="BZ62" s="92"/>
      <c r="CA62" s="107"/>
      <c r="CB62" s="92"/>
      <c r="CC62" s="92"/>
      <c r="CD62" s="92"/>
      <c r="CE62" s="107"/>
      <c r="CF62" s="92"/>
      <c r="CG62" s="92"/>
      <c r="CH62" s="92"/>
      <c r="CI62" s="107"/>
      <c r="CJ62" s="92"/>
      <c r="CK62" s="92"/>
      <c r="CL62" s="107"/>
      <c r="CN62" s="92"/>
      <c r="CO62" s="72"/>
      <c r="CR62" s="107"/>
      <c r="CS62" s="107"/>
      <c r="CT62" s="107"/>
      <c r="CU62" s="107"/>
      <c r="CV62" s="107"/>
      <c r="CW62" s="107"/>
      <c r="CX62" s="107"/>
      <c r="CY62" s="107"/>
      <c r="CZ62" s="107"/>
      <c r="DA62" s="107"/>
      <c r="DB62" s="86"/>
      <c r="DC62" s="72"/>
      <c r="DD62" s="72"/>
      <c r="DE62" s="72"/>
      <c r="DG62" s="72"/>
      <c r="DJ62" s="107"/>
      <c r="DK62" s="107"/>
      <c r="DL62" s="107"/>
      <c r="DM62" s="107"/>
      <c r="DN62" s="107"/>
      <c r="DO62" s="107"/>
      <c r="DP62" s="107"/>
      <c r="DQ62" s="107"/>
      <c r="DR62" s="107"/>
      <c r="DS62" s="107"/>
      <c r="DT62" s="107"/>
      <c r="DU62" s="70"/>
      <c r="DV62" s="74"/>
      <c r="DW62" s="70"/>
      <c r="DX62" s="74"/>
      <c r="EC62" s="73"/>
    </row>
    <row r="63" spans="1:133" s="47" customFormat="1" ht="25.15" customHeight="1">
      <c r="A63" s="1">
        <f t="shared" si="13"/>
        <v>55</v>
      </c>
      <c r="B63" s="69"/>
      <c r="C63" s="255" t="s">
        <v>245</v>
      </c>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105"/>
      <c r="BT63" s="92"/>
      <c r="BU63" s="72"/>
      <c r="BV63" s="92"/>
      <c r="BW63" s="255" t="s">
        <v>246</v>
      </c>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73"/>
    </row>
    <row r="64" spans="1:133" s="179" customFormat="1" ht="25.15" customHeight="1">
      <c r="A64" s="1">
        <f t="shared" si="13"/>
        <v>56</v>
      </c>
      <c r="B64" s="176"/>
      <c r="C64" s="323" t="s">
        <v>244</v>
      </c>
      <c r="D64" s="323"/>
      <c r="E64" s="323"/>
      <c r="F64" s="323"/>
      <c r="G64" s="323"/>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158"/>
      <c r="BC64" s="158"/>
      <c r="BD64" s="158"/>
      <c r="BE64" s="158"/>
      <c r="BF64" s="158"/>
      <c r="BG64" s="158"/>
      <c r="BH64" s="178"/>
      <c r="BI64" s="178"/>
      <c r="BJ64" s="178"/>
      <c r="BK64" s="178"/>
      <c r="BL64" s="171"/>
      <c r="BM64" s="158"/>
      <c r="BN64" s="158"/>
      <c r="BO64" s="260" t="s">
        <v>113</v>
      </c>
      <c r="BP64" s="260"/>
      <c r="BQ64" s="260" t="s">
        <v>103</v>
      </c>
      <c r="BR64" s="260"/>
      <c r="BV64" s="118"/>
      <c r="BW64" s="256" t="s">
        <v>114</v>
      </c>
      <c r="BX64" s="256"/>
      <c r="BY64" s="256"/>
      <c r="BZ64" s="256"/>
      <c r="CA64" s="256"/>
      <c r="CB64" s="256"/>
      <c r="CC64" s="256"/>
      <c r="CD64" s="256"/>
      <c r="CE64" s="256"/>
      <c r="CF64" s="256"/>
      <c r="CG64" s="256"/>
      <c r="CH64" s="256"/>
      <c r="CI64" s="256"/>
      <c r="CJ64" s="256"/>
      <c r="CK64" s="256"/>
      <c r="CL64" s="256"/>
      <c r="CM64" s="256"/>
      <c r="CN64" s="256"/>
      <c r="CO64" s="256"/>
      <c r="CP64" s="256"/>
      <c r="CQ64" s="256"/>
      <c r="CR64" s="256"/>
      <c r="CS64" s="256"/>
      <c r="CT64" s="256"/>
      <c r="CU64" s="256"/>
      <c r="CV64" s="256"/>
      <c r="CW64" s="256"/>
      <c r="CX64" s="256"/>
      <c r="CY64" s="256"/>
      <c r="CZ64" s="256"/>
      <c r="DA64" s="256"/>
      <c r="DB64" s="256"/>
      <c r="DC64" s="256"/>
      <c r="DD64" s="256"/>
      <c r="DE64" s="256"/>
      <c r="DF64" s="256"/>
      <c r="DG64" s="256"/>
      <c r="DH64" s="256"/>
      <c r="DI64" s="256"/>
      <c r="DJ64" s="256"/>
      <c r="DK64" s="256"/>
      <c r="DL64" s="257" t="s">
        <v>247</v>
      </c>
      <c r="DM64" s="257"/>
      <c r="DN64" s="257"/>
      <c r="DO64" s="257"/>
      <c r="DP64" s="257"/>
      <c r="DQ64" s="257"/>
      <c r="DR64" s="257"/>
      <c r="DS64" s="257"/>
      <c r="DT64" s="257"/>
      <c r="DU64" s="257"/>
      <c r="DV64" s="257"/>
      <c r="DW64" s="257"/>
      <c r="DX64" s="257"/>
      <c r="DY64" s="257"/>
      <c r="DZ64" s="257"/>
      <c r="EA64" s="257"/>
      <c r="EB64" s="257"/>
      <c r="EC64" s="180"/>
    </row>
    <row r="65" spans="1:133" s="47" customFormat="1" ht="25.15" customHeight="1">
      <c r="A65" s="1">
        <f t="shared" si="13"/>
        <v>57</v>
      </c>
      <c r="B65" s="69"/>
      <c r="C65" s="254" t="s">
        <v>266</v>
      </c>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324">
        <f>DH52/6</f>
        <v>2263</v>
      </c>
      <c r="BC65" s="253"/>
      <c r="BD65" s="253"/>
      <c r="BE65" s="253"/>
      <c r="BF65" s="253"/>
      <c r="BG65" s="253"/>
      <c r="BH65" s="253"/>
      <c r="BI65" s="253"/>
      <c r="BJ65" s="253"/>
      <c r="BK65" s="253"/>
      <c r="BL65" s="253"/>
      <c r="BM65" s="253"/>
      <c r="BN65" s="253"/>
      <c r="BO65" s="253"/>
      <c r="BP65" s="253"/>
      <c r="BQ65" s="253"/>
      <c r="BR65" s="253"/>
      <c r="BS65" s="107"/>
      <c r="BT65" s="107"/>
      <c r="BU65" s="107"/>
      <c r="BV65" s="92"/>
      <c r="BW65" s="254" t="s">
        <v>269</v>
      </c>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324">
        <f>SUM(DH57)</f>
        <v>5620</v>
      </c>
      <c r="DM65" s="324"/>
      <c r="DN65" s="324"/>
      <c r="DO65" s="324"/>
      <c r="DP65" s="324"/>
      <c r="DQ65" s="324"/>
      <c r="DR65" s="324"/>
      <c r="DS65" s="324"/>
      <c r="DT65" s="324"/>
      <c r="DU65" s="324"/>
      <c r="DV65" s="324"/>
      <c r="DW65" s="324"/>
      <c r="DX65" s="324"/>
      <c r="DY65" s="324"/>
      <c r="DZ65" s="324"/>
      <c r="EA65" s="324"/>
      <c r="EB65" s="324"/>
      <c r="EC65" s="73"/>
    </row>
    <row r="66" spans="1:133" s="47" customFormat="1" ht="25.15" customHeight="1">
      <c r="A66" s="1">
        <f t="shared" si="13"/>
        <v>58</v>
      </c>
      <c r="B66" s="69"/>
      <c r="C66" s="248" t="s">
        <v>267</v>
      </c>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325">
        <f>DH58/6</f>
        <v>1174.1666666666667</v>
      </c>
      <c r="BC66" s="247"/>
      <c r="BD66" s="247"/>
      <c r="BE66" s="247"/>
      <c r="BF66" s="247"/>
      <c r="BG66" s="247"/>
      <c r="BH66" s="247"/>
      <c r="BI66" s="247"/>
      <c r="BJ66" s="247"/>
      <c r="BK66" s="247"/>
      <c r="BL66" s="247"/>
      <c r="BM66" s="247"/>
      <c r="BN66" s="247"/>
      <c r="BO66" s="247"/>
      <c r="BP66" s="247"/>
      <c r="BQ66" s="247"/>
      <c r="BR66" s="247"/>
      <c r="BS66" s="107"/>
      <c r="BT66" s="107"/>
      <c r="BU66" s="107"/>
      <c r="BV66" s="92"/>
      <c r="BW66" s="248" t="s">
        <v>270</v>
      </c>
      <c r="BX66" s="248"/>
      <c r="BY66" s="248"/>
      <c r="BZ66" s="248"/>
      <c r="CA66" s="248"/>
      <c r="CB66" s="248"/>
      <c r="CC66" s="248"/>
      <c r="CD66" s="248"/>
      <c r="CE66" s="248"/>
      <c r="CF66" s="248"/>
      <c r="CG66" s="248"/>
      <c r="CH66" s="248"/>
      <c r="CI66" s="248"/>
      <c r="CJ66" s="248"/>
      <c r="CK66" s="248"/>
      <c r="CL66" s="248"/>
      <c r="CM66" s="248"/>
      <c r="CN66" s="248"/>
      <c r="CO66" s="248"/>
      <c r="CP66" s="248"/>
      <c r="CQ66" s="248"/>
      <c r="CR66" s="248"/>
      <c r="CS66" s="248"/>
      <c r="CT66" s="248"/>
      <c r="CU66" s="248"/>
      <c r="CV66" s="248"/>
      <c r="CW66" s="248"/>
      <c r="CX66" s="248"/>
      <c r="CY66" s="248"/>
      <c r="CZ66" s="248"/>
      <c r="DA66" s="248"/>
      <c r="DB66" s="248"/>
      <c r="DC66" s="248"/>
      <c r="DD66" s="248"/>
      <c r="DE66" s="248"/>
      <c r="DF66" s="248"/>
      <c r="DG66" s="248"/>
      <c r="DH66" s="248"/>
      <c r="DI66" s="248"/>
      <c r="DJ66" s="248"/>
      <c r="DK66" s="248"/>
      <c r="DL66" s="325">
        <f>DH50</f>
        <v>6648</v>
      </c>
      <c r="DM66" s="247"/>
      <c r="DN66" s="247"/>
      <c r="DO66" s="247"/>
      <c r="DP66" s="247"/>
      <c r="DQ66" s="247"/>
      <c r="DR66" s="247"/>
      <c r="DS66" s="247"/>
      <c r="DT66" s="247"/>
      <c r="DU66" s="247"/>
      <c r="DV66" s="247"/>
      <c r="DW66" s="247"/>
      <c r="DX66" s="247"/>
      <c r="DY66" s="247"/>
      <c r="DZ66" s="247"/>
      <c r="EA66" s="247"/>
      <c r="EB66" s="247"/>
      <c r="EC66" s="73"/>
    </row>
    <row r="67" spans="1:133" s="47" customFormat="1" ht="25.15" customHeight="1">
      <c r="A67" s="1">
        <f t="shared" si="13"/>
        <v>59</v>
      </c>
      <c r="B67" s="69"/>
      <c r="C67" s="248" t="s">
        <v>268</v>
      </c>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325">
        <f>DH52/6</f>
        <v>2263</v>
      </c>
      <c r="BC67" s="247"/>
      <c r="BD67" s="247"/>
      <c r="BE67" s="247"/>
      <c r="BF67" s="247"/>
      <c r="BG67" s="247"/>
      <c r="BH67" s="247"/>
      <c r="BI67" s="247"/>
      <c r="BJ67" s="247"/>
      <c r="BK67" s="247"/>
      <c r="BL67" s="247"/>
      <c r="BM67" s="247"/>
      <c r="BN67" s="247"/>
      <c r="BO67" s="247"/>
      <c r="BP67" s="247"/>
      <c r="BQ67" s="247"/>
      <c r="BR67" s="247"/>
      <c r="BS67" s="107"/>
      <c r="BT67" s="107"/>
      <c r="BU67" s="107"/>
      <c r="BV67" s="92"/>
      <c r="BW67" s="248" t="s">
        <v>271</v>
      </c>
      <c r="BX67" s="248"/>
      <c r="BY67" s="248"/>
      <c r="BZ67" s="248"/>
      <c r="CA67" s="248"/>
      <c r="CB67" s="248"/>
      <c r="CC67" s="248"/>
      <c r="CD67" s="248"/>
      <c r="CE67" s="248"/>
      <c r="CF67" s="248"/>
      <c r="CG67" s="248"/>
      <c r="CH67" s="248"/>
      <c r="CI67" s="248"/>
      <c r="CJ67" s="248"/>
      <c r="CK67" s="248"/>
      <c r="CL67" s="248"/>
      <c r="CM67" s="248"/>
      <c r="CN67" s="248"/>
      <c r="CO67" s="248"/>
      <c r="CP67" s="248"/>
      <c r="CQ67" s="248"/>
      <c r="CR67" s="248"/>
      <c r="CS67" s="248"/>
      <c r="CT67" s="248"/>
      <c r="CU67" s="248"/>
      <c r="CV67" s="248"/>
      <c r="CW67" s="248"/>
      <c r="CX67" s="248"/>
      <c r="CY67" s="248"/>
      <c r="CZ67" s="248"/>
      <c r="DA67" s="248"/>
      <c r="DB67" s="248"/>
      <c r="DC67" s="248"/>
      <c r="DD67" s="248"/>
      <c r="DE67" s="248"/>
      <c r="DF67" s="248"/>
      <c r="DG67" s="248"/>
      <c r="DH67" s="248"/>
      <c r="DI67" s="248"/>
      <c r="DJ67" s="248"/>
      <c r="DK67" s="248"/>
      <c r="DL67" s="325">
        <f>DH51+DH56</f>
        <v>8355</v>
      </c>
      <c r="DM67" s="247"/>
      <c r="DN67" s="247"/>
      <c r="DO67" s="247"/>
      <c r="DP67" s="247"/>
      <c r="DQ67" s="247"/>
      <c r="DR67" s="247"/>
      <c r="DS67" s="247"/>
      <c r="DT67" s="247"/>
      <c r="DU67" s="247"/>
      <c r="DV67" s="247"/>
      <c r="DW67" s="247"/>
      <c r="DX67" s="247"/>
      <c r="DY67" s="247"/>
      <c r="DZ67" s="247"/>
      <c r="EA67" s="247"/>
      <c r="EB67" s="247"/>
      <c r="EC67" s="73"/>
    </row>
    <row r="68" spans="1:133" s="47" customFormat="1" ht="25.15" customHeight="1">
      <c r="A68" s="1">
        <f t="shared" si="13"/>
        <v>60</v>
      </c>
      <c r="B68" s="69"/>
      <c r="C68" s="248" t="s">
        <v>294</v>
      </c>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325">
        <f>DH58/6</f>
        <v>1174.1666666666667</v>
      </c>
      <c r="BC68" s="247"/>
      <c r="BD68" s="247"/>
      <c r="BE68" s="247"/>
      <c r="BF68" s="247"/>
      <c r="BG68" s="247"/>
      <c r="BH68" s="247"/>
      <c r="BI68" s="247"/>
      <c r="BJ68" s="247"/>
      <c r="BK68" s="247"/>
      <c r="BL68" s="247"/>
      <c r="BM68" s="247"/>
      <c r="BN68" s="247"/>
      <c r="BO68" s="247"/>
      <c r="BP68" s="247"/>
      <c r="BQ68" s="247"/>
      <c r="BR68" s="247"/>
      <c r="BS68" s="107"/>
      <c r="BT68" s="107"/>
      <c r="BU68" s="107"/>
      <c r="BV68" s="92"/>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251"/>
      <c r="DM68" s="251"/>
      <c r="DN68" s="251"/>
      <c r="DO68" s="251"/>
      <c r="DP68" s="251"/>
      <c r="DQ68" s="251"/>
      <c r="DR68" s="251"/>
      <c r="DS68" s="251"/>
      <c r="DT68" s="251"/>
      <c r="DU68" s="251"/>
      <c r="DV68" s="251"/>
      <c r="DW68" s="251"/>
      <c r="DX68" s="251"/>
      <c r="DY68" s="251"/>
      <c r="DZ68" s="251"/>
      <c r="EA68" s="251"/>
      <c r="EB68" s="251"/>
      <c r="EC68" s="73"/>
    </row>
    <row r="69" spans="1:133" s="47" customFormat="1" ht="25.15" customHeight="1">
      <c r="A69" s="1">
        <f t="shared" si="13"/>
        <v>61</v>
      </c>
      <c r="B69" s="69"/>
      <c r="C69" s="248" t="s">
        <v>294</v>
      </c>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325">
        <f>DH52/6</f>
        <v>2263</v>
      </c>
      <c r="BC69" s="247"/>
      <c r="BD69" s="247"/>
      <c r="BE69" s="247"/>
      <c r="BF69" s="247"/>
      <c r="BG69" s="247"/>
      <c r="BH69" s="247"/>
      <c r="BI69" s="247"/>
      <c r="BJ69" s="247"/>
      <c r="BK69" s="247"/>
      <c r="BL69" s="247"/>
      <c r="BM69" s="247"/>
      <c r="BN69" s="247"/>
      <c r="BO69" s="247"/>
      <c r="BP69" s="247"/>
      <c r="BQ69" s="247"/>
      <c r="BR69" s="247"/>
      <c r="BS69" s="107"/>
      <c r="BT69" s="107"/>
      <c r="BU69" s="107"/>
      <c r="BV69" s="92"/>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251"/>
      <c r="DM69" s="251"/>
      <c r="DN69" s="251"/>
      <c r="DO69" s="251"/>
      <c r="DP69" s="251"/>
      <c r="DQ69" s="251"/>
      <c r="DR69" s="251"/>
      <c r="DS69" s="251"/>
      <c r="DT69" s="251"/>
      <c r="DU69" s="251"/>
      <c r="DV69" s="251"/>
      <c r="DW69" s="251"/>
      <c r="DX69" s="251"/>
      <c r="DY69" s="251"/>
      <c r="DZ69" s="251"/>
      <c r="EA69" s="251"/>
      <c r="EB69" s="251"/>
      <c r="EC69" s="73"/>
    </row>
    <row r="70" spans="1:133" s="47" customFormat="1" ht="25.15" customHeight="1">
      <c r="A70" s="1">
        <f t="shared" si="13"/>
        <v>62</v>
      </c>
      <c r="B70" s="69"/>
      <c r="C70" s="248" t="s">
        <v>294</v>
      </c>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325">
        <f>DH58/6</f>
        <v>1174.1666666666667</v>
      </c>
      <c r="BC70" s="247"/>
      <c r="BD70" s="247"/>
      <c r="BE70" s="247"/>
      <c r="BF70" s="247"/>
      <c r="BG70" s="247"/>
      <c r="BH70" s="247"/>
      <c r="BI70" s="247"/>
      <c r="BJ70" s="247"/>
      <c r="BK70" s="247"/>
      <c r="BL70" s="247"/>
      <c r="BM70" s="247"/>
      <c r="BN70" s="247"/>
      <c r="BO70" s="247"/>
      <c r="BP70" s="247"/>
      <c r="BQ70" s="247"/>
      <c r="BR70" s="247"/>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73"/>
    </row>
    <row r="71" spans="1:133" s="47" customFormat="1" ht="25.15" customHeight="1">
      <c r="A71" s="1">
        <f t="shared" si="13"/>
        <v>63</v>
      </c>
      <c r="B71" s="69"/>
      <c r="C71" s="248" t="s">
        <v>294</v>
      </c>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325">
        <f>DH52/6</f>
        <v>2263</v>
      </c>
      <c r="BC71" s="247"/>
      <c r="BD71" s="247"/>
      <c r="BE71" s="247"/>
      <c r="BF71" s="247"/>
      <c r="BG71" s="247"/>
      <c r="BH71" s="247"/>
      <c r="BI71" s="247"/>
      <c r="BJ71" s="247"/>
      <c r="BK71" s="247"/>
      <c r="BL71" s="247"/>
      <c r="BM71" s="247"/>
      <c r="BN71" s="247"/>
      <c r="BO71" s="247"/>
      <c r="BP71" s="247"/>
      <c r="BQ71" s="247"/>
      <c r="BR71" s="247"/>
      <c r="BS71" s="107"/>
      <c r="BT71" s="107"/>
      <c r="BU71" s="107"/>
      <c r="BV71" s="101"/>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314"/>
      <c r="DM71" s="251"/>
      <c r="DN71" s="251"/>
      <c r="DO71" s="251"/>
      <c r="DP71" s="251"/>
      <c r="DQ71" s="251"/>
      <c r="DR71" s="251"/>
      <c r="DS71" s="251"/>
      <c r="DT71" s="251"/>
      <c r="DU71" s="251"/>
      <c r="DV71" s="251"/>
      <c r="DW71" s="251"/>
      <c r="DX71" s="251"/>
      <c r="DY71" s="251"/>
      <c r="DZ71" s="251"/>
      <c r="EA71" s="251"/>
      <c r="EB71" s="251"/>
      <c r="EC71" s="73"/>
    </row>
    <row r="72" spans="1:133" ht="25.15" customHeight="1">
      <c r="A72" s="133" t="e">
        <f>#REF!+1</f>
        <v>#REF!</v>
      </c>
      <c r="B72" s="69"/>
      <c r="C72" s="101"/>
      <c r="D72" s="86"/>
      <c r="E72" s="101"/>
      <c r="F72" s="101"/>
      <c r="G72" s="70"/>
      <c r="H72" s="107"/>
      <c r="I72" s="107"/>
      <c r="J72" s="107"/>
      <c r="K72" s="107"/>
      <c r="L72" s="105"/>
      <c r="M72" s="107"/>
      <c r="N72" s="101"/>
      <c r="O72" s="86"/>
      <c r="Q72" s="92"/>
      <c r="R72" s="107"/>
      <c r="S72" s="92"/>
      <c r="T72" s="92"/>
      <c r="U72" s="92"/>
      <c r="V72" s="107"/>
      <c r="W72" s="92"/>
      <c r="X72" s="92"/>
      <c r="Y72" s="92"/>
      <c r="Z72" s="107"/>
      <c r="AA72" s="92"/>
      <c r="AB72" s="92"/>
      <c r="AC72" s="92"/>
      <c r="AD72" s="107"/>
      <c r="AE72" s="92"/>
      <c r="AF72" s="92"/>
      <c r="AG72" s="107"/>
      <c r="AH72" s="101"/>
      <c r="AI72" s="105"/>
      <c r="AJ72" s="92"/>
      <c r="AK72" s="107"/>
      <c r="AL72" s="92"/>
      <c r="AM72" s="92"/>
      <c r="AN72" s="92"/>
      <c r="AO72" s="107"/>
      <c r="AP72" s="92"/>
      <c r="AQ72" s="92"/>
      <c r="AR72" s="92"/>
      <c r="AS72" s="107"/>
      <c r="AT72" s="92"/>
      <c r="AU72" s="92"/>
      <c r="AV72" s="92"/>
      <c r="AW72" s="107"/>
      <c r="AX72" s="92"/>
      <c r="AY72" s="92"/>
      <c r="AZ72" s="107"/>
      <c r="BA72" s="105"/>
      <c r="BB72" s="314"/>
      <c r="BC72" s="251"/>
      <c r="BD72" s="251"/>
      <c r="BE72" s="251"/>
      <c r="BF72" s="251"/>
      <c r="BG72" s="251"/>
      <c r="BH72" s="251"/>
      <c r="BI72" s="251"/>
      <c r="BJ72" s="251"/>
      <c r="BK72" s="251"/>
      <c r="BL72" s="251"/>
      <c r="BM72" s="251"/>
      <c r="BN72" s="251"/>
      <c r="BO72" s="251"/>
      <c r="BP72" s="251"/>
      <c r="BQ72" s="251"/>
      <c r="BR72" s="251"/>
      <c r="BS72" s="107"/>
      <c r="BT72" s="101"/>
      <c r="BU72" s="105"/>
      <c r="BV72" s="92"/>
      <c r="BW72" s="107"/>
      <c r="BX72" s="92"/>
      <c r="BY72" s="92"/>
      <c r="BZ72" s="92"/>
      <c r="CA72" s="107"/>
      <c r="CB72" s="92"/>
      <c r="CC72" s="92"/>
      <c r="CD72" s="92"/>
      <c r="CE72" s="107"/>
      <c r="CF72" s="92"/>
      <c r="CG72" s="92"/>
      <c r="CH72" s="92"/>
      <c r="CI72" s="107"/>
      <c r="CJ72" s="92"/>
      <c r="CK72" s="92"/>
      <c r="CL72" s="107"/>
      <c r="CM72" s="105"/>
      <c r="CN72" s="105"/>
      <c r="CO72" s="92"/>
      <c r="CP72" s="107"/>
      <c r="CQ72" s="92"/>
      <c r="CR72" s="92"/>
      <c r="CS72" s="92"/>
      <c r="CT72" s="107"/>
      <c r="CU72" s="92"/>
      <c r="CV72" s="92"/>
      <c r="CW72" s="92"/>
      <c r="CX72" s="107"/>
      <c r="CY72" s="92"/>
      <c r="CZ72" s="92"/>
      <c r="DA72" s="92"/>
      <c r="DB72" s="107"/>
      <c r="DC72" s="92"/>
      <c r="DD72" s="92"/>
      <c r="DE72" s="107"/>
      <c r="DF72" s="105"/>
      <c r="DG72" s="105"/>
      <c r="DH72" s="92"/>
      <c r="DI72" s="107"/>
      <c r="DJ72" s="92"/>
      <c r="DK72" s="92"/>
      <c r="DL72" s="92"/>
      <c r="DM72" s="107"/>
      <c r="DN72" s="92"/>
      <c r="DO72" s="92"/>
      <c r="DP72" s="92"/>
      <c r="DQ72" s="107"/>
      <c r="DR72" s="92"/>
      <c r="DS72" s="92"/>
      <c r="DT72" s="92"/>
      <c r="DU72" s="107"/>
      <c r="DV72" s="92"/>
      <c r="DW72" s="92"/>
      <c r="DX72" s="107"/>
      <c r="EC72" s="73"/>
    </row>
    <row r="73" spans="1:133" s="47" customFormat="1" ht="25.15" customHeight="1">
      <c r="A73" s="1" t="e">
        <f t="shared" ref="A73:A136" si="14">A72+1</f>
        <v>#REF!</v>
      </c>
      <c r="B73" s="69"/>
      <c r="C73" s="321" t="s">
        <v>272</v>
      </c>
      <c r="D73" s="321"/>
      <c r="E73" s="321"/>
      <c r="F73" s="321"/>
      <c r="G73" s="321"/>
      <c r="H73" s="321"/>
      <c r="I73" s="70"/>
      <c r="J73" s="105"/>
      <c r="K73" s="105"/>
      <c r="L73" s="105"/>
      <c r="M73" s="71"/>
      <c r="N73" s="71"/>
      <c r="O73" s="71"/>
      <c r="P73" s="71"/>
      <c r="Q73" s="92"/>
      <c r="R73" s="107"/>
      <c r="S73" s="92"/>
      <c r="T73" s="92"/>
      <c r="U73" s="92"/>
      <c r="V73" s="107"/>
      <c r="W73" s="92"/>
      <c r="X73" s="92"/>
      <c r="Y73" s="92"/>
      <c r="Z73" s="107"/>
      <c r="AA73" s="92"/>
      <c r="AB73" s="92"/>
      <c r="AC73" s="92"/>
      <c r="AD73" s="107"/>
      <c r="AE73" s="92"/>
      <c r="AF73" s="92"/>
      <c r="AG73" s="107"/>
      <c r="AH73" s="104"/>
      <c r="AI73" s="104"/>
      <c r="AJ73" s="92"/>
      <c r="AK73" s="107"/>
      <c r="AL73" s="92"/>
      <c r="AM73" s="92"/>
      <c r="AN73" s="92"/>
      <c r="AO73" s="107"/>
      <c r="AP73" s="92"/>
      <c r="AQ73" s="92"/>
      <c r="AR73" s="92"/>
      <c r="AS73" s="107"/>
      <c r="AT73" s="92"/>
      <c r="AU73" s="92"/>
      <c r="AV73" s="92"/>
      <c r="AW73" s="107"/>
      <c r="AX73" s="92"/>
      <c r="AY73" s="92"/>
      <c r="AZ73" s="107"/>
      <c r="BA73" s="71"/>
      <c r="BB73" s="71"/>
      <c r="BC73" s="92"/>
      <c r="BD73" s="107"/>
      <c r="BE73" s="92"/>
      <c r="BF73" s="92"/>
      <c r="BG73" s="92"/>
      <c r="BH73" s="107"/>
      <c r="BI73" s="92"/>
      <c r="BJ73" s="92"/>
      <c r="BK73" s="92"/>
      <c r="BL73" s="243" t="s">
        <v>297</v>
      </c>
      <c r="BM73" s="244"/>
      <c r="BN73" s="244"/>
      <c r="BO73" s="244"/>
      <c r="BP73" s="244"/>
      <c r="BQ73" s="244"/>
      <c r="BR73" s="244"/>
      <c r="BS73" s="107"/>
      <c r="BT73" s="104"/>
      <c r="BU73" s="72"/>
      <c r="BV73" s="92"/>
      <c r="BW73" s="107"/>
      <c r="BX73" s="92"/>
      <c r="BY73" s="92"/>
      <c r="BZ73" s="92"/>
      <c r="CA73" s="107"/>
      <c r="CB73" s="92"/>
      <c r="CC73" s="92"/>
      <c r="CD73" s="92"/>
      <c r="CE73" s="107"/>
      <c r="CF73" s="92"/>
      <c r="CG73" s="92"/>
      <c r="CH73" s="92"/>
      <c r="CI73" s="107"/>
      <c r="CJ73" s="92"/>
      <c r="CK73" s="92"/>
      <c r="CL73" s="107"/>
      <c r="CM73" s="74"/>
      <c r="CN73" s="70"/>
      <c r="CO73" s="92"/>
      <c r="CP73" s="107"/>
      <c r="CQ73" s="92"/>
      <c r="CR73" s="92"/>
      <c r="CS73" s="92"/>
      <c r="CT73" s="107"/>
      <c r="CU73" s="92"/>
      <c r="CV73" s="92"/>
      <c r="CW73" s="92"/>
      <c r="CX73" s="107"/>
      <c r="CY73" s="92"/>
      <c r="CZ73" s="92"/>
      <c r="DA73" s="92"/>
      <c r="DB73" s="107"/>
      <c r="DC73" s="92"/>
      <c r="DD73" s="92"/>
      <c r="DE73" s="107"/>
      <c r="DF73" s="104"/>
      <c r="DG73" s="104"/>
      <c r="DH73" s="92"/>
      <c r="DI73" s="107"/>
      <c r="DJ73" s="92"/>
      <c r="DK73" s="92"/>
      <c r="DL73" s="92"/>
      <c r="DM73" s="107"/>
      <c r="DN73" s="92"/>
      <c r="DO73" s="92"/>
      <c r="DP73" s="92"/>
      <c r="DQ73" s="107"/>
      <c r="DR73" s="92"/>
      <c r="DS73" s="92"/>
      <c r="DT73" s="92"/>
      <c r="DU73" s="107"/>
      <c r="DV73" s="92"/>
      <c r="DW73" s="92"/>
      <c r="DX73" s="107"/>
      <c r="DY73" s="104"/>
      <c r="DZ73" s="104"/>
      <c r="EA73" s="104"/>
      <c r="EB73" s="104"/>
      <c r="EC73" s="73"/>
    </row>
    <row r="74" spans="1:133" ht="25.15" customHeight="1" thickBot="1">
      <c r="A74" s="133" t="e">
        <f t="shared" si="14"/>
        <v>#REF!</v>
      </c>
      <c r="B74" s="75"/>
      <c r="C74" s="129"/>
      <c r="D74" s="129"/>
      <c r="E74" s="129"/>
      <c r="F74" s="129"/>
      <c r="G74" s="129"/>
      <c r="H74" s="129"/>
      <c r="I74" s="88"/>
      <c r="J74" s="88"/>
      <c r="K74" s="88"/>
      <c r="L74" s="88"/>
      <c r="M74" s="76"/>
      <c r="N74" s="76"/>
      <c r="O74" s="76"/>
      <c r="P74" s="76"/>
      <c r="Q74" s="88"/>
      <c r="R74" s="88"/>
      <c r="S74" s="112"/>
      <c r="T74" s="112"/>
      <c r="U74" s="87"/>
      <c r="V74" s="88"/>
      <c r="W74" s="87"/>
      <c r="X74" s="88"/>
      <c r="Y74" s="87"/>
      <c r="Z74" s="88"/>
      <c r="AA74" s="87"/>
      <c r="AB74" s="88"/>
      <c r="AC74" s="112"/>
      <c r="AD74" s="112"/>
      <c r="AE74" s="112"/>
      <c r="AF74" s="112"/>
      <c r="AG74" s="112"/>
      <c r="AH74" s="112"/>
      <c r="AI74" s="112"/>
      <c r="AJ74" s="112"/>
      <c r="AK74" s="112"/>
      <c r="AL74" s="112"/>
      <c r="AM74" s="112"/>
      <c r="AN74" s="112"/>
      <c r="AO74" s="76"/>
      <c r="AP74" s="76"/>
      <c r="AQ74" s="76"/>
      <c r="AR74" s="76"/>
      <c r="AS74" s="76"/>
      <c r="AT74" s="76"/>
      <c r="AU74" s="76"/>
      <c r="AV74" s="89"/>
      <c r="AW74" s="90"/>
      <c r="AX74" s="90"/>
      <c r="AY74" s="76"/>
      <c r="AZ74" s="76"/>
      <c r="BA74" s="76"/>
      <c r="BB74" s="76"/>
      <c r="BC74" s="76"/>
      <c r="BD74" s="76"/>
      <c r="BE74" s="76"/>
      <c r="BF74" s="76"/>
      <c r="BG74" s="76"/>
      <c r="BH74" s="76"/>
      <c r="BI74" s="76"/>
      <c r="BJ74" s="76"/>
      <c r="BK74" s="112"/>
      <c r="BL74" s="112"/>
      <c r="BM74" s="112"/>
      <c r="BN74" s="112"/>
      <c r="BO74" s="112"/>
      <c r="BP74" s="112"/>
      <c r="BQ74" s="112"/>
      <c r="BR74" s="112"/>
      <c r="BS74" s="90"/>
      <c r="BT74" s="76"/>
      <c r="BU74" s="88"/>
      <c r="BV74" s="88"/>
      <c r="BW74" s="88"/>
      <c r="BX74" s="88"/>
      <c r="BY74" s="88"/>
      <c r="BZ74" s="88"/>
      <c r="CA74" s="88"/>
      <c r="CB74" s="88"/>
      <c r="CC74" s="76"/>
      <c r="CD74" s="76"/>
      <c r="CE74" s="112"/>
      <c r="CF74" s="112"/>
      <c r="CG74" s="88"/>
      <c r="CH74" s="88"/>
      <c r="CI74" s="112"/>
      <c r="CJ74" s="112"/>
      <c r="CK74" s="87"/>
      <c r="CL74" s="88"/>
      <c r="CM74" s="87"/>
      <c r="CN74" s="88"/>
      <c r="CO74" s="87"/>
      <c r="CP74" s="88"/>
      <c r="CQ74" s="87"/>
      <c r="CR74" s="88"/>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77"/>
    </row>
    <row r="75" spans="1:133" ht="25.15" customHeight="1">
      <c r="A75" s="133">
        <v>0</v>
      </c>
      <c r="B75" s="104" t="s">
        <v>24</v>
      </c>
      <c r="C75" s="104" t="s">
        <v>24</v>
      </c>
      <c r="D75" s="104" t="s">
        <v>24</v>
      </c>
      <c r="E75" s="104" t="s">
        <v>24</v>
      </c>
      <c r="F75" s="104" t="s">
        <v>24</v>
      </c>
      <c r="G75" s="104" t="s">
        <v>24</v>
      </c>
      <c r="H75" s="104" t="s">
        <v>24</v>
      </c>
      <c r="I75" s="104" t="s">
        <v>24</v>
      </c>
      <c r="J75" s="104" t="s">
        <v>24</v>
      </c>
      <c r="K75" s="104">
        <v>1</v>
      </c>
      <c r="L75" s="104" t="s">
        <v>24</v>
      </c>
      <c r="M75" s="104" t="s">
        <v>24</v>
      </c>
      <c r="N75" s="104" t="s">
        <v>24</v>
      </c>
      <c r="O75" s="104" t="s">
        <v>24</v>
      </c>
      <c r="P75" s="104" t="s">
        <v>24</v>
      </c>
      <c r="Q75" s="104" t="s">
        <v>24</v>
      </c>
      <c r="R75" s="104" t="s">
        <v>24</v>
      </c>
      <c r="S75" s="104" t="s">
        <v>24</v>
      </c>
      <c r="T75" s="104" t="s">
        <v>24</v>
      </c>
      <c r="U75" s="104">
        <v>2</v>
      </c>
      <c r="V75" s="104" t="s">
        <v>24</v>
      </c>
      <c r="W75" s="104" t="s">
        <v>24</v>
      </c>
      <c r="X75" s="104" t="s">
        <v>24</v>
      </c>
      <c r="Y75" s="104" t="s">
        <v>24</v>
      </c>
      <c r="Z75" s="104" t="s">
        <v>24</v>
      </c>
      <c r="AA75" s="104" t="s">
        <v>24</v>
      </c>
      <c r="AB75" s="104" t="s">
        <v>24</v>
      </c>
      <c r="AC75" s="104" t="s">
        <v>24</v>
      </c>
      <c r="AD75" s="104" t="s">
        <v>24</v>
      </c>
      <c r="AE75" s="104">
        <v>3</v>
      </c>
      <c r="AF75" s="104" t="s">
        <v>24</v>
      </c>
      <c r="AG75" s="104" t="s">
        <v>24</v>
      </c>
      <c r="AH75" s="104" t="s">
        <v>24</v>
      </c>
      <c r="AI75" s="104" t="s">
        <v>24</v>
      </c>
      <c r="AJ75" s="104" t="s">
        <v>24</v>
      </c>
      <c r="AK75" s="104" t="s">
        <v>24</v>
      </c>
      <c r="AL75" s="104" t="s">
        <v>24</v>
      </c>
      <c r="AM75" s="104" t="s">
        <v>24</v>
      </c>
      <c r="AN75" s="104" t="s">
        <v>24</v>
      </c>
      <c r="AO75" s="104">
        <v>4</v>
      </c>
      <c r="AP75" s="104" t="s">
        <v>24</v>
      </c>
      <c r="AQ75" s="104" t="s">
        <v>24</v>
      </c>
      <c r="AR75" s="104" t="s">
        <v>24</v>
      </c>
      <c r="AS75" s="104" t="s">
        <v>24</v>
      </c>
      <c r="AT75" s="104" t="s">
        <v>24</v>
      </c>
      <c r="AU75" s="104" t="s">
        <v>24</v>
      </c>
      <c r="AV75" s="104" t="s">
        <v>24</v>
      </c>
      <c r="AW75" s="104" t="s">
        <v>24</v>
      </c>
      <c r="AX75" s="104" t="s">
        <v>24</v>
      </c>
      <c r="AY75" s="104">
        <v>5</v>
      </c>
      <c r="AZ75" s="104" t="s">
        <v>24</v>
      </c>
      <c r="BA75" s="104" t="s">
        <v>24</v>
      </c>
      <c r="BB75" s="104" t="s">
        <v>24</v>
      </c>
      <c r="BC75" s="104" t="s">
        <v>24</v>
      </c>
      <c r="BD75" s="104" t="s">
        <v>24</v>
      </c>
      <c r="BE75" s="104" t="s">
        <v>24</v>
      </c>
      <c r="BF75" s="104" t="s">
        <v>24</v>
      </c>
      <c r="BG75" s="104" t="s">
        <v>24</v>
      </c>
      <c r="BH75" s="104" t="s">
        <v>24</v>
      </c>
      <c r="BI75" s="104">
        <v>6</v>
      </c>
      <c r="BJ75" s="104" t="s">
        <v>24</v>
      </c>
      <c r="BK75" s="104" t="s">
        <v>24</v>
      </c>
      <c r="BL75" s="104" t="s">
        <v>24</v>
      </c>
      <c r="BM75" s="104" t="s">
        <v>24</v>
      </c>
      <c r="BN75" s="104" t="s">
        <v>24</v>
      </c>
      <c r="BO75" s="104" t="s">
        <v>24</v>
      </c>
      <c r="BP75" s="104" t="s">
        <v>24</v>
      </c>
      <c r="BQ75" s="104" t="s">
        <v>24</v>
      </c>
      <c r="BR75" s="104" t="s">
        <v>24</v>
      </c>
      <c r="BS75" s="104">
        <v>7</v>
      </c>
      <c r="BT75" s="104" t="s">
        <v>24</v>
      </c>
      <c r="BU75" s="104" t="s">
        <v>24</v>
      </c>
      <c r="BV75" s="104" t="s">
        <v>24</v>
      </c>
      <c r="BW75" s="104" t="s">
        <v>24</v>
      </c>
      <c r="BX75" s="104" t="s">
        <v>24</v>
      </c>
      <c r="BY75" s="104" t="s">
        <v>24</v>
      </c>
      <c r="BZ75" s="104" t="s">
        <v>24</v>
      </c>
      <c r="CA75" s="104" t="s">
        <v>24</v>
      </c>
      <c r="CB75" s="104" t="s">
        <v>24</v>
      </c>
      <c r="CC75" s="104">
        <v>8</v>
      </c>
      <c r="CD75" s="104" t="s">
        <v>24</v>
      </c>
      <c r="CE75" s="104" t="s">
        <v>24</v>
      </c>
      <c r="CF75" s="104" t="s">
        <v>24</v>
      </c>
      <c r="CG75" s="104" t="s">
        <v>24</v>
      </c>
      <c r="CH75" s="104" t="s">
        <v>24</v>
      </c>
      <c r="CI75" s="104" t="s">
        <v>24</v>
      </c>
      <c r="CJ75" s="104" t="s">
        <v>24</v>
      </c>
      <c r="CK75" s="104" t="s">
        <v>24</v>
      </c>
      <c r="CL75" s="104" t="s">
        <v>24</v>
      </c>
      <c r="CM75" s="104">
        <v>9</v>
      </c>
      <c r="CN75" s="104" t="s">
        <v>24</v>
      </c>
      <c r="CO75" s="104" t="s">
        <v>24</v>
      </c>
      <c r="CP75" s="104" t="s">
        <v>24</v>
      </c>
      <c r="CQ75" s="104" t="s">
        <v>24</v>
      </c>
      <c r="CR75" s="104" t="s">
        <v>24</v>
      </c>
      <c r="CS75" s="104" t="s">
        <v>24</v>
      </c>
      <c r="CT75" s="104" t="s">
        <v>24</v>
      </c>
      <c r="CU75" s="104" t="s">
        <v>24</v>
      </c>
      <c r="CV75" s="104" t="s">
        <v>24</v>
      </c>
      <c r="CW75" s="104">
        <v>0</v>
      </c>
      <c r="CX75" s="104" t="s">
        <v>24</v>
      </c>
      <c r="CY75" s="104" t="s">
        <v>24</v>
      </c>
      <c r="CZ75" s="104" t="s">
        <v>24</v>
      </c>
      <c r="DA75" s="104" t="s">
        <v>24</v>
      </c>
      <c r="DB75" s="104" t="s">
        <v>24</v>
      </c>
      <c r="DC75" s="104" t="s">
        <v>24</v>
      </c>
      <c r="DD75" s="104" t="s">
        <v>24</v>
      </c>
      <c r="DE75" s="104" t="s">
        <v>24</v>
      </c>
      <c r="DF75" s="104" t="s">
        <v>24</v>
      </c>
      <c r="DG75" s="104">
        <v>1</v>
      </c>
      <c r="DH75" s="104" t="s">
        <v>24</v>
      </c>
      <c r="DI75" s="104" t="s">
        <v>24</v>
      </c>
      <c r="DJ75" s="104" t="s">
        <v>24</v>
      </c>
      <c r="DK75" s="104" t="s">
        <v>24</v>
      </c>
      <c r="DL75" s="104" t="s">
        <v>24</v>
      </c>
      <c r="DM75" s="104" t="s">
        <v>24</v>
      </c>
      <c r="DN75" s="104" t="s">
        <v>24</v>
      </c>
      <c r="DO75" s="104" t="s">
        <v>24</v>
      </c>
      <c r="DP75" s="104" t="s">
        <v>24</v>
      </c>
      <c r="DQ75" s="104">
        <v>2</v>
      </c>
      <c r="DR75" s="104" t="s">
        <v>24</v>
      </c>
      <c r="DS75" s="104" t="s">
        <v>24</v>
      </c>
      <c r="DT75" s="104" t="s">
        <v>24</v>
      </c>
      <c r="DU75" s="104" t="s">
        <v>24</v>
      </c>
      <c r="DV75" s="104" t="s">
        <v>24</v>
      </c>
      <c r="DW75" s="104" t="s">
        <v>24</v>
      </c>
      <c r="DX75" s="104" t="s">
        <v>24</v>
      </c>
      <c r="DY75" s="104" t="s">
        <v>24</v>
      </c>
      <c r="DZ75" s="104" t="s">
        <v>24</v>
      </c>
      <c r="EA75" s="104">
        <v>3</v>
      </c>
      <c r="EB75" s="104" t="s">
        <v>24</v>
      </c>
      <c r="EC75" s="134" t="s">
        <v>24</v>
      </c>
    </row>
    <row r="76" spans="1:133" ht="25.15" customHeight="1">
      <c r="A76" s="133">
        <v>0</v>
      </c>
      <c r="B76" s="104">
        <f t="shared" ref="B76:J76" si="15">(A76+1)</f>
        <v>1</v>
      </c>
      <c r="C76" s="104">
        <f t="shared" si="15"/>
        <v>2</v>
      </c>
      <c r="D76" s="104">
        <f t="shared" si="15"/>
        <v>3</v>
      </c>
      <c r="E76" s="104">
        <f t="shared" si="15"/>
        <v>4</v>
      </c>
      <c r="F76" s="104">
        <f t="shared" si="15"/>
        <v>5</v>
      </c>
      <c r="G76" s="104">
        <f t="shared" si="15"/>
        <v>6</v>
      </c>
      <c r="H76" s="104">
        <f t="shared" si="15"/>
        <v>7</v>
      </c>
      <c r="I76" s="104">
        <f t="shared" si="15"/>
        <v>8</v>
      </c>
      <c r="J76" s="104">
        <f t="shared" si="15"/>
        <v>9</v>
      </c>
      <c r="K76" s="104">
        <v>0</v>
      </c>
      <c r="L76" s="104">
        <f t="shared" ref="L76:T76" si="16">(K76+1)</f>
        <v>1</v>
      </c>
      <c r="M76" s="104">
        <f t="shared" si="16"/>
        <v>2</v>
      </c>
      <c r="N76" s="104">
        <f t="shared" si="16"/>
        <v>3</v>
      </c>
      <c r="O76" s="104">
        <f t="shared" si="16"/>
        <v>4</v>
      </c>
      <c r="P76" s="104">
        <f t="shared" si="16"/>
        <v>5</v>
      </c>
      <c r="Q76" s="104">
        <f t="shared" si="16"/>
        <v>6</v>
      </c>
      <c r="R76" s="104">
        <f t="shared" si="16"/>
        <v>7</v>
      </c>
      <c r="S76" s="104">
        <f t="shared" si="16"/>
        <v>8</v>
      </c>
      <c r="T76" s="104">
        <f t="shared" si="16"/>
        <v>9</v>
      </c>
      <c r="U76" s="104">
        <v>0</v>
      </c>
      <c r="V76" s="104">
        <f t="shared" ref="V76:AD76" si="17">(U76+1)</f>
        <v>1</v>
      </c>
      <c r="W76" s="104">
        <f t="shared" si="17"/>
        <v>2</v>
      </c>
      <c r="X76" s="104">
        <f t="shared" si="17"/>
        <v>3</v>
      </c>
      <c r="Y76" s="104">
        <f t="shared" si="17"/>
        <v>4</v>
      </c>
      <c r="Z76" s="104">
        <f t="shared" si="17"/>
        <v>5</v>
      </c>
      <c r="AA76" s="104">
        <f t="shared" si="17"/>
        <v>6</v>
      </c>
      <c r="AB76" s="104">
        <f t="shared" si="17"/>
        <v>7</v>
      </c>
      <c r="AC76" s="104">
        <f t="shared" si="17"/>
        <v>8</v>
      </c>
      <c r="AD76" s="104">
        <f t="shared" si="17"/>
        <v>9</v>
      </c>
      <c r="AE76" s="104">
        <v>0</v>
      </c>
      <c r="AF76" s="104">
        <f t="shared" ref="AF76:AN76" si="18">(AE76+1)</f>
        <v>1</v>
      </c>
      <c r="AG76" s="104">
        <f t="shared" si="18"/>
        <v>2</v>
      </c>
      <c r="AH76" s="104">
        <f t="shared" si="18"/>
        <v>3</v>
      </c>
      <c r="AI76" s="104">
        <f t="shared" si="18"/>
        <v>4</v>
      </c>
      <c r="AJ76" s="104">
        <f t="shared" si="18"/>
        <v>5</v>
      </c>
      <c r="AK76" s="104">
        <f t="shared" si="18"/>
        <v>6</v>
      </c>
      <c r="AL76" s="104">
        <f t="shared" si="18"/>
        <v>7</v>
      </c>
      <c r="AM76" s="104">
        <f t="shared" si="18"/>
        <v>8</v>
      </c>
      <c r="AN76" s="104">
        <f t="shared" si="18"/>
        <v>9</v>
      </c>
      <c r="AO76" s="104">
        <v>0</v>
      </c>
      <c r="AP76" s="104">
        <f t="shared" ref="AP76:AX76" si="19">(AO76+1)</f>
        <v>1</v>
      </c>
      <c r="AQ76" s="104">
        <f t="shared" si="19"/>
        <v>2</v>
      </c>
      <c r="AR76" s="104">
        <f t="shared" si="19"/>
        <v>3</v>
      </c>
      <c r="AS76" s="104">
        <f t="shared" si="19"/>
        <v>4</v>
      </c>
      <c r="AT76" s="104">
        <f t="shared" si="19"/>
        <v>5</v>
      </c>
      <c r="AU76" s="104">
        <f t="shared" si="19"/>
        <v>6</v>
      </c>
      <c r="AV76" s="104">
        <f t="shared" si="19"/>
        <v>7</v>
      </c>
      <c r="AW76" s="104">
        <f t="shared" si="19"/>
        <v>8</v>
      </c>
      <c r="AX76" s="104">
        <f t="shared" si="19"/>
        <v>9</v>
      </c>
      <c r="AY76" s="104">
        <v>0</v>
      </c>
      <c r="AZ76" s="104">
        <f t="shared" ref="AZ76:BH76" si="20">(AY76+1)</f>
        <v>1</v>
      </c>
      <c r="BA76" s="104">
        <f t="shared" si="20"/>
        <v>2</v>
      </c>
      <c r="BB76" s="104">
        <f t="shared" si="20"/>
        <v>3</v>
      </c>
      <c r="BC76" s="104">
        <f t="shared" si="20"/>
        <v>4</v>
      </c>
      <c r="BD76" s="104">
        <f t="shared" si="20"/>
        <v>5</v>
      </c>
      <c r="BE76" s="104">
        <f t="shared" si="20"/>
        <v>6</v>
      </c>
      <c r="BF76" s="104">
        <f t="shared" si="20"/>
        <v>7</v>
      </c>
      <c r="BG76" s="104">
        <f t="shared" si="20"/>
        <v>8</v>
      </c>
      <c r="BH76" s="104">
        <f t="shared" si="20"/>
        <v>9</v>
      </c>
      <c r="BI76" s="104">
        <v>0</v>
      </c>
      <c r="BJ76" s="104">
        <f t="shared" ref="BJ76:BR76" si="21">(BI76+1)</f>
        <v>1</v>
      </c>
      <c r="BK76" s="104">
        <f t="shared" si="21"/>
        <v>2</v>
      </c>
      <c r="BL76" s="104">
        <f t="shared" si="21"/>
        <v>3</v>
      </c>
      <c r="BM76" s="104">
        <f t="shared" si="21"/>
        <v>4</v>
      </c>
      <c r="BN76" s="104">
        <f t="shared" si="21"/>
        <v>5</v>
      </c>
      <c r="BO76" s="104">
        <f t="shared" si="21"/>
        <v>6</v>
      </c>
      <c r="BP76" s="104">
        <f t="shared" si="21"/>
        <v>7</v>
      </c>
      <c r="BQ76" s="104">
        <f t="shared" si="21"/>
        <v>8</v>
      </c>
      <c r="BR76" s="104">
        <f t="shared" si="21"/>
        <v>9</v>
      </c>
      <c r="BS76" s="104">
        <v>0</v>
      </c>
      <c r="BT76" s="104">
        <f t="shared" ref="BT76:CB76" si="22">(BS76+1)</f>
        <v>1</v>
      </c>
      <c r="BU76" s="104">
        <f t="shared" si="22"/>
        <v>2</v>
      </c>
      <c r="BV76" s="104">
        <f t="shared" si="22"/>
        <v>3</v>
      </c>
      <c r="BW76" s="104">
        <f t="shared" si="22"/>
        <v>4</v>
      </c>
      <c r="BX76" s="104">
        <f t="shared" si="22"/>
        <v>5</v>
      </c>
      <c r="BY76" s="104">
        <f t="shared" si="22"/>
        <v>6</v>
      </c>
      <c r="BZ76" s="104">
        <f t="shared" si="22"/>
        <v>7</v>
      </c>
      <c r="CA76" s="104">
        <f t="shared" si="22"/>
        <v>8</v>
      </c>
      <c r="CB76" s="104">
        <f t="shared" si="22"/>
        <v>9</v>
      </c>
      <c r="CC76" s="104">
        <v>0</v>
      </c>
      <c r="CD76" s="104">
        <f t="shared" ref="CD76:CL76" si="23">(CC76+1)</f>
        <v>1</v>
      </c>
      <c r="CE76" s="104">
        <f t="shared" si="23"/>
        <v>2</v>
      </c>
      <c r="CF76" s="104">
        <f t="shared" si="23"/>
        <v>3</v>
      </c>
      <c r="CG76" s="104">
        <f t="shared" si="23"/>
        <v>4</v>
      </c>
      <c r="CH76" s="104">
        <f t="shared" si="23"/>
        <v>5</v>
      </c>
      <c r="CI76" s="104">
        <f t="shared" si="23"/>
        <v>6</v>
      </c>
      <c r="CJ76" s="104">
        <f t="shared" si="23"/>
        <v>7</v>
      </c>
      <c r="CK76" s="104">
        <f t="shared" si="23"/>
        <v>8</v>
      </c>
      <c r="CL76" s="104">
        <f t="shared" si="23"/>
        <v>9</v>
      </c>
      <c r="CM76" s="104">
        <v>0</v>
      </c>
      <c r="CN76" s="104">
        <f t="shared" ref="CN76:CV76" si="24">(CM76+1)</f>
        <v>1</v>
      </c>
      <c r="CO76" s="104">
        <f t="shared" si="24"/>
        <v>2</v>
      </c>
      <c r="CP76" s="104">
        <f t="shared" si="24"/>
        <v>3</v>
      </c>
      <c r="CQ76" s="104">
        <f t="shared" si="24"/>
        <v>4</v>
      </c>
      <c r="CR76" s="104">
        <f t="shared" si="24"/>
        <v>5</v>
      </c>
      <c r="CS76" s="104">
        <f t="shared" si="24"/>
        <v>6</v>
      </c>
      <c r="CT76" s="104">
        <f t="shared" si="24"/>
        <v>7</v>
      </c>
      <c r="CU76" s="104">
        <f t="shared" si="24"/>
        <v>8</v>
      </c>
      <c r="CV76" s="104">
        <f t="shared" si="24"/>
        <v>9</v>
      </c>
      <c r="CW76" s="104">
        <v>0</v>
      </c>
      <c r="CX76" s="104">
        <f t="shared" ref="CX76:DF76" si="25">(CW76+1)</f>
        <v>1</v>
      </c>
      <c r="CY76" s="104">
        <f t="shared" si="25"/>
        <v>2</v>
      </c>
      <c r="CZ76" s="104">
        <f t="shared" si="25"/>
        <v>3</v>
      </c>
      <c r="DA76" s="104">
        <f t="shared" si="25"/>
        <v>4</v>
      </c>
      <c r="DB76" s="104">
        <f t="shared" si="25"/>
        <v>5</v>
      </c>
      <c r="DC76" s="104">
        <f t="shared" si="25"/>
        <v>6</v>
      </c>
      <c r="DD76" s="104">
        <f t="shared" si="25"/>
        <v>7</v>
      </c>
      <c r="DE76" s="104">
        <f t="shared" si="25"/>
        <v>8</v>
      </c>
      <c r="DF76" s="104">
        <f t="shared" si="25"/>
        <v>9</v>
      </c>
      <c r="DG76" s="104">
        <v>0</v>
      </c>
      <c r="DH76" s="104">
        <f t="shared" ref="DH76:DP76" si="26">(DG76+1)</f>
        <v>1</v>
      </c>
      <c r="DI76" s="104">
        <f t="shared" si="26"/>
        <v>2</v>
      </c>
      <c r="DJ76" s="104">
        <f t="shared" si="26"/>
        <v>3</v>
      </c>
      <c r="DK76" s="135">
        <f t="shared" si="26"/>
        <v>4</v>
      </c>
      <c r="DL76" s="135">
        <f t="shared" si="26"/>
        <v>5</v>
      </c>
      <c r="DM76" s="135">
        <f t="shared" si="26"/>
        <v>6</v>
      </c>
      <c r="DN76" s="135">
        <f t="shared" si="26"/>
        <v>7</v>
      </c>
      <c r="DO76" s="135">
        <f t="shared" si="26"/>
        <v>8</v>
      </c>
      <c r="DP76" s="135">
        <f t="shared" si="26"/>
        <v>9</v>
      </c>
      <c r="DQ76" s="135">
        <v>0</v>
      </c>
      <c r="DR76" s="135">
        <f t="shared" ref="DR76:DZ76" si="27">(DQ76+1)</f>
        <v>1</v>
      </c>
      <c r="DS76" s="135">
        <f t="shared" si="27"/>
        <v>2</v>
      </c>
      <c r="DT76" s="135">
        <f t="shared" si="27"/>
        <v>3</v>
      </c>
      <c r="DU76" s="135">
        <f t="shared" si="27"/>
        <v>4</v>
      </c>
      <c r="DV76" s="104">
        <f t="shared" si="27"/>
        <v>5</v>
      </c>
      <c r="DW76" s="104">
        <f t="shared" si="27"/>
        <v>6</v>
      </c>
      <c r="DX76" s="104">
        <f t="shared" si="27"/>
        <v>7</v>
      </c>
      <c r="DY76" s="104">
        <f t="shared" si="27"/>
        <v>8</v>
      </c>
      <c r="DZ76" s="104">
        <f t="shared" si="27"/>
        <v>9</v>
      </c>
      <c r="EA76" s="104">
        <v>0</v>
      </c>
      <c r="EB76" s="104">
        <f>(EA76+1)</f>
        <v>1</v>
      </c>
      <c r="EC76" s="134">
        <f>(EB76+1)</f>
        <v>2</v>
      </c>
    </row>
    <row r="77" spans="1:133" ht="25.15" customHeight="1">
      <c r="A77" s="133">
        <f t="shared" si="14"/>
        <v>1</v>
      </c>
      <c r="B77" s="91"/>
      <c r="C77" s="93"/>
      <c r="D77" s="93"/>
      <c r="E77" s="93"/>
      <c r="F77" s="93"/>
      <c r="G77" s="93"/>
      <c r="H77" s="93"/>
      <c r="I77" s="93"/>
      <c r="J77" s="93"/>
      <c r="K77" s="93"/>
      <c r="L77" s="93"/>
      <c r="M77" s="93"/>
      <c r="N77" s="93"/>
      <c r="O77" s="93"/>
      <c r="P77" s="93"/>
      <c r="Q77" s="93"/>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262"/>
      <c r="BD77" s="262"/>
      <c r="BE77" s="261"/>
      <c r="BF77" s="261"/>
      <c r="BG77" s="262"/>
      <c r="BH77" s="262"/>
      <c r="BI77" s="261"/>
      <c r="BJ77" s="261"/>
      <c r="BK77" s="262"/>
      <c r="BL77" s="262"/>
      <c r="BM77" s="261"/>
      <c r="BN77" s="261"/>
      <c r="BO77" s="262"/>
      <c r="BP77" s="262"/>
      <c r="BQ77" s="261"/>
      <c r="BR77" s="261"/>
      <c r="BS77" s="262"/>
      <c r="BT77" s="262"/>
      <c r="BU77" s="95"/>
      <c r="BV77" s="95"/>
      <c r="BW77" s="96"/>
      <c r="BX77" s="96"/>
      <c r="BY77" s="95"/>
      <c r="BZ77" s="95"/>
      <c r="CA77" s="262"/>
      <c r="CB77" s="262"/>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5"/>
      <c r="DE77" s="95"/>
      <c r="DF77" s="95"/>
      <c r="DG77" s="95"/>
      <c r="DH77" s="95"/>
      <c r="DI77" s="95"/>
      <c r="DJ77" s="93"/>
      <c r="DK77" s="92"/>
      <c r="DL77" s="92"/>
      <c r="DM77" s="98"/>
      <c r="DN77" s="98"/>
      <c r="DO77" s="92"/>
      <c r="DP77" s="92"/>
      <c r="DQ77" s="92"/>
      <c r="DR77" s="99"/>
      <c r="DS77" s="285"/>
      <c r="DT77" s="285"/>
      <c r="DU77" s="101"/>
      <c r="DV77" s="94"/>
      <c r="DW77" s="94"/>
      <c r="DX77" s="94"/>
      <c r="DY77" s="94"/>
      <c r="DZ77" s="93"/>
      <c r="EA77" s="93"/>
      <c r="EB77" s="67"/>
      <c r="EC77" s="68"/>
    </row>
    <row r="78" spans="1:133" ht="25.15" customHeight="1">
      <c r="A78" s="133">
        <f>A99+1</f>
        <v>2</v>
      </c>
      <c r="B78" s="100"/>
      <c r="C78" s="255" t="s">
        <v>245</v>
      </c>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105"/>
      <c r="BT78" s="92"/>
      <c r="BU78" s="72"/>
      <c r="BV78" s="92"/>
      <c r="BW78" s="255" t="s">
        <v>246</v>
      </c>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c r="DM78" s="255"/>
      <c r="DN78" s="255"/>
      <c r="DO78" s="255"/>
      <c r="DP78" s="255"/>
      <c r="DQ78" s="255"/>
      <c r="DR78" s="255"/>
      <c r="DS78" s="255"/>
      <c r="DT78" s="255"/>
      <c r="DU78" s="255"/>
      <c r="DV78" s="255"/>
      <c r="DW78" s="255"/>
      <c r="DX78" s="255"/>
      <c r="DY78" s="255"/>
      <c r="DZ78" s="255"/>
      <c r="EA78" s="255"/>
      <c r="EB78" s="255"/>
      <c r="EC78" s="73"/>
    </row>
    <row r="79" spans="1:133" ht="25.15" customHeight="1">
      <c r="A79" s="133">
        <f t="shared" si="14"/>
        <v>3</v>
      </c>
      <c r="B79" s="100"/>
      <c r="C79" s="323" t="s">
        <v>244</v>
      </c>
      <c r="D79" s="323"/>
      <c r="E79" s="323"/>
      <c r="F79" s="323"/>
      <c r="G79" s="323"/>
      <c r="H79" s="323"/>
      <c r="I79" s="323"/>
      <c r="J79" s="323"/>
      <c r="K79" s="323"/>
      <c r="L79" s="323"/>
      <c r="M79" s="323"/>
      <c r="N79" s="323"/>
      <c r="O79" s="323"/>
      <c r="P79" s="323"/>
      <c r="Q79" s="323"/>
      <c r="R79" s="323"/>
      <c r="S79" s="323"/>
      <c r="T79" s="323"/>
      <c r="U79" s="323"/>
      <c r="V79" s="323"/>
      <c r="W79" s="323"/>
      <c r="X79" s="323"/>
      <c r="Y79" s="323"/>
      <c r="Z79" s="323"/>
      <c r="AA79" s="323"/>
      <c r="AB79" s="323"/>
      <c r="AC79" s="323"/>
      <c r="AD79" s="323"/>
      <c r="AE79" s="323"/>
      <c r="AF79" s="323"/>
      <c r="AG79" s="323"/>
      <c r="AH79" s="323"/>
      <c r="AI79" s="323"/>
      <c r="AJ79" s="323"/>
      <c r="AK79" s="323"/>
      <c r="AL79" s="323"/>
      <c r="AM79" s="323"/>
      <c r="AN79" s="323"/>
      <c r="AO79" s="323"/>
      <c r="AP79" s="323"/>
      <c r="AQ79" s="323"/>
      <c r="AR79" s="323"/>
      <c r="AS79" s="323"/>
      <c r="AT79" s="323"/>
      <c r="AU79" s="323"/>
      <c r="AV79" s="323"/>
      <c r="AW79" s="323"/>
      <c r="AX79" s="323"/>
      <c r="AY79" s="323"/>
      <c r="AZ79" s="323"/>
      <c r="BA79" s="323"/>
      <c r="BB79" s="171"/>
      <c r="BC79" s="171"/>
      <c r="BD79" s="171"/>
      <c r="BE79" s="171"/>
      <c r="BF79" s="171"/>
      <c r="BG79" s="171"/>
      <c r="BH79" s="178"/>
      <c r="BI79" s="178"/>
      <c r="BJ79" s="178"/>
      <c r="BK79" s="178"/>
      <c r="BL79" s="171"/>
      <c r="BM79" s="171"/>
      <c r="BN79" s="171"/>
      <c r="BO79" s="339" t="s">
        <v>113</v>
      </c>
      <c r="BP79" s="339"/>
      <c r="BQ79" s="339" t="s">
        <v>103</v>
      </c>
      <c r="BR79" s="339"/>
      <c r="BS79" s="179"/>
      <c r="BT79" s="179"/>
      <c r="BU79" s="179"/>
      <c r="BV79" s="118"/>
      <c r="BW79" s="256" t="s">
        <v>114</v>
      </c>
      <c r="BX79" s="256"/>
      <c r="BY79" s="256"/>
      <c r="BZ79" s="256"/>
      <c r="CA79" s="256"/>
      <c r="CB79" s="256"/>
      <c r="CC79" s="256"/>
      <c r="CD79" s="256"/>
      <c r="CE79" s="256"/>
      <c r="CF79" s="256"/>
      <c r="CG79" s="256"/>
      <c r="CH79" s="256"/>
      <c r="CI79" s="256"/>
      <c r="CJ79" s="256"/>
      <c r="CK79" s="256"/>
      <c r="CL79" s="256"/>
      <c r="CM79" s="256"/>
      <c r="CN79" s="256"/>
      <c r="CO79" s="256"/>
      <c r="CP79" s="256"/>
      <c r="CQ79" s="256"/>
      <c r="CR79" s="256"/>
      <c r="CS79" s="256"/>
      <c r="CT79" s="256"/>
      <c r="CU79" s="256"/>
      <c r="CV79" s="256"/>
      <c r="CW79" s="256"/>
      <c r="CX79" s="256"/>
      <c r="CY79" s="256"/>
      <c r="CZ79" s="256"/>
      <c r="DA79" s="256"/>
      <c r="DB79" s="256"/>
      <c r="DC79" s="256"/>
      <c r="DD79" s="256"/>
      <c r="DE79" s="256"/>
      <c r="DF79" s="256"/>
      <c r="DG79" s="256"/>
      <c r="DH79" s="256"/>
      <c r="DI79" s="256"/>
      <c r="DJ79" s="256"/>
      <c r="DK79" s="256"/>
      <c r="DL79" s="257" t="s">
        <v>247</v>
      </c>
      <c r="DM79" s="257"/>
      <c r="DN79" s="257"/>
      <c r="DO79" s="257"/>
      <c r="DP79" s="257"/>
      <c r="DQ79" s="257"/>
      <c r="DR79" s="257"/>
      <c r="DS79" s="257"/>
      <c r="DT79" s="257"/>
      <c r="DU79" s="257"/>
      <c r="DV79" s="257"/>
      <c r="DW79" s="257"/>
      <c r="DX79" s="257"/>
      <c r="DY79" s="257"/>
      <c r="DZ79" s="257"/>
      <c r="EA79" s="257"/>
      <c r="EB79" s="257"/>
      <c r="EC79" s="73"/>
    </row>
    <row r="80" spans="1:133" ht="25.15" customHeight="1">
      <c r="A80" s="133">
        <f t="shared" si="14"/>
        <v>4</v>
      </c>
      <c r="B80" s="100"/>
      <c r="C80" s="254" t="s">
        <v>294</v>
      </c>
      <c r="D80" s="254"/>
      <c r="E80" s="254"/>
      <c r="F80" s="254"/>
      <c r="G80" s="254"/>
      <c r="H80" s="254"/>
      <c r="I80" s="254"/>
      <c r="J80" s="254"/>
      <c r="K80" s="254"/>
      <c r="L80" s="254"/>
      <c r="M80" s="254"/>
      <c r="N80" s="254"/>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324">
        <f>DH58/6</f>
        <v>1174.1666666666667</v>
      </c>
      <c r="BC80" s="253"/>
      <c r="BD80" s="253"/>
      <c r="BE80" s="253"/>
      <c r="BF80" s="253"/>
      <c r="BG80" s="253"/>
      <c r="BH80" s="253"/>
      <c r="BI80" s="253"/>
      <c r="BJ80" s="253"/>
      <c r="BK80" s="253"/>
      <c r="BL80" s="253"/>
      <c r="BM80" s="253"/>
      <c r="BN80" s="253"/>
      <c r="BO80" s="253"/>
      <c r="BP80" s="253"/>
      <c r="BQ80" s="253"/>
      <c r="BR80" s="253"/>
      <c r="BS80" s="107"/>
      <c r="BT80" s="107"/>
      <c r="BU80" s="107"/>
      <c r="BV80" s="92"/>
      <c r="BW80" s="246"/>
      <c r="BX80" s="246"/>
      <c r="BY80" s="246"/>
      <c r="BZ80" s="246"/>
      <c r="CA80" s="246"/>
      <c r="CB80" s="246"/>
      <c r="CC80" s="246"/>
      <c r="CD80" s="246"/>
      <c r="CE80" s="246"/>
      <c r="CF80" s="246"/>
      <c r="CG80" s="246"/>
      <c r="CH80" s="246"/>
      <c r="CI80" s="246"/>
      <c r="CJ80" s="246"/>
      <c r="CK80" s="246"/>
      <c r="CL80" s="246"/>
      <c r="CM80" s="246"/>
      <c r="CN80" s="246"/>
      <c r="CO80" s="246"/>
      <c r="CP80" s="246"/>
      <c r="CQ80" s="246"/>
      <c r="CR80" s="246"/>
      <c r="CS80" s="246"/>
      <c r="CT80" s="246"/>
      <c r="CU80" s="246"/>
      <c r="CV80" s="246"/>
      <c r="CW80" s="246"/>
      <c r="CX80" s="246"/>
      <c r="CY80" s="246"/>
      <c r="CZ80" s="246"/>
      <c r="DA80" s="246"/>
      <c r="DB80" s="246"/>
      <c r="DC80" s="246"/>
      <c r="DD80" s="246"/>
      <c r="DE80" s="246"/>
      <c r="DF80" s="246"/>
      <c r="DG80" s="246"/>
      <c r="DH80" s="246"/>
      <c r="DI80" s="246"/>
      <c r="DJ80" s="246"/>
      <c r="DK80" s="246"/>
      <c r="DL80" s="322"/>
      <c r="DM80" s="322"/>
      <c r="DN80" s="322"/>
      <c r="DO80" s="322"/>
      <c r="DP80" s="322"/>
      <c r="DQ80" s="322"/>
      <c r="DR80" s="322"/>
      <c r="DS80" s="322"/>
      <c r="DT80" s="322"/>
      <c r="DU80" s="322"/>
      <c r="DV80" s="322"/>
      <c r="DW80" s="322"/>
      <c r="DX80" s="322"/>
      <c r="DY80" s="322"/>
      <c r="DZ80" s="322"/>
      <c r="EA80" s="322"/>
      <c r="EB80" s="322"/>
      <c r="EC80" s="73"/>
    </row>
    <row r="81" spans="1:133" ht="25.15" customHeight="1">
      <c r="A81" s="133">
        <f t="shared" si="14"/>
        <v>5</v>
      </c>
      <c r="B81" s="100"/>
      <c r="C81" s="248" t="s">
        <v>294</v>
      </c>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48"/>
      <c r="AY81" s="248"/>
      <c r="AZ81" s="248"/>
      <c r="BA81" s="248"/>
      <c r="BB81" s="325">
        <f>DH52/6</f>
        <v>2263</v>
      </c>
      <c r="BC81" s="247"/>
      <c r="BD81" s="247"/>
      <c r="BE81" s="247"/>
      <c r="BF81" s="247"/>
      <c r="BG81" s="247"/>
      <c r="BH81" s="247"/>
      <c r="BI81" s="247"/>
      <c r="BJ81" s="247"/>
      <c r="BK81" s="247"/>
      <c r="BL81" s="247"/>
      <c r="BM81" s="247"/>
      <c r="BN81" s="247"/>
      <c r="BO81" s="247"/>
      <c r="BP81" s="247"/>
      <c r="BQ81" s="247"/>
      <c r="BR81" s="247"/>
      <c r="BS81" s="107"/>
      <c r="BT81" s="107"/>
      <c r="BU81" s="107"/>
      <c r="BV81" s="92"/>
      <c r="BW81" s="259"/>
      <c r="BX81" s="259"/>
      <c r="BY81" s="259"/>
      <c r="BZ81" s="259"/>
      <c r="CA81" s="259"/>
      <c r="CB81" s="259"/>
      <c r="CC81" s="259"/>
      <c r="CD81" s="259"/>
      <c r="CE81" s="259"/>
      <c r="CF81" s="259"/>
      <c r="CG81" s="259"/>
      <c r="CH81" s="259"/>
      <c r="CI81" s="259"/>
      <c r="CJ81" s="259"/>
      <c r="CK81" s="259"/>
      <c r="CL81" s="259"/>
      <c r="CM81" s="259"/>
      <c r="CN81" s="259"/>
      <c r="CO81" s="259"/>
      <c r="CP81" s="259"/>
      <c r="CQ81" s="259"/>
      <c r="CR81" s="259"/>
      <c r="CS81" s="259"/>
      <c r="CT81" s="259"/>
      <c r="CU81" s="259"/>
      <c r="CV81" s="259"/>
      <c r="CW81" s="259"/>
      <c r="CX81" s="259"/>
      <c r="CY81" s="259"/>
      <c r="CZ81" s="259"/>
      <c r="DA81" s="259"/>
      <c r="DB81" s="259"/>
      <c r="DC81" s="259"/>
      <c r="DD81" s="259"/>
      <c r="DE81" s="259"/>
      <c r="DF81" s="259"/>
      <c r="DG81" s="259"/>
      <c r="DH81" s="259"/>
      <c r="DI81" s="259"/>
      <c r="DJ81" s="259"/>
      <c r="DK81" s="259"/>
      <c r="DL81" s="314"/>
      <c r="DM81" s="251"/>
      <c r="DN81" s="251"/>
      <c r="DO81" s="251"/>
      <c r="DP81" s="251"/>
      <c r="DQ81" s="251"/>
      <c r="DR81" s="251"/>
      <c r="DS81" s="251"/>
      <c r="DT81" s="251"/>
      <c r="DU81" s="251"/>
      <c r="DV81" s="251"/>
      <c r="DW81" s="251"/>
      <c r="DX81" s="251"/>
      <c r="DY81" s="251"/>
      <c r="DZ81" s="251"/>
      <c r="EA81" s="251"/>
      <c r="EB81" s="251"/>
      <c r="EC81" s="73"/>
    </row>
    <row r="82" spans="1:133" ht="25.15" customHeight="1">
      <c r="A82" s="133">
        <f t="shared" si="14"/>
        <v>6</v>
      </c>
      <c r="B82" s="100"/>
      <c r="C82" s="248" t="s">
        <v>294</v>
      </c>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48"/>
      <c r="AY82" s="248"/>
      <c r="AZ82" s="248"/>
      <c r="BA82" s="248"/>
      <c r="BB82" s="325">
        <f>DH58/6</f>
        <v>1174.1666666666667</v>
      </c>
      <c r="BC82" s="247"/>
      <c r="BD82" s="247"/>
      <c r="BE82" s="247"/>
      <c r="BF82" s="247"/>
      <c r="BG82" s="247"/>
      <c r="BH82" s="247"/>
      <c r="BI82" s="247"/>
      <c r="BJ82" s="247"/>
      <c r="BK82" s="247"/>
      <c r="BL82" s="247"/>
      <c r="BM82" s="247"/>
      <c r="BN82" s="247"/>
      <c r="BO82" s="247"/>
      <c r="BP82" s="247"/>
      <c r="BQ82" s="247"/>
      <c r="BR82" s="247"/>
      <c r="BS82" s="107"/>
      <c r="BT82" s="107"/>
      <c r="BU82" s="107"/>
      <c r="BV82" s="92"/>
      <c r="BW82" s="259"/>
      <c r="BX82" s="259"/>
      <c r="BY82" s="259"/>
      <c r="BZ82" s="259"/>
      <c r="CA82" s="259"/>
      <c r="CB82" s="259"/>
      <c r="CC82" s="259"/>
      <c r="CD82" s="259"/>
      <c r="CE82" s="259"/>
      <c r="CF82" s="259"/>
      <c r="CG82" s="259"/>
      <c r="CH82" s="259"/>
      <c r="CI82" s="259"/>
      <c r="CJ82" s="259"/>
      <c r="CK82" s="259"/>
      <c r="CL82" s="259"/>
      <c r="CM82" s="259"/>
      <c r="CN82" s="259"/>
      <c r="CO82" s="259"/>
      <c r="CP82" s="259"/>
      <c r="CQ82" s="259"/>
      <c r="CR82" s="259"/>
      <c r="CS82" s="259"/>
      <c r="CT82" s="259"/>
      <c r="CU82" s="259"/>
      <c r="CV82" s="259"/>
      <c r="CW82" s="259"/>
      <c r="CX82" s="259"/>
      <c r="CY82" s="259"/>
      <c r="CZ82" s="259"/>
      <c r="DA82" s="259"/>
      <c r="DB82" s="259"/>
      <c r="DC82" s="259"/>
      <c r="DD82" s="259"/>
      <c r="DE82" s="259"/>
      <c r="DF82" s="259"/>
      <c r="DG82" s="259"/>
      <c r="DH82" s="259"/>
      <c r="DI82" s="259"/>
      <c r="DJ82" s="259"/>
      <c r="DK82" s="259"/>
      <c r="DL82" s="314"/>
      <c r="DM82" s="251"/>
      <c r="DN82" s="251"/>
      <c r="DO82" s="251"/>
      <c r="DP82" s="251"/>
      <c r="DQ82" s="251"/>
      <c r="DR82" s="251"/>
      <c r="DS82" s="251"/>
      <c r="DT82" s="251"/>
      <c r="DU82" s="251"/>
      <c r="DV82" s="251"/>
      <c r="DW82" s="251"/>
      <c r="DX82" s="251"/>
      <c r="DY82" s="251"/>
      <c r="DZ82" s="251"/>
      <c r="EA82" s="251"/>
      <c r="EB82" s="251"/>
      <c r="EC82" s="73"/>
    </row>
    <row r="83" spans="1:133" ht="25.15" customHeight="1">
      <c r="A83" s="133">
        <f t="shared" si="14"/>
        <v>7</v>
      </c>
      <c r="B83" s="100"/>
      <c r="C83" s="248" t="s">
        <v>294</v>
      </c>
      <c r="D83" s="248"/>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325">
        <f>DH52/6</f>
        <v>2263</v>
      </c>
      <c r="BC83" s="247"/>
      <c r="BD83" s="247"/>
      <c r="BE83" s="247"/>
      <c r="BF83" s="247"/>
      <c r="BG83" s="247"/>
      <c r="BH83" s="247"/>
      <c r="BI83" s="247"/>
      <c r="BJ83" s="247"/>
      <c r="BK83" s="247"/>
      <c r="BL83" s="247"/>
      <c r="BM83" s="247"/>
      <c r="BN83" s="247"/>
      <c r="BO83" s="247"/>
      <c r="BP83" s="247"/>
      <c r="BQ83" s="247"/>
      <c r="BR83" s="247"/>
      <c r="BS83" s="107"/>
      <c r="BT83" s="107"/>
      <c r="BU83" s="107"/>
      <c r="BV83" s="92"/>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1"/>
      <c r="DM83" s="251"/>
      <c r="DN83" s="251"/>
      <c r="DO83" s="251"/>
      <c r="DP83" s="251"/>
      <c r="DQ83" s="251"/>
      <c r="DR83" s="251"/>
      <c r="DS83" s="251"/>
      <c r="DT83" s="251"/>
      <c r="DU83" s="251"/>
      <c r="DV83" s="251"/>
      <c r="DW83" s="251"/>
      <c r="DX83" s="251"/>
      <c r="DY83" s="251"/>
      <c r="DZ83" s="251"/>
      <c r="EA83" s="251"/>
      <c r="EB83" s="251"/>
      <c r="EC83" s="73"/>
    </row>
    <row r="84" spans="1:133" ht="25.15" customHeight="1">
      <c r="A84" s="133">
        <f t="shared" si="14"/>
        <v>8</v>
      </c>
      <c r="B84" s="100"/>
      <c r="C84" s="250" t="s">
        <v>294</v>
      </c>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337">
        <f>DH58/6</f>
        <v>1174.1666666666667</v>
      </c>
      <c r="BC84" s="249"/>
      <c r="BD84" s="249"/>
      <c r="BE84" s="249"/>
      <c r="BF84" s="249"/>
      <c r="BG84" s="249"/>
      <c r="BH84" s="249"/>
      <c r="BI84" s="249"/>
      <c r="BJ84" s="249"/>
      <c r="BK84" s="249"/>
      <c r="BL84" s="249"/>
      <c r="BM84" s="249"/>
      <c r="BN84" s="249"/>
      <c r="BO84" s="249"/>
      <c r="BP84" s="249"/>
      <c r="BQ84" s="249"/>
      <c r="BR84" s="249"/>
      <c r="BS84" s="107"/>
      <c r="BT84" s="107"/>
      <c r="BU84" s="107"/>
      <c r="BV84" s="92"/>
      <c r="BW84" s="259"/>
      <c r="BX84" s="259"/>
      <c r="BY84" s="259"/>
      <c r="BZ84" s="259"/>
      <c r="CA84" s="259"/>
      <c r="CB84" s="259"/>
      <c r="CC84" s="259"/>
      <c r="CD84" s="259"/>
      <c r="CE84" s="259"/>
      <c r="CF84" s="259"/>
      <c r="CG84" s="259"/>
      <c r="CH84" s="259"/>
      <c r="CI84" s="259"/>
      <c r="CJ84" s="259"/>
      <c r="CK84" s="259"/>
      <c r="CL84" s="259"/>
      <c r="CM84" s="259"/>
      <c r="CN84" s="259"/>
      <c r="CO84" s="259"/>
      <c r="CP84" s="259"/>
      <c r="CQ84" s="259"/>
      <c r="CR84" s="259"/>
      <c r="CS84" s="259"/>
      <c r="CT84" s="259"/>
      <c r="CU84" s="259"/>
      <c r="CV84" s="259"/>
      <c r="CW84" s="259"/>
      <c r="CX84" s="259"/>
      <c r="CY84" s="259"/>
      <c r="CZ84" s="259"/>
      <c r="DA84" s="259"/>
      <c r="DB84" s="259"/>
      <c r="DC84" s="259"/>
      <c r="DD84" s="259"/>
      <c r="DE84" s="259"/>
      <c r="DF84" s="259"/>
      <c r="DG84" s="259"/>
      <c r="DH84" s="259"/>
      <c r="DI84" s="259"/>
      <c r="DJ84" s="259"/>
      <c r="DK84" s="259"/>
      <c r="DL84" s="251"/>
      <c r="DM84" s="251"/>
      <c r="DN84" s="251"/>
      <c r="DO84" s="251"/>
      <c r="DP84" s="251"/>
      <c r="DQ84" s="251"/>
      <c r="DR84" s="251"/>
      <c r="DS84" s="251"/>
      <c r="DT84" s="251"/>
      <c r="DU84" s="251"/>
      <c r="DV84" s="251"/>
      <c r="DW84" s="251"/>
      <c r="DX84" s="251"/>
      <c r="DY84" s="251"/>
      <c r="DZ84" s="251"/>
      <c r="EA84" s="251"/>
      <c r="EB84" s="251"/>
      <c r="EC84" s="73"/>
    </row>
    <row r="85" spans="1:133" ht="25.15" customHeight="1">
      <c r="A85" s="133">
        <f t="shared" si="14"/>
        <v>9</v>
      </c>
      <c r="B85" s="100"/>
      <c r="C85" s="246" t="s">
        <v>248</v>
      </c>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322">
        <f>SUM(BB65:BR71,BB80:BR84)</f>
        <v>20623</v>
      </c>
      <c r="BC85" s="245"/>
      <c r="BD85" s="245"/>
      <c r="BE85" s="245"/>
      <c r="BF85" s="245"/>
      <c r="BG85" s="245"/>
      <c r="BH85" s="245"/>
      <c r="BI85" s="245"/>
      <c r="BJ85" s="245"/>
      <c r="BK85" s="245"/>
      <c r="BL85" s="245"/>
      <c r="BM85" s="245"/>
      <c r="BN85" s="245"/>
      <c r="BO85" s="245"/>
      <c r="BP85" s="245"/>
      <c r="BQ85" s="245"/>
      <c r="BR85" s="245"/>
      <c r="BS85" s="107"/>
      <c r="BT85" s="107"/>
      <c r="BU85" s="107"/>
      <c r="BV85" s="101"/>
      <c r="BW85" s="246" t="s">
        <v>248</v>
      </c>
      <c r="BX85" s="246"/>
      <c r="BY85" s="246"/>
      <c r="BZ85" s="246"/>
      <c r="CA85" s="246"/>
      <c r="CB85" s="246"/>
      <c r="CC85" s="246"/>
      <c r="CD85" s="246"/>
      <c r="CE85" s="246"/>
      <c r="CF85" s="246"/>
      <c r="CG85" s="246"/>
      <c r="CH85" s="246"/>
      <c r="CI85" s="246"/>
      <c r="CJ85" s="246"/>
      <c r="CK85" s="246"/>
      <c r="CL85" s="246"/>
      <c r="CM85" s="246"/>
      <c r="CN85" s="246"/>
      <c r="CO85" s="246"/>
      <c r="CP85" s="246"/>
      <c r="CQ85" s="246"/>
      <c r="CR85" s="246"/>
      <c r="CS85" s="246"/>
      <c r="CT85" s="246"/>
      <c r="CU85" s="246"/>
      <c r="CV85" s="246"/>
      <c r="CW85" s="246"/>
      <c r="CX85" s="246"/>
      <c r="CY85" s="246"/>
      <c r="CZ85" s="246"/>
      <c r="DA85" s="246"/>
      <c r="DB85" s="246"/>
      <c r="DC85" s="246"/>
      <c r="DD85" s="246"/>
      <c r="DE85" s="246"/>
      <c r="DF85" s="246"/>
      <c r="DG85" s="246"/>
      <c r="DH85" s="246"/>
      <c r="DI85" s="246"/>
      <c r="DJ85" s="246"/>
      <c r="DK85" s="246"/>
      <c r="DL85" s="322">
        <f>SUM(DL65:EB67)</f>
        <v>20623</v>
      </c>
      <c r="DM85" s="245"/>
      <c r="DN85" s="245"/>
      <c r="DO85" s="245"/>
      <c r="DP85" s="245"/>
      <c r="DQ85" s="245"/>
      <c r="DR85" s="245"/>
      <c r="DS85" s="245"/>
      <c r="DT85" s="245"/>
      <c r="DU85" s="245"/>
      <c r="DV85" s="245"/>
      <c r="DW85" s="245"/>
      <c r="DX85" s="245"/>
      <c r="DY85" s="245"/>
      <c r="DZ85" s="245"/>
      <c r="EA85" s="245"/>
      <c r="EB85" s="245"/>
      <c r="EC85" s="73"/>
    </row>
    <row r="86" spans="1:133" ht="25.15" customHeight="1">
      <c r="A86" s="133">
        <f t="shared" si="14"/>
        <v>10</v>
      </c>
      <c r="B86" s="100"/>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c r="AA86" s="259"/>
      <c r="AB86" s="259"/>
      <c r="AC86" s="259"/>
      <c r="AD86" s="259"/>
      <c r="AE86" s="259"/>
      <c r="AF86" s="259"/>
      <c r="AG86" s="259"/>
      <c r="AH86" s="259"/>
      <c r="AI86" s="259"/>
      <c r="AJ86" s="259"/>
      <c r="AK86" s="259"/>
      <c r="AL86" s="259"/>
      <c r="AM86" s="259"/>
      <c r="AN86" s="259"/>
      <c r="AO86" s="259"/>
      <c r="AP86" s="259"/>
      <c r="AQ86" s="259"/>
      <c r="AR86" s="259"/>
      <c r="AS86" s="259"/>
      <c r="AT86" s="259"/>
      <c r="AU86" s="259"/>
      <c r="AV86" s="259"/>
      <c r="AW86" s="259"/>
      <c r="AX86" s="259"/>
      <c r="AY86" s="259"/>
      <c r="AZ86" s="259"/>
      <c r="BA86" s="259"/>
      <c r="BB86" s="314"/>
      <c r="BC86" s="251"/>
      <c r="BD86" s="251"/>
      <c r="BE86" s="251"/>
      <c r="BF86" s="251"/>
      <c r="BG86" s="251"/>
      <c r="BH86" s="251"/>
      <c r="BI86" s="251"/>
      <c r="BJ86" s="251"/>
      <c r="BK86" s="251"/>
      <c r="BL86" s="251"/>
      <c r="BM86" s="251"/>
      <c r="BN86" s="251"/>
      <c r="BO86" s="251"/>
      <c r="BP86" s="251"/>
      <c r="BQ86" s="251"/>
      <c r="BR86" s="251"/>
      <c r="BS86" s="107"/>
      <c r="BT86" s="107"/>
      <c r="BU86" s="107"/>
      <c r="BV86" s="101"/>
      <c r="BW86" s="259"/>
      <c r="BX86" s="259"/>
      <c r="BY86" s="259"/>
      <c r="BZ86" s="259"/>
      <c r="CA86" s="259"/>
      <c r="CB86" s="259"/>
      <c r="CC86" s="259"/>
      <c r="CD86" s="259"/>
      <c r="CE86" s="259"/>
      <c r="CF86" s="259"/>
      <c r="CG86" s="259"/>
      <c r="CH86" s="259"/>
      <c r="CI86" s="259"/>
      <c r="CJ86" s="259"/>
      <c r="CK86" s="259"/>
      <c r="CL86" s="259"/>
      <c r="CM86" s="259"/>
      <c r="CN86" s="259"/>
      <c r="CO86" s="259"/>
      <c r="CP86" s="259"/>
      <c r="CQ86" s="259"/>
      <c r="CR86" s="259"/>
      <c r="CS86" s="259"/>
      <c r="CT86" s="259"/>
      <c r="CU86" s="259"/>
      <c r="CV86" s="259"/>
      <c r="CW86" s="259"/>
      <c r="CX86" s="259"/>
      <c r="CY86" s="259"/>
      <c r="CZ86" s="259"/>
      <c r="DA86" s="259"/>
      <c r="DB86" s="259"/>
      <c r="DC86" s="259"/>
      <c r="DD86" s="259"/>
      <c r="DE86" s="259"/>
      <c r="DF86" s="259"/>
      <c r="DG86" s="259"/>
      <c r="DH86" s="259"/>
      <c r="DI86" s="259"/>
      <c r="DJ86" s="259"/>
      <c r="DK86" s="259"/>
      <c r="DL86" s="314"/>
      <c r="DM86" s="251"/>
      <c r="DN86" s="251"/>
      <c r="DO86" s="251"/>
      <c r="DP86" s="251"/>
      <c r="DQ86" s="251"/>
      <c r="DR86" s="251"/>
      <c r="DS86" s="251"/>
      <c r="DT86" s="251"/>
      <c r="DU86" s="251"/>
      <c r="DV86" s="251"/>
      <c r="DW86" s="251"/>
      <c r="DX86" s="251"/>
      <c r="DY86" s="251"/>
      <c r="DZ86" s="251"/>
      <c r="EA86" s="251"/>
      <c r="EB86" s="251"/>
      <c r="EC86" s="73"/>
    </row>
    <row r="87" spans="1:133" ht="25.15" customHeight="1">
      <c r="A87" s="133">
        <f t="shared" si="14"/>
        <v>11</v>
      </c>
      <c r="B87" s="100"/>
      <c r="C87" s="101"/>
      <c r="D87" s="86"/>
      <c r="E87" s="101"/>
      <c r="F87" s="101"/>
      <c r="G87" s="92"/>
      <c r="H87" s="92"/>
      <c r="I87" s="107"/>
      <c r="J87" s="105"/>
      <c r="K87" s="107"/>
      <c r="L87" s="107"/>
      <c r="M87" s="101"/>
      <c r="N87" s="101"/>
      <c r="O87" s="107"/>
      <c r="P87" s="105"/>
      <c r="Q87" s="92"/>
      <c r="R87" s="107"/>
      <c r="S87" s="92"/>
      <c r="T87" s="92"/>
      <c r="U87" s="92"/>
      <c r="V87" s="107"/>
      <c r="W87" s="92"/>
      <c r="X87" s="92"/>
      <c r="Y87" s="92"/>
      <c r="Z87" s="107"/>
      <c r="AA87" s="92"/>
      <c r="AB87" s="92"/>
      <c r="AC87" s="92"/>
      <c r="AD87" s="107"/>
      <c r="AE87" s="92"/>
      <c r="AF87" s="92"/>
      <c r="AG87" s="107"/>
      <c r="AH87" s="101"/>
      <c r="AI87" s="105"/>
      <c r="AJ87" s="92"/>
      <c r="AK87" s="107"/>
      <c r="AL87" s="92"/>
      <c r="AM87" s="92"/>
      <c r="AN87" s="92"/>
      <c r="AO87" s="107"/>
      <c r="AP87" s="92"/>
      <c r="AQ87" s="92"/>
      <c r="AR87" s="92"/>
      <c r="AS87" s="107"/>
      <c r="AT87" s="92"/>
      <c r="AU87" s="92"/>
      <c r="AV87" s="92"/>
      <c r="AW87" s="107"/>
      <c r="AX87" s="92"/>
      <c r="AY87" s="92"/>
      <c r="AZ87" s="107"/>
      <c r="BA87" s="105"/>
      <c r="BB87" s="105"/>
      <c r="BC87" s="92"/>
      <c r="BD87" s="107"/>
      <c r="BE87" s="92"/>
      <c r="BF87" s="92"/>
      <c r="BG87" s="92"/>
      <c r="BH87" s="107"/>
      <c r="BI87" s="92"/>
      <c r="BJ87" s="92"/>
      <c r="BK87" s="92"/>
      <c r="BL87" s="107"/>
      <c r="BM87" s="92"/>
      <c r="BN87" s="92"/>
      <c r="BO87" s="92"/>
      <c r="BP87" s="107"/>
      <c r="BQ87" s="92"/>
      <c r="BR87" s="92"/>
      <c r="BS87" s="107"/>
      <c r="BT87" s="101"/>
      <c r="BU87" s="105"/>
      <c r="BV87" s="92"/>
      <c r="BW87" s="107"/>
      <c r="BX87" s="92"/>
      <c r="BY87" s="92"/>
      <c r="BZ87" s="92"/>
      <c r="CA87" s="107"/>
      <c r="CB87" s="92"/>
      <c r="CC87" s="92"/>
      <c r="CD87" s="92"/>
      <c r="CE87" s="107"/>
      <c r="CF87" s="92"/>
      <c r="CG87" s="92"/>
      <c r="CH87" s="92"/>
      <c r="CI87" s="107"/>
      <c r="CJ87" s="92"/>
      <c r="CK87" s="92"/>
      <c r="CL87" s="107"/>
      <c r="CM87" s="105"/>
      <c r="CN87" s="105"/>
      <c r="CO87" s="92"/>
      <c r="CP87" s="107"/>
      <c r="CQ87" s="92"/>
      <c r="CR87" s="92"/>
      <c r="CS87" s="92"/>
      <c r="CT87" s="107"/>
      <c r="CU87" s="92"/>
      <c r="CV87" s="92"/>
      <c r="CW87" s="92"/>
      <c r="CX87" s="107"/>
      <c r="CY87" s="92"/>
      <c r="CZ87" s="92"/>
      <c r="DA87" s="92"/>
      <c r="DB87" s="107"/>
      <c r="DC87" s="92"/>
      <c r="DD87" s="92"/>
      <c r="DE87" s="107"/>
      <c r="DF87" s="105"/>
      <c r="DG87" s="105"/>
      <c r="DH87" s="92"/>
      <c r="DI87" s="107"/>
      <c r="DJ87" s="92"/>
      <c r="DK87" s="92"/>
      <c r="DL87" s="92"/>
      <c r="DM87" s="107"/>
      <c r="DN87" s="92"/>
      <c r="DO87" s="92"/>
      <c r="DP87" s="92"/>
      <c r="DQ87" s="107"/>
      <c r="DR87" s="92"/>
      <c r="DS87" s="92"/>
      <c r="DT87" s="92"/>
      <c r="DU87" s="107"/>
      <c r="DV87" s="92"/>
      <c r="DW87" s="92"/>
      <c r="DX87" s="107"/>
      <c r="EC87" s="73"/>
    </row>
    <row r="88" spans="1:133" ht="25.15" customHeight="1">
      <c r="A88" s="133">
        <f t="shared" si="14"/>
        <v>12</v>
      </c>
      <c r="B88" s="100"/>
      <c r="C88" s="259"/>
      <c r="D88" s="259"/>
      <c r="E88" s="259"/>
      <c r="F88" s="259"/>
      <c r="G88" s="259"/>
      <c r="H88" s="259"/>
      <c r="I88" s="259"/>
      <c r="J88" s="259"/>
      <c r="K88" s="259"/>
      <c r="L88" s="259"/>
      <c r="M88" s="259"/>
      <c r="N88" s="259"/>
      <c r="O88" s="259"/>
      <c r="P88" s="259"/>
      <c r="Q88" s="258"/>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9"/>
      <c r="AV88" s="259"/>
      <c r="AW88" s="259"/>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c r="DM88" s="259"/>
      <c r="DN88" s="259"/>
      <c r="DO88" s="259"/>
      <c r="DP88" s="259"/>
      <c r="DQ88" s="259"/>
      <c r="DR88" s="259"/>
      <c r="DS88" s="259"/>
      <c r="DT88" s="259"/>
      <c r="DU88" s="259"/>
      <c r="DV88" s="259"/>
      <c r="DW88" s="259"/>
      <c r="DX88" s="259"/>
      <c r="DY88" s="259"/>
      <c r="DZ88" s="259"/>
      <c r="EA88" s="259"/>
      <c r="EB88" s="259"/>
      <c r="EC88" s="73"/>
    </row>
    <row r="89" spans="1:133" ht="25.15" customHeight="1">
      <c r="A89" s="133">
        <f t="shared" si="14"/>
        <v>13</v>
      </c>
      <c r="B89" s="100"/>
      <c r="C89" s="101"/>
      <c r="D89" s="101"/>
      <c r="E89" s="101"/>
      <c r="F89" s="101"/>
      <c r="G89" s="101"/>
      <c r="H89" s="101"/>
      <c r="I89" s="119"/>
      <c r="J89" s="119"/>
      <c r="K89" s="119"/>
      <c r="L89" s="119"/>
      <c r="M89" s="101"/>
      <c r="N89" s="101"/>
      <c r="O89" s="105"/>
      <c r="P89" s="105"/>
      <c r="Q89" s="259"/>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c r="AT89" s="259"/>
      <c r="AU89" s="259"/>
      <c r="AV89" s="259"/>
      <c r="AW89" s="259"/>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c r="DM89" s="259"/>
      <c r="DN89" s="259"/>
      <c r="DO89" s="259"/>
      <c r="DP89" s="259"/>
      <c r="DQ89" s="259"/>
      <c r="DR89" s="259"/>
      <c r="DS89" s="259"/>
      <c r="DT89" s="259"/>
      <c r="DU89" s="259"/>
      <c r="DV89" s="259"/>
      <c r="DW89" s="259"/>
      <c r="DX89" s="259"/>
      <c r="DY89" s="259"/>
      <c r="DZ89" s="259"/>
      <c r="EA89" s="259"/>
      <c r="EB89" s="259"/>
      <c r="EC89" s="73"/>
    </row>
    <row r="90" spans="1:133" ht="25.15" customHeight="1">
      <c r="A90" s="133">
        <f t="shared" si="14"/>
        <v>14</v>
      </c>
      <c r="B90" s="69"/>
      <c r="C90" s="259"/>
      <c r="D90" s="259"/>
      <c r="E90" s="259"/>
      <c r="F90" s="259"/>
      <c r="G90" s="259"/>
      <c r="H90" s="259"/>
      <c r="I90" s="259"/>
      <c r="J90" s="259"/>
      <c r="K90" s="259"/>
      <c r="L90" s="259"/>
      <c r="M90" s="259"/>
      <c r="N90" s="259"/>
      <c r="O90" s="259"/>
      <c r="P90" s="259"/>
      <c r="Q90" s="316"/>
      <c r="R90" s="251"/>
      <c r="S90" s="251"/>
      <c r="T90" s="251"/>
      <c r="U90" s="251"/>
      <c r="V90" s="251"/>
      <c r="W90" s="251"/>
      <c r="X90" s="251"/>
      <c r="Y90" s="251"/>
      <c r="Z90" s="251"/>
      <c r="AA90" s="251"/>
      <c r="AB90" s="251"/>
      <c r="AC90" s="251"/>
      <c r="AD90" s="251"/>
      <c r="AE90" s="251"/>
      <c r="AF90" s="251"/>
      <c r="AG90" s="251"/>
      <c r="AH90" s="251"/>
      <c r="AI90" s="251"/>
      <c r="AJ90" s="252"/>
      <c r="AK90" s="251"/>
      <c r="AL90" s="251"/>
      <c r="AM90" s="251"/>
      <c r="AN90" s="251"/>
      <c r="AO90" s="251"/>
      <c r="AP90" s="251"/>
      <c r="AQ90" s="251"/>
      <c r="AR90" s="251"/>
      <c r="AS90" s="251"/>
      <c r="AT90" s="251"/>
      <c r="AU90" s="251"/>
      <c r="AV90" s="251"/>
      <c r="AW90" s="251"/>
      <c r="AX90" s="251"/>
      <c r="AY90" s="251"/>
      <c r="AZ90" s="251"/>
      <c r="BA90" s="251"/>
      <c r="BB90" s="251"/>
      <c r="BC90" s="252"/>
      <c r="BD90" s="251"/>
      <c r="BE90" s="251"/>
      <c r="BF90" s="251"/>
      <c r="BG90" s="251"/>
      <c r="BH90" s="251"/>
      <c r="BI90" s="251"/>
      <c r="BJ90" s="251"/>
      <c r="BK90" s="251"/>
      <c r="BL90" s="251"/>
      <c r="BM90" s="251"/>
      <c r="BN90" s="251"/>
      <c r="BO90" s="251"/>
      <c r="BP90" s="251"/>
      <c r="BQ90" s="251"/>
      <c r="BR90" s="251"/>
      <c r="BS90" s="251"/>
      <c r="BT90" s="251"/>
      <c r="BU90" s="251"/>
      <c r="BV90" s="316"/>
      <c r="BW90" s="251"/>
      <c r="BX90" s="251"/>
      <c r="BY90" s="251"/>
      <c r="BZ90" s="251"/>
      <c r="CA90" s="251"/>
      <c r="CB90" s="251"/>
      <c r="CC90" s="251"/>
      <c r="CD90" s="251"/>
      <c r="CE90" s="251"/>
      <c r="CF90" s="251"/>
      <c r="CG90" s="251"/>
      <c r="CH90" s="251"/>
      <c r="CI90" s="251"/>
      <c r="CJ90" s="251"/>
      <c r="CK90" s="251"/>
      <c r="CL90" s="251"/>
      <c r="CM90" s="251"/>
      <c r="CN90" s="251"/>
      <c r="CO90" s="252"/>
      <c r="CP90" s="251"/>
      <c r="CQ90" s="251"/>
      <c r="CR90" s="251"/>
      <c r="CS90" s="251"/>
      <c r="CT90" s="251"/>
      <c r="CU90" s="251"/>
      <c r="CV90" s="251"/>
      <c r="CW90" s="251"/>
      <c r="CX90" s="251"/>
      <c r="CY90" s="251"/>
      <c r="CZ90" s="251"/>
      <c r="DA90" s="251"/>
      <c r="DB90" s="251"/>
      <c r="DC90" s="251"/>
      <c r="DD90" s="251"/>
      <c r="DE90" s="251"/>
      <c r="DF90" s="251"/>
      <c r="DG90" s="251"/>
      <c r="DH90" s="316"/>
      <c r="DI90" s="251"/>
      <c r="DJ90" s="251"/>
      <c r="DK90" s="251"/>
      <c r="DL90" s="251"/>
      <c r="DM90" s="251"/>
      <c r="DN90" s="251"/>
      <c r="DO90" s="251"/>
      <c r="DP90" s="251"/>
      <c r="DQ90" s="251"/>
      <c r="DR90" s="251"/>
      <c r="DS90" s="251"/>
      <c r="DT90" s="251"/>
      <c r="DU90" s="251"/>
      <c r="DV90" s="251"/>
      <c r="DW90" s="251"/>
      <c r="DX90" s="251"/>
      <c r="DY90" s="251"/>
      <c r="DZ90" s="251"/>
      <c r="EA90" s="107"/>
      <c r="EC90" s="73"/>
    </row>
    <row r="91" spans="1:133" ht="25.15" customHeight="1">
      <c r="A91" s="133">
        <f t="shared" si="14"/>
        <v>15</v>
      </c>
      <c r="B91" s="69"/>
      <c r="C91" s="315"/>
      <c r="D91" s="259"/>
      <c r="E91" s="259"/>
      <c r="F91" s="259"/>
      <c r="G91" s="259"/>
      <c r="H91" s="259"/>
      <c r="I91" s="259"/>
      <c r="J91" s="259"/>
      <c r="K91" s="259"/>
      <c r="L91" s="259"/>
      <c r="M91" s="259"/>
      <c r="N91" s="259"/>
      <c r="O91" s="259"/>
      <c r="P91" s="259"/>
      <c r="Q91" s="316"/>
      <c r="R91" s="251"/>
      <c r="S91" s="251"/>
      <c r="T91" s="251"/>
      <c r="U91" s="251"/>
      <c r="V91" s="251"/>
      <c r="W91" s="251"/>
      <c r="X91" s="251"/>
      <c r="Y91" s="251"/>
      <c r="Z91" s="251"/>
      <c r="AA91" s="251"/>
      <c r="AB91" s="251"/>
      <c r="AC91" s="251"/>
      <c r="AD91" s="251"/>
      <c r="AE91" s="251"/>
      <c r="AF91" s="251"/>
      <c r="AG91" s="251"/>
      <c r="AH91" s="251"/>
      <c r="AI91" s="251"/>
      <c r="AJ91" s="252"/>
      <c r="AK91" s="251"/>
      <c r="AL91" s="251"/>
      <c r="AM91" s="251"/>
      <c r="AN91" s="251"/>
      <c r="AO91" s="251"/>
      <c r="AP91" s="251"/>
      <c r="AQ91" s="251"/>
      <c r="AR91" s="251"/>
      <c r="AS91" s="251"/>
      <c r="AT91" s="251"/>
      <c r="AU91" s="251"/>
      <c r="AV91" s="251"/>
      <c r="AW91" s="251"/>
      <c r="AX91" s="251"/>
      <c r="AY91" s="251"/>
      <c r="AZ91" s="251"/>
      <c r="BA91" s="251"/>
      <c r="BB91" s="251"/>
      <c r="BC91" s="252"/>
      <c r="BD91" s="251"/>
      <c r="BE91" s="251"/>
      <c r="BF91" s="251"/>
      <c r="BG91" s="251"/>
      <c r="BH91" s="251"/>
      <c r="BI91" s="251"/>
      <c r="BJ91" s="251"/>
      <c r="BK91" s="251"/>
      <c r="BL91" s="251"/>
      <c r="BM91" s="251"/>
      <c r="BN91" s="251"/>
      <c r="BO91" s="251"/>
      <c r="BP91" s="251"/>
      <c r="BQ91" s="251"/>
      <c r="BR91" s="251"/>
      <c r="BS91" s="251"/>
      <c r="BT91" s="251"/>
      <c r="BU91" s="251"/>
      <c r="BV91" s="316"/>
      <c r="BW91" s="251"/>
      <c r="BX91" s="251"/>
      <c r="BY91" s="251"/>
      <c r="BZ91" s="251"/>
      <c r="CA91" s="251"/>
      <c r="CB91" s="251"/>
      <c r="CC91" s="251"/>
      <c r="CD91" s="251"/>
      <c r="CE91" s="251"/>
      <c r="CF91" s="251"/>
      <c r="CG91" s="251"/>
      <c r="CH91" s="251"/>
      <c r="CI91" s="251"/>
      <c r="CJ91" s="251"/>
      <c r="CK91" s="251"/>
      <c r="CL91" s="251"/>
      <c r="CM91" s="251"/>
      <c r="CN91" s="251"/>
      <c r="CO91" s="252"/>
      <c r="CP91" s="251"/>
      <c r="CQ91" s="251"/>
      <c r="CR91" s="251"/>
      <c r="CS91" s="251"/>
      <c r="CT91" s="251"/>
      <c r="CU91" s="251"/>
      <c r="CV91" s="251"/>
      <c r="CW91" s="251"/>
      <c r="CX91" s="251"/>
      <c r="CY91" s="251"/>
      <c r="CZ91" s="251"/>
      <c r="DA91" s="251"/>
      <c r="DB91" s="251"/>
      <c r="DC91" s="251"/>
      <c r="DD91" s="251"/>
      <c r="DE91" s="251"/>
      <c r="DF91" s="251"/>
      <c r="DG91" s="251"/>
      <c r="DH91" s="316"/>
      <c r="DI91" s="251"/>
      <c r="DJ91" s="251"/>
      <c r="DK91" s="251"/>
      <c r="DL91" s="251"/>
      <c r="DM91" s="251"/>
      <c r="DN91" s="251"/>
      <c r="DO91" s="251"/>
      <c r="DP91" s="251"/>
      <c r="DQ91" s="251"/>
      <c r="DR91" s="251"/>
      <c r="DS91" s="251"/>
      <c r="DT91" s="251"/>
      <c r="DU91" s="251"/>
      <c r="DV91" s="251"/>
      <c r="DW91" s="251"/>
      <c r="DX91" s="251"/>
      <c r="DY91" s="251"/>
      <c r="DZ91" s="251"/>
      <c r="EC91" s="73"/>
    </row>
    <row r="92" spans="1:133" ht="25.15" customHeight="1">
      <c r="A92" s="133">
        <f t="shared" si="14"/>
        <v>16</v>
      </c>
      <c r="B92" s="69"/>
      <c r="C92" s="266"/>
      <c r="D92" s="296"/>
      <c r="E92" s="266"/>
      <c r="F92" s="266"/>
      <c r="G92" s="92"/>
      <c r="H92" s="92"/>
      <c r="I92" s="107"/>
      <c r="J92" s="105"/>
      <c r="K92" s="107"/>
      <c r="L92" s="107"/>
      <c r="M92" s="101"/>
      <c r="N92" s="101"/>
      <c r="O92" s="107"/>
      <c r="P92" s="105"/>
      <c r="Q92" s="316"/>
      <c r="R92" s="251"/>
      <c r="S92" s="251"/>
      <c r="T92" s="251"/>
      <c r="U92" s="251"/>
      <c r="V92" s="251"/>
      <c r="W92" s="251"/>
      <c r="X92" s="251"/>
      <c r="Y92" s="251"/>
      <c r="Z92" s="251"/>
      <c r="AA92" s="251"/>
      <c r="AB92" s="251"/>
      <c r="AC92" s="251"/>
      <c r="AD92" s="251"/>
      <c r="AE92" s="251"/>
      <c r="AF92" s="251"/>
      <c r="AG92" s="251"/>
      <c r="AH92" s="251"/>
      <c r="AI92" s="251"/>
      <c r="AJ92" s="252"/>
      <c r="AK92" s="251"/>
      <c r="AL92" s="251"/>
      <c r="AM92" s="251"/>
      <c r="AN92" s="251"/>
      <c r="AO92" s="251"/>
      <c r="AP92" s="251"/>
      <c r="AQ92" s="251"/>
      <c r="AR92" s="251"/>
      <c r="AS92" s="251"/>
      <c r="AT92" s="251"/>
      <c r="AU92" s="251"/>
      <c r="AV92" s="251"/>
      <c r="AW92" s="251"/>
      <c r="AX92" s="251"/>
      <c r="AY92" s="251"/>
      <c r="AZ92" s="251"/>
      <c r="BA92" s="251"/>
      <c r="BB92" s="251"/>
      <c r="BC92" s="252"/>
      <c r="BD92" s="251"/>
      <c r="BE92" s="251"/>
      <c r="BF92" s="251"/>
      <c r="BG92" s="251"/>
      <c r="BH92" s="251"/>
      <c r="BI92" s="251"/>
      <c r="BJ92" s="251"/>
      <c r="BK92" s="251"/>
      <c r="BL92" s="251"/>
      <c r="BM92" s="251"/>
      <c r="BN92" s="251"/>
      <c r="BO92" s="251"/>
      <c r="BP92" s="251"/>
      <c r="BQ92" s="251"/>
      <c r="BR92" s="251"/>
      <c r="BS92" s="251"/>
      <c r="BT92" s="251"/>
      <c r="BU92" s="251"/>
      <c r="BV92" s="316"/>
      <c r="BW92" s="251"/>
      <c r="BX92" s="251"/>
      <c r="BY92" s="251"/>
      <c r="BZ92" s="251"/>
      <c r="CA92" s="251"/>
      <c r="CB92" s="251"/>
      <c r="CC92" s="251"/>
      <c r="CD92" s="251"/>
      <c r="CE92" s="251"/>
      <c r="CF92" s="251"/>
      <c r="CG92" s="251"/>
      <c r="CH92" s="251"/>
      <c r="CI92" s="251"/>
      <c r="CJ92" s="251"/>
      <c r="CK92" s="251"/>
      <c r="CL92" s="251"/>
      <c r="CM92" s="251"/>
      <c r="CN92" s="251"/>
      <c r="CO92" s="252"/>
      <c r="CP92" s="251"/>
      <c r="CQ92" s="251"/>
      <c r="CR92" s="251"/>
      <c r="CS92" s="251"/>
      <c r="CT92" s="251"/>
      <c r="CU92" s="251"/>
      <c r="CV92" s="251"/>
      <c r="CW92" s="251"/>
      <c r="CX92" s="251"/>
      <c r="CY92" s="251"/>
      <c r="CZ92" s="251"/>
      <c r="DA92" s="251"/>
      <c r="DB92" s="251"/>
      <c r="DC92" s="251"/>
      <c r="DD92" s="251"/>
      <c r="DE92" s="251"/>
      <c r="DF92" s="251"/>
      <c r="DG92" s="251"/>
      <c r="DH92" s="316"/>
      <c r="DI92" s="251"/>
      <c r="DJ92" s="251"/>
      <c r="DK92" s="251"/>
      <c r="DL92" s="251"/>
      <c r="DM92" s="251"/>
      <c r="DN92" s="251"/>
      <c r="DO92" s="251"/>
      <c r="DP92" s="251"/>
      <c r="DQ92" s="251"/>
      <c r="DR92" s="251"/>
      <c r="DS92" s="251"/>
      <c r="DT92" s="251"/>
      <c r="DU92" s="251"/>
      <c r="DV92" s="251"/>
      <c r="DW92" s="251"/>
      <c r="DX92" s="251"/>
      <c r="DY92" s="251"/>
      <c r="DZ92" s="251"/>
      <c r="EC92" s="73"/>
    </row>
    <row r="93" spans="1:133" ht="25.15" customHeight="1">
      <c r="A93" s="133">
        <f t="shared" si="14"/>
        <v>17</v>
      </c>
      <c r="B93" s="100"/>
      <c r="C93" s="259"/>
      <c r="D93" s="259"/>
      <c r="E93" s="259"/>
      <c r="F93" s="259"/>
      <c r="G93" s="259"/>
      <c r="H93" s="259"/>
      <c r="I93" s="259"/>
      <c r="J93" s="259"/>
      <c r="K93" s="259"/>
      <c r="L93" s="259"/>
      <c r="M93" s="259"/>
      <c r="N93" s="259"/>
      <c r="O93" s="259"/>
      <c r="P93" s="259"/>
      <c r="Q93" s="258"/>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9"/>
      <c r="AV93" s="259"/>
      <c r="AW93" s="259"/>
      <c r="AX93" s="259"/>
      <c r="AY93" s="259"/>
      <c r="AZ93" s="259"/>
      <c r="BA93" s="259"/>
      <c r="BB93" s="259"/>
      <c r="BC93" s="259"/>
      <c r="BD93" s="259"/>
      <c r="BE93" s="259"/>
      <c r="BF93" s="259"/>
      <c r="BG93" s="259"/>
      <c r="BH93" s="259"/>
      <c r="BI93" s="259"/>
      <c r="BJ93" s="259"/>
      <c r="BK93" s="259"/>
      <c r="BL93" s="259"/>
      <c r="BM93" s="259"/>
      <c r="BN93" s="259"/>
      <c r="BO93" s="259"/>
      <c r="BP93" s="259"/>
      <c r="BQ93" s="259"/>
      <c r="BR93" s="259"/>
      <c r="BS93" s="259"/>
      <c r="BT93" s="259"/>
      <c r="BU93" s="259"/>
      <c r="BV93" s="259"/>
      <c r="BW93" s="259"/>
      <c r="BX93" s="259"/>
      <c r="BY93" s="259"/>
      <c r="BZ93" s="259"/>
      <c r="CA93" s="259"/>
      <c r="CB93" s="259"/>
      <c r="CC93" s="259"/>
      <c r="CD93" s="259"/>
      <c r="CE93" s="259"/>
      <c r="CF93" s="259"/>
      <c r="CG93" s="259"/>
      <c r="CH93" s="259"/>
      <c r="CI93" s="259"/>
      <c r="CJ93" s="259"/>
      <c r="CK93" s="259"/>
      <c r="CL93" s="259"/>
      <c r="CM93" s="259"/>
      <c r="CN93" s="259"/>
      <c r="CO93" s="259"/>
      <c r="CP93" s="259"/>
      <c r="CQ93" s="259"/>
      <c r="CR93" s="259"/>
      <c r="CS93" s="259"/>
      <c r="CT93" s="259"/>
      <c r="CU93" s="259"/>
      <c r="CV93" s="259"/>
      <c r="CW93" s="259"/>
      <c r="CX93" s="259"/>
      <c r="CY93" s="259"/>
      <c r="CZ93" s="259"/>
      <c r="DA93" s="259"/>
      <c r="DB93" s="259"/>
      <c r="DC93" s="259"/>
      <c r="DD93" s="259"/>
      <c r="DE93" s="259"/>
      <c r="DF93" s="259"/>
      <c r="DG93" s="259"/>
      <c r="DH93" s="259"/>
      <c r="DI93" s="259"/>
      <c r="DJ93" s="259"/>
      <c r="DK93" s="259"/>
      <c r="DL93" s="259"/>
      <c r="DM93" s="259"/>
      <c r="DN93" s="259"/>
      <c r="DO93" s="259"/>
      <c r="DP93" s="259"/>
      <c r="DQ93" s="259"/>
      <c r="DR93" s="259"/>
      <c r="DS93" s="259"/>
      <c r="DT93" s="259"/>
      <c r="DU93" s="259"/>
      <c r="DV93" s="259"/>
      <c r="DW93" s="259"/>
      <c r="DX93" s="259"/>
      <c r="DY93" s="259"/>
      <c r="DZ93" s="259"/>
      <c r="EA93" s="259"/>
      <c r="EB93" s="259"/>
      <c r="EC93" s="73"/>
    </row>
    <row r="94" spans="1:133" ht="25.15" customHeight="1">
      <c r="A94" s="133">
        <f t="shared" si="14"/>
        <v>18</v>
      </c>
      <c r="B94" s="100"/>
      <c r="C94" s="101"/>
      <c r="D94" s="101"/>
      <c r="E94" s="101"/>
      <c r="F94" s="101"/>
      <c r="G94" s="101"/>
      <c r="H94" s="101"/>
      <c r="I94" s="119"/>
      <c r="J94" s="119"/>
      <c r="K94" s="119"/>
      <c r="L94" s="119"/>
      <c r="M94" s="101"/>
      <c r="N94" s="101"/>
      <c r="O94" s="105"/>
      <c r="P94" s="105"/>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c r="AO94" s="259"/>
      <c r="AP94" s="259"/>
      <c r="AQ94" s="259"/>
      <c r="AR94" s="259"/>
      <c r="AS94" s="259"/>
      <c r="AT94" s="259"/>
      <c r="AU94" s="259"/>
      <c r="AV94" s="259"/>
      <c r="AW94" s="259"/>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c r="DM94" s="259"/>
      <c r="DN94" s="259"/>
      <c r="DO94" s="259"/>
      <c r="DP94" s="259"/>
      <c r="DQ94" s="259"/>
      <c r="DR94" s="259"/>
      <c r="DS94" s="259"/>
      <c r="DT94" s="259"/>
      <c r="DU94" s="259"/>
      <c r="DV94" s="259"/>
      <c r="DW94" s="259"/>
      <c r="DX94" s="259"/>
      <c r="DY94" s="259"/>
      <c r="DZ94" s="259"/>
      <c r="EA94" s="259"/>
      <c r="EB94" s="259"/>
      <c r="EC94" s="73"/>
    </row>
    <row r="95" spans="1:133" ht="25.15" customHeight="1">
      <c r="A95" s="133">
        <f t="shared" si="14"/>
        <v>19</v>
      </c>
      <c r="B95" s="69"/>
      <c r="C95" s="259"/>
      <c r="D95" s="259"/>
      <c r="E95" s="259"/>
      <c r="F95" s="259"/>
      <c r="G95" s="259"/>
      <c r="H95" s="259"/>
      <c r="I95" s="259"/>
      <c r="J95" s="259"/>
      <c r="K95" s="259"/>
      <c r="L95" s="259"/>
      <c r="M95" s="259"/>
      <c r="N95" s="259"/>
      <c r="O95" s="259"/>
      <c r="P95" s="259"/>
      <c r="Q95" s="316"/>
      <c r="R95" s="251"/>
      <c r="S95" s="251"/>
      <c r="T95" s="251"/>
      <c r="U95" s="251"/>
      <c r="V95" s="251"/>
      <c r="W95" s="251"/>
      <c r="X95" s="251"/>
      <c r="Y95" s="251"/>
      <c r="Z95" s="251"/>
      <c r="AA95" s="251"/>
      <c r="AB95" s="251"/>
      <c r="AC95" s="251"/>
      <c r="AD95" s="251"/>
      <c r="AE95" s="251"/>
      <c r="AF95" s="251"/>
      <c r="AG95" s="251"/>
      <c r="AH95" s="251"/>
      <c r="AI95" s="251"/>
      <c r="AJ95" s="252"/>
      <c r="AK95" s="251"/>
      <c r="AL95" s="251"/>
      <c r="AM95" s="251"/>
      <c r="AN95" s="251"/>
      <c r="AO95" s="251"/>
      <c r="AP95" s="251"/>
      <c r="AQ95" s="251"/>
      <c r="AR95" s="251"/>
      <c r="AS95" s="251"/>
      <c r="AT95" s="251"/>
      <c r="AU95" s="251"/>
      <c r="AV95" s="251"/>
      <c r="AW95" s="251"/>
      <c r="AX95" s="251"/>
      <c r="AY95" s="251"/>
      <c r="AZ95" s="251"/>
      <c r="BA95" s="251"/>
      <c r="BB95" s="251"/>
      <c r="BC95" s="252"/>
      <c r="BD95" s="251"/>
      <c r="BE95" s="251"/>
      <c r="BF95" s="251"/>
      <c r="BG95" s="251"/>
      <c r="BH95" s="251"/>
      <c r="BI95" s="251"/>
      <c r="BJ95" s="251"/>
      <c r="BK95" s="251"/>
      <c r="BL95" s="251"/>
      <c r="BM95" s="251"/>
      <c r="BN95" s="251"/>
      <c r="BO95" s="251"/>
      <c r="BP95" s="251"/>
      <c r="BQ95" s="251"/>
      <c r="BR95" s="251"/>
      <c r="BS95" s="251"/>
      <c r="BT95" s="251"/>
      <c r="BU95" s="251"/>
      <c r="BV95" s="316"/>
      <c r="BW95" s="251"/>
      <c r="BX95" s="251"/>
      <c r="BY95" s="251"/>
      <c r="BZ95" s="251"/>
      <c r="CA95" s="251"/>
      <c r="CB95" s="251"/>
      <c r="CC95" s="251"/>
      <c r="CD95" s="251"/>
      <c r="CE95" s="251"/>
      <c r="CF95" s="251"/>
      <c r="CG95" s="251"/>
      <c r="CH95" s="251"/>
      <c r="CI95" s="251"/>
      <c r="CJ95" s="251"/>
      <c r="CK95" s="251"/>
      <c r="CL95" s="251"/>
      <c r="CM95" s="251"/>
      <c r="CN95" s="251"/>
      <c r="CO95" s="252"/>
      <c r="CP95" s="251"/>
      <c r="CQ95" s="251"/>
      <c r="CR95" s="251"/>
      <c r="CS95" s="251"/>
      <c r="CT95" s="251"/>
      <c r="CU95" s="251"/>
      <c r="CV95" s="251"/>
      <c r="CW95" s="251"/>
      <c r="CX95" s="251"/>
      <c r="CY95" s="251"/>
      <c r="CZ95" s="251"/>
      <c r="DA95" s="251"/>
      <c r="DB95" s="251"/>
      <c r="DC95" s="251"/>
      <c r="DD95" s="251"/>
      <c r="DE95" s="251"/>
      <c r="DF95" s="251"/>
      <c r="DG95" s="251"/>
      <c r="DH95" s="316"/>
      <c r="DI95" s="251"/>
      <c r="DJ95" s="251"/>
      <c r="DK95" s="251"/>
      <c r="DL95" s="251"/>
      <c r="DM95" s="251"/>
      <c r="DN95" s="251"/>
      <c r="DO95" s="251"/>
      <c r="DP95" s="251"/>
      <c r="DQ95" s="251"/>
      <c r="DR95" s="251"/>
      <c r="DS95" s="251"/>
      <c r="DT95" s="251"/>
      <c r="DU95" s="251"/>
      <c r="DV95" s="251"/>
      <c r="DW95" s="251"/>
      <c r="DX95" s="251"/>
      <c r="DY95" s="251"/>
      <c r="DZ95" s="251"/>
      <c r="EA95" s="107"/>
      <c r="EC95" s="73"/>
    </row>
    <row r="96" spans="1:133" ht="25.15" customHeight="1">
      <c r="A96" s="133">
        <f t="shared" si="14"/>
        <v>20</v>
      </c>
      <c r="B96" s="69"/>
      <c r="C96" s="315"/>
      <c r="D96" s="259"/>
      <c r="E96" s="259"/>
      <c r="F96" s="259"/>
      <c r="G96" s="259"/>
      <c r="H96" s="259"/>
      <c r="I96" s="259"/>
      <c r="J96" s="259"/>
      <c r="K96" s="259"/>
      <c r="L96" s="259"/>
      <c r="M96" s="259"/>
      <c r="N96" s="259"/>
      <c r="O96" s="259"/>
      <c r="P96" s="259"/>
      <c r="Q96" s="316"/>
      <c r="R96" s="251"/>
      <c r="S96" s="251"/>
      <c r="T96" s="251"/>
      <c r="U96" s="251"/>
      <c r="V96" s="251"/>
      <c r="W96" s="251"/>
      <c r="X96" s="251"/>
      <c r="Y96" s="251"/>
      <c r="Z96" s="251"/>
      <c r="AA96" s="251"/>
      <c r="AB96" s="251"/>
      <c r="AC96" s="251"/>
      <c r="AD96" s="251"/>
      <c r="AE96" s="251"/>
      <c r="AF96" s="251"/>
      <c r="AG96" s="251"/>
      <c r="AH96" s="251"/>
      <c r="AI96" s="251"/>
      <c r="AJ96" s="252"/>
      <c r="AK96" s="251"/>
      <c r="AL96" s="251"/>
      <c r="AM96" s="251"/>
      <c r="AN96" s="251"/>
      <c r="AO96" s="251"/>
      <c r="AP96" s="251"/>
      <c r="AQ96" s="251"/>
      <c r="AR96" s="251"/>
      <c r="AS96" s="251"/>
      <c r="AT96" s="251"/>
      <c r="AU96" s="251"/>
      <c r="AV96" s="251"/>
      <c r="AW96" s="251"/>
      <c r="AX96" s="251"/>
      <c r="AY96" s="251"/>
      <c r="AZ96" s="251"/>
      <c r="BA96" s="251"/>
      <c r="BB96" s="251"/>
      <c r="BC96" s="252"/>
      <c r="BD96" s="251"/>
      <c r="BE96" s="251"/>
      <c r="BF96" s="251"/>
      <c r="BG96" s="251"/>
      <c r="BH96" s="251"/>
      <c r="BI96" s="251"/>
      <c r="BJ96" s="251"/>
      <c r="BK96" s="251"/>
      <c r="BL96" s="251"/>
      <c r="BM96" s="251"/>
      <c r="BN96" s="251"/>
      <c r="BO96" s="251"/>
      <c r="BP96" s="251"/>
      <c r="BQ96" s="251"/>
      <c r="BR96" s="251"/>
      <c r="BS96" s="251"/>
      <c r="BT96" s="251"/>
      <c r="BU96" s="251"/>
      <c r="BV96" s="316"/>
      <c r="BW96" s="251"/>
      <c r="BX96" s="251"/>
      <c r="BY96" s="251"/>
      <c r="BZ96" s="251"/>
      <c r="CA96" s="251"/>
      <c r="CB96" s="251"/>
      <c r="CC96" s="251"/>
      <c r="CD96" s="251"/>
      <c r="CE96" s="251"/>
      <c r="CF96" s="251"/>
      <c r="CG96" s="251"/>
      <c r="CH96" s="251"/>
      <c r="CI96" s="251"/>
      <c r="CJ96" s="251"/>
      <c r="CK96" s="251"/>
      <c r="CL96" s="251"/>
      <c r="CM96" s="251"/>
      <c r="CN96" s="251"/>
      <c r="CO96" s="252"/>
      <c r="CP96" s="251"/>
      <c r="CQ96" s="251"/>
      <c r="CR96" s="251"/>
      <c r="CS96" s="251"/>
      <c r="CT96" s="251"/>
      <c r="CU96" s="251"/>
      <c r="CV96" s="251"/>
      <c r="CW96" s="251"/>
      <c r="CX96" s="251"/>
      <c r="CY96" s="251"/>
      <c r="CZ96" s="251"/>
      <c r="DA96" s="251"/>
      <c r="DB96" s="251"/>
      <c r="DC96" s="251"/>
      <c r="DD96" s="251"/>
      <c r="DE96" s="251"/>
      <c r="DF96" s="251"/>
      <c r="DG96" s="251"/>
      <c r="DH96" s="316"/>
      <c r="DI96" s="251"/>
      <c r="DJ96" s="251"/>
      <c r="DK96" s="251"/>
      <c r="DL96" s="251"/>
      <c r="DM96" s="251"/>
      <c r="DN96" s="251"/>
      <c r="DO96" s="251"/>
      <c r="DP96" s="251"/>
      <c r="DQ96" s="251"/>
      <c r="DR96" s="251"/>
      <c r="DS96" s="251"/>
      <c r="DT96" s="251"/>
      <c r="DU96" s="251"/>
      <c r="DV96" s="251"/>
      <c r="DW96" s="251"/>
      <c r="DX96" s="251"/>
      <c r="DY96" s="251"/>
      <c r="DZ96" s="251"/>
      <c r="EC96" s="73"/>
    </row>
    <row r="97" spans="1:133" ht="25.15" customHeight="1">
      <c r="A97" s="133">
        <f t="shared" si="14"/>
        <v>21</v>
      </c>
      <c r="B97" s="69"/>
      <c r="C97" s="266"/>
      <c r="D97" s="296"/>
      <c r="E97" s="266"/>
      <c r="F97" s="266"/>
      <c r="G97" s="92"/>
      <c r="H97" s="92"/>
      <c r="I97" s="107"/>
      <c r="J97" s="105"/>
      <c r="K97" s="107"/>
      <c r="L97" s="107"/>
      <c r="M97" s="101"/>
      <c r="N97" s="101"/>
      <c r="O97" s="107"/>
      <c r="P97" s="105"/>
      <c r="Q97" s="316"/>
      <c r="R97" s="251"/>
      <c r="S97" s="251"/>
      <c r="T97" s="251"/>
      <c r="U97" s="251"/>
      <c r="V97" s="251"/>
      <c r="W97" s="251"/>
      <c r="X97" s="251"/>
      <c r="Y97" s="251"/>
      <c r="Z97" s="251"/>
      <c r="AA97" s="251"/>
      <c r="AB97" s="251"/>
      <c r="AC97" s="251"/>
      <c r="AD97" s="251"/>
      <c r="AE97" s="251"/>
      <c r="AF97" s="251"/>
      <c r="AG97" s="251"/>
      <c r="AH97" s="251"/>
      <c r="AI97" s="251"/>
      <c r="AJ97" s="252"/>
      <c r="AK97" s="251"/>
      <c r="AL97" s="251"/>
      <c r="AM97" s="251"/>
      <c r="AN97" s="251"/>
      <c r="AO97" s="251"/>
      <c r="AP97" s="251"/>
      <c r="AQ97" s="251"/>
      <c r="AR97" s="251"/>
      <c r="AS97" s="251"/>
      <c r="AT97" s="251"/>
      <c r="AU97" s="251"/>
      <c r="AV97" s="251"/>
      <c r="AW97" s="251"/>
      <c r="AX97" s="251"/>
      <c r="AY97" s="251"/>
      <c r="AZ97" s="251"/>
      <c r="BA97" s="251"/>
      <c r="BB97" s="251"/>
      <c r="BC97" s="252"/>
      <c r="BD97" s="251"/>
      <c r="BE97" s="251"/>
      <c r="BF97" s="251"/>
      <c r="BG97" s="251"/>
      <c r="BH97" s="251"/>
      <c r="BI97" s="251"/>
      <c r="BJ97" s="251"/>
      <c r="BK97" s="251"/>
      <c r="BL97" s="251"/>
      <c r="BM97" s="251"/>
      <c r="BN97" s="251"/>
      <c r="BO97" s="251"/>
      <c r="BP97" s="251"/>
      <c r="BQ97" s="251"/>
      <c r="BR97" s="251"/>
      <c r="BS97" s="251"/>
      <c r="BT97" s="251"/>
      <c r="BU97" s="251"/>
      <c r="BV97" s="316"/>
      <c r="BW97" s="251"/>
      <c r="BX97" s="251"/>
      <c r="BY97" s="251"/>
      <c r="BZ97" s="251"/>
      <c r="CA97" s="251"/>
      <c r="CB97" s="251"/>
      <c r="CC97" s="251"/>
      <c r="CD97" s="251"/>
      <c r="CE97" s="251"/>
      <c r="CF97" s="251"/>
      <c r="CG97" s="251"/>
      <c r="CH97" s="251"/>
      <c r="CI97" s="251"/>
      <c r="CJ97" s="251"/>
      <c r="CK97" s="251"/>
      <c r="CL97" s="251"/>
      <c r="CM97" s="251"/>
      <c r="CN97" s="251"/>
      <c r="CO97" s="252"/>
      <c r="CP97" s="251"/>
      <c r="CQ97" s="251"/>
      <c r="CR97" s="251"/>
      <c r="CS97" s="251"/>
      <c r="CT97" s="251"/>
      <c r="CU97" s="251"/>
      <c r="CV97" s="251"/>
      <c r="CW97" s="251"/>
      <c r="CX97" s="251"/>
      <c r="CY97" s="251"/>
      <c r="CZ97" s="251"/>
      <c r="DA97" s="251"/>
      <c r="DB97" s="251"/>
      <c r="DC97" s="251"/>
      <c r="DD97" s="251"/>
      <c r="DE97" s="251"/>
      <c r="DF97" s="251"/>
      <c r="DG97" s="251"/>
      <c r="DH97" s="316"/>
      <c r="DI97" s="251"/>
      <c r="DJ97" s="251"/>
      <c r="DK97" s="251"/>
      <c r="DL97" s="251"/>
      <c r="DM97" s="251"/>
      <c r="DN97" s="251"/>
      <c r="DO97" s="251"/>
      <c r="DP97" s="251"/>
      <c r="DQ97" s="251"/>
      <c r="DR97" s="251"/>
      <c r="DS97" s="251"/>
      <c r="DT97" s="251"/>
      <c r="DU97" s="251"/>
      <c r="DV97" s="251"/>
      <c r="DW97" s="251"/>
      <c r="DX97" s="251"/>
      <c r="DY97" s="251"/>
      <c r="DZ97" s="251"/>
      <c r="EC97" s="73"/>
    </row>
    <row r="98" spans="1:133" ht="25.15" customHeight="1">
      <c r="A98" s="133"/>
      <c r="B98" s="100"/>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251"/>
      <c r="AV98" s="251"/>
      <c r="AW98" s="251"/>
      <c r="AX98" s="251"/>
      <c r="AY98" s="251"/>
      <c r="AZ98" s="251"/>
      <c r="BA98" s="251"/>
      <c r="BB98" s="251"/>
      <c r="BC98" s="251"/>
      <c r="BD98" s="251"/>
      <c r="BE98" s="251"/>
      <c r="BF98" s="251"/>
      <c r="BG98" s="251"/>
      <c r="BH98" s="251"/>
      <c r="BI98" s="251"/>
      <c r="BJ98" s="251"/>
      <c r="BK98" s="251"/>
      <c r="BL98" s="251"/>
      <c r="BM98" s="251"/>
      <c r="BN98" s="251"/>
      <c r="BO98" s="251"/>
      <c r="BP98" s="251"/>
      <c r="BQ98" s="251"/>
      <c r="BR98" s="251"/>
      <c r="BS98" s="251"/>
      <c r="BT98" s="251"/>
      <c r="BU98" s="251"/>
      <c r="BV98" s="251"/>
      <c r="BW98" s="251"/>
      <c r="BX98" s="251"/>
      <c r="BY98" s="251"/>
      <c r="BZ98" s="251"/>
      <c r="CA98" s="251"/>
      <c r="CB98" s="251"/>
      <c r="CC98" s="251"/>
      <c r="CD98" s="251"/>
      <c r="CE98" s="251"/>
      <c r="CF98" s="251"/>
      <c r="CG98" s="251"/>
      <c r="CH98" s="251"/>
      <c r="CI98" s="251"/>
      <c r="CJ98" s="251"/>
      <c r="CK98" s="251"/>
      <c r="CL98" s="251"/>
      <c r="CM98" s="251"/>
      <c r="CN98" s="251"/>
      <c r="CO98" s="251"/>
      <c r="CP98" s="251"/>
      <c r="CQ98" s="251"/>
      <c r="CR98" s="251"/>
      <c r="CS98" s="251"/>
      <c r="CT98" s="251"/>
      <c r="CU98" s="251"/>
      <c r="CV98" s="251"/>
      <c r="CW98" s="251"/>
      <c r="CX98" s="251"/>
      <c r="CY98" s="251"/>
      <c r="CZ98" s="251"/>
      <c r="DA98" s="251"/>
      <c r="DB98" s="251"/>
      <c r="DC98" s="251"/>
      <c r="DD98" s="251"/>
      <c r="DE98" s="251"/>
      <c r="DF98" s="251"/>
      <c r="DG98" s="251"/>
      <c r="DH98" s="251"/>
      <c r="DI98" s="251"/>
      <c r="DJ98" s="251"/>
      <c r="DK98" s="251"/>
      <c r="DL98" s="251"/>
      <c r="DM98" s="251"/>
      <c r="DN98" s="251"/>
      <c r="DO98" s="251"/>
      <c r="DP98" s="251"/>
      <c r="DQ98" s="251"/>
      <c r="DR98" s="251"/>
      <c r="DS98" s="251"/>
      <c r="DT98" s="251"/>
      <c r="DU98" s="251"/>
      <c r="DV98" s="251"/>
      <c r="DW98" s="251"/>
      <c r="DX98" s="251"/>
      <c r="DY98" s="251"/>
      <c r="DZ98" s="251"/>
      <c r="EA98" s="251"/>
      <c r="EB98" s="251"/>
      <c r="EC98" s="73"/>
    </row>
    <row r="99" spans="1:133" ht="25.15" customHeight="1">
      <c r="A99" s="133">
        <f>A98+1</f>
        <v>1</v>
      </c>
      <c r="B99" s="100"/>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47"/>
      <c r="BG99" s="47"/>
      <c r="BH99" s="47"/>
      <c r="BI99" s="47"/>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c r="DK99" s="101"/>
      <c r="DL99" s="101"/>
      <c r="DM99" s="101"/>
      <c r="DN99" s="101"/>
      <c r="DO99" s="101"/>
      <c r="DP99" s="101"/>
      <c r="DQ99" s="101"/>
      <c r="DR99" s="101"/>
      <c r="DS99" s="101"/>
      <c r="DT99" s="101"/>
      <c r="DU99" s="101"/>
      <c r="DV99" s="101"/>
      <c r="DW99" s="101"/>
      <c r="DX99" s="101"/>
      <c r="DY99" s="101"/>
      <c r="DZ99" s="101"/>
      <c r="EA99" s="92"/>
      <c r="EB99" s="71"/>
      <c r="EC99" s="73"/>
    </row>
    <row r="100" spans="1:133" ht="24.6" customHeight="1">
      <c r="A100" s="133">
        <f>A97+1</f>
        <v>22</v>
      </c>
      <c r="B100" s="100"/>
      <c r="C100" s="101"/>
      <c r="D100" s="101"/>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11"/>
      <c r="AJ100" s="111"/>
      <c r="AK100" s="111"/>
      <c r="AL100" s="111"/>
      <c r="AM100" s="111"/>
      <c r="AN100" s="111"/>
      <c r="AO100" s="111"/>
      <c r="AP100" s="111"/>
      <c r="AQ100" s="111"/>
      <c r="AR100" s="111"/>
      <c r="AS100" s="111"/>
      <c r="AT100" s="111"/>
      <c r="AU100" s="111"/>
      <c r="AV100" s="111"/>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1"/>
      <c r="BW100" s="102"/>
      <c r="BX100" s="105"/>
      <c r="BY100" s="105"/>
      <c r="BZ100" s="105"/>
      <c r="CA100" s="105"/>
      <c r="CB100" s="105"/>
      <c r="CC100" s="105"/>
      <c r="CD100" s="105"/>
      <c r="CE100" s="105"/>
      <c r="CF100" s="105"/>
      <c r="CG100" s="105"/>
      <c r="CH100" s="105"/>
      <c r="CI100" s="105"/>
      <c r="CJ100" s="105"/>
      <c r="CK100" s="105"/>
      <c r="CL100" s="105"/>
      <c r="CM100" s="105"/>
      <c r="CN100" s="105"/>
      <c r="CO100" s="105"/>
      <c r="CP100" s="105"/>
      <c r="CQ100" s="105"/>
      <c r="CR100" s="105"/>
      <c r="CS100" s="105"/>
      <c r="CT100" s="105"/>
      <c r="CU100" s="105"/>
      <c r="CV100" s="105"/>
      <c r="CW100" s="105"/>
      <c r="CX100" s="105"/>
      <c r="CY100" s="105"/>
      <c r="CZ100" s="105"/>
      <c r="DA100" s="105"/>
      <c r="DB100" s="105"/>
      <c r="DC100" s="105"/>
      <c r="DD100" s="105"/>
      <c r="DE100" s="105"/>
      <c r="DF100" s="105"/>
      <c r="DG100" s="106"/>
      <c r="DH100" s="106"/>
      <c r="DI100" s="105"/>
      <c r="DJ100" s="105"/>
      <c r="DK100" s="105"/>
      <c r="DL100" s="105"/>
      <c r="DM100" s="92"/>
      <c r="DN100" s="92"/>
      <c r="DO100" s="92"/>
      <c r="DP100" s="92"/>
      <c r="DQ100" s="92"/>
      <c r="DR100" s="110"/>
      <c r="DS100" s="110"/>
      <c r="DT100" s="92"/>
      <c r="DU100" s="92"/>
      <c r="DV100" s="92"/>
      <c r="DW100" s="92"/>
      <c r="DX100" s="92"/>
      <c r="DY100" s="107"/>
      <c r="DZ100" s="107"/>
      <c r="EA100" s="92"/>
      <c r="EB100" s="71"/>
      <c r="EC100" s="73"/>
    </row>
    <row r="101" spans="1:133" s="47" customFormat="1" ht="25.15" customHeight="1">
      <c r="A101" s="1">
        <f t="shared" si="14"/>
        <v>23</v>
      </c>
      <c r="B101" s="6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c r="AA101" s="259"/>
      <c r="AB101" s="259"/>
      <c r="AC101" s="259"/>
      <c r="AD101" s="259"/>
      <c r="AE101" s="259"/>
      <c r="AF101" s="259"/>
      <c r="AG101" s="259"/>
      <c r="AH101" s="259"/>
      <c r="AI101" s="259"/>
      <c r="AJ101" s="259"/>
      <c r="AK101" s="259"/>
      <c r="AL101" s="259"/>
      <c r="AM101" s="259"/>
      <c r="AN101" s="259"/>
      <c r="AO101" s="259"/>
      <c r="AP101" s="259"/>
      <c r="AQ101" s="259"/>
      <c r="AR101" s="259"/>
      <c r="AS101" s="259"/>
      <c r="AT101" s="259"/>
      <c r="AU101" s="259"/>
      <c r="AV101" s="259"/>
      <c r="AW101" s="259"/>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105"/>
      <c r="BT101" s="92"/>
      <c r="BU101" s="72"/>
      <c r="BV101" s="92"/>
      <c r="BW101" s="259"/>
      <c r="BX101" s="259"/>
      <c r="BY101" s="259"/>
      <c r="BZ101" s="259"/>
      <c r="CA101" s="259"/>
      <c r="CB101" s="259"/>
      <c r="CC101" s="259"/>
      <c r="CD101" s="259"/>
      <c r="CE101" s="259"/>
      <c r="CF101" s="259"/>
      <c r="CG101" s="259"/>
      <c r="CH101" s="259"/>
      <c r="CI101" s="259"/>
      <c r="CJ101" s="259"/>
      <c r="CK101" s="259"/>
      <c r="CL101" s="259"/>
      <c r="CM101" s="259"/>
      <c r="CN101" s="259"/>
      <c r="CO101" s="259"/>
      <c r="CP101" s="259"/>
      <c r="CQ101" s="259"/>
      <c r="CR101" s="259"/>
      <c r="CS101" s="259"/>
      <c r="CT101" s="259"/>
      <c r="CU101" s="259"/>
      <c r="CV101" s="259"/>
      <c r="CW101" s="259"/>
      <c r="CX101" s="259"/>
      <c r="CY101" s="259"/>
      <c r="CZ101" s="259"/>
      <c r="DA101" s="259"/>
      <c r="DB101" s="259"/>
      <c r="DC101" s="259"/>
      <c r="DD101" s="259"/>
      <c r="DE101" s="259"/>
      <c r="DF101" s="259"/>
      <c r="DG101" s="259"/>
      <c r="DH101" s="259"/>
      <c r="DI101" s="259"/>
      <c r="DJ101" s="259"/>
      <c r="DK101" s="259"/>
      <c r="DL101" s="259"/>
      <c r="DM101" s="259"/>
      <c r="DN101" s="259"/>
      <c r="DO101" s="259"/>
      <c r="DP101" s="259"/>
      <c r="DQ101" s="259"/>
      <c r="DR101" s="259"/>
      <c r="DS101" s="259"/>
      <c r="DT101" s="259"/>
      <c r="DU101" s="259"/>
      <c r="DV101" s="259"/>
      <c r="DW101" s="259"/>
      <c r="DX101" s="259"/>
      <c r="DY101" s="259"/>
      <c r="DZ101" s="259"/>
      <c r="EA101" s="259"/>
      <c r="EB101" s="259"/>
      <c r="EC101" s="73"/>
    </row>
    <row r="102" spans="1:133" s="179" customFormat="1" ht="25.15" customHeight="1">
      <c r="A102" s="1">
        <f t="shared" si="14"/>
        <v>24</v>
      </c>
      <c r="B102" s="176"/>
      <c r="C102" s="340"/>
      <c r="D102" s="340"/>
      <c r="E102" s="340"/>
      <c r="F102" s="340"/>
      <c r="G102" s="340"/>
      <c r="H102" s="340"/>
      <c r="I102" s="340"/>
      <c r="J102" s="340"/>
      <c r="K102" s="340"/>
      <c r="L102" s="340"/>
      <c r="M102" s="340"/>
      <c r="N102" s="340"/>
      <c r="O102" s="340"/>
      <c r="P102" s="340"/>
      <c r="Q102" s="340"/>
      <c r="R102" s="340"/>
      <c r="S102" s="340"/>
      <c r="T102" s="340"/>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118"/>
      <c r="BC102" s="118"/>
      <c r="BD102" s="118"/>
      <c r="BE102" s="118"/>
      <c r="BF102" s="118"/>
      <c r="BG102" s="118"/>
      <c r="BL102" s="118"/>
      <c r="BM102" s="118"/>
      <c r="BN102" s="118"/>
      <c r="BO102" s="341"/>
      <c r="BP102" s="341"/>
      <c r="BQ102" s="341"/>
      <c r="BR102" s="341"/>
      <c r="BV102" s="118"/>
      <c r="BW102" s="340"/>
      <c r="BX102" s="340"/>
      <c r="BY102" s="340"/>
      <c r="BZ102" s="340"/>
      <c r="CA102" s="340"/>
      <c r="CB102" s="340"/>
      <c r="CC102" s="340"/>
      <c r="CD102" s="340"/>
      <c r="CE102" s="340"/>
      <c r="CF102" s="340"/>
      <c r="CG102" s="340"/>
      <c r="CH102" s="340"/>
      <c r="CI102" s="340"/>
      <c r="CJ102" s="340"/>
      <c r="CK102" s="340"/>
      <c r="CL102" s="340"/>
      <c r="CM102" s="340"/>
      <c r="CN102" s="340"/>
      <c r="CO102" s="340"/>
      <c r="CP102" s="340"/>
      <c r="CQ102" s="340"/>
      <c r="CR102" s="340"/>
      <c r="CS102" s="340"/>
      <c r="CT102" s="340"/>
      <c r="CU102" s="340"/>
      <c r="CV102" s="340"/>
      <c r="CW102" s="340"/>
      <c r="CX102" s="340"/>
      <c r="CY102" s="340"/>
      <c r="CZ102" s="340"/>
      <c r="DA102" s="340"/>
      <c r="DB102" s="340"/>
      <c r="DC102" s="340"/>
      <c r="DD102" s="340"/>
      <c r="DE102" s="340"/>
      <c r="DF102" s="340"/>
      <c r="DG102" s="340"/>
      <c r="DH102" s="340"/>
      <c r="DI102" s="340"/>
      <c r="DJ102" s="340"/>
      <c r="DK102" s="340"/>
      <c r="DL102" s="342"/>
      <c r="DM102" s="342"/>
      <c r="DN102" s="342"/>
      <c r="DO102" s="342"/>
      <c r="DP102" s="342"/>
      <c r="DQ102" s="342"/>
      <c r="DR102" s="342"/>
      <c r="DS102" s="342"/>
      <c r="DT102" s="342"/>
      <c r="DU102" s="342"/>
      <c r="DV102" s="342"/>
      <c r="DW102" s="342"/>
      <c r="DX102" s="342"/>
      <c r="DY102" s="342"/>
      <c r="DZ102" s="342"/>
      <c r="EA102" s="342"/>
      <c r="EB102" s="342"/>
      <c r="EC102" s="180"/>
    </row>
    <row r="103" spans="1:133" s="47" customFormat="1" ht="25.15" customHeight="1">
      <c r="A103" s="1">
        <f t="shared" si="14"/>
        <v>25</v>
      </c>
      <c r="B103" s="6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c r="AA103" s="259"/>
      <c r="AB103" s="259"/>
      <c r="AC103" s="259"/>
      <c r="AD103" s="259"/>
      <c r="AE103" s="259"/>
      <c r="AF103" s="259"/>
      <c r="AG103" s="259"/>
      <c r="AH103" s="259"/>
      <c r="AI103" s="259"/>
      <c r="AJ103" s="259"/>
      <c r="AK103" s="259"/>
      <c r="AL103" s="259"/>
      <c r="AM103" s="259"/>
      <c r="AN103" s="259"/>
      <c r="AO103" s="259"/>
      <c r="AP103" s="259"/>
      <c r="AQ103" s="259"/>
      <c r="AR103" s="259"/>
      <c r="AS103" s="259"/>
      <c r="AT103" s="259"/>
      <c r="AU103" s="259"/>
      <c r="AV103" s="259"/>
      <c r="AW103" s="259"/>
      <c r="AX103" s="259"/>
      <c r="AY103" s="259"/>
      <c r="AZ103" s="259"/>
      <c r="BA103" s="259"/>
      <c r="BB103" s="314"/>
      <c r="BC103" s="251"/>
      <c r="BD103" s="251"/>
      <c r="BE103" s="251"/>
      <c r="BF103" s="251"/>
      <c r="BG103" s="251"/>
      <c r="BH103" s="251"/>
      <c r="BI103" s="251"/>
      <c r="BJ103" s="251"/>
      <c r="BK103" s="251"/>
      <c r="BL103" s="251"/>
      <c r="BM103" s="251"/>
      <c r="BN103" s="251"/>
      <c r="BO103" s="251"/>
      <c r="BP103" s="251"/>
      <c r="BQ103" s="251"/>
      <c r="BR103" s="251"/>
      <c r="BS103" s="107"/>
      <c r="BT103" s="107"/>
      <c r="BU103" s="107"/>
      <c r="BV103" s="92"/>
      <c r="BW103" s="259"/>
      <c r="BX103" s="259"/>
      <c r="BY103" s="259"/>
      <c r="BZ103" s="259"/>
      <c r="CA103" s="259"/>
      <c r="CB103" s="259"/>
      <c r="CC103" s="259"/>
      <c r="CD103" s="259"/>
      <c r="CE103" s="259"/>
      <c r="CF103" s="259"/>
      <c r="CG103" s="259"/>
      <c r="CH103" s="259"/>
      <c r="CI103" s="259"/>
      <c r="CJ103" s="259"/>
      <c r="CK103" s="259"/>
      <c r="CL103" s="259"/>
      <c r="CM103" s="259"/>
      <c r="CN103" s="259"/>
      <c r="CO103" s="259"/>
      <c r="CP103" s="259"/>
      <c r="CQ103" s="259"/>
      <c r="CR103" s="259"/>
      <c r="CS103" s="259"/>
      <c r="CT103" s="259"/>
      <c r="CU103" s="259"/>
      <c r="CV103" s="259"/>
      <c r="CW103" s="259"/>
      <c r="CX103" s="259"/>
      <c r="CY103" s="259"/>
      <c r="CZ103" s="259"/>
      <c r="DA103" s="259"/>
      <c r="DB103" s="259"/>
      <c r="DC103" s="259"/>
      <c r="DD103" s="259"/>
      <c r="DE103" s="259"/>
      <c r="DF103" s="259"/>
      <c r="DG103" s="259"/>
      <c r="DH103" s="259"/>
      <c r="DI103" s="259"/>
      <c r="DJ103" s="259"/>
      <c r="DK103" s="259"/>
      <c r="DL103" s="314"/>
      <c r="DM103" s="314"/>
      <c r="DN103" s="314"/>
      <c r="DO103" s="314"/>
      <c r="DP103" s="314"/>
      <c r="DQ103" s="314"/>
      <c r="DR103" s="314"/>
      <c r="DS103" s="314"/>
      <c r="DT103" s="314"/>
      <c r="DU103" s="314"/>
      <c r="DV103" s="314"/>
      <c r="DW103" s="314"/>
      <c r="DX103" s="314"/>
      <c r="DY103" s="314"/>
      <c r="DZ103" s="314"/>
      <c r="EA103" s="314"/>
      <c r="EB103" s="314"/>
      <c r="EC103" s="73"/>
    </row>
    <row r="104" spans="1:133" s="47" customFormat="1" ht="25.15" customHeight="1">
      <c r="A104" s="1">
        <f t="shared" si="14"/>
        <v>26</v>
      </c>
      <c r="B104" s="6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c r="AA104" s="259"/>
      <c r="AB104" s="259"/>
      <c r="AC104" s="259"/>
      <c r="AD104" s="259"/>
      <c r="AE104" s="259"/>
      <c r="AF104" s="259"/>
      <c r="AG104" s="259"/>
      <c r="AH104" s="259"/>
      <c r="AI104" s="259"/>
      <c r="AJ104" s="259"/>
      <c r="AK104" s="259"/>
      <c r="AL104" s="259"/>
      <c r="AM104" s="259"/>
      <c r="AN104" s="259"/>
      <c r="AO104" s="259"/>
      <c r="AP104" s="259"/>
      <c r="AQ104" s="259"/>
      <c r="AR104" s="259"/>
      <c r="AS104" s="259"/>
      <c r="AT104" s="259"/>
      <c r="AU104" s="259"/>
      <c r="AV104" s="259"/>
      <c r="AW104" s="259"/>
      <c r="AX104" s="259"/>
      <c r="AY104" s="259"/>
      <c r="AZ104" s="259"/>
      <c r="BA104" s="259"/>
      <c r="BB104" s="314"/>
      <c r="BC104" s="251"/>
      <c r="BD104" s="251"/>
      <c r="BE104" s="251"/>
      <c r="BF104" s="251"/>
      <c r="BG104" s="251"/>
      <c r="BH104" s="251"/>
      <c r="BI104" s="251"/>
      <c r="BJ104" s="251"/>
      <c r="BK104" s="251"/>
      <c r="BL104" s="251"/>
      <c r="BM104" s="251"/>
      <c r="BN104" s="251"/>
      <c r="BO104" s="251"/>
      <c r="BP104" s="251"/>
      <c r="BQ104" s="251"/>
      <c r="BR104" s="251"/>
      <c r="BS104" s="107"/>
      <c r="BT104" s="107"/>
      <c r="BU104" s="107"/>
      <c r="BV104" s="92"/>
      <c r="BW104" s="259"/>
      <c r="BX104" s="259"/>
      <c r="BY104" s="259"/>
      <c r="BZ104" s="259"/>
      <c r="CA104" s="259"/>
      <c r="CB104" s="259"/>
      <c r="CC104" s="259"/>
      <c r="CD104" s="259"/>
      <c r="CE104" s="259"/>
      <c r="CF104" s="259"/>
      <c r="CG104" s="259"/>
      <c r="CH104" s="259"/>
      <c r="CI104" s="259"/>
      <c r="CJ104" s="259"/>
      <c r="CK104" s="259"/>
      <c r="CL104" s="259"/>
      <c r="CM104" s="259"/>
      <c r="CN104" s="259"/>
      <c r="CO104" s="259"/>
      <c r="CP104" s="259"/>
      <c r="CQ104" s="259"/>
      <c r="CR104" s="259"/>
      <c r="CS104" s="259"/>
      <c r="CT104" s="259"/>
      <c r="CU104" s="259"/>
      <c r="CV104" s="259"/>
      <c r="CW104" s="259"/>
      <c r="CX104" s="259"/>
      <c r="CY104" s="259"/>
      <c r="CZ104" s="259"/>
      <c r="DA104" s="259"/>
      <c r="DB104" s="259"/>
      <c r="DC104" s="259"/>
      <c r="DD104" s="259"/>
      <c r="DE104" s="259"/>
      <c r="DF104" s="259"/>
      <c r="DG104" s="259"/>
      <c r="DH104" s="259"/>
      <c r="DI104" s="259"/>
      <c r="DJ104" s="259"/>
      <c r="DK104" s="259"/>
      <c r="DL104" s="314"/>
      <c r="DM104" s="251"/>
      <c r="DN104" s="251"/>
      <c r="DO104" s="251"/>
      <c r="DP104" s="251"/>
      <c r="DQ104" s="251"/>
      <c r="DR104" s="251"/>
      <c r="DS104" s="251"/>
      <c r="DT104" s="251"/>
      <c r="DU104" s="251"/>
      <c r="DV104" s="251"/>
      <c r="DW104" s="251"/>
      <c r="DX104" s="251"/>
      <c r="DY104" s="251"/>
      <c r="DZ104" s="251"/>
      <c r="EA104" s="251"/>
      <c r="EB104" s="251"/>
      <c r="EC104" s="73"/>
    </row>
    <row r="105" spans="1:133" s="47" customFormat="1" ht="25.15" customHeight="1">
      <c r="A105" s="1">
        <f t="shared" si="14"/>
        <v>27</v>
      </c>
      <c r="B105" s="6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59"/>
      <c r="AQ105" s="259"/>
      <c r="AR105" s="259"/>
      <c r="AS105" s="259"/>
      <c r="AT105" s="259"/>
      <c r="AU105" s="259"/>
      <c r="AV105" s="259"/>
      <c r="AW105" s="259"/>
      <c r="AX105" s="259"/>
      <c r="AY105" s="259"/>
      <c r="AZ105" s="259"/>
      <c r="BA105" s="259"/>
      <c r="BB105" s="314"/>
      <c r="BC105" s="251"/>
      <c r="BD105" s="251"/>
      <c r="BE105" s="251"/>
      <c r="BF105" s="251"/>
      <c r="BG105" s="251"/>
      <c r="BH105" s="251"/>
      <c r="BI105" s="251"/>
      <c r="BJ105" s="251"/>
      <c r="BK105" s="251"/>
      <c r="BL105" s="251"/>
      <c r="BM105" s="251"/>
      <c r="BN105" s="251"/>
      <c r="BO105" s="251"/>
      <c r="BP105" s="251"/>
      <c r="BQ105" s="251"/>
      <c r="BR105" s="251"/>
      <c r="BS105" s="107"/>
      <c r="BT105" s="107"/>
      <c r="BU105" s="107"/>
      <c r="BV105" s="92"/>
      <c r="BW105" s="259"/>
      <c r="BX105" s="259"/>
      <c r="BY105" s="259"/>
      <c r="BZ105" s="259"/>
      <c r="CA105" s="259"/>
      <c r="CB105" s="259"/>
      <c r="CC105" s="259"/>
      <c r="CD105" s="259"/>
      <c r="CE105" s="259"/>
      <c r="CF105" s="259"/>
      <c r="CG105" s="259"/>
      <c r="CH105" s="259"/>
      <c r="CI105" s="259"/>
      <c r="CJ105" s="259"/>
      <c r="CK105" s="259"/>
      <c r="CL105" s="259"/>
      <c r="CM105" s="259"/>
      <c r="CN105" s="259"/>
      <c r="CO105" s="259"/>
      <c r="CP105" s="259"/>
      <c r="CQ105" s="259"/>
      <c r="CR105" s="259"/>
      <c r="CS105" s="259"/>
      <c r="CT105" s="259"/>
      <c r="CU105" s="259"/>
      <c r="CV105" s="259"/>
      <c r="CW105" s="259"/>
      <c r="CX105" s="259"/>
      <c r="CY105" s="259"/>
      <c r="CZ105" s="259"/>
      <c r="DA105" s="259"/>
      <c r="DB105" s="259"/>
      <c r="DC105" s="259"/>
      <c r="DD105" s="259"/>
      <c r="DE105" s="259"/>
      <c r="DF105" s="259"/>
      <c r="DG105" s="259"/>
      <c r="DH105" s="259"/>
      <c r="DI105" s="259"/>
      <c r="DJ105" s="259"/>
      <c r="DK105" s="259"/>
      <c r="DL105" s="314"/>
      <c r="DM105" s="251"/>
      <c r="DN105" s="251"/>
      <c r="DO105" s="251"/>
      <c r="DP105" s="251"/>
      <c r="DQ105" s="251"/>
      <c r="DR105" s="251"/>
      <c r="DS105" s="251"/>
      <c r="DT105" s="251"/>
      <c r="DU105" s="251"/>
      <c r="DV105" s="251"/>
      <c r="DW105" s="251"/>
      <c r="DX105" s="251"/>
      <c r="DY105" s="251"/>
      <c r="DZ105" s="251"/>
      <c r="EA105" s="251"/>
      <c r="EB105" s="251"/>
      <c r="EC105" s="73"/>
    </row>
    <row r="106" spans="1:133" s="47" customFormat="1" ht="25.15" customHeight="1">
      <c r="A106" s="1">
        <f t="shared" si="14"/>
        <v>28</v>
      </c>
      <c r="B106" s="6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c r="AO106" s="259"/>
      <c r="AP106" s="259"/>
      <c r="AQ106" s="259"/>
      <c r="AR106" s="259"/>
      <c r="AS106" s="259"/>
      <c r="AT106" s="259"/>
      <c r="AU106" s="259"/>
      <c r="AV106" s="259"/>
      <c r="AW106" s="259"/>
      <c r="AX106" s="259"/>
      <c r="AY106" s="259"/>
      <c r="AZ106" s="259"/>
      <c r="BA106" s="259"/>
      <c r="BB106" s="251"/>
      <c r="BC106" s="251"/>
      <c r="BD106" s="251"/>
      <c r="BE106" s="251"/>
      <c r="BF106" s="251"/>
      <c r="BG106" s="251"/>
      <c r="BH106" s="251"/>
      <c r="BI106" s="251"/>
      <c r="BJ106" s="251"/>
      <c r="BK106" s="251"/>
      <c r="BL106" s="251"/>
      <c r="BM106" s="251"/>
      <c r="BN106" s="251"/>
      <c r="BO106" s="251"/>
      <c r="BP106" s="251"/>
      <c r="BQ106" s="251"/>
      <c r="BR106" s="251"/>
      <c r="BS106" s="107"/>
      <c r="BT106" s="107"/>
      <c r="BU106" s="107"/>
      <c r="BV106" s="92"/>
      <c r="BW106" s="259"/>
      <c r="BX106" s="259"/>
      <c r="BY106" s="259"/>
      <c r="BZ106" s="259"/>
      <c r="CA106" s="259"/>
      <c r="CB106" s="259"/>
      <c r="CC106" s="259"/>
      <c r="CD106" s="259"/>
      <c r="CE106" s="259"/>
      <c r="CF106" s="259"/>
      <c r="CG106" s="259"/>
      <c r="CH106" s="259"/>
      <c r="CI106" s="259"/>
      <c r="CJ106" s="259"/>
      <c r="CK106" s="259"/>
      <c r="CL106" s="259"/>
      <c r="CM106" s="259"/>
      <c r="CN106" s="259"/>
      <c r="CO106" s="259"/>
      <c r="CP106" s="259"/>
      <c r="CQ106" s="259"/>
      <c r="CR106" s="259"/>
      <c r="CS106" s="259"/>
      <c r="CT106" s="259"/>
      <c r="CU106" s="259"/>
      <c r="CV106" s="259"/>
      <c r="CW106" s="259"/>
      <c r="CX106" s="259"/>
      <c r="CY106" s="259"/>
      <c r="CZ106" s="259"/>
      <c r="DA106" s="259"/>
      <c r="DB106" s="259"/>
      <c r="DC106" s="259"/>
      <c r="DD106" s="259"/>
      <c r="DE106" s="259"/>
      <c r="DF106" s="259"/>
      <c r="DG106" s="259"/>
      <c r="DH106" s="259"/>
      <c r="DI106" s="259"/>
      <c r="DJ106" s="259"/>
      <c r="DK106" s="259"/>
      <c r="DL106" s="251"/>
      <c r="DM106" s="251"/>
      <c r="DN106" s="251"/>
      <c r="DO106" s="251"/>
      <c r="DP106" s="251"/>
      <c r="DQ106" s="251"/>
      <c r="DR106" s="251"/>
      <c r="DS106" s="251"/>
      <c r="DT106" s="251"/>
      <c r="DU106" s="251"/>
      <c r="DV106" s="251"/>
      <c r="DW106" s="251"/>
      <c r="DX106" s="251"/>
      <c r="DY106" s="251"/>
      <c r="DZ106" s="251"/>
      <c r="EA106" s="251"/>
      <c r="EB106" s="251"/>
      <c r="EC106" s="73"/>
    </row>
    <row r="107" spans="1:133" s="47" customFormat="1" ht="25.15" customHeight="1">
      <c r="A107" s="1">
        <f t="shared" si="14"/>
        <v>29</v>
      </c>
      <c r="B107" s="6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251"/>
      <c r="BC107" s="251"/>
      <c r="BD107" s="251"/>
      <c r="BE107" s="251"/>
      <c r="BF107" s="251"/>
      <c r="BG107" s="251"/>
      <c r="BH107" s="251"/>
      <c r="BI107" s="251"/>
      <c r="BJ107" s="251"/>
      <c r="BK107" s="251"/>
      <c r="BL107" s="251"/>
      <c r="BM107" s="251"/>
      <c r="BN107" s="251"/>
      <c r="BO107" s="251"/>
      <c r="BP107" s="251"/>
      <c r="BQ107" s="251"/>
      <c r="BR107" s="251"/>
      <c r="BS107" s="107"/>
      <c r="BT107" s="107"/>
      <c r="BU107" s="107"/>
      <c r="BV107" s="92"/>
      <c r="BW107" s="259"/>
      <c r="BX107" s="259"/>
      <c r="BY107" s="259"/>
      <c r="BZ107" s="259"/>
      <c r="CA107" s="259"/>
      <c r="CB107" s="259"/>
      <c r="CC107" s="259"/>
      <c r="CD107" s="259"/>
      <c r="CE107" s="259"/>
      <c r="CF107" s="259"/>
      <c r="CG107" s="259"/>
      <c r="CH107" s="259"/>
      <c r="CI107" s="259"/>
      <c r="CJ107" s="259"/>
      <c r="CK107" s="259"/>
      <c r="CL107" s="259"/>
      <c r="CM107" s="259"/>
      <c r="CN107" s="259"/>
      <c r="CO107" s="259"/>
      <c r="CP107" s="259"/>
      <c r="CQ107" s="259"/>
      <c r="CR107" s="259"/>
      <c r="CS107" s="259"/>
      <c r="CT107" s="259"/>
      <c r="CU107" s="259"/>
      <c r="CV107" s="259"/>
      <c r="CW107" s="259"/>
      <c r="CX107" s="259"/>
      <c r="CY107" s="259"/>
      <c r="CZ107" s="259"/>
      <c r="DA107" s="259"/>
      <c r="DB107" s="259"/>
      <c r="DC107" s="259"/>
      <c r="DD107" s="259"/>
      <c r="DE107" s="259"/>
      <c r="DF107" s="259"/>
      <c r="DG107" s="259"/>
      <c r="DH107" s="259"/>
      <c r="DI107" s="259"/>
      <c r="DJ107" s="259"/>
      <c r="DK107" s="259"/>
      <c r="DL107" s="251"/>
      <c r="DM107" s="251"/>
      <c r="DN107" s="251"/>
      <c r="DO107" s="251"/>
      <c r="DP107" s="251"/>
      <c r="DQ107" s="251"/>
      <c r="DR107" s="251"/>
      <c r="DS107" s="251"/>
      <c r="DT107" s="251"/>
      <c r="DU107" s="251"/>
      <c r="DV107" s="251"/>
      <c r="DW107" s="251"/>
      <c r="DX107" s="251"/>
      <c r="DY107" s="251"/>
      <c r="DZ107" s="251"/>
      <c r="EA107" s="251"/>
      <c r="EB107" s="251"/>
      <c r="EC107" s="73"/>
    </row>
    <row r="108" spans="1:133" s="47" customFormat="1" ht="25.15" customHeight="1">
      <c r="A108" s="1">
        <f t="shared" si="14"/>
        <v>30</v>
      </c>
      <c r="B108" s="6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c r="AA108" s="259"/>
      <c r="AB108" s="259"/>
      <c r="AC108" s="259"/>
      <c r="AD108" s="259"/>
      <c r="AE108" s="259"/>
      <c r="AF108" s="259"/>
      <c r="AG108" s="259"/>
      <c r="AH108" s="259"/>
      <c r="AI108" s="259"/>
      <c r="AJ108" s="259"/>
      <c r="AK108" s="259"/>
      <c r="AL108" s="259"/>
      <c r="AM108" s="259"/>
      <c r="AN108" s="259"/>
      <c r="AO108" s="259"/>
      <c r="AP108" s="259"/>
      <c r="AQ108" s="259"/>
      <c r="AR108" s="259"/>
      <c r="AS108" s="259"/>
      <c r="AT108" s="259"/>
      <c r="AU108" s="259"/>
      <c r="AV108" s="259"/>
      <c r="AW108" s="259"/>
      <c r="AX108" s="259"/>
      <c r="AY108" s="259"/>
      <c r="AZ108" s="259"/>
      <c r="BA108" s="259"/>
      <c r="BB108" s="251"/>
      <c r="BC108" s="251"/>
      <c r="BD108" s="251"/>
      <c r="BE108" s="251"/>
      <c r="BF108" s="251"/>
      <c r="BG108" s="251"/>
      <c r="BH108" s="251"/>
      <c r="BI108" s="251"/>
      <c r="BJ108" s="251"/>
      <c r="BK108" s="251"/>
      <c r="BL108" s="251"/>
      <c r="BM108" s="251"/>
      <c r="BN108" s="251"/>
      <c r="BO108" s="251"/>
      <c r="BP108" s="251"/>
      <c r="BQ108" s="251"/>
      <c r="BR108" s="251"/>
      <c r="BS108" s="107"/>
      <c r="BT108" s="107"/>
      <c r="BU108" s="107"/>
      <c r="BV108" s="92"/>
      <c r="BW108" s="259"/>
      <c r="BX108" s="259"/>
      <c r="BY108" s="259"/>
      <c r="BZ108" s="259"/>
      <c r="CA108" s="259"/>
      <c r="CB108" s="259"/>
      <c r="CC108" s="259"/>
      <c r="CD108" s="259"/>
      <c r="CE108" s="259"/>
      <c r="CF108" s="259"/>
      <c r="CG108" s="259"/>
      <c r="CH108" s="259"/>
      <c r="CI108" s="259"/>
      <c r="CJ108" s="259"/>
      <c r="CK108" s="259"/>
      <c r="CL108" s="259"/>
      <c r="CM108" s="259"/>
      <c r="CN108" s="259"/>
      <c r="CO108" s="259"/>
      <c r="CP108" s="259"/>
      <c r="CQ108" s="259"/>
      <c r="CR108" s="259"/>
      <c r="CS108" s="259"/>
      <c r="CT108" s="259"/>
      <c r="CU108" s="259"/>
      <c r="CV108" s="259"/>
      <c r="CW108" s="259"/>
      <c r="CX108" s="259"/>
      <c r="CY108" s="259"/>
      <c r="CZ108" s="259"/>
      <c r="DA108" s="259"/>
      <c r="DB108" s="259"/>
      <c r="DC108" s="259"/>
      <c r="DD108" s="259"/>
      <c r="DE108" s="259"/>
      <c r="DF108" s="259"/>
      <c r="DG108" s="259"/>
      <c r="DH108" s="259"/>
      <c r="DI108" s="259"/>
      <c r="DJ108" s="259"/>
      <c r="DK108" s="259"/>
      <c r="DL108" s="251"/>
      <c r="DM108" s="251"/>
      <c r="DN108" s="251"/>
      <c r="DO108" s="251"/>
      <c r="DP108" s="251"/>
      <c r="DQ108" s="251"/>
      <c r="DR108" s="251"/>
      <c r="DS108" s="251"/>
      <c r="DT108" s="251"/>
      <c r="DU108" s="251"/>
      <c r="DV108" s="251"/>
      <c r="DW108" s="251"/>
      <c r="DX108" s="251"/>
      <c r="DY108" s="251"/>
      <c r="DZ108" s="251"/>
      <c r="EA108" s="251"/>
      <c r="EB108" s="251"/>
      <c r="EC108" s="73"/>
    </row>
    <row r="109" spans="1:133" s="47" customFormat="1" ht="25.15" customHeight="1">
      <c r="A109" s="1">
        <f t="shared" si="14"/>
        <v>31</v>
      </c>
      <c r="B109" s="6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c r="AA109" s="259"/>
      <c r="AB109" s="259"/>
      <c r="AC109" s="259"/>
      <c r="AD109" s="259"/>
      <c r="AE109" s="259"/>
      <c r="AF109" s="259"/>
      <c r="AG109" s="259"/>
      <c r="AH109" s="259"/>
      <c r="AI109" s="259"/>
      <c r="AJ109" s="259"/>
      <c r="AK109" s="259"/>
      <c r="AL109" s="259"/>
      <c r="AM109" s="259"/>
      <c r="AN109" s="259"/>
      <c r="AO109" s="259"/>
      <c r="AP109" s="259"/>
      <c r="AQ109" s="259"/>
      <c r="AR109" s="259"/>
      <c r="AS109" s="259"/>
      <c r="AT109" s="259"/>
      <c r="AU109" s="259"/>
      <c r="AV109" s="259"/>
      <c r="AW109" s="259"/>
      <c r="AX109" s="259"/>
      <c r="AY109" s="259"/>
      <c r="AZ109" s="259"/>
      <c r="BA109" s="259"/>
      <c r="BB109" s="314"/>
      <c r="BC109" s="251"/>
      <c r="BD109" s="251"/>
      <c r="BE109" s="251"/>
      <c r="BF109" s="251"/>
      <c r="BG109" s="251"/>
      <c r="BH109" s="251"/>
      <c r="BI109" s="251"/>
      <c r="BJ109" s="251"/>
      <c r="BK109" s="251"/>
      <c r="BL109" s="251"/>
      <c r="BM109" s="251"/>
      <c r="BN109" s="251"/>
      <c r="BO109" s="251"/>
      <c r="BP109" s="251"/>
      <c r="BQ109" s="251"/>
      <c r="BR109" s="251"/>
      <c r="BS109" s="107"/>
      <c r="BT109" s="107"/>
      <c r="BU109" s="107"/>
      <c r="BV109" s="101"/>
      <c r="BW109" s="259"/>
      <c r="BX109" s="259"/>
      <c r="BY109" s="259"/>
      <c r="BZ109" s="259"/>
      <c r="CA109" s="259"/>
      <c r="CB109" s="259"/>
      <c r="CC109" s="259"/>
      <c r="CD109" s="259"/>
      <c r="CE109" s="259"/>
      <c r="CF109" s="259"/>
      <c r="CG109" s="259"/>
      <c r="CH109" s="259"/>
      <c r="CI109" s="259"/>
      <c r="CJ109" s="259"/>
      <c r="CK109" s="259"/>
      <c r="CL109" s="259"/>
      <c r="CM109" s="259"/>
      <c r="CN109" s="259"/>
      <c r="CO109" s="259"/>
      <c r="CP109" s="259"/>
      <c r="CQ109" s="259"/>
      <c r="CR109" s="259"/>
      <c r="CS109" s="259"/>
      <c r="CT109" s="259"/>
      <c r="CU109" s="259"/>
      <c r="CV109" s="259"/>
      <c r="CW109" s="259"/>
      <c r="CX109" s="259"/>
      <c r="CY109" s="259"/>
      <c r="CZ109" s="259"/>
      <c r="DA109" s="259"/>
      <c r="DB109" s="259"/>
      <c r="DC109" s="259"/>
      <c r="DD109" s="259"/>
      <c r="DE109" s="259"/>
      <c r="DF109" s="259"/>
      <c r="DG109" s="259"/>
      <c r="DH109" s="259"/>
      <c r="DI109" s="259"/>
      <c r="DJ109" s="259"/>
      <c r="DK109" s="259"/>
      <c r="DL109" s="314"/>
      <c r="DM109" s="251"/>
      <c r="DN109" s="251"/>
      <c r="DO109" s="251"/>
      <c r="DP109" s="251"/>
      <c r="DQ109" s="251"/>
      <c r="DR109" s="251"/>
      <c r="DS109" s="251"/>
      <c r="DT109" s="251"/>
      <c r="DU109" s="251"/>
      <c r="DV109" s="251"/>
      <c r="DW109" s="251"/>
      <c r="DX109" s="251"/>
      <c r="DY109" s="251"/>
      <c r="DZ109" s="251"/>
      <c r="EA109" s="251"/>
      <c r="EB109" s="251"/>
      <c r="EC109" s="73"/>
    </row>
    <row r="110" spans="1:133" ht="25.15" customHeight="1">
      <c r="A110" s="133"/>
      <c r="B110" s="142"/>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251"/>
      <c r="BC110" s="251"/>
      <c r="BD110" s="251"/>
      <c r="BE110" s="251"/>
      <c r="BF110" s="251"/>
      <c r="BG110" s="251"/>
      <c r="BH110" s="251"/>
      <c r="BI110" s="251"/>
      <c r="BJ110" s="251"/>
      <c r="BK110" s="251"/>
      <c r="BL110" s="251"/>
      <c r="BM110" s="251"/>
      <c r="BN110" s="251"/>
      <c r="BO110" s="251"/>
      <c r="BP110" s="251"/>
      <c r="BQ110" s="251"/>
      <c r="BR110" s="251"/>
      <c r="BS110" s="107"/>
      <c r="BT110" s="101"/>
      <c r="BU110" s="105"/>
      <c r="BV110" s="107"/>
      <c r="BW110" s="107"/>
      <c r="BX110" s="107"/>
      <c r="BY110" s="107"/>
      <c r="BZ110" s="107"/>
      <c r="CA110" s="107"/>
      <c r="CB110" s="107"/>
      <c r="CC110" s="107"/>
      <c r="CD110" s="107"/>
      <c r="CE110" s="107"/>
      <c r="CF110" s="107"/>
      <c r="CG110" s="107"/>
      <c r="CH110" s="107"/>
      <c r="CI110" s="107"/>
      <c r="CJ110" s="107"/>
      <c r="CK110" s="107"/>
      <c r="CL110" s="107"/>
      <c r="CM110" s="105"/>
      <c r="CN110" s="105"/>
      <c r="CO110" s="107"/>
      <c r="CP110" s="107"/>
      <c r="CQ110" s="107"/>
      <c r="CR110" s="107"/>
      <c r="CS110" s="107"/>
      <c r="CT110" s="107"/>
      <c r="CU110" s="107"/>
      <c r="CV110" s="107"/>
      <c r="CW110" s="107"/>
      <c r="CX110" s="107"/>
      <c r="CY110" s="107"/>
      <c r="CZ110" s="107"/>
      <c r="DA110" s="107"/>
      <c r="DB110" s="107"/>
      <c r="DC110" s="107"/>
      <c r="DD110" s="107"/>
      <c r="DE110" s="107"/>
      <c r="DF110" s="105"/>
      <c r="DG110" s="105"/>
      <c r="DH110" s="107"/>
      <c r="DI110" s="107"/>
      <c r="DJ110" s="107"/>
      <c r="DK110" s="107"/>
      <c r="DL110" s="107"/>
      <c r="DM110" s="107"/>
      <c r="DN110" s="107"/>
      <c r="DO110" s="107"/>
      <c r="DP110" s="107"/>
      <c r="DQ110" s="107"/>
      <c r="DR110" s="107"/>
      <c r="DS110" s="107"/>
      <c r="DT110" s="107"/>
      <c r="DU110" s="107"/>
      <c r="DV110" s="107"/>
      <c r="DW110" s="107"/>
      <c r="DX110" s="107"/>
      <c r="DY110" s="101"/>
      <c r="DZ110" s="101"/>
      <c r="EC110" s="73"/>
    </row>
    <row r="111" spans="1:133" ht="25.15" customHeight="1">
      <c r="A111" s="133"/>
      <c r="B111" s="10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251"/>
      <c r="BC111" s="251"/>
      <c r="BD111" s="251"/>
      <c r="BE111" s="251"/>
      <c r="BF111" s="251"/>
      <c r="BG111" s="251"/>
      <c r="BH111" s="251"/>
      <c r="BI111" s="251"/>
      <c r="BJ111" s="251"/>
      <c r="BK111" s="251"/>
      <c r="BL111" s="251"/>
      <c r="BM111" s="251"/>
      <c r="BN111" s="251"/>
      <c r="BO111" s="251"/>
      <c r="BP111" s="251"/>
      <c r="BQ111" s="251"/>
      <c r="BR111" s="25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5"/>
      <c r="CX111" s="105"/>
      <c r="CY111" s="105"/>
      <c r="CZ111" s="105"/>
      <c r="DA111" s="101"/>
      <c r="DB111" s="101"/>
      <c r="DC111" s="101"/>
      <c r="DD111" s="101"/>
      <c r="DE111" s="101"/>
      <c r="DF111" s="101"/>
      <c r="DG111" s="101"/>
      <c r="DH111" s="101"/>
      <c r="DI111" s="101"/>
      <c r="DJ111" s="101"/>
      <c r="DK111" s="101"/>
      <c r="DL111" s="101"/>
      <c r="DM111" s="101"/>
      <c r="DN111" s="101"/>
      <c r="DO111" s="101"/>
      <c r="DP111" s="101"/>
      <c r="DQ111" s="101"/>
      <c r="DR111" s="101"/>
      <c r="DS111" s="101"/>
      <c r="DT111" s="101"/>
      <c r="DU111" s="101"/>
      <c r="DV111" s="101"/>
      <c r="DW111" s="101"/>
      <c r="DX111" s="101"/>
      <c r="DY111" s="101"/>
      <c r="DZ111" s="101"/>
      <c r="EA111" s="92"/>
      <c r="EB111" s="71"/>
      <c r="EC111" s="73"/>
    </row>
    <row r="112" spans="1:133" s="47" customFormat="1" ht="25.15" customHeight="1">
      <c r="A112" s="1"/>
      <c r="B112" s="69"/>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251"/>
      <c r="BC112" s="251"/>
      <c r="BD112" s="251"/>
      <c r="BE112" s="251"/>
      <c r="BF112" s="251"/>
      <c r="BG112" s="251"/>
      <c r="BH112" s="251"/>
      <c r="BI112" s="251"/>
      <c r="BJ112" s="251"/>
      <c r="BK112" s="251"/>
      <c r="BL112" s="251"/>
      <c r="BM112" s="251"/>
      <c r="BN112" s="251"/>
      <c r="BO112" s="251"/>
      <c r="BP112" s="251"/>
      <c r="BQ112" s="251"/>
      <c r="BR112" s="251"/>
      <c r="BS112" s="105"/>
      <c r="BT112" s="92"/>
      <c r="BU112" s="72"/>
      <c r="BV112" s="92"/>
      <c r="BW112" s="259"/>
      <c r="BX112" s="259"/>
      <c r="BY112" s="259"/>
      <c r="BZ112" s="259"/>
      <c r="CA112" s="259"/>
      <c r="CB112" s="259"/>
      <c r="CC112" s="259"/>
      <c r="CD112" s="259"/>
      <c r="CE112" s="259"/>
      <c r="CF112" s="259"/>
      <c r="CG112" s="259"/>
      <c r="CH112" s="259"/>
      <c r="CI112" s="259"/>
      <c r="CJ112" s="259"/>
      <c r="CK112" s="259"/>
      <c r="CL112" s="259"/>
      <c r="CM112" s="259"/>
      <c r="CN112" s="259"/>
      <c r="CO112" s="259"/>
      <c r="CP112" s="259"/>
      <c r="CQ112" s="259"/>
      <c r="CR112" s="259"/>
      <c r="CS112" s="259"/>
      <c r="CT112" s="259"/>
      <c r="CU112" s="259"/>
      <c r="CV112" s="259"/>
      <c r="CW112" s="259"/>
      <c r="CX112" s="259"/>
      <c r="CY112" s="259"/>
      <c r="CZ112" s="259"/>
      <c r="DA112" s="259"/>
      <c r="DB112" s="259"/>
      <c r="DC112" s="259"/>
      <c r="DD112" s="259"/>
      <c r="DE112" s="259"/>
      <c r="DF112" s="259"/>
      <c r="DG112" s="259"/>
      <c r="DH112" s="259"/>
      <c r="DI112" s="259"/>
      <c r="DJ112" s="259"/>
      <c r="DK112" s="259"/>
      <c r="DL112" s="259"/>
      <c r="DM112" s="259"/>
      <c r="DN112" s="259"/>
      <c r="DO112" s="259"/>
      <c r="DP112" s="259"/>
      <c r="DQ112" s="259"/>
      <c r="DR112" s="259"/>
      <c r="DS112" s="259"/>
      <c r="DT112" s="259"/>
      <c r="DU112" s="259"/>
      <c r="DV112" s="259"/>
      <c r="DW112" s="259"/>
      <c r="DX112" s="259"/>
      <c r="DY112" s="259"/>
      <c r="DZ112" s="259"/>
      <c r="EA112" s="259"/>
      <c r="EB112" s="259"/>
      <c r="EC112" s="73"/>
    </row>
    <row r="113" spans="1:133" s="179" customFormat="1" ht="25.15" customHeight="1">
      <c r="A113" s="175"/>
      <c r="B113" s="176"/>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251"/>
      <c r="BC113" s="251"/>
      <c r="BD113" s="251"/>
      <c r="BE113" s="251"/>
      <c r="BF113" s="251"/>
      <c r="BG113" s="251"/>
      <c r="BH113" s="251"/>
      <c r="BI113" s="251"/>
      <c r="BJ113" s="251"/>
      <c r="BK113" s="251"/>
      <c r="BL113" s="251"/>
      <c r="BM113" s="251"/>
      <c r="BN113" s="251"/>
      <c r="BO113" s="251"/>
      <c r="BP113" s="251"/>
      <c r="BQ113" s="251"/>
      <c r="BR113" s="251"/>
      <c r="BS113" s="47"/>
      <c r="BT113" s="47"/>
      <c r="BU113" s="47"/>
      <c r="BV113" s="101"/>
      <c r="BW113" s="259"/>
      <c r="BX113" s="259"/>
      <c r="BY113" s="259"/>
      <c r="BZ113" s="259"/>
      <c r="CA113" s="259"/>
      <c r="CB113" s="259"/>
      <c r="CC113" s="259"/>
      <c r="CD113" s="259"/>
      <c r="CE113" s="259"/>
      <c r="CF113" s="259"/>
      <c r="CG113" s="259"/>
      <c r="CH113" s="259"/>
      <c r="CI113" s="259"/>
      <c r="CJ113" s="259"/>
      <c r="CK113" s="259"/>
      <c r="CL113" s="259"/>
      <c r="CM113" s="259"/>
      <c r="CN113" s="259"/>
      <c r="CO113" s="259"/>
      <c r="CP113" s="259"/>
      <c r="CQ113" s="259"/>
      <c r="CR113" s="259"/>
      <c r="CS113" s="259"/>
      <c r="CT113" s="259"/>
      <c r="CU113" s="259"/>
      <c r="CV113" s="259"/>
      <c r="CW113" s="259"/>
      <c r="CX113" s="259"/>
      <c r="CY113" s="259"/>
      <c r="CZ113" s="259"/>
      <c r="DA113" s="259"/>
      <c r="DB113" s="259"/>
      <c r="DC113" s="259"/>
      <c r="DD113" s="259"/>
      <c r="DE113" s="259"/>
      <c r="DF113" s="259"/>
      <c r="DG113" s="259"/>
      <c r="DH113" s="259"/>
      <c r="DI113" s="259"/>
      <c r="DJ113" s="259"/>
      <c r="DK113" s="259"/>
      <c r="DL113" s="251"/>
      <c r="DM113" s="251"/>
      <c r="DN113" s="251"/>
      <c r="DO113" s="251"/>
      <c r="DP113" s="251"/>
      <c r="DQ113" s="251"/>
      <c r="DR113" s="251"/>
      <c r="DS113" s="251"/>
      <c r="DT113" s="251"/>
      <c r="DU113" s="251"/>
      <c r="DV113" s="251"/>
      <c r="DW113" s="251"/>
      <c r="DX113" s="251"/>
      <c r="DY113" s="251"/>
      <c r="DZ113" s="251"/>
      <c r="EA113" s="251"/>
      <c r="EB113" s="251"/>
      <c r="EC113" s="180"/>
    </row>
    <row r="114" spans="1:133" s="47" customFormat="1" ht="25.15" customHeight="1">
      <c r="A114" s="1"/>
      <c r="B114" s="10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251"/>
      <c r="BC114" s="251"/>
      <c r="BD114" s="251"/>
      <c r="BE114" s="251"/>
      <c r="BF114" s="251"/>
      <c r="BG114" s="251"/>
      <c r="BH114" s="251"/>
      <c r="BI114" s="251"/>
      <c r="BJ114" s="251"/>
      <c r="BK114" s="251"/>
      <c r="BL114" s="251"/>
      <c r="BM114" s="251"/>
      <c r="BN114" s="251"/>
      <c r="BO114" s="251"/>
      <c r="BP114" s="251"/>
      <c r="BQ114" s="251"/>
      <c r="BR114" s="251"/>
      <c r="BS114" s="107"/>
      <c r="BT114" s="107"/>
      <c r="BU114" s="107"/>
      <c r="BV114" s="92"/>
      <c r="BW114" s="266"/>
      <c r="BX114" s="266"/>
      <c r="BY114" s="266"/>
      <c r="BZ114" s="266"/>
      <c r="CA114" s="266"/>
      <c r="CB114" s="266"/>
      <c r="CC114" s="266"/>
      <c r="CD114" s="266"/>
      <c r="CE114" s="336"/>
      <c r="CF114" s="336"/>
      <c r="CG114" s="336"/>
      <c r="CH114" s="33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L114" s="92"/>
      <c r="DM114" s="107"/>
      <c r="DN114" s="92"/>
      <c r="DO114" s="92"/>
      <c r="DP114" s="92"/>
      <c r="DQ114" s="107"/>
      <c r="DR114" s="92"/>
      <c r="DS114" s="92"/>
      <c r="DT114" s="92"/>
      <c r="DU114" s="107"/>
      <c r="DV114" s="92"/>
      <c r="DW114" s="92"/>
      <c r="DX114" s="92"/>
      <c r="DY114" s="107"/>
      <c r="DZ114" s="92"/>
      <c r="EA114" s="92"/>
      <c r="EB114" s="107"/>
      <c r="EC114" s="73"/>
    </row>
    <row r="115" spans="1:133" s="47" customFormat="1" ht="24.6" customHeight="1">
      <c r="A115" s="1"/>
      <c r="B115" s="10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251"/>
      <c r="BC115" s="251"/>
      <c r="BD115" s="251"/>
      <c r="BE115" s="251"/>
      <c r="BF115" s="251"/>
      <c r="BG115" s="251"/>
      <c r="BH115" s="251"/>
      <c r="BI115" s="251"/>
      <c r="BJ115" s="251"/>
      <c r="BK115" s="251"/>
      <c r="BL115" s="251"/>
      <c r="BM115" s="251"/>
      <c r="BN115" s="251"/>
      <c r="BO115" s="251"/>
      <c r="BP115" s="251"/>
      <c r="BQ115" s="251"/>
      <c r="BR115" s="251"/>
      <c r="BS115" s="107"/>
      <c r="BT115" s="107"/>
      <c r="BU115" s="107"/>
      <c r="BV115" s="92"/>
      <c r="BW115" s="266"/>
      <c r="BX115" s="266"/>
      <c r="BY115" s="266"/>
      <c r="BZ115" s="266"/>
      <c r="CA115" s="266"/>
      <c r="CB115" s="266"/>
      <c r="CC115" s="266"/>
      <c r="CD115" s="266"/>
      <c r="CE115" s="336"/>
      <c r="CF115" s="336"/>
      <c r="CG115" s="336"/>
      <c r="CH115" s="33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L115" s="92"/>
      <c r="DM115" s="107"/>
      <c r="DN115" s="92"/>
      <c r="DO115" s="92"/>
      <c r="DP115" s="92"/>
      <c r="DQ115" s="107"/>
      <c r="DR115" s="92"/>
      <c r="DS115" s="92"/>
      <c r="DT115" s="92"/>
      <c r="DU115" s="107"/>
      <c r="DV115" s="92"/>
      <c r="DW115" s="92"/>
      <c r="DX115" s="92"/>
      <c r="DY115" s="107"/>
      <c r="DZ115" s="92"/>
      <c r="EA115" s="92"/>
      <c r="EB115" s="107"/>
      <c r="EC115" s="73"/>
    </row>
    <row r="116" spans="1:133" s="47" customFormat="1" ht="25.15" customHeight="1">
      <c r="A116" s="1"/>
      <c r="B116" s="10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251"/>
      <c r="BC116" s="251"/>
      <c r="BD116" s="251"/>
      <c r="BE116" s="251"/>
      <c r="BF116" s="251"/>
      <c r="BG116" s="251"/>
      <c r="BH116" s="251"/>
      <c r="BI116" s="251"/>
      <c r="BJ116" s="251"/>
      <c r="BK116" s="251"/>
      <c r="BL116" s="251"/>
      <c r="BM116" s="251"/>
      <c r="BN116" s="251"/>
      <c r="BO116" s="251"/>
      <c r="BP116" s="251"/>
      <c r="BQ116" s="251"/>
      <c r="BR116" s="251"/>
      <c r="BS116" s="107"/>
      <c r="BT116" s="107"/>
      <c r="BU116" s="107"/>
      <c r="BV116" s="92"/>
      <c r="BW116" s="266"/>
      <c r="BX116" s="266"/>
      <c r="BY116" s="266"/>
      <c r="BZ116" s="266"/>
      <c r="CA116" s="266"/>
      <c r="CB116" s="266"/>
      <c r="CC116" s="266"/>
      <c r="CD116" s="266"/>
      <c r="CE116" s="336"/>
      <c r="CF116" s="336"/>
      <c r="CG116" s="336"/>
      <c r="CH116" s="33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L116" s="92"/>
      <c r="DM116" s="107"/>
      <c r="DN116" s="92"/>
      <c r="DO116" s="92"/>
      <c r="DP116" s="92"/>
      <c r="DQ116" s="107"/>
      <c r="DR116" s="92"/>
      <c r="DS116" s="92"/>
      <c r="DT116" s="92"/>
      <c r="DU116" s="107"/>
      <c r="DV116" s="92"/>
      <c r="DW116" s="92"/>
      <c r="DX116" s="92"/>
      <c r="DY116" s="107"/>
      <c r="DZ116" s="92"/>
      <c r="EA116" s="92"/>
      <c r="EB116" s="107"/>
      <c r="EC116" s="73"/>
    </row>
    <row r="117" spans="1:133" s="47" customFormat="1" ht="25.15" customHeight="1">
      <c r="A117" s="1"/>
      <c r="B117" s="10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251"/>
      <c r="BC117" s="251"/>
      <c r="BD117" s="251"/>
      <c r="BE117" s="251"/>
      <c r="BF117" s="251"/>
      <c r="BG117" s="251"/>
      <c r="BH117" s="251"/>
      <c r="BI117" s="251"/>
      <c r="BJ117" s="251"/>
      <c r="BK117" s="251"/>
      <c r="BL117" s="251"/>
      <c r="BM117" s="251"/>
      <c r="BN117" s="251"/>
      <c r="BO117" s="251"/>
      <c r="BP117" s="251"/>
      <c r="BQ117" s="251"/>
      <c r="BR117" s="251"/>
      <c r="BS117" s="107"/>
      <c r="BT117" s="107"/>
      <c r="BU117" s="107"/>
      <c r="BV117" s="92"/>
      <c r="BW117" s="266"/>
      <c r="BX117" s="266"/>
      <c r="BY117" s="266"/>
      <c r="BZ117" s="266"/>
      <c r="CA117" s="266"/>
      <c r="CB117" s="266"/>
      <c r="CC117" s="266"/>
      <c r="CD117" s="266"/>
      <c r="CE117" s="336"/>
      <c r="CF117" s="336"/>
      <c r="CG117" s="336"/>
      <c r="CH117" s="33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L117" s="92"/>
      <c r="DM117" s="107"/>
      <c r="DN117" s="92"/>
      <c r="DO117" s="92"/>
      <c r="DP117" s="92"/>
      <c r="DQ117" s="107"/>
      <c r="DR117" s="92"/>
      <c r="DS117" s="92"/>
      <c r="DT117" s="92"/>
      <c r="DU117" s="107"/>
      <c r="DV117" s="92"/>
      <c r="DW117" s="92"/>
      <c r="DX117" s="92"/>
      <c r="DY117" s="107"/>
      <c r="DZ117" s="92"/>
      <c r="EA117" s="92"/>
      <c r="EB117" s="107"/>
      <c r="EC117" s="73"/>
    </row>
    <row r="118" spans="1:133" s="47" customFormat="1" ht="25.15" customHeight="1">
      <c r="A118" s="1"/>
      <c r="B118" s="10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251"/>
      <c r="BC118" s="251"/>
      <c r="BD118" s="251"/>
      <c r="BE118" s="251"/>
      <c r="BF118" s="251"/>
      <c r="BG118" s="251"/>
      <c r="BH118" s="251"/>
      <c r="BI118" s="251"/>
      <c r="BJ118" s="251"/>
      <c r="BK118" s="251"/>
      <c r="BL118" s="251"/>
      <c r="BM118" s="251"/>
      <c r="BN118" s="251"/>
      <c r="BO118" s="251"/>
      <c r="BP118" s="251"/>
      <c r="BQ118" s="251"/>
      <c r="BR118" s="251"/>
      <c r="BS118" s="107"/>
      <c r="BT118" s="107"/>
      <c r="BU118" s="107"/>
      <c r="BV118" s="92"/>
      <c r="BW118" s="266"/>
      <c r="BX118" s="266"/>
      <c r="BY118" s="266"/>
      <c r="BZ118" s="266"/>
      <c r="CA118" s="266"/>
      <c r="CB118" s="266"/>
      <c r="CC118" s="266"/>
      <c r="CD118" s="266"/>
      <c r="CE118" s="336"/>
      <c r="CF118" s="336"/>
      <c r="CG118" s="336"/>
      <c r="CH118" s="33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L118" s="92"/>
      <c r="DM118" s="107"/>
      <c r="DN118" s="92"/>
      <c r="DO118" s="92"/>
      <c r="DP118" s="92"/>
      <c r="DQ118" s="107"/>
      <c r="DR118" s="92"/>
      <c r="DS118" s="92"/>
      <c r="DT118" s="92"/>
      <c r="DU118" s="107"/>
      <c r="DV118" s="92"/>
      <c r="DW118" s="92"/>
      <c r="DX118" s="92"/>
      <c r="DY118" s="107"/>
      <c r="DZ118" s="92"/>
      <c r="EA118" s="92"/>
      <c r="EB118" s="107"/>
      <c r="EC118" s="73"/>
    </row>
    <row r="119" spans="1:133" s="47" customFormat="1" ht="25.15" customHeight="1">
      <c r="A119" s="1"/>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251"/>
      <c r="BC119" s="251"/>
      <c r="BD119" s="251"/>
      <c r="BE119" s="251"/>
      <c r="BF119" s="251"/>
      <c r="BG119" s="251"/>
      <c r="BH119" s="251"/>
      <c r="BI119" s="251"/>
      <c r="BJ119" s="251"/>
      <c r="BK119" s="251"/>
      <c r="BL119" s="251"/>
      <c r="BM119" s="251"/>
      <c r="BN119" s="251"/>
      <c r="BO119" s="251"/>
      <c r="BP119" s="251"/>
      <c r="BQ119" s="251"/>
      <c r="BR119" s="251"/>
      <c r="BS119" s="107"/>
      <c r="BT119" s="107"/>
      <c r="BU119" s="107"/>
      <c r="BV119" s="92"/>
      <c r="BW119" s="266"/>
      <c r="BX119" s="266"/>
      <c r="BY119" s="266"/>
      <c r="BZ119" s="266"/>
      <c r="CA119" s="266"/>
      <c r="CB119" s="266"/>
      <c r="CC119" s="266"/>
      <c r="CD119" s="266"/>
      <c r="CE119" s="336"/>
      <c r="CF119" s="336"/>
      <c r="CG119" s="336"/>
      <c r="CH119" s="33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L119" s="92"/>
      <c r="DM119" s="107"/>
      <c r="DN119" s="92"/>
      <c r="DO119" s="92"/>
      <c r="DP119" s="92"/>
      <c r="DQ119" s="107"/>
      <c r="DR119" s="92"/>
      <c r="DS119" s="92"/>
      <c r="DT119" s="92"/>
      <c r="DU119" s="107"/>
      <c r="DV119" s="92"/>
      <c r="DW119" s="92"/>
      <c r="DX119" s="92"/>
      <c r="DY119" s="107"/>
      <c r="DZ119" s="92"/>
      <c r="EA119" s="92"/>
      <c r="EB119" s="107"/>
      <c r="EC119" s="73"/>
    </row>
    <row r="120" spans="1:133" s="47" customFormat="1" ht="25.15" customHeight="1">
      <c r="A120" s="1"/>
      <c r="B120" s="69"/>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251"/>
      <c r="BC120" s="251"/>
      <c r="BD120" s="251"/>
      <c r="BE120" s="251"/>
      <c r="BF120" s="251"/>
      <c r="BG120" s="251"/>
      <c r="BH120" s="251"/>
      <c r="BI120" s="251"/>
      <c r="BJ120" s="251"/>
      <c r="BK120" s="251"/>
      <c r="BL120" s="251"/>
      <c r="BM120" s="251"/>
      <c r="BN120" s="251"/>
      <c r="BO120" s="251"/>
      <c r="BP120" s="251"/>
      <c r="BQ120" s="251"/>
      <c r="BR120" s="251"/>
      <c r="BS120" s="107"/>
      <c r="BT120" s="107"/>
      <c r="BU120" s="107"/>
      <c r="BV120" s="92"/>
      <c r="BW120" s="266"/>
      <c r="BX120" s="266"/>
      <c r="BY120" s="266"/>
      <c r="BZ120" s="266"/>
      <c r="CA120" s="266"/>
      <c r="CB120" s="266"/>
      <c r="CC120" s="266"/>
      <c r="CD120" s="266"/>
      <c r="CE120" s="336"/>
      <c r="CF120" s="336"/>
      <c r="CG120" s="336"/>
      <c r="CH120" s="33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L120" s="92"/>
      <c r="DM120" s="107"/>
      <c r="DN120" s="92"/>
      <c r="DO120" s="92"/>
      <c r="DP120" s="92"/>
      <c r="DQ120" s="107"/>
      <c r="DR120" s="92"/>
      <c r="DS120" s="92"/>
      <c r="DT120" s="92"/>
      <c r="DU120" s="107"/>
      <c r="DV120" s="92"/>
      <c r="DW120" s="92"/>
      <c r="DX120" s="92"/>
      <c r="DY120" s="107"/>
      <c r="DZ120" s="92"/>
      <c r="EA120" s="92"/>
      <c r="EB120" s="107"/>
      <c r="EC120" s="73"/>
    </row>
    <row r="121" spans="1:133" s="47" customFormat="1" ht="25.15" customHeight="1">
      <c r="A121" s="1"/>
      <c r="B121" s="69"/>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251"/>
      <c r="BC121" s="251"/>
      <c r="BD121" s="251"/>
      <c r="BE121" s="251"/>
      <c r="BF121" s="251"/>
      <c r="BG121" s="251"/>
      <c r="BH121" s="251"/>
      <c r="BI121" s="251"/>
      <c r="BJ121" s="251"/>
      <c r="BK121" s="251"/>
      <c r="BL121" s="251"/>
      <c r="BM121" s="251"/>
      <c r="BN121" s="251"/>
      <c r="BO121" s="251"/>
      <c r="BP121" s="251"/>
      <c r="BQ121" s="251"/>
      <c r="BR121" s="251"/>
      <c r="BS121" s="107"/>
      <c r="BT121" s="92"/>
      <c r="BU121" s="72"/>
      <c r="BV121" s="92"/>
      <c r="BW121" s="266"/>
      <c r="BX121" s="266"/>
      <c r="BY121" s="266"/>
      <c r="BZ121" s="266"/>
      <c r="CA121" s="266"/>
      <c r="CB121" s="266"/>
      <c r="CC121" s="266"/>
      <c r="CD121" s="266"/>
      <c r="CE121" s="336"/>
      <c r="CF121" s="336"/>
      <c r="CG121" s="336"/>
      <c r="CH121" s="33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92"/>
      <c r="DL121" s="92"/>
      <c r="DM121" s="107"/>
      <c r="DN121" s="92"/>
      <c r="DO121" s="92"/>
      <c r="DP121" s="92"/>
      <c r="DQ121" s="107"/>
      <c r="DR121" s="92"/>
      <c r="DS121" s="92"/>
      <c r="DT121" s="92"/>
      <c r="DU121" s="107"/>
      <c r="DV121" s="92"/>
      <c r="DW121" s="92"/>
      <c r="DX121" s="92"/>
      <c r="DY121" s="107"/>
      <c r="DZ121" s="92"/>
      <c r="EA121" s="92"/>
      <c r="EB121" s="107"/>
      <c r="EC121" s="73"/>
    </row>
    <row r="122" spans="1:133" s="47" customFormat="1" ht="25.15" customHeight="1">
      <c r="A122" s="1"/>
      <c r="B122" s="6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c r="AA122" s="259"/>
      <c r="AB122" s="259"/>
      <c r="AC122" s="259"/>
      <c r="AD122" s="259"/>
      <c r="AE122" s="259"/>
      <c r="AF122" s="259"/>
      <c r="AG122" s="259"/>
      <c r="AH122" s="259"/>
      <c r="AI122" s="259"/>
      <c r="AJ122" s="259"/>
      <c r="AK122" s="259"/>
      <c r="AL122" s="259"/>
      <c r="AM122" s="259"/>
      <c r="AN122" s="259"/>
      <c r="AO122" s="259"/>
      <c r="AP122" s="259"/>
      <c r="AQ122" s="259"/>
      <c r="AR122" s="259"/>
      <c r="AS122" s="259"/>
      <c r="AT122" s="259"/>
      <c r="AU122" s="259"/>
      <c r="AV122" s="259"/>
      <c r="AW122" s="259"/>
      <c r="AX122" s="259"/>
      <c r="AY122" s="259"/>
      <c r="AZ122" s="259"/>
      <c r="BA122" s="259"/>
      <c r="BB122" s="251"/>
      <c r="BC122" s="251"/>
      <c r="BD122" s="251"/>
      <c r="BE122" s="251"/>
      <c r="BF122" s="251"/>
      <c r="BG122" s="251"/>
      <c r="BH122" s="251"/>
      <c r="BI122" s="251"/>
      <c r="BJ122" s="251"/>
      <c r="BK122" s="251"/>
      <c r="BL122" s="251"/>
      <c r="BM122" s="251"/>
      <c r="BN122" s="251"/>
      <c r="BO122" s="251"/>
      <c r="BP122" s="251"/>
      <c r="BQ122" s="251"/>
      <c r="BR122" s="251"/>
      <c r="BS122" s="107"/>
      <c r="BT122" s="92"/>
      <c r="BU122" s="72"/>
      <c r="BV122" s="92"/>
      <c r="BW122" s="266"/>
      <c r="BX122" s="266"/>
      <c r="BY122" s="266"/>
      <c r="BZ122" s="266"/>
      <c r="CA122" s="266"/>
      <c r="CB122" s="266"/>
      <c r="CC122" s="266"/>
      <c r="CD122" s="266"/>
      <c r="CE122" s="336"/>
      <c r="CF122" s="336"/>
      <c r="CG122" s="336"/>
      <c r="CH122" s="33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92"/>
      <c r="DL122" s="92"/>
      <c r="DM122" s="107"/>
      <c r="DN122" s="92"/>
      <c r="DO122" s="92"/>
      <c r="DP122" s="92"/>
      <c r="DQ122" s="107"/>
      <c r="DR122" s="92"/>
      <c r="DS122" s="92"/>
      <c r="DT122" s="92"/>
      <c r="DU122" s="107"/>
      <c r="DV122" s="92"/>
      <c r="DW122" s="92"/>
      <c r="DX122" s="92"/>
      <c r="DY122" s="107"/>
      <c r="DZ122" s="92"/>
      <c r="EA122" s="92"/>
      <c r="EB122" s="107"/>
      <c r="EC122" s="73"/>
    </row>
    <row r="123" spans="1:133" s="47" customFormat="1" ht="25.15" customHeight="1">
      <c r="A123" s="1"/>
      <c r="B123" s="6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c r="AA123" s="259"/>
      <c r="AB123" s="259"/>
      <c r="AC123" s="259"/>
      <c r="AD123" s="259"/>
      <c r="AE123" s="259"/>
      <c r="AF123" s="259"/>
      <c r="AG123" s="259"/>
      <c r="AH123" s="259"/>
      <c r="AI123" s="259"/>
      <c r="AJ123" s="259"/>
      <c r="AK123" s="259"/>
      <c r="AL123" s="259"/>
      <c r="AM123" s="259"/>
      <c r="AN123" s="259"/>
      <c r="AO123" s="259"/>
      <c r="AP123" s="259"/>
      <c r="AQ123" s="259"/>
      <c r="AR123" s="259"/>
      <c r="AS123" s="259"/>
      <c r="AT123" s="259"/>
      <c r="AU123" s="259"/>
      <c r="AV123" s="259"/>
      <c r="AW123" s="259"/>
      <c r="AX123" s="259"/>
      <c r="AY123" s="259"/>
      <c r="AZ123" s="259"/>
      <c r="BA123" s="259"/>
      <c r="BB123" s="251"/>
      <c r="BC123" s="251"/>
      <c r="BD123" s="251"/>
      <c r="BE123" s="251"/>
      <c r="BF123" s="251"/>
      <c r="BG123" s="251"/>
      <c r="BH123" s="251"/>
      <c r="BI123" s="251"/>
      <c r="BJ123" s="251"/>
      <c r="BK123" s="251"/>
      <c r="BL123" s="251"/>
      <c r="BM123" s="251"/>
      <c r="BN123" s="251"/>
      <c r="BO123" s="251"/>
      <c r="BP123" s="251"/>
      <c r="BQ123" s="251"/>
      <c r="BR123" s="251"/>
      <c r="BS123" s="107"/>
      <c r="BT123" s="92"/>
      <c r="BU123" s="72"/>
      <c r="BV123" s="92"/>
      <c r="BW123" s="266"/>
      <c r="BX123" s="266"/>
      <c r="BY123" s="266"/>
      <c r="BZ123" s="266"/>
      <c r="CA123" s="266"/>
      <c r="CB123" s="266"/>
      <c r="CC123" s="266"/>
      <c r="CD123" s="266"/>
      <c r="CE123" s="336"/>
      <c r="CF123" s="336"/>
      <c r="CG123" s="336"/>
      <c r="CH123" s="33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92"/>
      <c r="DL123" s="92"/>
      <c r="DM123" s="107"/>
      <c r="DN123" s="92"/>
      <c r="DO123" s="92"/>
      <c r="DP123" s="92"/>
      <c r="DQ123" s="107"/>
      <c r="DR123" s="92"/>
      <c r="DS123" s="92"/>
      <c r="DT123" s="92"/>
      <c r="DU123" s="107"/>
      <c r="DV123" s="92"/>
      <c r="DW123" s="92"/>
      <c r="DX123" s="92"/>
      <c r="DY123" s="107"/>
      <c r="DZ123" s="92"/>
      <c r="EA123" s="92"/>
      <c r="EB123" s="107"/>
      <c r="EC123" s="73"/>
    </row>
    <row r="124" spans="1:133" s="47" customFormat="1" ht="25.15" customHeight="1">
      <c r="A124" s="1">
        <f t="shared" si="14"/>
        <v>1</v>
      </c>
      <c r="B124" s="69"/>
      <c r="C124" s="92"/>
      <c r="D124" s="107"/>
      <c r="E124" s="107"/>
      <c r="F124" s="105"/>
      <c r="G124" s="107"/>
      <c r="H124" s="107"/>
      <c r="I124" s="101"/>
      <c r="J124" s="101"/>
      <c r="K124" s="101"/>
      <c r="L124" s="101"/>
      <c r="M124" s="101"/>
      <c r="N124" s="101"/>
      <c r="O124" s="101"/>
      <c r="P124" s="101"/>
      <c r="Q124" s="107"/>
      <c r="R124" s="107"/>
      <c r="S124" s="107"/>
      <c r="T124" s="107"/>
      <c r="U124" s="107"/>
      <c r="V124" s="107"/>
      <c r="W124" s="107"/>
      <c r="X124" s="107"/>
      <c r="Y124" s="107"/>
      <c r="Z124" s="107"/>
      <c r="AA124" s="107"/>
      <c r="AB124" s="107"/>
      <c r="AC124" s="107"/>
      <c r="AD124" s="107"/>
      <c r="AE124" s="107"/>
      <c r="AF124" s="107"/>
      <c r="AG124" s="107"/>
      <c r="AH124" s="101"/>
      <c r="AI124" s="105"/>
      <c r="AJ124" s="107"/>
      <c r="AK124" s="107"/>
      <c r="AL124" s="107"/>
      <c r="AM124" s="107"/>
      <c r="AN124" s="107"/>
      <c r="AO124" s="107"/>
      <c r="AP124" s="107"/>
      <c r="AQ124" s="107"/>
      <c r="AR124" s="107"/>
      <c r="AS124" s="107"/>
      <c r="AT124" s="107"/>
      <c r="AU124" s="107"/>
      <c r="AV124" s="107"/>
      <c r="AW124" s="107"/>
      <c r="AX124" s="107"/>
      <c r="AY124" s="107"/>
      <c r="AZ124" s="107"/>
      <c r="BA124" s="105"/>
      <c r="BB124" s="105"/>
      <c r="BC124" s="107"/>
      <c r="BD124" s="107"/>
      <c r="BE124" s="107"/>
      <c r="BF124" s="107"/>
      <c r="BG124" s="107"/>
      <c r="BH124" s="107"/>
      <c r="BI124" s="107"/>
      <c r="BJ124" s="107"/>
      <c r="BK124" s="107"/>
      <c r="BL124" s="107"/>
      <c r="BM124" s="107"/>
      <c r="BN124" s="107"/>
      <c r="BO124" s="107"/>
      <c r="BP124" s="107"/>
      <c r="BQ124" s="107"/>
      <c r="BR124" s="107"/>
      <c r="BS124" s="107"/>
      <c r="BT124" s="92"/>
      <c r="BU124" s="72"/>
      <c r="BV124" s="92"/>
      <c r="BW124" s="266"/>
      <c r="BX124" s="266"/>
      <c r="BY124" s="266"/>
      <c r="BZ124" s="266"/>
      <c r="CA124" s="266"/>
      <c r="CB124" s="266"/>
      <c r="CC124" s="266"/>
      <c r="CD124" s="266"/>
      <c r="CE124" s="336"/>
      <c r="CF124" s="336"/>
      <c r="CG124" s="336"/>
      <c r="CH124" s="33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92"/>
      <c r="DL124" s="92"/>
      <c r="DM124" s="107"/>
      <c r="DN124" s="92"/>
      <c r="DO124" s="92"/>
      <c r="DP124" s="92"/>
      <c r="DQ124" s="107"/>
      <c r="DR124" s="92"/>
      <c r="DS124" s="92"/>
      <c r="DT124" s="92"/>
      <c r="DU124" s="107"/>
      <c r="DV124" s="92"/>
      <c r="DW124" s="92"/>
      <c r="DX124" s="92"/>
      <c r="DY124" s="107"/>
      <c r="DZ124" s="92"/>
      <c r="EA124" s="92"/>
      <c r="EB124" s="107"/>
      <c r="EC124" s="73"/>
    </row>
    <row r="125" spans="1:133" s="47" customFormat="1" ht="25.15" customHeight="1">
      <c r="A125" s="1">
        <f t="shared" si="14"/>
        <v>2</v>
      </c>
      <c r="B125" s="69"/>
      <c r="C125" s="105"/>
      <c r="D125" s="105"/>
      <c r="E125" s="105"/>
      <c r="F125" s="105"/>
      <c r="G125" s="105"/>
      <c r="H125" s="105"/>
      <c r="I125" s="101"/>
      <c r="J125" s="101"/>
      <c r="K125" s="101"/>
      <c r="L125" s="101"/>
      <c r="M125" s="101"/>
      <c r="N125" s="101"/>
      <c r="O125" s="101"/>
      <c r="P125" s="101"/>
      <c r="Q125" s="105"/>
      <c r="R125" s="105"/>
      <c r="S125" s="105"/>
      <c r="T125" s="105"/>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4"/>
      <c r="BG125" s="104"/>
      <c r="BH125" s="104"/>
      <c r="BI125" s="104"/>
      <c r="BJ125" s="101"/>
      <c r="BK125" s="101"/>
      <c r="BL125" s="101"/>
      <c r="BM125" s="101"/>
      <c r="BN125" s="101"/>
      <c r="BO125" s="101"/>
      <c r="BP125" s="101"/>
      <c r="BQ125" s="101"/>
      <c r="BR125" s="101"/>
      <c r="BS125" s="107"/>
      <c r="BT125" s="92"/>
      <c r="BU125" s="72"/>
      <c r="BV125" s="92"/>
      <c r="BW125" s="266"/>
      <c r="BX125" s="266"/>
      <c r="BY125" s="266"/>
      <c r="BZ125" s="266"/>
      <c r="CA125" s="266"/>
      <c r="CB125" s="266"/>
      <c r="CC125" s="266"/>
      <c r="CD125" s="266"/>
      <c r="CE125" s="336"/>
      <c r="CF125" s="336"/>
      <c r="CG125" s="336"/>
      <c r="CH125" s="33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92"/>
      <c r="DL125" s="92"/>
      <c r="DM125" s="107"/>
      <c r="DN125" s="92"/>
      <c r="DO125" s="92"/>
      <c r="DP125" s="92"/>
      <c r="DQ125" s="107"/>
      <c r="DR125" s="92"/>
      <c r="DS125" s="92"/>
      <c r="DT125" s="92"/>
      <c r="DU125" s="107"/>
      <c r="DV125" s="92"/>
      <c r="DW125" s="92"/>
      <c r="DX125" s="92"/>
      <c r="DY125" s="107"/>
      <c r="DZ125" s="92"/>
      <c r="EA125" s="92"/>
      <c r="EB125" s="107"/>
      <c r="EC125" s="73"/>
    </row>
    <row r="126" spans="1:133" s="47" customFormat="1" ht="25.15" customHeight="1">
      <c r="A126" s="1">
        <f t="shared" si="14"/>
        <v>3</v>
      </c>
      <c r="B126" s="6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c r="AP126" s="259"/>
      <c r="AQ126" s="259"/>
      <c r="AR126" s="259"/>
      <c r="AS126" s="259"/>
      <c r="AT126" s="259"/>
      <c r="AU126" s="259"/>
      <c r="AV126" s="259"/>
      <c r="AW126" s="259"/>
      <c r="AX126" s="259"/>
      <c r="AY126" s="259"/>
      <c r="AZ126" s="259"/>
      <c r="BA126" s="259"/>
      <c r="BB126" s="259"/>
      <c r="BC126" s="259"/>
      <c r="BD126" s="259"/>
      <c r="BE126" s="259"/>
      <c r="BF126" s="259"/>
      <c r="BG126" s="259"/>
      <c r="BH126" s="259"/>
      <c r="BI126" s="259"/>
      <c r="BJ126" s="259"/>
      <c r="BK126" s="259"/>
      <c r="BL126" s="259"/>
      <c r="BM126" s="259"/>
      <c r="BN126" s="259"/>
      <c r="BO126" s="259"/>
      <c r="BP126" s="259"/>
      <c r="BQ126" s="259"/>
      <c r="BR126" s="259"/>
      <c r="BS126" s="107"/>
      <c r="BT126" s="92"/>
      <c r="BU126" s="72"/>
      <c r="BV126" s="92"/>
      <c r="BW126" s="266"/>
      <c r="BX126" s="266"/>
      <c r="BY126" s="266"/>
      <c r="BZ126" s="266"/>
      <c r="CA126" s="266"/>
      <c r="CB126" s="266"/>
      <c r="CC126" s="266"/>
      <c r="CD126" s="266"/>
      <c r="CE126" s="336"/>
      <c r="CF126" s="336"/>
      <c r="CG126" s="336"/>
      <c r="CH126" s="33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92"/>
      <c r="DL126" s="92"/>
      <c r="DM126" s="107"/>
      <c r="DN126" s="92"/>
      <c r="DO126" s="92"/>
      <c r="DP126" s="92"/>
      <c r="DQ126" s="107"/>
      <c r="DR126" s="92"/>
      <c r="DS126" s="92"/>
      <c r="DT126" s="92"/>
      <c r="DU126" s="107"/>
      <c r="DV126" s="92"/>
      <c r="DW126" s="92"/>
      <c r="DX126" s="92"/>
      <c r="DY126" s="107"/>
      <c r="DZ126" s="92"/>
      <c r="EA126" s="92"/>
      <c r="EB126" s="107"/>
      <c r="EC126" s="73"/>
    </row>
    <row r="127" spans="1:133" s="47" customFormat="1" ht="25.15" customHeight="1">
      <c r="A127" s="1">
        <f t="shared" si="14"/>
        <v>4</v>
      </c>
      <c r="B127" s="6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101"/>
      <c r="BC127" s="101"/>
      <c r="BD127" s="101"/>
      <c r="BE127" s="101"/>
      <c r="BF127" s="101"/>
      <c r="BG127" s="101"/>
      <c r="BL127" s="101"/>
      <c r="BM127" s="101"/>
      <c r="BN127" s="101"/>
      <c r="BO127" s="266"/>
      <c r="BP127" s="266"/>
      <c r="BQ127" s="266"/>
      <c r="BR127" s="266"/>
      <c r="BS127" s="107"/>
      <c r="BT127" s="92"/>
      <c r="BU127" s="72"/>
      <c r="BV127" s="92"/>
      <c r="BW127" s="266"/>
      <c r="BX127" s="266"/>
      <c r="BY127" s="266"/>
      <c r="BZ127" s="266"/>
      <c r="CA127" s="266"/>
      <c r="CB127" s="266"/>
      <c r="CC127" s="266"/>
      <c r="CD127" s="266"/>
      <c r="CE127" s="336"/>
      <c r="CF127" s="336"/>
      <c r="CG127" s="336"/>
      <c r="CH127" s="33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92"/>
      <c r="DL127" s="92"/>
      <c r="DM127" s="107"/>
      <c r="DN127" s="92"/>
      <c r="DO127" s="92"/>
      <c r="DP127" s="92"/>
      <c r="DQ127" s="107"/>
      <c r="DR127" s="92"/>
      <c r="DS127" s="92"/>
      <c r="DT127" s="92"/>
      <c r="DU127" s="107"/>
      <c r="DV127" s="92"/>
      <c r="DW127" s="92"/>
      <c r="DX127" s="92"/>
      <c r="DY127" s="107"/>
      <c r="DZ127" s="92"/>
      <c r="EA127" s="92"/>
      <c r="EB127" s="107"/>
      <c r="EC127" s="73"/>
    </row>
    <row r="128" spans="1:133" s="47" customFormat="1" ht="25.15" customHeight="1">
      <c r="A128" s="1">
        <f t="shared" si="14"/>
        <v>5</v>
      </c>
      <c r="B128" s="69"/>
      <c r="C128" s="266"/>
      <c r="D128" s="266"/>
      <c r="E128" s="266"/>
      <c r="F128" s="266"/>
      <c r="G128" s="266"/>
      <c r="H128" s="266"/>
      <c r="I128" s="336"/>
      <c r="J128" s="336"/>
      <c r="K128" s="336"/>
      <c r="L128" s="33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107"/>
      <c r="BB128" s="92"/>
      <c r="BC128" s="92"/>
      <c r="BD128" s="107"/>
      <c r="BE128" s="92"/>
      <c r="BF128" s="92"/>
      <c r="BG128" s="92"/>
      <c r="BH128" s="107"/>
      <c r="BI128" s="92"/>
      <c r="BJ128" s="92"/>
      <c r="BK128" s="92"/>
      <c r="BL128" s="107"/>
      <c r="BM128" s="92"/>
      <c r="BN128" s="92"/>
      <c r="BO128" s="92"/>
      <c r="BP128" s="107"/>
      <c r="BQ128" s="92"/>
      <c r="BR128" s="92"/>
      <c r="BS128" s="107"/>
      <c r="BT128" s="92"/>
      <c r="BU128" s="72"/>
      <c r="BV128" s="92"/>
      <c r="BW128" s="266"/>
      <c r="BX128" s="266"/>
      <c r="BY128" s="266"/>
      <c r="BZ128" s="266"/>
      <c r="CA128" s="266"/>
      <c r="CB128" s="266"/>
      <c r="CC128" s="266"/>
      <c r="CD128" s="266"/>
      <c r="CE128" s="336"/>
      <c r="CF128" s="336"/>
      <c r="CG128" s="336"/>
      <c r="CH128" s="33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92"/>
      <c r="DL128" s="92"/>
      <c r="DM128" s="107"/>
      <c r="DN128" s="92"/>
      <c r="DO128" s="92"/>
      <c r="DP128" s="92"/>
      <c r="DQ128" s="107"/>
      <c r="DR128" s="92"/>
      <c r="DS128" s="92"/>
      <c r="DT128" s="92"/>
      <c r="DU128" s="107"/>
      <c r="DV128" s="92"/>
      <c r="DW128" s="92"/>
      <c r="DX128" s="92"/>
      <c r="DY128" s="107"/>
      <c r="DZ128" s="92"/>
      <c r="EA128" s="92"/>
      <c r="EB128" s="107"/>
      <c r="EC128" s="73"/>
    </row>
    <row r="129" spans="1:133" s="47" customFormat="1" ht="25.15" customHeight="1">
      <c r="A129" s="1">
        <f t="shared" si="14"/>
        <v>6</v>
      </c>
      <c r="B129" s="69"/>
      <c r="C129" s="266"/>
      <c r="D129" s="266"/>
      <c r="E129" s="266"/>
      <c r="F129" s="266"/>
      <c r="G129" s="266"/>
      <c r="H129" s="266"/>
      <c r="I129" s="336"/>
      <c r="J129" s="336"/>
      <c r="K129" s="336"/>
      <c r="L129" s="33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107"/>
      <c r="BB129" s="92"/>
      <c r="BC129" s="92"/>
      <c r="BD129" s="107"/>
      <c r="BE129" s="92"/>
      <c r="BF129" s="92"/>
      <c r="BG129" s="92"/>
      <c r="BH129" s="107"/>
      <c r="BI129" s="92"/>
      <c r="BJ129" s="92"/>
      <c r="BK129" s="92"/>
      <c r="BL129" s="107"/>
      <c r="BM129" s="92"/>
      <c r="BN129" s="92"/>
      <c r="BO129" s="92"/>
      <c r="BP129" s="107"/>
      <c r="BQ129" s="92"/>
      <c r="BR129" s="92"/>
      <c r="BS129" s="107"/>
      <c r="BT129" s="92"/>
      <c r="BU129" s="72"/>
      <c r="BV129" s="92"/>
      <c r="BW129" s="266"/>
      <c r="BX129" s="266"/>
      <c r="BY129" s="266"/>
      <c r="BZ129" s="266"/>
      <c r="CA129" s="266"/>
      <c r="CB129" s="266"/>
      <c r="CC129" s="266"/>
      <c r="CD129" s="266"/>
      <c r="CE129" s="336"/>
      <c r="CF129" s="336"/>
      <c r="CG129" s="336"/>
      <c r="CH129" s="33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92"/>
      <c r="DL129" s="92"/>
      <c r="DM129" s="107"/>
      <c r="DN129" s="92"/>
      <c r="DO129" s="92"/>
      <c r="DP129" s="92"/>
      <c r="DQ129" s="107"/>
      <c r="DR129" s="92"/>
      <c r="DS129" s="92"/>
      <c r="DT129" s="92"/>
      <c r="DU129" s="107"/>
      <c r="DV129" s="92"/>
      <c r="DW129" s="92"/>
      <c r="DX129" s="92"/>
      <c r="DY129" s="107"/>
      <c r="DZ129" s="92"/>
      <c r="EA129" s="92"/>
      <c r="EB129" s="107"/>
      <c r="EC129" s="73"/>
    </row>
    <row r="130" spans="1:133" s="47" customFormat="1" ht="25.15" customHeight="1">
      <c r="A130" s="1">
        <f t="shared" si="14"/>
        <v>7</v>
      </c>
      <c r="B130" s="69"/>
      <c r="C130" s="266"/>
      <c r="D130" s="266"/>
      <c r="E130" s="266"/>
      <c r="F130" s="266"/>
      <c r="G130" s="266"/>
      <c r="H130" s="266"/>
      <c r="I130" s="336"/>
      <c r="J130" s="336"/>
      <c r="K130" s="336"/>
      <c r="L130" s="33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107"/>
      <c r="BB130" s="92"/>
      <c r="BC130" s="92"/>
      <c r="BD130" s="107"/>
      <c r="BE130" s="92"/>
      <c r="BF130" s="92"/>
      <c r="BG130" s="92"/>
      <c r="BH130" s="107"/>
      <c r="BI130" s="92"/>
      <c r="BJ130" s="92"/>
      <c r="BK130" s="92"/>
      <c r="BL130" s="107"/>
      <c r="BM130" s="92"/>
      <c r="BN130" s="92"/>
      <c r="BO130" s="92"/>
      <c r="BP130" s="107"/>
      <c r="BQ130" s="92"/>
      <c r="BR130" s="92"/>
      <c r="BS130" s="107"/>
      <c r="BT130" s="92"/>
      <c r="BU130" s="72"/>
      <c r="BV130" s="92"/>
      <c r="BW130" s="266"/>
      <c r="BX130" s="266"/>
      <c r="BY130" s="266"/>
      <c r="BZ130" s="266"/>
      <c r="CA130" s="266"/>
      <c r="CB130" s="266"/>
      <c r="CC130" s="266"/>
      <c r="CD130" s="266"/>
      <c r="CE130" s="336"/>
      <c r="CF130" s="336"/>
      <c r="CG130" s="336"/>
      <c r="CH130" s="33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92"/>
      <c r="DL130" s="92"/>
      <c r="DM130" s="107"/>
      <c r="DN130" s="92"/>
      <c r="DO130" s="92"/>
      <c r="DP130" s="92"/>
      <c r="DQ130" s="107"/>
      <c r="DR130" s="92"/>
      <c r="DS130" s="92"/>
      <c r="DT130" s="92"/>
      <c r="DU130" s="107"/>
      <c r="DV130" s="92"/>
      <c r="DW130" s="92"/>
      <c r="DX130" s="92"/>
      <c r="DY130" s="107"/>
      <c r="DZ130" s="92"/>
      <c r="EA130" s="92"/>
      <c r="EB130" s="107"/>
      <c r="EC130" s="73"/>
    </row>
    <row r="131" spans="1:133" s="47" customFormat="1" ht="25.15" customHeight="1">
      <c r="A131" s="1">
        <f t="shared" si="14"/>
        <v>8</v>
      </c>
      <c r="B131" s="69"/>
      <c r="C131" s="266"/>
      <c r="D131" s="266"/>
      <c r="E131" s="266"/>
      <c r="F131" s="266"/>
      <c r="G131" s="266"/>
      <c r="H131" s="266"/>
      <c r="I131" s="336"/>
      <c r="J131" s="336"/>
      <c r="K131" s="336"/>
      <c r="L131" s="33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107"/>
      <c r="BB131" s="92"/>
      <c r="BC131" s="92"/>
      <c r="BD131" s="107"/>
      <c r="BE131" s="92"/>
      <c r="BF131" s="92"/>
      <c r="BG131" s="92"/>
      <c r="BH131" s="107"/>
      <c r="BI131" s="92"/>
      <c r="BJ131" s="92"/>
      <c r="BK131" s="92"/>
      <c r="BL131" s="107"/>
      <c r="BM131" s="92"/>
      <c r="BN131" s="92"/>
      <c r="BO131" s="92"/>
      <c r="BP131" s="107"/>
      <c r="BQ131" s="92"/>
      <c r="BR131" s="92"/>
      <c r="BS131" s="107"/>
      <c r="BT131" s="92"/>
      <c r="BU131" s="72"/>
      <c r="BV131" s="92"/>
      <c r="BW131" s="266"/>
      <c r="BX131" s="266"/>
      <c r="BY131" s="266"/>
      <c r="BZ131" s="266"/>
      <c r="CA131" s="266"/>
      <c r="CB131" s="266"/>
      <c r="CC131" s="266"/>
      <c r="CD131" s="266"/>
      <c r="CE131" s="336"/>
      <c r="CF131" s="336"/>
      <c r="CG131" s="336"/>
      <c r="CH131" s="33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92"/>
      <c r="DL131" s="92"/>
      <c r="DM131" s="107"/>
      <c r="DN131" s="92"/>
      <c r="DO131" s="92"/>
      <c r="DP131" s="92"/>
      <c r="DQ131" s="107"/>
      <c r="DR131" s="92"/>
      <c r="DS131" s="92"/>
      <c r="DT131" s="92"/>
      <c r="DU131" s="107"/>
      <c r="DV131" s="92"/>
      <c r="DW131" s="92"/>
      <c r="DX131" s="92"/>
      <c r="DY131" s="107"/>
      <c r="DZ131" s="92"/>
      <c r="EA131" s="92"/>
      <c r="EB131" s="107"/>
      <c r="EC131" s="73"/>
    </row>
    <row r="132" spans="1:133" s="47" customFormat="1" ht="25.15" customHeight="1">
      <c r="A132" s="1">
        <f t="shared" si="14"/>
        <v>9</v>
      </c>
      <c r="B132" s="69"/>
      <c r="C132" s="266"/>
      <c r="D132" s="266"/>
      <c r="E132" s="266"/>
      <c r="F132" s="266"/>
      <c r="G132" s="266"/>
      <c r="H132" s="266"/>
      <c r="I132" s="336"/>
      <c r="J132" s="336"/>
      <c r="K132" s="336"/>
      <c r="L132" s="33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107"/>
      <c r="BB132" s="92"/>
      <c r="BC132" s="92"/>
      <c r="BD132" s="107"/>
      <c r="BE132" s="92"/>
      <c r="BF132" s="92"/>
      <c r="BG132" s="92"/>
      <c r="BH132" s="107"/>
      <c r="BI132" s="92"/>
      <c r="BJ132" s="92"/>
      <c r="BK132" s="92"/>
      <c r="BL132" s="107"/>
      <c r="BM132" s="92"/>
      <c r="BN132" s="92"/>
      <c r="BO132" s="92"/>
      <c r="BP132" s="107"/>
      <c r="BQ132" s="92"/>
      <c r="BR132" s="92"/>
      <c r="BS132" s="107"/>
      <c r="BT132" s="92"/>
      <c r="BU132" s="72"/>
      <c r="BV132" s="92"/>
      <c r="BW132" s="266"/>
      <c r="BX132" s="266"/>
      <c r="BY132" s="266"/>
      <c r="BZ132" s="266"/>
      <c r="CA132" s="266"/>
      <c r="CB132" s="266"/>
      <c r="CC132" s="266"/>
      <c r="CD132" s="266"/>
      <c r="CE132" s="336"/>
      <c r="CF132" s="336"/>
      <c r="CG132" s="336"/>
      <c r="CH132" s="33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92"/>
      <c r="DL132" s="92"/>
      <c r="DM132" s="107"/>
      <c r="DN132" s="92"/>
      <c r="DO132" s="92"/>
      <c r="DP132" s="92"/>
      <c r="DQ132" s="107"/>
      <c r="DR132" s="92"/>
      <c r="DS132" s="92"/>
      <c r="DT132" s="92"/>
      <c r="DU132" s="107"/>
      <c r="DV132" s="92"/>
      <c r="DW132" s="92"/>
      <c r="DX132" s="92"/>
      <c r="DY132" s="107"/>
      <c r="DZ132" s="92"/>
      <c r="EA132" s="92"/>
      <c r="EB132" s="107"/>
      <c r="EC132" s="73"/>
    </row>
    <row r="133" spans="1:133" s="47" customFormat="1" ht="25.15" customHeight="1">
      <c r="A133" s="1">
        <f t="shared" si="14"/>
        <v>10</v>
      </c>
      <c r="B133" s="69"/>
      <c r="C133" s="266"/>
      <c r="D133" s="266"/>
      <c r="E133" s="266"/>
      <c r="F133" s="266"/>
      <c r="G133" s="266"/>
      <c r="H133" s="266"/>
      <c r="I133" s="336"/>
      <c r="J133" s="336"/>
      <c r="K133" s="336"/>
      <c r="L133" s="33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107"/>
      <c r="BB133" s="92"/>
      <c r="BC133" s="92"/>
      <c r="BD133" s="107"/>
      <c r="BE133" s="92"/>
      <c r="BF133" s="92"/>
      <c r="BG133" s="92"/>
      <c r="BH133" s="107"/>
      <c r="BI133" s="92"/>
      <c r="BJ133" s="92"/>
      <c r="BK133" s="92"/>
      <c r="BL133" s="107"/>
      <c r="BM133" s="92"/>
      <c r="BN133" s="92"/>
      <c r="BO133" s="92"/>
      <c r="BP133" s="107"/>
      <c r="BQ133" s="92"/>
      <c r="BR133" s="92"/>
      <c r="BS133" s="107"/>
      <c r="BT133" s="92"/>
      <c r="BU133" s="72"/>
      <c r="BV133" s="92"/>
      <c r="BW133" s="266"/>
      <c r="BX133" s="266"/>
      <c r="BY133" s="266"/>
      <c r="BZ133" s="266"/>
      <c r="CA133" s="266"/>
      <c r="CB133" s="266"/>
      <c r="CC133" s="266"/>
      <c r="CD133" s="266"/>
      <c r="CE133" s="336"/>
      <c r="CF133" s="336"/>
      <c r="CG133" s="336"/>
      <c r="CH133" s="33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92"/>
      <c r="DL133" s="92"/>
      <c r="DM133" s="107"/>
      <c r="DN133" s="92"/>
      <c r="DO133" s="92"/>
      <c r="DP133" s="92"/>
      <c r="DQ133" s="107"/>
      <c r="DR133" s="92"/>
      <c r="DS133" s="92"/>
      <c r="DT133" s="92"/>
      <c r="DU133" s="107"/>
      <c r="DV133" s="92"/>
      <c r="DW133" s="92"/>
      <c r="DX133" s="92"/>
      <c r="DY133" s="107"/>
      <c r="DZ133" s="92"/>
      <c r="EA133" s="92"/>
      <c r="EB133" s="107"/>
      <c r="EC133" s="73"/>
    </row>
    <row r="134" spans="1:133" s="47" customFormat="1" ht="25.15" customHeight="1">
      <c r="A134" s="1">
        <f t="shared" si="14"/>
        <v>11</v>
      </c>
      <c r="B134" s="69"/>
      <c r="C134" s="266"/>
      <c r="D134" s="266"/>
      <c r="E134" s="266"/>
      <c r="F134" s="266"/>
      <c r="G134" s="266"/>
      <c r="H134" s="266"/>
      <c r="I134" s="336"/>
      <c r="J134" s="336"/>
      <c r="K134" s="336"/>
      <c r="L134" s="33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107"/>
      <c r="BB134" s="92"/>
      <c r="BC134" s="92"/>
      <c r="BD134" s="107"/>
      <c r="BE134" s="92"/>
      <c r="BF134" s="92"/>
      <c r="BG134" s="92"/>
      <c r="BH134" s="107"/>
      <c r="BI134" s="92"/>
      <c r="BJ134" s="92"/>
      <c r="BK134" s="92"/>
      <c r="BL134" s="107"/>
      <c r="BM134" s="92"/>
      <c r="BN134" s="92"/>
      <c r="BO134" s="92"/>
      <c r="BP134" s="107"/>
      <c r="BQ134" s="92"/>
      <c r="BR134" s="92"/>
      <c r="BS134" s="107"/>
      <c r="BT134" s="92"/>
      <c r="BU134" s="72"/>
      <c r="BV134" s="92"/>
      <c r="BW134" s="266"/>
      <c r="BX134" s="266"/>
      <c r="BY134" s="266"/>
      <c r="BZ134" s="266"/>
      <c r="CA134" s="266"/>
      <c r="CB134" s="266"/>
      <c r="CC134" s="266"/>
      <c r="CD134" s="266"/>
      <c r="CE134" s="336"/>
      <c r="CF134" s="336"/>
      <c r="CG134" s="336"/>
      <c r="CH134" s="33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92"/>
      <c r="DL134" s="92"/>
      <c r="DM134" s="107"/>
      <c r="DN134" s="92"/>
      <c r="DO134" s="92"/>
      <c r="DP134" s="92"/>
      <c r="DQ134" s="107"/>
      <c r="DR134" s="92"/>
      <c r="DS134" s="92"/>
      <c r="DT134" s="92"/>
      <c r="DU134" s="107"/>
      <c r="DV134" s="92"/>
      <c r="DW134" s="92"/>
      <c r="DX134" s="92"/>
      <c r="DY134" s="107"/>
      <c r="DZ134" s="92"/>
      <c r="EA134" s="92"/>
      <c r="EB134" s="107"/>
      <c r="EC134" s="73"/>
    </row>
    <row r="135" spans="1:133" s="47" customFormat="1" ht="25.15" customHeight="1">
      <c r="A135" s="1">
        <f t="shared" si="14"/>
        <v>12</v>
      </c>
      <c r="B135" s="69"/>
      <c r="C135" s="266"/>
      <c r="D135" s="266"/>
      <c r="E135" s="266"/>
      <c r="F135" s="266"/>
      <c r="G135" s="266"/>
      <c r="H135" s="266"/>
      <c r="I135" s="336"/>
      <c r="J135" s="336"/>
      <c r="K135" s="336"/>
      <c r="L135" s="33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107"/>
      <c r="BB135" s="92"/>
      <c r="BC135" s="92"/>
      <c r="BD135" s="107"/>
      <c r="BE135" s="92"/>
      <c r="BF135" s="92"/>
      <c r="BG135" s="92"/>
      <c r="BH135" s="107"/>
      <c r="BI135" s="92"/>
      <c r="BJ135" s="92"/>
      <c r="BK135" s="92"/>
      <c r="BL135" s="107"/>
      <c r="BM135" s="92"/>
      <c r="BN135" s="92"/>
      <c r="BO135" s="92"/>
      <c r="BP135" s="107"/>
      <c r="BQ135" s="92"/>
      <c r="BR135" s="92"/>
      <c r="BS135" s="107"/>
      <c r="BT135" s="92"/>
      <c r="BU135" s="72"/>
      <c r="BV135" s="92"/>
      <c r="BW135" s="266"/>
      <c r="BX135" s="266"/>
      <c r="BY135" s="266"/>
      <c r="BZ135" s="266"/>
      <c r="CA135" s="266"/>
      <c r="CB135" s="266"/>
      <c r="CC135" s="266"/>
      <c r="CD135" s="266"/>
      <c r="CE135" s="336"/>
      <c r="CF135" s="336"/>
      <c r="CG135" s="336"/>
      <c r="CH135" s="33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92"/>
      <c r="DL135" s="92"/>
      <c r="DM135" s="107"/>
      <c r="DN135" s="92"/>
      <c r="DO135" s="92"/>
      <c r="DP135" s="92"/>
      <c r="DQ135" s="107"/>
      <c r="DR135" s="92"/>
      <c r="DS135" s="92"/>
      <c r="DT135" s="92"/>
      <c r="DU135" s="107"/>
      <c r="DV135" s="92"/>
      <c r="DW135" s="92"/>
      <c r="DX135" s="92"/>
      <c r="DY135" s="107"/>
      <c r="DZ135" s="92"/>
      <c r="EA135" s="92"/>
      <c r="EB135" s="107"/>
      <c r="EC135" s="73"/>
    </row>
    <row r="136" spans="1:133" s="47" customFormat="1" ht="25.15" customHeight="1">
      <c r="A136" s="1">
        <f t="shared" si="14"/>
        <v>13</v>
      </c>
      <c r="B136" s="69"/>
      <c r="C136" s="266"/>
      <c r="D136" s="266"/>
      <c r="E136" s="266"/>
      <c r="F136" s="266"/>
      <c r="G136" s="266"/>
      <c r="H136" s="266"/>
      <c r="I136" s="336"/>
      <c r="J136" s="336"/>
      <c r="K136" s="336"/>
      <c r="L136" s="33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107"/>
      <c r="BB136" s="92"/>
      <c r="BC136" s="92"/>
      <c r="BD136" s="107"/>
      <c r="BE136" s="92"/>
      <c r="BF136" s="92"/>
      <c r="BG136" s="92"/>
      <c r="BH136" s="107"/>
      <c r="BI136" s="92"/>
      <c r="BJ136" s="92"/>
      <c r="BK136" s="92"/>
      <c r="BL136" s="107"/>
      <c r="BM136" s="92"/>
      <c r="BN136" s="92"/>
      <c r="BO136" s="92"/>
      <c r="BP136" s="107"/>
      <c r="BQ136" s="92"/>
      <c r="BR136" s="92"/>
      <c r="BS136" s="107"/>
      <c r="BT136" s="92"/>
      <c r="BU136" s="72"/>
      <c r="BV136" s="92"/>
      <c r="BW136" s="266"/>
      <c r="BX136" s="266"/>
      <c r="BY136" s="266"/>
      <c r="BZ136" s="266"/>
      <c r="CA136" s="266"/>
      <c r="CB136" s="266"/>
      <c r="CC136" s="266"/>
      <c r="CD136" s="266"/>
      <c r="CE136" s="336"/>
      <c r="CF136" s="336"/>
      <c r="CG136" s="336"/>
      <c r="CH136" s="33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92"/>
      <c r="DL136" s="92"/>
      <c r="DM136" s="107"/>
      <c r="DN136" s="92"/>
      <c r="DO136" s="92"/>
      <c r="DP136" s="92"/>
      <c r="DQ136" s="107"/>
      <c r="DR136" s="92"/>
      <c r="DS136" s="92"/>
      <c r="DT136" s="92"/>
      <c r="DU136" s="107"/>
      <c r="DV136" s="92"/>
      <c r="DW136" s="92"/>
      <c r="DX136" s="92"/>
      <c r="DY136" s="107"/>
      <c r="DZ136" s="92"/>
      <c r="EA136" s="92"/>
      <c r="EB136" s="107"/>
      <c r="EC136" s="73"/>
    </row>
    <row r="137" spans="1:133" s="47" customFormat="1" ht="25.15" customHeight="1">
      <c r="A137" s="1">
        <f t="shared" ref="A137:A142" si="28">A136+1</f>
        <v>14</v>
      </c>
      <c r="B137" s="69"/>
      <c r="C137" s="266"/>
      <c r="D137" s="266"/>
      <c r="E137" s="266"/>
      <c r="F137" s="266"/>
      <c r="G137" s="266"/>
      <c r="H137" s="266"/>
      <c r="I137" s="336"/>
      <c r="J137" s="336"/>
      <c r="K137" s="336"/>
      <c r="L137" s="33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107"/>
      <c r="BB137" s="92"/>
      <c r="BC137" s="92"/>
      <c r="BD137" s="107"/>
      <c r="BE137" s="92"/>
      <c r="BF137" s="92"/>
      <c r="BG137" s="92"/>
      <c r="BH137" s="107"/>
      <c r="BI137" s="92"/>
      <c r="BJ137" s="92"/>
      <c r="BK137" s="92"/>
      <c r="BL137" s="107"/>
      <c r="BM137" s="92"/>
      <c r="BN137" s="92"/>
      <c r="BO137" s="92"/>
      <c r="BP137" s="107"/>
      <c r="BQ137" s="92"/>
      <c r="BR137" s="92"/>
      <c r="BS137" s="107"/>
      <c r="BT137" s="92"/>
      <c r="BU137" s="72"/>
      <c r="BV137" s="92"/>
      <c r="BW137" s="266"/>
      <c r="BX137" s="266"/>
      <c r="BY137" s="266"/>
      <c r="BZ137" s="266"/>
      <c r="CA137" s="266"/>
      <c r="CB137" s="266"/>
      <c r="CC137" s="266"/>
      <c r="CD137" s="266"/>
      <c r="CE137" s="336"/>
      <c r="CF137" s="336"/>
      <c r="CG137" s="336"/>
      <c r="CH137" s="33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92"/>
      <c r="DL137" s="92"/>
      <c r="DM137" s="107"/>
      <c r="DN137" s="92"/>
      <c r="DO137" s="92"/>
      <c r="DP137" s="92"/>
      <c r="DQ137" s="107"/>
      <c r="DR137" s="92"/>
      <c r="DS137" s="92"/>
      <c r="DT137" s="92"/>
      <c r="DU137" s="107"/>
      <c r="DV137" s="92"/>
      <c r="DW137" s="92"/>
      <c r="DX137" s="92"/>
      <c r="DY137" s="107"/>
      <c r="DZ137" s="92"/>
      <c r="EA137" s="92"/>
      <c r="EB137" s="107"/>
      <c r="EC137" s="73"/>
    </row>
    <row r="138" spans="1:133" s="47" customFormat="1" ht="25.15" customHeight="1">
      <c r="A138" s="1">
        <f t="shared" si="28"/>
        <v>15</v>
      </c>
      <c r="B138" s="69"/>
      <c r="C138" s="266"/>
      <c r="D138" s="266"/>
      <c r="E138" s="266"/>
      <c r="F138" s="266"/>
      <c r="G138" s="266"/>
      <c r="H138" s="266"/>
      <c r="I138" s="336"/>
      <c r="J138" s="336"/>
      <c r="K138" s="336"/>
      <c r="L138" s="33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107"/>
      <c r="BB138" s="92"/>
      <c r="BC138" s="92"/>
      <c r="BD138" s="107"/>
      <c r="BE138" s="92"/>
      <c r="BF138" s="92"/>
      <c r="BG138" s="92"/>
      <c r="BH138" s="107"/>
      <c r="BI138" s="92"/>
      <c r="BJ138" s="92"/>
      <c r="BK138" s="92"/>
      <c r="BL138" s="107"/>
      <c r="BM138" s="92"/>
      <c r="BN138" s="92"/>
      <c r="BO138" s="92"/>
      <c r="BP138" s="107"/>
      <c r="BQ138" s="92"/>
      <c r="BR138" s="92"/>
      <c r="BS138" s="107"/>
      <c r="BT138" s="92"/>
      <c r="BU138" s="72"/>
      <c r="BV138" s="92"/>
      <c r="BW138" s="266"/>
      <c r="BX138" s="266"/>
      <c r="BY138" s="266"/>
      <c r="BZ138" s="266"/>
      <c r="CA138" s="266"/>
      <c r="CB138" s="266"/>
      <c r="CC138" s="266"/>
      <c r="CD138" s="266"/>
      <c r="CE138" s="336"/>
      <c r="CF138" s="336"/>
      <c r="CG138" s="336"/>
      <c r="CH138" s="33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92"/>
      <c r="DL138" s="92"/>
      <c r="DM138" s="107"/>
      <c r="DN138" s="92"/>
      <c r="DO138" s="92"/>
      <c r="DP138" s="92"/>
      <c r="DQ138" s="107"/>
      <c r="DR138" s="92"/>
      <c r="DS138" s="92"/>
      <c r="DT138" s="92"/>
      <c r="DU138" s="107"/>
      <c r="DV138" s="92"/>
      <c r="DW138" s="92"/>
      <c r="DX138" s="92"/>
      <c r="DY138" s="107"/>
      <c r="DZ138" s="92"/>
      <c r="EA138" s="92"/>
      <c r="EB138" s="107"/>
      <c r="EC138" s="73"/>
    </row>
    <row r="139" spans="1:133" s="47" customFormat="1" ht="25.15" customHeight="1">
      <c r="A139" s="1">
        <f t="shared" si="28"/>
        <v>16</v>
      </c>
      <c r="B139" s="69"/>
      <c r="C139" s="266"/>
      <c r="D139" s="266"/>
      <c r="E139" s="266"/>
      <c r="F139" s="266"/>
      <c r="G139" s="266"/>
      <c r="H139" s="266"/>
      <c r="I139" s="336"/>
      <c r="J139" s="336"/>
      <c r="K139" s="336"/>
      <c r="L139" s="33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107"/>
      <c r="BB139" s="92"/>
      <c r="BC139" s="92"/>
      <c r="BD139" s="107"/>
      <c r="BE139" s="92"/>
      <c r="BF139" s="92"/>
      <c r="BG139" s="92"/>
      <c r="BH139" s="107"/>
      <c r="BI139" s="92"/>
      <c r="BJ139" s="92"/>
      <c r="BK139" s="92"/>
      <c r="BL139" s="107"/>
      <c r="BM139" s="92"/>
      <c r="BN139" s="92"/>
      <c r="BO139" s="92"/>
      <c r="BP139" s="107"/>
      <c r="BQ139" s="92"/>
      <c r="BR139" s="92"/>
      <c r="BS139" s="107"/>
      <c r="BT139" s="107"/>
      <c r="BU139" s="107"/>
      <c r="BV139" s="101"/>
      <c r="BW139" s="259"/>
      <c r="BX139" s="259"/>
      <c r="BY139" s="259"/>
      <c r="BZ139" s="259"/>
      <c r="CA139" s="259"/>
      <c r="CB139" s="259"/>
      <c r="CC139" s="259"/>
      <c r="CD139" s="259"/>
      <c r="CE139" s="259"/>
      <c r="CF139" s="259"/>
      <c r="CG139" s="259"/>
      <c r="CH139" s="259"/>
      <c r="CI139" s="259"/>
      <c r="CJ139" s="259"/>
      <c r="CK139" s="259"/>
      <c r="CL139" s="259"/>
      <c r="CM139" s="259"/>
      <c r="CN139" s="259"/>
      <c r="CO139" s="259"/>
      <c r="CP139" s="259"/>
      <c r="CQ139" s="259"/>
      <c r="CR139" s="259"/>
      <c r="CS139" s="259"/>
      <c r="CT139" s="259"/>
      <c r="CU139" s="259"/>
      <c r="CV139" s="259"/>
      <c r="CW139" s="259"/>
      <c r="CX139" s="259"/>
      <c r="CY139" s="259"/>
      <c r="CZ139" s="259"/>
      <c r="DA139" s="259"/>
      <c r="DB139" s="259"/>
      <c r="DC139" s="259"/>
      <c r="DD139" s="259"/>
      <c r="DE139" s="259"/>
      <c r="DF139" s="259"/>
      <c r="DG139" s="259"/>
      <c r="DH139" s="259"/>
      <c r="DI139" s="259"/>
      <c r="DJ139" s="259"/>
      <c r="DK139" s="259"/>
      <c r="DL139" s="314"/>
      <c r="DM139" s="251"/>
      <c r="DN139" s="251"/>
      <c r="DO139" s="251"/>
      <c r="DP139" s="251"/>
      <c r="DQ139" s="251"/>
      <c r="DR139" s="251"/>
      <c r="DS139" s="251"/>
      <c r="DT139" s="251"/>
      <c r="DU139" s="251"/>
      <c r="DV139" s="251"/>
      <c r="DW139" s="251"/>
      <c r="DX139" s="251"/>
      <c r="DY139" s="251"/>
      <c r="DZ139" s="251"/>
      <c r="EA139" s="251"/>
      <c r="EB139" s="251"/>
      <c r="EC139" s="73"/>
    </row>
    <row r="140" spans="1:133" ht="25.15" customHeight="1">
      <c r="A140" s="1">
        <f t="shared" si="28"/>
        <v>17</v>
      </c>
      <c r="B140" s="69"/>
      <c r="C140" s="266"/>
      <c r="D140" s="266"/>
      <c r="E140" s="266"/>
      <c r="F140" s="266"/>
      <c r="G140" s="266"/>
      <c r="H140" s="266"/>
      <c r="I140" s="336"/>
      <c r="J140" s="336"/>
      <c r="K140" s="336"/>
      <c r="L140" s="33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107"/>
      <c r="BB140" s="92"/>
      <c r="BC140" s="92"/>
      <c r="BD140" s="107"/>
      <c r="BE140" s="92"/>
      <c r="BF140" s="92"/>
      <c r="BG140" s="92"/>
      <c r="BH140" s="107"/>
      <c r="BI140" s="92"/>
      <c r="BJ140" s="92"/>
      <c r="BK140" s="92"/>
      <c r="BL140" s="107"/>
      <c r="BM140" s="92"/>
      <c r="BN140" s="92"/>
      <c r="BO140" s="92"/>
      <c r="BP140" s="107"/>
      <c r="BQ140" s="92"/>
      <c r="BR140" s="92"/>
      <c r="BS140" s="107"/>
      <c r="BT140" s="101"/>
      <c r="BU140" s="105"/>
      <c r="BV140" s="92"/>
      <c r="BW140" s="107"/>
      <c r="BX140" s="92"/>
      <c r="BY140" s="92"/>
      <c r="BZ140" s="92"/>
      <c r="CA140" s="107"/>
      <c r="CB140" s="92"/>
      <c r="CC140" s="92"/>
      <c r="CD140" s="92"/>
      <c r="CE140" s="107"/>
      <c r="CF140" s="92"/>
      <c r="CG140" s="92"/>
      <c r="CH140" s="92"/>
      <c r="CI140" s="107"/>
      <c r="CJ140" s="92"/>
      <c r="CK140" s="92"/>
      <c r="CL140" s="107"/>
      <c r="CM140" s="105"/>
      <c r="CN140" s="105"/>
      <c r="CO140" s="92"/>
      <c r="CP140" s="107"/>
      <c r="CQ140" s="92"/>
      <c r="CR140" s="92"/>
      <c r="CS140" s="92"/>
      <c r="CT140" s="107"/>
      <c r="CU140" s="92"/>
      <c r="CV140" s="92"/>
      <c r="CW140" s="92"/>
      <c r="CX140" s="107"/>
      <c r="CY140" s="92"/>
      <c r="CZ140" s="92"/>
      <c r="DA140" s="92"/>
      <c r="DB140" s="107"/>
      <c r="DC140" s="92"/>
      <c r="DD140" s="92"/>
      <c r="DE140" s="107"/>
      <c r="DF140" s="105"/>
      <c r="DG140" s="105"/>
      <c r="DH140" s="92"/>
      <c r="DI140" s="107"/>
      <c r="DJ140" s="92"/>
      <c r="DK140" s="92"/>
      <c r="DL140" s="92"/>
      <c r="DM140" s="107"/>
      <c r="DN140" s="92"/>
      <c r="DO140" s="92"/>
      <c r="DP140" s="92"/>
      <c r="DQ140" s="107"/>
      <c r="DR140" s="92"/>
      <c r="DS140" s="92"/>
      <c r="DT140" s="92"/>
      <c r="DU140" s="107"/>
      <c r="DV140" s="92"/>
      <c r="DW140" s="92"/>
      <c r="DX140" s="107"/>
      <c r="EC140" s="134"/>
    </row>
    <row r="141" spans="1:133" s="47" customFormat="1" ht="25.15" customHeight="1">
      <c r="A141" s="1">
        <f t="shared" si="28"/>
        <v>18</v>
      </c>
      <c r="B141" s="69"/>
      <c r="C141" s="321" t="s">
        <v>272</v>
      </c>
      <c r="D141" s="321"/>
      <c r="E141" s="321"/>
      <c r="F141" s="321"/>
      <c r="G141" s="321"/>
      <c r="H141" s="321"/>
      <c r="I141" s="70"/>
      <c r="J141" s="105"/>
      <c r="K141" s="105"/>
      <c r="L141" s="105"/>
      <c r="M141" s="71"/>
      <c r="N141" s="71"/>
      <c r="O141" s="71"/>
      <c r="P141" s="71"/>
      <c r="Q141" s="92"/>
      <c r="R141" s="107"/>
      <c r="S141" s="92"/>
      <c r="T141" s="92"/>
      <c r="U141" s="92"/>
      <c r="V141" s="107"/>
      <c r="W141" s="92"/>
      <c r="X141" s="92"/>
      <c r="Y141" s="92"/>
      <c r="Z141" s="107"/>
      <c r="AA141" s="92"/>
      <c r="AB141" s="92"/>
      <c r="AC141" s="92"/>
      <c r="AD141" s="107"/>
      <c r="AE141" s="92"/>
      <c r="AF141" s="92"/>
      <c r="AG141" s="107"/>
      <c r="AH141" s="104"/>
      <c r="AI141" s="104"/>
      <c r="AJ141" s="92"/>
      <c r="AK141" s="107"/>
      <c r="AL141" s="92"/>
      <c r="AM141" s="92"/>
      <c r="AN141" s="92"/>
      <c r="AO141" s="107"/>
      <c r="AP141" s="92"/>
      <c r="AQ141" s="92"/>
      <c r="AR141" s="92"/>
      <c r="AS141" s="107"/>
      <c r="AT141" s="92"/>
      <c r="AU141" s="92"/>
      <c r="AV141" s="92"/>
      <c r="AW141" s="107"/>
      <c r="AX141" s="92"/>
      <c r="AY141" s="92"/>
      <c r="AZ141" s="107"/>
      <c r="BA141" s="71"/>
      <c r="BB141" s="71"/>
      <c r="BC141" s="92"/>
      <c r="BD141" s="107"/>
      <c r="BE141" s="92"/>
      <c r="BF141" s="92"/>
      <c r="BG141" s="92"/>
      <c r="BH141" s="107"/>
      <c r="BI141" s="92"/>
      <c r="BJ141" s="92"/>
      <c r="BK141" s="92"/>
      <c r="BL141" s="243" t="s">
        <v>296</v>
      </c>
      <c r="BM141" s="244"/>
      <c r="BN141" s="244"/>
      <c r="BO141" s="244"/>
      <c r="BP141" s="244"/>
      <c r="BQ141" s="244"/>
      <c r="BR141" s="244"/>
      <c r="BS141" s="107"/>
      <c r="BT141" s="104"/>
      <c r="BU141" s="72"/>
      <c r="BV141" s="92"/>
      <c r="BW141" s="107"/>
      <c r="BX141" s="92"/>
      <c r="BY141" s="92"/>
      <c r="BZ141" s="92"/>
      <c r="CA141" s="107"/>
      <c r="CB141" s="92"/>
      <c r="CC141" s="92"/>
      <c r="CD141" s="92"/>
      <c r="CE141" s="107"/>
      <c r="CF141" s="92"/>
      <c r="CG141" s="92"/>
      <c r="CH141" s="92"/>
      <c r="CI141" s="107"/>
      <c r="CJ141" s="92"/>
      <c r="CK141" s="92"/>
      <c r="CL141" s="107"/>
      <c r="CM141" s="74"/>
      <c r="CN141" s="70"/>
      <c r="CO141" s="92"/>
      <c r="CP141" s="107"/>
      <c r="CQ141" s="92"/>
      <c r="CR141" s="92"/>
      <c r="CS141" s="92"/>
      <c r="CT141" s="107"/>
      <c r="CU141" s="92"/>
      <c r="CV141" s="92"/>
      <c r="CW141" s="92"/>
      <c r="CX141" s="107"/>
      <c r="CY141" s="92"/>
      <c r="CZ141" s="92"/>
      <c r="DA141" s="92"/>
      <c r="DB141" s="107"/>
      <c r="DC141" s="92"/>
      <c r="DD141" s="92"/>
      <c r="DE141" s="107"/>
      <c r="DF141" s="104"/>
      <c r="DG141" s="104"/>
      <c r="DH141" s="92"/>
      <c r="DI141" s="107"/>
      <c r="DJ141" s="92"/>
      <c r="DK141" s="92"/>
      <c r="DL141" s="92"/>
      <c r="DM141" s="107"/>
      <c r="DN141" s="92"/>
      <c r="DO141" s="92"/>
      <c r="DP141" s="92"/>
      <c r="DQ141" s="107"/>
      <c r="DR141" s="92"/>
      <c r="DS141" s="92"/>
      <c r="DT141" s="92"/>
      <c r="DU141" s="107"/>
      <c r="DV141" s="92"/>
      <c r="DW141" s="92"/>
      <c r="DX141" s="107"/>
      <c r="DY141" s="104"/>
      <c r="DZ141" s="104"/>
      <c r="EA141" s="104"/>
      <c r="EB141" s="104"/>
      <c r="EC141" s="73"/>
    </row>
    <row r="142" spans="1:133" ht="25.15" customHeight="1" thickBot="1">
      <c r="A142" s="1">
        <f t="shared" si="28"/>
        <v>19</v>
      </c>
      <c r="B142" s="141"/>
      <c r="C142" s="266"/>
      <c r="D142" s="266"/>
      <c r="E142" s="266"/>
      <c r="F142" s="266"/>
      <c r="G142" s="266"/>
      <c r="H142" s="266"/>
      <c r="I142" s="336"/>
      <c r="J142" s="336"/>
      <c r="K142" s="336"/>
      <c r="L142" s="33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107"/>
      <c r="BB142" s="92"/>
      <c r="BC142" s="92"/>
      <c r="BD142" s="107"/>
      <c r="BE142" s="92"/>
      <c r="BF142" s="92"/>
      <c r="BG142" s="92"/>
      <c r="BH142" s="107"/>
      <c r="BI142" s="92"/>
      <c r="BJ142" s="92"/>
      <c r="BK142" s="92"/>
      <c r="BL142" s="107"/>
      <c r="BM142" s="92"/>
      <c r="BN142" s="92"/>
      <c r="BO142" s="92"/>
      <c r="BP142" s="107"/>
      <c r="BQ142" s="92"/>
      <c r="BR142" s="9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c r="CM142" s="112"/>
      <c r="CN142" s="112"/>
      <c r="CO142" s="112"/>
      <c r="CP142" s="112"/>
      <c r="CQ142" s="112"/>
      <c r="CR142" s="112"/>
      <c r="CS142" s="112"/>
      <c r="CT142" s="112"/>
      <c r="CU142" s="112"/>
      <c r="CV142" s="112"/>
      <c r="CW142" s="112"/>
      <c r="CX142" s="112"/>
      <c r="CY142" s="112"/>
      <c r="CZ142" s="112"/>
      <c r="DA142" s="112"/>
      <c r="DB142" s="112"/>
      <c r="DC142" s="112"/>
      <c r="DD142" s="112"/>
      <c r="DE142" s="112"/>
      <c r="DF142" s="112"/>
      <c r="DG142" s="112"/>
      <c r="DH142" s="112"/>
      <c r="DI142" s="112"/>
      <c r="DJ142" s="112"/>
      <c r="DK142" s="112"/>
      <c r="DL142" s="112"/>
      <c r="DM142" s="112"/>
      <c r="DN142" s="112"/>
      <c r="DO142" s="112"/>
      <c r="DP142" s="112"/>
      <c r="DQ142" s="112"/>
      <c r="DR142" s="112"/>
      <c r="DS142" s="112"/>
      <c r="DT142" s="112"/>
      <c r="DU142" s="112"/>
      <c r="DV142" s="112"/>
      <c r="DW142" s="112"/>
      <c r="DX142" s="112"/>
      <c r="DY142" s="112"/>
      <c r="DZ142" s="112"/>
      <c r="EA142" s="112"/>
      <c r="EB142" s="112"/>
      <c r="EC142" s="137"/>
    </row>
    <row r="143" spans="1:133" ht="25.15" customHeight="1">
      <c r="C143" s="266"/>
      <c r="D143" s="266"/>
      <c r="E143" s="266"/>
      <c r="F143" s="266"/>
      <c r="G143" s="266"/>
      <c r="H143" s="266"/>
      <c r="I143" s="336"/>
      <c r="J143" s="336"/>
      <c r="K143" s="336"/>
      <c r="L143" s="33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107"/>
      <c r="BB143" s="92"/>
      <c r="BC143" s="92"/>
      <c r="BD143" s="107"/>
      <c r="BE143" s="92"/>
      <c r="BF143" s="92"/>
      <c r="BG143" s="92"/>
      <c r="BH143" s="107"/>
      <c r="BI143" s="92"/>
      <c r="BJ143" s="92"/>
      <c r="BK143" s="92"/>
      <c r="BL143" s="107"/>
      <c r="BM143" s="92"/>
      <c r="BN143" s="92"/>
      <c r="BO143" s="92"/>
      <c r="BP143" s="107"/>
      <c r="BQ143" s="92"/>
      <c r="BR143" s="92"/>
    </row>
    <row r="144" spans="1:133" ht="25.15" customHeight="1">
      <c r="C144" s="266"/>
      <c r="D144" s="266"/>
      <c r="E144" s="266"/>
      <c r="F144" s="266"/>
      <c r="G144" s="266"/>
      <c r="H144" s="266"/>
      <c r="I144" s="336"/>
      <c r="J144" s="336"/>
      <c r="K144" s="336"/>
      <c r="L144" s="33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107"/>
      <c r="BB144" s="92"/>
      <c r="BC144" s="92"/>
      <c r="BD144" s="107"/>
      <c r="BE144" s="92"/>
      <c r="BF144" s="92"/>
      <c r="BG144" s="92"/>
      <c r="BH144" s="107"/>
      <c r="BI144" s="92"/>
      <c r="BJ144" s="92"/>
      <c r="BK144" s="92"/>
      <c r="BL144" s="107"/>
      <c r="BM144" s="92"/>
      <c r="BN144" s="92"/>
      <c r="BO144" s="92"/>
      <c r="BP144" s="107"/>
      <c r="BQ144" s="92"/>
      <c r="BR144" s="92"/>
    </row>
    <row r="145" spans="3:70" ht="25.15" customHeight="1">
      <c r="C145" s="266"/>
      <c r="D145" s="266"/>
      <c r="E145" s="266"/>
      <c r="F145" s="266"/>
      <c r="G145" s="266"/>
      <c r="H145" s="266"/>
      <c r="I145" s="336"/>
      <c r="J145" s="336"/>
      <c r="K145" s="336"/>
      <c r="L145" s="33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107"/>
      <c r="BB145" s="92"/>
      <c r="BC145" s="92"/>
      <c r="BD145" s="107"/>
      <c r="BE145" s="92"/>
      <c r="BF145" s="92"/>
      <c r="BG145" s="92"/>
      <c r="BH145" s="107"/>
      <c r="BI145" s="92"/>
      <c r="BJ145" s="92"/>
      <c r="BK145" s="92"/>
      <c r="BL145" s="107"/>
      <c r="BM145" s="92"/>
      <c r="BN145" s="92"/>
      <c r="BO145" s="92"/>
      <c r="BP145" s="107"/>
      <c r="BQ145" s="92"/>
      <c r="BR145" s="92"/>
    </row>
    <row r="146" spans="3:70" ht="25.15" customHeight="1">
      <c r="C146" s="266"/>
      <c r="D146" s="266"/>
      <c r="E146" s="266"/>
      <c r="F146" s="266"/>
      <c r="G146" s="266"/>
      <c r="H146" s="266"/>
      <c r="I146" s="336"/>
      <c r="J146" s="336"/>
      <c r="K146" s="336"/>
      <c r="L146" s="33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107"/>
      <c r="BB146" s="92"/>
      <c r="BC146" s="92"/>
      <c r="BD146" s="107"/>
      <c r="BE146" s="92"/>
      <c r="BF146" s="92"/>
      <c r="BG146" s="92"/>
      <c r="BH146" s="107"/>
      <c r="BI146" s="92"/>
      <c r="BJ146" s="92"/>
      <c r="BK146" s="92"/>
      <c r="BL146" s="107"/>
      <c r="BM146" s="92"/>
      <c r="BN146" s="92"/>
      <c r="BO146" s="92"/>
      <c r="BP146" s="107"/>
      <c r="BQ146" s="92"/>
      <c r="BR146" s="92"/>
    </row>
    <row r="147" spans="3:70" ht="25.15" customHeight="1">
      <c r="C147" s="266"/>
      <c r="D147" s="266"/>
      <c r="E147" s="266"/>
      <c r="F147" s="266"/>
      <c r="G147" s="266"/>
      <c r="H147" s="266"/>
      <c r="I147" s="336"/>
      <c r="J147" s="336"/>
      <c r="K147" s="336"/>
      <c r="L147" s="33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107"/>
      <c r="BB147" s="92"/>
      <c r="BC147" s="92"/>
      <c r="BD147" s="107"/>
      <c r="BE147" s="92"/>
      <c r="BF147" s="92"/>
      <c r="BG147" s="92"/>
      <c r="BH147" s="107"/>
      <c r="BI147" s="92"/>
      <c r="BJ147" s="92"/>
      <c r="BK147" s="92"/>
      <c r="BL147" s="107"/>
      <c r="BM147" s="92"/>
      <c r="BN147" s="92"/>
      <c r="BO147" s="92"/>
      <c r="BP147" s="107"/>
      <c r="BQ147" s="92"/>
      <c r="BR147" s="92"/>
    </row>
    <row r="148" spans="3:70" ht="25.15" customHeight="1">
      <c r="C148" s="266"/>
      <c r="D148" s="266"/>
      <c r="E148" s="266"/>
      <c r="F148" s="266"/>
      <c r="G148" s="266"/>
      <c r="H148" s="266"/>
      <c r="I148" s="336"/>
      <c r="J148" s="336"/>
      <c r="K148" s="336"/>
      <c r="L148" s="33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107"/>
      <c r="BB148" s="92"/>
      <c r="BC148" s="92"/>
      <c r="BD148" s="107"/>
      <c r="BE148" s="92"/>
      <c r="BF148" s="92"/>
      <c r="BG148" s="92"/>
      <c r="BH148" s="107"/>
      <c r="BI148" s="92"/>
      <c r="BJ148" s="92"/>
      <c r="BK148" s="92"/>
      <c r="BL148" s="107"/>
      <c r="BM148" s="92"/>
      <c r="BN148" s="92"/>
      <c r="BO148" s="92"/>
      <c r="BP148" s="107"/>
      <c r="BQ148" s="92"/>
      <c r="BR148" s="92"/>
    </row>
    <row r="149" spans="3:70" ht="25.15" customHeight="1">
      <c r="C149" s="266"/>
      <c r="D149" s="266"/>
      <c r="E149" s="266"/>
      <c r="F149" s="266"/>
      <c r="G149" s="266"/>
      <c r="H149" s="266"/>
      <c r="I149" s="336"/>
      <c r="J149" s="336"/>
      <c r="K149" s="336"/>
      <c r="L149" s="336"/>
      <c r="M149" s="26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107"/>
      <c r="BB149" s="92"/>
      <c r="BC149" s="92"/>
      <c r="BD149" s="107"/>
      <c r="BE149" s="92"/>
      <c r="BF149" s="92"/>
      <c r="BG149" s="92"/>
      <c r="BH149" s="107"/>
      <c r="BI149" s="92"/>
      <c r="BJ149" s="92"/>
      <c r="BK149" s="92"/>
      <c r="BL149" s="107"/>
      <c r="BM149" s="92"/>
      <c r="BN149" s="92"/>
      <c r="BO149" s="92"/>
      <c r="BP149" s="107"/>
      <c r="BQ149" s="92"/>
      <c r="BR149" s="92"/>
    </row>
    <row r="150" spans="3:70" ht="25.15" customHeight="1">
      <c r="C150" s="266"/>
      <c r="D150" s="266"/>
      <c r="E150" s="266"/>
      <c r="F150" s="266"/>
      <c r="G150" s="266"/>
      <c r="H150" s="266"/>
      <c r="I150" s="336"/>
      <c r="J150" s="336"/>
      <c r="K150" s="336"/>
      <c r="L150" s="33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107"/>
      <c r="BB150" s="92"/>
      <c r="BC150" s="92"/>
      <c r="BD150" s="107"/>
      <c r="BE150" s="92"/>
      <c r="BF150" s="92"/>
      <c r="BG150" s="92"/>
      <c r="BH150" s="107"/>
      <c r="BI150" s="92"/>
      <c r="BJ150" s="92"/>
      <c r="BK150" s="92"/>
      <c r="BL150" s="107"/>
      <c r="BM150" s="92"/>
      <c r="BN150" s="92"/>
      <c r="BO150" s="92"/>
      <c r="BP150" s="107"/>
      <c r="BQ150" s="92"/>
      <c r="BR150" s="92"/>
    </row>
    <row r="151" spans="3:70" ht="25.15" customHeight="1">
      <c r="C151" s="266"/>
      <c r="D151" s="266"/>
      <c r="E151" s="266"/>
      <c r="F151" s="266"/>
      <c r="G151" s="266"/>
      <c r="H151" s="266"/>
      <c r="I151" s="336"/>
      <c r="J151" s="336"/>
      <c r="K151" s="336"/>
      <c r="L151" s="33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107"/>
      <c r="BB151" s="92"/>
      <c r="BC151" s="92"/>
      <c r="BD151" s="107"/>
      <c r="BE151" s="92"/>
      <c r="BF151" s="92"/>
      <c r="BG151" s="92"/>
      <c r="BH151" s="107"/>
      <c r="BI151" s="92"/>
      <c r="BJ151" s="92"/>
      <c r="BK151" s="92"/>
      <c r="BL151" s="107"/>
      <c r="BM151" s="92"/>
      <c r="BN151" s="92"/>
      <c r="BO151" s="92"/>
      <c r="BP151" s="107"/>
      <c r="BQ151" s="92"/>
      <c r="BR151" s="92"/>
    </row>
    <row r="152" spans="3:70" ht="25.15" customHeight="1">
      <c r="C152" s="266"/>
      <c r="D152" s="266"/>
      <c r="E152" s="266"/>
      <c r="F152" s="266"/>
      <c r="G152" s="266"/>
      <c r="H152" s="266"/>
      <c r="I152" s="336"/>
      <c r="J152" s="336"/>
      <c r="K152" s="336"/>
      <c r="L152" s="33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107"/>
      <c r="BB152" s="92"/>
      <c r="BC152" s="92"/>
      <c r="BD152" s="107"/>
      <c r="BE152" s="92"/>
      <c r="BF152" s="92"/>
      <c r="BG152" s="92"/>
      <c r="BH152" s="107"/>
      <c r="BI152" s="92"/>
      <c r="BJ152" s="92"/>
      <c r="BK152" s="92"/>
      <c r="BL152" s="107"/>
      <c r="BM152" s="92"/>
      <c r="BN152" s="92"/>
      <c r="BO152" s="92"/>
      <c r="BP152" s="107"/>
      <c r="BQ152" s="92"/>
      <c r="BR152" s="92"/>
    </row>
  </sheetData>
  <mergeCells count="1462">
    <mergeCell ref="AC140:AD140"/>
    <mergeCell ref="BB80:BR80"/>
    <mergeCell ref="C101:BR101"/>
    <mergeCell ref="BW101:EB101"/>
    <mergeCell ref="C103:BA103"/>
    <mergeCell ref="C104:BA104"/>
    <mergeCell ref="C105:BA105"/>
    <mergeCell ref="C106:BA106"/>
    <mergeCell ref="C107:BA107"/>
    <mergeCell ref="C108:BA108"/>
    <mergeCell ref="BB107:BR107"/>
    <mergeCell ref="BW107:DK107"/>
    <mergeCell ref="DL107:EB107"/>
    <mergeCell ref="BB108:BR108"/>
    <mergeCell ref="BW108:DK108"/>
    <mergeCell ref="DL108:EB108"/>
    <mergeCell ref="C141:H141"/>
    <mergeCell ref="BL141:BR141"/>
    <mergeCell ref="BB85:BR85"/>
    <mergeCell ref="BW85:DK85"/>
    <mergeCell ref="DL85:EB85"/>
    <mergeCell ref="C86:BA86"/>
    <mergeCell ref="BB86:BR86"/>
    <mergeCell ref="BW86:DK86"/>
    <mergeCell ref="DL86:EB86"/>
    <mergeCell ref="C83:BA83"/>
    <mergeCell ref="BB83:BR83"/>
    <mergeCell ref="BW83:DK83"/>
    <mergeCell ref="DL83:EB83"/>
    <mergeCell ref="C84:BA84"/>
    <mergeCell ref="BB84:BR84"/>
    <mergeCell ref="BW84:DK84"/>
    <mergeCell ref="DL84:EB84"/>
    <mergeCell ref="AY152:AZ152"/>
    <mergeCell ref="AG152:AH152"/>
    <mergeCell ref="AI152:AJ152"/>
    <mergeCell ref="AK152:AL152"/>
    <mergeCell ref="AM152:AN152"/>
    <mergeCell ref="AO152:AP152"/>
    <mergeCell ref="AQ152:AR152"/>
    <mergeCell ref="U152:V152"/>
    <mergeCell ref="W152:X152"/>
    <mergeCell ref="Y152:Z152"/>
    <mergeCell ref="AA152:AB152"/>
    <mergeCell ref="AC152:AD152"/>
    <mergeCell ref="AE152:AF152"/>
    <mergeCell ref="AY151:AZ151"/>
    <mergeCell ref="C81:BA81"/>
    <mergeCell ref="BB81:BR81"/>
    <mergeCell ref="BW81:DK81"/>
    <mergeCell ref="C82:BA82"/>
    <mergeCell ref="BB82:BR82"/>
    <mergeCell ref="BW82:DK82"/>
    <mergeCell ref="C109:BA109"/>
    <mergeCell ref="AS140:AT140"/>
    <mergeCell ref="AU140:AV140"/>
    <mergeCell ref="AW140:AX140"/>
    <mergeCell ref="AY140:AZ140"/>
    <mergeCell ref="AG140:AH140"/>
    <mergeCell ref="AI140:AJ140"/>
    <mergeCell ref="AK140:AL140"/>
    <mergeCell ref="AM140:AN140"/>
    <mergeCell ref="AO140:AP140"/>
    <mergeCell ref="AQ140:AR140"/>
    <mergeCell ref="U140:V140"/>
    <mergeCell ref="C152:D152"/>
    <mergeCell ref="E152:F152"/>
    <mergeCell ref="G152:H152"/>
    <mergeCell ref="I152:J152"/>
    <mergeCell ref="K152:L152"/>
    <mergeCell ref="M152:N152"/>
    <mergeCell ref="O152:P152"/>
    <mergeCell ref="Q152:R152"/>
    <mergeCell ref="S152:T152"/>
    <mergeCell ref="AM151:AN151"/>
    <mergeCell ref="AO151:AP151"/>
    <mergeCell ref="AQ151:AR151"/>
    <mergeCell ref="AS151:AT151"/>
    <mergeCell ref="AU151:AV151"/>
    <mergeCell ref="AW151:AX151"/>
    <mergeCell ref="AA151:AB151"/>
    <mergeCell ref="AC151:AD151"/>
    <mergeCell ref="AE151:AF151"/>
    <mergeCell ref="AG151:AH151"/>
    <mergeCell ref="AI151:AJ151"/>
    <mergeCell ref="AK151:AL151"/>
    <mergeCell ref="O151:P151"/>
    <mergeCell ref="Q151:R151"/>
    <mergeCell ref="S151:T151"/>
    <mergeCell ref="U151:V151"/>
    <mergeCell ref="W151:X151"/>
    <mergeCell ref="Y151:Z151"/>
    <mergeCell ref="AS152:AT152"/>
    <mergeCell ref="AU152:AV152"/>
    <mergeCell ref="AW152:AX152"/>
    <mergeCell ref="AM149:AN149"/>
    <mergeCell ref="AY150:AZ150"/>
    <mergeCell ref="C151:D151"/>
    <mergeCell ref="E151:F151"/>
    <mergeCell ref="G151:H151"/>
    <mergeCell ref="I151:J151"/>
    <mergeCell ref="K151:L151"/>
    <mergeCell ref="M151:N151"/>
    <mergeCell ref="AG150:AH150"/>
    <mergeCell ref="AI150:AJ150"/>
    <mergeCell ref="AK150:AL150"/>
    <mergeCell ref="AM150:AN150"/>
    <mergeCell ref="AO150:AP150"/>
    <mergeCell ref="AQ150:AR150"/>
    <mergeCell ref="U150:V150"/>
    <mergeCell ref="W150:X150"/>
    <mergeCell ref="Y150:Z150"/>
    <mergeCell ref="AA150:AB150"/>
    <mergeCell ref="AC150:AD150"/>
    <mergeCell ref="AE150:AF150"/>
    <mergeCell ref="C150:D150"/>
    <mergeCell ref="E150:F150"/>
    <mergeCell ref="G150:H150"/>
    <mergeCell ref="I150:J150"/>
    <mergeCell ref="K150:L150"/>
    <mergeCell ref="M150:N150"/>
    <mergeCell ref="O150:P150"/>
    <mergeCell ref="Q150:R150"/>
    <mergeCell ref="S150:T150"/>
    <mergeCell ref="AS150:AT150"/>
    <mergeCell ref="AU150:AV150"/>
    <mergeCell ref="AW150:AX150"/>
    <mergeCell ref="AO149:AP149"/>
    <mergeCell ref="AQ149:AR149"/>
    <mergeCell ref="AS149:AT149"/>
    <mergeCell ref="AU149:AV149"/>
    <mergeCell ref="AW149:AX149"/>
    <mergeCell ref="AA149:AB149"/>
    <mergeCell ref="AC149:AD149"/>
    <mergeCell ref="AE149:AF149"/>
    <mergeCell ref="AG149:AH149"/>
    <mergeCell ref="AI149:AJ149"/>
    <mergeCell ref="AK149:AL149"/>
    <mergeCell ref="O149:P149"/>
    <mergeCell ref="Q149:R149"/>
    <mergeCell ref="S149:T149"/>
    <mergeCell ref="U149:V149"/>
    <mergeCell ref="W149:X149"/>
    <mergeCell ref="Y149:Z149"/>
    <mergeCell ref="AY148:AZ148"/>
    <mergeCell ref="C149:D149"/>
    <mergeCell ref="E149:F149"/>
    <mergeCell ref="G149:H149"/>
    <mergeCell ref="I149:J149"/>
    <mergeCell ref="K149:L149"/>
    <mergeCell ref="M149:N149"/>
    <mergeCell ref="AG148:AH148"/>
    <mergeCell ref="AI148:AJ148"/>
    <mergeCell ref="AK148:AL148"/>
    <mergeCell ref="AM148:AN148"/>
    <mergeCell ref="AO148:AP148"/>
    <mergeCell ref="AQ148:AR148"/>
    <mergeCell ref="U148:V148"/>
    <mergeCell ref="W148:X148"/>
    <mergeCell ref="Y148:Z148"/>
    <mergeCell ref="AA148:AB148"/>
    <mergeCell ref="AC148:AD148"/>
    <mergeCell ref="AE148:AF148"/>
    <mergeCell ref="AY149:AZ149"/>
    <mergeCell ref="C148:D148"/>
    <mergeCell ref="E148:F148"/>
    <mergeCell ref="G148:H148"/>
    <mergeCell ref="I148:J148"/>
    <mergeCell ref="K148:L148"/>
    <mergeCell ref="M148:N148"/>
    <mergeCell ref="O148:P148"/>
    <mergeCell ref="Q148:R148"/>
    <mergeCell ref="S148:T148"/>
    <mergeCell ref="AS148:AT148"/>
    <mergeCell ref="AU148:AV148"/>
    <mergeCell ref="AW148:AX148"/>
    <mergeCell ref="AM147:AN147"/>
    <mergeCell ref="AO147:AP147"/>
    <mergeCell ref="AQ147:AR147"/>
    <mergeCell ref="AS147:AT147"/>
    <mergeCell ref="AU147:AV147"/>
    <mergeCell ref="AW147:AX147"/>
    <mergeCell ref="AA147:AB147"/>
    <mergeCell ref="AC147:AD147"/>
    <mergeCell ref="AE147:AF147"/>
    <mergeCell ref="AG147:AH147"/>
    <mergeCell ref="AI147:AJ147"/>
    <mergeCell ref="AK147:AL147"/>
    <mergeCell ref="O147:P147"/>
    <mergeCell ref="Q147:R147"/>
    <mergeCell ref="S147:T147"/>
    <mergeCell ref="U147:V147"/>
    <mergeCell ref="W147:X147"/>
    <mergeCell ref="Y147:Z147"/>
    <mergeCell ref="AY146:AZ146"/>
    <mergeCell ref="C147:D147"/>
    <mergeCell ref="E147:F147"/>
    <mergeCell ref="G147:H147"/>
    <mergeCell ref="I147:J147"/>
    <mergeCell ref="K147:L147"/>
    <mergeCell ref="M147:N147"/>
    <mergeCell ref="AG146:AH146"/>
    <mergeCell ref="AI146:AJ146"/>
    <mergeCell ref="AK146:AL146"/>
    <mergeCell ref="AM146:AN146"/>
    <mergeCell ref="AO146:AP146"/>
    <mergeCell ref="AQ146:AR146"/>
    <mergeCell ref="U146:V146"/>
    <mergeCell ref="W146:X146"/>
    <mergeCell ref="Y146:Z146"/>
    <mergeCell ref="AA146:AB146"/>
    <mergeCell ref="AC146:AD146"/>
    <mergeCell ref="AE146:AF146"/>
    <mergeCell ref="AY147:AZ147"/>
    <mergeCell ref="C146:D146"/>
    <mergeCell ref="E146:F146"/>
    <mergeCell ref="G146:H146"/>
    <mergeCell ref="I146:J146"/>
    <mergeCell ref="K146:L146"/>
    <mergeCell ref="M146:N146"/>
    <mergeCell ref="O146:P146"/>
    <mergeCell ref="Q146:R146"/>
    <mergeCell ref="S146:T146"/>
    <mergeCell ref="AS146:AT146"/>
    <mergeCell ref="AU146:AV146"/>
    <mergeCell ref="AW146:AX146"/>
    <mergeCell ref="AM145:AN145"/>
    <mergeCell ref="AO145:AP145"/>
    <mergeCell ref="AQ145:AR145"/>
    <mergeCell ref="AS145:AT145"/>
    <mergeCell ref="AU145:AV145"/>
    <mergeCell ref="AW145:AX145"/>
    <mergeCell ref="AA145:AB145"/>
    <mergeCell ref="AC145:AD145"/>
    <mergeCell ref="AE145:AF145"/>
    <mergeCell ref="AG145:AH145"/>
    <mergeCell ref="AI145:AJ145"/>
    <mergeCell ref="AK145:AL145"/>
    <mergeCell ref="O145:P145"/>
    <mergeCell ref="Q145:R145"/>
    <mergeCell ref="S145:T145"/>
    <mergeCell ref="U145:V145"/>
    <mergeCell ref="W145:X145"/>
    <mergeCell ref="Y145:Z145"/>
    <mergeCell ref="AY144:AZ144"/>
    <mergeCell ref="C145:D145"/>
    <mergeCell ref="E145:F145"/>
    <mergeCell ref="G145:H145"/>
    <mergeCell ref="I145:J145"/>
    <mergeCell ref="K145:L145"/>
    <mergeCell ref="M145:N145"/>
    <mergeCell ref="AG144:AH144"/>
    <mergeCell ref="AI144:AJ144"/>
    <mergeCell ref="AK144:AL144"/>
    <mergeCell ref="AM144:AN144"/>
    <mergeCell ref="AO144:AP144"/>
    <mergeCell ref="AQ144:AR144"/>
    <mergeCell ref="U144:V144"/>
    <mergeCell ref="W144:X144"/>
    <mergeCell ref="Y144:Z144"/>
    <mergeCell ref="AA144:AB144"/>
    <mergeCell ref="AC144:AD144"/>
    <mergeCell ref="AE144:AF144"/>
    <mergeCell ref="AY145:AZ145"/>
    <mergeCell ref="C144:D144"/>
    <mergeCell ref="E144:F144"/>
    <mergeCell ref="G144:H144"/>
    <mergeCell ref="I144:J144"/>
    <mergeCell ref="K144:L144"/>
    <mergeCell ref="M144:N144"/>
    <mergeCell ref="O144:P144"/>
    <mergeCell ref="Q144:R144"/>
    <mergeCell ref="S144:T144"/>
    <mergeCell ref="AS144:AT144"/>
    <mergeCell ref="AU144:AV144"/>
    <mergeCell ref="AW144:AX144"/>
    <mergeCell ref="AM143:AN143"/>
    <mergeCell ref="AO143:AP143"/>
    <mergeCell ref="AQ143:AR143"/>
    <mergeCell ref="AS143:AT143"/>
    <mergeCell ref="AU143:AV143"/>
    <mergeCell ref="AW143:AX143"/>
    <mergeCell ref="AA143:AB143"/>
    <mergeCell ref="AC143:AD143"/>
    <mergeCell ref="AE143:AF143"/>
    <mergeCell ref="AG143:AH143"/>
    <mergeCell ref="AI143:AJ143"/>
    <mergeCell ref="AK143:AL143"/>
    <mergeCell ref="O143:P143"/>
    <mergeCell ref="Q143:R143"/>
    <mergeCell ref="S143:T143"/>
    <mergeCell ref="U143:V143"/>
    <mergeCell ref="W143:X143"/>
    <mergeCell ref="Y143:Z143"/>
    <mergeCell ref="AS142:AT142"/>
    <mergeCell ref="AU142:AV142"/>
    <mergeCell ref="AW142:AX142"/>
    <mergeCell ref="AY142:AZ142"/>
    <mergeCell ref="C143:D143"/>
    <mergeCell ref="E143:F143"/>
    <mergeCell ref="G143:H143"/>
    <mergeCell ref="I143:J143"/>
    <mergeCell ref="K143:L143"/>
    <mergeCell ref="M143:N143"/>
    <mergeCell ref="AG142:AH142"/>
    <mergeCell ref="AI142:AJ142"/>
    <mergeCell ref="AK142:AL142"/>
    <mergeCell ref="AM142:AN142"/>
    <mergeCell ref="AO142:AP142"/>
    <mergeCell ref="AQ142:AR142"/>
    <mergeCell ref="U142:V142"/>
    <mergeCell ref="W142:X142"/>
    <mergeCell ref="Y142:Z142"/>
    <mergeCell ref="AA142:AB142"/>
    <mergeCell ref="AC142:AD142"/>
    <mergeCell ref="AE142:AF142"/>
    <mergeCell ref="C142:D142"/>
    <mergeCell ref="E142:F142"/>
    <mergeCell ref="G142:H142"/>
    <mergeCell ref="I142:J142"/>
    <mergeCell ref="K142:L142"/>
    <mergeCell ref="M142:N142"/>
    <mergeCell ref="O142:P142"/>
    <mergeCell ref="Q142:R142"/>
    <mergeCell ref="S142:T142"/>
    <mergeCell ref="AY143:AZ143"/>
    <mergeCell ref="AE140:AF140"/>
    <mergeCell ref="DL139:EB139"/>
    <mergeCell ref="C140:D140"/>
    <mergeCell ref="E140:F140"/>
    <mergeCell ref="G140:H140"/>
    <mergeCell ref="I140:J140"/>
    <mergeCell ref="K140:L140"/>
    <mergeCell ref="M140:N140"/>
    <mergeCell ref="O140:P140"/>
    <mergeCell ref="Q140:R140"/>
    <mergeCell ref="S140:T140"/>
    <mergeCell ref="AQ139:AR139"/>
    <mergeCell ref="AS139:AT139"/>
    <mergeCell ref="AU139:AV139"/>
    <mergeCell ref="AW139:AX139"/>
    <mergeCell ref="AY139:AZ139"/>
    <mergeCell ref="BW139:DK139"/>
    <mergeCell ref="AE139:AF139"/>
    <mergeCell ref="AG139:AH139"/>
    <mergeCell ref="AI139:AJ139"/>
    <mergeCell ref="AK139:AL139"/>
    <mergeCell ref="AM139:AN139"/>
    <mergeCell ref="AO139:AP139"/>
    <mergeCell ref="S139:T139"/>
    <mergeCell ref="U139:V139"/>
    <mergeCell ref="W139:X139"/>
    <mergeCell ref="Y139:Z139"/>
    <mergeCell ref="AA139:AB139"/>
    <mergeCell ref="AC139:AD139"/>
    <mergeCell ref="W140:X140"/>
    <mergeCell ref="Y140:Z140"/>
    <mergeCell ref="AA140:AB140"/>
    <mergeCell ref="C139:D139"/>
    <mergeCell ref="E139:F139"/>
    <mergeCell ref="G139:H139"/>
    <mergeCell ref="I139:J139"/>
    <mergeCell ref="K139:L139"/>
    <mergeCell ref="M139:N139"/>
    <mergeCell ref="O139:P139"/>
    <mergeCell ref="Q139:R139"/>
    <mergeCell ref="CU138:CV138"/>
    <mergeCell ref="CW138:CX138"/>
    <mergeCell ref="CY138:CZ138"/>
    <mergeCell ref="DA138:DB138"/>
    <mergeCell ref="DC138:DD138"/>
    <mergeCell ref="DE138:DF138"/>
    <mergeCell ref="CI138:CJ138"/>
    <mergeCell ref="CK138:CL138"/>
    <mergeCell ref="CM138:CN138"/>
    <mergeCell ref="CO138:CP138"/>
    <mergeCell ref="CQ138:CR138"/>
    <mergeCell ref="CS138:CT138"/>
    <mergeCell ref="BW138:BX138"/>
    <mergeCell ref="BY138:BZ138"/>
    <mergeCell ref="CA138:CB138"/>
    <mergeCell ref="CC138:CD138"/>
    <mergeCell ref="CE138:CF138"/>
    <mergeCell ref="CG138:CH138"/>
    <mergeCell ref="AO138:AP138"/>
    <mergeCell ref="AQ138:AR138"/>
    <mergeCell ref="AS138:AT138"/>
    <mergeCell ref="AU138:AV138"/>
    <mergeCell ref="AW138:AX138"/>
    <mergeCell ref="AY138:AZ138"/>
    <mergeCell ref="AC138:AD138"/>
    <mergeCell ref="AE138:AF138"/>
    <mergeCell ref="AG138:AH138"/>
    <mergeCell ref="AI138:AJ138"/>
    <mergeCell ref="AK138:AL138"/>
    <mergeCell ref="AM138:AN138"/>
    <mergeCell ref="Q138:R138"/>
    <mergeCell ref="S138:T138"/>
    <mergeCell ref="U138:V138"/>
    <mergeCell ref="W138:X138"/>
    <mergeCell ref="Y138:Z138"/>
    <mergeCell ref="AA138:AB138"/>
    <mergeCell ref="DE137:DF137"/>
    <mergeCell ref="DG137:DH137"/>
    <mergeCell ref="DI137:DJ137"/>
    <mergeCell ref="AC137:AD137"/>
    <mergeCell ref="AE137:AF137"/>
    <mergeCell ref="AG137:AH137"/>
    <mergeCell ref="AI137:AJ137"/>
    <mergeCell ref="AK137:AL137"/>
    <mergeCell ref="DG138:DH138"/>
    <mergeCell ref="DI138:DJ138"/>
    <mergeCell ref="C138:D138"/>
    <mergeCell ref="E138:F138"/>
    <mergeCell ref="G138:H138"/>
    <mergeCell ref="I138:J138"/>
    <mergeCell ref="K138:L138"/>
    <mergeCell ref="M138:N138"/>
    <mergeCell ref="O138:P138"/>
    <mergeCell ref="CS137:CT137"/>
    <mergeCell ref="CU137:CV137"/>
    <mergeCell ref="CW137:CX137"/>
    <mergeCell ref="CY137:CZ137"/>
    <mergeCell ref="DA137:DB137"/>
    <mergeCell ref="DC137:DD137"/>
    <mergeCell ref="CG137:CH137"/>
    <mergeCell ref="CI137:CJ137"/>
    <mergeCell ref="CK137:CL137"/>
    <mergeCell ref="CM137:CN137"/>
    <mergeCell ref="CO137:CP137"/>
    <mergeCell ref="CQ137:CR137"/>
    <mergeCell ref="AY137:AZ137"/>
    <mergeCell ref="BW137:BX137"/>
    <mergeCell ref="BY137:BZ137"/>
    <mergeCell ref="CA137:CB137"/>
    <mergeCell ref="CC137:CD137"/>
    <mergeCell ref="CE137:CF137"/>
    <mergeCell ref="AM137:AN137"/>
    <mergeCell ref="AO137:AP137"/>
    <mergeCell ref="AQ137:AR137"/>
    <mergeCell ref="AS137:AT137"/>
    <mergeCell ref="AU137:AV137"/>
    <mergeCell ref="AW137:AX137"/>
    <mergeCell ref="AA137:AB137"/>
    <mergeCell ref="O137:P137"/>
    <mergeCell ref="Q137:R137"/>
    <mergeCell ref="S137:T137"/>
    <mergeCell ref="U137:V137"/>
    <mergeCell ref="W137:X137"/>
    <mergeCell ref="Y137:Z137"/>
    <mergeCell ref="C137:D137"/>
    <mergeCell ref="E137:F137"/>
    <mergeCell ref="G137:H137"/>
    <mergeCell ref="I137:J137"/>
    <mergeCell ref="K137:L137"/>
    <mergeCell ref="M137:N137"/>
    <mergeCell ref="CY136:CZ136"/>
    <mergeCell ref="DA136:DB136"/>
    <mergeCell ref="DC136:DD136"/>
    <mergeCell ref="DE136:DF136"/>
    <mergeCell ref="DG136:DH136"/>
    <mergeCell ref="AG136:AH136"/>
    <mergeCell ref="AI136:AJ136"/>
    <mergeCell ref="AK136:AL136"/>
    <mergeCell ref="AM136:AN136"/>
    <mergeCell ref="AO136:AP136"/>
    <mergeCell ref="AQ136:AR136"/>
    <mergeCell ref="U136:V136"/>
    <mergeCell ref="W136:X136"/>
    <mergeCell ref="Y136:Z136"/>
    <mergeCell ref="AA136:AB136"/>
    <mergeCell ref="AC136:AD136"/>
    <mergeCell ref="AE136:AF136"/>
    <mergeCell ref="DI136:DJ136"/>
    <mergeCell ref="CM136:CN136"/>
    <mergeCell ref="CO136:CP136"/>
    <mergeCell ref="CQ136:CR136"/>
    <mergeCell ref="CS136:CT136"/>
    <mergeCell ref="CU136:CV136"/>
    <mergeCell ref="CW136:CX136"/>
    <mergeCell ref="CA136:CB136"/>
    <mergeCell ref="CC136:CD136"/>
    <mergeCell ref="CE136:CF136"/>
    <mergeCell ref="CG136:CH136"/>
    <mergeCell ref="CI136:CJ136"/>
    <mergeCell ref="CK136:CL136"/>
    <mergeCell ref="AS136:AT136"/>
    <mergeCell ref="AU136:AV136"/>
    <mergeCell ref="AW136:AX136"/>
    <mergeCell ref="AY136:AZ136"/>
    <mergeCell ref="BW136:BX136"/>
    <mergeCell ref="BY136:BZ136"/>
    <mergeCell ref="DI135:DJ135"/>
    <mergeCell ref="C136:D136"/>
    <mergeCell ref="E136:F136"/>
    <mergeCell ref="G136:H136"/>
    <mergeCell ref="I136:J136"/>
    <mergeCell ref="K136:L136"/>
    <mergeCell ref="M136:N136"/>
    <mergeCell ref="O136:P136"/>
    <mergeCell ref="Q136:R136"/>
    <mergeCell ref="S136:T136"/>
    <mergeCell ref="CW135:CX135"/>
    <mergeCell ref="CY135:CZ135"/>
    <mergeCell ref="DA135:DB135"/>
    <mergeCell ref="DC135:DD135"/>
    <mergeCell ref="DE135:DF135"/>
    <mergeCell ref="DG135:DH135"/>
    <mergeCell ref="CK135:CL135"/>
    <mergeCell ref="CM135:CN135"/>
    <mergeCell ref="CO135:CP135"/>
    <mergeCell ref="CQ135:CR135"/>
    <mergeCell ref="CS135:CT135"/>
    <mergeCell ref="CU135:CV135"/>
    <mergeCell ref="BY135:BZ135"/>
    <mergeCell ref="CA135:CB135"/>
    <mergeCell ref="CC135:CD135"/>
    <mergeCell ref="CE135:CF135"/>
    <mergeCell ref="CG135:CH135"/>
    <mergeCell ref="CI135:CJ135"/>
    <mergeCell ref="AQ135:AR135"/>
    <mergeCell ref="AS135:AT135"/>
    <mergeCell ref="AU135:AV135"/>
    <mergeCell ref="AW135:AX135"/>
    <mergeCell ref="AY135:AZ135"/>
    <mergeCell ref="BW135:BX135"/>
    <mergeCell ref="AE135:AF135"/>
    <mergeCell ref="AG135:AH135"/>
    <mergeCell ref="AI135:AJ135"/>
    <mergeCell ref="AK135:AL135"/>
    <mergeCell ref="AM135:AN135"/>
    <mergeCell ref="AO135:AP135"/>
    <mergeCell ref="S135:T135"/>
    <mergeCell ref="U135:V135"/>
    <mergeCell ref="W135:X135"/>
    <mergeCell ref="Y135:Z135"/>
    <mergeCell ref="AA135:AB135"/>
    <mergeCell ref="AC135:AD135"/>
    <mergeCell ref="DG134:DH134"/>
    <mergeCell ref="DI134:DJ134"/>
    <mergeCell ref="C135:D135"/>
    <mergeCell ref="E135:F135"/>
    <mergeCell ref="G135:H135"/>
    <mergeCell ref="I135:J135"/>
    <mergeCell ref="K135:L135"/>
    <mergeCell ref="M135:N135"/>
    <mergeCell ref="O135:P135"/>
    <mergeCell ref="Q135:R135"/>
    <mergeCell ref="CU134:CV134"/>
    <mergeCell ref="CW134:CX134"/>
    <mergeCell ref="CY134:CZ134"/>
    <mergeCell ref="DA134:DB134"/>
    <mergeCell ref="DC134:DD134"/>
    <mergeCell ref="DE134:DF134"/>
    <mergeCell ref="CI134:CJ134"/>
    <mergeCell ref="CK134:CL134"/>
    <mergeCell ref="CM134:CN134"/>
    <mergeCell ref="CO134:CP134"/>
    <mergeCell ref="CQ134:CR134"/>
    <mergeCell ref="CS134:CT134"/>
    <mergeCell ref="BW134:BX134"/>
    <mergeCell ref="BY134:BZ134"/>
    <mergeCell ref="CA134:CB134"/>
    <mergeCell ref="CC134:CD134"/>
    <mergeCell ref="CE134:CF134"/>
    <mergeCell ref="CG134:CH134"/>
    <mergeCell ref="AO134:AP134"/>
    <mergeCell ref="AQ134:AR134"/>
    <mergeCell ref="AS134:AT134"/>
    <mergeCell ref="AU134:AV134"/>
    <mergeCell ref="AW134:AX134"/>
    <mergeCell ref="AY134:AZ134"/>
    <mergeCell ref="AC134:AD134"/>
    <mergeCell ref="AE134:AF134"/>
    <mergeCell ref="AG134:AH134"/>
    <mergeCell ref="AI134:AJ134"/>
    <mergeCell ref="AK134:AL134"/>
    <mergeCell ref="AM134:AN134"/>
    <mergeCell ref="Q134:R134"/>
    <mergeCell ref="S134:T134"/>
    <mergeCell ref="U134:V134"/>
    <mergeCell ref="W134:X134"/>
    <mergeCell ref="Y134:Z134"/>
    <mergeCell ref="AA134:AB134"/>
    <mergeCell ref="DE133:DF133"/>
    <mergeCell ref="DG133:DH133"/>
    <mergeCell ref="DI133:DJ133"/>
    <mergeCell ref="C134:D134"/>
    <mergeCell ref="E134:F134"/>
    <mergeCell ref="G134:H134"/>
    <mergeCell ref="I134:J134"/>
    <mergeCell ref="K134:L134"/>
    <mergeCell ref="M134:N134"/>
    <mergeCell ref="O134:P134"/>
    <mergeCell ref="CS133:CT133"/>
    <mergeCell ref="CU133:CV133"/>
    <mergeCell ref="CW133:CX133"/>
    <mergeCell ref="CY133:CZ133"/>
    <mergeCell ref="DA133:DB133"/>
    <mergeCell ref="DC133:DD133"/>
    <mergeCell ref="CG133:CH133"/>
    <mergeCell ref="CI133:CJ133"/>
    <mergeCell ref="CK133:CL133"/>
    <mergeCell ref="CM133:CN133"/>
    <mergeCell ref="CO133:CP133"/>
    <mergeCell ref="CQ133:CR133"/>
    <mergeCell ref="AY133:AZ133"/>
    <mergeCell ref="BW133:BX133"/>
    <mergeCell ref="BY133:BZ133"/>
    <mergeCell ref="CA133:CB133"/>
    <mergeCell ref="CC133:CD133"/>
    <mergeCell ref="CE133:CF133"/>
    <mergeCell ref="AM133:AN133"/>
    <mergeCell ref="AO133:AP133"/>
    <mergeCell ref="AQ133:AR133"/>
    <mergeCell ref="AS133:AT133"/>
    <mergeCell ref="AU133:AV133"/>
    <mergeCell ref="AW133:AX133"/>
    <mergeCell ref="AA133:AB133"/>
    <mergeCell ref="AC133:AD133"/>
    <mergeCell ref="AE133:AF133"/>
    <mergeCell ref="AG133:AH133"/>
    <mergeCell ref="AI133:AJ133"/>
    <mergeCell ref="AK133:AL133"/>
    <mergeCell ref="O133:P133"/>
    <mergeCell ref="Q133:R133"/>
    <mergeCell ref="S133:T133"/>
    <mergeCell ref="U133:V133"/>
    <mergeCell ref="W133:X133"/>
    <mergeCell ref="Y133:Z133"/>
    <mergeCell ref="C133:D133"/>
    <mergeCell ref="E133:F133"/>
    <mergeCell ref="G133:H133"/>
    <mergeCell ref="I133:J133"/>
    <mergeCell ref="K133:L133"/>
    <mergeCell ref="M133:N133"/>
    <mergeCell ref="CY132:CZ132"/>
    <mergeCell ref="DA132:DB132"/>
    <mergeCell ref="DC132:DD132"/>
    <mergeCell ref="DE132:DF132"/>
    <mergeCell ref="DG132:DH132"/>
    <mergeCell ref="DI132:DJ132"/>
    <mergeCell ref="CM132:CN132"/>
    <mergeCell ref="CO132:CP132"/>
    <mergeCell ref="CQ132:CR132"/>
    <mergeCell ref="CS132:CT132"/>
    <mergeCell ref="CU132:CV132"/>
    <mergeCell ref="CW132:CX132"/>
    <mergeCell ref="CA132:CB132"/>
    <mergeCell ref="CC132:CD132"/>
    <mergeCell ref="CE132:CF132"/>
    <mergeCell ref="CG132:CH132"/>
    <mergeCell ref="CI132:CJ132"/>
    <mergeCell ref="CK132:CL132"/>
    <mergeCell ref="AS132:AT132"/>
    <mergeCell ref="AU132:AV132"/>
    <mergeCell ref="AW132:AX132"/>
    <mergeCell ref="AY132:AZ132"/>
    <mergeCell ref="BW132:BX132"/>
    <mergeCell ref="BY132:BZ132"/>
    <mergeCell ref="AG132:AH132"/>
    <mergeCell ref="AI132:AJ132"/>
    <mergeCell ref="AK132:AL132"/>
    <mergeCell ref="AM132:AN132"/>
    <mergeCell ref="AO132:AP132"/>
    <mergeCell ref="AQ132:AR132"/>
    <mergeCell ref="U132:V132"/>
    <mergeCell ref="W132:X132"/>
    <mergeCell ref="Y132:Z132"/>
    <mergeCell ref="AA132:AB132"/>
    <mergeCell ref="AC132:AD132"/>
    <mergeCell ref="AE132:AF132"/>
    <mergeCell ref="DI131:DJ131"/>
    <mergeCell ref="C132:D132"/>
    <mergeCell ref="E132:F132"/>
    <mergeCell ref="G132:H132"/>
    <mergeCell ref="I132:J132"/>
    <mergeCell ref="K132:L132"/>
    <mergeCell ref="M132:N132"/>
    <mergeCell ref="O132:P132"/>
    <mergeCell ref="Q132:R132"/>
    <mergeCell ref="S132:T132"/>
    <mergeCell ref="CW131:CX131"/>
    <mergeCell ref="CY131:CZ131"/>
    <mergeCell ref="DA131:DB131"/>
    <mergeCell ref="DC131:DD131"/>
    <mergeCell ref="DE131:DF131"/>
    <mergeCell ref="DG131:DH131"/>
    <mergeCell ref="CK131:CL131"/>
    <mergeCell ref="CM131:CN131"/>
    <mergeCell ref="CO131:CP131"/>
    <mergeCell ref="CQ131:CR131"/>
    <mergeCell ref="CS131:CT131"/>
    <mergeCell ref="CU131:CV131"/>
    <mergeCell ref="BY131:BZ131"/>
    <mergeCell ref="CA131:CB131"/>
    <mergeCell ref="CC131:CD131"/>
    <mergeCell ref="CE131:CF131"/>
    <mergeCell ref="CG131:CH131"/>
    <mergeCell ref="CI131:CJ131"/>
    <mergeCell ref="AQ131:AR131"/>
    <mergeCell ref="AS131:AT131"/>
    <mergeCell ref="AU131:AV131"/>
    <mergeCell ref="AW131:AX131"/>
    <mergeCell ref="AY131:AZ131"/>
    <mergeCell ref="BW131:BX131"/>
    <mergeCell ref="AE131:AF131"/>
    <mergeCell ref="AG131:AH131"/>
    <mergeCell ref="AI131:AJ131"/>
    <mergeCell ref="AK131:AL131"/>
    <mergeCell ref="AM131:AN131"/>
    <mergeCell ref="AO131:AP131"/>
    <mergeCell ref="S131:T131"/>
    <mergeCell ref="U131:V131"/>
    <mergeCell ref="W131:X131"/>
    <mergeCell ref="Y131:Z131"/>
    <mergeCell ref="AA131:AB131"/>
    <mergeCell ref="AC131:AD131"/>
    <mergeCell ref="DG130:DH130"/>
    <mergeCell ref="DI130:DJ130"/>
    <mergeCell ref="C131:D131"/>
    <mergeCell ref="E131:F131"/>
    <mergeCell ref="G131:H131"/>
    <mergeCell ref="I131:J131"/>
    <mergeCell ref="K131:L131"/>
    <mergeCell ref="M131:N131"/>
    <mergeCell ref="O131:P131"/>
    <mergeCell ref="Q131:R131"/>
    <mergeCell ref="CU130:CV130"/>
    <mergeCell ref="CW130:CX130"/>
    <mergeCell ref="CY130:CZ130"/>
    <mergeCell ref="DA130:DB130"/>
    <mergeCell ref="DC130:DD130"/>
    <mergeCell ref="DE130:DF130"/>
    <mergeCell ref="CI130:CJ130"/>
    <mergeCell ref="CK130:CL130"/>
    <mergeCell ref="CM130:CN130"/>
    <mergeCell ref="CO130:CP130"/>
    <mergeCell ref="CQ130:CR130"/>
    <mergeCell ref="CS130:CT130"/>
    <mergeCell ref="BW130:BX130"/>
    <mergeCell ref="BY130:BZ130"/>
    <mergeCell ref="CA130:CB130"/>
    <mergeCell ref="CC130:CD130"/>
    <mergeCell ref="AO130:AP130"/>
    <mergeCell ref="AQ130:AR130"/>
    <mergeCell ref="AS130:AT130"/>
    <mergeCell ref="AU130:AV130"/>
    <mergeCell ref="AW130:AX130"/>
    <mergeCell ref="AY130:AZ130"/>
    <mergeCell ref="AC130:AD130"/>
    <mergeCell ref="AE130:AF130"/>
    <mergeCell ref="AG130:AH130"/>
    <mergeCell ref="AI130:AJ130"/>
    <mergeCell ref="AK130:AL130"/>
    <mergeCell ref="AM130:AN130"/>
    <mergeCell ref="Q130:R130"/>
    <mergeCell ref="S130:T130"/>
    <mergeCell ref="U130:V130"/>
    <mergeCell ref="W130:X130"/>
    <mergeCell ref="Y130:Z130"/>
    <mergeCell ref="AA130:AB130"/>
    <mergeCell ref="DI129:DJ129"/>
    <mergeCell ref="C130:D130"/>
    <mergeCell ref="E130:F130"/>
    <mergeCell ref="G130:H130"/>
    <mergeCell ref="I130:J130"/>
    <mergeCell ref="K130:L130"/>
    <mergeCell ref="M130:N130"/>
    <mergeCell ref="O130:P130"/>
    <mergeCell ref="CS129:CT129"/>
    <mergeCell ref="CU129:CV129"/>
    <mergeCell ref="CW129:CX129"/>
    <mergeCell ref="CY129:CZ129"/>
    <mergeCell ref="DA129:DB129"/>
    <mergeCell ref="DC129:DD129"/>
    <mergeCell ref="CG129:CH129"/>
    <mergeCell ref="CI129:CJ129"/>
    <mergeCell ref="CK129:CL129"/>
    <mergeCell ref="CM129:CN129"/>
    <mergeCell ref="CO129:CP129"/>
    <mergeCell ref="CQ129:CR129"/>
    <mergeCell ref="AY129:AZ129"/>
    <mergeCell ref="BW129:BX129"/>
    <mergeCell ref="BY129:BZ129"/>
    <mergeCell ref="CA129:CB129"/>
    <mergeCell ref="CC129:CD129"/>
    <mergeCell ref="CE129:CF129"/>
    <mergeCell ref="AM129:AN129"/>
    <mergeCell ref="AO129:AP129"/>
    <mergeCell ref="AQ129:AR129"/>
    <mergeCell ref="AS129:AT129"/>
    <mergeCell ref="CE130:CF130"/>
    <mergeCell ref="CG130:CH130"/>
    <mergeCell ref="AW129:AX129"/>
    <mergeCell ref="AA129:AB129"/>
    <mergeCell ref="AC129:AD129"/>
    <mergeCell ref="AE129:AF129"/>
    <mergeCell ref="AG129:AH129"/>
    <mergeCell ref="AI129:AJ129"/>
    <mergeCell ref="AK129:AL129"/>
    <mergeCell ref="O129:P129"/>
    <mergeCell ref="Q129:R129"/>
    <mergeCell ref="S129:T129"/>
    <mergeCell ref="U129:V129"/>
    <mergeCell ref="W129:X129"/>
    <mergeCell ref="Y129:Z129"/>
    <mergeCell ref="DC128:DD128"/>
    <mergeCell ref="DE128:DF128"/>
    <mergeCell ref="DG128:DH128"/>
    <mergeCell ref="AA128:AB128"/>
    <mergeCell ref="AC128:AD128"/>
    <mergeCell ref="AE128:AF128"/>
    <mergeCell ref="AG128:AH128"/>
    <mergeCell ref="AI128:AJ128"/>
    <mergeCell ref="DE129:DF129"/>
    <mergeCell ref="DG129:DH129"/>
    <mergeCell ref="C129:D129"/>
    <mergeCell ref="E129:F129"/>
    <mergeCell ref="G129:H129"/>
    <mergeCell ref="I129:J129"/>
    <mergeCell ref="K129:L129"/>
    <mergeCell ref="M129:N129"/>
    <mergeCell ref="CQ128:CR128"/>
    <mergeCell ref="CS128:CT128"/>
    <mergeCell ref="CU128:CV128"/>
    <mergeCell ref="CW128:CX128"/>
    <mergeCell ref="CY128:CZ128"/>
    <mergeCell ref="DA128:DB128"/>
    <mergeCell ref="CE128:CF128"/>
    <mergeCell ref="CG128:CH128"/>
    <mergeCell ref="CI128:CJ128"/>
    <mergeCell ref="CK128:CL128"/>
    <mergeCell ref="CM128:CN128"/>
    <mergeCell ref="CO128:CP128"/>
    <mergeCell ref="AW128:AX128"/>
    <mergeCell ref="AY128:AZ128"/>
    <mergeCell ref="BW128:BX128"/>
    <mergeCell ref="BY128:BZ128"/>
    <mergeCell ref="CA128:CB128"/>
    <mergeCell ref="CC128:CD128"/>
    <mergeCell ref="AK128:AL128"/>
    <mergeCell ref="AM128:AN128"/>
    <mergeCell ref="AO128:AP128"/>
    <mergeCell ref="AQ128:AR128"/>
    <mergeCell ref="AS128:AT128"/>
    <mergeCell ref="AU128:AV128"/>
    <mergeCell ref="Y128:Z128"/>
    <mergeCell ref="AU129:AV129"/>
    <mergeCell ref="M128:N128"/>
    <mergeCell ref="O128:P128"/>
    <mergeCell ref="Q128:R128"/>
    <mergeCell ref="S128:T128"/>
    <mergeCell ref="U128:V128"/>
    <mergeCell ref="W128:X128"/>
    <mergeCell ref="DA127:DB127"/>
    <mergeCell ref="DC127:DD127"/>
    <mergeCell ref="DE127:DF127"/>
    <mergeCell ref="DG127:DH127"/>
    <mergeCell ref="DI127:DJ127"/>
    <mergeCell ref="C128:D128"/>
    <mergeCell ref="E128:F128"/>
    <mergeCell ref="G128:H128"/>
    <mergeCell ref="I128:J128"/>
    <mergeCell ref="K128:L128"/>
    <mergeCell ref="CO127:CP127"/>
    <mergeCell ref="CQ127:CR127"/>
    <mergeCell ref="CS127:CT127"/>
    <mergeCell ref="CU127:CV127"/>
    <mergeCell ref="CW127:CX127"/>
    <mergeCell ref="CY127:CZ127"/>
    <mergeCell ref="CC127:CD127"/>
    <mergeCell ref="CE127:CF127"/>
    <mergeCell ref="CG127:CH127"/>
    <mergeCell ref="CI127:CJ127"/>
    <mergeCell ref="CK127:CL127"/>
    <mergeCell ref="CM127:CN127"/>
    <mergeCell ref="DI128:DJ128"/>
    <mergeCell ref="DC126:DD126"/>
    <mergeCell ref="DE126:DF126"/>
    <mergeCell ref="DG126:DH126"/>
    <mergeCell ref="DI126:DJ126"/>
    <mergeCell ref="C127:BA127"/>
    <mergeCell ref="BO127:BP127"/>
    <mergeCell ref="BQ127:BR127"/>
    <mergeCell ref="BW127:BX127"/>
    <mergeCell ref="BY127:BZ127"/>
    <mergeCell ref="CA127:CB127"/>
    <mergeCell ref="CQ126:CR126"/>
    <mergeCell ref="CS126:CT126"/>
    <mergeCell ref="CU126:CV126"/>
    <mergeCell ref="CW126:CX126"/>
    <mergeCell ref="CY126:CZ126"/>
    <mergeCell ref="DA126:DB126"/>
    <mergeCell ref="CE126:CF126"/>
    <mergeCell ref="CG126:CH126"/>
    <mergeCell ref="CI126:CJ126"/>
    <mergeCell ref="CK126:CL126"/>
    <mergeCell ref="CM126:CN126"/>
    <mergeCell ref="CO126:CP126"/>
    <mergeCell ref="DA125:DB125"/>
    <mergeCell ref="DC125:DD125"/>
    <mergeCell ref="DE125:DF125"/>
    <mergeCell ref="DG125:DH125"/>
    <mergeCell ref="DI125:DJ125"/>
    <mergeCell ref="C126:BR126"/>
    <mergeCell ref="BW126:BX126"/>
    <mergeCell ref="BY126:BZ126"/>
    <mergeCell ref="CA126:CB126"/>
    <mergeCell ref="CC126:CD126"/>
    <mergeCell ref="CO125:CP125"/>
    <mergeCell ref="CQ125:CR125"/>
    <mergeCell ref="CS125:CT125"/>
    <mergeCell ref="CU125:CV125"/>
    <mergeCell ref="CW125:CX125"/>
    <mergeCell ref="CY125:CZ125"/>
    <mergeCell ref="DI124:DJ124"/>
    <mergeCell ref="BW125:BX125"/>
    <mergeCell ref="BY125:BZ125"/>
    <mergeCell ref="CA125:CB125"/>
    <mergeCell ref="CC125:CD125"/>
    <mergeCell ref="CE125:CF125"/>
    <mergeCell ref="CG125:CH125"/>
    <mergeCell ref="CI125:CJ125"/>
    <mergeCell ref="CK125:CL125"/>
    <mergeCell ref="CM125:CN125"/>
    <mergeCell ref="CW124:CX124"/>
    <mergeCell ref="CY124:CZ124"/>
    <mergeCell ref="DA124:DB124"/>
    <mergeCell ref="DC124:DD124"/>
    <mergeCell ref="DE124:DF124"/>
    <mergeCell ref="DG124:DH124"/>
    <mergeCell ref="CK124:CL124"/>
    <mergeCell ref="CM124:CN124"/>
    <mergeCell ref="CO124:CP124"/>
    <mergeCell ref="CQ124:CR124"/>
    <mergeCell ref="CS124:CT124"/>
    <mergeCell ref="CU124:CV124"/>
    <mergeCell ref="DE123:DF123"/>
    <mergeCell ref="DG123:DH123"/>
    <mergeCell ref="DI123:DJ123"/>
    <mergeCell ref="BW124:BX124"/>
    <mergeCell ref="BY124:BZ124"/>
    <mergeCell ref="CA124:CB124"/>
    <mergeCell ref="CC124:CD124"/>
    <mergeCell ref="CE124:CF124"/>
    <mergeCell ref="CG124:CH124"/>
    <mergeCell ref="CI124:CJ124"/>
    <mergeCell ref="CS123:CT123"/>
    <mergeCell ref="CU123:CV123"/>
    <mergeCell ref="CW123:CX123"/>
    <mergeCell ref="CY123:CZ123"/>
    <mergeCell ref="DA123:DB123"/>
    <mergeCell ref="DC123:DD123"/>
    <mergeCell ref="CG123:CH123"/>
    <mergeCell ref="CI123:CJ123"/>
    <mergeCell ref="CK123:CL123"/>
    <mergeCell ref="CM123:CN123"/>
    <mergeCell ref="CO123:CP123"/>
    <mergeCell ref="CQ123:CR123"/>
    <mergeCell ref="C123:BA123"/>
    <mergeCell ref="BB123:BR123"/>
    <mergeCell ref="BW123:BX123"/>
    <mergeCell ref="BY123:BZ123"/>
    <mergeCell ref="CA123:CB123"/>
    <mergeCell ref="CC123:CD123"/>
    <mergeCell ref="CE123:CF123"/>
    <mergeCell ref="CS122:CT122"/>
    <mergeCell ref="CU122:CV122"/>
    <mergeCell ref="CW122:CX122"/>
    <mergeCell ref="CY122:CZ122"/>
    <mergeCell ref="DA122:DB122"/>
    <mergeCell ref="DC122:DD122"/>
    <mergeCell ref="CG122:CH122"/>
    <mergeCell ref="CI122:CJ122"/>
    <mergeCell ref="CK122:CL122"/>
    <mergeCell ref="CM122:CN122"/>
    <mergeCell ref="CO122:CP122"/>
    <mergeCell ref="CQ122:CR122"/>
    <mergeCell ref="DE121:DF121"/>
    <mergeCell ref="DG121:DH121"/>
    <mergeCell ref="DI121:DJ121"/>
    <mergeCell ref="C122:BA122"/>
    <mergeCell ref="BB122:BR122"/>
    <mergeCell ref="BW122:BX122"/>
    <mergeCell ref="BY122:BZ122"/>
    <mergeCell ref="CA122:CB122"/>
    <mergeCell ref="CC122:CD122"/>
    <mergeCell ref="CE122:CF122"/>
    <mergeCell ref="CS121:CT121"/>
    <mergeCell ref="CU121:CV121"/>
    <mergeCell ref="CW121:CX121"/>
    <mergeCell ref="CY121:CZ121"/>
    <mergeCell ref="DA121:DB121"/>
    <mergeCell ref="DC121:DD121"/>
    <mergeCell ref="CG121:CH121"/>
    <mergeCell ref="CI121:CJ121"/>
    <mergeCell ref="CK121:CL121"/>
    <mergeCell ref="CM121:CN121"/>
    <mergeCell ref="CO121:CP121"/>
    <mergeCell ref="CQ121:CR121"/>
    <mergeCell ref="BB121:BR121"/>
    <mergeCell ref="BW121:BX121"/>
    <mergeCell ref="BY121:BZ121"/>
    <mergeCell ref="CA121:CB121"/>
    <mergeCell ref="CC121:CD121"/>
    <mergeCell ref="CE121:CF121"/>
    <mergeCell ref="DE122:DF122"/>
    <mergeCell ref="DG122:DH122"/>
    <mergeCell ref="DI122:DJ122"/>
    <mergeCell ref="CY120:CZ120"/>
    <mergeCell ref="DA120:DB120"/>
    <mergeCell ref="DC120:DD120"/>
    <mergeCell ref="DE120:DF120"/>
    <mergeCell ref="DG120:DH120"/>
    <mergeCell ref="DI120:DJ120"/>
    <mergeCell ref="CM120:CN120"/>
    <mergeCell ref="CO120:CP120"/>
    <mergeCell ref="CQ120:CR120"/>
    <mergeCell ref="CS120:CT120"/>
    <mergeCell ref="CU120:CV120"/>
    <mergeCell ref="CW120:CX120"/>
    <mergeCell ref="DI119:DJ119"/>
    <mergeCell ref="BB120:BR120"/>
    <mergeCell ref="BW120:BX120"/>
    <mergeCell ref="BY120:BZ120"/>
    <mergeCell ref="CA120:CB120"/>
    <mergeCell ref="CC120:CD120"/>
    <mergeCell ref="CE120:CF120"/>
    <mergeCell ref="CG120:CH120"/>
    <mergeCell ref="CI120:CJ120"/>
    <mergeCell ref="CK120:CL120"/>
    <mergeCell ref="CW119:CX119"/>
    <mergeCell ref="CY119:CZ119"/>
    <mergeCell ref="DA119:DB119"/>
    <mergeCell ref="DC119:DD119"/>
    <mergeCell ref="DE119:DF119"/>
    <mergeCell ref="DG119:DH119"/>
    <mergeCell ref="CK119:CL119"/>
    <mergeCell ref="CM119:CN119"/>
    <mergeCell ref="CO119:CP119"/>
    <mergeCell ref="CQ119:CR119"/>
    <mergeCell ref="CS119:CT119"/>
    <mergeCell ref="CU119:CV119"/>
    <mergeCell ref="DG118:DH118"/>
    <mergeCell ref="DI118:DJ118"/>
    <mergeCell ref="BB119:BR119"/>
    <mergeCell ref="BW119:BX119"/>
    <mergeCell ref="BY119:BZ119"/>
    <mergeCell ref="CA119:CB119"/>
    <mergeCell ref="CC119:CD119"/>
    <mergeCell ref="CE119:CF119"/>
    <mergeCell ref="CG119:CH119"/>
    <mergeCell ref="CI119:CJ119"/>
    <mergeCell ref="CU118:CV118"/>
    <mergeCell ref="CW118:CX118"/>
    <mergeCell ref="CY118:CZ118"/>
    <mergeCell ref="DA118:DB118"/>
    <mergeCell ref="DC118:DD118"/>
    <mergeCell ref="DE118:DF118"/>
    <mergeCell ref="CI118:CJ118"/>
    <mergeCell ref="CK118:CL118"/>
    <mergeCell ref="CM118:CN118"/>
    <mergeCell ref="CO118:CP118"/>
    <mergeCell ref="CQ118:CR118"/>
    <mergeCell ref="CS118:CT118"/>
    <mergeCell ref="DE117:DF117"/>
    <mergeCell ref="DG117:DH117"/>
    <mergeCell ref="DI117:DJ117"/>
    <mergeCell ref="BB118:BR118"/>
    <mergeCell ref="BW118:BX118"/>
    <mergeCell ref="BY118:BZ118"/>
    <mergeCell ref="CA118:CB118"/>
    <mergeCell ref="CC118:CD118"/>
    <mergeCell ref="CE118:CF118"/>
    <mergeCell ref="CG118:CH118"/>
    <mergeCell ref="CS117:CT117"/>
    <mergeCell ref="CU117:CV117"/>
    <mergeCell ref="CW117:CX117"/>
    <mergeCell ref="CY117:CZ117"/>
    <mergeCell ref="DA117:DB117"/>
    <mergeCell ref="DC117:DD117"/>
    <mergeCell ref="CG117:CH117"/>
    <mergeCell ref="CI117:CJ117"/>
    <mergeCell ref="CK117:CL117"/>
    <mergeCell ref="CM117:CN117"/>
    <mergeCell ref="CO117:CP117"/>
    <mergeCell ref="CQ117:CR117"/>
    <mergeCell ref="BB117:BR117"/>
    <mergeCell ref="BW117:BX117"/>
    <mergeCell ref="BY117:BZ117"/>
    <mergeCell ref="CA117:CB117"/>
    <mergeCell ref="CC117:CD117"/>
    <mergeCell ref="CE117:CF117"/>
    <mergeCell ref="CY116:CZ116"/>
    <mergeCell ref="DA116:DB116"/>
    <mergeCell ref="DC116:DD116"/>
    <mergeCell ref="DE116:DF116"/>
    <mergeCell ref="DG116:DH116"/>
    <mergeCell ref="DI116:DJ116"/>
    <mergeCell ref="CM116:CN116"/>
    <mergeCell ref="CO116:CP116"/>
    <mergeCell ref="CQ116:CR116"/>
    <mergeCell ref="CS116:CT116"/>
    <mergeCell ref="CU116:CV116"/>
    <mergeCell ref="CW116:CX116"/>
    <mergeCell ref="DI115:DJ115"/>
    <mergeCell ref="BB116:BR116"/>
    <mergeCell ref="BW116:BX116"/>
    <mergeCell ref="BY116:BZ116"/>
    <mergeCell ref="CA116:CB116"/>
    <mergeCell ref="CC116:CD116"/>
    <mergeCell ref="CE116:CF116"/>
    <mergeCell ref="CG116:CH116"/>
    <mergeCell ref="CI116:CJ116"/>
    <mergeCell ref="CK116:CL116"/>
    <mergeCell ref="CW115:CX115"/>
    <mergeCell ref="CY115:CZ115"/>
    <mergeCell ref="DA115:DB115"/>
    <mergeCell ref="DC115:DD115"/>
    <mergeCell ref="DE115:DF115"/>
    <mergeCell ref="DG115:DH115"/>
    <mergeCell ref="CK115:CL115"/>
    <mergeCell ref="CM115:CN115"/>
    <mergeCell ref="CO115:CP115"/>
    <mergeCell ref="CQ115:CR115"/>
    <mergeCell ref="CS115:CT115"/>
    <mergeCell ref="CU115:CV115"/>
    <mergeCell ref="DG114:DH114"/>
    <mergeCell ref="DI114:DJ114"/>
    <mergeCell ref="BB115:BR115"/>
    <mergeCell ref="BW115:BX115"/>
    <mergeCell ref="BY115:BZ115"/>
    <mergeCell ref="CA115:CB115"/>
    <mergeCell ref="CC115:CD115"/>
    <mergeCell ref="CE115:CF115"/>
    <mergeCell ref="CG115:CH115"/>
    <mergeCell ref="CI115:CJ115"/>
    <mergeCell ref="CU114:CV114"/>
    <mergeCell ref="CW114:CX114"/>
    <mergeCell ref="CY114:CZ114"/>
    <mergeCell ref="DA114:DB114"/>
    <mergeCell ref="DC114:DD114"/>
    <mergeCell ref="DE114:DF114"/>
    <mergeCell ref="CI114:CJ114"/>
    <mergeCell ref="CK114:CL114"/>
    <mergeCell ref="CM114:CN114"/>
    <mergeCell ref="CO114:CP114"/>
    <mergeCell ref="CQ114:CR114"/>
    <mergeCell ref="CS114:CT114"/>
    <mergeCell ref="BB113:BR113"/>
    <mergeCell ref="BW113:DK113"/>
    <mergeCell ref="DL113:EB113"/>
    <mergeCell ref="BB114:BR114"/>
    <mergeCell ref="BW114:BX114"/>
    <mergeCell ref="BY114:BZ114"/>
    <mergeCell ref="CA114:CB114"/>
    <mergeCell ref="CC114:CD114"/>
    <mergeCell ref="CE114:CF114"/>
    <mergeCell ref="CG114:CH114"/>
    <mergeCell ref="BB109:BR109"/>
    <mergeCell ref="BW109:DK109"/>
    <mergeCell ref="DL109:EB109"/>
    <mergeCell ref="BB110:BR110"/>
    <mergeCell ref="BB111:BR111"/>
    <mergeCell ref="BB112:BR112"/>
    <mergeCell ref="BW112:EB112"/>
    <mergeCell ref="BB105:BR105"/>
    <mergeCell ref="BW105:DK105"/>
    <mergeCell ref="DL105:EB105"/>
    <mergeCell ref="BB106:BR106"/>
    <mergeCell ref="BW106:DK106"/>
    <mergeCell ref="DL106:EB106"/>
    <mergeCell ref="BB103:BR103"/>
    <mergeCell ref="BW103:DK103"/>
    <mergeCell ref="DL103:EB103"/>
    <mergeCell ref="BB104:BR104"/>
    <mergeCell ref="BW104:DK104"/>
    <mergeCell ref="DL104:EB104"/>
    <mergeCell ref="CO97:DG97"/>
    <mergeCell ref="DH97:DZ97"/>
    <mergeCell ref="C102:BA102"/>
    <mergeCell ref="BO102:BP102"/>
    <mergeCell ref="BQ102:BR102"/>
    <mergeCell ref="BW102:DK102"/>
    <mergeCell ref="DL102:EB102"/>
    <mergeCell ref="C97:D97"/>
    <mergeCell ref="E97:F97"/>
    <mergeCell ref="Q97:AI97"/>
    <mergeCell ref="AJ97:BB97"/>
    <mergeCell ref="BC97:BU97"/>
    <mergeCell ref="BV97:CN97"/>
    <mergeCell ref="DH95:DZ95"/>
    <mergeCell ref="C96:P96"/>
    <mergeCell ref="Q96:AI96"/>
    <mergeCell ref="AJ96:BB96"/>
    <mergeCell ref="BC96:BU96"/>
    <mergeCell ref="BV96:CN96"/>
    <mergeCell ref="CO96:DG96"/>
    <mergeCell ref="DH96:DZ96"/>
    <mergeCell ref="C95:P95"/>
    <mergeCell ref="Q95:AI95"/>
    <mergeCell ref="AJ95:BB95"/>
    <mergeCell ref="BC95:BU95"/>
    <mergeCell ref="BV95:CN95"/>
    <mergeCell ref="CO95:DG95"/>
    <mergeCell ref="CO92:DG92"/>
    <mergeCell ref="DH92:DZ92"/>
    <mergeCell ref="C93:P93"/>
    <mergeCell ref="Q93:AT93"/>
    <mergeCell ref="AU93:EB93"/>
    <mergeCell ref="Q94:AT94"/>
    <mergeCell ref="AU94:EB94"/>
    <mergeCell ref="C92:D92"/>
    <mergeCell ref="E92:F92"/>
    <mergeCell ref="Q92:AI92"/>
    <mergeCell ref="AJ92:BB92"/>
    <mergeCell ref="BC92:BU92"/>
    <mergeCell ref="BV92:CN92"/>
    <mergeCell ref="DH90:DZ90"/>
    <mergeCell ref="C91:P91"/>
    <mergeCell ref="Q91:AI91"/>
    <mergeCell ref="AJ91:BB91"/>
    <mergeCell ref="BC91:BU91"/>
    <mergeCell ref="BV91:CN91"/>
    <mergeCell ref="CO91:DG91"/>
    <mergeCell ref="DH91:DZ91"/>
    <mergeCell ref="C90:P90"/>
    <mergeCell ref="Q90:AI90"/>
    <mergeCell ref="AJ90:BB90"/>
    <mergeCell ref="BC90:BU90"/>
    <mergeCell ref="BV90:CN90"/>
    <mergeCell ref="CO90:DG90"/>
    <mergeCell ref="C88:P88"/>
    <mergeCell ref="Q88:AT88"/>
    <mergeCell ref="AU88:EB88"/>
    <mergeCell ref="Q89:AT89"/>
    <mergeCell ref="AU89:EB89"/>
    <mergeCell ref="C85:BA85"/>
    <mergeCell ref="BW80:DK80"/>
    <mergeCell ref="DL80:EB80"/>
    <mergeCell ref="BO77:BP77"/>
    <mergeCell ref="BQ77:BR77"/>
    <mergeCell ref="BS77:BT77"/>
    <mergeCell ref="CA77:CB77"/>
    <mergeCell ref="DS77:DT77"/>
    <mergeCell ref="C98:EB98"/>
    <mergeCell ref="BC77:BD77"/>
    <mergeCell ref="BE77:BF77"/>
    <mergeCell ref="BG77:BH77"/>
    <mergeCell ref="BI77:BJ77"/>
    <mergeCell ref="BK77:BL77"/>
    <mergeCell ref="BM77:BN77"/>
    <mergeCell ref="C71:BA71"/>
    <mergeCell ref="BB71:BR71"/>
    <mergeCell ref="BW71:DK71"/>
    <mergeCell ref="DL71:EB71"/>
    <mergeCell ref="C73:H73"/>
    <mergeCell ref="BL73:BR73"/>
    <mergeCell ref="BB72:BR72"/>
    <mergeCell ref="DL81:EB81"/>
    <mergeCell ref="DL82:EB82"/>
    <mergeCell ref="C78:BR78"/>
    <mergeCell ref="BW78:EB78"/>
    <mergeCell ref="C79:BA79"/>
    <mergeCell ref="BO79:BP79"/>
    <mergeCell ref="BQ79:BR79"/>
    <mergeCell ref="BW79:DK79"/>
    <mergeCell ref="DL79:EB79"/>
    <mergeCell ref="C80:BA80"/>
    <mergeCell ref="C69:BA69"/>
    <mergeCell ref="BB69:BR69"/>
    <mergeCell ref="BW69:DK69"/>
    <mergeCell ref="DL69:EB69"/>
    <mergeCell ref="C70:BA70"/>
    <mergeCell ref="BB70:BR70"/>
    <mergeCell ref="BW70:DK70"/>
    <mergeCell ref="DL70:EB70"/>
    <mergeCell ref="C67:BA67"/>
    <mergeCell ref="BB67:BR67"/>
    <mergeCell ref="BW67:DK67"/>
    <mergeCell ref="DL67:EB67"/>
    <mergeCell ref="C68:BA68"/>
    <mergeCell ref="BB68:BR68"/>
    <mergeCell ref="BW68:DK68"/>
    <mergeCell ref="DL68:EB68"/>
    <mergeCell ref="C65:BA65"/>
    <mergeCell ref="BB65:BR65"/>
    <mergeCell ref="BW65:DK65"/>
    <mergeCell ref="DL65:EB65"/>
    <mergeCell ref="C66:BA66"/>
    <mergeCell ref="BB66:BR66"/>
    <mergeCell ref="BW66:DK66"/>
    <mergeCell ref="DL66:EB66"/>
    <mergeCell ref="C63:BR63"/>
    <mergeCell ref="BW63:EB63"/>
    <mergeCell ref="C64:BA64"/>
    <mergeCell ref="BO64:BP64"/>
    <mergeCell ref="BQ64:BR64"/>
    <mergeCell ref="BW64:DK64"/>
    <mergeCell ref="DL64:EB64"/>
    <mergeCell ref="DH60:DZ60"/>
    <mergeCell ref="C61:P61"/>
    <mergeCell ref="Q61:AI61"/>
    <mergeCell ref="AJ61:BB61"/>
    <mergeCell ref="BC61:BU61"/>
    <mergeCell ref="BV61:CN61"/>
    <mergeCell ref="CO61:DG61"/>
    <mergeCell ref="DH61:DZ61"/>
    <mergeCell ref="C60:P60"/>
    <mergeCell ref="Q60:AI60"/>
    <mergeCell ref="AJ60:BB60"/>
    <mergeCell ref="BC60:BU60"/>
    <mergeCell ref="BV60:CN60"/>
    <mergeCell ref="CO60:DG60"/>
    <mergeCell ref="CO58:DG58"/>
    <mergeCell ref="DH58:DZ58"/>
    <mergeCell ref="C59:D59"/>
    <mergeCell ref="E59:F59"/>
    <mergeCell ref="Q59:AI59"/>
    <mergeCell ref="AJ59:BB59"/>
    <mergeCell ref="BC59:BU59"/>
    <mergeCell ref="BV59:CN59"/>
    <mergeCell ref="CO59:DG59"/>
    <mergeCell ref="DH59:DZ59"/>
    <mergeCell ref="C58:D58"/>
    <mergeCell ref="E58:F58"/>
    <mergeCell ref="Q58:AI58"/>
    <mergeCell ref="AJ58:BB58"/>
    <mergeCell ref="BC58:BU58"/>
    <mergeCell ref="BV58:CN58"/>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DH50:DZ50"/>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AU49:EB49"/>
    <mergeCell ref="EF39:EG39"/>
    <mergeCell ref="EF40:EG40"/>
    <mergeCell ref="C42:EB42"/>
    <mergeCell ref="C44:EB44"/>
    <mergeCell ref="C47:P47"/>
    <mergeCell ref="Q47:AI47"/>
    <mergeCell ref="AJ47:BB47"/>
    <mergeCell ref="BC47:BU47"/>
    <mergeCell ref="BV47:CN47"/>
    <mergeCell ref="CO47:DG47"/>
    <mergeCell ref="BT37:CN37"/>
    <mergeCell ref="EF37:EG37"/>
    <mergeCell ref="EF38:EG38"/>
    <mergeCell ref="EF29:EG29"/>
    <mergeCell ref="BF22:DZ22"/>
    <mergeCell ref="BF23:DZ23"/>
    <mergeCell ref="BX25:BY25"/>
    <mergeCell ref="BZ25:CA25"/>
    <mergeCell ref="CB25:CC25"/>
    <mergeCell ref="CD25:CE25"/>
    <mergeCell ref="CF25:CG25"/>
    <mergeCell ref="CH25:CI25"/>
    <mergeCell ref="CY18:DU18"/>
    <mergeCell ref="AX21:AY21"/>
    <mergeCell ref="BF21:DZ21"/>
    <mergeCell ref="E27:V30"/>
    <mergeCell ref="W27:AZ30"/>
    <mergeCell ref="BF27:DY30"/>
    <mergeCell ref="EH35:EI35"/>
    <mergeCell ref="BT36:CM36"/>
    <mergeCell ref="CP36:EB36"/>
    <mergeCell ref="EH36:EI36"/>
    <mergeCell ref="BT33:CM33"/>
    <mergeCell ref="CP33:EB33"/>
    <mergeCell ref="EH33:EI33"/>
    <mergeCell ref="EH34:EI34"/>
    <mergeCell ref="EF30:EG30"/>
    <mergeCell ref="EF31:EG31"/>
    <mergeCell ref="EF32:EG32"/>
    <mergeCell ref="E32:V33"/>
    <mergeCell ref="W32:AZ33"/>
    <mergeCell ref="BT32:CN32"/>
    <mergeCell ref="CP32:EB32"/>
    <mergeCell ref="E34:V35"/>
    <mergeCell ref="W34:AZ35"/>
    <mergeCell ref="CY12:DU12"/>
    <mergeCell ref="BF14:CF16"/>
    <mergeCell ref="CU14:DU16"/>
    <mergeCell ref="BO9:BP9"/>
    <mergeCell ref="BQ9:BR9"/>
    <mergeCell ref="BS9:BT9"/>
    <mergeCell ref="CA9:CB9"/>
    <mergeCell ref="DS9:DT9"/>
    <mergeCell ref="CY11:DU11"/>
    <mergeCell ref="BC9:BD9"/>
    <mergeCell ref="BE9:BF9"/>
    <mergeCell ref="BG9:BH9"/>
    <mergeCell ref="BI9:BJ9"/>
    <mergeCell ref="BK9:BL9"/>
    <mergeCell ref="BM9:BN9"/>
    <mergeCell ref="E26:AZ26"/>
    <mergeCell ref="BA26:BB26"/>
    <mergeCell ref="BT34:CM34"/>
    <mergeCell ref="CP34:EB34"/>
    <mergeCell ref="BT35:CN35"/>
    <mergeCell ref="E36:V37"/>
    <mergeCell ref="W36:AZ37"/>
    <mergeCell ref="E38:V39"/>
    <mergeCell ref="W38:AZ39"/>
    <mergeCell ref="BT38:CM38"/>
    <mergeCell ref="CP38:EB38"/>
    <mergeCell ref="F13:N13"/>
    <mergeCell ref="F15:AS15"/>
    <mergeCell ref="F16:AS16"/>
    <mergeCell ref="F17:AS17"/>
    <mergeCell ref="F18:AS18"/>
    <mergeCell ref="F20:AS20"/>
    <mergeCell ref="F21:AS21"/>
    <mergeCell ref="AV21:AW21"/>
    <mergeCell ref="F23:U23"/>
    <mergeCell ref="CQ18:CR18"/>
    <mergeCell ref="CS18:CT18"/>
    <mergeCell ref="CU18:CV18"/>
    <mergeCell ref="CW18:CX18"/>
    <mergeCell ref="BC34:BP39"/>
  </mergeCells>
  <phoneticPr fontId="7"/>
  <pageMargins left="0.39370078740157483" right="0.39370078740157483" top="0.19685039370078741" bottom="7.874015748031496E-2" header="0.59055118110236227" footer="0.11811023622047245"/>
  <pageSetup paperSize="9" scale="30" fitToHeight="0" orientation="landscape" useFirstPageNumber="1" r:id="rId1"/>
  <headerFooter alignWithMargins="0"/>
  <rowBreaks count="1" manualBreakCount="1">
    <brk id="74" max="13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A4B3-B6C4-421E-BBF8-039B0CD764BE}">
  <sheetPr>
    <pageSetUpPr fitToPage="1"/>
  </sheetPr>
  <dimension ref="A1:EI134"/>
  <sheetViews>
    <sheetView view="pageBreakPreview" zoomScaleNormal="100" zoomScaleSheetLayoutView="100" workbookViewId="0"/>
  </sheetViews>
  <sheetFormatPr defaultColWidth="3.625" defaultRowHeight="25.15" customHeight="1"/>
  <cols>
    <col min="1" max="16384" width="3.625" style="104"/>
  </cols>
  <sheetData>
    <row r="1" spans="1:133" ht="25.15" customHeight="1">
      <c r="A1" s="45" t="s">
        <v>14</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t="s">
        <v>15</v>
      </c>
    </row>
    <row r="2" spans="1:133" ht="25.15" customHeight="1">
      <c r="A2" s="53" t="s">
        <v>119</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9"/>
    </row>
    <row r="3" spans="1:133" s="132" customFormat="1" ht="25.15" customHeight="1">
      <c r="A3" s="53" t="s">
        <v>16</v>
      </c>
      <c r="B3" s="48"/>
      <c r="C3" s="48"/>
      <c r="D3" s="48"/>
      <c r="E3" s="48"/>
      <c r="F3" s="48"/>
      <c r="G3" s="48"/>
      <c r="H3" s="48"/>
      <c r="I3" s="48"/>
      <c r="J3" s="48"/>
      <c r="K3" s="49"/>
      <c r="L3" s="50" t="s">
        <v>179</v>
      </c>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2"/>
      <c r="CR3" s="53" t="s">
        <v>17</v>
      </c>
      <c r="CS3" s="48"/>
      <c r="CT3" s="48"/>
      <c r="CU3" s="48"/>
      <c r="CV3" s="48"/>
      <c r="CW3" s="48"/>
      <c r="CX3" s="48"/>
      <c r="CY3" s="48"/>
      <c r="CZ3" s="48"/>
      <c r="DA3" s="49"/>
      <c r="DB3" s="53" t="s">
        <v>18</v>
      </c>
      <c r="DC3" s="48"/>
      <c r="DD3" s="48"/>
      <c r="DE3" s="48"/>
      <c r="DF3" s="48"/>
      <c r="DG3" s="48"/>
      <c r="DH3" s="48"/>
      <c r="DI3" s="48"/>
      <c r="DJ3" s="49"/>
      <c r="DK3" s="53" t="s">
        <v>19</v>
      </c>
      <c r="DL3" s="48"/>
      <c r="DM3" s="48"/>
      <c r="DN3" s="48"/>
      <c r="DO3" s="48"/>
      <c r="DP3" s="48"/>
      <c r="DQ3" s="48"/>
      <c r="DR3" s="48"/>
      <c r="DS3" s="48"/>
      <c r="DT3" s="49"/>
      <c r="DU3" s="54"/>
      <c r="DV3" s="55"/>
      <c r="DW3" s="55"/>
      <c r="DX3" s="55"/>
      <c r="DY3" s="55"/>
      <c r="DZ3" s="55"/>
      <c r="EA3" s="55"/>
      <c r="EB3" s="55"/>
      <c r="EC3" s="56"/>
    </row>
    <row r="4" spans="1:133" s="132" customFormat="1" ht="25.15" customHeight="1">
      <c r="A4" s="53" t="s">
        <v>121</v>
      </c>
      <c r="B4" s="48"/>
      <c r="C4" s="48"/>
      <c r="D4" s="48"/>
      <c r="E4" s="48"/>
      <c r="F4" s="48"/>
      <c r="G4" s="48"/>
      <c r="H4" s="48"/>
      <c r="I4" s="48"/>
      <c r="J4" s="48"/>
      <c r="K4" s="49"/>
      <c r="L4" s="50" t="s">
        <v>106</v>
      </c>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2"/>
      <c r="CR4" s="53" t="s">
        <v>20</v>
      </c>
      <c r="CS4" s="48"/>
      <c r="CT4" s="48"/>
      <c r="CU4" s="48"/>
      <c r="CV4" s="48"/>
      <c r="CW4" s="48"/>
      <c r="CX4" s="48"/>
      <c r="CY4" s="48"/>
      <c r="CZ4" s="48"/>
      <c r="DA4" s="49"/>
      <c r="DB4" s="58">
        <v>45898</v>
      </c>
      <c r="DC4" s="59"/>
      <c r="DD4" s="59"/>
      <c r="DE4" s="59"/>
      <c r="DF4" s="59"/>
      <c r="DG4" s="59"/>
      <c r="DH4" s="59"/>
      <c r="DI4" s="59"/>
      <c r="DJ4" s="60"/>
      <c r="DK4" s="53" t="s">
        <v>22</v>
      </c>
      <c r="DL4" s="48"/>
      <c r="DM4" s="48"/>
      <c r="DN4" s="48"/>
      <c r="DO4" s="48"/>
      <c r="DP4" s="48"/>
      <c r="DQ4" s="48"/>
      <c r="DR4" s="48"/>
      <c r="DS4" s="48"/>
      <c r="DT4" s="49"/>
      <c r="DU4" s="58" t="s">
        <v>21</v>
      </c>
      <c r="DV4" s="59"/>
      <c r="DW4" s="59"/>
      <c r="DX4" s="59"/>
      <c r="DY4" s="59"/>
      <c r="DZ4" s="59"/>
      <c r="EA4" s="59"/>
      <c r="EB4" s="59"/>
      <c r="EC4" s="60"/>
    </row>
    <row r="5" spans="1:133" ht="25.15" customHeight="1" thickBot="1">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row>
    <row r="6" spans="1:133" ht="25.15" customHeight="1">
      <c r="A6" s="62" t="s">
        <v>23</v>
      </c>
      <c r="B6" s="63"/>
      <c r="C6" s="63"/>
      <c r="D6" s="63"/>
      <c r="E6" s="63"/>
      <c r="F6" s="63"/>
      <c r="G6" s="63"/>
      <c r="H6" s="63"/>
      <c r="I6" s="63"/>
      <c r="J6" s="63"/>
      <c r="K6" s="64"/>
      <c r="L6" s="85" t="s">
        <v>107</v>
      </c>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6"/>
    </row>
    <row r="7" spans="1:133" ht="25.15" customHeight="1">
      <c r="A7" s="133">
        <v>0</v>
      </c>
      <c r="B7" s="104" t="s">
        <v>24</v>
      </c>
      <c r="C7" s="104" t="s">
        <v>24</v>
      </c>
      <c r="D7" s="104" t="s">
        <v>24</v>
      </c>
      <c r="E7" s="104" t="s">
        <v>24</v>
      </c>
      <c r="F7" s="104" t="s">
        <v>24</v>
      </c>
      <c r="G7" s="104" t="s">
        <v>24</v>
      </c>
      <c r="H7" s="104" t="s">
        <v>24</v>
      </c>
      <c r="I7" s="104" t="s">
        <v>24</v>
      </c>
      <c r="J7" s="104" t="s">
        <v>24</v>
      </c>
      <c r="K7" s="104">
        <v>1</v>
      </c>
      <c r="L7" s="104" t="s">
        <v>24</v>
      </c>
      <c r="M7" s="104" t="s">
        <v>24</v>
      </c>
      <c r="N7" s="104" t="s">
        <v>24</v>
      </c>
      <c r="O7" s="104" t="s">
        <v>24</v>
      </c>
      <c r="P7" s="104" t="s">
        <v>24</v>
      </c>
      <c r="Q7" s="104" t="s">
        <v>24</v>
      </c>
      <c r="R7" s="104" t="s">
        <v>24</v>
      </c>
      <c r="S7" s="104" t="s">
        <v>24</v>
      </c>
      <c r="T7" s="104" t="s">
        <v>24</v>
      </c>
      <c r="U7" s="104">
        <v>2</v>
      </c>
      <c r="V7" s="104" t="s">
        <v>24</v>
      </c>
      <c r="W7" s="104" t="s">
        <v>24</v>
      </c>
      <c r="X7" s="104" t="s">
        <v>24</v>
      </c>
      <c r="Y7" s="104" t="s">
        <v>24</v>
      </c>
      <c r="Z7" s="104" t="s">
        <v>24</v>
      </c>
      <c r="AA7" s="104" t="s">
        <v>24</v>
      </c>
      <c r="AB7" s="104" t="s">
        <v>24</v>
      </c>
      <c r="AC7" s="104" t="s">
        <v>24</v>
      </c>
      <c r="AD7" s="104" t="s">
        <v>24</v>
      </c>
      <c r="AE7" s="104">
        <v>3</v>
      </c>
      <c r="AF7" s="104" t="s">
        <v>24</v>
      </c>
      <c r="AG7" s="104" t="s">
        <v>24</v>
      </c>
      <c r="AH7" s="104" t="s">
        <v>24</v>
      </c>
      <c r="AI7" s="104" t="s">
        <v>24</v>
      </c>
      <c r="AJ7" s="104" t="s">
        <v>24</v>
      </c>
      <c r="AK7" s="104" t="s">
        <v>24</v>
      </c>
      <c r="AL7" s="104" t="s">
        <v>24</v>
      </c>
      <c r="AM7" s="104" t="s">
        <v>24</v>
      </c>
      <c r="AN7" s="104" t="s">
        <v>24</v>
      </c>
      <c r="AO7" s="104">
        <v>4</v>
      </c>
      <c r="AP7" s="104" t="s">
        <v>24</v>
      </c>
      <c r="AQ7" s="104" t="s">
        <v>24</v>
      </c>
      <c r="AR7" s="104" t="s">
        <v>24</v>
      </c>
      <c r="AS7" s="104" t="s">
        <v>24</v>
      </c>
      <c r="AT7" s="104" t="s">
        <v>24</v>
      </c>
      <c r="AU7" s="104" t="s">
        <v>24</v>
      </c>
      <c r="AV7" s="104" t="s">
        <v>24</v>
      </c>
      <c r="AW7" s="104" t="s">
        <v>24</v>
      </c>
      <c r="AX7" s="104" t="s">
        <v>24</v>
      </c>
      <c r="AY7" s="104">
        <v>5</v>
      </c>
      <c r="AZ7" s="104" t="s">
        <v>24</v>
      </c>
      <c r="BA7" s="104" t="s">
        <v>24</v>
      </c>
      <c r="BB7" s="104" t="s">
        <v>24</v>
      </c>
      <c r="BC7" s="104" t="s">
        <v>24</v>
      </c>
      <c r="BD7" s="104" t="s">
        <v>24</v>
      </c>
      <c r="BE7" s="104" t="s">
        <v>24</v>
      </c>
      <c r="BF7" s="104" t="s">
        <v>24</v>
      </c>
      <c r="BG7" s="104" t="s">
        <v>24</v>
      </c>
      <c r="BH7" s="104" t="s">
        <v>24</v>
      </c>
      <c r="BI7" s="104">
        <v>6</v>
      </c>
      <c r="BJ7" s="104" t="s">
        <v>24</v>
      </c>
      <c r="BK7" s="104" t="s">
        <v>24</v>
      </c>
      <c r="BL7" s="104" t="s">
        <v>24</v>
      </c>
      <c r="BM7" s="104" t="s">
        <v>24</v>
      </c>
      <c r="BN7" s="104" t="s">
        <v>24</v>
      </c>
      <c r="BO7" s="104" t="s">
        <v>24</v>
      </c>
      <c r="BP7" s="104" t="s">
        <v>24</v>
      </c>
      <c r="BQ7" s="104" t="s">
        <v>24</v>
      </c>
      <c r="BR7" s="104" t="s">
        <v>24</v>
      </c>
      <c r="BS7" s="104">
        <v>7</v>
      </c>
      <c r="BT7" s="104" t="s">
        <v>24</v>
      </c>
      <c r="BU7" s="104" t="s">
        <v>24</v>
      </c>
      <c r="BV7" s="104" t="s">
        <v>24</v>
      </c>
      <c r="BW7" s="104" t="s">
        <v>24</v>
      </c>
      <c r="BX7" s="104" t="s">
        <v>24</v>
      </c>
      <c r="BY7" s="104" t="s">
        <v>24</v>
      </c>
      <c r="BZ7" s="104" t="s">
        <v>24</v>
      </c>
      <c r="CA7" s="104" t="s">
        <v>24</v>
      </c>
      <c r="CB7" s="104" t="s">
        <v>24</v>
      </c>
      <c r="CC7" s="104">
        <v>8</v>
      </c>
      <c r="CD7" s="104" t="s">
        <v>24</v>
      </c>
      <c r="CE7" s="104" t="s">
        <v>24</v>
      </c>
      <c r="CF7" s="104" t="s">
        <v>24</v>
      </c>
      <c r="CG7" s="104" t="s">
        <v>24</v>
      </c>
      <c r="CH7" s="104" t="s">
        <v>24</v>
      </c>
      <c r="CI7" s="104" t="s">
        <v>24</v>
      </c>
      <c r="CJ7" s="104" t="s">
        <v>24</v>
      </c>
      <c r="CK7" s="104" t="s">
        <v>24</v>
      </c>
      <c r="CL7" s="104" t="s">
        <v>24</v>
      </c>
      <c r="CM7" s="104">
        <v>9</v>
      </c>
      <c r="CN7" s="104" t="s">
        <v>24</v>
      </c>
      <c r="CO7" s="104" t="s">
        <v>24</v>
      </c>
      <c r="CP7" s="104" t="s">
        <v>24</v>
      </c>
      <c r="CQ7" s="104" t="s">
        <v>24</v>
      </c>
      <c r="CR7" s="104" t="s">
        <v>24</v>
      </c>
      <c r="CS7" s="104" t="s">
        <v>24</v>
      </c>
      <c r="CT7" s="104" t="s">
        <v>24</v>
      </c>
      <c r="CU7" s="104" t="s">
        <v>24</v>
      </c>
      <c r="CV7" s="104" t="s">
        <v>24</v>
      </c>
      <c r="CW7" s="104">
        <v>0</v>
      </c>
      <c r="CX7" s="104" t="s">
        <v>24</v>
      </c>
      <c r="CY7" s="104" t="s">
        <v>24</v>
      </c>
      <c r="CZ7" s="104" t="s">
        <v>24</v>
      </c>
      <c r="DA7" s="104" t="s">
        <v>24</v>
      </c>
      <c r="DB7" s="104" t="s">
        <v>24</v>
      </c>
      <c r="DC7" s="104" t="s">
        <v>24</v>
      </c>
      <c r="DD7" s="104" t="s">
        <v>24</v>
      </c>
      <c r="DE7" s="104" t="s">
        <v>24</v>
      </c>
      <c r="DF7" s="104" t="s">
        <v>24</v>
      </c>
      <c r="DG7" s="104">
        <v>1</v>
      </c>
      <c r="DH7" s="104" t="s">
        <v>24</v>
      </c>
      <c r="DI7" s="104" t="s">
        <v>24</v>
      </c>
      <c r="DJ7" s="104" t="s">
        <v>24</v>
      </c>
      <c r="DK7" s="104" t="s">
        <v>24</v>
      </c>
      <c r="DL7" s="104" t="s">
        <v>24</v>
      </c>
      <c r="DM7" s="104" t="s">
        <v>24</v>
      </c>
      <c r="DN7" s="104" t="s">
        <v>24</v>
      </c>
      <c r="DO7" s="104" t="s">
        <v>24</v>
      </c>
      <c r="DP7" s="104" t="s">
        <v>24</v>
      </c>
      <c r="DQ7" s="104">
        <v>2</v>
      </c>
      <c r="DR7" s="104" t="s">
        <v>24</v>
      </c>
      <c r="DS7" s="104" t="s">
        <v>24</v>
      </c>
      <c r="DT7" s="104" t="s">
        <v>24</v>
      </c>
      <c r="DU7" s="104" t="s">
        <v>24</v>
      </c>
      <c r="DV7" s="104" t="s">
        <v>24</v>
      </c>
      <c r="DW7" s="104" t="s">
        <v>24</v>
      </c>
      <c r="DX7" s="104" t="s">
        <v>24</v>
      </c>
      <c r="DY7" s="104" t="s">
        <v>24</v>
      </c>
      <c r="DZ7" s="104" t="s">
        <v>24</v>
      </c>
      <c r="EA7" s="104">
        <v>3</v>
      </c>
      <c r="EB7" s="104" t="s">
        <v>24</v>
      </c>
      <c r="EC7" s="134" t="s">
        <v>24</v>
      </c>
    </row>
    <row r="8" spans="1:133" ht="25.15" customHeight="1">
      <c r="A8" s="133">
        <v>0</v>
      </c>
      <c r="B8" s="104">
        <f t="shared" ref="B8:J8" si="0">(A8+1)</f>
        <v>1</v>
      </c>
      <c r="C8" s="104">
        <f t="shared" si="0"/>
        <v>2</v>
      </c>
      <c r="D8" s="104">
        <f t="shared" si="0"/>
        <v>3</v>
      </c>
      <c r="E8" s="104">
        <f t="shared" si="0"/>
        <v>4</v>
      </c>
      <c r="F8" s="104">
        <f t="shared" si="0"/>
        <v>5</v>
      </c>
      <c r="G8" s="104">
        <f t="shared" si="0"/>
        <v>6</v>
      </c>
      <c r="H8" s="104">
        <f t="shared" si="0"/>
        <v>7</v>
      </c>
      <c r="I8" s="104">
        <f t="shared" si="0"/>
        <v>8</v>
      </c>
      <c r="J8" s="104">
        <f t="shared" si="0"/>
        <v>9</v>
      </c>
      <c r="K8" s="104">
        <v>0</v>
      </c>
      <c r="L8" s="104">
        <f t="shared" ref="L8:T8" si="1">(K8+1)</f>
        <v>1</v>
      </c>
      <c r="M8" s="104">
        <f t="shared" si="1"/>
        <v>2</v>
      </c>
      <c r="N8" s="104">
        <f t="shared" si="1"/>
        <v>3</v>
      </c>
      <c r="O8" s="104">
        <f t="shared" si="1"/>
        <v>4</v>
      </c>
      <c r="P8" s="104">
        <f t="shared" si="1"/>
        <v>5</v>
      </c>
      <c r="Q8" s="104">
        <f t="shared" si="1"/>
        <v>6</v>
      </c>
      <c r="R8" s="104">
        <f t="shared" si="1"/>
        <v>7</v>
      </c>
      <c r="S8" s="104">
        <f t="shared" si="1"/>
        <v>8</v>
      </c>
      <c r="T8" s="104">
        <f t="shared" si="1"/>
        <v>9</v>
      </c>
      <c r="U8" s="104">
        <v>0</v>
      </c>
      <c r="V8" s="104">
        <f t="shared" ref="V8:AD8" si="2">(U8+1)</f>
        <v>1</v>
      </c>
      <c r="W8" s="104">
        <f t="shared" si="2"/>
        <v>2</v>
      </c>
      <c r="X8" s="104">
        <f t="shared" si="2"/>
        <v>3</v>
      </c>
      <c r="Y8" s="104">
        <f t="shared" si="2"/>
        <v>4</v>
      </c>
      <c r="Z8" s="104">
        <f t="shared" si="2"/>
        <v>5</v>
      </c>
      <c r="AA8" s="104">
        <f t="shared" si="2"/>
        <v>6</v>
      </c>
      <c r="AB8" s="104">
        <f t="shared" si="2"/>
        <v>7</v>
      </c>
      <c r="AC8" s="104">
        <f t="shared" si="2"/>
        <v>8</v>
      </c>
      <c r="AD8" s="104">
        <f t="shared" si="2"/>
        <v>9</v>
      </c>
      <c r="AE8" s="104">
        <v>0</v>
      </c>
      <c r="AF8" s="104">
        <f t="shared" ref="AF8:AN8" si="3">(AE8+1)</f>
        <v>1</v>
      </c>
      <c r="AG8" s="104">
        <f t="shared" si="3"/>
        <v>2</v>
      </c>
      <c r="AH8" s="104">
        <f t="shared" si="3"/>
        <v>3</v>
      </c>
      <c r="AI8" s="104">
        <f t="shared" si="3"/>
        <v>4</v>
      </c>
      <c r="AJ8" s="104">
        <f t="shared" si="3"/>
        <v>5</v>
      </c>
      <c r="AK8" s="104">
        <f t="shared" si="3"/>
        <v>6</v>
      </c>
      <c r="AL8" s="104">
        <f t="shared" si="3"/>
        <v>7</v>
      </c>
      <c r="AM8" s="104">
        <f t="shared" si="3"/>
        <v>8</v>
      </c>
      <c r="AN8" s="104">
        <f t="shared" si="3"/>
        <v>9</v>
      </c>
      <c r="AO8" s="104">
        <v>0</v>
      </c>
      <c r="AP8" s="104">
        <f t="shared" ref="AP8:AX8" si="4">(AO8+1)</f>
        <v>1</v>
      </c>
      <c r="AQ8" s="104">
        <f t="shared" si="4"/>
        <v>2</v>
      </c>
      <c r="AR8" s="104">
        <f t="shared" si="4"/>
        <v>3</v>
      </c>
      <c r="AS8" s="104">
        <f t="shared" si="4"/>
        <v>4</v>
      </c>
      <c r="AT8" s="104">
        <f t="shared" si="4"/>
        <v>5</v>
      </c>
      <c r="AU8" s="104">
        <f t="shared" si="4"/>
        <v>6</v>
      </c>
      <c r="AV8" s="104">
        <f t="shared" si="4"/>
        <v>7</v>
      </c>
      <c r="AW8" s="104">
        <f t="shared" si="4"/>
        <v>8</v>
      </c>
      <c r="AX8" s="104">
        <f t="shared" si="4"/>
        <v>9</v>
      </c>
      <c r="AY8" s="104">
        <v>0</v>
      </c>
      <c r="AZ8" s="104">
        <f t="shared" ref="AZ8:BH8" si="5">(AY8+1)</f>
        <v>1</v>
      </c>
      <c r="BA8" s="104">
        <f t="shared" si="5"/>
        <v>2</v>
      </c>
      <c r="BB8" s="104">
        <f t="shared" si="5"/>
        <v>3</v>
      </c>
      <c r="BC8" s="104">
        <f t="shared" si="5"/>
        <v>4</v>
      </c>
      <c r="BD8" s="104">
        <f t="shared" si="5"/>
        <v>5</v>
      </c>
      <c r="BE8" s="104">
        <f t="shared" si="5"/>
        <v>6</v>
      </c>
      <c r="BF8" s="104">
        <f t="shared" si="5"/>
        <v>7</v>
      </c>
      <c r="BG8" s="104">
        <f t="shared" si="5"/>
        <v>8</v>
      </c>
      <c r="BH8" s="104">
        <f t="shared" si="5"/>
        <v>9</v>
      </c>
      <c r="BI8" s="104">
        <v>0</v>
      </c>
      <c r="BJ8" s="104">
        <f t="shared" ref="BJ8:BR8" si="6">(BI8+1)</f>
        <v>1</v>
      </c>
      <c r="BK8" s="104">
        <f t="shared" si="6"/>
        <v>2</v>
      </c>
      <c r="BL8" s="104">
        <f t="shared" si="6"/>
        <v>3</v>
      </c>
      <c r="BM8" s="104">
        <f t="shared" si="6"/>
        <v>4</v>
      </c>
      <c r="BN8" s="104">
        <f t="shared" si="6"/>
        <v>5</v>
      </c>
      <c r="BO8" s="104">
        <f t="shared" si="6"/>
        <v>6</v>
      </c>
      <c r="BP8" s="104">
        <f t="shared" si="6"/>
        <v>7</v>
      </c>
      <c r="BQ8" s="104">
        <f t="shared" si="6"/>
        <v>8</v>
      </c>
      <c r="BR8" s="104">
        <f t="shared" si="6"/>
        <v>9</v>
      </c>
      <c r="BS8" s="104">
        <v>0</v>
      </c>
      <c r="BT8" s="104">
        <f t="shared" ref="BT8:CB8" si="7">(BS8+1)</f>
        <v>1</v>
      </c>
      <c r="BU8" s="104">
        <f t="shared" si="7"/>
        <v>2</v>
      </c>
      <c r="BV8" s="104">
        <f t="shared" si="7"/>
        <v>3</v>
      </c>
      <c r="BW8" s="104">
        <f t="shared" si="7"/>
        <v>4</v>
      </c>
      <c r="BX8" s="104">
        <f t="shared" si="7"/>
        <v>5</v>
      </c>
      <c r="BY8" s="104">
        <f t="shared" si="7"/>
        <v>6</v>
      </c>
      <c r="BZ8" s="104">
        <f t="shared" si="7"/>
        <v>7</v>
      </c>
      <c r="CA8" s="104">
        <f t="shared" si="7"/>
        <v>8</v>
      </c>
      <c r="CB8" s="104">
        <f t="shared" si="7"/>
        <v>9</v>
      </c>
      <c r="CC8" s="104">
        <v>0</v>
      </c>
      <c r="CD8" s="104">
        <f t="shared" ref="CD8:CL8" si="8">(CC8+1)</f>
        <v>1</v>
      </c>
      <c r="CE8" s="104">
        <f t="shared" si="8"/>
        <v>2</v>
      </c>
      <c r="CF8" s="104">
        <f t="shared" si="8"/>
        <v>3</v>
      </c>
      <c r="CG8" s="104">
        <f t="shared" si="8"/>
        <v>4</v>
      </c>
      <c r="CH8" s="104">
        <f t="shared" si="8"/>
        <v>5</v>
      </c>
      <c r="CI8" s="104">
        <f t="shared" si="8"/>
        <v>6</v>
      </c>
      <c r="CJ8" s="104">
        <f t="shared" si="8"/>
        <v>7</v>
      </c>
      <c r="CK8" s="104">
        <f t="shared" si="8"/>
        <v>8</v>
      </c>
      <c r="CL8" s="104">
        <f t="shared" si="8"/>
        <v>9</v>
      </c>
      <c r="CM8" s="104">
        <v>0</v>
      </c>
      <c r="CN8" s="104">
        <f t="shared" ref="CN8:CV8" si="9">(CM8+1)</f>
        <v>1</v>
      </c>
      <c r="CO8" s="104">
        <f t="shared" si="9"/>
        <v>2</v>
      </c>
      <c r="CP8" s="104">
        <f t="shared" si="9"/>
        <v>3</v>
      </c>
      <c r="CQ8" s="104">
        <f t="shared" si="9"/>
        <v>4</v>
      </c>
      <c r="CR8" s="104">
        <f t="shared" si="9"/>
        <v>5</v>
      </c>
      <c r="CS8" s="104">
        <f t="shared" si="9"/>
        <v>6</v>
      </c>
      <c r="CT8" s="104">
        <f t="shared" si="9"/>
        <v>7</v>
      </c>
      <c r="CU8" s="104">
        <f t="shared" si="9"/>
        <v>8</v>
      </c>
      <c r="CV8" s="104">
        <f t="shared" si="9"/>
        <v>9</v>
      </c>
      <c r="CW8" s="104">
        <v>0</v>
      </c>
      <c r="CX8" s="104">
        <f t="shared" ref="CX8:DF8" si="10">(CW8+1)</f>
        <v>1</v>
      </c>
      <c r="CY8" s="104">
        <f t="shared" si="10"/>
        <v>2</v>
      </c>
      <c r="CZ8" s="104">
        <f t="shared" si="10"/>
        <v>3</v>
      </c>
      <c r="DA8" s="104">
        <f t="shared" si="10"/>
        <v>4</v>
      </c>
      <c r="DB8" s="104">
        <f t="shared" si="10"/>
        <v>5</v>
      </c>
      <c r="DC8" s="104">
        <f t="shared" si="10"/>
        <v>6</v>
      </c>
      <c r="DD8" s="104">
        <f t="shared" si="10"/>
        <v>7</v>
      </c>
      <c r="DE8" s="104">
        <f t="shared" si="10"/>
        <v>8</v>
      </c>
      <c r="DF8" s="104">
        <f t="shared" si="10"/>
        <v>9</v>
      </c>
      <c r="DG8" s="104">
        <v>0</v>
      </c>
      <c r="DH8" s="104">
        <f t="shared" ref="DH8:DP8" si="11">(DG8+1)</f>
        <v>1</v>
      </c>
      <c r="DI8" s="104">
        <f t="shared" si="11"/>
        <v>2</v>
      </c>
      <c r="DJ8" s="104">
        <f t="shared" si="11"/>
        <v>3</v>
      </c>
      <c r="DK8" s="135">
        <f t="shared" si="11"/>
        <v>4</v>
      </c>
      <c r="DL8" s="135">
        <f t="shared" si="11"/>
        <v>5</v>
      </c>
      <c r="DM8" s="135">
        <f t="shared" si="11"/>
        <v>6</v>
      </c>
      <c r="DN8" s="135">
        <f t="shared" si="11"/>
        <v>7</v>
      </c>
      <c r="DO8" s="135">
        <f t="shared" si="11"/>
        <v>8</v>
      </c>
      <c r="DP8" s="135">
        <f t="shared" si="11"/>
        <v>9</v>
      </c>
      <c r="DQ8" s="135">
        <v>0</v>
      </c>
      <c r="DR8" s="135">
        <f t="shared" ref="DR8:DZ8" si="12">(DQ8+1)</f>
        <v>1</v>
      </c>
      <c r="DS8" s="135">
        <f t="shared" si="12"/>
        <v>2</v>
      </c>
      <c r="DT8" s="135">
        <f t="shared" si="12"/>
        <v>3</v>
      </c>
      <c r="DU8" s="135">
        <f t="shared" si="12"/>
        <v>4</v>
      </c>
      <c r="DV8" s="104">
        <f t="shared" si="12"/>
        <v>5</v>
      </c>
      <c r="DW8" s="104">
        <f t="shared" si="12"/>
        <v>6</v>
      </c>
      <c r="DX8" s="104">
        <f t="shared" si="12"/>
        <v>7</v>
      </c>
      <c r="DY8" s="104">
        <f t="shared" si="12"/>
        <v>8</v>
      </c>
      <c r="DZ8" s="104">
        <f t="shared" si="12"/>
        <v>9</v>
      </c>
      <c r="EA8" s="104">
        <v>0</v>
      </c>
      <c r="EB8" s="104">
        <f>(EA8+1)</f>
        <v>1</v>
      </c>
      <c r="EC8" s="134">
        <f>(EB8+1)</f>
        <v>2</v>
      </c>
    </row>
    <row r="9" spans="1:133" ht="25.15" customHeight="1">
      <c r="A9" s="133">
        <f t="shared" ref="A9:A72" si="13">A8+1</f>
        <v>1</v>
      </c>
      <c r="B9" s="91"/>
      <c r="C9" s="93"/>
      <c r="D9" s="93"/>
      <c r="E9" s="93"/>
      <c r="F9" s="93"/>
      <c r="G9" s="93"/>
      <c r="H9" s="93"/>
      <c r="I9" s="93"/>
      <c r="J9" s="93"/>
      <c r="K9" s="93"/>
      <c r="L9" s="93"/>
      <c r="M9" s="93"/>
      <c r="N9" s="93"/>
      <c r="O9" s="93"/>
      <c r="P9" s="93"/>
      <c r="Q9" s="93"/>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262"/>
      <c r="BD9" s="262"/>
      <c r="BE9" s="261"/>
      <c r="BF9" s="261"/>
      <c r="BG9" s="262"/>
      <c r="BH9" s="262"/>
      <c r="BI9" s="261"/>
      <c r="BJ9" s="261"/>
      <c r="BK9" s="262"/>
      <c r="BL9" s="262"/>
      <c r="BM9" s="261"/>
      <c r="BN9" s="261"/>
      <c r="BO9" s="262"/>
      <c r="BP9" s="262"/>
      <c r="BQ9" s="261"/>
      <c r="BR9" s="261"/>
      <c r="BS9" s="262"/>
      <c r="BT9" s="262"/>
      <c r="BU9" s="95"/>
      <c r="BV9" s="95"/>
      <c r="BW9" s="96"/>
      <c r="BX9" s="96"/>
      <c r="BY9" s="95"/>
      <c r="BZ9" s="95"/>
      <c r="CA9" s="262"/>
      <c r="CB9" s="262"/>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7"/>
      <c r="DE9" s="97"/>
      <c r="DF9" s="97"/>
      <c r="DG9" s="97"/>
      <c r="DH9" s="97"/>
      <c r="DI9" s="67"/>
      <c r="DJ9" s="97"/>
      <c r="DK9" s="92"/>
      <c r="DL9" s="92"/>
      <c r="DM9" s="98"/>
      <c r="DN9" s="98"/>
      <c r="DO9" s="92"/>
      <c r="DP9" s="92"/>
      <c r="DQ9" s="92"/>
      <c r="DR9" s="99"/>
      <c r="DS9" s="285"/>
      <c r="DT9" s="285"/>
      <c r="DU9" s="94"/>
      <c r="DV9" s="94"/>
      <c r="DW9" s="94"/>
      <c r="DX9" s="94"/>
      <c r="DY9" s="94"/>
      <c r="DZ9" s="93"/>
      <c r="EA9" s="93"/>
      <c r="EB9" s="67"/>
      <c r="EC9" s="68"/>
    </row>
    <row r="10" spans="1:133" ht="25.15" customHeight="1">
      <c r="A10" s="133">
        <f t="shared" si="13"/>
        <v>2</v>
      </c>
      <c r="B10" s="100"/>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92"/>
      <c r="DK10" s="92"/>
      <c r="DL10" s="101"/>
      <c r="DM10" s="101"/>
      <c r="DN10" s="92"/>
      <c r="DO10" s="92"/>
      <c r="DP10" s="101"/>
      <c r="DQ10" s="101"/>
      <c r="DR10" s="92"/>
      <c r="DS10" s="92"/>
      <c r="DT10" s="101"/>
      <c r="DU10" s="92"/>
      <c r="DV10" s="92"/>
      <c r="DW10" s="101"/>
      <c r="DX10" s="101"/>
      <c r="DY10" s="92"/>
      <c r="DZ10" s="92"/>
      <c r="EA10" s="101"/>
      <c r="EB10" s="71"/>
      <c r="EC10" s="73"/>
    </row>
    <row r="11" spans="1:133" ht="25.15" customHeight="1">
      <c r="A11" s="133">
        <f t="shared" si="13"/>
        <v>3</v>
      </c>
      <c r="B11" s="10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2"/>
      <c r="BF11" s="102"/>
      <c r="BG11" s="102"/>
      <c r="BH11" s="102"/>
      <c r="BI11" s="102"/>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2"/>
      <c r="CL11" s="47"/>
      <c r="CM11" s="47"/>
      <c r="CN11" s="47"/>
      <c r="CO11" s="47"/>
      <c r="CP11" s="47"/>
      <c r="CQ11" s="47"/>
      <c r="CR11" s="101"/>
      <c r="CS11" s="101"/>
      <c r="CT11" s="101"/>
      <c r="CU11" s="101"/>
      <c r="CV11" s="101"/>
      <c r="CW11" s="47"/>
      <c r="CX11" s="47"/>
      <c r="CY11" s="251" t="s">
        <v>255</v>
      </c>
      <c r="CZ11" s="251"/>
      <c r="DA11" s="251"/>
      <c r="DB11" s="251"/>
      <c r="DC11" s="251"/>
      <c r="DD11" s="251"/>
      <c r="DE11" s="251"/>
      <c r="DF11" s="251"/>
      <c r="DG11" s="251"/>
      <c r="DH11" s="251"/>
      <c r="DI11" s="251"/>
      <c r="DJ11" s="251"/>
      <c r="DK11" s="251"/>
      <c r="DL11" s="251"/>
      <c r="DM11" s="251"/>
      <c r="DN11" s="251"/>
      <c r="DO11" s="251"/>
      <c r="DP11" s="251"/>
      <c r="DQ11" s="251"/>
      <c r="DR11" s="251"/>
      <c r="DS11" s="251"/>
      <c r="DT11" s="251"/>
      <c r="DU11" s="251"/>
      <c r="DV11" s="92"/>
      <c r="DW11" s="92"/>
      <c r="DX11" s="101"/>
      <c r="DY11" s="101"/>
      <c r="DZ11" s="101"/>
      <c r="EA11" s="101"/>
      <c r="EC11" s="73"/>
    </row>
    <row r="12" spans="1:133" ht="25.15" customHeight="1">
      <c r="A12" s="133">
        <f t="shared" si="13"/>
        <v>4</v>
      </c>
      <c r="B12" s="100"/>
      <c r="C12" s="101"/>
      <c r="D12" s="101"/>
      <c r="E12" s="10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5"/>
      <c r="CR12" s="105"/>
      <c r="CS12" s="101"/>
      <c r="CT12" s="101"/>
      <c r="CU12" s="101"/>
      <c r="CV12" s="101"/>
      <c r="CW12" s="47"/>
      <c r="CX12" s="47"/>
      <c r="CY12" s="251" t="s">
        <v>257</v>
      </c>
      <c r="CZ12" s="251"/>
      <c r="DA12" s="251"/>
      <c r="DB12" s="251"/>
      <c r="DC12" s="251"/>
      <c r="DD12" s="251"/>
      <c r="DE12" s="251"/>
      <c r="DF12" s="251"/>
      <c r="DG12" s="251"/>
      <c r="DH12" s="251"/>
      <c r="DI12" s="251"/>
      <c r="DJ12" s="251"/>
      <c r="DK12" s="251"/>
      <c r="DL12" s="251"/>
      <c r="DM12" s="251"/>
      <c r="DN12" s="251"/>
      <c r="DO12" s="251"/>
      <c r="DP12" s="251"/>
      <c r="DQ12" s="251"/>
      <c r="DR12" s="251"/>
      <c r="DS12" s="251"/>
      <c r="DT12" s="251"/>
      <c r="DU12" s="251"/>
      <c r="DV12" s="101"/>
      <c r="DW12" s="101"/>
      <c r="DX12" s="101"/>
      <c r="DY12" s="101"/>
      <c r="DZ12" s="101"/>
      <c r="EA12" s="101"/>
      <c r="EB12" s="71"/>
      <c r="EC12" s="73"/>
    </row>
    <row r="13" spans="1:133" ht="25.15" customHeight="1">
      <c r="A13" s="133">
        <f t="shared" si="13"/>
        <v>5</v>
      </c>
      <c r="B13" s="100"/>
      <c r="C13" s="101"/>
      <c r="D13" s="101"/>
      <c r="E13" s="101"/>
      <c r="F13" s="312" t="s">
        <v>183</v>
      </c>
      <c r="G13" s="312"/>
      <c r="H13" s="312"/>
      <c r="I13" s="312"/>
      <c r="J13" s="312"/>
      <c r="K13" s="312"/>
      <c r="L13" s="312"/>
      <c r="M13" s="312"/>
      <c r="N13" s="312"/>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01"/>
      <c r="BA13" s="101"/>
      <c r="BB13" s="92"/>
      <c r="BC13" s="101"/>
      <c r="BD13" s="101"/>
      <c r="BE13" s="101"/>
      <c r="BF13" s="101"/>
      <c r="BG13" s="101"/>
      <c r="BH13" s="101"/>
      <c r="BI13" s="101"/>
      <c r="BJ13" s="102"/>
      <c r="BK13" s="102"/>
      <c r="BL13" s="102"/>
      <c r="BM13" s="101"/>
      <c r="BN13" s="102"/>
      <c r="BO13" s="102"/>
      <c r="BP13" s="102"/>
      <c r="BQ13" s="102"/>
      <c r="BR13" s="102"/>
      <c r="BS13" s="101"/>
      <c r="BT13" s="101"/>
      <c r="BU13" s="101"/>
      <c r="BV13" s="102"/>
      <c r="BW13" s="102"/>
      <c r="BX13" s="102"/>
      <c r="BY13" s="102"/>
      <c r="BZ13" s="102"/>
      <c r="CA13" s="102"/>
      <c r="CB13" s="102"/>
      <c r="CC13" s="102"/>
      <c r="CD13" s="102"/>
      <c r="CE13" s="102"/>
      <c r="CF13" s="102"/>
      <c r="CG13" s="101"/>
      <c r="CH13" s="92"/>
      <c r="CI13" s="102"/>
      <c r="CJ13" s="92"/>
      <c r="CK13" s="101"/>
      <c r="CL13" s="101"/>
      <c r="CM13" s="101"/>
      <c r="CN13" s="101"/>
      <c r="CO13" s="101"/>
      <c r="CP13" s="101"/>
      <c r="CQ13" s="101"/>
      <c r="CR13" s="101"/>
      <c r="CS13" s="101"/>
      <c r="CT13" s="101"/>
      <c r="CU13" s="101"/>
      <c r="CV13" s="101"/>
      <c r="CW13" s="92"/>
      <c r="CX13" s="92"/>
      <c r="CY13" s="101"/>
      <c r="CZ13" s="92"/>
      <c r="DA13" s="101"/>
      <c r="DB13" s="101"/>
      <c r="DC13" s="101"/>
      <c r="DD13" s="101"/>
      <c r="DE13" s="101"/>
      <c r="DF13" s="101"/>
      <c r="DG13" s="101"/>
      <c r="DH13" s="101"/>
      <c r="DI13" s="101"/>
      <c r="DJ13" s="101"/>
      <c r="DK13" s="101"/>
      <c r="DL13" s="101"/>
      <c r="DM13" s="92"/>
      <c r="DN13" s="92"/>
      <c r="DO13" s="101"/>
      <c r="DP13" s="101"/>
      <c r="DQ13" s="92"/>
      <c r="DR13" s="92"/>
      <c r="DS13" s="101"/>
      <c r="DT13" s="101"/>
      <c r="DU13" s="92"/>
      <c r="DV13" s="92"/>
      <c r="DW13" s="101"/>
      <c r="DX13" s="101"/>
      <c r="DY13" s="101"/>
      <c r="DZ13" s="101"/>
      <c r="EA13" s="101"/>
      <c r="EB13" s="71"/>
      <c r="EC13" s="73"/>
    </row>
    <row r="14" spans="1:133" ht="25.15" customHeight="1">
      <c r="A14" s="133">
        <f t="shared" si="13"/>
        <v>6</v>
      </c>
      <c r="B14" s="100"/>
      <c r="C14" s="101"/>
      <c r="D14" s="101"/>
      <c r="E14" s="92"/>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02"/>
      <c r="BA14" s="102"/>
      <c r="BB14" s="101"/>
      <c r="BC14" s="101"/>
      <c r="BD14" s="92"/>
      <c r="BE14" s="107"/>
      <c r="BF14" s="281" t="s">
        <v>276</v>
      </c>
      <c r="BG14" s="281"/>
      <c r="BH14" s="281"/>
      <c r="BI14" s="281"/>
      <c r="BJ14" s="281"/>
      <c r="BK14" s="281"/>
      <c r="BL14" s="281"/>
      <c r="BM14" s="281"/>
      <c r="BN14" s="281"/>
      <c r="BO14" s="281"/>
      <c r="BP14" s="281"/>
      <c r="BQ14" s="281"/>
      <c r="BR14" s="281"/>
      <c r="BS14" s="281"/>
      <c r="BT14" s="281"/>
      <c r="BU14" s="281"/>
      <c r="BV14" s="281"/>
      <c r="BW14" s="281"/>
      <c r="BX14" s="281"/>
      <c r="BY14" s="281"/>
      <c r="BZ14" s="281"/>
      <c r="CA14" s="281"/>
      <c r="CB14" s="281"/>
      <c r="CC14" s="281"/>
      <c r="CD14" s="281"/>
      <c r="CE14" s="281"/>
      <c r="CF14" s="281"/>
      <c r="CG14" s="101"/>
      <c r="CH14" s="101"/>
      <c r="CI14" s="101"/>
      <c r="CJ14" s="101"/>
      <c r="CK14" s="101"/>
      <c r="CL14" s="101"/>
      <c r="CM14" s="101"/>
      <c r="CN14" s="101"/>
      <c r="CO14" s="101"/>
      <c r="CP14" s="101"/>
      <c r="CQ14" s="101"/>
      <c r="CR14" s="101"/>
      <c r="CS14" s="101"/>
      <c r="CT14" s="101"/>
      <c r="CU14" s="286" t="s">
        <v>229</v>
      </c>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92"/>
      <c r="DW14" s="92"/>
      <c r="DX14" s="105"/>
      <c r="DY14" s="101"/>
      <c r="DZ14" s="101"/>
      <c r="EA14" s="102"/>
      <c r="EB14" s="71"/>
      <c r="EC14" s="73"/>
    </row>
    <row r="15" spans="1:133" ht="25.15" customHeight="1">
      <c r="A15" s="133">
        <f t="shared" si="13"/>
        <v>7</v>
      </c>
      <c r="B15" s="100"/>
      <c r="C15" s="101"/>
      <c r="D15" s="92"/>
      <c r="E15" s="92"/>
      <c r="F15" s="312" t="s">
        <v>251</v>
      </c>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199"/>
      <c r="AU15" s="199"/>
      <c r="AV15" s="199"/>
      <c r="AW15" s="218"/>
      <c r="AX15" s="199"/>
      <c r="AY15" s="199"/>
      <c r="AZ15" s="92"/>
      <c r="BA15" s="92"/>
      <c r="BB15" s="101"/>
      <c r="BC15" s="101"/>
      <c r="BD15" s="101"/>
      <c r="BE15" s="107"/>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281"/>
      <c r="CE15" s="281"/>
      <c r="CF15" s="281"/>
      <c r="CG15" s="101"/>
      <c r="CH15" s="101"/>
      <c r="CI15" s="101"/>
      <c r="CJ15" s="101"/>
      <c r="CK15" s="47"/>
      <c r="CL15" s="47"/>
      <c r="CM15" s="47"/>
      <c r="CN15" s="47"/>
      <c r="CO15" s="105"/>
      <c r="CP15" s="105"/>
      <c r="CQ15" s="105"/>
      <c r="CR15" s="105"/>
      <c r="CS15" s="105"/>
      <c r="CT15" s="105"/>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101"/>
      <c r="DW15" s="101"/>
      <c r="DX15" s="101"/>
      <c r="DY15" s="101"/>
      <c r="DZ15" s="101"/>
      <c r="EA15" s="92"/>
      <c r="EB15" s="71"/>
      <c r="EC15" s="73"/>
    </row>
    <row r="16" spans="1:133" ht="25.15" customHeight="1">
      <c r="A16" s="133">
        <f t="shared" si="13"/>
        <v>8</v>
      </c>
      <c r="B16" s="100"/>
      <c r="C16" s="101"/>
      <c r="D16" s="101"/>
      <c r="E16" s="101"/>
      <c r="F16" s="330" t="s">
        <v>252</v>
      </c>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199"/>
      <c r="AU16" s="199"/>
      <c r="AV16" s="199"/>
      <c r="AW16" s="199"/>
      <c r="AX16" s="199"/>
      <c r="AY16" s="199"/>
      <c r="AZ16" s="101"/>
      <c r="BA16" s="101"/>
      <c r="BB16" s="101"/>
      <c r="BC16" s="101"/>
      <c r="BD16" s="101"/>
      <c r="BE16" s="107"/>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101"/>
      <c r="CH16" s="101"/>
      <c r="CI16" s="101"/>
      <c r="CJ16" s="101"/>
      <c r="CK16" s="101"/>
      <c r="CL16" s="101"/>
      <c r="CM16" s="101"/>
      <c r="CN16" s="101"/>
      <c r="CO16" s="101"/>
      <c r="CP16" s="101"/>
      <c r="CQ16" s="101"/>
      <c r="CR16" s="101"/>
      <c r="CS16" s="101"/>
      <c r="CT16" s="101"/>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92"/>
      <c r="DW16" s="92"/>
      <c r="DX16" s="92"/>
      <c r="DY16" s="107"/>
      <c r="DZ16" s="107"/>
      <c r="EA16" s="92"/>
      <c r="EB16" s="71"/>
      <c r="EC16" s="73"/>
    </row>
    <row r="17" spans="1:137" ht="25.15" customHeight="1">
      <c r="A17" s="133">
        <f t="shared" si="13"/>
        <v>9</v>
      </c>
      <c r="B17" s="100"/>
      <c r="C17" s="101"/>
      <c r="D17" s="101"/>
      <c r="E17" s="101"/>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218"/>
      <c r="AU17" s="199"/>
      <c r="AV17" s="199"/>
      <c r="AW17" s="199"/>
      <c r="AX17" s="199"/>
      <c r="AY17" s="199"/>
      <c r="AZ17" s="101"/>
      <c r="BA17" s="101"/>
      <c r="BB17" s="101"/>
      <c r="BC17" s="101"/>
      <c r="BD17" s="102"/>
      <c r="BE17" s="101"/>
      <c r="BF17" s="101"/>
      <c r="BG17" s="92"/>
      <c r="BH17" s="92"/>
      <c r="BI17" s="92"/>
      <c r="BJ17" s="92"/>
      <c r="BK17" s="92"/>
      <c r="BL17" s="107"/>
      <c r="BM17" s="107"/>
      <c r="BN17" s="107"/>
      <c r="BO17" s="108"/>
      <c r="BP17" s="92"/>
      <c r="BQ17" s="92"/>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92"/>
      <c r="DL17" s="92"/>
      <c r="DM17" s="92"/>
      <c r="DN17" s="92"/>
      <c r="DO17" s="92"/>
      <c r="DP17" s="92"/>
      <c r="DQ17" s="92"/>
      <c r="DR17" s="92"/>
      <c r="DS17" s="92"/>
      <c r="DT17" s="101"/>
      <c r="DU17" s="101"/>
      <c r="DV17" s="101"/>
      <c r="DW17" s="101"/>
      <c r="DX17" s="101"/>
      <c r="DY17" s="107"/>
      <c r="DZ17" s="107"/>
      <c r="EA17" s="92"/>
      <c r="EB17" s="71"/>
      <c r="EC17" s="73"/>
    </row>
    <row r="18" spans="1:137" ht="25.15" customHeight="1">
      <c r="A18" s="133">
        <f t="shared" si="13"/>
        <v>10</v>
      </c>
      <c r="B18" s="100"/>
      <c r="C18" s="101"/>
      <c r="D18" s="101"/>
      <c r="E18" s="101"/>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199"/>
      <c r="AU18" s="199"/>
      <c r="AV18" s="199"/>
      <c r="AW18" s="199"/>
      <c r="AX18" s="199"/>
      <c r="AY18" s="199"/>
      <c r="AZ18" s="101"/>
      <c r="BA18" s="101"/>
      <c r="BB18" s="101"/>
      <c r="BC18" s="101"/>
      <c r="BD18" s="101"/>
      <c r="BE18" s="101"/>
      <c r="BF18" s="101"/>
      <c r="BG18" s="92"/>
      <c r="BH18" s="92"/>
      <c r="BI18" s="92"/>
      <c r="BJ18" s="92"/>
      <c r="BK18" s="92"/>
      <c r="BL18" s="107"/>
      <c r="BM18" s="107"/>
      <c r="BN18" s="107"/>
      <c r="BO18" s="108"/>
      <c r="BP18" s="92"/>
      <c r="BQ18" s="102"/>
      <c r="BR18" s="101"/>
      <c r="BS18" s="101"/>
      <c r="BT18" s="101"/>
      <c r="BU18" s="101"/>
      <c r="BV18" s="101"/>
      <c r="BW18" s="101"/>
      <c r="BX18" s="105"/>
      <c r="BY18" s="105"/>
      <c r="BZ18" s="105"/>
      <c r="CA18" s="105"/>
      <c r="CB18" s="105"/>
      <c r="CC18" s="105"/>
      <c r="CD18" s="101"/>
      <c r="CE18" s="92"/>
      <c r="CF18" s="92"/>
      <c r="CG18" s="92"/>
      <c r="CH18" s="92"/>
      <c r="CI18" s="92"/>
      <c r="CJ18" s="92"/>
      <c r="CK18" s="47"/>
      <c r="CL18" s="47"/>
      <c r="CM18" s="47"/>
      <c r="CN18" s="47"/>
      <c r="CO18" s="47"/>
      <c r="CP18" s="47"/>
      <c r="CQ18" s="266"/>
      <c r="CR18" s="266"/>
      <c r="CS18" s="266"/>
      <c r="CT18" s="266"/>
      <c r="CU18" s="266"/>
      <c r="CV18" s="266"/>
      <c r="CW18" s="266"/>
      <c r="CX18" s="266"/>
      <c r="CY18" s="251" t="s">
        <v>256</v>
      </c>
      <c r="CZ18" s="251"/>
      <c r="DA18" s="251"/>
      <c r="DB18" s="251"/>
      <c r="DC18" s="251"/>
      <c r="DD18" s="251"/>
      <c r="DE18" s="251"/>
      <c r="DF18" s="251"/>
      <c r="DG18" s="251"/>
      <c r="DH18" s="251"/>
      <c r="DI18" s="251"/>
      <c r="DJ18" s="251"/>
      <c r="DK18" s="251"/>
      <c r="DL18" s="251"/>
      <c r="DM18" s="251"/>
      <c r="DN18" s="251"/>
      <c r="DO18" s="251"/>
      <c r="DP18" s="251"/>
      <c r="DQ18" s="251"/>
      <c r="DR18" s="251"/>
      <c r="DS18" s="251"/>
      <c r="DT18" s="251"/>
      <c r="DU18" s="251"/>
      <c r="DV18" s="92"/>
      <c r="DW18" s="92"/>
      <c r="DX18" s="92"/>
      <c r="DY18" s="107"/>
      <c r="DZ18" s="107"/>
      <c r="EA18" s="92"/>
      <c r="EB18" s="71"/>
      <c r="EC18" s="73"/>
    </row>
    <row r="19" spans="1:137" ht="25.15" customHeight="1">
      <c r="A19" s="133">
        <f t="shared" si="13"/>
        <v>11</v>
      </c>
      <c r="B19" s="100"/>
      <c r="C19" s="101"/>
      <c r="D19" s="101"/>
      <c r="E19" s="101"/>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92"/>
      <c r="CL19" s="92"/>
      <c r="CM19" s="92"/>
      <c r="CN19" s="92"/>
      <c r="CO19" s="101"/>
      <c r="CP19" s="92"/>
      <c r="CQ19" s="92"/>
      <c r="CR19" s="92"/>
      <c r="CS19" s="92"/>
      <c r="CT19" s="92"/>
      <c r="CU19" s="92"/>
      <c r="CV19" s="92"/>
      <c r="CW19" s="92"/>
      <c r="CX19" s="92"/>
      <c r="CY19" s="92"/>
      <c r="CZ19" s="92"/>
      <c r="DA19" s="92"/>
      <c r="DB19" s="92"/>
      <c r="DC19" s="105"/>
      <c r="DD19" s="105"/>
      <c r="DE19" s="92"/>
      <c r="DF19" s="92"/>
      <c r="DG19" s="92"/>
      <c r="DH19" s="92"/>
      <c r="DI19" s="110"/>
      <c r="DJ19" s="110"/>
      <c r="DK19" s="102"/>
      <c r="DL19" s="92"/>
      <c r="DM19" s="105"/>
      <c r="DN19" s="105"/>
      <c r="DO19" s="105"/>
      <c r="DP19" s="105"/>
      <c r="DQ19" s="105"/>
      <c r="DR19" s="105"/>
      <c r="DS19" s="106"/>
      <c r="DT19" s="106"/>
      <c r="DU19" s="106"/>
      <c r="DV19" s="106"/>
      <c r="DW19" s="105"/>
      <c r="DX19" s="105"/>
      <c r="DY19" s="107"/>
      <c r="DZ19" s="107"/>
      <c r="EA19" s="92"/>
      <c r="EC19" s="73"/>
    </row>
    <row r="20" spans="1:137" ht="25.15" customHeight="1">
      <c r="A20" s="133">
        <f t="shared" si="13"/>
        <v>12</v>
      </c>
      <c r="B20" s="100"/>
      <c r="C20" s="101"/>
      <c r="D20" s="101"/>
      <c r="E20" s="101"/>
      <c r="F20" s="312" t="s">
        <v>253</v>
      </c>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199"/>
      <c r="AU20" s="199"/>
      <c r="AV20" s="199"/>
      <c r="AW20" s="199"/>
      <c r="AX20" s="199"/>
      <c r="AY20" s="218"/>
      <c r="AZ20" s="101"/>
      <c r="BA20" s="101"/>
      <c r="BB20" s="101"/>
      <c r="BC20" s="101"/>
      <c r="BD20" s="92"/>
      <c r="BE20" s="92"/>
      <c r="BF20" s="92"/>
      <c r="BG20" s="92"/>
      <c r="BH20" s="92"/>
      <c r="BI20" s="92"/>
      <c r="BJ20" s="92"/>
      <c r="BK20" s="92"/>
      <c r="BL20" s="92"/>
      <c r="BM20" s="92"/>
      <c r="BN20" s="102"/>
      <c r="BO20" s="101"/>
      <c r="BP20" s="92"/>
      <c r="BQ20" s="102"/>
      <c r="BR20" s="102"/>
      <c r="BS20" s="102"/>
      <c r="BT20" s="101"/>
      <c r="BU20" s="102"/>
      <c r="BV20" s="101"/>
      <c r="BW20" s="101"/>
      <c r="BX20" s="105"/>
      <c r="BY20" s="105"/>
      <c r="BZ20" s="105"/>
      <c r="CA20" s="105"/>
      <c r="CB20" s="105"/>
      <c r="CC20" s="105"/>
      <c r="CD20" s="105"/>
      <c r="CE20" s="105"/>
      <c r="CF20" s="105"/>
      <c r="CG20" s="105"/>
      <c r="CH20" s="102"/>
      <c r="CI20" s="102"/>
      <c r="CJ20" s="102"/>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7"/>
      <c r="DZ20" s="107"/>
      <c r="EA20" s="92"/>
      <c r="EC20" s="73"/>
    </row>
    <row r="21" spans="1:137" ht="25.15" customHeight="1">
      <c r="A21" s="133">
        <f t="shared" si="13"/>
        <v>13</v>
      </c>
      <c r="B21" s="100"/>
      <c r="C21" s="101"/>
      <c r="D21" s="101"/>
      <c r="E21" s="101"/>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199"/>
      <c r="AU21" s="199"/>
      <c r="AV21" s="313" t="s">
        <v>101</v>
      </c>
      <c r="AW21" s="313"/>
      <c r="AX21" s="313" t="s">
        <v>102</v>
      </c>
      <c r="AY21" s="313"/>
      <c r="AZ21" s="101"/>
      <c r="BA21" s="101"/>
      <c r="BB21" s="101"/>
      <c r="BC21" s="101"/>
      <c r="BD21" s="101"/>
      <c r="BE21" s="101"/>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c r="DM21" s="259"/>
      <c r="DN21" s="259"/>
      <c r="DO21" s="259"/>
      <c r="DP21" s="259"/>
      <c r="DQ21" s="259"/>
      <c r="DR21" s="259"/>
      <c r="DS21" s="259"/>
      <c r="DT21" s="259"/>
      <c r="DU21" s="259"/>
      <c r="DV21" s="259"/>
      <c r="DW21" s="259"/>
      <c r="DX21" s="259"/>
      <c r="DY21" s="259"/>
      <c r="DZ21" s="259"/>
      <c r="EA21" s="92"/>
      <c r="EC21" s="73"/>
    </row>
    <row r="22" spans="1:137" ht="25.15" customHeight="1">
      <c r="A22" s="133">
        <f t="shared" si="13"/>
        <v>14</v>
      </c>
      <c r="B22" s="100"/>
      <c r="C22" s="101"/>
      <c r="D22" s="101"/>
      <c r="E22" s="101"/>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218"/>
      <c r="AG22" s="218"/>
      <c r="AH22" s="218"/>
      <c r="AI22" s="218"/>
      <c r="AJ22" s="218"/>
      <c r="AK22" s="218"/>
      <c r="AL22" s="218"/>
      <c r="AM22" s="218"/>
      <c r="AN22" s="218"/>
      <c r="AO22" s="218"/>
      <c r="AP22" s="218"/>
      <c r="AQ22" s="218"/>
      <c r="AR22" s="218"/>
      <c r="AS22" s="218"/>
      <c r="AT22" s="199"/>
      <c r="AU22" s="199"/>
      <c r="AV22" s="200"/>
      <c r="AW22" s="200"/>
      <c r="AX22" s="200"/>
      <c r="AY22" s="200"/>
      <c r="AZ22" s="101"/>
      <c r="BA22" s="101"/>
      <c r="BB22" s="101"/>
      <c r="BC22" s="101"/>
      <c r="BD22" s="102"/>
      <c r="BE22" s="102"/>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c r="DM22" s="259"/>
      <c r="DN22" s="259"/>
      <c r="DO22" s="259"/>
      <c r="DP22" s="259"/>
      <c r="DQ22" s="259"/>
      <c r="DR22" s="259"/>
      <c r="DS22" s="259"/>
      <c r="DT22" s="259"/>
      <c r="DU22" s="259"/>
      <c r="DV22" s="259"/>
      <c r="DW22" s="259"/>
      <c r="DX22" s="259"/>
      <c r="DY22" s="259"/>
      <c r="DZ22" s="259"/>
      <c r="EA22" s="92"/>
      <c r="EB22" s="71"/>
      <c r="EC22" s="73"/>
    </row>
    <row r="23" spans="1:137" ht="25.15" customHeight="1">
      <c r="A23" s="133">
        <f t="shared" si="13"/>
        <v>15</v>
      </c>
      <c r="B23" s="100"/>
      <c r="C23" s="101"/>
      <c r="D23" s="101"/>
      <c r="E23" s="101"/>
      <c r="F23" s="312" t="s">
        <v>254</v>
      </c>
      <c r="G23" s="312"/>
      <c r="H23" s="312"/>
      <c r="I23" s="312"/>
      <c r="J23" s="312"/>
      <c r="K23" s="312"/>
      <c r="L23" s="312"/>
      <c r="M23" s="312"/>
      <c r="N23" s="312"/>
      <c r="O23" s="312"/>
      <c r="P23" s="312"/>
      <c r="Q23" s="312"/>
      <c r="R23" s="312"/>
      <c r="S23" s="312"/>
      <c r="T23" s="312"/>
      <c r="U23" s="312"/>
      <c r="V23" s="199"/>
      <c r="W23" s="199"/>
      <c r="X23" s="199"/>
      <c r="Y23" s="199"/>
      <c r="Z23" s="199"/>
      <c r="AA23" s="199"/>
      <c r="AB23" s="199"/>
      <c r="AC23" s="199"/>
      <c r="AD23" s="199"/>
      <c r="AE23" s="199"/>
      <c r="AF23" s="218"/>
      <c r="AG23" s="218"/>
      <c r="AH23" s="218"/>
      <c r="AI23" s="218"/>
      <c r="AJ23" s="218"/>
      <c r="AK23" s="218"/>
      <c r="AL23" s="218"/>
      <c r="AM23" s="218"/>
      <c r="AN23" s="218"/>
      <c r="AO23" s="218"/>
      <c r="AP23" s="218"/>
      <c r="AQ23" s="218"/>
      <c r="AR23" s="218"/>
      <c r="AS23" s="218"/>
      <c r="AT23" s="218"/>
      <c r="AU23" s="218"/>
      <c r="AV23" s="218"/>
      <c r="AW23" s="218"/>
      <c r="AX23" s="199"/>
      <c r="AY23" s="199"/>
      <c r="AZ23" s="101"/>
      <c r="BA23" s="101"/>
      <c r="BB23" s="92"/>
      <c r="BC23" s="101"/>
      <c r="BD23" s="102"/>
      <c r="BE23" s="102"/>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c r="DM23" s="259"/>
      <c r="DN23" s="259"/>
      <c r="DO23" s="259"/>
      <c r="DP23" s="259"/>
      <c r="DQ23" s="259"/>
      <c r="DR23" s="259"/>
      <c r="DS23" s="259"/>
      <c r="DT23" s="259"/>
      <c r="DU23" s="259"/>
      <c r="DV23" s="259"/>
      <c r="DW23" s="259"/>
      <c r="DX23" s="259"/>
      <c r="DY23" s="259"/>
      <c r="DZ23" s="259"/>
      <c r="EA23" s="92"/>
      <c r="EB23" s="71"/>
      <c r="EC23" s="73"/>
    </row>
    <row r="24" spans="1:137" ht="25.15" customHeight="1">
      <c r="A24" s="133">
        <f t="shared" si="13"/>
        <v>16</v>
      </c>
      <c r="B24" s="100"/>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1"/>
      <c r="BW24" s="101"/>
      <c r="BX24" s="101"/>
      <c r="BY24" s="101"/>
      <c r="BZ24" s="101"/>
      <c r="CA24" s="47"/>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92"/>
      <c r="EB24" s="71"/>
      <c r="EC24" s="73"/>
    </row>
    <row r="25" spans="1:137" s="47" customFormat="1" ht="25.15" customHeight="1">
      <c r="A25" s="1">
        <f t="shared" si="13"/>
        <v>17</v>
      </c>
      <c r="B25" s="100"/>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1"/>
      <c r="BW25" s="102"/>
      <c r="BX25" s="282"/>
      <c r="BY25" s="282"/>
      <c r="BZ25" s="282"/>
      <c r="CA25" s="282"/>
      <c r="CB25" s="282"/>
      <c r="CC25" s="282"/>
      <c r="CD25" s="282"/>
      <c r="CE25" s="282"/>
      <c r="CF25" s="282"/>
      <c r="CG25" s="282"/>
      <c r="CH25" s="282"/>
      <c r="CI25" s="282"/>
      <c r="CJ25" s="102"/>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92"/>
      <c r="DN25" s="92"/>
      <c r="DO25" s="92"/>
      <c r="DP25" s="92"/>
      <c r="DQ25" s="92"/>
      <c r="DR25" s="92"/>
      <c r="DS25" s="92"/>
      <c r="DT25" s="92"/>
      <c r="DU25" s="92"/>
      <c r="DV25" s="92"/>
      <c r="DW25" s="92"/>
      <c r="DX25" s="92"/>
      <c r="DY25" s="104"/>
      <c r="DZ25" s="104"/>
      <c r="EA25" s="104"/>
      <c r="EB25" s="71"/>
      <c r="EC25" s="73"/>
    </row>
    <row r="26" spans="1:137" s="47" customFormat="1" ht="25.15" customHeight="1">
      <c r="A26" s="1">
        <f t="shared" si="13"/>
        <v>18</v>
      </c>
      <c r="B26" s="100"/>
      <c r="C26" s="101"/>
      <c r="D26" s="101"/>
      <c r="E26" s="259" t="s">
        <v>250</v>
      </c>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66"/>
      <c r="BB26" s="266"/>
      <c r="BC26" s="102"/>
      <c r="BD26" s="102"/>
      <c r="BE26" s="102"/>
      <c r="BF26" s="102"/>
      <c r="BG26" s="102"/>
      <c r="BH26" s="102"/>
      <c r="BI26" s="102"/>
      <c r="BJ26" s="102"/>
      <c r="BK26" s="102"/>
      <c r="BL26" s="102"/>
      <c r="BM26" s="102"/>
      <c r="BN26" s="102"/>
      <c r="BO26" s="102"/>
      <c r="BP26" s="102"/>
      <c r="BQ26" s="102"/>
      <c r="BR26" s="102"/>
      <c r="BS26" s="102"/>
      <c r="BT26" s="102"/>
      <c r="BU26" s="102"/>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5"/>
      <c r="CV26" s="105"/>
      <c r="CW26" s="105"/>
      <c r="CX26" s="105"/>
      <c r="CY26" s="105"/>
      <c r="CZ26" s="105"/>
      <c r="DA26" s="105"/>
      <c r="DB26" s="105"/>
      <c r="DC26" s="105"/>
      <c r="DD26" s="105"/>
      <c r="DE26" s="105"/>
      <c r="DF26" s="105"/>
      <c r="DG26" s="105"/>
      <c r="DH26" s="105"/>
      <c r="DI26" s="101"/>
      <c r="DJ26" s="105"/>
      <c r="DK26" s="105"/>
      <c r="DL26" s="92"/>
      <c r="DM26" s="92"/>
      <c r="DN26" s="92"/>
      <c r="DO26" s="92"/>
      <c r="DP26" s="92"/>
      <c r="DQ26" s="92"/>
      <c r="DR26" s="92"/>
      <c r="DS26" s="92"/>
      <c r="DT26" s="92"/>
      <c r="DU26" s="92"/>
      <c r="DV26" s="92"/>
      <c r="DW26" s="92"/>
      <c r="DX26" s="92"/>
      <c r="DY26" s="107"/>
      <c r="DZ26" s="107"/>
      <c r="EA26" s="92"/>
      <c r="EB26" s="71"/>
      <c r="EC26" s="73"/>
    </row>
    <row r="27" spans="1:137" s="47" customFormat="1" ht="25.15" customHeight="1">
      <c r="A27" s="1">
        <f t="shared" si="13"/>
        <v>19</v>
      </c>
      <c r="B27" s="100"/>
      <c r="C27" s="101"/>
      <c r="D27" s="101"/>
      <c r="E27" s="287" t="s">
        <v>274</v>
      </c>
      <c r="F27" s="288"/>
      <c r="G27" s="288"/>
      <c r="H27" s="288"/>
      <c r="I27" s="288"/>
      <c r="J27" s="288"/>
      <c r="K27" s="288"/>
      <c r="L27" s="288"/>
      <c r="M27" s="288"/>
      <c r="N27" s="288"/>
      <c r="O27" s="288"/>
      <c r="P27" s="288"/>
      <c r="Q27" s="288"/>
      <c r="R27" s="288"/>
      <c r="S27" s="288"/>
      <c r="T27" s="288"/>
      <c r="U27" s="288"/>
      <c r="V27" s="289"/>
      <c r="W27" s="331" t="s">
        <v>316</v>
      </c>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70"/>
      <c r="BA27" s="101"/>
      <c r="BB27" s="101"/>
      <c r="BC27" s="162"/>
      <c r="BD27" s="162"/>
      <c r="BE27" s="162"/>
      <c r="BF27" s="283" t="s">
        <v>315</v>
      </c>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105"/>
      <c r="EA27" s="92"/>
      <c r="EB27" s="71"/>
      <c r="EC27" s="73"/>
    </row>
    <row r="28" spans="1:137" s="47" customFormat="1" ht="25.15" customHeight="1">
      <c r="A28" s="1">
        <f t="shared" si="13"/>
        <v>20</v>
      </c>
      <c r="B28" s="100"/>
      <c r="C28" s="101"/>
      <c r="D28" s="101"/>
      <c r="E28" s="290"/>
      <c r="F28" s="291"/>
      <c r="G28" s="291"/>
      <c r="H28" s="291"/>
      <c r="I28" s="291"/>
      <c r="J28" s="291"/>
      <c r="K28" s="291"/>
      <c r="L28" s="291"/>
      <c r="M28" s="291"/>
      <c r="N28" s="291"/>
      <c r="O28" s="291"/>
      <c r="P28" s="291"/>
      <c r="Q28" s="291"/>
      <c r="R28" s="291"/>
      <c r="S28" s="291"/>
      <c r="T28" s="291"/>
      <c r="U28" s="291"/>
      <c r="V28" s="292"/>
      <c r="W28" s="332"/>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c r="BA28" s="101"/>
      <c r="BB28" s="101"/>
      <c r="BC28" s="162"/>
      <c r="BD28" s="162"/>
      <c r="BE28" s="162"/>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3"/>
      <c r="CX28" s="283"/>
      <c r="CY28" s="283"/>
      <c r="CZ28" s="283"/>
      <c r="DA28" s="283"/>
      <c r="DB28" s="283"/>
      <c r="DC28" s="283"/>
      <c r="DD28" s="283"/>
      <c r="DE28" s="283"/>
      <c r="DF28" s="283"/>
      <c r="DG28" s="283"/>
      <c r="DH28" s="283"/>
      <c r="DI28" s="283"/>
      <c r="DJ28" s="283"/>
      <c r="DK28" s="283"/>
      <c r="DL28" s="283"/>
      <c r="DM28" s="283"/>
      <c r="DN28" s="283"/>
      <c r="DO28" s="283"/>
      <c r="DP28" s="283"/>
      <c r="DQ28" s="283"/>
      <c r="DR28" s="283"/>
      <c r="DS28" s="283"/>
      <c r="DT28" s="283"/>
      <c r="DU28" s="283"/>
      <c r="DV28" s="283"/>
      <c r="DW28" s="283"/>
      <c r="DX28" s="283"/>
      <c r="DY28" s="283"/>
      <c r="DZ28" s="105"/>
      <c r="EA28" s="105"/>
      <c r="EB28" s="105"/>
      <c r="EC28" s="73"/>
    </row>
    <row r="29" spans="1:137" s="47" customFormat="1" ht="25.15" customHeight="1">
      <c r="A29" s="1">
        <f t="shared" si="13"/>
        <v>21</v>
      </c>
      <c r="B29" s="100"/>
      <c r="C29" s="101"/>
      <c r="D29" s="101"/>
      <c r="E29" s="290"/>
      <c r="F29" s="291"/>
      <c r="G29" s="291"/>
      <c r="H29" s="291"/>
      <c r="I29" s="291"/>
      <c r="J29" s="291"/>
      <c r="K29" s="291"/>
      <c r="L29" s="291"/>
      <c r="M29" s="291"/>
      <c r="N29" s="291"/>
      <c r="O29" s="291"/>
      <c r="P29" s="291"/>
      <c r="Q29" s="291"/>
      <c r="R29" s="291"/>
      <c r="S29" s="291"/>
      <c r="T29" s="291"/>
      <c r="U29" s="291"/>
      <c r="V29" s="292"/>
      <c r="W29" s="332"/>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2"/>
      <c r="BA29" s="159"/>
      <c r="BB29" s="159"/>
      <c r="BC29" s="162"/>
      <c r="BD29" s="162"/>
      <c r="BE29" s="162"/>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3"/>
      <c r="CX29" s="283"/>
      <c r="CY29" s="283"/>
      <c r="CZ29" s="283"/>
      <c r="DA29" s="283"/>
      <c r="DB29" s="283"/>
      <c r="DC29" s="283"/>
      <c r="DD29" s="283"/>
      <c r="DE29" s="283"/>
      <c r="DF29" s="283"/>
      <c r="DG29" s="283"/>
      <c r="DH29" s="283"/>
      <c r="DI29" s="283"/>
      <c r="DJ29" s="283"/>
      <c r="DK29" s="283"/>
      <c r="DL29" s="283"/>
      <c r="DM29" s="283"/>
      <c r="DN29" s="283"/>
      <c r="DO29" s="283"/>
      <c r="DP29" s="283"/>
      <c r="DQ29" s="283"/>
      <c r="DR29" s="283"/>
      <c r="DS29" s="283"/>
      <c r="DT29" s="283"/>
      <c r="DU29" s="283"/>
      <c r="DV29" s="283"/>
      <c r="DW29" s="283"/>
      <c r="DX29" s="283"/>
      <c r="DY29" s="283"/>
      <c r="DZ29" s="105"/>
      <c r="EA29" s="105"/>
      <c r="EB29" s="105"/>
      <c r="EC29" s="73"/>
      <c r="EF29" s="266"/>
      <c r="EG29" s="266"/>
    </row>
    <row r="30" spans="1:137" s="47" customFormat="1" ht="25.15" customHeight="1">
      <c r="A30" s="1">
        <f t="shared" si="13"/>
        <v>22</v>
      </c>
      <c r="B30" s="100"/>
      <c r="C30" s="101"/>
      <c r="D30" s="101"/>
      <c r="E30" s="293"/>
      <c r="F30" s="294"/>
      <c r="G30" s="294"/>
      <c r="H30" s="294"/>
      <c r="I30" s="294"/>
      <c r="J30" s="294"/>
      <c r="K30" s="294"/>
      <c r="L30" s="294"/>
      <c r="M30" s="294"/>
      <c r="N30" s="294"/>
      <c r="O30" s="294"/>
      <c r="P30" s="294"/>
      <c r="Q30" s="294"/>
      <c r="R30" s="294"/>
      <c r="S30" s="294"/>
      <c r="T30" s="294"/>
      <c r="U30" s="294"/>
      <c r="V30" s="295"/>
      <c r="W30" s="33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4"/>
      <c r="BA30" s="159"/>
      <c r="BB30" s="159"/>
      <c r="BC30" s="159"/>
      <c r="BD30" s="159"/>
      <c r="BE30" s="159"/>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3"/>
      <c r="CX30" s="283"/>
      <c r="CY30" s="283"/>
      <c r="CZ30" s="283"/>
      <c r="DA30" s="283"/>
      <c r="DB30" s="283"/>
      <c r="DC30" s="283"/>
      <c r="DD30" s="283"/>
      <c r="DE30" s="283"/>
      <c r="DF30" s="283"/>
      <c r="DG30" s="283"/>
      <c r="DH30" s="283"/>
      <c r="DI30" s="283"/>
      <c r="DJ30" s="283"/>
      <c r="DK30" s="283"/>
      <c r="DL30" s="283"/>
      <c r="DM30" s="283"/>
      <c r="DN30" s="283"/>
      <c r="DO30" s="283"/>
      <c r="DP30" s="283"/>
      <c r="DQ30" s="283"/>
      <c r="DR30" s="283"/>
      <c r="DS30" s="283"/>
      <c r="DT30" s="283"/>
      <c r="DU30" s="283"/>
      <c r="DV30" s="283"/>
      <c r="DW30" s="283"/>
      <c r="DX30" s="283"/>
      <c r="DY30" s="283"/>
      <c r="DZ30" s="105"/>
      <c r="EA30" s="92"/>
      <c r="EB30" s="71"/>
      <c r="EC30" s="73"/>
      <c r="EF30" s="266"/>
      <c r="EG30" s="266"/>
    </row>
    <row r="31" spans="1:137" s="47" customFormat="1" ht="25.15" customHeight="1">
      <c r="A31" s="1">
        <f t="shared" si="13"/>
        <v>23</v>
      </c>
      <c r="B31" s="100"/>
      <c r="C31" s="101"/>
      <c r="D31" s="101"/>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59"/>
      <c r="BB31" s="159"/>
      <c r="BC31" s="162"/>
      <c r="BD31" s="162"/>
      <c r="BE31" s="162"/>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105"/>
      <c r="EA31" s="105"/>
      <c r="EB31" s="105"/>
      <c r="EC31" s="73"/>
      <c r="EF31" s="266"/>
      <c r="EG31" s="266"/>
    </row>
    <row r="32" spans="1:137" s="47" customFormat="1" ht="25.15" customHeight="1">
      <c r="A32" s="1">
        <f t="shared" si="13"/>
        <v>24</v>
      </c>
      <c r="B32" s="100"/>
      <c r="C32" s="102"/>
      <c r="D32" s="101"/>
      <c r="E32" s="299" t="s">
        <v>158</v>
      </c>
      <c r="F32" s="260"/>
      <c r="G32" s="260"/>
      <c r="H32" s="260"/>
      <c r="I32" s="260"/>
      <c r="J32" s="260"/>
      <c r="K32" s="260"/>
      <c r="L32" s="260"/>
      <c r="M32" s="260"/>
      <c r="N32" s="260"/>
      <c r="O32" s="260"/>
      <c r="P32" s="260"/>
      <c r="Q32" s="260"/>
      <c r="R32" s="260"/>
      <c r="S32" s="260"/>
      <c r="T32" s="260"/>
      <c r="U32" s="260"/>
      <c r="V32" s="300"/>
      <c r="W32" s="275" t="s">
        <v>231</v>
      </c>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7"/>
      <c r="BA32" s="159"/>
      <c r="BB32" s="159"/>
      <c r="BC32" s="162"/>
      <c r="BD32" s="162"/>
      <c r="BE32" s="162"/>
      <c r="BF32" s="162"/>
      <c r="BG32" s="162"/>
      <c r="BH32" s="162"/>
      <c r="BI32" s="162"/>
      <c r="BJ32" s="162"/>
      <c r="BK32" s="162"/>
      <c r="BL32" s="162"/>
      <c r="BM32" s="162"/>
      <c r="BN32" s="162"/>
      <c r="BO32" s="162"/>
      <c r="BP32" s="162"/>
      <c r="BQ32" s="102"/>
      <c r="BR32" s="102"/>
      <c r="BS32" s="102"/>
      <c r="BT32" s="326"/>
      <c r="BU32" s="326"/>
      <c r="BV32" s="326"/>
      <c r="BW32" s="326"/>
      <c r="BX32" s="326"/>
      <c r="BY32" s="326"/>
      <c r="BZ32" s="326"/>
      <c r="CA32" s="326"/>
      <c r="CB32" s="326"/>
      <c r="CC32" s="326"/>
      <c r="CD32" s="326"/>
      <c r="CE32" s="326"/>
      <c r="CF32" s="326"/>
      <c r="CG32" s="326"/>
      <c r="CH32" s="326"/>
      <c r="CI32" s="326"/>
      <c r="CJ32" s="326"/>
      <c r="CK32" s="326"/>
      <c r="CL32" s="326"/>
      <c r="CM32" s="326"/>
      <c r="CN32" s="326"/>
      <c r="CO32" s="161"/>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c r="DM32" s="259"/>
      <c r="DN32" s="259"/>
      <c r="DO32" s="259"/>
      <c r="DP32" s="259"/>
      <c r="DQ32" s="259"/>
      <c r="DR32" s="259"/>
      <c r="DS32" s="259"/>
      <c r="DT32" s="259"/>
      <c r="DU32" s="259"/>
      <c r="DV32" s="259"/>
      <c r="DW32" s="259"/>
      <c r="DX32" s="259"/>
      <c r="DY32" s="259"/>
      <c r="DZ32" s="259"/>
      <c r="EA32" s="259"/>
      <c r="EB32" s="259"/>
      <c r="EC32" s="73"/>
      <c r="EF32" s="266"/>
      <c r="EG32" s="266"/>
    </row>
    <row r="33" spans="1:139" s="47" customFormat="1" ht="25.15" customHeight="1">
      <c r="A33" s="1">
        <f t="shared" si="13"/>
        <v>25</v>
      </c>
      <c r="B33" s="100"/>
      <c r="C33" s="101"/>
      <c r="D33" s="101"/>
      <c r="E33" s="301"/>
      <c r="F33" s="302"/>
      <c r="G33" s="302"/>
      <c r="H33" s="302"/>
      <c r="I33" s="302"/>
      <c r="J33" s="302"/>
      <c r="K33" s="302"/>
      <c r="L33" s="302"/>
      <c r="M33" s="302"/>
      <c r="N33" s="302"/>
      <c r="O33" s="302"/>
      <c r="P33" s="302"/>
      <c r="Q33" s="302"/>
      <c r="R33" s="302"/>
      <c r="S33" s="302"/>
      <c r="T33" s="302"/>
      <c r="U33" s="302"/>
      <c r="V33" s="303"/>
      <c r="W33" s="278"/>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80"/>
      <c r="BA33" s="160"/>
      <c r="BB33" s="159"/>
      <c r="BC33" s="162"/>
      <c r="BD33" s="162"/>
      <c r="BE33" s="162"/>
      <c r="BF33" s="162"/>
      <c r="BG33" s="162"/>
      <c r="BH33" s="162"/>
      <c r="BI33" s="162"/>
      <c r="BJ33" s="162"/>
      <c r="BK33" s="162"/>
      <c r="BL33" s="162"/>
      <c r="BM33" s="162"/>
      <c r="BN33" s="162"/>
      <c r="BO33" s="162"/>
      <c r="BP33" s="162"/>
      <c r="BQ33" s="161"/>
      <c r="BR33" s="161"/>
      <c r="BS33" s="161"/>
      <c r="BT33" s="326"/>
      <c r="BU33" s="326"/>
      <c r="BV33" s="326"/>
      <c r="BW33" s="326"/>
      <c r="BX33" s="326"/>
      <c r="BY33" s="326"/>
      <c r="BZ33" s="326"/>
      <c r="CA33" s="326"/>
      <c r="CB33" s="326"/>
      <c r="CC33" s="326"/>
      <c r="CD33" s="326"/>
      <c r="CE33" s="326"/>
      <c r="CF33" s="326"/>
      <c r="CG33" s="326"/>
      <c r="CH33" s="326"/>
      <c r="CI33" s="326"/>
      <c r="CJ33" s="326"/>
      <c r="CK33" s="326"/>
      <c r="CL33" s="326"/>
      <c r="CM33" s="326"/>
      <c r="CN33" s="161"/>
      <c r="CO33" s="161"/>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c r="DM33" s="259"/>
      <c r="DN33" s="259"/>
      <c r="DO33" s="259"/>
      <c r="DP33" s="259"/>
      <c r="DQ33" s="259"/>
      <c r="DR33" s="259"/>
      <c r="DS33" s="259"/>
      <c r="DT33" s="259"/>
      <c r="DU33" s="259"/>
      <c r="DV33" s="259"/>
      <c r="DW33" s="259"/>
      <c r="DX33" s="259"/>
      <c r="DY33" s="259"/>
      <c r="DZ33" s="259"/>
      <c r="EA33" s="259"/>
      <c r="EB33" s="259"/>
      <c r="EC33" s="73"/>
      <c r="EH33" s="266"/>
      <c r="EI33" s="266"/>
    </row>
    <row r="34" spans="1:139" s="47" customFormat="1" ht="25.15" customHeight="1">
      <c r="A34" s="1">
        <f t="shared" si="13"/>
        <v>26</v>
      </c>
      <c r="B34" s="100"/>
      <c r="C34" s="101"/>
      <c r="D34" s="101"/>
      <c r="E34" s="299" t="s">
        <v>159</v>
      </c>
      <c r="F34" s="260"/>
      <c r="G34" s="260"/>
      <c r="H34" s="260"/>
      <c r="I34" s="260"/>
      <c r="J34" s="260"/>
      <c r="K34" s="260"/>
      <c r="L34" s="260"/>
      <c r="M34" s="260"/>
      <c r="N34" s="260"/>
      <c r="O34" s="260"/>
      <c r="P34" s="260"/>
      <c r="Q34" s="260"/>
      <c r="R34" s="260"/>
      <c r="S34" s="260"/>
      <c r="T34" s="260"/>
      <c r="U34" s="260"/>
      <c r="V34" s="300"/>
      <c r="W34" s="275" t="s">
        <v>232</v>
      </c>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7"/>
      <c r="BA34" s="160"/>
      <c r="BB34" s="159"/>
      <c r="BC34" s="327" t="s">
        <v>314</v>
      </c>
      <c r="BD34" s="328"/>
      <c r="BE34" s="328"/>
      <c r="BF34" s="328"/>
      <c r="BG34" s="328"/>
      <c r="BH34" s="328"/>
      <c r="BI34" s="328"/>
      <c r="BJ34" s="328"/>
      <c r="BK34" s="328"/>
      <c r="BL34" s="328"/>
      <c r="BM34" s="328"/>
      <c r="BN34" s="328"/>
      <c r="BO34" s="328"/>
      <c r="BP34" s="329"/>
      <c r="BQ34" s="181"/>
      <c r="BR34" s="217"/>
      <c r="BS34" s="217"/>
      <c r="BT34" s="320" t="s">
        <v>283</v>
      </c>
      <c r="BU34" s="320"/>
      <c r="BV34" s="320"/>
      <c r="BW34" s="320"/>
      <c r="BX34" s="320"/>
      <c r="BY34" s="320"/>
      <c r="BZ34" s="320"/>
      <c r="CA34" s="320"/>
      <c r="CB34" s="320"/>
      <c r="CC34" s="320"/>
      <c r="CD34" s="320"/>
      <c r="CE34" s="320"/>
      <c r="CF34" s="320"/>
      <c r="CG34" s="320"/>
      <c r="CH34" s="320"/>
      <c r="CI34" s="320"/>
      <c r="CJ34" s="320"/>
      <c r="CK34" s="320"/>
      <c r="CL34" s="320"/>
      <c r="CM34" s="320"/>
      <c r="CN34" s="217"/>
      <c r="CO34" s="217"/>
      <c r="CP34" s="246" t="s">
        <v>284</v>
      </c>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97"/>
      <c r="EC34" s="73"/>
      <c r="EH34" s="266"/>
      <c r="EI34" s="266"/>
    </row>
    <row r="35" spans="1:139" s="47" customFormat="1" ht="25.15" customHeight="1">
      <c r="A35" s="1">
        <f t="shared" si="13"/>
        <v>27</v>
      </c>
      <c r="B35" s="100"/>
      <c r="C35" s="101"/>
      <c r="D35" s="101"/>
      <c r="E35" s="301"/>
      <c r="F35" s="302"/>
      <c r="G35" s="302"/>
      <c r="H35" s="302"/>
      <c r="I35" s="302"/>
      <c r="J35" s="302"/>
      <c r="K35" s="302"/>
      <c r="L35" s="302"/>
      <c r="M35" s="302"/>
      <c r="N35" s="302"/>
      <c r="O35" s="302"/>
      <c r="P35" s="302"/>
      <c r="Q35" s="302"/>
      <c r="R35" s="302"/>
      <c r="S35" s="302"/>
      <c r="T35" s="302"/>
      <c r="U35" s="302"/>
      <c r="V35" s="303"/>
      <c r="W35" s="278"/>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80"/>
      <c r="BA35" s="160"/>
      <c r="BB35" s="159"/>
      <c r="BC35" s="305"/>
      <c r="BD35" s="306"/>
      <c r="BE35" s="306"/>
      <c r="BF35" s="306"/>
      <c r="BG35" s="306"/>
      <c r="BH35" s="306"/>
      <c r="BI35" s="306"/>
      <c r="BJ35" s="306"/>
      <c r="BK35" s="306"/>
      <c r="BL35" s="306"/>
      <c r="BM35" s="306"/>
      <c r="BN35" s="306"/>
      <c r="BO35" s="306"/>
      <c r="BP35" s="307"/>
      <c r="BQ35" s="143"/>
      <c r="BR35" s="102"/>
      <c r="BS35" s="102"/>
      <c r="BT35" s="326" t="s">
        <v>280</v>
      </c>
      <c r="BU35" s="326"/>
      <c r="BV35" s="326"/>
      <c r="BW35" s="326"/>
      <c r="BX35" s="326"/>
      <c r="BY35" s="326"/>
      <c r="BZ35" s="326"/>
      <c r="CA35" s="326"/>
      <c r="CB35" s="326"/>
      <c r="CC35" s="326"/>
      <c r="CD35" s="326"/>
      <c r="CE35" s="326"/>
      <c r="CF35" s="326"/>
      <c r="CG35" s="326"/>
      <c r="CH35" s="326"/>
      <c r="CI35" s="326"/>
      <c r="CJ35" s="326"/>
      <c r="CK35" s="326"/>
      <c r="CL35" s="326"/>
      <c r="CM35" s="326"/>
      <c r="CN35" s="326"/>
      <c r="CO35" s="161"/>
      <c r="CP35" s="150" t="s">
        <v>281</v>
      </c>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215"/>
      <c r="EC35" s="73"/>
      <c r="EH35" s="266"/>
      <c r="EI35" s="266"/>
    </row>
    <row r="36" spans="1:139" s="47" customFormat="1" ht="25.15" customHeight="1">
      <c r="A36" s="1">
        <f t="shared" si="13"/>
        <v>28</v>
      </c>
      <c r="B36" s="100"/>
      <c r="C36" s="101"/>
      <c r="D36" s="101"/>
      <c r="E36" s="299" t="s">
        <v>160</v>
      </c>
      <c r="F36" s="260"/>
      <c r="G36" s="260"/>
      <c r="H36" s="260"/>
      <c r="I36" s="260"/>
      <c r="J36" s="260"/>
      <c r="K36" s="260"/>
      <c r="L36" s="260"/>
      <c r="M36" s="260"/>
      <c r="N36" s="260"/>
      <c r="O36" s="260"/>
      <c r="P36" s="260"/>
      <c r="Q36" s="260"/>
      <c r="R36" s="260"/>
      <c r="S36" s="260"/>
      <c r="T36" s="260"/>
      <c r="U36" s="260"/>
      <c r="V36" s="300"/>
      <c r="W36" s="275" t="s">
        <v>232</v>
      </c>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7"/>
      <c r="BA36" s="160"/>
      <c r="BB36" s="159"/>
      <c r="BC36" s="305"/>
      <c r="BD36" s="306"/>
      <c r="BE36" s="306"/>
      <c r="BF36" s="306"/>
      <c r="BG36" s="306"/>
      <c r="BH36" s="306"/>
      <c r="BI36" s="306"/>
      <c r="BJ36" s="306"/>
      <c r="BK36" s="306"/>
      <c r="BL36" s="306"/>
      <c r="BM36" s="306"/>
      <c r="BN36" s="306"/>
      <c r="BO36" s="306"/>
      <c r="BP36" s="307"/>
      <c r="BQ36" s="144"/>
      <c r="BR36" s="115"/>
      <c r="BS36" s="115"/>
      <c r="BT36" s="320" t="s">
        <v>282</v>
      </c>
      <c r="BU36" s="320"/>
      <c r="BV36" s="320"/>
      <c r="BW36" s="320"/>
      <c r="BX36" s="320"/>
      <c r="BY36" s="320"/>
      <c r="BZ36" s="320"/>
      <c r="CA36" s="320"/>
      <c r="CB36" s="320"/>
      <c r="CC36" s="320"/>
      <c r="CD36" s="320"/>
      <c r="CE36" s="320"/>
      <c r="CF36" s="320"/>
      <c r="CG36" s="320"/>
      <c r="CH36" s="320"/>
      <c r="CI36" s="320"/>
      <c r="CJ36" s="320"/>
      <c r="CK36" s="320"/>
      <c r="CL36" s="320"/>
      <c r="CM36" s="320"/>
      <c r="CN36" s="217"/>
      <c r="CO36" s="217"/>
      <c r="CP36" s="246" t="s">
        <v>285</v>
      </c>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97"/>
      <c r="EC36" s="73"/>
      <c r="EH36" s="266"/>
      <c r="EI36" s="266"/>
    </row>
    <row r="37" spans="1:139" s="47" customFormat="1" ht="25.15" customHeight="1">
      <c r="A37" s="1">
        <f t="shared" si="13"/>
        <v>29</v>
      </c>
      <c r="B37" s="100"/>
      <c r="C37" s="101"/>
      <c r="D37" s="101"/>
      <c r="E37" s="301"/>
      <c r="F37" s="302"/>
      <c r="G37" s="302"/>
      <c r="H37" s="302"/>
      <c r="I37" s="302"/>
      <c r="J37" s="302"/>
      <c r="K37" s="302"/>
      <c r="L37" s="302"/>
      <c r="M37" s="302"/>
      <c r="N37" s="302"/>
      <c r="O37" s="302"/>
      <c r="P37" s="302"/>
      <c r="Q37" s="302"/>
      <c r="R37" s="302"/>
      <c r="S37" s="302"/>
      <c r="T37" s="302"/>
      <c r="U37" s="302"/>
      <c r="V37" s="303"/>
      <c r="W37" s="278"/>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80"/>
      <c r="BA37" s="160"/>
      <c r="BB37" s="159"/>
      <c r="BC37" s="305"/>
      <c r="BD37" s="306"/>
      <c r="BE37" s="306"/>
      <c r="BF37" s="306"/>
      <c r="BG37" s="306"/>
      <c r="BH37" s="306"/>
      <c r="BI37" s="306"/>
      <c r="BJ37" s="306"/>
      <c r="BK37" s="306"/>
      <c r="BL37" s="306"/>
      <c r="BM37" s="306"/>
      <c r="BN37" s="306"/>
      <c r="BO37" s="306"/>
      <c r="BP37" s="307"/>
      <c r="BQ37" s="173"/>
      <c r="BR37" s="161"/>
      <c r="BS37" s="161"/>
      <c r="BT37" s="326" t="s">
        <v>280</v>
      </c>
      <c r="BU37" s="326"/>
      <c r="BV37" s="326"/>
      <c r="BW37" s="326"/>
      <c r="BX37" s="326"/>
      <c r="BY37" s="326"/>
      <c r="BZ37" s="326"/>
      <c r="CA37" s="326"/>
      <c r="CB37" s="326"/>
      <c r="CC37" s="326"/>
      <c r="CD37" s="326"/>
      <c r="CE37" s="326"/>
      <c r="CF37" s="326"/>
      <c r="CG37" s="326"/>
      <c r="CH37" s="326"/>
      <c r="CI37" s="326"/>
      <c r="CJ37" s="326"/>
      <c r="CK37" s="326"/>
      <c r="CL37" s="326"/>
      <c r="CM37" s="326"/>
      <c r="CN37" s="326"/>
      <c r="CO37" s="161"/>
      <c r="CP37" s="150" t="s">
        <v>281</v>
      </c>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215"/>
      <c r="EC37" s="73"/>
      <c r="EF37" s="266"/>
      <c r="EG37" s="266"/>
    </row>
    <row r="38" spans="1:139" s="47" customFormat="1" ht="25.15" customHeight="1">
      <c r="A38" s="1">
        <f t="shared" si="13"/>
        <v>30</v>
      </c>
      <c r="B38" s="100"/>
      <c r="C38" s="101"/>
      <c r="D38" s="101"/>
      <c r="E38" s="299" t="s">
        <v>230</v>
      </c>
      <c r="F38" s="260"/>
      <c r="G38" s="260"/>
      <c r="H38" s="260"/>
      <c r="I38" s="260"/>
      <c r="J38" s="260"/>
      <c r="K38" s="260"/>
      <c r="L38" s="260"/>
      <c r="M38" s="260"/>
      <c r="N38" s="260"/>
      <c r="O38" s="260"/>
      <c r="P38" s="260"/>
      <c r="Q38" s="260"/>
      <c r="R38" s="260"/>
      <c r="S38" s="260"/>
      <c r="T38" s="260"/>
      <c r="U38" s="260"/>
      <c r="V38" s="300"/>
      <c r="W38" s="275" t="s">
        <v>232</v>
      </c>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7"/>
      <c r="BA38" s="160"/>
      <c r="BB38" s="159"/>
      <c r="BC38" s="305"/>
      <c r="BD38" s="306"/>
      <c r="BE38" s="306"/>
      <c r="BF38" s="306"/>
      <c r="BG38" s="306"/>
      <c r="BH38" s="306"/>
      <c r="BI38" s="306"/>
      <c r="BJ38" s="306"/>
      <c r="BK38" s="306"/>
      <c r="BL38" s="306"/>
      <c r="BM38" s="306"/>
      <c r="BN38" s="306"/>
      <c r="BO38" s="306"/>
      <c r="BP38" s="307"/>
      <c r="BQ38" s="144"/>
      <c r="BR38" s="116"/>
      <c r="BS38" s="116"/>
      <c r="BT38" s="320" t="s">
        <v>286</v>
      </c>
      <c r="BU38" s="320"/>
      <c r="BV38" s="320"/>
      <c r="BW38" s="320"/>
      <c r="BX38" s="320"/>
      <c r="BY38" s="320"/>
      <c r="BZ38" s="320"/>
      <c r="CA38" s="320"/>
      <c r="CB38" s="320"/>
      <c r="CC38" s="320"/>
      <c r="CD38" s="320"/>
      <c r="CE38" s="320"/>
      <c r="CF38" s="320"/>
      <c r="CG38" s="320"/>
      <c r="CH38" s="320"/>
      <c r="CI38" s="320"/>
      <c r="CJ38" s="320"/>
      <c r="CK38" s="320"/>
      <c r="CL38" s="320"/>
      <c r="CM38" s="320"/>
      <c r="CN38" s="217"/>
      <c r="CO38" s="217"/>
      <c r="CP38" s="246" t="s">
        <v>287</v>
      </c>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97"/>
      <c r="EC38" s="73"/>
      <c r="EF38" s="266"/>
      <c r="EG38" s="266"/>
    </row>
    <row r="39" spans="1:139" s="47" customFormat="1" ht="25.15" customHeight="1">
      <c r="A39" s="1">
        <f t="shared" si="13"/>
        <v>31</v>
      </c>
      <c r="B39" s="100"/>
      <c r="C39" s="101"/>
      <c r="D39" s="101"/>
      <c r="E39" s="301"/>
      <c r="F39" s="302"/>
      <c r="G39" s="302"/>
      <c r="H39" s="302"/>
      <c r="I39" s="302"/>
      <c r="J39" s="302"/>
      <c r="K39" s="302"/>
      <c r="L39" s="302"/>
      <c r="M39" s="302"/>
      <c r="N39" s="302"/>
      <c r="O39" s="302"/>
      <c r="P39" s="302"/>
      <c r="Q39" s="302"/>
      <c r="R39" s="302"/>
      <c r="S39" s="302"/>
      <c r="T39" s="302"/>
      <c r="U39" s="302"/>
      <c r="V39" s="303"/>
      <c r="W39" s="278"/>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80"/>
      <c r="BA39" s="159"/>
      <c r="BB39" s="159"/>
      <c r="BC39" s="308"/>
      <c r="BD39" s="309"/>
      <c r="BE39" s="309"/>
      <c r="BF39" s="309"/>
      <c r="BG39" s="309"/>
      <c r="BH39" s="309"/>
      <c r="BI39" s="309"/>
      <c r="BJ39" s="309"/>
      <c r="BK39" s="309"/>
      <c r="BL39" s="309"/>
      <c r="BM39" s="309"/>
      <c r="BN39" s="309"/>
      <c r="BO39" s="309"/>
      <c r="BP39" s="310"/>
      <c r="BQ39" s="136"/>
      <c r="BR39" s="125"/>
      <c r="BS39" s="125"/>
      <c r="BT39" s="151" t="s">
        <v>280</v>
      </c>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3" t="s">
        <v>281</v>
      </c>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219"/>
      <c r="EC39" s="73"/>
      <c r="EF39" s="266"/>
      <c r="EG39" s="266"/>
    </row>
    <row r="40" spans="1:139" s="47" customFormat="1" ht="25.15" customHeight="1">
      <c r="A40" s="1">
        <f t="shared" si="13"/>
        <v>32</v>
      </c>
      <c r="B40" s="100"/>
      <c r="C40" s="101"/>
      <c r="D40" s="101"/>
      <c r="E40" s="101"/>
      <c r="F40" s="101"/>
      <c r="G40" s="101"/>
      <c r="H40" s="101"/>
      <c r="I40" s="101"/>
      <c r="J40" s="101"/>
      <c r="K40" s="101"/>
      <c r="L40" s="101"/>
      <c r="M40" s="101"/>
      <c r="N40" s="101"/>
      <c r="O40" s="101"/>
      <c r="P40" s="101"/>
      <c r="Q40" s="101"/>
      <c r="R40" s="101"/>
      <c r="S40" s="101"/>
      <c r="T40" s="101"/>
      <c r="U40" s="101"/>
      <c r="V40" s="101"/>
      <c r="AK40" s="101"/>
      <c r="AL40" s="101"/>
      <c r="AM40" s="101"/>
      <c r="AN40" s="101"/>
      <c r="AO40" s="101"/>
      <c r="AP40" s="101"/>
      <c r="AQ40" s="101"/>
      <c r="AR40" s="101"/>
      <c r="AS40" s="101"/>
      <c r="AT40" s="101"/>
      <c r="AU40" s="101"/>
      <c r="AV40" s="101"/>
      <c r="AW40" s="101"/>
      <c r="AX40" s="101"/>
      <c r="AY40" s="101"/>
      <c r="AZ40" s="101"/>
      <c r="BA40" s="159"/>
      <c r="BB40" s="159"/>
      <c r="BC40" s="159"/>
      <c r="BD40" s="159"/>
      <c r="BE40" s="159"/>
      <c r="BF40" s="159"/>
      <c r="BG40" s="159"/>
      <c r="BH40" s="159"/>
      <c r="BI40" s="159"/>
      <c r="BJ40" s="159"/>
      <c r="BK40" s="159"/>
      <c r="BL40" s="159"/>
      <c r="BM40" s="159"/>
      <c r="BN40" s="159"/>
      <c r="BO40" s="159"/>
      <c r="BP40" s="159"/>
      <c r="BQ40" s="161"/>
      <c r="CM40" s="161"/>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92"/>
      <c r="EB40" s="71"/>
      <c r="EC40" s="73"/>
      <c r="EF40" s="266"/>
      <c r="EG40" s="266"/>
    </row>
    <row r="41" spans="1:139" ht="25.15" customHeight="1">
      <c r="A41" s="216">
        <f t="shared" si="13"/>
        <v>33</v>
      </c>
      <c r="B41" s="100"/>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c r="DK41" s="101"/>
      <c r="DL41" s="101"/>
      <c r="DM41" s="101"/>
      <c r="DN41" s="101"/>
      <c r="DO41" s="101"/>
      <c r="DP41" s="101"/>
      <c r="DQ41" s="101"/>
      <c r="DR41" s="101"/>
      <c r="DS41" s="101"/>
      <c r="DT41" s="101"/>
      <c r="DU41" s="101"/>
      <c r="DV41" s="101"/>
      <c r="DW41" s="101"/>
      <c r="DX41" s="101"/>
      <c r="DY41" s="101"/>
      <c r="DZ41" s="101"/>
      <c r="EA41" s="92"/>
      <c r="EB41" s="71"/>
      <c r="EC41" s="73"/>
    </row>
    <row r="42" spans="1:139" ht="25.15" customHeight="1">
      <c r="A42" s="133">
        <f t="shared" si="13"/>
        <v>34</v>
      </c>
      <c r="B42" s="100"/>
      <c r="C42" s="298" t="s">
        <v>273</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298"/>
      <c r="CM42" s="298"/>
      <c r="CN42" s="298"/>
      <c r="CO42" s="298"/>
      <c r="CP42" s="298"/>
      <c r="CQ42" s="298"/>
      <c r="CR42" s="298"/>
      <c r="CS42" s="298"/>
      <c r="CT42" s="298"/>
      <c r="CU42" s="298"/>
      <c r="CV42" s="298"/>
      <c r="CW42" s="298"/>
      <c r="CX42" s="298"/>
      <c r="CY42" s="298"/>
      <c r="CZ42" s="298"/>
      <c r="DA42" s="298"/>
      <c r="DB42" s="298"/>
      <c r="DC42" s="298"/>
      <c r="DD42" s="298"/>
      <c r="DE42" s="298"/>
      <c r="DF42" s="298"/>
      <c r="DG42" s="298"/>
      <c r="DH42" s="298"/>
      <c r="DI42" s="298"/>
      <c r="DJ42" s="298"/>
      <c r="DK42" s="298"/>
      <c r="DL42" s="298"/>
      <c r="DM42" s="298"/>
      <c r="DN42" s="298"/>
      <c r="DO42" s="298"/>
      <c r="DP42" s="298"/>
      <c r="DQ42" s="298"/>
      <c r="DR42" s="298"/>
      <c r="DS42" s="298"/>
      <c r="DT42" s="298"/>
      <c r="DU42" s="298"/>
      <c r="DV42" s="298"/>
      <c r="DW42" s="298"/>
      <c r="DX42" s="298"/>
      <c r="DY42" s="298"/>
      <c r="DZ42" s="298"/>
      <c r="EA42" s="298"/>
      <c r="EB42" s="298"/>
      <c r="EC42" s="73"/>
    </row>
    <row r="43" spans="1:139" ht="25.15" customHeight="1">
      <c r="A43" s="133">
        <f t="shared" si="13"/>
        <v>35</v>
      </c>
      <c r="B43" s="100"/>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20"/>
      <c r="BG43" s="120"/>
      <c r="BH43" s="120"/>
      <c r="BI43" s="120"/>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14"/>
      <c r="EB43" s="117"/>
      <c r="EC43" s="73"/>
    </row>
    <row r="44" spans="1:139" ht="25.15" customHeight="1">
      <c r="A44" s="133">
        <f t="shared" si="13"/>
        <v>36</v>
      </c>
      <c r="B44" s="100"/>
      <c r="C44" s="255" t="s">
        <v>239</v>
      </c>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c r="DM44" s="255"/>
      <c r="DN44" s="255"/>
      <c r="DO44" s="255"/>
      <c r="DP44" s="255"/>
      <c r="DQ44" s="255"/>
      <c r="DR44" s="255"/>
      <c r="DS44" s="255"/>
      <c r="DT44" s="255"/>
      <c r="DU44" s="255"/>
      <c r="DV44" s="255"/>
      <c r="DW44" s="255"/>
      <c r="DX44" s="255"/>
      <c r="DY44" s="255"/>
      <c r="DZ44" s="255"/>
      <c r="EA44" s="255"/>
      <c r="EB44" s="255"/>
      <c r="EC44" s="73"/>
    </row>
    <row r="45" spans="1:139" ht="25.15" customHeight="1">
      <c r="A45" s="133">
        <f t="shared" si="13"/>
        <v>37</v>
      </c>
      <c r="B45" s="100"/>
      <c r="C45" s="168" t="s">
        <v>109</v>
      </c>
      <c r="D45" s="168"/>
      <c r="E45" s="168"/>
      <c r="F45" s="168"/>
      <c r="G45" s="168"/>
      <c r="H45" s="168"/>
      <c r="I45" s="168"/>
      <c r="J45" s="168"/>
      <c r="K45" s="168"/>
      <c r="L45" s="168"/>
      <c r="M45" s="168"/>
      <c r="N45" s="168"/>
      <c r="O45" s="168"/>
      <c r="P45" s="168"/>
      <c r="Q45" s="168" t="s">
        <v>110</v>
      </c>
      <c r="R45" s="165"/>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t="s">
        <v>115</v>
      </c>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9"/>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73"/>
    </row>
    <row r="46" spans="1:139" ht="25.15" customHeight="1">
      <c r="A46" s="133">
        <f t="shared" si="13"/>
        <v>38</v>
      </c>
      <c r="B46" s="100"/>
      <c r="C46" s="164"/>
      <c r="D46" s="164"/>
      <c r="E46" s="164"/>
      <c r="F46" s="164"/>
      <c r="G46" s="164"/>
      <c r="H46" s="164"/>
      <c r="I46" s="164"/>
      <c r="J46" s="164"/>
      <c r="K46" s="164"/>
      <c r="L46" s="164"/>
      <c r="M46" s="164"/>
      <c r="N46" s="164"/>
      <c r="O46" s="164"/>
      <c r="P46" s="164"/>
      <c r="Q46" s="170" t="s">
        <v>363</v>
      </c>
      <c r="R46" s="163"/>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9"/>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73"/>
    </row>
    <row r="47" spans="1:139" ht="25.15" customHeight="1">
      <c r="A47" s="133">
        <f t="shared" si="13"/>
        <v>39</v>
      </c>
      <c r="B47" s="100"/>
      <c r="C47" s="267" t="s">
        <v>235</v>
      </c>
      <c r="D47" s="267"/>
      <c r="E47" s="267"/>
      <c r="F47" s="267"/>
      <c r="G47" s="267"/>
      <c r="H47" s="267"/>
      <c r="I47" s="267"/>
      <c r="J47" s="267"/>
      <c r="K47" s="267"/>
      <c r="L47" s="267"/>
      <c r="M47" s="267"/>
      <c r="N47" s="267"/>
      <c r="O47" s="267"/>
      <c r="P47" s="267"/>
      <c r="Q47" s="264" t="s">
        <v>243</v>
      </c>
      <c r="R47" s="265"/>
      <c r="S47" s="265"/>
      <c r="T47" s="265"/>
      <c r="U47" s="265"/>
      <c r="V47" s="265"/>
      <c r="W47" s="265"/>
      <c r="X47" s="265"/>
      <c r="Y47" s="265"/>
      <c r="Z47" s="265"/>
      <c r="AA47" s="265"/>
      <c r="AB47" s="265"/>
      <c r="AC47" s="265"/>
      <c r="AD47" s="265"/>
      <c r="AE47" s="265"/>
      <c r="AF47" s="265"/>
      <c r="AG47" s="265"/>
      <c r="AH47" s="265"/>
      <c r="AI47" s="265"/>
      <c r="AJ47" s="263" t="s">
        <v>236</v>
      </c>
      <c r="AK47" s="263"/>
      <c r="AL47" s="263"/>
      <c r="AM47" s="263"/>
      <c r="AN47" s="263"/>
      <c r="AO47" s="263"/>
      <c r="AP47" s="263"/>
      <c r="AQ47" s="263"/>
      <c r="AR47" s="263"/>
      <c r="AS47" s="263"/>
      <c r="AT47" s="263"/>
      <c r="AU47" s="263"/>
      <c r="AV47" s="263"/>
      <c r="AW47" s="263"/>
      <c r="AX47" s="263"/>
      <c r="AY47" s="263"/>
      <c r="AZ47" s="263"/>
      <c r="BA47" s="263"/>
      <c r="BB47" s="263"/>
      <c r="BC47" s="334" t="s">
        <v>166</v>
      </c>
      <c r="BD47" s="334"/>
      <c r="BE47" s="334"/>
      <c r="BF47" s="334"/>
      <c r="BG47" s="334"/>
      <c r="BH47" s="334"/>
      <c r="BI47" s="334"/>
      <c r="BJ47" s="334"/>
      <c r="BK47" s="334"/>
      <c r="BL47" s="334"/>
      <c r="BM47" s="334"/>
      <c r="BN47" s="334"/>
      <c r="BO47" s="334"/>
      <c r="BP47" s="334"/>
      <c r="BQ47" s="334"/>
      <c r="BR47" s="334"/>
      <c r="BS47" s="334"/>
      <c r="BT47" s="334"/>
      <c r="BU47" s="334"/>
      <c r="BV47" s="263" t="s">
        <v>242</v>
      </c>
      <c r="BW47" s="263"/>
      <c r="BX47" s="263"/>
      <c r="BY47" s="263"/>
      <c r="BZ47" s="263"/>
      <c r="CA47" s="263"/>
      <c r="CB47" s="263"/>
      <c r="CC47" s="263"/>
      <c r="CD47" s="263"/>
      <c r="CE47" s="263"/>
      <c r="CF47" s="263"/>
      <c r="CG47" s="263"/>
      <c r="CH47" s="263"/>
      <c r="CI47" s="263"/>
      <c r="CJ47" s="263"/>
      <c r="CK47" s="263"/>
      <c r="CL47" s="263"/>
      <c r="CM47" s="263"/>
      <c r="CN47" s="263"/>
      <c r="CO47" s="264" t="s">
        <v>168</v>
      </c>
      <c r="CP47" s="265"/>
      <c r="CQ47" s="265"/>
      <c r="CR47" s="265"/>
      <c r="CS47" s="265"/>
      <c r="CT47" s="265"/>
      <c r="CU47" s="265"/>
      <c r="CV47" s="265"/>
      <c r="CW47" s="265"/>
      <c r="CX47" s="265"/>
      <c r="CY47" s="265"/>
      <c r="CZ47" s="265"/>
      <c r="DA47" s="265"/>
      <c r="DB47" s="265"/>
      <c r="DC47" s="265"/>
      <c r="DD47" s="265"/>
      <c r="DE47" s="265"/>
      <c r="DF47" s="265"/>
      <c r="DG47" s="265"/>
      <c r="DH47" s="264" t="s">
        <v>241</v>
      </c>
      <c r="DI47" s="265"/>
      <c r="DJ47" s="265"/>
      <c r="DK47" s="265"/>
      <c r="DL47" s="265"/>
      <c r="DM47" s="265"/>
      <c r="DN47" s="265"/>
      <c r="DO47" s="265"/>
      <c r="DP47" s="265"/>
      <c r="DQ47" s="265"/>
      <c r="DR47" s="265"/>
      <c r="DS47" s="265"/>
      <c r="DT47" s="265"/>
      <c r="DU47" s="265"/>
      <c r="DV47" s="265"/>
      <c r="DW47" s="265"/>
      <c r="DX47" s="265"/>
      <c r="DY47" s="265"/>
      <c r="DZ47" s="265"/>
      <c r="EA47" s="166"/>
      <c r="EB47" s="167"/>
      <c r="EC47" s="73"/>
    </row>
    <row r="48" spans="1:139" ht="25.15" customHeight="1">
      <c r="A48" s="133">
        <f t="shared" si="13"/>
        <v>40</v>
      </c>
      <c r="B48" s="100"/>
      <c r="C48" s="246" t="s">
        <v>300</v>
      </c>
      <c r="D48" s="246"/>
      <c r="E48" s="246"/>
      <c r="F48" s="246"/>
      <c r="G48" s="246"/>
      <c r="H48" s="246"/>
      <c r="I48" s="246"/>
      <c r="J48" s="246"/>
      <c r="K48" s="246"/>
      <c r="L48" s="246"/>
      <c r="M48" s="246"/>
      <c r="N48" s="246"/>
      <c r="O48" s="246"/>
      <c r="P48" s="246"/>
      <c r="Q48" s="284" t="s">
        <v>301</v>
      </c>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46" t="s">
        <v>302</v>
      </c>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c r="CM48" s="246"/>
      <c r="CN48" s="246"/>
      <c r="CO48" s="246"/>
      <c r="CP48" s="246"/>
      <c r="CQ48" s="246"/>
      <c r="CR48" s="246"/>
      <c r="CS48" s="246"/>
      <c r="CT48" s="246"/>
      <c r="CU48" s="246"/>
      <c r="CV48" s="246"/>
      <c r="CW48" s="246"/>
      <c r="CX48" s="246"/>
      <c r="CY48" s="246"/>
      <c r="CZ48" s="246"/>
      <c r="DA48" s="246"/>
      <c r="DB48" s="246"/>
      <c r="DC48" s="246"/>
      <c r="DD48" s="246"/>
      <c r="DE48" s="246"/>
      <c r="DF48" s="246"/>
      <c r="DG48" s="246"/>
      <c r="DH48" s="246"/>
      <c r="DI48" s="246"/>
      <c r="DJ48" s="246"/>
      <c r="DK48" s="246"/>
      <c r="DL48" s="246"/>
      <c r="DM48" s="246"/>
      <c r="DN48" s="246"/>
      <c r="DO48" s="246"/>
      <c r="DP48" s="246"/>
      <c r="DQ48" s="246"/>
      <c r="DR48" s="246"/>
      <c r="DS48" s="246"/>
      <c r="DT48" s="246"/>
      <c r="DU48" s="246"/>
      <c r="DV48" s="246"/>
      <c r="DW48" s="246"/>
      <c r="DX48" s="246"/>
      <c r="DY48" s="246"/>
      <c r="DZ48" s="246"/>
      <c r="EA48" s="246"/>
      <c r="EB48" s="246"/>
      <c r="EC48" s="73"/>
    </row>
    <row r="49" spans="1:133" ht="25.15" customHeight="1">
      <c r="A49" s="133">
        <f t="shared" si="13"/>
        <v>41</v>
      </c>
      <c r="B49" s="100"/>
      <c r="C49" s="101"/>
      <c r="D49" s="101"/>
      <c r="E49" s="101"/>
      <c r="F49" s="101"/>
      <c r="G49" s="101"/>
      <c r="H49" s="101"/>
      <c r="I49" s="119"/>
      <c r="J49" s="119"/>
      <c r="K49" s="119"/>
      <c r="L49" s="119"/>
      <c r="M49" s="101"/>
      <c r="N49" s="101"/>
      <c r="O49" s="105"/>
      <c r="P49" s="105"/>
      <c r="Q49" s="259" t="s">
        <v>303</v>
      </c>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73"/>
    </row>
    <row r="50" spans="1:133" ht="25.15" customHeight="1">
      <c r="A50" s="133">
        <f>A49+1</f>
        <v>42</v>
      </c>
      <c r="B50" s="100"/>
      <c r="C50" s="259" t="s">
        <v>259</v>
      </c>
      <c r="D50" s="259"/>
      <c r="E50" s="259"/>
      <c r="F50" s="259"/>
      <c r="G50" s="259"/>
      <c r="H50" s="259"/>
      <c r="I50" s="259"/>
      <c r="J50" s="259"/>
      <c r="K50" s="259"/>
      <c r="L50" s="259"/>
      <c r="M50" s="259"/>
      <c r="N50" s="259"/>
      <c r="O50" s="259"/>
      <c r="P50" s="259"/>
      <c r="Q50" s="316">
        <v>1330886</v>
      </c>
      <c r="R50" s="251"/>
      <c r="S50" s="251"/>
      <c r="T50" s="251"/>
      <c r="U50" s="251"/>
      <c r="V50" s="251"/>
      <c r="W50" s="251"/>
      <c r="X50" s="251"/>
      <c r="Y50" s="251"/>
      <c r="Z50" s="251"/>
      <c r="AA50" s="251"/>
      <c r="AB50" s="251"/>
      <c r="AC50" s="251"/>
      <c r="AD50" s="251"/>
      <c r="AE50" s="251"/>
      <c r="AF50" s="251"/>
      <c r="AG50" s="251"/>
      <c r="AH50" s="251"/>
      <c r="AI50" s="251"/>
      <c r="AJ50" s="252">
        <v>0</v>
      </c>
      <c r="AK50" s="251"/>
      <c r="AL50" s="251"/>
      <c r="AM50" s="251"/>
      <c r="AN50" s="251"/>
      <c r="AO50" s="251"/>
      <c r="AP50" s="251"/>
      <c r="AQ50" s="251"/>
      <c r="AR50" s="251"/>
      <c r="AS50" s="251"/>
      <c r="AT50" s="251"/>
      <c r="AU50" s="251"/>
      <c r="AV50" s="251"/>
      <c r="AW50" s="251"/>
      <c r="AX50" s="251"/>
      <c r="AY50" s="251"/>
      <c r="AZ50" s="251"/>
      <c r="BA50" s="251"/>
      <c r="BB50" s="251"/>
      <c r="BC50" s="252">
        <v>0</v>
      </c>
      <c r="BD50" s="252"/>
      <c r="BE50" s="252"/>
      <c r="BF50" s="252"/>
      <c r="BG50" s="252"/>
      <c r="BH50" s="252"/>
      <c r="BI50" s="252"/>
      <c r="BJ50" s="252"/>
      <c r="BK50" s="252"/>
      <c r="BL50" s="252"/>
      <c r="BM50" s="252"/>
      <c r="BN50" s="252"/>
      <c r="BO50" s="252"/>
      <c r="BP50" s="252"/>
      <c r="BQ50" s="252"/>
      <c r="BR50" s="252"/>
      <c r="BS50" s="252"/>
      <c r="BT50" s="252"/>
      <c r="BU50" s="252"/>
      <c r="BV50" s="316">
        <f>Q50</f>
        <v>1330886</v>
      </c>
      <c r="BW50" s="251"/>
      <c r="BX50" s="251"/>
      <c r="BY50" s="251"/>
      <c r="BZ50" s="251"/>
      <c r="CA50" s="251"/>
      <c r="CB50" s="251"/>
      <c r="CC50" s="251"/>
      <c r="CD50" s="251"/>
      <c r="CE50" s="251"/>
      <c r="CF50" s="251"/>
      <c r="CG50" s="251"/>
      <c r="CH50" s="251"/>
      <c r="CI50" s="251"/>
      <c r="CJ50" s="251"/>
      <c r="CK50" s="251"/>
      <c r="CL50" s="251"/>
      <c r="CM50" s="251"/>
      <c r="CN50" s="251"/>
      <c r="CO50" s="347">
        <v>106471</v>
      </c>
      <c r="CP50" s="348"/>
      <c r="CQ50" s="348"/>
      <c r="CR50" s="348"/>
      <c r="CS50" s="348"/>
      <c r="CT50" s="348"/>
      <c r="CU50" s="348"/>
      <c r="CV50" s="348"/>
      <c r="CW50" s="348"/>
      <c r="CX50" s="348"/>
      <c r="CY50" s="348"/>
      <c r="CZ50" s="348"/>
      <c r="DA50" s="348"/>
      <c r="DB50" s="348"/>
      <c r="DC50" s="348"/>
      <c r="DD50" s="348"/>
      <c r="DE50" s="348"/>
      <c r="DF50" s="348"/>
      <c r="DG50" s="348"/>
      <c r="DH50" s="316">
        <f>BV50+CO50</f>
        <v>1437357</v>
      </c>
      <c r="DI50" s="251"/>
      <c r="DJ50" s="251"/>
      <c r="DK50" s="251"/>
      <c r="DL50" s="251"/>
      <c r="DM50" s="251"/>
      <c r="DN50" s="251"/>
      <c r="DO50" s="251"/>
      <c r="DP50" s="251"/>
      <c r="DQ50" s="251"/>
      <c r="DR50" s="251"/>
      <c r="DS50" s="251"/>
      <c r="DT50" s="251"/>
      <c r="DU50" s="251"/>
      <c r="DV50" s="251"/>
      <c r="DW50" s="251"/>
      <c r="DX50" s="251"/>
      <c r="DY50" s="251"/>
      <c r="DZ50" s="251"/>
      <c r="EA50" s="107"/>
      <c r="EC50" s="73"/>
    </row>
    <row r="51" spans="1:133" ht="25.15" hidden="1" customHeight="1">
      <c r="A51" s="133">
        <f t="shared" si="13"/>
        <v>43</v>
      </c>
      <c r="B51" s="69"/>
      <c r="C51" s="315" t="s">
        <v>260</v>
      </c>
      <c r="D51" s="315"/>
      <c r="E51" s="315"/>
      <c r="F51" s="315"/>
      <c r="G51" s="315"/>
      <c r="H51" s="315"/>
      <c r="I51" s="315"/>
      <c r="J51" s="315"/>
      <c r="K51" s="315"/>
      <c r="L51" s="315"/>
      <c r="M51" s="315"/>
      <c r="N51" s="315"/>
      <c r="O51" s="315"/>
      <c r="P51" s="315"/>
      <c r="Q51" s="316">
        <v>0</v>
      </c>
      <c r="R51" s="316"/>
      <c r="S51" s="316"/>
      <c r="T51" s="316"/>
      <c r="U51" s="316"/>
      <c r="V51" s="316"/>
      <c r="W51" s="316"/>
      <c r="X51" s="316"/>
      <c r="Y51" s="316"/>
      <c r="Z51" s="316"/>
      <c r="AA51" s="316"/>
      <c r="AB51" s="316"/>
      <c r="AC51" s="316"/>
      <c r="AD51" s="316"/>
      <c r="AE51" s="316"/>
      <c r="AF51" s="316"/>
      <c r="AG51" s="316"/>
      <c r="AH51" s="316"/>
      <c r="AI51" s="316"/>
      <c r="AJ51" s="252">
        <v>0</v>
      </c>
      <c r="AK51" s="252"/>
      <c r="AL51" s="252"/>
      <c r="AM51" s="252"/>
      <c r="AN51" s="252"/>
      <c r="AO51" s="252"/>
      <c r="AP51" s="252"/>
      <c r="AQ51" s="252"/>
      <c r="AR51" s="252"/>
      <c r="AS51" s="252"/>
      <c r="AT51" s="252"/>
      <c r="AU51" s="252"/>
      <c r="AV51" s="252"/>
      <c r="AW51" s="252"/>
      <c r="AX51" s="252"/>
      <c r="AY51" s="252"/>
      <c r="AZ51" s="252"/>
      <c r="BA51" s="252"/>
      <c r="BB51" s="252"/>
      <c r="BC51" s="252">
        <v>0</v>
      </c>
      <c r="BD51" s="252"/>
      <c r="BE51" s="252"/>
      <c r="BF51" s="252"/>
      <c r="BG51" s="252"/>
      <c r="BH51" s="252"/>
      <c r="BI51" s="252"/>
      <c r="BJ51" s="252"/>
      <c r="BK51" s="252"/>
      <c r="BL51" s="252"/>
      <c r="BM51" s="252"/>
      <c r="BN51" s="252"/>
      <c r="BO51" s="252"/>
      <c r="BP51" s="252"/>
      <c r="BQ51" s="252"/>
      <c r="BR51" s="252"/>
      <c r="BS51" s="252"/>
      <c r="BT51" s="252"/>
      <c r="BU51" s="252"/>
      <c r="BV51" s="252">
        <v>0</v>
      </c>
      <c r="BW51" s="252"/>
      <c r="BX51" s="252"/>
      <c r="BY51" s="252"/>
      <c r="BZ51" s="252"/>
      <c r="CA51" s="252"/>
      <c r="CB51" s="252"/>
      <c r="CC51" s="252"/>
      <c r="CD51" s="252"/>
      <c r="CE51" s="252"/>
      <c r="CF51" s="252"/>
      <c r="CG51" s="252"/>
      <c r="CH51" s="252"/>
      <c r="CI51" s="252"/>
      <c r="CJ51" s="252"/>
      <c r="CK51" s="252"/>
      <c r="CL51" s="252"/>
      <c r="CM51" s="252"/>
      <c r="CN51" s="252"/>
      <c r="CO51" s="252">
        <v>0</v>
      </c>
      <c r="CP51" s="252"/>
      <c r="CQ51" s="252"/>
      <c r="CR51" s="252"/>
      <c r="CS51" s="252"/>
      <c r="CT51" s="252"/>
      <c r="CU51" s="252"/>
      <c r="CV51" s="252"/>
      <c r="CW51" s="252"/>
      <c r="CX51" s="252"/>
      <c r="CY51" s="252"/>
      <c r="CZ51" s="252"/>
      <c r="DA51" s="252"/>
      <c r="DB51" s="252"/>
      <c r="DC51" s="252"/>
      <c r="DD51" s="252"/>
      <c r="DE51" s="252"/>
      <c r="DF51" s="252"/>
      <c r="DG51" s="252"/>
      <c r="DH51" s="252">
        <v>0</v>
      </c>
      <c r="DI51" s="252"/>
      <c r="DJ51" s="252"/>
      <c r="DK51" s="252"/>
      <c r="DL51" s="252"/>
      <c r="DM51" s="252"/>
      <c r="DN51" s="252"/>
      <c r="DO51" s="252"/>
      <c r="DP51" s="252"/>
      <c r="DQ51" s="252"/>
      <c r="DR51" s="252"/>
      <c r="DS51" s="252"/>
      <c r="DT51" s="252"/>
      <c r="DU51" s="252"/>
      <c r="DV51" s="252"/>
      <c r="DW51" s="252"/>
      <c r="DX51" s="252"/>
      <c r="DY51" s="252"/>
      <c r="DZ51" s="252"/>
      <c r="EC51" s="73"/>
    </row>
    <row r="52" spans="1:133" ht="25.15" customHeight="1">
      <c r="A52" s="133">
        <f t="shared" si="13"/>
        <v>44</v>
      </c>
      <c r="B52" s="69"/>
      <c r="C52" s="259" t="s">
        <v>238</v>
      </c>
      <c r="D52" s="259"/>
      <c r="E52" s="259"/>
      <c r="F52" s="259"/>
      <c r="G52" s="259"/>
      <c r="H52" s="259"/>
      <c r="I52" s="259"/>
      <c r="J52" s="259"/>
      <c r="K52" s="259"/>
      <c r="L52" s="259"/>
      <c r="M52" s="259"/>
      <c r="N52" s="259"/>
      <c r="O52" s="259"/>
      <c r="P52" s="259"/>
      <c r="Q52" s="316">
        <f>Q50+Q51</f>
        <v>1330886</v>
      </c>
      <c r="R52" s="251"/>
      <c r="S52" s="251"/>
      <c r="T52" s="251"/>
      <c r="U52" s="251"/>
      <c r="V52" s="251"/>
      <c r="W52" s="251"/>
      <c r="X52" s="251"/>
      <c r="Y52" s="251"/>
      <c r="Z52" s="251"/>
      <c r="AA52" s="251"/>
      <c r="AB52" s="251"/>
      <c r="AC52" s="251"/>
      <c r="AD52" s="251"/>
      <c r="AE52" s="251"/>
      <c r="AF52" s="251"/>
      <c r="AG52" s="251"/>
      <c r="AH52" s="251"/>
      <c r="AI52" s="251"/>
      <c r="AJ52" s="252">
        <v>0</v>
      </c>
      <c r="AK52" s="251"/>
      <c r="AL52" s="251"/>
      <c r="AM52" s="251"/>
      <c r="AN52" s="251"/>
      <c r="AO52" s="251"/>
      <c r="AP52" s="251"/>
      <c r="AQ52" s="251"/>
      <c r="AR52" s="251"/>
      <c r="AS52" s="251"/>
      <c r="AT52" s="251"/>
      <c r="AU52" s="251"/>
      <c r="AV52" s="251"/>
      <c r="AW52" s="251"/>
      <c r="AX52" s="251"/>
      <c r="AY52" s="251"/>
      <c r="AZ52" s="251"/>
      <c r="BA52" s="251"/>
      <c r="BB52" s="251"/>
      <c r="BC52" s="252">
        <v>0</v>
      </c>
      <c r="BD52" s="252"/>
      <c r="BE52" s="252"/>
      <c r="BF52" s="252"/>
      <c r="BG52" s="252"/>
      <c r="BH52" s="252"/>
      <c r="BI52" s="252"/>
      <c r="BJ52" s="252"/>
      <c r="BK52" s="252"/>
      <c r="BL52" s="252"/>
      <c r="BM52" s="252"/>
      <c r="BN52" s="252"/>
      <c r="BO52" s="252"/>
      <c r="BP52" s="252"/>
      <c r="BQ52" s="252"/>
      <c r="BR52" s="252"/>
      <c r="BS52" s="252"/>
      <c r="BT52" s="252"/>
      <c r="BU52" s="252"/>
      <c r="BV52" s="316">
        <f>SUM(BV50:CN51)</f>
        <v>1330886</v>
      </c>
      <c r="BW52" s="251"/>
      <c r="BX52" s="251"/>
      <c r="BY52" s="251"/>
      <c r="BZ52" s="251"/>
      <c r="CA52" s="251"/>
      <c r="CB52" s="251"/>
      <c r="CC52" s="251"/>
      <c r="CD52" s="251"/>
      <c r="CE52" s="251"/>
      <c r="CF52" s="251"/>
      <c r="CG52" s="251"/>
      <c r="CH52" s="251"/>
      <c r="CI52" s="251"/>
      <c r="CJ52" s="251"/>
      <c r="CK52" s="251"/>
      <c r="CL52" s="251"/>
      <c r="CM52" s="251"/>
      <c r="CN52" s="251"/>
      <c r="CO52" s="316">
        <f>SUM(CO50:DG51)</f>
        <v>106471</v>
      </c>
      <c r="CP52" s="251"/>
      <c r="CQ52" s="251"/>
      <c r="CR52" s="251"/>
      <c r="CS52" s="251"/>
      <c r="CT52" s="251"/>
      <c r="CU52" s="251"/>
      <c r="CV52" s="251"/>
      <c r="CW52" s="251"/>
      <c r="CX52" s="251"/>
      <c r="CY52" s="251"/>
      <c r="CZ52" s="251"/>
      <c r="DA52" s="251"/>
      <c r="DB52" s="251"/>
      <c r="DC52" s="251"/>
      <c r="DD52" s="251"/>
      <c r="DE52" s="251"/>
      <c r="DF52" s="251"/>
      <c r="DG52" s="251"/>
      <c r="DH52" s="316">
        <f>SUM(DH50:DZ51)</f>
        <v>1437357</v>
      </c>
      <c r="DI52" s="251"/>
      <c r="DJ52" s="251"/>
      <c r="DK52" s="251"/>
      <c r="DL52" s="251"/>
      <c r="DM52" s="251"/>
      <c r="DN52" s="251"/>
      <c r="DO52" s="251"/>
      <c r="DP52" s="251"/>
      <c r="DQ52" s="251"/>
      <c r="DR52" s="251"/>
      <c r="DS52" s="251"/>
      <c r="DT52" s="251"/>
      <c r="DU52" s="251"/>
      <c r="DV52" s="251"/>
      <c r="DW52" s="251"/>
      <c r="DX52" s="251"/>
      <c r="DY52" s="251"/>
      <c r="DZ52" s="251"/>
      <c r="EC52" s="73"/>
    </row>
    <row r="53" spans="1:133" ht="25.15" customHeight="1">
      <c r="A53" s="133">
        <f t="shared" si="13"/>
        <v>45</v>
      </c>
      <c r="B53" s="69"/>
      <c r="C53" s="150"/>
      <c r="D53" s="150"/>
      <c r="E53" s="150"/>
      <c r="F53" s="150"/>
      <c r="G53" s="150"/>
      <c r="H53" s="150"/>
      <c r="I53" s="150"/>
      <c r="J53" s="150"/>
      <c r="K53" s="150"/>
      <c r="L53" s="150"/>
      <c r="M53" s="150"/>
      <c r="N53" s="150"/>
      <c r="O53" s="150"/>
      <c r="P53" s="150"/>
      <c r="Q53" s="185"/>
      <c r="R53" s="152"/>
      <c r="S53" s="152"/>
      <c r="T53" s="152"/>
      <c r="U53" s="152"/>
      <c r="V53" s="152"/>
      <c r="W53" s="152"/>
      <c r="X53" s="152"/>
      <c r="Y53" s="152"/>
      <c r="Z53" s="152"/>
      <c r="AA53" s="152"/>
      <c r="AB53" s="152"/>
      <c r="AC53" s="152"/>
      <c r="AD53" s="152"/>
      <c r="AE53" s="152"/>
      <c r="AF53" s="152"/>
      <c r="AG53" s="152"/>
      <c r="AH53" s="152"/>
      <c r="AI53" s="152"/>
      <c r="AJ53" s="155"/>
      <c r="AK53" s="152"/>
      <c r="AL53" s="152"/>
      <c r="AM53" s="152"/>
      <c r="AN53" s="152"/>
      <c r="AO53" s="152"/>
      <c r="AP53" s="152"/>
      <c r="AQ53" s="152"/>
      <c r="AR53" s="152"/>
      <c r="AS53" s="152"/>
      <c r="AT53" s="152"/>
      <c r="AU53" s="152"/>
      <c r="AV53" s="152"/>
      <c r="AW53" s="152"/>
      <c r="AX53" s="152"/>
      <c r="AY53" s="152"/>
      <c r="AZ53" s="152"/>
      <c r="BA53" s="152"/>
      <c r="BB53" s="152"/>
      <c r="BC53" s="155"/>
      <c r="BD53" s="155"/>
      <c r="BE53" s="155"/>
      <c r="BF53" s="155"/>
      <c r="BG53" s="155"/>
      <c r="BH53" s="155"/>
      <c r="BI53" s="155"/>
      <c r="BJ53" s="155"/>
      <c r="BK53" s="155"/>
      <c r="BL53" s="155"/>
      <c r="BM53" s="155"/>
      <c r="BN53" s="155"/>
      <c r="BO53" s="155"/>
      <c r="BP53" s="155"/>
      <c r="BQ53" s="155"/>
      <c r="BR53" s="155"/>
      <c r="BS53" s="155"/>
      <c r="BT53" s="155"/>
      <c r="BU53" s="155"/>
      <c r="BV53" s="185"/>
      <c r="BW53" s="152"/>
      <c r="BX53" s="152"/>
      <c r="BY53" s="152"/>
      <c r="BZ53" s="152"/>
      <c r="CA53" s="152"/>
      <c r="CB53" s="152"/>
      <c r="CC53" s="152"/>
      <c r="CD53" s="152"/>
      <c r="CE53" s="152"/>
      <c r="CF53" s="152"/>
      <c r="CG53" s="152"/>
      <c r="CH53" s="152"/>
      <c r="CI53" s="152"/>
      <c r="CJ53" s="152"/>
      <c r="CK53" s="152"/>
      <c r="CL53" s="152"/>
      <c r="CM53" s="152"/>
      <c r="CN53" s="152"/>
      <c r="CO53" s="185"/>
      <c r="CP53" s="152"/>
      <c r="CQ53" s="152"/>
      <c r="CR53" s="152"/>
      <c r="CS53" s="152"/>
      <c r="CT53" s="152"/>
      <c r="CU53" s="152"/>
      <c r="CV53" s="152"/>
      <c r="CW53" s="152"/>
      <c r="CX53" s="152"/>
      <c r="CY53" s="152"/>
      <c r="CZ53" s="152"/>
      <c r="DA53" s="152"/>
      <c r="DB53" s="152"/>
      <c r="DC53" s="152"/>
      <c r="DD53" s="152"/>
      <c r="DE53" s="152"/>
      <c r="DF53" s="152"/>
      <c r="DG53" s="152"/>
      <c r="DH53" s="185"/>
      <c r="DI53" s="152"/>
      <c r="DJ53" s="152"/>
      <c r="DK53" s="152"/>
      <c r="DL53" s="152"/>
      <c r="DM53" s="152"/>
      <c r="DN53" s="152"/>
      <c r="DO53" s="152"/>
      <c r="DP53" s="152"/>
      <c r="DQ53" s="152"/>
      <c r="DR53" s="152"/>
      <c r="DS53" s="152"/>
      <c r="DT53" s="152"/>
      <c r="DU53" s="152"/>
      <c r="DV53" s="152"/>
      <c r="DW53" s="152"/>
      <c r="DX53" s="152"/>
      <c r="DY53" s="152"/>
      <c r="DZ53" s="152"/>
      <c r="EC53" s="73"/>
    </row>
    <row r="54" spans="1:133" ht="25.15" customHeight="1">
      <c r="A54" s="133">
        <f t="shared" si="13"/>
        <v>46</v>
      </c>
      <c r="B54" s="100"/>
      <c r="C54" s="259" t="s">
        <v>304</v>
      </c>
      <c r="D54" s="259"/>
      <c r="E54" s="259"/>
      <c r="F54" s="259"/>
      <c r="G54" s="259"/>
      <c r="H54" s="259"/>
      <c r="I54" s="259"/>
      <c r="J54" s="259"/>
      <c r="K54" s="259"/>
      <c r="L54" s="259"/>
      <c r="M54" s="259"/>
      <c r="N54" s="259"/>
      <c r="O54" s="259"/>
      <c r="P54" s="259"/>
      <c r="Q54" s="345" t="s">
        <v>293</v>
      </c>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345"/>
      <c r="AS54" s="345"/>
      <c r="AT54" s="345"/>
      <c r="AU54" s="346" t="s">
        <v>240</v>
      </c>
      <c r="AV54" s="346"/>
      <c r="AW54" s="346"/>
      <c r="AX54" s="346"/>
      <c r="AY54" s="346"/>
      <c r="AZ54" s="346"/>
      <c r="BA54" s="346"/>
      <c r="BB54" s="346"/>
      <c r="BC54" s="346"/>
      <c r="BD54" s="346"/>
      <c r="BE54" s="346"/>
      <c r="BF54" s="346"/>
      <c r="BG54" s="346"/>
      <c r="BH54" s="346"/>
      <c r="BI54" s="346"/>
      <c r="BJ54" s="346"/>
      <c r="BK54" s="346"/>
      <c r="BL54" s="346"/>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c r="CX54" s="346"/>
      <c r="CY54" s="346"/>
      <c r="CZ54" s="346"/>
      <c r="DA54" s="346"/>
      <c r="DB54" s="346"/>
      <c r="DC54" s="346"/>
      <c r="DD54" s="346"/>
      <c r="DE54" s="346"/>
      <c r="DF54" s="346"/>
      <c r="DG54" s="346"/>
      <c r="DH54" s="346"/>
      <c r="DI54" s="346"/>
      <c r="DJ54" s="346"/>
      <c r="DK54" s="346"/>
      <c r="DL54" s="346"/>
      <c r="DM54" s="346"/>
      <c r="DN54" s="346"/>
      <c r="DO54" s="346"/>
      <c r="DP54" s="346"/>
      <c r="DQ54" s="346"/>
      <c r="DR54" s="346"/>
      <c r="DS54" s="346"/>
      <c r="DT54" s="346"/>
      <c r="DU54" s="346"/>
      <c r="DV54" s="346"/>
      <c r="DW54" s="346"/>
      <c r="DX54" s="346"/>
      <c r="DY54" s="346"/>
      <c r="DZ54" s="346"/>
      <c r="EA54" s="346"/>
      <c r="EB54" s="346"/>
      <c r="EC54" s="73"/>
    </row>
    <row r="55" spans="1:133" ht="25.15" customHeight="1">
      <c r="A55" s="133">
        <f t="shared" si="13"/>
        <v>47</v>
      </c>
      <c r="B55" s="100"/>
      <c r="C55" s="101"/>
      <c r="D55" s="101"/>
      <c r="E55" s="101"/>
      <c r="F55" s="101"/>
      <c r="G55" s="101"/>
      <c r="H55" s="101"/>
      <c r="I55" s="119"/>
      <c r="J55" s="119"/>
      <c r="K55" s="119"/>
      <c r="L55" s="119"/>
      <c r="M55" s="101"/>
      <c r="N55" s="101"/>
      <c r="O55" s="105"/>
      <c r="P55" s="105"/>
      <c r="Q55" s="346" t="s">
        <v>299</v>
      </c>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c r="CX55" s="346"/>
      <c r="CY55" s="346"/>
      <c r="CZ55" s="346"/>
      <c r="DA55" s="346"/>
      <c r="DB55" s="346"/>
      <c r="DC55" s="346"/>
      <c r="DD55" s="346"/>
      <c r="DE55" s="346"/>
      <c r="DF55" s="346"/>
      <c r="DG55" s="346"/>
      <c r="DH55" s="346"/>
      <c r="DI55" s="346"/>
      <c r="DJ55" s="346"/>
      <c r="DK55" s="346"/>
      <c r="DL55" s="346"/>
      <c r="DM55" s="346"/>
      <c r="DN55" s="346"/>
      <c r="DO55" s="346"/>
      <c r="DP55" s="346"/>
      <c r="DQ55" s="346"/>
      <c r="DR55" s="346"/>
      <c r="DS55" s="346"/>
      <c r="DT55" s="346"/>
      <c r="DU55" s="346"/>
      <c r="DV55" s="346"/>
      <c r="DW55" s="346"/>
      <c r="DX55" s="346"/>
      <c r="DY55" s="346"/>
      <c r="DZ55" s="346"/>
      <c r="EA55" s="346"/>
      <c r="EB55" s="346"/>
      <c r="EC55" s="73"/>
    </row>
    <row r="56" spans="1:133" ht="25.15" customHeight="1">
      <c r="A56" s="133">
        <f t="shared" si="13"/>
        <v>48</v>
      </c>
      <c r="B56" s="100"/>
      <c r="C56" s="315" t="s">
        <v>305</v>
      </c>
      <c r="D56" s="259"/>
      <c r="E56" s="259"/>
      <c r="F56" s="259"/>
      <c r="G56" s="259"/>
      <c r="H56" s="259"/>
      <c r="I56" s="259"/>
      <c r="J56" s="259"/>
      <c r="K56" s="259"/>
      <c r="L56" s="259"/>
      <c r="M56" s="259"/>
      <c r="N56" s="259"/>
      <c r="O56" s="259"/>
      <c r="P56" s="259"/>
      <c r="Q56" s="316">
        <v>199265</v>
      </c>
      <c r="R56" s="251"/>
      <c r="S56" s="251"/>
      <c r="T56" s="251"/>
      <c r="U56" s="251"/>
      <c r="V56" s="251"/>
      <c r="W56" s="251"/>
      <c r="X56" s="251"/>
      <c r="Y56" s="251"/>
      <c r="Z56" s="251"/>
      <c r="AA56" s="251"/>
      <c r="AB56" s="251"/>
      <c r="AC56" s="251"/>
      <c r="AD56" s="251"/>
      <c r="AE56" s="251"/>
      <c r="AF56" s="251"/>
      <c r="AG56" s="251"/>
      <c r="AH56" s="251"/>
      <c r="AI56" s="251"/>
      <c r="AJ56" s="252">
        <v>0</v>
      </c>
      <c r="AK56" s="251"/>
      <c r="AL56" s="251"/>
      <c r="AM56" s="251"/>
      <c r="AN56" s="251"/>
      <c r="AO56" s="251"/>
      <c r="AP56" s="251"/>
      <c r="AQ56" s="251"/>
      <c r="AR56" s="251"/>
      <c r="AS56" s="251"/>
      <c r="AT56" s="251"/>
      <c r="AU56" s="251"/>
      <c r="AV56" s="251"/>
      <c r="AW56" s="251"/>
      <c r="AX56" s="251"/>
      <c r="AY56" s="251"/>
      <c r="AZ56" s="251"/>
      <c r="BA56" s="251"/>
      <c r="BB56" s="251"/>
      <c r="BC56" s="252">
        <v>0</v>
      </c>
      <c r="BD56" s="252"/>
      <c r="BE56" s="252"/>
      <c r="BF56" s="252"/>
      <c r="BG56" s="252"/>
      <c r="BH56" s="252"/>
      <c r="BI56" s="252"/>
      <c r="BJ56" s="252"/>
      <c r="BK56" s="252"/>
      <c r="BL56" s="252"/>
      <c r="BM56" s="252"/>
      <c r="BN56" s="252"/>
      <c r="BO56" s="252"/>
      <c r="BP56" s="252"/>
      <c r="BQ56" s="252"/>
      <c r="BR56" s="252"/>
      <c r="BS56" s="252"/>
      <c r="BT56" s="252"/>
      <c r="BU56" s="252"/>
      <c r="BV56" s="316">
        <f>Q56</f>
        <v>199265</v>
      </c>
      <c r="BW56" s="251"/>
      <c r="BX56" s="251"/>
      <c r="BY56" s="251"/>
      <c r="BZ56" s="251"/>
      <c r="CA56" s="251"/>
      <c r="CB56" s="251"/>
      <c r="CC56" s="251"/>
      <c r="CD56" s="251"/>
      <c r="CE56" s="251"/>
      <c r="CF56" s="251"/>
      <c r="CG56" s="251"/>
      <c r="CH56" s="251"/>
      <c r="CI56" s="251"/>
      <c r="CJ56" s="251"/>
      <c r="CK56" s="251"/>
      <c r="CL56" s="251"/>
      <c r="CM56" s="251"/>
      <c r="CN56" s="251"/>
      <c r="CO56" s="316">
        <v>0</v>
      </c>
      <c r="CP56" s="251"/>
      <c r="CQ56" s="251"/>
      <c r="CR56" s="251"/>
      <c r="CS56" s="251"/>
      <c r="CT56" s="251"/>
      <c r="CU56" s="251"/>
      <c r="CV56" s="251"/>
      <c r="CW56" s="251"/>
      <c r="CX56" s="251"/>
      <c r="CY56" s="251"/>
      <c r="CZ56" s="251"/>
      <c r="DA56" s="251"/>
      <c r="DB56" s="251"/>
      <c r="DC56" s="251"/>
      <c r="DD56" s="251"/>
      <c r="DE56" s="251"/>
      <c r="DF56" s="251"/>
      <c r="DG56" s="251"/>
      <c r="DH56" s="316">
        <f>BV56+CO56</f>
        <v>199265</v>
      </c>
      <c r="DI56" s="251"/>
      <c r="DJ56" s="251"/>
      <c r="DK56" s="251"/>
      <c r="DL56" s="251"/>
      <c r="DM56" s="251"/>
      <c r="DN56" s="251"/>
      <c r="DO56" s="251"/>
      <c r="DP56" s="251"/>
      <c r="DQ56" s="251"/>
      <c r="DR56" s="251"/>
      <c r="DS56" s="251"/>
      <c r="DT56" s="251"/>
      <c r="DU56" s="251"/>
      <c r="DV56" s="251"/>
      <c r="DW56" s="251"/>
      <c r="DX56" s="251"/>
      <c r="DY56" s="251"/>
      <c r="DZ56" s="251"/>
      <c r="EA56" s="150"/>
      <c r="EB56" s="150"/>
      <c r="EC56" s="73"/>
    </row>
    <row r="57" spans="1:133" ht="25.15" customHeight="1">
      <c r="A57" s="133">
        <f t="shared" si="13"/>
        <v>49</v>
      </c>
      <c r="B57" s="69"/>
      <c r="C57" s="259" t="s">
        <v>259</v>
      </c>
      <c r="D57" s="259"/>
      <c r="E57" s="259"/>
      <c r="F57" s="259"/>
      <c r="G57" s="259"/>
      <c r="H57" s="259"/>
      <c r="I57" s="259"/>
      <c r="J57" s="259"/>
      <c r="K57" s="259"/>
      <c r="L57" s="259"/>
      <c r="M57" s="259"/>
      <c r="N57" s="259"/>
      <c r="O57" s="259"/>
      <c r="P57" s="259"/>
      <c r="Q57" s="316">
        <f>1471265-Q56</f>
        <v>1272000</v>
      </c>
      <c r="R57" s="251"/>
      <c r="S57" s="251"/>
      <c r="T57" s="251"/>
      <c r="U57" s="251"/>
      <c r="V57" s="251"/>
      <c r="W57" s="251"/>
      <c r="X57" s="251"/>
      <c r="Y57" s="251"/>
      <c r="Z57" s="251"/>
      <c r="AA57" s="251"/>
      <c r="AB57" s="251"/>
      <c r="AC57" s="251"/>
      <c r="AD57" s="251"/>
      <c r="AE57" s="251"/>
      <c r="AF57" s="251"/>
      <c r="AG57" s="251"/>
      <c r="AH57" s="251"/>
      <c r="AI57" s="251"/>
      <c r="AJ57" s="252">
        <v>0</v>
      </c>
      <c r="AK57" s="251"/>
      <c r="AL57" s="251"/>
      <c r="AM57" s="251"/>
      <c r="AN57" s="251"/>
      <c r="AO57" s="251"/>
      <c r="AP57" s="251"/>
      <c r="AQ57" s="251"/>
      <c r="AR57" s="251"/>
      <c r="AS57" s="251"/>
      <c r="AT57" s="251"/>
      <c r="AU57" s="251"/>
      <c r="AV57" s="251"/>
      <c r="AW57" s="251"/>
      <c r="AX57" s="251"/>
      <c r="AY57" s="251"/>
      <c r="AZ57" s="251"/>
      <c r="BA57" s="251"/>
      <c r="BB57" s="251"/>
      <c r="BC57" s="252">
        <v>0</v>
      </c>
      <c r="BD57" s="252"/>
      <c r="BE57" s="252"/>
      <c r="BF57" s="252"/>
      <c r="BG57" s="252"/>
      <c r="BH57" s="252"/>
      <c r="BI57" s="252"/>
      <c r="BJ57" s="252"/>
      <c r="BK57" s="252"/>
      <c r="BL57" s="252"/>
      <c r="BM57" s="252"/>
      <c r="BN57" s="252"/>
      <c r="BO57" s="252"/>
      <c r="BP57" s="252"/>
      <c r="BQ57" s="252"/>
      <c r="BR57" s="252"/>
      <c r="BS57" s="252"/>
      <c r="BT57" s="252"/>
      <c r="BU57" s="252"/>
      <c r="BV57" s="316">
        <f>Q57</f>
        <v>1272000</v>
      </c>
      <c r="BW57" s="251"/>
      <c r="BX57" s="251"/>
      <c r="BY57" s="251"/>
      <c r="BZ57" s="251"/>
      <c r="CA57" s="251"/>
      <c r="CB57" s="251"/>
      <c r="CC57" s="251"/>
      <c r="CD57" s="251"/>
      <c r="CE57" s="251"/>
      <c r="CF57" s="251"/>
      <c r="CG57" s="251"/>
      <c r="CH57" s="251"/>
      <c r="CI57" s="251"/>
      <c r="CJ57" s="251"/>
      <c r="CK57" s="251"/>
      <c r="CL57" s="251"/>
      <c r="CM57" s="251"/>
      <c r="CN57" s="251"/>
      <c r="CO57" s="316">
        <v>101760</v>
      </c>
      <c r="CP57" s="251"/>
      <c r="CQ57" s="251"/>
      <c r="CR57" s="251"/>
      <c r="CS57" s="251"/>
      <c r="CT57" s="251"/>
      <c r="CU57" s="251"/>
      <c r="CV57" s="251"/>
      <c r="CW57" s="251"/>
      <c r="CX57" s="251"/>
      <c r="CY57" s="251"/>
      <c r="CZ57" s="251"/>
      <c r="DA57" s="251"/>
      <c r="DB57" s="251"/>
      <c r="DC57" s="251"/>
      <c r="DD57" s="251"/>
      <c r="DE57" s="251"/>
      <c r="DF57" s="251"/>
      <c r="DG57" s="251"/>
      <c r="DH57" s="316">
        <f>BV57+CO57</f>
        <v>1373760</v>
      </c>
      <c r="DI57" s="251"/>
      <c r="DJ57" s="251"/>
      <c r="DK57" s="251"/>
      <c r="DL57" s="251"/>
      <c r="DM57" s="251"/>
      <c r="DN57" s="251"/>
      <c r="DO57" s="251"/>
      <c r="DP57" s="251"/>
      <c r="DQ57" s="251"/>
      <c r="DR57" s="251"/>
      <c r="DS57" s="251"/>
      <c r="DT57" s="251"/>
      <c r="DU57" s="251"/>
      <c r="DV57" s="251"/>
      <c r="DW57" s="251"/>
      <c r="DX57" s="251"/>
      <c r="DY57" s="251"/>
      <c r="DZ57" s="251"/>
      <c r="EA57" s="107"/>
      <c r="EC57" s="73"/>
    </row>
    <row r="58" spans="1:133" ht="25.15" hidden="1" customHeight="1">
      <c r="A58" s="133">
        <f t="shared" si="13"/>
        <v>50</v>
      </c>
      <c r="B58" s="69"/>
      <c r="C58" s="315" t="s">
        <v>260</v>
      </c>
      <c r="D58" s="315"/>
      <c r="E58" s="315"/>
      <c r="F58" s="315"/>
      <c r="G58" s="315"/>
      <c r="H58" s="315"/>
      <c r="I58" s="315"/>
      <c r="J58" s="315"/>
      <c r="K58" s="315"/>
      <c r="L58" s="315"/>
      <c r="M58" s="315"/>
      <c r="N58" s="315"/>
      <c r="O58" s="315"/>
      <c r="P58" s="315"/>
      <c r="Q58" s="316">
        <v>0</v>
      </c>
      <c r="R58" s="316"/>
      <c r="S58" s="316"/>
      <c r="T58" s="316"/>
      <c r="U58" s="316"/>
      <c r="V58" s="316"/>
      <c r="W58" s="316"/>
      <c r="X58" s="316"/>
      <c r="Y58" s="316"/>
      <c r="Z58" s="316"/>
      <c r="AA58" s="316"/>
      <c r="AB58" s="316"/>
      <c r="AC58" s="316"/>
      <c r="AD58" s="316"/>
      <c r="AE58" s="316"/>
      <c r="AF58" s="316"/>
      <c r="AG58" s="316"/>
      <c r="AH58" s="316"/>
      <c r="AI58" s="316"/>
      <c r="AJ58" s="252">
        <v>0</v>
      </c>
      <c r="AK58" s="252"/>
      <c r="AL58" s="252"/>
      <c r="AM58" s="252"/>
      <c r="AN58" s="252"/>
      <c r="AO58" s="252"/>
      <c r="AP58" s="252"/>
      <c r="AQ58" s="252"/>
      <c r="AR58" s="252"/>
      <c r="AS58" s="252"/>
      <c r="AT58" s="252"/>
      <c r="AU58" s="252"/>
      <c r="AV58" s="252"/>
      <c r="AW58" s="252"/>
      <c r="AX58" s="252"/>
      <c r="AY58" s="252"/>
      <c r="AZ58" s="252"/>
      <c r="BA58" s="252"/>
      <c r="BB58" s="252"/>
      <c r="BC58" s="252">
        <v>0</v>
      </c>
      <c r="BD58" s="252"/>
      <c r="BE58" s="252"/>
      <c r="BF58" s="252"/>
      <c r="BG58" s="252"/>
      <c r="BH58" s="252"/>
      <c r="BI58" s="252"/>
      <c r="BJ58" s="252"/>
      <c r="BK58" s="252"/>
      <c r="BL58" s="252"/>
      <c r="BM58" s="252"/>
      <c r="BN58" s="252"/>
      <c r="BO58" s="252"/>
      <c r="BP58" s="252"/>
      <c r="BQ58" s="252"/>
      <c r="BR58" s="252"/>
      <c r="BS58" s="252"/>
      <c r="BT58" s="252"/>
      <c r="BU58" s="252"/>
      <c r="BV58" s="316">
        <f>Q58</f>
        <v>0</v>
      </c>
      <c r="BW58" s="316"/>
      <c r="BX58" s="316"/>
      <c r="BY58" s="316"/>
      <c r="BZ58" s="316"/>
      <c r="CA58" s="316"/>
      <c r="CB58" s="316"/>
      <c r="CC58" s="316"/>
      <c r="CD58" s="316"/>
      <c r="CE58" s="316"/>
      <c r="CF58" s="316"/>
      <c r="CG58" s="316"/>
      <c r="CH58" s="316"/>
      <c r="CI58" s="316"/>
      <c r="CJ58" s="316"/>
      <c r="CK58" s="316"/>
      <c r="CL58" s="316"/>
      <c r="CM58" s="316"/>
      <c r="CN58" s="316"/>
      <c r="CO58" s="316">
        <v>0</v>
      </c>
      <c r="CP58" s="316"/>
      <c r="CQ58" s="316"/>
      <c r="CR58" s="316"/>
      <c r="CS58" s="316"/>
      <c r="CT58" s="316"/>
      <c r="CU58" s="316"/>
      <c r="CV58" s="316"/>
      <c r="CW58" s="316"/>
      <c r="CX58" s="316"/>
      <c r="CY58" s="316"/>
      <c r="CZ58" s="316"/>
      <c r="DA58" s="316"/>
      <c r="DB58" s="316"/>
      <c r="DC58" s="316"/>
      <c r="DD58" s="316"/>
      <c r="DE58" s="316"/>
      <c r="DF58" s="316"/>
      <c r="DG58" s="316"/>
      <c r="DH58" s="316">
        <f>BV58+CO58</f>
        <v>0</v>
      </c>
      <c r="DI58" s="316"/>
      <c r="DJ58" s="316"/>
      <c r="DK58" s="316"/>
      <c r="DL58" s="316"/>
      <c r="DM58" s="316"/>
      <c r="DN58" s="316"/>
      <c r="DO58" s="316"/>
      <c r="DP58" s="316"/>
      <c r="DQ58" s="316"/>
      <c r="DR58" s="316"/>
      <c r="DS58" s="316"/>
      <c r="DT58" s="316"/>
      <c r="DU58" s="316"/>
      <c r="DV58" s="316"/>
      <c r="DW58" s="316"/>
      <c r="DX58" s="316"/>
      <c r="DY58" s="316"/>
      <c r="DZ58" s="316"/>
      <c r="EC58" s="73"/>
    </row>
    <row r="59" spans="1:133" ht="25.15" customHeight="1">
      <c r="A59" s="133">
        <f t="shared" si="13"/>
        <v>51</v>
      </c>
      <c r="B59" s="69"/>
      <c r="C59" s="279" t="s">
        <v>112</v>
      </c>
      <c r="D59" s="319"/>
      <c r="E59" s="279" t="s">
        <v>104</v>
      </c>
      <c r="F59" s="279"/>
      <c r="G59" s="124"/>
      <c r="H59" s="124"/>
      <c r="I59" s="123"/>
      <c r="J59" s="125"/>
      <c r="K59" s="123"/>
      <c r="L59" s="123"/>
      <c r="M59" s="109"/>
      <c r="N59" s="109"/>
      <c r="O59" s="123"/>
      <c r="P59" s="125"/>
      <c r="Q59" s="317">
        <f>Q56+Q57+Q58</f>
        <v>1471265</v>
      </c>
      <c r="R59" s="298"/>
      <c r="S59" s="298"/>
      <c r="T59" s="298"/>
      <c r="U59" s="298"/>
      <c r="V59" s="298"/>
      <c r="W59" s="298"/>
      <c r="X59" s="298"/>
      <c r="Y59" s="298"/>
      <c r="Z59" s="298"/>
      <c r="AA59" s="298"/>
      <c r="AB59" s="298"/>
      <c r="AC59" s="298"/>
      <c r="AD59" s="298"/>
      <c r="AE59" s="298"/>
      <c r="AF59" s="298"/>
      <c r="AG59" s="298"/>
      <c r="AH59" s="298"/>
      <c r="AI59" s="298"/>
      <c r="AJ59" s="318">
        <v>0</v>
      </c>
      <c r="AK59" s="298"/>
      <c r="AL59" s="298"/>
      <c r="AM59" s="298"/>
      <c r="AN59" s="298"/>
      <c r="AO59" s="298"/>
      <c r="AP59" s="298"/>
      <c r="AQ59" s="298"/>
      <c r="AR59" s="298"/>
      <c r="AS59" s="298"/>
      <c r="AT59" s="298"/>
      <c r="AU59" s="298"/>
      <c r="AV59" s="298"/>
      <c r="AW59" s="298"/>
      <c r="AX59" s="298"/>
      <c r="AY59" s="298"/>
      <c r="AZ59" s="298"/>
      <c r="BA59" s="298"/>
      <c r="BB59" s="298"/>
      <c r="BC59" s="318">
        <v>0</v>
      </c>
      <c r="BD59" s="318"/>
      <c r="BE59" s="318"/>
      <c r="BF59" s="318"/>
      <c r="BG59" s="318"/>
      <c r="BH59" s="318"/>
      <c r="BI59" s="318"/>
      <c r="BJ59" s="318"/>
      <c r="BK59" s="318"/>
      <c r="BL59" s="318"/>
      <c r="BM59" s="318"/>
      <c r="BN59" s="318"/>
      <c r="BO59" s="318"/>
      <c r="BP59" s="318"/>
      <c r="BQ59" s="318"/>
      <c r="BR59" s="318"/>
      <c r="BS59" s="318"/>
      <c r="BT59" s="318"/>
      <c r="BU59" s="318"/>
      <c r="BV59" s="317">
        <f>BV57+BV58+BV56</f>
        <v>1471265</v>
      </c>
      <c r="BW59" s="298"/>
      <c r="BX59" s="298"/>
      <c r="BY59" s="298"/>
      <c r="BZ59" s="298"/>
      <c r="CA59" s="298"/>
      <c r="CB59" s="298"/>
      <c r="CC59" s="298"/>
      <c r="CD59" s="298"/>
      <c r="CE59" s="298"/>
      <c r="CF59" s="298"/>
      <c r="CG59" s="298"/>
      <c r="CH59" s="298"/>
      <c r="CI59" s="298"/>
      <c r="CJ59" s="298"/>
      <c r="CK59" s="298"/>
      <c r="CL59" s="298"/>
      <c r="CM59" s="298"/>
      <c r="CN59" s="298"/>
      <c r="CO59" s="317">
        <f>CO57+CO58</f>
        <v>101760</v>
      </c>
      <c r="CP59" s="298"/>
      <c r="CQ59" s="298"/>
      <c r="CR59" s="298"/>
      <c r="CS59" s="298"/>
      <c r="CT59" s="298"/>
      <c r="CU59" s="298"/>
      <c r="CV59" s="298"/>
      <c r="CW59" s="298"/>
      <c r="CX59" s="298"/>
      <c r="CY59" s="298"/>
      <c r="CZ59" s="298"/>
      <c r="DA59" s="298"/>
      <c r="DB59" s="298"/>
      <c r="DC59" s="298"/>
      <c r="DD59" s="298"/>
      <c r="DE59" s="298"/>
      <c r="DF59" s="298"/>
      <c r="DG59" s="298"/>
      <c r="DH59" s="317">
        <f>DH57+DH58+DH56</f>
        <v>1573025</v>
      </c>
      <c r="DI59" s="298"/>
      <c r="DJ59" s="298"/>
      <c r="DK59" s="298"/>
      <c r="DL59" s="298"/>
      <c r="DM59" s="298"/>
      <c r="DN59" s="298"/>
      <c r="DO59" s="298"/>
      <c r="DP59" s="298"/>
      <c r="DQ59" s="298"/>
      <c r="DR59" s="298"/>
      <c r="DS59" s="298"/>
      <c r="DT59" s="298"/>
      <c r="DU59" s="298"/>
      <c r="DV59" s="298"/>
      <c r="DW59" s="298"/>
      <c r="DX59" s="298"/>
      <c r="DY59" s="298"/>
      <c r="DZ59" s="298"/>
      <c r="EA59" s="126"/>
      <c r="EB59" s="126"/>
      <c r="EC59" s="73"/>
    </row>
    <row r="60" spans="1:133" ht="25.15" customHeight="1">
      <c r="A60" s="133">
        <f t="shared" si="13"/>
        <v>52</v>
      </c>
      <c r="B60" s="69"/>
      <c r="C60" s="266" t="s">
        <v>105</v>
      </c>
      <c r="D60" s="296"/>
      <c r="E60" s="266" t="s">
        <v>104</v>
      </c>
      <c r="F60" s="266"/>
      <c r="G60" s="70"/>
      <c r="H60" s="107"/>
      <c r="I60" s="107"/>
      <c r="J60" s="107"/>
      <c r="K60" s="107"/>
      <c r="L60" s="105"/>
      <c r="M60" s="107"/>
      <c r="N60" s="101"/>
      <c r="O60" s="86"/>
      <c r="Q60" s="316">
        <f>Q52+Q59</f>
        <v>2802151</v>
      </c>
      <c r="R60" s="251"/>
      <c r="S60" s="251"/>
      <c r="T60" s="251"/>
      <c r="U60" s="251"/>
      <c r="V60" s="251"/>
      <c r="W60" s="251"/>
      <c r="X60" s="251"/>
      <c r="Y60" s="251"/>
      <c r="Z60" s="251"/>
      <c r="AA60" s="251"/>
      <c r="AB60" s="251"/>
      <c r="AC60" s="251"/>
      <c r="AD60" s="251"/>
      <c r="AE60" s="251"/>
      <c r="AF60" s="251"/>
      <c r="AG60" s="251"/>
      <c r="AH60" s="251"/>
      <c r="AI60" s="251"/>
      <c r="AJ60" s="316">
        <f>AJ52+AJ59</f>
        <v>0</v>
      </c>
      <c r="AK60" s="251"/>
      <c r="AL60" s="251"/>
      <c r="AM60" s="251"/>
      <c r="AN60" s="251"/>
      <c r="AO60" s="251"/>
      <c r="AP60" s="251"/>
      <c r="AQ60" s="251"/>
      <c r="AR60" s="251"/>
      <c r="AS60" s="251"/>
      <c r="AT60" s="251"/>
      <c r="AU60" s="251"/>
      <c r="AV60" s="251"/>
      <c r="AW60" s="251"/>
      <c r="AX60" s="251"/>
      <c r="AY60" s="251"/>
      <c r="AZ60" s="251"/>
      <c r="BA60" s="251"/>
      <c r="BB60" s="251"/>
      <c r="BC60" s="316">
        <f>BC52+BC59</f>
        <v>0</v>
      </c>
      <c r="BD60" s="251"/>
      <c r="BE60" s="251"/>
      <c r="BF60" s="251"/>
      <c r="BG60" s="251"/>
      <c r="BH60" s="251"/>
      <c r="BI60" s="251"/>
      <c r="BJ60" s="251"/>
      <c r="BK60" s="251"/>
      <c r="BL60" s="251"/>
      <c r="BM60" s="251"/>
      <c r="BN60" s="251"/>
      <c r="BO60" s="251"/>
      <c r="BP60" s="251"/>
      <c r="BQ60" s="251"/>
      <c r="BR60" s="251"/>
      <c r="BS60" s="251"/>
      <c r="BT60" s="251"/>
      <c r="BU60" s="251"/>
      <c r="BV60" s="316">
        <f>BV52+BV59</f>
        <v>2802151</v>
      </c>
      <c r="BW60" s="251"/>
      <c r="BX60" s="251"/>
      <c r="BY60" s="251"/>
      <c r="BZ60" s="251"/>
      <c r="CA60" s="251"/>
      <c r="CB60" s="251"/>
      <c r="CC60" s="251"/>
      <c r="CD60" s="251"/>
      <c r="CE60" s="251"/>
      <c r="CF60" s="251"/>
      <c r="CG60" s="251"/>
      <c r="CH60" s="251"/>
      <c r="CI60" s="251"/>
      <c r="CJ60" s="251"/>
      <c r="CK60" s="251"/>
      <c r="CL60" s="251"/>
      <c r="CM60" s="251"/>
      <c r="CN60" s="251"/>
      <c r="CO60" s="316">
        <f>CO52+CO59</f>
        <v>208231</v>
      </c>
      <c r="CP60" s="251"/>
      <c r="CQ60" s="251"/>
      <c r="CR60" s="251"/>
      <c r="CS60" s="251"/>
      <c r="CT60" s="251"/>
      <c r="CU60" s="251"/>
      <c r="CV60" s="251"/>
      <c r="CW60" s="251"/>
      <c r="CX60" s="251"/>
      <c r="CY60" s="251"/>
      <c r="CZ60" s="251"/>
      <c r="DA60" s="251"/>
      <c r="DB60" s="251"/>
      <c r="DC60" s="251"/>
      <c r="DD60" s="251"/>
      <c r="DE60" s="251"/>
      <c r="DF60" s="251"/>
      <c r="DG60" s="251"/>
      <c r="DH60" s="316">
        <f>DH52+DH59</f>
        <v>3010382</v>
      </c>
      <c r="DI60" s="251"/>
      <c r="DJ60" s="251"/>
      <c r="DK60" s="251"/>
      <c r="DL60" s="251"/>
      <c r="DM60" s="251"/>
      <c r="DN60" s="251"/>
      <c r="DO60" s="251"/>
      <c r="DP60" s="251"/>
      <c r="DQ60" s="251"/>
      <c r="DR60" s="251"/>
      <c r="DS60" s="251"/>
      <c r="DT60" s="251"/>
      <c r="DU60" s="251"/>
      <c r="DV60" s="251"/>
      <c r="DW60" s="251"/>
      <c r="DX60" s="251"/>
      <c r="DY60" s="251"/>
      <c r="DZ60" s="251"/>
      <c r="EC60" s="73"/>
    </row>
    <row r="61" spans="1:133" ht="25.15" customHeight="1">
      <c r="A61" s="133">
        <f t="shared" si="13"/>
        <v>53</v>
      </c>
      <c r="B61" s="69"/>
      <c r="C61" s="315" t="s">
        <v>305</v>
      </c>
      <c r="D61" s="259"/>
      <c r="E61" s="259"/>
      <c r="F61" s="259"/>
      <c r="G61" s="259"/>
      <c r="H61" s="259"/>
      <c r="I61" s="259"/>
      <c r="J61" s="259"/>
      <c r="K61" s="259"/>
      <c r="L61" s="259"/>
      <c r="M61" s="259"/>
      <c r="N61" s="259"/>
      <c r="O61" s="259"/>
      <c r="P61" s="259"/>
      <c r="Q61" s="316">
        <f>SUM(Q56)</f>
        <v>199265</v>
      </c>
      <c r="R61" s="251"/>
      <c r="S61" s="251"/>
      <c r="T61" s="251"/>
      <c r="U61" s="251"/>
      <c r="V61" s="251"/>
      <c r="W61" s="251"/>
      <c r="X61" s="251"/>
      <c r="Y61" s="251"/>
      <c r="Z61" s="251"/>
      <c r="AA61" s="251"/>
      <c r="AB61" s="251"/>
      <c r="AC61" s="251"/>
      <c r="AD61" s="251"/>
      <c r="AE61" s="251"/>
      <c r="AF61" s="251"/>
      <c r="AG61" s="251"/>
      <c r="AH61" s="251"/>
      <c r="AI61" s="251"/>
      <c r="AJ61" s="185"/>
      <c r="AK61" s="152"/>
      <c r="AL61" s="152"/>
      <c r="AM61" s="152"/>
      <c r="AN61" s="152"/>
      <c r="AO61" s="152"/>
      <c r="AP61" s="152"/>
      <c r="AQ61" s="152"/>
      <c r="AR61" s="152"/>
      <c r="AS61" s="152"/>
      <c r="AT61" s="152"/>
      <c r="AU61" s="152"/>
      <c r="AV61" s="152"/>
      <c r="AW61" s="152"/>
      <c r="AX61" s="152"/>
      <c r="AY61" s="152"/>
      <c r="AZ61" s="152"/>
      <c r="BA61" s="152"/>
      <c r="BB61" s="152"/>
      <c r="BC61" s="185"/>
      <c r="BD61" s="152"/>
      <c r="BE61" s="152"/>
      <c r="BF61" s="152"/>
      <c r="BG61" s="152"/>
      <c r="BH61" s="152"/>
      <c r="BI61" s="152"/>
      <c r="BJ61" s="152"/>
      <c r="BK61" s="152"/>
      <c r="BL61" s="152"/>
      <c r="BM61" s="152"/>
      <c r="BN61" s="152"/>
      <c r="BO61" s="152"/>
      <c r="BP61" s="152"/>
      <c r="BQ61" s="152"/>
      <c r="BR61" s="152"/>
      <c r="BS61" s="152"/>
      <c r="BT61" s="152"/>
      <c r="BU61" s="152"/>
      <c r="BV61" s="316">
        <f>SUM(BV56)</f>
        <v>199265</v>
      </c>
      <c r="BW61" s="251"/>
      <c r="BX61" s="251"/>
      <c r="BY61" s="251"/>
      <c r="BZ61" s="251"/>
      <c r="CA61" s="251"/>
      <c r="CB61" s="251"/>
      <c r="CC61" s="251"/>
      <c r="CD61" s="251"/>
      <c r="CE61" s="251"/>
      <c r="CF61" s="251"/>
      <c r="CG61" s="251"/>
      <c r="CH61" s="251"/>
      <c r="CI61" s="251"/>
      <c r="CJ61" s="251"/>
      <c r="CK61" s="251"/>
      <c r="CL61" s="251"/>
      <c r="CM61" s="251"/>
      <c r="CN61" s="251"/>
      <c r="CO61" s="316">
        <f>SUM(CO56)</f>
        <v>0</v>
      </c>
      <c r="CP61" s="251"/>
      <c r="CQ61" s="251"/>
      <c r="CR61" s="251"/>
      <c r="CS61" s="251"/>
      <c r="CT61" s="251"/>
      <c r="CU61" s="251"/>
      <c r="CV61" s="251"/>
      <c r="CW61" s="251"/>
      <c r="CX61" s="251"/>
      <c r="CY61" s="251"/>
      <c r="CZ61" s="251"/>
      <c r="DA61" s="251"/>
      <c r="DB61" s="251"/>
      <c r="DC61" s="251"/>
      <c r="DD61" s="251"/>
      <c r="DE61" s="251"/>
      <c r="DF61" s="251"/>
      <c r="DG61" s="251"/>
      <c r="DH61" s="316">
        <f>SUM(DH56)</f>
        <v>199265</v>
      </c>
      <c r="DI61" s="251"/>
      <c r="DJ61" s="251"/>
      <c r="DK61" s="251"/>
      <c r="DL61" s="251"/>
      <c r="DM61" s="251"/>
      <c r="DN61" s="251"/>
      <c r="DO61" s="251"/>
      <c r="DP61" s="251"/>
      <c r="DQ61" s="251"/>
      <c r="DR61" s="251"/>
      <c r="DS61" s="251"/>
      <c r="DT61" s="251"/>
      <c r="DU61" s="251"/>
      <c r="DV61" s="251"/>
      <c r="DW61" s="251"/>
      <c r="DX61" s="251"/>
      <c r="DY61" s="251"/>
      <c r="DZ61" s="251"/>
      <c r="EC61" s="73"/>
    </row>
    <row r="62" spans="1:133" ht="25.15" customHeight="1">
      <c r="A62" s="133">
        <f t="shared" si="13"/>
        <v>54</v>
      </c>
      <c r="B62" s="69"/>
      <c r="C62" s="259" t="s">
        <v>259</v>
      </c>
      <c r="D62" s="259"/>
      <c r="E62" s="259"/>
      <c r="F62" s="259"/>
      <c r="G62" s="259"/>
      <c r="H62" s="259"/>
      <c r="I62" s="259"/>
      <c r="J62" s="259"/>
      <c r="K62" s="259"/>
      <c r="L62" s="259"/>
      <c r="M62" s="259"/>
      <c r="N62" s="259"/>
      <c r="O62" s="259"/>
      <c r="P62" s="259"/>
      <c r="Q62" s="316">
        <f>SUM(Q50,Q57)</f>
        <v>2602886</v>
      </c>
      <c r="R62" s="251"/>
      <c r="S62" s="251"/>
      <c r="T62" s="251"/>
      <c r="U62" s="251"/>
      <c r="V62" s="251"/>
      <c r="W62" s="251"/>
      <c r="X62" s="251"/>
      <c r="Y62" s="251"/>
      <c r="Z62" s="251"/>
      <c r="AA62" s="251"/>
      <c r="AB62" s="251"/>
      <c r="AC62" s="251"/>
      <c r="AD62" s="251"/>
      <c r="AE62" s="251"/>
      <c r="AF62" s="251"/>
      <c r="AG62" s="251"/>
      <c r="AH62" s="251"/>
      <c r="AI62" s="251"/>
      <c r="AJ62" s="252"/>
      <c r="AK62" s="251"/>
      <c r="AL62" s="251"/>
      <c r="AM62" s="251"/>
      <c r="AN62" s="251"/>
      <c r="AO62" s="251"/>
      <c r="AP62" s="251"/>
      <c r="AQ62" s="251"/>
      <c r="AR62" s="251"/>
      <c r="AS62" s="251"/>
      <c r="AT62" s="251"/>
      <c r="AU62" s="251"/>
      <c r="AV62" s="251"/>
      <c r="AW62" s="251"/>
      <c r="AX62" s="251"/>
      <c r="AY62" s="251"/>
      <c r="AZ62" s="251"/>
      <c r="BA62" s="251"/>
      <c r="BB62" s="251"/>
      <c r="BC62" s="252"/>
      <c r="BD62" s="252"/>
      <c r="BE62" s="252"/>
      <c r="BF62" s="252"/>
      <c r="BG62" s="252"/>
      <c r="BH62" s="252"/>
      <c r="BI62" s="252"/>
      <c r="BJ62" s="252"/>
      <c r="BK62" s="252"/>
      <c r="BL62" s="252"/>
      <c r="BM62" s="252"/>
      <c r="BN62" s="252"/>
      <c r="BO62" s="252"/>
      <c r="BP62" s="252"/>
      <c r="BQ62" s="252"/>
      <c r="BR62" s="252"/>
      <c r="BS62" s="252"/>
      <c r="BT62" s="252"/>
      <c r="BU62" s="252"/>
      <c r="BV62" s="316">
        <f>SUM(BV50,BV57)</f>
        <v>2602886</v>
      </c>
      <c r="BW62" s="316"/>
      <c r="BX62" s="316"/>
      <c r="BY62" s="316"/>
      <c r="BZ62" s="316"/>
      <c r="CA62" s="316"/>
      <c r="CB62" s="316"/>
      <c r="CC62" s="316"/>
      <c r="CD62" s="316"/>
      <c r="CE62" s="316"/>
      <c r="CF62" s="316"/>
      <c r="CG62" s="316"/>
      <c r="CH62" s="316"/>
      <c r="CI62" s="316"/>
      <c r="CJ62" s="316"/>
      <c r="CK62" s="316"/>
      <c r="CL62" s="316"/>
      <c r="CM62" s="316"/>
      <c r="CN62" s="316"/>
      <c r="CO62" s="316">
        <f>SUM(CO50,CO57)</f>
        <v>208231</v>
      </c>
      <c r="CP62" s="316"/>
      <c r="CQ62" s="316"/>
      <c r="CR62" s="316"/>
      <c r="CS62" s="316"/>
      <c r="CT62" s="316"/>
      <c r="CU62" s="316"/>
      <c r="CV62" s="316"/>
      <c r="CW62" s="316"/>
      <c r="CX62" s="316"/>
      <c r="CY62" s="316"/>
      <c r="CZ62" s="316"/>
      <c r="DA62" s="316"/>
      <c r="DB62" s="316"/>
      <c r="DC62" s="316"/>
      <c r="DD62" s="316"/>
      <c r="DE62" s="316"/>
      <c r="DF62" s="316"/>
      <c r="DG62" s="316"/>
      <c r="DH62" s="316">
        <f>SUM(DH50,DH57)</f>
        <v>2811117</v>
      </c>
      <c r="DI62" s="316"/>
      <c r="DJ62" s="316"/>
      <c r="DK62" s="316"/>
      <c r="DL62" s="316"/>
      <c r="DM62" s="316"/>
      <c r="DN62" s="316"/>
      <c r="DO62" s="316"/>
      <c r="DP62" s="316"/>
      <c r="DQ62" s="316"/>
      <c r="DR62" s="316"/>
      <c r="DS62" s="316"/>
      <c r="DT62" s="316"/>
      <c r="DU62" s="316"/>
      <c r="DV62" s="316"/>
      <c r="DW62" s="316"/>
      <c r="DX62" s="316"/>
      <c r="DY62" s="316"/>
      <c r="DZ62" s="316"/>
      <c r="EC62" s="73"/>
    </row>
    <row r="63" spans="1:133" ht="25.15" customHeight="1">
      <c r="A63" s="133">
        <f t="shared" si="13"/>
        <v>55</v>
      </c>
      <c r="B63" s="69"/>
      <c r="C63" s="315"/>
      <c r="D63" s="259"/>
      <c r="E63" s="259"/>
      <c r="F63" s="259"/>
      <c r="G63" s="259"/>
      <c r="H63" s="259"/>
      <c r="I63" s="259"/>
      <c r="J63" s="259"/>
      <c r="K63" s="259"/>
      <c r="L63" s="259"/>
      <c r="M63" s="259"/>
      <c r="N63" s="259"/>
      <c r="O63" s="259"/>
      <c r="P63" s="259"/>
      <c r="Q63" s="316"/>
      <c r="R63" s="251"/>
      <c r="S63" s="251"/>
      <c r="T63" s="251"/>
      <c r="U63" s="251"/>
      <c r="V63" s="251"/>
      <c r="W63" s="251"/>
      <c r="X63" s="251"/>
      <c r="Y63" s="251"/>
      <c r="Z63" s="251"/>
      <c r="AA63" s="251"/>
      <c r="AB63" s="251"/>
      <c r="AC63" s="251"/>
      <c r="AD63" s="251"/>
      <c r="AE63" s="251"/>
      <c r="AF63" s="251"/>
      <c r="AG63" s="251"/>
      <c r="AH63" s="251"/>
      <c r="AI63" s="251"/>
      <c r="AJ63" s="252"/>
      <c r="AK63" s="251"/>
      <c r="AL63" s="251"/>
      <c r="AM63" s="251"/>
      <c r="AN63" s="251"/>
      <c r="AO63" s="251"/>
      <c r="AP63" s="251"/>
      <c r="AQ63" s="251"/>
      <c r="AR63" s="251"/>
      <c r="AS63" s="251"/>
      <c r="AT63" s="251"/>
      <c r="AU63" s="251"/>
      <c r="AV63" s="251"/>
      <c r="AW63" s="251"/>
      <c r="AX63" s="251"/>
      <c r="AY63" s="251"/>
      <c r="AZ63" s="251"/>
      <c r="BA63" s="251"/>
      <c r="BB63" s="251"/>
      <c r="BC63" s="252"/>
      <c r="BD63" s="252"/>
      <c r="BE63" s="252"/>
      <c r="BF63" s="252"/>
      <c r="BG63" s="252"/>
      <c r="BH63" s="252"/>
      <c r="BI63" s="252"/>
      <c r="BJ63" s="252"/>
      <c r="BK63" s="252"/>
      <c r="BL63" s="252"/>
      <c r="BM63" s="252"/>
      <c r="BN63" s="252"/>
      <c r="BO63" s="252"/>
      <c r="BP63" s="252"/>
      <c r="BQ63" s="252"/>
      <c r="BR63" s="252"/>
      <c r="BS63" s="252"/>
      <c r="BT63" s="252"/>
      <c r="BU63" s="252"/>
      <c r="BV63" s="252"/>
      <c r="BW63" s="252"/>
      <c r="BX63" s="252"/>
      <c r="BY63" s="252"/>
      <c r="BZ63" s="252"/>
      <c r="CA63" s="252"/>
      <c r="CB63" s="252"/>
      <c r="CC63" s="252"/>
      <c r="CD63" s="252"/>
      <c r="CE63" s="252"/>
      <c r="CF63" s="252"/>
      <c r="CG63" s="252"/>
      <c r="CH63" s="252"/>
      <c r="CI63" s="252"/>
      <c r="CJ63" s="252"/>
      <c r="CK63" s="252"/>
      <c r="CL63" s="252"/>
      <c r="CM63" s="252"/>
      <c r="CN63" s="252"/>
      <c r="CO63" s="316"/>
      <c r="CP63" s="251"/>
      <c r="CQ63" s="251"/>
      <c r="CR63" s="251"/>
      <c r="CS63" s="251"/>
      <c r="CT63" s="251"/>
      <c r="CU63" s="251"/>
      <c r="CV63" s="251"/>
      <c r="CW63" s="251"/>
      <c r="CX63" s="251"/>
      <c r="CY63" s="251"/>
      <c r="CZ63" s="251"/>
      <c r="DA63" s="251"/>
      <c r="DB63" s="251"/>
      <c r="DC63" s="251"/>
      <c r="DD63" s="251"/>
      <c r="DE63" s="251"/>
      <c r="DF63" s="251"/>
      <c r="DG63" s="251"/>
      <c r="DH63" s="316"/>
      <c r="DI63" s="251"/>
      <c r="DJ63" s="251"/>
      <c r="DK63" s="251"/>
      <c r="DL63" s="251"/>
      <c r="DM63" s="251"/>
      <c r="DN63" s="251"/>
      <c r="DO63" s="251"/>
      <c r="DP63" s="251"/>
      <c r="DQ63" s="251"/>
      <c r="DR63" s="251"/>
      <c r="DS63" s="251"/>
      <c r="DT63" s="251"/>
      <c r="DU63" s="251"/>
      <c r="DV63" s="251"/>
      <c r="DW63" s="251"/>
      <c r="DX63" s="251"/>
      <c r="DY63" s="251"/>
      <c r="DZ63" s="251"/>
      <c r="EC63" s="73"/>
    </row>
    <row r="64" spans="1:133" ht="25.15" customHeight="1">
      <c r="A64" s="133">
        <f t="shared" si="13"/>
        <v>56</v>
      </c>
      <c r="B64" s="69"/>
      <c r="C64" s="71"/>
      <c r="D64" s="71"/>
      <c r="E64" s="71"/>
      <c r="F64" s="71"/>
      <c r="G64" s="70"/>
      <c r="H64" s="107"/>
      <c r="I64" s="107"/>
      <c r="J64" s="107"/>
      <c r="K64" s="107"/>
      <c r="L64" s="105"/>
      <c r="M64" s="107"/>
      <c r="N64" s="101"/>
      <c r="O64" s="86"/>
      <c r="T64" s="105"/>
      <c r="U64" s="105"/>
      <c r="V64" s="105"/>
      <c r="W64" s="105"/>
      <c r="X64" s="105"/>
      <c r="Y64" s="105"/>
      <c r="Z64" s="105"/>
      <c r="AA64" s="105"/>
      <c r="AB64" s="105"/>
      <c r="AC64" s="105"/>
      <c r="AD64" s="105"/>
      <c r="AE64" s="105"/>
      <c r="AF64" s="105"/>
      <c r="AG64" s="105"/>
      <c r="AH64" s="105"/>
      <c r="AI64" s="105"/>
      <c r="AM64" s="72"/>
      <c r="AP64" s="107"/>
      <c r="AQ64" s="107"/>
      <c r="AR64" s="107"/>
      <c r="AS64" s="107"/>
      <c r="AT64" s="107"/>
      <c r="AU64" s="107"/>
      <c r="AV64" s="107"/>
      <c r="AW64" s="107"/>
      <c r="AX64" s="107"/>
      <c r="AY64" s="107"/>
      <c r="AZ64" s="86"/>
      <c r="BA64" s="72"/>
      <c r="BC64" s="105"/>
      <c r="BD64" s="105"/>
      <c r="BE64" s="105"/>
      <c r="BF64" s="105"/>
      <c r="BG64" s="105"/>
      <c r="BH64" s="105"/>
      <c r="BI64" s="105"/>
      <c r="BJ64" s="105"/>
      <c r="BK64" s="105"/>
      <c r="BL64" s="105"/>
      <c r="BM64" s="105"/>
      <c r="BN64" s="105"/>
      <c r="BO64" s="105"/>
      <c r="BP64" s="105"/>
      <c r="BQ64" s="105"/>
      <c r="BR64" s="105"/>
      <c r="BS64" s="105"/>
      <c r="BT64" s="92"/>
      <c r="BU64" s="72"/>
      <c r="BV64" s="92"/>
      <c r="BW64" s="107"/>
      <c r="BX64" s="92"/>
      <c r="BY64" s="92"/>
      <c r="BZ64" s="92"/>
      <c r="CA64" s="107"/>
      <c r="CB64" s="92"/>
      <c r="CC64" s="92"/>
      <c r="CD64" s="92"/>
      <c r="CE64" s="107"/>
      <c r="CF64" s="92"/>
      <c r="CG64" s="92"/>
      <c r="CH64" s="92"/>
      <c r="CI64" s="107"/>
      <c r="CJ64" s="92"/>
      <c r="CK64" s="92"/>
      <c r="CL64" s="107"/>
      <c r="CN64" s="92"/>
      <c r="CO64" s="72"/>
      <c r="CR64" s="107"/>
      <c r="CS64" s="107"/>
      <c r="CT64" s="107"/>
      <c r="CU64" s="107"/>
      <c r="CV64" s="107"/>
      <c r="CW64" s="107"/>
      <c r="CX64" s="107"/>
      <c r="CY64" s="107"/>
      <c r="CZ64" s="107"/>
      <c r="DA64" s="107"/>
      <c r="DB64" s="86"/>
      <c r="DC64" s="72"/>
      <c r="DD64" s="72"/>
      <c r="DE64" s="72"/>
      <c r="DG64" s="72"/>
      <c r="DJ64" s="107"/>
      <c r="DK64" s="107"/>
      <c r="DL64" s="107"/>
      <c r="DM64" s="107"/>
      <c r="DN64" s="107"/>
      <c r="DO64" s="107"/>
      <c r="DP64" s="107"/>
      <c r="DQ64" s="107"/>
      <c r="DR64" s="107"/>
      <c r="DS64" s="107"/>
      <c r="DT64" s="107"/>
      <c r="DU64" s="70"/>
      <c r="DV64" s="74"/>
      <c r="DW64" s="70"/>
      <c r="DX64" s="74"/>
      <c r="EC64" s="73"/>
    </row>
    <row r="65" spans="1:133" s="47" customFormat="1" ht="25.15" customHeight="1">
      <c r="A65" s="133">
        <f t="shared" si="13"/>
        <v>57</v>
      </c>
      <c r="B65" s="69"/>
      <c r="C65" s="255" t="s">
        <v>245</v>
      </c>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105"/>
      <c r="BT65" s="92"/>
      <c r="BU65" s="72"/>
      <c r="BV65" s="92"/>
      <c r="BW65" s="259"/>
      <c r="BX65" s="259"/>
      <c r="BY65" s="259"/>
      <c r="BZ65" s="259"/>
      <c r="CA65" s="259"/>
      <c r="CB65" s="259"/>
      <c r="CC65" s="259"/>
      <c r="CD65" s="259"/>
      <c r="CE65" s="259"/>
      <c r="CF65" s="259"/>
      <c r="CG65" s="259"/>
      <c r="CH65" s="259"/>
      <c r="CI65" s="259"/>
      <c r="CJ65" s="259"/>
      <c r="CK65" s="259"/>
      <c r="CL65" s="259"/>
      <c r="CM65" s="259"/>
      <c r="CN65" s="259"/>
      <c r="CO65" s="259"/>
      <c r="CP65" s="259"/>
      <c r="CQ65" s="259"/>
      <c r="CR65" s="259"/>
      <c r="CS65" s="259"/>
      <c r="CT65" s="259"/>
      <c r="CU65" s="259"/>
      <c r="CV65" s="259"/>
      <c r="CW65" s="259"/>
      <c r="CX65" s="259"/>
      <c r="CY65" s="259"/>
      <c r="CZ65" s="259"/>
      <c r="DA65" s="259"/>
      <c r="DB65" s="259"/>
      <c r="DC65" s="259"/>
      <c r="DD65" s="259"/>
      <c r="DE65" s="259"/>
      <c r="DF65" s="259"/>
      <c r="DG65" s="259"/>
      <c r="DH65" s="259"/>
      <c r="DI65" s="259"/>
      <c r="DJ65" s="259"/>
      <c r="DK65" s="259"/>
      <c r="DL65" s="259"/>
      <c r="DM65" s="259"/>
      <c r="DN65" s="259"/>
      <c r="DO65" s="259"/>
      <c r="DP65" s="259"/>
      <c r="DQ65" s="259"/>
      <c r="DR65" s="259"/>
      <c r="DS65" s="259"/>
      <c r="DT65" s="259"/>
      <c r="DU65" s="259"/>
      <c r="DV65" s="259"/>
      <c r="DW65" s="259"/>
      <c r="DX65" s="259"/>
      <c r="DY65" s="259"/>
      <c r="DZ65" s="259"/>
      <c r="EA65" s="259"/>
      <c r="EB65" s="259"/>
      <c r="EC65" s="73"/>
    </row>
    <row r="66" spans="1:133" s="179" customFormat="1" ht="25.15" customHeight="1">
      <c r="A66" s="133">
        <f t="shared" si="13"/>
        <v>58</v>
      </c>
      <c r="B66" s="176"/>
      <c r="C66" s="323" t="s">
        <v>244</v>
      </c>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158"/>
      <c r="BC66" s="158"/>
      <c r="BD66" s="158"/>
      <c r="BE66" s="158"/>
      <c r="BF66" s="158"/>
      <c r="BG66" s="158"/>
      <c r="BH66" s="178"/>
      <c r="BI66" s="178"/>
      <c r="BJ66" s="178"/>
      <c r="BK66" s="178"/>
      <c r="BL66" s="171"/>
      <c r="BM66" s="158"/>
      <c r="BN66" s="158"/>
      <c r="BO66" s="260" t="s">
        <v>113</v>
      </c>
      <c r="BP66" s="260"/>
      <c r="BQ66" s="260" t="s">
        <v>103</v>
      </c>
      <c r="BR66" s="260"/>
      <c r="BV66" s="118"/>
      <c r="BW66" s="340"/>
      <c r="BX66" s="340"/>
      <c r="BY66" s="340"/>
      <c r="BZ66" s="340"/>
      <c r="CA66" s="340"/>
      <c r="CB66" s="340"/>
      <c r="CC66" s="340"/>
      <c r="CD66" s="340"/>
      <c r="CE66" s="340"/>
      <c r="CF66" s="340"/>
      <c r="CG66" s="340"/>
      <c r="CH66" s="340"/>
      <c r="CI66" s="340"/>
      <c r="CJ66" s="340"/>
      <c r="CK66" s="340"/>
      <c r="CL66" s="340"/>
      <c r="CM66" s="340"/>
      <c r="CN66" s="340"/>
      <c r="CO66" s="340"/>
      <c r="CP66" s="340"/>
      <c r="CQ66" s="340"/>
      <c r="CR66" s="340"/>
      <c r="CS66" s="340"/>
      <c r="CT66" s="340"/>
      <c r="CU66" s="340"/>
      <c r="CV66" s="340"/>
      <c r="CW66" s="340"/>
      <c r="CX66" s="340"/>
      <c r="CY66" s="340"/>
      <c r="CZ66" s="340"/>
      <c r="DA66" s="340"/>
      <c r="DB66" s="340"/>
      <c r="DC66" s="340"/>
      <c r="DD66" s="340"/>
      <c r="DE66" s="340"/>
      <c r="DF66" s="340"/>
      <c r="DG66" s="340"/>
      <c r="DH66" s="340"/>
      <c r="DI66" s="340"/>
      <c r="DJ66" s="340"/>
      <c r="DK66" s="340"/>
      <c r="DL66" s="342"/>
      <c r="DM66" s="342"/>
      <c r="DN66" s="342"/>
      <c r="DO66" s="342"/>
      <c r="DP66" s="342"/>
      <c r="DQ66" s="342"/>
      <c r="DR66" s="342"/>
      <c r="DS66" s="342"/>
      <c r="DT66" s="342"/>
      <c r="DU66" s="342"/>
      <c r="DV66" s="342"/>
      <c r="DW66" s="342"/>
      <c r="DX66" s="342"/>
      <c r="DY66" s="342"/>
      <c r="DZ66" s="342"/>
      <c r="EA66" s="342"/>
      <c r="EB66" s="342"/>
      <c r="EC66" s="180"/>
    </row>
    <row r="67" spans="1:133" s="47" customFormat="1" ht="25.15" customHeight="1">
      <c r="A67" s="133">
        <f t="shared" si="13"/>
        <v>59</v>
      </c>
      <c r="B67" s="69"/>
      <c r="C67" s="246" t="s">
        <v>306</v>
      </c>
      <c r="D67" s="246"/>
      <c r="E67" s="246"/>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322">
        <v>308000</v>
      </c>
      <c r="BC67" s="322"/>
      <c r="BD67" s="322"/>
      <c r="BE67" s="322"/>
      <c r="BF67" s="322"/>
      <c r="BG67" s="322"/>
      <c r="BH67" s="322"/>
      <c r="BI67" s="322"/>
      <c r="BJ67" s="322"/>
      <c r="BK67" s="322"/>
      <c r="BL67" s="322"/>
      <c r="BM67" s="322"/>
      <c r="BN67" s="322"/>
      <c r="BO67" s="322"/>
      <c r="BP67" s="322"/>
      <c r="BQ67" s="322"/>
      <c r="BR67" s="322"/>
      <c r="BS67" s="107"/>
      <c r="BT67" s="107"/>
      <c r="BU67" s="107"/>
      <c r="BV67" s="92"/>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259"/>
      <c r="DI67" s="259"/>
      <c r="DJ67" s="259"/>
      <c r="DK67" s="259"/>
      <c r="DL67" s="314"/>
      <c r="DM67" s="314"/>
      <c r="DN67" s="314"/>
      <c r="DO67" s="314"/>
      <c r="DP67" s="314"/>
      <c r="DQ67" s="314"/>
      <c r="DR67" s="314"/>
      <c r="DS67" s="314"/>
      <c r="DT67" s="314"/>
      <c r="DU67" s="314"/>
      <c r="DV67" s="314"/>
      <c r="DW67" s="314"/>
      <c r="DX67" s="314"/>
      <c r="DY67" s="314"/>
      <c r="DZ67" s="314"/>
      <c r="EA67" s="314"/>
      <c r="EB67" s="314"/>
      <c r="EC67" s="73"/>
    </row>
    <row r="68" spans="1:133" s="47" customFormat="1" ht="25.15" customHeight="1">
      <c r="A68" s="133">
        <f t="shared" si="13"/>
        <v>60</v>
      </c>
      <c r="B68" s="69"/>
      <c r="C68" s="259" t="s">
        <v>307</v>
      </c>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314">
        <v>497800</v>
      </c>
      <c r="BC68" s="314"/>
      <c r="BD68" s="314"/>
      <c r="BE68" s="314"/>
      <c r="BF68" s="314"/>
      <c r="BG68" s="314"/>
      <c r="BH68" s="314"/>
      <c r="BI68" s="314"/>
      <c r="BJ68" s="314"/>
      <c r="BK68" s="314"/>
      <c r="BL68" s="314"/>
      <c r="BM68" s="314"/>
      <c r="BN68" s="314"/>
      <c r="BO68" s="314"/>
      <c r="BP68" s="314"/>
      <c r="BQ68" s="314"/>
      <c r="BR68" s="314"/>
      <c r="BS68" s="107"/>
      <c r="BT68" s="107"/>
      <c r="BU68" s="107"/>
      <c r="BV68" s="92"/>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314"/>
      <c r="DM68" s="314"/>
      <c r="DN68" s="314"/>
      <c r="DO68" s="314"/>
      <c r="DP68" s="314"/>
      <c r="DQ68" s="314"/>
      <c r="DR68" s="314"/>
      <c r="DS68" s="314"/>
      <c r="DT68" s="314"/>
      <c r="DU68" s="314"/>
      <c r="DV68" s="314"/>
      <c r="DW68" s="314"/>
      <c r="DX68" s="314"/>
      <c r="DY68" s="314"/>
      <c r="DZ68" s="314"/>
      <c r="EA68" s="314"/>
      <c r="EB68" s="314"/>
      <c r="EC68" s="73"/>
    </row>
    <row r="69" spans="1:133" s="47" customFormat="1" ht="25.15" customHeight="1">
      <c r="A69" s="133">
        <f t="shared" si="13"/>
        <v>61</v>
      </c>
      <c r="B69" s="69"/>
      <c r="C69" s="259" t="s">
        <v>308</v>
      </c>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314">
        <v>567960</v>
      </c>
      <c r="BC69" s="314"/>
      <c r="BD69" s="314"/>
      <c r="BE69" s="314"/>
      <c r="BF69" s="314"/>
      <c r="BG69" s="314"/>
      <c r="BH69" s="314"/>
      <c r="BI69" s="314"/>
      <c r="BJ69" s="314"/>
      <c r="BK69" s="314"/>
      <c r="BL69" s="314"/>
      <c r="BM69" s="314"/>
      <c r="BN69" s="314"/>
      <c r="BO69" s="314"/>
      <c r="BP69" s="314"/>
      <c r="BQ69" s="314"/>
      <c r="BR69" s="314"/>
      <c r="BS69" s="107"/>
      <c r="BT69" s="107"/>
      <c r="BU69" s="107"/>
      <c r="BV69" s="92"/>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314"/>
      <c r="DM69" s="314"/>
      <c r="DN69" s="314"/>
      <c r="DO69" s="314"/>
      <c r="DP69" s="314"/>
      <c r="DQ69" s="314"/>
      <c r="DR69" s="314"/>
      <c r="DS69" s="314"/>
      <c r="DT69" s="314"/>
      <c r="DU69" s="314"/>
      <c r="DV69" s="314"/>
      <c r="DW69" s="314"/>
      <c r="DX69" s="314"/>
      <c r="DY69" s="314"/>
      <c r="DZ69" s="314"/>
      <c r="EA69" s="314"/>
      <c r="EB69" s="314"/>
      <c r="EC69" s="73"/>
    </row>
    <row r="70" spans="1:133" s="47" customFormat="1" ht="25.15" customHeight="1">
      <c r="A70" s="133">
        <f t="shared" si="13"/>
        <v>62</v>
      </c>
      <c r="B70" s="69"/>
      <c r="C70" s="259" t="s">
        <v>309</v>
      </c>
      <c r="D70" s="259"/>
      <c r="E70" s="259"/>
      <c r="F70" s="259"/>
      <c r="G70" s="259"/>
      <c r="H70" s="259"/>
      <c r="I70" s="259"/>
      <c r="J70" s="259"/>
      <c r="K70" s="259"/>
      <c r="L70" s="259"/>
      <c r="M70" s="259"/>
      <c r="N70" s="259"/>
      <c r="O70" s="259"/>
      <c r="P70" s="259"/>
      <c r="Q70" s="259"/>
      <c r="R70" s="259"/>
      <c r="S70" s="259"/>
      <c r="T70" s="259"/>
      <c r="U70" s="259"/>
      <c r="V70" s="259"/>
      <c r="W70" s="259"/>
      <c r="X70" s="259"/>
      <c r="Y70" s="259"/>
      <c r="Z70" s="259"/>
      <c r="AA70" s="259"/>
      <c r="AB70" s="259"/>
      <c r="AC70" s="259"/>
      <c r="AD70" s="259"/>
      <c r="AE70" s="259"/>
      <c r="AF70" s="259"/>
      <c r="AG70" s="259"/>
      <c r="AH70" s="259"/>
      <c r="AI70" s="259"/>
      <c r="AJ70" s="259"/>
      <c r="AK70" s="259"/>
      <c r="AL70" s="259"/>
      <c r="AM70" s="259"/>
      <c r="AN70" s="259"/>
      <c r="AO70" s="259"/>
      <c r="AP70" s="259"/>
      <c r="AQ70" s="259"/>
      <c r="AR70" s="259"/>
      <c r="AS70" s="259"/>
      <c r="AT70" s="259"/>
      <c r="AU70" s="259"/>
      <c r="AV70" s="259"/>
      <c r="AW70" s="259"/>
      <c r="AX70" s="259"/>
      <c r="AY70" s="259"/>
      <c r="AZ70" s="259"/>
      <c r="BA70" s="259"/>
      <c r="BB70" s="314">
        <v>676352</v>
      </c>
      <c r="BC70" s="314"/>
      <c r="BD70" s="314"/>
      <c r="BE70" s="314"/>
      <c r="BF70" s="314"/>
      <c r="BG70" s="314"/>
      <c r="BH70" s="314"/>
      <c r="BI70" s="314"/>
      <c r="BJ70" s="314"/>
      <c r="BK70" s="314"/>
      <c r="BL70" s="314"/>
      <c r="BM70" s="314"/>
      <c r="BN70" s="314"/>
      <c r="BO70" s="314"/>
      <c r="BP70" s="314"/>
      <c r="BQ70" s="314"/>
      <c r="BR70" s="314"/>
      <c r="BS70" s="107"/>
      <c r="BT70" s="107"/>
      <c r="BU70" s="107"/>
      <c r="BV70" s="92"/>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1"/>
      <c r="DM70" s="251"/>
      <c r="DN70" s="251"/>
      <c r="DO70" s="251"/>
      <c r="DP70" s="251"/>
      <c r="DQ70" s="251"/>
      <c r="DR70" s="251"/>
      <c r="DS70" s="251"/>
      <c r="DT70" s="251"/>
      <c r="DU70" s="251"/>
      <c r="DV70" s="251"/>
      <c r="DW70" s="251"/>
      <c r="DX70" s="251"/>
      <c r="DY70" s="251"/>
      <c r="DZ70" s="251"/>
      <c r="EA70" s="251"/>
      <c r="EB70" s="251"/>
      <c r="EC70" s="73"/>
    </row>
    <row r="71" spans="1:133" s="47" customFormat="1" ht="25.15" customHeight="1">
      <c r="A71" s="133">
        <f t="shared" si="13"/>
        <v>63</v>
      </c>
      <c r="B71" s="69"/>
      <c r="C71" s="259" t="s">
        <v>310</v>
      </c>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314">
        <v>598849</v>
      </c>
      <c r="BC71" s="314"/>
      <c r="BD71" s="314"/>
      <c r="BE71" s="314"/>
      <c r="BF71" s="314"/>
      <c r="BG71" s="314"/>
      <c r="BH71" s="314"/>
      <c r="BI71" s="314"/>
      <c r="BJ71" s="314"/>
      <c r="BK71" s="314"/>
      <c r="BL71" s="314"/>
      <c r="BM71" s="314"/>
      <c r="BN71" s="314"/>
      <c r="BO71" s="314"/>
      <c r="BP71" s="314"/>
      <c r="BQ71" s="314"/>
      <c r="BR71" s="314"/>
      <c r="BS71" s="107"/>
      <c r="BT71" s="107"/>
      <c r="BU71" s="107"/>
      <c r="BV71" s="92"/>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251"/>
      <c r="DM71" s="251"/>
      <c r="DN71" s="251"/>
      <c r="DO71" s="251"/>
      <c r="DP71" s="251"/>
      <c r="DQ71" s="251"/>
      <c r="DR71" s="251"/>
      <c r="DS71" s="251"/>
      <c r="DT71" s="251"/>
      <c r="DU71" s="251"/>
      <c r="DV71" s="251"/>
      <c r="DW71" s="251"/>
      <c r="DX71" s="251"/>
      <c r="DY71" s="251"/>
      <c r="DZ71" s="251"/>
      <c r="EA71" s="251"/>
      <c r="EB71" s="251"/>
      <c r="EC71" s="73"/>
    </row>
    <row r="72" spans="1:133" s="47" customFormat="1" ht="25.15" customHeight="1">
      <c r="A72" s="133">
        <f t="shared" si="13"/>
        <v>64</v>
      </c>
      <c r="B72" s="69"/>
      <c r="C72" s="259" t="s">
        <v>311</v>
      </c>
      <c r="D72" s="259"/>
      <c r="E72" s="259"/>
      <c r="F72" s="259"/>
      <c r="G72" s="259"/>
      <c r="H72" s="259"/>
      <c r="I72" s="259"/>
      <c r="J72" s="259"/>
      <c r="K72" s="259"/>
      <c r="L72" s="259"/>
      <c r="M72" s="259"/>
      <c r="N72" s="259"/>
      <c r="O72" s="259"/>
      <c r="P72" s="259"/>
      <c r="Q72" s="259"/>
      <c r="R72" s="259"/>
      <c r="S72" s="259"/>
      <c r="T72" s="259"/>
      <c r="U72" s="259"/>
      <c r="V72" s="259"/>
      <c r="W72" s="259"/>
      <c r="X72" s="259"/>
      <c r="Y72" s="259"/>
      <c r="Z72" s="259"/>
      <c r="AA72" s="259"/>
      <c r="AB72" s="259"/>
      <c r="AC72" s="259"/>
      <c r="AD72" s="259"/>
      <c r="AE72" s="259"/>
      <c r="AF72" s="259"/>
      <c r="AG72" s="259"/>
      <c r="AH72" s="259"/>
      <c r="AI72" s="259"/>
      <c r="AJ72" s="259"/>
      <c r="AK72" s="259"/>
      <c r="AL72" s="259"/>
      <c r="AM72" s="259"/>
      <c r="AN72" s="259"/>
      <c r="AO72" s="259"/>
      <c r="AP72" s="259"/>
      <c r="AQ72" s="259"/>
      <c r="AR72" s="259"/>
      <c r="AS72" s="259"/>
      <c r="AT72" s="259"/>
      <c r="AU72" s="259"/>
      <c r="AV72" s="259"/>
      <c r="AW72" s="259"/>
      <c r="AX72" s="259"/>
      <c r="AY72" s="259"/>
      <c r="AZ72" s="259"/>
      <c r="BA72" s="259"/>
      <c r="BB72" s="344">
        <v>42228</v>
      </c>
      <c r="BC72" s="344"/>
      <c r="BD72" s="344"/>
      <c r="BE72" s="344"/>
      <c r="BF72" s="344"/>
      <c r="BG72" s="344"/>
      <c r="BH72" s="344"/>
      <c r="BI72" s="344"/>
      <c r="BJ72" s="344"/>
      <c r="BK72" s="344"/>
      <c r="BL72" s="344"/>
      <c r="BM72" s="344"/>
      <c r="BN72" s="344"/>
      <c r="BO72" s="344"/>
      <c r="BP72" s="344"/>
      <c r="BQ72" s="344"/>
      <c r="BR72" s="344"/>
      <c r="BS72" s="107"/>
      <c r="BT72" s="107"/>
      <c r="BU72" s="107"/>
      <c r="BV72" s="92"/>
      <c r="BW72" s="259"/>
      <c r="BX72" s="259"/>
      <c r="BY72" s="259"/>
      <c r="BZ72" s="259"/>
      <c r="CA72" s="259"/>
      <c r="CB72" s="259"/>
      <c r="CC72" s="259"/>
      <c r="CD72" s="259"/>
      <c r="CE72" s="259"/>
      <c r="CF72" s="259"/>
      <c r="CG72" s="259"/>
      <c r="CH72" s="259"/>
      <c r="CI72" s="259"/>
      <c r="CJ72" s="259"/>
      <c r="CK72" s="259"/>
      <c r="CL72" s="259"/>
      <c r="CM72" s="259"/>
      <c r="CN72" s="259"/>
      <c r="CO72" s="259"/>
      <c r="CP72" s="259"/>
      <c r="CQ72" s="259"/>
      <c r="CR72" s="259"/>
      <c r="CS72" s="259"/>
      <c r="CT72" s="259"/>
      <c r="CU72" s="259"/>
      <c r="CV72" s="259"/>
      <c r="CW72" s="259"/>
      <c r="CX72" s="259"/>
      <c r="CY72" s="259"/>
      <c r="CZ72" s="259"/>
      <c r="DA72" s="259"/>
      <c r="DB72" s="259"/>
      <c r="DC72" s="259"/>
      <c r="DD72" s="259"/>
      <c r="DE72" s="259"/>
      <c r="DF72" s="259"/>
      <c r="DG72" s="259"/>
      <c r="DH72" s="259"/>
      <c r="DI72" s="259"/>
      <c r="DJ72" s="259"/>
      <c r="DK72" s="259"/>
      <c r="DL72" s="251"/>
      <c r="DM72" s="251"/>
      <c r="DN72" s="251"/>
      <c r="DO72" s="251"/>
      <c r="DP72" s="251"/>
      <c r="DQ72" s="251"/>
      <c r="DR72" s="251"/>
      <c r="DS72" s="251"/>
      <c r="DT72" s="251"/>
      <c r="DU72" s="251"/>
      <c r="DV72" s="251"/>
      <c r="DW72" s="251"/>
      <c r="DX72" s="251"/>
      <c r="DY72" s="251"/>
      <c r="DZ72" s="251"/>
      <c r="EA72" s="251"/>
      <c r="EB72" s="251"/>
      <c r="EC72" s="73"/>
    </row>
    <row r="73" spans="1:133" s="47" customFormat="1" ht="25.15" customHeight="1">
      <c r="A73" s="133">
        <f t="shared" ref="A73:A76" si="14">A72+1</f>
        <v>65</v>
      </c>
      <c r="B73" s="69"/>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c r="AA73" s="246"/>
      <c r="AB73" s="246"/>
      <c r="AC73" s="246"/>
      <c r="AD73" s="246"/>
      <c r="AE73" s="246"/>
      <c r="AF73" s="246"/>
      <c r="AG73" s="246"/>
      <c r="AH73" s="246"/>
      <c r="AI73" s="246"/>
      <c r="AJ73" s="246"/>
      <c r="AK73" s="246"/>
      <c r="AL73" s="246"/>
      <c r="AM73" s="246"/>
      <c r="AN73" s="246"/>
      <c r="AO73" s="246"/>
      <c r="AP73" s="246"/>
      <c r="AQ73" s="246"/>
      <c r="AR73" s="246"/>
      <c r="AS73" s="246"/>
      <c r="AT73" s="246"/>
      <c r="AU73" s="246"/>
      <c r="AV73" s="246"/>
      <c r="AW73" s="246"/>
      <c r="AX73" s="246"/>
      <c r="AY73" s="246"/>
      <c r="AZ73" s="246"/>
      <c r="BA73" s="246"/>
      <c r="BB73" s="322"/>
      <c r="BC73" s="322"/>
      <c r="BD73" s="322"/>
      <c r="BE73" s="322"/>
      <c r="BF73" s="322"/>
      <c r="BG73" s="322"/>
      <c r="BH73" s="322"/>
      <c r="BI73" s="322"/>
      <c r="BJ73" s="322"/>
      <c r="BK73" s="322"/>
      <c r="BL73" s="322"/>
      <c r="BM73" s="322"/>
      <c r="BN73" s="322"/>
      <c r="BO73" s="322"/>
      <c r="BP73" s="322"/>
      <c r="BQ73" s="322"/>
      <c r="BR73" s="322"/>
      <c r="BS73" s="107"/>
      <c r="BT73" s="107"/>
      <c r="BU73" s="107"/>
      <c r="BV73" s="101"/>
      <c r="BW73" s="259"/>
      <c r="BX73" s="259"/>
      <c r="BY73" s="259"/>
      <c r="BZ73" s="259"/>
      <c r="CA73" s="259"/>
      <c r="CB73" s="259"/>
      <c r="CC73" s="259"/>
      <c r="CD73" s="259"/>
      <c r="CE73" s="259"/>
      <c r="CF73" s="259"/>
      <c r="CG73" s="259"/>
      <c r="CH73" s="259"/>
      <c r="CI73" s="259"/>
      <c r="CJ73" s="259"/>
      <c r="CK73" s="259"/>
      <c r="CL73" s="259"/>
      <c r="CM73" s="259"/>
      <c r="CN73" s="259"/>
      <c r="CO73" s="259"/>
      <c r="CP73" s="259"/>
      <c r="CQ73" s="259"/>
      <c r="CR73" s="259"/>
      <c r="CS73" s="259"/>
      <c r="CT73" s="259"/>
      <c r="CU73" s="259"/>
      <c r="CV73" s="259"/>
      <c r="CW73" s="259"/>
      <c r="CX73" s="259"/>
      <c r="CY73" s="259"/>
      <c r="CZ73" s="259"/>
      <c r="DA73" s="259"/>
      <c r="DB73" s="259"/>
      <c r="DC73" s="259"/>
      <c r="DD73" s="259"/>
      <c r="DE73" s="259"/>
      <c r="DF73" s="259"/>
      <c r="DG73" s="259"/>
      <c r="DH73" s="259"/>
      <c r="DI73" s="259"/>
      <c r="DJ73" s="259"/>
      <c r="DK73" s="259"/>
      <c r="DL73" s="314"/>
      <c r="DM73" s="314"/>
      <c r="DN73" s="314"/>
      <c r="DO73" s="314"/>
      <c r="DP73" s="314"/>
      <c r="DQ73" s="314"/>
      <c r="DR73" s="314"/>
      <c r="DS73" s="314"/>
      <c r="DT73" s="314"/>
      <c r="DU73" s="314"/>
      <c r="DV73" s="314"/>
      <c r="DW73" s="314"/>
      <c r="DX73" s="314"/>
      <c r="DY73" s="314"/>
      <c r="DZ73" s="314"/>
      <c r="EA73" s="314"/>
      <c r="EB73" s="314"/>
      <c r="EC73" s="73"/>
    </row>
    <row r="74" spans="1:133" ht="25.15" customHeight="1">
      <c r="A74" s="133">
        <f t="shared" si="14"/>
        <v>66</v>
      </c>
      <c r="B74" s="69"/>
      <c r="C74" s="101"/>
      <c r="D74" s="86"/>
      <c r="E74" s="101"/>
      <c r="F74" s="101"/>
      <c r="G74" s="70"/>
      <c r="H74" s="107"/>
      <c r="I74" s="107"/>
      <c r="J74" s="107"/>
      <c r="K74" s="107"/>
      <c r="L74" s="105"/>
      <c r="M74" s="107"/>
      <c r="N74" s="101"/>
      <c r="O74" s="86"/>
      <c r="Q74" s="92"/>
      <c r="R74" s="107"/>
      <c r="S74" s="92"/>
      <c r="T74" s="92"/>
      <c r="U74" s="92"/>
      <c r="V74" s="107"/>
      <c r="W74" s="92"/>
      <c r="X74" s="92"/>
      <c r="Y74" s="92"/>
      <c r="Z74" s="107"/>
      <c r="AA74" s="92"/>
      <c r="AB74" s="92"/>
      <c r="AC74" s="92"/>
      <c r="AD74" s="107"/>
      <c r="AE74" s="92"/>
      <c r="AF74" s="92"/>
      <c r="AG74" s="107"/>
      <c r="AH74" s="101"/>
      <c r="AI74" s="105"/>
      <c r="AJ74" s="92"/>
      <c r="AK74" s="107"/>
      <c r="AL74" s="92"/>
      <c r="AM74" s="92"/>
      <c r="AN74" s="92"/>
      <c r="AO74" s="107"/>
      <c r="AP74" s="92"/>
      <c r="AQ74" s="92"/>
      <c r="AR74" s="92"/>
      <c r="AS74" s="107"/>
      <c r="AT74" s="92"/>
      <c r="AU74" s="92"/>
      <c r="AV74" s="92"/>
      <c r="AW74" s="107"/>
      <c r="AX74" s="92"/>
      <c r="AY74" s="92"/>
      <c r="AZ74" s="107"/>
      <c r="BA74" s="105"/>
      <c r="BB74" s="105"/>
      <c r="BC74" s="92"/>
      <c r="BD74" s="107"/>
      <c r="BE74" s="92"/>
      <c r="BF74" s="92"/>
      <c r="BG74" s="92"/>
      <c r="BH74" s="107"/>
      <c r="BI74" s="92"/>
      <c r="BJ74" s="92"/>
      <c r="BK74" s="92"/>
      <c r="BL74" s="107"/>
      <c r="BM74" s="92"/>
      <c r="BN74" s="92"/>
      <c r="BO74" s="92"/>
      <c r="BP74" s="107"/>
      <c r="BQ74" s="92"/>
      <c r="BR74" s="92"/>
      <c r="BS74" s="107"/>
      <c r="BT74" s="101"/>
      <c r="BU74" s="105"/>
      <c r="BV74" s="92"/>
      <c r="BW74" s="107"/>
      <c r="BX74" s="92"/>
      <c r="BY74" s="92"/>
      <c r="BZ74" s="92"/>
      <c r="CA74" s="107"/>
      <c r="CB74" s="92"/>
      <c r="CC74" s="92"/>
      <c r="CD74" s="92"/>
      <c r="CE74" s="107"/>
      <c r="CF74" s="92"/>
      <c r="CG74" s="92"/>
      <c r="CH74" s="92"/>
      <c r="CI74" s="107"/>
      <c r="CJ74" s="92"/>
      <c r="CK74" s="92"/>
      <c r="CL74" s="107"/>
      <c r="CM74" s="105"/>
      <c r="CN74" s="105"/>
      <c r="CO74" s="92"/>
      <c r="CP74" s="107"/>
      <c r="CQ74" s="92"/>
      <c r="CR74" s="92"/>
      <c r="CS74" s="92"/>
      <c r="CT74" s="107"/>
      <c r="CU74" s="92"/>
      <c r="CV74" s="92"/>
      <c r="CW74" s="92"/>
      <c r="CX74" s="107"/>
      <c r="CY74" s="92"/>
      <c r="CZ74" s="92"/>
      <c r="DA74" s="92"/>
      <c r="DB74" s="107"/>
      <c r="DC74" s="92"/>
      <c r="DD74" s="92"/>
      <c r="DE74" s="107"/>
      <c r="DF74" s="105"/>
      <c r="DG74" s="105"/>
      <c r="DH74" s="92"/>
      <c r="DI74" s="107"/>
      <c r="DJ74" s="92"/>
      <c r="DK74" s="92"/>
      <c r="DL74" s="92"/>
      <c r="DM74" s="107"/>
      <c r="DN74" s="92"/>
      <c r="DO74" s="92"/>
      <c r="DP74" s="92"/>
      <c r="DQ74" s="107"/>
      <c r="DR74" s="92"/>
      <c r="DS74" s="92"/>
      <c r="DT74" s="92"/>
      <c r="DU74" s="107"/>
      <c r="DV74" s="92"/>
      <c r="DW74" s="92"/>
      <c r="DX74" s="107"/>
      <c r="EC74" s="73"/>
    </row>
    <row r="75" spans="1:133" s="47" customFormat="1" ht="25.15" customHeight="1">
      <c r="A75" s="133">
        <f t="shared" si="14"/>
        <v>67</v>
      </c>
      <c r="B75" s="69"/>
      <c r="C75" s="321" t="s">
        <v>272</v>
      </c>
      <c r="D75" s="321"/>
      <c r="E75" s="321"/>
      <c r="F75" s="321"/>
      <c r="G75" s="321"/>
      <c r="H75" s="321"/>
      <c r="I75" s="70"/>
      <c r="J75" s="105"/>
      <c r="K75" s="105"/>
      <c r="L75" s="105"/>
      <c r="M75" s="71"/>
      <c r="N75" s="71"/>
      <c r="O75" s="71"/>
      <c r="P75" s="71"/>
      <c r="Q75" s="92"/>
      <c r="R75" s="107"/>
      <c r="S75" s="92"/>
      <c r="T75" s="92"/>
      <c r="U75" s="92"/>
      <c r="V75" s="107"/>
      <c r="W75" s="92"/>
      <c r="X75" s="92"/>
      <c r="Y75" s="92"/>
      <c r="Z75" s="107"/>
      <c r="AA75" s="92"/>
      <c r="AB75" s="92"/>
      <c r="AC75" s="92"/>
      <c r="AD75" s="107"/>
      <c r="AE75" s="92"/>
      <c r="AF75" s="92"/>
      <c r="AG75" s="107"/>
      <c r="AH75" s="104"/>
      <c r="AI75" s="104"/>
      <c r="AJ75" s="92"/>
      <c r="AK75" s="107"/>
      <c r="AL75" s="92"/>
      <c r="AM75" s="92"/>
      <c r="AN75" s="92"/>
      <c r="AO75" s="107"/>
      <c r="AP75" s="92"/>
      <c r="AQ75" s="92"/>
      <c r="AR75" s="92"/>
      <c r="AS75" s="107"/>
      <c r="AT75" s="92"/>
      <c r="AU75" s="92"/>
      <c r="AV75" s="92"/>
      <c r="AW75" s="107"/>
      <c r="AX75" s="92"/>
      <c r="AY75" s="92"/>
      <c r="AZ75" s="107"/>
      <c r="BA75" s="71"/>
      <c r="BB75" s="71"/>
      <c r="BC75" s="92"/>
      <c r="BD75" s="107"/>
      <c r="BE75" s="92"/>
      <c r="BF75" s="92"/>
      <c r="BG75" s="92"/>
      <c r="BH75" s="107"/>
      <c r="BI75" s="92"/>
      <c r="BJ75" s="92"/>
      <c r="BK75" s="92"/>
      <c r="BL75" s="243" t="s">
        <v>297</v>
      </c>
      <c r="BM75" s="243"/>
      <c r="BN75" s="243"/>
      <c r="BO75" s="243"/>
      <c r="BP75" s="243"/>
      <c r="BQ75" s="243"/>
      <c r="BR75" s="243"/>
      <c r="BS75" s="107"/>
      <c r="BT75" s="104"/>
      <c r="BU75" s="72"/>
      <c r="BV75" s="92"/>
      <c r="BW75" s="107"/>
      <c r="BX75" s="92"/>
      <c r="BY75" s="92"/>
      <c r="BZ75" s="92"/>
      <c r="CA75" s="107"/>
      <c r="CB75" s="92"/>
      <c r="CC75" s="92"/>
      <c r="CD75" s="92"/>
      <c r="CE75" s="107"/>
      <c r="CF75" s="92"/>
      <c r="CG75" s="92"/>
      <c r="CH75" s="92"/>
      <c r="CI75" s="107"/>
      <c r="CJ75" s="92"/>
      <c r="CK75" s="92"/>
      <c r="CL75" s="107"/>
      <c r="CM75" s="74"/>
      <c r="CN75" s="70"/>
      <c r="CO75" s="92"/>
      <c r="CP75" s="107"/>
      <c r="CQ75" s="92"/>
      <c r="CR75" s="92"/>
      <c r="CS75" s="92"/>
      <c r="CT75" s="107"/>
      <c r="CU75" s="92"/>
      <c r="CV75" s="92"/>
      <c r="CW75" s="92"/>
      <c r="CX75" s="107"/>
      <c r="CY75" s="92"/>
      <c r="CZ75" s="92"/>
      <c r="DA75" s="92"/>
      <c r="DB75" s="107"/>
      <c r="DC75" s="92"/>
      <c r="DD75" s="92"/>
      <c r="DE75" s="107"/>
      <c r="DF75" s="104"/>
      <c r="DG75" s="104"/>
      <c r="DH75" s="92"/>
      <c r="DI75" s="107"/>
      <c r="DJ75" s="92"/>
      <c r="DK75" s="92"/>
      <c r="DL75" s="92"/>
      <c r="DM75" s="107"/>
      <c r="DN75" s="92"/>
      <c r="DO75" s="92"/>
      <c r="DP75" s="92"/>
      <c r="DQ75" s="107"/>
      <c r="DR75" s="92"/>
      <c r="DS75" s="92"/>
      <c r="DT75" s="92"/>
      <c r="DU75" s="107"/>
      <c r="DV75" s="92"/>
      <c r="DW75" s="92"/>
      <c r="DX75" s="107"/>
      <c r="DY75" s="104"/>
      <c r="DZ75" s="104"/>
      <c r="EA75" s="104"/>
      <c r="EB75" s="104"/>
      <c r="EC75" s="73"/>
    </row>
    <row r="76" spans="1:133" ht="25.15" customHeight="1" thickBot="1">
      <c r="A76" s="133">
        <f t="shared" si="14"/>
        <v>68</v>
      </c>
      <c r="B76" s="75"/>
      <c r="C76" s="129"/>
      <c r="D76" s="129"/>
      <c r="E76" s="129"/>
      <c r="F76" s="129"/>
      <c r="G76" s="129"/>
      <c r="H76" s="129"/>
      <c r="I76" s="88"/>
      <c r="J76" s="88"/>
      <c r="K76" s="88"/>
      <c r="L76" s="88"/>
      <c r="M76" s="76"/>
      <c r="N76" s="76"/>
      <c r="O76" s="76"/>
      <c r="P76" s="76"/>
      <c r="Q76" s="88"/>
      <c r="R76" s="88"/>
      <c r="S76" s="112"/>
      <c r="T76" s="112"/>
      <c r="U76" s="87"/>
      <c r="V76" s="88"/>
      <c r="W76" s="87"/>
      <c r="X76" s="88"/>
      <c r="Y76" s="87"/>
      <c r="Z76" s="88"/>
      <c r="AA76" s="87"/>
      <c r="AB76" s="88"/>
      <c r="AC76" s="112"/>
      <c r="AD76" s="112"/>
      <c r="AE76" s="112"/>
      <c r="AF76" s="112"/>
      <c r="AG76" s="112"/>
      <c r="AH76" s="112"/>
      <c r="AI76" s="112"/>
      <c r="AJ76" s="112"/>
      <c r="AK76" s="112"/>
      <c r="AL76" s="112"/>
      <c r="AM76" s="112"/>
      <c r="AN76" s="112"/>
      <c r="AO76" s="76"/>
      <c r="AP76" s="76"/>
      <c r="AQ76" s="76"/>
      <c r="AR76" s="76"/>
      <c r="AS76" s="76"/>
      <c r="AT76" s="76"/>
      <c r="AU76" s="76"/>
      <c r="AV76" s="89"/>
      <c r="AW76" s="90"/>
      <c r="AX76" s="90"/>
      <c r="AY76" s="76"/>
      <c r="AZ76" s="76"/>
      <c r="BA76" s="76"/>
      <c r="BB76" s="76"/>
      <c r="BC76" s="76"/>
      <c r="BD76" s="76"/>
      <c r="BE76" s="76"/>
      <c r="BF76" s="76"/>
      <c r="BG76" s="76"/>
      <c r="BH76" s="76"/>
      <c r="BI76" s="76"/>
      <c r="BJ76" s="76"/>
      <c r="BK76" s="112"/>
      <c r="BL76" s="112"/>
      <c r="BM76" s="112"/>
      <c r="BN76" s="112"/>
      <c r="BO76" s="112"/>
      <c r="BP76" s="112"/>
      <c r="BQ76" s="112"/>
      <c r="BR76" s="112"/>
      <c r="BS76" s="90"/>
      <c r="BT76" s="76"/>
      <c r="BU76" s="88"/>
      <c r="BV76" s="88"/>
      <c r="BW76" s="88"/>
      <c r="BX76" s="88"/>
      <c r="BY76" s="88"/>
      <c r="BZ76" s="88"/>
      <c r="CA76" s="88"/>
      <c r="CB76" s="88"/>
      <c r="CC76" s="76"/>
      <c r="CD76" s="76"/>
      <c r="CE76" s="112"/>
      <c r="CF76" s="112"/>
      <c r="CG76" s="88"/>
      <c r="CH76" s="88"/>
      <c r="CI76" s="112"/>
      <c r="CJ76" s="112"/>
      <c r="CK76" s="87"/>
      <c r="CL76" s="88"/>
      <c r="CM76" s="87"/>
      <c r="CN76" s="88"/>
      <c r="CO76" s="87"/>
      <c r="CP76" s="88"/>
      <c r="CQ76" s="87"/>
      <c r="CR76" s="88"/>
      <c r="CS76" s="112"/>
      <c r="CT76" s="112"/>
      <c r="CU76" s="112"/>
      <c r="CV76" s="112"/>
      <c r="CW76" s="112"/>
      <c r="CX76" s="112"/>
      <c r="CY76" s="112"/>
      <c r="CZ76" s="112"/>
      <c r="DA76" s="112"/>
      <c r="DB76" s="112"/>
      <c r="DC76" s="112"/>
      <c r="DD76" s="112"/>
      <c r="DE76" s="112"/>
      <c r="DF76" s="112"/>
      <c r="DG76" s="112"/>
      <c r="DH76" s="112"/>
      <c r="DI76" s="112"/>
      <c r="DJ76" s="112"/>
      <c r="DK76" s="112"/>
      <c r="DL76" s="112"/>
      <c r="DM76" s="112"/>
      <c r="DN76" s="112"/>
      <c r="DO76" s="112"/>
      <c r="DP76" s="112"/>
      <c r="DQ76" s="112"/>
      <c r="DR76" s="112"/>
      <c r="DS76" s="112"/>
      <c r="DT76" s="112"/>
      <c r="DU76" s="112"/>
      <c r="DV76" s="112"/>
      <c r="DW76" s="112"/>
      <c r="DX76" s="112"/>
      <c r="DY76" s="112"/>
      <c r="DZ76" s="112"/>
      <c r="EA76" s="112"/>
      <c r="EB76" s="112"/>
      <c r="EC76" s="77"/>
    </row>
    <row r="77" spans="1:133" ht="25.15" customHeight="1">
      <c r="A77" s="133">
        <v>0</v>
      </c>
      <c r="B77" s="104" t="s">
        <v>24</v>
      </c>
      <c r="C77" s="104" t="s">
        <v>24</v>
      </c>
      <c r="D77" s="104" t="s">
        <v>24</v>
      </c>
      <c r="E77" s="104" t="s">
        <v>24</v>
      </c>
      <c r="F77" s="104" t="s">
        <v>24</v>
      </c>
      <c r="G77" s="104" t="s">
        <v>24</v>
      </c>
      <c r="H77" s="104" t="s">
        <v>24</v>
      </c>
      <c r="I77" s="104" t="s">
        <v>24</v>
      </c>
      <c r="J77" s="104" t="s">
        <v>24</v>
      </c>
      <c r="K77" s="104">
        <v>1</v>
      </c>
      <c r="L77" s="104" t="s">
        <v>24</v>
      </c>
      <c r="M77" s="104" t="s">
        <v>24</v>
      </c>
      <c r="N77" s="104" t="s">
        <v>24</v>
      </c>
      <c r="O77" s="104" t="s">
        <v>24</v>
      </c>
      <c r="P77" s="104" t="s">
        <v>24</v>
      </c>
      <c r="Q77" s="104" t="s">
        <v>24</v>
      </c>
      <c r="R77" s="104" t="s">
        <v>24</v>
      </c>
      <c r="S77" s="104" t="s">
        <v>24</v>
      </c>
      <c r="T77" s="104" t="s">
        <v>24</v>
      </c>
      <c r="U77" s="104">
        <v>2</v>
      </c>
      <c r="V77" s="104" t="s">
        <v>24</v>
      </c>
      <c r="W77" s="104" t="s">
        <v>24</v>
      </c>
      <c r="X77" s="104" t="s">
        <v>24</v>
      </c>
      <c r="Y77" s="104" t="s">
        <v>24</v>
      </c>
      <c r="Z77" s="104" t="s">
        <v>24</v>
      </c>
      <c r="AA77" s="104" t="s">
        <v>24</v>
      </c>
      <c r="AB77" s="104" t="s">
        <v>24</v>
      </c>
      <c r="AC77" s="104" t="s">
        <v>24</v>
      </c>
      <c r="AD77" s="104" t="s">
        <v>24</v>
      </c>
      <c r="AE77" s="104">
        <v>3</v>
      </c>
      <c r="AF77" s="104" t="s">
        <v>24</v>
      </c>
      <c r="AG77" s="104" t="s">
        <v>24</v>
      </c>
      <c r="AH77" s="104" t="s">
        <v>24</v>
      </c>
      <c r="AI77" s="104" t="s">
        <v>24</v>
      </c>
      <c r="AJ77" s="104" t="s">
        <v>24</v>
      </c>
      <c r="AK77" s="104" t="s">
        <v>24</v>
      </c>
      <c r="AL77" s="104" t="s">
        <v>24</v>
      </c>
      <c r="AM77" s="104" t="s">
        <v>24</v>
      </c>
      <c r="AN77" s="104" t="s">
        <v>24</v>
      </c>
      <c r="AO77" s="104">
        <v>4</v>
      </c>
      <c r="AP77" s="104" t="s">
        <v>24</v>
      </c>
      <c r="AQ77" s="104" t="s">
        <v>24</v>
      </c>
      <c r="AR77" s="104" t="s">
        <v>24</v>
      </c>
      <c r="AS77" s="104" t="s">
        <v>24</v>
      </c>
      <c r="AT77" s="104" t="s">
        <v>24</v>
      </c>
      <c r="AU77" s="104" t="s">
        <v>24</v>
      </c>
      <c r="AV77" s="104" t="s">
        <v>24</v>
      </c>
      <c r="AW77" s="104" t="s">
        <v>24</v>
      </c>
      <c r="AX77" s="104" t="s">
        <v>24</v>
      </c>
      <c r="AY77" s="104">
        <v>5</v>
      </c>
      <c r="AZ77" s="104" t="s">
        <v>24</v>
      </c>
      <c r="BA77" s="104" t="s">
        <v>24</v>
      </c>
      <c r="BB77" s="104" t="s">
        <v>24</v>
      </c>
      <c r="BC77" s="104" t="s">
        <v>24</v>
      </c>
      <c r="BD77" s="104" t="s">
        <v>24</v>
      </c>
      <c r="BE77" s="104" t="s">
        <v>24</v>
      </c>
      <c r="BF77" s="104" t="s">
        <v>24</v>
      </c>
      <c r="BG77" s="104" t="s">
        <v>24</v>
      </c>
      <c r="BH77" s="104" t="s">
        <v>24</v>
      </c>
      <c r="BI77" s="104">
        <v>6</v>
      </c>
      <c r="BJ77" s="104" t="s">
        <v>24</v>
      </c>
      <c r="BK77" s="104" t="s">
        <v>24</v>
      </c>
      <c r="BL77" s="104" t="s">
        <v>24</v>
      </c>
      <c r="BM77" s="104" t="s">
        <v>24</v>
      </c>
      <c r="BN77" s="104" t="s">
        <v>24</v>
      </c>
      <c r="BO77" s="104" t="s">
        <v>24</v>
      </c>
      <c r="BP77" s="104" t="s">
        <v>24</v>
      </c>
      <c r="BQ77" s="104" t="s">
        <v>24</v>
      </c>
      <c r="BR77" s="104" t="s">
        <v>24</v>
      </c>
      <c r="BS77" s="104">
        <v>7</v>
      </c>
      <c r="BT77" s="104" t="s">
        <v>24</v>
      </c>
      <c r="BU77" s="104" t="s">
        <v>24</v>
      </c>
      <c r="BV77" s="104" t="s">
        <v>24</v>
      </c>
      <c r="BW77" s="104" t="s">
        <v>24</v>
      </c>
      <c r="BX77" s="104" t="s">
        <v>24</v>
      </c>
      <c r="BY77" s="104" t="s">
        <v>24</v>
      </c>
      <c r="BZ77" s="104" t="s">
        <v>24</v>
      </c>
      <c r="CA77" s="104" t="s">
        <v>24</v>
      </c>
      <c r="CB77" s="104" t="s">
        <v>24</v>
      </c>
      <c r="CC77" s="104">
        <v>8</v>
      </c>
      <c r="CD77" s="104" t="s">
        <v>24</v>
      </c>
      <c r="CE77" s="104" t="s">
        <v>24</v>
      </c>
      <c r="CF77" s="104" t="s">
        <v>24</v>
      </c>
      <c r="CG77" s="104" t="s">
        <v>24</v>
      </c>
      <c r="CH77" s="104" t="s">
        <v>24</v>
      </c>
      <c r="CI77" s="104" t="s">
        <v>24</v>
      </c>
      <c r="CJ77" s="104" t="s">
        <v>24</v>
      </c>
      <c r="CK77" s="104" t="s">
        <v>24</v>
      </c>
      <c r="CL77" s="104" t="s">
        <v>24</v>
      </c>
      <c r="CM77" s="104">
        <v>9</v>
      </c>
      <c r="CN77" s="104" t="s">
        <v>24</v>
      </c>
      <c r="CO77" s="104" t="s">
        <v>24</v>
      </c>
      <c r="CP77" s="104" t="s">
        <v>24</v>
      </c>
      <c r="CQ77" s="104" t="s">
        <v>24</v>
      </c>
      <c r="CR77" s="104" t="s">
        <v>24</v>
      </c>
      <c r="CS77" s="104" t="s">
        <v>24</v>
      </c>
      <c r="CT77" s="104" t="s">
        <v>24</v>
      </c>
      <c r="CU77" s="104" t="s">
        <v>24</v>
      </c>
      <c r="CV77" s="104" t="s">
        <v>24</v>
      </c>
      <c r="CW77" s="104">
        <v>0</v>
      </c>
      <c r="CX77" s="104" t="s">
        <v>24</v>
      </c>
      <c r="CY77" s="104" t="s">
        <v>24</v>
      </c>
      <c r="CZ77" s="104" t="s">
        <v>24</v>
      </c>
      <c r="DA77" s="104" t="s">
        <v>24</v>
      </c>
      <c r="DB77" s="104" t="s">
        <v>24</v>
      </c>
      <c r="DC77" s="104" t="s">
        <v>24</v>
      </c>
      <c r="DD77" s="104" t="s">
        <v>24</v>
      </c>
      <c r="DE77" s="104" t="s">
        <v>24</v>
      </c>
      <c r="DF77" s="104" t="s">
        <v>24</v>
      </c>
      <c r="DG77" s="104">
        <v>1</v>
      </c>
      <c r="DH77" s="104" t="s">
        <v>24</v>
      </c>
      <c r="DI77" s="104" t="s">
        <v>24</v>
      </c>
      <c r="DJ77" s="104" t="s">
        <v>24</v>
      </c>
      <c r="DK77" s="104" t="s">
        <v>24</v>
      </c>
      <c r="DL77" s="104" t="s">
        <v>24</v>
      </c>
      <c r="DM77" s="104" t="s">
        <v>24</v>
      </c>
      <c r="DN77" s="104" t="s">
        <v>24</v>
      </c>
      <c r="DO77" s="104" t="s">
        <v>24</v>
      </c>
      <c r="DP77" s="104" t="s">
        <v>24</v>
      </c>
      <c r="DQ77" s="104">
        <v>2</v>
      </c>
      <c r="DR77" s="104" t="s">
        <v>24</v>
      </c>
      <c r="DS77" s="104" t="s">
        <v>24</v>
      </c>
      <c r="DT77" s="104" t="s">
        <v>24</v>
      </c>
      <c r="DU77" s="104" t="s">
        <v>24</v>
      </c>
      <c r="DV77" s="104" t="s">
        <v>24</v>
      </c>
      <c r="DW77" s="104" t="s">
        <v>24</v>
      </c>
      <c r="DX77" s="104" t="s">
        <v>24</v>
      </c>
      <c r="DY77" s="104" t="s">
        <v>24</v>
      </c>
      <c r="DZ77" s="104" t="s">
        <v>24</v>
      </c>
      <c r="EA77" s="104">
        <v>3</v>
      </c>
      <c r="EB77" s="104" t="s">
        <v>24</v>
      </c>
      <c r="EC77" s="134" t="s">
        <v>24</v>
      </c>
    </row>
    <row r="78" spans="1:133" ht="25.15" customHeight="1">
      <c r="A78" s="133">
        <v>0</v>
      </c>
      <c r="B78" s="104">
        <f t="shared" ref="B78:J78" si="15">(A78+1)</f>
        <v>1</v>
      </c>
      <c r="C78" s="104">
        <f t="shared" si="15"/>
        <v>2</v>
      </c>
      <c r="D78" s="104">
        <f t="shared" si="15"/>
        <v>3</v>
      </c>
      <c r="E78" s="104">
        <f t="shared" si="15"/>
        <v>4</v>
      </c>
      <c r="F78" s="104">
        <f t="shared" si="15"/>
        <v>5</v>
      </c>
      <c r="G78" s="104">
        <f t="shared" si="15"/>
        <v>6</v>
      </c>
      <c r="H78" s="104">
        <f t="shared" si="15"/>
        <v>7</v>
      </c>
      <c r="I78" s="104">
        <f t="shared" si="15"/>
        <v>8</v>
      </c>
      <c r="J78" s="104">
        <f t="shared" si="15"/>
        <v>9</v>
      </c>
      <c r="K78" s="104">
        <v>0</v>
      </c>
      <c r="L78" s="104">
        <f t="shared" ref="L78:T78" si="16">(K78+1)</f>
        <v>1</v>
      </c>
      <c r="M78" s="104">
        <f t="shared" si="16"/>
        <v>2</v>
      </c>
      <c r="N78" s="104">
        <f t="shared" si="16"/>
        <v>3</v>
      </c>
      <c r="O78" s="104">
        <f t="shared" si="16"/>
        <v>4</v>
      </c>
      <c r="P78" s="104">
        <f t="shared" si="16"/>
        <v>5</v>
      </c>
      <c r="Q78" s="104">
        <f t="shared" si="16"/>
        <v>6</v>
      </c>
      <c r="R78" s="104">
        <f t="shared" si="16"/>
        <v>7</v>
      </c>
      <c r="S78" s="104">
        <f t="shared" si="16"/>
        <v>8</v>
      </c>
      <c r="T78" s="104">
        <f t="shared" si="16"/>
        <v>9</v>
      </c>
      <c r="U78" s="104">
        <v>0</v>
      </c>
      <c r="V78" s="104">
        <f t="shared" ref="V78:AD78" si="17">(U78+1)</f>
        <v>1</v>
      </c>
      <c r="W78" s="104">
        <f t="shared" si="17"/>
        <v>2</v>
      </c>
      <c r="X78" s="104">
        <f t="shared" si="17"/>
        <v>3</v>
      </c>
      <c r="Y78" s="104">
        <f t="shared" si="17"/>
        <v>4</v>
      </c>
      <c r="Z78" s="104">
        <f t="shared" si="17"/>
        <v>5</v>
      </c>
      <c r="AA78" s="104">
        <f t="shared" si="17"/>
        <v>6</v>
      </c>
      <c r="AB78" s="104">
        <f t="shared" si="17"/>
        <v>7</v>
      </c>
      <c r="AC78" s="104">
        <f t="shared" si="17"/>
        <v>8</v>
      </c>
      <c r="AD78" s="104">
        <f t="shared" si="17"/>
        <v>9</v>
      </c>
      <c r="AE78" s="104">
        <v>0</v>
      </c>
      <c r="AF78" s="104">
        <f t="shared" ref="AF78:AN78" si="18">(AE78+1)</f>
        <v>1</v>
      </c>
      <c r="AG78" s="104">
        <f t="shared" si="18"/>
        <v>2</v>
      </c>
      <c r="AH78" s="104">
        <f t="shared" si="18"/>
        <v>3</v>
      </c>
      <c r="AI78" s="104">
        <f t="shared" si="18"/>
        <v>4</v>
      </c>
      <c r="AJ78" s="104">
        <f t="shared" si="18"/>
        <v>5</v>
      </c>
      <c r="AK78" s="104">
        <f t="shared" si="18"/>
        <v>6</v>
      </c>
      <c r="AL78" s="104">
        <f t="shared" si="18"/>
        <v>7</v>
      </c>
      <c r="AM78" s="104">
        <f t="shared" si="18"/>
        <v>8</v>
      </c>
      <c r="AN78" s="104">
        <f t="shared" si="18"/>
        <v>9</v>
      </c>
      <c r="AO78" s="104">
        <v>0</v>
      </c>
      <c r="AP78" s="104">
        <f t="shared" ref="AP78:AX78" si="19">(AO78+1)</f>
        <v>1</v>
      </c>
      <c r="AQ78" s="104">
        <f t="shared" si="19"/>
        <v>2</v>
      </c>
      <c r="AR78" s="104">
        <f t="shared" si="19"/>
        <v>3</v>
      </c>
      <c r="AS78" s="104">
        <f t="shared" si="19"/>
        <v>4</v>
      </c>
      <c r="AT78" s="104">
        <f t="shared" si="19"/>
        <v>5</v>
      </c>
      <c r="AU78" s="104">
        <f t="shared" si="19"/>
        <v>6</v>
      </c>
      <c r="AV78" s="104">
        <f t="shared" si="19"/>
        <v>7</v>
      </c>
      <c r="AW78" s="104">
        <f t="shared" si="19"/>
        <v>8</v>
      </c>
      <c r="AX78" s="104">
        <f t="shared" si="19"/>
        <v>9</v>
      </c>
      <c r="AY78" s="104">
        <v>0</v>
      </c>
      <c r="AZ78" s="104">
        <f t="shared" ref="AZ78:BH78" si="20">(AY78+1)</f>
        <v>1</v>
      </c>
      <c r="BA78" s="104">
        <f t="shared" si="20"/>
        <v>2</v>
      </c>
      <c r="BB78" s="104">
        <f t="shared" si="20"/>
        <v>3</v>
      </c>
      <c r="BC78" s="104">
        <f t="shared" si="20"/>
        <v>4</v>
      </c>
      <c r="BD78" s="104">
        <f t="shared" si="20"/>
        <v>5</v>
      </c>
      <c r="BE78" s="104">
        <f t="shared" si="20"/>
        <v>6</v>
      </c>
      <c r="BF78" s="104">
        <f t="shared" si="20"/>
        <v>7</v>
      </c>
      <c r="BG78" s="104">
        <f t="shared" si="20"/>
        <v>8</v>
      </c>
      <c r="BH78" s="104">
        <f t="shared" si="20"/>
        <v>9</v>
      </c>
      <c r="BI78" s="104">
        <v>0</v>
      </c>
      <c r="BJ78" s="104">
        <f t="shared" ref="BJ78:BR78" si="21">(BI78+1)</f>
        <v>1</v>
      </c>
      <c r="BK78" s="104">
        <f t="shared" si="21"/>
        <v>2</v>
      </c>
      <c r="BL78" s="104">
        <f t="shared" si="21"/>
        <v>3</v>
      </c>
      <c r="BM78" s="104">
        <f t="shared" si="21"/>
        <v>4</v>
      </c>
      <c r="BN78" s="104">
        <f t="shared" si="21"/>
        <v>5</v>
      </c>
      <c r="BO78" s="104">
        <f t="shared" si="21"/>
        <v>6</v>
      </c>
      <c r="BP78" s="104">
        <f t="shared" si="21"/>
        <v>7</v>
      </c>
      <c r="BQ78" s="104">
        <f>(BP78+1)</f>
        <v>8</v>
      </c>
      <c r="BR78" s="104">
        <f t="shared" si="21"/>
        <v>9</v>
      </c>
      <c r="BS78" s="104">
        <v>0</v>
      </c>
      <c r="BT78" s="104">
        <f t="shared" ref="BT78:CB78" si="22">(BS78+1)</f>
        <v>1</v>
      </c>
      <c r="BU78" s="104">
        <f t="shared" si="22"/>
        <v>2</v>
      </c>
      <c r="BV78" s="104">
        <f t="shared" si="22"/>
        <v>3</v>
      </c>
      <c r="BW78" s="104">
        <f t="shared" si="22"/>
        <v>4</v>
      </c>
      <c r="BX78" s="104">
        <f t="shared" si="22"/>
        <v>5</v>
      </c>
      <c r="BY78" s="104">
        <f t="shared" si="22"/>
        <v>6</v>
      </c>
      <c r="BZ78" s="104">
        <f t="shared" si="22"/>
        <v>7</v>
      </c>
      <c r="CA78" s="104">
        <f t="shared" si="22"/>
        <v>8</v>
      </c>
      <c r="CB78" s="104">
        <f t="shared" si="22"/>
        <v>9</v>
      </c>
      <c r="CC78" s="104">
        <v>0</v>
      </c>
      <c r="CD78" s="104">
        <f t="shared" ref="CD78:CL78" si="23">(CC78+1)</f>
        <v>1</v>
      </c>
      <c r="CE78" s="104">
        <f t="shared" si="23"/>
        <v>2</v>
      </c>
      <c r="CF78" s="104">
        <f t="shared" si="23"/>
        <v>3</v>
      </c>
      <c r="CG78" s="104">
        <f t="shared" si="23"/>
        <v>4</v>
      </c>
      <c r="CH78" s="104">
        <f t="shared" si="23"/>
        <v>5</v>
      </c>
      <c r="CI78" s="104">
        <f t="shared" si="23"/>
        <v>6</v>
      </c>
      <c r="CJ78" s="104">
        <f t="shared" si="23"/>
        <v>7</v>
      </c>
      <c r="CK78" s="104">
        <f t="shared" si="23"/>
        <v>8</v>
      </c>
      <c r="CL78" s="104">
        <f t="shared" si="23"/>
        <v>9</v>
      </c>
      <c r="CM78" s="104">
        <v>0</v>
      </c>
      <c r="CN78" s="104">
        <f t="shared" ref="CN78:CV78" si="24">(CM78+1)</f>
        <v>1</v>
      </c>
      <c r="CO78" s="104">
        <f t="shared" si="24"/>
        <v>2</v>
      </c>
      <c r="CP78" s="104">
        <f t="shared" si="24"/>
        <v>3</v>
      </c>
      <c r="CQ78" s="104">
        <f t="shared" si="24"/>
        <v>4</v>
      </c>
      <c r="CR78" s="104">
        <f t="shared" si="24"/>
        <v>5</v>
      </c>
      <c r="CS78" s="104">
        <f t="shared" si="24"/>
        <v>6</v>
      </c>
      <c r="CT78" s="104">
        <f t="shared" si="24"/>
        <v>7</v>
      </c>
      <c r="CU78" s="104">
        <f t="shared" si="24"/>
        <v>8</v>
      </c>
      <c r="CV78" s="104">
        <f t="shared" si="24"/>
        <v>9</v>
      </c>
      <c r="CW78" s="104">
        <v>0</v>
      </c>
      <c r="CX78" s="104">
        <f t="shared" ref="CX78:DF78" si="25">(CW78+1)</f>
        <v>1</v>
      </c>
      <c r="CY78" s="104">
        <f t="shared" si="25"/>
        <v>2</v>
      </c>
      <c r="CZ78" s="104">
        <f t="shared" si="25"/>
        <v>3</v>
      </c>
      <c r="DA78" s="104">
        <f t="shared" si="25"/>
        <v>4</v>
      </c>
      <c r="DB78" s="104">
        <f t="shared" si="25"/>
        <v>5</v>
      </c>
      <c r="DC78" s="104">
        <f t="shared" si="25"/>
        <v>6</v>
      </c>
      <c r="DD78" s="104">
        <f t="shared" si="25"/>
        <v>7</v>
      </c>
      <c r="DE78" s="104">
        <f t="shared" si="25"/>
        <v>8</v>
      </c>
      <c r="DF78" s="104">
        <f t="shared" si="25"/>
        <v>9</v>
      </c>
      <c r="DG78" s="104">
        <v>0</v>
      </c>
      <c r="DH78" s="104">
        <f t="shared" ref="DH78:DP78" si="26">(DG78+1)</f>
        <v>1</v>
      </c>
      <c r="DI78" s="104">
        <f t="shared" si="26"/>
        <v>2</v>
      </c>
      <c r="DJ78" s="104">
        <f t="shared" si="26"/>
        <v>3</v>
      </c>
      <c r="DK78" s="135">
        <f t="shared" si="26"/>
        <v>4</v>
      </c>
      <c r="DL78" s="135">
        <f t="shared" si="26"/>
        <v>5</v>
      </c>
      <c r="DM78" s="135">
        <f t="shared" si="26"/>
        <v>6</v>
      </c>
      <c r="DN78" s="135">
        <f t="shared" si="26"/>
        <v>7</v>
      </c>
      <c r="DO78" s="135">
        <f t="shared" si="26"/>
        <v>8</v>
      </c>
      <c r="DP78" s="135">
        <f t="shared" si="26"/>
        <v>9</v>
      </c>
      <c r="DQ78" s="135">
        <v>0</v>
      </c>
      <c r="DR78" s="135">
        <f t="shared" ref="DR78:DZ78" si="27">(DQ78+1)</f>
        <v>1</v>
      </c>
      <c r="DS78" s="135">
        <f t="shared" si="27"/>
        <v>2</v>
      </c>
      <c r="DT78" s="135">
        <f t="shared" si="27"/>
        <v>3</v>
      </c>
      <c r="DU78" s="135">
        <f t="shared" si="27"/>
        <v>4</v>
      </c>
      <c r="DV78" s="104">
        <f t="shared" si="27"/>
        <v>5</v>
      </c>
      <c r="DW78" s="104">
        <f t="shared" si="27"/>
        <v>6</v>
      </c>
      <c r="DX78" s="104">
        <f t="shared" si="27"/>
        <v>7</v>
      </c>
      <c r="DY78" s="104">
        <f t="shared" si="27"/>
        <v>8</v>
      </c>
      <c r="DZ78" s="104">
        <f t="shared" si="27"/>
        <v>9</v>
      </c>
      <c r="EA78" s="104">
        <v>0</v>
      </c>
      <c r="EB78" s="104">
        <f>(EA78+1)</f>
        <v>1</v>
      </c>
      <c r="EC78" s="134">
        <f>(EB78+1)</f>
        <v>2</v>
      </c>
    </row>
    <row r="79" spans="1:133" ht="25.15" customHeight="1">
      <c r="A79" s="133">
        <f t="shared" ref="A79:A134" si="28">A78+1</f>
        <v>1</v>
      </c>
      <c r="B79" s="91"/>
      <c r="C79" s="93"/>
      <c r="D79" s="93"/>
      <c r="E79" s="93"/>
      <c r="F79" s="93"/>
      <c r="G79" s="93"/>
      <c r="H79" s="93"/>
      <c r="I79" s="93"/>
      <c r="J79" s="93"/>
      <c r="K79" s="93"/>
      <c r="L79" s="93"/>
      <c r="M79" s="93"/>
      <c r="N79" s="93"/>
      <c r="O79" s="93"/>
      <c r="P79" s="93"/>
      <c r="Q79" s="93"/>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c r="BC79" s="262"/>
      <c r="BD79" s="262"/>
      <c r="BE79" s="261"/>
      <c r="BF79" s="261"/>
      <c r="BG79" s="262"/>
      <c r="BH79" s="262"/>
      <c r="BI79" s="261"/>
      <c r="BJ79" s="261"/>
      <c r="BK79" s="262"/>
      <c r="BL79" s="262"/>
      <c r="BM79" s="261"/>
      <c r="BN79" s="261"/>
      <c r="BO79" s="262"/>
      <c r="BP79" s="262"/>
      <c r="BQ79" s="261"/>
      <c r="BR79" s="261"/>
      <c r="BS79" s="262"/>
      <c r="BT79" s="262"/>
      <c r="BU79" s="95"/>
      <c r="BV79" s="95"/>
      <c r="BW79" s="96"/>
      <c r="BX79" s="96"/>
      <c r="BY79" s="95"/>
      <c r="BZ79" s="95"/>
      <c r="CA79" s="262"/>
      <c r="CB79" s="262"/>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5"/>
      <c r="DE79" s="95"/>
      <c r="DF79" s="95"/>
      <c r="DG79" s="95"/>
      <c r="DH79" s="95"/>
      <c r="DI79" s="95"/>
      <c r="DJ79" s="93"/>
      <c r="DK79" s="92"/>
      <c r="DL79" s="92"/>
      <c r="DM79" s="98"/>
      <c r="DN79" s="98"/>
      <c r="DO79" s="92"/>
      <c r="DP79" s="92"/>
      <c r="DQ79" s="92"/>
      <c r="DR79" s="99"/>
      <c r="DS79" s="285"/>
      <c r="DT79" s="285"/>
      <c r="DU79" s="101"/>
      <c r="DV79" s="94"/>
      <c r="DW79" s="94"/>
      <c r="DX79" s="94"/>
      <c r="DY79" s="94"/>
      <c r="DZ79" s="93"/>
      <c r="EA79" s="93"/>
      <c r="EB79" s="67"/>
      <c r="EC79" s="68"/>
    </row>
    <row r="80" spans="1:133" ht="25.15" customHeight="1">
      <c r="A80" s="133">
        <f t="shared" si="28"/>
        <v>2</v>
      </c>
      <c r="B80" s="100"/>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251"/>
      <c r="AV80" s="251"/>
      <c r="AW80" s="251"/>
      <c r="AX80" s="251"/>
      <c r="AY80" s="251"/>
      <c r="AZ80" s="251"/>
      <c r="BA80" s="251"/>
      <c r="BB80" s="251"/>
      <c r="BC80" s="251"/>
      <c r="BD80" s="251"/>
      <c r="BE80" s="251"/>
      <c r="BF80" s="251"/>
      <c r="BG80" s="251"/>
      <c r="BH80" s="251"/>
      <c r="BI80" s="251"/>
      <c r="BJ80" s="251"/>
      <c r="BK80" s="251"/>
      <c r="BL80" s="251"/>
      <c r="BM80" s="251"/>
      <c r="BN80" s="251"/>
      <c r="BO80" s="251"/>
      <c r="BP80" s="251"/>
      <c r="BQ80" s="251"/>
      <c r="BR80" s="251"/>
      <c r="BS80" s="251"/>
      <c r="BT80" s="251"/>
      <c r="BU80" s="251"/>
      <c r="BV80" s="251"/>
      <c r="BW80" s="251"/>
      <c r="BX80" s="251"/>
      <c r="BY80" s="251"/>
      <c r="BZ80" s="251"/>
      <c r="CA80" s="251"/>
      <c r="CB80" s="251"/>
      <c r="CC80" s="251"/>
      <c r="CD80" s="251"/>
      <c r="CE80" s="251"/>
      <c r="CF80" s="251"/>
      <c r="CG80" s="251"/>
      <c r="CH80" s="251"/>
      <c r="CI80" s="251"/>
      <c r="CJ80" s="251"/>
      <c r="CK80" s="251"/>
      <c r="CL80" s="251"/>
      <c r="CM80" s="251"/>
      <c r="CN80" s="251"/>
      <c r="CO80" s="251"/>
      <c r="CP80" s="251"/>
      <c r="CQ80" s="251"/>
      <c r="CR80" s="251"/>
      <c r="CS80" s="251"/>
      <c r="CT80" s="251"/>
      <c r="CU80" s="251"/>
      <c r="CV80" s="251"/>
      <c r="CW80" s="251"/>
      <c r="CX80" s="251"/>
      <c r="CY80" s="251"/>
      <c r="CZ80" s="251"/>
      <c r="DA80" s="251"/>
      <c r="DB80" s="251"/>
      <c r="DC80" s="251"/>
      <c r="DD80" s="251"/>
      <c r="DE80" s="251"/>
      <c r="DF80" s="251"/>
      <c r="DG80" s="251"/>
      <c r="DH80" s="251"/>
      <c r="DI80" s="251"/>
      <c r="DJ80" s="251"/>
      <c r="DK80" s="251"/>
      <c r="DL80" s="251"/>
      <c r="DM80" s="251"/>
      <c r="DN80" s="251"/>
      <c r="DO80" s="251"/>
      <c r="DP80" s="251"/>
      <c r="DQ80" s="251"/>
      <c r="DR80" s="251"/>
      <c r="DS80" s="251"/>
      <c r="DT80" s="251"/>
      <c r="DU80" s="251"/>
      <c r="DV80" s="251"/>
      <c r="DW80" s="251"/>
      <c r="DX80" s="251"/>
      <c r="DY80" s="251"/>
      <c r="DZ80" s="251"/>
      <c r="EA80" s="251"/>
      <c r="EB80" s="251"/>
      <c r="EC80" s="73"/>
    </row>
    <row r="81" spans="1:133" ht="25.15" customHeight="1">
      <c r="A81" s="133">
        <f t="shared" si="28"/>
        <v>3</v>
      </c>
      <c r="B81" s="100"/>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47"/>
      <c r="BG81" s="47"/>
      <c r="BH81" s="47"/>
      <c r="BI81" s="47"/>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c r="DK81" s="101"/>
      <c r="DL81" s="101"/>
      <c r="DM81" s="101"/>
      <c r="DN81" s="101"/>
      <c r="DO81" s="101"/>
      <c r="DP81" s="101"/>
      <c r="DQ81" s="101"/>
      <c r="DR81" s="101"/>
      <c r="DS81" s="101"/>
      <c r="DT81" s="101"/>
      <c r="DU81" s="101"/>
      <c r="DV81" s="101"/>
      <c r="DW81" s="101"/>
      <c r="DX81" s="101"/>
      <c r="DY81" s="101"/>
      <c r="DZ81" s="101"/>
      <c r="EA81" s="92"/>
      <c r="EB81" s="71"/>
      <c r="EC81" s="73"/>
    </row>
    <row r="82" spans="1:133" ht="25.15" customHeight="1">
      <c r="A82" s="133" t="e">
        <f>#REF!+1</f>
        <v>#REF!</v>
      </c>
      <c r="B82" s="100"/>
      <c r="C82" s="105"/>
      <c r="D82" s="105"/>
      <c r="E82" s="105"/>
      <c r="F82" s="105"/>
      <c r="G82" s="105"/>
      <c r="H82" s="105"/>
      <c r="I82" s="101"/>
      <c r="J82" s="101"/>
      <c r="K82" s="101"/>
      <c r="L82" s="101"/>
      <c r="M82" s="101"/>
      <c r="N82" s="101"/>
      <c r="O82" s="101"/>
      <c r="P82" s="101"/>
      <c r="Q82" s="105"/>
      <c r="R82" s="105"/>
      <c r="S82" s="105"/>
      <c r="T82" s="105"/>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5"/>
      <c r="CX82" s="105"/>
      <c r="CY82" s="105"/>
      <c r="CZ82" s="105"/>
      <c r="DA82" s="101"/>
      <c r="DB82" s="101"/>
      <c r="DC82" s="101"/>
      <c r="DD82" s="101"/>
      <c r="DE82" s="101"/>
      <c r="DF82" s="101"/>
      <c r="DG82" s="101"/>
      <c r="DH82" s="101"/>
      <c r="DI82" s="101"/>
      <c r="DJ82" s="101"/>
      <c r="DK82" s="101"/>
      <c r="DL82" s="101"/>
      <c r="DM82" s="101"/>
      <c r="DN82" s="101"/>
      <c r="DO82" s="101"/>
      <c r="DP82" s="101"/>
      <c r="DQ82" s="101"/>
      <c r="DR82" s="101"/>
      <c r="DS82" s="101"/>
      <c r="DT82" s="101"/>
      <c r="DU82" s="101"/>
      <c r="DV82" s="101"/>
      <c r="DW82" s="101"/>
      <c r="DX82" s="101"/>
      <c r="DY82" s="101"/>
      <c r="DZ82" s="101"/>
      <c r="EA82" s="92"/>
      <c r="EB82" s="71"/>
      <c r="EC82" s="73"/>
    </row>
    <row r="83" spans="1:133" s="47" customFormat="1" ht="25.15" customHeight="1">
      <c r="A83" s="1" t="e">
        <f t="shared" si="28"/>
        <v>#REF!</v>
      </c>
      <c r="B83" s="69"/>
      <c r="C83" s="255" t="s">
        <v>245</v>
      </c>
      <c r="D83" s="255"/>
      <c r="E83" s="255"/>
      <c r="F83" s="255"/>
      <c r="G83" s="255"/>
      <c r="H83" s="255"/>
      <c r="I83" s="255"/>
      <c r="J83" s="255"/>
      <c r="K83" s="255"/>
      <c r="L83" s="255"/>
      <c r="M83" s="255"/>
      <c r="N83" s="255"/>
      <c r="O83" s="255"/>
      <c r="P83" s="255"/>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105"/>
      <c r="BT83" s="92"/>
      <c r="BU83" s="72"/>
      <c r="BV83" s="92"/>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c r="DM83" s="259"/>
      <c r="DN83" s="259"/>
      <c r="DO83" s="259"/>
      <c r="DP83" s="259"/>
      <c r="DQ83" s="259"/>
      <c r="DR83" s="259"/>
      <c r="DS83" s="259"/>
      <c r="DT83" s="259"/>
      <c r="DU83" s="259"/>
      <c r="DV83" s="259"/>
      <c r="DW83" s="259"/>
      <c r="DX83" s="259"/>
      <c r="DY83" s="259"/>
      <c r="DZ83" s="259"/>
      <c r="EA83" s="259"/>
      <c r="EB83" s="259"/>
      <c r="EC83" s="73"/>
    </row>
    <row r="84" spans="1:133" s="179" customFormat="1" ht="25.15" customHeight="1">
      <c r="A84" s="175" t="e">
        <f t="shared" si="28"/>
        <v>#REF!</v>
      </c>
      <c r="B84" s="176"/>
      <c r="C84" s="323" t="s">
        <v>244</v>
      </c>
      <c r="D84" s="323"/>
      <c r="E84" s="323"/>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c r="AL84" s="323"/>
      <c r="AM84" s="323"/>
      <c r="AN84" s="323"/>
      <c r="AO84" s="323"/>
      <c r="AP84" s="323"/>
      <c r="AQ84" s="323"/>
      <c r="AR84" s="323"/>
      <c r="AS84" s="323"/>
      <c r="AT84" s="323"/>
      <c r="AU84" s="323"/>
      <c r="AV84" s="323"/>
      <c r="AW84" s="323"/>
      <c r="AX84" s="323"/>
      <c r="AY84" s="323"/>
      <c r="AZ84" s="323"/>
      <c r="BA84" s="323"/>
      <c r="BB84" s="158"/>
      <c r="BC84" s="158"/>
      <c r="BD84" s="158"/>
      <c r="BE84" s="158"/>
      <c r="BF84" s="158"/>
      <c r="BG84" s="158"/>
      <c r="BH84" s="178"/>
      <c r="BI84" s="178"/>
      <c r="BJ84" s="178"/>
      <c r="BK84" s="178"/>
      <c r="BL84" s="171"/>
      <c r="BM84" s="158"/>
      <c r="BN84" s="158"/>
      <c r="BO84" s="260" t="s">
        <v>113</v>
      </c>
      <c r="BP84" s="260"/>
      <c r="BQ84" s="260" t="s">
        <v>103</v>
      </c>
      <c r="BR84" s="260"/>
      <c r="BV84" s="118"/>
      <c r="BW84" s="340"/>
      <c r="BX84" s="340"/>
      <c r="BY84" s="340"/>
      <c r="BZ84" s="340"/>
      <c r="CA84" s="340"/>
      <c r="CB84" s="340"/>
      <c r="CC84" s="340"/>
      <c r="CD84" s="340"/>
      <c r="CE84" s="340"/>
      <c r="CF84" s="340"/>
      <c r="CG84" s="340"/>
      <c r="CH84" s="340"/>
      <c r="CI84" s="340"/>
      <c r="CJ84" s="340"/>
      <c r="CK84" s="340"/>
      <c r="CL84" s="340"/>
      <c r="CM84" s="340"/>
      <c r="CN84" s="340"/>
      <c r="CO84" s="340"/>
      <c r="CP84" s="340"/>
      <c r="CQ84" s="340"/>
      <c r="CR84" s="340"/>
      <c r="CS84" s="340"/>
      <c r="CT84" s="340"/>
      <c r="CU84" s="340"/>
      <c r="CV84" s="340"/>
      <c r="CW84" s="340"/>
      <c r="CX84" s="340"/>
      <c r="CY84" s="340"/>
      <c r="CZ84" s="340"/>
      <c r="DA84" s="340"/>
      <c r="DB84" s="340"/>
      <c r="DC84" s="340"/>
      <c r="DD84" s="340"/>
      <c r="DE84" s="340"/>
      <c r="DF84" s="340"/>
      <c r="DG84" s="340"/>
      <c r="DH84" s="340"/>
      <c r="DI84" s="340"/>
      <c r="DJ84" s="340"/>
      <c r="DK84" s="340"/>
      <c r="DL84" s="342"/>
      <c r="DM84" s="342"/>
      <c r="DN84" s="342"/>
      <c r="DO84" s="342"/>
      <c r="DP84" s="342"/>
      <c r="DQ84" s="342"/>
      <c r="DR84" s="342"/>
      <c r="DS84" s="342"/>
      <c r="DT84" s="342"/>
      <c r="DU84" s="342"/>
      <c r="DV84" s="342"/>
      <c r="DW84" s="342"/>
      <c r="DX84" s="342"/>
      <c r="DY84" s="342"/>
      <c r="DZ84" s="342"/>
      <c r="EA84" s="342"/>
      <c r="EB84" s="342"/>
      <c r="EC84" s="180"/>
    </row>
    <row r="85" spans="1:133" s="47" customFormat="1" ht="25.15" customHeight="1">
      <c r="A85" s="1" t="e">
        <f t="shared" si="28"/>
        <v>#REF!</v>
      </c>
      <c r="B85" s="100"/>
      <c r="C85" s="259" t="s">
        <v>312</v>
      </c>
      <c r="D85" s="259"/>
      <c r="E85" s="259"/>
      <c r="F85" s="259"/>
      <c r="G85" s="259"/>
      <c r="H85" s="259"/>
      <c r="I85" s="259"/>
      <c r="J85" s="259"/>
      <c r="K85" s="259"/>
      <c r="L85" s="259"/>
      <c r="M85" s="259"/>
      <c r="N85" s="259"/>
      <c r="O85" s="259"/>
      <c r="P85" s="259"/>
      <c r="Q85" s="259"/>
      <c r="R85" s="259"/>
      <c r="S85" s="259"/>
      <c r="T85" s="259"/>
      <c r="U85" s="259"/>
      <c r="V85" s="259"/>
      <c r="W85" s="259"/>
      <c r="X85" s="259"/>
      <c r="Y85" s="259"/>
      <c r="Z85" s="259"/>
      <c r="AA85" s="259"/>
      <c r="AB85" s="259"/>
      <c r="AC85" s="259"/>
      <c r="AD85" s="259"/>
      <c r="AE85" s="259"/>
      <c r="AF85" s="259"/>
      <c r="AG85" s="259"/>
      <c r="AH85" s="259"/>
      <c r="AI85" s="259"/>
      <c r="AJ85" s="259"/>
      <c r="AK85" s="259"/>
      <c r="AL85" s="259"/>
      <c r="AM85" s="259"/>
      <c r="AN85" s="259"/>
      <c r="AO85" s="259"/>
      <c r="AP85" s="259"/>
      <c r="AQ85" s="259"/>
      <c r="AR85" s="259"/>
      <c r="AS85" s="259"/>
      <c r="AT85" s="259"/>
      <c r="AU85" s="259"/>
      <c r="AV85" s="259"/>
      <c r="AW85" s="259"/>
      <c r="AX85" s="259"/>
      <c r="AY85" s="259"/>
      <c r="AZ85" s="259"/>
      <c r="BA85" s="259"/>
      <c r="BB85" s="322">
        <v>119928</v>
      </c>
      <c r="BC85" s="322"/>
      <c r="BD85" s="322"/>
      <c r="BE85" s="322"/>
      <c r="BF85" s="322"/>
      <c r="BG85" s="322"/>
      <c r="BH85" s="322"/>
      <c r="BI85" s="322"/>
      <c r="BJ85" s="322"/>
      <c r="BK85" s="322"/>
      <c r="BL85" s="322"/>
      <c r="BM85" s="322"/>
      <c r="BN85" s="322"/>
      <c r="BO85" s="322"/>
      <c r="BP85" s="322"/>
      <c r="BQ85" s="322"/>
      <c r="BR85" s="322"/>
      <c r="BS85" s="107"/>
      <c r="BT85" s="107"/>
      <c r="BU85" s="107"/>
      <c r="BV85" s="92"/>
      <c r="BW85" s="266"/>
      <c r="BX85" s="266"/>
      <c r="BY85" s="266"/>
      <c r="BZ85" s="266"/>
      <c r="CA85" s="266"/>
      <c r="CB85" s="266"/>
      <c r="CC85" s="266"/>
      <c r="CD85" s="266"/>
      <c r="CE85" s="336"/>
      <c r="CF85" s="336"/>
      <c r="CG85" s="336"/>
      <c r="CH85" s="33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L85" s="92"/>
      <c r="DM85" s="107"/>
      <c r="DN85" s="92"/>
      <c r="DO85" s="92"/>
      <c r="DP85" s="92"/>
      <c r="DQ85" s="107"/>
      <c r="DR85" s="92"/>
      <c r="DS85" s="92"/>
      <c r="DT85" s="92"/>
      <c r="DU85" s="107"/>
      <c r="DV85" s="92"/>
      <c r="DW85" s="92"/>
      <c r="DX85" s="92"/>
      <c r="DY85" s="107"/>
      <c r="DZ85" s="92"/>
      <c r="EA85" s="92"/>
      <c r="EB85" s="107"/>
      <c r="EC85" s="73"/>
    </row>
    <row r="86" spans="1:133" s="47" customFormat="1" ht="25.15" customHeight="1">
      <c r="A86" s="1" t="e">
        <f t="shared" si="28"/>
        <v>#REF!</v>
      </c>
      <c r="B86" s="100"/>
      <c r="C86" s="259" t="s">
        <v>313</v>
      </c>
      <c r="D86" s="259"/>
      <c r="E86" s="343"/>
      <c r="F86" s="343"/>
      <c r="G86" s="343"/>
      <c r="H86" s="343"/>
      <c r="I86" s="343"/>
      <c r="J86" s="343"/>
      <c r="K86" s="343"/>
      <c r="L86" s="343"/>
      <c r="M86" s="343"/>
      <c r="N86" s="343"/>
      <c r="O86" s="343"/>
      <c r="P86" s="343"/>
      <c r="Q86" s="343"/>
      <c r="R86" s="343"/>
      <c r="S86" s="343"/>
      <c r="T86" s="343"/>
      <c r="U86" s="343"/>
      <c r="V86" s="343"/>
      <c r="W86" s="343"/>
      <c r="X86" s="343"/>
      <c r="Y86" s="343"/>
      <c r="Z86" s="343"/>
      <c r="AA86" s="343"/>
      <c r="AB86" s="343"/>
      <c r="AC86" s="343"/>
      <c r="AD86" s="343"/>
      <c r="AE86" s="343"/>
      <c r="AF86" s="343"/>
      <c r="AG86" s="343"/>
      <c r="AH86" s="343"/>
      <c r="AI86" s="343"/>
      <c r="AJ86" s="343"/>
      <c r="AK86" s="343"/>
      <c r="AL86" s="343"/>
      <c r="AM86" s="343"/>
      <c r="AN86" s="343"/>
      <c r="AO86" s="343"/>
      <c r="AP86" s="343"/>
      <c r="AQ86" s="343"/>
      <c r="AR86" s="343"/>
      <c r="AS86" s="343"/>
      <c r="AT86" s="343"/>
      <c r="AU86" s="343"/>
      <c r="AV86" s="343"/>
      <c r="AW86" s="266"/>
      <c r="AX86" s="266"/>
      <c r="AY86" s="266"/>
      <c r="AZ86" s="266"/>
      <c r="BA86" s="107"/>
      <c r="BB86" s="314">
        <v>199265</v>
      </c>
      <c r="BC86" s="314"/>
      <c r="BD86" s="314"/>
      <c r="BE86" s="314"/>
      <c r="BF86" s="314"/>
      <c r="BG86" s="314"/>
      <c r="BH86" s="314"/>
      <c r="BI86" s="314"/>
      <c r="BJ86" s="314"/>
      <c r="BK86" s="314"/>
      <c r="BL86" s="314"/>
      <c r="BM86" s="314"/>
      <c r="BN86" s="314"/>
      <c r="BO86" s="314"/>
      <c r="BP86" s="314"/>
      <c r="BQ86" s="314"/>
      <c r="BR86" s="314"/>
      <c r="BS86" s="107"/>
      <c r="BT86" s="107"/>
      <c r="BU86" s="107"/>
      <c r="BV86" s="92"/>
      <c r="BW86" s="266"/>
      <c r="BX86" s="266"/>
      <c r="BY86" s="266"/>
      <c r="BZ86" s="266"/>
      <c r="CA86" s="266"/>
      <c r="CB86" s="266"/>
      <c r="CC86" s="266"/>
      <c r="CD86" s="266"/>
      <c r="CE86" s="336"/>
      <c r="CF86" s="336"/>
      <c r="CG86" s="336"/>
      <c r="CH86" s="33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L86" s="92"/>
      <c r="DM86" s="107"/>
      <c r="DN86" s="92"/>
      <c r="DO86" s="92"/>
      <c r="DP86" s="92"/>
      <c r="DQ86" s="107"/>
      <c r="DR86" s="92"/>
      <c r="DS86" s="92"/>
      <c r="DT86" s="92"/>
      <c r="DU86" s="107"/>
      <c r="DV86" s="92"/>
      <c r="DW86" s="92"/>
      <c r="DX86" s="92"/>
      <c r="DY86" s="107"/>
      <c r="DZ86" s="92"/>
      <c r="EA86" s="92"/>
      <c r="EB86" s="107"/>
      <c r="EC86" s="73"/>
    </row>
    <row r="87" spans="1:133" s="47" customFormat="1" ht="25.15" customHeight="1">
      <c r="A87" s="1" t="e">
        <f t="shared" si="28"/>
        <v>#REF!</v>
      </c>
      <c r="B87" s="100"/>
      <c r="C87" s="154" t="s">
        <v>248</v>
      </c>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322">
        <f>SUM(BB67:BR72)+SUM(BB85:BR86)</f>
        <v>3010382</v>
      </c>
      <c r="BC87" s="322"/>
      <c r="BD87" s="322"/>
      <c r="BE87" s="322"/>
      <c r="BF87" s="322"/>
      <c r="BG87" s="322"/>
      <c r="BH87" s="322"/>
      <c r="BI87" s="322"/>
      <c r="BJ87" s="322"/>
      <c r="BK87" s="322"/>
      <c r="BL87" s="322"/>
      <c r="BM87" s="322"/>
      <c r="BN87" s="322"/>
      <c r="BO87" s="322"/>
      <c r="BP87" s="322"/>
      <c r="BQ87" s="322"/>
      <c r="BR87" s="322"/>
      <c r="BS87" s="107"/>
      <c r="BT87" s="107"/>
      <c r="BU87" s="107"/>
      <c r="BV87" s="92"/>
      <c r="BW87" s="266"/>
      <c r="BX87" s="266"/>
      <c r="BY87" s="266"/>
      <c r="BZ87" s="266"/>
      <c r="CA87" s="266"/>
      <c r="CB87" s="266"/>
      <c r="CC87" s="266"/>
      <c r="CD87" s="266"/>
      <c r="CE87" s="336"/>
      <c r="CF87" s="336"/>
      <c r="CG87" s="336"/>
      <c r="CH87" s="33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L87" s="92"/>
      <c r="DM87" s="107"/>
      <c r="DN87" s="92"/>
      <c r="DO87" s="92"/>
      <c r="DP87" s="92"/>
      <c r="DQ87" s="107"/>
      <c r="DR87" s="92"/>
      <c r="DS87" s="92"/>
      <c r="DT87" s="92"/>
      <c r="DU87" s="107"/>
      <c r="DV87" s="92"/>
      <c r="DW87" s="92"/>
      <c r="DX87" s="92"/>
      <c r="DY87" s="107"/>
      <c r="DZ87" s="92"/>
      <c r="EA87" s="92"/>
      <c r="EB87" s="107"/>
      <c r="EC87" s="73"/>
    </row>
    <row r="88" spans="1:133" s="47" customFormat="1" ht="25.15" customHeight="1">
      <c r="A88" s="1" t="e">
        <f t="shared" si="28"/>
        <v>#REF!</v>
      </c>
      <c r="B88" s="100"/>
      <c r="C88" s="101"/>
      <c r="D88" s="101"/>
      <c r="E88" s="101"/>
      <c r="F88" s="101"/>
      <c r="G88" s="101"/>
      <c r="H88" s="101"/>
      <c r="I88" s="119"/>
      <c r="J88" s="119"/>
      <c r="K88" s="119"/>
      <c r="L88" s="119"/>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7"/>
      <c r="BB88" s="92"/>
      <c r="BC88" s="92"/>
      <c r="BD88" s="107"/>
      <c r="BE88" s="92"/>
      <c r="BF88" s="92"/>
      <c r="BG88" s="92"/>
      <c r="BH88" s="107"/>
      <c r="BI88" s="92"/>
      <c r="BJ88" s="92"/>
      <c r="BK88" s="92"/>
      <c r="BL88" s="107"/>
      <c r="BM88" s="92"/>
      <c r="BN88" s="92"/>
      <c r="BO88" s="92"/>
      <c r="BP88" s="107"/>
      <c r="BQ88" s="92"/>
      <c r="BR88" s="92"/>
      <c r="BS88" s="107"/>
      <c r="BT88" s="107"/>
      <c r="BU88" s="107"/>
      <c r="BV88" s="92"/>
      <c r="BW88" s="266"/>
      <c r="BX88" s="266"/>
      <c r="BY88" s="266"/>
      <c r="BZ88" s="266"/>
      <c r="CA88" s="266"/>
      <c r="CB88" s="266"/>
      <c r="CC88" s="266"/>
      <c r="CD88" s="266"/>
      <c r="CE88" s="336"/>
      <c r="CF88" s="336"/>
      <c r="CG88" s="336"/>
      <c r="CH88" s="33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L88" s="92"/>
      <c r="DM88" s="107"/>
      <c r="DN88" s="92"/>
      <c r="DO88" s="92"/>
      <c r="DP88" s="92"/>
      <c r="DQ88" s="107"/>
      <c r="DR88" s="92"/>
      <c r="DS88" s="92"/>
      <c r="DT88" s="92"/>
      <c r="DU88" s="107"/>
      <c r="DV88" s="92"/>
      <c r="DW88" s="92"/>
      <c r="DX88" s="92"/>
      <c r="DY88" s="107"/>
      <c r="DZ88" s="92"/>
      <c r="EA88" s="92"/>
      <c r="EB88" s="107"/>
      <c r="EC88" s="73"/>
    </row>
    <row r="89" spans="1:133" s="47" customFormat="1" ht="25.15" customHeight="1">
      <c r="A89" s="1" t="e">
        <f t="shared" si="28"/>
        <v>#REF!</v>
      </c>
      <c r="B89" s="100"/>
      <c r="C89" s="266"/>
      <c r="D89" s="266"/>
      <c r="E89" s="266"/>
      <c r="F89" s="266"/>
      <c r="G89" s="266"/>
      <c r="H89" s="266"/>
      <c r="I89" s="336"/>
      <c r="J89" s="336"/>
      <c r="K89" s="336"/>
      <c r="L89" s="336"/>
      <c r="M89" s="266"/>
      <c r="N89" s="266"/>
      <c r="O89" s="266"/>
      <c r="P89" s="266"/>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107"/>
      <c r="BB89" s="92"/>
      <c r="BC89" s="92"/>
      <c r="BD89" s="107"/>
      <c r="BE89" s="92"/>
      <c r="BF89" s="92"/>
      <c r="BG89" s="92"/>
      <c r="BH89" s="107"/>
      <c r="BI89" s="92"/>
      <c r="BJ89" s="92"/>
      <c r="BK89" s="92"/>
      <c r="BL89" s="107"/>
      <c r="BM89" s="92"/>
      <c r="BN89" s="92"/>
      <c r="BO89" s="92"/>
      <c r="BP89" s="107"/>
      <c r="BQ89" s="92"/>
      <c r="BR89" s="92"/>
      <c r="BS89" s="107"/>
      <c r="BT89" s="107"/>
      <c r="BU89" s="107"/>
      <c r="BV89" s="92"/>
      <c r="BW89" s="266"/>
      <c r="BX89" s="266"/>
      <c r="BY89" s="266"/>
      <c r="BZ89" s="266"/>
      <c r="CA89" s="266"/>
      <c r="CB89" s="266"/>
      <c r="CC89" s="266"/>
      <c r="CD89" s="266"/>
      <c r="CE89" s="336"/>
      <c r="CF89" s="336"/>
      <c r="CG89" s="336"/>
      <c r="CH89" s="33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L89" s="92"/>
      <c r="DM89" s="107"/>
      <c r="DN89" s="92"/>
      <c r="DO89" s="92"/>
      <c r="DP89" s="92"/>
      <c r="DQ89" s="107"/>
      <c r="DR89" s="92"/>
      <c r="DS89" s="92"/>
      <c r="DT89" s="92"/>
      <c r="DU89" s="107"/>
      <c r="DV89" s="92"/>
      <c r="DW89" s="92"/>
      <c r="DX89" s="92"/>
      <c r="DY89" s="107"/>
      <c r="DZ89" s="92"/>
      <c r="EA89" s="92"/>
      <c r="EB89" s="107"/>
      <c r="EC89" s="73"/>
    </row>
    <row r="90" spans="1:133" s="47" customFormat="1" ht="25.15" customHeight="1">
      <c r="A90" s="1" t="e">
        <f t="shared" si="28"/>
        <v>#REF!</v>
      </c>
      <c r="B90" s="69"/>
      <c r="C90" s="266"/>
      <c r="D90" s="266"/>
      <c r="E90" s="266"/>
      <c r="F90" s="266"/>
      <c r="G90" s="266"/>
      <c r="H90" s="266"/>
      <c r="I90" s="336"/>
      <c r="J90" s="336"/>
      <c r="K90" s="336"/>
      <c r="L90" s="336"/>
      <c r="M90" s="266"/>
      <c r="N90" s="266"/>
      <c r="O90" s="266"/>
      <c r="P90" s="266"/>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107"/>
      <c r="BB90" s="92"/>
      <c r="BC90" s="92"/>
      <c r="BD90" s="107"/>
      <c r="BE90" s="92"/>
      <c r="BF90" s="92"/>
      <c r="BG90" s="92"/>
      <c r="BH90" s="107"/>
      <c r="BI90" s="92"/>
      <c r="BJ90" s="92"/>
      <c r="BK90" s="92"/>
      <c r="BL90" s="107"/>
      <c r="BM90" s="92"/>
      <c r="BN90" s="92"/>
      <c r="BO90" s="92"/>
      <c r="BP90" s="107"/>
      <c r="BQ90" s="92"/>
      <c r="BR90" s="92"/>
      <c r="BS90" s="107"/>
      <c r="BT90" s="107"/>
      <c r="BU90" s="107"/>
      <c r="BV90" s="92"/>
      <c r="BW90" s="266"/>
      <c r="BX90" s="266"/>
      <c r="BY90" s="266"/>
      <c r="BZ90" s="266"/>
      <c r="CA90" s="266"/>
      <c r="CB90" s="266"/>
      <c r="CC90" s="266"/>
      <c r="CD90" s="266"/>
      <c r="CE90" s="336"/>
      <c r="CF90" s="336"/>
      <c r="CG90" s="336"/>
      <c r="CH90" s="33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L90" s="92"/>
      <c r="DM90" s="107"/>
      <c r="DN90" s="92"/>
      <c r="DO90" s="92"/>
      <c r="DP90" s="92"/>
      <c r="DQ90" s="107"/>
      <c r="DR90" s="92"/>
      <c r="DS90" s="92"/>
      <c r="DT90" s="92"/>
      <c r="DU90" s="107"/>
      <c r="DV90" s="92"/>
      <c r="DW90" s="92"/>
      <c r="DX90" s="92"/>
      <c r="DY90" s="107"/>
      <c r="DZ90" s="92"/>
      <c r="EA90" s="92"/>
      <c r="EB90" s="107"/>
      <c r="EC90" s="73"/>
    </row>
    <row r="91" spans="1:133" s="47" customFormat="1" ht="25.15" customHeight="1">
      <c r="A91" s="1" t="e">
        <f t="shared" si="28"/>
        <v>#REF!</v>
      </c>
      <c r="B91" s="69"/>
      <c r="C91" s="266"/>
      <c r="D91" s="266"/>
      <c r="E91" s="266"/>
      <c r="F91" s="266"/>
      <c r="G91" s="266"/>
      <c r="H91" s="266"/>
      <c r="I91" s="336"/>
      <c r="J91" s="336"/>
      <c r="K91" s="336"/>
      <c r="L91" s="336"/>
      <c r="M91" s="266"/>
      <c r="N91" s="266"/>
      <c r="O91" s="266"/>
      <c r="P91" s="266"/>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107"/>
      <c r="BB91" s="92"/>
      <c r="BC91" s="92"/>
      <c r="BD91" s="107"/>
      <c r="BE91" s="92"/>
      <c r="BF91" s="92"/>
      <c r="BG91" s="92"/>
      <c r="BH91" s="107"/>
      <c r="BI91" s="92"/>
      <c r="BJ91" s="92"/>
      <c r="BK91" s="92"/>
      <c r="BL91" s="107"/>
      <c r="BM91" s="92"/>
      <c r="BN91" s="92"/>
      <c r="BO91" s="92"/>
      <c r="BP91" s="107"/>
      <c r="BQ91" s="92"/>
      <c r="BR91" s="92"/>
      <c r="BS91" s="107"/>
      <c r="BT91" s="107"/>
      <c r="BU91" s="107"/>
      <c r="BV91" s="92"/>
      <c r="BW91" s="266"/>
      <c r="BX91" s="266"/>
      <c r="BY91" s="266"/>
      <c r="BZ91" s="266"/>
      <c r="CA91" s="266"/>
      <c r="CB91" s="266"/>
      <c r="CC91" s="266"/>
      <c r="CD91" s="266"/>
      <c r="CE91" s="336"/>
      <c r="CF91" s="336"/>
      <c r="CG91" s="336"/>
      <c r="CH91" s="33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L91" s="92"/>
      <c r="DM91" s="107"/>
      <c r="DN91" s="92"/>
      <c r="DO91" s="92"/>
      <c r="DP91" s="92"/>
      <c r="DQ91" s="107"/>
      <c r="DR91" s="92"/>
      <c r="DS91" s="92"/>
      <c r="DT91" s="92"/>
      <c r="DU91" s="107"/>
      <c r="DV91" s="92"/>
      <c r="DW91" s="92"/>
      <c r="DX91" s="92"/>
      <c r="DY91" s="107"/>
      <c r="DZ91" s="92"/>
      <c r="EA91" s="92"/>
      <c r="EB91" s="107"/>
      <c r="EC91" s="73"/>
    </row>
    <row r="92" spans="1:133" s="47" customFormat="1" ht="25.15" customHeight="1">
      <c r="A92" s="1" t="e">
        <f t="shared" si="28"/>
        <v>#REF!</v>
      </c>
      <c r="B92" s="69"/>
      <c r="C92" s="266"/>
      <c r="D92" s="266"/>
      <c r="E92" s="266"/>
      <c r="F92" s="266"/>
      <c r="G92" s="266"/>
      <c r="H92" s="266"/>
      <c r="I92" s="336"/>
      <c r="J92" s="336"/>
      <c r="K92" s="336"/>
      <c r="L92" s="336"/>
      <c r="M92" s="266"/>
      <c r="N92" s="266"/>
      <c r="O92" s="266"/>
      <c r="P92" s="266"/>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107"/>
      <c r="BB92" s="92"/>
      <c r="BC92" s="92"/>
      <c r="BD92" s="107"/>
      <c r="BE92" s="92"/>
      <c r="BF92" s="92"/>
      <c r="BG92" s="92"/>
      <c r="BH92" s="107"/>
      <c r="BI92" s="92"/>
      <c r="BJ92" s="92"/>
      <c r="BK92" s="92"/>
      <c r="BL92" s="107"/>
      <c r="BM92" s="92"/>
      <c r="BN92" s="92"/>
      <c r="BO92" s="92"/>
      <c r="BP92" s="107"/>
      <c r="BQ92" s="92"/>
      <c r="BR92" s="92"/>
      <c r="BS92" s="107"/>
      <c r="BT92" s="92"/>
      <c r="BU92" s="72"/>
      <c r="BV92" s="92"/>
      <c r="BW92" s="266"/>
      <c r="BX92" s="266"/>
      <c r="BY92" s="266"/>
      <c r="BZ92" s="266"/>
      <c r="CA92" s="266"/>
      <c r="CB92" s="266"/>
      <c r="CC92" s="266"/>
      <c r="CD92" s="266"/>
      <c r="CE92" s="336"/>
      <c r="CF92" s="336"/>
      <c r="CG92" s="336"/>
      <c r="CH92" s="33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92"/>
      <c r="DL92" s="92"/>
      <c r="DM92" s="107"/>
      <c r="DN92" s="92"/>
      <c r="DO92" s="92"/>
      <c r="DP92" s="92"/>
      <c r="DQ92" s="107"/>
      <c r="DR92" s="92"/>
      <c r="DS92" s="92"/>
      <c r="DT92" s="92"/>
      <c r="DU92" s="107"/>
      <c r="DV92" s="92"/>
      <c r="DW92" s="92"/>
      <c r="DX92" s="92"/>
      <c r="DY92" s="107"/>
      <c r="DZ92" s="92"/>
      <c r="EA92" s="92"/>
      <c r="EB92" s="107"/>
      <c r="EC92" s="73"/>
    </row>
    <row r="93" spans="1:133" s="47" customFormat="1" ht="25.15" customHeight="1">
      <c r="A93" s="1" t="e">
        <f t="shared" si="28"/>
        <v>#REF!</v>
      </c>
      <c r="B93" s="69"/>
      <c r="C93" s="266"/>
      <c r="D93" s="266"/>
      <c r="E93" s="266"/>
      <c r="F93" s="266"/>
      <c r="G93" s="266"/>
      <c r="H93" s="266"/>
      <c r="I93" s="336"/>
      <c r="J93" s="336"/>
      <c r="K93" s="336"/>
      <c r="L93" s="33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107"/>
      <c r="BB93" s="92"/>
      <c r="BC93" s="92"/>
      <c r="BD93" s="107"/>
      <c r="BE93" s="92"/>
      <c r="BF93" s="92"/>
      <c r="BG93" s="92"/>
      <c r="BH93" s="107"/>
      <c r="BI93" s="92"/>
      <c r="BJ93" s="92"/>
      <c r="BK93" s="92"/>
      <c r="BL93" s="107"/>
      <c r="BM93" s="92"/>
      <c r="BN93" s="92"/>
      <c r="BO93" s="92"/>
      <c r="BP93" s="107"/>
      <c r="BQ93" s="92"/>
      <c r="BR93" s="92"/>
      <c r="BS93" s="107"/>
      <c r="BT93" s="92"/>
      <c r="BU93" s="72"/>
      <c r="BV93" s="92"/>
      <c r="BW93" s="266"/>
      <c r="BX93" s="266"/>
      <c r="BY93" s="266"/>
      <c r="BZ93" s="266"/>
      <c r="CA93" s="266"/>
      <c r="CB93" s="266"/>
      <c r="CC93" s="266"/>
      <c r="CD93" s="266"/>
      <c r="CE93" s="336"/>
      <c r="CF93" s="336"/>
      <c r="CG93" s="336"/>
      <c r="CH93" s="33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92"/>
      <c r="DL93" s="92"/>
      <c r="DM93" s="107"/>
      <c r="DN93" s="92"/>
      <c r="DO93" s="92"/>
      <c r="DP93" s="92"/>
      <c r="DQ93" s="107"/>
      <c r="DR93" s="92"/>
      <c r="DS93" s="92"/>
      <c r="DT93" s="92"/>
      <c r="DU93" s="107"/>
      <c r="DV93" s="92"/>
      <c r="DW93" s="92"/>
      <c r="DX93" s="92"/>
      <c r="DY93" s="107"/>
      <c r="DZ93" s="92"/>
      <c r="EA93" s="92"/>
      <c r="EB93" s="107"/>
      <c r="EC93" s="73"/>
    </row>
    <row r="94" spans="1:133" s="47" customFormat="1" ht="25.15" customHeight="1">
      <c r="A94" s="1" t="e">
        <f t="shared" si="28"/>
        <v>#REF!</v>
      </c>
      <c r="B94" s="69"/>
      <c r="C94" s="266"/>
      <c r="D94" s="266"/>
      <c r="E94" s="266"/>
      <c r="F94" s="266"/>
      <c r="G94" s="266"/>
      <c r="H94" s="266"/>
      <c r="I94" s="336"/>
      <c r="J94" s="336"/>
      <c r="K94" s="336"/>
      <c r="L94" s="336"/>
      <c r="M94" s="266"/>
      <c r="N94" s="266"/>
      <c r="O94" s="266"/>
      <c r="P94" s="266"/>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107"/>
      <c r="BB94" s="92"/>
      <c r="BC94" s="92"/>
      <c r="BD94" s="107"/>
      <c r="BE94" s="92"/>
      <c r="BF94" s="92"/>
      <c r="BG94" s="92"/>
      <c r="BH94" s="107"/>
      <c r="BI94" s="92"/>
      <c r="BJ94" s="92"/>
      <c r="BK94" s="92"/>
      <c r="BL94" s="107"/>
      <c r="BM94" s="92"/>
      <c r="BN94" s="92"/>
      <c r="BO94" s="92"/>
      <c r="BP94" s="107"/>
      <c r="BQ94" s="92"/>
      <c r="BR94" s="92"/>
      <c r="BS94" s="107"/>
      <c r="BT94" s="92"/>
      <c r="BU94" s="72"/>
      <c r="BV94" s="92"/>
      <c r="BW94" s="266"/>
      <c r="BX94" s="266"/>
      <c r="BY94" s="266"/>
      <c r="BZ94" s="266"/>
      <c r="CA94" s="266"/>
      <c r="CB94" s="266"/>
      <c r="CC94" s="266"/>
      <c r="CD94" s="266"/>
      <c r="CE94" s="336"/>
      <c r="CF94" s="336"/>
      <c r="CG94" s="336"/>
      <c r="CH94" s="33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92"/>
      <c r="DL94" s="92"/>
      <c r="DM94" s="107"/>
      <c r="DN94" s="92"/>
      <c r="DO94" s="92"/>
      <c r="DP94" s="92"/>
      <c r="DQ94" s="107"/>
      <c r="DR94" s="92"/>
      <c r="DS94" s="92"/>
      <c r="DT94" s="92"/>
      <c r="DU94" s="107"/>
      <c r="DV94" s="92"/>
      <c r="DW94" s="92"/>
      <c r="DX94" s="92"/>
      <c r="DY94" s="107"/>
      <c r="DZ94" s="92"/>
      <c r="EA94" s="92"/>
      <c r="EB94" s="107"/>
      <c r="EC94" s="73"/>
    </row>
    <row r="95" spans="1:133" s="47" customFormat="1" ht="25.15" customHeight="1">
      <c r="A95" s="1" t="e">
        <f t="shared" si="28"/>
        <v>#REF!</v>
      </c>
      <c r="B95" s="69"/>
      <c r="C95" s="266"/>
      <c r="D95" s="266"/>
      <c r="E95" s="266"/>
      <c r="F95" s="266"/>
      <c r="G95" s="266"/>
      <c r="H95" s="266"/>
      <c r="I95" s="336"/>
      <c r="J95" s="336"/>
      <c r="K95" s="336"/>
      <c r="L95" s="336"/>
      <c r="M95" s="266"/>
      <c r="N95" s="266"/>
      <c r="O95" s="266"/>
      <c r="P95" s="266"/>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107"/>
      <c r="BB95" s="92"/>
      <c r="BC95" s="92"/>
      <c r="BD95" s="107"/>
      <c r="BE95" s="92"/>
      <c r="BF95" s="92"/>
      <c r="BG95" s="92"/>
      <c r="BH95" s="107"/>
      <c r="BI95" s="92"/>
      <c r="BJ95" s="92"/>
      <c r="BK95" s="92"/>
      <c r="BL95" s="107"/>
      <c r="BM95" s="92"/>
      <c r="BN95" s="92"/>
      <c r="BO95" s="92"/>
      <c r="BP95" s="107"/>
      <c r="BQ95" s="92"/>
      <c r="BR95" s="92"/>
      <c r="BS95" s="107"/>
      <c r="BT95" s="92"/>
      <c r="BU95" s="72"/>
      <c r="BV95" s="92"/>
      <c r="BW95" s="266"/>
      <c r="BX95" s="266"/>
      <c r="BY95" s="266"/>
      <c r="BZ95" s="266"/>
      <c r="CA95" s="266"/>
      <c r="CB95" s="266"/>
      <c r="CC95" s="266"/>
      <c r="CD95" s="266"/>
      <c r="CE95" s="336"/>
      <c r="CF95" s="336"/>
      <c r="CG95" s="336"/>
      <c r="CH95" s="33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92"/>
      <c r="DL95" s="92"/>
      <c r="DM95" s="107"/>
      <c r="DN95" s="92"/>
      <c r="DO95" s="92"/>
      <c r="DP95" s="92"/>
      <c r="DQ95" s="107"/>
      <c r="DR95" s="92"/>
      <c r="DS95" s="92"/>
      <c r="DT95" s="92"/>
      <c r="DU95" s="107"/>
      <c r="DV95" s="92"/>
      <c r="DW95" s="92"/>
      <c r="DX95" s="92"/>
      <c r="DY95" s="107"/>
      <c r="DZ95" s="92"/>
      <c r="EA95" s="92"/>
      <c r="EB95" s="107"/>
      <c r="EC95" s="73"/>
    </row>
    <row r="96" spans="1:133" s="47" customFormat="1" ht="25.15" customHeight="1">
      <c r="A96" s="1" t="e">
        <f t="shared" si="28"/>
        <v>#REF!</v>
      </c>
      <c r="B96" s="69"/>
      <c r="C96" s="266"/>
      <c r="D96" s="266"/>
      <c r="E96" s="266"/>
      <c r="F96" s="266"/>
      <c r="G96" s="266"/>
      <c r="H96" s="266"/>
      <c r="I96" s="336"/>
      <c r="J96" s="336"/>
      <c r="K96" s="336"/>
      <c r="L96" s="336"/>
      <c r="M96" s="266"/>
      <c r="N96" s="266"/>
      <c r="O96" s="266"/>
      <c r="P96" s="266"/>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107"/>
      <c r="BB96" s="92"/>
      <c r="BC96" s="92"/>
      <c r="BD96" s="107"/>
      <c r="BE96" s="92"/>
      <c r="BF96" s="92"/>
      <c r="BG96" s="92"/>
      <c r="BH96" s="107"/>
      <c r="BI96" s="92"/>
      <c r="BJ96" s="92"/>
      <c r="BK96" s="92"/>
      <c r="BL96" s="107"/>
      <c r="BM96" s="92"/>
      <c r="BN96" s="92"/>
      <c r="BO96" s="92"/>
      <c r="BP96" s="107"/>
      <c r="BQ96" s="92"/>
      <c r="BR96" s="92"/>
      <c r="BS96" s="107"/>
      <c r="BT96" s="92"/>
      <c r="BU96" s="72"/>
      <c r="BV96" s="92"/>
      <c r="BW96" s="266"/>
      <c r="BX96" s="266"/>
      <c r="BY96" s="266"/>
      <c r="BZ96" s="266"/>
      <c r="CA96" s="266"/>
      <c r="CB96" s="266"/>
      <c r="CC96" s="266"/>
      <c r="CD96" s="266"/>
      <c r="CE96" s="336"/>
      <c r="CF96" s="336"/>
      <c r="CG96" s="336"/>
      <c r="CH96" s="33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92"/>
      <c r="DL96" s="92"/>
      <c r="DM96" s="107"/>
      <c r="DN96" s="92"/>
      <c r="DO96" s="92"/>
      <c r="DP96" s="92"/>
      <c r="DQ96" s="107"/>
      <c r="DR96" s="92"/>
      <c r="DS96" s="92"/>
      <c r="DT96" s="92"/>
      <c r="DU96" s="107"/>
      <c r="DV96" s="92"/>
      <c r="DW96" s="92"/>
      <c r="DX96" s="92"/>
      <c r="DY96" s="107"/>
      <c r="DZ96" s="92"/>
      <c r="EA96" s="92"/>
      <c r="EB96" s="107"/>
      <c r="EC96" s="73"/>
    </row>
    <row r="97" spans="1:133" s="47" customFormat="1" ht="25.15" customHeight="1">
      <c r="A97" s="1" t="e">
        <f t="shared" si="28"/>
        <v>#REF!</v>
      </c>
      <c r="B97" s="69"/>
      <c r="C97" s="266"/>
      <c r="D97" s="266"/>
      <c r="E97" s="266"/>
      <c r="F97" s="266"/>
      <c r="G97" s="266"/>
      <c r="H97" s="266"/>
      <c r="I97" s="336"/>
      <c r="J97" s="336"/>
      <c r="K97" s="336"/>
      <c r="L97" s="336"/>
      <c r="M97" s="266"/>
      <c r="N97" s="266"/>
      <c r="O97" s="266"/>
      <c r="P97" s="266"/>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107"/>
      <c r="BB97" s="92"/>
      <c r="BC97" s="92"/>
      <c r="BD97" s="107"/>
      <c r="BE97" s="92"/>
      <c r="BF97" s="92"/>
      <c r="BG97" s="92"/>
      <c r="BH97" s="107"/>
      <c r="BI97" s="92"/>
      <c r="BJ97" s="92"/>
      <c r="BK97" s="92"/>
      <c r="BL97" s="107"/>
      <c r="BM97" s="92"/>
      <c r="BN97" s="92"/>
      <c r="BO97" s="92"/>
      <c r="BP97" s="107"/>
      <c r="BQ97" s="92"/>
      <c r="BR97" s="92"/>
      <c r="BS97" s="107"/>
      <c r="BT97" s="92"/>
      <c r="BU97" s="72"/>
      <c r="BV97" s="92"/>
      <c r="BW97" s="266"/>
      <c r="BX97" s="266"/>
      <c r="BY97" s="266"/>
      <c r="BZ97" s="266"/>
      <c r="CA97" s="266"/>
      <c r="CB97" s="266"/>
      <c r="CC97" s="266"/>
      <c r="CD97" s="266"/>
      <c r="CE97" s="336"/>
      <c r="CF97" s="336"/>
      <c r="CG97" s="336"/>
      <c r="CH97" s="33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92"/>
      <c r="DL97" s="92"/>
      <c r="DM97" s="107"/>
      <c r="DN97" s="92"/>
      <c r="DO97" s="92"/>
      <c r="DP97" s="92"/>
      <c r="DQ97" s="107"/>
      <c r="DR97" s="92"/>
      <c r="DS97" s="92"/>
      <c r="DT97" s="92"/>
      <c r="DU97" s="107"/>
      <c r="DV97" s="92"/>
      <c r="DW97" s="92"/>
      <c r="DX97" s="92"/>
      <c r="DY97" s="107"/>
      <c r="DZ97" s="92"/>
      <c r="EA97" s="92"/>
      <c r="EB97" s="107"/>
      <c r="EC97" s="73"/>
    </row>
    <row r="98" spans="1:133" s="47" customFormat="1" ht="25.15" customHeight="1">
      <c r="A98" s="1" t="e">
        <f t="shared" si="28"/>
        <v>#REF!</v>
      </c>
      <c r="B98" s="69"/>
      <c r="C98" s="266"/>
      <c r="D98" s="266"/>
      <c r="E98" s="266"/>
      <c r="F98" s="266"/>
      <c r="G98" s="266"/>
      <c r="H98" s="266"/>
      <c r="I98" s="336"/>
      <c r="J98" s="336"/>
      <c r="K98" s="336"/>
      <c r="L98" s="336"/>
      <c r="M98" s="266"/>
      <c r="N98" s="266"/>
      <c r="O98" s="266"/>
      <c r="P98" s="266"/>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107"/>
      <c r="BB98" s="92"/>
      <c r="BC98" s="92"/>
      <c r="BD98" s="107"/>
      <c r="BE98" s="92"/>
      <c r="BF98" s="92"/>
      <c r="BG98" s="92"/>
      <c r="BH98" s="107"/>
      <c r="BI98" s="92"/>
      <c r="BJ98" s="92"/>
      <c r="BK98" s="92"/>
      <c r="BL98" s="107"/>
      <c r="BM98" s="92"/>
      <c r="BN98" s="92"/>
      <c r="BO98" s="92"/>
      <c r="BP98" s="107"/>
      <c r="BQ98" s="92"/>
      <c r="BR98" s="92"/>
      <c r="BS98" s="107"/>
      <c r="BT98" s="92"/>
      <c r="BU98" s="72"/>
      <c r="BV98" s="92"/>
      <c r="BW98" s="266"/>
      <c r="BX98" s="266"/>
      <c r="BY98" s="266"/>
      <c r="BZ98" s="266"/>
      <c r="CA98" s="266"/>
      <c r="CB98" s="266"/>
      <c r="CC98" s="266"/>
      <c r="CD98" s="266"/>
      <c r="CE98" s="336"/>
      <c r="CF98" s="336"/>
      <c r="CG98" s="336"/>
      <c r="CH98" s="33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92"/>
      <c r="DL98" s="92"/>
      <c r="DM98" s="107"/>
      <c r="DN98" s="92"/>
      <c r="DO98" s="92"/>
      <c r="DP98" s="92"/>
      <c r="DQ98" s="107"/>
      <c r="DR98" s="92"/>
      <c r="DS98" s="92"/>
      <c r="DT98" s="92"/>
      <c r="DU98" s="107"/>
      <c r="DV98" s="92"/>
      <c r="DW98" s="92"/>
      <c r="DX98" s="92"/>
      <c r="DY98" s="107"/>
      <c r="DZ98" s="92"/>
      <c r="EA98" s="92"/>
      <c r="EB98" s="107"/>
      <c r="EC98" s="73"/>
    </row>
    <row r="99" spans="1:133" s="47" customFormat="1" ht="25.15" customHeight="1">
      <c r="A99" s="1" t="e">
        <f t="shared" si="28"/>
        <v>#REF!</v>
      </c>
      <c r="B99" s="69"/>
      <c r="C99" s="266"/>
      <c r="D99" s="266"/>
      <c r="E99" s="266"/>
      <c r="F99" s="266"/>
      <c r="G99" s="266"/>
      <c r="H99" s="266"/>
      <c r="I99" s="336"/>
      <c r="J99" s="336"/>
      <c r="K99" s="336"/>
      <c r="L99" s="336"/>
      <c r="M99" s="266"/>
      <c r="N99" s="266"/>
      <c r="O99" s="266"/>
      <c r="P99" s="266"/>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107"/>
      <c r="BB99" s="92"/>
      <c r="BC99" s="92"/>
      <c r="BD99" s="107"/>
      <c r="BE99" s="92"/>
      <c r="BF99" s="92"/>
      <c r="BG99" s="92"/>
      <c r="BH99" s="107"/>
      <c r="BI99" s="92"/>
      <c r="BJ99" s="92"/>
      <c r="BK99" s="92"/>
      <c r="BL99" s="107"/>
      <c r="BM99" s="92"/>
      <c r="BN99" s="92"/>
      <c r="BO99" s="92"/>
      <c r="BP99" s="107"/>
      <c r="BQ99" s="92"/>
      <c r="BR99" s="92"/>
      <c r="BS99" s="107"/>
      <c r="BT99" s="92"/>
      <c r="BU99" s="72"/>
      <c r="BV99" s="92"/>
      <c r="BW99" s="266"/>
      <c r="BX99" s="266"/>
      <c r="BY99" s="266"/>
      <c r="BZ99" s="266"/>
      <c r="CA99" s="266"/>
      <c r="CB99" s="266"/>
      <c r="CC99" s="266"/>
      <c r="CD99" s="266"/>
      <c r="CE99" s="336"/>
      <c r="CF99" s="336"/>
      <c r="CG99" s="336"/>
      <c r="CH99" s="33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92"/>
      <c r="DL99" s="92"/>
      <c r="DM99" s="107"/>
      <c r="DN99" s="92"/>
      <c r="DO99" s="92"/>
      <c r="DP99" s="92"/>
      <c r="DQ99" s="107"/>
      <c r="DR99" s="92"/>
      <c r="DS99" s="92"/>
      <c r="DT99" s="92"/>
      <c r="DU99" s="107"/>
      <c r="DV99" s="92"/>
      <c r="DW99" s="92"/>
      <c r="DX99" s="92"/>
      <c r="DY99" s="107"/>
      <c r="DZ99" s="92"/>
      <c r="EA99" s="92"/>
      <c r="EB99" s="107"/>
      <c r="EC99" s="73"/>
    </row>
    <row r="100" spans="1:133" s="47" customFormat="1" ht="25.15" customHeight="1">
      <c r="A100" s="1" t="e">
        <f t="shared" si="28"/>
        <v>#REF!</v>
      </c>
      <c r="B100" s="69"/>
      <c r="C100" s="266"/>
      <c r="D100" s="266"/>
      <c r="E100" s="266"/>
      <c r="F100" s="266"/>
      <c r="G100" s="266"/>
      <c r="H100" s="266"/>
      <c r="I100" s="336"/>
      <c r="J100" s="336"/>
      <c r="K100" s="336"/>
      <c r="L100" s="336"/>
      <c r="M100" s="266"/>
      <c r="N100" s="266"/>
      <c r="O100" s="266"/>
      <c r="P100" s="266"/>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107"/>
      <c r="BB100" s="92"/>
      <c r="BC100" s="92"/>
      <c r="BD100" s="107"/>
      <c r="BE100" s="92"/>
      <c r="BF100" s="92"/>
      <c r="BG100" s="92"/>
      <c r="BH100" s="107"/>
      <c r="BI100" s="92"/>
      <c r="BJ100" s="92"/>
      <c r="BK100" s="92"/>
      <c r="BL100" s="107"/>
      <c r="BM100" s="92"/>
      <c r="BN100" s="92"/>
      <c r="BO100" s="92"/>
      <c r="BP100" s="107"/>
      <c r="BQ100" s="92"/>
      <c r="BR100" s="92"/>
      <c r="BS100" s="107"/>
      <c r="BT100" s="92"/>
      <c r="BU100" s="72"/>
      <c r="BV100" s="92"/>
      <c r="BW100" s="266"/>
      <c r="BX100" s="266"/>
      <c r="BY100" s="266"/>
      <c r="BZ100" s="266"/>
      <c r="CA100" s="266"/>
      <c r="CB100" s="266"/>
      <c r="CC100" s="266"/>
      <c r="CD100" s="266"/>
      <c r="CE100" s="336"/>
      <c r="CF100" s="336"/>
      <c r="CG100" s="336"/>
      <c r="CH100" s="33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92"/>
      <c r="DL100" s="92"/>
      <c r="DM100" s="107"/>
      <c r="DN100" s="92"/>
      <c r="DO100" s="92"/>
      <c r="DP100" s="92"/>
      <c r="DQ100" s="107"/>
      <c r="DR100" s="92"/>
      <c r="DS100" s="92"/>
      <c r="DT100" s="92"/>
      <c r="DU100" s="107"/>
      <c r="DV100" s="92"/>
      <c r="DW100" s="92"/>
      <c r="DX100" s="92"/>
      <c r="DY100" s="107"/>
      <c r="DZ100" s="92"/>
      <c r="EA100" s="92"/>
      <c r="EB100" s="107"/>
      <c r="EC100" s="73"/>
    </row>
    <row r="101" spans="1:133" s="47" customFormat="1" ht="25.15" customHeight="1">
      <c r="A101" s="1" t="e">
        <f t="shared" si="28"/>
        <v>#REF!</v>
      </c>
      <c r="B101" s="69"/>
      <c r="C101" s="266"/>
      <c r="D101" s="266"/>
      <c r="E101" s="266"/>
      <c r="F101" s="266"/>
      <c r="G101" s="266"/>
      <c r="H101" s="266"/>
      <c r="I101" s="336"/>
      <c r="J101" s="336"/>
      <c r="K101" s="336"/>
      <c r="L101" s="336"/>
      <c r="M101" s="266"/>
      <c r="N101" s="266"/>
      <c r="O101" s="266"/>
      <c r="P101" s="266"/>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107"/>
      <c r="BB101" s="92"/>
      <c r="BC101" s="92"/>
      <c r="BD101" s="107"/>
      <c r="BE101" s="92"/>
      <c r="BF101" s="92"/>
      <c r="BG101" s="92"/>
      <c r="BH101" s="107"/>
      <c r="BI101" s="92"/>
      <c r="BJ101" s="92"/>
      <c r="BK101" s="92"/>
      <c r="BL101" s="107"/>
      <c r="BM101" s="92"/>
      <c r="BN101" s="92"/>
      <c r="BO101" s="92"/>
      <c r="BP101" s="107"/>
      <c r="BQ101" s="92"/>
      <c r="BR101" s="92"/>
      <c r="BS101" s="107"/>
      <c r="BT101" s="92"/>
      <c r="BU101" s="72"/>
      <c r="BV101" s="92"/>
      <c r="BW101" s="266"/>
      <c r="BX101" s="266"/>
      <c r="BY101" s="266"/>
      <c r="BZ101" s="266"/>
      <c r="CA101" s="266"/>
      <c r="CB101" s="266"/>
      <c r="CC101" s="266"/>
      <c r="CD101" s="266"/>
      <c r="CE101" s="336"/>
      <c r="CF101" s="336"/>
      <c r="CG101" s="336"/>
      <c r="CH101" s="33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92"/>
      <c r="DL101" s="92"/>
      <c r="DM101" s="107"/>
      <c r="DN101" s="92"/>
      <c r="DO101" s="92"/>
      <c r="DP101" s="92"/>
      <c r="DQ101" s="107"/>
      <c r="DR101" s="92"/>
      <c r="DS101" s="92"/>
      <c r="DT101" s="92"/>
      <c r="DU101" s="107"/>
      <c r="DV101" s="92"/>
      <c r="DW101" s="92"/>
      <c r="DX101" s="92"/>
      <c r="DY101" s="107"/>
      <c r="DZ101" s="92"/>
      <c r="EA101" s="92"/>
      <c r="EB101" s="107"/>
      <c r="EC101" s="73"/>
    </row>
    <row r="102" spans="1:133" s="47" customFormat="1" ht="25.15" customHeight="1">
      <c r="A102" s="1" t="e">
        <f t="shared" si="28"/>
        <v>#REF!</v>
      </c>
      <c r="B102" s="69"/>
      <c r="C102" s="266"/>
      <c r="D102" s="266"/>
      <c r="E102" s="266"/>
      <c r="F102" s="266"/>
      <c r="G102" s="266"/>
      <c r="H102" s="266"/>
      <c r="I102" s="336"/>
      <c r="J102" s="336"/>
      <c r="K102" s="336"/>
      <c r="L102" s="336"/>
      <c r="M102" s="266"/>
      <c r="N102" s="266"/>
      <c r="O102" s="266"/>
      <c r="P102" s="266"/>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107"/>
      <c r="BB102" s="92"/>
      <c r="BC102" s="92"/>
      <c r="BD102" s="107"/>
      <c r="BE102" s="92"/>
      <c r="BF102" s="92"/>
      <c r="BG102" s="92"/>
      <c r="BH102" s="107"/>
      <c r="BI102" s="92"/>
      <c r="BJ102" s="92"/>
      <c r="BK102" s="92"/>
      <c r="BL102" s="107"/>
      <c r="BM102" s="92"/>
      <c r="BN102" s="92"/>
      <c r="BO102" s="92"/>
      <c r="BP102" s="107"/>
      <c r="BQ102" s="92"/>
      <c r="BR102" s="92"/>
      <c r="BS102" s="107"/>
      <c r="BT102" s="92"/>
      <c r="BU102" s="72"/>
      <c r="BV102" s="92"/>
      <c r="BW102" s="266"/>
      <c r="BX102" s="266"/>
      <c r="BY102" s="266"/>
      <c r="BZ102" s="266"/>
      <c r="CA102" s="266"/>
      <c r="CB102" s="266"/>
      <c r="CC102" s="266"/>
      <c r="CD102" s="266"/>
      <c r="CE102" s="336"/>
      <c r="CF102" s="336"/>
      <c r="CG102" s="336"/>
      <c r="CH102" s="33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92"/>
      <c r="DL102" s="92"/>
      <c r="DM102" s="107"/>
      <c r="DN102" s="92"/>
      <c r="DO102" s="92"/>
      <c r="DP102" s="92"/>
      <c r="DQ102" s="107"/>
      <c r="DR102" s="92"/>
      <c r="DS102" s="92"/>
      <c r="DT102" s="92"/>
      <c r="DU102" s="107"/>
      <c r="DV102" s="92"/>
      <c r="DW102" s="92"/>
      <c r="DX102" s="92"/>
      <c r="DY102" s="107"/>
      <c r="DZ102" s="92"/>
      <c r="EA102" s="92"/>
      <c r="EB102" s="107"/>
      <c r="EC102" s="73"/>
    </row>
    <row r="103" spans="1:133" s="47" customFormat="1" ht="25.15" customHeight="1">
      <c r="A103" s="1" t="e">
        <f t="shared" si="28"/>
        <v>#REF!</v>
      </c>
      <c r="B103" s="69"/>
      <c r="C103" s="266"/>
      <c r="D103" s="266"/>
      <c r="E103" s="266"/>
      <c r="F103" s="266"/>
      <c r="G103" s="266"/>
      <c r="H103" s="266"/>
      <c r="I103" s="336"/>
      <c r="J103" s="336"/>
      <c r="K103" s="336"/>
      <c r="L103" s="336"/>
      <c r="M103" s="266"/>
      <c r="N103" s="266"/>
      <c r="O103" s="266"/>
      <c r="P103" s="266"/>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107"/>
      <c r="BB103" s="92"/>
      <c r="BC103" s="92"/>
      <c r="BD103" s="107"/>
      <c r="BE103" s="92"/>
      <c r="BF103" s="92"/>
      <c r="BG103" s="92"/>
      <c r="BH103" s="107"/>
      <c r="BI103" s="92"/>
      <c r="BJ103" s="92"/>
      <c r="BK103" s="92"/>
      <c r="BL103" s="107"/>
      <c r="BM103" s="92"/>
      <c r="BN103" s="92"/>
      <c r="BO103" s="92"/>
      <c r="BP103" s="107"/>
      <c r="BQ103" s="92"/>
      <c r="BR103" s="92"/>
      <c r="BS103" s="107"/>
      <c r="BT103" s="92"/>
      <c r="BU103" s="72"/>
      <c r="BV103" s="92"/>
      <c r="BW103" s="266"/>
      <c r="BX103" s="266"/>
      <c r="BY103" s="266"/>
      <c r="BZ103" s="266"/>
      <c r="CA103" s="266"/>
      <c r="CB103" s="266"/>
      <c r="CC103" s="266"/>
      <c r="CD103" s="266"/>
      <c r="CE103" s="336"/>
      <c r="CF103" s="336"/>
      <c r="CG103" s="336"/>
      <c r="CH103" s="33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92"/>
      <c r="DL103" s="92"/>
      <c r="DM103" s="107"/>
      <c r="DN103" s="92"/>
      <c r="DO103" s="92"/>
      <c r="DP103" s="92"/>
      <c r="DQ103" s="107"/>
      <c r="DR103" s="92"/>
      <c r="DS103" s="92"/>
      <c r="DT103" s="92"/>
      <c r="DU103" s="107"/>
      <c r="DV103" s="92"/>
      <c r="DW103" s="92"/>
      <c r="DX103" s="92"/>
      <c r="DY103" s="107"/>
      <c r="DZ103" s="92"/>
      <c r="EA103" s="92"/>
      <c r="EB103" s="107"/>
      <c r="EC103" s="73"/>
    </row>
    <row r="104" spans="1:133" s="47" customFormat="1" ht="25.15" customHeight="1">
      <c r="A104" s="1" t="e">
        <f t="shared" si="28"/>
        <v>#REF!</v>
      </c>
      <c r="B104" s="69"/>
      <c r="C104" s="266"/>
      <c r="D104" s="266"/>
      <c r="E104" s="266"/>
      <c r="F104" s="266"/>
      <c r="G104" s="266"/>
      <c r="H104" s="266"/>
      <c r="I104" s="336"/>
      <c r="J104" s="336"/>
      <c r="K104" s="336"/>
      <c r="L104" s="33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107"/>
      <c r="BB104" s="92"/>
      <c r="BC104" s="92"/>
      <c r="BD104" s="107"/>
      <c r="BE104" s="92"/>
      <c r="BF104" s="92"/>
      <c r="BG104" s="92"/>
      <c r="BH104" s="107"/>
      <c r="BI104" s="92"/>
      <c r="BJ104" s="92"/>
      <c r="BK104" s="92"/>
      <c r="BL104" s="107"/>
      <c r="BM104" s="92"/>
      <c r="BN104" s="92"/>
      <c r="BO104" s="92"/>
      <c r="BP104" s="107"/>
      <c r="BQ104" s="92"/>
      <c r="BR104" s="92"/>
      <c r="BS104" s="107"/>
      <c r="BT104" s="92"/>
      <c r="BU104" s="72"/>
      <c r="BV104" s="92"/>
      <c r="BW104" s="266"/>
      <c r="BX104" s="266"/>
      <c r="BY104" s="266"/>
      <c r="BZ104" s="266"/>
      <c r="CA104" s="266"/>
      <c r="CB104" s="266"/>
      <c r="CC104" s="266"/>
      <c r="CD104" s="266"/>
      <c r="CE104" s="336"/>
      <c r="CF104" s="336"/>
      <c r="CG104" s="336"/>
      <c r="CH104" s="33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92"/>
      <c r="DL104" s="92"/>
      <c r="DM104" s="107"/>
      <c r="DN104" s="92"/>
      <c r="DO104" s="92"/>
      <c r="DP104" s="92"/>
      <c r="DQ104" s="107"/>
      <c r="DR104" s="92"/>
      <c r="DS104" s="92"/>
      <c r="DT104" s="92"/>
      <c r="DU104" s="107"/>
      <c r="DV104" s="92"/>
      <c r="DW104" s="92"/>
      <c r="DX104" s="92"/>
      <c r="DY104" s="107"/>
      <c r="DZ104" s="92"/>
      <c r="EA104" s="92"/>
      <c r="EB104" s="107"/>
      <c r="EC104" s="73"/>
    </row>
    <row r="105" spans="1:133" s="47" customFormat="1" ht="25.15" customHeight="1">
      <c r="A105" s="1" t="e">
        <f t="shared" si="28"/>
        <v>#REF!</v>
      </c>
      <c r="B105" s="69"/>
      <c r="C105" s="266"/>
      <c r="D105" s="266"/>
      <c r="E105" s="266"/>
      <c r="F105" s="266"/>
      <c r="G105" s="266"/>
      <c r="H105" s="266"/>
      <c r="I105" s="336"/>
      <c r="J105" s="336"/>
      <c r="K105" s="336"/>
      <c r="L105" s="336"/>
      <c r="M105" s="266"/>
      <c r="N105" s="266"/>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107"/>
      <c r="BB105" s="92"/>
      <c r="BC105" s="92"/>
      <c r="BD105" s="107"/>
      <c r="BE105" s="92"/>
      <c r="BF105" s="92"/>
      <c r="BG105" s="92"/>
      <c r="BH105" s="107"/>
      <c r="BI105" s="92"/>
      <c r="BJ105" s="92"/>
      <c r="BK105" s="92"/>
      <c r="BL105" s="107"/>
      <c r="BM105" s="92"/>
      <c r="BN105" s="92"/>
      <c r="BO105" s="92"/>
      <c r="BP105" s="107"/>
      <c r="BQ105" s="92"/>
      <c r="BR105" s="92"/>
      <c r="BS105" s="107"/>
      <c r="BT105" s="92"/>
      <c r="BU105" s="72"/>
      <c r="BV105" s="92"/>
      <c r="BW105" s="266"/>
      <c r="BX105" s="266"/>
      <c r="BY105" s="266"/>
      <c r="BZ105" s="266"/>
      <c r="CA105" s="266"/>
      <c r="CB105" s="266"/>
      <c r="CC105" s="266"/>
      <c r="CD105" s="266"/>
      <c r="CE105" s="336"/>
      <c r="CF105" s="336"/>
      <c r="CG105" s="336"/>
      <c r="CH105" s="33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92"/>
      <c r="DL105" s="92"/>
      <c r="DM105" s="107"/>
      <c r="DN105" s="92"/>
      <c r="DO105" s="92"/>
      <c r="DP105" s="92"/>
      <c r="DQ105" s="107"/>
      <c r="DR105" s="92"/>
      <c r="DS105" s="92"/>
      <c r="DT105" s="92"/>
      <c r="DU105" s="107"/>
      <c r="DV105" s="92"/>
      <c r="DW105" s="92"/>
      <c r="DX105" s="92"/>
      <c r="DY105" s="107"/>
      <c r="DZ105" s="92"/>
      <c r="EA105" s="92"/>
      <c r="EB105" s="107"/>
      <c r="EC105" s="73"/>
    </row>
    <row r="106" spans="1:133" s="47" customFormat="1" ht="25.15" customHeight="1">
      <c r="A106" s="1" t="e">
        <f t="shared" si="28"/>
        <v>#REF!</v>
      </c>
      <c r="B106" s="69"/>
      <c r="C106" s="266"/>
      <c r="D106" s="266"/>
      <c r="E106" s="266"/>
      <c r="F106" s="266"/>
      <c r="G106" s="266"/>
      <c r="H106" s="266"/>
      <c r="I106" s="336"/>
      <c r="J106" s="336"/>
      <c r="K106" s="336"/>
      <c r="L106" s="33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107"/>
      <c r="BB106" s="92"/>
      <c r="BC106" s="92"/>
      <c r="BD106" s="107"/>
      <c r="BE106" s="92"/>
      <c r="BF106" s="92"/>
      <c r="BG106" s="92"/>
      <c r="BH106" s="107"/>
      <c r="BI106" s="92"/>
      <c r="BJ106" s="92"/>
      <c r="BK106" s="92"/>
      <c r="BL106" s="107"/>
      <c r="BM106" s="92"/>
      <c r="BN106" s="92"/>
      <c r="BO106" s="92"/>
      <c r="BP106" s="107"/>
      <c r="BQ106" s="92"/>
      <c r="BR106" s="92"/>
      <c r="BS106" s="107"/>
      <c r="BT106" s="92"/>
      <c r="BU106" s="72"/>
      <c r="BV106" s="92"/>
      <c r="BW106" s="266"/>
      <c r="BX106" s="266"/>
      <c r="BY106" s="266"/>
      <c r="BZ106" s="266"/>
      <c r="CA106" s="266"/>
      <c r="CB106" s="266"/>
      <c r="CC106" s="266"/>
      <c r="CD106" s="266"/>
      <c r="CE106" s="336"/>
      <c r="CF106" s="336"/>
      <c r="CG106" s="336"/>
      <c r="CH106" s="33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92"/>
      <c r="DL106" s="92"/>
      <c r="DM106" s="107"/>
      <c r="DN106" s="92"/>
      <c r="DO106" s="92"/>
      <c r="DP106" s="92"/>
      <c r="DQ106" s="107"/>
      <c r="DR106" s="92"/>
      <c r="DS106" s="92"/>
      <c r="DT106" s="92"/>
      <c r="DU106" s="107"/>
      <c r="DV106" s="92"/>
      <c r="DW106" s="92"/>
      <c r="DX106" s="92"/>
      <c r="DY106" s="107"/>
      <c r="DZ106" s="92"/>
      <c r="EA106" s="92"/>
      <c r="EB106" s="107"/>
      <c r="EC106" s="73"/>
    </row>
    <row r="107" spans="1:133" s="47" customFormat="1" ht="25.15" customHeight="1">
      <c r="A107" s="1" t="e">
        <f t="shared" si="28"/>
        <v>#REF!</v>
      </c>
      <c r="B107" s="69"/>
      <c r="C107" s="266"/>
      <c r="D107" s="266"/>
      <c r="E107" s="266"/>
      <c r="F107" s="266"/>
      <c r="G107" s="266"/>
      <c r="H107" s="266"/>
      <c r="I107" s="336"/>
      <c r="J107" s="336"/>
      <c r="K107" s="336"/>
      <c r="L107" s="336"/>
      <c r="M107" s="266"/>
      <c r="N107" s="266"/>
      <c r="O107" s="266"/>
      <c r="P107" s="266"/>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107"/>
      <c r="BB107" s="92"/>
      <c r="BC107" s="92"/>
      <c r="BD107" s="107"/>
      <c r="BE107" s="92"/>
      <c r="BF107" s="92"/>
      <c r="BG107" s="92"/>
      <c r="BH107" s="107"/>
      <c r="BI107" s="92"/>
      <c r="BJ107" s="92"/>
      <c r="BK107" s="92"/>
      <c r="BL107" s="107"/>
      <c r="BM107" s="92"/>
      <c r="BN107" s="92"/>
      <c r="BO107" s="92"/>
      <c r="BP107" s="107"/>
      <c r="BQ107" s="92"/>
      <c r="BR107" s="92"/>
      <c r="BS107" s="107"/>
      <c r="BT107" s="92"/>
      <c r="BU107" s="72"/>
      <c r="BV107" s="92"/>
      <c r="BW107" s="266"/>
      <c r="BX107" s="266"/>
      <c r="BY107" s="266"/>
      <c r="BZ107" s="266"/>
      <c r="CA107" s="266"/>
      <c r="CB107" s="266"/>
      <c r="CC107" s="266"/>
      <c r="CD107" s="266"/>
      <c r="CE107" s="336"/>
      <c r="CF107" s="336"/>
      <c r="CG107" s="336"/>
      <c r="CH107" s="33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92"/>
      <c r="DL107" s="92"/>
      <c r="DM107" s="107"/>
      <c r="DN107" s="92"/>
      <c r="DO107" s="92"/>
      <c r="DP107" s="92"/>
      <c r="DQ107" s="107"/>
      <c r="DR107" s="92"/>
      <c r="DS107" s="92"/>
      <c r="DT107" s="92"/>
      <c r="DU107" s="107"/>
      <c r="DV107" s="92"/>
      <c r="DW107" s="92"/>
      <c r="DX107" s="92"/>
      <c r="DY107" s="107"/>
      <c r="DZ107" s="92"/>
      <c r="EA107" s="92"/>
      <c r="EB107" s="107"/>
      <c r="EC107" s="73"/>
    </row>
    <row r="108" spans="1:133" s="47" customFormat="1" ht="25.15" customHeight="1">
      <c r="A108" s="1" t="e">
        <f t="shared" si="28"/>
        <v>#REF!</v>
      </c>
      <c r="B108" s="69"/>
      <c r="C108" s="266"/>
      <c r="D108" s="266"/>
      <c r="E108" s="266"/>
      <c r="F108" s="266"/>
      <c r="G108" s="266"/>
      <c r="H108" s="266"/>
      <c r="I108" s="336"/>
      <c r="J108" s="336"/>
      <c r="K108" s="336"/>
      <c r="L108" s="336"/>
      <c r="M108" s="266"/>
      <c r="N108" s="266"/>
      <c r="O108" s="266"/>
      <c r="P108" s="266"/>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107"/>
      <c r="BB108" s="92"/>
      <c r="BC108" s="92"/>
      <c r="BD108" s="107"/>
      <c r="BE108" s="92"/>
      <c r="BF108" s="92"/>
      <c r="BG108" s="92"/>
      <c r="BH108" s="107"/>
      <c r="BI108" s="92"/>
      <c r="BJ108" s="92"/>
      <c r="BK108" s="92"/>
      <c r="BL108" s="107"/>
      <c r="BM108" s="92"/>
      <c r="BN108" s="92"/>
      <c r="BO108" s="92"/>
      <c r="BP108" s="107"/>
      <c r="BQ108" s="92"/>
      <c r="BR108" s="92"/>
      <c r="BS108" s="107"/>
      <c r="BT108" s="92"/>
      <c r="BU108" s="72"/>
      <c r="BV108" s="92"/>
      <c r="BW108" s="266"/>
      <c r="BX108" s="266"/>
      <c r="BY108" s="266"/>
      <c r="BZ108" s="266"/>
      <c r="CA108" s="266"/>
      <c r="CB108" s="266"/>
      <c r="CC108" s="266"/>
      <c r="CD108" s="266"/>
      <c r="CE108" s="336"/>
      <c r="CF108" s="336"/>
      <c r="CG108" s="336"/>
      <c r="CH108" s="33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92"/>
      <c r="DL108" s="92"/>
      <c r="DM108" s="107"/>
      <c r="DN108" s="92"/>
      <c r="DO108" s="92"/>
      <c r="DP108" s="92"/>
      <c r="DQ108" s="107"/>
      <c r="DR108" s="92"/>
      <c r="DS108" s="92"/>
      <c r="DT108" s="92"/>
      <c r="DU108" s="107"/>
      <c r="DV108" s="92"/>
      <c r="DW108" s="92"/>
      <c r="DX108" s="92"/>
      <c r="DY108" s="107"/>
      <c r="DZ108" s="92"/>
      <c r="EA108" s="92"/>
      <c r="EB108" s="107"/>
      <c r="EC108" s="73"/>
    </row>
    <row r="109" spans="1:133" s="47" customFormat="1" ht="25.15" customHeight="1">
      <c r="A109" s="1" t="e">
        <f t="shared" si="28"/>
        <v>#REF!</v>
      </c>
      <c r="B109" s="69"/>
      <c r="C109" s="266"/>
      <c r="D109" s="266"/>
      <c r="E109" s="266"/>
      <c r="F109" s="266"/>
      <c r="G109" s="266"/>
      <c r="H109" s="266"/>
      <c r="I109" s="336"/>
      <c r="J109" s="336"/>
      <c r="K109" s="336"/>
      <c r="L109" s="336"/>
      <c r="M109" s="266"/>
      <c r="N109" s="266"/>
      <c r="O109" s="266"/>
      <c r="P109" s="266"/>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107"/>
      <c r="BB109" s="92"/>
      <c r="BC109" s="92"/>
      <c r="BD109" s="107"/>
      <c r="BE109" s="92"/>
      <c r="BF109" s="92"/>
      <c r="BG109" s="92"/>
      <c r="BH109" s="107"/>
      <c r="BI109" s="92"/>
      <c r="BJ109" s="92"/>
      <c r="BK109" s="92"/>
      <c r="BL109" s="107"/>
      <c r="BM109" s="92"/>
      <c r="BN109" s="92"/>
      <c r="BO109" s="92"/>
      <c r="BP109" s="107"/>
      <c r="BQ109" s="92"/>
      <c r="BR109" s="92"/>
      <c r="BS109" s="107"/>
      <c r="BT109" s="92"/>
      <c r="BU109" s="72"/>
      <c r="BV109" s="92"/>
      <c r="BW109" s="266"/>
      <c r="BX109" s="266"/>
      <c r="BY109" s="266"/>
      <c r="BZ109" s="266"/>
      <c r="CA109" s="266"/>
      <c r="CB109" s="266"/>
      <c r="CC109" s="266"/>
      <c r="CD109" s="266"/>
      <c r="CE109" s="336"/>
      <c r="CF109" s="336"/>
      <c r="CG109" s="336"/>
      <c r="CH109" s="33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92"/>
      <c r="DL109" s="92"/>
      <c r="DM109" s="107"/>
      <c r="DN109" s="92"/>
      <c r="DO109" s="92"/>
      <c r="DP109" s="92"/>
      <c r="DQ109" s="107"/>
      <c r="DR109" s="92"/>
      <c r="DS109" s="92"/>
      <c r="DT109" s="92"/>
      <c r="DU109" s="107"/>
      <c r="DV109" s="92"/>
      <c r="DW109" s="92"/>
      <c r="DX109" s="92"/>
      <c r="DY109" s="107"/>
      <c r="DZ109" s="92"/>
      <c r="EA109" s="92"/>
      <c r="EB109" s="107"/>
      <c r="EC109" s="73"/>
    </row>
    <row r="110" spans="1:133" s="47" customFormat="1" ht="25.15" customHeight="1">
      <c r="A110" s="1" t="e">
        <f t="shared" si="28"/>
        <v>#REF!</v>
      </c>
      <c r="B110" s="6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c r="AA110" s="259"/>
      <c r="AB110" s="259"/>
      <c r="AC110" s="259"/>
      <c r="AD110" s="259"/>
      <c r="AE110" s="259"/>
      <c r="AF110" s="259"/>
      <c r="AG110" s="259"/>
      <c r="AH110" s="259"/>
      <c r="AI110" s="259"/>
      <c r="AJ110" s="259"/>
      <c r="AK110" s="259"/>
      <c r="AL110" s="259"/>
      <c r="AM110" s="259"/>
      <c r="AN110" s="259"/>
      <c r="AO110" s="259"/>
      <c r="AP110" s="259"/>
      <c r="AQ110" s="259"/>
      <c r="AR110" s="259"/>
      <c r="AS110" s="259"/>
      <c r="AT110" s="259"/>
      <c r="AU110" s="259"/>
      <c r="AV110" s="259"/>
      <c r="AW110" s="259"/>
      <c r="AX110" s="259"/>
      <c r="AY110" s="259"/>
      <c r="AZ110" s="259"/>
      <c r="BA110" s="259"/>
      <c r="BB110" s="314"/>
      <c r="BC110" s="314"/>
      <c r="BD110" s="314"/>
      <c r="BE110" s="314"/>
      <c r="BF110" s="314"/>
      <c r="BG110" s="314"/>
      <c r="BH110" s="314"/>
      <c r="BI110" s="314"/>
      <c r="BJ110" s="314"/>
      <c r="BK110" s="314"/>
      <c r="BL110" s="314"/>
      <c r="BM110" s="314"/>
      <c r="BN110" s="314"/>
      <c r="BO110" s="314"/>
      <c r="BP110" s="314"/>
      <c r="BQ110" s="314"/>
      <c r="BR110" s="314"/>
      <c r="BS110" s="107"/>
      <c r="BT110" s="107"/>
      <c r="BU110" s="107"/>
      <c r="BV110" s="101"/>
      <c r="BW110" s="259"/>
      <c r="BX110" s="259"/>
      <c r="BY110" s="259"/>
      <c r="BZ110" s="259"/>
      <c r="CA110" s="259"/>
      <c r="CB110" s="259"/>
      <c r="CC110" s="259"/>
      <c r="CD110" s="259"/>
      <c r="CE110" s="259"/>
      <c r="CF110" s="259"/>
      <c r="CG110" s="259"/>
      <c r="CH110" s="259"/>
      <c r="CI110" s="259"/>
      <c r="CJ110" s="259"/>
      <c r="CK110" s="259"/>
      <c r="CL110" s="259"/>
      <c r="CM110" s="259"/>
      <c r="CN110" s="259"/>
      <c r="CO110" s="259"/>
      <c r="CP110" s="259"/>
      <c r="CQ110" s="259"/>
      <c r="CR110" s="259"/>
      <c r="CS110" s="259"/>
      <c r="CT110" s="259"/>
      <c r="CU110" s="259"/>
      <c r="CV110" s="259"/>
      <c r="CW110" s="259"/>
      <c r="CX110" s="259"/>
      <c r="CY110" s="259"/>
      <c r="CZ110" s="259"/>
      <c r="DA110" s="259"/>
      <c r="DB110" s="259"/>
      <c r="DC110" s="259"/>
      <c r="DD110" s="259"/>
      <c r="DE110" s="259"/>
      <c r="DF110" s="259"/>
      <c r="DG110" s="259"/>
      <c r="DH110" s="259"/>
      <c r="DI110" s="259"/>
      <c r="DJ110" s="259"/>
      <c r="DK110" s="259"/>
      <c r="DL110" s="314"/>
      <c r="DM110" s="314"/>
      <c r="DN110" s="314"/>
      <c r="DO110" s="314"/>
      <c r="DP110" s="314"/>
      <c r="DQ110" s="314"/>
      <c r="DR110" s="314"/>
      <c r="DS110" s="314"/>
      <c r="DT110" s="314"/>
      <c r="DU110" s="314"/>
      <c r="DV110" s="314"/>
      <c r="DW110" s="314"/>
      <c r="DX110" s="314"/>
      <c r="DY110" s="314"/>
      <c r="DZ110" s="314"/>
      <c r="EA110" s="314"/>
      <c r="EB110" s="314"/>
      <c r="EC110" s="73"/>
    </row>
    <row r="111" spans="1:133" s="47" customFormat="1" ht="25.15" customHeight="1">
      <c r="A111" s="1"/>
      <c r="B111" s="69"/>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86"/>
      <c r="BC111" s="186"/>
      <c r="BD111" s="186"/>
      <c r="BE111" s="186"/>
      <c r="BF111" s="186"/>
      <c r="BG111" s="186"/>
      <c r="BH111" s="186"/>
      <c r="BI111" s="186"/>
      <c r="BJ111" s="186"/>
      <c r="BK111" s="186"/>
      <c r="BL111" s="186"/>
      <c r="BM111" s="186"/>
      <c r="BN111" s="186"/>
      <c r="BO111" s="186"/>
      <c r="BP111" s="186"/>
      <c r="BQ111" s="186"/>
      <c r="BR111" s="186"/>
      <c r="BS111" s="107"/>
      <c r="BT111" s="107"/>
      <c r="BU111" s="107"/>
      <c r="BV111" s="101"/>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86"/>
      <c r="DM111" s="186"/>
      <c r="DN111" s="186"/>
      <c r="DO111" s="186"/>
      <c r="DP111" s="186"/>
      <c r="DQ111" s="186"/>
      <c r="DR111" s="186"/>
      <c r="DS111" s="186"/>
      <c r="DT111" s="186"/>
      <c r="DU111" s="186"/>
      <c r="DV111" s="186"/>
      <c r="DW111" s="186"/>
      <c r="DX111" s="186"/>
      <c r="DY111" s="186"/>
      <c r="DZ111" s="186"/>
      <c r="EA111" s="186"/>
      <c r="EB111" s="186"/>
      <c r="EC111" s="73"/>
    </row>
    <row r="112" spans="1:133" s="47" customFormat="1" ht="25.15" customHeight="1">
      <c r="A112" s="1"/>
      <c r="B112" s="69"/>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86"/>
      <c r="BC112" s="186"/>
      <c r="BD112" s="186"/>
      <c r="BE112" s="186"/>
      <c r="BF112" s="186"/>
      <c r="BG112" s="186"/>
      <c r="BH112" s="186"/>
      <c r="BI112" s="186"/>
      <c r="BJ112" s="186"/>
      <c r="BK112" s="186"/>
      <c r="BL112" s="186"/>
      <c r="BM112" s="186"/>
      <c r="BN112" s="186"/>
      <c r="BO112" s="186"/>
      <c r="BP112" s="186"/>
      <c r="BQ112" s="186"/>
      <c r="BR112" s="186"/>
      <c r="BS112" s="107"/>
      <c r="BT112" s="107"/>
      <c r="BU112" s="107"/>
      <c r="BV112" s="101"/>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86"/>
      <c r="DM112" s="186"/>
      <c r="DN112" s="186"/>
      <c r="DO112" s="186"/>
      <c r="DP112" s="186"/>
      <c r="DQ112" s="186"/>
      <c r="DR112" s="186"/>
      <c r="DS112" s="186"/>
      <c r="DT112" s="186"/>
      <c r="DU112" s="186"/>
      <c r="DV112" s="186"/>
      <c r="DW112" s="186"/>
      <c r="DX112" s="186"/>
      <c r="DY112" s="186"/>
      <c r="DZ112" s="186"/>
      <c r="EA112" s="186"/>
      <c r="EB112" s="186"/>
      <c r="EC112" s="73"/>
    </row>
    <row r="113" spans="1:133" s="47" customFormat="1" ht="25.15" customHeight="1">
      <c r="A113" s="1"/>
      <c r="B113" s="69"/>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86"/>
      <c r="BC113" s="186"/>
      <c r="BD113" s="186"/>
      <c r="BE113" s="186"/>
      <c r="BF113" s="186"/>
      <c r="BG113" s="186"/>
      <c r="BH113" s="186"/>
      <c r="BI113" s="186"/>
      <c r="BJ113" s="186"/>
      <c r="BK113" s="186"/>
      <c r="BL113" s="186"/>
      <c r="BM113" s="186"/>
      <c r="BN113" s="186"/>
      <c r="BO113" s="186"/>
      <c r="BP113" s="186"/>
      <c r="BQ113" s="186"/>
      <c r="BR113" s="186"/>
      <c r="BS113" s="107"/>
      <c r="BT113" s="107"/>
      <c r="BU113" s="107"/>
      <c r="BV113" s="101"/>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86"/>
      <c r="DM113" s="186"/>
      <c r="DN113" s="186"/>
      <c r="DO113" s="186"/>
      <c r="DP113" s="186"/>
      <c r="DQ113" s="186"/>
      <c r="DR113" s="186"/>
      <c r="DS113" s="186"/>
      <c r="DT113" s="186"/>
      <c r="DU113" s="186"/>
      <c r="DV113" s="186"/>
      <c r="DW113" s="186"/>
      <c r="DX113" s="186"/>
      <c r="DY113" s="186"/>
      <c r="DZ113" s="186"/>
      <c r="EA113" s="186"/>
      <c r="EB113" s="186"/>
      <c r="EC113" s="73"/>
    </row>
    <row r="114" spans="1:133" s="47" customFormat="1" ht="25.15" customHeight="1">
      <c r="A114" s="1"/>
      <c r="B114" s="69"/>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86"/>
      <c r="BC114" s="186"/>
      <c r="BD114" s="186"/>
      <c r="BE114" s="186"/>
      <c r="BF114" s="186"/>
      <c r="BG114" s="186"/>
      <c r="BH114" s="186"/>
      <c r="BI114" s="186"/>
      <c r="BJ114" s="186"/>
      <c r="BK114" s="186"/>
      <c r="BL114" s="186"/>
      <c r="BM114" s="186"/>
      <c r="BN114" s="186"/>
      <c r="BO114" s="186"/>
      <c r="BP114" s="186"/>
      <c r="BQ114" s="186"/>
      <c r="BR114" s="186"/>
      <c r="BS114" s="107"/>
      <c r="BT114" s="107"/>
      <c r="BU114" s="107"/>
      <c r="BV114" s="101"/>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86"/>
      <c r="DM114" s="186"/>
      <c r="DN114" s="186"/>
      <c r="DO114" s="186"/>
      <c r="DP114" s="186"/>
      <c r="DQ114" s="186"/>
      <c r="DR114" s="186"/>
      <c r="DS114" s="186"/>
      <c r="DT114" s="186"/>
      <c r="DU114" s="186"/>
      <c r="DV114" s="186"/>
      <c r="DW114" s="186"/>
      <c r="DX114" s="186"/>
      <c r="DY114" s="186"/>
      <c r="DZ114" s="186"/>
      <c r="EA114" s="186"/>
      <c r="EB114" s="186"/>
      <c r="EC114" s="73"/>
    </row>
    <row r="115" spans="1:133" s="47" customFormat="1" ht="25.15" customHeight="1">
      <c r="A115" s="1"/>
      <c r="B115" s="69"/>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50"/>
      <c r="AQ115" s="150"/>
      <c r="AR115" s="150"/>
      <c r="AS115" s="150"/>
      <c r="AT115" s="150"/>
      <c r="AU115" s="150"/>
      <c r="AV115" s="150"/>
      <c r="AW115" s="150"/>
      <c r="AX115" s="150"/>
      <c r="AY115" s="150"/>
      <c r="AZ115" s="150"/>
      <c r="BA115" s="150"/>
      <c r="BB115" s="186"/>
      <c r="BC115" s="186"/>
      <c r="BD115" s="186"/>
      <c r="BE115" s="186"/>
      <c r="BF115" s="186"/>
      <c r="BG115" s="186"/>
      <c r="BH115" s="186"/>
      <c r="BI115" s="186"/>
      <c r="BJ115" s="186"/>
      <c r="BK115" s="186"/>
      <c r="BL115" s="186"/>
      <c r="BM115" s="186"/>
      <c r="BN115" s="186"/>
      <c r="BO115" s="186"/>
      <c r="BP115" s="186"/>
      <c r="BQ115" s="186"/>
      <c r="BR115" s="186"/>
      <c r="BS115" s="107"/>
      <c r="BT115" s="107"/>
      <c r="BU115" s="107"/>
      <c r="BV115" s="101"/>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86"/>
      <c r="DM115" s="186"/>
      <c r="DN115" s="186"/>
      <c r="DO115" s="186"/>
      <c r="DP115" s="186"/>
      <c r="DQ115" s="186"/>
      <c r="DR115" s="186"/>
      <c r="DS115" s="186"/>
      <c r="DT115" s="186"/>
      <c r="DU115" s="186"/>
      <c r="DV115" s="186"/>
      <c r="DW115" s="186"/>
      <c r="DX115" s="186"/>
      <c r="DY115" s="186"/>
      <c r="DZ115" s="186"/>
      <c r="EA115" s="186"/>
      <c r="EB115" s="186"/>
      <c r="EC115" s="73"/>
    </row>
    <row r="116" spans="1:133" s="47" customFormat="1" ht="25.15" customHeight="1">
      <c r="A116" s="1"/>
      <c r="B116" s="69"/>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50"/>
      <c r="AQ116" s="150"/>
      <c r="AR116" s="150"/>
      <c r="AS116" s="150"/>
      <c r="AT116" s="150"/>
      <c r="AU116" s="150"/>
      <c r="AV116" s="150"/>
      <c r="AW116" s="150"/>
      <c r="AX116" s="150"/>
      <c r="AY116" s="150"/>
      <c r="AZ116" s="150"/>
      <c r="BA116" s="150"/>
      <c r="BB116" s="186"/>
      <c r="BC116" s="186"/>
      <c r="BD116" s="186"/>
      <c r="BE116" s="186"/>
      <c r="BF116" s="186"/>
      <c r="BG116" s="186"/>
      <c r="BH116" s="186"/>
      <c r="BI116" s="186"/>
      <c r="BJ116" s="186"/>
      <c r="BK116" s="186"/>
      <c r="BL116" s="186"/>
      <c r="BM116" s="186"/>
      <c r="BN116" s="186"/>
      <c r="BO116" s="186"/>
      <c r="BP116" s="186"/>
      <c r="BQ116" s="186"/>
      <c r="BR116" s="186"/>
      <c r="BS116" s="107"/>
      <c r="BT116" s="107"/>
      <c r="BU116" s="107"/>
      <c r="BV116" s="101"/>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86"/>
      <c r="DM116" s="186"/>
      <c r="DN116" s="186"/>
      <c r="DO116" s="186"/>
      <c r="DP116" s="186"/>
      <c r="DQ116" s="186"/>
      <c r="DR116" s="186"/>
      <c r="DS116" s="186"/>
      <c r="DT116" s="186"/>
      <c r="DU116" s="186"/>
      <c r="DV116" s="186"/>
      <c r="DW116" s="186"/>
      <c r="DX116" s="186"/>
      <c r="DY116" s="186"/>
      <c r="DZ116" s="186"/>
      <c r="EA116" s="186"/>
      <c r="EB116" s="186"/>
      <c r="EC116" s="73"/>
    </row>
    <row r="117" spans="1:133" s="47" customFormat="1" ht="25.15" customHeight="1">
      <c r="A117" s="1"/>
      <c r="B117" s="69"/>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c r="AM117" s="150"/>
      <c r="AN117" s="150"/>
      <c r="AO117" s="150"/>
      <c r="AP117" s="150"/>
      <c r="AQ117" s="150"/>
      <c r="AR117" s="150"/>
      <c r="AS117" s="150"/>
      <c r="AT117" s="150"/>
      <c r="AU117" s="150"/>
      <c r="AV117" s="150"/>
      <c r="AW117" s="150"/>
      <c r="AX117" s="150"/>
      <c r="AY117" s="150"/>
      <c r="AZ117" s="150"/>
      <c r="BA117" s="150"/>
      <c r="BB117" s="186"/>
      <c r="BC117" s="186"/>
      <c r="BD117" s="186"/>
      <c r="BE117" s="186"/>
      <c r="BF117" s="186"/>
      <c r="BG117" s="186"/>
      <c r="BH117" s="186"/>
      <c r="BI117" s="186"/>
      <c r="BJ117" s="186"/>
      <c r="BK117" s="186"/>
      <c r="BL117" s="186"/>
      <c r="BM117" s="186"/>
      <c r="BN117" s="186"/>
      <c r="BO117" s="186"/>
      <c r="BP117" s="186"/>
      <c r="BQ117" s="186"/>
      <c r="BR117" s="186"/>
      <c r="BS117" s="107"/>
      <c r="BT117" s="107"/>
      <c r="BU117" s="107"/>
      <c r="BV117" s="101"/>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86"/>
      <c r="DM117" s="186"/>
      <c r="DN117" s="186"/>
      <c r="DO117" s="186"/>
      <c r="DP117" s="186"/>
      <c r="DQ117" s="186"/>
      <c r="DR117" s="186"/>
      <c r="DS117" s="186"/>
      <c r="DT117" s="186"/>
      <c r="DU117" s="186"/>
      <c r="DV117" s="186"/>
      <c r="DW117" s="186"/>
      <c r="DX117" s="186"/>
      <c r="DY117" s="186"/>
      <c r="DZ117" s="186"/>
      <c r="EA117" s="186"/>
      <c r="EB117" s="186"/>
      <c r="EC117" s="73"/>
    </row>
    <row r="118" spans="1:133" s="47" customFormat="1" ht="25.15" customHeight="1">
      <c r="A118" s="1"/>
      <c r="B118" s="69"/>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c r="AM118" s="150"/>
      <c r="AN118" s="150"/>
      <c r="AO118" s="150"/>
      <c r="AP118" s="150"/>
      <c r="AQ118" s="150"/>
      <c r="AR118" s="150"/>
      <c r="AS118" s="150"/>
      <c r="AT118" s="150"/>
      <c r="AU118" s="150"/>
      <c r="AV118" s="150"/>
      <c r="AW118" s="150"/>
      <c r="AX118" s="150"/>
      <c r="AY118" s="150"/>
      <c r="AZ118" s="150"/>
      <c r="BA118" s="150"/>
      <c r="BB118" s="186"/>
      <c r="BC118" s="186"/>
      <c r="BD118" s="186"/>
      <c r="BE118" s="186"/>
      <c r="BF118" s="186"/>
      <c r="BG118" s="186"/>
      <c r="BH118" s="186"/>
      <c r="BI118" s="186"/>
      <c r="BJ118" s="186"/>
      <c r="BK118" s="186"/>
      <c r="BL118" s="186"/>
      <c r="BM118" s="186"/>
      <c r="BN118" s="186"/>
      <c r="BO118" s="186"/>
      <c r="BP118" s="186"/>
      <c r="BQ118" s="186"/>
      <c r="BR118" s="186"/>
      <c r="BS118" s="107"/>
      <c r="BT118" s="107"/>
      <c r="BU118" s="107"/>
      <c r="BV118" s="101"/>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86"/>
      <c r="DM118" s="186"/>
      <c r="DN118" s="186"/>
      <c r="DO118" s="186"/>
      <c r="DP118" s="186"/>
      <c r="DQ118" s="186"/>
      <c r="DR118" s="186"/>
      <c r="DS118" s="186"/>
      <c r="DT118" s="186"/>
      <c r="DU118" s="186"/>
      <c r="DV118" s="186"/>
      <c r="DW118" s="186"/>
      <c r="DX118" s="186"/>
      <c r="DY118" s="186"/>
      <c r="DZ118" s="186"/>
      <c r="EA118" s="186"/>
      <c r="EB118" s="186"/>
      <c r="EC118" s="73"/>
    </row>
    <row r="119" spans="1:133" s="47" customFormat="1" ht="25.15" customHeight="1">
      <c r="A119" s="1"/>
      <c r="B119" s="69"/>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0"/>
      <c r="AS119" s="150"/>
      <c r="AT119" s="150"/>
      <c r="AU119" s="150"/>
      <c r="AV119" s="150"/>
      <c r="AW119" s="150"/>
      <c r="AX119" s="150"/>
      <c r="AY119" s="150"/>
      <c r="AZ119" s="150"/>
      <c r="BA119" s="150"/>
      <c r="BB119" s="186"/>
      <c r="BC119" s="186"/>
      <c r="BD119" s="186"/>
      <c r="BE119" s="186"/>
      <c r="BF119" s="186"/>
      <c r="BG119" s="186"/>
      <c r="BH119" s="186"/>
      <c r="BI119" s="186"/>
      <c r="BJ119" s="186"/>
      <c r="BK119" s="186"/>
      <c r="BL119" s="186"/>
      <c r="BM119" s="186"/>
      <c r="BN119" s="186"/>
      <c r="BO119" s="186"/>
      <c r="BP119" s="186"/>
      <c r="BQ119" s="186"/>
      <c r="BR119" s="186"/>
      <c r="BS119" s="107"/>
      <c r="BT119" s="107"/>
      <c r="BU119" s="107"/>
      <c r="BV119" s="101"/>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86"/>
      <c r="DM119" s="186"/>
      <c r="DN119" s="186"/>
      <c r="DO119" s="186"/>
      <c r="DP119" s="186"/>
      <c r="DQ119" s="186"/>
      <c r="DR119" s="186"/>
      <c r="DS119" s="186"/>
      <c r="DT119" s="186"/>
      <c r="DU119" s="186"/>
      <c r="DV119" s="186"/>
      <c r="DW119" s="186"/>
      <c r="DX119" s="186"/>
      <c r="DY119" s="186"/>
      <c r="DZ119" s="186"/>
      <c r="EA119" s="186"/>
      <c r="EB119" s="186"/>
      <c r="EC119" s="73"/>
    </row>
    <row r="120" spans="1:133" s="47" customFormat="1" ht="25.15" customHeight="1">
      <c r="A120" s="1"/>
      <c r="B120" s="69"/>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c r="AM120" s="150"/>
      <c r="AN120" s="150"/>
      <c r="AO120" s="150"/>
      <c r="AP120" s="150"/>
      <c r="AQ120" s="150"/>
      <c r="AR120" s="150"/>
      <c r="AS120" s="150"/>
      <c r="AT120" s="150"/>
      <c r="AU120" s="150"/>
      <c r="AV120" s="150"/>
      <c r="AW120" s="150"/>
      <c r="AX120" s="150"/>
      <c r="AY120" s="150"/>
      <c r="AZ120" s="150"/>
      <c r="BA120" s="150"/>
      <c r="BB120" s="186"/>
      <c r="BC120" s="186"/>
      <c r="BD120" s="186"/>
      <c r="BE120" s="186"/>
      <c r="BF120" s="186"/>
      <c r="BG120" s="186"/>
      <c r="BH120" s="186"/>
      <c r="BI120" s="186"/>
      <c r="BJ120" s="186"/>
      <c r="BK120" s="186"/>
      <c r="BL120" s="186"/>
      <c r="BM120" s="186"/>
      <c r="BN120" s="186"/>
      <c r="BO120" s="186"/>
      <c r="BP120" s="186"/>
      <c r="BQ120" s="186"/>
      <c r="BR120" s="186"/>
      <c r="BS120" s="107"/>
      <c r="BT120" s="107"/>
      <c r="BU120" s="107"/>
      <c r="BV120" s="101"/>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86"/>
      <c r="DM120" s="186"/>
      <c r="DN120" s="186"/>
      <c r="DO120" s="186"/>
      <c r="DP120" s="186"/>
      <c r="DQ120" s="186"/>
      <c r="DR120" s="186"/>
      <c r="DS120" s="186"/>
      <c r="DT120" s="186"/>
      <c r="DU120" s="186"/>
      <c r="DV120" s="186"/>
      <c r="DW120" s="186"/>
      <c r="DX120" s="186"/>
      <c r="DY120" s="186"/>
      <c r="DZ120" s="186"/>
      <c r="EA120" s="186"/>
      <c r="EB120" s="186"/>
      <c r="EC120" s="73"/>
    </row>
    <row r="121" spans="1:133" s="47" customFormat="1" ht="25.15" customHeight="1">
      <c r="A121" s="1"/>
      <c r="B121" s="69"/>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0"/>
      <c r="AZ121" s="150"/>
      <c r="BA121" s="150"/>
      <c r="BB121" s="186"/>
      <c r="BC121" s="186"/>
      <c r="BD121" s="186"/>
      <c r="BE121" s="186"/>
      <c r="BF121" s="186"/>
      <c r="BG121" s="186"/>
      <c r="BH121" s="186"/>
      <c r="BI121" s="186"/>
      <c r="BJ121" s="186"/>
      <c r="BK121" s="186"/>
      <c r="BL121" s="186"/>
      <c r="BM121" s="186"/>
      <c r="BN121" s="186"/>
      <c r="BO121" s="186"/>
      <c r="BP121" s="186"/>
      <c r="BQ121" s="186"/>
      <c r="BR121" s="186"/>
      <c r="BS121" s="107"/>
      <c r="BT121" s="107"/>
      <c r="BU121" s="107"/>
      <c r="BV121" s="101"/>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86"/>
      <c r="DM121" s="186"/>
      <c r="DN121" s="186"/>
      <c r="DO121" s="186"/>
      <c r="DP121" s="186"/>
      <c r="DQ121" s="186"/>
      <c r="DR121" s="186"/>
      <c r="DS121" s="186"/>
      <c r="DT121" s="186"/>
      <c r="DU121" s="186"/>
      <c r="DV121" s="186"/>
      <c r="DW121" s="186"/>
      <c r="DX121" s="186"/>
      <c r="DY121" s="186"/>
      <c r="DZ121" s="186"/>
      <c r="EA121" s="186"/>
      <c r="EB121" s="186"/>
      <c r="EC121" s="73"/>
    </row>
    <row r="122" spans="1:133" s="47" customFormat="1" ht="25.15" customHeight="1">
      <c r="A122" s="1"/>
      <c r="B122" s="69"/>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c r="AM122" s="150"/>
      <c r="AN122" s="150"/>
      <c r="AO122" s="150"/>
      <c r="AP122" s="150"/>
      <c r="AQ122" s="150"/>
      <c r="AR122" s="150"/>
      <c r="AS122" s="150"/>
      <c r="AT122" s="150"/>
      <c r="AU122" s="150"/>
      <c r="AV122" s="150"/>
      <c r="AW122" s="150"/>
      <c r="AX122" s="150"/>
      <c r="AY122" s="150"/>
      <c r="AZ122" s="150"/>
      <c r="BA122" s="150"/>
      <c r="BB122" s="186"/>
      <c r="BC122" s="186"/>
      <c r="BD122" s="186"/>
      <c r="BE122" s="186"/>
      <c r="BF122" s="186"/>
      <c r="BG122" s="186"/>
      <c r="BH122" s="186"/>
      <c r="BI122" s="186"/>
      <c r="BJ122" s="186"/>
      <c r="BK122" s="186"/>
      <c r="BL122" s="186"/>
      <c r="BM122" s="186"/>
      <c r="BN122" s="186"/>
      <c r="BO122" s="186"/>
      <c r="BP122" s="186"/>
      <c r="BQ122" s="186"/>
      <c r="BR122" s="186"/>
      <c r="BS122" s="107"/>
      <c r="BT122" s="107"/>
      <c r="BU122" s="107"/>
      <c r="BV122" s="101"/>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86"/>
      <c r="DM122" s="186"/>
      <c r="DN122" s="186"/>
      <c r="DO122" s="186"/>
      <c r="DP122" s="186"/>
      <c r="DQ122" s="186"/>
      <c r="DR122" s="186"/>
      <c r="DS122" s="186"/>
      <c r="DT122" s="186"/>
      <c r="DU122" s="186"/>
      <c r="DV122" s="186"/>
      <c r="DW122" s="186"/>
      <c r="DX122" s="186"/>
      <c r="DY122" s="186"/>
      <c r="DZ122" s="186"/>
      <c r="EA122" s="186"/>
      <c r="EB122" s="186"/>
      <c r="EC122" s="73"/>
    </row>
    <row r="123" spans="1:133" s="47" customFormat="1" ht="25.15" customHeight="1">
      <c r="A123" s="1"/>
      <c r="B123" s="69"/>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c r="AH123" s="150"/>
      <c r="AI123" s="150"/>
      <c r="AJ123" s="150"/>
      <c r="AK123" s="150"/>
      <c r="AL123" s="150"/>
      <c r="AM123" s="150"/>
      <c r="AN123" s="150"/>
      <c r="AO123" s="150"/>
      <c r="AP123" s="150"/>
      <c r="AQ123" s="150"/>
      <c r="AR123" s="150"/>
      <c r="AS123" s="150"/>
      <c r="AT123" s="150"/>
      <c r="AU123" s="150"/>
      <c r="AV123" s="150"/>
      <c r="AW123" s="150"/>
      <c r="AX123" s="150"/>
      <c r="AY123" s="150"/>
      <c r="AZ123" s="150"/>
      <c r="BA123" s="150"/>
      <c r="BB123" s="186"/>
      <c r="BC123" s="186"/>
      <c r="BD123" s="186"/>
      <c r="BE123" s="186"/>
      <c r="BF123" s="186"/>
      <c r="BG123" s="186"/>
      <c r="BH123" s="186"/>
      <c r="BI123" s="186"/>
      <c r="BJ123" s="186"/>
      <c r="BK123" s="186"/>
      <c r="BL123" s="186"/>
      <c r="BM123" s="186"/>
      <c r="BN123" s="186"/>
      <c r="BO123" s="186"/>
      <c r="BP123" s="186"/>
      <c r="BQ123" s="186"/>
      <c r="BR123" s="186"/>
      <c r="BS123" s="107"/>
      <c r="BT123" s="107"/>
      <c r="BU123" s="107"/>
      <c r="BV123" s="101"/>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86"/>
      <c r="DM123" s="186"/>
      <c r="DN123" s="186"/>
      <c r="DO123" s="186"/>
      <c r="DP123" s="186"/>
      <c r="DQ123" s="186"/>
      <c r="DR123" s="186"/>
      <c r="DS123" s="186"/>
      <c r="DT123" s="186"/>
      <c r="DU123" s="186"/>
      <c r="DV123" s="186"/>
      <c r="DW123" s="186"/>
      <c r="DX123" s="186"/>
      <c r="DY123" s="186"/>
      <c r="DZ123" s="186"/>
      <c r="EA123" s="186"/>
      <c r="EB123" s="186"/>
      <c r="EC123" s="73"/>
    </row>
    <row r="124" spans="1:133" s="47" customFormat="1" ht="25.15" customHeight="1">
      <c r="A124" s="1"/>
      <c r="B124" s="69"/>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c r="AH124" s="150"/>
      <c r="AI124" s="150"/>
      <c r="AJ124" s="150"/>
      <c r="AK124" s="150"/>
      <c r="AL124" s="150"/>
      <c r="AM124" s="150"/>
      <c r="AN124" s="150"/>
      <c r="AO124" s="150"/>
      <c r="AP124" s="150"/>
      <c r="AQ124" s="150"/>
      <c r="AR124" s="150"/>
      <c r="AS124" s="150"/>
      <c r="AT124" s="150"/>
      <c r="AU124" s="150"/>
      <c r="AV124" s="150"/>
      <c r="AW124" s="150"/>
      <c r="AX124" s="150"/>
      <c r="AY124" s="150"/>
      <c r="AZ124" s="150"/>
      <c r="BA124" s="150"/>
      <c r="BB124" s="186"/>
      <c r="BC124" s="186"/>
      <c r="BD124" s="186"/>
      <c r="BE124" s="186"/>
      <c r="BF124" s="186"/>
      <c r="BG124" s="186"/>
      <c r="BH124" s="186"/>
      <c r="BI124" s="186"/>
      <c r="BJ124" s="186"/>
      <c r="BK124" s="186"/>
      <c r="BL124" s="186"/>
      <c r="BM124" s="186"/>
      <c r="BN124" s="186"/>
      <c r="BO124" s="186"/>
      <c r="BP124" s="186"/>
      <c r="BQ124" s="186"/>
      <c r="BR124" s="186"/>
      <c r="BS124" s="107"/>
      <c r="BT124" s="107"/>
      <c r="BU124" s="107"/>
      <c r="BV124" s="101"/>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86"/>
      <c r="DM124" s="186"/>
      <c r="DN124" s="186"/>
      <c r="DO124" s="186"/>
      <c r="DP124" s="186"/>
      <c r="DQ124" s="186"/>
      <c r="DR124" s="186"/>
      <c r="DS124" s="186"/>
      <c r="DT124" s="186"/>
      <c r="DU124" s="186"/>
      <c r="DV124" s="186"/>
      <c r="DW124" s="186"/>
      <c r="DX124" s="186"/>
      <c r="DY124" s="186"/>
      <c r="DZ124" s="186"/>
      <c r="EA124" s="186"/>
      <c r="EB124" s="186"/>
      <c r="EC124" s="73"/>
    </row>
    <row r="125" spans="1:133" s="47" customFormat="1" ht="25.15" customHeight="1">
      <c r="A125" s="1"/>
      <c r="B125" s="69"/>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c r="AH125" s="150"/>
      <c r="AI125" s="150"/>
      <c r="AJ125" s="150"/>
      <c r="AK125" s="150"/>
      <c r="AL125" s="150"/>
      <c r="AM125" s="150"/>
      <c r="AN125" s="150"/>
      <c r="AO125" s="150"/>
      <c r="AP125" s="150"/>
      <c r="AQ125" s="150"/>
      <c r="AR125" s="150"/>
      <c r="AS125" s="150"/>
      <c r="AT125" s="150"/>
      <c r="AU125" s="150"/>
      <c r="AV125" s="150"/>
      <c r="AW125" s="150"/>
      <c r="AX125" s="150"/>
      <c r="AY125" s="150"/>
      <c r="AZ125" s="150"/>
      <c r="BA125" s="150"/>
      <c r="BB125" s="186"/>
      <c r="BC125" s="186"/>
      <c r="BD125" s="186"/>
      <c r="BE125" s="186"/>
      <c r="BF125" s="186"/>
      <c r="BG125" s="186"/>
      <c r="BH125" s="186"/>
      <c r="BI125" s="186"/>
      <c r="BJ125" s="186"/>
      <c r="BK125" s="186"/>
      <c r="BL125" s="186"/>
      <c r="BM125" s="186"/>
      <c r="BN125" s="186"/>
      <c r="BO125" s="186"/>
      <c r="BP125" s="186"/>
      <c r="BQ125" s="186"/>
      <c r="BR125" s="186"/>
      <c r="BS125" s="107"/>
      <c r="BT125" s="107"/>
      <c r="BU125" s="107"/>
      <c r="BV125" s="101"/>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86"/>
      <c r="DM125" s="186"/>
      <c r="DN125" s="186"/>
      <c r="DO125" s="186"/>
      <c r="DP125" s="186"/>
      <c r="DQ125" s="186"/>
      <c r="DR125" s="186"/>
      <c r="DS125" s="186"/>
      <c r="DT125" s="186"/>
      <c r="DU125" s="186"/>
      <c r="DV125" s="186"/>
      <c r="DW125" s="186"/>
      <c r="DX125" s="186"/>
      <c r="DY125" s="186"/>
      <c r="DZ125" s="186"/>
      <c r="EA125" s="186"/>
      <c r="EB125" s="186"/>
      <c r="EC125" s="73"/>
    </row>
    <row r="126" spans="1:133" s="47" customFormat="1" ht="25.15" customHeight="1">
      <c r="A126" s="1"/>
      <c r="B126" s="69"/>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50"/>
      <c r="AU126" s="150"/>
      <c r="AV126" s="150"/>
      <c r="AW126" s="150"/>
      <c r="AX126" s="150"/>
      <c r="AY126" s="150"/>
      <c r="AZ126" s="150"/>
      <c r="BA126" s="150"/>
      <c r="BB126" s="186"/>
      <c r="BC126" s="186"/>
      <c r="BD126" s="186"/>
      <c r="BE126" s="186"/>
      <c r="BF126" s="186"/>
      <c r="BG126" s="186"/>
      <c r="BH126" s="186"/>
      <c r="BI126" s="186"/>
      <c r="BJ126" s="186"/>
      <c r="BK126" s="186"/>
      <c r="BL126" s="186"/>
      <c r="BM126" s="186"/>
      <c r="BN126" s="186"/>
      <c r="BO126" s="186"/>
      <c r="BP126" s="186"/>
      <c r="BQ126" s="186"/>
      <c r="BR126" s="186"/>
      <c r="BS126" s="107"/>
      <c r="BT126" s="107"/>
      <c r="BU126" s="107"/>
      <c r="BV126" s="101"/>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86"/>
      <c r="DM126" s="186"/>
      <c r="DN126" s="186"/>
      <c r="DO126" s="186"/>
      <c r="DP126" s="186"/>
      <c r="DQ126" s="186"/>
      <c r="DR126" s="186"/>
      <c r="DS126" s="186"/>
      <c r="DT126" s="186"/>
      <c r="DU126" s="186"/>
      <c r="DV126" s="186"/>
      <c r="DW126" s="186"/>
      <c r="DX126" s="186"/>
      <c r="DY126" s="186"/>
      <c r="DZ126" s="186"/>
      <c r="EA126" s="186"/>
      <c r="EB126" s="186"/>
      <c r="EC126" s="73"/>
    </row>
    <row r="127" spans="1:133" s="47" customFormat="1" ht="25.15" customHeight="1">
      <c r="A127" s="1"/>
      <c r="B127" s="69"/>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c r="AM127" s="150"/>
      <c r="AN127" s="150"/>
      <c r="AO127" s="150"/>
      <c r="AP127" s="150"/>
      <c r="AQ127" s="150"/>
      <c r="AR127" s="150"/>
      <c r="AS127" s="150"/>
      <c r="AT127" s="150"/>
      <c r="AU127" s="150"/>
      <c r="AV127" s="150"/>
      <c r="AW127" s="150"/>
      <c r="AX127" s="150"/>
      <c r="AY127" s="150"/>
      <c r="AZ127" s="150"/>
      <c r="BA127" s="150"/>
      <c r="BB127" s="186"/>
      <c r="BC127" s="186"/>
      <c r="BD127" s="186"/>
      <c r="BE127" s="186"/>
      <c r="BF127" s="186"/>
      <c r="BG127" s="186"/>
      <c r="BH127" s="186"/>
      <c r="BI127" s="186"/>
      <c r="BJ127" s="186"/>
      <c r="BK127" s="186"/>
      <c r="BL127" s="186"/>
      <c r="BM127" s="186"/>
      <c r="BN127" s="186"/>
      <c r="BO127" s="186"/>
      <c r="BP127" s="186"/>
      <c r="BQ127" s="186"/>
      <c r="BR127" s="186"/>
      <c r="BS127" s="107"/>
      <c r="BT127" s="107"/>
      <c r="BU127" s="107"/>
      <c r="BV127" s="101"/>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86"/>
      <c r="DM127" s="186"/>
      <c r="DN127" s="186"/>
      <c r="DO127" s="186"/>
      <c r="DP127" s="186"/>
      <c r="DQ127" s="186"/>
      <c r="DR127" s="186"/>
      <c r="DS127" s="186"/>
      <c r="DT127" s="186"/>
      <c r="DU127" s="186"/>
      <c r="DV127" s="186"/>
      <c r="DW127" s="186"/>
      <c r="DX127" s="186"/>
      <c r="DY127" s="186"/>
      <c r="DZ127" s="186"/>
      <c r="EA127" s="186"/>
      <c r="EB127" s="186"/>
      <c r="EC127" s="73"/>
    </row>
    <row r="128" spans="1:133" s="47" customFormat="1" ht="25.15" customHeight="1">
      <c r="A128" s="1"/>
      <c r="B128" s="69"/>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150"/>
      <c r="AN128" s="150"/>
      <c r="AO128" s="150"/>
      <c r="AP128" s="150"/>
      <c r="AQ128" s="150"/>
      <c r="AR128" s="150"/>
      <c r="AS128" s="150"/>
      <c r="AT128" s="150"/>
      <c r="AU128" s="150"/>
      <c r="AV128" s="150"/>
      <c r="AW128" s="150"/>
      <c r="AX128" s="150"/>
      <c r="AY128" s="150"/>
      <c r="AZ128" s="150"/>
      <c r="BA128" s="150"/>
      <c r="BB128" s="186"/>
      <c r="BC128" s="186"/>
      <c r="BD128" s="186"/>
      <c r="BE128" s="186"/>
      <c r="BF128" s="186"/>
      <c r="BG128" s="186"/>
      <c r="BH128" s="186"/>
      <c r="BI128" s="186"/>
      <c r="BJ128" s="186"/>
      <c r="BK128" s="186"/>
      <c r="BL128" s="186"/>
      <c r="BM128" s="186"/>
      <c r="BN128" s="186"/>
      <c r="BO128" s="186"/>
      <c r="BP128" s="186"/>
      <c r="BQ128" s="186"/>
      <c r="BR128" s="186"/>
      <c r="BS128" s="107"/>
      <c r="BT128" s="107"/>
      <c r="BU128" s="107"/>
      <c r="BV128" s="101"/>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86"/>
      <c r="DM128" s="186"/>
      <c r="DN128" s="186"/>
      <c r="DO128" s="186"/>
      <c r="DP128" s="186"/>
      <c r="DQ128" s="186"/>
      <c r="DR128" s="186"/>
      <c r="DS128" s="186"/>
      <c r="DT128" s="186"/>
      <c r="DU128" s="186"/>
      <c r="DV128" s="186"/>
      <c r="DW128" s="186"/>
      <c r="DX128" s="186"/>
      <c r="DY128" s="186"/>
      <c r="DZ128" s="186"/>
      <c r="EA128" s="186"/>
      <c r="EB128" s="186"/>
      <c r="EC128" s="73"/>
    </row>
    <row r="129" spans="1:133" s="47" customFormat="1" ht="25.15" customHeight="1">
      <c r="A129" s="1"/>
      <c r="B129" s="69"/>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150"/>
      <c r="AN129" s="150"/>
      <c r="AO129" s="150"/>
      <c r="AP129" s="150"/>
      <c r="AQ129" s="150"/>
      <c r="AR129" s="150"/>
      <c r="AS129" s="150"/>
      <c r="AT129" s="150"/>
      <c r="AU129" s="150"/>
      <c r="AV129" s="150"/>
      <c r="AW129" s="150"/>
      <c r="AX129" s="150"/>
      <c r="AY129" s="150"/>
      <c r="AZ129" s="150"/>
      <c r="BA129" s="150"/>
      <c r="BB129" s="186"/>
      <c r="BC129" s="186"/>
      <c r="BD129" s="186"/>
      <c r="BE129" s="186"/>
      <c r="BF129" s="186"/>
      <c r="BG129" s="186"/>
      <c r="BH129" s="186"/>
      <c r="BI129" s="186"/>
      <c r="BJ129" s="186"/>
      <c r="BK129" s="186"/>
      <c r="BL129" s="186"/>
      <c r="BM129" s="186"/>
      <c r="BN129" s="186"/>
      <c r="BO129" s="186"/>
      <c r="BP129" s="186"/>
      <c r="BQ129" s="186"/>
      <c r="BR129" s="186"/>
      <c r="BS129" s="107"/>
      <c r="BT129" s="107"/>
      <c r="BU129" s="107"/>
      <c r="BV129" s="101"/>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86"/>
      <c r="DM129" s="186"/>
      <c r="DN129" s="186"/>
      <c r="DO129" s="186"/>
      <c r="DP129" s="186"/>
      <c r="DQ129" s="186"/>
      <c r="DR129" s="186"/>
      <c r="DS129" s="186"/>
      <c r="DT129" s="186"/>
      <c r="DU129" s="186"/>
      <c r="DV129" s="186"/>
      <c r="DW129" s="186"/>
      <c r="DX129" s="186"/>
      <c r="DY129" s="186"/>
      <c r="DZ129" s="186"/>
      <c r="EA129" s="186"/>
      <c r="EB129" s="186"/>
      <c r="EC129" s="73"/>
    </row>
    <row r="130" spans="1:133" s="47" customFormat="1" ht="25.15" customHeight="1">
      <c r="A130" s="1"/>
      <c r="B130" s="69"/>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0"/>
      <c r="AP130" s="150"/>
      <c r="AQ130" s="150"/>
      <c r="AR130" s="150"/>
      <c r="AS130" s="150"/>
      <c r="AT130" s="150"/>
      <c r="AU130" s="150"/>
      <c r="AV130" s="150"/>
      <c r="AW130" s="150"/>
      <c r="AX130" s="150"/>
      <c r="AY130" s="150"/>
      <c r="AZ130" s="150"/>
      <c r="BA130" s="150"/>
      <c r="BB130" s="186"/>
      <c r="BC130" s="186"/>
      <c r="BD130" s="186"/>
      <c r="BE130" s="186"/>
      <c r="BF130" s="186"/>
      <c r="BG130" s="186"/>
      <c r="BH130" s="186"/>
      <c r="BI130" s="186"/>
      <c r="BJ130" s="186"/>
      <c r="BK130" s="186"/>
      <c r="BL130" s="186"/>
      <c r="BM130" s="186"/>
      <c r="BN130" s="186"/>
      <c r="BO130" s="186"/>
      <c r="BP130" s="186"/>
      <c r="BQ130" s="186"/>
      <c r="BR130" s="186"/>
      <c r="BS130" s="107"/>
      <c r="BT130" s="107"/>
      <c r="BU130" s="107"/>
      <c r="BV130" s="101"/>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86"/>
      <c r="DM130" s="186"/>
      <c r="DN130" s="186"/>
      <c r="DO130" s="186"/>
      <c r="DP130" s="186"/>
      <c r="DQ130" s="186"/>
      <c r="DR130" s="186"/>
      <c r="DS130" s="186"/>
      <c r="DT130" s="186"/>
      <c r="DU130" s="186"/>
      <c r="DV130" s="186"/>
      <c r="DW130" s="186"/>
      <c r="DX130" s="186"/>
      <c r="DY130" s="186"/>
      <c r="DZ130" s="186"/>
      <c r="EA130" s="186"/>
      <c r="EB130" s="186"/>
      <c r="EC130" s="73"/>
    </row>
    <row r="131" spans="1:133" s="47" customFormat="1" ht="25.15" customHeight="1">
      <c r="A131" s="1"/>
      <c r="B131" s="69"/>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86"/>
      <c r="BC131" s="186"/>
      <c r="BD131" s="186"/>
      <c r="BE131" s="186"/>
      <c r="BF131" s="186"/>
      <c r="BG131" s="186"/>
      <c r="BH131" s="186"/>
      <c r="BI131" s="186"/>
      <c r="BJ131" s="186"/>
      <c r="BK131" s="186"/>
      <c r="BL131" s="186"/>
      <c r="BM131" s="186"/>
      <c r="BN131" s="186"/>
      <c r="BO131" s="186"/>
      <c r="BP131" s="186"/>
      <c r="BQ131" s="186"/>
      <c r="BR131" s="186"/>
      <c r="BS131" s="107"/>
      <c r="BT131" s="107"/>
      <c r="BU131" s="107"/>
      <c r="BV131" s="101"/>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86"/>
      <c r="DM131" s="186"/>
      <c r="DN131" s="186"/>
      <c r="DO131" s="186"/>
      <c r="DP131" s="186"/>
      <c r="DQ131" s="186"/>
      <c r="DR131" s="186"/>
      <c r="DS131" s="186"/>
      <c r="DT131" s="186"/>
      <c r="DU131" s="186"/>
      <c r="DV131" s="186"/>
      <c r="DW131" s="186"/>
      <c r="DX131" s="186"/>
      <c r="DY131" s="186"/>
      <c r="DZ131" s="186"/>
      <c r="EA131" s="186"/>
      <c r="EB131" s="186"/>
      <c r="EC131" s="73"/>
    </row>
    <row r="132" spans="1:133" ht="25.15" customHeight="1">
      <c r="A132" s="1" t="e">
        <f>A110+1</f>
        <v>#REF!</v>
      </c>
      <c r="B132" s="69"/>
      <c r="C132" s="101"/>
      <c r="D132" s="86"/>
      <c r="E132" s="101"/>
      <c r="F132" s="101"/>
      <c r="G132" s="70"/>
      <c r="H132" s="107"/>
      <c r="I132" s="107"/>
      <c r="J132" s="107"/>
      <c r="K132" s="107"/>
      <c r="L132" s="105"/>
      <c r="M132" s="107"/>
      <c r="N132" s="101"/>
      <c r="O132" s="86"/>
      <c r="Q132" s="92"/>
      <c r="R132" s="107"/>
      <c r="S132" s="92"/>
      <c r="T132" s="92"/>
      <c r="U132" s="92"/>
      <c r="V132" s="107"/>
      <c r="W132" s="92"/>
      <c r="X132" s="92"/>
      <c r="Y132" s="92"/>
      <c r="Z132" s="107"/>
      <c r="AA132" s="92"/>
      <c r="AB132" s="92"/>
      <c r="AC132" s="92"/>
      <c r="AD132" s="107"/>
      <c r="AE132" s="92"/>
      <c r="AF132" s="92"/>
      <c r="AG132" s="107"/>
      <c r="AH132" s="101"/>
      <c r="AI132" s="105"/>
      <c r="AJ132" s="92"/>
      <c r="AK132" s="107"/>
      <c r="AL132" s="92"/>
      <c r="AM132" s="92"/>
      <c r="AN132" s="92"/>
      <c r="AO132" s="107"/>
      <c r="AP132" s="92"/>
      <c r="AQ132" s="92"/>
      <c r="AR132" s="92"/>
      <c r="AS132" s="107"/>
      <c r="AT132" s="92"/>
      <c r="AU132" s="92"/>
      <c r="AV132" s="92"/>
      <c r="AW132" s="107"/>
      <c r="AX132" s="92"/>
      <c r="AY132" s="92"/>
      <c r="AZ132" s="107"/>
      <c r="BA132" s="105"/>
      <c r="BB132" s="105"/>
      <c r="BC132" s="92"/>
      <c r="BD132" s="107"/>
      <c r="BE132" s="92"/>
      <c r="BF132" s="92"/>
      <c r="BG132" s="92"/>
      <c r="BH132" s="107"/>
      <c r="BI132" s="92"/>
      <c r="BJ132" s="92"/>
      <c r="BK132" s="92"/>
      <c r="BL132" s="107"/>
      <c r="BM132" s="92"/>
      <c r="BN132" s="92"/>
      <c r="BO132" s="92"/>
      <c r="BP132" s="107"/>
      <c r="BQ132" s="92"/>
      <c r="BR132" s="92"/>
      <c r="BS132" s="107"/>
      <c r="BT132" s="101"/>
      <c r="BU132" s="105"/>
      <c r="BV132" s="92"/>
      <c r="BW132" s="107"/>
      <c r="BX132" s="92"/>
      <c r="BY132" s="92"/>
      <c r="BZ132" s="92"/>
      <c r="CA132" s="107"/>
      <c r="CB132" s="92"/>
      <c r="CC132" s="92"/>
      <c r="CD132" s="92"/>
      <c r="CE132" s="107"/>
      <c r="CF132" s="92"/>
      <c r="CG132" s="92"/>
      <c r="CH132" s="92"/>
      <c r="CI132" s="107"/>
      <c r="CJ132" s="92"/>
      <c r="CK132" s="92"/>
      <c r="CL132" s="107"/>
      <c r="CM132" s="105"/>
      <c r="CN132" s="105"/>
      <c r="CO132" s="92"/>
      <c r="CP132" s="107"/>
      <c r="CQ132" s="92"/>
      <c r="CR132" s="92"/>
      <c r="CS132" s="92"/>
      <c r="CT132" s="107"/>
      <c r="CU132" s="92"/>
      <c r="CV132" s="92"/>
      <c r="CW132" s="92"/>
      <c r="CX132" s="107"/>
      <c r="CY132" s="92"/>
      <c r="CZ132" s="92"/>
      <c r="DA132" s="92"/>
      <c r="DB132" s="107"/>
      <c r="DC132" s="92"/>
      <c r="DD132" s="92"/>
      <c r="DE132" s="107"/>
      <c r="DF132" s="105"/>
      <c r="DG132" s="105"/>
      <c r="DH132" s="92"/>
      <c r="DI132" s="107"/>
      <c r="DJ132" s="92"/>
      <c r="DK132" s="92"/>
      <c r="DL132" s="92"/>
      <c r="DM132" s="107"/>
      <c r="DN132" s="92"/>
      <c r="DO132" s="92"/>
      <c r="DP132" s="92"/>
      <c r="DQ132" s="107"/>
      <c r="DR132" s="92"/>
      <c r="DS132" s="92"/>
      <c r="DT132" s="92"/>
      <c r="DU132" s="107"/>
      <c r="DV132" s="92"/>
      <c r="DW132" s="92"/>
      <c r="DX132" s="107"/>
      <c r="EC132" s="134"/>
    </row>
    <row r="133" spans="1:133" s="47" customFormat="1" ht="25.15" customHeight="1">
      <c r="A133" s="1" t="e">
        <f t="shared" si="28"/>
        <v>#REF!</v>
      </c>
      <c r="B133" s="69"/>
      <c r="C133" s="321" t="s">
        <v>272</v>
      </c>
      <c r="D133" s="321"/>
      <c r="E133" s="321"/>
      <c r="F133" s="321"/>
      <c r="G133" s="321"/>
      <c r="H133" s="321"/>
      <c r="I133" s="70"/>
      <c r="J133" s="105"/>
      <c r="K133" s="105"/>
      <c r="L133" s="105"/>
      <c r="M133" s="71"/>
      <c r="N133" s="71"/>
      <c r="O133" s="71"/>
      <c r="P133" s="71"/>
      <c r="Q133" s="92"/>
      <c r="R133" s="107"/>
      <c r="S133" s="92"/>
      <c r="T133" s="92"/>
      <c r="U133" s="92"/>
      <c r="V133" s="107"/>
      <c r="W133" s="92"/>
      <c r="X133" s="92"/>
      <c r="Y133" s="92"/>
      <c r="Z133" s="107"/>
      <c r="AA133" s="92"/>
      <c r="AB133" s="92"/>
      <c r="AC133" s="92"/>
      <c r="AD133" s="107"/>
      <c r="AE133" s="92"/>
      <c r="AF133" s="92"/>
      <c r="AG133" s="107"/>
      <c r="AH133" s="104"/>
      <c r="AI133" s="104"/>
      <c r="AJ133" s="92"/>
      <c r="AK133" s="107"/>
      <c r="AL133" s="92"/>
      <c r="AM133" s="92"/>
      <c r="AN133" s="92"/>
      <c r="AO133" s="107"/>
      <c r="AP133" s="92"/>
      <c r="AQ133" s="92"/>
      <c r="AR133" s="92"/>
      <c r="AS133" s="107"/>
      <c r="AT133" s="92"/>
      <c r="AU133" s="92"/>
      <c r="AV133" s="92"/>
      <c r="AW133" s="107"/>
      <c r="AX133" s="92"/>
      <c r="AY133" s="92"/>
      <c r="AZ133" s="107"/>
      <c r="BA133" s="71"/>
      <c r="BB133" s="71"/>
      <c r="BC133" s="92"/>
      <c r="BD133" s="107"/>
      <c r="BE133" s="92"/>
      <c r="BF133" s="92"/>
      <c r="BG133" s="92"/>
      <c r="BH133" s="107"/>
      <c r="BI133" s="92"/>
      <c r="BJ133" s="92"/>
      <c r="BK133" s="92"/>
      <c r="BL133" s="243" t="s">
        <v>296</v>
      </c>
      <c r="BM133" s="243"/>
      <c r="BN133" s="243"/>
      <c r="BO133" s="243"/>
      <c r="BP133" s="243"/>
      <c r="BQ133" s="243"/>
      <c r="BR133" s="243"/>
      <c r="BS133" s="107"/>
      <c r="BT133" s="104"/>
      <c r="BU133" s="72"/>
      <c r="BV133" s="92"/>
      <c r="BW133" s="107"/>
      <c r="BX133" s="92"/>
      <c r="BY133" s="92"/>
      <c r="BZ133" s="92"/>
      <c r="CA133" s="107"/>
      <c r="CB133" s="92"/>
      <c r="CC133" s="92"/>
      <c r="CD133" s="92"/>
      <c r="CE133" s="107"/>
      <c r="CF133" s="92"/>
      <c r="CG133" s="92"/>
      <c r="CH133" s="92"/>
      <c r="CI133" s="107"/>
      <c r="CJ133" s="92"/>
      <c r="CK133" s="92"/>
      <c r="CL133" s="107"/>
      <c r="CM133" s="74"/>
      <c r="CN133" s="70"/>
      <c r="CO133" s="92"/>
      <c r="CP133" s="107"/>
      <c r="CQ133" s="92"/>
      <c r="CR133" s="92"/>
      <c r="CS133" s="92"/>
      <c r="CT133" s="107"/>
      <c r="CU133" s="92"/>
      <c r="CV133" s="92"/>
      <c r="CW133" s="92"/>
      <c r="CX133" s="107"/>
      <c r="CY133" s="92"/>
      <c r="CZ133" s="92"/>
      <c r="DA133" s="92"/>
      <c r="DB133" s="107"/>
      <c r="DC133" s="92"/>
      <c r="DD133" s="92"/>
      <c r="DE133" s="107"/>
      <c r="DF133" s="104"/>
      <c r="DG133" s="104"/>
      <c r="DH133" s="92"/>
      <c r="DI133" s="107"/>
      <c r="DJ133" s="92"/>
      <c r="DK133" s="92"/>
      <c r="DL133" s="92"/>
      <c r="DM133" s="107"/>
      <c r="DN133" s="92"/>
      <c r="DO133" s="92"/>
      <c r="DP133" s="92"/>
      <c r="DQ133" s="107"/>
      <c r="DR133" s="92"/>
      <c r="DS133" s="92"/>
      <c r="DT133" s="92"/>
      <c r="DU133" s="107"/>
      <c r="DV133" s="92"/>
      <c r="DW133" s="92"/>
      <c r="DX133" s="107"/>
      <c r="DY133" s="104"/>
      <c r="DZ133" s="104"/>
      <c r="EA133" s="104"/>
      <c r="EB133" s="104"/>
      <c r="EC133" s="73"/>
    </row>
    <row r="134" spans="1:133" ht="25.15" customHeight="1" thickBot="1">
      <c r="A134" s="1" t="e">
        <f t="shared" si="28"/>
        <v>#REF!</v>
      </c>
      <c r="B134" s="141"/>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c r="CM134" s="112"/>
      <c r="CN134" s="112"/>
      <c r="CO134" s="112"/>
      <c r="CP134" s="112"/>
      <c r="CQ134" s="112"/>
      <c r="CR134" s="112"/>
      <c r="CS134" s="112"/>
      <c r="CT134" s="112"/>
      <c r="CU134" s="112"/>
      <c r="CV134" s="112"/>
      <c r="CW134" s="112"/>
      <c r="CX134" s="112"/>
      <c r="CY134" s="112"/>
      <c r="CZ134" s="112"/>
      <c r="DA134" s="112"/>
      <c r="DB134" s="112"/>
      <c r="DC134" s="112"/>
      <c r="DD134" s="112"/>
      <c r="DE134" s="112"/>
      <c r="DF134" s="112"/>
      <c r="DG134" s="112"/>
      <c r="DH134" s="112"/>
      <c r="DI134" s="112"/>
      <c r="DJ134" s="112"/>
      <c r="DK134" s="112"/>
      <c r="DL134" s="112"/>
      <c r="DM134" s="112"/>
      <c r="DN134" s="112"/>
      <c r="DO134" s="112"/>
      <c r="DP134" s="112"/>
      <c r="DQ134" s="112"/>
      <c r="DR134" s="112"/>
      <c r="DS134" s="112"/>
      <c r="DT134" s="112"/>
      <c r="DU134" s="112"/>
      <c r="DV134" s="112"/>
      <c r="DW134" s="112"/>
      <c r="DX134" s="112"/>
      <c r="DY134" s="112"/>
      <c r="DZ134" s="112"/>
      <c r="EA134" s="112"/>
      <c r="EB134" s="112"/>
      <c r="EC134" s="137"/>
    </row>
  </sheetData>
  <mergeCells count="1267">
    <mergeCell ref="F13:N13"/>
    <mergeCell ref="F15:AS15"/>
    <mergeCell ref="EH33:EI33"/>
    <mergeCell ref="EH34:EI34"/>
    <mergeCell ref="EF31:EG31"/>
    <mergeCell ref="EF32:EG32"/>
    <mergeCell ref="EF29:EG29"/>
    <mergeCell ref="EF30:EG30"/>
    <mergeCell ref="E26:AZ26"/>
    <mergeCell ref="BA26:BB26"/>
    <mergeCell ref="BF22:DZ22"/>
    <mergeCell ref="BF23:DZ23"/>
    <mergeCell ref="BX25:BY25"/>
    <mergeCell ref="BZ25:CA25"/>
    <mergeCell ref="CB25:CC25"/>
    <mergeCell ref="CD25:CE25"/>
    <mergeCell ref="CF25:CG25"/>
    <mergeCell ref="CH25:CI25"/>
    <mergeCell ref="F16:AS16"/>
    <mergeCell ref="F17:AS17"/>
    <mergeCell ref="F18:AS18"/>
    <mergeCell ref="F20:AS20"/>
    <mergeCell ref="F21:AS21"/>
    <mergeCell ref="AV21:AW21"/>
    <mergeCell ref="AX21:AY21"/>
    <mergeCell ref="F23:U23"/>
    <mergeCell ref="E27:V30"/>
    <mergeCell ref="W27:AZ30"/>
    <mergeCell ref="E32:V33"/>
    <mergeCell ref="W32:AZ33"/>
    <mergeCell ref="BO9:BP9"/>
    <mergeCell ref="BQ9:BR9"/>
    <mergeCell ref="BS9:BT9"/>
    <mergeCell ref="CA9:CB9"/>
    <mergeCell ref="DS9:DT9"/>
    <mergeCell ref="CY11:DU11"/>
    <mergeCell ref="BC9:BD9"/>
    <mergeCell ref="BE9:BF9"/>
    <mergeCell ref="BG9:BH9"/>
    <mergeCell ref="BI9:BJ9"/>
    <mergeCell ref="BK9:BL9"/>
    <mergeCell ref="BM9:BN9"/>
    <mergeCell ref="CY18:DU18"/>
    <mergeCell ref="BF21:DZ21"/>
    <mergeCell ref="CQ18:CR18"/>
    <mergeCell ref="CS18:CT18"/>
    <mergeCell ref="EF39:EG39"/>
    <mergeCell ref="BF27:DY30"/>
    <mergeCell ref="CU18:CV18"/>
    <mergeCell ref="CW18:CX18"/>
    <mergeCell ref="CY12:DU12"/>
    <mergeCell ref="BF14:CF16"/>
    <mergeCell ref="CU14:DU16"/>
    <mergeCell ref="BT32:CN32"/>
    <mergeCell ref="CP32:EB32"/>
    <mergeCell ref="BT33:CM33"/>
    <mergeCell ref="CP33:EB33"/>
    <mergeCell ref="EF40:EG40"/>
    <mergeCell ref="C42:EB42"/>
    <mergeCell ref="C44:EB44"/>
    <mergeCell ref="C47:P47"/>
    <mergeCell ref="Q47:AI47"/>
    <mergeCell ref="AJ47:BB47"/>
    <mergeCell ref="BC47:BU47"/>
    <mergeCell ref="BV47:CN47"/>
    <mergeCell ref="CO47:DG47"/>
    <mergeCell ref="BT37:CN37"/>
    <mergeCell ref="EF37:EG37"/>
    <mergeCell ref="EF38:EG38"/>
    <mergeCell ref="EH35:EI35"/>
    <mergeCell ref="BT36:CM36"/>
    <mergeCell ref="CP36:EB36"/>
    <mergeCell ref="EH36:EI36"/>
    <mergeCell ref="DH50:DZ50"/>
    <mergeCell ref="E34:V35"/>
    <mergeCell ref="W34:AZ35"/>
    <mergeCell ref="BC34:BP39"/>
    <mergeCell ref="BT34:CM34"/>
    <mergeCell ref="CP34:EB34"/>
    <mergeCell ref="BT35:CN35"/>
    <mergeCell ref="E36:V37"/>
    <mergeCell ref="W36:AZ37"/>
    <mergeCell ref="E38:V39"/>
    <mergeCell ref="W38:AZ39"/>
    <mergeCell ref="BT38:CM38"/>
    <mergeCell ref="CP38:EB38"/>
    <mergeCell ref="C51:P51"/>
    <mergeCell ref="Q51:AI51"/>
    <mergeCell ref="AJ51:BB51"/>
    <mergeCell ref="BC51:BU51"/>
    <mergeCell ref="BV51:CN51"/>
    <mergeCell ref="CO51:DG51"/>
    <mergeCell ref="DH51:DZ51"/>
    <mergeCell ref="C50:P50"/>
    <mergeCell ref="Q50:AI50"/>
    <mergeCell ref="AJ50:BB50"/>
    <mergeCell ref="BC50:BU50"/>
    <mergeCell ref="BV50:CN50"/>
    <mergeCell ref="CO50:DG50"/>
    <mergeCell ref="DH47:DZ47"/>
    <mergeCell ref="C48:P48"/>
    <mergeCell ref="Q48:AT48"/>
    <mergeCell ref="AU48:EB48"/>
    <mergeCell ref="Q49:AT49"/>
    <mergeCell ref="AU49:EB49"/>
    <mergeCell ref="DH56:DZ56"/>
    <mergeCell ref="C57:P57"/>
    <mergeCell ref="Q57:AI57"/>
    <mergeCell ref="AJ57:BB57"/>
    <mergeCell ref="BC57:BU57"/>
    <mergeCell ref="BV57:CN57"/>
    <mergeCell ref="CO57:DG57"/>
    <mergeCell ref="DH57:DZ57"/>
    <mergeCell ref="C56:P56"/>
    <mergeCell ref="Q56:AI56"/>
    <mergeCell ref="AJ56:BB56"/>
    <mergeCell ref="BC56:BU56"/>
    <mergeCell ref="BV56:CN56"/>
    <mergeCell ref="CO56:DG56"/>
    <mergeCell ref="DH52:DZ52"/>
    <mergeCell ref="C54:P54"/>
    <mergeCell ref="Q54:AT54"/>
    <mergeCell ref="AU54:EB54"/>
    <mergeCell ref="Q55:AT55"/>
    <mergeCell ref="AU55:EB55"/>
    <mergeCell ref="C52:P52"/>
    <mergeCell ref="Q52:AI52"/>
    <mergeCell ref="AJ52:BB52"/>
    <mergeCell ref="BC52:BU52"/>
    <mergeCell ref="BV52:CN52"/>
    <mergeCell ref="CO52:DG52"/>
    <mergeCell ref="CO60:DG60"/>
    <mergeCell ref="DH60:DZ60"/>
    <mergeCell ref="C61:P61"/>
    <mergeCell ref="Q61:AI61"/>
    <mergeCell ref="BV61:CN61"/>
    <mergeCell ref="CO61:DG61"/>
    <mergeCell ref="DH61:DZ61"/>
    <mergeCell ref="C60:D60"/>
    <mergeCell ref="E60:F60"/>
    <mergeCell ref="Q60:AI60"/>
    <mergeCell ref="AJ60:BB60"/>
    <mergeCell ref="BC60:BU60"/>
    <mergeCell ref="BV60:CN60"/>
    <mergeCell ref="DH58:DZ58"/>
    <mergeCell ref="C59:D59"/>
    <mergeCell ref="E59:F59"/>
    <mergeCell ref="Q59:AI59"/>
    <mergeCell ref="AJ59:BB59"/>
    <mergeCell ref="BC59:BU59"/>
    <mergeCell ref="BV59:CN59"/>
    <mergeCell ref="CO59:DG59"/>
    <mergeCell ref="DH59:DZ59"/>
    <mergeCell ref="C58:P58"/>
    <mergeCell ref="Q58:AI58"/>
    <mergeCell ref="AJ58:BB58"/>
    <mergeCell ref="BC58:BU58"/>
    <mergeCell ref="BV58:CN58"/>
    <mergeCell ref="CO58:DG58"/>
    <mergeCell ref="C67:BA67"/>
    <mergeCell ref="BB67:BR67"/>
    <mergeCell ref="BW67:DK67"/>
    <mergeCell ref="DL67:EB67"/>
    <mergeCell ref="C68:BA68"/>
    <mergeCell ref="BB68:BR68"/>
    <mergeCell ref="BW68:DK68"/>
    <mergeCell ref="DL68:EB68"/>
    <mergeCell ref="C65:BR65"/>
    <mergeCell ref="BW65:EB65"/>
    <mergeCell ref="C66:BA66"/>
    <mergeCell ref="BO66:BP66"/>
    <mergeCell ref="BQ66:BR66"/>
    <mergeCell ref="BW66:DK66"/>
    <mergeCell ref="DL66:EB66"/>
    <mergeCell ref="DH62:DZ62"/>
    <mergeCell ref="C63:P63"/>
    <mergeCell ref="Q63:AI63"/>
    <mergeCell ref="AJ63:BB63"/>
    <mergeCell ref="BC63:BU63"/>
    <mergeCell ref="BV63:CN63"/>
    <mergeCell ref="CO63:DG63"/>
    <mergeCell ref="DH63:DZ63"/>
    <mergeCell ref="C62:P62"/>
    <mergeCell ref="Q62:AI62"/>
    <mergeCell ref="AJ62:BB62"/>
    <mergeCell ref="BC62:BU62"/>
    <mergeCell ref="BV62:CN62"/>
    <mergeCell ref="CO62:DG62"/>
    <mergeCell ref="C73:BA73"/>
    <mergeCell ref="BB73:BR73"/>
    <mergeCell ref="BW73:DK73"/>
    <mergeCell ref="DL73:EB73"/>
    <mergeCell ref="C75:H75"/>
    <mergeCell ref="BL75:BR75"/>
    <mergeCell ref="C71:BA71"/>
    <mergeCell ref="BB71:BR71"/>
    <mergeCell ref="BW71:DK71"/>
    <mergeCell ref="DL71:EB71"/>
    <mergeCell ref="C72:BA72"/>
    <mergeCell ref="BB72:BR72"/>
    <mergeCell ref="BW72:DK72"/>
    <mergeCell ref="DL72:EB72"/>
    <mergeCell ref="C69:BA69"/>
    <mergeCell ref="BB69:BR69"/>
    <mergeCell ref="BW69:DK69"/>
    <mergeCell ref="DL69:EB69"/>
    <mergeCell ref="C70:BA70"/>
    <mergeCell ref="BB70:BR70"/>
    <mergeCell ref="BW70:DK70"/>
    <mergeCell ref="DL70:EB70"/>
    <mergeCell ref="C83:BR83"/>
    <mergeCell ref="BW83:EB83"/>
    <mergeCell ref="C84:BA84"/>
    <mergeCell ref="BO84:BP84"/>
    <mergeCell ref="BQ84:BR84"/>
    <mergeCell ref="BW84:DK84"/>
    <mergeCell ref="DL84:EB84"/>
    <mergeCell ref="BO79:BP79"/>
    <mergeCell ref="BQ79:BR79"/>
    <mergeCell ref="BS79:BT79"/>
    <mergeCell ref="CA79:CB79"/>
    <mergeCell ref="DS79:DT79"/>
    <mergeCell ref="C80:EB80"/>
    <mergeCell ref="BC79:BD79"/>
    <mergeCell ref="BE79:BF79"/>
    <mergeCell ref="BG79:BH79"/>
    <mergeCell ref="BI79:BJ79"/>
    <mergeCell ref="BK79:BL79"/>
    <mergeCell ref="BM79:BN79"/>
    <mergeCell ref="DC85:DD85"/>
    <mergeCell ref="DE85:DF85"/>
    <mergeCell ref="DG85:DH85"/>
    <mergeCell ref="DI85:DJ85"/>
    <mergeCell ref="C86:AV86"/>
    <mergeCell ref="AW86:AX86"/>
    <mergeCell ref="AY86:AZ86"/>
    <mergeCell ref="BB86:BR86"/>
    <mergeCell ref="BW86:BX86"/>
    <mergeCell ref="BY86:BZ86"/>
    <mergeCell ref="CQ85:CR85"/>
    <mergeCell ref="CS85:CT85"/>
    <mergeCell ref="CU85:CV85"/>
    <mergeCell ref="CW85:CX85"/>
    <mergeCell ref="CY85:CZ85"/>
    <mergeCell ref="DA85:DB85"/>
    <mergeCell ref="CE85:CF85"/>
    <mergeCell ref="CG85:CH85"/>
    <mergeCell ref="CI85:CJ85"/>
    <mergeCell ref="CK85:CL85"/>
    <mergeCell ref="CM85:CN85"/>
    <mergeCell ref="CO85:CP85"/>
    <mergeCell ref="C85:BA85"/>
    <mergeCell ref="BB85:BR85"/>
    <mergeCell ref="BW85:BX85"/>
    <mergeCell ref="BY85:BZ85"/>
    <mergeCell ref="CA85:CB85"/>
    <mergeCell ref="CC85:CD85"/>
    <mergeCell ref="BB87:BR87"/>
    <mergeCell ref="BW87:BX87"/>
    <mergeCell ref="BY87:BZ87"/>
    <mergeCell ref="CA87:CB87"/>
    <mergeCell ref="CC87:CD87"/>
    <mergeCell ref="CE87:CF87"/>
    <mergeCell ref="CY86:CZ86"/>
    <mergeCell ref="DA86:DB86"/>
    <mergeCell ref="DC86:DD86"/>
    <mergeCell ref="DE86:DF86"/>
    <mergeCell ref="DG86:DH86"/>
    <mergeCell ref="DI86:DJ86"/>
    <mergeCell ref="CM86:CN86"/>
    <mergeCell ref="CO86:CP86"/>
    <mergeCell ref="CQ86:CR86"/>
    <mergeCell ref="CS86:CT86"/>
    <mergeCell ref="CU86:CV86"/>
    <mergeCell ref="CW86:CX86"/>
    <mergeCell ref="CA86:CB86"/>
    <mergeCell ref="CC86:CD86"/>
    <mergeCell ref="CE86:CF86"/>
    <mergeCell ref="CG86:CH86"/>
    <mergeCell ref="CI86:CJ86"/>
    <mergeCell ref="CK86:CL86"/>
    <mergeCell ref="DE87:DF87"/>
    <mergeCell ref="DG87:DH87"/>
    <mergeCell ref="DI87:DJ87"/>
    <mergeCell ref="BW88:BX88"/>
    <mergeCell ref="BY88:BZ88"/>
    <mergeCell ref="CA88:CB88"/>
    <mergeCell ref="CC88:CD88"/>
    <mergeCell ref="CE88:CF88"/>
    <mergeCell ref="CG88:CH88"/>
    <mergeCell ref="CI88:CJ88"/>
    <mergeCell ref="CS87:CT87"/>
    <mergeCell ref="CU87:CV87"/>
    <mergeCell ref="CW87:CX87"/>
    <mergeCell ref="CY87:CZ87"/>
    <mergeCell ref="DA87:DB87"/>
    <mergeCell ref="DC87:DD87"/>
    <mergeCell ref="CG87:CH87"/>
    <mergeCell ref="CI87:CJ87"/>
    <mergeCell ref="CK87:CL87"/>
    <mergeCell ref="CM87:CN87"/>
    <mergeCell ref="CO87:CP87"/>
    <mergeCell ref="CQ87:CR87"/>
    <mergeCell ref="DI88:DJ88"/>
    <mergeCell ref="C89:D89"/>
    <mergeCell ref="E89:F89"/>
    <mergeCell ref="G89:H89"/>
    <mergeCell ref="I89:J89"/>
    <mergeCell ref="K89:L89"/>
    <mergeCell ref="M89:N89"/>
    <mergeCell ref="O89:P89"/>
    <mergeCell ref="Q89:R89"/>
    <mergeCell ref="S89:T89"/>
    <mergeCell ref="CW88:CX88"/>
    <mergeCell ref="CY88:CZ88"/>
    <mergeCell ref="DA88:DB88"/>
    <mergeCell ref="DC88:DD88"/>
    <mergeCell ref="DE88:DF88"/>
    <mergeCell ref="DG88:DH88"/>
    <mergeCell ref="CK88:CL88"/>
    <mergeCell ref="CM88:CN88"/>
    <mergeCell ref="CO88:CP88"/>
    <mergeCell ref="CQ88:CR88"/>
    <mergeCell ref="CS88:CT88"/>
    <mergeCell ref="CU88:CV88"/>
    <mergeCell ref="AS89:AT89"/>
    <mergeCell ref="AU89:AV89"/>
    <mergeCell ref="AW89:AX89"/>
    <mergeCell ref="AY89:AZ89"/>
    <mergeCell ref="BW89:BX89"/>
    <mergeCell ref="BY89:BZ89"/>
    <mergeCell ref="AG89:AH89"/>
    <mergeCell ref="AI89:AJ89"/>
    <mergeCell ref="AK89:AL89"/>
    <mergeCell ref="AM89:AN89"/>
    <mergeCell ref="AO89:AP89"/>
    <mergeCell ref="AQ89:AR89"/>
    <mergeCell ref="U89:V89"/>
    <mergeCell ref="W89:X89"/>
    <mergeCell ref="Y89:Z89"/>
    <mergeCell ref="AA89:AB89"/>
    <mergeCell ref="AC89:AD89"/>
    <mergeCell ref="AE89:AF89"/>
    <mergeCell ref="CY89:CZ89"/>
    <mergeCell ref="DA89:DB89"/>
    <mergeCell ref="DC89:DD89"/>
    <mergeCell ref="DE89:DF89"/>
    <mergeCell ref="DG89:DH89"/>
    <mergeCell ref="DI89:DJ89"/>
    <mergeCell ref="CM89:CN89"/>
    <mergeCell ref="CO89:CP89"/>
    <mergeCell ref="CQ89:CR89"/>
    <mergeCell ref="CS89:CT89"/>
    <mergeCell ref="CU89:CV89"/>
    <mergeCell ref="CW89:CX89"/>
    <mergeCell ref="CA89:CB89"/>
    <mergeCell ref="CC89:CD89"/>
    <mergeCell ref="CE89:CF89"/>
    <mergeCell ref="CG89:CH89"/>
    <mergeCell ref="CI89:CJ89"/>
    <mergeCell ref="CK89:CL89"/>
    <mergeCell ref="AU90:AV90"/>
    <mergeCell ref="AW90:AX90"/>
    <mergeCell ref="AA90:AB90"/>
    <mergeCell ref="AC90:AD90"/>
    <mergeCell ref="AE90:AF90"/>
    <mergeCell ref="AG90:AH90"/>
    <mergeCell ref="AI90:AJ90"/>
    <mergeCell ref="AK90:AL90"/>
    <mergeCell ref="O90:P90"/>
    <mergeCell ref="Q90:R90"/>
    <mergeCell ref="S90:T90"/>
    <mergeCell ref="U90:V90"/>
    <mergeCell ref="W90:X90"/>
    <mergeCell ref="Y90:Z90"/>
    <mergeCell ref="C90:D90"/>
    <mergeCell ref="E90:F90"/>
    <mergeCell ref="G90:H90"/>
    <mergeCell ref="I90:J90"/>
    <mergeCell ref="K90:L90"/>
    <mergeCell ref="M90:N90"/>
    <mergeCell ref="DE90:DF90"/>
    <mergeCell ref="DG90:DH90"/>
    <mergeCell ref="DI90:DJ90"/>
    <mergeCell ref="C91:D91"/>
    <mergeCell ref="E91:F91"/>
    <mergeCell ref="G91:H91"/>
    <mergeCell ref="I91:J91"/>
    <mergeCell ref="K91:L91"/>
    <mergeCell ref="M91:N91"/>
    <mergeCell ref="O91:P91"/>
    <mergeCell ref="CS90:CT90"/>
    <mergeCell ref="CU90:CV90"/>
    <mergeCell ref="CW90:CX90"/>
    <mergeCell ref="CY90:CZ90"/>
    <mergeCell ref="DA90:DB90"/>
    <mergeCell ref="DC90:DD90"/>
    <mergeCell ref="CG90:CH90"/>
    <mergeCell ref="CI90:CJ90"/>
    <mergeCell ref="CK90:CL90"/>
    <mergeCell ref="CM90:CN90"/>
    <mergeCell ref="CO90:CP90"/>
    <mergeCell ref="CQ90:CR90"/>
    <mergeCell ref="AY90:AZ90"/>
    <mergeCell ref="BW90:BX90"/>
    <mergeCell ref="BY90:BZ90"/>
    <mergeCell ref="CA90:CB90"/>
    <mergeCell ref="CC90:CD90"/>
    <mergeCell ref="CE90:CF90"/>
    <mergeCell ref="AM90:AN90"/>
    <mergeCell ref="AO90:AP90"/>
    <mergeCell ref="AQ90:AR90"/>
    <mergeCell ref="AS90:AT90"/>
    <mergeCell ref="CE91:CF91"/>
    <mergeCell ref="CG91:CH91"/>
    <mergeCell ref="AO91:AP91"/>
    <mergeCell ref="AQ91:AR91"/>
    <mergeCell ref="AS91:AT91"/>
    <mergeCell ref="AU91:AV91"/>
    <mergeCell ref="AW91:AX91"/>
    <mergeCell ref="AY91:AZ91"/>
    <mergeCell ref="AC91:AD91"/>
    <mergeCell ref="AE91:AF91"/>
    <mergeCell ref="AG91:AH91"/>
    <mergeCell ref="AI91:AJ91"/>
    <mergeCell ref="AK91:AL91"/>
    <mergeCell ref="AM91:AN91"/>
    <mergeCell ref="Q91:R91"/>
    <mergeCell ref="S91:T91"/>
    <mergeCell ref="U91:V91"/>
    <mergeCell ref="W91:X91"/>
    <mergeCell ref="Y91:Z91"/>
    <mergeCell ref="AA91:AB91"/>
    <mergeCell ref="S92:T92"/>
    <mergeCell ref="U92:V92"/>
    <mergeCell ref="W92:X92"/>
    <mergeCell ref="Y92:Z92"/>
    <mergeCell ref="AA92:AB92"/>
    <mergeCell ref="AC92:AD92"/>
    <mergeCell ref="DG91:DH91"/>
    <mergeCell ref="DI91:DJ91"/>
    <mergeCell ref="C92:D92"/>
    <mergeCell ref="E92:F92"/>
    <mergeCell ref="G92:H92"/>
    <mergeCell ref="I92:J92"/>
    <mergeCell ref="K92:L92"/>
    <mergeCell ref="M92:N92"/>
    <mergeCell ref="O92:P92"/>
    <mergeCell ref="Q92:R92"/>
    <mergeCell ref="CU91:CV91"/>
    <mergeCell ref="CW91:CX91"/>
    <mergeCell ref="CY91:CZ91"/>
    <mergeCell ref="DA91:DB91"/>
    <mergeCell ref="DC91:DD91"/>
    <mergeCell ref="DE91:DF91"/>
    <mergeCell ref="CI91:CJ91"/>
    <mergeCell ref="CK91:CL91"/>
    <mergeCell ref="CM91:CN91"/>
    <mergeCell ref="CO91:CP91"/>
    <mergeCell ref="CQ91:CR91"/>
    <mergeCell ref="CS91:CT91"/>
    <mergeCell ref="BW91:BX91"/>
    <mergeCell ref="BY91:BZ91"/>
    <mergeCell ref="CA91:CB91"/>
    <mergeCell ref="CC91:CD91"/>
    <mergeCell ref="BY92:BZ92"/>
    <mergeCell ref="CA92:CB92"/>
    <mergeCell ref="CC92:CD92"/>
    <mergeCell ref="CE92:CF92"/>
    <mergeCell ref="CG92:CH92"/>
    <mergeCell ref="CI92:CJ92"/>
    <mergeCell ref="AQ92:AR92"/>
    <mergeCell ref="AS92:AT92"/>
    <mergeCell ref="AU92:AV92"/>
    <mergeCell ref="AW92:AX92"/>
    <mergeCell ref="AY92:AZ92"/>
    <mergeCell ref="BW92:BX92"/>
    <mergeCell ref="AE92:AF92"/>
    <mergeCell ref="AG92:AH92"/>
    <mergeCell ref="AI92:AJ92"/>
    <mergeCell ref="AK92:AL92"/>
    <mergeCell ref="AM92:AN92"/>
    <mergeCell ref="AO92:AP92"/>
    <mergeCell ref="AK93:AL93"/>
    <mergeCell ref="AM93:AN93"/>
    <mergeCell ref="AO93:AP93"/>
    <mergeCell ref="AQ93:AR93"/>
    <mergeCell ref="U93:V93"/>
    <mergeCell ref="W93:X93"/>
    <mergeCell ref="Y93:Z93"/>
    <mergeCell ref="AA93:AB93"/>
    <mergeCell ref="AC93:AD93"/>
    <mergeCell ref="AE93:AF93"/>
    <mergeCell ref="DI92:DJ92"/>
    <mergeCell ref="C93:D93"/>
    <mergeCell ref="E93:F93"/>
    <mergeCell ref="G93:H93"/>
    <mergeCell ref="I93:J93"/>
    <mergeCell ref="K93:L93"/>
    <mergeCell ref="M93:N93"/>
    <mergeCell ref="O93:P93"/>
    <mergeCell ref="Q93:R93"/>
    <mergeCell ref="S93:T93"/>
    <mergeCell ref="CW92:CX92"/>
    <mergeCell ref="CY92:CZ92"/>
    <mergeCell ref="DA92:DB92"/>
    <mergeCell ref="DC92:DD92"/>
    <mergeCell ref="DE92:DF92"/>
    <mergeCell ref="DG92:DH92"/>
    <mergeCell ref="CK92:CL92"/>
    <mergeCell ref="CM92:CN92"/>
    <mergeCell ref="CO92:CP92"/>
    <mergeCell ref="CQ92:CR92"/>
    <mergeCell ref="CS92:CT92"/>
    <mergeCell ref="CU92:CV92"/>
    <mergeCell ref="C94:D94"/>
    <mergeCell ref="E94:F94"/>
    <mergeCell ref="G94:H94"/>
    <mergeCell ref="I94:J94"/>
    <mergeCell ref="K94:L94"/>
    <mergeCell ref="M94:N94"/>
    <mergeCell ref="CY93:CZ93"/>
    <mergeCell ref="DA93:DB93"/>
    <mergeCell ref="DC93:DD93"/>
    <mergeCell ref="DE93:DF93"/>
    <mergeCell ref="DG93:DH93"/>
    <mergeCell ref="DI93:DJ93"/>
    <mergeCell ref="CM93:CN93"/>
    <mergeCell ref="CO93:CP93"/>
    <mergeCell ref="CQ93:CR93"/>
    <mergeCell ref="CS93:CT93"/>
    <mergeCell ref="CU93:CV93"/>
    <mergeCell ref="CW93:CX93"/>
    <mergeCell ref="CA93:CB93"/>
    <mergeCell ref="CC93:CD93"/>
    <mergeCell ref="CE93:CF93"/>
    <mergeCell ref="CG93:CH93"/>
    <mergeCell ref="CI93:CJ93"/>
    <mergeCell ref="CK93:CL93"/>
    <mergeCell ref="AS93:AT93"/>
    <mergeCell ref="AU93:AV93"/>
    <mergeCell ref="AW93:AX93"/>
    <mergeCell ref="AY93:AZ93"/>
    <mergeCell ref="BW93:BX93"/>
    <mergeCell ref="BY93:BZ93"/>
    <mergeCell ref="AG93:AH93"/>
    <mergeCell ref="AI93:AJ93"/>
    <mergeCell ref="CC94:CD94"/>
    <mergeCell ref="CE94:CF94"/>
    <mergeCell ref="AM94:AN94"/>
    <mergeCell ref="AO94:AP94"/>
    <mergeCell ref="AQ94:AR94"/>
    <mergeCell ref="AS94:AT94"/>
    <mergeCell ref="AU94:AV94"/>
    <mergeCell ref="AW94:AX94"/>
    <mergeCell ref="AA94:AB94"/>
    <mergeCell ref="AC94:AD94"/>
    <mergeCell ref="AE94:AF94"/>
    <mergeCell ref="AG94:AH94"/>
    <mergeCell ref="AI94:AJ94"/>
    <mergeCell ref="AK94:AL94"/>
    <mergeCell ref="O94:P94"/>
    <mergeCell ref="Q94:R94"/>
    <mergeCell ref="S94:T94"/>
    <mergeCell ref="U94:V94"/>
    <mergeCell ref="W94:X94"/>
    <mergeCell ref="Y94:Z94"/>
    <mergeCell ref="Q95:R95"/>
    <mergeCell ref="S95:T95"/>
    <mergeCell ref="U95:V95"/>
    <mergeCell ref="W95:X95"/>
    <mergeCell ref="Y95:Z95"/>
    <mergeCell ref="AA95:AB95"/>
    <mergeCell ref="DE94:DF94"/>
    <mergeCell ref="DG94:DH94"/>
    <mergeCell ref="DI94:DJ94"/>
    <mergeCell ref="C95:D95"/>
    <mergeCell ref="E95:F95"/>
    <mergeCell ref="G95:H95"/>
    <mergeCell ref="I95:J95"/>
    <mergeCell ref="K95:L95"/>
    <mergeCell ref="M95:N95"/>
    <mergeCell ref="O95:P95"/>
    <mergeCell ref="CS94:CT94"/>
    <mergeCell ref="CU94:CV94"/>
    <mergeCell ref="CW94:CX94"/>
    <mergeCell ref="CY94:CZ94"/>
    <mergeCell ref="DA94:DB94"/>
    <mergeCell ref="DC94:DD94"/>
    <mergeCell ref="CG94:CH94"/>
    <mergeCell ref="CI94:CJ94"/>
    <mergeCell ref="CK94:CL94"/>
    <mergeCell ref="CM94:CN94"/>
    <mergeCell ref="CO94:CP94"/>
    <mergeCell ref="CQ94:CR94"/>
    <mergeCell ref="AY94:AZ94"/>
    <mergeCell ref="BW94:BX94"/>
    <mergeCell ref="BY94:BZ94"/>
    <mergeCell ref="CA94:CB94"/>
    <mergeCell ref="CM95:CN95"/>
    <mergeCell ref="CO95:CP95"/>
    <mergeCell ref="CQ95:CR95"/>
    <mergeCell ref="CS95:CT95"/>
    <mergeCell ref="BW95:BX95"/>
    <mergeCell ref="BY95:BZ95"/>
    <mergeCell ref="CA95:CB95"/>
    <mergeCell ref="CC95:CD95"/>
    <mergeCell ref="CE95:CF95"/>
    <mergeCell ref="CG95:CH95"/>
    <mergeCell ref="AO95:AP95"/>
    <mergeCell ref="AQ95:AR95"/>
    <mergeCell ref="AS95:AT95"/>
    <mergeCell ref="AU95:AV95"/>
    <mergeCell ref="AW95:AX95"/>
    <mergeCell ref="AY95:AZ95"/>
    <mergeCell ref="AC95:AD95"/>
    <mergeCell ref="AE95:AF95"/>
    <mergeCell ref="AG95:AH95"/>
    <mergeCell ref="AI95:AJ95"/>
    <mergeCell ref="AK95:AL95"/>
    <mergeCell ref="AM95:AN95"/>
    <mergeCell ref="AY96:AZ96"/>
    <mergeCell ref="BW96:BX96"/>
    <mergeCell ref="AE96:AF96"/>
    <mergeCell ref="AG96:AH96"/>
    <mergeCell ref="AI96:AJ96"/>
    <mergeCell ref="AK96:AL96"/>
    <mergeCell ref="AM96:AN96"/>
    <mergeCell ref="AO96:AP96"/>
    <mergeCell ref="S96:T96"/>
    <mergeCell ref="U96:V96"/>
    <mergeCell ref="W96:X96"/>
    <mergeCell ref="Y96:Z96"/>
    <mergeCell ref="AA96:AB96"/>
    <mergeCell ref="AC96:AD96"/>
    <mergeCell ref="DG95:DH95"/>
    <mergeCell ref="DI95:DJ95"/>
    <mergeCell ref="C96:D96"/>
    <mergeCell ref="E96:F96"/>
    <mergeCell ref="G96:H96"/>
    <mergeCell ref="I96:J96"/>
    <mergeCell ref="K96:L96"/>
    <mergeCell ref="M96:N96"/>
    <mergeCell ref="O96:P96"/>
    <mergeCell ref="Q96:R96"/>
    <mergeCell ref="CU95:CV95"/>
    <mergeCell ref="CW95:CX95"/>
    <mergeCell ref="CY95:CZ95"/>
    <mergeCell ref="DA95:DB95"/>
    <mergeCell ref="DC95:DD95"/>
    <mergeCell ref="DE95:DF95"/>
    <mergeCell ref="CI95:CJ95"/>
    <mergeCell ref="CK95:CL95"/>
    <mergeCell ref="DI96:DJ96"/>
    <mergeCell ref="C97:D97"/>
    <mergeCell ref="E97:F97"/>
    <mergeCell ref="G97:H97"/>
    <mergeCell ref="I97:J97"/>
    <mergeCell ref="K97:L97"/>
    <mergeCell ref="M97:N97"/>
    <mergeCell ref="O97:P97"/>
    <mergeCell ref="Q97:R97"/>
    <mergeCell ref="S97:T97"/>
    <mergeCell ref="CW96:CX96"/>
    <mergeCell ref="CY96:CZ96"/>
    <mergeCell ref="DA96:DB96"/>
    <mergeCell ref="DC96:DD96"/>
    <mergeCell ref="DE96:DF96"/>
    <mergeCell ref="DG96:DH96"/>
    <mergeCell ref="CK96:CL96"/>
    <mergeCell ref="CM96:CN96"/>
    <mergeCell ref="CO96:CP96"/>
    <mergeCell ref="CQ96:CR96"/>
    <mergeCell ref="CS96:CT96"/>
    <mergeCell ref="CU96:CV96"/>
    <mergeCell ref="BY96:BZ96"/>
    <mergeCell ref="CA96:CB96"/>
    <mergeCell ref="CC96:CD96"/>
    <mergeCell ref="CE96:CF96"/>
    <mergeCell ref="CG96:CH96"/>
    <mergeCell ref="CI96:CJ96"/>
    <mergeCell ref="AQ96:AR96"/>
    <mergeCell ref="AS96:AT96"/>
    <mergeCell ref="AU96:AV96"/>
    <mergeCell ref="AW96:AX96"/>
    <mergeCell ref="AS97:AT97"/>
    <mergeCell ref="AU97:AV97"/>
    <mergeCell ref="AW97:AX97"/>
    <mergeCell ref="AY97:AZ97"/>
    <mergeCell ref="BW97:BX97"/>
    <mergeCell ref="BY97:BZ97"/>
    <mergeCell ref="AG97:AH97"/>
    <mergeCell ref="AI97:AJ97"/>
    <mergeCell ref="AK97:AL97"/>
    <mergeCell ref="AM97:AN97"/>
    <mergeCell ref="AO97:AP97"/>
    <mergeCell ref="AQ97:AR97"/>
    <mergeCell ref="U97:V97"/>
    <mergeCell ref="W97:X97"/>
    <mergeCell ref="Y97:Z97"/>
    <mergeCell ref="AA97:AB97"/>
    <mergeCell ref="AC97:AD97"/>
    <mergeCell ref="AE97:AF97"/>
    <mergeCell ref="CY97:CZ97"/>
    <mergeCell ref="DA97:DB97"/>
    <mergeCell ref="DC97:DD97"/>
    <mergeCell ref="DE97:DF97"/>
    <mergeCell ref="DG97:DH97"/>
    <mergeCell ref="DI97:DJ97"/>
    <mergeCell ref="CM97:CN97"/>
    <mergeCell ref="CO97:CP97"/>
    <mergeCell ref="CQ97:CR97"/>
    <mergeCell ref="CS97:CT97"/>
    <mergeCell ref="CU97:CV97"/>
    <mergeCell ref="CW97:CX97"/>
    <mergeCell ref="CA97:CB97"/>
    <mergeCell ref="CC97:CD97"/>
    <mergeCell ref="CE97:CF97"/>
    <mergeCell ref="CG97:CH97"/>
    <mergeCell ref="CI97:CJ97"/>
    <mergeCell ref="CK97:CL97"/>
    <mergeCell ref="AU98:AV98"/>
    <mergeCell ref="AW98:AX98"/>
    <mergeCell ref="AA98:AB98"/>
    <mergeCell ref="AC98:AD98"/>
    <mergeCell ref="AE98:AF98"/>
    <mergeCell ref="AG98:AH98"/>
    <mergeCell ref="AI98:AJ98"/>
    <mergeCell ref="AK98:AL98"/>
    <mergeCell ref="O98:P98"/>
    <mergeCell ref="Q98:R98"/>
    <mergeCell ref="S98:T98"/>
    <mergeCell ref="U98:V98"/>
    <mergeCell ref="W98:X98"/>
    <mergeCell ref="Y98:Z98"/>
    <mergeCell ref="C98:D98"/>
    <mergeCell ref="E98:F98"/>
    <mergeCell ref="G98:H98"/>
    <mergeCell ref="I98:J98"/>
    <mergeCell ref="K98:L98"/>
    <mergeCell ref="M98:N98"/>
    <mergeCell ref="DE98:DF98"/>
    <mergeCell ref="DG98:DH98"/>
    <mergeCell ref="DI98:DJ98"/>
    <mergeCell ref="C99:D99"/>
    <mergeCell ref="E99:F99"/>
    <mergeCell ref="G99:H99"/>
    <mergeCell ref="I99:J99"/>
    <mergeCell ref="K99:L99"/>
    <mergeCell ref="M99:N99"/>
    <mergeCell ref="O99:P99"/>
    <mergeCell ref="CS98:CT98"/>
    <mergeCell ref="CU98:CV98"/>
    <mergeCell ref="CW98:CX98"/>
    <mergeCell ref="CY98:CZ98"/>
    <mergeCell ref="DA98:DB98"/>
    <mergeCell ref="DC98:DD98"/>
    <mergeCell ref="CG98:CH98"/>
    <mergeCell ref="CI98:CJ98"/>
    <mergeCell ref="CK98:CL98"/>
    <mergeCell ref="CM98:CN98"/>
    <mergeCell ref="CO98:CP98"/>
    <mergeCell ref="CQ98:CR98"/>
    <mergeCell ref="AY98:AZ98"/>
    <mergeCell ref="BW98:BX98"/>
    <mergeCell ref="BY98:BZ98"/>
    <mergeCell ref="CA98:CB98"/>
    <mergeCell ref="CC98:CD98"/>
    <mergeCell ref="CE98:CF98"/>
    <mergeCell ref="AM98:AN98"/>
    <mergeCell ref="AO98:AP98"/>
    <mergeCell ref="AQ98:AR98"/>
    <mergeCell ref="AS98:AT98"/>
    <mergeCell ref="CE99:CF99"/>
    <mergeCell ref="CG99:CH99"/>
    <mergeCell ref="AO99:AP99"/>
    <mergeCell ref="AQ99:AR99"/>
    <mergeCell ref="AS99:AT99"/>
    <mergeCell ref="AU99:AV99"/>
    <mergeCell ref="AW99:AX99"/>
    <mergeCell ref="AY99:AZ99"/>
    <mergeCell ref="AC99:AD99"/>
    <mergeCell ref="AE99:AF99"/>
    <mergeCell ref="AG99:AH99"/>
    <mergeCell ref="AI99:AJ99"/>
    <mergeCell ref="AK99:AL99"/>
    <mergeCell ref="AM99:AN99"/>
    <mergeCell ref="Q99:R99"/>
    <mergeCell ref="S99:T99"/>
    <mergeCell ref="U99:V99"/>
    <mergeCell ref="W99:X99"/>
    <mergeCell ref="Y99:Z99"/>
    <mergeCell ref="AA99:AB99"/>
    <mergeCell ref="S100:T100"/>
    <mergeCell ref="U100:V100"/>
    <mergeCell ref="W100:X100"/>
    <mergeCell ref="Y100:Z100"/>
    <mergeCell ref="AA100:AB100"/>
    <mergeCell ref="AC100:AD100"/>
    <mergeCell ref="DG99:DH99"/>
    <mergeCell ref="DI99:DJ99"/>
    <mergeCell ref="C100:D100"/>
    <mergeCell ref="E100:F100"/>
    <mergeCell ref="G100:H100"/>
    <mergeCell ref="I100:J100"/>
    <mergeCell ref="K100:L100"/>
    <mergeCell ref="M100:N100"/>
    <mergeCell ref="O100:P100"/>
    <mergeCell ref="Q100:R100"/>
    <mergeCell ref="CU99:CV99"/>
    <mergeCell ref="CW99:CX99"/>
    <mergeCell ref="CY99:CZ99"/>
    <mergeCell ref="DA99:DB99"/>
    <mergeCell ref="DC99:DD99"/>
    <mergeCell ref="DE99:DF99"/>
    <mergeCell ref="CI99:CJ99"/>
    <mergeCell ref="CK99:CL99"/>
    <mergeCell ref="CM99:CN99"/>
    <mergeCell ref="CO99:CP99"/>
    <mergeCell ref="CQ99:CR99"/>
    <mergeCell ref="CS99:CT99"/>
    <mergeCell ref="BW99:BX99"/>
    <mergeCell ref="BY99:BZ99"/>
    <mergeCell ref="CA99:CB99"/>
    <mergeCell ref="CC99:CD99"/>
    <mergeCell ref="BY100:BZ100"/>
    <mergeCell ref="CA100:CB100"/>
    <mergeCell ref="CC100:CD100"/>
    <mergeCell ref="CE100:CF100"/>
    <mergeCell ref="CG100:CH100"/>
    <mergeCell ref="CI100:CJ100"/>
    <mergeCell ref="AQ100:AR100"/>
    <mergeCell ref="AS100:AT100"/>
    <mergeCell ref="AU100:AV100"/>
    <mergeCell ref="AW100:AX100"/>
    <mergeCell ref="AY100:AZ100"/>
    <mergeCell ref="BW100:BX100"/>
    <mergeCell ref="AE100:AF100"/>
    <mergeCell ref="AG100:AH100"/>
    <mergeCell ref="AI100:AJ100"/>
    <mergeCell ref="AK100:AL100"/>
    <mergeCell ref="AM100:AN100"/>
    <mergeCell ref="AO100:AP100"/>
    <mergeCell ref="AK101:AL101"/>
    <mergeCell ref="AM101:AN101"/>
    <mergeCell ref="AO101:AP101"/>
    <mergeCell ref="AQ101:AR101"/>
    <mergeCell ref="U101:V101"/>
    <mergeCell ref="W101:X101"/>
    <mergeCell ref="Y101:Z101"/>
    <mergeCell ref="AA101:AB101"/>
    <mergeCell ref="AC101:AD101"/>
    <mergeCell ref="AE101:AF101"/>
    <mergeCell ref="DI100:DJ100"/>
    <mergeCell ref="C101:D101"/>
    <mergeCell ref="E101:F101"/>
    <mergeCell ref="G101:H101"/>
    <mergeCell ref="I101:J101"/>
    <mergeCell ref="K101:L101"/>
    <mergeCell ref="M101:N101"/>
    <mergeCell ref="O101:P101"/>
    <mergeCell ref="Q101:R101"/>
    <mergeCell ref="S101:T101"/>
    <mergeCell ref="CW100:CX100"/>
    <mergeCell ref="CY100:CZ100"/>
    <mergeCell ref="DA100:DB100"/>
    <mergeCell ref="DC100:DD100"/>
    <mergeCell ref="DE100:DF100"/>
    <mergeCell ref="DG100:DH100"/>
    <mergeCell ref="CK100:CL100"/>
    <mergeCell ref="CM100:CN100"/>
    <mergeCell ref="CO100:CP100"/>
    <mergeCell ref="CQ100:CR100"/>
    <mergeCell ref="CS100:CT100"/>
    <mergeCell ref="CU100:CV100"/>
    <mergeCell ref="C102:D102"/>
    <mergeCell ref="E102:F102"/>
    <mergeCell ref="G102:H102"/>
    <mergeCell ref="I102:J102"/>
    <mergeCell ref="K102:L102"/>
    <mergeCell ref="M102:N102"/>
    <mergeCell ref="CY101:CZ101"/>
    <mergeCell ref="DA101:DB101"/>
    <mergeCell ref="DC101:DD101"/>
    <mergeCell ref="DE101:DF101"/>
    <mergeCell ref="DG101:DH101"/>
    <mergeCell ref="DI101:DJ101"/>
    <mergeCell ref="CM101:CN101"/>
    <mergeCell ref="CO101:CP101"/>
    <mergeCell ref="CQ101:CR101"/>
    <mergeCell ref="CS101:CT101"/>
    <mergeCell ref="CU101:CV101"/>
    <mergeCell ref="CW101:CX101"/>
    <mergeCell ref="CA101:CB101"/>
    <mergeCell ref="CC101:CD101"/>
    <mergeCell ref="CE101:CF101"/>
    <mergeCell ref="CG101:CH101"/>
    <mergeCell ref="CI101:CJ101"/>
    <mergeCell ref="CK101:CL101"/>
    <mergeCell ref="AS101:AT101"/>
    <mergeCell ref="AU101:AV101"/>
    <mergeCell ref="AW101:AX101"/>
    <mergeCell ref="AY101:AZ101"/>
    <mergeCell ref="BW101:BX101"/>
    <mergeCell ref="BY101:BZ101"/>
    <mergeCell ref="AG101:AH101"/>
    <mergeCell ref="AI101:AJ101"/>
    <mergeCell ref="CC102:CD102"/>
    <mergeCell ref="CE102:CF102"/>
    <mergeCell ref="AM102:AN102"/>
    <mergeCell ref="AO102:AP102"/>
    <mergeCell ref="AQ102:AR102"/>
    <mergeCell ref="AS102:AT102"/>
    <mergeCell ref="AU102:AV102"/>
    <mergeCell ref="AW102:AX102"/>
    <mergeCell ref="AA102:AB102"/>
    <mergeCell ref="AC102:AD102"/>
    <mergeCell ref="AE102:AF102"/>
    <mergeCell ref="AG102:AH102"/>
    <mergeCell ref="AI102:AJ102"/>
    <mergeCell ref="AK102:AL102"/>
    <mergeCell ref="O102:P102"/>
    <mergeCell ref="Q102:R102"/>
    <mergeCell ref="S102:T102"/>
    <mergeCell ref="U102:V102"/>
    <mergeCell ref="W102:X102"/>
    <mergeCell ref="Y102:Z102"/>
    <mergeCell ref="Q103:R103"/>
    <mergeCell ref="S103:T103"/>
    <mergeCell ref="U103:V103"/>
    <mergeCell ref="W103:X103"/>
    <mergeCell ref="Y103:Z103"/>
    <mergeCell ref="AA103:AB103"/>
    <mergeCell ref="DE102:DF102"/>
    <mergeCell ref="DG102:DH102"/>
    <mergeCell ref="DI102:DJ102"/>
    <mergeCell ref="C103:D103"/>
    <mergeCell ref="E103:F103"/>
    <mergeCell ref="G103:H103"/>
    <mergeCell ref="I103:J103"/>
    <mergeCell ref="K103:L103"/>
    <mergeCell ref="M103:N103"/>
    <mergeCell ref="O103:P103"/>
    <mergeCell ref="CS102:CT102"/>
    <mergeCell ref="CU102:CV102"/>
    <mergeCell ref="CW102:CX102"/>
    <mergeCell ref="CY102:CZ102"/>
    <mergeCell ref="DA102:DB102"/>
    <mergeCell ref="DC102:DD102"/>
    <mergeCell ref="CG102:CH102"/>
    <mergeCell ref="CI102:CJ102"/>
    <mergeCell ref="CK102:CL102"/>
    <mergeCell ref="CM102:CN102"/>
    <mergeCell ref="CO102:CP102"/>
    <mergeCell ref="CQ102:CR102"/>
    <mergeCell ref="AY102:AZ102"/>
    <mergeCell ref="BW102:BX102"/>
    <mergeCell ref="BY102:BZ102"/>
    <mergeCell ref="CA102:CB102"/>
    <mergeCell ref="CM103:CN103"/>
    <mergeCell ref="CO103:CP103"/>
    <mergeCell ref="CQ103:CR103"/>
    <mergeCell ref="CS103:CT103"/>
    <mergeCell ref="BW103:BX103"/>
    <mergeCell ref="BY103:BZ103"/>
    <mergeCell ref="CA103:CB103"/>
    <mergeCell ref="CC103:CD103"/>
    <mergeCell ref="CE103:CF103"/>
    <mergeCell ref="CG103:CH103"/>
    <mergeCell ref="AO103:AP103"/>
    <mergeCell ref="AQ103:AR103"/>
    <mergeCell ref="AS103:AT103"/>
    <mergeCell ref="AU103:AV103"/>
    <mergeCell ref="AW103:AX103"/>
    <mergeCell ref="AY103:AZ103"/>
    <mergeCell ref="AC103:AD103"/>
    <mergeCell ref="AE103:AF103"/>
    <mergeCell ref="AG103:AH103"/>
    <mergeCell ref="AI103:AJ103"/>
    <mergeCell ref="AK103:AL103"/>
    <mergeCell ref="AM103:AN103"/>
    <mergeCell ref="AY104:AZ104"/>
    <mergeCell ref="BW104:BX104"/>
    <mergeCell ref="AE104:AF104"/>
    <mergeCell ref="AG104:AH104"/>
    <mergeCell ref="AI104:AJ104"/>
    <mergeCell ref="AK104:AL104"/>
    <mergeCell ref="AM104:AN104"/>
    <mergeCell ref="AO104:AP104"/>
    <mergeCell ref="S104:T104"/>
    <mergeCell ref="U104:V104"/>
    <mergeCell ref="W104:X104"/>
    <mergeCell ref="Y104:Z104"/>
    <mergeCell ref="AA104:AB104"/>
    <mergeCell ref="AC104:AD104"/>
    <mergeCell ref="DG103:DH103"/>
    <mergeCell ref="DI103:DJ103"/>
    <mergeCell ref="C104:D104"/>
    <mergeCell ref="E104:F104"/>
    <mergeCell ref="G104:H104"/>
    <mergeCell ref="I104:J104"/>
    <mergeCell ref="K104:L104"/>
    <mergeCell ref="M104:N104"/>
    <mergeCell ref="O104:P104"/>
    <mergeCell ref="Q104:R104"/>
    <mergeCell ref="CU103:CV103"/>
    <mergeCell ref="CW103:CX103"/>
    <mergeCell ref="CY103:CZ103"/>
    <mergeCell ref="DA103:DB103"/>
    <mergeCell ref="DC103:DD103"/>
    <mergeCell ref="DE103:DF103"/>
    <mergeCell ref="CI103:CJ103"/>
    <mergeCell ref="CK103:CL103"/>
    <mergeCell ref="DI104:DJ104"/>
    <mergeCell ref="C105:D105"/>
    <mergeCell ref="E105:F105"/>
    <mergeCell ref="G105:H105"/>
    <mergeCell ref="I105:J105"/>
    <mergeCell ref="K105:L105"/>
    <mergeCell ref="M105:N105"/>
    <mergeCell ref="O105:P105"/>
    <mergeCell ref="Q105:R105"/>
    <mergeCell ref="S105:T105"/>
    <mergeCell ref="CW104:CX104"/>
    <mergeCell ref="CY104:CZ104"/>
    <mergeCell ref="DA104:DB104"/>
    <mergeCell ref="DC104:DD104"/>
    <mergeCell ref="DE104:DF104"/>
    <mergeCell ref="DG104:DH104"/>
    <mergeCell ref="CK104:CL104"/>
    <mergeCell ref="CM104:CN104"/>
    <mergeCell ref="CO104:CP104"/>
    <mergeCell ref="CQ104:CR104"/>
    <mergeCell ref="CS104:CT104"/>
    <mergeCell ref="CU104:CV104"/>
    <mergeCell ref="BY104:BZ104"/>
    <mergeCell ref="CA104:CB104"/>
    <mergeCell ref="CC104:CD104"/>
    <mergeCell ref="CE104:CF104"/>
    <mergeCell ref="CG104:CH104"/>
    <mergeCell ref="CI104:CJ104"/>
    <mergeCell ref="AQ104:AR104"/>
    <mergeCell ref="AS104:AT104"/>
    <mergeCell ref="AU104:AV104"/>
    <mergeCell ref="AW104:AX104"/>
    <mergeCell ref="AS105:AT105"/>
    <mergeCell ref="AU105:AV105"/>
    <mergeCell ref="AW105:AX105"/>
    <mergeCell ref="AY105:AZ105"/>
    <mergeCell ref="BW105:BX105"/>
    <mergeCell ref="BY105:BZ105"/>
    <mergeCell ref="AG105:AH105"/>
    <mergeCell ref="AI105:AJ105"/>
    <mergeCell ref="AK105:AL105"/>
    <mergeCell ref="AM105:AN105"/>
    <mergeCell ref="AO105:AP105"/>
    <mergeCell ref="AQ105:AR105"/>
    <mergeCell ref="U105:V105"/>
    <mergeCell ref="W105:X105"/>
    <mergeCell ref="Y105:Z105"/>
    <mergeCell ref="AA105:AB105"/>
    <mergeCell ref="AC105:AD105"/>
    <mergeCell ref="AE105:AF105"/>
    <mergeCell ref="CY105:CZ105"/>
    <mergeCell ref="DA105:DB105"/>
    <mergeCell ref="DC105:DD105"/>
    <mergeCell ref="DE105:DF105"/>
    <mergeCell ref="DG105:DH105"/>
    <mergeCell ref="DI105:DJ105"/>
    <mergeCell ref="CM105:CN105"/>
    <mergeCell ref="CO105:CP105"/>
    <mergeCell ref="CQ105:CR105"/>
    <mergeCell ref="CS105:CT105"/>
    <mergeCell ref="CU105:CV105"/>
    <mergeCell ref="CW105:CX105"/>
    <mergeCell ref="CA105:CB105"/>
    <mergeCell ref="CC105:CD105"/>
    <mergeCell ref="CE105:CF105"/>
    <mergeCell ref="CG105:CH105"/>
    <mergeCell ref="CI105:CJ105"/>
    <mergeCell ref="CK105:CL105"/>
    <mergeCell ref="AU106:AV106"/>
    <mergeCell ref="AW106:AX106"/>
    <mergeCell ref="AA106:AB106"/>
    <mergeCell ref="AC106:AD106"/>
    <mergeCell ref="AE106:AF106"/>
    <mergeCell ref="AG106:AH106"/>
    <mergeCell ref="AI106:AJ106"/>
    <mergeCell ref="AK106:AL106"/>
    <mergeCell ref="O106:P106"/>
    <mergeCell ref="Q106:R106"/>
    <mergeCell ref="S106:T106"/>
    <mergeCell ref="U106:V106"/>
    <mergeCell ref="W106:X106"/>
    <mergeCell ref="Y106:Z106"/>
    <mergeCell ref="C106:D106"/>
    <mergeCell ref="E106:F106"/>
    <mergeCell ref="G106:H106"/>
    <mergeCell ref="I106:J106"/>
    <mergeCell ref="K106:L106"/>
    <mergeCell ref="M106:N106"/>
    <mergeCell ref="DE106:DF106"/>
    <mergeCell ref="DG106:DH106"/>
    <mergeCell ref="DI106:DJ106"/>
    <mergeCell ref="C107:D107"/>
    <mergeCell ref="E107:F107"/>
    <mergeCell ref="G107:H107"/>
    <mergeCell ref="I107:J107"/>
    <mergeCell ref="K107:L107"/>
    <mergeCell ref="M107:N107"/>
    <mergeCell ref="O107:P107"/>
    <mergeCell ref="CS106:CT106"/>
    <mergeCell ref="CU106:CV106"/>
    <mergeCell ref="CW106:CX106"/>
    <mergeCell ref="CY106:CZ106"/>
    <mergeCell ref="DA106:DB106"/>
    <mergeCell ref="DC106:DD106"/>
    <mergeCell ref="CG106:CH106"/>
    <mergeCell ref="CI106:CJ106"/>
    <mergeCell ref="CK106:CL106"/>
    <mergeCell ref="CM106:CN106"/>
    <mergeCell ref="CO106:CP106"/>
    <mergeCell ref="CQ106:CR106"/>
    <mergeCell ref="AY106:AZ106"/>
    <mergeCell ref="BW106:BX106"/>
    <mergeCell ref="BY106:BZ106"/>
    <mergeCell ref="CA106:CB106"/>
    <mergeCell ref="CC106:CD106"/>
    <mergeCell ref="CE106:CF106"/>
    <mergeCell ref="AM106:AN106"/>
    <mergeCell ref="AO106:AP106"/>
    <mergeCell ref="AQ106:AR106"/>
    <mergeCell ref="AS106:AT106"/>
    <mergeCell ref="CE107:CF107"/>
    <mergeCell ref="CG107:CH107"/>
    <mergeCell ref="AO107:AP107"/>
    <mergeCell ref="AQ107:AR107"/>
    <mergeCell ref="AS107:AT107"/>
    <mergeCell ref="AU107:AV107"/>
    <mergeCell ref="AW107:AX107"/>
    <mergeCell ref="AY107:AZ107"/>
    <mergeCell ref="AC107:AD107"/>
    <mergeCell ref="AE107:AF107"/>
    <mergeCell ref="AG107:AH107"/>
    <mergeCell ref="AI107:AJ107"/>
    <mergeCell ref="AK107:AL107"/>
    <mergeCell ref="AM107:AN107"/>
    <mergeCell ref="Q107:R107"/>
    <mergeCell ref="S107:T107"/>
    <mergeCell ref="U107:V107"/>
    <mergeCell ref="W107:X107"/>
    <mergeCell ref="Y107:Z107"/>
    <mergeCell ref="AA107:AB107"/>
    <mergeCell ref="S108:T108"/>
    <mergeCell ref="U108:V108"/>
    <mergeCell ref="W108:X108"/>
    <mergeCell ref="Y108:Z108"/>
    <mergeCell ref="AA108:AB108"/>
    <mergeCell ref="AC108:AD108"/>
    <mergeCell ref="DG107:DH107"/>
    <mergeCell ref="DI107:DJ107"/>
    <mergeCell ref="C108:D108"/>
    <mergeCell ref="E108:F108"/>
    <mergeCell ref="G108:H108"/>
    <mergeCell ref="I108:J108"/>
    <mergeCell ref="K108:L108"/>
    <mergeCell ref="M108:N108"/>
    <mergeCell ref="O108:P108"/>
    <mergeCell ref="Q108:R108"/>
    <mergeCell ref="CU107:CV107"/>
    <mergeCell ref="CW107:CX107"/>
    <mergeCell ref="CY107:CZ107"/>
    <mergeCell ref="DA107:DB107"/>
    <mergeCell ref="DC107:DD107"/>
    <mergeCell ref="DE107:DF107"/>
    <mergeCell ref="CI107:CJ107"/>
    <mergeCell ref="CK107:CL107"/>
    <mergeCell ref="CM107:CN107"/>
    <mergeCell ref="CO107:CP107"/>
    <mergeCell ref="CQ107:CR107"/>
    <mergeCell ref="CS107:CT107"/>
    <mergeCell ref="BW107:BX107"/>
    <mergeCell ref="BY107:BZ107"/>
    <mergeCell ref="CA107:CB107"/>
    <mergeCell ref="CC107:CD107"/>
    <mergeCell ref="BY108:BZ108"/>
    <mergeCell ref="CA108:CB108"/>
    <mergeCell ref="CC108:CD108"/>
    <mergeCell ref="CE108:CF108"/>
    <mergeCell ref="CG108:CH108"/>
    <mergeCell ref="CI108:CJ108"/>
    <mergeCell ref="AQ108:AR108"/>
    <mergeCell ref="AS108:AT108"/>
    <mergeCell ref="AU108:AV108"/>
    <mergeCell ref="AW108:AX108"/>
    <mergeCell ref="AY108:AZ108"/>
    <mergeCell ref="BW108:BX108"/>
    <mergeCell ref="AE108:AF108"/>
    <mergeCell ref="AG108:AH108"/>
    <mergeCell ref="AI108:AJ108"/>
    <mergeCell ref="AK108:AL108"/>
    <mergeCell ref="AM108:AN108"/>
    <mergeCell ref="AO108:AP108"/>
    <mergeCell ref="AK109:AL109"/>
    <mergeCell ref="AM109:AN109"/>
    <mergeCell ref="AO109:AP109"/>
    <mergeCell ref="AQ109:AR109"/>
    <mergeCell ref="U109:V109"/>
    <mergeCell ref="W109:X109"/>
    <mergeCell ref="Y109:Z109"/>
    <mergeCell ref="AA109:AB109"/>
    <mergeCell ref="AC109:AD109"/>
    <mergeCell ref="AE109:AF109"/>
    <mergeCell ref="DI108:DJ108"/>
    <mergeCell ref="C109:D109"/>
    <mergeCell ref="E109:F109"/>
    <mergeCell ref="G109:H109"/>
    <mergeCell ref="I109:J109"/>
    <mergeCell ref="K109:L109"/>
    <mergeCell ref="M109:N109"/>
    <mergeCell ref="O109:P109"/>
    <mergeCell ref="Q109:R109"/>
    <mergeCell ref="S109:T109"/>
    <mergeCell ref="CW108:CX108"/>
    <mergeCell ref="CY108:CZ108"/>
    <mergeCell ref="DA108:DB108"/>
    <mergeCell ref="DC108:DD108"/>
    <mergeCell ref="DE108:DF108"/>
    <mergeCell ref="DG108:DH108"/>
    <mergeCell ref="CK108:CL108"/>
    <mergeCell ref="CM108:CN108"/>
    <mergeCell ref="CO108:CP108"/>
    <mergeCell ref="CQ108:CR108"/>
    <mergeCell ref="CS108:CT108"/>
    <mergeCell ref="CU108:CV108"/>
    <mergeCell ref="C110:BA110"/>
    <mergeCell ref="BB110:BR110"/>
    <mergeCell ref="BW110:DK110"/>
    <mergeCell ref="DL110:EB110"/>
    <mergeCell ref="C133:H133"/>
    <mergeCell ref="BL133:BR133"/>
    <mergeCell ref="CY109:CZ109"/>
    <mergeCell ref="DA109:DB109"/>
    <mergeCell ref="DC109:DD109"/>
    <mergeCell ref="DE109:DF109"/>
    <mergeCell ref="DG109:DH109"/>
    <mergeCell ref="DI109:DJ109"/>
    <mergeCell ref="CM109:CN109"/>
    <mergeCell ref="CO109:CP109"/>
    <mergeCell ref="CQ109:CR109"/>
    <mergeCell ref="CS109:CT109"/>
    <mergeCell ref="CU109:CV109"/>
    <mergeCell ref="CW109:CX109"/>
    <mergeCell ref="CA109:CB109"/>
    <mergeCell ref="CC109:CD109"/>
    <mergeCell ref="CE109:CF109"/>
    <mergeCell ref="CG109:CH109"/>
    <mergeCell ref="CI109:CJ109"/>
    <mergeCell ref="CK109:CL109"/>
    <mergeCell ref="AS109:AT109"/>
    <mergeCell ref="AU109:AV109"/>
    <mergeCell ref="AW109:AX109"/>
    <mergeCell ref="AY109:AZ109"/>
    <mergeCell ref="BW109:BX109"/>
    <mergeCell ref="BY109:BZ109"/>
    <mergeCell ref="AG109:AH109"/>
    <mergeCell ref="AI109:AJ109"/>
  </mergeCells>
  <phoneticPr fontId="7"/>
  <pageMargins left="0.39370078740157483" right="0.39370078740157483" top="0.39370078740157483" bottom="0.28000000000000003" header="0.59055118110236227" footer="0.11811023622047245"/>
  <pageSetup paperSize="9" scale="29" fitToHeight="0" orientation="landscape" useFirstPageNumber="1" r:id="rId1"/>
  <headerFooter alignWithMargins="0">
    <oddHeader xml:space="preserve">&amp;R&amp;16&amp;P    </oddHeader>
    <oddFooter xml:space="preserve">&amp;C&amp;24 4-3-5-&amp;P </oddFooter>
  </headerFooter>
  <rowBreaks count="1" manualBreakCount="1">
    <brk id="76" max="13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dimension ref="A1:DS102"/>
  <sheetViews>
    <sheetView view="pageBreakPreview" zoomScaleNormal="115" zoomScaleSheetLayoutView="100" workbookViewId="0"/>
  </sheetViews>
  <sheetFormatPr defaultColWidth="2.125" defaultRowHeight="13.5"/>
  <cols>
    <col min="65" max="123" width="2.12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233" t="s">
        <v>25</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26</v>
      </c>
      <c r="BA2" s="228"/>
      <c r="BB2" s="228"/>
      <c r="BC2" s="229"/>
      <c r="BD2" s="227" t="s">
        <v>5</v>
      </c>
      <c r="BE2" s="228"/>
      <c r="BF2" s="229"/>
      <c r="BG2" s="227"/>
      <c r="BH2" s="228"/>
      <c r="BI2" s="228"/>
      <c r="BJ2" s="229"/>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227" t="s">
        <v>27</v>
      </c>
      <c r="B4" s="228"/>
      <c r="C4" s="228"/>
      <c r="D4" s="228"/>
      <c r="E4" s="228"/>
      <c r="F4" s="228"/>
      <c r="G4" s="229"/>
      <c r="H4" s="230" t="s">
        <v>106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239" t="s">
        <v>10</v>
      </c>
      <c r="B6" s="239"/>
      <c r="C6" s="239"/>
      <c r="D6" s="239"/>
      <c r="E6" s="239"/>
      <c r="F6" s="239"/>
      <c r="G6" s="239"/>
      <c r="H6" s="239" t="s">
        <v>120</v>
      </c>
      <c r="I6" s="239"/>
      <c r="J6" s="239"/>
      <c r="K6" s="239"/>
      <c r="L6" s="239"/>
      <c r="M6" s="239"/>
      <c r="N6" s="239"/>
      <c r="O6" s="239"/>
      <c r="P6" s="239" t="s">
        <v>11</v>
      </c>
      <c r="Q6" s="239"/>
      <c r="R6" s="239"/>
      <c r="S6" s="239"/>
      <c r="T6" s="239"/>
      <c r="U6" s="239"/>
      <c r="V6" s="239"/>
      <c r="W6" s="239"/>
      <c r="X6" s="239"/>
      <c r="Y6" s="240" t="s">
        <v>108</v>
      </c>
      <c r="Z6" s="241"/>
      <c r="AA6" s="241"/>
      <c r="AB6" s="241"/>
      <c r="AC6" s="241"/>
      <c r="AD6" s="241"/>
      <c r="AE6" s="241"/>
      <c r="AF6" s="241"/>
      <c r="AG6" s="241"/>
      <c r="AH6" s="241"/>
      <c r="AI6" s="241"/>
      <c r="AJ6" s="241"/>
      <c r="AK6" s="241"/>
      <c r="AL6" s="241"/>
      <c r="AM6" s="241"/>
      <c r="AN6" s="241"/>
      <c r="AO6" s="241"/>
      <c r="AP6" s="241"/>
      <c r="AQ6" s="241"/>
      <c r="AR6" s="241"/>
      <c r="AS6" s="241"/>
      <c r="AT6" s="241"/>
      <c r="AU6" s="242"/>
      <c r="AV6" s="371" t="s">
        <v>28</v>
      </c>
      <c r="AW6" s="372"/>
      <c r="AX6" s="372"/>
      <c r="AY6" s="372"/>
      <c r="AZ6" s="372"/>
      <c r="BA6" s="372"/>
      <c r="BB6" s="372"/>
      <c r="BC6" s="373"/>
      <c r="BD6" s="371" t="s">
        <v>143</v>
      </c>
      <c r="BE6" s="372"/>
      <c r="BF6" s="372"/>
      <c r="BG6" s="372"/>
      <c r="BH6" s="372"/>
      <c r="BI6" s="372"/>
      <c r="BJ6" s="373"/>
    </row>
    <row r="7" spans="1:123" s="10" customFormat="1" ht="6" customHeight="1"/>
    <row r="8" spans="1:123" s="10" customFormat="1" ht="20.25" customHeight="1">
      <c r="A8" s="11" t="s">
        <v>29</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135</v>
      </c>
      <c r="BJ9" s="15"/>
    </row>
    <row r="10" spans="1:123" s="10" customFormat="1" ht="20.25" customHeight="1">
      <c r="A10" s="14"/>
      <c r="B10" s="10" t="s">
        <v>134</v>
      </c>
      <c r="BJ10" s="15"/>
    </row>
    <row r="11" spans="1:123" s="10" customFormat="1" ht="20.25" customHeight="1">
      <c r="A11" s="16"/>
      <c r="B11" s="17"/>
      <c r="C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374" t="s">
        <v>30</v>
      </c>
      <c r="B12" s="350"/>
      <c r="C12" s="350"/>
      <c r="D12" s="350"/>
      <c r="E12" s="350"/>
      <c r="F12" s="351"/>
      <c r="G12" s="11" t="s">
        <v>31</v>
      </c>
      <c r="H12" s="12"/>
      <c r="I12" s="12"/>
      <c r="J12" s="12"/>
      <c r="K12" s="12"/>
      <c r="L12" s="12"/>
      <c r="M12" s="12"/>
      <c r="N12" s="12"/>
      <c r="O12" s="12"/>
      <c r="P12" s="12"/>
      <c r="Q12" s="12"/>
      <c r="R12" s="12"/>
      <c r="S12" s="12"/>
      <c r="T12" s="12"/>
      <c r="U12" s="12"/>
      <c r="V12" s="12"/>
      <c r="W12" s="12"/>
      <c r="X12" s="12"/>
      <c r="Y12" s="12"/>
      <c r="Z12" s="12"/>
      <c r="AA12" s="12"/>
      <c r="AB12" s="12"/>
      <c r="AC12" s="12"/>
      <c r="AD12" s="13"/>
      <c r="AE12" s="10" t="s">
        <v>32</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352"/>
      <c r="B13" s="353"/>
      <c r="C13" s="353"/>
      <c r="D13" s="353"/>
      <c r="E13" s="353"/>
      <c r="F13" s="354"/>
      <c r="G13" s="14"/>
      <c r="H13" s="10" t="s">
        <v>137</v>
      </c>
      <c r="AD13" s="15"/>
      <c r="AF13" s="10" t="s">
        <v>139</v>
      </c>
      <c r="BJ13" s="15"/>
    </row>
    <row r="14" spans="1:123" s="10" customFormat="1" ht="20.25" customHeight="1">
      <c r="A14" s="352"/>
      <c r="B14" s="353"/>
      <c r="C14" s="353"/>
      <c r="D14" s="353"/>
      <c r="E14" s="353"/>
      <c r="F14" s="354"/>
      <c r="G14" s="14"/>
      <c r="H14" s="10" t="s">
        <v>136</v>
      </c>
      <c r="AD14" s="15"/>
      <c r="AF14" s="10" t="s">
        <v>142</v>
      </c>
      <c r="BJ14" s="15"/>
    </row>
    <row r="15" spans="1:123" s="10" customFormat="1" ht="20.25" customHeight="1">
      <c r="A15" s="352"/>
      <c r="B15" s="353"/>
      <c r="C15" s="353"/>
      <c r="D15" s="353"/>
      <c r="E15" s="353"/>
      <c r="F15" s="354"/>
      <c r="G15" s="14" t="s">
        <v>33</v>
      </c>
      <c r="AD15" s="15"/>
      <c r="AF15" s="10" t="s">
        <v>140</v>
      </c>
      <c r="BJ15" s="15"/>
    </row>
    <row r="16" spans="1:123" s="10" customFormat="1" ht="20.25" customHeight="1">
      <c r="A16" s="352"/>
      <c r="B16" s="353"/>
      <c r="C16" s="353"/>
      <c r="D16" s="353"/>
      <c r="E16" s="353"/>
      <c r="F16" s="354"/>
      <c r="G16" s="14"/>
      <c r="H16" s="10" t="s">
        <v>138</v>
      </c>
      <c r="AD16" s="15"/>
      <c r="AF16" s="10" t="s">
        <v>141</v>
      </c>
      <c r="BJ16" s="15"/>
    </row>
    <row r="17" spans="1:62" s="10" customFormat="1" ht="20.25" customHeight="1">
      <c r="A17" s="352"/>
      <c r="B17" s="353"/>
      <c r="C17" s="353"/>
      <c r="D17" s="353"/>
      <c r="E17" s="353"/>
      <c r="F17" s="354"/>
      <c r="G17" s="14"/>
      <c r="AD17" s="15"/>
      <c r="BJ17" s="15"/>
    </row>
    <row r="18" spans="1:62" s="10" customFormat="1" ht="20.25" customHeight="1">
      <c r="A18" s="355"/>
      <c r="B18" s="356"/>
      <c r="C18" s="356"/>
      <c r="D18" s="356"/>
      <c r="E18" s="356"/>
      <c r="F18" s="357"/>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371" t="s">
        <v>34</v>
      </c>
      <c r="B20" s="372"/>
      <c r="C20" s="372"/>
      <c r="D20" s="372"/>
      <c r="E20" s="372"/>
      <c r="F20" s="373"/>
      <c r="G20" s="371"/>
      <c r="H20" s="372"/>
      <c r="I20" s="372"/>
      <c r="J20" s="372"/>
      <c r="K20" s="372"/>
      <c r="L20" s="372"/>
      <c r="M20" s="372"/>
      <c r="N20" s="372"/>
      <c r="O20" s="372"/>
      <c r="P20" s="372"/>
      <c r="Q20" s="372"/>
      <c r="R20" s="372"/>
      <c r="S20" s="372"/>
      <c r="T20" s="372"/>
      <c r="U20" s="372"/>
      <c r="V20" s="372"/>
      <c r="W20" s="372"/>
      <c r="X20" s="372"/>
      <c r="Y20" s="372"/>
      <c r="Z20" s="372"/>
      <c r="AA20" s="372"/>
      <c r="AB20" s="372"/>
      <c r="AC20" s="372"/>
      <c r="AD20" s="373"/>
      <c r="AE20" s="371"/>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3"/>
    </row>
    <row r="21" spans="1:62" s="10" customFormat="1" ht="20.25" customHeight="1">
      <c r="A21" s="352" t="s">
        <v>35</v>
      </c>
      <c r="B21" s="353"/>
      <c r="C21" s="353"/>
      <c r="D21" s="353"/>
      <c r="E21" s="353"/>
      <c r="F21" s="354"/>
      <c r="G21" s="14"/>
      <c r="H21" s="358" t="s">
        <v>36</v>
      </c>
      <c r="I21" s="358"/>
      <c r="J21" s="9" t="s">
        <v>37</v>
      </c>
      <c r="K21" s="9"/>
      <c r="L21" s="9"/>
      <c r="M21" s="9"/>
      <c r="N21" s="9"/>
      <c r="O21" s="9"/>
      <c r="P21" s="9"/>
      <c r="Q21" s="9"/>
      <c r="R21" s="9"/>
      <c r="S21" s="9"/>
      <c r="T21" s="9"/>
      <c r="U21" s="9"/>
      <c r="V21" s="9"/>
      <c r="W21" s="9"/>
      <c r="X21" s="9"/>
      <c r="Y21" s="9"/>
      <c r="Z21" s="9"/>
      <c r="AA21" s="9"/>
      <c r="AB21" s="9"/>
      <c r="AC21" s="9"/>
      <c r="AD21" s="19"/>
      <c r="AE21" s="349" t="s">
        <v>38</v>
      </c>
      <c r="AF21" s="350"/>
      <c r="AG21" s="350"/>
      <c r="AH21" s="350"/>
      <c r="AI21" s="350"/>
      <c r="AJ21" s="350"/>
      <c r="AK21" s="350"/>
      <c r="AL21" s="351"/>
      <c r="AM21" s="375" t="s">
        <v>39</v>
      </c>
      <c r="AN21" s="358"/>
      <c r="AO21" s="12" t="s">
        <v>40</v>
      </c>
      <c r="AP21" s="12"/>
      <c r="AQ21" s="12"/>
      <c r="AV21" s="12"/>
      <c r="AW21" s="12"/>
      <c r="AX21" s="12"/>
      <c r="AY21" s="22"/>
      <c r="AZ21" s="22"/>
      <c r="BA21" s="22"/>
      <c r="BB21" s="22"/>
      <c r="BC21" s="22"/>
      <c r="BD21" s="12"/>
      <c r="BE21" s="12"/>
      <c r="BF21" s="12"/>
      <c r="BG21" s="12"/>
      <c r="BH21" s="12"/>
      <c r="BI21" s="12"/>
      <c r="BJ21" s="13"/>
    </row>
    <row r="22" spans="1:62" s="10" customFormat="1" ht="20.25" customHeight="1">
      <c r="A22" s="352"/>
      <c r="B22" s="353"/>
      <c r="C22" s="353"/>
      <c r="D22" s="353"/>
      <c r="E22" s="353"/>
      <c r="F22" s="354"/>
      <c r="G22" s="14"/>
      <c r="H22" s="368" t="s">
        <v>39</v>
      </c>
      <c r="I22" s="368"/>
      <c r="J22" s="9" t="s">
        <v>41</v>
      </c>
      <c r="K22" s="9"/>
      <c r="L22" s="9"/>
      <c r="M22" s="9"/>
      <c r="N22" s="9"/>
      <c r="O22" s="9"/>
      <c r="P22" s="9"/>
      <c r="Q22" s="9"/>
      <c r="R22" s="9"/>
      <c r="S22" s="9"/>
      <c r="T22" s="9"/>
      <c r="U22" s="9"/>
      <c r="V22" s="9"/>
      <c r="W22" s="9"/>
      <c r="X22" s="9"/>
      <c r="Y22" s="9"/>
      <c r="Z22" s="9"/>
      <c r="AA22" s="9"/>
      <c r="AB22" s="9"/>
      <c r="AC22" s="9"/>
      <c r="AD22" s="19"/>
      <c r="AE22" s="352"/>
      <c r="AF22" s="353"/>
      <c r="AG22" s="353"/>
      <c r="AH22" s="353"/>
      <c r="AI22" s="353"/>
      <c r="AJ22" s="353"/>
      <c r="AK22" s="353"/>
      <c r="AL22" s="354"/>
      <c r="AM22" s="376" t="s">
        <v>36</v>
      </c>
      <c r="AN22" s="368"/>
      <c r="AO22" s="10" t="s">
        <v>42</v>
      </c>
      <c r="AY22" s="9"/>
      <c r="AZ22" s="9"/>
      <c r="BA22" s="9"/>
      <c r="BB22" s="9"/>
      <c r="BC22" s="9"/>
      <c r="BJ22" s="15"/>
    </row>
    <row r="23" spans="1:62" s="10" customFormat="1" ht="20.25" customHeight="1">
      <c r="A23" s="352"/>
      <c r="B23" s="353"/>
      <c r="C23" s="353"/>
      <c r="D23" s="353"/>
      <c r="E23" s="353"/>
      <c r="F23" s="354"/>
      <c r="G23" s="14"/>
      <c r="H23" s="368" t="s">
        <v>36</v>
      </c>
      <c r="I23" s="368"/>
      <c r="J23" s="9" t="s">
        <v>43</v>
      </c>
      <c r="K23" s="9"/>
      <c r="L23" s="9"/>
      <c r="M23" s="9"/>
      <c r="N23" s="9"/>
      <c r="O23" s="9"/>
      <c r="P23" s="9"/>
      <c r="Q23" s="9"/>
      <c r="R23" s="9"/>
      <c r="S23" s="9"/>
      <c r="T23" s="9"/>
      <c r="U23" s="9"/>
      <c r="V23" s="9"/>
      <c r="W23" s="9"/>
      <c r="X23" s="9"/>
      <c r="Y23" s="9"/>
      <c r="Z23" s="9"/>
      <c r="AA23" s="9"/>
      <c r="AB23" s="9"/>
      <c r="AC23" s="9"/>
      <c r="AD23" s="19"/>
      <c r="AE23" s="352"/>
      <c r="AF23" s="353"/>
      <c r="AG23" s="353"/>
      <c r="AH23" s="353"/>
      <c r="AI23" s="353"/>
      <c r="AJ23" s="353"/>
      <c r="AK23" s="353"/>
      <c r="AL23" s="354"/>
      <c r="AM23" s="376" t="s">
        <v>36</v>
      </c>
      <c r="AN23" s="368"/>
      <c r="AO23" s="10" t="s">
        <v>43</v>
      </c>
      <c r="AY23" s="9"/>
      <c r="AZ23" s="9"/>
      <c r="BA23" s="9"/>
      <c r="BB23" s="9"/>
      <c r="BC23" s="9"/>
      <c r="BJ23" s="15"/>
    </row>
    <row r="24" spans="1:62" s="10" customFormat="1" ht="20.25" customHeight="1">
      <c r="A24" s="355"/>
      <c r="B24" s="356"/>
      <c r="C24" s="356"/>
      <c r="D24" s="356"/>
      <c r="E24" s="356"/>
      <c r="F24" s="357"/>
      <c r="G24" s="16"/>
      <c r="H24" s="17"/>
      <c r="I24" s="17"/>
      <c r="J24" s="20" t="s">
        <v>44</v>
      </c>
      <c r="K24" s="20"/>
      <c r="L24" s="20"/>
      <c r="M24" s="20"/>
      <c r="N24" s="20"/>
      <c r="O24" s="20"/>
      <c r="P24" s="20"/>
      <c r="Q24" s="20"/>
      <c r="R24" s="20"/>
      <c r="S24" s="20"/>
      <c r="T24" s="20"/>
      <c r="U24" s="20"/>
      <c r="V24" s="20"/>
      <c r="W24" s="20"/>
      <c r="X24" s="20"/>
      <c r="Y24" s="20"/>
      <c r="Z24" s="20"/>
      <c r="AA24" s="20"/>
      <c r="AB24" s="20" t="s">
        <v>45</v>
      </c>
      <c r="AC24" s="20"/>
      <c r="AD24" s="21"/>
      <c r="AE24" s="355"/>
      <c r="AF24" s="356"/>
      <c r="AG24" s="356"/>
      <c r="AH24" s="356"/>
      <c r="AI24" s="356"/>
      <c r="AJ24" s="356"/>
      <c r="AK24" s="356"/>
      <c r="AL24" s="357"/>
      <c r="AM24" s="17"/>
      <c r="AN24" s="17"/>
      <c r="AO24" s="17" t="s">
        <v>44</v>
      </c>
      <c r="AP24" s="17"/>
      <c r="AQ24" s="17"/>
      <c r="AV24" s="17"/>
      <c r="AW24" s="17"/>
      <c r="AX24" s="17"/>
      <c r="AY24" s="20"/>
      <c r="AZ24" s="20"/>
      <c r="BA24" s="20"/>
      <c r="BB24" s="20"/>
      <c r="BC24" s="20"/>
      <c r="BD24" s="17"/>
      <c r="BE24" s="17"/>
      <c r="BF24" s="17"/>
      <c r="BG24" s="17"/>
      <c r="BH24" s="17"/>
      <c r="BI24" s="17" t="s">
        <v>45</v>
      </c>
      <c r="BJ24" s="18"/>
    </row>
    <row r="25" spans="1:62" s="10" customFormat="1" ht="20.25" customHeight="1">
      <c r="A25" s="349" t="s">
        <v>46</v>
      </c>
      <c r="B25" s="350"/>
      <c r="C25" s="350"/>
      <c r="D25" s="350"/>
      <c r="E25" s="350"/>
      <c r="F25" s="351"/>
      <c r="G25" s="11"/>
      <c r="H25" s="358" t="s">
        <v>39</v>
      </c>
      <c r="I25" s="358"/>
      <c r="J25" s="22" t="s">
        <v>47</v>
      </c>
      <c r="K25" s="22"/>
      <c r="L25" s="22"/>
      <c r="M25" s="22"/>
      <c r="N25" s="22"/>
      <c r="O25" s="22"/>
      <c r="P25" s="22"/>
      <c r="Q25" s="22"/>
      <c r="R25" s="22"/>
      <c r="S25" s="22"/>
      <c r="T25" s="22"/>
      <c r="U25" s="22"/>
      <c r="V25" s="22"/>
      <c r="W25" s="22"/>
      <c r="X25" s="22"/>
      <c r="Y25" s="22"/>
      <c r="Z25" s="22"/>
      <c r="AA25" s="22"/>
      <c r="AB25" s="22"/>
      <c r="AC25" s="22"/>
      <c r="AD25" s="23"/>
      <c r="AE25" s="349" t="s">
        <v>48</v>
      </c>
      <c r="AF25" s="350"/>
      <c r="AG25" s="350"/>
      <c r="AH25" s="350"/>
      <c r="AI25" s="350"/>
      <c r="AJ25" s="350"/>
      <c r="AK25" s="350"/>
      <c r="AL25" s="351"/>
      <c r="AM25" s="350" t="s">
        <v>49</v>
      </c>
      <c r="AN25" s="350"/>
      <c r="AO25" s="350"/>
      <c r="AP25" s="350"/>
      <c r="AQ25" s="350"/>
      <c r="AR25" s="350"/>
      <c r="AS25" s="350"/>
      <c r="AT25" s="350"/>
      <c r="AU25" s="350"/>
      <c r="AV25" s="351"/>
      <c r="AW25" s="374" t="s">
        <v>50</v>
      </c>
      <c r="AX25" s="377"/>
      <c r="AY25" s="377"/>
      <c r="AZ25" s="377"/>
      <c r="BA25" s="377"/>
      <c r="BB25" s="378"/>
      <c r="BC25" s="349" t="s">
        <v>51</v>
      </c>
      <c r="BD25" s="350"/>
      <c r="BE25" s="350"/>
      <c r="BF25" s="350"/>
      <c r="BG25" s="349"/>
      <c r="BH25" s="350"/>
      <c r="BI25" s="350"/>
      <c r="BJ25" s="351"/>
    </row>
    <row r="26" spans="1:62" s="10" customFormat="1" ht="20.25" customHeight="1">
      <c r="A26" s="352"/>
      <c r="B26" s="353"/>
      <c r="C26" s="353"/>
      <c r="D26" s="353"/>
      <c r="E26" s="353"/>
      <c r="F26" s="354"/>
      <c r="G26" s="14"/>
      <c r="H26" s="368" t="s">
        <v>36</v>
      </c>
      <c r="I26" s="368"/>
      <c r="J26" s="9" t="s">
        <v>52</v>
      </c>
      <c r="K26" s="9"/>
      <c r="L26" s="9"/>
      <c r="M26" s="9"/>
      <c r="N26" s="9"/>
      <c r="O26" s="9" t="s">
        <v>44</v>
      </c>
      <c r="P26" s="9"/>
      <c r="Q26" s="9"/>
      <c r="R26" s="9" t="s">
        <v>53</v>
      </c>
      <c r="S26" s="9"/>
      <c r="T26" s="9"/>
      <c r="U26" s="9"/>
      <c r="V26" s="9"/>
      <c r="W26" s="9"/>
      <c r="X26" s="9"/>
      <c r="Y26" s="9"/>
      <c r="Z26" s="9"/>
      <c r="AA26" s="9"/>
      <c r="AB26" s="9"/>
      <c r="AC26" s="24" t="s">
        <v>54</v>
      </c>
      <c r="AD26" s="25" t="s">
        <v>45</v>
      </c>
      <c r="AE26" s="355"/>
      <c r="AF26" s="356"/>
      <c r="AG26" s="356"/>
      <c r="AH26" s="356"/>
      <c r="AI26" s="356"/>
      <c r="AJ26" s="356"/>
      <c r="AK26" s="356"/>
      <c r="AL26" s="357"/>
      <c r="AM26" s="356"/>
      <c r="AN26" s="356"/>
      <c r="AO26" s="356"/>
      <c r="AP26" s="356"/>
      <c r="AQ26" s="356"/>
      <c r="AR26" s="356"/>
      <c r="AS26" s="356"/>
      <c r="AT26" s="356"/>
      <c r="AU26" s="356"/>
      <c r="AV26" s="357"/>
      <c r="AW26" s="379"/>
      <c r="AX26" s="380"/>
      <c r="AY26" s="380"/>
      <c r="AZ26" s="380"/>
      <c r="BA26" s="380"/>
      <c r="BB26" s="381"/>
      <c r="BC26" s="355"/>
      <c r="BD26" s="356"/>
      <c r="BE26" s="356"/>
      <c r="BF26" s="356"/>
      <c r="BG26" s="355"/>
      <c r="BH26" s="356"/>
      <c r="BI26" s="356"/>
      <c r="BJ26" s="357"/>
    </row>
    <row r="27" spans="1:62" s="10" customFormat="1" ht="20.25" customHeight="1">
      <c r="A27" s="352"/>
      <c r="B27" s="353"/>
      <c r="C27" s="353"/>
      <c r="D27" s="353"/>
      <c r="E27" s="353"/>
      <c r="F27" s="354"/>
      <c r="G27" s="14"/>
      <c r="H27" s="368" t="s">
        <v>36</v>
      </c>
      <c r="I27" s="368"/>
      <c r="J27" s="9" t="s">
        <v>55</v>
      </c>
      <c r="K27" s="9"/>
      <c r="L27" s="9"/>
      <c r="M27" s="9"/>
      <c r="N27" s="9"/>
      <c r="O27" s="9" t="s">
        <v>44</v>
      </c>
      <c r="P27" s="9"/>
      <c r="Q27" s="9"/>
      <c r="R27" s="9"/>
      <c r="S27" s="9"/>
      <c r="T27" s="9"/>
      <c r="U27" s="9"/>
      <c r="V27" s="9"/>
      <c r="W27" s="9"/>
      <c r="X27" s="9"/>
      <c r="Y27" s="9"/>
      <c r="Z27" s="9"/>
      <c r="AA27" s="9"/>
      <c r="AB27" s="9"/>
      <c r="AC27" s="9"/>
      <c r="AD27" s="19" t="s">
        <v>45</v>
      </c>
      <c r="AE27" s="374" t="s">
        <v>56</v>
      </c>
      <c r="AF27" s="377"/>
      <c r="AG27" s="377"/>
      <c r="AH27" s="377"/>
      <c r="AI27" s="377"/>
      <c r="AJ27" s="377"/>
      <c r="AK27" s="377"/>
      <c r="AL27" s="378"/>
      <c r="AM27" s="350"/>
      <c r="AN27" s="350"/>
      <c r="AO27" s="350"/>
      <c r="AP27" s="350"/>
      <c r="AQ27" s="350"/>
      <c r="AR27" s="350"/>
      <c r="AS27" s="350"/>
      <c r="AT27" s="350"/>
      <c r="AU27" s="350"/>
      <c r="AV27" s="351"/>
      <c r="AW27" s="379"/>
      <c r="AX27" s="380"/>
      <c r="AY27" s="380"/>
      <c r="AZ27" s="380"/>
      <c r="BA27" s="380"/>
      <c r="BB27" s="381"/>
      <c r="BC27" s="349" t="s">
        <v>57</v>
      </c>
      <c r="BD27" s="350"/>
      <c r="BE27" s="350"/>
      <c r="BF27" s="350"/>
      <c r="BG27" s="349"/>
      <c r="BH27" s="350"/>
      <c r="BI27" s="350"/>
      <c r="BJ27" s="351"/>
    </row>
    <row r="28" spans="1:62" s="10" customFormat="1" ht="20.25" customHeight="1">
      <c r="A28" s="355"/>
      <c r="B28" s="356"/>
      <c r="C28" s="356"/>
      <c r="D28" s="356"/>
      <c r="E28" s="356"/>
      <c r="F28" s="357"/>
      <c r="G28" s="16"/>
      <c r="H28" s="370" t="s">
        <v>36</v>
      </c>
      <c r="I28" s="370"/>
      <c r="J28" s="20" t="s">
        <v>43</v>
      </c>
      <c r="K28" s="20"/>
      <c r="L28" s="20"/>
      <c r="M28" s="20"/>
      <c r="N28" s="20"/>
      <c r="O28" s="20" t="s">
        <v>58</v>
      </c>
      <c r="P28" s="20"/>
      <c r="Q28" s="20"/>
      <c r="R28" s="20"/>
      <c r="S28" s="20"/>
      <c r="T28" s="20"/>
      <c r="U28" s="20"/>
      <c r="V28" s="20"/>
      <c r="W28" s="20"/>
      <c r="X28" s="20"/>
      <c r="Y28" s="20"/>
      <c r="Z28" s="20"/>
      <c r="AA28" s="20"/>
      <c r="AB28" s="20"/>
      <c r="AC28" s="20"/>
      <c r="AD28" s="21" t="s">
        <v>45</v>
      </c>
      <c r="AE28" s="382"/>
      <c r="AF28" s="383"/>
      <c r="AG28" s="383"/>
      <c r="AH28" s="383"/>
      <c r="AI28" s="383"/>
      <c r="AJ28" s="383"/>
      <c r="AK28" s="383"/>
      <c r="AL28" s="384"/>
      <c r="AM28" s="356"/>
      <c r="AN28" s="356"/>
      <c r="AO28" s="356"/>
      <c r="AP28" s="356"/>
      <c r="AQ28" s="356"/>
      <c r="AR28" s="356"/>
      <c r="AS28" s="356"/>
      <c r="AT28" s="356"/>
      <c r="AU28" s="356"/>
      <c r="AV28" s="357"/>
      <c r="AW28" s="382"/>
      <c r="AX28" s="383"/>
      <c r="AY28" s="383"/>
      <c r="AZ28" s="383"/>
      <c r="BA28" s="383"/>
      <c r="BB28" s="384"/>
      <c r="BC28" s="355"/>
      <c r="BD28" s="356"/>
      <c r="BE28" s="356"/>
      <c r="BF28" s="356"/>
      <c r="BG28" s="355"/>
      <c r="BH28" s="356"/>
      <c r="BI28" s="356"/>
      <c r="BJ28" s="357"/>
    </row>
    <row r="29" spans="1:62" s="10" customFormat="1" ht="20.25" customHeight="1">
      <c r="A29" s="349" t="s">
        <v>59</v>
      </c>
      <c r="B29" s="350"/>
      <c r="C29" s="350"/>
      <c r="D29" s="350"/>
      <c r="E29" s="350"/>
      <c r="F29" s="351"/>
      <c r="G29" s="11"/>
      <c r="H29" s="358"/>
      <c r="I29" s="358"/>
      <c r="J29" s="22"/>
      <c r="K29" s="22"/>
      <c r="L29" s="22"/>
      <c r="M29" s="22"/>
      <c r="N29" s="22"/>
      <c r="O29" s="22"/>
      <c r="P29" s="22"/>
      <c r="Q29" s="22"/>
      <c r="R29" s="22"/>
      <c r="S29" s="22"/>
      <c r="T29" s="22"/>
      <c r="U29" s="22"/>
      <c r="V29" s="22"/>
      <c r="W29" s="22"/>
      <c r="X29" s="22"/>
      <c r="Y29" s="22"/>
      <c r="Z29" s="22"/>
      <c r="AA29" s="22"/>
      <c r="AB29" s="22"/>
      <c r="AC29" s="22"/>
      <c r="AD29" s="23"/>
      <c r="AE29" s="359" t="s">
        <v>60</v>
      </c>
      <c r="AF29" s="360"/>
      <c r="AG29" s="360"/>
      <c r="AH29" s="360"/>
      <c r="AI29" s="360"/>
      <c r="AJ29" s="360"/>
      <c r="AK29" s="360"/>
      <c r="AL29" s="361"/>
      <c r="AM29" s="368" t="s">
        <v>39</v>
      </c>
      <c r="AN29" s="368"/>
      <c r="AO29" s="12" t="s">
        <v>61</v>
      </c>
      <c r="AP29" s="12"/>
      <c r="AQ29" s="12"/>
      <c r="AR29" s="12"/>
      <c r="AS29" s="22" t="s">
        <v>62</v>
      </c>
      <c r="AT29" s="22"/>
      <c r="AU29" s="42"/>
      <c r="AV29" s="12"/>
      <c r="AW29" s="22"/>
      <c r="AX29" s="22"/>
      <c r="AY29" s="42"/>
      <c r="AZ29" s="42"/>
      <c r="BA29" s="42"/>
      <c r="BB29" s="42"/>
      <c r="BC29" s="42"/>
      <c r="BD29" s="22"/>
      <c r="BE29" s="22"/>
      <c r="BF29" s="22"/>
      <c r="BG29" s="22"/>
      <c r="BH29" s="22"/>
      <c r="BI29" s="22"/>
      <c r="BJ29" s="23"/>
    </row>
    <row r="30" spans="1:62" s="10" customFormat="1" ht="20.25" customHeight="1">
      <c r="A30" s="352"/>
      <c r="B30" s="353"/>
      <c r="C30" s="353"/>
      <c r="D30" s="353"/>
      <c r="E30" s="353"/>
      <c r="F30" s="354"/>
      <c r="G30" s="14"/>
      <c r="H30" s="368">
        <v>132</v>
      </c>
      <c r="I30" s="368"/>
      <c r="J30" s="9"/>
      <c r="K30" s="9"/>
      <c r="L30" s="9"/>
      <c r="M30" s="9"/>
      <c r="N30" s="9"/>
      <c r="O30" s="9"/>
      <c r="P30" s="9" t="s">
        <v>63</v>
      </c>
      <c r="Q30" s="9"/>
      <c r="R30" s="9"/>
      <c r="S30" s="9"/>
      <c r="T30" s="9"/>
      <c r="U30" s="9"/>
      <c r="V30" s="9"/>
      <c r="X30" s="9"/>
      <c r="Y30" s="9"/>
      <c r="Z30" s="9"/>
      <c r="AA30" s="9"/>
      <c r="AB30" s="9"/>
      <c r="AC30" s="24"/>
      <c r="AD30" s="25"/>
      <c r="AE30" s="362"/>
      <c r="AF30" s="363"/>
      <c r="AG30" s="363"/>
      <c r="AH30" s="363"/>
      <c r="AI30" s="363"/>
      <c r="AJ30" s="363"/>
      <c r="AK30" s="363"/>
      <c r="AL30" s="364"/>
      <c r="AM30" s="368" t="s">
        <v>39</v>
      </c>
      <c r="AN30" s="368"/>
      <c r="AO30" s="10" t="s">
        <v>64</v>
      </c>
      <c r="AS30" s="9"/>
      <c r="AT30" s="9"/>
      <c r="AU30" s="43"/>
      <c r="AW30" s="9"/>
      <c r="AX30" s="9"/>
      <c r="AY30" s="43"/>
      <c r="AZ30" s="43"/>
      <c r="BA30" s="43"/>
      <c r="BB30" s="43"/>
      <c r="BC30" s="43"/>
      <c r="BD30" s="9"/>
      <c r="BE30" s="9"/>
      <c r="BF30" s="9"/>
      <c r="BG30" s="9"/>
      <c r="BH30" s="9"/>
      <c r="BI30" s="9"/>
      <c r="BJ30" s="19"/>
    </row>
    <row r="31" spans="1:62" s="10" customFormat="1" ht="20.25" customHeight="1">
      <c r="A31" s="352"/>
      <c r="B31" s="353"/>
      <c r="C31" s="353"/>
      <c r="D31" s="353"/>
      <c r="E31" s="353"/>
      <c r="F31" s="354"/>
      <c r="G31" s="14"/>
      <c r="H31" s="368">
        <v>66</v>
      </c>
      <c r="I31" s="368"/>
      <c r="J31" s="9"/>
      <c r="K31" s="9"/>
      <c r="L31" s="9"/>
      <c r="M31" s="9"/>
      <c r="N31" s="9"/>
      <c r="O31" s="9"/>
      <c r="P31" s="9" t="s">
        <v>65</v>
      </c>
      <c r="Q31" s="9"/>
      <c r="R31" s="9"/>
      <c r="S31" s="9"/>
      <c r="T31" s="9"/>
      <c r="U31" s="9"/>
      <c r="V31" s="9"/>
      <c r="W31" s="9"/>
      <c r="X31" s="9"/>
      <c r="Y31" s="9"/>
      <c r="Z31" s="9"/>
      <c r="AA31" s="9"/>
      <c r="AB31" s="9"/>
      <c r="AC31" s="9"/>
      <c r="AD31" s="19"/>
      <c r="AE31" s="362"/>
      <c r="AF31" s="363"/>
      <c r="AG31" s="363"/>
      <c r="AH31" s="363"/>
      <c r="AI31" s="363"/>
      <c r="AJ31" s="363"/>
      <c r="AK31" s="363"/>
      <c r="AL31" s="364"/>
      <c r="AM31" s="368" t="s">
        <v>36</v>
      </c>
      <c r="AN31" s="368"/>
      <c r="AO31" s="10" t="s">
        <v>43</v>
      </c>
      <c r="AS31" s="10" t="s">
        <v>44</v>
      </c>
      <c r="AU31" s="43"/>
      <c r="AY31" s="43"/>
      <c r="AZ31" s="43"/>
      <c r="BA31" s="43"/>
      <c r="BB31" s="43"/>
      <c r="BC31" s="43"/>
      <c r="BI31" s="10" t="s">
        <v>45</v>
      </c>
      <c r="BJ31" s="15"/>
    </row>
    <row r="32" spans="1:62" s="10" customFormat="1" ht="20.25" customHeight="1">
      <c r="A32" s="355"/>
      <c r="B32" s="356"/>
      <c r="C32" s="356"/>
      <c r="D32" s="356"/>
      <c r="E32" s="356"/>
      <c r="F32" s="357"/>
      <c r="G32" s="16"/>
      <c r="H32" s="17"/>
      <c r="I32" s="17"/>
      <c r="J32" s="20"/>
      <c r="K32" s="20"/>
      <c r="L32" s="20"/>
      <c r="M32" s="20"/>
      <c r="N32" s="20"/>
      <c r="O32" s="20"/>
      <c r="P32" s="20"/>
      <c r="Q32" s="20"/>
      <c r="R32" s="20"/>
      <c r="S32" s="20"/>
      <c r="T32" s="20"/>
      <c r="U32" s="20"/>
      <c r="V32" s="20"/>
      <c r="W32" s="20"/>
      <c r="X32" s="20"/>
      <c r="Y32" s="20"/>
      <c r="Z32" s="20"/>
      <c r="AA32" s="20"/>
      <c r="AB32" s="20"/>
      <c r="AC32" s="20"/>
      <c r="AD32" s="21"/>
      <c r="AE32" s="365"/>
      <c r="AF32" s="366"/>
      <c r="AG32" s="366"/>
      <c r="AH32" s="366"/>
      <c r="AI32" s="366"/>
      <c r="AJ32" s="366"/>
      <c r="AK32" s="366"/>
      <c r="AL32" s="367"/>
      <c r="AM32" s="369"/>
      <c r="AN32" s="370"/>
      <c r="AO32" s="17"/>
      <c r="AP32" s="17"/>
      <c r="AQ32" s="17"/>
      <c r="AR32" s="17"/>
      <c r="AS32" s="17"/>
      <c r="AT32" s="17"/>
      <c r="AU32" s="44"/>
      <c r="AV32" s="17"/>
      <c r="AW32" s="17"/>
      <c r="AX32" s="17"/>
      <c r="AY32" s="44"/>
      <c r="AZ32" s="44"/>
      <c r="BA32" s="44"/>
      <c r="BB32" s="44"/>
      <c r="BC32" s="44"/>
      <c r="BD32" s="17"/>
      <c r="BE32" s="17"/>
      <c r="BF32" s="17"/>
      <c r="BG32" s="17"/>
      <c r="BH32" s="17"/>
      <c r="BI32" s="17"/>
      <c r="BJ32" s="18"/>
    </row>
    <row r="33" spans="1:62" s="10" customFormat="1" ht="7.5" customHeight="1"/>
    <row r="34" spans="1:62" s="9" customFormat="1" ht="20.25" customHeight="1">
      <c r="A34" s="374" t="s">
        <v>66</v>
      </c>
      <c r="B34" s="377"/>
      <c r="C34" s="377"/>
      <c r="D34" s="377"/>
      <c r="E34" s="377"/>
      <c r="F34" s="378"/>
      <c r="G34" s="26"/>
      <c r="H34" s="22" t="s">
        <v>36</v>
      </c>
      <c r="I34" s="22"/>
      <c r="J34" s="22" t="s">
        <v>67</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6"/>
      <c r="AK34" s="22" t="s">
        <v>39</v>
      </c>
      <c r="AL34" s="22"/>
      <c r="AM34" s="22" t="s">
        <v>68</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379"/>
      <c r="B35" s="380"/>
      <c r="C35" s="380"/>
      <c r="D35" s="380"/>
      <c r="E35" s="380"/>
      <c r="F35" s="381"/>
      <c r="G35" s="26"/>
      <c r="H35" s="22" t="s">
        <v>36</v>
      </c>
      <c r="I35" s="22"/>
      <c r="J35" s="22" t="s">
        <v>69</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379"/>
      <c r="B36" s="380"/>
      <c r="C36" s="380"/>
      <c r="D36" s="380"/>
      <c r="E36" s="380"/>
      <c r="F36" s="381"/>
      <c r="G36" s="27"/>
      <c r="J36" s="83"/>
      <c r="BJ36" s="19"/>
    </row>
    <row r="37" spans="1:62" s="9" customFormat="1" ht="20.25" customHeight="1">
      <c r="A37" s="382"/>
      <c r="B37" s="383"/>
      <c r="C37" s="383"/>
      <c r="D37" s="383"/>
      <c r="E37" s="383"/>
      <c r="F37" s="384"/>
      <c r="G37" s="28"/>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349" t="s">
        <v>70</v>
      </c>
      <c r="B38" s="350"/>
      <c r="C38" s="350"/>
      <c r="D38" s="350"/>
      <c r="E38" s="350"/>
      <c r="F38" s="351"/>
      <c r="G38" s="11" t="s">
        <v>181</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352"/>
      <c r="B39" s="353"/>
      <c r="C39" s="353"/>
      <c r="D39" s="353"/>
      <c r="E39" s="353"/>
      <c r="F39" s="354"/>
      <c r="G39" s="14" t="s">
        <v>212</v>
      </c>
      <c r="BJ39" s="15"/>
    </row>
    <row r="40" spans="1:62" s="10" customFormat="1" ht="20.25" customHeight="1">
      <c r="A40" s="355"/>
      <c r="B40" s="356"/>
      <c r="C40" s="356"/>
      <c r="D40" s="356"/>
      <c r="E40" s="356"/>
      <c r="F40" s="357"/>
      <c r="G40" s="16" t="s">
        <v>182</v>
      </c>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394" t="s">
        <v>71</v>
      </c>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c r="Z42" s="239"/>
      <c r="AA42" s="239"/>
      <c r="AB42" s="239"/>
      <c r="AC42" s="239"/>
      <c r="AD42" s="239"/>
      <c r="AE42" s="239"/>
      <c r="AF42" s="239"/>
      <c r="AG42" s="239"/>
      <c r="AH42" s="239"/>
      <c r="AI42" s="239"/>
      <c r="AJ42" s="239"/>
      <c r="AK42" s="239"/>
      <c r="AL42" s="239"/>
      <c r="AM42" s="239"/>
      <c r="AN42" s="239"/>
      <c r="AO42" s="239"/>
      <c r="AP42" s="239"/>
      <c r="AQ42" s="239"/>
      <c r="AR42" s="239"/>
      <c r="AS42" s="239"/>
      <c r="AT42" s="239"/>
      <c r="AU42" s="239"/>
      <c r="AV42" s="239"/>
      <c r="AW42" s="239"/>
      <c r="AX42" s="239"/>
      <c r="AY42" s="239"/>
      <c r="AZ42" s="239"/>
      <c r="BA42" s="239"/>
      <c r="BB42" s="239"/>
      <c r="BC42" s="239"/>
      <c r="BD42" s="239"/>
      <c r="BE42" s="239"/>
      <c r="BF42" s="239"/>
      <c r="BG42" s="239"/>
      <c r="BH42" s="239"/>
      <c r="BI42" s="239"/>
      <c r="BJ42" s="239"/>
    </row>
    <row r="43" spans="1:62" s="10" customFormat="1" ht="20.25" customHeight="1">
      <c r="A43" s="239"/>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c r="AF43" s="239"/>
      <c r="AG43" s="239"/>
      <c r="AH43" s="239"/>
      <c r="AI43" s="239"/>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5"/>
    </row>
    <row r="44" spans="1:62" s="9" customFormat="1" ht="20.25" customHeight="1">
      <c r="A44" s="374" t="s">
        <v>72</v>
      </c>
      <c r="B44" s="350"/>
      <c r="C44" s="350"/>
      <c r="D44" s="350"/>
      <c r="E44" s="350"/>
      <c r="F44" s="351"/>
      <c r="G44" s="29" t="s">
        <v>73</v>
      </c>
      <c r="H44" s="22"/>
      <c r="I44" s="9" t="s">
        <v>109</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30" t="s">
        <v>74</v>
      </c>
      <c r="AI44" s="22"/>
      <c r="AJ44" s="29" t="s">
        <v>75</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30" t="s">
        <v>74</v>
      </c>
      <c r="BJ44" s="23"/>
    </row>
    <row r="45" spans="1:62" s="9" customFormat="1" ht="20.25" customHeight="1">
      <c r="A45" s="352"/>
      <c r="B45" s="353"/>
      <c r="C45" s="353"/>
      <c r="D45" s="353"/>
      <c r="E45" s="353"/>
      <c r="F45" s="354"/>
      <c r="G45" s="31" t="s">
        <v>76</v>
      </c>
      <c r="I45" s="9" t="s">
        <v>110</v>
      </c>
      <c r="AH45" s="24" t="s">
        <v>77</v>
      </c>
      <c r="AJ45" s="31" t="s">
        <v>78</v>
      </c>
      <c r="BI45" s="24" t="s">
        <v>77</v>
      </c>
      <c r="BJ45" s="19"/>
    </row>
    <row r="46" spans="1:62" s="9" customFormat="1" ht="20.25" customHeight="1">
      <c r="A46" s="352"/>
      <c r="B46" s="353"/>
      <c r="C46" s="353"/>
      <c r="D46" s="353"/>
      <c r="E46" s="353"/>
      <c r="F46" s="354"/>
      <c r="G46" s="31" t="s">
        <v>79</v>
      </c>
      <c r="I46" s="9" t="s">
        <v>205</v>
      </c>
      <c r="AH46" s="24" t="s">
        <v>77</v>
      </c>
      <c r="AJ46" s="31" t="s">
        <v>80</v>
      </c>
      <c r="BI46" s="24" t="s">
        <v>77</v>
      </c>
      <c r="BJ46" s="19"/>
    </row>
    <row r="47" spans="1:62" s="9" customFormat="1" ht="20.25" customHeight="1">
      <c r="A47" s="352"/>
      <c r="B47" s="353"/>
      <c r="C47" s="353"/>
      <c r="D47" s="353"/>
      <c r="E47" s="353"/>
      <c r="F47" s="354"/>
      <c r="G47" s="31" t="s">
        <v>81</v>
      </c>
      <c r="I47" s="9" t="s">
        <v>213</v>
      </c>
      <c r="AH47" s="24" t="s">
        <v>77</v>
      </c>
      <c r="AJ47" s="31" t="s">
        <v>82</v>
      </c>
      <c r="BI47" s="24" t="s">
        <v>77</v>
      </c>
      <c r="BJ47" s="19"/>
    </row>
    <row r="48" spans="1:62" s="9" customFormat="1" ht="20.25" customHeight="1">
      <c r="A48" s="352"/>
      <c r="B48" s="353"/>
      <c r="C48" s="353"/>
      <c r="D48" s="353"/>
      <c r="E48" s="353"/>
      <c r="F48" s="354"/>
      <c r="G48" s="31" t="s">
        <v>83</v>
      </c>
      <c r="I48" s="9" t="s">
        <v>203</v>
      </c>
      <c r="AH48" s="24" t="s">
        <v>77</v>
      </c>
      <c r="AJ48" s="31" t="s">
        <v>84</v>
      </c>
      <c r="BI48" s="24" t="s">
        <v>77</v>
      </c>
      <c r="BJ48" s="19"/>
    </row>
    <row r="49" spans="1:62" s="9" customFormat="1" ht="20.25" customHeight="1">
      <c r="A49" s="352"/>
      <c r="B49" s="353"/>
      <c r="C49" s="353"/>
      <c r="D49" s="353"/>
      <c r="E49" s="353"/>
      <c r="F49" s="354"/>
      <c r="G49" s="31" t="s">
        <v>85</v>
      </c>
      <c r="AH49" s="24" t="s">
        <v>77</v>
      </c>
      <c r="AJ49" s="31" t="s">
        <v>86</v>
      </c>
      <c r="BI49" s="24" t="s">
        <v>77</v>
      </c>
      <c r="BJ49" s="19"/>
    </row>
    <row r="50" spans="1:62" s="9" customFormat="1" ht="20.25" customHeight="1">
      <c r="A50" s="352"/>
      <c r="B50" s="353"/>
      <c r="C50" s="353"/>
      <c r="D50" s="353"/>
      <c r="E50" s="353"/>
      <c r="F50" s="354"/>
      <c r="G50" s="31" t="s">
        <v>87</v>
      </c>
      <c r="AH50" s="24" t="s">
        <v>77</v>
      </c>
      <c r="AJ50" s="31" t="s">
        <v>88</v>
      </c>
      <c r="BI50" s="24" t="s">
        <v>77</v>
      </c>
      <c r="BJ50" s="19"/>
    </row>
    <row r="51" spans="1:62" s="9" customFormat="1" ht="20.25" customHeight="1">
      <c r="A51" s="352"/>
      <c r="B51" s="353"/>
      <c r="C51" s="353"/>
      <c r="D51" s="353"/>
      <c r="E51" s="353"/>
      <c r="F51" s="354"/>
      <c r="G51" s="31" t="s">
        <v>89</v>
      </c>
      <c r="AH51" s="24" t="s">
        <v>77</v>
      </c>
      <c r="AJ51" s="31" t="s">
        <v>90</v>
      </c>
      <c r="BI51" s="24" t="s">
        <v>77</v>
      </c>
      <c r="BJ51" s="19"/>
    </row>
    <row r="52" spans="1:62" s="9" customFormat="1" ht="20.25" customHeight="1">
      <c r="A52" s="355"/>
      <c r="B52" s="356"/>
      <c r="C52" s="356"/>
      <c r="D52" s="356"/>
      <c r="E52" s="356"/>
      <c r="F52" s="357"/>
      <c r="G52" s="32" t="s">
        <v>91</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3" t="s">
        <v>77</v>
      </c>
      <c r="AI52" s="20"/>
      <c r="AJ52" s="32" t="s">
        <v>92</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3" t="s">
        <v>77</v>
      </c>
      <c r="BJ52" s="21"/>
    </row>
    <row r="53" spans="1:62" s="10" customFormat="1" ht="3" customHeight="1"/>
    <row r="54" spans="1:62" s="10" customFormat="1" ht="20.25" customHeight="1">
      <c r="A54" s="385" t="s">
        <v>93</v>
      </c>
      <c r="B54" s="386"/>
      <c r="C54" s="386"/>
      <c r="D54" s="386"/>
      <c r="E54" s="386"/>
      <c r="F54" s="387"/>
      <c r="G54" s="12" t="s">
        <v>206</v>
      </c>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388"/>
      <c r="B55" s="389"/>
      <c r="C55" s="389"/>
      <c r="D55" s="389"/>
      <c r="E55" s="389"/>
      <c r="F55" s="390"/>
      <c r="G55" s="14" t="s">
        <v>209</v>
      </c>
      <c r="BJ55" s="15"/>
    </row>
    <row r="56" spans="1:62" s="10" customFormat="1" ht="20.25" customHeight="1">
      <c r="A56" s="388"/>
      <c r="B56" s="389"/>
      <c r="C56" s="389"/>
      <c r="D56" s="389"/>
      <c r="E56" s="389"/>
      <c r="F56" s="390"/>
      <c r="G56" s="14" t="s">
        <v>123</v>
      </c>
      <c r="BJ56" s="15"/>
    </row>
    <row r="57" spans="1:62" s="10" customFormat="1" ht="20.25" customHeight="1">
      <c r="A57" s="388"/>
      <c r="B57" s="389"/>
      <c r="C57" s="389"/>
      <c r="D57" s="389"/>
      <c r="E57" s="389"/>
      <c r="F57" s="390"/>
      <c r="G57" s="14" t="s">
        <v>124</v>
      </c>
      <c r="BJ57" s="15"/>
    </row>
    <row r="58" spans="1:62" s="10" customFormat="1" ht="20.25" customHeight="1">
      <c r="A58" s="388"/>
      <c r="B58" s="389"/>
      <c r="C58" s="389"/>
      <c r="D58" s="389"/>
      <c r="E58" s="389"/>
      <c r="F58" s="390"/>
      <c r="G58" s="14" t="s">
        <v>125</v>
      </c>
      <c r="BJ58" s="15"/>
    </row>
    <row r="59" spans="1:62" s="10" customFormat="1" ht="20.25" customHeight="1">
      <c r="A59" s="388"/>
      <c r="B59" s="389"/>
      <c r="C59" s="389"/>
      <c r="D59" s="389"/>
      <c r="E59" s="389"/>
      <c r="F59" s="390"/>
      <c r="G59" s="14" t="s">
        <v>126</v>
      </c>
      <c r="BJ59" s="15"/>
    </row>
    <row r="60" spans="1:62" s="10" customFormat="1" ht="20.25" customHeight="1">
      <c r="A60" s="388"/>
      <c r="B60" s="389"/>
      <c r="C60" s="389"/>
      <c r="D60" s="389"/>
      <c r="E60" s="389"/>
      <c r="F60" s="390"/>
      <c r="G60" s="14" t="s">
        <v>127</v>
      </c>
      <c r="BJ60" s="15"/>
    </row>
    <row r="61" spans="1:62" s="10" customFormat="1" ht="20.25" customHeight="1">
      <c r="A61" s="388"/>
      <c r="B61" s="389"/>
      <c r="C61" s="389"/>
      <c r="D61" s="389"/>
      <c r="E61" s="389"/>
      <c r="F61" s="390"/>
      <c r="G61" s="14" t="s">
        <v>207</v>
      </c>
      <c r="BJ61" s="15"/>
    </row>
    <row r="62" spans="1:62" s="10" customFormat="1" ht="20.25" customHeight="1">
      <c r="A62" s="388"/>
      <c r="B62" s="389"/>
      <c r="C62" s="389"/>
      <c r="D62" s="389"/>
      <c r="E62" s="389"/>
      <c r="F62" s="390"/>
      <c r="G62" s="14" t="s">
        <v>210</v>
      </c>
      <c r="BJ62" s="15"/>
    </row>
    <row r="63" spans="1:62" s="10" customFormat="1" ht="20.25" customHeight="1">
      <c r="A63" s="388"/>
      <c r="B63" s="389"/>
      <c r="C63" s="389"/>
      <c r="D63" s="389"/>
      <c r="E63" s="389"/>
      <c r="F63" s="390"/>
      <c r="G63" s="14" t="s">
        <v>128</v>
      </c>
      <c r="BJ63" s="15"/>
    </row>
    <row r="64" spans="1:62" s="10" customFormat="1" ht="20.25" customHeight="1">
      <c r="A64" s="388"/>
      <c r="B64" s="389"/>
      <c r="C64" s="389"/>
      <c r="D64" s="389"/>
      <c r="E64" s="389"/>
      <c r="F64" s="390"/>
      <c r="G64" s="14" t="s">
        <v>129</v>
      </c>
      <c r="BJ64" s="15"/>
    </row>
    <row r="65" spans="1:62" s="10" customFormat="1" ht="20.25" customHeight="1">
      <c r="A65" s="388"/>
      <c r="B65" s="389"/>
      <c r="C65" s="389"/>
      <c r="D65" s="389"/>
      <c r="E65" s="389"/>
      <c r="F65" s="390"/>
      <c r="G65" s="14" t="s">
        <v>130</v>
      </c>
      <c r="BJ65" s="15"/>
    </row>
    <row r="66" spans="1:62" s="10" customFormat="1" ht="20.25" customHeight="1">
      <c r="A66" s="388"/>
      <c r="B66" s="389"/>
      <c r="C66" s="389"/>
      <c r="D66" s="389"/>
      <c r="E66" s="389"/>
      <c r="F66" s="390"/>
      <c r="G66" s="14" t="s">
        <v>131</v>
      </c>
      <c r="BJ66" s="15"/>
    </row>
    <row r="67" spans="1:62" s="10" customFormat="1" ht="20.25" customHeight="1">
      <c r="A67" s="388"/>
      <c r="B67" s="389"/>
      <c r="C67" s="389"/>
      <c r="D67" s="389"/>
      <c r="E67" s="389"/>
      <c r="F67" s="390"/>
      <c r="G67" s="14" t="s">
        <v>132</v>
      </c>
      <c r="BJ67" s="15"/>
    </row>
    <row r="68" spans="1:62" s="10" customFormat="1" ht="20.25" customHeight="1">
      <c r="A68" s="388"/>
      <c r="B68" s="389"/>
      <c r="C68" s="389"/>
      <c r="D68" s="389"/>
      <c r="E68" s="389"/>
      <c r="F68" s="390"/>
      <c r="G68" s="14" t="s">
        <v>214</v>
      </c>
      <c r="BJ68" s="15"/>
    </row>
    <row r="69" spans="1:62" s="10" customFormat="1" ht="20.25" customHeight="1">
      <c r="A69" s="388"/>
      <c r="B69" s="389"/>
      <c r="C69" s="389"/>
      <c r="D69" s="389"/>
      <c r="E69" s="389"/>
      <c r="F69" s="390"/>
      <c r="G69" s="14" t="s">
        <v>133</v>
      </c>
      <c r="BJ69" s="15"/>
    </row>
    <row r="70" spans="1:62" s="10" customFormat="1" ht="20.25" customHeight="1">
      <c r="A70" s="388"/>
      <c r="B70" s="389"/>
      <c r="C70" s="389"/>
      <c r="D70" s="389"/>
      <c r="E70" s="389"/>
      <c r="F70" s="390"/>
      <c r="BJ70" s="15"/>
    </row>
    <row r="71" spans="1:62" s="10" customFormat="1" ht="20.25" customHeight="1">
      <c r="A71" s="388"/>
      <c r="B71" s="389"/>
      <c r="C71" s="389"/>
      <c r="D71" s="389"/>
      <c r="E71" s="389"/>
      <c r="F71" s="390"/>
      <c r="BJ71" s="15"/>
    </row>
    <row r="72" spans="1:62" s="10" customFormat="1" ht="20.25" customHeight="1">
      <c r="A72" s="388"/>
      <c r="B72" s="389"/>
      <c r="C72" s="389"/>
      <c r="D72" s="389"/>
      <c r="E72" s="389"/>
      <c r="F72" s="390"/>
      <c r="BJ72" s="15"/>
    </row>
    <row r="73" spans="1:62" s="10" customFormat="1" ht="20.25" customHeight="1">
      <c r="A73" s="388"/>
      <c r="B73" s="389"/>
      <c r="C73" s="389"/>
      <c r="D73" s="389"/>
      <c r="E73" s="389"/>
      <c r="F73" s="390"/>
      <c r="BJ73" s="15"/>
    </row>
    <row r="74" spans="1:62" s="10" customFormat="1" ht="20.25" customHeight="1">
      <c r="A74" s="388"/>
      <c r="B74" s="389"/>
      <c r="C74" s="389"/>
      <c r="D74" s="389"/>
      <c r="E74" s="389"/>
      <c r="F74" s="390"/>
      <c r="BJ74" s="15"/>
    </row>
    <row r="75" spans="1:62" s="10" customFormat="1" ht="20.25" customHeight="1">
      <c r="A75" s="391"/>
      <c r="B75" s="392"/>
      <c r="C75" s="392"/>
      <c r="D75" s="392"/>
      <c r="E75" s="392"/>
      <c r="F75" s="393"/>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8"/>
    </row>
    <row r="76" spans="1:62" s="7" customFormat="1" ht="3.75" customHeight="1"/>
    <row r="77" spans="1:62" s="7" customFormat="1" ht="12"/>
    <row r="78" spans="1:62" s="7" customFormat="1" ht="12"/>
    <row r="79" spans="1:62" s="7" customFormat="1" ht="12"/>
    <row r="80" spans="1:62"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row r="91" s="7" customFormat="1" ht="12"/>
    <row r="92" s="7" customFormat="1" ht="12"/>
    <row r="93" s="7" customFormat="1" ht="12"/>
    <row r="94" s="7" customFormat="1" ht="12"/>
    <row r="95" s="7" customFormat="1" ht="12"/>
    <row r="96" s="7" customFormat="1" ht="12"/>
    <row r="97" s="7" customFormat="1" ht="12"/>
    <row r="98" s="7" customFormat="1" ht="12"/>
    <row r="99" s="7" customFormat="1" ht="12"/>
    <row r="100" s="7" customFormat="1" ht="12"/>
    <row r="101" s="7" customFormat="1" ht="12"/>
    <row r="102" s="7" customFormat="1" ht="12"/>
  </sheetData>
  <mergeCells count="60">
    <mergeCell ref="A54:F75"/>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 ref="A29:F32"/>
    <mergeCell ref="H29:I29"/>
    <mergeCell ref="AE29:AL32"/>
    <mergeCell ref="AM29:AN29"/>
    <mergeCell ref="H30:I30"/>
    <mergeCell ref="AM30:AN30"/>
    <mergeCell ref="H31:I31"/>
    <mergeCell ref="AM31:AN31"/>
    <mergeCell ref="AM32:AN32"/>
  </mergeCells>
  <phoneticPr fontId="7"/>
  <pageMargins left="0.78" right="0.28000000000000003" top="0.74803149606299213" bottom="0.43307086614173229" header="0.91" footer="0.19685039370078741"/>
  <pageSetup paperSize="9" scale="70" orientation="portrait" r:id="rId1"/>
  <headerFooter>
    <oddHeader>&amp;R&amp;P　　</oddHeader>
  </headerFooter>
  <rowBreaks count="1" manualBreakCount="1">
    <brk id="53" max="6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pageSetUpPr fitToPage="1"/>
  </sheetPr>
  <dimension ref="A1:BJ149"/>
  <sheetViews>
    <sheetView view="pageBreakPreview" zoomScaleNormal="100" zoomScaleSheetLayoutView="100" workbookViewId="0"/>
  </sheetViews>
  <sheetFormatPr defaultColWidth="2.125" defaultRowHeight="13.5"/>
  <cols>
    <col min="21" max="21" width="2.125" customWidth="1"/>
    <col min="68" max="69" width="3.75" bestFit="1" customWidth="1"/>
    <col min="72" max="73" width="3.5" bestFit="1" customWidth="1"/>
    <col min="75" max="75" width="3.5" bestFit="1" customWidth="1"/>
  </cols>
  <sheetData>
    <row r="1" spans="1:62" s="3" customFormat="1" ht="18" customHeight="1">
      <c r="A1" s="3" t="s">
        <v>14</v>
      </c>
      <c r="BJ1" s="6" t="s">
        <v>1</v>
      </c>
    </row>
    <row r="2" spans="1:62" s="4" customFormat="1" ht="18" customHeight="1">
      <c r="A2" s="233" t="s">
        <v>94</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5"/>
      <c r="AV2" s="227" t="s">
        <v>3</v>
      </c>
      <c r="AW2" s="228"/>
      <c r="AX2" s="228"/>
      <c r="AY2" s="229"/>
      <c r="AZ2" s="227" t="s">
        <v>95</v>
      </c>
      <c r="BA2" s="228"/>
      <c r="BB2" s="228"/>
      <c r="BC2" s="229"/>
      <c r="BD2" s="227" t="s">
        <v>5</v>
      </c>
      <c r="BE2" s="228"/>
      <c r="BF2" s="229"/>
      <c r="BG2" s="227"/>
      <c r="BH2" s="228"/>
      <c r="BI2" s="228"/>
      <c r="BJ2" s="229"/>
    </row>
    <row r="3" spans="1:62" s="3" customFormat="1" ht="18" customHeight="1">
      <c r="A3" s="227" t="s">
        <v>6</v>
      </c>
      <c r="B3" s="228"/>
      <c r="C3" s="228"/>
      <c r="D3" s="228"/>
      <c r="E3" s="228"/>
      <c r="F3" s="228"/>
      <c r="G3" s="229"/>
      <c r="H3" s="230" t="s">
        <v>179</v>
      </c>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2"/>
      <c r="AV3" s="227" t="s">
        <v>7</v>
      </c>
      <c r="AW3" s="228"/>
      <c r="AX3" s="228"/>
      <c r="AY3" s="229"/>
      <c r="AZ3" s="227" t="s">
        <v>180</v>
      </c>
      <c r="BA3" s="228"/>
      <c r="BB3" s="228"/>
      <c r="BC3" s="228"/>
      <c r="BD3" s="228"/>
      <c r="BE3" s="228"/>
      <c r="BF3" s="228"/>
      <c r="BG3" s="228"/>
      <c r="BH3" s="228"/>
      <c r="BI3" s="228"/>
      <c r="BJ3" s="229"/>
    </row>
    <row r="4" spans="1:62" s="3" customFormat="1" ht="18" customHeight="1">
      <c r="A4" s="227" t="s">
        <v>27</v>
      </c>
      <c r="B4" s="228"/>
      <c r="C4" s="228"/>
      <c r="D4" s="228"/>
      <c r="E4" s="228"/>
      <c r="F4" s="228"/>
      <c r="G4" s="229"/>
      <c r="H4" s="230" t="s">
        <v>106</v>
      </c>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2"/>
      <c r="AV4" s="227" t="s">
        <v>9</v>
      </c>
      <c r="AW4" s="228"/>
      <c r="AX4" s="228"/>
      <c r="AY4" s="229"/>
      <c r="AZ4" s="227"/>
      <c r="BA4" s="228"/>
      <c r="BB4" s="228"/>
      <c r="BC4" s="228"/>
      <c r="BD4" s="228"/>
      <c r="BE4" s="228"/>
      <c r="BF4" s="228"/>
      <c r="BG4" s="228"/>
      <c r="BH4" s="228"/>
      <c r="BI4" s="228"/>
      <c r="BJ4" s="229"/>
    </row>
    <row r="5" spans="1:62" s="5" customFormat="1" ht="4.5" customHeight="1"/>
    <row r="6" spans="1:62" s="9" customFormat="1" ht="20.25" customHeight="1">
      <c r="A6" s="239" t="s">
        <v>10</v>
      </c>
      <c r="B6" s="239"/>
      <c r="C6" s="239"/>
      <c r="D6" s="239"/>
      <c r="E6" s="239"/>
      <c r="F6" s="239"/>
      <c r="G6" s="239"/>
      <c r="H6" s="239" t="s">
        <v>120</v>
      </c>
      <c r="I6" s="239"/>
      <c r="J6" s="239"/>
      <c r="K6" s="239"/>
      <c r="L6" s="239"/>
      <c r="M6" s="239"/>
      <c r="N6" s="239"/>
      <c r="O6" s="239"/>
      <c r="P6" s="239" t="s">
        <v>11</v>
      </c>
      <c r="Q6" s="239"/>
      <c r="R6" s="239"/>
      <c r="S6" s="239"/>
      <c r="T6" s="239"/>
      <c r="U6" s="239"/>
      <c r="V6" s="239"/>
      <c r="W6" s="239"/>
      <c r="X6" s="239"/>
      <c r="Y6" s="240" t="s">
        <v>108</v>
      </c>
      <c r="Z6" s="241"/>
      <c r="AA6" s="241"/>
      <c r="AB6" s="241"/>
      <c r="AC6" s="241"/>
      <c r="AD6" s="241"/>
      <c r="AE6" s="241"/>
      <c r="AF6" s="241"/>
      <c r="AG6" s="241"/>
      <c r="AH6" s="241"/>
      <c r="AI6" s="241"/>
      <c r="AJ6" s="241"/>
      <c r="AK6" s="241"/>
      <c r="AL6" s="241"/>
      <c r="AM6" s="241"/>
      <c r="AN6" s="241"/>
      <c r="AO6" s="241"/>
      <c r="AP6" s="241"/>
      <c r="AQ6" s="241"/>
      <c r="AR6" s="241"/>
      <c r="AS6" s="241"/>
      <c r="AT6" s="241"/>
      <c r="AU6" s="242"/>
      <c r="AV6" s="371" t="s">
        <v>28</v>
      </c>
      <c r="AW6" s="372"/>
      <c r="AX6" s="372"/>
      <c r="AY6" s="372"/>
      <c r="AZ6" s="372"/>
      <c r="BA6" s="372"/>
      <c r="BB6" s="372"/>
      <c r="BC6" s="373"/>
      <c r="BD6" s="371" t="s">
        <v>143</v>
      </c>
      <c r="BE6" s="372"/>
      <c r="BF6" s="372"/>
      <c r="BG6" s="372"/>
      <c r="BH6" s="372"/>
      <c r="BI6" s="372"/>
      <c r="BJ6" s="373"/>
    </row>
    <row r="7" spans="1:62" ht="3.75" customHeight="1"/>
    <row r="8" spans="1:62" s="8" customFormat="1" ht="20.25" customHeight="1">
      <c r="A8" s="239" t="s">
        <v>96</v>
      </c>
      <c r="B8" s="239"/>
      <c r="C8" s="239"/>
      <c r="D8" s="239" t="s">
        <v>97</v>
      </c>
      <c r="E8" s="239"/>
      <c r="F8" s="239"/>
      <c r="G8" s="239"/>
      <c r="H8" s="239"/>
      <c r="I8" s="239"/>
      <c r="J8" s="239"/>
      <c r="K8" s="239"/>
      <c r="L8" s="239"/>
      <c r="M8" s="239"/>
      <c r="N8" s="239"/>
      <c r="O8" s="239"/>
      <c r="P8" s="239"/>
      <c r="Q8" s="239"/>
      <c r="R8" s="394" t="s">
        <v>98</v>
      </c>
      <c r="S8" s="239"/>
      <c r="T8" s="239"/>
      <c r="U8" s="239" t="s">
        <v>99</v>
      </c>
      <c r="V8" s="239"/>
      <c r="W8" s="239"/>
      <c r="X8" s="239"/>
      <c r="Y8" s="239"/>
      <c r="Z8" s="239"/>
      <c r="AA8" s="239"/>
      <c r="AB8" s="239"/>
      <c r="AC8" s="239"/>
      <c r="AD8" s="239"/>
      <c r="AE8" s="239" t="s">
        <v>100</v>
      </c>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row>
    <row r="9" spans="1:62" s="8" customFormat="1" ht="14.25" customHeight="1">
      <c r="A9" s="405"/>
      <c r="B9" s="405"/>
      <c r="C9" s="405"/>
      <c r="D9" s="406" t="s">
        <v>144</v>
      </c>
      <c r="E9" s="406"/>
      <c r="F9" s="406"/>
      <c r="G9" s="406"/>
      <c r="H9" s="406"/>
      <c r="I9" s="406"/>
      <c r="J9" s="406"/>
      <c r="K9" s="406"/>
      <c r="L9" s="406"/>
      <c r="M9" s="406"/>
      <c r="N9" s="406"/>
      <c r="O9" s="406"/>
      <c r="P9" s="406"/>
      <c r="Q9" s="406"/>
      <c r="R9" s="407"/>
      <c r="S9" s="407"/>
      <c r="T9" s="407"/>
      <c r="U9" s="130"/>
      <c r="V9" s="34"/>
      <c r="W9" s="34"/>
      <c r="X9" s="34"/>
      <c r="Y9" s="34"/>
      <c r="Z9" s="34"/>
      <c r="AA9" s="34"/>
      <c r="AB9" s="34"/>
      <c r="AC9" s="34"/>
      <c r="AD9" s="35"/>
      <c r="AE9" s="416"/>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7"/>
      <c r="BD9" s="417"/>
      <c r="BE9" s="417"/>
      <c r="BF9" s="417"/>
      <c r="BG9" s="417"/>
      <c r="BH9" s="417"/>
      <c r="BI9" s="417"/>
      <c r="BJ9" s="418"/>
    </row>
    <row r="10" spans="1:62" s="8" customFormat="1" ht="38.450000000000003" customHeight="1">
      <c r="A10" s="400">
        <v>1</v>
      </c>
      <c r="B10" s="400"/>
      <c r="C10" s="400"/>
      <c r="D10" s="401" t="s">
        <v>317</v>
      </c>
      <c r="E10" s="401"/>
      <c r="F10" s="401"/>
      <c r="G10" s="401"/>
      <c r="H10" s="401"/>
      <c r="I10" s="401"/>
      <c r="J10" s="401"/>
      <c r="K10" s="401"/>
      <c r="L10" s="401"/>
      <c r="M10" s="401"/>
      <c r="N10" s="401"/>
      <c r="O10" s="401"/>
      <c r="P10" s="401"/>
      <c r="Q10" s="401"/>
      <c r="R10" s="396">
        <v>14</v>
      </c>
      <c r="S10" s="396"/>
      <c r="T10" s="396"/>
      <c r="U10" s="36" t="s">
        <v>186</v>
      </c>
      <c r="V10" s="37"/>
      <c r="W10" s="37"/>
      <c r="X10" s="37"/>
      <c r="Y10" s="37"/>
      <c r="Z10" s="37"/>
      <c r="AA10" s="37"/>
      <c r="AB10" s="37"/>
      <c r="AC10" s="37"/>
      <c r="AD10" s="38"/>
      <c r="AE10" s="397" t="s">
        <v>361</v>
      </c>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9"/>
    </row>
    <row r="11" spans="1:62" s="8" customFormat="1" ht="49.15" customHeight="1">
      <c r="A11" s="400">
        <v>2</v>
      </c>
      <c r="B11" s="400"/>
      <c r="C11" s="400"/>
      <c r="D11" s="401" t="s">
        <v>318</v>
      </c>
      <c r="E11" s="401"/>
      <c r="F11" s="401"/>
      <c r="G11" s="401"/>
      <c r="H11" s="401"/>
      <c r="I11" s="401"/>
      <c r="J11" s="401"/>
      <c r="K11" s="401"/>
      <c r="L11" s="401"/>
      <c r="M11" s="401"/>
      <c r="N11" s="401"/>
      <c r="O11" s="401"/>
      <c r="P11" s="401"/>
      <c r="Q11" s="401"/>
      <c r="R11" s="396">
        <v>17</v>
      </c>
      <c r="S11" s="396"/>
      <c r="T11" s="396"/>
      <c r="U11" s="36" t="s">
        <v>319</v>
      </c>
      <c r="V11" s="37"/>
      <c r="W11" s="37"/>
      <c r="X11" s="37"/>
      <c r="Y11" s="37"/>
      <c r="Z11" s="37"/>
      <c r="AA11" s="37"/>
      <c r="AB11" s="37"/>
      <c r="AC11" s="37"/>
      <c r="AD11" s="38"/>
      <c r="AE11" s="397" t="s">
        <v>360</v>
      </c>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9"/>
    </row>
    <row r="12" spans="1:62" s="8" customFormat="1" ht="80.45" customHeight="1">
      <c r="A12" s="400">
        <v>3</v>
      </c>
      <c r="B12" s="400"/>
      <c r="C12" s="400"/>
      <c r="D12" s="401" t="s">
        <v>145</v>
      </c>
      <c r="E12" s="401"/>
      <c r="F12" s="401"/>
      <c r="G12" s="401"/>
      <c r="H12" s="401"/>
      <c r="I12" s="401"/>
      <c r="J12" s="401"/>
      <c r="K12" s="401"/>
      <c r="L12" s="401"/>
      <c r="M12" s="401"/>
      <c r="N12" s="401"/>
      <c r="O12" s="401"/>
      <c r="P12" s="401"/>
      <c r="Q12" s="401"/>
      <c r="R12" s="396">
        <v>9</v>
      </c>
      <c r="S12" s="396"/>
      <c r="T12" s="396"/>
      <c r="U12" s="36" t="s">
        <v>183</v>
      </c>
      <c r="V12" s="37"/>
      <c r="W12" s="37"/>
      <c r="X12" s="37"/>
      <c r="Y12" s="37"/>
      <c r="Z12" s="37"/>
      <c r="AA12" s="37"/>
      <c r="AB12" s="37"/>
      <c r="AC12" s="37"/>
      <c r="AD12" s="38"/>
      <c r="AE12" s="397" t="s">
        <v>321</v>
      </c>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c r="BE12" s="398"/>
      <c r="BF12" s="398"/>
      <c r="BG12" s="398"/>
      <c r="BH12" s="398"/>
      <c r="BI12" s="398"/>
      <c r="BJ12" s="399"/>
    </row>
    <row r="13" spans="1:62" s="8" customFormat="1" ht="33.6" customHeight="1">
      <c r="A13" s="400">
        <v>4</v>
      </c>
      <c r="B13" s="400"/>
      <c r="C13" s="400"/>
      <c r="D13" s="401" t="s">
        <v>146</v>
      </c>
      <c r="E13" s="401"/>
      <c r="F13" s="401"/>
      <c r="G13" s="401"/>
      <c r="H13" s="401"/>
      <c r="I13" s="401"/>
      <c r="J13" s="401"/>
      <c r="K13" s="401"/>
      <c r="L13" s="401"/>
      <c r="M13" s="401"/>
      <c r="N13" s="401"/>
      <c r="O13" s="401"/>
      <c r="P13" s="401"/>
      <c r="Q13" s="401"/>
      <c r="R13" s="396">
        <v>160</v>
      </c>
      <c r="S13" s="396"/>
      <c r="T13" s="396"/>
      <c r="U13" s="36" t="s">
        <v>155</v>
      </c>
      <c r="V13" s="37"/>
      <c r="W13" s="37"/>
      <c r="X13" s="37"/>
      <c r="Y13" s="37"/>
      <c r="Z13" s="37"/>
      <c r="AA13" s="37"/>
      <c r="AB13" s="37"/>
      <c r="AC13" s="37"/>
      <c r="AD13" s="38"/>
      <c r="AE13" s="397" t="s">
        <v>322</v>
      </c>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c r="BE13" s="398"/>
      <c r="BF13" s="398"/>
      <c r="BG13" s="398"/>
      <c r="BH13" s="398"/>
      <c r="BI13" s="398"/>
      <c r="BJ13" s="399"/>
    </row>
    <row r="14" spans="1:62" s="8" customFormat="1" ht="33.6" customHeight="1">
      <c r="A14" s="400">
        <v>5</v>
      </c>
      <c r="B14" s="400"/>
      <c r="C14" s="400"/>
      <c r="D14" s="401" t="s">
        <v>147</v>
      </c>
      <c r="E14" s="401"/>
      <c r="F14" s="401"/>
      <c r="G14" s="401"/>
      <c r="H14" s="401"/>
      <c r="I14" s="401"/>
      <c r="J14" s="401"/>
      <c r="K14" s="401"/>
      <c r="L14" s="401"/>
      <c r="M14" s="401"/>
      <c r="N14" s="401"/>
      <c r="O14" s="401"/>
      <c r="P14" s="401"/>
      <c r="Q14" s="401"/>
      <c r="R14" s="396">
        <v>80</v>
      </c>
      <c r="S14" s="396"/>
      <c r="T14" s="396"/>
      <c r="U14" s="36" t="s">
        <v>177</v>
      </c>
      <c r="V14" s="37"/>
      <c r="W14" s="37"/>
      <c r="X14" s="37"/>
      <c r="Y14" s="37"/>
      <c r="Z14" s="37"/>
      <c r="AA14" s="37"/>
      <c r="AB14" s="37"/>
      <c r="AC14" s="37"/>
      <c r="AD14" s="38"/>
      <c r="AE14" s="397" t="s">
        <v>323</v>
      </c>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c r="BE14" s="398"/>
      <c r="BF14" s="398"/>
      <c r="BG14" s="398"/>
      <c r="BH14" s="398"/>
      <c r="BI14" s="398"/>
      <c r="BJ14" s="399"/>
    </row>
    <row r="15" spans="1:62" s="8" customFormat="1" ht="76.349999999999994" customHeight="1">
      <c r="A15" s="400">
        <v>6</v>
      </c>
      <c r="B15" s="400"/>
      <c r="C15" s="400"/>
      <c r="D15" s="401" t="s">
        <v>149</v>
      </c>
      <c r="E15" s="401"/>
      <c r="F15" s="401"/>
      <c r="G15" s="401"/>
      <c r="H15" s="401"/>
      <c r="I15" s="401"/>
      <c r="J15" s="401"/>
      <c r="K15" s="401"/>
      <c r="L15" s="401"/>
      <c r="M15" s="401"/>
      <c r="N15" s="401"/>
      <c r="O15" s="401"/>
      <c r="P15" s="401"/>
      <c r="Q15" s="401"/>
      <c r="R15" s="396">
        <v>16</v>
      </c>
      <c r="S15" s="396"/>
      <c r="T15" s="396"/>
      <c r="U15" s="36" t="s">
        <v>184</v>
      </c>
      <c r="V15" s="37"/>
      <c r="W15" s="37"/>
      <c r="X15" s="37"/>
      <c r="Y15" s="37"/>
      <c r="Z15" s="37"/>
      <c r="AA15" s="37"/>
      <c r="AB15" s="37"/>
      <c r="AC15" s="37"/>
      <c r="AD15" s="38"/>
      <c r="AE15" s="397" t="s">
        <v>324</v>
      </c>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9"/>
    </row>
    <row r="16" spans="1:62" s="8" customFormat="1" ht="23.85" customHeight="1">
      <c r="A16" s="400">
        <v>7</v>
      </c>
      <c r="B16" s="400"/>
      <c r="C16" s="400"/>
      <c r="D16" s="401" t="s">
        <v>150</v>
      </c>
      <c r="E16" s="401"/>
      <c r="F16" s="401"/>
      <c r="G16" s="401"/>
      <c r="H16" s="401"/>
      <c r="I16" s="401"/>
      <c r="J16" s="401"/>
      <c r="K16" s="401"/>
      <c r="L16" s="401"/>
      <c r="M16" s="401"/>
      <c r="N16" s="401"/>
      <c r="O16" s="401"/>
      <c r="P16" s="401"/>
      <c r="Q16" s="401"/>
      <c r="R16" s="396">
        <v>13</v>
      </c>
      <c r="S16" s="396"/>
      <c r="T16" s="396"/>
      <c r="U16" s="36" t="s">
        <v>151</v>
      </c>
      <c r="V16" s="37"/>
      <c r="W16" s="37"/>
      <c r="X16" s="37"/>
      <c r="Y16" s="37"/>
      <c r="Z16" s="37"/>
      <c r="AA16" s="37"/>
      <c r="AB16" s="37"/>
      <c r="AC16" s="37"/>
      <c r="AD16" s="38"/>
      <c r="AE16" s="397" t="s">
        <v>224</v>
      </c>
      <c r="AF16" s="398"/>
      <c r="AG16" s="398"/>
      <c r="AH16" s="398"/>
      <c r="AI16" s="398"/>
      <c r="AJ16" s="398"/>
      <c r="AK16" s="398"/>
      <c r="AL16" s="398"/>
      <c r="AM16" s="398"/>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s="8" customFormat="1" ht="37.9" customHeight="1">
      <c r="A17" s="400">
        <v>8</v>
      </c>
      <c r="B17" s="400"/>
      <c r="C17" s="400"/>
      <c r="D17" s="401" t="s">
        <v>153</v>
      </c>
      <c r="E17" s="401"/>
      <c r="F17" s="401"/>
      <c r="G17" s="401"/>
      <c r="H17" s="401"/>
      <c r="I17" s="401"/>
      <c r="J17" s="401"/>
      <c r="K17" s="401"/>
      <c r="L17" s="401"/>
      <c r="M17" s="401"/>
      <c r="N17" s="401"/>
      <c r="O17" s="401"/>
      <c r="P17" s="401"/>
      <c r="Q17" s="401"/>
      <c r="R17" s="396">
        <v>13</v>
      </c>
      <c r="S17" s="396"/>
      <c r="T17" s="396"/>
      <c r="U17" s="36" t="s">
        <v>154</v>
      </c>
      <c r="V17" s="37"/>
      <c r="W17" s="37"/>
      <c r="X17" s="37"/>
      <c r="Y17" s="37"/>
      <c r="Z17" s="37"/>
      <c r="AA17" s="37"/>
      <c r="AB17" s="37"/>
      <c r="AC17" s="37"/>
      <c r="AD17" s="38"/>
      <c r="AE17" s="397" t="s">
        <v>339</v>
      </c>
      <c r="AF17" s="398"/>
      <c r="AG17" s="398"/>
      <c r="AH17" s="398"/>
      <c r="AI17" s="398"/>
      <c r="AJ17" s="398"/>
      <c r="AK17" s="398"/>
      <c r="AL17" s="398"/>
      <c r="AM17" s="398"/>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9"/>
    </row>
    <row r="18" spans="1:62" s="8" customFormat="1" ht="33.6" customHeight="1">
      <c r="A18" s="400">
        <v>9</v>
      </c>
      <c r="B18" s="400"/>
      <c r="C18" s="400"/>
      <c r="D18" s="401" t="s">
        <v>152</v>
      </c>
      <c r="E18" s="401"/>
      <c r="F18" s="401"/>
      <c r="G18" s="401"/>
      <c r="H18" s="401"/>
      <c r="I18" s="401"/>
      <c r="J18" s="401"/>
      <c r="K18" s="401"/>
      <c r="L18" s="401"/>
      <c r="M18" s="401"/>
      <c r="N18" s="401"/>
      <c r="O18" s="401"/>
      <c r="P18" s="401"/>
      <c r="Q18" s="401"/>
      <c r="R18" s="396">
        <v>100</v>
      </c>
      <c r="S18" s="396"/>
      <c r="T18" s="396"/>
      <c r="U18" s="36" t="s">
        <v>185</v>
      </c>
      <c r="V18" s="37"/>
      <c r="W18" s="37"/>
      <c r="X18" s="37"/>
      <c r="Y18" s="37"/>
      <c r="Z18" s="37"/>
      <c r="AA18" s="37"/>
      <c r="AB18" s="37"/>
      <c r="AC18" s="37"/>
      <c r="AD18" s="38"/>
      <c r="AE18" s="397" t="s">
        <v>225</v>
      </c>
      <c r="AF18" s="398"/>
      <c r="AG18" s="398"/>
      <c r="AH18" s="398"/>
      <c r="AI18" s="398"/>
      <c r="AJ18" s="398"/>
      <c r="AK18" s="398"/>
      <c r="AL18" s="398"/>
      <c r="AM18" s="398"/>
      <c r="AN18" s="398"/>
      <c r="AO18" s="398"/>
      <c r="AP18" s="398"/>
      <c r="AQ18" s="398"/>
      <c r="AR18" s="398"/>
      <c r="AS18" s="398"/>
      <c r="AT18" s="398"/>
      <c r="AU18" s="398"/>
      <c r="AV18" s="398"/>
      <c r="AW18" s="398"/>
      <c r="AX18" s="398"/>
      <c r="AY18" s="398"/>
      <c r="AZ18" s="398"/>
      <c r="BA18" s="398"/>
      <c r="BB18" s="398"/>
      <c r="BC18" s="398"/>
      <c r="BD18" s="398"/>
      <c r="BE18" s="398"/>
      <c r="BF18" s="398"/>
      <c r="BG18" s="398"/>
      <c r="BH18" s="398"/>
      <c r="BI18" s="398"/>
      <c r="BJ18" s="399"/>
    </row>
    <row r="19" spans="1:62" s="8" customFormat="1" ht="23.85" customHeight="1">
      <c r="A19" s="400"/>
      <c r="B19" s="400"/>
      <c r="C19" s="400"/>
      <c r="D19" s="401" t="s">
        <v>163</v>
      </c>
      <c r="E19" s="401"/>
      <c r="F19" s="401"/>
      <c r="G19" s="401"/>
      <c r="H19" s="401"/>
      <c r="I19" s="401"/>
      <c r="J19" s="401"/>
      <c r="K19" s="401"/>
      <c r="L19" s="401"/>
      <c r="M19" s="401"/>
      <c r="N19" s="401"/>
      <c r="O19" s="401"/>
      <c r="P19" s="401"/>
      <c r="Q19" s="401"/>
      <c r="R19" s="396"/>
      <c r="S19" s="396"/>
      <c r="T19" s="396"/>
      <c r="U19" s="36"/>
      <c r="V19" s="37"/>
      <c r="W19" s="37"/>
      <c r="X19" s="37"/>
      <c r="Y19" s="37"/>
      <c r="Z19" s="37"/>
      <c r="AA19" s="37"/>
      <c r="AB19" s="37"/>
      <c r="AC19" s="37"/>
      <c r="AD19" s="38"/>
      <c r="AE19" s="397"/>
      <c r="AF19" s="398"/>
      <c r="AG19" s="398"/>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62" s="8" customFormat="1" ht="38.450000000000003" customHeight="1">
      <c r="A20" s="400">
        <v>10</v>
      </c>
      <c r="B20" s="400"/>
      <c r="C20" s="400"/>
      <c r="D20" s="401" t="s">
        <v>178</v>
      </c>
      <c r="E20" s="401"/>
      <c r="F20" s="401"/>
      <c r="G20" s="401"/>
      <c r="H20" s="401"/>
      <c r="I20" s="401"/>
      <c r="J20" s="401"/>
      <c r="K20" s="401"/>
      <c r="L20" s="401"/>
      <c r="M20" s="401"/>
      <c r="N20" s="401"/>
      <c r="O20" s="401"/>
      <c r="P20" s="401"/>
      <c r="Q20" s="401"/>
      <c r="R20" s="396">
        <v>14</v>
      </c>
      <c r="S20" s="396"/>
      <c r="T20" s="396"/>
      <c r="U20" s="36" t="s">
        <v>186</v>
      </c>
      <c r="V20" s="37"/>
      <c r="W20" s="37"/>
      <c r="X20" s="37"/>
      <c r="Y20" s="37"/>
      <c r="Z20" s="37"/>
      <c r="AA20" s="37"/>
      <c r="AB20" s="37"/>
      <c r="AC20" s="37"/>
      <c r="AD20" s="38"/>
      <c r="AE20" s="397" t="s">
        <v>325</v>
      </c>
      <c r="AF20" s="398"/>
      <c r="AG20" s="398"/>
      <c r="AH20" s="398"/>
      <c r="AI20" s="398"/>
      <c r="AJ20" s="398"/>
      <c r="AK20" s="398"/>
      <c r="AL20" s="398"/>
      <c r="AM20" s="398"/>
      <c r="AN20" s="398"/>
      <c r="AO20" s="398"/>
      <c r="AP20" s="398"/>
      <c r="AQ20" s="398"/>
      <c r="AR20" s="398"/>
      <c r="AS20" s="398"/>
      <c r="AT20" s="398"/>
      <c r="AU20" s="398"/>
      <c r="AV20" s="398"/>
      <c r="AW20" s="398"/>
      <c r="AX20" s="398"/>
      <c r="AY20" s="398"/>
      <c r="AZ20" s="398"/>
      <c r="BA20" s="398"/>
      <c r="BB20" s="398"/>
      <c r="BC20" s="398"/>
      <c r="BD20" s="398"/>
      <c r="BE20" s="398"/>
      <c r="BF20" s="398"/>
      <c r="BG20" s="398"/>
      <c r="BH20" s="398"/>
      <c r="BI20" s="398"/>
      <c r="BJ20" s="399"/>
    </row>
    <row r="21" spans="1:62" s="8" customFormat="1" ht="33.6" customHeight="1">
      <c r="A21" s="400">
        <v>11</v>
      </c>
      <c r="B21" s="400"/>
      <c r="C21" s="400"/>
      <c r="D21" s="401" t="s">
        <v>157</v>
      </c>
      <c r="E21" s="401"/>
      <c r="F21" s="401"/>
      <c r="G21" s="401"/>
      <c r="H21" s="401"/>
      <c r="I21" s="401"/>
      <c r="J21" s="401"/>
      <c r="K21" s="401"/>
      <c r="L21" s="401"/>
      <c r="M21" s="401"/>
      <c r="N21" s="401"/>
      <c r="O21" s="401"/>
      <c r="P21" s="401"/>
      <c r="Q21" s="401"/>
      <c r="R21" s="396">
        <v>17</v>
      </c>
      <c r="S21" s="396"/>
      <c r="T21" s="396"/>
      <c r="U21" s="36" t="s">
        <v>156</v>
      </c>
      <c r="V21" s="37"/>
      <c r="W21" s="37"/>
      <c r="X21" s="37"/>
      <c r="Y21" s="37"/>
      <c r="Z21" s="37"/>
      <c r="AA21" s="37"/>
      <c r="AB21" s="37"/>
      <c r="AC21" s="37"/>
      <c r="AD21" s="38"/>
      <c r="AE21" s="397" t="s">
        <v>340</v>
      </c>
      <c r="AF21" s="398"/>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62" s="8" customFormat="1" ht="33.6" customHeight="1">
      <c r="A22" s="400">
        <v>12</v>
      </c>
      <c r="B22" s="400"/>
      <c r="C22" s="400"/>
      <c r="D22" s="401" t="s">
        <v>158</v>
      </c>
      <c r="E22" s="401"/>
      <c r="F22" s="401"/>
      <c r="G22" s="401"/>
      <c r="H22" s="401"/>
      <c r="I22" s="401"/>
      <c r="J22" s="401"/>
      <c r="K22" s="401"/>
      <c r="L22" s="401"/>
      <c r="M22" s="401"/>
      <c r="N22" s="401"/>
      <c r="O22" s="401"/>
      <c r="P22" s="401"/>
      <c r="Q22" s="401"/>
      <c r="R22" s="396">
        <v>10</v>
      </c>
      <c r="S22" s="396"/>
      <c r="T22" s="396"/>
      <c r="U22" s="36" t="s">
        <v>176</v>
      </c>
      <c r="V22" s="37"/>
      <c r="W22" s="37"/>
      <c r="X22" s="37"/>
      <c r="Y22" s="37"/>
      <c r="Z22" s="37"/>
      <c r="AA22" s="37"/>
      <c r="AB22" s="37"/>
      <c r="AC22" s="37"/>
      <c r="AD22" s="38"/>
      <c r="AE22" s="397" t="s">
        <v>326</v>
      </c>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62" s="8" customFormat="1" ht="33.6" customHeight="1">
      <c r="A23" s="400">
        <v>13</v>
      </c>
      <c r="B23" s="400"/>
      <c r="C23" s="400"/>
      <c r="D23" s="401" t="s">
        <v>159</v>
      </c>
      <c r="E23" s="401"/>
      <c r="F23" s="401"/>
      <c r="G23" s="401"/>
      <c r="H23" s="401"/>
      <c r="I23" s="401"/>
      <c r="J23" s="401"/>
      <c r="K23" s="401"/>
      <c r="L23" s="401"/>
      <c r="M23" s="401"/>
      <c r="N23" s="401"/>
      <c r="O23" s="401"/>
      <c r="P23" s="401"/>
      <c r="Q23" s="401"/>
      <c r="R23" s="396">
        <v>14</v>
      </c>
      <c r="S23" s="396"/>
      <c r="T23" s="396"/>
      <c r="U23" s="36" t="s">
        <v>186</v>
      </c>
      <c r="V23" s="37"/>
      <c r="W23" s="37"/>
      <c r="X23" s="37"/>
      <c r="Y23" s="37"/>
      <c r="Z23" s="37"/>
      <c r="AA23" s="37"/>
      <c r="AB23" s="37"/>
      <c r="AC23" s="37"/>
      <c r="AD23" s="38"/>
      <c r="AE23" s="397" t="s">
        <v>327</v>
      </c>
      <c r="AF23" s="398"/>
      <c r="AG23" s="398"/>
      <c r="AH23" s="398"/>
      <c r="AI23" s="398"/>
      <c r="AJ23" s="398"/>
      <c r="AK23" s="398"/>
      <c r="AL23" s="398"/>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62" s="8" customFormat="1" ht="33.6" customHeight="1">
      <c r="A24" s="400">
        <v>14</v>
      </c>
      <c r="B24" s="400"/>
      <c r="C24" s="400"/>
      <c r="D24" s="401" t="s">
        <v>160</v>
      </c>
      <c r="E24" s="401"/>
      <c r="F24" s="401"/>
      <c r="G24" s="401"/>
      <c r="H24" s="401"/>
      <c r="I24" s="401"/>
      <c r="J24" s="401"/>
      <c r="K24" s="401"/>
      <c r="L24" s="401"/>
      <c r="M24" s="401"/>
      <c r="N24" s="401"/>
      <c r="O24" s="401"/>
      <c r="P24" s="401"/>
      <c r="Q24" s="401"/>
      <c r="R24" s="396">
        <v>14</v>
      </c>
      <c r="S24" s="396"/>
      <c r="T24" s="396"/>
      <c r="U24" s="36" t="s">
        <v>186</v>
      </c>
      <c r="V24" s="37"/>
      <c r="W24" s="37"/>
      <c r="X24" s="37"/>
      <c r="Y24" s="37"/>
      <c r="Z24" s="37"/>
      <c r="AA24" s="37"/>
      <c r="AB24" s="37"/>
      <c r="AC24" s="37"/>
      <c r="AD24" s="38"/>
      <c r="AE24" s="397" t="s">
        <v>328</v>
      </c>
      <c r="AF24" s="398"/>
      <c r="AG24" s="398"/>
      <c r="AH24" s="398"/>
      <c r="AI24" s="398"/>
      <c r="AJ24" s="398"/>
      <c r="AK24" s="398"/>
      <c r="AL24" s="398"/>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9"/>
    </row>
    <row r="25" spans="1:62" s="8" customFormat="1" ht="33.6" customHeight="1">
      <c r="A25" s="400">
        <v>15</v>
      </c>
      <c r="B25" s="400"/>
      <c r="C25" s="400"/>
      <c r="D25" s="401" t="s">
        <v>161</v>
      </c>
      <c r="E25" s="401"/>
      <c r="F25" s="401"/>
      <c r="G25" s="401"/>
      <c r="H25" s="401"/>
      <c r="I25" s="401"/>
      <c r="J25" s="401"/>
      <c r="K25" s="401"/>
      <c r="L25" s="401"/>
      <c r="M25" s="401"/>
      <c r="N25" s="401"/>
      <c r="O25" s="401"/>
      <c r="P25" s="401"/>
      <c r="Q25" s="401"/>
      <c r="R25" s="396">
        <v>14</v>
      </c>
      <c r="S25" s="396"/>
      <c r="T25" s="396"/>
      <c r="U25" s="36" t="s">
        <v>186</v>
      </c>
      <c r="V25" s="37"/>
      <c r="W25" s="37"/>
      <c r="X25" s="37"/>
      <c r="Y25" s="37"/>
      <c r="Z25" s="37"/>
      <c r="AA25" s="37"/>
      <c r="AB25" s="37"/>
      <c r="AC25" s="37"/>
      <c r="AD25" s="38"/>
      <c r="AE25" s="397" t="s">
        <v>329</v>
      </c>
      <c r="AF25" s="398"/>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62" s="8" customFormat="1" ht="57" customHeight="1">
      <c r="A26" s="400">
        <v>16</v>
      </c>
      <c r="B26" s="400"/>
      <c r="C26" s="400"/>
      <c r="D26" s="397" t="s">
        <v>198</v>
      </c>
      <c r="E26" s="408"/>
      <c r="F26" s="408"/>
      <c r="G26" s="408"/>
      <c r="H26" s="408"/>
      <c r="I26" s="408"/>
      <c r="J26" s="408"/>
      <c r="K26" s="408"/>
      <c r="L26" s="408"/>
      <c r="M26" s="408"/>
      <c r="N26" s="408"/>
      <c r="O26" s="408"/>
      <c r="P26" s="408"/>
      <c r="Q26" s="409"/>
      <c r="R26" s="396">
        <v>30</v>
      </c>
      <c r="S26" s="396"/>
      <c r="T26" s="396"/>
      <c r="U26" s="36" t="s">
        <v>174</v>
      </c>
      <c r="V26" s="37"/>
      <c r="W26" s="37"/>
      <c r="X26" s="37"/>
      <c r="Y26" s="37"/>
      <c r="Z26" s="37"/>
      <c r="AA26" s="37"/>
      <c r="AB26" s="37"/>
      <c r="AC26" s="37"/>
      <c r="AD26" s="38"/>
      <c r="AE26" s="397" t="s">
        <v>341</v>
      </c>
      <c r="AF26" s="398"/>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62" s="8" customFormat="1" ht="52.15" customHeight="1">
      <c r="A27" s="400">
        <v>17</v>
      </c>
      <c r="B27" s="400"/>
      <c r="C27" s="400"/>
      <c r="D27" s="397" t="s">
        <v>201</v>
      </c>
      <c r="E27" s="408"/>
      <c r="F27" s="408"/>
      <c r="G27" s="408"/>
      <c r="H27" s="408"/>
      <c r="I27" s="408"/>
      <c r="J27" s="408"/>
      <c r="K27" s="408"/>
      <c r="L27" s="408"/>
      <c r="M27" s="408"/>
      <c r="N27" s="408"/>
      <c r="O27" s="408"/>
      <c r="P27" s="408"/>
      <c r="Q27" s="409"/>
      <c r="R27" s="396">
        <v>50</v>
      </c>
      <c r="S27" s="396"/>
      <c r="T27" s="396"/>
      <c r="U27" s="36" t="s">
        <v>175</v>
      </c>
      <c r="V27" s="37"/>
      <c r="W27" s="37"/>
      <c r="X27" s="37"/>
      <c r="Y27" s="37"/>
      <c r="Z27" s="37"/>
      <c r="AA27" s="37"/>
      <c r="AB27" s="37"/>
      <c r="AC27" s="37"/>
      <c r="AD27" s="38"/>
      <c r="AE27" s="397" t="s">
        <v>342</v>
      </c>
      <c r="AF27" s="398"/>
      <c r="AG27" s="398"/>
      <c r="AH27" s="398"/>
      <c r="AI27" s="398"/>
      <c r="AJ27" s="398"/>
      <c r="AK27" s="398"/>
      <c r="AL27" s="398"/>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62" s="8" customFormat="1" ht="33.6" customHeight="1">
      <c r="A28" s="400">
        <v>18</v>
      </c>
      <c r="B28" s="400"/>
      <c r="C28" s="400"/>
      <c r="D28" s="397" t="s">
        <v>195</v>
      </c>
      <c r="E28" s="408"/>
      <c r="F28" s="408"/>
      <c r="G28" s="408"/>
      <c r="H28" s="408"/>
      <c r="I28" s="408"/>
      <c r="J28" s="408"/>
      <c r="K28" s="408"/>
      <c r="L28" s="408"/>
      <c r="M28" s="408"/>
      <c r="N28" s="408"/>
      <c r="O28" s="408"/>
      <c r="P28" s="408"/>
      <c r="Q28" s="409"/>
      <c r="R28" s="396">
        <v>2</v>
      </c>
      <c r="S28" s="396"/>
      <c r="T28" s="396"/>
      <c r="U28" s="36" t="s">
        <v>202</v>
      </c>
      <c r="V28" s="37"/>
      <c r="W28" s="37"/>
      <c r="X28" s="37"/>
      <c r="Y28" s="37"/>
      <c r="Z28" s="37"/>
      <c r="AA28" s="37"/>
      <c r="AB28" s="37"/>
      <c r="AC28" s="37"/>
      <c r="AD28" s="38"/>
      <c r="AE28" s="397" t="s">
        <v>330</v>
      </c>
      <c r="AF28" s="398"/>
      <c r="AG28" s="398"/>
      <c r="AH28" s="398"/>
      <c r="AI28" s="398"/>
      <c r="AJ28" s="398"/>
      <c r="AK28" s="398"/>
      <c r="AL28" s="398"/>
      <c r="AM28" s="398"/>
      <c r="AN28" s="398"/>
      <c r="AO28" s="398"/>
      <c r="AP28" s="398"/>
      <c r="AQ28" s="398"/>
      <c r="AR28" s="398"/>
      <c r="AS28" s="398"/>
      <c r="AT28" s="398"/>
      <c r="AU28" s="398"/>
      <c r="AV28" s="398"/>
      <c r="AW28" s="398"/>
      <c r="AX28" s="398"/>
      <c r="AY28" s="398"/>
      <c r="AZ28" s="398"/>
      <c r="BA28" s="398"/>
      <c r="BB28" s="398"/>
      <c r="BC28" s="398"/>
      <c r="BD28" s="398"/>
      <c r="BE28" s="398"/>
      <c r="BF28" s="398"/>
      <c r="BG28" s="398"/>
      <c r="BH28" s="398"/>
      <c r="BI28" s="398"/>
      <c r="BJ28" s="399"/>
    </row>
    <row r="29" spans="1:62" s="8" customFormat="1" ht="33.6" customHeight="1">
      <c r="A29" s="400">
        <v>19</v>
      </c>
      <c r="B29" s="400"/>
      <c r="C29" s="400"/>
      <c r="D29" s="397" t="s">
        <v>192</v>
      </c>
      <c r="E29" s="408"/>
      <c r="F29" s="408"/>
      <c r="G29" s="408"/>
      <c r="H29" s="408"/>
      <c r="I29" s="408"/>
      <c r="J29" s="408"/>
      <c r="K29" s="408"/>
      <c r="L29" s="408"/>
      <c r="M29" s="408"/>
      <c r="N29" s="408"/>
      <c r="O29" s="408"/>
      <c r="P29" s="408"/>
      <c r="Q29" s="409"/>
      <c r="R29" s="396">
        <v>7</v>
      </c>
      <c r="S29" s="396"/>
      <c r="T29" s="396"/>
      <c r="U29" s="36" t="s">
        <v>162</v>
      </c>
      <c r="V29" s="37"/>
      <c r="W29" s="37"/>
      <c r="X29" s="37"/>
      <c r="Y29" s="37"/>
      <c r="Z29" s="37"/>
      <c r="AA29" s="37"/>
      <c r="AB29" s="37"/>
      <c r="AC29" s="37"/>
      <c r="AD29" s="38"/>
      <c r="AE29" s="397" t="s">
        <v>331</v>
      </c>
      <c r="AF29" s="398"/>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9"/>
    </row>
    <row r="30" spans="1:62" s="8" customFormat="1" ht="46.15" customHeight="1">
      <c r="A30" s="400">
        <v>20</v>
      </c>
      <c r="B30" s="400"/>
      <c r="C30" s="400"/>
      <c r="D30" s="397" t="s">
        <v>187</v>
      </c>
      <c r="E30" s="408"/>
      <c r="F30" s="408"/>
      <c r="G30" s="408"/>
      <c r="H30" s="408"/>
      <c r="I30" s="408"/>
      <c r="J30" s="408"/>
      <c r="K30" s="408"/>
      <c r="L30" s="408"/>
      <c r="M30" s="408"/>
      <c r="N30" s="408"/>
      <c r="O30" s="408"/>
      <c r="P30" s="408"/>
      <c r="Q30" s="409"/>
      <c r="R30" s="396">
        <v>60</v>
      </c>
      <c r="S30" s="396"/>
      <c r="T30" s="396"/>
      <c r="U30" s="36" t="s">
        <v>148</v>
      </c>
      <c r="V30" s="37"/>
      <c r="W30" s="37"/>
      <c r="X30" s="37"/>
      <c r="Y30" s="37"/>
      <c r="Z30" s="37"/>
      <c r="AA30" s="37"/>
      <c r="AB30" s="37"/>
      <c r="AC30" s="37"/>
      <c r="AD30" s="38"/>
      <c r="AE30" s="397" t="s">
        <v>332</v>
      </c>
      <c r="AF30" s="398"/>
      <c r="AG30" s="398"/>
      <c r="AH30" s="398"/>
      <c r="AI30" s="398"/>
      <c r="AJ30" s="398"/>
      <c r="AK30" s="398"/>
      <c r="AL30" s="398"/>
      <c r="AM30" s="398"/>
      <c r="AN30" s="398"/>
      <c r="AO30" s="398"/>
      <c r="AP30" s="398"/>
      <c r="AQ30" s="398"/>
      <c r="AR30" s="398"/>
      <c r="AS30" s="398"/>
      <c r="AT30" s="398"/>
      <c r="AU30" s="398"/>
      <c r="AV30" s="398"/>
      <c r="AW30" s="398"/>
      <c r="AX30" s="398"/>
      <c r="AY30" s="398"/>
      <c r="AZ30" s="398"/>
      <c r="BA30" s="398"/>
      <c r="BB30" s="398"/>
      <c r="BC30" s="398"/>
      <c r="BD30" s="398"/>
      <c r="BE30" s="398"/>
      <c r="BF30" s="398"/>
      <c r="BG30" s="398"/>
      <c r="BH30" s="398"/>
      <c r="BI30" s="398"/>
      <c r="BJ30" s="399"/>
    </row>
    <row r="31" spans="1:62" s="8" customFormat="1" ht="55.5" customHeight="1">
      <c r="A31" s="400">
        <v>21</v>
      </c>
      <c r="B31" s="400"/>
      <c r="C31" s="400"/>
      <c r="D31" s="397" t="s">
        <v>197</v>
      </c>
      <c r="E31" s="398"/>
      <c r="F31" s="398"/>
      <c r="G31" s="398"/>
      <c r="H31" s="398"/>
      <c r="I31" s="398"/>
      <c r="J31" s="398"/>
      <c r="K31" s="398"/>
      <c r="L31" s="398"/>
      <c r="M31" s="398"/>
      <c r="N31" s="398"/>
      <c r="O31" s="398"/>
      <c r="P31" s="398"/>
      <c r="Q31" s="399"/>
      <c r="R31" s="419">
        <v>30</v>
      </c>
      <c r="S31" s="420"/>
      <c r="T31" s="421"/>
      <c r="U31" s="36" t="s">
        <v>174</v>
      </c>
      <c r="V31" s="37"/>
      <c r="W31" s="37"/>
      <c r="X31" s="37"/>
      <c r="Y31" s="37"/>
      <c r="Z31" s="37"/>
      <c r="AA31" s="37"/>
      <c r="AB31" s="37"/>
      <c r="AC31" s="37"/>
      <c r="AD31" s="38"/>
      <c r="AE31" s="397" t="s">
        <v>343</v>
      </c>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8" customFormat="1" ht="55.5" customHeight="1">
      <c r="A32" s="400">
        <v>22</v>
      </c>
      <c r="B32" s="400"/>
      <c r="C32" s="400"/>
      <c r="D32" s="397" t="s">
        <v>200</v>
      </c>
      <c r="E32" s="408"/>
      <c r="F32" s="408"/>
      <c r="G32" s="408"/>
      <c r="H32" s="408"/>
      <c r="I32" s="408"/>
      <c r="J32" s="408"/>
      <c r="K32" s="408"/>
      <c r="L32" s="408"/>
      <c r="M32" s="408"/>
      <c r="N32" s="408"/>
      <c r="O32" s="408"/>
      <c r="P32" s="408"/>
      <c r="Q32" s="409"/>
      <c r="R32" s="396">
        <v>50</v>
      </c>
      <c r="S32" s="396"/>
      <c r="T32" s="396"/>
      <c r="U32" s="36" t="s">
        <v>175</v>
      </c>
      <c r="V32" s="37"/>
      <c r="W32" s="37"/>
      <c r="X32" s="37"/>
      <c r="Y32" s="37"/>
      <c r="Z32" s="37"/>
      <c r="AA32" s="37"/>
      <c r="AB32" s="37"/>
      <c r="AC32" s="37"/>
      <c r="AD32" s="38"/>
      <c r="AE32" s="397" t="s">
        <v>344</v>
      </c>
      <c r="AF32" s="398"/>
      <c r="AG32" s="398"/>
      <c r="AH32" s="398"/>
      <c r="AI32" s="398"/>
      <c r="AJ32" s="398"/>
      <c r="AK32" s="398"/>
      <c r="AL32" s="398"/>
      <c r="AM32" s="398"/>
      <c r="AN32" s="398"/>
      <c r="AO32" s="398"/>
      <c r="AP32" s="398"/>
      <c r="AQ32" s="398"/>
      <c r="AR32" s="398"/>
      <c r="AS32" s="398"/>
      <c r="AT32" s="398"/>
      <c r="AU32" s="398"/>
      <c r="AV32" s="398"/>
      <c r="AW32" s="398"/>
      <c r="AX32" s="398"/>
      <c r="AY32" s="398"/>
      <c r="AZ32" s="398"/>
      <c r="BA32" s="398"/>
      <c r="BB32" s="398"/>
      <c r="BC32" s="398"/>
      <c r="BD32" s="398"/>
      <c r="BE32" s="398"/>
      <c r="BF32" s="398"/>
      <c r="BG32" s="398"/>
      <c r="BH32" s="398"/>
      <c r="BI32" s="398"/>
      <c r="BJ32" s="399"/>
    </row>
    <row r="33" spans="1:62" s="8" customFormat="1" ht="33.6" customHeight="1">
      <c r="A33" s="400">
        <v>23</v>
      </c>
      <c r="B33" s="400"/>
      <c r="C33" s="400"/>
      <c r="D33" s="397" t="s">
        <v>194</v>
      </c>
      <c r="E33" s="408"/>
      <c r="F33" s="408"/>
      <c r="G33" s="408"/>
      <c r="H33" s="408"/>
      <c r="I33" s="408"/>
      <c r="J33" s="408"/>
      <c r="K33" s="408"/>
      <c r="L33" s="408"/>
      <c r="M33" s="408"/>
      <c r="N33" s="408"/>
      <c r="O33" s="408"/>
      <c r="P33" s="408"/>
      <c r="Q33" s="409"/>
      <c r="R33" s="396">
        <v>2</v>
      </c>
      <c r="S33" s="396"/>
      <c r="T33" s="396"/>
      <c r="U33" s="36" t="s">
        <v>202</v>
      </c>
      <c r="V33" s="37"/>
      <c r="W33" s="37"/>
      <c r="X33" s="37"/>
      <c r="Y33" s="37"/>
      <c r="Z33" s="37"/>
      <c r="AA33" s="37"/>
      <c r="AB33" s="37"/>
      <c r="AC33" s="37"/>
      <c r="AD33" s="38"/>
      <c r="AE33" s="397" t="s">
        <v>333</v>
      </c>
      <c r="AF33" s="398"/>
      <c r="AG33" s="398"/>
      <c r="AH33" s="398"/>
      <c r="AI33" s="398"/>
      <c r="AJ33" s="398"/>
      <c r="AK33" s="398"/>
      <c r="AL33" s="398"/>
      <c r="AM33" s="398"/>
      <c r="AN33" s="398"/>
      <c r="AO33" s="398"/>
      <c r="AP33" s="398"/>
      <c r="AQ33" s="398"/>
      <c r="AR33" s="398"/>
      <c r="AS33" s="398"/>
      <c r="AT33" s="398"/>
      <c r="AU33" s="398"/>
      <c r="AV33" s="398"/>
      <c r="AW33" s="398"/>
      <c r="AX33" s="398"/>
      <c r="AY33" s="398"/>
      <c r="AZ33" s="398"/>
      <c r="BA33" s="398"/>
      <c r="BB33" s="398"/>
      <c r="BC33" s="398"/>
      <c r="BD33" s="398"/>
      <c r="BE33" s="398"/>
      <c r="BF33" s="398"/>
      <c r="BG33" s="398"/>
      <c r="BH33" s="398"/>
      <c r="BI33" s="398"/>
      <c r="BJ33" s="399"/>
    </row>
    <row r="34" spans="1:62" s="8" customFormat="1" ht="33.6" customHeight="1">
      <c r="A34" s="400">
        <v>24</v>
      </c>
      <c r="B34" s="400"/>
      <c r="C34" s="400"/>
      <c r="D34" s="397" t="s">
        <v>191</v>
      </c>
      <c r="E34" s="408"/>
      <c r="F34" s="408"/>
      <c r="G34" s="408"/>
      <c r="H34" s="408"/>
      <c r="I34" s="408"/>
      <c r="J34" s="408"/>
      <c r="K34" s="408"/>
      <c r="L34" s="408"/>
      <c r="M34" s="408"/>
      <c r="N34" s="408"/>
      <c r="O34" s="408"/>
      <c r="P34" s="408"/>
      <c r="Q34" s="409"/>
      <c r="R34" s="396">
        <v>7</v>
      </c>
      <c r="S34" s="396"/>
      <c r="T34" s="396"/>
      <c r="U34" s="36" t="s">
        <v>162</v>
      </c>
      <c r="V34" s="37"/>
      <c r="W34" s="37"/>
      <c r="X34" s="37"/>
      <c r="Y34" s="37"/>
      <c r="Z34" s="37"/>
      <c r="AA34" s="37"/>
      <c r="AB34" s="37"/>
      <c r="AC34" s="37"/>
      <c r="AD34" s="38"/>
      <c r="AE34" s="397" t="s">
        <v>334</v>
      </c>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c r="BF34" s="398"/>
      <c r="BG34" s="398"/>
      <c r="BH34" s="398"/>
      <c r="BI34" s="398"/>
      <c r="BJ34" s="399"/>
    </row>
    <row r="35" spans="1:62" s="8" customFormat="1" ht="50.45" customHeight="1">
      <c r="A35" s="400">
        <v>25</v>
      </c>
      <c r="B35" s="400"/>
      <c r="C35" s="400"/>
      <c r="D35" s="397" t="s">
        <v>189</v>
      </c>
      <c r="E35" s="408"/>
      <c r="F35" s="408"/>
      <c r="G35" s="408"/>
      <c r="H35" s="408"/>
      <c r="I35" s="408"/>
      <c r="J35" s="408"/>
      <c r="K35" s="408"/>
      <c r="L35" s="408"/>
      <c r="M35" s="408"/>
      <c r="N35" s="408"/>
      <c r="O35" s="408"/>
      <c r="P35" s="408"/>
      <c r="Q35" s="409"/>
      <c r="R35" s="396">
        <v>60</v>
      </c>
      <c r="S35" s="396"/>
      <c r="T35" s="396"/>
      <c r="U35" s="36" t="s">
        <v>148</v>
      </c>
      <c r="V35" s="37"/>
      <c r="W35" s="37"/>
      <c r="X35" s="37"/>
      <c r="Y35" s="37"/>
      <c r="Z35" s="37"/>
      <c r="AA35" s="37"/>
      <c r="AB35" s="37"/>
      <c r="AC35" s="37"/>
      <c r="AD35" s="38"/>
      <c r="AE35" s="397" t="s">
        <v>335</v>
      </c>
      <c r="AF35" s="398"/>
      <c r="AG35" s="398"/>
      <c r="AH35" s="398"/>
      <c r="AI35" s="398"/>
      <c r="AJ35" s="398"/>
      <c r="AK35" s="398"/>
      <c r="AL35" s="398"/>
      <c r="AM35" s="398"/>
      <c r="AN35" s="398"/>
      <c r="AO35" s="398"/>
      <c r="AP35" s="398"/>
      <c r="AQ35" s="398"/>
      <c r="AR35" s="398"/>
      <c r="AS35" s="398"/>
      <c r="AT35" s="398"/>
      <c r="AU35" s="398"/>
      <c r="AV35" s="398"/>
      <c r="AW35" s="398"/>
      <c r="AX35" s="398"/>
      <c r="AY35" s="398"/>
      <c r="AZ35" s="398"/>
      <c r="BA35" s="398"/>
      <c r="BB35" s="398"/>
      <c r="BC35" s="398"/>
      <c r="BD35" s="398"/>
      <c r="BE35" s="398"/>
      <c r="BF35" s="398"/>
      <c r="BG35" s="398"/>
      <c r="BH35" s="398"/>
      <c r="BI35" s="398"/>
      <c r="BJ35" s="399"/>
    </row>
    <row r="36" spans="1:62" s="8" customFormat="1" ht="60" customHeight="1">
      <c r="A36" s="400">
        <v>26</v>
      </c>
      <c r="B36" s="400"/>
      <c r="C36" s="400"/>
      <c r="D36" s="397" t="s">
        <v>196</v>
      </c>
      <c r="E36" s="398"/>
      <c r="F36" s="398"/>
      <c r="G36" s="398"/>
      <c r="H36" s="398"/>
      <c r="I36" s="398"/>
      <c r="J36" s="398"/>
      <c r="K36" s="398"/>
      <c r="L36" s="398"/>
      <c r="M36" s="398"/>
      <c r="N36" s="398"/>
      <c r="O36" s="398"/>
      <c r="P36" s="398"/>
      <c r="Q36" s="399"/>
      <c r="R36" s="419">
        <v>30</v>
      </c>
      <c r="S36" s="420"/>
      <c r="T36" s="421"/>
      <c r="U36" s="36" t="s">
        <v>174</v>
      </c>
      <c r="V36" s="37"/>
      <c r="W36" s="37"/>
      <c r="X36" s="37"/>
      <c r="Y36" s="37"/>
      <c r="Z36" s="37"/>
      <c r="AA36" s="37"/>
      <c r="AB36" s="37"/>
      <c r="AC36" s="37"/>
      <c r="AD36" s="38"/>
      <c r="AE36" s="397" t="s">
        <v>345</v>
      </c>
      <c r="AF36" s="398"/>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c r="BF36" s="398"/>
      <c r="BG36" s="398"/>
      <c r="BH36" s="398"/>
      <c r="BI36" s="398"/>
      <c r="BJ36" s="399"/>
    </row>
    <row r="37" spans="1:62" s="8" customFormat="1" ht="60" customHeight="1">
      <c r="A37" s="400">
        <v>27</v>
      </c>
      <c r="B37" s="400"/>
      <c r="C37" s="400"/>
      <c r="D37" s="397" t="s">
        <v>199</v>
      </c>
      <c r="E37" s="408"/>
      <c r="F37" s="408"/>
      <c r="G37" s="408"/>
      <c r="H37" s="408"/>
      <c r="I37" s="408"/>
      <c r="J37" s="408"/>
      <c r="K37" s="408"/>
      <c r="L37" s="408"/>
      <c r="M37" s="408"/>
      <c r="N37" s="408"/>
      <c r="O37" s="408"/>
      <c r="P37" s="408"/>
      <c r="Q37" s="409"/>
      <c r="R37" s="396">
        <v>50</v>
      </c>
      <c r="S37" s="396"/>
      <c r="T37" s="396"/>
      <c r="U37" s="36" t="s">
        <v>175</v>
      </c>
      <c r="V37" s="37"/>
      <c r="W37" s="37"/>
      <c r="X37" s="37"/>
      <c r="Y37" s="37"/>
      <c r="Z37" s="37"/>
      <c r="AA37" s="37"/>
      <c r="AB37" s="37"/>
      <c r="AC37" s="37"/>
      <c r="AD37" s="38"/>
      <c r="AE37" s="397" t="s">
        <v>346</v>
      </c>
      <c r="AF37" s="398"/>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c r="BF37" s="398"/>
      <c r="BG37" s="398"/>
      <c r="BH37" s="398"/>
      <c r="BI37" s="398"/>
      <c r="BJ37" s="399"/>
    </row>
    <row r="38" spans="1:62" s="8" customFormat="1" ht="33.6" customHeight="1">
      <c r="A38" s="400">
        <v>28</v>
      </c>
      <c r="B38" s="400"/>
      <c r="C38" s="400"/>
      <c r="D38" s="397" t="s">
        <v>193</v>
      </c>
      <c r="E38" s="408"/>
      <c r="F38" s="408"/>
      <c r="G38" s="408"/>
      <c r="H38" s="408"/>
      <c r="I38" s="408"/>
      <c r="J38" s="408"/>
      <c r="K38" s="408"/>
      <c r="L38" s="408"/>
      <c r="M38" s="408"/>
      <c r="N38" s="408"/>
      <c r="O38" s="408"/>
      <c r="P38" s="408"/>
      <c r="Q38" s="409"/>
      <c r="R38" s="396">
        <v>2</v>
      </c>
      <c r="S38" s="396"/>
      <c r="T38" s="396"/>
      <c r="U38" s="36" t="s">
        <v>202</v>
      </c>
      <c r="V38" s="37"/>
      <c r="W38" s="37"/>
      <c r="X38" s="37"/>
      <c r="Y38" s="37"/>
      <c r="Z38" s="37"/>
      <c r="AA38" s="37"/>
      <c r="AB38" s="37"/>
      <c r="AC38" s="37"/>
      <c r="AD38" s="38"/>
      <c r="AE38" s="397" t="s">
        <v>336</v>
      </c>
      <c r="AF38" s="398"/>
      <c r="AG38" s="398"/>
      <c r="AH38" s="398"/>
      <c r="AI38" s="398"/>
      <c r="AJ38" s="398"/>
      <c r="AK38" s="398"/>
      <c r="AL38" s="398"/>
      <c r="AM38" s="398"/>
      <c r="AN38" s="398"/>
      <c r="AO38" s="398"/>
      <c r="AP38" s="398"/>
      <c r="AQ38" s="398"/>
      <c r="AR38" s="398"/>
      <c r="AS38" s="398"/>
      <c r="AT38" s="398"/>
      <c r="AU38" s="398"/>
      <c r="AV38" s="398"/>
      <c r="AW38" s="398"/>
      <c r="AX38" s="398"/>
      <c r="AY38" s="398"/>
      <c r="AZ38" s="398"/>
      <c r="BA38" s="398"/>
      <c r="BB38" s="398"/>
      <c r="BC38" s="398"/>
      <c r="BD38" s="398"/>
      <c r="BE38" s="398"/>
      <c r="BF38" s="398"/>
      <c r="BG38" s="398"/>
      <c r="BH38" s="398"/>
      <c r="BI38" s="398"/>
      <c r="BJ38" s="399"/>
    </row>
    <row r="39" spans="1:62" s="8" customFormat="1" ht="33.6" customHeight="1">
      <c r="A39" s="400">
        <v>29</v>
      </c>
      <c r="B39" s="400"/>
      <c r="C39" s="400"/>
      <c r="D39" s="397" t="s">
        <v>190</v>
      </c>
      <c r="E39" s="408"/>
      <c r="F39" s="408"/>
      <c r="G39" s="408"/>
      <c r="H39" s="408"/>
      <c r="I39" s="408"/>
      <c r="J39" s="408"/>
      <c r="K39" s="408"/>
      <c r="L39" s="408"/>
      <c r="M39" s="408"/>
      <c r="N39" s="408"/>
      <c r="O39" s="408"/>
      <c r="P39" s="408"/>
      <c r="Q39" s="409"/>
      <c r="R39" s="396">
        <v>7</v>
      </c>
      <c r="S39" s="396"/>
      <c r="T39" s="396"/>
      <c r="U39" s="36" t="s">
        <v>162</v>
      </c>
      <c r="V39" s="37"/>
      <c r="W39" s="37"/>
      <c r="X39" s="37"/>
      <c r="Y39" s="37"/>
      <c r="Z39" s="37"/>
      <c r="AA39" s="37"/>
      <c r="AB39" s="37"/>
      <c r="AC39" s="37"/>
      <c r="AD39" s="38"/>
      <c r="AE39" s="397" t="s">
        <v>337</v>
      </c>
      <c r="AF39" s="398"/>
      <c r="AG39" s="398"/>
      <c r="AH39" s="398"/>
      <c r="AI39" s="398"/>
      <c r="AJ39" s="398"/>
      <c r="AK39" s="398"/>
      <c r="AL39" s="398"/>
      <c r="AM39" s="398"/>
      <c r="AN39" s="398"/>
      <c r="AO39" s="398"/>
      <c r="AP39" s="398"/>
      <c r="AQ39" s="398"/>
      <c r="AR39" s="398"/>
      <c r="AS39" s="398"/>
      <c r="AT39" s="398"/>
      <c r="AU39" s="398"/>
      <c r="AV39" s="398"/>
      <c r="AW39" s="398"/>
      <c r="AX39" s="398"/>
      <c r="AY39" s="398"/>
      <c r="AZ39" s="398"/>
      <c r="BA39" s="398"/>
      <c r="BB39" s="398"/>
      <c r="BC39" s="398"/>
      <c r="BD39" s="398"/>
      <c r="BE39" s="398"/>
      <c r="BF39" s="398"/>
      <c r="BG39" s="398"/>
      <c r="BH39" s="398"/>
      <c r="BI39" s="398"/>
      <c r="BJ39" s="399"/>
    </row>
    <row r="40" spans="1:62" s="8" customFormat="1" ht="48" customHeight="1">
      <c r="A40" s="400">
        <v>30</v>
      </c>
      <c r="B40" s="400"/>
      <c r="C40" s="400"/>
      <c r="D40" s="397" t="s">
        <v>188</v>
      </c>
      <c r="E40" s="408"/>
      <c r="F40" s="408"/>
      <c r="G40" s="408"/>
      <c r="H40" s="408"/>
      <c r="I40" s="408"/>
      <c r="J40" s="408"/>
      <c r="K40" s="408"/>
      <c r="L40" s="408"/>
      <c r="M40" s="408"/>
      <c r="N40" s="408"/>
      <c r="O40" s="408"/>
      <c r="P40" s="408"/>
      <c r="Q40" s="409"/>
      <c r="R40" s="396">
        <v>60</v>
      </c>
      <c r="S40" s="396"/>
      <c r="T40" s="396"/>
      <c r="U40" s="36" t="s">
        <v>148</v>
      </c>
      <c r="V40" s="37"/>
      <c r="W40" s="37"/>
      <c r="X40" s="37"/>
      <c r="Y40" s="37"/>
      <c r="Z40" s="37"/>
      <c r="AA40" s="37"/>
      <c r="AB40" s="37"/>
      <c r="AC40" s="37"/>
      <c r="AD40" s="38"/>
      <c r="AE40" s="397" t="s">
        <v>338</v>
      </c>
      <c r="AF40" s="398"/>
      <c r="AG40" s="398"/>
      <c r="AH40" s="398"/>
      <c r="AI40" s="398"/>
      <c r="AJ40" s="398"/>
      <c r="AK40" s="398"/>
      <c r="AL40" s="398"/>
      <c r="AM40" s="398"/>
      <c r="AN40" s="398"/>
      <c r="AO40" s="398"/>
      <c r="AP40" s="398"/>
      <c r="AQ40" s="398"/>
      <c r="AR40" s="398"/>
      <c r="AS40" s="398"/>
      <c r="AT40" s="398"/>
      <c r="AU40" s="398"/>
      <c r="AV40" s="398"/>
      <c r="AW40" s="398"/>
      <c r="AX40" s="398"/>
      <c r="AY40" s="398"/>
      <c r="AZ40" s="398"/>
      <c r="BA40" s="398"/>
      <c r="BB40" s="398"/>
      <c r="BC40" s="398"/>
      <c r="BD40" s="398"/>
      <c r="BE40" s="398"/>
      <c r="BF40" s="398"/>
      <c r="BG40" s="398"/>
      <c r="BH40" s="398"/>
      <c r="BI40" s="398"/>
      <c r="BJ40" s="399"/>
    </row>
    <row r="41" spans="1:62" s="8" customFormat="1" ht="23.85" customHeight="1">
      <c r="A41" s="400"/>
      <c r="B41" s="400"/>
      <c r="C41" s="400"/>
      <c r="D41" s="401" t="s">
        <v>164</v>
      </c>
      <c r="E41" s="401"/>
      <c r="F41" s="401"/>
      <c r="G41" s="401"/>
      <c r="H41" s="401"/>
      <c r="I41" s="401"/>
      <c r="J41" s="401"/>
      <c r="K41" s="401"/>
      <c r="L41" s="401"/>
      <c r="M41" s="401"/>
      <c r="N41" s="401"/>
      <c r="O41" s="401"/>
      <c r="P41" s="401"/>
      <c r="Q41" s="401"/>
      <c r="R41" s="396"/>
      <c r="S41" s="396"/>
      <c r="T41" s="396"/>
      <c r="U41" s="36"/>
      <c r="V41" s="37"/>
      <c r="W41" s="37"/>
      <c r="X41" s="37"/>
      <c r="Y41" s="37"/>
      <c r="Z41" s="37"/>
      <c r="AA41" s="37"/>
      <c r="AB41" s="37"/>
      <c r="AC41" s="37"/>
      <c r="AD41" s="38"/>
      <c r="AE41" s="397"/>
      <c r="AF41" s="398"/>
      <c r="AG41" s="398"/>
      <c r="AH41" s="398"/>
      <c r="AI41" s="398"/>
      <c r="AJ41" s="398"/>
      <c r="AK41" s="398"/>
      <c r="AL41" s="398"/>
      <c r="AM41" s="398"/>
      <c r="AN41" s="398"/>
      <c r="AO41" s="398"/>
      <c r="AP41" s="398"/>
      <c r="AQ41" s="398"/>
      <c r="AR41" s="398"/>
      <c r="AS41" s="398"/>
      <c r="AT41" s="398"/>
      <c r="AU41" s="398"/>
      <c r="AV41" s="398"/>
      <c r="AW41" s="398"/>
      <c r="AX41" s="398"/>
      <c r="AY41" s="398"/>
      <c r="AZ41" s="398"/>
      <c r="BA41" s="398"/>
      <c r="BB41" s="398"/>
      <c r="BC41" s="398"/>
      <c r="BD41" s="398"/>
      <c r="BE41" s="398"/>
      <c r="BF41" s="398"/>
      <c r="BG41" s="398"/>
      <c r="BH41" s="398"/>
      <c r="BI41" s="398"/>
      <c r="BJ41" s="399"/>
    </row>
    <row r="42" spans="1:62" s="8" customFormat="1" ht="33.6" customHeight="1">
      <c r="A42" s="402">
        <v>31</v>
      </c>
      <c r="B42" s="403"/>
      <c r="C42" s="404"/>
      <c r="D42" s="401" t="s">
        <v>109</v>
      </c>
      <c r="E42" s="401"/>
      <c r="F42" s="401"/>
      <c r="G42" s="401"/>
      <c r="H42" s="401"/>
      <c r="I42" s="401"/>
      <c r="J42" s="401"/>
      <c r="K42" s="401"/>
      <c r="L42" s="401"/>
      <c r="M42" s="401"/>
      <c r="N42" s="401"/>
      <c r="O42" s="401"/>
      <c r="P42" s="401"/>
      <c r="Q42" s="401"/>
      <c r="R42" s="396">
        <v>15</v>
      </c>
      <c r="S42" s="396"/>
      <c r="T42" s="396"/>
      <c r="U42" s="36" t="s">
        <v>174</v>
      </c>
      <c r="V42" s="37"/>
      <c r="W42" s="37"/>
      <c r="X42" s="37"/>
      <c r="Y42" s="37"/>
      <c r="Z42" s="37"/>
      <c r="AA42" s="37"/>
      <c r="AB42" s="37"/>
      <c r="AC42" s="37"/>
      <c r="AD42" s="38"/>
      <c r="AE42" s="397" t="s">
        <v>347</v>
      </c>
      <c r="AF42" s="398"/>
      <c r="AG42" s="398"/>
      <c r="AH42" s="398"/>
      <c r="AI42" s="398"/>
      <c r="AJ42" s="398"/>
      <c r="AK42" s="398"/>
      <c r="AL42" s="398"/>
      <c r="AM42" s="398"/>
      <c r="AN42" s="398"/>
      <c r="AO42" s="398"/>
      <c r="AP42" s="398"/>
      <c r="AQ42" s="398"/>
      <c r="AR42" s="398"/>
      <c r="AS42" s="398"/>
      <c r="AT42" s="398"/>
      <c r="AU42" s="398"/>
      <c r="AV42" s="398"/>
      <c r="AW42" s="398"/>
      <c r="AX42" s="398"/>
      <c r="AY42" s="398"/>
      <c r="AZ42" s="398"/>
      <c r="BA42" s="398"/>
      <c r="BB42" s="398"/>
      <c r="BC42" s="398"/>
      <c r="BD42" s="398"/>
      <c r="BE42" s="398"/>
      <c r="BF42" s="398"/>
      <c r="BG42" s="398"/>
      <c r="BH42" s="398"/>
      <c r="BI42" s="398"/>
      <c r="BJ42" s="399"/>
    </row>
    <row r="43" spans="1:62" s="8" customFormat="1" ht="33.6" customHeight="1">
      <c r="A43" s="402">
        <v>32</v>
      </c>
      <c r="B43" s="403"/>
      <c r="C43" s="404"/>
      <c r="D43" s="401" t="s">
        <v>110</v>
      </c>
      <c r="E43" s="401"/>
      <c r="F43" s="401"/>
      <c r="G43" s="401"/>
      <c r="H43" s="401"/>
      <c r="I43" s="401"/>
      <c r="J43" s="401"/>
      <c r="K43" s="401"/>
      <c r="L43" s="401"/>
      <c r="M43" s="401"/>
      <c r="N43" s="401"/>
      <c r="O43" s="401"/>
      <c r="P43" s="401"/>
      <c r="Q43" s="401"/>
      <c r="R43" s="396">
        <v>15</v>
      </c>
      <c r="S43" s="396"/>
      <c r="T43" s="396"/>
      <c r="U43" s="36" t="s">
        <v>174</v>
      </c>
      <c r="V43" s="37"/>
      <c r="W43" s="37"/>
      <c r="X43" s="37"/>
      <c r="Y43" s="37"/>
      <c r="Z43" s="37"/>
      <c r="AA43" s="37"/>
      <c r="AB43" s="37"/>
      <c r="AC43" s="37"/>
      <c r="AD43" s="38"/>
      <c r="AE43" s="397" t="s">
        <v>348</v>
      </c>
      <c r="AF43" s="398"/>
      <c r="AG43" s="398"/>
      <c r="AH43" s="398"/>
      <c r="AI43" s="398"/>
      <c r="AJ43" s="398"/>
      <c r="AK43" s="398"/>
      <c r="AL43" s="398"/>
      <c r="AM43" s="398"/>
      <c r="AN43" s="398"/>
      <c r="AO43" s="398"/>
      <c r="AP43" s="398"/>
      <c r="AQ43" s="398"/>
      <c r="AR43" s="398"/>
      <c r="AS43" s="398"/>
      <c r="AT43" s="398"/>
      <c r="AU43" s="398"/>
      <c r="AV43" s="398"/>
      <c r="AW43" s="398"/>
      <c r="AX43" s="398"/>
      <c r="AY43" s="398"/>
      <c r="AZ43" s="398"/>
      <c r="BA43" s="398"/>
      <c r="BB43" s="398"/>
      <c r="BC43" s="398"/>
      <c r="BD43" s="398"/>
      <c r="BE43" s="398"/>
      <c r="BF43" s="398"/>
      <c r="BG43" s="398"/>
      <c r="BH43" s="398"/>
      <c r="BI43" s="398"/>
      <c r="BJ43" s="399"/>
    </row>
    <row r="44" spans="1:62" s="8" customFormat="1" ht="164.45" customHeight="1">
      <c r="A44" s="402">
        <v>33</v>
      </c>
      <c r="B44" s="403"/>
      <c r="C44" s="404"/>
      <c r="D44" s="401" t="s">
        <v>115</v>
      </c>
      <c r="E44" s="401"/>
      <c r="F44" s="401"/>
      <c r="G44" s="401"/>
      <c r="H44" s="401"/>
      <c r="I44" s="401"/>
      <c r="J44" s="401"/>
      <c r="K44" s="401"/>
      <c r="L44" s="401"/>
      <c r="M44" s="401"/>
      <c r="N44" s="401"/>
      <c r="O44" s="401"/>
      <c r="P44" s="401"/>
      <c r="Q44" s="401"/>
      <c r="R44" s="396">
        <v>160</v>
      </c>
      <c r="S44" s="396"/>
      <c r="T44" s="396"/>
      <c r="U44" s="36" t="s">
        <v>155</v>
      </c>
      <c r="V44" s="37"/>
      <c r="W44" s="37"/>
      <c r="X44" s="37"/>
      <c r="Y44" s="37"/>
      <c r="Z44" s="37"/>
      <c r="AA44" s="37"/>
      <c r="AB44" s="37"/>
      <c r="AC44" s="37"/>
      <c r="AD44" s="38"/>
      <c r="AE44" s="397" t="s">
        <v>349</v>
      </c>
      <c r="AF44" s="398"/>
      <c r="AG44" s="398"/>
      <c r="AH44" s="398"/>
      <c r="AI44" s="398"/>
      <c r="AJ44" s="398"/>
      <c r="AK44" s="398"/>
      <c r="AL44" s="398"/>
      <c r="AM44" s="398"/>
      <c r="AN44" s="398"/>
      <c r="AO44" s="398"/>
      <c r="AP44" s="398"/>
      <c r="AQ44" s="398"/>
      <c r="AR44" s="398"/>
      <c r="AS44" s="398"/>
      <c r="AT44" s="398"/>
      <c r="AU44" s="398"/>
      <c r="AV44" s="398"/>
      <c r="AW44" s="398"/>
      <c r="AX44" s="398"/>
      <c r="AY44" s="398"/>
      <c r="AZ44" s="398"/>
      <c r="BA44" s="398"/>
      <c r="BB44" s="398"/>
      <c r="BC44" s="398"/>
      <c r="BD44" s="398"/>
      <c r="BE44" s="398"/>
      <c r="BF44" s="398"/>
      <c r="BG44" s="398"/>
      <c r="BH44" s="398"/>
      <c r="BI44" s="398"/>
      <c r="BJ44" s="399"/>
    </row>
    <row r="45" spans="1:62" s="8" customFormat="1" ht="76.349999999999994" customHeight="1">
      <c r="A45" s="402">
        <v>34</v>
      </c>
      <c r="B45" s="403"/>
      <c r="C45" s="404"/>
      <c r="D45" s="401" t="s">
        <v>363</v>
      </c>
      <c r="E45" s="401"/>
      <c r="F45" s="401"/>
      <c r="G45" s="401"/>
      <c r="H45" s="401"/>
      <c r="I45" s="401"/>
      <c r="J45" s="401"/>
      <c r="K45" s="401"/>
      <c r="L45" s="401"/>
      <c r="M45" s="401"/>
      <c r="N45" s="401"/>
      <c r="O45" s="401"/>
      <c r="P45" s="401"/>
      <c r="Q45" s="401"/>
      <c r="R45" s="396">
        <v>16</v>
      </c>
      <c r="S45" s="396"/>
      <c r="T45" s="396"/>
      <c r="U45" s="36" t="s">
        <v>184</v>
      </c>
      <c r="V45" s="37"/>
      <c r="W45" s="37"/>
      <c r="X45" s="37"/>
      <c r="Y45" s="37"/>
      <c r="Z45" s="37"/>
      <c r="AA45" s="37"/>
      <c r="AB45" s="37"/>
      <c r="AC45" s="37"/>
      <c r="AD45" s="38"/>
      <c r="AE45" s="397" t="s">
        <v>350</v>
      </c>
      <c r="AF45" s="398"/>
      <c r="AG45" s="398"/>
      <c r="AH45" s="398"/>
      <c r="AI45" s="398"/>
      <c r="AJ45" s="398"/>
      <c r="AK45" s="398"/>
      <c r="AL45" s="398"/>
      <c r="AM45" s="398"/>
      <c r="AN45" s="398"/>
      <c r="AO45" s="398"/>
      <c r="AP45" s="398"/>
      <c r="AQ45" s="398"/>
      <c r="AR45" s="398"/>
      <c r="AS45" s="398"/>
      <c r="AT45" s="398"/>
      <c r="AU45" s="398"/>
      <c r="AV45" s="398"/>
      <c r="AW45" s="398"/>
      <c r="AX45" s="398"/>
      <c r="AY45" s="398"/>
      <c r="AZ45" s="398"/>
      <c r="BA45" s="398"/>
      <c r="BB45" s="398"/>
      <c r="BC45" s="398"/>
      <c r="BD45" s="398"/>
      <c r="BE45" s="398"/>
      <c r="BF45" s="398"/>
      <c r="BG45" s="398"/>
      <c r="BH45" s="398"/>
      <c r="BI45" s="398"/>
      <c r="BJ45" s="399"/>
    </row>
    <row r="46" spans="1:62" s="8" customFormat="1" ht="73.5" customHeight="1">
      <c r="A46" s="402">
        <v>35</v>
      </c>
      <c r="B46" s="403"/>
      <c r="C46" s="404"/>
      <c r="D46" s="401" t="s">
        <v>208</v>
      </c>
      <c r="E46" s="401"/>
      <c r="F46" s="401"/>
      <c r="G46" s="401"/>
      <c r="H46" s="401"/>
      <c r="I46" s="401"/>
      <c r="J46" s="401"/>
      <c r="K46" s="401"/>
      <c r="L46" s="401"/>
      <c r="M46" s="401"/>
      <c r="N46" s="401"/>
      <c r="O46" s="401"/>
      <c r="P46" s="401"/>
      <c r="Q46" s="401"/>
      <c r="R46" s="396">
        <v>7</v>
      </c>
      <c r="S46" s="396"/>
      <c r="T46" s="396"/>
      <c r="U46" s="36" t="s">
        <v>218</v>
      </c>
      <c r="V46" s="37"/>
      <c r="W46" s="37"/>
      <c r="X46" s="37"/>
      <c r="Y46" s="37"/>
      <c r="Z46" s="37"/>
      <c r="AA46" s="37"/>
      <c r="AB46" s="37"/>
      <c r="AC46" s="37"/>
      <c r="AD46" s="38"/>
      <c r="AE46" s="397" t="s">
        <v>351</v>
      </c>
      <c r="AF46" s="398"/>
      <c r="AG46" s="398"/>
      <c r="AH46" s="398"/>
      <c r="AI46" s="398"/>
      <c r="AJ46" s="398"/>
      <c r="AK46" s="398"/>
      <c r="AL46" s="398"/>
      <c r="AM46" s="398"/>
      <c r="AN46" s="398"/>
      <c r="AO46" s="398"/>
      <c r="AP46" s="398"/>
      <c r="AQ46" s="398"/>
      <c r="AR46" s="398"/>
      <c r="AS46" s="398"/>
      <c r="AT46" s="398"/>
      <c r="AU46" s="398"/>
      <c r="AV46" s="398"/>
      <c r="AW46" s="398"/>
      <c r="AX46" s="398"/>
      <c r="AY46" s="398"/>
      <c r="AZ46" s="398"/>
      <c r="BA46" s="398"/>
      <c r="BB46" s="398"/>
      <c r="BC46" s="398"/>
      <c r="BD46" s="398"/>
      <c r="BE46" s="398"/>
      <c r="BF46" s="398"/>
      <c r="BG46" s="398"/>
      <c r="BH46" s="398"/>
      <c r="BI46" s="398"/>
      <c r="BJ46" s="399"/>
    </row>
    <row r="47" spans="1:62" s="8" customFormat="1" ht="75.599999999999994" customHeight="1">
      <c r="A47" s="402">
        <v>36</v>
      </c>
      <c r="B47" s="403"/>
      <c r="C47" s="404"/>
      <c r="D47" s="401" t="s">
        <v>211</v>
      </c>
      <c r="E47" s="401"/>
      <c r="F47" s="401"/>
      <c r="G47" s="401"/>
      <c r="H47" s="401"/>
      <c r="I47" s="401"/>
      <c r="J47" s="401"/>
      <c r="K47" s="401"/>
      <c r="L47" s="401"/>
      <c r="M47" s="401"/>
      <c r="N47" s="401"/>
      <c r="O47" s="401"/>
      <c r="P47" s="401"/>
      <c r="Q47" s="401"/>
      <c r="R47" s="396">
        <v>17</v>
      </c>
      <c r="S47" s="396"/>
      <c r="T47" s="396"/>
      <c r="U47" s="36" t="s">
        <v>156</v>
      </c>
      <c r="V47" s="37"/>
      <c r="W47" s="37"/>
      <c r="X47" s="37"/>
      <c r="Y47" s="37"/>
      <c r="Z47" s="37"/>
      <c r="AA47" s="37"/>
      <c r="AB47" s="37"/>
      <c r="AC47" s="37"/>
      <c r="AD47" s="38"/>
      <c r="AE47" s="397" t="s">
        <v>352</v>
      </c>
      <c r="AF47" s="398"/>
      <c r="AG47" s="398"/>
      <c r="AH47" s="398"/>
      <c r="AI47" s="398"/>
      <c r="AJ47" s="398"/>
      <c r="AK47" s="398"/>
      <c r="AL47" s="398"/>
      <c r="AM47" s="398"/>
      <c r="AN47" s="398"/>
      <c r="AO47" s="398"/>
      <c r="AP47" s="398"/>
      <c r="AQ47" s="398"/>
      <c r="AR47" s="398"/>
      <c r="AS47" s="398"/>
      <c r="AT47" s="398"/>
      <c r="AU47" s="398"/>
      <c r="AV47" s="398"/>
      <c r="AW47" s="398"/>
      <c r="AX47" s="398"/>
      <c r="AY47" s="398"/>
      <c r="AZ47" s="398"/>
      <c r="BA47" s="398"/>
      <c r="BB47" s="398"/>
      <c r="BC47" s="398"/>
      <c r="BD47" s="398"/>
      <c r="BE47" s="398"/>
      <c r="BF47" s="398"/>
      <c r="BG47" s="398"/>
      <c r="BH47" s="398"/>
      <c r="BI47" s="398"/>
      <c r="BJ47" s="399"/>
    </row>
    <row r="48" spans="1:62" s="8" customFormat="1" ht="102" customHeight="1">
      <c r="A48" s="402">
        <v>37</v>
      </c>
      <c r="B48" s="403"/>
      <c r="C48" s="404"/>
      <c r="D48" s="401" t="s">
        <v>165</v>
      </c>
      <c r="E48" s="401"/>
      <c r="F48" s="401"/>
      <c r="G48" s="401"/>
      <c r="H48" s="401"/>
      <c r="I48" s="401"/>
      <c r="J48" s="401"/>
      <c r="K48" s="401"/>
      <c r="L48" s="401"/>
      <c r="M48" s="401"/>
      <c r="N48" s="401"/>
      <c r="O48" s="401"/>
      <c r="P48" s="401"/>
      <c r="Q48" s="401"/>
      <c r="R48" s="396">
        <v>17</v>
      </c>
      <c r="S48" s="396"/>
      <c r="T48" s="396"/>
      <c r="U48" s="36" t="s">
        <v>156</v>
      </c>
      <c r="V48" s="37"/>
      <c r="W48" s="37"/>
      <c r="X48" s="37"/>
      <c r="Y48" s="37"/>
      <c r="Z48" s="37"/>
      <c r="AA48" s="37"/>
      <c r="AB48" s="37"/>
      <c r="AC48" s="37"/>
      <c r="AD48" s="38"/>
      <c r="AE48" s="397" t="s">
        <v>353</v>
      </c>
      <c r="AF48" s="398"/>
      <c r="AG48" s="398"/>
      <c r="AH48" s="398"/>
      <c r="AI48" s="398"/>
      <c r="AJ48" s="398"/>
      <c r="AK48" s="398"/>
      <c r="AL48" s="398"/>
      <c r="AM48" s="398"/>
      <c r="AN48" s="398"/>
      <c r="AO48" s="398"/>
      <c r="AP48" s="398"/>
      <c r="AQ48" s="398"/>
      <c r="AR48" s="398"/>
      <c r="AS48" s="398"/>
      <c r="AT48" s="398"/>
      <c r="AU48" s="398"/>
      <c r="AV48" s="398"/>
      <c r="AW48" s="398"/>
      <c r="AX48" s="398"/>
      <c r="AY48" s="398"/>
      <c r="AZ48" s="398"/>
      <c r="BA48" s="398"/>
      <c r="BB48" s="398"/>
      <c r="BC48" s="398"/>
      <c r="BD48" s="398"/>
      <c r="BE48" s="398"/>
      <c r="BF48" s="398"/>
      <c r="BG48" s="398"/>
      <c r="BH48" s="398"/>
      <c r="BI48" s="398"/>
      <c r="BJ48" s="399"/>
    </row>
    <row r="49" spans="1:62" s="8" customFormat="1" ht="110.45" customHeight="1">
      <c r="A49" s="402">
        <v>38</v>
      </c>
      <c r="B49" s="403"/>
      <c r="C49" s="404"/>
      <c r="D49" s="401" t="s">
        <v>166</v>
      </c>
      <c r="E49" s="401"/>
      <c r="F49" s="401"/>
      <c r="G49" s="401"/>
      <c r="H49" s="401"/>
      <c r="I49" s="401"/>
      <c r="J49" s="401"/>
      <c r="K49" s="401"/>
      <c r="L49" s="401"/>
      <c r="M49" s="401"/>
      <c r="N49" s="401"/>
      <c r="O49" s="401"/>
      <c r="P49" s="401"/>
      <c r="Q49" s="401"/>
      <c r="R49" s="396">
        <v>17</v>
      </c>
      <c r="S49" s="396"/>
      <c r="T49" s="396"/>
      <c r="U49" s="36" t="s">
        <v>156</v>
      </c>
      <c r="V49" s="37"/>
      <c r="W49" s="37"/>
      <c r="X49" s="37"/>
      <c r="Y49" s="37"/>
      <c r="Z49" s="37"/>
      <c r="AA49" s="37"/>
      <c r="AB49" s="37"/>
      <c r="AC49" s="37"/>
      <c r="AD49" s="38"/>
      <c r="AE49" s="397" t="s">
        <v>354</v>
      </c>
      <c r="AF49" s="398"/>
      <c r="AG49" s="398"/>
      <c r="AH49" s="398"/>
      <c r="AI49" s="398"/>
      <c r="AJ49" s="398"/>
      <c r="AK49" s="398"/>
      <c r="AL49" s="398"/>
      <c r="AM49" s="398"/>
      <c r="AN49" s="398"/>
      <c r="AO49" s="398"/>
      <c r="AP49" s="398"/>
      <c r="AQ49" s="398"/>
      <c r="AR49" s="398"/>
      <c r="AS49" s="398"/>
      <c r="AT49" s="398"/>
      <c r="AU49" s="398"/>
      <c r="AV49" s="398"/>
      <c r="AW49" s="398"/>
      <c r="AX49" s="398"/>
      <c r="AY49" s="398"/>
      <c r="AZ49" s="398"/>
      <c r="BA49" s="398"/>
      <c r="BB49" s="398"/>
      <c r="BC49" s="398"/>
      <c r="BD49" s="398"/>
      <c r="BE49" s="398"/>
      <c r="BF49" s="398"/>
      <c r="BG49" s="398"/>
      <c r="BH49" s="398"/>
      <c r="BI49" s="398"/>
      <c r="BJ49" s="399"/>
    </row>
    <row r="50" spans="1:62" s="8" customFormat="1" ht="47.85" customHeight="1">
      <c r="A50" s="402">
        <v>39</v>
      </c>
      <c r="B50" s="403"/>
      <c r="C50" s="404"/>
      <c r="D50" s="401" t="s">
        <v>167</v>
      </c>
      <c r="E50" s="401"/>
      <c r="F50" s="401"/>
      <c r="G50" s="401"/>
      <c r="H50" s="401"/>
      <c r="I50" s="401"/>
      <c r="J50" s="401"/>
      <c r="K50" s="401"/>
      <c r="L50" s="401"/>
      <c r="M50" s="401"/>
      <c r="N50" s="401"/>
      <c r="O50" s="401"/>
      <c r="P50" s="401"/>
      <c r="Q50" s="401"/>
      <c r="R50" s="396">
        <v>17</v>
      </c>
      <c r="S50" s="396"/>
      <c r="T50" s="396"/>
      <c r="U50" s="36" t="s">
        <v>156</v>
      </c>
      <c r="V50" s="37"/>
      <c r="W50" s="37"/>
      <c r="X50" s="37"/>
      <c r="Y50" s="37"/>
      <c r="Z50" s="37"/>
      <c r="AA50" s="37"/>
      <c r="AB50" s="37"/>
      <c r="AC50" s="37"/>
      <c r="AD50" s="38"/>
      <c r="AE50" s="397" t="s">
        <v>355</v>
      </c>
      <c r="AF50" s="398"/>
      <c r="AG50" s="398"/>
      <c r="AH50" s="398"/>
      <c r="AI50" s="398"/>
      <c r="AJ50" s="398"/>
      <c r="AK50" s="398"/>
      <c r="AL50" s="398"/>
      <c r="AM50" s="398"/>
      <c r="AN50" s="398"/>
      <c r="AO50" s="398"/>
      <c r="AP50" s="398"/>
      <c r="AQ50" s="398"/>
      <c r="AR50" s="398"/>
      <c r="AS50" s="398"/>
      <c r="AT50" s="398"/>
      <c r="AU50" s="398"/>
      <c r="AV50" s="398"/>
      <c r="AW50" s="398"/>
      <c r="AX50" s="398"/>
      <c r="AY50" s="398"/>
      <c r="AZ50" s="398"/>
      <c r="BA50" s="398"/>
      <c r="BB50" s="398"/>
      <c r="BC50" s="398"/>
      <c r="BD50" s="398"/>
      <c r="BE50" s="398"/>
      <c r="BF50" s="398"/>
      <c r="BG50" s="398"/>
      <c r="BH50" s="398"/>
      <c r="BI50" s="398"/>
      <c r="BJ50" s="399"/>
    </row>
    <row r="51" spans="1:62" s="8" customFormat="1" ht="23.85" customHeight="1">
      <c r="A51" s="402">
        <v>40</v>
      </c>
      <c r="B51" s="403"/>
      <c r="C51" s="404"/>
      <c r="D51" s="401" t="s">
        <v>168</v>
      </c>
      <c r="E51" s="401"/>
      <c r="F51" s="401"/>
      <c r="G51" s="401"/>
      <c r="H51" s="401"/>
      <c r="I51" s="401"/>
      <c r="J51" s="401"/>
      <c r="K51" s="401"/>
      <c r="L51" s="401"/>
      <c r="M51" s="401"/>
      <c r="N51" s="401"/>
      <c r="O51" s="401"/>
      <c r="P51" s="401"/>
      <c r="Q51" s="401"/>
      <c r="R51" s="396">
        <v>17</v>
      </c>
      <c r="S51" s="396"/>
      <c r="T51" s="396"/>
      <c r="U51" s="36" t="s">
        <v>156</v>
      </c>
      <c r="V51" s="37"/>
      <c r="W51" s="37"/>
      <c r="X51" s="37"/>
      <c r="Y51" s="37"/>
      <c r="Z51" s="37"/>
      <c r="AA51" s="37"/>
      <c r="AB51" s="37"/>
      <c r="AC51" s="37"/>
      <c r="AD51" s="38"/>
      <c r="AE51" s="397" t="s">
        <v>221</v>
      </c>
      <c r="AF51" s="398"/>
      <c r="AG51" s="398"/>
      <c r="AH51" s="398"/>
      <c r="AI51" s="398"/>
      <c r="AJ51" s="398"/>
      <c r="AK51" s="398"/>
      <c r="AL51" s="398"/>
      <c r="AM51" s="398"/>
      <c r="AN51" s="398"/>
      <c r="AO51" s="398"/>
      <c r="AP51" s="398"/>
      <c r="AQ51" s="398"/>
      <c r="AR51" s="398"/>
      <c r="AS51" s="398"/>
      <c r="AT51" s="398"/>
      <c r="AU51" s="398"/>
      <c r="AV51" s="398"/>
      <c r="AW51" s="398"/>
      <c r="AX51" s="398"/>
      <c r="AY51" s="398"/>
      <c r="AZ51" s="398"/>
      <c r="BA51" s="398"/>
      <c r="BB51" s="398"/>
      <c r="BC51" s="398"/>
      <c r="BD51" s="398"/>
      <c r="BE51" s="398"/>
      <c r="BF51" s="398"/>
      <c r="BG51" s="398"/>
      <c r="BH51" s="398"/>
      <c r="BI51" s="398"/>
      <c r="BJ51" s="399"/>
    </row>
    <row r="52" spans="1:62" s="8" customFormat="1" ht="23.85" customHeight="1">
      <c r="A52" s="402">
        <v>41</v>
      </c>
      <c r="B52" s="403"/>
      <c r="C52" s="404"/>
      <c r="D52" s="401" t="s">
        <v>169</v>
      </c>
      <c r="E52" s="401"/>
      <c r="F52" s="401"/>
      <c r="G52" s="401"/>
      <c r="H52" s="401"/>
      <c r="I52" s="401"/>
      <c r="J52" s="401"/>
      <c r="K52" s="401"/>
      <c r="L52" s="401"/>
      <c r="M52" s="401"/>
      <c r="N52" s="401"/>
      <c r="O52" s="401"/>
      <c r="P52" s="401"/>
      <c r="Q52" s="401"/>
      <c r="R52" s="396">
        <v>17</v>
      </c>
      <c r="S52" s="396"/>
      <c r="T52" s="396"/>
      <c r="U52" s="36" t="s">
        <v>156</v>
      </c>
      <c r="V52" s="37"/>
      <c r="W52" s="37"/>
      <c r="X52" s="37"/>
      <c r="Y52" s="37"/>
      <c r="Z52" s="37"/>
      <c r="AA52" s="37"/>
      <c r="AB52" s="37"/>
      <c r="AC52" s="37"/>
      <c r="AD52" s="38"/>
      <c r="AE52" s="397" t="s">
        <v>222</v>
      </c>
      <c r="AF52" s="398"/>
      <c r="AG52" s="398"/>
      <c r="AH52" s="398"/>
      <c r="AI52" s="398"/>
      <c r="AJ52" s="398"/>
      <c r="AK52" s="398"/>
      <c r="AL52" s="398"/>
      <c r="AM52" s="398"/>
      <c r="AN52" s="398"/>
      <c r="AO52" s="398"/>
      <c r="AP52" s="398"/>
      <c r="AQ52" s="398"/>
      <c r="AR52" s="398"/>
      <c r="AS52" s="398"/>
      <c r="AT52" s="398"/>
      <c r="AU52" s="398"/>
      <c r="AV52" s="398"/>
      <c r="AW52" s="398"/>
      <c r="AX52" s="398"/>
      <c r="AY52" s="398"/>
      <c r="AZ52" s="398"/>
      <c r="BA52" s="398"/>
      <c r="BB52" s="398"/>
      <c r="BC52" s="398"/>
      <c r="BD52" s="398"/>
      <c r="BE52" s="398"/>
      <c r="BF52" s="398"/>
      <c r="BG52" s="398"/>
      <c r="BH52" s="398"/>
      <c r="BI52" s="398"/>
      <c r="BJ52" s="399"/>
    </row>
    <row r="53" spans="1:62" s="8" customFormat="1" ht="23.85" customHeight="1">
      <c r="A53" s="400"/>
      <c r="B53" s="400"/>
      <c r="C53" s="400"/>
      <c r="D53" s="401" t="s">
        <v>215</v>
      </c>
      <c r="E53" s="401"/>
      <c r="F53" s="401"/>
      <c r="G53" s="401"/>
      <c r="H53" s="401"/>
      <c r="I53" s="401"/>
      <c r="J53" s="401"/>
      <c r="K53" s="401"/>
      <c r="L53" s="401"/>
      <c r="M53" s="401"/>
      <c r="N53" s="401"/>
      <c r="O53" s="401"/>
      <c r="P53" s="401"/>
      <c r="Q53" s="401"/>
      <c r="R53" s="396"/>
      <c r="S53" s="396"/>
      <c r="T53" s="396"/>
      <c r="U53" s="36"/>
      <c r="V53" s="37"/>
      <c r="W53" s="37"/>
      <c r="X53" s="37"/>
      <c r="Y53" s="37"/>
      <c r="Z53" s="37"/>
      <c r="AA53" s="37"/>
      <c r="AB53" s="37"/>
      <c r="AC53" s="37"/>
      <c r="AD53" s="38"/>
      <c r="AE53" s="397"/>
      <c r="AF53" s="398"/>
      <c r="AG53" s="398"/>
      <c r="AH53" s="398"/>
      <c r="AI53" s="398"/>
      <c r="AJ53" s="398"/>
      <c r="AK53" s="398"/>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9"/>
    </row>
    <row r="54" spans="1:62" s="8" customFormat="1" ht="54.6" customHeight="1">
      <c r="A54" s="402">
        <v>42</v>
      </c>
      <c r="B54" s="403"/>
      <c r="C54" s="404"/>
      <c r="D54" s="401" t="s">
        <v>216</v>
      </c>
      <c r="E54" s="401"/>
      <c r="F54" s="401"/>
      <c r="G54" s="401"/>
      <c r="H54" s="401"/>
      <c r="I54" s="401"/>
      <c r="J54" s="401"/>
      <c r="K54" s="401"/>
      <c r="L54" s="401"/>
      <c r="M54" s="401"/>
      <c r="N54" s="401"/>
      <c r="O54" s="401"/>
      <c r="P54" s="401"/>
      <c r="Q54" s="401"/>
      <c r="R54" s="396">
        <v>25</v>
      </c>
      <c r="S54" s="396"/>
      <c r="T54" s="396"/>
      <c r="U54" s="36" t="s">
        <v>175</v>
      </c>
      <c r="V54" s="37"/>
      <c r="W54" s="37"/>
      <c r="X54" s="37"/>
      <c r="Y54" s="37"/>
      <c r="Z54" s="37"/>
      <c r="AA54" s="37"/>
      <c r="AB54" s="37"/>
      <c r="AC54" s="37"/>
      <c r="AD54" s="38"/>
      <c r="AE54" s="397" t="s">
        <v>356</v>
      </c>
      <c r="AF54" s="398"/>
      <c r="AG54" s="398"/>
      <c r="AH54" s="398"/>
      <c r="AI54" s="398"/>
      <c r="AJ54" s="398"/>
      <c r="AK54" s="398"/>
      <c r="AL54" s="398"/>
      <c r="AM54" s="398"/>
      <c r="AN54" s="398"/>
      <c r="AO54" s="398"/>
      <c r="AP54" s="398"/>
      <c r="AQ54" s="398"/>
      <c r="AR54" s="398"/>
      <c r="AS54" s="398"/>
      <c r="AT54" s="398"/>
      <c r="AU54" s="398"/>
      <c r="AV54" s="398"/>
      <c r="AW54" s="398"/>
      <c r="AX54" s="398"/>
      <c r="AY54" s="398"/>
      <c r="AZ54" s="398"/>
      <c r="BA54" s="398"/>
      <c r="BB54" s="398"/>
      <c r="BC54" s="398"/>
      <c r="BD54" s="398"/>
      <c r="BE54" s="398"/>
      <c r="BF54" s="398"/>
      <c r="BG54" s="398"/>
      <c r="BH54" s="398"/>
      <c r="BI54" s="398"/>
      <c r="BJ54" s="399"/>
    </row>
    <row r="55" spans="1:62" s="8" customFormat="1" ht="33.6" customHeight="1">
      <c r="A55" s="402">
        <v>43</v>
      </c>
      <c r="B55" s="403"/>
      <c r="C55" s="404"/>
      <c r="D55" s="401" t="s">
        <v>217</v>
      </c>
      <c r="E55" s="401"/>
      <c r="F55" s="401"/>
      <c r="G55" s="401"/>
      <c r="H55" s="401"/>
      <c r="I55" s="401"/>
      <c r="J55" s="401"/>
      <c r="K55" s="401"/>
      <c r="L55" s="401"/>
      <c r="M55" s="401"/>
      <c r="N55" s="401"/>
      <c r="O55" s="401"/>
      <c r="P55" s="401"/>
      <c r="Q55" s="401"/>
      <c r="R55" s="396">
        <v>17</v>
      </c>
      <c r="S55" s="396"/>
      <c r="T55" s="396"/>
      <c r="U55" s="36" t="s">
        <v>156</v>
      </c>
      <c r="V55" s="37"/>
      <c r="W55" s="37"/>
      <c r="X55" s="37"/>
      <c r="Y55" s="37"/>
      <c r="Z55" s="37"/>
      <c r="AA55" s="37"/>
      <c r="AB55" s="37"/>
      <c r="AC55" s="37"/>
      <c r="AD55" s="38"/>
      <c r="AE55" s="397" t="s">
        <v>357</v>
      </c>
      <c r="AF55" s="398"/>
      <c r="AG55" s="398"/>
      <c r="AH55" s="398"/>
      <c r="AI55" s="398"/>
      <c r="AJ55" s="398"/>
      <c r="AK55" s="398"/>
      <c r="AL55" s="398"/>
      <c r="AM55" s="398"/>
      <c r="AN55" s="398"/>
      <c r="AO55" s="398"/>
      <c r="AP55" s="398"/>
      <c r="AQ55" s="398"/>
      <c r="AR55" s="398"/>
      <c r="AS55" s="398"/>
      <c r="AT55" s="398"/>
      <c r="AU55" s="398"/>
      <c r="AV55" s="398"/>
      <c r="AW55" s="398"/>
      <c r="AX55" s="398"/>
      <c r="AY55" s="398"/>
      <c r="AZ55" s="398"/>
      <c r="BA55" s="398"/>
      <c r="BB55" s="398"/>
      <c r="BC55" s="398"/>
      <c r="BD55" s="398"/>
      <c r="BE55" s="398"/>
      <c r="BF55" s="398"/>
      <c r="BG55" s="398"/>
      <c r="BH55" s="398"/>
      <c r="BI55" s="398"/>
      <c r="BJ55" s="399"/>
    </row>
    <row r="56" spans="1:62" s="8" customFormat="1" ht="23.85" customHeight="1">
      <c r="A56" s="400"/>
      <c r="B56" s="400"/>
      <c r="C56" s="400"/>
      <c r="D56" s="401" t="s">
        <v>170</v>
      </c>
      <c r="E56" s="401"/>
      <c r="F56" s="401"/>
      <c r="G56" s="401"/>
      <c r="H56" s="401"/>
      <c r="I56" s="401"/>
      <c r="J56" s="401"/>
      <c r="K56" s="401"/>
      <c r="L56" s="401"/>
      <c r="M56" s="401"/>
      <c r="N56" s="401"/>
      <c r="O56" s="401"/>
      <c r="P56" s="401"/>
      <c r="Q56" s="401"/>
      <c r="R56" s="396"/>
      <c r="S56" s="396"/>
      <c r="T56" s="396"/>
      <c r="U56" s="36"/>
      <c r="V56" s="37"/>
      <c r="W56" s="37"/>
      <c r="X56" s="37"/>
      <c r="Y56" s="37"/>
      <c r="Z56" s="37"/>
      <c r="AA56" s="37"/>
      <c r="AB56" s="37"/>
      <c r="AC56" s="37"/>
      <c r="AD56" s="38"/>
      <c r="AE56" s="397"/>
      <c r="AF56" s="398"/>
      <c r="AG56" s="398"/>
      <c r="AH56" s="398"/>
      <c r="AI56" s="398"/>
      <c r="AJ56" s="398"/>
      <c r="AK56" s="398"/>
      <c r="AL56" s="398"/>
      <c r="AM56" s="398"/>
      <c r="AN56" s="398"/>
      <c r="AO56" s="398"/>
      <c r="AP56" s="398"/>
      <c r="AQ56" s="398"/>
      <c r="AR56" s="398"/>
      <c r="AS56" s="398"/>
      <c r="AT56" s="398"/>
      <c r="AU56" s="398"/>
      <c r="AV56" s="398"/>
      <c r="AW56" s="398"/>
      <c r="AX56" s="398"/>
      <c r="AY56" s="398"/>
      <c r="AZ56" s="398"/>
      <c r="BA56" s="398"/>
      <c r="BB56" s="398"/>
      <c r="BC56" s="398"/>
      <c r="BD56" s="398"/>
      <c r="BE56" s="398"/>
      <c r="BF56" s="398"/>
      <c r="BG56" s="398"/>
      <c r="BH56" s="398"/>
      <c r="BI56" s="398"/>
      <c r="BJ56" s="399"/>
    </row>
    <row r="57" spans="1:62" s="8" customFormat="1" ht="33.6" customHeight="1">
      <c r="A57" s="402">
        <v>44</v>
      </c>
      <c r="B57" s="403"/>
      <c r="C57" s="404"/>
      <c r="D57" s="401" t="s">
        <v>114</v>
      </c>
      <c r="E57" s="401"/>
      <c r="F57" s="401"/>
      <c r="G57" s="401"/>
      <c r="H57" s="401"/>
      <c r="I57" s="401"/>
      <c r="J57" s="401"/>
      <c r="K57" s="401"/>
      <c r="L57" s="401"/>
      <c r="M57" s="401"/>
      <c r="N57" s="401"/>
      <c r="O57" s="401"/>
      <c r="P57" s="401"/>
      <c r="Q57" s="401"/>
      <c r="R57" s="396">
        <v>36</v>
      </c>
      <c r="S57" s="396"/>
      <c r="T57" s="396"/>
      <c r="U57" s="36" t="s">
        <v>204</v>
      </c>
      <c r="V57" s="37"/>
      <c r="W57" s="37"/>
      <c r="X57" s="37"/>
      <c r="Y57" s="37"/>
      <c r="Z57" s="37"/>
      <c r="AA57" s="37"/>
      <c r="AB57" s="37"/>
      <c r="AC57" s="37"/>
      <c r="AD57" s="38"/>
      <c r="AE57" s="397" t="s">
        <v>358</v>
      </c>
      <c r="AF57" s="398"/>
      <c r="AG57" s="398"/>
      <c r="AH57" s="398"/>
      <c r="AI57" s="398"/>
      <c r="AJ57" s="398"/>
      <c r="AK57" s="398"/>
      <c r="AL57" s="398"/>
      <c r="AM57" s="398"/>
      <c r="AN57" s="398"/>
      <c r="AO57" s="398"/>
      <c r="AP57" s="398"/>
      <c r="AQ57" s="398"/>
      <c r="AR57" s="398"/>
      <c r="AS57" s="398"/>
      <c r="AT57" s="398"/>
      <c r="AU57" s="398"/>
      <c r="AV57" s="398"/>
      <c r="AW57" s="398"/>
      <c r="AX57" s="398"/>
      <c r="AY57" s="398"/>
      <c r="AZ57" s="398"/>
      <c r="BA57" s="398"/>
      <c r="BB57" s="398"/>
      <c r="BC57" s="398"/>
      <c r="BD57" s="398"/>
      <c r="BE57" s="398"/>
      <c r="BF57" s="398"/>
      <c r="BG57" s="398"/>
      <c r="BH57" s="398"/>
      <c r="BI57" s="398"/>
      <c r="BJ57" s="399"/>
    </row>
    <row r="58" spans="1:62" s="8" customFormat="1" ht="33.6" customHeight="1">
      <c r="A58" s="400">
        <v>45</v>
      </c>
      <c r="B58" s="400"/>
      <c r="C58" s="400"/>
      <c r="D58" s="401" t="s">
        <v>171</v>
      </c>
      <c r="E58" s="401"/>
      <c r="F58" s="401"/>
      <c r="G58" s="401"/>
      <c r="H58" s="401"/>
      <c r="I58" s="401"/>
      <c r="J58" s="401"/>
      <c r="K58" s="401"/>
      <c r="L58" s="401"/>
      <c r="M58" s="401"/>
      <c r="N58" s="401"/>
      <c r="O58" s="401"/>
      <c r="P58" s="401"/>
      <c r="Q58" s="401"/>
      <c r="R58" s="396">
        <v>17</v>
      </c>
      <c r="S58" s="396"/>
      <c r="T58" s="396"/>
      <c r="U58" s="36" t="s">
        <v>156</v>
      </c>
      <c r="V58" s="37"/>
      <c r="W58" s="37"/>
      <c r="X58" s="37"/>
      <c r="Y58" s="37"/>
      <c r="Z58" s="37"/>
      <c r="AA58" s="37"/>
      <c r="AB58" s="37"/>
      <c r="AC58" s="37"/>
      <c r="AD58" s="38"/>
      <c r="AE58" s="397" t="s">
        <v>359</v>
      </c>
      <c r="AF58" s="398"/>
      <c r="AG58" s="398"/>
      <c r="AH58" s="398"/>
      <c r="AI58" s="398"/>
      <c r="AJ58" s="398"/>
      <c r="AK58" s="398"/>
      <c r="AL58" s="398"/>
      <c r="AM58" s="398"/>
      <c r="AN58" s="398"/>
      <c r="AO58" s="398"/>
      <c r="AP58" s="398"/>
      <c r="AQ58" s="398"/>
      <c r="AR58" s="398"/>
      <c r="AS58" s="398"/>
      <c r="AT58" s="398"/>
      <c r="AU58" s="398"/>
      <c r="AV58" s="398"/>
      <c r="AW58" s="398"/>
      <c r="AX58" s="398"/>
      <c r="AY58" s="398"/>
      <c r="AZ58" s="398"/>
      <c r="BA58" s="398"/>
      <c r="BB58" s="398"/>
      <c r="BC58" s="398"/>
      <c r="BD58" s="398"/>
      <c r="BE58" s="398"/>
      <c r="BF58" s="398"/>
      <c r="BG58" s="398"/>
      <c r="BH58" s="398"/>
      <c r="BI58" s="398"/>
      <c r="BJ58" s="399"/>
    </row>
    <row r="59" spans="1:62" s="8" customFormat="1" ht="14.25" customHeight="1">
      <c r="A59" s="400"/>
      <c r="B59" s="400"/>
      <c r="C59" s="400"/>
      <c r="D59" s="401" t="s">
        <v>172</v>
      </c>
      <c r="E59" s="401"/>
      <c r="F59" s="401"/>
      <c r="G59" s="401"/>
      <c r="H59" s="401"/>
      <c r="I59" s="401"/>
      <c r="J59" s="401"/>
      <c r="K59" s="401"/>
      <c r="L59" s="401"/>
      <c r="M59" s="401"/>
      <c r="N59" s="401"/>
      <c r="O59" s="401"/>
      <c r="P59" s="401"/>
      <c r="Q59" s="401"/>
      <c r="R59" s="396"/>
      <c r="S59" s="396"/>
      <c r="T59" s="396"/>
      <c r="U59" s="36"/>
      <c r="V59" s="37"/>
      <c r="W59" s="37"/>
      <c r="X59" s="37"/>
      <c r="Y59" s="37"/>
      <c r="Z59" s="37"/>
      <c r="AA59" s="37"/>
      <c r="AB59" s="37"/>
      <c r="AC59" s="37"/>
      <c r="AD59" s="38"/>
      <c r="AE59" s="397"/>
      <c r="AF59" s="398"/>
      <c r="AG59" s="398"/>
      <c r="AH59" s="398"/>
      <c r="AI59" s="398"/>
      <c r="AJ59" s="398"/>
      <c r="AK59" s="398"/>
      <c r="AL59" s="398"/>
      <c r="AM59" s="398"/>
      <c r="AN59" s="398"/>
      <c r="AO59" s="398"/>
      <c r="AP59" s="398"/>
      <c r="AQ59" s="398"/>
      <c r="AR59" s="398"/>
      <c r="AS59" s="398"/>
      <c r="AT59" s="398"/>
      <c r="AU59" s="398"/>
      <c r="AV59" s="398"/>
      <c r="AW59" s="398"/>
      <c r="AX59" s="398"/>
      <c r="AY59" s="398"/>
      <c r="AZ59" s="398"/>
      <c r="BA59" s="398"/>
      <c r="BB59" s="398"/>
      <c r="BC59" s="398"/>
      <c r="BD59" s="398"/>
      <c r="BE59" s="398"/>
      <c r="BF59" s="398"/>
      <c r="BG59" s="398"/>
      <c r="BH59" s="398"/>
      <c r="BI59" s="398"/>
      <c r="BJ59" s="399"/>
    </row>
    <row r="60" spans="1:62" s="8" customFormat="1" ht="14.25" customHeight="1">
      <c r="A60" s="400">
        <v>46</v>
      </c>
      <c r="B60" s="400"/>
      <c r="C60" s="400"/>
      <c r="D60" s="401" t="s">
        <v>173</v>
      </c>
      <c r="E60" s="401"/>
      <c r="F60" s="401"/>
      <c r="G60" s="401"/>
      <c r="H60" s="401"/>
      <c r="I60" s="401"/>
      <c r="J60" s="401"/>
      <c r="K60" s="401"/>
      <c r="L60" s="401"/>
      <c r="M60" s="401"/>
      <c r="N60" s="401"/>
      <c r="O60" s="401"/>
      <c r="P60" s="401"/>
      <c r="Q60" s="401"/>
      <c r="R60" s="396"/>
      <c r="S60" s="396"/>
      <c r="T60" s="396"/>
      <c r="U60" s="78"/>
      <c r="V60" s="37"/>
      <c r="W60" s="37"/>
      <c r="X60" s="37"/>
      <c r="Y60" s="37"/>
      <c r="Z60" s="37"/>
      <c r="AA60" s="37"/>
      <c r="AB60" s="37"/>
      <c r="AC60" s="37"/>
      <c r="AD60" s="38"/>
      <c r="AE60" s="397" t="s">
        <v>223</v>
      </c>
      <c r="AF60" s="398"/>
      <c r="AG60" s="398"/>
      <c r="AH60" s="398"/>
      <c r="AI60" s="398"/>
      <c r="AJ60" s="398"/>
      <c r="AK60" s="398"/>
      <c r="AL60" s="398"/>
      <c r="AM60" s="398"/>
      <c r="AN60" s="398"/>
      <c r="AO60" s="398"/>
      <c r="AP60" s="398"/>
      <c r="AQ60" s="398"/>
      <c r="AR60" s="398"/>
      <c r="AS60" s="398"/>
      <c r="AT60" s="398"/>
      <c r="AU60" s="398"/>
      <c r="AV60" s="398"/>
      <c r="AW60" s="398"/>
      <c r="AX60" s="398"/>
      <c r="AY60" s="398"/>
      <c r="AZ60" s="398"/>
      <c r="BA60" s="398"/>
      <c r="BB60" s="398"/>
      <c r="BC60" s="398"/>
      <c r="BD60" s="398"/>
      <c r="BE60" s="398"/>
      <c r="BF60" s="398"/>
      <c r="BG60" s="398"/>
      <c r="BH60" s="398"/>
      <c r="BI60" s="398"/>
      <c r="BJ60" s="399"/>
    </row>
    <row r="61" spans="1:62" s="8" customFormat="1" ht="40.5" customHeight="1">
      <c r="A61" s="402"/>
      <c r="B61" s="403"/>
      <c r="C61" s="404"/>
      <c r="D61" s="401"/>
      <c r="E61" s="401"/>
      <c r="F61" s="401"/>
      <c r="G61" s="401"/>
      <c r="H61" s="401"/>
      <c r="I61" s="401"/>
      <c r="J61" s="401"/>
      <c r="K61" s="401"/>
      <c r="L61" s="401"/>
      <c r="M61" s="401"/>
      <c r="N61" s="401"/>
      <c r="O61" s="401"/>
      <c r="P61" s="401"/>
      <c r="Q61" s="401"/>
      <c r="R61" s="396"/>
      <c r="S61" s="396"/>
      <c r="T61" s="396"/>
      <c r="U61" s="36"/>
      <c r="V61" s="37"/>
      <c r="W61" s="37"/>
      <c r="X61" s="37"/>
      <c r="Y61" s="37"/>
      <c r="Z61" s="37"/>
      <c r="AA61" s="37"/>
      <c r="AB61" s="37"/>
      <c r="AC61" s="37"/>
      <c r="AD61" s="38"/>
      <c r="AE61" s="397"/>
      <c r="AF61" s="398"/>
      <c r="AG61" s="398"/>
      <c r="AH61" s="398"/>
      <c r="AI61" s="398"/>
      <c r="AJ61" s="398"/>
      <c r="AK61" s="398"/>
      <c r="AL61" s="398"/>
      <c r="AM61" s="398"/>
      <c r="AN61" s="398"/>
      <c r="AO61" s="398"/>
      <c r="AP61" s="398"/>
      <c r="AQ61" s="398"/>
      <c r="AR61" s="398"/>
      <c r="AS61" s="398"/>
      <c r="AT61" s="398"/>
      <c r="AU61" s="398"/>
      <c r="AV61" s="398"/>
      <c r="AW61" s="398"/>
      <c r="AX61" s="398"/>
      <c r="AY61" s="398"/>
      <c r="AZ61" s="398"/>
      <c r="BA61" s="398"/>
      <c r="BB61" s="398"/>
      <c r="BC61" s="398"/>
      <c r="BD61" s="398"/>
      <c r="BE61" s="398"/>
      <c r="BF61" s="398"/>
      <c r="BG61" s="398"/>
      <c r="BH61" s="398"/>
      <c r="BI61" s="398"/>
      <c r="BJ61" s="399"/>
    </row>
    <row r="62" spans="1:62" s="8" customFormat="1" ht="40.5" customHeight="1">
      <c r="A62" s="402"/>
      <c r="B62" s="403"/>
      <c r="C62" s="404"/>
      <c r="D62" s="401"/>
      <c r="E62" s="401"/>
      <c r="F62" s="401"/>
      <c r="G62" s="401"/>
      <c r="H62" s="401"/>
      <c r="I62" s="401"/>
      <c r="J62" s="401"/>
      <c r="K62" s="401"/>
      <c r="L62" s="401"/>
      <c r="M62" s="401"/>
      <c r="N62" s="401"/>
      <c r="O62" s="401"/>
      <c r="P62" s="401"/>
      <c r="Q62" s="401"/>
      <c r="R62" s="396"/>
      <c r="S62" s="396"/>
      <c r="T62" s="396"/>
      <c r="U62" s="36"/>
      <c r="V62" s="37"/>
      <c r="W62" s="37"/>
      <c r="X62" s="37"/>
      <c r="Y62" s="37"/>
      <c r="Z62" s="37"/>
      <c r="AA62" s="37"/>
      <c r="AB62" s="37"/>
      <c r="AC62" s="37"/>
      <c r="AD62" s="38"/>
      <c r="AE62" s="397"/>
      <c r="AF62" s="398"/>
      <c r="AG62" s="398"/>
      <c r="AH62" s="398"/>
      <c r="AI62" s="398"/>
      <c r="AJ62" s="398"/>
      <c r="AK62" s="398"/>
      <c r="AL62" s="398"/>
      <c r="AM62" s="398"/>
      <c r="AN62" s="398"/>
      <c r="AO62" s="398"/>
      <c r="AP62" s="398"/>
      <c r="AQ62" s="398"/>
      <c r="AR62" s="398"/>
      <c r="AS62" s="398"/>
      <c r="AT62" s="398"/>
      <c r="AU62" s="398"/>
      <c r="AV62" s="398"/>
      <c r="AW62" s="398"/>
      <c r="AX62" s="398"/>
      <c r="AY62" s="398"/>
      <c r="AZ62" s="398"/>
      <c r="BA62" s="398"/>
      <c r="BB62" s="398"/>
      <c r="BC62" s="398"/>
      <c r="BD62" s="398"/>
      <c r="BE62" s="398"/>
      <c r="BF62" s="398"/>
      <c r="BG62" s="398"/>
      <c r="BH62" s="398"/>
      <c r="BI62" s="398"/>
      <c r="BJ62" s="399"/>
    </row>
    <row r="63" spans="1:62" s="8" customFormat="1" ht="40.5" customHeight="1">
      <c r="A63" s="402"/>
      <c r="B63" s="403"/>
      <c r="C63" s="404"/>
      <c r="D63" s="401"/>
      <c r="E63" s="401"/>
      <c r="F63" s="401"/>
      <c r="G63" s="401"/>
      <c r="H63" s="401"/>
      <c r="I63" s="401"/>
      <c r="J63" s="401"/>
      <c r="K63" s="401"/>
      <c r="L63" s="401"/>
      <c r="M63" s="401"/>
      <c r="N63" s="401"/>
      <c r="O63" s="401"/>
      <c r="P63" s="401"/>
      <c r="Q63" s="401"/>
      <c r="R63" s="396"/>
      <c r="S63" s="396"/>
      <c r="T63" s="396"/>
      <c r="U63" s="36"/>
      <c r="V63" s="37"/>
      <c r="W63" s="37"/>
      <c r="X63" s="37"/>
      <c r="Y63" s="37"/>
      <c r="Z63" s="37"/>
      <c r="AA63" s="37"/>
      <c r="AB63" s="37"/>
      <c r="AC63" s="37"/>
      <c r="AD63" s="38"/>
      <c r="AE63" s="397"/>
      <c r="AF63" s="398"/>
      <c r="AG63" s="398"/>
      <c r="AH63" s="398"/>
      <c r="AI63" s="398"/>
      <c r="AJ63" s="398"/>
      <c r="AK63" s="398"/>
      <c r="AL63" s="398"/>
      <c r="AM63" s="398"/>
      <c r="AN63" s="398"/>
      <c r="AO63" s="398"/>
      <c r="AP63" s="398"/>
      <c r="AQ63" s="398"/>
      <c r="AR63" s="398"/>
      <c r="AS63" s="398"/>
      <c r="AT63" s="398"/>
      <c r="AU63" s="398"/>
      <c r="AV63" s="398"/>
      <c r="AW63" s="398"/>
      <c r="AX63" s="398"/>
      <c r="AY63" s="398"/>
      <c r="AZ63" s="398"/>
      <c r="BA63" s="398"/>
      <c r="BB63" s="398"/>
      <c r="BC63" s="398"/>
      <c r="BD63" s="398"/>
      <c r="BE63" s="398"/>
      <c r="BF63" s="398"/>
      <c r="BG63" s="398"/>
      <c r="BH63" s="398"/>
      <c r="BI63" s="398"/>
      <c r="BJ63" s="399"/>
    </row>
    <row r="64" spans="1:62" s="8" customFormat="1" ht="40.5" customHeight="1">
      <c r="A64" s="402"/>
      <c r="B64" s="403"/>
      <c r="C64" s="404"/>
      <c r="D64" s="401"/>
      <c r="E64" s="401"/>
      <c r="F64" s="401"/>
      <c r="G64" s="401"/>
      <c r="H64" s="401"/>
      <c r="I64" s="401"/>
      <c r="J64" s="401"/>
      <c r="K64" s="401"/>
      <c r="L64" s="401"/>
      <c r="M64" s="401"/>
      <c r="N64" s="401"/>
      <c r="O64" s="401"/>
      <c r="P64" s="401"/>
      <c r="Q64" s="401"/>
      <c r="R64" s="396"/>
      <c r="S64" s="396"/>
      <c r="T64" s="396"/>
      <c r="U64" s="36"/>
      <c r="V64" s="37"/>
      <c r="W64" s="37"/>
      <c r="X64" s="37"/>
      <c r="Y64" s="37"/>
      <c r="Z64" s="37"/>
      <c r="AA64" s="37"/>
      <c r="AB64" s="37"/>
      <c r="AC64" s="37"/>
      <c r="AD64" s="38"/>
      <c r="AE64" s="397"/>
      <c r="AF64" s="398"/>
      <c r="AG64" s="398"/>
      <c r="AH64" s="398"/>
      <c r="AI64" s="398"/>
      <c r="AJ64" s="398"/>
      <c r="AK64" s="398"/>
      <c r="AL64" s="398"/>
      <c r="AM64" s="398"/>
      <c r="AN64" s="398"/>
      <c r="AO64" s="398"/>
      <c r="AP64" s="398"/>
      <c r="AQ64" s="398"/>
      <c r="AR64" s="398"/>
      <c r="AS64" s="398"/>
      <c r="AT64" s="398"/>
      <c r="AU64" s="398"/>
      <c r="AV64" s="398"/>
      <c r="AW64" s="398"/>
      <c r="AX64" s="398"/>
      <c r="AY64" s="398"/>
      <c r="AZ64" s="398"/>
      <c r="BA64" s="398"/>
      <c r="BB64" s="398"/>
      <c r="BC64" s="398"/>
      <c r="BD64" s="398"/>
      <c r="BE64" s="398"/>
      <c r="BF64" s="398"/>
      <c r="BG64" s="398"/>
      <c r="BH64" s="398"/>
      <c r="BI64" s="398"/>
      <c r="BJ64" s="399"/>
    </row>
    <row r="65" spans="1:62" s="8" customFormat="1" ht="40.5" customHeight="1">
      <c r="A65" s="402"/>
      <c r="B65" s="403"/>
      <c r="C65" s="404"/>
      <c r="D65" s="401"/>
      <c r="E65" s="401"/>
      <c r="F65" s="401"/>
      <c r="G65" s="401"/>
      <c r="H65" s="401"/>
      <c r="I65" s="401"/>
      <c r="J65" s="401"/>
      <c r="K65" s="401"/>
      <c r="L65" s="401"/>
      <c r="M65" s="401"/>
      <c r="N65" s="401"/>
      <c r="O65" s="401"/>
      <c r="P65" s="401"/>
      <c r="Q65" s="401"/>
      <c r="R65" s="396"/>
      <c r="S65" s="396"/>
      <c r="T65" s="396"/>
      <c r="U65" s="36"/>
      <c r="V65" s="37"/>
      <c r="W65" s="37"/>
      <c r="X65" s="37"/>
      <c r="Y65" s="37"/>
      <c r="Z65" s="37"/>
      <c r="AA65" s="37"/>
      <c r="AB65" s="37"/>
      <c r="AC65" s="37"/>
      <c r="AD65" s="38"/>
      <c r="AE65" s="397"/>
      <c r="AF65" s="398"/>
      <c r="AG65" s="398"/>
      <c r="AH65" s="398"/>
      <c r="AI65" s="398"/>
      <c r="AJ65" s="398"/>
      <c r="AK65" s="398"/>
      <c r="AL65" s="398"/>
      <c r="AM65" s="398"/>
      <c r="AN65" s="398"/>
      <c r="AO65" s="398"/>
      <c r="AP65" s="398"/>
      <c r="AQ65" s="398"/>
      <c r="AR65" s="398"/>
      <c r="AS65" s="398"/>
      <c r="AT65" s="398"/>
      <c r="AU65" s="398"/>
      <c r="AV65" s="398"/>
      <c r="AW65" s="398"/>
      <c r="AX65" s="398"/>
      <c r="AY65" s="398"/>
      <c r="AZ65" s="398"/>
      <c r="BA65" s="398"/>
      <c r="BB65" s="398"/>
      <c r="BC65" s="398"/>
      <c r="BD65" s="398"/>
      <c r="BE65" s="398"/>
      <c r="BF65" s="398"/>
      <c r="BG65" s="398"/>
      <c r="BH65" s="398"/>
      <c r="BI65" s="398"/>
      <c r="BJ65" s="399"/>
    </row>
    <row r="66" spans="1:62" s="8" customFormat="1" ht="40.5" customHeight="1">
      <c r="A66" s="402"/>
      <c r="B66" s="403"/>
      <c r="C66" s="404"/>
      <c r="D66" s="401"/>
      <c r="E66" s="401"/>
      <c r="F66" s="401"/>
      <c r="G66" s="401"/>
      <c r="H66" s="401"/>
      <c r="I66" s="401"/>
      <c r="J66" s="401"/>
      <c r="K66" s="401"/>
      <c r="L66" s="401"/>
      <c r="M66" s="401"/>
      <c r="N66" s="401"/>
      <c r="O66" s="401"/>
      <c r="P66" s="401"/>
      <c r="Q66" s="401"/>
      <c r="R66" s="396"/>
      <c r="S66" s="396"/>
      <c r="T66" s="396"/>
      <c r="U66" s="36"/>
      <c r="V66" s="37"/>
      <c r="W66" s="37"/>
      <c r="X66" s="37"/>
      <c r="Y66" s="37"/>
      <c r="Z66" s="37"/>
      <c r="AA66" s="37"/>
      <c r="AB66" s="37"/>
      <c r="AC66" s="37"/>
      <c r="AD66" s="38"/>
      <c r="AE66" s="397"/>
      <c r="AF66" s="398"/>
      <c r="AG66" s="398"/>
      <c r="AH66" s="398"/>
      <c r="AI66" s="398"/>
      <c r="AJ66" s="398"/>
      <c r="AK66" s="398"/>
      <c r="AL66" s="398"/>
      <c r="AM66" s="398"/>
      <c r="AN66" s="398"/>
      <c r="AO66" s="398"/>
      <c r="AP66" s="398"/>
      <c r="AQ66" s="398"/>
      <c r="AR66" s="398"/>
      <c r="AS66" s="398"/>
      <c r="AT66" s="398"/>
      <c r="AU66" s="398"/>
      <c r="AV66" s="398"/>
      <c r="AW66" s="398"/>
      <c r="AX66" s="398"/>
      <c r="AY66" s="398"/>
      <c r="AZ66" s="398"/>
      <c r="BA66" s="398"/>
      <c r="BB66" s="398"/>
      <c r="BC66" s="398"/>
      <c r="BD66" s="398"/>
      <c r="BE66" s="398"/>
      <c r="BF66" s="398"/>
      <c r="BG66" s="398"/>
      <c r="BH66" s="398"/>
      <c r="BI66" s="398"/>
      <c r="BJ66" s="399"/>
    </row>
    <row r="67" spans="1:62" s="8" customFormat="1" ht="40.5" customHeight="1">
      <c r="A67" s="402"/>
      <c r="B67" s="403"/>
      <c r="C67" s="404"/>
      <c r="D67" s="401"/>
      <c r="E67" s="401"/>
      <c r="F67" s="401"/>
      <c r="G67" s="401"/>
      <c r="H67" s="401"/>
      <c r="I67" s="401"/>
      <c r="J67" s="401"/>
      <c r="K67" s="401"/>
      <c r="L67" s="401"/>
      <c r="M67" s="401"/>
      <c r="N67" s="401"/>
      <c r="O67" s="401"/>
      <c r="P67" s="401"/>
      <c r="Q67" s="401"/>
      <c r="R67" s="396"/>
      <c r="S67" s="396"/>
      <c r="T67" s="396"/>
      <c r="U67" s="36"/>
      <c r="V67" s="37"/>
      <c r="W67" s="37"/>
      <c r="X67" s="37"/>
      <c r="Y67" s="37"/>
      <c r="Z67" s="37"/>
      <c r="AA67" s="37"/>
      <c r="AB67" s="37"/>
      <c r="AC67" s="37"/>
      <c r="AD67" s="38"/>
      <c r="AE67" s="397"/>
      <c r="AF67" s="398"/>
      <c r="AG67" s="398"/>
      <c r="AH67" s="398"/>
      <c r="AI67" s="398"/>
      <c r="AJ67" s="398"/>
      <c r="AK67" s="398"/>
      <c r="AL67" s="398"/>
      <c r="AM67" s="398"/>
      <c r="AN67" s="398"/>
      <c r="AO67" s="398"/>
      <c r="AP67" s="398"/>
      <c r="AQ67" s="398"/>
      <c r="AR67" s="398"/>
      <c r="AS67" s="398"/>
      <c r="AT67" s="398"/>
      <c r="AU67" s="398"/>
      <c r="AV67" s="398"/>
      <c r="AW67" s="398"/>
      <c r="AX67" s="398"/>
      <c r="AY67" s="398"/>
      <c r="AZ67" s="398"/>
      <c r="BA67" s="398"/>
      <c r="BB67" s="398"/>
      <c r="BC67" s="398"/>
      <c r="BD67" s="398"/>
      <c r="BE67" s="398"/>
      <c r="BF67" s="398"/>
      <c r="BG67" s="398"/>
      <c r="BH67" s="398"/>
      <c r="BI67" s="398"/>
      <c r="BJ67" s="399"/>
    </row>
    <row r="68" spans="1:62" s="8" customFormat="1" ht="40.5" customHeight="1">
      <c r="A68" s="402"/>
      <c r="B68" s="403"/>
      <c r="C68" s="404"/>
      <c r="D68" s="401"/>
      <c r="E68" s="401"/>
      <c r="F68" s="401"/>
      <c r="G68" s="401"/>
      <c r="H68" s="401"/>
      <c r="I68" s="401"/>
      <c r="J68" s="401"/>
      <c r="K68" s="401"/>
      <c r="L68" s="401"/>
      <c r="M68" s="401"/>
      <c r="N68" s="401"/>
      <c r="O68" s="401"/>
      <c r="P68" s="401"/>
      <c r="Q68" s="401"/>
      <c r="R68" s="396"/>
      <c r="S68" s="396"/>
      <c r="T68" s="396"/>
      <c r="U68" s="36"/>
      <c r="V68" s="37"/>
      <c r="W68" s="37"/>
      <c r="X68" s="37"/>
      <c r="Y68" s="37"/>
      <c r="Z68" s="37"/>
      <c r="AA68" s="37"/>
      <c r="AB68" s="37"/>
      <c r="AC68" s="37"/>
      <c r="AD68" s="38"/>
      <c r="AE68" s="397"/>
      <c r="AF68" s="398"/>
      <c r="AG68" s="398"/>
      <c r="AH68" s="398"/>
      <c r="AI68" s="398"/>
      <c r="AJ68" s="398"/>
      <c r="AK68" s="398"/>
      <c r="AL68" s="398"/>
      <c r="AM68" s="398"/>
      <c r="AN68" s="398"/>
      <c r="AO68" s="398"/>
      <c r="AP68" s="398"/>
      <c r="AQ68" s="398"/>
      <c r="AR68" s="398"/>
      <c r="AS68" s="398"/>
      <c r="AT68" s="398"/>
      <c r="AU68" s="398"/>
      <c r="AV68" s="398"/>
      <c r="AW68" s="398"/>
      <c r="AX68" s="398"/>
      <c r="AY68" s="398"/>
      <c r="AZ68" s="398"/>
      <c r="BA68" s="398"/>
      <c r="BB68" s="398"/>
      <c r="BC68" s="398"/>
      <c r="BD68" s="398"/>
      <c r="BE68" s="398"/>
      <c r="BF68" s="398"/>
      <c r="BG68" s="398"/>
      <c r="BH68" s="398"/>
      <c r="BI68" s="398"/>
      <c r="BJ68" s="399"/>
    </row>
    <row r="69" spans="1:62" s="8" customFormat="1" ht="40.5" customHeight="1">
      <c r="A69" s="410"/>
      <c r="B69" s="410"/>
      <c r="C69" s="410"/>
      <c r="D69" s="411"/>
      <c r="E69" s="411"/>
      <c r="F69" s="411"/>
      <c r="G69" s="411"/>
      <c r="H69" s="411"/>
      <c r="I69" s="411"/>
      <c r="J69" s="411"/>
      <c r="K69" s="411"/>
      <c r="L69" s="411"/>
      <c r="M69" s="411"/>
      <c r="N69" s="411"/>
      <c r="O69" s="411"/>
      <c r="P69" s="411"/>
      <c r="Q69" s="411"/>
      <c r="R69" s="412"/>
      <c r="S69" s="412"/>
      <c r="T69" s="412"/>
      <c r="U69" s="39"/>
      <c r="V69" s="40"/>
      <c r="W69" s="40"/>
      <c r="X69" s="40"/>
      <c r="Y69" s="40"/>
      <c r="Z69" s="40"/>
      <c r="AA69" s="40"/>
      <c r="AB69" s="40"/>
      <c r="AC69" s="40"/>
      <c r="AD69" s="41"/>
      <c r="AE69" s="413"/>
      <c r="AF69" s="414"/>
      <c r="AG69" s="414"/>
      <c r="AH69" s="414"/>
      <c r="AI69" s="414"/>
      <c r="AJ69" s="414"/>
      <c r="AK69" s="414"/>
      <c r="AL69" s="414"/>
      <c r="AM69" s="414"/>
      <c r="AN69" s="414"/>
      <c r="AO69" s="414"/>
      <c r="AP69" s="414"/>
      <c r="AQ69" s="414"/>
      <c r="AR69" s="414"/>
      <c r="AS69" s="414"/>
      <c r="AT69" s="414"/>
      <c r="AU69" s="414"/>
      <c r="AV69" s="414"/>
      <c r="AW69" s="414"/>
      <c r="AX69" s="414"/>
      <c r="AY69" s="414"/>
      <c r="AZ69" s="414"/>
      <c r="BA69" s="414"/>
      <c r="BB69" s="414"/>
      <c r="BC69" s="414"/>
      <c r="BD69" s="414"/>
      <c r="BE69" s="414"/>
      <c r="BF69" s="414"/>
      <c r="BG69" s="414"/>
      <c r="BH69" s="414"/>
      <c r="BI69" s="414"/>
      <c r="BJ69" s="415"/>
    </row>
    <row r="70" spans="1:62" s="7" customFormat="1" ht="3.75" customHeight="1"/>
    <row r="71" spans="1:62" s="7" customFormat="1" ht="24" customHeight="1"/>
    <row r="72" spans="1:62" s="7" customFormat="1" ht="24" customHeight="1"/>
    <row r="73" spans="1:62" s="7" customFormat="1" ht="24" customHeight="1"/>
    <row r="74" spans="1:62" s="7" customFormat="1" ht="24" customHeight="1"/>
    <row r="75" spans="1:62" s="7" customFormat="1" ht="24" customHeight="1"/>
    <row r="76" spans="1:62" s="7" customFormat="1" ht="24" customHeight="1"/>
    <row r="77" spans="1:62" s="7" customFormat="1" ht="24" customHeight="1"/>
    <row r="78" spans="1:62" s="7" customFormat="1" ht="24" customHeight="1"/>
    <row r="79" spans="1:62" s="7" customFormat="1" ht="24" customHeight="1"/>
    <row r="80" spans="1:62"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row r="140" s="7" customFormat="1" ht="24" customHeight="1"/>
    <row r="141" s="7" customFormat="1" ht="24" customHeight="1"/>
    <row r="142" s="7" customFormat="1" ht="24" customHeight="1"/>
    <row r="143" s="7" customFormat="1" ht="24" customHeight="1"/>
    <row r="144" s="7" customFormat="1" ht="24" customHeight="1"/>
    <row r="145" s="7" customFormat="1" ht="24" customHeight="1"/>
    <row r="146" s="7" customFormat="1" ht="24" customHeight="1"/>
    <row r="147" s="7" customFormat="1" ht="24" customHeight="1"/>
    <row r="148" s="7" customFormat="1" ht="24" customHeight="1"/>
    <row r="149" s="7" customFormat="1" ht="24" customHeight="1"/>
  </sheetData>
  <mergeCells count="268">
    <mergeCell ref="A66:C66"/>
    <mergeCell ref="D66:Q66"/>
    <mergeCell ref="R66:T66"/>
    <mergeCell ref="AE66:BJ66"/>
    <mergeCell ref="A45:C45"/>
    <mergeCell ref="D45:Q45"/>
    <mergeCell ref="R45:T45"/>
    <mergeCell ref="AE45:BJ45"/>
    <mergeCell ref="A63:C63"/>
    <mergeCell ref="D63:Q63"/>
    <mergeCell ref="R63:T63"/>
    <mergeCell ref="AE63:BJ63"/>
    <mergeCell ref="A64:C64"/>
    <mergeCell ref="D64:Q64"/>
    <mergeCell ref="R64:T64"/>
    <mergeCell ref="AE64:BJ64"/>
    <mergeCell ref="A62:C62"/>
    <mergeCell ref="D62:Q62"/>
    <mergeCell ref="R62:T62"/>
    <mergeCell ref="AE62:BJ62"/>
    <mergeCell ref="A65:C65"/>
    <mergeCell ref="D65:Q65"/>
    <mergeCell ref="R65:T65"/>
    <mergeCell ref="AE65:BJ65"/>
    <mergeCell ref="A30:C30"/>
    <mergeCell ref="D30:Q30"/>
    <mergeCell ref="R30:T30"/>
    <mergeCell ref="AE30:BJ30"/>
    <mergeCell ref="A57:C57"/>
    <mergeCell ref="D57:Q57"/>
    <mergeCell ref="R57:T57"/>
    <mergeCell ref="AE57:BJ57"/>
    <mergeCell ref="AE31:BJ31"/>
    <mergeCell ref="R31:T31"/>
    <mergeCell ref="D31:Q31"/>
    <mergeCell ref="A31:C31"/>
    <mergeCell ref="A34:C34"/>
    <mergeCell ref="D34:Q34"/>
    <mergeCell ref="R34:T34"/>
    <mergeCell ref="AE34:BJ34"/>
    <mergeCell ref="A36:C36"/>
    <mergeCell ref="D36:Q36"/>
    <mergeCell ref="R36:T36"/>
    <mergeCell ref="AE36:BJ36"/>
    <mergeCell ref="A35:C35"/>
    <mergeCell ref="D35:Q35"/>
    <mergeCell ref="R35:T35"/>
    <mergeCell ref="AE35:BJ35"/>
    <mergeCell ref="A26:C26"/>
    <mergeCell ref="D26:Q26"/>
    <mergeCell ref="R26:T26"/>
    <mergeCell ref="AE26:BJ26"/>
    <mergeCell ref="A33:C33"/>
    <mergeCell ref="D33:Q33"/>
    <mergeCell ref="R33:T33"/>
    <mergeCell ref="AE33:BJ33"/>
    <mergeCell ref="A28:C28"/>
    <mergeCell ref="D28:Q28"/>
    <mergeCell ref="R28:T28"/>
    <mergeCell ref="AE28:BJ28"/>
    <mergeCell ref="A32:C32"/>
    <mergeCell ref="D32:Q32"/>
    <mergeCell ref="R32:T32"/>
    <mergeCell ref="AE32:BJ32"/>
    <mergeCell ref="A27:C27"/>
    <mergeCell ref="D27:Q27"/>
    <mergeCell ref="R27:T27"/>
    <mergeCell ref="AE27:BJ27"/>
    <mergeCell ref="A29:C29"/>
    <mergeCell ref="D29:Q29"/>
    <mergeCell ref="R29:T29"/>
    <mergeCell ref="AE29:BJ29"/>
    <mergeCell ref="R20:T20"/>
    <mergeCell ref="AE20:BJ20"/>
    <mergeCell ref="A19:C19"/>
    <mergeCell ref="D19:Q19"/>
    <mergeCell ref="AE9:BJ9"/>
    <mergeCell ref="A16:C16"/>
    <mergeCell ref="D16:Q16"/>
    <mergeCell ref="R16:T16"/>
    <mergeCell ref="AE16:BJ16"/>
    <mergeCell ref="A15:C15"/>
    <mergeCell ref="D15:Q15"/>
    <mergeCell ref="R15:T15"/>
    <mergeCell ref="AE15:BJ15"/>
    <mergeCell ref="A10:C10"/>
    <mergeCell ref="D10:Q10"/>
    <mergeCell ref="R10:T10"/>
    <mergeCell ref="AE10:BJ10"/>
    <mergeCell ref="A11:C11"/>
    <mergeCell ref="D11:Q11"/>
    <mergeCell ref="R11:T11"/>
    <mergeCell ref="AE11:BJ11"/>
    <mergeCell ref="A17:C17"/>
    <mergeCell ref="D17:Q17"/>
    <mergeCell ref="R17:T17"/>
    <mergeCell ref="A61:C61"/>
    <mergeCell ref="D61:Q61"/>
    <mergeCell ref="R61:T61"/>
    <mergeCell ref="AE61:BJ61"/>
    <mergeCell ref="A24:C24"/>
    <mergeCell ref="D24:Q24"/>
    <mergeCell ref="R24:T24"/>
    <mergeCell ref="AE24:BJ24"/>
    <mergeCell ref="A18:C18"/>
    <mergeCell ref="D18:Q18"/>
    <mergeCell ref="R18:T18"/>
    <mergeCell ref="A23:C23"/>
    <mergeCell ref="D23:Q23"/>
    <mergeCell ref="R23:T23"/>
    <mergeCell ref="AE23:BJ23"/>
    <mergeCell ref="A22:C22"/>
    <mergeCell ref="D22:Q22"/>
    <mergeCell ref="R22:T22"/>
    <mergeCell ref="AE22:BJ22"/>
    <mergeCell ref="A21:C21"/>
    <mergeCell ref="D21:Q21"/>
    <mergeCell ref="R21:T21"/>
    <mergeCell ref="AE21:BJ21"/>
    <mergeCell ref="AE18:BJ18"/>
    <mergeCell ref="A58:C58"/>
    <mergeCell ref="D58:Q58"/>
    <mergeCell ref="R58:T58"/>
    <mergeCell ref="AE58:BJ58"/>
    <mergeCell ref="A59:C59"/>
    <mergeCell ref="D59:Q59"/>
    <mergeCell ref="R59:T59"/>
    <mergeCell ref="AE59:BJ59"/>
    <mergeCell ref="A60:C60"/>
    <mergeCell ref="D60:Q60"/>
    <mergeCell ref="R60:T60"/>
    <mergeCell ref="AE60:BJ60"/>
    <mergeCell ref="A67:C67"/>
    <mergeCell ref="D67:Q67"/>
    <mergeCell ref="R67:T67"/>
    <mergeCell ref="AE67:BJ67"/>
    <mergeCell ref="A68:C68"/>
    <mergeCell ref="D68:Q68"/>
    <mergeCell ref="R68:T68"/>
    <mergeCell ref="AE68:BJ68"/>
    <mergeCell ref="A69:C69"/>
    <mergeCell ref="D69:Q69"/>
    <mergeCell ref="R69:T69"/>
    <mergeCell ref="AE69:BJ69"/>
    <mergeCell ref="A52:C52"/>
    <mergeCell ref="D52:Q52"/>
    <mergeCell ref="R52:T52"/>
    <mergeCell ref="AE52:BJ52"/>
    <mergeCell ref="A51:C51"/>
    <mergeCell ref="D51:Q51"/>
    <mergeCell ref="R51:T51"/>
    <mergeCell ref="AE51:BJ51"/>
    <mergeCell ref="A56:C56"/>
    <mergeCell ref="D56:Q56"/>
    <mergeCell ref="R56:T56"/>
    <mergeCell ref="AE56:BJ56"/>
    <mergeCell ref="A55:C55"/>
    <mergeCell ref="D55:Q55"/>
    <mergeCell ref="R55:T55"/>
    <mergeCell ref="AE55:BJ55"/>
    <mergeCell ref="A37:C37"/>
    <mergeCell ref="D37:Q37"/>
    <mergeCell ref="R37:T37"/>
    <mergeCell ref="AE37:BJ37"/>
    <mergeCell ref="A54:C54"/>
    <mergeCell ref="D54:Q54"/>
    <mergeCell ref="R54:T54"/>
    <mergeCell ref="AE54:BJ54"/>
    <mergeCell ref="A49:C49"/>
    <mergeCell ref="D49:Q49"/>
    <mergeCell ref="R49:T49"/>
    <mergeCell ref="AE49:BJ49"/>
    <mergeCell ref="A46:C46"/>
    <mergeCell ref="D46:Q46"/>
    <mergeCell ref="R46:T46"/>
    <mergeCell ref="AE46:BJ46"/>
    <mergeCell ref="A47:C47"/>
    <mergeCell ref="D47:Q47"/>
    <mergeCell ref="R47:T47"/>
    <mergeCell ref="AE47:BJ47"/>
    <mergeCell ref="A50:C50"/>
    <mergeCell ref="D50:Q50"/>
    <mergeCell ref="R50:T50"/>
    <mergeCell ref="AE50:BJ50"/>
    <mergeCell ref="A43:C43"/>
    <mergeCell ref="D43:Q43"/>
    <mergeCell ref="R43:T43"/>
    <mergeCell ref="AE43:BJ43"/>
    <mergeCell ref="A41:C41"/>
    <mergeCell ref="D41:Q41"/>
    <mergeCell ref="R41:T41"/>
    <mergeCell ref="AE41:BJ41"/>
    <mergeCell ref="A38:C38"/>
    <mergeCell ref="D38:Q38"/>
    <mergeCell ref="R38:T38"/>
    <mergeCell ref="AE38:BJ38"/>
    <mergeCell ref="A39:C39"/>
    <mergeCell ref="D39:Q39"/>
    <mergeCell ref="R39:T39"/>
    <mergeCell ref="AE39:BJ39"/>
    <mergeCell ref="A40:C40"/>
    <mergeCell ref="D40:Q40"/>
    <mergeCell ref="R40:T40"/>
    <mergeCell ref="AE40:BJ40"/>
    <mergeCell ref="AE17:BJ17"/>
    <mergeCell ref="A8:C8"/>
    <mergeCell ref="D8:Q8"/>
    <mergeCell ref="R8:T8"/>
    <mergeCell ref="U8:AD8"/>
    <mergeCell ref="AE8:BJ8"/>
    <mergeCell ref="A13:C13"/>
    <mergeCell ref="D13:Q13"/>
    <mergeCell ref="R13:T13"/>
    <mergeCell ref="AE14:BJ14"/>
    <mergeCell ref="A9:C9"/>
    <mergeCell ref="D9:Q9"/>
    <mergeCell ref="R9:T9"/>
    <mergeCell ref="A12:C12"/>
    <mergeCell ref="D12:Q12"/>
    <mergeCell ref="R12:T12"/>
    <mergeCell ref="AE12:BJ12"/>
    <mergeCell ref="AE13:BJ13"/>
    <mergeCell ref="A14:C14"/>
    <mergeCell ref="D14:Q14"/>
    <mergeCell ref="R14:T14"/>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R19:T19"/>
    <mergeCell ref="AE19:BJ19"/>
    <mergeCell ref="A53:C53"/>
    <mergeCell ref="D53:Q53"/>
    <mergeCell ref="R53:T53"/>
    <mergeCell ref="AE53:BJ53"/>
    <mergeCell ref="A44:C44"/>
    <mergeCell ref="D44:Q44"/>
    <mergeCell ref="R44:T44"/>
    <mergeCell ref="AE44:BJ44"/>
    <mergeCell ref="A42:C42"/>
    <mergeCell ref="D42:Q42"/>
    <mergeCell ref="R42:T42"/>
    <mergeCell ref="AE42:BJ42"/>
    <mergeCell ref="A48:C48"/>
    <mergeCell ref="D48:Q48"/>
    <mergeCell ref="R48:T48"/>
    <mergeCell ref="AE48:BJ48"/>
    <mergeCell ref="A20:C20"/>
    <mergeCell ref="D20:Q20"/>
    <mergeCell ref="A25:C25"/>
    <mergeCell ref="D25:Q25"/>
    <mergeCell ref="R25:T25"/>
    <mergeCell ref="AE25:BJ25"/>
  </mergeCells>
  <phoneticPr fontId="7"/>
  <pageMargins left="0.42" right="0.23" top="0.74803149606299213" bottom="0.31496062992125984" header="0.9055118110236221" footer="0.19685039370078741"/>
  <pageSetup paperSize="9" scale="74"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CDDF95C-CDD4-466D-B035-9ED2C011EBCD}"/>
</file>

<file path=customXml/itemProps3.xml><?xml version="1.0" encoding="utf-8"?>
<ds:datastoreItem xmlns:ds="http://schemas.openxmlformats.org/officeDocument/2006/customXml" ds:itemID="{90D9BC56-CB69-4111-AE3D-B4D833A07265}">
  <ds:schemaRefs>
    <ds:schemaRef ds:uri="http://schemas.microsoft.com/office/2006/metadata/properties"/>
    <ds:schemaRef ds:uri="http://purl.org/dc/elements/1.1/"/>
    <ds:schemaRef ds:uri="http://schemas.microsoft.com/office/2006/documentManagement/types"/>
    <ds:schemaRef ds:uri="http://purl.org/dc/dcmitype/"/>
    <ds:schemaRef ds:uri="http://schemas.openxmlformats.org/package/2006/metadata/core-properties"/>
    <ds:schemaRef ds:uri="899f1e7e-8fd6-442c-bf5f-5fd48d441c4a"/>
    <ds:schemaRef ds:uri="http://purl.org/dc/terms/"/>
    <ds:schemaRef ds:uri="http://schemas.microsoft.com/office/infopath/2007/PartnerControl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変更履歴</vt:lpstr>
      <vt:lpstr>1.帳票レイアウト</vt:lpstr>
      <vt:lpstr>1.帳票イメージ（1ページ）</vt:lpstr>
      <vt:lpstr>1.帳票イメージ（所属別内訳で改ページ）</vt:lpstr>
      <vt:lpstr>1.帳票イメージ（品目別内訳、店舗別内訳で改ページ）</vt:lpstr>
      <vt:lpstr>1.帳票イメージ（税率別の表現)</vt:lpstr>
      <vt:lpstr>2.条件表</vt:lpstr>
      <vt:lpstr>3.項目説明</vt:lpstr>
      <vt:lpstr>'1.帳票イメージ（1ページ）'!Print_Area</vt:lpstr>
      <vt:lpstr>'1.帳票イメージ（所属別内訳で改ページ）'!Print_Area</vt:lpstr>
      <vt:lpstr>'1.帳票イメージ（税率別の表現)'!Print_Area</vt:lpstr>
      <vt:lpstr>'1.帳票イメージ（品目別内訳、店舗別内訳で改ページ）'!Print_Area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福嶋 大樹</cp:lastModifiedBy>
  <cp:revision/>
  <cp:lastPrinted>2025-08-18T01:05:46Z</cp:lastPrinted>
  <dcterms:created xsi:type="dcterms:W3CDTF">2001-03-07T04:21:32Z</dcterms:created>
  <dcterms:modified xsi:type="dcterms:W3CDTF">2025-09-01T06:57:44Z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